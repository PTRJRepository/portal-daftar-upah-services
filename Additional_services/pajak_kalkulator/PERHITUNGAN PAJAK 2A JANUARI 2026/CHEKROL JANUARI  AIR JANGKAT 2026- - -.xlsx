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showInkAnnotation="0" defaultThemeVersion="124226"/>
  <bookViews>
    <workbookView xWindow="-15" yWindow="-15" windowWidth="20640" windowHeight="8520" firstSheet="3" activeTab="10"/>
  </bookViews>
  <sheets>
    <sheet name="CKROL PHT" sheetId="1" r:id="rId1"/>
    <sheet name="Sheet2" sheetId="27" r:id="rId2"/>
    <sheet name="OUTPUT-HK" sheetId="42" r:id="rId3"/>
    <sheet name="CKROL PERAWATAN" sheetId="6" r:id="rId4"/>
    <sheet name="INSENTIF PANEN" sheetId="17" r:id="rId5"/>
    <sheet name="GAJI MAINTENANCE AJ" sheetId="24" r:id="rId6"/>
    <sheet name="PANEN 1" sheetId="26" r:id="rId7"/>
    <sheet name="PANEN BHL" sheetId="49" r:id="rId8"/>
    <sheet name="OPERATOR" sheetId="29" r:id="rId9"/>
    <sheet name="BRI" sheetId="30" r:id="rId10"/>
    <sheet name="rekon 1" sheetId="33" r:id="rId11"/>
    <sheet name="PAJAK" sheetId="47" r:id="rId12"/>
    <sheet name="Sheet1" sheetId="48" r:id="rId13"/>
  </sheets>
  <externalReferences>
    <externalReference r:id="rId14"/>
  </externalReferences>
  <definedNames>
    <definedName name="_xlnm._FilterDatabase" localSheetId="0" hidden="1">'CKROL PHT'!$C$4:$AF$221</definedName>
    <definedName name="_xlnm._FilterDatabase" localSheetId="4" hidden="1">'INSENTIF PANEN'!$B$4:$L$5</definedName>
    <definedName name="_xlnm.Print_Area" localSheetId="4">'INSENTIF PANEN'!$B$1:$W$37</definedName>
    <definedName name="_xlnm.Print_Area" localSheetId="11">PAJAK!$A$1:$R$18</definedName>
    <definedName name="_xlnm.Print_Area" localSheetId="10">'rekon 1'!$A$1:$Y$69</definedName>
    <definedName name="Ter_A">[1]TARIF!$B$3:$E$46</definedName>
    <definedName name="Ter_B">[1]TARIF!$H$3:$K$42</definedName>
    <definedName name="Ter_C">[1]TARIF!$N$3:$Q$43</definedName>
  </definedNames>
  <calcPr calcId="144525"/>
  <fileRecoveryPr autoRecover="0"/>
</workbook>
</file>

<file path=xl/calcChain.xml><?xml version="1.0" encoding="utf-8"?>
<calcChain xmlns="http://schemas.openxmlformats.org/spreadsheetml/2006/main">
  <c r="E22" i="33" l="1"/>
  <c r="J41" i="33"/>
  <c r="G32" i="33"/>
  <c r="M32" i="33"/>
  <c r="BF33" i="26" l="1"/>
  <c r="AA42" i="47" l="1"/>
  <c r="AA43" i="47"/>
  <c r="AA44" i="47"/>
  <c r="AA45" i="47"/>
  <c r="AA46" i="47"/>
  <c r="AA47" i="47"/>
  <c r="AA48" i="47"/>
  <c r="AA49" i="47"/>
  <c r="AA50" i="47"/>
  <c r="AA51" i="47"/>
  <c r="AA52" i="47"/>
  <c r="AA53" i="47"/>
  <c r="AA54" i="47"/>
  <c r="AA55" i="47"/>
  <c r="AA56" i="47"/>
  <c r="AA57" i="47"/>
  <c r="AA58" i="47"/>
  <c r="AA41" i="47"/>
  <c r="R17" i="17"/>
  <c r="S17" i="17" s="1"/>
  <c r="V17" i="17" s="1"/>
  <c r="U17" i="17"/>
  <c r="L26" i="17"/>
  <c r="L24" i="17"/>
  <c r="D26" i="17" l="1"/>
  <c r="D24" i="17"/>
  <c r="AK11" i="29"/>
  <c r="X35" i="47"/>
  <c r="Q36" i="47"/>
  <c r="Q37" i="47"/>
  <c r="Q38" i="47"/>
  <c r="Q35" i="47"/>
  <c r="K59" i="47"/>
  <c r="I67" i="33" l="1"/>
  <c r="I68" i="33" s="1"/>
  <c r="L67" i="33"/>
  <c r="O67" i="33"/>
  <c r="O68" i="33" s="1"/>
  <c r="R67" i="33"/>
  <c r="U67" i="33"/>
  <c r="U68" i="33" s="1"/>
  <c r="X67" i="33"/>
  <c r="Y66" i="33"/>
  <c r="E68" i="33"/>
  <c r="G68" i="33"/>
  <c r="H68" i="33"/>
  <c r="J68" i="33"/>
  <c r="K68" i="33"/>
  <c r="L68" i="33"/>
  <c r="M68" i="33"/>
  <c r="N68" i="33"/>
  <c r="P68" i="33"/>
  <c r="R68" i="33"/>
  <c r="S68" i="33"/>
  <c r="T68" i="33"/>
  <c r="V68" i="33"/>
  <c r="W68" i="33"/>
  <c r="AF14" i="29"/>
  <c r="AF13" i="29"/>
  <c r="AF12" i="29"/>
  <c r="AF11" i="29"/>
  <c r="Y67" i="33" l="1"/>
  <c r="Y68" i="33" s="1"/>
  <c r="X68" i="33"/>
  <c r="Y50" i="47" l="1"/>
  <c r="AN18" i="26"/>
  <c r="AN21" i="26"/>
  <c r="AB42" i="47"/>
  <c r="AB43" i="47"/>
  <c r="AB44" i="47"/>
  <c r="AB45" i="47"/>
  <c r="AB46" i="47"/>
  <c r="AB47" i="47"/>
  <c r="AB48" i="47"/>
  <c r="AB49" i="47"/>
  <c r="AB50" i="47"/>
  <c r="AB51" i="47"/>
  <c r="AB52" i="47"/>
  <c r="AB53" i="47"/>
  <c r="AB54" i="47"/>
  <c r="AB55" i="47"/>
  <c r="AB56" i="47"/>
  <c r="AB57" i="47"/>
  <c r="AB58" i="47"/>
  <c r="AB41" i="47"/>
  <c r="AO7" i="47"/>
  <c r="AO8" i="47"/>
  <c r="AO9" i="47"/>
  <c r="AO10" i="47"/>
  <c r="AO11" i="47"/>
  <c r="AO12" i="47"/>
  <c r="AO13" i="47"/>
  <c r="AO14" i="47"/>
  <c r="AO15" i="47"/>
  <c r="AO16" i="47"/>
  <c r="AO17" i="47"/>
  <c r="AO18" i="47"/>
  <c r="AO19" i="47"/>
  <c r="AO20" i="47"/>
  <c r="AO21" i="47"/>
  <c r="AO22" i="47"/>
  <c r="AO23" i="47"/>
  <c r="AO24" i="47"/>
  <c r="AO25" i="47"/>
  <c r="AO26" i="47"/>
  <c r="AO27" i="47"/>
  <c r="AO28" i="47"/>
  <c r="AO29" i="47"/>
  <c r="AO30" i="47"/>
  <c r="AO31" i="47"/>
  <c r="AO32" i="47"/>
  <c r="AO33" i="47"/>
  <c r="AO34" i="47"/>
  <c r="AO39" i="47"/>
  <c r="AO40" i="47"/>
  <c r="AO6" i="47"/>
  <c r="Q50" i="47"/>
  <c r="Q47" i="47"/>
  <c r="AH276" i="1" l="1"/>
  <c r="AH275" i="1"/>
  <c r="AH273" i="1"/>
  <c r="AH272" i="1"/>
  <c r="AH270" i="1"/>
  <c r="AH269" i="1"/>
  <c r="AH267" i="1"/>
  <c r="AH266" i="1"/>
  <c r="AH264" i="1"/>
  <c r="AH263" i="1"/>
  <c r="AB209" i="1"/>
  <c r="Z198" i="1"/>
  <c r="X198" i="1"/>
  <c r="O198" i="1"/>
  <c r="L198" i="1"/>
  <c r="Y187" i="1"/>
  <c r="AB176" i="1"/>
  <c r="Y176" i="1"/>
  <c r="L176" i="1"/>
  <c r="Y165" i="1"/>
  <c r="AB154" i="1"/>
  <c r="U110" i="1"/>
  <c r="Y77" i="1"/>
  <c r="N55" i="1"/>
  <c r="K44" i="1"/>
  <c r="N33" i="1"/>
  <c r="W22" i="1"/>
  <c r="AV39" i="24"/>
  <c r="AW39" i="24"/>
  <c r="AX39" i="24"/>
  <c r="AY39" i="24"/>
  <c r="AY30" i="26" l="1"/>
  <c r="AZ30" i="26"/>
  <c r="BA30" i="26"/>
  <c r="BB30" i="26"/>
  <c r="BC30" i="26"/>
  <c r="BD30" i="26"/>
  <c r="BE30" i="26"/>
  <c r="AE36" i="47" l="1"/>
  <c r="AE37" i="47"/>
  <c r="AE38" i="47"/>
  <c r="AE35" i="47"/>
  <c r="AE34" i="47"/>
  <c r="X40" i="47"/>
  <c r="X39" i="47"/>
  <c r="X36" i="47"/>
  <c r="X37" i="47"/>
  <c r="X38" i="47"/>
  <c r="AJ30" i="26"/>
  <c r="AK30" i="26"/>
  <c r="V59" i="47"/>
  <c r="V42" i="47"/>
  <c r="V43" i="47"/>
  <c r="V44" i="47"/>
  <c r="V45" i="47"/>
  <c r="V46" i="47"/>
  <c r="V47" i="47"/>
  <c r="V48" i="47"/>
  <c r="V49" i="47"/>
  <c r="V50" i="47"/>
  <c r="V51" i="47"/>
  <c r="V52" i="47"/>
  <c r="V53" i="47"/>
  <c r="V54" i="47"/>
  <c r="V55" i="47"/>
  <c r="V56" i="47"/>
  <c r="V57" i="47"/>
  <c r="V58" i="47"/>
  <c r="V41" i="47"/>
  <c r="S40" i="47"/>
  <c r="M40" i="47" s="1"/>
  <c r="S41" i="47"/>
  <c r="L41" i="47" s="1"/>
  <c r="S42" i="47"/>
  <c r="M42" i="47" s="1"/>
  <c r="S43" i="47"/>
  <c r="M43" i="47" s="1"/>
  <c r="S44" i="47"/>
  <c r="L44" i="47" s="1"/>
  <c r="S45" i="47"/>
  <c r="L45" i="47" s="1"/>
  <c r="S46" i="47"/>
  <c r="M46" i="47" s="1"/>
  <c r="S47" i="47"/>
  <c r="M47" i="47" s="1"/>
  <c r="S48" i="47"/>
  <c r="L48" i="47" s="1"/>
  <c r="S49" i="47"/>
  <c r="L49" i="47" s="1"/>
  <c r="S50" i="47"/>
  <c r="M50" i="47" s="1"/>
  <c r="S51" i="47"/>
  <c r="M51" i="47" s="1"/>
  <c r="S52" i="47"/>
  <c r="M52" i="47" s="1"/>
  <c r="S53" i="47"/>
  <c r="L53" i="47" s="1"/>
  <c r="S54" i="47"/>
  <c r="M54" i="47" s="1"/>
  <c r="S55" i="47"/>
  <c r="M55" i="47" s="1"/>
  <c r="S56" i="47"/>
  <c r="M56" i="47" s="1"/>
  <c r="S57" i="47"/>
  <c r="L57" i="47" s="1"/>
  <c r="S58" i="47"/>
  <c r="M58" i="47" s="1"/>
  <c r="S39" i="47"/>
  <c r="M39" i="47" s="1"/>
  <c r="S36" i="47"/>
  <c r="M36" i="47" s="1"/>
  <c r="S37" i="47"/>
  <c r="M37" i="47" s="1"/>
  <c r="S38" i="47"/>
  <c r="L38" i="47" s="1"/>
  <c r="S35" i="47"/>
  <c r="S8" i="47"/>
  <c r="S9" i="47"/>
  <c r="M9" i="47" s="1"/>
  <c r="S10" i="47"/>
  <c r="M10" i="47" s="1"/>
  <c r="S11" i="47"/>
  <c r="S12" i="47"/>
  <c r="M12" i="47" s="1"/>
  <c r="S13" i="47"/>
  <c r="M13" i="47" s="1"/>
  <c r="S14" i="47"/>
  <c r="M14" i="47" s="1"/>
  <c r="S15" i="47"/>
  <c r="S16" i="47"/>
  <c r="S17" i="47"/>
  <c r="M17" i="47" s="1"/>
  <c r="S18" i="47"/>
  <c r="M18" i="47" s="1"/>
  <c r="S19" i="47"/>
  <c r="S20" i="47"/>
  <c r="M20" i="47" s="1"/>
  <c r="S21" i="47"/>
  <c r="M21" i="47" s="1"/>
  <c r="S22" i="47"/>
  <c r="M22" i="47" s="1"/>
  <c r="S23" i="47"/>
  <c r="S24" i="47"/>
  <c r="S25" i="47"/>
  <c r="M25" i="47" s="1"/>
  <c r="S26" i="47"/>
  <c r="M26" i="47" s="1"/>
  <c r="S27" i="47"/>
  <c r="S28" i="47"/>
  <c r="M28" i="47" s="1"/>
  <c r="S29" i="47"/>
  <c r="M29" i="47" s="1"/>
  <c r="S30" i="47"/>
  <c r="M30" i="47" s="1"/>
  <c r="S31" i="47"/>
  <c r="S32" i="47"/>
  <c r="S33" i="47"/>
  <c r="M33" i="47" s="1"/>
  <c r="S34" i="47"/>
  <c r="M34" i="47" s="1"/>
  <c r="S7" i="47"/>
  <c r="S6" i="47"/>
  <c r="M6" i="47" s="1"/>
  <c r="N60" i="47"/>
  <c r="R60" i="47"/>
  <c r="W60" i="47"/>
  <c r="Y60" i="47"/>
  <c r="Z60" i="47"/>
  <c r="AA60" i="47"/>
  <c r="AB60" i="47"/>
  <c r="AC60" i="47"/>
  <c r="AD60" i="47"/>
  <c r="AF60" i="47"/>
  <c r="AG60" i="47"/>
  <c r="AH60" i="47"/>
  <c r="K60" i="47"/>
  <c r="M7" i="47"/>
  <c r="M8" i="47"/>
  <c r="M11" i="47"/>
  <c r="M15" i="47"/>
  <c r="M16" i="47"/>
  <c r="M19" i="47"/>
  <c r="M23" i="47"/>
  <c r="M24" i="47"/>
  <c r="M27" i="47"/>
  <c r="M31" i="47"/>
  <c r="M32" i="47"/>
  <c r="M35" i="47"/>
  <c r="L7" i="47"/>
  <c r="L8" i="47"/>
  <c r="L9" i="47"/>
  <c r="L10" i="47"/>
  <c r="L11" i="47"/>
  <c r="L12" i="47"/>
  <c r="L13" i="47"/>
  <c r="L14" i="47"/>
  <c r="L15" i="47"/>
  <c r="L16" i="47"/>
  <c r="L17" i="47"/>
  <c r="L18" i="47"/>
  <c r="L19" i="47"/>
  <c r="L20" i="47"/>
  <c r="L21" i="47"/>
  <c r="L22" i="47"/>
  <c r="L23" i="47"/>
  <c r="L24" i="47"/>
  <c r="L25" i="47"/>
  <c r="L26" i="47"/>
  <c r="L27" i="47"/>
  <c r="L28" i="47"/>
  <c r="L29" i="47"/>
  <c r="L30" i="47"/>
  <c r="L31" i="47"/>
  <c r="L32" i="47"/>
  <c r="L33" i="47"/>
  <c r="L34" i="47"/>
  <c r="L35" i="47"/>
  <c r="L36" i="47"/>
  <c r="L37" i="47"/>
  <c r="K7" i="47"/>
  <c r="K8" i="47"/>
  <c r="K9" i="47"/>
  <c r="K10" i="47"/>
  <c r="K11" i="47"/>
  <c r="K12" i="47"/>
  <c r="K13" i="47"/>
  <c r="K14" i="47"/>
  <c r="K15" i="47"/>
  <c r="K16" i="47"/>
  <c r="K17" i="47"/>
  <c r="K18" i="47"/>
  <c r="K19" i="47"/>
  <c r="K20" i="47"/>
  <c r="K21" i="47"/>
  <c r="K22" i="47"/>
  <c r="K23" i="47"/>
  <c r="K24" i="47"/>
  <c r="K25" i="47"/>
  <c r="K26" i="47"/>
  <c r="K27" i="47"/>
  <c r="K28" i="47"/>
  <c r="K29" i="47"/>
  <c r="K30" i="47"/>
  <c r="K31" i="47"/>
  <c r="K32" i="47"/>
  <c r="K33" i="47"/>
  <c r="K34" i="47"/>
  <c r="K35" i="47"/>
  <c r="K36" i="47"/>
  <c r="K37" i="47"/>
  <c r="K38" i="47"/>
  <c r="K39" i="47"/>
  <c r="K40" i="47"/>
  <c r="K41" i="47"/>
  <c r="K42" i="47"/>
  <c r="K43" i="47"/>
  <c r="K44" i="47"/>
  <c r="K45" i="47"/>
  <c r="K46" i="47"/>
  <c r="K47" i="47"/>
  <c r="K48" i="47"/>
  <c r="K49" i="47"/>
  <c r="K50" i="47"/>
  <c r="K51" i="47"/>
  <c r="K52" i="47"/>
  <c r="K53" i="47"/>
  <c r="K54" i="47"/>
  <c r="K55" i="47"/>
  <c r="K56" i="47"/>
  <c r="K57" i="47"/>
  <c r="K58" i="47"/>
  <c r="K6" i="47"/>
  <c r="L6" i="47" l="1"/>
  <c r="L52" i="47"/>
  <c r="L51" i="47"/>
  <c r="X60" i="47"/>
  <c r="L43" i="47"/>
  <c r="L55" i="47"/>
  <c r="M44" i="47"/>
  <c r="M49" i="47"/>
  <c r="L39" i="47"/>
  <c r="M48" i="47"/>
  <c r="L47" i="47"/>
  <c r="M53" i="47"/>
  <c r="M57" i="47"/>
  <c r="M41" i="47"/>
  <c r="L56" i="47"/>
  <c r="L40" i="47"/>
  <c r="M45" i="47"/>
  <c r="V60" i="47"/>
  <c r="L58" i="47"/>
  <c r="L54" i="47"/>
  <c r="L50" i="47"/>
  <c r="L46" i="47"/>
  <c r="L42" i="47"/>
  <c r="M38" i="47"/>
  <c r="J59" i="47" l="1"/>
  <c r="J58" i="47"/>
  <c r="AM57" i="47"/>
  <c r="J57" i="47"/>
  <c r="J56" i="47"/>
  <c r="J55" i="47"/>
  <c r="J54" i="47"/>
  <c r="AM53" i="47"/>
  <c r="J53" i="47"/>
  <c r="J52" i="47"/>
  <c r="J51" i="47"/>
  <c r="J50" i="47"/>
  <c r="AM49" i="47"/>
  <c r="J49" i="47"/>
  <c r="J48" i="47"/>
  <c r="J47" i="47"/>
  <c r="J46" i="47"/>
  <c r="AM45" i="47"/>
  <c r="J45" i="47"/>
  <c r="J44" i="47"/>
  <c r="J43" i="47"/>
  <c r="J42" i="47"/>
  <c r="J41" i="47"/>
  <c r="J40" i="47"/>
  <c r="J39" i="47"/>
  <c r="J38" i="47"/>
  <c r="J37" i="47"/>
  <c r="J36" i="47"/>
  <c r="J35" i="47"/>
  <c r="J34" i="47"/>
  <c r="J33" i="47"/>
  <c r="J32" i="47"/>
  <c r="AM31" i="47"/>
  <c r="J31" i="47"/>
  <c r="J30" i="47"/>
  <c r="J29" i="47"/>
  <c r="J28" i="47"/>
  <c r="J27" i="47"/>
  <c r="J26" i="47"/>
  <c r="J25" i="47"/>
  <c r="J24" i="47"/>
  <c r="J23" i="47"/>
  <c r="J22" i="47"/>
  <c r="J21" i="47"/>
  <c r="J20" i="47"/>
  <c r="J19" i="47"/>
  <c r="J18" i="47"/>
  <c r="AM17" i="47"/>
  <c r="J17" i="47"/>
  <c r="J16" i="47"/>
  <c r="J15" i="47"/>
  <c r="J14" i="47"/>
  <c r="J13" i="47"/>
  <c r="AM12" i="47"/>
  <c r="J12" i="47"/>
  <c r="J11" i="47"/>
  <c r="J10" i="47"/>
  <c r="AM9" i="47"/>
  <c r="J9" i="47"/>
  <c r="AM8" i="47"/>
  <c r="J8" i="47"/>
  <c r="J7" i="47"/>
  <c r="J6" i="47"/>
  <c r="H18" i="48"/>
  <c r="H17" i="48"/>
  <c r="H16" i="48"/>
  <c r="Q9" i="48"/>
  <c r="P9" i="48"/>
  <c r="J9" i="48"/>
  <c r="F9" i="48"/>
  <c r="C9" i="48"/>
  <c r="O8" i="48"/>
  <c r="J8" i="48"/>
  <c r="E8" i="48"/>
  <c r="G8" i="48" s="1"/>
  <c r="H8" i="48" s="1"/>
  <c r="I8" i="48" s="1"/>
  <c r="N8" i="48" s="1"/>
  <c r="O7" i="48"/>
  <c r="J7" i="48"/>
  <c r="K7" i="48" s="1"/>
  <c r="E7" i="48"/>
  <c r="G7" i="48" s="1"/>
  <c r="H7" i="48" s="1"/>
  <c r="I7" i="48" s="1"/>
  <c r="N7" i="48" s="1"/>
  <c r="O6" i="48"/>
  <c r="O9" i="48" s="1"/>
  <c r="J6" i="48"/>
  <c r="E6" i="48"/>
  <c r="E9" i="48" s="1"/>
  <c r="AM13" i="47" l="1"/>
  <c r="AM52" i="47"/>
  <c r="AM55" i="47"/>
  <c r="AM41" i="47"/>
  <c r="AM24" i="47"/>
  <c r="AM37" i="47"/>
  <c r="AM16" i="47"/>
  <c r="AM28" i="47"/>
  <c r="AM33" i="47"/>
  <c r="AM56" i="47"/>
  <c r="AM27" i="47"/>
  <c r="AM36" i="47"/>
  <c r="AM40" i="47"/>
  <c r="AM44" i="47"/>
  <c r="AM48" i="47"/>
  <c r="AM11" i="47"/>
  <c r="AM20" i="47"/>
  <c r="AM29" i="47"/>
  <c r="AM32" i="47"/>
  <c r="AM10" i="47"/>
  <c r="AM22" i="47"/>
  <c r="AM18" i="47"/>
  <c r="AM14" i="47"/>
  <c r="AM21" i="47"/>
  <c r="AM43" i="47"/>
  <c r="AM47" i="47"/>
  <c r="AM51" i="47"/>
  <c r="AM42" i="47"/>
  <c r="AM46" i="47"/>
  <c r="AM50" i="47"/>
  <c r="AM54" i="47"/>
  <c r="K8" i="48"/>
  <c r="G6" i="48"/>
  <c r="AM58" i="47" l="1"/>
  <c r="AM26" i="47"/>
  <c r="AM34" i="47"/>
  <c r="AM25" i="47"/>
  <c r="AM35" i="47"/>
  <c r="AM19" i="47"/>
  <c r="AM23" i="47"/>
  <c r="AM38" i="47"/>
  <c r="AM15" i="47"/>
  <c r="AM30" i="47"/>
  <c r="AM6" i="47"/>
  <c r="AM39" i="47"/>
  <c r="AM7" i="47"/>
  <c r="G9" i="48"/>
  <c r="H6" i="48"/>
  <c r="H9" i="48" l="1"/>
  <c r="I6" i="48"/>
  <c r="I9" i="48" l="1"/>
  <c r="N6" i="48"/>
  <c r="N9" i="48" s="1"/>
  <c r="K6" i="48"/>
  <c r="K9" i="48" s="1"/>
  <c r="AB11" i="49" l="1"/>
  <c r="L10" i="49"/>
  <c r="AM221" i="1"/>
  <c r="AN221" i="1"/>
  <c r="G30" i="27"/>
  <c r="H30" i="27"/>
  <c r="AC40" i="49"/>
  <c r="AB38" i="49"/>
  <c r="AC37" i="49"/>
  <c r="AB37" i="49"/>
  <c r="S28" i="49"/>
  <c r="K27" i="49"/>
  <c r="BH11" i="49"/>
  <c r="BD11" i="49"/>
  <c r="BC11" i="49"/>
  <c r="BB11" i="49"/>
  <c r="BA11" i="49"/>
  <c r="AY11" i="49"/>
  <c r="AX11" i="49"/>
  <c r="AW11" i="49"/>
  <c r="AM11" i="49"/>
  <c r="AK11" i="49"/>
  <c r="AJ11" i="49"/>
  <c r="AI11" i="49"/>
  <c r="AH11" i="49"/>
  <c r="AG11" i="49"/>
  <c r="AD11" i="49"/>
  <c r="AC11" i="49"/>
  <c r="Z11" i="49"/>
  <c r="Y11" i="49"/>
  <c r="X11" i="49"/>
  <c r="U11" i="49"/>
  <c r="S11" i="49"/>
  <c r="AO11" i="49"/>
  <c r="AZ10" i="49"/>
  <c r="AU10" i="49"/>
  <c r="AU11" i="49" s="1"/>
  <c r="AT10" i="49"/>
  <c r="AT11" i="49" s="1"/>
  <c r="AS10" i="49"/>
  <c r="AS11" i="49" s="1"/>
  <c r="AR10" i="49"/>
  <c r="AP10" i="49"/>
  <c r="AQ10" i="49" s="1"/>
  <c r="AO10" i="49"/>
  <c r="O10" i="49"/>
  <c r="M10" i="49"/>
  <c r="AZ11" i="49"/>
  <c r="AA11" i="49"/>
  <c r="W11" i="49"/>
  <c r="L11" i="49"/>
  <c r="AY5" i="49"/>
  <c r="AV10" i="49" l="1"/>
  <c r="AQ11" i="49"/>
  <c r="O11" i="49"/>
  <c r="N11" i="49"/>
  <c r="V11" i="49"/>
  <c r="AP11" i="49"/>
  <c r="M11" i="49"/>
  <c r="AR11" i="49"/>
  <c r="W283" i="1"/>
  <c r="AV11" i="49" l="1"/>
  <c r="AP12" i="29"/>
  <c r="AP13" i="29"/>
  <c r="AP14" i="29"/>
  <c r="AO12" i="29"/>
  <c r="AO13" i="29"/>
  <c r="AO14" i="29"/>
  <c r="AN12" i="29"/>
  <c r="AN13" i="29"/>
  <c r="AN14" i="29"/>
  <c r="AM12" i="29"/>
  <c r="AM13" i="29"/>
  <c r="AM14" i="29"/>
  <c r="AK12" i="29"/>
  <c r="AK13" i="29"/>
  <c r="AK14" i="29"/>
  <c r="AJ12" i="29"/>
  <c r="AJ13" i="29"/>
  <c r="AJ14" i="29"/>
  <c r="AP11" i="29"/>
  <c r="AO11" i="29"/>
  <c r="AN11" i="29"/>
  <c r="AM11" i="29"/>
  <c r="AJ11" i="29"/>
  <c r="AU11" i="26"/>
  <c r="AU12" i="26"/>
  <c r="AU13" i="26"/>
  <c r="AU14" i="26"/>
  <c r="AU15" i="26"/>
  <c r="AU16" i="26"/>
  <c r="AU17" i="26"/>
  <c r="AU18" i="26"/>
  <c r="AU19" i="26"/>
  <c r="AU20" i="26"/>
  <c r="AU21" i="26"/>
  <c r="AU22" i="26"/>
  <c r="AU23" i="26"/>
  <c r="AU24" i="26"/>
  <c r="AU25" i="26"/>
  <c r="AU26" i="26"/>
  <c r="AU27" i="26"/>
  <c r="AU28" i="26"/>
  <c r="AU29" i="26"/>
  <c r="AT11" i="26"/>
  <c r="AT12" i="26"/>
  <c r="AT13" i="26"/>
  <c r="AT14" i="26"/>
  <c r="AT15" i="26"/>
  <c r="AT16" i="26"/>
  <c r="AT17" i="26"/>
  <c r="AT18" i="26"/>
  <c r="AT19" i="26"/>
  <c r="AT20" i="26"/>
  <c r="AT21" i="26"/>
  <c r="AT22" i="26"/>
  <c r="AT23" i="26"/>
  <c r="AT24" i="26"/>
  <c r="AT25" i="26"/>
  <c r="AT26" i="26"/>
  <c r="AT27" i="26"/>
  <c r="AT28" i="26"/>
  <c r="AT29" i="26"/>
  <c r="AU10" i="26"/>
  <c r="AT10" i="26"/>
  <c r="AS11" i="26"/>
  <c r="AS12" i="26"/>
  <c r="AS13" i="26"/>
  <c r="AS14" i="26"/>
  <c r="AS15" i="26"/>
  <c r="AS16" i="26"/>
  <c r="AS17" i="26"/>
  <c r="AS18" i="26"/>
  <c r="AS19" i="26"/>
  <c r="AS20" i="26"/>
  <c r="AS21" i="26"/>
  <c r="AS22" i="26"/>
  <c r="AS23" i="26"/>
  <c r="AS24" i="26"/>
  <c r="AS25" i="26"/>
  <c r="AS26" i="26"/>
  <c r="AS27" i="26"/>
  <c r="AS28" i="26"/>
  <c r="AS29" i="26"/>
  <c r="AR11" i="26"/>
  <c r="AR12" i="26"/>
  <c r="AR13" i="26"/>
  <c r="AR14" i="26"/>
  <c r="AR15" i="26"/>
  <c r="AR16" i="26"/>
  <c r="AR17" i="26"/>
  <c r="AR18" i="26"/>
  <c r="AR19" i="26"/>
  <c r="AR20" i="26"/>
  <c r="AR21" i="26"/>
  <c r="AR22" i="26"/>
  <c r="AR23" i="26"/>
  <c r="AR24" i="26"/>
  <c r="AR25" i="26"/>
  <c r="AR26" i="26"/>
  <c r="AR27" i="26"/>
  <c r="AR28" i="26"/>
  <c r="AR29" i="26"/>
  <c r="AS10" i="26"/>
  <c r="AR10" i="26"/>
  <c r="AP11" i="26"/>
  <c r="AP12" i="26"/>
  <c r="AP13" i="26"/>
  <c r="AP14" i="26"/>
  <c r="AP15" i="26"/>
  <c r="AP16" i="26"/>
  <c r="AP17" i="26"/>
  <c r="AP18" i="26"/>
  <c r="AP19" i="26"/>
  <c r="AP20" i="26"/>
  <c r="AP21" i="26"/>
  <c r="AP22" i="26"/>
  <c r="AP23" i="26"/>
  <c r="AP24" i="26"/>
  <c r="AP25" i="26"/>
  <c r="AP26" i="26"/>
  <c r="AP27" i="26"/>
  <c r="AP28" i="26"/>
  <c r="AP29" i="26"/>
  <c r="AP10" i="26"/>
  <c r="AO11" i="26"/>
  <c r="AO12" i="26"/>
  <c r="AO13" i="26"/>
  <c r="AO14" i="26"/>
  <c r="AO15" i="26"/>
  <c r="AO16" i="26"/>
  <c r="AO17" i="26"/>
  <c r="AO18" i="26"/>
  <c r="AO19" i="26"/>
  <c r="AO20" i="26"/>
  <c r="AO21" i="26"/>
  <c r="AO22" i="26"/>
  <c r="AO23" i="26"/>
  <c r="AO24" i="26"/>
  <c r="AO25" i="26"/>
  <c r="AO26" i="26"/>
  <c r="AO27" i="26"/>
  <c r="AO28" i="26"/>
  <c r="AO29" i="26"/>
  <c r="AO10" i="26"/>
  <c r="AR11" i="24"/>
  <c r="AR12" i="24"/>
  <c r="AR13" i="24"/>
  <c r="AR14" i="24"/>
  <c r="AR15" i="24"/>
  <c r="AR16" i="24"/>
  <c r="AR17" i="24"/>
  <c r="AR18" i="24"/>
  <c r="AR19" i="24"/>
  <c r="AR20" i="24"/>
  <c r="AR21" i="24"/>
  <c r="AR22" i="24"/>
  <c r="AR23" i="24"/>
  <c r="AR24" i="24"/>
  <c r="AR25" i="24"/>
  <c r="AR26" i="24"/>
  <c r="AR27" i="24"/>
  <c r="AR28" i="24"/>
  <c r="AR29" i="24"/>
  <c r="AR30" i="24"/>
  <c r="AR31" i="24"/>
  <c r="AR32" i="24"/>
  <c r="AR33" i="24"/>
  <c r="AR34" i="24"/>
  <c r="AR35" i="24"/>
  <c r="AR36" i="24"/>
  <c r="AR37" i="24"/>
  <c r="AR38" i="24"/>
  <c r="AQ11" i="24"/>
  <c r="AQ12" i="24"/>
  <c r="AQ13" i="24"/>
  <c r="AQ14" i="24"/>
  <c r="AQ15" i="24"/>
  <c r="AQ16" i="24"/>
  <c r="AQ17" i="24"/>
  <c r="AQ18" i="24"/>
  <c r="AQ19" i="24"/>
  <c r="AQ20" i="24"/>
  <c r="AQ21" i="24"/>
  <c r="AQ22" i="24"/>
  <c r="AQ23" i="24"/>
  <c r="AQ24" i="24"/>
  <c r="AQ25" i="24"/>
  <c r="AQ26" i="24"/>
  <c r="AQ27" i="24"/>
  <c r="AQ28" i="24"/>
  <c r="AQ29" i="24"/>
  <c r="AQ30" i="24"/>
  <c r="AQ31" i="24"/>
  <c r="AQ32" i="24"/>
  <c r="AQ33" i="24"/>
  <c r="AQ34" i="24"/>
  <c r="AQ35" i="24"/>
  <c r="AQ36" i="24"/>
  <c r="AQ37" i="24"/>
  <c r="AQ38" i="24"/>
  <c r="AP11" i="24"/>
  <c r="AP12" i="24"/>
  <c r="AP13" i="24"/>
  <c r="AP14" i="24"/>
  <c r="AP15" i="24"/>
  <c r="AP16" i="24"/>
  <c r="AP17" i="24"/>
  <c r="AP18" i="24"/>
  <c r="AP19" i="24"/>
  <c r="AP20" i="24"/>
  <c r="AP21" i="24"/>
  <c r="AP22" i="24"/>
  <c r="AP23" i="24"/>
  <c r="AP24" i="24"/>
  <c r="AP25" i="24"/>
  <c r="AP26" i="24"/>
  <c r="AP27" i="24"/>
  <c r="AP28" i="24"/>
  <c r="AP29" i="24"/>
  <c r="AP30" i="24"/>
  <c r="AP31" i="24"/>
  <c r="AP32" i="24"/>
  <c r="AP33" i="24"/>
  <c r="AP34" i="24"/>
  <c r="AP35" i="24"/>
  <c r="AP36" i="24"/>
  <c r="AP37" i="24"/>
  <c r="AP38" i="24"/>
  <c r="AO16" i="24"/>
  <c r="AO11" i="24"/>
  <c r="AO12" i="24"/>
  <c r="AO13" i="24"/>
  <c r="AO14" i="24"/>
  <c r="AO15" i="24"/>
  <c r="AO17" i="24"/>
  <c r="AO18" i="24"/>
  <c r="AO19" i="24"/>
  <c r="AO20" i="24"/>
  <c r="AO21" i="24"/>
  <c r="AO22" i="24"/>
  <c r="AO23" i="24"/>
  <c r="AO24" i="24"/>
  <c r="AO25" i="24"/>
  <c r="AO26" i="24"/>
  <c r="AO27" i="24"/>
  <c r="AO28" i="24"/>
  <c r="AO29" i="24"/>
  <c r="AO30" i="24"/>
  <c r="AO31" i="24"/>
  <c r="AO32" i="24"/>
  <c r="AO33" i="24"/>
  <c r="AO34" i="24"/>
  <c r="AO35" i="24"/>
  <c r="AO36" i="24"/>
  <c r="AO37" i="24"/>
  <c r="AO38" i="24"/>
  <c r="AM11" i="24"/>
  <c r="AM12" i="24"/>
  <c r="AM13" i="24"/>
  <c r="AM14" i="24"/>
  <c r="AM15" i="24"/>
  <c r="AM16" i="24"/>
  <c r="AM17" i="24"/>
  <c r="AM18" i="24"/>
  <c r="AM19" i="24"/>
  <c r="AM20" i="24"/>
  <c r="AM21" i="24"/>
  <c r="AM22" i="24"/>
  <c r="AM23" i="24"/>
  <c r="AM24" i="24"/>
  <c r="AM25" i="24"/>
  <c r="AM26" i="24"/>
  <c r="AM27" i="24"/>
  <c r="AM28" i="24"/>
  <c r="AM29" i="24"/>
  <c r="AM30" i="24"/>
  <c r="AM31" i="24"/>
  <c r="AM32" i="24"/>
  <c r="AM33" i="24"/>
  <c r="AM34" i="24"/>
  <c r="AM35" i="24"/>
  <c r="AM36" i="24"/>
  <c r="AM37" i="24"/>
  <c r="AM38" i="24"/>
  <c r="AL11" i="24"/>
  <c r="AL12" i="24"/>
  <c r="AL13" i="24"/>
  <c r="AL14" i="24"/>
  <c r="AL15" i="24"/>
  <c r="AL16" i="24"/>
  <c r="AL17" i="24"/>
  <c r="AL18" i="24"/>
  <c r="AL19" i="24"/>
  <c r="AL20" i="24"/>
  <c r="AL21" i="24"/>
  <c r="AL22" i="24"/>
  <c r="AL23" i="24"/>
  <c r="AL24" i="24"/>
  <c r="AL25" i="24"/>
  <c r="AL26" i="24"/>
  <c r="AL27" i="24"/>
  <c r="AL28" i="24"/>
  <c r="AL29" i="24"/>
  <c r="AL30" i="24"/>
  <c r="AL31" i="24"/>
  <c r="AL32" i="24"/>
  <c r="AL33" i="24"/>
  <c r="AL34" i="24"/>
  <c r="AL35" i="24"/>
  <c r="AL36" i="24"/>
  <c r="AL37" i="24"/>
  <c r="AL38" i="24"/>
  <c r="AR10" i="24"/>
  <c r="AQ10" i="24"/>
  <c r="AP10" i="24"/>
  <c r="AO10" i="24"/>
  <c r="AM10" i="24"/>
  <c r="AL10" i="24"/>
  <c r="T11" i="49" l="1"/>
  <c r="D226" i="1"/>
  <c r="E226" i="1"/>
  <c r="F226" i="1"/>
  <c r="G226" i="1"/>
  <c r="H226" i="1"/>
  <c r="I226" i="1"/>
  <c r="J226" i="1"/>
  <c r="K226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Y226" i="1"/>
  <c r="Z226" i="1"/>
  <c r="AA226" i="1"/>
  <c r="AB226" i="1"/>
  <c r="AC226" i="1"/>
  <c r="AD226" i="1"/>
  <c r="AE226" i="1"/>
  <c r="AF226" i="1"/>
  <c r="AG226" i="1"/>
  <c r="D225" i="1"/>
  <c r="E225" i="1"/>
  <c r="F225" i="1"/>
  <c r="G225" i="1"/>
  <c r="H225" i="1"/>
  <c r="I225" i="1"/>
  <c r="J225" i="1"/>
  <c r="K225" i="1"/>
  <c r="L225" i="1"/>
  <c r="M225" i="1"/>
  <c r="N225" i="1"/>
  <c r="O225" i="1"/>
  <c r="P225" i="1"/>
  <c r="Q225" i="1"/>
  <c r="R225" i="1"/>
  <c r="S225" i="1"/>
  <c r="T225" i="1"/>
  <c r="U225" i="1"/>
  <c r="V225" i="1"/>
  <c r="W225" i="1"/>
  <c r="X225" i="1"/>
  <c r="Y225" i="1"/>
  <c r="Z225" i="1"/>
  <c r="AA225" i="1"/>
  <c r="AB225" i="1"/>
  <c r="AC225" i="1"/>
  <c r="AD225" i="1"/>
  <c r="AE225" i="1"/>
  <c r="AF225" i="1"/>
  <c r="AG225" i="1"/>
  <c r="D224" i="1"/>
  <c r="E224" i="1"/>
  <c r="F224" i="1"/>
  <c r="G224" i="1"/>
  <c r="H224" i="1"/>
  <c r="I224" i="1"/>
  <c r="J224" i="1"/>
  <c r="K224" i="1"/>
  <c r="L224" i="1"/>
  <c r="M224" i="1"/>
  <c r="N224" i="1"/>
  <c r="O224" i="1"/>
  <c r="P224" i="1"/>
  <c r="Q224" i="1"/>
  <c r="R224" i="1"/>
  <c r="S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D223" i="1"/>
  <c r="E223" i="1"/>
  <c r="F223" i="1"/>
  <c r="G223" i="1"/>
  <c r="H223" i="1"/>
  <c r="I223" i="1"/>
  <c r="J223" i="1"/>
  <c r="K223" i="1"/>
  <c r="L223" i="1"/>
  <c r="M223" i="1"/>
  <c r="N223" i="1"/>
  <c r="O223" i="1"/>
  <c r="P223" i="1"/>
  <c r="Q223" i="1"/>
  <c r="R223" i="1"/>
  <c r="S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D229" i="1"/>
  <c r="E229" i="1"/>
  <c r="F229" i="1"/>
  <c r="G229" i="1"/>
  <c r="H229" i="1"/>
  <c r="I229" i="1"/>
  <c r="J229" i="1"/>
  <c r="K229" i="1"/>
  <c r="L229" i="1"/>
  <c r="M229" i="1"/>
  <c r="N229" i="1"/>
  <c r="O229" i="1"/>
  <c r="P229" i="1"/>
  <c r="Q229" i="1"/>
  <c r="R229" i="1"/>
  <c r="S229" i="1"/>
  <c r="T229" i="1"/>
  <c r="U229" i="1"/>
  <c r="V229" i="1"/>
  <c r="W229" i="1"/>
  <c r="X229" i="1"/>
  <c r="Y229" i="1"/>
  <c r="Z229" i="1"/>
  <c r="AA229" i="1"/>
  <c r="AB229" i="1"/>
  <c r="AC229" i="1"/>
  <c r="AD229" i="1"/>
  <c r="AE229" i="1"/>
  <c r="AF229" i="1"/>
  <c r="AG229" i="1"/>
  <c r="D228" i="1"/>
  <c r="E228" i="1"/>
  <c r="F228" i="1"/>
  <c r="G228" i="1"/>
  <c r="H228" i="1"/>
  <c r="I228" i="1"/>
  <c r="J228" i="1"/>
  <c r="K228" i="1"/>
  <c r="L228" i="1"/>
  <c r="M228" i="1"/>
  <c r="N228" i="1"/>
  <c r="O228" i="1"/>
  <c r="P228" i="1"/>
  <c r="Q228" i="1"/>
  <c r="R228" i="1"/>
  <c r="S228" i="1"/>
  <c r="T228" i="1"/>
  <c r="U228" i="1"/>
  <c r="V228" i="1"/>
  <c r="W228" i="1"/>
  <c r="X228" i="1"/>
  <c r="X233" i="1" s="1"/>
  <c r="Y228" i="1"/>
  <c r="Z228" i="1"/>
  <c r="AA228" i="1"/>
  <c r="AB228" i="1"/>
  <c r="AC228" i="1"/>
  <c r="AD228" i="1"/>
  <c r="AE228" i="1"/>
  <c r="AF228" i="1"/>
  <c r="AG228" i="1"/>
  <c r="C229" i="1"/>
  <c r="C228" i="1"/>
  <c r="C224" i="1"/>
  <c r="C225" i="1"/>
  <c r="C226" i="1"/>
  <c r="C223" i="1"/>
  <c r="E221" i="1"/>
  <c r="F221" i="1"/>
  <c r="G221" i="1"/>
  <c r="H221" i="1"/>
  <c r="I221" i="1"/>
  <c r="J221" i="1"/>
  <c r="K221" i="1"/>
  <c r="L221" i="1"/>
  <c r="M221" i="1"/>
  <c r="N221" i="1"/>
  <c r="O221" i="1"/>
  <c r="P221" i="1"/>
  <c r="Q221" i="1"/>
  <c r="R221" i="1"/>
  <c r="S221" i="1"/>
  <c r="T221" i="1"/>
  <c r="U221" i="1"/>
  <c r="V221" i="1"/>
  <c r="W221" i="1"/>
  <c r="X221" i="1"/>
  <c r="Y221" i="1"/>
  <c r="Z221" i="1"/>
  <c r="AA221" i="1"/>
  <c r="AB221" i="1"/>
  <c r="AC221" i="1"/>
  <c r="AD221" i="1"/>
  <c r="AE221" i="1"/>
  <c r="AF221" i="1"/>
  <c r="AG221" i="1"/>
  <c r="C221" i="1"/>
  <c r="D221" i="1"/>
  <c r="AH220" i="1"/>
  <c r="P29" i="27" s="1"/>
  <c r="AL10" i="49" s="1"/>
  <c r="AL11" i="49" s="1"/>
  <c r="AH219" i="1"/>
  <c r="AJ219" i="1" s="1"/>
  <c r="O29" i="27" s="1"/>
  <c r="AF10" i="49" s="1"/>
  <c r="AH217" i="1"/>
  <c r="AJ217" i="1" s="1"/>
  <c r="AH216" i="1"/>
  <c r="AJ216" i="1" s="1"/>
  <c r="AH215" i="1"/>
  <c r="AJ215" i="1" s="1"/>
  <c r="AH214" i="1"/>
  <c r="AR211" i="1"/>
  <c r="L29" i="27" s="1"/>
  <c r="AQ211" i="1"/>
  <c r="K29" i="27" s="1"/>
  <c r="AO211" i="1"/>
  <c r="I29" i="27" s="1"/>
  <c r="AL211" i="1"/>
  <c r="F29" i="27" s="1"/>
  <c r="J10" i="49" s="1"/>
  <c r="AK211" i="1"/>
  <c r="E29" i="27" s="1"/>
  <c r="H10" i="49" s="1"/>
  <c r="AH211" i="1"/>
  <c r="D29" i="27" s="1"/>
  <c r="E10" i="49" s="1"/>
  <c r="L236" i="1"/>
  <c r="AF11" i="49" l="1"/>
  <c r="U59" i="47"/>
  <c r="K10" i="49"/>
  <c r="K11" i="49" s="1"/>
  <c r="J11" i="49"/>
  <c r="G10" i="49"/>
  <c r="G11" i="49" s="1"/>
  <c r="E11" i="49"/>
  <c r="I10" i="49"/>
  <c r="I11" i="49" s="1"/>
  <c r="H11" i="49"/>
  <c r="AJ218" i="1"/>
  <c r="N29" i="27" s="1"/>
  <c r="AE10" i="49" s="1"/>
  <c r="AP211" i="1"/>
  <c r="AE11" i="49" l="1"/>
  <c r="BM11" i="49"/>
  <c r="J29" i="27"/>
  <c r="N13" i="24" l="1"/>
  <c r="P13" i="24"/>
  <c r="R39" i="24" l="1"/>
  <c r="W39" i="24"/>
  <c r="Y39" i="24"/>
  <c r="AB39" i="24"/>
  <c r="AC39" i="24"/>
  <c r="AD39" i="24"/>
  <c r="AE39" i="24"/>
  <c r="AG39" i="24"/>
  <c r="AH39" i="24"/>
  <c r="AI39" i="24"/>
  <c r="AJ39" i="24"/>
  <c r="AT39" i="24"/>
  <c r="AS38" i="24"/>
  <c r="AN38" i="24"/>
  <c r="P38" i="24"/>
  <c r="Q38" i="24" s="1"/>
  <c r="N38" i="24"/>
  <c r="O38" i="24" s="1"/>
  <c r="AH36" i="6" l="1"/>
  <c r="AI36" i="6"/>
  <c r="H38" i="24" s="1"/>
  <c r="I38" i="24" s="1"/>
  <c r="AJ36" i="6"/>
  <c r="J38" i="24" s="1"/>
  <c r="K38" i="24" s="1"/>
  <c r="AK36" i="6"/>
  <c r="L38" i="24" s="1"/>
  <c r="M38" i="24" s="1"/>
  <c r="AQ36" i="6"/>
  <c r="BA38" i="24" s="1"/>
  <c r="AR36" i="6"/>
  <c r="BB38" i="24" s="1"/>
  <c r="E38" i="24" l="1"/>
  <c r="AO36" i="6"/>
  <c r="AN36" i="6"/>
  <c r="AP36" i="6" l="1"/>
  <c r="Z38" i="24"/>
  <c r="G38" i="24"/>
  <c r="V38" i="24"/>
  <c r="X38" i="24" s="1"/>
  <c r="AH55" i="6"/>
  <c r="BI38" i="24" l="1"/>
  <c r="O34" i="47"/>
  <c r="AI34" i="47" s="1"/>
  <c r="AK38" i="24"/>
  <c r="AL34" i="47" s="1"/>
  <c r="AN34" i="47" s="1"/>
  <c r="AJ34" i="47" l="1"/>
  <c r="AK34" i="47" s="1"/>
  <c r="AU38" i="24" s="1"/>
  <c r="AZ38" i="24" s="1"/>
  <c r="D38" i="33" s="1"/>
  <c r="Z8" i="17"/>
  <c r="D34" i="30" l="1"/>
  <c r="AH224" i="1" l="1"/>
  <c r="G11" i="29" l="1"/>
  <c r="L22" i="26" l="1"/>
  <c r="L23" i="26"/>
  <c r="L24" i="26"/>
  <c r="L25" i="26"/>
  <c r="L26" i="26"/>
  <c r="L27" i="26"/>
  <c r="L28" i="26"/>
  <c r="L15" i="26"/>
  <c r="L16" i="26"/>
  <c r="L17" i="26"/>
  <c r="L18" i="26"/>
  <c r="L19" i="26"/>
  <c r="L20" i="26"/>
  <c r="L21" i="26"/>
  <c r="N12" i="26" l="1"/>
  <c r="N13" i="26"/>
  <c r="N14" i="26"/>
  <c r="N15" i="26"/>
  <c r="N16" i="26"/>
  <c r="N17" i="26"/>
  <c r="N18" i="26"/>
  <c r="N19" i="26"/>
  <c r="N20" i="26"/>
  <c r="N21" i="26"/>
  <c r="N22" i="26"/>
  <c r="N23" i="26"/>
  <c r="N24" i="26"/>
  <c r="N25" i="26"/>
  <c r="N26" i="26"/>
  <c r="N27" i="26"/>
  <c r="N28" i="26"/>
  <c r="N29" i="26"/>
  <c r="L11" i="26"/>
  <c r="L12" i="26"/>
  <c r="L13" i="26"/>
  <c r="L14" i="26"/>
  <c r="L29" i="26"/>
  <c r="M29" i="26" s="1"/>
  <c r="AV29" i="26"/>
  <c r="AQ29" i="26"/>
  <c r="S30" i="26"/>
  <c r="U30" i="26"/>
  <c r="X30" i="26"/>
  <c r="Y30" i="26"/>
  <c r="Z30" i="26"/>
  <c r="AB30" i="26"/>
  <c r="AC30" i="26"/>
  <c r="AG30" i="26"/>
  <c r="AH30" i="26"/>
  <c r="AI30" i="26"/>
  <c r="AM30" i="26"/>
  <c r="AW30" i="26"/>
  <c r="BI30" i="26"/>
  <c r="M59" i="47" l="1"/>
  <c r="M60" i="47" s="1"/>
  <c r="L59" i="47"/>
  <c r="S60" i="47"/>
  <c r="O29" i="26"/>
  <c r="L60" i="47" l="1"/>
  <c r="AM59" i="47"/>
  <c r="AI59" i="47"/>
  <c r="AH226" i="1"/>
  <c r="AH225" i="1"/>
  <c r="AH206" i="1"/>
  <c r="AH205" i="1"/>
  <c r="AH204" i="1"/>
  <c r="AH195" i="1"/>
  <c r="AH194" i="1"/>
  <c r="AH193" i="1"/>
  <c r="AH184" i="1"/>
  <c r="AH183" i="1"/>
  <c r="AH182" i="1"/>
  <c r="AH173" i="1"/>
  <c r="AH172" i="1"/>
  <c r="AH171" i="1"/>
  <c r="AH162" i="1"/>
  <c r="AH161" i="1"/>
  <c r="AH160" i="1"/>
  <c r="AH151" i="1"/>
  <c r="AH150" i="1"/>
  <c r="AH149" i="1"/>
  <c r="AH140" i="1"/>
  <c r="AH139" i="1"/>
  <c r="AH138" i="1"/>
  <c r="AH129" i="1"/>
  <c r="AH128" i="1"/>
  <c r="AH127" i="1"/>
  <c r="AH118" i="1"/>
  <c r="AH117" i="1"/>
  <c r="AH116" i="1"/>
  <c r="AH107" i="1"/>
  <c r="AH106" i="1"/>
  <c r="AH105" i="1"/>
  <c r="AH96" i="1"/>
  <c r="AH95" i="1"/>
  <c r="AH94" i="1"/>
  <c r="AH85" i="1"/>
  <c r="AH84" i="1"/>
  <c r="AH83" i="1"/>
  <c r="AH74" i="1"/>
  <c r="AH73" i="1"/>
  <c r="AH72" i="1"/>
  <c r="AH63" i="1"/>
  <c r="AH62" i="1"/>
  <c r="AH61" i="1"/>
  <c r="AH52" i="1"/>
  <c r="AH51" i="1"/>
  <c r="AH50" i="1"/>
  <c r="AH41" i="1"/>
  <c r="AH40" i="1"/>
  <c r="AH39" i="1"/>
  <c r="AH30" i="1"/>
  <c r="AH29" i="1"/>
  <c r="AH28" i="1"/>
  <c r="AJ59" i="47" l="1"/>
  <c r="AK59" i="47" s="1"/>
  <c r="AM60" i="47"/>
  <c r="I63" i="33"/>
  <c r="I64" i="33"/>
  <c r="I65" i="33"/>
  <c r="I66" i="33"/>
  <c r="L63" i="33"/>
  <c r="L64" i="33"/>
  <c r="L65" i="33"/>
  <c r="L66" i="33"/>
  <c r="O63" i="33"/>
  <c r="O64" i="33"/>
  <c r="O65" i="33"/>
  <c r="O66" i="33"/>
  <c r="R63" i="33"/>
  <c r="R64" i="33"/>
  <c r="R65" i="33"/>
  <c r="R66" i="33"/>
  <c r="U63" i="33"/>
  <c r="Y63" i="33" s="1"/>
  <c r="U64" i="33"/>
  <c r="U65" i="33"/>
  <c r="U66" i="33"/>
  <c r="X63" i="33"/>
  <c r="X64" i="33"/>
  <c r="X65" i="33"/>
  <c r="X66" i="33"/>
  <c r="Y64" i="33"/>
  <c r="Y65" i="33" l="1"/>
  <c r="AU34" i="26" l="1"/>
  <c r="AH60" i="6" l="1"/>
  <c r="AJ60" i="6" s="1"/>
  <c r="AH59" i="6"/>
  <c r="AJ59" i="6" s="1"/>
  <c r="AJ61" i="6" l="1"/>
  <c r="P11" i="24" l="1"/>
  <c r="P12" i="24"/>
  <c r="P14" i="24"/>
  <c r="P15" i="24"/>
  <c r="P16" i="24"/>
  <c r="P17" i="24"/>
  <c r="P18" i="24"/>
  <c r="P19" i="24"/>
  <c r="P20" i="24"/>
  <c r="P21" i="24"/>
  <c r="P22" i="24"/>
  <c r="P23" i="24"/>
  <c r="P24" i="24"/>
  <c r="P25" i="24"/>
  <c r="P26" i="24"/>
  <c r="P27" i="24"/>
  <c r="P28" i="24"/>
  <c r="P29" i="24"/>
  <c r="P30" i="24"/>
  <c r="P31" i="24"/>
  <c r="P32" i="24"/>
  <c r="P33" i="24"/>
  <c r="P34" i="24"/>
  <c r="P35" i="24"/>
  <c r="P36" i="24"/>
  <c r="P37" i="24"/>
  <c r="P10" i="24"/>
  <c r="AN36" i="24"/>
  <c r="N11" i="24"/>
  <c r="N12" i="24"/>
  <c r="O12" i="24" s="1"/>
  <c r="O13" i="24"/>
  <c r="N14" i="24"/>
  <c r="N15" i="24"/>
  <c r="O15" i="24" s="1"/>
  <c r="N16" i="24"/>
  <c r="O16" i="24" s="1"/>
  <c r="N17" i="24"/>
  <c r="N18" i="24"/>
  <c r="N19" i="24"/>
  <c r="O19" i="24" s="1"/>
  <c r="N20" i="24"/>
  <c r="N21" i="24"/>
  <c r="O21" i="24" s="1"/>
  <c r="N22" i="24"/>
  <c r="N23" i="24"/>
  <c r="O23" i="24" s="1"/>
  <c r="N24" i="24"/>
  <c r="O24" i="24" s="1"/>
  <c r="N25" i="24"/>
  <c r="O25" i="24" s="1"/>
  <c r="N26" i="24"/>
  <c r="N27" i="24"/>
  <c r="N28" i="24"/>
  <c r="O28" i="24" s="1"/>
  <c r="N29" i="24"/>
  <c r="N30" i="24"/>
  <c r="O30" i="24" s="1"/>
  <c r="N31" i="24"/>
  <c r="N32" i="24"/>
  <c r="O32" i="24" s="1"/>
  <c r="N33" i="24"/>
  <c r="N34" i="24"/>
  <c r="N35" i="24"/>
  <c r="O35" i="24" s="1"/>
  <c r="N36" i="24"/>
  <c r="O36" i="24" s="1"/>
  <c r="N37" i="24"/>
  <c r="O37" i="24" s="1"/>
  <c r="N10" i="24"/>
  <c r="G28" i="27"/>
  <c r="H28" i="27"/>
  <c r="C27" i="27"/>
  <c r="C23" i="17" s="1"/>
  <c r="C26" i="27"/>
  <c r="C22" i="17" s="1"/>
  <c r="C25" i="27"/>
  <c r="C21" i="17" s="1"/>
  <c r="C24" i="27"/>
  <c r="C20" i="17" s="1"/>
  <c r="AQ28" i="26"/>
  <c r="AQ26" i="26"/>
  <c r="O25" i="26"/>
  <c r="O26" i="26"/>
  <c r="O27" i="26"/>
  <c r="O28" i="26"/>
  <c r="M25" i="26"/>
  <c r="M26" i="26"/>
  <c r="M27" i="26"/>
  <c r="M28" i="26"/>
  <c r="BC39" i="24"/>
  <c r="O34" i="24"/>
  <c r="O33" i="24"/>
  <c r="O31" i="24"/>
  <c r="O29" i="24"/>
  <c r="S26" i="24"/>
  <c r="O26" i="24"/>
  <c r="S25" i="24"/>
  <c r="S24" i="24"/>
  <c r="S23" i="24"/>
  <c r="S22" i="24"/>
  <c r="O22" i="24"/>
  <c r="S21" i="24"/>
  <c r="S20" i="24"/>
  <c r="O20" i="24"/>
  <c r="S19" i="24"/>
  <c r="S18" i="24"/>
  <c r="O18" i="24"/>
  <c r="S17" i="24"/>
  <c r="O17" i="24"/>
  <c r="S16" i="24"/>
  <c r="S15" i="24"/>
  <c r="S14" i="24"/>
  <c r="O14" i="24"/>
  <c r="S13" i="24"/>
  <c r="S12" i="24"/>
  <c r="S11" i="24"/>
  <c r="AP39" i="24"/>
  <c r="AO39" i="24"/>
  <c r="S10" i="24"/>
  <c r="AS35" i="24" l="1"/>
  <c r="P39" i="24"/>
  <c r="AQ39" i="24"/>
  <c r="AL39" i="24"/>
  <c r="AM39" i="24"/>
  <c r="AR39" i="24"/>
  <c r="AN21" i="24"/>
  <c r="AN35" i="24"/>
  <c r="AN37" i="24"/>
  <c r="S39" i="24"/>
  <c r="O10" i="24"/>
  <c r="N39" i="24"/>
  <c r="AN32" i="24"/>
  <c r="AS36" i="24"/>
  <c r="AS37" i="24"/>
  <c r="AV27" i="26"/>
  <c r="AV26" i="26"/>
  <c r="AQ27" i="26"/>
  <c r="O11" i="24"/>
  <c r="AN26" i="24"/>
  <c r="AN29" i="24"/>
  <c r="AS31" i="24"/>
  <c r="AN33" i="24"/>
  <c r="AN14" i="24"/>
  <c r="AN18" i="24"/>
  <c r="AS15" i="24"/>
  <c r="AN16" i="24"/>
  <c r="AS18" i="24"/>
  <c r="AS19" i="24"/>
  <c r="AN20" i="24"/>
  <c r="AS17" i="24"/>
  <c r="AN27" i="24"/>
  <c r="AN28" i="24"/>
  <c r="AN30" i="24"/>
  <c r="AN31" i="24"/>
  <c r="AS33" i="24"/>
  <c r="AN34" i="24"/>
  <c r="AN15" i="24"/>
  <c r="AN23" i="24"/>
  <c r="AN17" i="24"/>
  <c r="AN13" i="24"/>
  <c r="AS26" i="24"/>
  <c r="AN12" i="24"/>
  <c r="AS13" i="24"/>
  <c r="AS14" i="24"/>
  <c r="AS20" i="24"/>
  <c r="AS22" i="24"/>
  <c r="AN24" i="24"/>
  <c r="AS32" i="24"/>
  <c r="AS34" i="24"/>
  <c r="AN22" i="24"/>
  <c r="AN11" i="24"/>
  <c r="AS12" i="24"/>
  <c r="AN19" i="24"/>
  <c r="AN25" i="24"/>
  <c r="AS11" i="24"/>
  <c r="AS16" i="24"/>
  <c r="AV28" i="26"/>
  <c r="AQ25" i="26"/>
  <c r="AV25" i="26"/>
  <c r="AS10" i="24"/>
  <c r="AS21" i="24"/>
  <c r="AS24" i="24"/>
  <c r="O27" i="24"/>
  <c r="AS27" i="24"/>
  <c r="AS28" i="24"/>
  <c r="AS29" i="24"/>
  <c r="AS30" i="24"/>
  <c r="AN10" i="24"/>
  <c r="AS25" i="24"/>
  <c r="AS23" i="24"/>
  <c r="AN39" i="24" l="1"/>
  <c r="AS39" i="24"/>
  <c r="O39" i="24"/>
  <c r="AI221" i="1" l="1"/>
  <c r="AJ221" i="1"/>
  <c r="AH209" i="1"/>
  <c r="P27" i="27" s="1"/>
  <c r="AL29" i="26" s="1"/>
  <c r="AH208" i="1"/>
  <c r="AJ208" i="1" s="1"/>
  <c r="O27" i="27" s="1"/>
  <c r="AF29" i="26" s="1"/>
  <c r="U58" i="47" s="1"/>
  <c r="AJ206" i="1"/>
  <c r="AJ205" i="1"/>
  <c r="AJ204" i="1"/>
  <c r="AH203" i="1"/>
  <c r="D23" i="17" s="1"/>
  <c r="L23" i="17" s="1"/>
  <c r="AR200" i="1"/>
  <c r="L27" i="27" s="1"/>
  <c r="BH29" i="26" s="1"/>
  <c r="AQ200" i="1"/>
  <c r="K27" i="27" s="1"/>
  <c r="BG29" i="26" s="1"/>
  <c r="AO200" i="1"/>
  <c r="I27" i="27" s="1"/>
  <c r="AL200" i="1"/>
  <c r="F27" i="27" s="1"/>
  <c r="J29" i="26" s="1"/>
  <c r="K29" i="26" s="1"/>
  <c r="AK200" i="1"/>
  <c r="E27" i="27" s="1"/>
  <c r="H29" i="26" s="1"/>
  <c r="I29" i="26" s="1"/>
  <c r="AH200" i="1"/>
  <c r="D27" i="27" s="1"/>
  <c r="E29" i="26" s="1"/>
  <c r="AH198" i="1"/>
  <c r="P26" i="27" s="1"/>
  <c r="AH197" i="1"/>
  <c r="AJ197" i="1" s="1"/>
  <c r="O26" i="27" s="1"/>
  <c r="AF28" i="26" s="1"/>
  <c r="U57" i="47" s="1"/>
  <c r="AJ195" i="1"/>
  <c r="AJ194" i="1"/>
  <c r="AJ193" i="1"/>
  <c r="AH192" i="1"/>
  <c r="D22" i="17" s="1"/>
  <c r="L22" i="17" s="1"/>
  <c r="AR189" i="1"/>
  <c r="L26" i="27" s="1"/>
  <c r="BH28" i="26" s="1"/>
  <c r="AQ189" i="1"/>
  <c r="K26" i="27" s="1"/>
  <c r="BG28" i="26" s="1"/>
  <c r="AO189" i="1"/>
  <c r="I26" i="27" s="1"/>
  <c r="AL189" i="1"/>
  <c r="F26" i="27" s="1"/>
  <c r="J28" i="26" s="1"/>
  <c r="AK189" i="1"/>
  <c r="E26" i="27" s="1"/>
  <c r="H28" i="26" s="1"/>
  <c r="AH189" i="1"/>
  <c r="D26" i="27" s="1"/>
  <c r="E28" i="26" s="1"/>
  <c r="AH187" i="1"/>
  <c r="P25" i="27" s="1"/>
  <c r="AL27" i="26" s="1"/>
  <c r="AH186" i="1"/>
  <c r="AJ186" i="1" s="1"/>
  <c r="O25" i="27" s="1"/>
  <c r="AF27" i="26" s="1"/>
  <c r="U56" i="47" s="1"/>
  <c r="AJ184" i="1"/>
  <c r="AJ183" i="1"/>
  <c r="AJ182" i="1"/>
  <c r="AH181" i="1"/>
  <c r="D21" i="17" s="1"/>
  <c r="L21" i="17" s="1"/>
  <c r="AR178" i="1"/>
  <c r="L25" i="27" s="1"/>
  <c r="BH27" i="26" s="1"/>
  <c r="AQ178" i="1"/>
  <c r="K25" i="27" s="1"/>
  <c r="BG27" i="26" s="1"/>
  <c r="AO178" i="1"/>
  <c r="I25" i="27" s="1"/>
  <c r="AL178" i="1"/>
  <c r="F25" i="27" s="1"/>
  <c r="J27" i="26" s="1"/>
  <c r="AK178" i="1"/>
  <c r="E25" i="27" s="1"/>
  <c r="H27" i="26" s="1"/>
  <c r="AH178" i="1"/>
  <c r="D25" i="27" s="1"/>
  <c r="E27" i="26" s="1"/>
  <c r="AH176" i="1"/>
  <c r="P24" i="27" s="1"/>
  <c r="AL26" i="26" s="1"/>
  <c r="AH175" i="1"/>
  <c r="AJ175" i="1" s="1"/>
  <c r="O24" i="27" s="1"/>
  <c r="AF26" i="26" s="1"/>
  <c r="U55" i="47" s="1"/>
  <c r="AJ173" i="1"/>
  <c r="AJ172" i="1"/>
  <c r="AJ171" i="1"/>
  <c r="AH170" i="1"/>
  <c r="D20" i="17" s="1"/>
  <c r="L20" i="17" s="1"/>
  <c r="AR167" i="1"/>
  <c r="L24" i="27" s="1"/>
  <c r="BH26" i="26" s="1"/>
  <c r="AQ167" i="1"/>
  <c r="K24" i="27" s="1"/>
  <c r="BG26" i="26" s="1"/>
  <c r="AO167" i="1"/>
  <c r="I24" i="27" s="1"/>
  <c r="AL167" i="1"/>
  <c r="F24" i="27" s="1"/>
  <c r="J26" i="26" s="1"/>
  <c r="AK167" i="1"/>
  <c r="E24" i="27" s="1"/>
  <c r="H26" i="26" s="1"/>
  <c r="AH167" i="1"/>
  <c r="D24" i="27" s="1"/>
  <c r="E26" i="26" s="1"/>
  <c r="AL28" i="26" l="1"/>
  <c r="AX35" i="26" s="1"/>
  <c r="BK29" i="26"/>
  <c r="BL29" i="26" s="1"/>
  <c r="AE58" i="47" s="1"/>
  <c r="G29" i="26"/>
  <c r="R29" i="26"/>
  <c r="T29" i="26" s="1"/>
  <c r="O58" i="47" s="1"/>
  <c r="K28" i="26"/>
  <c r="I28" i="26"/>
  <c r="I27" i="26"/>
  <c r="K27" i="26"/>
  <c r="K26" i="26"/>
  <c r="I26" i="26"/>
  <c r="P20" i="17"/>
  <c r="J20" i="17"/>
  <c r="J21" i="17"/>
  <c r="P21" i="17"/>
  <c r="P22" i="17"/>
  <c r="J22" i="17"/>
  <c r="P23" i="17"/>
  <c r="J23" i="17"/>
  <c r="BK28" i="26"/>
  <c r="BL28" i="26" s="1"/>
  <c r="AE57" i="47" s="1"/>
  <c r="BK27" i="26"/>
  <c r="BL27" i="26" s="1"/>
  <c r="AE56" i="47" s="1"/>
  <c r="BK26" i="26"/>
  <c r="BL26" i="26" s="1"/>
  <c r="AE55" i="47" s="1"/>
  <c r="G28" i="26"/>
  <c r="R28" i="26"/>
  <c r="T28" i="26" s="1"/>
  <c r="O57" i="47" s="1"/>
  <c r="R27" i="26"/>
  <c r="T27" i="26" s="1"/>
  <c r="O56" i="47" s="1"/>
  <c r="G27" i="26"/>
  <c r="R26" i="26"/>
  <c r="T26" i="26" s="1"/>
  <c r="O55" i="47" s="1"/>
  <c r="G26" i="26"/>
  <c r="AJ196" i="1"/>
  <c r="N26" i="27" s="1"/>
  <c r="AE28" i="26" s="1"/>
  <c r="T57" i="47" s="1"/>
  <c r="AP200" i="1"/>
  <c r="J27" i="27" s="1"/>
  <c r="AP189" i="1"/>
  <c r="J26" i="27" s="1"/>
  <c r="AP178" i="1"/>
  <c r="J25" i="27" s="1"/>
  <c r="AP167" i="1"/>
  <c r="J24" i="27" s="1"/>
  <c r="AJ207" i="1"/>
  <c r="N27" i="27" s="1"/>
  <c r="AJ174" i="1"/>
  <c r="N24" i="27" s="1"/>
  <c r="AE26" i="26" s="1"/>
  <c r="T55" i="47" s="1"/>
  <c r="AJ185" i="1"/>
  <c r="N25" i="27" s="1"/>
  <c r="AE27" i="26" s="1"/>
  <c r="T56" i="47" s="1"/>
  <c r="X26" i="33"/>
  <c r="X27" i="33"/>
  <c r="X28" i="33"/>
  <c r="X29" i="33"/>
  <c r="X30" i="33"/>
  <c r="X31" i="33"/>
  <c r="X32" i="33"/>
  <c r="X33" i="33"/>
  <c r="X34" i="33"/>
  <c r="X35" i="33"/>
  <c r="X36" i="33"/>
  <c r="X37" i="33"/>
  <c r="X38" i="33"/>
  <c r="U25" i="33"/>
  <c r="U26" i="33"/>
  <c r="U27" i="33"/>
  <c r="U28" i="33"/>
  <c r="U29" i="33"/>
  <c r="U30" i="33"/>
  <c r="U31" i="33"/>
  <c r="U32" i="33"/>
  <c r="U33" i="33"/>
  <c r="U34" i="33"/>
  <c r="U35" i="33"/>
  <c r="U36" i="33"/>
  <c r="U37" i="33"/>
  <c r="U38" i="33"/>
  <c r="R25" i="33"/>
  <c r="R26" i="33"/>
  <c r="R27" i="33"/>
  <c r="R28" i="33"/>
  <c r="R29" i="33"/>
  <c r="R30" i="33"/>
  <c r="R31" i="33"/>
  <c r="R32" i="33"/>
  <c r="R33" i="33"/>
  <c r="R34" i="33"/>
  <c r="R35" i="33"/>
  <c r="R36" i="33"/>
  <c r="R37" i="33"/>
  <c r="R38" i="33"/>
  <c r="O25" i="33"/>
  <c r="O26" i="33"/>
  <c r="O27" i="33"/>
  <c r="O28" i="33"/>
  <c r="O29" i="33"/>
  <c r="O30" i="33"/>
  <c r="O31" i="33"/>
  <c r="O32" i="33"/>
  <c r="O33" i="33"/>
  <c r="O34" i="33"/>
  <c r="O35" i="33"/>
  <c r="O36" i="33"/>
  <c r="O37" i="33"/>
  <c r="O38" i="33"/>
  <c r="L26" i="33"/>
  <c r="L27" i="33"/>
  <c r="L28" i="33"/>
  <c r="L29" i="33"/>
  <c r="L30" i="33"/>
  <c r="L31" i="33"/>
  <c r="L32" i="33"/>
  <c r="L33" i="33"/>
  <c r="L34" i="33"/>
  <c r="L35" i="33"/>
  <c r="L36" i="33"/>
  <c r="L37" i="33"/>
  <c r="L38" i="33"/>
  <c r="I27" i="33"/>
  <c r="I28" i="33"/>
  <c r="I29" i="33"/>
  <c r="I30" i="33"/>
  <c r="I31" i="33"/>
  <c r="I32" i="33"/>
  <c r="I33" i="33"/>
  <c r="I34" i="33"/>
  <c r="I35" i="33"/>
  <c r="I36" i="33"/>
  <c r="I37" i="33"/>
  <c r="I38" i="33"/>
  <c r="F38" i="33"/>
  <c r="AI56" i="47" l="1"/>
  <c r="AI57" i="47"/>
  <c r="AI55" i="47"/>
  <c r="BN27" i="26"/>
  <c r="BN28" i="26"/>
  <c r="BN26" i="26"/>
  <c r="AV34" i="26"/>
  <c r="AX34" i="26" s="1"/>
  <c r="AX36" i="26" s="1"/>
  <c r="AE29" i="26"/>
  <c r="T58" i="47" s="1"/>
  <c r="AI58" i="47" s="1"/>
  <c r="AN26" i="26"/>
  <c r="AN28" i="26"/>
  <c r="AN27" i="26"/>
  <c r="Y37" i="33"/>
  <c r="Y33" i="33"/>
  <c r="Y29" i="33"/>
  <c r="Y36" i="33"/>
  <c r="Y32" i="33"/>
  <c r="Y38" i="33"/>
  <c r="Z38" i="33" s="1"/>
  <c r="Y34" i="33"/>
  <c r="Y30" i="33"/>
  <c r="Y27" i="33"/>
  <c r="Y35" i="33"/>
  <c r="Y31" i="33"/>
  <c r="Y28" i="33"/>
  <c r="AJ55" i="47" l="1"/>
  <c r="AK55" i="47" s="1"/>
  <c r="AX26" i="26" s="1"/>
  <c r="BF26" i="26" s="1"/>
  <c r="D63" i="33" s="1"/>
  <c r="AJ57" i="47"/>
  <c r="AK57" i="47" s="1"/>
  <c r="AX28" i="26" s="1"/>
  <c r="BF28" i="26" s="1"/>
  <c r="D65" i="33" s="1"/>
  <c r="AJ56" i="47"/>
  <c r="AK56" i="47" s="1"/>
  <c r="AX27" i="26" s="1"/>
  <c r="BF27" i="26" s="1"/>
  <c r="D64" i="33" s="1"/>
  <c r="AL56" i="47"/>
  <c r="AN56" i="47" s="1"/>
  <c r="AO56" i="47" s="1"/>
  <c r="AL57" i="47"/>
  <c r="AN57" i="47" s="1"/>
  <c r="AO57" i="47" s="1"/>
  <c r="AL55" i="47"/>
  <c r="AN55" i="47" s="1"/>
  <c r="AO55" i="47" s="1"/>
  <c r="AJ58" i="47"/>
  <c r="AK58" i="47" s="1"/>
  <c r="AX29" i="26" s="1"/>
  <c r="AN29" i="26"/>
  <c r="BN29" i="26"/>
  <c r="BF29" i="26" l="1"/>
  <c r="D66" i="33" s="1"/>
  <c r="AL58" i="47"/>
  <c r="AN58" i="47" s="1"/>
  <c r="AO58" i="47" s="1"/>
  <c r="D60" i="30"/>
  <c r="F64" i="33"/>
  <c r="Z64" i="33" s="1"/>
  <c r="D59" i="30"/>
  <c r="F63" i="33"/>
  <c r="Z63" i="33" s="1"/>
  <c r="D61" i="30"/>
  <c r="F65" i="33"/>
  <c r="Z65" i="33" s="1"/>
  <c r="D62" i="30" l="1"/>
  <c r="F66" i="33"/>
  <c r="Z66" i="33" s="1"/>
  <c r="AH47" i="6"/>
  <c r="AH48" i="6"/>
  <c r="N11" i="26" l="1"/>
  <c r="O24" i="26"/>
  <c r="M24" i="26"/>
  <c r="N10" i="26"/>
  <c r="L10" i="26"/>
  <c r="L30" i="26" s="1"/>
  <c r="N30" i="26" l="1"/>
  <c r="AV24" i="26"/>
  <c r="AQ24" i="26"/>
  <c r="C42" i="17" l="1"/>
  <c r="D42" i="17" s="1"/>
  <c r="C41" i="17"/>
  <c r="D41" i="17" s="1"/>
  <c r="J40" i="17" s="1"/>
  <c r="D37" i="6" l="1"/>
  <c r="E37" i="6"/>
  <c r="F37" i="6"/>
  <c r="G37" i="6"/>
  <c r="H37" i="6"/>
  <c r="I37" i="6"/>
  <c r="J37" i="6"/>
  <c r="K37" i="6"/>
  <c r="L37" i="6"/>
  <c r="M37" i="6"/>
  <c r="N37" i="6"/>
  <c r="O37" i="6"/>
  <c r="P37" i="6"/>
  <c r="Q37" i="6"/>
  <c r="R37" i="6"/>
  <c r="S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L37" i="6"/>
  <c r="AM37" i="6"/>
  <c r="C37" i="6"/>
  <c r="AR26" i="6" l="1"/>
  <c r="BB28" i="24" s="1"/>
  <c r="AR27" i="6"/>
  <c r="BB29" i="24" s="1"/>
  <c r="AR28" i="6"/>
  <c r="BB30" i="24" s="1"/>
  <c r="AR29" i="6"/>
  <c r="BB31" i="24" s="1"/>
  <c r="AR30" i="6"/>
  <c r="BB32" i="24" s="1"/>
  <c r="AR31" i="6"/>
  <c r="BB33" i="24" s="1"/>
  <c r="AR32" i="6"/>
  <c r="BB34" i="24" s="1"/>
  <c r="AR33" i="6"/>
  <c r="BB35" i="24" s="1"/>
  <c r="AR34" i="6"/>
  <c r="BB36" i="24" s="1"/>
  <c r="AR35" i="6"/>
  <c r="BB37" i="24" s="1"/>
  <c r="AQ25" i="6"/>
  <c r="BA27" i="24" s="1"/>
  <c r="AQ26" i="6"/>
  <c r="BA28" i="24" s="1"/>
  <c r="BE28" i="24" s="1"/>
  <c r="BF28" i="24" s="1"/>
  <c r="AE24" i="47" s="1"/>
  <c r="AQ27" i="6"/>
  <c r="BA29" i="24" s="1"/>
  <c r="AQ28" i="6"/>
  <c r="BA30" i="24" s="1"/>
  <c r="AQ29" i="6"/>
  <c r="BA31" i="24" s="1"/>
  <c r="AQ30" i="6"/>
  <c r="BA32" i="24" s="1"/>
  <c r="AQ31" i="6"/>
  <c r="BA33" i="24" s="1"/>
  <c r="AQ32" i="6"/>
  <c r="BA34" i="24" s="1"/>
  <c r="AQ33" i="6"/>
  <c r="BA35" i="24" s="1"/>
  <c r="AQ34" i="6"/>
  <c r="BA36" i="24" s="1"/>
  <c r="AQ35" i="6"/>
  <c r="BA37" i="24" s="1"/>
  <c r="AK26" i="6"/>
  <c r="L28" i="24" s="1"/>
  <c r="M28" i="24" s="1"/>
  <c r="AK27" i="6"/>
  <c r="L29" i="24" s="1"/>
  <c r="M29" i="24" s="1"/>
  <c r="AK28" i="6"/>
  <c r="L30" i="24" s="1"/>
  <c r="M30" i="24" s="1"/>
  <c r="AK29" i="6"/>
  <c r="L31" i="24" s="1"/>
  <c r="M31" i="24" s="1"/>
  <c r="AK30" i="6"/>
  <c r="L32" i="24" s="1"/>
  <c r="M32" i="24" s="1"/>
  <c r="AK31" i="6"/>
  <c r="L33" i="24" s="1"/>
  <c r="M33" i="24" s="1"/>
  <c r="AK32" i="6"/>
  <c r="L34" i="24" s="1"/>
  <c r="M34" i="24" s="1"/>
  <c r="AK33" i="6"/>
  <c r="L35" i="24" s="1"/>
  <c r="M35" i="24" s="1"/>
  <c r="AK34" i="6"/>
  <c r="L36" i="24" s="1"/>
  <c r="M36" i="24" s="1"/>
  <c r="AK35" i="6"/>
  <c r="L37" i="24" s="1"/>
  <c r="M37" i="24" s="1"/>
  <c r="AJ25" i="6"/>
  <c r="J27" i="24" s="1"/>
  <c r="K27" i="24" s="1"/>
  <c r="AJ26" i="6"/>
  <c r="J28" i="24" s="1"/>
  <c r="K28" i="24" s="1"/>
  <c r="AJ27" i="6"/>
  <c r="J29" i="24" s="1"/>
  <c r="K29" i="24" s="1"/>
  <c r="AJ28" i="6"/>
  <c r="J30" i="24" s="1"/>
  <c r="K30" i="24" s="1"/>
  <c r="AJ29" i="6"/>
  <c r="J31" i="24" s="1"/>
  <c r="K31" i="24" s="1"/>
  <c r="AJ30" i="6"/>
  <c r="J32" i="24" s="1"/>
  <c r="K32" i="24" s="1"/>
  <c r="AJ31" i="6"/>
  <c r="J33" i="24" s="1"/>
  <c r="K33" i="24" s="1"/>
  <c r="AJ32" i="6"/>
  <c r="J34" i="24" s="1"/>
  <c r="K34" i="24" s="1"/>
  <c r="AJ33" i="6"/>
  <c r="J35" i="24" s="1"/>
  <c r="K35" i="24" s="1"/>
  <c r="AJ34" i="6"/>
  <c r="J36" i="24" s="1"/>
  <c r="K36" i="24" s="1"/>
  <c r="AJ35" i="6"/>
  <c r="J37" i="24" s="1"/>
  <c r="K37" i="24" s="1"/>
  <c r="AI25" i="6"/>
  <c r="H27" i="24" s="1"/>
  <c r="I27" i="24" s="1"/>
  <c r="AI26" i="6"/>
  <c r="H28" i="24" s="1"/>
  <c r="I28" i="24" s="1"/>
  <c r="AI27" i="6"/>
  <c r="H29" i="24" s="1"/>
  <c r="I29" i="24" s="1"/>
  <c r="AI28" i="6"/>
  <c r="H30" i="24" s="1"/>
  <c r="I30" i="24" s="1"/>
  <c r="AI29" i="6"/>
  <c r="H31" i="24" s="1"/>
  <c r="I31" i="24" s="1"/>
  <c r="AI30" i="6"/>
  <c r="H32" i="24" s="1"/>
  <c r="I32" i="24" s="1"/>
  <c r="AI31" i="6"/>
  <c r="H33" i="24" s="1"/>
  <c r="I33" i="24" s="1"/>
  <c r="AI32" i="6"/>
  <c r="H34" i="24" s="1"/>
  <c r="I34" i="24" s="1"/>
  <c r="AI33" i="6"/>
  <c r="H35" i="24" s="1"/>
  <c r="I35" i="24" s="1"/>
  <c r="AI34" i="6"/>
  <c r="H36" i="24" s="1"/>
  <c r="I36" i="24" s="1"/>
  <c r="AI35" i="6"/>
  <c r="H37" i="24" s="1"/>
  <c r="I37" i="24" s="1"/>
  <c r="AH25" i="6"/>
  <c r="E27" i="24" s="1"/>
  <c r="AH26" i="6"/>
  <c r="E28" i="24" s="1"/>
  <c r="AH27" i="6"/>
  <c r="E29" i="24" s="1"/>
  <c r="AH28" i="6"/>
  <c r="E30" i="24" s="1"/>
  <c r="AH29" i="6"/>
  <c r="E31" i="24" s="1"/>
  <c r="AH30" i="6"/>
  <c r="E32" i="24" s="1"/>
  <c r="AH31" i="6"/>
  <c r="E33" i="24" s="1"/>
  <c r="AH32" i="6"/>
  <c r="E34" i="24" s="1"/>
  <c r="AH33" i="6"/>
  <c r="E35" i="24" s="1"/>
  <c r="AH34" i="6"/>
  <c r="E36" i="24" s="1"/>
  <c r="AH35" i="6"/>
  <c r="E37" i="24" s="1"/>
  <c r="BE34" i="24" l="1"/>
  <c r="BF34" i="24" s="1"/>
  <c r="AE30" i="47" s="1"/>
  <c r="BE29" i="24"/>
  <c r="BF29" i="24" s="1"/>
  <c r="AE25" i="47" s="1"/>
  <c r="BE30" i="24"/>
  <c r="BF30" i="24" s="1"/>
  <c r="AE26" i="47" s="1"/>
  <c r="BE35" i="24"/>
  <c r="BF35" i="24" s="1"/>
  <c r="AE31" i="47" s="1"/>
  <c r="BE33" i="24"/>
  <c r="BF33" i="24" s="1"/>
  <c r="AE29" i="47" s="1"/>
  <c r="BE32" i="24"/>
  <c r="BF32" i="24" s="1"/>
  <c r="AE28" i="47" s="1"/>
  <c r="BE37" i="24"/>
  <c r="BF37" i="24" s="1"/>
  <c r="AE33" i="47" s="1"/>
  <c r="BE36" i="24"/>
  <c r="BF36" i="24" s="1"/>
  <c r="AE32" i="47" s="1"/>
  <c r="BE31" i="24"/>
  <c r="BF31" i="24" s="1"/>
  <c r="AE27" i="47" s="1"/>
  <c r="Z33" i="24"/>
  <c r="G33" i="24"/>
  <c r="Z32" i="24"/>
  <c r="G32" i="24"/>
  <c r="G28" i="24"/>
  <c r="Z28" i="24"/>
  <c r="Z31" i="24"/>
  <c r="G31" i="24"/>
  <c r="G34" i="24"/>
  <c r="Z34" i="24"/>
  <c r="Z29" i="24"/>
  <c r="G29" i="24"/>
  <c r="G27" i="24"/>
  <c r="Z27" i="24"/>
  <c r="G30" i="24"/>
  <c r="Z30" i="24"/>
  <c r="G37" i="24"/>
  <c r="Z37" i="24"/>
  <c r="G36" i="24"/>
  <c r="Z36" i="24"/>
  <c r="Z35" i="24"/>
  <c r="G35" i="24"/>
  <c r="AN34" i="6"/>
  <c r="AO32" i="6"/>
  <c r="T34" i="24" s="1"/>
  <c r="AN28" i="6"/>
  <c r="AO27" i="6"/>
  <c r="T29" i="24" s="1"/>
  <c r="AO33" i="6"/>
  <c r="T35" i="24" s="1"/>
  <c r="AO26" i="6"/>
  <c r="T28" i="24" s="1"/>
  <c r="AN30" i="6"/>
  <c r="AO30" i="6"/>
  <c r="T32" i="24" s="1"/>
  <c r="AN26" i="6"/>
  <c r="AO34" i="6"/>
  <c r="T36" i="24" s="1"/>
  <c r="AO28" i="6"/>
  <c r="T30" i="24" s="1"/>
  <c r="AN32" i="6"/>
  <c r="AN33" i="6"/>
  <c r="AN29" i="6"/>
  <c r="AO29" i="6"/>
  <c r="T31" i="24" s="1"/>
  <c r="AN27" i="6"/>
  <c r="AN31" i="6"/>
  <c r="AO31" i="6"/>
  <c r="T33" i="24" s="1"/>
  <c r="AO35" i="6"/>
  <c r="T37" i="24" s="1"/>
  <c r="AN35" i="6"/>
  <c r="AP33" i="6" l="1"/>
  <c r="Q36" i="24"/>
  <c r="Q28" i="24"/>
  <c r="Q33" i="24"/>
  <c r="Q35" i="24"/>
  <c r="Q37" i="24"/>
  <c r="Q32" i="24"/>
  <c r="Q29" i="24"/>
  <c r="Q34" i="24"/>
  <c r="Q31" i="24"/>
  <c r="Q30" i="24"/>
  <c r="AP32" i="6"/>
  <c r="AP27" i="6"/>
  <c r="AP28" i="6"/>
  <c r="AP34" i="6"/>
  <c r="AP26" i="6"/>
  <c r="AP35" i="6"/>
  <c r="AP30" i="6"/>
  <c r="AP29" i="6"/>
  <c r="AP31" i="6"/>
  <c r="U29" i="24" l="1"/>
  <c r="V29" i="24"/>
  <c r="X29" i="24" s="1"/>
  <c r="V37" i="24"/>
  <c r="X37" i="24" s="1"/>
  <c r="U37" i="24"/>
  <c r="U31" i="24"/>
  <c r="V31" i="24"/>
  <c r="X31" i="24" s="1"/>
  <c r="U35" i="24"/>
  <c r="V35" i="24"/>
  <c r="X35" i="24" s="1"/>
  <c r="V28" i="24"/>
  <c r="X28" i="24" s="1"/>
  <c r="U28" i="24"/>
  <c r="U30" i="24"/>
  <c r="V30" i="24"/>
  <c r="X30" i="24" s="1"/>
  <c r="V34" i="24"/>
  <c r="X34" i="24" s="1"/>
  <c r="U34" i="24"/>
  <c r="V32" i="24"/>
  <c r="X32" i="24" s="1"/>
  <c r="U32" i="24"/>
  <c r="V33" i="24"/>
  <c r="X33" i="24" s="1"/>
  <c r="U33" i="24"/>
  <c r="U36" i="24"/>
  <c r="V36" i="24"/>
  <c r="X36" i="24" s="1"/>
  <c r="L10" i="33"/>
  <c r="X19" i="33"/>
  <c r="U19" i="33"/>
  <c r="U20" i="33"/>
  <c r="R19" i="33"/>
  <c r="O19" i="33"/>
  <c r="O20" i="33"/>
  <c r="L19" i="33"/>
  <c r="L20" i="33"/>
  <c r="I19" i="33"/>
  <c r="BI29" i="24" l="1"/>
  <c r="O25" i="47"/>
  <c r="AI25" i="47" s="1"/>
  <c r="AJ25" i="47" s="1"/>
  <c r="AK25" i="47" s="1"/>
  <c r="AU29" i="24" s="1"/>
  <c r="AZ29" i="24" s="1"/>
  <c r="D29" i="33" s="1"/>
  <c r="BI34" i="24"/>
  <c r="O30" i="47"/>
  <c r="AI30" i="47" s="1"/>
  <c r="AJ30" i="47" s="1"/>
  <c r="AK30" i="47" s="1"/>
  <c r="AU34" i="24" s="1"/>
  <c r="AZ34" i="24" s="1"/>
  <c r="D34" i="33" s="1"/>
  <c r="BI36" i="24"/>
  <c r="O32" i="47"/>
  <c r="AI32" i="47" s="1"/>
  <c r="AJ32" i="47" s="1"/>
  <c r="AK32" i="47" s="1"/>
  <c r="AU36" i="24" s="1"/>
  <c r="AZ36" i="24" s="1"/>
  <c r="D36" i="33" s="1"/>
  <c r="BI30" i="24"/>
  <c r="O26" i="47"/>
  <c r="AI26" i="47" s="1"/>
  <c r="AJ26" i="47" s="1"/>
  <c r="AK26" i="47" s="1"/>
  <c r="AU30" i="24" s="1"/>
  <c r="AZ30" i="24" s="1"/>
  <c r="D30" i="33" s="1"/>
  <c r="BI35" i="24"/>
  <c r="O31" i="47"/>
  <c r="AI31" i="47" s="1"/>
  <c r="AJ31" i="47" s="1"/>
  <c r="AK31" i="47" s="1"/>
  <c r="AU35" i="24" s="1"/>
  <c r="AZ35" i="24" s="1"/>
  <c r="D35" i="33" s="1"/>
  <c r="BI31" i="24"/>
  <c r="O27" i="47"/>
  <c r="AI27" i="47" s="1"/>
  <c r="AJ27" i="47" s="1"/>
  <c r="AK27" i="47" s="1"/>
  <c r="AU31" i="24" s="1"/>
  <c r="AZ31" i="24" s="1"/>
  <c r="D31" i="33" s="1"/>
  <c r="BI33" i="24"/>
  <c r="O29" i="47"/>
  <c r="AI29" i="47" s="1"/>
  <c r="AJ29" i="47" s="1"/>
  <c r="AK29" i="47" s="1"/>
  <c r="AU33" i="24" s="1"/>
  <c r="AZ33" i="24" s="1"/>
  <c r="D33" i="33" s="1"/>
  <c r="BI28" i="24"/>
  <c r="O24" i="47"/>
  <c r="AI24" i="47" s="1"/>
  <c r="AJ24" i="47" s="1"/>
  <c r="AK24" i="47" s="1"/>
  <c r="AU28" i="24" s="1"/>
  <c r="AZ28" i="24" s="1"/>
  <c r="D28" i="33" s="1"/>
  <c r="BI32" i="24"/>
  <c r="O28" i="47"/>
  <c r="AI28" i="47" s="1"/>
  <c r="AJ28" i="47" s="1"/>
  <c r="AK28" i="47" s="1"/>
  <c r="AU32" i="24" s="1"/>
  <c r="AZ32" i="24" s="1"/>
  <c r="D32" i="33" s="1"/>
  <c r="BI37" i="24"/>
  <c r="O33" i="47"/>
  <c r="AI33" i="47" s="1"/>
  <c r="AJ33" i="47" s="1"/>
  <c r="AK33" i="47" s="1"/>
  <c r="AU37" i="24" s="1"/>
  <c r="AZ37" i="24" s="1"/>
  <c r="D37" i="33" s="1"/>
  <c r="AK28" i="24"/>
  <c r="AL24" i="47" s="1"/>
  <c r="AN24" i="47" s="1"/>
  <c r="AK32" i="24"/>
  <c r="AL28" i="47" s="1"/>
  <c r="AN28" i="47" s="1"/>
  <c r="AK35" i="24"/>
  <c r="AL31" i="47" s="1"/>
  <c r="AN31" i="47" s="1"/>
  <c r="AK37" i="24"/>
  <c r="AL33" i="47" s="1"/>
  <c r="AN33" i="47" s="1"/>
  <c r="AK36" i="24"/>
  <c r="AL32" i="47" s="1"/>
  <c r="AN32" i="47" s="1"/>
  <c r="AK34" i="24"/>
  <c r="AL30" i="47" s="1"/>
  <c r="AN30" i="47" s="1"/>
  <c r="AK31" i="24"/>
  <c r="AL27" i="47" s="1"/>
  <c r="AN27" i="47" s="1"/>
  <c r="AK33" i="24"/>
  <c r="AL29" i="47" s="1"/>
  <c r="AN29" i="47" s="1"/>
  <c r="Y19" i="33"/>
  <c r="F31" i="33" l="1"/>
  <c r="Z31" i="33" s="1"/>
  <c r="F34" i="33"/>
  <c r="Z34" i="33" s="1"/>
  <c r="F32" i="33"/>
  <c r="Z32" i="33" s="1"/>
  <c r="F28" i="33"/>
  <c r="Z28" i="33" s="1"/>
  <c r="F33" i="33"/>
  <c r="Z33" i="33" s="1"/>
  <c r="D32" i="30" l="1"/>
  <c r="F36" i="33"/>
  <c r="Z36" i="33" s="1"/>
  <c r="D33" i="30"/>
  <c r="F37" i="33"/>
  <c r="Z37" i="33" s="1"/>
  <c r="D31" i="30"/>
  <c r="F35" i="33"/>
  <c r="Z35" i="33" s="1"/>
  <c r="AO30" i="26" l="1"/>
  <c r="AT30" i="26"/>
  <c r="AU30" i="26"/>
  <c r="AP30" i="26"/>
  <c r="AS37" i="6"/>
  <c r="AK25" i="6"/>
  <c r="L27" i="24" s="1"/>
  <c r="M27" i="24" s="1"/>
  <c r="AR25" i="6"/>
  <c r="BB27" i="24" s="1"/>
  <c r="BE27" i="24" s="1"/>
  <c r="BF27" i="24" s="1"/>
  <c r="AE23" i="47" s="1"/>
  <c r="AN25" i="6" l="1"/>
  <c r="AO25" i="6"/>
  <c r="T27" i="24" s="1"/>
  <c r="Q27" i="24" l="1"/>
  <c r="AP25" i="6"/>
  <c r="AC59" i="26"/>
  <c r="AC56" i="26"/>
  <c r="AB57" i="26"/>
  <c r="AB56" i="26"/>
  <c r="U27" i="24" l="1"/>
  <c r="V27" i="24"/>
  <c r="X27" i="24" s="1"/>
  <c r="O23" i="47" s="1"/>
  <c r="AQ23" i="26" l="1"/>
  <c r="AV23" i="26"/>
  <c r="W8" i="17" l="1"/>
  <c r="W9" i="17"/>
  <c r="W10" i="17"/>
  <c r="W11" i="17"/>
  <c r="W12" i="17"/>
  <c r="W13" i="17"/>
  <c r="W14" i="17"/>
  <c r="W15" i="17"/>
  <c r="W18" i="17"/>
  <c r="U26" i="17"/>
  <c r="S26" i="17"/>
  <c r="W19" i="17"/>
  <c r="W17" i="17"/>
  <c r="W16" i="17"/>
  <c r="V6" i="17"/>
  <c r="V7" i="17" l="1"/>
  <c r="W7" i="17" s="1"/>
  <c r="E26" i="17" l="1"/>
  <c r="F26" i="17"/>
  <c r="G26" i="17"/>
  <c r="H26" i="17"/>
  <c r="AH250" i="1" l="1"/>
  <c r="J251" i="1" l="1"/>
  <c r="K251" i="1"/>
  <c r="L251" i="1"/>
  <c r="E21" i="42" l="1"/>
  <c r="F21" i="42" s="1"/>
  <c r="G21" i="42"/>
  <c r="H21" i="42" s="1"/>
  <c r="I21" i="42"/>
  <c r="K21" i="42"/>
  <c r="L21" i="42" s="1"/>
  <c r="M21" i="42"/>
  <c r="N21" i="42" s="1"/>
  <c r="O21" i="42"/>
  <c r="P21" i="42" s="1"/>
  <c r="Q21" i="42"/>
  <c r="R21" i="42" s="1"/>
  <c r="S21" i="42"/>
  <c r="T21" i="42" s="1"/>
  <c r="U21" i="42"/>
  <c r="V21" i="42" s="1"/>
  <c r="W21" i="42"/>
  <c r="Y21" i="42"/>
  <c r="AA21" i="42"/>
  <c r="AB21" i="42" s="1"/>
  <c r="AC21" i="42"/>
  <c r="AE21" i="42"/>
  <c r="AG21" i="42"/>
  <c r="AI21" i="42"/>
  <c r="AK21" i="42"/>
  <c r="AM21" i="42"/>
  <c r="AO21" i="42"/>
  <c r="AQ21" i="42"/>
  <c r="AS21" i="42"/>
  <c r="AU21" i="42"/>
  <c r="AW21" i="42"/>
  <c r="AY21" i="42"/>
  <c r="BA21" i="42"/>
  <c r="BC21" i="42"/>
  <c r="BE21" i="42"/>
  <c r="BG21" i="42"/>
  <c r="BI21" i="42"/>
  <c r="BK21" i="42"/>
  <c r="E20" i="42"/>
  <c r="F20" i="42" s="1"/>
  <c r="G20" i="42"/>
  <c r="H20" i="42" s="1"/>
  <c r="I20" i="42"/>
  <c r="K20" i="42"/>
  <c r="L20" i="42" s="1"/>
  <c r="M20" i="42"/>
  <c r="N20" i="42" s="1"/>
  <c r="O20" i="42"/>
  <c r="P20" i="42" s="1"/>
  <c r="Q20" i="42"/>
  <c r="R20" i="42" s="1"/>
  <c r="S20" i="42"/>
  <c r="T20" i="42" s="1"/>
  <c r="U20" i="42"/>
  <c r="V20" i="42" s="1"/>
  <c r="W20" i="42"/>
  <c r="Y20" i="42"/>
  <c r="AA20" i="42"/>
  <c r="AB20" i="42" s="1"/>
  <c r="AC20" i="42"/>
  <c r="AE20" i="42"/>
  <c r="AG20" i="42"/>
  <c r="AI20" i="42"/>
  <c r="AK20" i="42"/>
  <c r="AM20" i="42"/>
  <c r="AO20" i="42"/>
  <c r="AQ20" i="42"/>
  <c r="AS20" i="42"/>
  <c r="AU20" i="42"/>
  <c r="AW20" i="42"/>
  <c r="AY20" i="42"/>
  <c r="BA20" i="42"/>
  <c r="BC20" i="42"/>
  <c r="BE20" i="42"/>
  <c r="BG20" i="42"/>
  <c r="BI20" i="42"/>
  <c r="BK20" i="42"/>
  <c r="E19" i="42"/>
  <c r="F19" i="42" s="1"/>
  <c r="G19" i="42"/>
  <c r="H19" i="42" s="1"/>
  <c r="I19" i="42"/>
  <c r="K19" i="42"/>
  <c r="L19" i="42" s="1"/>
  <c r="M19" i="42"/>
  <c r="N19" i="42" s="1"/>
  <c r="O19" i="42"/>
  <c r="P19" i="42" s="1"/>
  <c r="Q19" i="42"/>
  <c r="R19" i="42" s="1"/>
  <c r="S19" i="42"/>
  <c r="T19" i="42" s="1"/>
  <c r="U19" i="42"/>
  <c r="V19" i="42" s="1"/>
  <c r="W19" i="42"/>
  <c r="Y19" i="42"/>
  <c r="AA19" i="42"/>
  <c r="AB19" i="42" s="1"/>
  <c r="AC19" i="42"/>
  <c r="AE19" i="42"/>
  <c r="AG19" i="42"/>
  <c r="AI19" i="42"/>
  <c r="AK19" i="42"/>
  <c r="AM19" i="42"/>
  <c r="AO19" i="42"/>
  <c r="AQ19" i="42"/>
  <c r="AS19" i="42"/>
  <c r="AU19" i="42"/>
  <c r="AW19" i="42"/>
  <c r="AY19" i="42"/>
  <c r="BA19" i="42"/>
  <c r="BC19" i="42"/>
  <c r="BE19" i="42"/>
  <c r="BG19" i="42"/>
  <c r="BI19" i="42"/>
  <c r="BK19" i="42"/>
  <c r="E18" i="42"/>
  <c r="F18" i="42" s="1"/>
  <c r="G18" i="42"/>
  <c r="H18" i="42" s="1"/>
  <c r="I18" i="42"/>
  <c r="K18" i="42"/>
  <c r="L18" i="42" s="1"/>
  <c r="M18" i="42"/>
  <c r="N18" i="42" s="1"/>
  <c r="O18" i="42"/>
  <c r="P18" i="42" s="1"/>
  <c r="Q18" i="42"/>
  <c r="R18" i="42" s="1"/>
  <c r="S18" i="42"/>
  <c r="T18" i="42" s="1"/>
  <c r="U18" i="42"/>
  <c r="V18" i="42" s="1"/>
  <c r="W18" i="42"/>
  <c r="Y18" i="42"/>
  <c r="AA18" i="42"/>
  <c r="AB18" i="42" s="1"/>
  <c r="AC18" i="42"/>
  <c r="AE18" i="42"/>
  <c r="AG18" i="42"/>
  <c r="AI18" i="42"/>
  <c r="AK18" i="42"/>
  <c r="AM18" i="42"/>
  <c r="AO18" i="42"/>
  <c r="AQ18" i="42"/>
  <c r="AS18" i="42"/>
  <c r="AU18" i="42"/>
  <c r="AW18" i="42"/>
  <c r="AY18" i="42"/>
  <c r="BA18" i="42"/>
  <c r="BC18" i="42"/>
  <c r="BE18" i="42"/>
  <c r="BG18" i="42"/>
  <c r="BI18" i="42"/>
  <c r="BK18" i="42"/>
  <c r="E17" i="42"/>
  <c r="F17" i="42" s="1"/>
  <c r="G17" i="42"/>
  <c r="H17" i="42" s="1"/>
  <c r="I17" i="42"/>
  <c r="K17" i="42"/>
  <c r="L17" i="42" s="1"/>
  <c r="M17" i="42"/>
  <c r="N17" i="42" s="1"/>
  <c r="O17" i="42"/>
  <c r="P17" i="42" s="1"/>
  <c r="Q17" i="42"/>
  <c r="R17" i="42" s="1"/>
  <c r="S17" i="42"/>
  <c r="T17" i="42" s="1"/>
  <c r="U17" i="42"/>
  <c r="V17" i="42" s="1"/>
  <c r="W17" i="42"/>
  <c r="Y17" i="42"/>
  <c r="AA17" i="42"/>
  <c r="AB17" i="42" s="1"/>
  <c r="AC17" i="42"/>
  <c r="AE17" i="42"/>
  <c r="AG17" i="42"/>
  <c r="AI17" i="42"/>
  <c r="AK17" i="42"/>
  <c r="AM17" i="42"/>
  <c r="AO17" i="42"/>
  <c r="AQ17" i="42"/>
  <c r="AS17" i="42"/>
  <c r="AU17" i="42"/>
  <c r="AW17" i="42"/>
  <c r="AY17" i="42"/>
  <c r="BA17" i="42"/>
  <c r="BC17" i="42"/>
  <c r="BE17" i="42"/>
  <c r="BG17" i="42"/>
  <c r="BI17" i="42"/>
  <c r="BK17" i="42"/>
  <c r="E16" i="42"/>
  <c r="F16" i="42" s="1"/>
  <c r="G16" i="42"/>
  <c r="H16" i="42" s="1"/>
  <c r="I16" i="42"/>
  <c r="K16" i="42"/>
  <c r="L16" i="42" s="1"/>
  <c r="M16" i="42"/>
  <c r="N16" i="42" s="1"/>
  <c r="O16" i="42"/>
  <c r="P16" i="42" s="1"/>
  <c r="Q16" i="42"/>
  <c r="R16" i="42" s="1"/>
  <c r="S16" i="42"/>
  <c r="T16" i="42" s="1"/>
  <c r="U16" i="42"/>
  <c r="V16" i="42" s="1"/>
  <c r="W16" i="42"/>
  <c r="Y16" i="42"/>
  <c r="AA16" i="42"/>
  <c r="AB16" i="42" s="1"/>
  <c r="AC16" i="42"/>
  <c r="AE16" i="42"/>
  <c r="AG16" i="42"/>
  <c r="AI16" i="42"/>
  <c r="AK16" i="42"/>
  <c r="AM16" i="42"/>
  <c r="AO16" i="42"/>
  <c r="AQ16" i="42"/>
  <c r="AS16" i="42"/>
  <c r="AU16" i="42"/>
  <c r="AW16" i="42"/>
  <c r="AY16" i="42"/>
  <c r="BA16" i="42"/>
  <c r="BC16" i="42"/>
  <c r="BE16" i="42"/>
  <c r="BG16" i="42"/>
  <c r="BI16" i="42"/>
  <c r="BK16" i="42"/>
  <c r="E15" i="42"/>
  <c r="F15" i="42" s="1"/>
  <c r="G15" i="42"/>
  <c r="H15" i="42" s="1"/>
  <c r="I15" i="42"/>
  <c r="K15" i="42"/>
  <c r="L15" i="42" s="1"/>
  <c r="M15" i="42"/>
  <c r="N15" i="42" s="1"/>
  <c r="O15" i="42"/>
  <c r="P15" i="42" s="1"/>
  <c r="Q15" i="42"/>
  <c r="R15" i="42" s="1"/>
  <c r="S15" i="42"/>
  <c r="T15" i="42" s="1"/>
  <c r="U15" i="42"/>
  <c r="V15" i="42" s="1"/>
  <c r="W15" i="42"/>
  <c r="Y15" i="42"/>
  <c r="AA15" i="42"/>
  <c r="AB15" i="42" s="1"/>
  <c r="AC15" i="42"/>
  <c r="AE15" i="42"/>
  <c r="AG15" i="42"/>
  <c r="AI15" i="42"/>
  <c r="AK15" i="42"/>
  <c r="AM15" i="42"/>
  <c r="AO15" i="42"/>
  <c r="AQ15" i="42"/>
  <c r="AS15" i="42"/>
  <c r="AU15" i="42"/>
  <c r="AW15" i="42"/>
  <c r="AY15" i="42"/>
  <c r="BA15" i="42"/>
  <c r="BC15" i="42"/>
  <c r="BE15" i="42"/>
  <c r="BG15" i="42"/>
  <c r="BI15" i="42"/>
  <c r="BK15" i="42"/>
  <c r="E14" i="42"/>
  <c r="F14" i="42" s="1"/>
  <c r="G14" i="42"/>
  <c r="H14" i="42" s="1"/>
  <c r="I14" i="42"/>
  <c r="K14" i="42"/>
  <c r="L14" i="42" s="1"/>
  <c r="M14" i="42"/>
  <c r="N14" i="42" s="1"/>
  <c r="O14" i="42"/>
  <c r="P14" i="42" s="1"/>
  <c r="Q14" i="42"/>
  <c r="R14" i="42" s="1"/>
  <c r="S14" i="42"/>
  <c r="T14" i="42" s="1"/>
  <c r="U14" i="42"/>
  <c r="V14" i="42" s="1"/>
  <c r="W14" i="42"/>
  <c r="Y14" i="42"/>
  <c r="AA14" i="42"/>
  <c r="AB14" i="42" s="1"/>
  <c r="AC14" i="42"/>
  <c r="AE14" i="42"/>
  <c r="AG14" i="42"/>
  <c r="AI14" i="42"/>
  <c r="AK14" i="42"/>
  <c r="AM14" i="42"/>
  <c r="AO14" i="42"/>
  <c r="AQ14" i="42"/>
  <c r="AS14" i="42"/>
  <c r="AU14" i="42"/>
  <c r="AW14" i="42"/>
  <c r="AY14" i="42"/>
  <c r="BA14" i="42"/>
  <c r="BC14" i="42"/>
  <c r="BE14" i="42"/>
  <c r="BG14" i="42"/>
  <c r="BI14" i="42"/>
  <c r="BK14" i="42"/>
  <c r="E13" i="42"/>
  <c r="F13" i="42" s="1"/>
  <c r="G13" i="42"/>
  <c r="H13" i="42" s="1"/>
  <c r="I13" i="42"/>
  <c r="K13" i="42"/>
  <c r="L13" i="42" s="1"/>
  <c r="M13" i="42"/>
  <c r="N13" i="42" s="1"/>
  <c r="O13" i="42"/>
  <c r="P13" i="42" s="1"/>
  <c r="Q13" i="42"/>
  <c r="R13" i="42" s="1"/>
  <c r="S13" i="42"/>
  <c r="T13" i="42" s="1"/>
  <c r="U13" i="42"/>
  <c r="V13" i="42" s="1"/>
  <c r="W13" i="42"/>
  <c r="Y13" i="42"/>
  <c r="AA13" i="42"/>
  <c r="AB13" i="42" s="1"/>
  <c r="AC13" i="42"/>
  <c r="AE13" i="42"/>
  <c r="AG13" i="42"/>
  <c r="AI13" i="42"/>
  <c r="AK13" i="42"/>
  <c r="AM13" i="42"/>
  <c r="AO13" i="42"/>
  <c r="AQ13" i="42"/>
  <c r="AS13" i="42"/>
  <c r="AU13" i="42"/>
  <c r="AW13" i="42"/>
  <c r="AY13" i="42"/>
  <c r="BA13" i="42"/>
  <c r="BC13" i="42"/>
  <c r="BE13" i="42"/>
  <c r="BG13" i="42"/>
  <c r="BI13" i="42"/>
  <c r="BK13" i="42"/>
  <c r="E12" i="42"/>
  <c r="F12" i="42" s="1"/>
  <c r="G12" i="42"/>
  <c r="H12" i="42" s="1"/>
  <c r="I12" i="42"/>
  <c r="K12" i="42"/>
  <c r="L12" i="42" s="1"/>
  <c r="M12" i="42"/>
  <c r="N12" i="42" s="1"/>
  <c r="O12" i="42"/>
  <c r="P12" i="42" s="1"/>
  <c r="Q12" i="42"/>
  <c r="R12" i="42" s="1"/>
  <c r="S12" i="42"/>
  <c r="T12" i="42" s="1"/>
  <c r="U12" i="42"/>
  <c r="V12" i="42" s="1"/>
  <c r="W12" i="42"/>
  <c r="Y12" i="42"/>
  <c r="AA12" i="42"/>
  <c r="AB12" i="42" s="1"/>
  <c r="AC12" i="42"/>
  <c r="AE12" i="42"/>
  <c r="AG12" i="42"/>
  <c r="AI12" i="42"/>
  <c r="AK12" i="42"/>
  <c r="AM12" i="42"/>
  <c r="AO12" i="42"/>
  <c r="AQ12" i="42"/>
  <c r="AS12" i="42"/>
  <c r="AU12" i="42"/>
  <c r="AW12" i="42"/>
  <c r="AY12" i="42"/>
  <c r="BA12" i="42"/>
  <c r="BC12" i="42"/>
  <c r="BE12" i="42"/>
  <c r="BG12" i="42"/>
  <c r="BI12" i="42"/>
  <c r="BK12" i="42"/>
  <c r="E11" i="42"/>
  <c r="F11" i="42" s="1"/>
  <c r="G11" i="42"/>
  <c r="H11" i="42" s="1"/>
  <c r="I11" i="42"/>
  <c r="K11" i="42"/>
  <c r="L11" i="42" s="1"/>
  <c r="M11" i="42"/>
  <c r="N11" i="42" s="1"/>
  <c r="O11" i="42"/>
  <c r="P11" i="42" s="1"/>
  <c r="Q11" i="42"/>
  <c r="R11" i="42" s="1"/>
  <c r="S11" i="42"/>
  <c r="T11" i="42" s="1"/>
  <c r="U11" i="42"/>
  <c r="V11" i="42" s="1"/>
  <c r="W11" i="42"/>
  <c r="Y11" i="42"/>
  <c r="AA11" i="42"/>
  <c r="AB11" i="42" s="1"/>
  <c r="AC11" i="42"/>
  <c r="AE11" i="42"/>
  <c r="AG11" i="42"/>
  <c r="AI11" i="42"/>
  <c r="AK11" i="42"/>
  <c r="AM11" i="42"/>
  <c r="AO11" i="42"/>
  <c r="AQ11" i="42"/>
  <c r="AS11" i="42"/>
  <c r="AU11" i="42"/>
  <c r="AW11" i="42"/>
  <c r="AY11" i="42"/>
  <c r="BA11" i="42"/>
  <c r="BC11" i="42"/>
  <c r="BE11" i="42"/>
  <c r="BG11" i="42"/>
  <c r="BI11" i="42"/>
  <c r="BK11" i="42"/>
  <c r="E10" i="42"/>
  <c r="F10" i="42" s="1"/>
  <c r="G10" i="42"/>
  <c r="H10" i="42" s="1"/>
  <c r="I10" i="42"/>
  <c r="K10" i="42"/>
  <c r="L10" i="42" s="1"/>
  <c r="M10" i="42"/>
  <c r="N10" i="42" s="1"/>
  <c r="O10" i="42"/>
  <c r="P10" i="42" s="1"/>
  <c r="Q10" i="42"/>
  <c r="R10" i="42" s="1"/>
  <c r="S10" i="42"/>
  <c r="T10" i="42" s="1"/>
  <c r="U10" i="42"/>
  <c r="V10" i="42" s="1"/>
  <c r="W10" i="42"/>
  <c r="Y10" i="42"/>
  <c r="AA10" i="42"/>
  <c r="AB10" i="42" s="1"/>
  <c r="AC10" i="42"/>
  <c r="AE10" i="42"/>
  <c r="AG10" i="42"/>
  <c r="AI10" i="42"/>
  <c r="AK10" i="42"/>
  <c r="AM10" i="42"/>
  <c r="AO10" i="42"/>
  <c r="AQ10" i="42"/>
  <c r="AS10" i="42"/>
  <c r="AU10" i="42"/>
  <c r="AW10" i="42"/>
  <c r="AY10" i="42"/>
  <c r="BA10" i="42"/>
  <c r="BC10" i="42"/>
  <c r="BE10" i="42"/>
  <c r="BG10" i="42"/>
  <c r="BI10" i="42"/>
  <c r="BK10" i="42"/>
  <c r="E9" i="42"/>
  <c r="F9" i="42" s="1"/>
  <c r="G9" i="42"/>
  <c r="H9" i="42" s="1"/>
  <c r="I9" i="42"/>
  <c r="K9" i="42"/>
  <c r="L9" i="42" s="1"/>
  <c r="M9" i="42"/>
  <c r="N9" i="42" s="1"/>
  <c r="O9" i="42"/>
  <c r="P9" i="42" s="1"/>
  <c r="Q9" i="42"/>
  <c r="R9" i="42" s="1"/>
  <c r="S9" i="42"/>
  <c r="T9" i="42" s="1"/>
  <c r="U9" i="42"/>
  <c r="V9" i="42" s="1"/>
  <c r="W9" i="42"/>
  <c r="Y9" i="42"/>
  <c r="AA9" i="42"/>
  <c r="AB9" i="42" s="1"/>
  <c r="AC9" i="42"/>
  <c r="AE9" i="42"/>
  <c r="AG9" i="42"/>
  <c r="AI9" i="42"/>
  <c r="AK9" i="42"/>
  <c r="AM9" i="42"/>
  <c r="AO9" i="42"/>
  <c r="AQ9" i="42"/>
  <c r="AS9" i="42"/>
  <c r="AU9" i="42"/>
  <c r="AW9" i="42"/>
  <c r="AY9" i="42"/>
  <c r="BA9" i="42"/>
  <c r="BC9" i="42"/>
  <c r="BE9" i="42"/>
  <c r="BG9" i="42"/>
  <c r="BI9" i="42"/>
  <c r="BK9" i="42"/>
  <c r="E8" i="42"/>
  <c r="F8" i="42" s="1"/>
  <c r="G8" i="42"/>
  <c r="H8" i="42" s="1"/>
  <c r="I8" i="42"/>
  <c r="K8" i="42"/>
  <c r="L8" i="42" s="1"/>
  <c r="M8" i="42"/>
  <c r="N8" i="42" s="1"/>
  <c r="O8" i="42"/>
  <c r="P8" i="42" s="1"/>
  <c r="Q8" i="42"/>
  <c r="R8" i="42" s="1"/>
  <c r="S8" i="42"/>
  <c r="T8" i="42" s="1"/>
  <c r="U8" i="42"/>
  <c r="V8" i="42" s="1"/>
  <c r="W8" i="42"/>
  <c r="Y8" i="42"/>
  <c r="AA8" i="42"/>
  <c r="AB8" i="42" s="1"/>
  <c r="AC8" i="42"/>
  <c r="AE8" i="42"/>
  <c r="AG8" i="42"/>
  <c r="AI8" i="42"/>
  <c r="AK8" i="42"/>
  <c r="AM8" i="42"/>
  <c r="AO8" i="42"/>
  <c r="AQ8" i="42"/>
  <c r="AS8" i="42"/>
  <c r="AU8" i="42"/>
  <c r="AW8" i="42"/>
  <c r="AY8" i="42"/>
  <c r="BA8" i="42"/>
  <c r="BC8" i="42"/>
  <c r="BE8" i="42"/>
  <c r="BG8" i="42"/>
  <c r="BI8" i="42"/>
  <c r="BK8" i="42"/>
  <c r="C21" i="42"/>
  <c r="C20" i="42"/>
  <c r="C19" i="42"/>
  <c r="C18" i="42"/>
  <c r="C17" i="42"/>
  <c r="C16" i="42"/>
  <c r="C15" i="42"/>
  <c r="C14" i="42"/>
  <c r="C13" i="42"/>
  <c r="C12" i="42"/>
  <c r="C11" i="42"/>
  <c r="C10" i="42"/>
  <c r="C9" i="42"/>
  <c r="C8" i="42"/>
  <c r="BM10" i="42" l="1"/>
  <c r="BN10" i="42" s="1"/>
  <c r="BM19" i="42"/>
  <c r="BN19" i="42" s="1"/>
  <c r="BM21" i="42"/>
  <c r="BN21" i="42" s="1"/>
  <c r="BM14" i="42"/>
  <c r="BN14" i="42" s="1"/>
  <c r="BM11" i="42"/>
  <c r="BN11" i="42" s="1"/>
  <c r="BM15" i="42"/>
  <c r="BN15" i="42" s="1"/>
  <c r="BM18" i="42"/>
  <c r="BN18" i="42" s="1"/>
  <c r="BM8" i="42"/>
  <c r="BN8" i="42" s="1"/>
  <c r="BM12" i="42"/>
  <c r="BN12" i="42" s="1"/>
  <c r="BM16" i="42"/>
  <c r="BN16" i="42" s="1"/>
  <c r="BM9" i="42"/>
  <c r="BN9" i="42" s="1"/>
  <c r="BM13" i="42"/>
  <c r="BN13" i="42" s="1"/>
  <c r="BM17" i="42"/>
  <c r="BN17" i="42" s="1"/>
  <c r="BM20" i="42"/>
  <c r="BN20" i="42" s="1"/>
  <c r="I14" i="33" l="1"/>
  <c r="I16" i="33"/>
  <c r="I17" i="33"/>
  <c r="I20" i="33"/>
  <c r="I21" i="33"/>
  <c r="I22" i="33"/>
  <c r="I23" i="33"/>
  <c r="I15" i="33" l="1"/>
  <c r="I18" i="33"/>
  <c r="I24" i="33"/>
  <c r="I25" i="33"/>
  <c r="X62" i="33"/>
  <c r="U62" i="33"/>
  <c r="R62" i="33"/>
  <c r="O62" i="33"/>
  <c r="L62" i="33"/>
  <c r="I62" i="33"/>
  <c r="X61" i="33"/>
  <c r="U61" i="33"/>
  <c r="R61" i="33"/>
  <c r="O61" i="33"/>
  <c r="L61" i="33"/>
  <c r="I61" i="33"/>
  <c r="X60" i="33"/>
  <c r="U60" i="33"/>
  <c r="R60" i="33"/>
  <c r="O60" i="33"/>
  <c r="L60" i="33"/>
  <c r="I60" i="33"/>
  <c r="X59" i="33"/>
  <c r="U59" i="33"/>
  <c r="R59" i="33"/>
  <c r="O59" i="33"/>
  <c r="L59" i="33"/>
  <c r="I59" i="33"/>
  <c r="X58" i="33"/>
  <c r="U58" i="33"/>
  <c r="R58" i="33"/>
  <c r="O58" i="33"/>
  <c r="L58" i="33"/>
  <c r="I58" i="33"/>
  <c r="X57" i="33"/>
  <c r="U57" i="33"/>
  <c r="R57" i="33"/>
  <c r="O57" i="33"/>
  <c r="L57" i="33"/>
  <c r="I57" i="33"/>
  <c r="X56" i="33"/>
  <c r="U56" i="33"/>
  <c r="R56" i="33"/>
  <c r="O56" i="33"/>
  <c r="L56" i="33"/>
  <c r="I56" i="33"/>
  <c r="X55" i="33"/>
  <c r="U55" i="33"/>
  <c r="R55" i="33"/>
  <c r="O55" i="33"/>
  <c r="L55" i="33"/>
  <c r="I55" i="33"/>
  <c r="X54" i="33"/>
  <c r="U54" i="33"/>
  <c r="R54" i="33"/>
  <c r="O54" i="33"/>
  <c r="L54" i="33"/>
  <c r="I54" i="33"/>
  <c r="X53" i="33"/>
  <c r="U53" i="33"/>
  <c r="O53" i="33"/>
  <c r="L53" i="33"/>
  <c r="I53" i="33"/>
  <c r="X52" i="33"/>
  <c r="U52" i="33"/>
  <c r="R52" i="33"/>
  <c r="O52" i="33"/>
  <c r="L52" i="33"/>
  <c r="I52" i="33"/>
  <c r="X51" i="33"/>
  <c r="U51" i="33"/>
  <c r="R51" i="33"/>
  <c r="O51" i="33"/>
  <c r="L51" i="33"/>
  <c r="I51" i="33"/>
  <c r="X50" i="33"/>
  <c r="U50" i="33"/>
  <c r="R50" i="33"/>
  <c r="O50" i="33"/>
  <c r="L50" i="33"/>
  <c r="I50" i="33"/>
  <c r="X49" i="33"/>
  <c r="U49" i="33"/>
  <c r="R49" i="33"/>
  <c r="O49" i="33"/>
  <c r="L49" i="33"/>
  <c r="I49" i="33"/>
  <c r="X48" i="33"/>
  <c r="U48" i="33"/>
  <c r="R48" i="33"/>
  <c r="O48" i="33"/>
  <c r="L48" i="33"/>
  <c r="I48" i="33"/>
  <c r="X47" i="33"/>
  <c r="U47" i="33"/>
  <c r="R47" i="33"/>
  <c r="O47" i="33"/>
  <c r="L47" i="33"/>
  <c r="I47" i="33"/>
  <c r="Y46" i="33"/>
  <c r="Z46" i="33" s="1"/>
  <c r="W45" i="33"/>
  <c r="V45" i="33"/>
  <c r="T45" i="33"/>
  <c r="S45" i="33"/>
  <c r="Q45" i="33"/>
  <c r="P45" i="33"/>
  <c r="N45" i="33"/>
  <c r="M45" i="33"/>
  <c r="K45" i="33"/>
  <c r="J45" i="33"/>
  <c r="H45" i="33"/>
  <c r="G45" i="33"/>
  <c r="E45" i="33"/>
  <c r="X44" i="33"/>
  <c r="U44" i="33"/>
  <c r="R44" i="33"/>
  <c r="O44" i="33"/>
  <c r="L44" i="33"/>
  <c r="I44" i="33"/>
  <c r="X43" i="33"/>
  <c r="U43" i="33"/>
  <c r="R43" i="33"/>
  <c r="O43" i="33"/>
  <c r="L43" i="33"/>
  <c r="I43" i="33"/>
  <c r="X42" i="33"/>
  <c r="U42" i="33"/>
  <c r="R42" i="33"/>
  <c r="O42" i="33"/>
  <c r="L42" i="33"/>
  <c r="I42" i="33"/>
  <c r="X41" i="33"/>
  <c r="U41" i="33"/>
  <c r="R41" i="33"/>
  <c r="O41" i="33"/>
  <c r="L41" i="33"/>
  <c r="I41" i="33"/>
  <c r="Y40" i="33"/>
  <c r="Z40" i="33" s="1"/>
  <c r="W39" i="33"/>
  <c r="W69" i="33" s="1"/>
  <c r="V39" i="33"/>
  <c r="V69" i="33" s="1"/>
  <c r="T39" i="33"/>
  <c r="S39" i="33"/>
  <c r="Q39" i="33"/>
  <c r="Q69" i="33" s="1"/>
  <c r="P39" i="33"/>
  <c r="P69" i="33" s="1"/>
  <c r="N39" i="33"/>
  <c r="M39" i="33"/>
  <c r="K39" i="33"/>
  <c r="J39" i="33"/>
  <c r="H39" i="33"/>
  <c r="E39" i="33"/>
  <c r="X25" i="33"/>
  <c r="L25" i="33"/>
  <c r="X24" i="33"/>
  <c r="U24" i="33"/>
  <c r="R24" i="33"/>
  <c r="O24" i="33"/>
  <c r="L24" i="33"/>
  <c r="X23" i="33"/>
  <c r="U23" i="33"/>
  <c r="R23" i="33"/>
  <c r="O23" i="33"/>
  <c r="L23" i="33"/>
  <c r="X22" i="33"/>
  <c r="U22" i="33"/>
  <c r="R22" i="33"/>
  <c r="O22" i="33"/>
  <c r="L22" i="33"/>
  <c r="X21" i="33"/>
  <c r="U21" i="33"/>
  <c r="R21" i="33"/>
  <c r="O21" i="33"/>
  <c r="L21" i="33"/>
  <c r="X20" i="33"/>
  <c r="R20" i="33"/>
  <c r="X18" i="33"/>
  <c r="U18" i="33"/>
  <c r="R18" i="33"/>
  <c r="O18" i="33"/>
  <c r="L18" i="33"/>
  <c r="X17" i="33"/>
  <c r="U17" i="33"/>
  <c r="R17" i="33"/>
  <c r="O17" i="33"/>
  <c r="L17" i="33"/>
  <c r="X16" i="33"/>
  <c r="U16" i="33"/>
  <c r="R16" i="33"/>
  <c r="O16" i="33"/>
  <c r="L16" i="33"/>
  <c r="X15" i="33"/>
  <c r="U15" i="33"/>
  <c r="R15" i="33"/>
  <c r="O15" i="33"/>
  <c r="L15" i="33"/>
  <c r="X14" i="33"/>
  <c r="U14" i="33"/>
  <c r="R14" i="33"/>
  <c r="O14" i="33"/>
  <c r="L14" i="33"/>
  <c r="X13" i="33"/>
  <c r="U13" i="33"/>
  <c r="R13" i="33"/>
  <c r="O13" i="33"/>
  <c r="L13" i="33"/>
  <c r="X12" i="33"/>
  <c r="U12" i="33"/>
  <c r="R12" i="33"/>
  <c r="O12" i="33"/>
  <c r="L12" i="33"/>
  <c r="I12" i="33"/>
  <c r="X11" i="33"/>
  <c r="U11" i="33"/>
  <c r="R11" i="33"/>
  <c r="O11" i="33"/>
  <c r="L11" i="33"/>
  <c r="I11" i="33"/>
  <c r="X10" i="33"/>
  <c r="U10" i="33"/>
  <c r="R10" i="33"/>
  <c r="O10" i="33"/>
  <c r="I10" i="33"/>
  <c r="Z9" i="33"/>
  <c r="M69" i="33" l="1"/>
  <c r="N69" i="33"/>
  <c r="S69" i="33"/>
  <c r="T69" i="33"/>
  <c r="H69" i="33"/>
  <c r="K69" i="33"/>
  <c r="J69" i="33"/>
  <c r="E69" i="33"/>
  <c r="Y18" i="33"/>
  <c r="Y56" i="33"/>
  <c r="Y58" i="33"/>
  <c r="Y61" i="33"/>
  <c r="Y22" i="33"/>
  <c r="Y42" i="33"/>
  <c r="Y44" i="33"/>
  <c r="U39" i="33"/>
  <c r="R39" i="33"/>
  <c r="R45" i="33"/>
  <c r="L45" i="33"/>
  <c r="X45" i="33"/>
  <c r="Y11" i="33"/>
  <c r="Y15" i="33"/>
  <c r="Y20" i="33"/>
  <c r="Y24" i="33"/>
  <c r="Y41" i="33"/>
  <c r="U45" i="33"/>
  <c r="Y52" i="33"/>
  <c r="Y55" i="33"/>
  <c r="Y57" i="33"/>
  <c r="Y59" i="33"/>
  <c r="Y60" i="33"/>
  <c r="Y62" i="33"/>
  <c r="Y14" i="33"/>
  <c r="Y16" i="33"/>
  <c r="Y21" i="33"/>
  <c r="Y23" i="33"/>
  <c r="Y25" i="33"/>
  <c r="O45" i="33"/>
  <c r="Y47" i="33"/>
  <c r="Y49" i="33"/>
  <c r="Y51" i="33"/>
  <c r="Y50" i="33"/>
  <c r="Y54" i="33"/>
  <c r="Y17" i="33"/>
  <c r="L39" i="33"/>
  <c r="X39" i="33"/>
  <c r="X69" i="33" s="1"/>
  <c r="O39" i="33"/>
  <c r="Y10" i="33"/>
  <c r="Y12" i="33"/>
  <c r="Y43" i="33"/>
  <c r="I45" i="33"/>
  <c r="Y48" i="33"/>
  <c r="L69" i="33" l="1"/>
  <c r="U69" i="33"/>
  <c r="Y45" i="33"/>
  <c r="AZ11" i="26" l="1"/>
  <c r="AZ12" i="26"/>
  <c r="AZ13" i="26"/>
  <c r="AZ14" i="26"/>
  <c r="AZ15" i="26"/>
  <c r="AZ16" i="26"/>
  <c r="AZ17" i="26"/>
  <c r="AZ18" i="26"/>
  <c r="AZ19" i="26"/>
  <c r="AZ20" i="26"/>
  <c r="AZ21" i="26"/>
  <c r="AZ22" i="26"/>
  <c r="AV11" i="26" l="1"/>
  <c r="AQ11" i="26"/>
  <c r="C9" i="27" l="1"/>
  <c r="AR9" i="1"/>
  <c r="L9" i="27" s="1"/>
  <c r="BH11" i="26" s="1"/>
  <c r="AQ9" i="1"/>
  <c r="K9" i="27" s="1"/>
  <c r="BG11" i="26" s="1"/>
  <c r="AO9" i="1"/>
  <c r="I9" i="27" s="1"/>
  <c r="P11" i="26" s="1"/>
  <c r="Q11" i="26" s="1"/>
  <c r="AL9" i="1"/>
  <c r="F9" i="27" s="1"/>
  <c r="J11" i="26" s="1"/>
  <c r="AK9" i="1"/>
  <c r="AH11" i="1"/>
  <c r="AJ11" i="1" s="1"/>
  <c r="AH10" i="1"/>
  <c r="AJ10" i="1" s="1"/>
  <c r="AH9" i="1"/>
  <c r="D9" i="27" s="1"/>
  <c r="E11" i="26" s="1"/>
  <c r="K11" i="26" l="1"/>
  <c r="O11" i="26"/>
  <c r="M11" i="26"/>
  <c r="BK11" i="26"/>
  <c r="BL11" i="26" s="1"/>
  <c r="AE40" i="47" s="1"/>
  <c r="G11" i="26"/>
  <c r="V11" i="26"/>
  <c r="W11" i="26" s="1"/>
  <c r="P40" i="47" s="1"/>
  <c r="AJ12" i="1"/>
  <c r="M9" i="27" s="1"/>
  <c r="AP9" i="1"/>
  <c r="E9" i="27"/>
  <c r="AA11" i="26" l="1"/>
  <c r="H11" i="26"/>
  <c r="I11" i="26" s="1"/>
  <c r="J9" i="27"/>
  <c r="AT15" i="29"/>
  <c r="AU15" i="29"/>
  <c r="AV15" i="29"/>
  <c r="AX15" i="29"/>
  <c r="R11" i="26" l="1"/>
  <c r="T11" i="26" s="1"/>
  <c r="L53" i="17"/>
  <c r="L47" i="17"/>
  <c r="L46" i="17"/>
  <c r="L45" i="17"/>
  <c r="T51" i="17"/>
  <c r="S51" i="17"/>
  <c r="T48" i="17"/>
  <c r="U44" i="17"/>
  <c r="S44" i="17"/>
  <c r="BN11" i="26" l="1"/>
  <c r="O40" i="47"/>
  <c r="AI40" i="47" s="1"/>
  <c r="AJ40" i="47" s="1"/>
  <c r="AK40" i="47" s="1"/>
  <c r="AX11" i="26" s="1"/>
  <c r="AN11" i="26"/>
  <c r="I7" i="17"/>
  <c r="I8" i="17"/>
  <c r="I9" i="17"/>
  <c r="I10" i="17"/>
  <c r="I11" i="17"/>
  <c r="I12" i="17"/>
  <c r="I13" i="17"/>
  <c r="I14" i="17"/>
  <c r="I15" i="17"/>
  <c r="I16" i="17"/>
  <c r="I17" i="17"/>
  <c r="I18" i="17"/>
  <c r="I19" i="17"/>
  <c r="I6" i="17"/>
  <c r="AL40" i="47" l="1"/>
  <c r="AN40" i="47" s="1"/>
  <c r="BF11" i="26"/>
  <c r="D48" i="33" s="1"/>
  <c r="I26" i="17"/>
  <c r="AH57" i="6"/>
  <c r="AJ57" i="6" s="1"/>
  <c r="AH56" i="6"/>
  <c r="AJ56" i="6" s="1"/>
  <c r="AJ58" i="6" l="1"/>
  <c r="AF25" i="24" s="1"/>
  <c r="Q21" i="47" s="1"/>
  <c r="AK30" i="24" l="1"/>
  <c r="AL26" i="47" s="1"/>
  <c r="AN26" i="47" s="1"/>
  <c r="F30" i="33" l="1"/>
  <c r="Z30" i="33" s="1"/>
  <c r="AQ22" i="26"/>
  <c r="AV22" i="26"/>
  <c r="AZ10" i="26"/>
  <c r="AQ10" i="26" l="1"/>
  <c r="AV10" i="26"/>
  <c r="D251" i="1" l="1"/>
  <c r="E251" i="1"/>
  <c r="F251" i="1"/>
  <c r="G251" i="1"/>
  <c r="H251" i="1"/>
  <c r="I251" i="1"/>
  <c r="C251" i="1"/>
  <c r="AH54" i="6" l="1"/>
  <c r="AH53" i="6"/>
  <c r="AJ54" i="6" l="1"/>
  <c r="AJ53" i="6"/>
  <c r="AJ55" i="6" l="1"/>
  <c r="AF27" i="24" s="1"/>
  <c r="BI27" i="24" l="1"/>
  <c r="Q23" i="47"/>
  <c r="AI23" i="47" s="1"/>
  <c r="AJ23" i="47" s="1"/>
  <c r="AK23" i="47" s="1"/>
  <c r="AU27" i="24" s="1"/>
  <c r="AZ27" i="24" s="1"/>
  <c r="D27" i="33" s="1"/>
  <c r="AH51" i="6" l="1"/>
  <c r="AJ51" i="6" s="1"/>
  <c r="AH50" i="6"/>
  <c r="AJ48" i="6"/>
  <c r="AJ47" i="6"/>
  <c r="AJ50" i="6" l="1"/>
  <c r="AJ52" i="6" s="1"/>
  <c r="AF12" i="24" s="1"/>
  <c r="AJ49" i="6"/>
  <c r="AF10" i="24" s="1"/>
  <c r="Q6" i="47" s="1"/>
  <c r="Q60" i="47" l="1"/>
  <c r="AK29" i="24"/>
  <c r="AL25" i="47" s="1"/>
  <c r="AN25" i="47" s="1"/>
  <c r="AF39" i="24"/>
  <c r="AH279" i="1"/>
  <c r="AJ279" i="1" s="1"/>
  <c r="AH278" i="1"/>
  <c r="AJ278" i="1" s="1"/>
  <c r="AJ276" i="1"/>
  <c r="AJ275" i="1"/>
  <c r="AJ273" i="1"/>
  <c r="AJ272" i="1"/>
  <c r="AJ270" i="1"/>
  <c r="AJ269" i="1"/>
  <c r="AJ266" i="1"/>
  <c r="AJ267" i="1"/>
  <c r="AJ264" i="1"/>
  <c r="AJ263" i="1"/>
  <c r="AK27" i="24" l="1"/>
  <c r="AL23" i="47" s="1"/>
  <c r="AN23" i="47" s="1"/>
  <c r="F29" i="33"/>
  <c r="Z29" i="33" s="1"/>
  <c r="AJ277" i="1"/>
  <c r="AJ274" i="1"/>
  <c r="AJ271" i="1"/>
  <c r="AJ265" i="1"/>
  <c r="M16" i="27" s="1"/>
  <c r="AD18" i="26" s="1"/>
  <c r="AJ268" i="1"/>
  <c r="M19" i="27" s="1"/>
  <c r="AD21" i="26" s="1"/>
  <c r="AD30" i="26" s="1"/>
  <c r="F27" i="33" l="1"/>
  <c r="Z27" i="33" s="1"/>
  <c r="AQ21" i="26"/>
  <c r="AV21" i="26"/>
  <c r="BB15" i="29"/>
  <c r="BA15" i="29"/>
  <c r="AR15" i="29"/>
  <c r="AH15" i="29"/>
  <c r="AG15" i="29"/>
  <c r="AE15" i="29"/>
  <c r="AD15" i="29"/>
  <c r="Y15" i="29"/>
  <c r="T15" i="29"/>
  <c r="R15" i="29"/>
  <c r="P15" i="29"/>
  <c r="N15" i="29"/>
  <c r="M15" i="29"/>
  <c r="L15" i="29"/>
  <c r="J15" i="29"/>
  <c r="H15" i="29"/>
  <c r="F15" i="29"/>
  <c r="E15" i="29"/>
  <c r="BD14" i="29"/>
  <c r="BE14" i="29" s="1"/>
  <c r="AW14" i="29"/>
  <c r="AQ14" i="29"/>
  <c r="AL14" i="29"/>
  <c r="Z14" i="29"/>
  <c r="AA14" i="29" s="1"/>
  <c r="P38" i="47" s="1"/>
  <c r="V14" i="29"/>
  <c r="X14" i="29" s="1"/>
  <c r="O38" i="47" s="1"/>
  <c r="AI38" i="47" s="1"/>
  <c r="U14" i="29"/>
  <c r="S14" i="29"/>
  <c r="Q14" i="29"/>
  <c r="O14" i="29"/>
  <c r="K14" i="29"/>
  <c r="I14" i="29"/>
  <c r="G14" i="29"/>
  <c r="BD13" i="29"/>
  <c r="BE13" i="29" s="1"/>
  <c r="AW13" i="29"/>
  <c r="AL13" i="29"/>
  <c r="AJ15" i="29"/>
  <c r="Z13" i="29"/>
  <c r="V13" i="29"/>
  <c r="X13" i="29" s="1"/>
  <c r="O37" i="47" s="1"/>
  <c r="U13" i="29"/>
  <c r="S13" i="29"/>
  <c r="Q13" i="29"/>
  <c r="O13" i="29"/>
  <c r="K13" i="29"/>
  <c r="I13" i="29"/>
  <c r="G13" i="29"/>
  <c r="BD12" i="29"/>
  <c r="BE12" i="29" s="1"/>
  <c r="AW12" i="29"/>
  <c r="AO15" i="29"/>
  <c r="AK15" i="29"/>
  <c r="Z12" i="29"/>
  <c r="AA12" i="29" s="1"/>
  <c r="P36" i="47" s="1"/>
  <c r="V12" i="29"/>
  <c r="X12" i="29" s="1"/>
  <c r="U12" i="29"/>
  <c r="S12" i="29"/>
  <c r="Q12" i="29"/>
  <c r="O12" i="29"/>
  <c r="K12" i="29"/>
  <c r="I12" i="29"/>
  <c r="G12" i="29"/>
  <c r="BD11" i="29"/>
  <c r="BE11" i="29" s="1"/>
  <c r="AW11" i="29"/>
  <c r="AP15" i="29"/>
  <c r="AL11" i="29"/>
  <c r="AF15" i="29"/>
  <c r="Z11" i="29"/>
  <c r="AA11" i="29" s="1"/>
  <c r="P35" i="47" s="1"/>
  <c r="V11" i="29"/>
  <c r="U11" i="29"/>
  <c r="S11" i="29"/>
  <c r="S15" i="29" s="1"/>
  <c r="Q11" i="29"/>
  <c r="O11" i="29"/>
  <c r="K11" i="29"/>
  <c r="I11" i="29"/>
  <c r="AJ38" i="47" l="1"/>
  <c r="AK38" i="47" s="1"/>
  <c r="AS14" i="29" s="1"/>
  <c r="BF12" i="29"/>
  <c r="O36" i="47"/>
  <c r="AI36" i="47" s="1"/>
  <c r="AJ36" i="47" s="1"/>
  <c r="AK36" i="47" s="1"/>
  <c r="AS12" i="29" s="1"/>
  <c r="K15" i="29"/>
  <c r="BF14" i="29"/>
  <c r="AQ13" i="29"/>
  <c r="AQ12" i="29"/>
  <c r="U15" i="29"/>
  <c r="AW15" i="29"/>
  <c r="BD15" i="29"/>
  <c r="Q15" i="29"/>
  <c r="AQ11" i="29"/>
  <c r="AN15" i="29"/>
  <c r="AI14" i="29"/>
  <c r="AL38" i="47" s="1"/>
  <c r="AN38" i="47" s="1"/>
  <c r="AO38" i="47" s="1"/>
  <c r="O15" i="29"/>
  <c r="I15" i="29"/>
  <c r="V15" i="29"/>
  <c r="Z15" i="29"/>
  <c r="BE15" i="29"/>
  <c r="AI12" i="29"/>
  <c r="AL36" i="47" s="1"/>
  <c r="AN36" i="47" s="1"/>
  <c r="AM15" i="29"/>
  <c r="X11" i="29"/>
  <c r="AL12" i="29"/>
  <c r="AL15" i="29" s="1"/>
  <c r="AA13" i="29"/>
  <c r="G15" i="29"/>
  <c r="S47" i="26"/>
  <c r="K46" i="26"/>
  <c r="AQ42" i="26"/>
  <c r="AQ41" i="26"/>
  <c r="AR30" i="26"/>
  <c r="AY5" i="26"/>
  <c r="BF13" i="29" l="1"/>
  <c r="P37" i="47"/>
  <c r="AI37" i="47" s="1"/>
  <c r="AJ37" i="47" s="1"/>
  <c r="AK37" i="47" s="1"/>
  <c r="AS13" i="29" s="1"/>
  <c r="AO36" i="47"/>
  <c r="BF11" i="29"/>
  <c r="O35" i="47"/>
  <c r="AI35" i="47" s="1"/>
  <c r="AJ35" i="47" s="1"/>
  <c r="AK35" i="47" s="1"/>
  <c r="AS11" i="29" s="1"/>
  <c r="AS30" i="26"/>
  <c r="AQ15" i="29"/>
  <c r="AQ19" i="26"/>
  <c r="AQ13" i="26"/>
  <c r="AQ15" i="26"/>
  <c r="AV12" i="26"/>
  <c r="AV15" i="26"/>
  <c r="AQ18" i="26"/>
  <c r="AV18" i="26"/>
  <c r="AQ12" i="26"/>
  <c r="AQ14" i="26"/>
  <c r="AQ17" i="26"/>
  <c r="AV17" i="26"/>
  <c r="AV19" i="26"/>
  <c r="AQ16" i="26"/>
  <c r="AQ20" i="26"/>
  <c r="AV20" i="26"/>
  <c r="AR41" i="26"/>
  <c r="AA15" i="29"/>
  <c r="X15" i="29"/>
  <c r="AV13" i="26"/>
  <c r="AV14" i="26"/>
  <c r="AV16" i="26"/>
  <c r="AI13" i="29"/>
  <c r="AL37" i="47" s="1"/>
  <c r="AN37" i="47" s="1"/>
  <c r="AI11" i="29"/>
  <c r="AL35" i="47" s="1"/>
  <c r="AN35" i="47" s="1"/>
  <c r="BF15" i="29" l="1"/>
  <c r="AO37" i="47"/>
  <c r="AO35" i="47"/>
  <c r="AQ30" i="26"/>
  <c r="AV30" i="26"/>
  <c r="AI15" i="29"/>
  <c r="O23" i="26" l="1"/>
  <c r="M23" i="26" l="1"/>
  <c r="O74" i="17"/>
  <c r="Q74" i="17" s="1"/>
  <c r="O75" i="17"/>
  <c r="Q75" i="17" s="1"/>
  <c r="Q77" i="17" l="1"/>
  <c r="O22" i="26" l="1"/>
  <c r="O21" i="26"/>
  <c r="C23" i="27"/>
  <c r="C19" i="17" s="1"/>
  <c r="C22" i="27"/>
  <c r="C21" i="27"/>
  <c r="C20" i="27"/>
  <c r="C19" i="27"/>
  <c r="C18" i="27"/>
  <c r="C17" i="27"/>
  <c r="C16" i="27"/>
  <c r="C15" i="27"/>
  <c r="C14" i="27"/>
  <c r="C13" i="27"/>
  <c r="C12" i="27"/>
  <c r="C11" i="27"/>
  <c r="C10" i="27"/>
  <c r="C8" i="27"/>
  <c r="B12" i="42" l="1"/>
  <c r="C10" i="17"/>
  <c r="B16" i="42"/>
  <c r="C14" i="17"/>
  <c r="B20" i="42"/>
  <c r="C18" i="17"/>
  <c r="B13" i="42"/>
  <c r="C11" i="17"/>
  <c r="B17" i="42"/>
  <c r="C15" i="17"/>
  <c r="B21" i="42"/>
  <c r="B9" i="42"/>
  <c r="C7" i="17"/>
  <c r="B10" i="42"/>
  <c r="C8" i="17"/>
  <c r="B14" i="42"/>
  <c r="C12" i="17"/>
  <c r="B18" i="42"/>
  <c r="C16" i="17"/>
  <c r="B8" i="42"/>
  <c r="C6" i="17"/>
  <c r="B11" i="42"/>
  <c r="C9" i="17"/>
  <c r="B15" i="42"/>
  <c r="C13" i="17"/>
  <c r="B19" i="42"/>
  <c r="C17" i="17"/>
  <c r="M21" i="26"/>
  <c r="M22" i="26"/>
  <c r="O16" i="26"/>
  <c r="O17" i="26"/>
  <c r="O19" i="26"/>
  <c r="O15" i="26"/>
  <c r="O18" i="26"/>
  <c r="O20" i="26"/>
  <c r="O14" i="26"/>
  <c r="O13" i="26"/>
  <c r="O12" i="26"/>
  <c r="M12" i="26"/>
  <c r="M16" i="26"/>
  <c r="M17" i="26"/>
  <c r="M18" i="26"/>
  <c r="M13" i="26"/>
  <c r="M14" i="26"/>
  <c r="M15" i="26"/>
  <c r="M19" i="26"/>
  <c r="M20" i="26"/>
  <c r="O10" i="26" l="1"/>
  <c r="O30" i="26" s="1"/>
  <c r="M10" i="26"/>
  <c r="M30" i="26" s="1"/>
  <c r="W6" i="17"/>
  <c r="AH21" i="1" l="1"/>
  <c r="AJ257" i="1" l="1"/>
  <c r="AH41" i="6" l="1"/>
  <c r="O68" i="17" l="1"/>
  <c r="Q68" i="17" s="1"/>
  <c r="O60" i="17"/>
  <c r="Q60" i="17" s="1"/>
  <c r="O61" i="17"/>
  <c r="Q61" i="17" s="1"/>
  <c r="O67" i="17" l="1"/>
  <c r="Q67" i="17" s="1"/>
  <c r="Q70" i="17" s="1"/>
  <c r="Q63" i="17"/>
  <c r="O54" i="17" l="1"/>
  <c r="Q54" i="17" s="1"/>
  <c r="O53" i="17"/>
  <c r="Q53" i="17" s="1"/>
  <c r="O47" i="17"/>
  <c r="Q47" i="17" s="1"/>
  <c r="O46" i="17"/>
  <c r="Q46" i="17" s="1"/>
  <c r="Q56" i="17" l="1"/>
  <c r="Q49" i="17"/>
  <c r="V26" i="17" l="1"/>
  <c r="Q26" i="17"/>
  <c r="W26" i="17" l="1"/>
  <c r="AH257" i="1" l="1"/>
  <c r="AH7" i="1" l="1"/>
  <c r="AH6" i="1"/>
  <c r="AH39" i="6"/>
  <c r="AH40" i="6"/>
  <c r="AH42" i="6"/>
  <c r="AH38" i="6"/>
  <c r="AR156" i="1" l="1"/>
  <c r="L23" i="27" s="1"/>
  <c r="BH25" i="26" s="1"/>
  <c r="AQ156" i="1"/>
  <c r="K23" i="27" s="1"/>
  <c r="BG25" i="26" s="1"/>
  <c r="AO156" i="1"/>
  <c r="I23" i="27" s="1"/>
  <c r="P24" i="26" s="1"/>
  <c r="Q24" i="26" s="1"/>
  <c r="AL156" i="1"/>
  <c r="F23" i="27" s="1"/>
  <c r="J25" i="26" s="1"/>
  <c r="K25" i="26" s="1"/>
  <c r="AK156" i="1"/>
  <c r="E23" i="27" s="1"/>
  <c r="H25" i="26" s="1"/>
  <c r="I25" i="26" s="1"/>
  <c r="AR145" i="1"/>
  <c r="L22" i="27" s="1"/>
  <c r="BH24" i="26" s="1"/>
  <c r="AQ145" i="1"/>
  <c r="K22" i="27" s="1"/>
  <c r="BG24" i="26" s="1"/>
  <c r="AO145" i="1"/>
  <c r="I22" i="27" s="1"/>
  <c r="P23" i="26" s="1"/>
  <c r="Q23" i="26" s="1"/>
  <c r="AL145" i="1"/>
  <c r="F22" i="27" s="1"/>
  <c r="J24" i="26" s="1"/>
  <c r="AK145" i="1"/>
  <c r="E22" i="27" s="1"/>
  <c r="AR134" i="1"/>
  <c r="L21" i="27" s="1"/>
  <c r="BH23" i="26" s="1"/>
  <c r="AQ134" i="1"/>
  <c r="K21" i="27" s="1"/>
  <c r="BG23" i="26" s="1"/>
  <c r="AO134" i="1"/>
  <c r="I21" i="27" s="1"/>
  <c r="AL134" i="1"/>
  <c r="F21" i="27" s="1"/>
  <c r="J23" i="26" s="1"/>
  <c r="AK134" i="1"/>
  <c r="E21" i="27" s="1"/>
  <c r="H23" i="26" s="1"/>
  <c r="AR123" i="1"/>
  <c r="AQ123" i="1"/>
  <c r="AO123" i="1"/>
  <c r="AL123" i="1"/>
  <c r="AK123" i="1"/>
  <c r="AR112" i="1"/>
  <c r="L19" i="27" s="1"/>
  <c r="BH21" i="26" s="1"/>
  <c r="AQ112" i="1"/>
  <c r="K19" i="27" s="1"/>
  <c r="BG21" i="26" s="1"/>
  <c r="AO112" i="1"/>
  <c r="I19" i="27" s="1"/>
  <c r="P21" i="26" s="1"/>
  <c r="Q21" i="26" s="1"/>
  <c r="AL112" i="1"/>
  <c r="F19" i="27" s="1"/>
  <c r="AK112" i="1"/>
  <c r="E19" i="27" s="1"/>
  <c r="AR101" i="1"/>
  <c r="L18" i="27" s="1"/>
  <c r="BH20" i="26" s="1"/>
  <c r="AQ101" i="1"/>
  <c r="K18" i="27" s="1"/>
  <c r="BG20" i="26" s="1"/>
  <c r="AO101" i="1"/>
  <c r="I18" i="27" s="1"/>
  <c r="P20" i="26" s="1"/>
  <c r="AL101" i="1"/>
  <c r="F18" i="27" s="1"/>
  <c r="AK101" i="1"/>
  <c r="E18" i="27" s="1"/>
  <c r="AR90" i="1"/>
  <c r="L17" i="27" s="1"/>
  <c r="BH19" i="26" s="1"/>
  <c r="AQ90" i="1"/>
  <c r="K17" i="27" s="1"/>
  <c r="BG19" i="26" s="1"/>
  <c r="AO90" i="1"/>
  <c r="I17" i="27" s="1"/>
  <c r="P19" i="26" s="1"/>
  <c r="AL90" i="1"/>
  <c r="F17" i="27" s="1"/>
  <c r="AK90" i="1"/>
  <c r="E17" i="27" s="1"/>
  <c r="AR79" i="1"/>
  <c r="L16" i="27" s="1"/>
  <c r="BH18" i="26" s="1"/>
  <c r="AQ79" i="1"/>
  <c r="K16" i="27" s="1"/>
  <c r="BG18" i="26" s="1"/>
  <c r="AO79" i="1"/>
  <c r="I16" i="27" s="1"/>
  <c r="P18" i="26" s="1"/>
  <c r="AL79" i="1"/>
  <c r="F16" i="27" s="1"/>
  <c r="AK79" i="1"/>
  <c r="E16" i="27" s="1"/>
  <c r="AR68" i="1"/>
  <c r="L15" i="27" s="1"/>
  <c r="BH17" i="26" s="1"/>
  <c r="AQ68" i="1"/>
  <c r="K15" i="27" s="1"/>
  <c r="BG17" i="26" s="1"/>
  <c r="AO68" i="1"/>
  <c r="I15" i="27" s="1"/>
  <c r="P17" i="26" s="1"/>
  <c r="AL68" i="1"/>
  <c r="F15" i="27" s="1"/>
  <c r="J17" i="26" s="1"/>
  <c r="AK68" i="1"/>
  <c r="E15" i="27" s="1"/>
  <c r="AR57" i="1"/>
  <c r="L14" i="27" s="1"/>
  <c r="BH16" i="26" s="1"/>
  <c r="AQ57" i="1"/>
  <c r="K14" i="27" s="1"/>
  <c r="BG16" i="26" s="1"/>
  <c r="AO57" i="1"/>
  <c r="I14" i="27" s="1"/>
  <c r="P16" i="26" s="1"/>
  <c r="AL57" i="1"/>
  <c r="F14" i="27" s="1"/>
  <c r="J16" i="26" s="1"/>
  <c r="AK57" i="1"/>
  <c r="E14" i="27" s="1"/>
  <c r="AR46" i="1"/>
  <c r="L13" i="27" s="1"/>
  <c r="BH15" i="26" s="1"/>
  <c r="AQ46" i="1"/>
  <c r="K13" i="27" s="1"/>
  <c r="BG15" i="26" s="1"/>
  <c r="AO46" i="1"/>
  <c r="I13" i="27" s="1"/>
  <c r="P15" i="26" s="1"/>
  <c r="AL46" i="1"/>
  <c r="F13" i="27" s="1"/>
  <c r="J15" i="26" s="1"/>
  <c r="AK46" i="1"/>
  <c r="E13" i="27" s="1"/>
  <c r="AR35" i="1"/>
  <c r="L12" i="27" s="1"/>
  <c r="BH14" i="26" s="1"/>
  <c r="AQ35" i="1"/>
  <c r="K12" i="27" s="1"/>
  <c r="BG14" i="26" s="1"/>
  <c r="AO35" i="1"/>
  <c r="I12" i="27" s="1"/>
  <c r="P14" i="26" s="1"/>
  <c r="AL35" i="1"/>
  <c r="F12" i="27" s="1"/>
  <c r="J14" i="26" s="1"/>
  <c r="AK35" i="1"/>
  <c r="E12" i="27" s="1"/>
  <c r="AR24" i="1"/>
  <c r="L11" i="27" s="1"/>
  <c r="BH13" i="26" s="1"/>
  <c r="AQ24" i="1"/>
  <c r="K11" i="27" s="1"/>
  <c r="BG13" i="26" s="1"/>
  <c r="AO24" i="1"/>
  <c r="I11" i="27" s="1"/>
  <c r="P13" i="26" s="1"/>
  <c r="AL24" i="1"/>
  <c r="F11" i="27" s="1"/>
  <c r="J13" i="26" s="1"/>
  <c r="AK24" i="1"/>
  <c r="E11" i="27" s="1"/>
  <c r="AR13" i="1"/>
  <c r="L10" i="27" s="1"/>
  <c r="AQ13" i="1"/>
  <c r="K10" i="27" s="1"/>
  <c r="AO13" i="1"/>
  <c r="I10" i="27" s="1"/>
  <c r="AL13" i="1"/>
  <c r="F10" i="27" s="1"/>
  <c r="J12" i="26" s="1"/>
  <c r="AK13" i="1"/>
  <c r="E10" i="27" s="1"/>
  <c r="AR5" i="1"/>
  <c r="AQ5" i="1"/>
  <c r="AL5" i="1"/>
  <c r="AK5" i="1"/>
  <c r="AO5" i="1"/>
  <c r="AQ221" i="1" l="1"/>
  <c r="AR221" i="1"/>
  <c r="AK221" i="1"/>
  <c r="AL221" i="1"/>
  <c r="AO221" i="1"/>
  <c r="BG12" i="26"/>
  <c r="BF10" i="49"/>
  <c r="P12" i="26"/>
  <c r="Q12" i="26" s="1"/>
  <c r="P10" i="49"/>
  <c r="BH12" i="26"/>
  <c r="BG10" i="49"/>
  <c r="BG11" i="49" s="1"/>
  <c r="BK25" i="26"/>
  <c r="BL25" i="26" s="1"/>
  <c r="AE54" i="47" s="1"/>
  <c r="I23" i="26"/>
  <c r="H24" i="26"/>
  <c r="I24" i="26" s="1"/>
  <c r="K23" i="26"/>
  <c r="J21" i="26"/>
  <c r="K21" i="26" s="1"/>
  <c r="H21" i="26"/>
  <c r="I21" i="26" s="1"/>
  <c r="H20" i="26"/>
  <c r="I20" i="26" s="1"/>
  <c r="J20" i="26"/>
  <c r="K20" i="26" s="1"/>
  <c r="H19" i="26"/>
  <c r="I19" i="26" s="1"/>
  <c r="J19" i="26"/>
  <c r="K19" i="26" s="1"/>
  <c r="H18" i="26"/>
  <c r="I18" i="26" s="1"/>
  <c r="J18" i="26"/>
  <c r="K18" i="26" s="1"/>
  <c r="H17" i="26"/>
  <c r="I17" i="26" s="1"/>
  <c r="H16" i="26"/>
  <c r="I16" i="26" s="1"/>
  <c r="H15" i="26"/>
  <c r="I15" i="26" s="1"/>
  <c r="H14" i="26"/>
  <c r="I14" i="26" s="1"/>
  <c r="H13" i="26"/>
  <c r="I13" i="26" s="1"/>
  <c r="H12" i="26"/>
  <c r="I12" i="26" s="1"/>
  <c r="BK24" i="26"/>
  <c r="BL24" i="26" s="1"/>
  <c r="AE53" i="47" s="1"/>
  <c r="K24" i="26"/>
  <c r="BK23" i="26"/>
  <c r="BL23" i="26" s="1"/>
  <c r="AE52" i="47" s="1"/>
  <c r="I20" i="27"/>
  <c r="K20" i="27"/>
  <c r="BG22" i="26" s="1"/>
  <c r="E20" i="27"/>
  <c r="L20" i="27"/>
  <c r="BH22" i="26" s="1"/>
  <c r="F20" i="27"/>
  <c r="J22" i="26" s="1"/>
  <c r="BK21" i="26"/>
  <c r="BL21" i="26" s="1"/>
  <c r="AE50" i="47" s="1"/>
  <c r="Q19" i="26"/>
  <c r="Q16" i="26"/>
  <c r="Q17" i="26"/>
  <c r="Q18" i="26"/>
  <c r="Q20" i="26"/>
  <c r="Q14" i="26"/>
  <c r="Q13" i="26"/>
  <c r="K14" i="26"/>
  <c r="K13" i="26"/>
  <c r="K16" i="26"/>
  <c r="K12" i="26"/>
  <c r="K17" i="26"/>
  <c r="BK13" i="26"/>
  <c r="BL13" i="26" s="1"/>
  <c r="AE42" i="47" s="1"/>
  <c r="BK19" i="26"/>
  <c r="BL19" i="26" s="1"/>
  <c r="AE48" i="47" s="1"/>
  <c r="BK18" i="26"/>
  <c r="BL18" i="26" s="1"/>
  <c r="AE47" i="47" s="1"/>
  <c r="BK17" i="26"/>
  <c r="BL17" i="26" s="1"/>
  <c r="AE46" i="47" s="1"/>
  <c r="BK14" i="26"/>
  <c r="BL14" i="26" s="1"/>
  <c r="AE43" i="47" s="1"/>
  <c r="BK20" i="26"/>
  <c r="BL20" i="26" s="1"/>
  <c r="AE49" i="47" s="1"/>
  <c r="BK16" i="26"/>
  <c r="BL16" i="26" s="1"/>
  <c r="AE45" i="47" s="1"/>
  <c r="L8" i="27"/>
  <c r="E8" i="27"/>
  <c r="F8" i="27"/>
  <c r="I8" i="27"/>
  <c r="K8" i="27"/>
  <c r="BK12" i="26" l="1"/>
  <c r="BL12" i="26" s="1"/>
  <c r="AE41" i="47" s="1"/>
  <c r="BF11" i="49"/>
  <c r="BJ11" i="49" s="1"/>
  <c r="BJ10" i="49"/>
  <c r="BK10" i="49" s="1"/>
  <c r="BK11" i="49" s="1"/>
  <c r="Q10" i="49"/>
  <c r="R10" i="49"/>
  <c r="P11" i="49"/>
  <c r="H22" i="26"/>
  <c r="I22" i="26" s="1"/>
  <c r="E28" i="27"/>
  <c r="E30" i="27" s="1"/>
  <c r="F28" i="27"/>
  <c r="F30" i="27" s="1"/>
  <c r="L28" i="27"/>
  <c r="L30" i="27" s="1"/>
  <c r="K28" i="27"/>
  <c r="K30" i="27" s="1"/>
  <c r="I28" i="27"/>
  <c r="I30" i="27" s="1"/>
  <c r="BK22" i="26"/>
  <c r="BL22" i="26" s="1"/>
  <c r="AE51" i="47" s="1"/>
  <c r="K15" i="26"/>
  <c r="K22" i="26"/>
  <c r="Q15" i="26"/>
  <c r="P22" i="26"/>
  <c r="Q22" i="26" s="1"/>
  <c r="J10" i="26"/>
  <c r="J30" i="26" s="1"/>
  <c r="H10" i="26"/>
  <c r="H30" i="26" s="1"/>
  <c r="BK15" i="26"/>
  <c r="BL15" i="26" s="1"/>
  <c r="AE44" i="47" s="1"/>
  <c r="P10" i="26"/>
  <c r="BG10" i="26"/>
  <c r="BG30" i="26" s="1"/>
  <c r="BH10" i="26"/>
  <c r="BH30" i="26" s="1"/>
  <c r="C258" i="1"/>
  <c r="BM10" i="49" l="1"/>
  <c r="R11" i="49"/>
  <c r="Q11" i="49"/>
  <c r="AN10" i="49"/>
  <c r="AL59" i="47" s="1"/>
  <c r="AN59" i="47" s="1"/>
  <c r="AO59" i="47" s="1"/>
  <c r="P30" i="26"/>
  <c r="I10" i="26"/>
  <c r="I30" i="26" s="1"/>
  <c r="K10" i="26"/>
  <c r="K30" i="26" s="1"/>
  <c r="Q10" i="26"/>
  <c r="Q30" i="26" s="1"/>
  <c r="BK10" i="26"/>
  <c r="BL10" i="26" s="1"/>
  <c r="BK30" i="26"/>
  <c r="BL30" i="26" l="1"/>
  <c r="AE39" i="47"/>
  <c r="BE10" i="49"/>
  <c r="AN11" i="49"/>
  <c r="AG258" i="1"/>
  <c r="AF258" i="1"/>
  <c r="AE258" i="1"/>
  <c r="AD258" i="1"/>
  <c r="AC258" i="1"/>
  <c r="AB258" i="1"/>
  <c r="AA258" i="1"/>
  <c r="Z258" i="1"/>
  <c r="Y258" i="1"/>
  <c r="J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E258" i="1"/>
  <c r="F258" i="1"/>
  <c r="G258" i="1"/>
  <c r="H258" i="1"/>
  <c r="I258" i="1"/>
  <c r="D258" i="1"/>
  <c r="BE11" i="49" l="1"/>
  <c r="D67" i="33"/>
  <c r="F67" i="33" s="1"/>
  <c r="O73" i="17"/>
  <c r="L76" i="17"/>
  <c r="O76" i="17" s="1"/>
  <c r="AA251" i="1"/>
  <c r="V232" i="1" l="1"/>
  <c r="R251" i="1" l="1"/>
  <c r="O59" i="17" l="1"/>
  <c r="L62" i="17"/>
  <c r="O62" i="17" s="1"/>
  <c r="O69" i="33" l="1"/>
  <c r="F233" i="1" l="1"/>
  <c r="G233" i="1"/>
  <c r="F232" i="1"/>
  <c r="G232" i="1"/>
  <c r="AH255" i="1" l="1"/>
  <c r="AH254" i="1"/>
  <c r="AH253" i="1"/>
  <c r="AJ8" i="6" l="1"/>
  <c r="J10" i="24" s="1"/>
  <c r="K10" i="24" l="1"/>
  <c r="R233" i="1"/>
  <c r="X232" i="1" l="1"/>
  <c r="W232" i="1"/>
  <c r="AH234" i="1"/>
  <c r="O66" i="17" l="1"/>
  <c r="L69" i="17"/>
  <c r="O69" i="17" s="1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6" i="17"/>
  <c r="AG233" i="1" l="1"/>
  <c r="AH260" i="1" l="1"/>
  <c r="O232" i="1" l="1"/>
  <c r="P232" i="1"/>
  <c r="Y233" i="1" l="1"/>
  <c r="Y232" i="1"/>
  <c r="N233" i="1" l="1"/>
  <c r="N232" i="1"/>
  <c r="M233" i="1" l="1"/>
  <c r="L232" i="1"/>
  <c r="M232" i="1"/>
  <c r="L233" i="1" l="1"/>
  <c r="K232" i="1" l="1"/>
  <c r="K233" i="1"/>
  <c r="J233" i="1"/>
  <c r="J232" i="1"/>
  <c r="AD233" i="1" l="1"/>
  <c r="AD232" i="1"/>
  <c r="AC233" i="1" l="1"/>
  <c r="AB233" i="1"/>
  <c r="AC232" i="1"/>
  <c r="AB232" i="1"/>
  <c r="AG232" i="1" l="1"/>
  <c r="AF232" i="1"/>
  <c r="AE232" i="1"/>
  <c r="AA232" i="1"/>
  <c r="Z232" i="1"/>
  <c r="U232" i="1"/>
  <c r="T232" i="1"/>
  <c r="S232" i="1"/>
  <c r="R232" i="1"/>
  <c r="Q232" i="1"/>
  <c r="I232" i="1"/>
  <c r="H232" i="1"/>
  <c r="AH235" i="1" s="1"/>
  <c r="E232" i="1"/>
  <c r="D232" i="1"/>
  <c r="D233" i="1"/>
  <c r="E233" i="1"/>
  <c r="H233" i="1"/>
  <c r="I233" i="1"/>
  <c r="O233" i="1"/>
  <c r="P233" i="1"/>
  <c r="Q233" i="1"/>
  <c r="S233" i="1"/>
  <c r="T233" i="1"/>
  <c r="U233" i="1"/>
  <c r="V233" i="1"/>
  <c r="W233" i="1"/>
  <c r="Z233" i="1"/>
  <c r="AA233" i="1"/>
  <c r="AE233" i="1"/>
  <c r="AF233" i="1"/>
  <c r="C233" i="1"/>
  <c r="C232" i="1"/>
  <c r="AH233" i="1" l="1"/>
  <c r="AH232" i="1"/>
  <c r="AI233" i="1" s="1"/>
  <c r="AI234" i="1" l="1"/>
  <c r="E43" i="6" l="1"/>
  <c r="F43" i="6"/>
  <c r="G43" i="6"/>
  <c r="H43" i="6"/>
  <c r="I43" i="6"/>
  <c r="J43" i="6"/>
  <c r="K43" i="6"/>
  <c r="L43" i="6"/>
  <c r="M43" i="6"/>
  <c r="N43" i="6"/>
  <c r="O43" i="6"/>
  <c r="P43" i="6"/>
  <c r="Q43" i="6"/>
  <c r="R43" i="6"/>
  <c r="S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D43" i="6"/>
  <c r="C43" i="6"/>
  <c r="AR22" i="6" l="1"/>
  <c r="BB24" i="24" s="1"/>
  <c r="AQ22" i="6"/>
  <c r="BA24" i="24" s="1"/>
  <c r="AK22" i="6"/>
  <c r="L24" i="24" s="1"/>
  <c r="M24" i="24" s="1"/>
  <c r="AJ22" i="6"/>
  <c r="J24" i="24" s="1"/>
  <c r="K24" i="24" s="1"/>
  <c r="AI22" i="6"/>
  <c r="H24" i="24" s="1"/>
  <c r="I24" i="24" s="1"/>
  <c r="AH22" i="6"/>
  <c r="E24" i="24" s="1"/>
  <c r="BE24" i="24" l="1"/>
  <c r="BF24" i="24" s="1"/>
  <c r="AE20" i="47" s="1"/>
  <c r="G24" i="24"/>
  <c r="Z24" i="24"/>
  <c r="AO22" i="6"/>
  <c r="T24" i="24" s="1"/>
  <c r="AN22" i="6"/>
  <c r="Q24" i="24" l="1"/>
  <c r="AP22" i="6"/>
  <c r="V24" i="24" l="1"/>
  <c r="X24" i="24" s="1"/>
  <c r="U24" i="24"/>
  <c r="AJ161" i="1"/>
  <c r="AJ162" i="1"/>
  <c r="AJ150" i="1"/>
  <c r="AJ139" i="1"/>
  <c r="AJ128" i="1"/>
  <c r="AJ117" i="1"/>
  <c r="AJ106" i="1"/>
  <c r="AJ95" i="1"/>
  <c r="AJ84" i="1"/>
  <c r="AJ85" i="1"/>
  <c r="AJ73" i="1"/>
  <c r="AJ74" i="1"/>
  <c r="AJ62" i="1"/>
  <c r="AJ63" i="1"/>
  <c r="AJ51" i="1"/>
  <c r="AJ40" i="1"/>
  <c r="AJ29" i="1"/>
  <c r="AJ30" i="1"/>
  <c r="AH18" i="1"/>
  <c r="AJ160" i="1"/>
  <c r="AJ151" i="1"/>
  <c r="AJ149" i="1"/>
  <c r="AJ140" i="1"/>
  <c r="AJ138" i="1"/>
  <c r="AJ129" i="1"/>
  <c r="AJ127" i="1"/>
  <c r="AJ118" i="1"/>
  <c r="AJ116" i="1"/>
  <c r="AJ107" i="1"/>
  <c r="AJ105" i="1"/>
  <c r="AJ96" i="1"/>
  <c r="AJ94" i="1"/>
  <c r="AJ83" i="1"/>
  <c r="AJ72" i="1"/>
  <c r="AJ61" i="1"/>
  <c r="AJ50" i="1"/>
  <c r="AJ41" i="1"/>
  <c r="AJ39" i="1"/>
  <c r="AJ28" i="1"/>
  <c r="BI24" i="24" l="1"/>
  <c r="O20" i="47"/>
  <c r="AI20" i="47" s="1"/>
  <c r="AJ20" i="47" s="1"/>
  <c r="AK20" i="47" s="1"/>
  <c r="AU24" i="24" s="1"/>
  <c r="AZ24" i="24" s="1"/>
  <c r="D24" i="33" s="1"/>
  <c r="AK24" i="24"/>
  <c r="AL20" i="47" s="1"/>
  <c r="AN20" i="47" s="1"/>
  <c r="AJ31" i="1"/>
  <c r="N11" i="27" s="1"/>
  <c r="AE13" i="26" s="1"/>
  <c r="T42" i="47" s="1"/>
  <c r="AJ18" i="1"/>
  <c r="AJ225" i="1" s="1"/>
  <c r="AJ52" i="1"/>
  <c r="F24" i="33" l="1"/>
  <c r="Z24" i="33" s="1"/>
  <c r="AH68" i="1"/>
  <c r="AH71" i="1"/>
  <c r="D11" i="17" s="1"/>
  <c r="L11" i="17" s="1"/>
  <c r="AH76" i="1"/>
  <c r="AJ76" i="1" s="1"/>
  <c r="O15" i="27" s="1"/>
  <c r="AF17" i="26" s="1"/>
  <c r="U46" i="47" s="1"/>
  <c r="AH77" i="1"/>
  <c r="P15" i="27" s="1"/>
  <c r="AL17" i="26" s="1"/>
  <c r="J11" i="17" l="1"/>
  <c r="P11" i="17"/>
  <c r="AP68" i="1"/>
  <c r="J15" i="27" s="1"/>
  <c r="D15" i="27"/>
  <c r="AJ75" i="1"/>
  <c r="N15" i="27" s="1"/>
  <c r="AE17" i="26" s="1"/>
  <c r="T46" i="47" s="1"/>
  <c r="E17" i="26" l="1"/>
  <c r="R17" i="26" s="1"/>
  <c r="N251" i="1"/>
  <c r="AR9" i="6" l="1"/>
  <c r="BB11" i="24" s="1"/>
  <c r="AR10" i="6"/>
  <c r="BB12" i="24" s="1"/>
  <c r="AR11" i="6"/>
  <c r="BB13" i="24" s="1"/>
  <c r="AR12" i="6"/>
  <c r="BB14" i="24" s="1"/>
  <c r="AR13" i="6"/>
  <c r="BB15" i="24" s="1"/>
  <c r="AR14" i="6"/>
  <c r="BB16" i="24" s="1"/>
  <c r="AR15" i="6"/>
  <c r="BB17" i="24" s="1"/>
  <c r="AR16" i="6"/>
  <c r="BB18" i="24" s="1"/>
  <c r="AR17" i="6"/>
  <c r="BB19" i="24" s="1"/>
  <c r="AR18" i="6"/>
  <c r="BB20" i="24" s="1"/>
  <c r="AR19" i="6"/>
  <c r="BB21" i="24" s="1"/>
  <c r="AR20" i="6"/>
  <c r="BB22" i="24" s="1"/>
  <c r="AR21" i="6"/>
  <c r="BB23" i="24" s="1"/>
  <c r="AR23" i="6"/>
  <c r="BB25" i="24" s="1"/>
  <c r="AR24" i="6"/>
  <c r="BB26" i="24" s="1"/>
  <c r="AQ9" i="6"/>
  <c r="BA11" i="24" s="1"/>
  <c r="AQ10" i="6"/>
  <c r="BA12" i="24" s="1"/>
  <c r="AQ11" i="6"/>
  <c r="BA13" i="24" s="1"/>
  <c r="AQ12" i="6"/>
  <c r="BA14" i="24" s="1"/>
  <c r="AQ13" i="6"/>
  <c r="BA15" i="24" s="1"/>
  <c r="AQ14" i="6"/>
  <c r="BA16" i="24" s="1"/>
  <c r="AQ15" i="6"/>
  <c r="BA17" i="24" s="1"/>
  <c r="AQ16" i="6"/>
  <c r="BA18" i="24" s="1"/>
  <c r="AQ17" i="6"/>
  <c r="BA19" i="24" s="1"/>
  <c r="AQ18" i="6"/>
  <c r="BA20" i="24" s="1"/>
  <c r="AQ19" i="6"/>
  <c r="BA21" i="24" s="1"/>
  <c r="AQ20" i="6"/>
  <c r="BA22" i="24" s="1"/>
  <c r="AQ21" i="6"/>
  <c r="BA23" i="24" s="1"/>
  <c r="AQ23" i="6"/>
  <c r="BA25" i="24" s="1"/>
  <c r="AQ24" i="6"/>
  <c r="BA26" i="24" s="1"/>
  <c r="AK9" i="6"/>
  <c r="L11" i="24" s="1"/>
  <c r="M11" i="24" s="1"/>
  <c r="AK10" i="6"/>
  <c r="L12" i="24" s="1"/>
  <c r="M12" i="24" s="1"/>
  <c r="AK11" i="6"/>
  <c r="L13" i="24" s="1"/>
  <c r="M13" i="24" s="1"/>
  <c r="AK12" i="6"/>
  <c r="L14" i="24" s="1"/>
  <c r="M14" i="24" s="1"/>
  <c r="AK13" i="6"/>
  <c r="L15" i="24" s="1"/>
  <c r="M15" i="24" s="1"/>
  <c r="AK14" i="6"/>
  <c r="L16" i="24" s="1"/>
  <c r="M16" i="24" s="1"/>
  <c r="AK15" i="6"/>
  <c r="L17" i="24" s="1"/>
  <c r="M17" i="24" s="1"/>
  <c r="AK16" i="6"/>
  <c r="L18" i="24" s="1"/>
  <c r="M18" i="24" s="1"/>
  <c r="AK17" i="6"/>
  <c r="L19" i="24" s="1"/>
  <c r="M19" i="24" s="1"/>
  <c r="AK18" i="6"/>
  <c r="L20" i="24" s="1"/>
  <c r="M20" i="24" s="1"/>
  <c r="AK19" i="6"/>
  <c r="L21" i="24" s="1"/>
  <c r="M21" i="24" s="1"/>
  <c r="AK20" i="6"/>
  <c r="L22" i="24" s="1"/>
  <c r="M22" i="24" s="1"/>
  <c r="AK21" i="6"/>
  <c r="L23" i="24" s="1"/>
  <c r="M23" i="24" s="1"/>
  <c r="AK23" i="6"/>
  <c r="L25" i="24" s="1"/>
  <c r="M25" i="24" s="1"/>
  <c r="AK24" i="6"/>
  <c r="L26" i="24" s="1"/>
  <c r="M26" i="24" s="1"/>
  <c r="AJ9" i="6"/>
  <c r="J11" i="24" s="1"/>
  <c r="K11" i="24" s="1"/>
  <c r="AJ10" i="6"/>
  <c r="J12" i="24" s="1"/>
  <c r="AJ11" i="6"/>
  <c r="J13" i="24" s="1"/>
  <c r="K13" i="24" s="1"/>
  <c r="AJ12" i="6"/>
  <c r="J14" i="24" s="1"/>
  <c r="K14" i="24" s="1"/>
  <c r="AJ13" i="6"/>
  <c r="J15" i="24" s="1"/>
  <c r="K15" i="24" s="1"/>
  <c r="AJ14" i="6"/>
  <c r="J16" i="24" s="1"/>
  <c r="K16" i="24" s="1"/>
  <c r="AJ15" i="6"/>
  <c r="J17" i="24" s="1"/>
  <c r="K17" i="24" s="1"/>
  <c r="AJ16" i="6"/>
  <c r="J18" i="24" s="1"/>
  <c r="K18" i="24" s="1"/>
  <c r="AJ17" i="6"/>
  <c r="J19" i="24" s="1"/>
  <c r="AJ18" i="6"/>
  <c r="J20" i="24" s="1"/>
  <c r="K20" i="24" s="1"/>
  <c r="AJ19" i="6"/>
  <c r="J21" i="24" s="1"/>
  <c r="K21" i="24" s="1"/>
  <c r="AJ20" i="6"/>
  <c r="J22" i="24" s="1"/>
  <c r="K22" i="24" s="1"/>
  <c r="AJ21" i="6"/>
  <c r="J23" i="24" s="1"/>
  <c r="K23" i="24" s="1"/>
  <c r="AJ23" i="6"/>
  <c r="J25" i="24" s="1"/>
  <c r="K25" i="24" s="1"/>
  <c r="AJ24" i="6"/>
  <c r="J26" i="24" s="1"/>
  <c r="K26" i="24" s="1"/>
  <c r="AI9" i="6"/>
  <c r="H11" i="24" s="1"/>
  <c r="I11" i="24" s="1"/>
  <c r="AI10" i="6"/>
  <c r="H12" i="24" s="1"/>
  <c r="I12" i="24" s="1"/>
  <c r="AI11" i="6"/>
  <c r="H13" i="24" s="1"/>
  <c r="I13" i="24" s="1"/>
  <c r="AI12" i="6"/>
  <c r="H14" i="24" s="1"/>
  <c r="I14" i="24" s="1"/>
  <c r="AI13" i="6"/>
  <c r="H15" i="24" s="1"/>
  <c r="I15" i="24" s="1"/>
  <c r="AI14" i="6"/>
  <c r="H16" i="24" s="1"/>
  <c r="I16" i="24" s="1"/>
  <c r="AI15" i="6"/>
  <c r="H17" i="24" s="1"/>
  <c r="I17" i="24" s="1"/>
  <c r="AI16" i="6"/>
  <c r="H18" i="24" s="1"/>
  <c r="I18" i="24" s="1"/>
  <c r="AI17" i="6"/>
  <c r="H19" i="24" s="1"/>
  <c r="I19" i="24" s="1"/>
  <c r="AI18" i="6"/>
  <c r="H20" i="24" s="1"/>
  <c r="I20" i="24" s="1"/>
  <c r="AI19" i="6"/>
  <c r="H21" i="24" s="1"/>
  <c r="I21" i="24" s="1"/>
  <c r="AI20" i="6"/>
  <c r="H22" i="24" s="1"/>
  <c r="I22" i="24" s="1"/>
  <c r="AI21" i="6"/>
  <c r="H23" i="24" s="1"/>
  <c r="I23" i="24" s="1"/>
  <c r="AI23" i="6"/>
  <c r="H25" i="24" s="1"/>
  <c r="I25" i="24" s="1"/>
  <c r="AI24" i="6"/>
  <c r="H26" i="24" s="1"/>
  <c r="I26" i="24" s="1"/>
  <c r="BE23" i="24" l="1"/>
  <c r="BF23" i="24" s="1"/>
  <c r="AE19" i="47" s="1"/>
  <c r="BE19" i="24"/>
  <c r="BF19" i="24" s="1"/>
  <c r="AE15" i="47" s="1"/>
  <c r="BE15" i="24"/>
  <c r="BF15" i="24" s="1"/>
  <c r="AE11" i="47" s="1"/>
  <c r="K12" i="24"/>
  <c r="J39" i="24"/>
  <c r="BE21" i="24"/>
  <c r="BF21" i="24" s="1"/>
  <c r="AE17" i="47" s="1"/>
  <c r="BE17" i="24"/>
  <c r="BF17" i="24" s="1"/>
  <c r="AE13" i="47" s="1"/>
  <c r="BE20" i="24"/>
  <c r="BF20" i="24" s="1"/>
  <c r="AE16" i="47" s="1"/>
  <c r="BE12" i="24"/>
  <c r="BF12" i="24" s="1"/>
  <c r="AE8" i="47" s="1"/>
  <c r="BE13" i="24"/>
  <c r="BF13" i="24" s="1"/>
  <c r="AE9" i="47" s="1"/>
  <c r="BE25" i="24"/>
  <c r="BF25" i="24" s="1"/>
  <c r="AE21" i="47" s="1"/>
  <c r="BE11" i="24"/>
  <c r="BF11" i="24" s="1"/>
  <c r="AE7" i="47" s="1"/>
  <c r="BE18" i="24"/>
  <c r="BF18" i="24" s="1"/>
  <c r="AE14" i="47" s="1"/>
  <c r="BE16" i="24"/>
  <c r="BF16" i="24" s="1"/>
  <c r="AE12" i="47" s="1"/>
  <c r="BE22" i="24"/>
  <c r="BF22" i="24" s="1"/>
  <c r="AE18" i="47" s="1"/>
  <c r="BE26" i="24"/>
  <c r="BF26" i="24" s="1"/>
  <c r="AE22" i="47" s="1"/>
  <c r="BE14" i="24"/>
  <c r="BF14" i="24" s="1"/>
  <c r="AE10" i="47" s="1"/>
  <c r="K19" i="24"/>
  <c r="AJ37" i="6"/>
  <c r="N259" i="1"/>
  <c r="AH256" i="1"/>
  <c r="AH252" i="1"/>
  <c r="AG251" i="1"/>
  <c r="AF251" i="1"/>
  <c r="AE251" i="1"/>
  <c r="AD251" i="1"/>
  <c r="AC251" i="1"/>
  <c r="AB251" i="1"/>
  <c r="Z251" i="1"/>
  <c r="Y251" i="1"/>
  <c r="X251" i="1"/>
  <c r="W251" i="1"/>
  <c r="V251" i="1"/>
  <c r="U251" i="1"/>
  <c r="T251" i="1"/>
  <c r="S251" i="1"/>
  <c r="Q251" i="1"/>
  <c r="P251" i="1"/>
  <c r="O251" i="1"/>
  <c r="M251" i="1"/>
  <c r="AH249" i="1"/>
  <c r="AH248" i="1"/>
  <c r="AH247" i="1"/>
  <c r="AH246" i="1"/>
  <c r="AH245" i="1"/>
  <c r="AH244" i="1"/>
  <c r="AH243" i="1"/>
  <c r="AH242" i="1"/>
  <c r="AH241" i="1"/>
  <c r="AH240" i="1"/>
  <c r="AH239" i="1"/>
  <c r="AH238" i="1"/>
  <c r="AH237" i="1"/>
  <c r="AH164" i="1"/>
  <c r="AJ164" i="1" s="1"/>
  <c r="O23" i="27" s="1"/>
  <c r="AF25" i="26" s="1"/>
  <c r="U54" i="47" s="1"/>
  <c r="AH159" i="1"/>
  <c r="D19" i="17" s="1"/>
  <c r="AH156" i="1"/>
  <c r="AP156" i="1" s="1"/>
  <c r="AH154" i="1"/>
  <c r="AH153" i="1"/>
  <c r="AJ153" i="1" s="1"/>
  <c r="O22" i="27" s="1"/>
  <c r="AF24" i="26" s="1"/>
  <c r="U53" i="47" s="1"/>
  <c r="AH148" i="1"/>
  <c r="D18" i="17" s="1"/>
  <c r="AH145" i="1"/>
  <c r="AH144" i="1"/>
  <c r="AH143" i="1"/>
  <c r="P21" i="27" s="1"/>
  <c r="AL23" i="26" s="1"/>
  <c r="AH142" i="1"/>
  <c r="AJ142" i="1" s="1"/>
  <c r="O21" i="27" s="1"/>
  <c r="AF23" i="26" s="1"/>
  <c r="U52" i="47" s="1"/>
  <c r="AH137" i="1"/>
  <c r="D17" i="17" s="1"/>
  <c r="L17" i="17" s="1"/>
  <c r="AH134" i="1"/>
  <c r="AH132" i="1"/>
  <c r="P20" i="27" s="1"/>
  <c r="AL22" i="26" s="1"/>
  <c r="AH131" i="1"/>
  <c r="AH126" i="1"/>
  <c r="AH123" i="1"/>
  <c r="AH121" i="1"/>
  <c r="P19" i="27" s="1"/>
  <c r="AL21" i="26" s="1"/>
  <c r="AH120" i="1"/>
  <c r="AJ120" i="1" s="1"/>
  <c r="O19" i="27" s="1"/>
  <c r="AF21" i="26" s="1"/>
  <c r="U50" i="47" s="1"/>
  <c r="AH115" i="1"/>
  <c r="D15" i="17" s="1"/>
  <c r="L15" i="17" s="1"/>
  <c r="AH112" i="1"/>
  <c r="AH110" i="1"/>
  <c r="P18" i="27" s="1"/>
  <c r="AL20" i="26" s="1"/>
  <c r="AH109" i="1"/>
  <c r="AJ109" i="1" s="1"/>
  <c r="O18" i="27" s="1"/>
  <c r="AF20" i="26" s="1"/>
  <c r="U49" i="47" s="1"/>
  <c r="AH104" i="1"/>
  <c r="D14" i="17" s="1"/>
  <c r="L14" i="17" s="1"/>
  <c r="AH101" i="1"/>
  <c r="AH99" i="1"/>
  <c r="P17" i="27" s="1"/>
  <c r="AL19" i="26" s="1"/>
  <c r="AH98" i="1"/>
  <c r="AH93" i="1"/>
  <c r="D13" i="17" s="1"/>
  <c r="L13" i="17" s="1"/>
  <c r="AH90" i="1"/>
  <c r="AH88" i="1"/>
  <c r="AH87" i="1"/>
  <c r="AJ87" i="1" s="1"/>
  <c r="O16" i="27" s="1"/>
  <c r="AF18" i="26" s="1"/>
  <c r="U47" i="47" s="1"/>
  <c r="AH82" i="1"/>
  <c r="D12" i="17" s="1"/>
  <c r="L12" i="17" s="1"/>
  <c r="AH79" i="1"/>
  <c r="AH66" i="1"/>
  <c r="P14" i="27" s="1"/>
  <c r="AL16" i="26" s="1"/>
  <c r="AH65" i="1"/>
  <c r="AJ65" i="1" s="1"/>
  <c r="O14" i="27" s="1"/>
  <c r="AF16" i="26" s="1"/>
  <c r="U45" i="47" s="1"/>
  <c r="AH60" i="1"/>
  <c r="D10" i="17" s="1"/>
  <c r="L10" i="17" s="1"/>
  <c r="AH57" i="1"/>
  <c r="AH55" i="1"/>
  <c r="P13" i="27" s="1"/>
  <c r="AL15" i="26" s="1"/>
  <c r="AH54" i="1"/>
  <c r="AJ54" i="1" s="1"/>
  <c r="O13" i="27" s="1"/>
  <c r="AF15" i="26" s="1"/>
  <c r="U44" i="47" s="1"/>
  <c r="AH49" i="1"/>
  <c r="D9" i="17" s="1"/>
  <c r="L9" i="17" s="1"/>
  <c r="AH46" i="1"/>
  <c r="AH44" i="1"/>
  <c r="P12" i="27" s="1"/>
  <c r="AL14" i="26" s="1"/>
  <c r="AH43" i="1"/>
  <c r="AJ43" i="1" s="1"/>
  <c r="O12" i="27" s="1"/>
  <c r="AF14" i="26" s="1"/>
  <c r="U43" i="47" s="1"/>
  <c r="AH38" i="1"/>
  <c r="D8" i="17" s="1"/>
  <c r="L8" i="17" s="1"/>
  <c r="AH35" i="1"/>
  <c r="AH33" i="1"/>
  <c r="P11" i="27" s="1"/>
  <c r="AL13" i="26" s="1"/>
  <c r="AH32" i="1"/>
  <c r="AH27" i="1"/>
  <c r="D7" i="17" s="1"/>
  <c r="L7" i="17" s="1"/>
  <c r="AH24" i="1"/>
  <c r="AH22" i="1"/>
  <c r="AH19" i="1"/>
  <c r="AH17" i="1"/>
  <c r="AH16" i="1"/>
  <c r="AH13" i="1"/>
  <c r="AJ7" i="1"/>
  <c r="AJ6" i="1"/>
  <c r="AH5" i="1"/>
  <c r="P16" i="27" l="1"/>
  <c r="AL18" i="26" s="1"/>
  <c r="P22" i="27"/>
  <c r="AL24" i="26" s="1"/>
  <c r="AH228" i="1"/>
  <c r="AH223" i="1"/>
  <c r="AH221" i="1"/>
  <c r="L18" i="17"/>
  <c r="P18" i="17" s="1"/>
  <c r="L19" i="17"/>
  <c r="P19" i="17" s="1"/>
  <c r="K39" i="24"/>
  <c r="J9" i="17"/>
  <c r="P9" i="17"/>
  <c r="J14" i="17"/>
  <c r="P14" i="17"/>
  <c r="J7" i="17"/>
  <c r="P7" i="17"/>
  <c r="J10" i="17"/>
  <c r="P10" i="17"/>
  <c r="J13" i="17"/>
  <c r="P13" i="17"/>
  <c r="J17" i="17"/>
  <c r="P17" i="17"/>
  <c r="J8" i="17"/>
  <c r="P8" i="17"/>
  <c r="J12" i="17"/>
  <c r="P12" i="17"/>
  <c r="J15" i="17"/>
  <c r="P15" i="17"/>
  <c r="D6" i="17"/>
  <c r="AJ131" i="1"/>
  <c r="D16" i="17"/>
  <c r="L16" i="17" s="1"/>
  <c r="R53" i="33"/>
  <c r="AH251" i="1"/>
  <c r="AJ256" i="1" s="1"/>
  <c r="J18" i="17"/>
  <c r="J19" i="17"/>
  <c r="AJ98" i="1"/>
  <c r="O17" i="27" s="1"/>
  <c r="AF19" i="26" s="1"/>
  <c r="U48" i="47" s="1"/>
  <c r="P10" i="27"/>
  <c r="AL12" i="26" s="1"/>
  <c r="L48" i="17"/>
  <c r="O48" i="17" s="1"/>
  <c r="O45" i="17"/>
  <c r="O52" i="17"/>
  <c r="L55" i="17"/>
  <c r="O55" i="17" s="1"/>
  <c r="J23" i="27"/>
  <c r="D23" i="27"/>
  <c r="E25" i="26" s="1"/>
  <c r="AP145" i="1"/>
  <c r="J22" i="27" s="1"/>
  <c r="D22" i="27"/>
  <c r="E24" i="26" s="1"/>
  <c r="AP134" i="1"/>
  <c r="J21" i="27" s="1"/>
  <c r="D21" i="27"/>
  <c r="E23" i="26" s="1"/>
  <c r="AP123" i="1"/>
  <c r="D20" i="27"/>
  <c r="E22" i="26" s="1"/>
  <c r="AP112" i="1"/>
  <c r="J19" i="27" s="1"/>
  <c r="D19" i="27"/>
  <c r="E21" i="26" s="1"/>
  <c r="AP101" i="1"/>
  <c r="J18" i="27" s="1"/>
  <c r="D18" i="27"/>
  <c r="E20" i="26" s="1"/>
  <c r="AP90" i="1"/>
  <c r="J17" i="27" s="1"/>
  <c r="D17" i="27"/>
  <c r="E19" i="26" s="1"/>
  <c r="AP79" i="1"/>
  <c r="J16" i="27" s="1"/>
  <c r="D16" i="27"/>
  <c r="E18" i="26" s="1"/>
  <c r="AP57" i="1"/>
  <c r="J14" i="27" s="1"/>
  <c r="D14" i="27"/>
  <c r="AP46" i="1"/>
  <c r="J13" i="27" s="1"/>
  <c r="D13" i="27"/>
  <c r="AP35" i="1"/>
  <c r="J12" i="27" s="1"/>
  <c r="D12" i="27"/>
  <c r="AP24" i="1"/>
  <c r="J11" i="27" s="1"/>
  <c r="D11" i="27"/>
  <c r="AP13" i="1"/>
  <c r="J10" i="27" s="1"/>
  <c r="D10" i="27"/>
  <c r="AP5" i="1"/>
  <c r="D8" i="27"/>
  <c r="AJ32" i="1"/>
  <c r="O11" i="27" s="1"/>
  <c r="AF13" i="26" s="1"/>
  <c r="U42" i="47" s="1"/>
  <c r="G259" i="1"/>
  <c r="T259" i="1"/>
  <c r="AJ21" i="1"/>
  <c r="V259" i="1"/>
  <c r="R259" i="1"/>
  <c r="AD259" i="1"/>
  <c r="AB259" i="1"/>
  <c r="J259" i="1"/>
  <c r="X259" i="1"/>
  <c r="P259" i="1"/>
  <c r="F259" i="1"/>
  <c r="C259" i="1"/>
  <c r="K259" i="1"/>
  <c r="D259" i="1"/>
  <c r="H259" i="1"/>
  <c r="L259" i="1"/>
  <c r="O259" i="1"/>
  <c r="S259" i="1"/>
  <c r="W259" i="1"/>
  <c r="AA259" i="1"/>
  <c r="E259" i="1"/>
  <c r="I259" i="1"/>
  <c r="M259" i="1"/>
  <c r="Q259" i="1"/>
  <c r="U259" i="1"/>
  <c r="Y259" i="1"/>
  <c r="AC259" i="1"/>
  <c r="AG259" i="1"/>
  <c r="AF259" i="1"/>
  <c r="AE259" i="1"/>
  <c r="AH258" i="1"/>
  <c r="Z259" i="1"/>
  <c r="AJ8" i="1"/>
  <c r="AJ141" i="1"/>
  <c r="N21" i="27" s="1"/>
  <c r="AE23" i="26" s="1"/>
  <c r="T52" i="47" s="1"/>
  <c r="AJ108" i="1"/>
  <c r="N18" i="27" s="1"/>
  <c r="AE20" i="26" s="1"/>
  <c r="T49" i="47" s="1"/>
  <c r="AJ119" i="1"/>
  <c r="N19" i="27" s="1"/>
  <c r="AE21" i="26" s="1"/>
  <c r="T50" i="47" s="1"/>
  <c r="AJ64" i="1"/>
  <c r="N14" i="27" s="1"/>
  <c r="AE16" i="26" s="1"/>
  <c r="T45" i="47" s="1"/>
  <c r="AJ152" i="1"/>
  <c r="N22" i="27" s="1"/>
  <c r="AE24" i="26" s="1"/>
  <c r="T53" i="47" s="1"/>
  <c r="AJ42" i="1"/>
  <c r="N12" i="27" s="1"/>
  <c r="AE14" i="26" s="1"/>
  <c r="T43" i="47" s="1"/>
  <c r="AJ163" i="1"/>
  <c r="N23" i="27" s="1"/>
  <c r="AE25" i="26" s="1"/>
  <c r="T54" i="47" s="1"/>
  <c r="AJ53" i="1"/>
  <c r="N13" i="27" s="1"/>
  <c r="AE15" i="26" s="1"/>
  <c r="T44" i="47" s="1"/>
  <c r="AJ86" i="1"/>
  <c r="N16" i="27" s="1"/>
  <c r="AE18" i="26" s="1"/>
  <c r="T47" i="47" s="1"/>
  <c r="AJ130" i="1"/>
  <c r="N20" i="27" s="1"/>
  <c r="AE22" i="26" s="1"/>
  <c r="T51" i="47" s="1"/>
  <c r="AH165" i="1"/>
  <c r="P23" i="27" s="1"/>
  <c r="AL25" i="26" s="1"/>
  <c r="AJ17" i="1"/>
  <c r="AJ224" i="1" s="1"/>
  <c r="AJ19" i="1"/>
  <c r="AJ226" i="1" s="1"/>
  <c r="R69" i="33" l="1"/>
  <c r="AH229" i="1"/>
  <c r="AP221" i="1"/>
  <c r="AL30" i="26"/>
  <c r="G25" i="26"/>
  <c r="R25" i="26"/>
  <c r="E16" i="26"/>
  <c r="R16" i="26" s="1"/>
  <c r="T16" i="26" s="1"/>
  <c r="E15" i="26"/>
  <c r="G15" i="26" s="1"/>
  <c r="E14" i="26"/>
  <c r="R14" i="26" s="1"/>
  <c r="T14" i="26" s="1"/>
  <c r="E13" i="26"/>
  <c r="R13" i="26" s="1"/>
  <c r="T13" i="26" s="1"/>
  <c r="E12" i="26"/>
  <c r="R12" i="26" s="1"/>
  <c r="T12" i="26" s="1"/>
  <c r="O41" i="47" s="1"/>
  <c r="J16" i="17"/>
  <c r="P16" i="17"/>
  <c r="P28" i="27"/>
  <c r="P30" i="27" s="1"/>
  <c r="J6" i="17"/>
  <c r="L6" i="17"/>
  <c r="E10" i="26"/>
  <c r="D28" i="27"/>
  <c r="D30" i="27" s="1"/>
  <c r="AJ228" i="1"/>
  <c r="R24" i="26"/>
  <c r="T24" i="26" s="1"/>
  <c r="G24" i="26"/>
  <c r="R23" i="26"/>
  <c r="T23" i="26" s="1"/>
  <c r="G23" i="26"/>
  <c r="R22" i="26"/>
  <c r="T22" i="26" s="1"/>
  <c r="O51" i="47" s="1"/>
  <c r="G22" i="26"/>
  <c r="R21" i="26"/>
  <c r="T21" i="26" s="1"/>
  <c r="G21" i="26"/>
  <c r="R20" i="26"/>
  <c r="T20" i="26" s="1"/>
  <c r="G20" i="26"/>
  <c r="R19" i="26"/>
  <c r="T19" i="26" s="1"/>
  <c r="O48" i="47" s="1"/>
  <c r="G19" i="26"/>
  <c r="R18" i="26"/>
  <c r="T18" i="26" s="1"/>
  <c r="G18" i="26"/>
  <c r="O20" i="27"/>
  <c r="AF22" i="26" s="1"/>
  <c r="U51" i="47" s="1"/>
  <c r="J20" i="27"/>
  <c r="Y53" i="33"/>
  <c r="T17" i="26"/>
  <c r="G17" i="26"/>
  <c r="M8" i="27"/>
  <c r="M28" i="27" s="1"/>
  <c r="M30" i="27" s="1"/>
  <c r="O10" i="27"/>
  <c r="AF12" i="26" s="1"/>
  <c r="U41" i="47" s="1"/>
  <c r="J8" i="27"/>
  <c r="AJ227" i="1"/>
  <c r="AH259" i="1"/>
  <c r="AJ97" i="1"/>
  <c r="N17" i="27" s="1"/>
  <c r="AE19" i="26" s="1"/>
  <c r="T48" i="47" s="1"/>
  <c r="AJ20" i="1"/>
  <c r="N10" i="27" s="1"/>
  <c r="AE12" i="26" s="1"/>
  <c r="T41" i="47" s="1"/>
  <c r="T60" i="47" l="1"/>
  <c r="AI51" i="47"/>
  <c r="U60" i="47"/>
  <c r="BN17" i="26"/>
  <c r="O46" i="47"/>
  <c r="AI46" i="47" s="1"/>
  <c r="BN14" i="26"/>
  <c r="O43" i="47"/>
  <c r="AI43" i="47" s="1"/>
  <c r="BN24" i="26"/>
  <c r="O53" i="47"/>
  <c r="AI53" i="47" s="1"/>
  <c r="BN18" i="26"/>
  <c r="O47" i="47"/>
  <c r="AI47" i="47" s="1"/>
  <c r="BN20" i="26"/>
  <c r="O49" i="47"/>
  <c r="AI49" i="47" s="1"/>
  <c r="AI41" i="47"/>
  <c r="BN16" i="26"/>
  <c r="O45" i="47"/>
  <c r="AI45" i="47" s="1"/>
  <c r="AI48" i="47"/>
  <c r="BN21" i="26"/>
  <c r="O50" i="47"/>
  <c r="AI50" i="47" s="1"/>
  <c r="BN23" i="26"/>
  <c r="O52" i="47"/>
  <c r="AI52" i="47" s="1"/>
  <c r="BN13" i="26"/>
  <c r="O42" i="47"/>
  <c r="AI42" i="47" s="1"/>
  <c r="BN22" i="26"/>
  <c r="BN12" i="26"/>
  <c r="BN19" i="26"/>
  <c r="AE30" i="26"/>
  <c r="T25" i="26"/>
  <c r="AF30" i="26"/>
  <c r="R15" i="26"/>
  <c r="T15" i="26" s="1"/>
  <c r="G12" i="26"/>
  <c r="G16" i="26"/>
  <c r="AN16" i="26" s="1"/>
  <c r="G13" i="26"/>
  <c r="AN13" i="26" s="1"/>
  <c r="E30" i="26"/>
  <c r="G14" i="26"/>
  <c r="AN14" i="26" s="1"/>
  <c r="AN23" i="26"/>
  <c r="AN20" i="26"/>
  <c r="AN22" i="26"/>
  <c r="J26" i="17"/>
  <c r="AN17" i="26"/>
  <c r="AN19" i="26"/>
  <c r="AN24" i="26"/>
  <c r="N28" i="27"/>
  <c r="N30" i="27" s="1"/>
  <c r="O28" i="27"/>
  <c r="O30" i="27" s="1"/>
  <c r="J28" i="27"/>
  <c r="J30" i="27" s="1"/>
  <c r="R10" i="26"/>
  <c r="G10" i="26"/>
  <c r="V10" i="26"/>
  <c r="V30" i="26" s="1"/>
  <c r="AA10" i="26"/>
  <c r="AA30" i="26" s="1"/>
  <c r="AJ42" i="47" l="1"/>
  <c r="AK42" i="47" s="1"/>
  <c r="AX13" i="26" s="1"/>
  <c r="AJ47" i="47"/>
  <c r="AK47" i="47" s="1"/>
  <c r="AX18" i="26" s="1"/>
  <c r="BF18" i="26" s="1"/>
  <c r="D55" i="33" s="1"/>
  <c r="AJ43" i="47"/>
  <c r="AK43" i="47" s="1"/>
  <c r="AX14" i="26" s="1"/>
  <c r="BF14" i="26" s="1"/>
  <c r="D51" i="33" s="1"/>
  <c r="AJ50" i="47"/>
  <c r="AK50" i="47" s="1"/>
  <c r="AX21" i="26" s="1"/>
  <c r="BF21" i="26" s="1"/>
  <c r="D58" i="33" s="1"/>
  <c r="AJ51" i="47"/>
  <c r="AK51" i="47" s="1"/>
  <c r="AX22" i="26" s="1"/>
  <c r="AJ52" i="47"/>
  <c r="AK52" i="47" s="1"/>
  <c r="AX23" i="26" s="1"/>
  <c r="AJ48" i="47"/>
  <c r="AK48" i="47" s="1"/>
  <c r="AX19" i="26" s="1"/>
  <c r="BF19" i="26" s="1"/>
  <c r="D56" i="33" s="1"/>
  <c r="AJ49" i="47"/>
  <c r="AK49" i="47" s="1"/>
  <c r="AX20" i="26" s="1"/>
  <c r="AJ53" i="47"/>
  <c r="AK53" i="47" s="1"/>
  <c r="AX24" i="26" s="1"/>
  <c r="AJ46" i="47"/>
  <c r="AK46" i="47" s="1"/>
  <c r="AX17" i="26" s="1"/>
  <c r="BF17" i="26" s="1"/>
  <c r="D54" i="33" s="1"/>
  <c r="AL53" i="47"/>
  <c r="AN53" i="47" s="1"/>
  <c r="AO53" i="47" s="1"/>
  <c r="BF24" i="26"/>
  <c r="D61" i="33" s="1"/>
  <c r="AL52" i="47"/>
  <c r="AN52" i="47" s="1"/>
  <c r="AO52" i="47" s="1"/>
  <c r="BF23" i="26"/>
  <c r="D60" i="33" s="1"/>
  <c r="AL45" i="47"/>
  <c r="AN45" i="47" s="1"/>
  <c r="AO45" i="47" s="1"/>
  <c r="AL47" i="47"/>
  <c r="AN47" i="47" s="1"/>
  <c r="AO47" i="47" s="1"/>
  <c r="AL46" i="47"/>
  <c r="AN46" i="47" s="1"/>
  <c r="AO46" i="47" s="1"/>
  <c r="AL42" i="47"/>
  <c r="AN42" i="47" s="1"/>
  <c r="AO42" i="47" s="1"/>
  <c r="BF13" i="26"/>
  <c r="D50" i="33" s="1"/>
  <c r="AL50" i="47"/>
  <c r="AN50" i="47" s="1"/>
  <c r="AO50" i="47" s="1"/>
  <c r="AL51" i="47"/>
  <c r="AN51" i="47" s="1"/>
  <c r="AO51" i="47" s="1"/>
  <c r="BF22" i="26"/>
  <c r="D59" i="33" s="1"/>
  <c r="AL43" i="47"/>
  <c r="AN43" i="47" s="1"/>
  <c r="AO43" i="47" s="1"/>
  <c r="AL48" i="47"/>
  <c r="AN48" i="47" s="1"/>
  <c r="AO48" i="47" s="1"/>
  <c r="AL49" i="47"/>
  <c r="AN49" i="47" s="1"/>
  <c r="AO49" i="47" s="1"/>
  <c r="BF20" i="26"/>
  <c r="D57" i="33" s="1"/>
  <c r="BN15" i="26"/>
  <c r="O44" i="47"/>
  <c r="AI44" i="47" s="1"/>
  <c r="AJ41" i="47"/>
  <c r="AK41" i="47" s="1"/>
  <c r="AX12" i="26" s="1"/>
  <c r="BN25" i="26"/>
  <c r="O54" i="47"/>
  <c r="AI54" i="47" s="1"/>
  <c r="AJ45" i="47"/>
  <c r="AK45" i="47" s="1"/>
  <c r="AX16" i="26" s="1"/>
  <c r="BF16" i="26" s="1"/>
  <c r="D53" i="33" s="1"/>
  <c r="AN25" i="26"/>
  <c r="AN15" i="26"/>
  <c r="R30" i="26"/>
  <c r="G30" i="26"/>
  <c r="AN12" i="26"/>
  <c r="T10" i="26"/>
  <c r="O39" i="47" s="1"/>
  <c r="W10" i="26"/>
  <c r="P6" i="17"/>
  <c r="P26" i="17" s="1"/>
  <c r="AH23" i="6"/>
  <c r="E25" i="24" s="1"/>
  <c r="AH24" i="6"/>
  <c r="E26" i="24" s="1"/>
  <c r="AJ44" i="47" l="1"/>
  <c r="AK44" i="47" s="1"/>
  <c r="AX15" i="26" s="1"/>
  <c r="BF15" i="26" s="1"/>
  <c r="D52" i="33" s="1"/>
  <c r="AL44" i="47"/>
  <c r="AN44" i="47" s="1"/>
  <c r="AO44" i="47" s="1"/>
  <c r="AL54" i="47"/>
  <c r="AN54" i="47" s="1"/>
  <c r="AO54" i="47" s="1"/>
  <c r="AL41" i="47"/>
  <c r="AN41" i="47" s="1"/>
  <c r="AO41" i="47" s="1"/>
  <c r="BF12" i="26"/>
  <c r="D49" i="33" s="1"/>
  <c r="AJ54" i="47"/>
  <c r="AK54" i="47" s="1"/>
  <c r="AX25" i="26" s="1"/>
  <c r="BF25" i="26" s="1"/>
  <c r="D62" i="33" s="1"/>
  <c r="W30" i="26"/>
  <c r="P39" i="47"/>
  <c r="D52" i="30"/>
  <c r="F56" i="33"/>
  <c r="Z56" i="33" s="1"/>
  <c r="D47" i="30"/>
  <c r="F51" i="33"/>
  <c r="Z51" i="33" s="1"/>
  <c r="D54" i="30"/>
  <c r="F58" i="33"/>
  <c r="Z58" i="33" s="1"/>
  <c r="D55" i="30"/>
  <c r="F59" i="33"/>
  <c r="Z59" i="33" s="1"/>
  <c r="D53" i="30"/>
  <c r="F57" i="33"/>
  <c r="Z57" i="33" s="1"/>
  <c r="D57" i="30"/>
  <c r="F61" i="33"/>
  <c r="Z61" i="33" s="1"/>
  <c r="D56" i="30"/>
  <c r="F60" i="33"/>
  <c r="Z60" i="33" s="1"/>
  <c r="BN10" i="26"/>
  <c r="D46" i="30"/>
  <c r="F50" i="33"/>
  <c r="Z50" i="33" s="1"/>
  <c r="D49" i="30"/>
  <c r="F53" i="33"/>
  <c r="Z53" i="33" s="1"/>
  <c r="D50" i="30"/>
  <c r="F54" i="33"/>
  <c r="Z54" i="33" s="1"/>
  <c r="D51" i="30"/>
  <c r="T30" i="26"/>
  <c r="Z25" i="24"/>
  <c r="G25" i="24"/>
  <c r="G26" i="24"/>
  <c r="I26" i="33" s="1"/>
  <c r="Y26" i="33" s="1"/>
  <c r="Z26" i="24"/>
  <c r="AN10" i="26"/>
  <c r="AN24" i="6"/>
  <c r="AO24" i="6"/>
  <c r="T26" i="24" s="1"/>
  <c r="AO23" i="6"/>
  <c r="T25" i="24" s="1"/>
  <c r="AN23" i="6"/>
  <c r="AL39" i="47" l="1"/>
  <c r="AN39" i="47" s="1"/>
  <c r="BN30" i="26"/>
  <c r="AI39" i="47"/>
  <c r="D58" i="30"/>
  <c r="F62" i="33"/>
  <c r="Z62" i="33" s="1"/>
  <c r="D48" i="30"/>
  <c r="F52" i="33"/>
  <c r="Z52" i="33" s="1"/>
  <c r="F55" i="33"/>
  <c r="AN30" i="26"/>
  <c r="Q25" i="24"/>
  <c r="Q26" i="24"/>
  <c r="AP23" i="6"/>
  <c r="AP24" i="6"/>
  <c r="AJ39" i="47" l="1"/>
  <c r="Z55" i="33"/>
  <c r="U25" i="24"/>
  <c r="V25" i="24"/>
  <c r="X25" i="24" s="1"/>
  <c r="V26" i="24"/>
  <c r="X26" i="24" s="1"/>
  <c r="U26" i="24"/>
  <c r="AR8" i="6"/>
  <c r="AQ8" i="6"/>
  <c r="AK8" i="6"/>
  <c r="AI8" i="6"/>
  <c r="H10" i="24" s="1"/>
  <c r="BI25" i="24" l="1"/>
  <c r="O21" i="47"/>
  <c r="AI21" i="47" s="1"/>
  <c r="AJ21" i="47" s="1"/>
  <c r="AK21" i="47" s="1"/>
  <c r="AU25" i="24" s="1"/>
  <c r="AZ25" i="24" s="1"/>
  <c r="D25" i="33" s="1"/>
  <c r="BI26" i="24"/>
  <c r="O22" i="47"/>
  <c r="AI22" i="47" s="1"/>
  <c r="AK39" i="47"/>
  <c r="AX10" i="26" s="1"/>
  <c r="AK25" i="24"/>
  <c r="AL21" i="47" s="1"/>
  <c r="AN21" i="47" s="1"/>
  <c r="AK26" i="24"/>
  <c r="AL22" i="47" s="1"/>
  <c r="AN22" i="47" s="1"/>
  <c r="AI37" i="6"/>
  <c r="H39" i="24"/>
  <c r="AK37" i="6"/>
  <c r="L10" i="24"/>
  <c r="L39" i="24" s="1"/>
  <c r="AQ37" i="6"/>
  <c r="BA10" i="24"/>
  <c r="BA39" i="24" s="1"/>
  <c r="AR37" i="6"/>
  <c r="BB10" i="24"/>
  <c r="BB39" i="24" s="1"/>
  <c r="AH9" i="6"/>
  <c r="E11" i="24" s="1"/>
  <c r="AX30" i="26" l="1"/>
  <c r="BF10" i="26"/>
  <c r="D47" i="33" s="1"/>
  <c r="D68" i="33" s="1"/>
  <c r="AJ22" i="47"/>
  <c r="AK22" i="47" s="1"/>
  <c r="AU26" i="24" s="1"/>
  <c r="AZ26" i="24" s="1"/>
  <c r="D26" i="33" s="1"/>
  <c r="F25" i="33"/>
  <c r="Z25" i="33" s="1"/>
  <c r="Z11" i="24"/>
  <c r="AA11" i="24" s="1"/>
  <c r="P7" i="47" s="1"/>
  <c r="G11" i="24"/>
  <c r="I10" i="24"/>
  <c r="I39" i="24" s="1"/>
  <c r="M10" i="24"/>
  <c r="M39" i="24" s="1"/>
  <c r="BE39" i="24"/>
  <c r="BE10" i="24"/>
  <c r="BF10" i="24" s="1"/>
  <c r="AO9" i="6"/>
  <c r="T11" i="24" s="1"/>
  <c r="AN9" i="6"/>
  <c r="BF39" i="24" l="1"/>
  <c r="AE6" i="47"/>
  <c r="AE60" i="47" s="1"/>
  <c r="F26" i="33"/>
  <c r="Q11" i="24"/>
  <c r="AP9" i="6"/>
  <c r="AH10" i="6"/>
  <c r="E12" i="24" s="1"/>
  <c r="AH11" i="6"/>
  <c r="E13" i="24" s="1"/>
  <c r="AH12" i="6"/>
  <c r="E14" i="24" s="1"/>
  <c r="AH13" i="6"/>
  <c r="E15" i="24" s="1"/>
  <c r="AH14" i="6"/>
  <c r="E16" i="24" s="1"/>
  <c r="AH15" i="6"/>
  <c r="E17" i="24" s="1"/>
  <c r="AH16" i="6"/>
  <c r="E18" i="24" s="1"/>
  <c r="AH17" i="6"/>
  <c r="E19" i="24" s="1"/>
  <c r="AH18" i="6"/>
  <c r="E20" i="24" s="1"/>
  <c r="AH19" i="6"/>
  <c r="E21" i="24" s="1"/>
  <c r="AH20" i="6"/>
  <c r="E22" i="24" s="1"/>
  <c r="AH21" i="6"/>
  <c r="E23" i="24" s="1"/>
  <c r="AH8" i="6"/>
  <c r="E10" i="24" s="1"/>
  <c r="E39" i="24" l="1"/>
  <c r="Z26" i="33"/>
  <c r="Z13" i="24"/>
  <c r="G13" i="24"/>
  <c r="G20" i="24"/>
  <c r="Z20" i="24"/>
  <c r="Z18" i="24"/>
  <c r="G18" i="24"/>
  <c r="G23" i="24"/>
  <c r="Z23" i="24"/>
  <c r="Z21" i="24"/>
  <c r="G21" i="24"/>
  <c r="G12" i="24"/>
  <c r="Z12" i="24"/>
  <c r="G22" i="24"/>
  <c r="Z22" i="24"/>
  <c r="Z16" i="24"/>
  <c r="G16" i="24"/>
  <c r="Z17" i="24"/>
  <c r="G17" i="24"/>
  <c r="Z15" i="24"/>
  <c r="G15" i="24"/>
  <c r="Z14" i="24"/>
  <c r="G14" i="24"/>
  <c r="G19" i="24"/>
  <c r="Z19" i="24"/>
  <c r="G10" i="24"/>
  <c r="Z10" i="24"/>
  <c r="U11" i="24"/>
  <c r="V11" i="24"/>
  <c r="X11" i="24" s="1"/>
  <c r="AH37" i="6"/>
  <c r="AH43" i="6" s="1"/>
  <c r="AN19" i="6"/>
  <c r="AO19" i="6"/>
  <c r="T21" i="24" s="1"/>
  <c r="AN11" i="6"/>
  <c r="AO11" i="6"/>
  <c r="T13" i="24" s="1"/>
  <c r="AN8" i="6"/>
  <c r="AO8" i="6"/>
  <c r="T10" i="24" s="1"/>
  <c r="AN14" i="6"/>
  <c r="AO14" i="6"/>
  <c r="T16" i="24" s="1"/>
  <c r="AN13" i="6"/>
  <c r="AO13" i="6"/>
  <c r="T15" i="24" s="1"/>
  <c r="AN21" i="6"/>
  <c r="AO21" i="6"/>
  <c r="T23" i="24" s="1"/>
  <c r="AN17" i="6"/>
  <c r="AO17" i="6"/>
  <c r="T19" i="24" s="1"/>
  <c r="AN20" i="6"/>
  <c r="AO20" i="6"/>
  <c r="T22" i="24" s="1"/>
  <c r="AO18" i="6"/>
  <c r="T20" i="24" s="1"/>
  <c r="AN18" i="6"/>
  <c r="AO16" i="6"/>
  <c r="T18" i="24" s="1"/>
  <c r="AN16" i="6"/>
  <c r="AN12" i="6"/>
  <c r="AO12" i="6"/>
  <c r="T14" i="24" s="1"/>
  <c r="AN10" i="6"/>
  <c r="AO10" i="6"/>
  <c r="T12" i="24" s="1"/>
  <c r="AO15" i="6"/>
  <c r="T17" i="24" s="1"/>
  <c r="AN15" i="6"/>
  <c r="BI11" i="24" l="1"/>
  <c r="O7" i="47"/>
  <c r="AI7" i="47" s="1"/>
  <c r="AJ7" i="47" s="1"/>
  <c r="AK7" i="47" s="1"/>
  <c r="AU11" i="24" s="1"/>
  <c r="AZ11" i="24" s="1"/>
  <c r="D11" i="33" s="1"/>
  <c r="G39" i="24"/>
  <c r="T39" i="24"/>
  <c r="Z39" i="24"/>
  <c r="AK11" i="24"/>
  <c r="AL7" i="47" s="1"/>
  <c r="AN7" i="47" s="1"/>
  <c r="AA10" i="24"/>
  <c r="Q17" i="24"/>
  <c r="Q20" i="24"/>
  <c r="Q18" i="24"/>
  <c r="Q12" i="24"/>
  <c r="Q22" i="24"/>
  <c r="Q23" i="24"/>
  <c r="Q16" i="24"/>
  <c r="Q13" i="24"/>
  <c r="Q14" i="24"/>
  <c r="Q19" i="24"/>
  <c r="Q15" i="24"/>
  <c r="Q21" i="24"/>
  <c r="AO37" i="6"/>
  <c r="AN37" i="6"/>
  <c r="AP15" i="6"/>
  <c r="AP19" i="6"/>
  <c r="AP17" i="6"/>
  <c r="AP16" i="6"/>
  <c r="AP14" i="6"/>
  <c r="AP21" i="6"/>
  <c r="AP20" i="6"/>
  <c r="AP18" i="6"/>
  <c r="AP13" i="6"/>
  <c r="AP12" i="6"/>
  <c r="AP11" i="6"/>
  <c r="AP10" i="6"/>
  <c r="AP8" i="6"/>
  <c r="AA39" i="24" l="1"/>
  <c r="P6" i="47"/>
  <c r="P60" i="47" s="1"/>
  <c r="F11" i="33"/>
  <c r="Z11" i="33" s="1"/>
  <c r="AP37" i="6"/>
  <c r="V19" i="24"/>
  <c r="X19" i="24" s="1"/>
  <c r="U19" i="24"/>
  <c r="U13" i="24"/>
  <c r="V13" i="24"/>
  <c r="X13" i="24" s="1"/>
  <c r="V23" i="24"/>
  <c r="X23" i="24" s="1"/>
  <c r="U23" i="24"/>
  <c r="U12" i="24"/>
  <c r="V12" i="24"/>
  <c r="X12" i="24" s="1"/>
  <c r="V20" i="24"/>
  <c r="X20" i="24" s="1"/>
  <c r="U20" i="24"/>
  <c r="U21" i="24"/>
  <c r="V21" i="24"/>
  <c r="X21" i="24" s="1"/>
  <c r="U14" i="24"/>
  <c r="V14" i="24"/>
  <c r="X14" i="24" s="1"/>
  <c r="U15" i="24"/>
  <c r="V15" i="24"/>
  <c r="X15" i="24" s="1"/>
  <c r="U16" i="24"/>
  <c r="V16" i="24"/>
  <c r="X16" i="24" s="1"/>
  <c r="V22" i="24"/>
  <c r="X22" i="24" s="1"/>
  <c r="U22" i="24"/>
  <c r="V18" i="24"/>
  <c r="X18" i="24" s="1"/>
  <c r="U18" i="24"/>
  <c r="U17" i="24"/>
  <c r="V17" i="24"/>
  <c r="X17" i="24" s="1"/>
  <c r="U10" i="24"/>
  <c r="V10" i="24"/>
  <c r="Q10" i="24"/>
  <c r="Q39" i="24" s="1"/>
  <c r="Q42" i="24" s="1"/>
  <c r="I13" i="33"/>
  <c r="G39" i="33"/>
  <c r="G69" i="33" s="1"/>
  <c r="BI17" i="24" l="1"/>
  <c r="O13" i="47"/>
  <c r="AI13" i="47" s="1"/>
  <c r="BI12" i="24"/>
  <c r="O8" i="47"/>
  <c r="AI8" i="47" s="1"/>
  <c r="AJ8" i="47" s="1"/>
  <c r="AK8" i="47" s="1"/>
  <c r="AU12" i="24" s="1"/>
  <c r="AZ12" i="24" s="1"/>
  <c r="D12" i="33" s="1"/>
  <c r="BI13" i="24"/>
  <c r="O9" i="47"/>
  <c r="AI9" i="47" s="1"/>
  <c r="AJ9" i="47" s="1"/>
  <c r="AK9" i="47" s="1"/>
  <c r="AU13" i="24" s="1"/>
  <c r="AZ13" i="24" s="1"/>
  <c r="D13" i="33" s="1"/>
  <c r="BI21" i="24"/>
  <c r="O17" i="47"/>
  <c r="AI17" i="47" s="1"/>
  <c r="AJ17" i="47" s="1"/>
  <c r="AK17" i="47" s="1"/>
  <c r="AU21" i="24" s="1"/>
  <c r="AZ21" i="24" s="1"/>
  <c r="D21" i="33" s="1"/>
  <c r="BI14" i="24"/>
  <c r="O10" i="47"/>
  <c r="AI10" i="47" s="1"/>
  <c r="BI15" i="24"/>
  <c r="O11" i="47"/>
  <c r="AI11" i="47" s="1"/>
  <c r="BI22" i="24"/>
  <c r="O18" i="47"/>
  <c r="AI18" i="47" s="1"/>
  <c r="AJ18" i="47" s="1"/>
  <c r="AK18" i="47" s="1"/>
  <c r="AU22" i="24" s="1"/>
  <c r="AZ22" i="24" s="1"/>
  <c r="D22" i="33" s="1"/>
  <c r="BI16" i="24"/>
  <c r="O12" i="47"/>
  <c r="AI12" i="47" s="1"/>
  <c r="AJ12" i="47" s="1"/>
  <c r="AK12" i="47" s="1"/>
  <c r="AU16" i="24" s="1"/>
  <c r="AZ16" i="24" s="1"/>
  <c r="D16" i="33" s="1"/>
  <c r="BI18" i="24"/>
  <c r="O14" i="47"/>
  <c r="AI14" i="47" s="1"/>
  <c r="AJ14" i="47" s="1"/>
  <c r="AK14" i="47" s="1"/>
  <c r="AU18" i="24" s="1"/>
  <c r="AZ18" i="24" s="1"/>
  <c r="D18" i="33" s="1"/>
  <c r="BI20" i="24"/>
  <c r="O16" i="47"/>
  <c r="AI16" i="47" s="1"/>
  <c r="AJ16" i="47" s="1"/>
  <c r="AK16" i="47" s="1"/>
  <c r="AU20" i="24" s="1"/>
  <c r="AZ20" i="24" s="1"/>
  <c r="D20" i="33" s="1"/>
  <c r="BI23" i="24"/>
  <c r="O19" i="47"/>
  <c r="AI19" i="47" s="1"/>
  <c r="AJ19" i="47" s="1"/>
  <c r="AK19" i="47" s="1"/>
  <c r="AU23" i="24" s="1"/>
  <c r="AZ23" i="24" s="1"/>
  <c r="D23" i="33" s="1"/>
  <c r="BI19" i="24"/>
  <c r="O15" i="47"/>
  <c r="AI15" i="47" s="1"/>
  <c r="AJ15" i="47" s="1"/>
  <c r="AK15" i="47" s="1"/>
  <c r="AU19" i="24" s="1"/>
  <c r="AZ19" i="24" s="1"/>
  <c r="D19" i="33" s="1"/>
  <c r="V39" i="24"/>
  <c r="U39" i="24"/>
  <c r="AK12" i="24"/>
  <c r="AL8" i="47" s="1"/>
  <c r="AN8" i="47" s="1"/>
  <c r="AK13" i="24"/>
  <c r="AL9" i="47" s="1"/>
  <c r="AN9" i="47" s="1"/>
  <c r="AK21" i="24"/>
  <c r="AL17" i="47" s="1"/>
  <c r="AN17" i="47" s="1"/>
  <c r="AK20" i="24"/>
  <c r="AL16" i="47" s="1"/>
  <c r="AN16" i="47" s="1"/>
  <c r="AK23" i="24"/>
  <c r="AL19" i="47" s="1"/>
  <c r="AN19" i="47" s="1"/>
  <c r="AK19" i="24"/>
  <c r="AL15" i="47" s="1"/>
  <c r="AN15" i="47" s="1"/>
  <c r="AK17" i="24"/>
  <c r="AL13" i="47" s="1"/>
  <c r="AN13" i="47" s="1"/>
  <c r="AK15" i="24"/>
  <c r="AL11" i="47" s="1"/>
  <c r="AN11" i="47" s="1"/>
  <c r="AK16" i="24"/>
  <c r="AL12" i="47" s="1"/>
  <c r="AN12" i="47" s="1"/>
  <c r="AK18" i="24"/>
  <c r="AL14" i="47" s="1"/>
  <c r="AN14" i="47" s="1"/>
  <c r="AK22" i="24"/>
  <c r="AL18" i="47" s="1"/>
  <c r="AN18" i="47" s="1"/>
  <c r="AK14" i="24"/>
  <c r="AL10" i="47" s="1"/>
  <c r="AN10" i="47" s="1"/>
  <c r="X10" i="24"/>
  <c r="O6" i="47" s="1"/>
  <c r="I39" i="33"/>
  <c r="I69" i="33" s="1"/>
  <c r="Y13" i="33"/>
  <c r="AJ11" i="47" l="1"/>
  <c r="AK11" i="47" s="1"/>
  <c r="AU15" i="24" s="1"/>
  <c r="AZ15" i="24" s="1"/>
  <c r="D15" i="33" s="1"/>
  <c r="F15" i="33" s="1"/>
  <c r="Z15" i="33" s="1"/>
  <c r="AJ13" i="47"/>
  <c r="AK13" i="47" s="1"/>
  <c r="AU17" i="24" s="1"/>
  <c r="AZ17" i="24" s="1"/>
  <c r="D17" i="33" s="1"/>
  <c r="F17" i="33" s="1"/>
  <c r="Z17" i="33" s="1"/>
  <c r="AJ10" i="47"/>
  <c r="AK10" i="47" s="1"/>
  <c r="AU14" i="24" s="1"/>
  <c r="AZ14" i="24" s="1"/>
  <c r="D14" i="33" s="1"/>
  <c r="F14" i="33" s="1"/>
  <c r="Z14" i="33" s="1"/>
  <c r="AI6" i="47"/>
  <c r="O60" i="47"/>
  <c r="X39" i="24"/>
  <c r="BI39" i="24" s="1"/>
  <c r="BI10" i="24"/>
  <c r="F13" i="33"/>
  <c r="Z13" i="33" s="1"/>
  <c r="F23" i="33"/>
  <c r="Z23" i="33" s="1"/>
  <c r="F22" i="33"/>
  <c r="Z22" i="33" s="1"/>
  <c r="F20" i="33"/>
  <c r="Z20" i="33" s="1"/>
  <c r="F16" i="33"/>
  <c r="Z16" i="33" s="1"/>
  <c r="F12" i="33"/>
  <c r="Z12" i="33" s="1"/>
  <c r="F18" i="33"/>
  <c r="Z18" i="33" s="1"/>
  <c r="F21" i="33"/>
  <c r="Z21" i="33" s="1"/>
  <c r="AK10" i="24"/>
  <c r="Y39" i="33"/>
  <c r="AJ6" i="47" l="1"/>
  <c r="AI60" i="47"/>
  <c r="AK39" i="24"/>
  <c r="AL6" i="47"/>
  <c r="Y69" i="33"/>
  <c r="AY15" i="29"/>
  <c r="AK6" i="47" l="1"/>
  <c r="AJ60" i="47"/>
  <c r="AL60" i="47"/>
  <c r="AN6" i="47"/>
  <c r="AN60" i="47" s="1"/>
  <c r="F19" i="33"/>
  <c r="Z19" i="33" s="1"/>
  <c r="D27" i="30"/>
  <c r="D25" i="30"/>
  <c r="D24" i="30"/>
  <c r="D23" i="30"/>
  <c r="D26" i="30"/>
  <c r="D29" i="30"/>
  <c r="AK60" i="47" l="1"/>
  <c r="AU10" i="24"/>
  <c r="D45" i="30"/>
  <c r="F49" i="33"/>
  <c r="D19" i="30"/>
  <c r="AZ14" i="29"/>
  <c r="D44" i="33" s="1"/>
  <c r="D12" i="30"/>
  <c r="AZ12" i="29"/>
  <c r="D42" i="33" s="1"/>
  <c r="D14" i="30"/>
  <c r="D28" i="30"/>
  <c r="D30" i="30"/>
  <c r="D11" i="30"/>
  <c r="D13" i="30"/>
  <c r="AZ13" i="29"/>
  <c r="D43" i="33" s="1"/>
  <c r="D16" i="30"/>
  <c r="D10" i="30"/>
  <c r="D18" i="30"/>
  <c r="D15" i="30"/>
  <c r="D17" i="30"/>
  <c r="AZ10" i="24" l="1"/>
  <c r="D10" i="33" s="1"/>
  <c r="AU39" i="24"/>
  <c r="Z49" i="33"/>
  <c r="D38" i="30"/>
  <c r="F43" i="33"/>
  <c r="Z43" i="33" s="1"/>
  <c r="D39" i="30"/>
  <c r="F44" i="33"/>
  <c r="Z44" i="33" s="1"/>
  <c r="D37" i="30"/>
  <c r="F42" i="33"/>
  <c r="Z42" i="33" s="1"/>
  <c r="D44" i="30"/>
  <c r="F48" i="33"/>
  <c r="AZ11" i="29"/>
  <c r="D41" i="33" s="1"/>
  <c r="AS15" i="29"/>
  <c r="D9" i="30"/>
  <c r="D6" i="30"/>
  <c r="Z48" i="33" l="1"/>
  <c r="D45" i="33"/>
  <c r="F41" i="33"/>
  <c r="BF30" i="26"/>
  <c r="D43" i="30"/>
  <c r="D63" i="30" s="1"/>
  <c r="AZ15" i="29"/>
  <c r="D36" i="30"/>
  <c r="D40" i="30" s="1"/>
  <c r="D7" i="30"/>
  <c r="F45" i="33" l="1"/>
  <c r="Z45" i="33" s="1"/>
  <c r="Z41" i="33"/>
  <c r="AZ39" i="24"/>
  <c r="D75" i="30" s="1"/>
  <c r="F47" i="33"/>
  <c r="F68" i="33" s="1"/>
  <c r="D5" i="30"/>
  <c r="F10" i="33" l="1"/>
  <c r="D39" i="33"/>
  <c r="D69" i="33" s="1"/>
  <c r="Z47" i="33"/>
  <c r="D22" i="30"/>
  <c r="Z10" i="33" l="1"/>
  <c r="F39" i="33"/>
  <c r="Z39" i="33" s="1"/>
  <c r="Z68" i="33"/>
  <c r="D20" i="30"/>
  <c r="F69" i="33" l="1"/>
  <c r="Z69" i="33" s="1"/>
  <c r="D21" i="30"/>
  <c r="D8" i="30" l="1"/>
  <c r="D35" i="30" l="1"/>
  <c r="D64" i="30" s="1"/>
</calcChain>
</file>

<file path=xl/sharedStrings.xml><?xml version="1.0" encoding="utf-8"?>
<sst xmlns="http://schemas.openxmlformats.org/spreadsheetml/2006/main" count="2397" uniqueCount="612">
  <si>
    <t xml:space="preserve">DATA HASIL PANEN </t>
  </si>
  <si>
    <t>KARYAWAN KHT</t>
  </si>
  <si>
    <t>No</t>
  </si>
  <si>
    <t>Nama Karyawan</t>
  </si>
  <si>
    <t>Tanggal</t>
  </si>
  <si>
    <t>Total</t>
  </si>
  <si>
    <t>Basis</t>
  </si>
  <si>
    <t>Janjang</t>
  </si>
  <si>
    <t>Brondol</t>
  </si>
  <si>
    <t>Koreksi</t>
  </si>
  <si>
    <t>TOTAL</t>
  </si>
  <si>
    <t xml:space="preserve">TOTAL </t>
  </si>
  <si>
    <t>JUNAIDI</t>
  </si>
  <si>
    <t>SUIP</t>
  </si>
  <si>
    <t>SAPARUDIN</t>
  </si>
  <si>
    <t>A</t>
  </si>
  <si>
    <t>SULTAN</t>
  </si>
  <si>
    <t>CS</t>
  </si>
  <si>
    <t>CT</t>
  </si>
  <si>
    <t>CTH</t>
  </si>
  <si>
    <t>CI</t>
  </si>
  <si>
    <t>MANSUR</t>
  </si>
  <si>
    <t>HARGA</t>
  </si>
  <si>
    <t>PREMI</t>
  </si>
  <si>
    <t>CM</t>
  </si>
  <si>
    <t>CN</t>
  </si>
  <si>
    <t>HK</t>
  </si>
  <si>
    <t>BLOCK</t>
  </si>
  <si>
    <t>P07/01</t>
  </si>
  <si>
    <t>P07/02</t>
  </si>
  <si>
    <t>P97/03</t>
  </si>
  <si>
    <t>P97/04</t>
  </si>
  <si>
    <t>P98/01</t>
  </si>
  <si>
    <t>P12/01</t>
  </si>
  <si>
    <t>P13/01</t>
  </si>
  <si>
    <t>TOTAL HK</t>
  </si>
  <si>
    <t>GUNAWAN</t>
  </si>
  <si>
    <t>KRANI</t>
  </si>
  <si>
    <t>GRAND TOTAL</t>
  </si>
  <si>
    <t>BRONDOL</t>
  </si>
  <si>
    <t>NO</t>
  </si>
  <si>
    <t>NAMA KARYAWAN</t>
  </si>
  <si>
    <t>TANGGAL</t>
  </si>
  <si>
    <t>JML</t>
  </si>
  <si>
    <t>JUMLAH CUTI /LIBUR</t>
  </si>
  <si>
    <t>THN</t>
  </si>
  <si>
    <t>SKT</t>
  </si>
  <si>
    <t>HAID</t>
  </si>
  <si>
    <t>MG</t>
  </si>
  <si>
    <t>NAS</t>
  </si>
  <si>
    <t>H/M</t>
  </si>
  <si>
    <t>IZIN</t>
  </si>
  <si>
    <t>JUML</t>
  </si>
  <si>
    <t>RILYANI</t>
  </si>
  <si>
    <t>ASUNTI</t>
  </si>
  <si>
    <t>JONI</t>
  </si>
  <si>
    <t>THAHA.S</t>
  </si>
  <si>
    <t>ALEX</t>
  </si>
  <si>
    <t>SANDY</t>
  </si>
  <si>
    <t xml:space="preserve"> ANTON</t>
  </si>
  <si>
    <t>EKA NOVIANTI</t>
  </si>
  <si>
    <t xml:space="preserve"> JUMIATI</t>
  </si>
  <si>
    <t>SUPARDI</t>
  </si>
  <si>
    <t xml:space="preserve"> SUMARDI</t>
  </si>
  <si>
    <t>ASBI</t>
  </si>
  <si>
    <t>HK TODAY</t>
  </si>
  <si>
    <t>PT.REBINMAS JAYA</t>
  </si>
  <si>
    <t>DIVISI : AIR JANGKAT</t>
  </si>
  <si>
    <t>PERKEBUNAN : PGE 2A</t>
  </si>
  <si>
    <t>ROBIN DINATA</t>
  </si>
  <si>
    <t>TOTAL PREMI</t>
  </si>
  <si>
    <t>RIDUAN</t>
  </si>
  <si>
    <t>SONJA PRIYOGA</t>
  </si>
  <si>
    <t>MANDOR</t>
  </si>
  <si>
    <t>LEMBUR                      1</t>
  </si>
  <si>
    <t>YANDI</t>
  </si>
  <si>
    <t>APRIZAL</t>
  </si>
  <si>
    <t>ERRY</t>
  </si>
  <si>
    <t>AHAP</t>
  </si>
  <si>
    <t>`</t>
  </si>
  <si>
    <t>DICKY PRATAMA</t>
  </si>
  <si>
    <t>NAMA</t>
  </si>
  <si>
    <t>BJR</t>
  </si>
  <si>
    <t>TOTAL TONASE</t>
  </si>
  <si>
    <t>HASIL PANEN ESTATE PGE 2A DIVISI AIR JANGKAT</t>
  </si>
  <si>
    <t>PANEN    KONTANAN</t>
  </si>
  <si>
    <t>INSENTIF</t>
  </si>
  <si>
    <t>TONASE</t>
  </si>
  <si>
    <t>TANDAN</t>
  </si>
  <si>
    <t>TON</t>
  </si>
  <si>
    <t>PANEN PGE 2A</t>
  </si>
  <si>
    <t>IHSAN</t>
  </si>
  <si>
    <t>QISTAHAM</t>
  </si>
  <si>
    <t>JAYADI</t>
  </si>
  <si>
    <t>M.AMIN</t>
  </si>
  <si>
    <t>CH</t>
  </si>
  <si>
    <t>A+CTH</t>
  </si>
  <si>
    <t>LEMBUR</t>
  </si>
  <si>
    <t>RP</t>
  </si>
  <si>
    <t>Premi 90</t>
  </si>
  <si>
    <t>INSENTIF POKOK TINGGI DAN RENDAH</t>
  </si>
  <si>
    <t>LEBIH 12 M</t>
  </si>
  <si>
    <t>NAMA : QISTAHAM</t>
  </si>
  <si>
    <t>TOTAL      INSENTIF</t>
  </si>
  <si>
    <t>TIDAK DALAM KRITERIA</t>
  </si>
  <si>
    <t>PREMI POKOK TINGGI DAN RENDAH</t>
  </si>
  <si>
    <t>POKOK 10-12 M</t>
  </si>
  <si>
    <t>SAMSUL HADI</t>
  </si>
  <si>
    <t>PANEN CKROL 2A</t>
  </si>
  <si>
    <t>TTL JJG PANEN 2A</t>
  </si>
  <si>
    <t>NAMA :SAMSUL HADI</t>
  </si>
  <si>
    <t>Dibuat Oleh</t>
  </si>
  <si>
    <t>Diperiksa Oleh</t>
  </si>
  <si>
    <t>Disetujui Oleh</t>
  </si>
  <si>
    <t>Gohi maruli L Toruan,SP</t>
  </si>
  <si>
    <t>Estate Manager</t>
  </si>
  <si>
    <t>Galeh Haykal</t>
  </si>
  <si>
    <t>Asst Manager</t>
  </si>
  <si>
    <t>Premi 103</t>
  </si>
  <si>
    <t>DAFTAR UPAH</t>
  </si>
  <si>
    <t>Perkebunan :</t>
  </si>
  <si>
    <t>PARIT GUNUNG</t>
  </si>
  <si>
    <r>
      <rPr>
        <sz val="8"/>
        <rFont val="Tahoma"/>
        <family val="2"/>
      </rPr>
      <t xml:space="preserve">Divisi  : </t>
    </r>
    <r>
      <rPr>
        <b/>
        <sz val="8"/>
        <rFont val="Tahoma"/>
        <family val="2"/>
      </rPr>
      <t>IIA</t>
    </r>
  </si>
  <si>
    <t>MAINTENACE AIR JANGKAT 1</t>
  </si>
  <si>
    <t>CUTI / LIBUR</t>
  </si>
  <si>
    <t>TUNJANGAN / PREMI</t>
  </si>
  <si>
    <t>JUMLAH</t>
  </si>
  <si>
    <t xml:space="preserve">CARUMAN ASTEK </t>
  </si>
  <si>
    <t>POTONGAN BPJS</t>
  </si>
  <si>
    <t xml:space="preserve">LEBIH </t>
  </si>
  <si>
    <t>KET</t>
  </si>
  <si>
    <t>TANDA</t>
  </si>
  <si>
    <t>NO.</t>
  </si>
  <si>
    <t>L/P</t>
  </si>
  <si>
    <t>HARI</t>
  </si>
  <si>
    <t>UPAH</t>
  </si>
  <si>
    <t>TAHUN</t>
  </si>
  <si>
    <t>SAKIT</t>
  </si>
  <si>
    <t>MINGGU</t>
  </si>
  <si>
    <t>NASIONAL</t>
  </si>
  <si>
    <t>HA. / MELAH.</t>
  </si>
  <si>
    <t>BERAS</t>
  </si>
  <si>
    <t>JABATAN</t>
  </si>
  <si>
    <t>MASA KERJA</t>
  </si>
  <si>
    <t>KOREKSI</t>
  </si>
  <si>
    <t>IURAN</t>
  </si>
  <si>
    <t>PPH</t>
  </si>
  <si>
    <t>BAYAR</t>
  </si>
  <si>
    <t>PENGEMBALIAN PAJAK</t>
  </si>
  <si>
    <t>TANGAN</t>
  </si>
  <si>
    <t>URUT</t>
  </si>
  <si>
    <t>INDUK</t>
  </si>
  <si>
    <t>KARYAWAN</t>
  </si>
  <si>
    <t>KERJA</t>
  </si>
  <si>
    <t>DASAR</t>
  </si>
  <si>
    <t>POKOK</t>
  </si>
  <si>
    <t>(Rp)/</t>
  </si>
  <si>
    <t>Jumlah</t>
  </si>
  <si>
    <t>TBS</t>
  </si>
  <si>
    <t>PRUNING</t>
  </si>
  <si>
    <t>KOTOR</t>
  </si>
  <si>
    <t>PEKERJA</t>
  </si>
  <si>
    <t>MAJIKAN</t>
  </si>
  <si>
    <t>PEKERJA KESEHATAN (1% )</t>
  </si>
  <si>
    <t xml:space="preserve">MAJIKAN  KESEHATAN (4% ) </t>
  </si>
  <si>
    <t>PEKERJA PENSIUN    (1% )</t>
  </si>
  <si>
    <t xml:space="preserve">MAJIKAN  PENSIUN   (2% ) </t>
  </si>
  <si>
    <t>SPSI</t>
  </si>
  <si>
    <t>5%</t>
  </si>
  <si>
    <t>PAJAK</t>
  </si>
  <si>
    <t>BERSIH</t>
  </si>
  <si>
    <t>PENERIMA</t>
  </si>
  <si>
    <t>(Rp)</t>
  </si>
  <si>
    <t>HR</t>
  </si>
  <si>
    <t>GAJI</t>
  </si>
  <si>
    <t>L</t>
  </si>
  <si>
    <t>P</t>
  </si>
  <si>
    <t>ERRY SAPUTRA</t>
  </si>
  <si>
    <t>Dibuat oleh,</t>
  </si>
  <si>
    <t>Diperiksa oleh,</t>
  </si>
  <si>
    <t>Disetujui oleh,</t>
  </si>
  <si>
    <t>Gohi Maruli L Toruan SP</t>
  </si>
  <si>
    <t>Haykal Galeh</t>
  </si>
  <si>
    <t>ESTATE MANAGER DME/PGE II</t>
  </si>
  <si>
    <t>KRANDIV IIA</t>
  </si>
  <si>
    <t xml:space="preserve"> ASST.MANAGER PG IIA</t>
  </si>
  <si>
    <t xml:space="preserve">HK PREMI PANEN DAN BRONDOL PEMANEN </t>
  </si>
  <si>
    <t>BRD</t>
  </si>
  <si>
    <t>NAMA :ASRI</t>
  </si>
  <si>
    <t xml:space="preserve">LEBIH BAYAR </t>
  </si>
  <si>
    <t>PAJAK 2024</t>
  </si>
  <si>
    <t xml:space="preserve">DAFTAR UPAH </t>
  </si>
  <si>
    <t xml:space="preserve">Bulan :  </t>
  </si>
  <si>
    <t xml:space="preserve">PREMI </t>
  </si>
  <si>
    <t>LEBIH</t>
  </si>
  <si>
    <t xml:space="preserve">JAGA  </t>
  </si>
  <si>
    <t>ANGKUT</t>
  </si>
  <si>
    <t>PENGEMBALIAN TIKET</t>
  </si>
  <si>
    <t>KONTANAN</t>
  </si>
  <si>
    <t xml:space="preserve">PIKET </t>
  </si>
  <si>
    <t>PPH21</t>
  </si>
  <si>
    <t xml:space="preserve">lebih bayar </t>
  </si>
  <si>
    <t>GENSET</t>
  </si>
  <si>
    <t>PANEN</t>
  </si>
  <si>
    <t>LEBARAN</t>
  </si>
  <si>
    <t>SEPTEMBER</t>
  </si>
  <si>
    <t>pajak 2024</t>
  </si>
  <si>
    <t>MUHAMAD AMIN</t>
  </si>
  <si>
    <t>Divisi :</t>
  </si>
  <si>
    <t>IIA</t>
  </si>
  <si>
    <t>OPERATOR / KENET</t>
  </si>
  <si>
    <t>POT</t>
  </si>
  <si>
    <t>SIM</t>
  </si>
  <si>
    <t>C0178</t>
  </si>
  <si>
    <t>ARWANDI</t>
  </si>
  <si>
    <t>C0179</t>
  </si>
  <si>
    <t>RENDI PERJAYA</t>
  </si>
  <si>
    <t>C0180</t>
  </si>
  <si>
    <t>ANDI</t>
  </si>
  <si>
    <t>C0181</t>
  </si>
  <si>
    <t>JULI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</si>
  <si>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</si>
  <si>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</si>
  <si>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DAFTAR GAJI KARYAWAN DIVISI IIA</t>
  </si>
  <si>
    <t xml:space="preserve">KE BANK BRI </t>
  </si>
  <si>
    <t>NO REKENING</t>
  </si>
  <si>
    <t xml:space="preserve">AMOUNT </t>
  </si>
  <si>
    <t>ANTON</t>
  </si>
  <si>
    <t>JUMIATI</t>
  </si>
  <si>
    <t>SUMARDI</t>
  </si>
  <si>
    <t>013101002804538</t>
  </si>
  <si>
    <t>WIDODO.JP</t>
  </si>
  <si>
    <t>013101029706509</t>
  </si>
  <si>
    <t>013101047898500</t>
  </si>
  <si>
    <t>013101020054507</t>
  </si>
  <si>
    <t>013101019825509</t>
  </si>
  <si>
    <t>013101019752502</t>
  </si>
  <si>
    <t>013101020061504</t>
  </si>
  <si>
    <t>013101027088507</t>
  </si>
  <si>
    <t>013101029262505</t>
  </si>
  <si>
    <t>AMOUNT</t>
  </si>
  <si>
    <t>013101046647508</t>
  </si>
  <si>
    <t>013101028423506</t>
  </si>
  <si>
    <t>013101028425508</t>
  </si>
  <si>
    <t>013101029502507</t>
  </si>
  <si>
    <t>013101029942503</t>
  </si>
  <si>
    <t>013101037510502</t>
  </si>
  <si>
    <t>013101039187509</t>
  </si>
  <si>
    <t>013101043332502</t>
  </si>
  <si>
    <t>013101049694504</t>
  </si>
  <si>
    <t>013101050486504</t>
  </si>
  <si>
    <t>013101050741506</t>
  </si>
  <si>
    <t>013101050995503</t>
  </si>
  <si>
    <t>013101052024502</t>
  </si>
  <si>
    <t>013101052032505</t>
  </si>
  <si>
    <t>Disahkan oleh,</t>
  </si>
  <si>
    <t>PHILIP ABRAHAM OOMMEN</t>
  </si>
  <si>
    <t>AREA MGR PGE/DME</t>
  </si>
  <si>
    <t>WIDODO</t>
  </si>
  <si>
    <t>BANTU AIR PAPAN</t>
  </si>
  <si>
    <t>NAMA : SAMSUL HADI</t>
  </si>
  <si>
    <t>KODE KARYAWAN</t>
  </si>
  <si>
    <t>C0050</t>
  </si>
  <si>
    <t>C0051</t>
  </si>
  <si>
    <t>C0054</t>
  </si>
  <si>
    <t>C0075</t>
  </si>
  <si>
    <t>C0268</t>
  </si>
  <si>
    <t>C0319</t>
  </si>
  <si>
    <t>C0374</t>
  </si>
  <si>
    <t>C0496</t>
  </si>
  <si>
    <t>C0595</t>
  </si>
  <si>
    <t>C0603</t>
  </si>
  <si>
    <t>C0612</t>
  </si>
  <si>
    <t>C0645</t>
  </si>
  <si>
    <t>C0680</t>
  </si>
  <si>
    <t>C0683</t>
  </si>
  <si>
    <t>C0526</t>
  </si>
  <si>
    <t>C0001</t>
  </si>
  <si>
    <t>C0002</t>
  </si>
  <si>
    <t>C0003</t>
  </si>
  <si>
    <t>C0005</t>
  </si>
  <si>
    <t>C0007</t>
  </si>
  <si>
    <t>C0008</t>
  </si>
  <si>
    <t>C0009</t>
  </si>
  <si>
    <t>C0010</t>
  </si>
  <si>
    <t>C0011</t>
  </si>
  <si>
    <t>C0013</t>
  </si>
  <si>
    <t>C0016</t>
  </si>
  <si>
    <t>C0019</t>
  </si>
  <si>
    <t>C0025</t>
  </si>
  <si>
    <t>C0026</t>
  </si>
  <si>
    <t>C0028</t>
  </si>
  <si>
    <t>C0030</t>
  </si>
  <si>
    <t>C0032</t>
  </si>
  <si>
    <t>C0033</t>
  </si>
  <si>
    <t>C0102</t>
  </si>
  <si>
    <t>C0510</t>
  </si>
  <si>
    <t>C0511</t>
  </si>
  <si>
    <t>PT REBINMAS JAYA</t>
  </si>
  <si>
    <t>DIVISI AIR JANGKAT</t>
  </si>
  <si>
    <t>SELISIH</t>
  </si>
  <si>
    <t>RIJAL</t>
  </si>
  <si>
    <t>PRUNING DME</t>
  </si>
  <si>
    <t>FAHRUDIN</t>
  </si>
  <si>
    <t>SAPARUDIN(MILAH)</t>
  </si>
  <si>
    <t>Gunawan</t>
  </si>
  <si>
    <t>Krani Divisi</t>
  </si>
  <si>
    <t>Diketahui Oleh</t>
  </si>
  <si>
    <t>DIVISI</t>
  </si>
  <si>
    <t>AIR JANGKAT</t>
  </si>
  <si>
    <t>AIR BETANGAN</t>
  </si>
  <si>
    <t>AIR PAPAN</t>
  </si>
  <si>
    <t>HA</t>
  </si>
  <si>
    <t>013101052517505</t>
  </si>
  <si>
    <t>013101037810504</t>
  </si>
  <si>
    <t>C0710</t>
  </si>
  <si>
    <t>POKOK &gt; 12 METER</t>
  </si>
  <si>
    <t>POKOK 10-12 METER</t>
  </si>
  <si>
    <t>JML TDN</t>
  </si>
  <si>
    <t>Chandra Dinata Pribadi</t>
  </si>
  <si>
    <t>Senior Manager</t>
  </si>
  <si>
    <t>Rp.5000(ton x harga )</t>
  </si>
  <si>
    <t>Rp.2.500( ton x harga )</t>
  </si>
  <si>
    <t>LEBIH POTONG PAJAK</t>
  </si>
  <si>
    <t>C0718</t>
  </si>
  <si>
    <t>RIDHO APRIZAL</t>
  </si>
  <si>
    <t>MUSDI</t>
  </si>
  <si>
    <t>FRANSISKO GAUTAMA</t>
  </si>
  <si>
    <t>SUKARDI</t>
  </si>
  <si>
    <t>EKO SUMANJAYA</t>
  </si>
  <si>
    <t>TOTAL JANJANG</t>
  </si>
  <si>
    <t>PARIT GUNUNG ESTATE 2A</t>
  </si>
  <si>
    <t>REKONSILIASI GAJI MANUAL DENGAN PLANTWARE</t>
  </si>
  <si>
    <t>CODE</t>
  </si>
  <si>
    <t>GAJI MANUAL</t>
  </si>
  <si>
    <t>GAJI PLANTWARE</t>
  </si>
  <si>
    <t>URAIAN</t>
  </si>
  <si>
    <t>TOTAL SELISIH</t>
  </si>
  <si>
    <t>OT</t>
  </si>
  <si>
    <t>PREMI PANEN</t>
  </si>
  <si>
    <t xml:space="preserve">BPJS </t>
  </si>
  <si>
    <t>Manual</t>
  </si>
  <si>
    <t>Plantware</t>
  </si>
  <si>
    <t>(+/-)</t>
  </si>
  <si>
    <t xml:space="preserve">BAGIAN : MAINTENANCE </t>
  </si>
  <si>
    <t>BAGIAN : OPERATOR &amp; HELPER</t>
  </si>
  <si>
    <t>BAGIAN : HARVESTING</t>
  </si>
  <si>
    <t>JJG</t>
  </si>
  <si>
    <t>MT</t>
  </si>
  <si>
    <t>LAPORAN HASIL PANEN PGE 2A</t>
  </si>
  <si>
    <t>HERIANTO ARBI</t>
  </si>
  <si>
    <t>C0720</t>
  </si>
  <si>
    <t>013101052790501</t>
  </si>
  <si>
    <t>YANTI NOVITA</t>
  </si>
  <si>
    <t>-</t>
  </si>
  <si>
    <t>P08/01</t>
  </si>
  <si>
    <t>DEKI FRANZA</t>
  </si>
  <si>
    <t>M.IDRIS PRATAMA</t>
  </si>
  <si>
    <t>580401018446534</t>
  </si>
  <si>
    <t>013101020192509</t>
  </si>
  <si>
    <t>C0716</t>
  </si>
  <si>
    <t>C0630</t>
  </si>
  <si>
    <t>013101051022507</t>
  </si>
  <si>
    <t>C0715</t>
  </si>
  <si>
    <t>013101026308506</t>
  </si>
  <si>
    <t>C0616</t>
  </si>
  <si>
    <t>013101050900508</t>
  </si>
  <si>
    <t>013101019614500</t>
  </si>
  <si>
    <t>C0713</t>
  </si>
  <si>
    <t>C0206</t>
  </si>
  <si>
    <t>013101026468500</t>
  </si>
  <si>
    <t>C0728</t>
  </si>
  <si>
    <t>013101019857506</t>
  </si>
  <si>
    <t>C0727</t>
  </si>
  <si>
    <t>BULAN : AGUSTUS 2025</t>
  </si>
  <si>
    <t>JAGA       GENSET</t>
  </si>
  <si>
    <t>PERBANDINGAN HK HITUNGAN HEKTAR DENGAN HK IFES PGE 2A</t>
  </si>
  <si>
    <t>ROTASI</t>
  </si>
  <si>
    <t>TOTAL HA</t>
  </si>
  <si>
    <t>HA/HARI</t>
  </si>
  <si>
    <t>BASIS (2.5HA )</t>
  </si>
  <si>
    <t xml:space="preserve">HK IFES </t>
  </si>
  <si>
    <t>COST 1 HK</t>
  </si>
  <si>
    <t>COST HK BASIS</t>
  </si>
  <si>
    <t>COST HK IFES</t>
  </si>
  <si>
    <t>PREMI +INSENTIF</t>
  </si>
  <si>
    <t>AGUSTIAN</t>
  </si>
  <si>
    <t>DWI MARZETI</t>
  </si>
  <si>
    <t>NOLA WILANDA</t>
  </si>
  <si>
    <t>SUMARDI (hatijah )</t>
  </si>
  <si>
    <t>DEKY FRANZA</t>
  </si>
  <si>
    <t>RAKING</t>
  </si>
  <si>
    <t>C0729</t>
  </si>
  <si>
    <t>C0730</t>
  </si>
  <si>
    <t>C0731</t>
  </si>
  <si>
    <t>SUTRA PRAYOGI</t>
  </si>
  <si>
    <t>Premi 114</t>
  </si>
  <si>
    <t>013101055709509</t>
  </si>
  <si>
    <t>013101055711506</t>
  </si>
  <si>
    <t>013101055710500</t>
  </si>
  <si>
    <t>C0738</t>
  </si>
  <si>
    <t>12/01</t>
  </si>
  <si>
    <t>BULAN :  NOVEMBER 2025</t>
  </si>
  <si>
    <t>PREMI 114</t>
  </si>
  <si>
    <t>07/01</t>
  </si>
  <si>
    <t>13/01</t>
  </si>
  <si>
    <t>SAHARUDIN</t>
  </si>
  <si>
    <t>07/02</t>
  </si>
  <si>
    <t>013101020186508</t>
  </si>
  <si>
    <t>BULAN : DESEMBER 2025</t>
  </si>
  <si>
    <t>HK BASIS           s/d tgl 27 DES  2025</t>
  </si>
  <si>
    <t>97/04</t>
  </si>
  <si>
    <t>97/03</t>
  </si>
  <si>
    <t>98/01</t>
  </si>
  <si>
    <t>HAERUDIN</t>
  </si>
  <si>
    <t>08/01</t>
  </si>
  <si>
    <t>Januari'26</t>
  </si>
  <si>
    <t>PT. REBINMAS JAYA</t>
  </si>
  <si>
    <t>INCOME TAX ARTICLE 21 FOR JANUARI 2026</t>
  </si>
  <si>
    <t>PGE 2A (AIR JANGKAT)</t>
  </si>
  <si>
    <t>yang berwarna ini rumus</t>
  </si>
  <si>
    <t>T.Beras</t>
  </si>
  <si>
    <t>T.Jabatan</t>
  </si>
  <si>
    <t>Lembur</t>
  </si>
  <si>
    <t>N I K / 
PASPOR</t>
  </si>
  <si>
    <t>N P W P</t>
  </si>
  <si>
    <t>A L A M A T</t>
  </si>
  <si>
    <t>PTKP</t>
  </si>
  <si>
    <t>TER</t>
  </si>
  <si>
    <t>Gaji Pokok</t>
  </si>
  <si>
    <t>Astek Ins (0,84%)</t>
  </si>
  <si>
    <t>BPJS KESEHATAN (4%)</t>
  </si>
  <si>
    <t>Transport  Allow</t>
  </si>
  <si>
    <t>Rice  Allow</t>
  </si>
  <si>
    <t>Structural  Allow</t>
  </si>
  <si>
    <t>Service Time Allow</t>
  </si>
  <si>
    <t>Tunjangan Pulsa</t>
  </si>
  <si>
    <t>Masa Kerja</t>
  </si>
  <si>
    <t>PREMI TBS</t>
  </si>
  <si>
    <t>PREMI BRONDOL</t>
  </si>
  <si>
    <t>PREMI PRUNING</t>
  </si>
  <si>
    <t>PREMI RAKING</t>
  </si>
  <si>
    <t xml:space="preserve">TUNJANGAN PREMI </t>
  </si>
  <si>
    <t>TUNJANGAN GENSET</t>
  </si>
  <si>
    <t>INSENTIF PANEN</t>
  </si>
  <si>
    <t>PIKET LEBARAN</t>
  </si>
  <si>
    <t>POT. ALPA &amp; POT. CTH ( CUTI TANPA HK )</t>
  </si>
  <si>
    <t>THR</t>
  </si>
  <si>
    <t>Bonus</t>
  </si>
  <si>
    <t>Penghasilan
Bruto</t>
  </si>
  <si>
    <t>Tarif
TER</t>
  </si>
  <si>
    <t xml:space="preserve">PPh 21 </t>
  </si>
  <si>
    <t>1902040612940006</t>
  </si>
  <si>
    <t>66.907.954.3-305.000</t>
  </si>
  <si>
    <t>AIR BATU BUDING RT. 002 RW. 001 DESA AIR BATU BUDING KEC. BADAU</t>
  </si>
  <si>
    <t>KRANI DIVISI</t>
  </si>
  <si>
    <t>K/2</t>
  </si>
  <si>
    <t>1906041207760003</t>
  </si>
  <si>
    <t>97.228.586.0-305.000</t>
  </si>
  <si>
    <t>DSN CENDIL RT. 002 RW. 001 DS CENDIL KEC. KELAPA KAMPIT</t>
  </si>
  <si>
    <t>MANDOR PERAWATAN</t>
  </si>
  <si>
    <t>K/0</t>
  </si>
  <si>
    <t>1902010107770126</t>
  </si>
  <si>
    <t>97.228.531.6-305.000</t>
  </si>
  <si>
    <t>KELEKAK USANG RT. 056 RW. 018 DESA PERAWAS KEC. TANJUNGPANDAN</t>
  </si>
  <si>
    <t>KARYAWAN PERAWATAN</t>
  </si>
  <si>
    <t>1902044606740003</t>
  </si>
  <si>
    <t>97.228.555.5-305.000</t>
  </si>
  <si>
    <t>PELEPAK PUTIH RT. 022 RW. 011 DESA SIJUK KEC. SIJUK</t>
  </si>
  <si>
    <t>TK/0</t>
  </si>
  <si>
    <t>1906040406810003</t>
  </si>
  <si>
    <t>97.387.455.5-305.000</t>
  </si>
  <si>
    <t>DSN CENDIL RT. 001 RW. 001 DESA CENDIL KEC. KELAPA KAMPIT</t>
  </si>
  <si>
    <t>K/1</t>
  </si>
  <si>
    <t>1906040903840002</t>
  </si>
  <si>
    <t>97.387.456.3-305.000</t>
  </si>
  <si>
    <t>DSN CENDIL RT. 003 RW. 001 DESA CENDIL KEC. KELAPA KAMPIT</t>
  </si>
  <si>
    <t>1902040407910001</t>
  </si>
  <si>
    <t>66.907.949.3-305.000</t>
  </si>
  <si>
    <t>JL AIR SERKUK RT. 029 RW. 012 DESA AIR SAGA KEC. TANJUNGPANDAN</t>
  </si>
  <si>
    <t>1902041602890001</t>
  </si>
  <si>
    <t>66.907.964.2-305.000</t>
  </si>
  <si>
    <t>JL SIJUK RT. 022 RW. 008 DESA AIR SERUK KEC. SIJUK</t>
  </si>
  <si>
    <t>1906042004880003</t>
  </si>
  <si>
    <t>97.228.589.4-305.000</t>
  </si>
  <si>
    <t>DSN CENDIL RT. 004 RW. 002 DESA CENDIL KEC. KELAPA KAMPIT</t>
  </si>
  <si>
    <t>EKA NOPIYANTI</t>
  </si>
  <si>
    <t>1906045111850004</t>
  </si>
  <si>
    <t>97.228.554.8.305.000</t>
  </si>
  <si>
    <t>DSN SELINDANG RT. 005 RW. 002 DESA SENYUBUK KEC. KELAPA KAMPIT</t>
  </si>
  <si>
    <t>1902054212790002</t>
  </si>
  <si>
    <t>84.484.558.6-305.000</t>
  </si>
  <si>
    <t>JL MANGGAR DSN PARIT GUNUNG RT. 006 RW. 003 DS AIR BATU BUDING BADAU</t>
  </si>
  <si>
    <t>1906042707890002</t>
  </si>
  <si>
    <t>54.921.755.2-305.000</t>
  </si>
  <si>
    <t xml:space="preserve">DSN BUKIT DURIAN RW. 003 RW. 002 DESA MENTAWAK KEC. KELAPA KAMPIT </t>
  </si>
  <si>
    <t>1906040306730003</t>
  </si>
  <si>
    <t>97.387.452.2-305.000</t>
  </si>
  <si>
    <t>ASBI ALGIFARI</t>
  </si>
  <si>
    <t>1902040303980007</t>
  </si>
  <si>
    <t>JL SIJUK RT. 016 RW. 007 DESA AIR SELUMAR KEC. SIJUK</t>
  </si>
  <si>
    <t>1902050502910003</t>
  </si>
  <si>
    <t>PARANG BULUH RT. 015 RW. 007 DESA MEMBALONG KEC. MEMBALONG</t>
  </si>
  <si>
    <t>1902042708930002</t>
  </si>
  <si>
    <t>JL BUDING RT. 021 RW. 011 DESA PELEPAK PUTIH KEC. SIJUK</t>
  </si>
  <si>
    <t>1906041502890002</t>
  </si>
  <si>
    <t>DSN CENDIL RT. 005 RW. 002 DS CENDIL KEC. KELAPA KAMPIT</t>
  </si>
  <si>
    <t>WIDODO JP</t>
  </si>
  <si>
    <t>1902041503800003</t>
  </si>
  <si>
    <t>97.237.824.4-305.000</t>
  </si>
  <si>
    <t>DSN SUNGAI PADANG RT. 005 RW. 003 DESA SUNGAI PADANG KEC. SIJUK</t>
  </si>
  <si>
    <t>1906046009720002</t>
  </si>
  <si>
    <t>97.228.525.8-305.000</t>
  </si>
  <si>
    <t>AIR BATU BUDING RT. 003 RW. 002 DESA AIR BATU BUDING KEC. BADAU</t>
  </si>
  <si>
    <t>DSN SELINDANG RT. 006 RW. 002 DESA SENYUBUK KEC. KELAPA KAMPIT</t>
  </si>
  <si>
    <t>2101092010780001</t>
  </si>
  <si>
    <t>KAMPUNG HILIR RT. 005 RW. 002 DESA KAMPUNG HILIR KEC. TAMBELAN</t>
  </si>
  <si>
    <t>1902041601840001</t>
  </si>
  <si>
    <t>75.739.968.8-305.000</t>
  </si>
  <si>
    <t>JL.SIJUK RT.002 RW.001 DESA AIR SELUMAR KEC. SIJUK</t>
  </si>
  <si>
    <t>1906042410840002</t>
  </si>
  <si>
    <t>75.816.999.9-305.000</t>
  </si>
  <si>
    <t>DSN.CENDIL RT.005 RW. 002DESA CENDIL KEC.KELAPA KAMPIT</t>
  </si>
  <si>
    <t>1902012411010002</t>
  </si>
  <si>
    <t>JL.MUSTAFA GANI RT.010 RW.05 DESA SIJUK KEC.SIJUK KAB.BELITUNG</t>
  </si>
  <si>
    <t>1902042209790003</t>
  </si>
  <si>
    <t>91.071.385.8.305-000</t>
  </si>
  <si>
    <t>SUNGAI PADANG RT. 007 RW. 004 DESA SUNGAI PADANG KEC. SIJUK</t>
  </si>
  <si>
    <t>1902055106030002</t>
  </si>
  <si>
    <t>AIR BATU BUDING RT. 001 RW. 001 DESA AIR BATU BUDING KEC. BADAU</t>
  </si>
  <si>
    <t>1902050108980001</t>
  </si>
  <si>
    <t>AIR BATU BUDING RT. 005 RW. 003 DESA AIR BATU BUDING KEC. BADAU</t>
  </si>
  <si>
    <t>1902054203050001</t>
  </si>
  <si>
    <t>AIR BATU BUDING RT. 004 RW. 002 DESA AIR BATU BUDING KEC. BADAU</t>
  </si>
  <si>
    <t>1902041509780000</t>
  </si>
  <si>
    <t>75.816.913.0-305.000</t>
  </si>
  <si>
    <t>JL.H ABDULLAH RT.008 RW.002 DESA TANJUNG TINGGI KEC.SIJUK</t>
  </si>
  <si>
    <t>1902050203790001</t>
  </si>
  <si>
    <t>97.228.565.4-305.000</t>
  </si>
  <si>
    <t>JL MANGGAR RT. 008 RW. 003 DESA KACANG BUTOR KEC. BADAU</t>
  </si>
  <si>
    <t>OPERATOR</t>
  </si>
  <si>
    <t>1902042302890003</t>
  </si>
  <si>
    <t>66.907.958.4-305.000</t>
  </si>
  <si>
    <t>DSN CENDIL RT. 006 RW. 002 DESA CENDIL KEC. KELAPA KAMPIT</t>
  </si>
  <si>
    <t>HELPER</t>
  </si>
  <si>
    <t>1906041805780002</t>
  </si>
  <si>
    <t>97.228.598.5-305.000</t>
  </si>
  <si>
    <t>DSN PESARAKAN RT. 008 RW. 003 DESA CENDIL KEC. KELAPA KAMPIT</t>
  </si>
  <si>
    <t>1902051805780002</t>
  </si>
  <si>
    <t>97.228.607.4-305.000</t>
  </si>
  <si>
    <t>JL MANGGAR RT. 009 RW. 003 DESA KACANG BUTOR KEC. BADAU</t>
  </si>
  <si>
    <t>1902043110000001</t>
  </si>
  <si>
    <t>PELEPAK PUTE RT.003/002 DESA PELEPAK PUTE KEC. SIJUK KAB. BELITUNG</t>
  </si>
  <si>
    <t>MANDOR PANEN</t>
  </si>
  <si>
    <t>RIDHO AFRIZAL</t>
  </si>
  <si>
    <t>1902040112910004</t>
  </si>
  <si>
    <t>JL SIJUK RT. 004 RW. 002 DESA AIR SERUK KEC. SIJUK</t>
  </si>
  <si>
    <t>1902040107800096</t>
  </si>
  <si>
    <t>AIR KALA RT. 023 RW. 012 DESA SIJUK  KEC. SIJUK</t>
  </si>
  <si>
    <t>PEMANEN</t>
  </si>
  <si>
    <t>1902042012900001</t>
  </si>
  <si>
    <t>JL BUDING AIK KALAK RT. 023 RW. 012 DESA SIJUK KEC. SIJUK</t>
  </si>
  <si>
    <t>1902040501800001</t>
  </si>
  <si>
    <t>PELEPAK PUTE RT. 003 RW. 002 DESA PELEPAK PUTE KEC. SIJUK</t>
  </si>
  <si>
    <t>1902041606020001</t>
  </si>
  <si>
    <t>JL RAYA PELEPAK PUTE RT. 007 RW. 004 DESA PELEPAK PUTE KEC. SIJUK</t>
  </si>
  <si>
    <t>5203093112730223</t>
  </si>
  <si>
    <t>KEKUANG RT. 003 DESA TOYA KEC. AIKMEL KAB. LOMBOK TIMUR</t>
  </si>
  <si>
    <t>5203013112000044</t>
  </si>
  <si>
    <t>LINGKOK RAMBEN DESA KETANGGA JERAENG KEC,KERUAK LOMBOK TIMUR</t>
  </si>
  <si>
    <t>5203011208840003</t>
  </si>
  <si>
    <t>K/3</t>
  </si>
  <si>
    <t>5203011708840005</t>
  </si>
  <si>
    <t>5203193112860139</t>
  </si>
  <si>
    <t>GUBUK MAJLOK,BUNG TIANG,SAKRA BARAT LOMBOK TIMUR</t>
  </si>
  <si>
    <t>5203073112860170</t>
  </si>
  <si>
    <t>DASAN KETANGGA,KEMBANG SARI,SELON LOMBOK TIMUR</t>
  </si>
  <si>
    <t>5202010703770002</t>
  </si>
  <si>
    <t>BATU APIT DESA GERUNUNG KEC PRAYA LOMBOK TENGAH</t>
  </si>
  <si>
    <t>5201123112900092</t>
  </si>
  <si>
    <t>DUMAN DASAN,KEL DUMAN,KEC LINGSAR LOMBOK BARAT</t>
  </si>
  <si>
    <t>5203013105010004</t>
  </si>
  <si>
    <t>LINGKOK RAMBEN  KEC,KERUAK LOMBOK TIMUR</t>
  </si>
  <si>
    <t>1906042202840002</t>
  </si>
  <si>
    <t>DSN PESARAKAN RT. 007 RW. 003 DESA CENDIL KEC. KELAPA KAMPIT</t>
  </si>
  <si>
    <t>1902043007940002</t>
  </si>
  <si>
    <t>JL.SIJUK RT.015 RW.006 DESA AIR SERUK KEC. SIJUK KAB. BELITUNG</t>
  </si>
  <si>
    <t>1906041411920002</t>
  </si>
  <si>
    <t>97.228.354.3-305.000</t>
  </si>
  <si>
    <t>DSN CENDIL RT. 001 RW.001 DESA CENDIL KECAMATAN KELAPA KAMPIT</t>
  </si>
  <si>
    <t>5203070107900580</t>
  </si>
  <si>
    <t>GUNUNG SIUP RT0.24/-DS DENGGEN KEC SELONG KAB.LOMBOK TIMUR</t>
  </si>
  <si>
    <t>1902042107060003</t>
  </si>
  <si>
    <t>DIBUAT OELH</t>
  </si>
  <si>
    <t>DIPERIKSA OLEH</t>
  </si>
  <si>
    <t>DIKETAHUI  OLEH</t>
  </si>
  <si>
    <t>DISAHKAN OLEH</t>
  </si>
  <si>
    <t>GALEH HAYKAL NUGRAHA</t>
  </si>
  <si>
    <t>GOHI MARULI L TORUAN.SP</t>
  </si>
  <si>
    <t>CHANDRA DINATA PRIBADI</t>
  </si>
  <si>
    <t>ASST DIVISI</t>
  </si>
  <si>
    <t>ESTATE MANAGER</t>
  </si>
  <si>
    <t>SENIOR MANAGER</t>
  </si>
  <si>
    <t>97/15</t>
  </si>
  <si>
    <t>P97/15</t>
  </si>
  <si>
    <t>5203121111960003</t>
  </si>
  <si>
    <t>DASAN ANTARA ,TIMBANUH,PRINGGASELA,LOMBOK TIMUR</t>
  </si>
  <si>
    <t>JAGA GENSET</t>
  </si>
  <si>
    <t>PREMI PPH</t>
  </si>
  <si>
    <t>POCKET CHECKROLL UNTUK BULAN : JANUARI 2026</t>
  </si>
  <si>
    <t>BULAN :  JANUARI 2026</t>
  </si>
  <si>
    <t>1481061.00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</si>
</sst>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2"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#,##0.0"/>
    <numFmt numFmtId="166" formatCode="&quot;$&quot;#,##0"/>
    <numFmt numFmtId="167" formatCode="000############"/>
    <numFmt numFmtId="168" formatCode="_(* #,##0.0_);_(* \(#,##0.0\);_(* &quot;-&quot;??_);_(@_)"/>
    <numFmt numFmtId="169" formatCode="&quot;Rp&quot;#,##0.00;[Red]\-&quot;Rp&quot;#,##0.00"/>
    <numFmt numFmtId="170" formatCode="_-* #,##0_-;\-* #,##0_-;_-* &quot;-&quot;_-;_-@_-"/>
    <numFmt numFmtId="171" formatCode="_-* #,##0.00_-;\-* #,##0.00_-;_-* &quot;-&quot;??_-;_-@_-"/>
    <numFmt numFmtId="172" formatCode="_(* #,##0.00_);_(* \(#,##0.00\);_(* &quot;-&quot;_);_(@_)"/>
    <numFmt numFmtId="173" formatCode="_ * #,##0_ ;_ * \-#,##0_ ;_ * &quot;-&quot;_ ;_ @_ "/>
    <numFmt numFmtId="174" formatCode="_-&quot;IR£&quot;* #,##0.00_-;\-&quot;IR£&quot;* #,##0.00_-;_-&quot;IR£&quot;* &quot;-&quot;??_-;_-@_-"/>
    <numFmt numFmtId="175" formatCode="_(* #,##0.000000_);_(* \(#,##0.000000\);_(* &quot;-&quot;??_);_(@_)"/>
    <numFmt numFmtId="176" formatCode="0.00_)"/>
    <numFmt numFmtId="177" formatCode="&quot;£&quot;#,##0.00;[Red]\-&quot;£&quot;#,##0.00"/>
    <numFmt numFmtId="178" formatCode="_-&quot;£&quot;* #,##0.00_-;\-&quot;£&quot;* #,##0.00_-;_-&quot;£&quot;* &quot;-&quot;??_-;_-@_-"/>
    <numFmt numFmtId="179" formatCode="_-&quot;£&quot;* #,##0_-;\-&quot;£&quot;* #,##0_-;_-&quot;£&quot;* &quot;-&quot;_-;_-@_-"/>
    <numFmt numFmtId="180" formatCode="###0.0_);[Red]\(###0.0\)"/>
    <numFmt numFmtId="181" formatCode="&quot;IR£&quot;#,##0;[Red]\-&quot;IR£&quot;#,##0"/>
    <numFmt numFmtId="182" formatCode="&quot;IR£&quot;#,##0.00;\-&quot;IR£&quot;#,##0.00"/>
    <numFmt numFmtId="183" formatCode="&quot;IR£&quot;#,##0.00;[Red]\-&quot;IR£&quot;#,##0.00"/>
    <numFmt numFmtId="184" formatCode="_-&quot;IR£&quot;* #,##0_-;\-&quot;IR£&quot;* #,##0_-;_-&quot;IR£&quot;* &quot;-&quot;_-;_-@_-"/>
    <numFmt numFmtId="185" formatCode="&quot;IR£&quot;#,##0;\-&quot;IR£&quot;#,##0"/>
    <numFmt numFmtId="186" formatCode="_(* #,##0_);_(* \(#,##0\);_(* \-_);_(@_)"/>
    <numFmt numFmtId="187" formatCode="&quot;Rp&quot;#,##0_);[Red]\(&quot;Rp&quot;#,##0\)"/>
    <numFmt numFmtId="188" formatCode="_-[$Rp-421]* #,##0_ ;_-[$Rp-421]* \-#,##0\ ;_-[$Rp-421]* &quot;-&quot;??_ ;_-@_ "/>
    <numFmt numFmtId="189" formatCode="&quot;£&quot;#,##0;[Red]\-&quot;£&quot;#,##0"/>
    <numFmt numFmtId="190" formatCode="_-* #,##0\ _D_M_-;\-* #,##0\ _D_M_-;_-* &quot;- &quot;_D_M_-;_-@_-"/>
    <numFmt numFmtId="191" formatCode="_(* #,##0_);_(* \(#,##0\);_(* &quot;-&quot;???_);_(@_)"/>
    <numFmt numFmtId="192" formatCode="0.0"/>
    <numFmt numFmtId="193" formatCode="_(* #,##0.0_);_(* \(#,##0.0\);_(* &quot;-&quot;_);_(@_)"/>
    <numFmt numFmtId="194" formatCode="0.000"/>
    <numFmt numFmtId="195" formatCode="_(* #,##0.00_);_(* \(#,##0.00\);_(* \-??_);_(@_)"/>
    <numFmt numFmtId="196" formatCode="_([$Rp-421]* #,##0_);_([$Rp-421]* \(#,##0\);_([$Rp-421]* &quot;-&quot;_);_(@_)"/>
    <numFmt numFmtId="197" formatCode="#,##0.00\ ;&quot; (&quot;#,##0.00\);&quot; -&quot;#\ ;@\ "/>
    <numFmt numFmtId="198" formatCode="_([$Rp-421]* #,##0_);_([$Rp-421]* \(#,##0\);_([$Rp-421]* &quot;-&quot;??_);_(@_)"/>
    <numFmt numFmtId="199" formatCode="_-* #,##0.00_-;\-* #,##0.00_-;_-* &quot;-&quot;_-;_-@_-"/>
    <numFmt numFmtId="200" formatCode="&quot;Rp&quot;#,##0.00_);\(&quot;Rp&quot;#,##0.00\)"/>
    <numFmt numFmtId="201" formatCode="#,##0.00;[Red]#,##0.00"/>
    <numFmt numFmtId="202" formatCode="_(&quot;Rp&quot;* #,##0_);_(&quot;Rp&quot;* \(#,##0\);_(&quot;Rp&quot;* &quot;-&quot;_);_(@_)"/>
    <numFmt numFmtId="203" formatCode="_(&quot;Rp&quot;* #,##0_);_(&quot;Rp&quot;* \(#,##0\);_(&quot;Rp&quot;* \-_);_(@_)"/>
    <numFmt numFmtId="204" formatCode="_(* #,##0,_);[Red]_(* \(#,##0,\);_(* &quot;&quot;&quot;&quot;&quot;&quot;&quot;&quot;\ \-\ &quot;&quot;&quot;&quot;&quot;&quot;&quot;&quot;_);_(@_)"/>
    <numFmt numFmtId="205" formatCode="_(* #,##0._);[Red]_(* \(#,##0.\);_(* &quot;&quot;&quot;&quot;&quot;&quot;&quot;&quot;\ \-\ &quot;&quot;&quot;&quot;&quot;&quot;&quot;&quot;_);_(@_)"/>
    <numFmt numFmtId="206" formatCode="_(\$* #,##0.00_);_(\$* \(#,##0.00\);_(\$* \-??_);_(@_)"/>
    <numFmt numFmtId="207" formatCode="0%\ ;\(0%\)"/>
    <numFmt numFmtId="208" formatCode="#,##0.00&quot; &quot;;&quot; (&quot;#,##0.00&quot;)&quot;;&quot; -&quot;#&quot; &quot;;@&quot; &quot;"/>
    <numFmt numFmtId="209" formatCode="#,##0\ ;&quot; (&quot;#,##0\);&quot; - &quot;;@\ "/>
    <numFmt numFmtId="210" formatCode="[$-421]General"/>
    <numFmt numFmtId="211" formatCode="&quot;  &quot;@"/>
    <numFmt numFmtId="212" formatCode="_(&quot;$&quot;* #,##0_);_(&quot;$&quot;* \(#,##0\);_(&quot;$&quot;* &quot;-&quot;??_);_(@_)"/>
    <numFmt numFmtId="213" formatCode="0%\ ;[Red]\(0%\)"/>
    <numFmt numFmtId="214" formatCode="#,##0.000_);[Red]\(#,##0.000\)"/>
    <numFmt numFmtId="215" formatCode="[Red]&quot;$&quot;#,##0_);[Red]&quot;$&quot;\(#,##0\)"/>
    <numFmt numFmtId="216" formatCode="&quot;          &quot;@"/>
    <numFmt numFmtId="217" formatCode="[Red]#,##0_);[Red]\(#,##0\)"/>
    <numFmt numFmtId="218" formatCode="&quot;$&quot;#,##0;\(&quot;$&quot;#,##0\)"/>
    <numFmt numFmtId="219" formatCode="0.0000000000"/>
    <numFmt numFmtId="220" formatCode="_(&quot;$&quot;* #,##0.0000_);_(&quot;$&quot;* \(#,##0.0000\);_(&quot;$&quot;* &quot;-&quot;??_);_(@_)"/>
    <numFmt numFmtId="221" formatCode="_(&quot;$&quot;* #,##0.00000_);_(&quot;$&quot;* \(#,##0.00000\);_(&quot;$&quot;* &quot;-&quot;??_);_(@_)"/>
    <numFmt numFmtId="222" formatCode="m\-yy"/>
    <numFmt numFmtId="223" formatCode="_([$€]* #,##0.00_);_([$€]* \(#,##0.00\);_([$€]* &quot;-&quot;??_);_(@_)"/>
    <numFmt numFmtId="224" formatCode="_(* #,##0.0000000000_);_(* \(#,##0.0000000000\);_(* \-??_);_(@_)"/>
    <numFmt numFmtId="225" formatCode="0%\ "/>
    <numFmt numFmtId="226" formatCode="_(* #,##0.0000000000_);_(* \(#,##0.0000000000\);_(* &quot;-&quot;??_);_(@_)"/>
    <numFmt numFmtId="227" formatCode="_(* #,##0.0_);_(* \(#,##0.0\);_(* \-??_);_(@_)"/>
    <numFmt numFmtId="228" formatCode="0;[Red]0"/>
    <numFmt numFmtId="229" formatCode="0.00_);[Red]\(0.00\)"/>
    <numFmt numFmtId="230" formatCode="0.00_);\(0.00\)"/>
    <numFmt numFmtId="231" formatCode="0.00;[Red]0.00"/>
    <numFmt numFmtId="232" formatCode="0.0_);\(0.0\)"/>
    <numFmt numFmtId="233" formatCode="General_)"/>
    <numFmt numFmtId="234" formatCode="_(* #,##0,_);[Red]_(* \(#,##0,\);_(* &quot; - &quot;_);_(@_)"/>
    <numFmt numFmtId="235" formatCode="\$#,##0.00_);[Red]&quot;($&quot;#,##0.00\)"/>
    <numFmt numFmtId="236" formatCode="&quot;             &quot;@"/>
    <numFmt numFmtId="237" formatCode="_(* #,##0_);_(* \(#,##0\);_(* \-??_);_(@_)"/>
    <numFmt numFmtId="238" formatCode="_(* #,##0.000000_);_(* \(#,##0.000000\);_(* \-??_);_(@_)"/>
    <numFmt numFmtId="239" formatCode="_-* #,##0_-;\-* #,##0_-;_-* \-_-;_-@_-"/>
    <numFmt numFmtId="240" formatCode="#,##0;[Red]#,##0;&quot;- &quot;"/>
    <numFmt numFmtId="241" formatCode="0%;\(0%\)"/>
    <numFmt numFmtId="242" formatCode="_(\$* #,##0_);_(\$* \(#,##0\);_(\$* \-??_);_(@_)"/>
    <numFmt numFmtId="243" formatCode="\$#,##0_);[Red]&quot;($&quot;#,##0\);&quot;&quot;"/>
    <numFmt numFmtId="244" formatCode="\$#,##0;[Red]\$#,##0;\-"/>
    <numFmt numFmtId="245" formatCode="[Red]&quot;Rp&quot;#,##0_);[Red]&quot;Rp&quot;\(#,##0\)"/>
    <numFmt numFmtId="246" formatCode="_-* #,##0.00_-;\-* #,##0.00_-;_-* \-??_-;_-@_-"/>
    <numFmt numFmtId="247" formatCode="0_);\(0\)"/>
    <numFmt numFmtId="248" formatCode="0.0_);[Red]\(0.0\)"/>
    <numFmt numFmtId="249" formatCode="0_)"/>
    <numFmt numFmtId="250" formatCode="0000000000000000"/>
    <numFmt numFmtId="251" formatCode="000000000000000"/>
  </numFmts>
  <fonts count="2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9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rgb="FF00B05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Tahoma"/>
      <family val="2"/>
    </font>
    <font>
      <b/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11"/>
      <color theme="6" tint="-0.249977111117893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u/>
      <sz val="10"/>
      <name val="Tahoma"/>
      <family val="2"/>
    </font>
    <font>
      <b/>
      <sz val="10"/>
      <name val="Tahoma"/>
      <family val="2"/>
    </font>
    <font>
      <b/>
      <sz val="8"/>
      <name val="Tahoma"/>
      <family val="2"/>
    </font>
    <font>
      <sz val="10"/>
      <name val="Tahoma"/>
      <family val="2"/>
    </font>
    <font>
      <sz val="8"/>
      <name val="Tahoma"/>
      <family val="2"/>
    </font>
    <font>
      <sz val="9"/>
      <name val="Tahoma"/>
      <family val="2"/>
    </font>
    <font>
      <sz val="9"/>
      <color theme="1"/>
      <name val="Tahoma"/>
      <family val="2"/>
    </font>
    <font>
      <b/>
      <sz val="9"/>
      <name val="Tahoma"/>
      <family val="2"/>
    </font>
    <font>
      <u/>
      <sz val="10"/>
      <color theme="1"/>
      <name val="Calibri"/>
      <family val="2"/>
      <scheme val="minor"/>
    </font>
    <font>
      <sz val="10"/>
      <name val="Calibri"/>
      <family val="2"/>
    </font>
    <font>
      <u/>
      <sz val="10"/>
      <name val="Tahoma"/>
      <family val="2"/>
    </font>
    <font>
      <sz val="8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b/>
      <sz val="8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indexed="8"/>
      <name val="Calibri"/>
      <family val="2"/>
    </font>
    <font>
      <sz val="14"/>
      <color indexed="8"/>
      <name val="Cambria"/>
      <family val="1"/>
    </font>
    <font>
      <sz val="11"/>
      <name val="Calibri"/>
      <family val="2"/>
    </font>
    <font>
      <u/>
      <sz val="9"/>
      <color theme="1"/>
      <name val="Calibri"/>
      <family val="2"/>
      <scheme val="minor"/>
    </font>
    <font>
      <u/>
      <sz val="11"/>
      <name val="Tahoma"/>
      <family val="2"/>
    </font>
    <font>
      <sz val="9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10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Times New Roman"/>
      <family val="1"/>
    </font>
    <font>
      <sz val="11"/>
      <color indexed="8"/>
      <name val="Calibri"/>
      <family val="2"/>
    </font>
    <font>
      <b/>
      <i/>
      <sz val="8"/>
      <name val="Arial"/>
      <family val="2"/>
    </font>
    <font>
      <sz val="10"/>
      <color indexed="8"/>
      <name val="Calibri"/>
      <family val="2"/>
    </font>
    <font>
      <sz val="10"/>
      <name val="Arial"/>
      <family val="2"/>
      <charset val="134"/>
    </font>
    <font>
      <sz val="12"/>
      <name val="Helv"/>
    </font>
    <font>
      <sz val="12"/>
      <name val="Helv"/>
      <charset val="134"/>
    </font>
    <font>
      <sz val="10"/>
      <name val="Times New Roman"/>
      <family val="1"/>
    </font>
    <font>
      <sz val="10"/>
      <name val="Times New Roman"/>
      <family val="1"/>
      <charset val="134"/>
    </font>
    <font>
      <sz val="12"/>
      <name val="¹ÙÅÁÃ¼"/>
    </font>
    <font>
      <sz val="11"/>
      <color indexed="8"/>
      <name val="Calibri"/>
      <family val="2"/>
      <charset val="134"/>
    </font>
    <font>
      <sz val="12"/>
      <color indexed="8"/>
      <name val="Times New Roman"/>
      <family val="1"/>
    </font>
    <font>
      <sz val="12"/>
      <color indexed="8"/>
      <name val="Times New Roman"/>
      <family val="1"/>
      <charset val="134"/>
    </font>
    <font>
      <sz val="11"/>
      <color indexed="9"/>
      <name val="Calibri"/>
      <family val="2"/>
    </font>
    <font>
      <sz val="11"/>
      <color indexed="9"/>
      <name val="Calibri"/>
      <family val="2"/>
      <charset val="134"/>
    </font>
    <font>
      <sz val="12"/>
      <color indexed="9"/>
      <name val="Times New Roman"/>
      <family val="1"/>
    </font>
    <font>
      <sz val="12"/>
      <color indexed="9"/>
      <name val="Times New Roman"/>
      <family val="1"/>
      <charset val="134"/>
    </font>
    <font>
      <sz val="8"/>
      <name val="Times New Roman"/>
      <family val="1"/>
    </font>
    <font>
      <sz val="8"/>
      <name val="Times New Roman"/>
      <family val="1"/>
      <charset val="134"/>
    </font>
    <font>
      <sz val="11"/>
      <color indexed="20"/>
      <name val="Calibri"/>
      <family val="2"/>
    </font>
    <font>
      <sz val="11"/>
      <color indexed="20"/>
      <name val="Calibri"/>
      <family val="2"/>
      <charset val="134"/>
    </font>
    <font>
      <sz val="11"/>
      <color indexed="36"/>
      <name val="Calibri"/>
      <family val="2"/>
    </font>
    <font>
      <sz val="11"/>
      <color indexed="36"/>
      <name val="Calibri"/>
      <family val="2"/>
      <charset val="134"/>
    </font>
    <font>
      <sz val="12"/>
      <color indexed="20"/>
      <name val="Times New Roman"/>
      <family val="1"/>
    </font>
    <font>
      <sz val="12"/>
      <color indexed="20"/>
      <name val="Times New Roman"/>
      <family val="1"/>
      <charset val="134"/>
    </font>
    <font>
      <sz val="10"/>
      <color indexed="8"/>
      <name val="Arial"/>
      <family val="2"/>
      <charset val="134"/>
    </font>
    <font>
      <b/>
      <sz val="11"/>
      <color indexed="52"/>
      <name val="Calibri"/>
      <family val="2"/>
    </font>
    <font>
      <b/>
      <sz val="11"/>
      <color indexed="52"/>
      <name val="Calibri"/>
      <family val="2"/>
      <charset val="134"/>
    </font>
    <font>
      <b/>
      <sz val="12"/>
      <color indexed="52"/>
      <name val="Times New Roman"/>
      <family val="1"/>
    </font>
    <font>
      <b/>
      <sz val="12"/>
      <color indexed="52"/>
      <name val="Times New Roman"/>
      <family val="1"/>
      <charset val="134"/>
    </font>
    <font>
      <b/>
      <sz val="11"/>
      <color indexed="9"/>
      <name val="Calibri"/>
      <family val="2"/>
    </font>
    <font>
      <b/>
      <sz val="11"/>
      <color indexed="9"/>
      <name val="Calibri"/>
      <family val="2"/>
      <charset val="134"/>
    </font>
    <font>
      <b/>
      <sz val="12"/>
      <color indexed="9"/>
      <name val="Times New Roman"/>
      <family val="1"/>
    </font>
    <font>
      <b/>
      <sz val="12"/>
      <color indexed="9"/>
      <name val="Times New Roman"/>
      <family val="1"/>
      <charset val="134"/>
    </font>
    <font>
      <sz val="11"/>
      <color indexed="8"/>
      <name val="Calibri"/>
      <family val="2"/>
      <charset val="1"/>
    </font>
    <font>
      <sz val="12"/>
      <name val="Times New Roman"/>
      <family val="1"/>
    </font>
    <font>
      <sz val="10"/>
      <name val="Arial"/>
      <family val="2"/>
      <charset val="1"/>
    </font>
    <font>
      <sz val="10"/>
      <color indexed="8"/>
      <name val="Calibri"/>
      <family val="2"/>
      <charset val="134"/>
    </font>
    <font>
      <sz val="11"/>
      <color rgb="FF000000"/>
      <name val="Calibri"/>
      <family val="2"/>
    </font>
    <font>
      <sz val="10"/>
      <name val="MS Serif"/>
      <family val="1"/>
    </font>
    <font>
      <sz val="10"/>
      <name val="MS Serif"/>
      <family val="1"/>
      <charset val="134"/>
    </font>
    <font>
      <b/>
      <sz val="8"/>
      <name val="Arial"/>
      <family val="2"/>
    </font>
    <font>
      <b/>
      <sz val="8"/>
      <name val="Arial"/>
      <family val="2"/>
      <charset val="134"/>
    </font>
    <font>
      <sz val="10"/>
      <color indexed="16"/>
      <name val="MS Serif"/>
      <family val="1"/>
    </font>
    <font>
      <sz val="10"/>
      <color indexed="16"/>
      <name val="MS Serif"/>
      <family val="1"/>
      <charset val="134"/>
    </font>
    <font>
      <i/>
      <sz val="11"/>
      <color indexed="23"/>
      <name val="Calibri"/>
      <family val="2"/>
    </font>
    <font>
      <i/>
      <sz val="11"/>
      <color indexed="23"/>
      <name val="Calibri"/>
      <family val="2"/>
      <charset val="134"/>
    </font>
    <font>
      <i/>
      <sz val="12"/>
      <color indexed="23"/>
      <name val="Times New Roman"/>
      <family val="1"/>
    </font>
    <font>
      <i/>
      <sz val="12"/>
      <color indexed="23"/>
      <name val="Times New Roman"/>
      <family val="1"/>
      <charset val="134"/>
    </font>
    <font>
      <sz val="11"/>
      <color indexed="17"/>
      <name val="Calibri"/>
      <family val="2"/>
    </font>
    <font>
      <sz val="11"/>
      <color indexed="17"/>
      <name val="Calibri"/>
      <family val="2"/>
      <charset val="134"/>
    </font>
    <font>
      <sz val="12"/>
      <color indexed="17"/>
      <name val="Times New Roman"/>
      <family val="1"/>
    </font>
    <font>
      <sz val="12"/>
      <color indexed="17"/>
      <name val="Times New Roman"/>
      <family val="1"/>
      <charset val="134"/>
    </font>
    <font>
      <sz val="8"/>
      <name val="Arial"/>
      <family val="2"/>
    </font>
    <font>
      <sz val="8"/>
      <name val="Arial"/>
      <family val="2"/>
      <charset val="134"/>
    </font>
    <font>
      <b/>
      <sz val="12"/>
      <name val="Arial"/>
      <family val="2"/>
    </font>
    <font>
      <b/>
      <sz val="12"/>
      <name val="Arial"/>
      <family val="2"/>
      <charset val="134"/>
    </font>
    <font>
      <b/>
      <sz val="15"/>
      <color indexed="56"/>
      <name val="Calibri"/>
      <family val="2"/>
    </font>
    <font>
      <b/>
      <sz val="15"/>
      <color indexed="56"/>
      <name val="Calibri"/>
      <family val="2"/>
      <charset val="134"/>
    </font>
    <font>
      <b/>
      <sz val="15"/>
      <color indexed="62"/>
      <name val="Calibri"/>
      <family val="2"/>
    </font>
    <font>
      <b/>
      <sz val="15"/>
      <color indexed="62"/>
      <name val="Calibri"/>
      <family val="2"/>
      <charset val="134"/>
    </font>
    <font>
      <b/>
      <sz val="15"/>
      <color indexed="56"/>
      <name val="Times New Roman"/>
      <family val="1"/>
    </font>
    <font>
      <b/>
      <sz val="15"/>
      <color indexed="56"/>
      <name val="Times New Roman"/>
      <family val="1"/>
      <charset val="134"/>
    </font>
    <font>
      <b/>
      <sz val="13"/>
      <color indexed="56"/>
      <name val="Calibri"/>
      <family val="2"/>
    </font>
    <font>
      <b/>
      <sz val="13"/>
      <color indexed="56"/>
      <name val="Calibri"/>
      <family val="2"/>
      <charset val="134"/>
    </font>
    <font>
      <b/>
      <sz val="13"/>
      <color indexed="62"/>
      <name val="Calibri"/>
      <family val="2"/>
    </font>
    <font>
      <b/>
      <sz val="13"/>
      <color indexed="62"/>
      <name val="Calibri"/>
      <family val="2"/>
      <charset val="134"/>
    </font>
    <font>
      <b/>
      <sz val="13"/>
      <color indexed="56"/>
      <name val="Times New Roman"/>
      <family val="1"/>
    </font>
    <font>
      <b/>
      <sz val="13"/>
      <color indexed="56"/>
      <name val="Times New Roman"/>
      <family val="1"/>
      <charset val="134"/>
    </font>
    <font>
      <b/>
      <sz val="11"/>
      <color indexed="56"/>
      <name val="Calibri"/>
      <family val="2"/>
    </font>
    <font>
      <b/>
      <sz val="11"/>
      <color indexed="56"/>
      <name val="Calibri"/>
      <family val="2"/>
      <charset val="134"/>
    </font>
    <font>
      <b/>
      <sz val="11"/>
      <color indexed="62"/>
      <name val="Calibri"/>
      <family val="2"/>
    </font>
    <font>
      <b/>
      <sz val="11"/>
      <color indexed="62"/>
      <name val="Calibri"/>
      <family val="2"/>
      <charset val="134"/>
    </font>
    <font>
      <b/>
      <sz val="11"/>
      <color indexed="56"/>
      <name val="Times New Roman"/>
      <family val="1"/>
    </font>
    <font>
      <b/>
      <sz val="11"/>
      <color indexed="56"/>
      <name val="Times New Roman"/>
      <family val="1"/>
      <charset val="134"/>
    </font>
    <font>
      <b/>
      <sz val="8"/>
      <name val="MS Sans Serif"/>
      <family val="2"/>
    </font>
    <font>
      <b/>
      <sz val="8"/>
      <name val="MS Sans Serif"/>
      <family val="2"/>
      <charset val="134"/>
    </font>
    <font>
      <sz val="11"/>
      <color indexed="62"/>
      <name val="Calibri"/>
      <family val="2"/>
    </font>
    <font>
      <sz val="11"/>
      <color indexed="62"/>
      <name val="Calibri"/>
      <family val="2"/>
      <charset val="134"/>
    </font>
    <font>
      <sz val="12"/>
      <color indexed="62"/>
      <name val="Times New Roman"/>
      <family val="1"/>
    </font>
    <font>
      <sz val="12"/>
      <color indexed="62"/>
      <name val="Times New Roman"/>
      <family val="1"/>
      <charset val="134"/>
    </font>
    <font>
      <sz val="11"/>
      <color indexed="52"/>
      <name val="Calibri"/>
      <family val="2"/>
    </font>
    <font>
      <sz val="11"/>
      <color indexed="52"/>
      <name val="Calibri"/>
      <family val="2"/>
      <charset val="134"/>
    </font>
    <font>
      <sz val="12"/>
      <color indexed="52"/>
      <name val="Times New Roman"/>
      <family val="1"/>
    </font>
    <font>
      <sz val="12"/>
      <color indexed="52"/>
      <name val="Times New Roman"/>
      <family val="1"/>
      <charset val="134"/>
    </font>
    <font>
      <sz val="11"/>
      <color indexed="60"/>
      <name val="Calibri"/>
      <family val="2"/>
    </font>
    <font>
      <sz val="11"/>
      <color indexed="60"/>
      <name val="Calibri"/>
      <family val="2"/>
      <charset val="134"/>
    </font>
    <font>
      <sz val="11"/>
      <color indexed="19"/>
      <name val="Calibri"/>
      <family val="2"/>
    </font>
    <font>
      <sz val="11"/>
      <color indexed="19"/>
      <name val="Calibri"/>
      <family val="2"/>
      <charset val="134"/>
    </font>
    <font>
      <sz val="12"/>
      <color indexed="60"/>
      <name val="Times New Roman"/>
      <family val="1"/>
    </font>
    <font>
      <sz val="12"/>
      <color indexed="60"/>
      <name val="Times New Roman"/>
      <family val="1"/>
      <charset val="134"/>
    </font>
    <font>
      <b/>
      <i/>
      <sz val="16"/>
      <name val="Helv"/>
    </font>
    <font>
      <b/>
      <i/>
      <sz val="16"/>
      <name val="Helv"/>
      <charset val="134"/>
    </font>
    <font>
      <sz val="10"/>
      <name val="Calisto MT"/>
      <family val="1"/>
    </font>
    <font>
      <sz val="10"/>
      <name val="Calisto MT"/>
      <family val="1"/>
      <charset val="134"/>
    </font>
    <font>
      <sz val="10"/>
      <color indexed="8"/>
      <name val="MS Sans Serif"/>
      <family val="2"/>
    </font>
    <font>
      <b/>
      <sz val="11"/>
      <color indexed="63"/>
      <name val="Calibri"/>
      <family val="2"/>
    </font>
    <font>
      <b/>
      <sz val="11"/>
      <color indexed="63"/>
      <name val="Calibri"/>
      <family val="2"/>
      <charset val="134"/>
    </font>
    <font>
      <b/>
      <sz val="12"/>
      <color indexed="63"/>
      <name val="Times New Roman"/>
      <family val="1"/>
    </font>
    <font>
      <b/>
      <sz val="12"/>
      <color indexed="63"/>
      <name val="Times New Roman"/>
      <family val="1"/>
      <charset val="134"/>
    </font>
    <font>
      <sz val="8"/>
      <name val="Wingdings"/>
      <charset val="2"/>
    </font>
    <font>
      <sz val="8"/>
      <name val="Helv"/>
    </font>
    <font>
      <sz val="8"/>
      <name val="Helv"/>
      <charset val="134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  <font>
      <sz val="9"/>
      <color rgb="FF000000"/>
      <name val="Arial"/>
      <family val="2"/>
    </font>
    <font>
      <sz val="11"/>
      <color rgb="FF000000"/>
      <name val="Arial"/>
      <family val="2"/>
    </font>
    <font>
      <i/>
      <sz val="9"/>
      <color rgb="FF000000"/>
      <name val="Arial"/>
      <family val="2"/>
    </font>
    <font>
      <sz val="1"/>
      <color rgb="FF000000"/>
      <name val="Arial"/>
      <family val="2"/>
    </font>
    <font>
      <b/>
      <sz val="10"/>
      <color rgb="FFFF0000"/>
      <name val="Arial"/>
      <family val="2"/>
    </font>
    <font>
      <b/>
      <i/>
      <sz val="8"/>
      <name val="Arial"/>
      <family val="2"/>
      <charset val="134"/>
    </font>
    <font>
      <sz val="8"/>
      <name val="MS Sans Serif"/>
      <family val="2"/>
    </font>
    <font>
      <sz val="8"/>
      <name val="MS Sans Serif"/>
      <family val="2"/>
      <charset val="134"/>
    </font>
    <font>
      <b/>
      <sz val="9"/>
      <name val="Arial"/>
      <family val="2"/>
      <charset val="134"/>
    </font>
    <font>
      <b/>
      <sz val="8"/>
      <color indexed="8"/>
      <name val="Helv"/>
    </font>
    <font>
      <b/>
      <sz val="8"/>
      <color indexed="8"/>
      <name val="Helv"/>
      <charset val="134"/>
    </font>
    <font>
      <b/>
      <sz val="18"/>
      <color indexed="56"/>
      <name val="Cambria"/>
      <family val="2"/>
    </font>
    <font>
      <b/>
      <sz val="18"/>
      <color indexed="56"/>
      <name val="Cambria"/>
      <family val="2"/>
      <charset val="134"/>
    </font>
    <font>
      <b/>
      <sz val="18"/>
      <color indexed="62"/>
      <name val="Cambria"/>
      <family val="2"/>
    </font>
    <font>
      <b/>
      <sz val="18"/>
      <color indexed="62"/>
      <name val="Cambria"/>
      <family val="2"/>
      <charset val="134"/>
    </font>
    <font>
      <b/>
      <sz val="11"/>
      <color indexed="8"/>
      <name val="Calibri"/>
      <family val="2"/>
    </font>
    <font>
      <b/>
      <sz val="11"/>
      <color indexed="8"/>
      <name val="Calibri"/>
      <family val="2"/>
      <charset val="134"/>
    </font>
    <font>
      <b/>
      <sz val="12"/>
      <color indexed="8"/>
      <name val="Times New Roman"/>
      <family val="1"/>
    </font>
    <font>
      <b/>
      <sz val="12"/>
      <color indexed="8"/>
      <name val="Times New Roman"/>
      <family val="1"/>
      <charset val="134"/>
    </font>
    <font>
      <sz val="11"/>
      <color indexed="10"/>
      <name val="Calibri"/>
      <family val="2"/>
    </font>
    <font>
      <sz val="11"/>
      <color indexed="10"/>
      <name val="Calibri"/>
      <family val="2"/>
      <charset val="134"/>
    </font>
    <font>
      <sz val="12"/>
      <color indexed="10"/>
      <name val="Times New Roman"/>
      <family val="1"/>
    </font>
    <font>
      <sz val="12"/>
      <color indexed="10"/>
      <name val="Times New Roman"/>
      <family val="1"/>
      <charset val="134"/>
    </font>
    <font>
      <sz val="12"/>
      <name val="Arial"/>
      <family val="2"/>
    </font>
    <font>
      <sz val="11"/>
      <color indexed="9"/>
      <name val="Calibri"/>
      <family val="2"/>
      <charset val="1"/>
    </font>
    <font>
      <sz val="11"/>
      <color indexed="17"/>
      <name val="Calibri"/>
      <family val="2"/>
      <charset val="1"/>
    </font>
    <font>
      <sz val="11"/>
      <color indexed="20"/>
      <name val="Calibri"/>
      <family val="2"/>
      <charset val="1"/>
    </font>
    <font>
      <b/>
      <sz val="11"/>
      <color indexed="9"/>
      <name val="Calibri"/>
      <family val="2"/>
      <charset val="1"/>
    </font>
    <font>
      <sz val="10"/>
      <name val="Helv"/>
    </font>
    <font>
      <sz val="12"/>
      <name val="Arial Narrow"/>
      <family val="2"/>
    </font>
    <font>
      <sz val="10"/>
      <color indexed="8"/>
      <name val="Bookman Old Style"/>
      <family val="1"/>
    </font>
    <font>
      <b/>
      <sz val="18"/>
      <color indexed="56"/>
      <name val="Cambria"/>
      <family val="2"/>
      <charset val="1"/>
    </font>
    <font>
      <b/>
      <sz val="11"/>
      <color indexed="63"/>
      <name val="Calibri"/>
      <family val="2"/>
      <charset val="1"/>
    </font>
    <font>
      <sz val="11"/>
      <color indexed="62"/>
      <name val="Calibri"/>
      <family val="2"/>
      <charset val="1"/>
    </font>
    <font>
      <sz val="11"/>
      <color indexed="60"/>
      <name val="Calibri"/>
      <family val="2"/>
      <charset val="1"/>
    </font>
    <font>
      <sz val="10"/>
      <name val="Tms Rmn"/>
    </font>
    <font>
      <sz val="12"/>
      <name val="Tms Rmn"/>
    </font>
    <font>
      <b/>
      <sz val="11"/>
      <color indexed="52"/>
      <name val="Calibri"/>
      <family val="2"/>
      <charset val="1"/>
    </font>
    <font>
      <sz val="11"/>
      <color indexed="52"/>
      <name val="Calibri"/>
      <family val="2"/>
      <charset val="1"/>
    </font>
    <font>
      <sz val="10"/>
      <color indexed="11"/>
      <name val="Arial"/>
      <family val="2"/>
    </font>
    <font>
      <b/>
      <sz val="15"/>
      <color indexed="56"/>
      <name val="Calibri"/>
      <family val="2"/>
      <charset val="1"/>
    </font>
    <font>
      <b/>
      <sz val="13"/>
      <color indexed="56"/>
      <name val="Calibri"/>
      <family val="2"/>
      <charset val="1"/>
    </font>
    <font>
      <b/>
      <sz val="11"/>
      <color indexed="56"/>
      <name val="Calibri"/>
      <family val="2"/>
      <charset val="1"/>
    </font>
    <font>
      <i/>
      <sz val="11"/>
      <color indexed="23"/>
      <name val="Calibri"/>
      <family val="2"/>
      <charset val="1"/>
    </font>
    <font>
      <sz val="11"/>
      <color indexed="10"/>
      <name val="Calibri"/>
      <family val="2"/>
      <charset val="1"/>
    </font>
    <font>
      <sz val="10"/>
      <color indexed="8"/>
      <name val="Arial"/>
      <charset val="1"/>
    </font>
    <font>
      <b/>
      <sz val="10"/>
      <name val="Arial"/>
      <family val="2"/>
    </font>
    <font>
      <sz val="8"/>
      <color indexed="8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u val="singleAccounting"/>
      <sz val="10"/>
      <name val="Arial"/>
      <family val="2"/>
    </font>
    <font>
      <u/>
      <sz val="10"/>
      <name val="Arial"/>
      <family val="2"/>
    </font>
    <font>
      <b/>
      <sz val="9"/>
      <color indexed="8"/>
      <name val="Times New Roman"/>
      <charset val="1"/>
    </font>
  </fonts>
  <fills count="8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31"/>
        <bgColor indexed="41"/>
      </patternFill>
    </fill>
    <fill>
      <patternFill patternType="solid">
        <fgColor indexed="9"/>
        <bgColor indexed="26"/>
      </patternFill>
    </fill>
    <fill>
      <patternFill patternType="solid">
        <fgColor indexed="45"/>
        <bgColor indexed="29"/>
      </patternFill>
    </fill>
    <fill>
      <patternFill patternType="solid">
        <fgColor indexed="47"/>
        <bgColor indexed="43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1"/>
        <bgColor indexed="9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2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53"/>
        <bgColor indexed="29"/>
      </patternFill>
    </fill>
    <fill>
      <patternFill patternType="solid">
        <fgColor indexed="11"/>
        <bgColor indexed="49"/>
      </patternFill>
    </fill>
    <fill>
      <patternFill patternType="solid">
        <fgColor indexed="11"/>
        <bgColor indexed="50"/>
      </patternFill>
    </fill>
    <fill>
      <patternFill patternType="solid">
        <fgColor indexed="43"/>
        <bgColor indexed="26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55"/>
        <bgColor indexed="49"/>
      </patternFill>
    </fill>
    <fill>
      <patternFill patternType="solid">
        <fgColor indexed="25"/>
        <bgColor indexed="61"/>
      </patternFill>
    </fill>
    <fill>
      <patternFill patternType="solid">
        <fgColor indexed="50"/>
        <bgColor indexed="11"/>
      </patternFill>
    </fill>
    <fill>
      <patternFill patternType="solid">
        <fgColor indexed="20"/>
        <bgColor indexed="36"/>
      </patternFill>
    </fill>
    <fill>
      <patternFill patternType="solid">
        <fgColor indexed="20"/>
        <bgColor indexed="28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52"/>
        <bgColor indexed="45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7"/>
        <bgColor indexed="19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darkVertical"/>
    </fill>
    <fill>
      <patternFill patternType="solid">
        <fgColor rgb="FFFFFFFF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F0"/>
        <bgColor indexed="64"/>
      </patternFill>
    </fill>
  </fills>
  <borders count="1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5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55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5"/>
      </top>
      <bottom style="double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1011">
    <xf numFmtId="0" fontId="0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7" fillId="0" borderId="0"/>
    <xf numFmtId="0" fontId="40" fillId="0" borderId="0"/>
    <xf numFmtId="0" fontId="40" fillId="0" borderId="0"/>
    <xf numFmtId="41" fontId="40" fillId="0" borderId="0" applyFont="0" applyFill="0" applyBorder="0" applyAlignment="0" applyProtection="0"/>
    <xf numFmtId="0" fontId="40" fillId="0" borderId="0"/>
    <xf numFmtId="9" fontId="40" fillId="0" borderId="0" applyFont="0" applyFill="0" applyBorder="0" applyAlignment="0" applyProtection="0"/>
    <xf numFmtId="0" fontId="59" fillId="0" borderId="0">
      <alignment vertical="top"/>
    </xf>
    <xf numFmtId="43" fontId="61" fillId="0" borderId="0" applyFont="0" applyFill="0" applyBorder="0" applyAlignment="0" applyProtection="0"/>
    <xf numFmtId="0" fontId="63" fillId="0" borderId="0"/>
    <xf numFmtId="41" fontId="61" fillId="0" borderId="0" applyFont="0" applyFill="0" applyBorder="0" applyAlignment="0" applyProtection="0"/>
    <xf numFmtId="0" fontId="40" fillId="0" borderId="0"/>
    <xf numFmtId="173" fontId="40" fillId="0" borderId="0">
      <protection locked="0"/>
    </xf>
    <xf numFmtId="173" fontId="64" fillId="0" borderId="0">
      <alignment vertical="center"/>
      <protection locked="0"/>
    </xf>
    <xf numFmtId="174" fontId="40" fillId="0" borderId="0">
      <protection locked="0"/>
    </xf>
    <xf numFmtId="174" fontId="64" fillId="0" borderId="0">
      <alignment vertical="center"/>
      <protection locked="0"/>
    </xf>
    <xf numFmtId="174" fontId="40" fillId="0" borderId="0">
      <protection locked="0"/>
    </xf>
    <xf numFmtId="174" fontId="64" fillId="0" borderId="0">
      <alignment vertical="center"/>
      <protection locked="0"/>
    </xf>
    <xf numFmtId="174" fontId="40" fillId="0" borderId="0">
      <protection locked="0"/>
    </xf>
    <xf numFmtId="174" fontId="64" fillId="0" borderId="0">
      <alignment vertical="center"/>
      <protection locked="0"/>
    </xf>
    <xf numFmtId="174" fontId="40" fillId="0" borderId="0">
      <protection locked="0"/>
    </xf>
    <xf numFmtId="174" fontId="64" fillId="0" borderId="0">
      <alignment vertical="center"/>
      <protection locked="0"/>
    </xf>
    <xf numFmtId="175" fontId="65" fillId="0" borderId="0">
      <protection locked="0"/>
    </xf>
    <xf numFmtId="175" fontId="66" fillId="0" borderId="0">
      <alignment vertical="center"/>
      <protection locked="0"/>
    </xf>
    <xf numFmtId="174" fontId="40" fillId="0" borderId="0">
      <protection locked="0"/>
    </xf>
    <xf numFmtId="174" fontId="64" fillId="0" borderId="0">
      <alignment vertical="center"/>
      <protection locked="0"/>
    </xf>
    <xf numFmtId="176" fontId="67" fillId="0" borderId="0">
      <protection locked="0"/>
    </xf>
    <xf numFmtId="176" fontId="68" fillId="0" borderId="0">
      <alignment vertical="center"/>
      <protection locked="0"/>
    </xf>
    <xf numFmtId="174" fontId="40" fillId="0" borderId="0">
      <protection locked="0"/>
    </xf>
    <xf numFmtId="174" fontId="64" fillId="0" borderId="0">
      <alignment vertical="center"/>
      <protection locked="0"/>
    </xf>
    <xf numFmtId="173" fontId="40" fillId="0" borderId="0">
      <protection locked="0"/>
    </xf>
    <xf numFmtId="173" fontId="64" fillId="0" borderId="0">
      <alignment vertical="center"/>
      <protection locked="0"/>
    </xf>
    <xf numFmtId="174" fontId="40" fillId="0" borderId="0">
      <protection locked="0"/>
    </xf>
    <xf numFmtId="174" fontId="64" fillId="0" borderId="0">
      <alignment vertical="center"/>
      <protection locked="0"/>
    </xf>
    <xf numFmtId="174" fontId="40" fillId="0" borderId="0">
      <protection locked="0"/>
    </xf>
    <xf numFmtId="174" fontId="64" fillId="0" borderId="0">
      <alignment vertical="center"/>
      <protection locked="0"/>
    </xf>
    <xf numFmtId="174" fontId="40" fillId="0" borderId="0">
      <protection locked="0"/>
    </xf>
    <xf numFmtId="174" fontId="64" fillId="0" borderId="0">
      <alignment vertical="center"/>
      <protection locked="0"/>
    </xf>
    <xf numFmtId="174" fontId="40" fillId="0" borderId="0">
      <protection locked="0"/>
    </xf>
    <xf numFmtId="174" fontId="64" fillId="0" borderId="0">
      <alignment vertical="center"/>
      <protection locked="0"/>
    </xf>
    <xf numFmtId="175" fontId="65" fillId="0" borderId="0">
      <protection locked="0"/>
    </xf>
    <xf numFmtId="175" fontId="66" fillId="0" borderId="0">
      <alignment vertical="center"/>
      <protection locked="0"/>
    </xf>
    <xf numFmtId="174" fontId="40" fillId="0" borderId="0">
      <protection locked="0"/>
    </xf>
    <xf numFmtId="174" fontId="64" fillId="0" borderId="0">
      <alignment vertical="center"/>
      <protection locked="0"/>
    </xf>
    <xf numFmtId="176" fontId="67" fillId="0" borderId="0">
      <protection locked="0"/>
    </xf>
    <xf numFmtId="176" fontId="68" fillId="0" borderId="0">
      <alignment vertical="center"/>
      <protection locked="0"/>
    </xf>
    <xf numFmtId="174" fontId="40" fillId="0" borderId="0">
      <protection locked="0"/>
    </xf>
    <xf numFmtId="174" fontId="64" fillId="0" borderId="0">
      <alignment vertical="center"/>
      <protection locked="0"/>
    </xf>
    <xf numFmtId="9" fontId="69" fillId="0" borderId="0" applyFont="0" applyFill="0" applyBorder="0" applyAlignment="0" applyProtection="0"/>
    <xf numFmtId="0" fontId="61" fillId="14" borderId="0" applyNumberFormat="0" applyBorder="0" applyAlignment="0" applyProtection="0"/>
    <xf numFmtId="0" fontId="61" fillId="14" borderId="0" applyNumberFormat="0" applyBorder="0" applyAlignment="0" applyProtection="0"/>
    <xf numFmtId="0" fontId="70" fillId="14" borderId="0" applyNumberFormat="0" applyBorder="0" applyAlignment="0" applyProtection="0">
      <alignment vertical="center"/>
    </xf>
    <xf numFmtId="0" fontId="61" fillId="15" borderId="0" applyNumberFormat="0" applyBorder="0" applyAlignment="0" applyProtection="0"/>
    <xf numFmtId="0" fontId="70" fillId="15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61" fillId="14" borderId="0" applyNumberFormat="0" applyBorder="0" applyAlignment="0" applyProtection="0"/>
    <xf numFmtId="0" fontId="61" fillId="14" borderId="0" applyNumberFormat="0" applyBorder="0" applyAlignment="0" applyProtection="0"/>
    <xf numFmtId="0" fontId="70" fillId="14" borderId="0" applyNumberFormat="0" applyBorder="0" applyAlignment="0" applyProtection="0">
      <alignment vertical="center"/>
    </xf>
    <xf numFmtId="0" fontId="61" fillId="15" borderId="0" applyNumberFormat="0" applyBorder="0" applyAlignment="0" applyProtection="0"/>
    <xf numFmtId="0" fontId="70" fillId="15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61" fillId="16" borderId="0" applyNumberFormat="0" applyBorder="0" applyAlignment="0" applyProtection="0"/>
    <xf numFmtId="0" fontId="70" fillId="16" borderId="0" applyNumberFormat="0" applyBorder="0" applyAlignment="0" applyProtection="0">
      <alignment vertical="center"/>
    </xf>
    <xf numFmtId="0" fontId="71" fillId="14" borderId="0" applyNumberFormat="0" applyBorder="0" applyAlignment="0" applyProtection="0"/>
    <xf numFmtId="0" fontId="71" fillId="15" borderId="0" applyNumberFormat="0" applyBorder="0" applyAlignment="0" applyProtection="0"/>
    <xf numFmtId="0" fontId="72" fillId="15" borderId="0" applyNumberFormat="0" applyBorder="0" applyAlignment="0" applyProtection="0">
      <alignment vertical="center"/>
    </xf>
    <xf numFmtId="0" fontId="72" fillId="14" borderId="0" applyNumberFormat="0" applyBorder="0" applyAlignment="0" applyProtection="0">
      <alignment vertical="center"/>
    </xf>
    <xf numFmtId="0" fontId="61" fillId="14" borderId="0" applyNumberFormat="0" applyBorder="0" applyAlignment="0" applyProtection="0"/>
    <xf numFmtId="0" fontId="61" fillId="14" borderId="0" applyNumberFormat="0" applyBorder="0" applyAlignment="0" applyProtection="0"/>
    <xf numFmtId="0" fontId="70" fillId="14" borderId="0" applyNumberFormat="0" applyBorder="0" applyAlignment="0" applyProtection="0">
      <alignment vertical="center"/>
    </xf>
    <xf numFmtId="0" fontId="61" fillId="15" borderId="0" applyNumberFormat="0" applyBorder="0" applyAlignment="0" applyProtection="0"/>
    <xf numFmtId="0" fontId="70" fillId="15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61" fillId="14" borderId="0" applyNumberFormat="0" applyBorder="0" applyAlignment="0" applyProtection="0"/>
    <xf numFmtId="0" fontId="61" fillId="14" borderId="0" applyNumberFormat="0" applyBorder="0" applyAlignment="0" applyProtection="0"/>
    <xf numFmtId="0" fontId="70" fillId="14" borderId="0" applyNumberFormat="0" applyBorder="0" applyAlignment="0" applyProtection="0">
      <alignment vertical="center"/>
    </xf>
    <xf numFmtId="0" fontId="61" fillId="15" borderId="0" applyNumberFormat="0" applyBorder="0" applyAlignment="0" applyProtection="0"/>
    <xf numFmtId="0" fontId="70" fillId="15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61" fillId="14" borderId="0" applyNumberFormat="0" applyBorder="0" applyAlignment="0" applyProtection="0"/>
    <xf numFmtId="0" fontId="61" fillId="14" borderId="0" applyNumberFormat="0" applyBorder="0" applyAlignment="0" applyProtection="0"/>
    <xf numFmtId="0" fontId="70" fillId="14" borderId="0" applyNumberFormat="0" applyBorder="0" applyAlignment="0" applyProtection="0">
      <alignment vertical="center"/>
    </xf>
    <xf numFmtId="0" fontId="61" fillId="15" borderId="0" applyNumberFormat="0" applyBorder="0" applyAlignment="0" applyProtection="0"/>
    <xf numFmtId="0" fontId="70" fillId="15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61" fillId="14" borderId="0" applyNumberFormat="0" applyBorder="0" applyAlignment="0" applyProtection="0"/>
    <xf numFmtId="0" fontId="61" fillId="14" borderId="0" applyNumberFormat="0" applyBorder="0" applyAlignment="0" applyProtection="0"/>
    <xf numFmtId="0" fontId="70" fillId="14" borderId="0" applyNumberFormat="0" applyBorder="0" applyAlignment="0" applyProtection="0">
      <alignment vertical="center"/>
    </xf>
    <xf numFmtId="0" fontId="61" fillId="15" borderId="0" applyNumberFormat="0" applyBorder="0" applyAlignment="0" applyProtection="0"/>
    <xf numFmtId="0" fontId="70" fillId="15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61" fillId="14" borderId="0" applyNumberFormat="0" applyBorder="0" applyAlignment="0" applyProtection="0"/>
    <xf numFmtId="0" fontId="61" fillId="14" borderId="0" applyNumberFormat="0" applyBorder="0" applyAlignment="0" applyProtection="0"/>
    <xf numFmtId="0" fontId="70" fillId="14" borderId="0" applyNumberFormat="0" applyBorder="0" applyAlignment="0" applyProtection="0">
      <alignment vertical="center"/>
    </xf>
    <xf numFmtId="0" fontId="61" fillId="15" borderId="0" applyNumberFormat="0" applyBorder="0" applyAlignment="0" applyProtection="0"/>
    <xf numFmtId="0" fontId="70" fillId="15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61" fillId="14" borderId="0" applyNumberFormat="0" applyBorder="0" applyAlignment="0" applyProtection="0"/>
    <xf numFmtId="0" fontId="61" fillId="14" borderId="0" applyNumberFormat="0" applyBorder="0" applyAlignment="0" applyProtection="0"/>
    <xf numFmtId="0" fontId="70" fillId="14" borderId="0" applyNumberFormat="0" applyBorder="0" applyAlignment="0" applyProtection="0">
      <alignment vertical="center"/>
    </xf>
    <xf numFmtId="0" fontId="61" fillId="15" borderId="0" applyNumberFormat="0" applyBorder="0" applyAlignment="0" applyProtection="0"/>
    <xf numFmtId="0" fontId="70" fillId="15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61" fillId="14" borderId="0" applyNumberFormat="0" applyBorder="0" applyAlignment="0" applyProtection="0"/>
    <xf numFmtId="0" fontId="61" fillId="14" borderId="0" applyNumberFormat="0" applyBorder="0" applyAlignment="0" applyProtection="0"/>
    <xf numFmtId="0" fontId="70" fillId="14" borderId="0" applyNumberFormat="0" applyBorder="0" applyAlignment="0" applyProtection="0">
      <alignment vertical="center"/>
    </xf>
    <xf numFmtId="0" fontId="61" fillId="15" borderId="0" applyNumberFormat="0" applyBorder="0" applyAlignment="0" applyProtection="0"/>
    <xf numFmtId="0" fontId="70" fillId="15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61" fillId="17" borderId="0" applyNumberFormat="0" applyBorder="0" applyAlignment="0" applyProtection="0"/>
    <xf numFmtId="0" fontId="61" fillId="17" borderId="0" applyNumberFormat="0" applyBorder="0" applyAlignment="0" applyProtection="0"/>
    <xf numFmtId="0" fontId="70" fillId="17" borderId="0" applyNumberFormat="0" applyBorder="0" applyAlignment="0" applyProtection="0">
      <alignment vertical="center"/>
    </xf>
    <xf numFmtId="0" fontId="70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/>
    <xf numFmtId="0" fontId="61" fillId="17" borderId="0" applyNumberFormat="0" applyBorder="0" applyAlignment="0" applyProtection="0"/>
    <xf numFmtId="0" fontId="70" fillId="17" borderId="0" applyNumberFormat="0" applyBorder="0" applyAlignment="0" applyProtection="0">
      <alignment vertical="center"/>
    </xf>
    <xf numFmtId="0" fontId="70" fillId="17" borderId="0" applyNumberFormat="0" applyBorder="0" applyAlignment="0" applyProtection="0">
      <alignment vertical="center"/>
    </xf>
    <xf numFmtId="0" fontId="61" fillId="18" borderId="0" applyNumberFormat="0" applyBorder="0" applyAlignment="0" applyProtection="0"/>
    <xf numFmtId="0" fontId="70" fillId="18" borderId="0" applyNumberFormat="0" applyBorder="0" applyAlignment="0" applyProtection="0">
      <alignment vertical="center"/>
    </xf>
    <xf numFmtId="0" fontId="71" fillId="17" borderId="0" applyNumberFormat="0" applyBorder="0" applyAlignment="0" applyProtection="0"/>
    <xf numFmtId="0" fontId="72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/>
    <xf numFmtId="0" fontId="61" fillId="17" borderId="0" applyNumberFormat="0" applyBorder="0" applyAlignment="0" applyProtection="0"/>
    <xf numFmtId="0" fontId="70" fillId="17" borderId="0" applyNumberFormat="0" applyBorder="0" applyAlignment="0" applyProtection="0">
      <alignment vertical="center"/>
    </xf>
    <xf numFmtId="0" fontId="70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/>
    <xf numFmtId="0" fontId="61" fillId="17" borderId="0" applyNumberFormat="0" applyBorder="0" applyAlignment="0" applyProtection="0"/>
    <xf numFmtId="0" fontId="70" fillId="17" borderId="0" applyNumberFormat="0" applyBorder="0" applyAlignment="0" applyProtection="0">
      <alignment vertical="center"/>
    </xf>
    <xf numFmtId="0" fontId="70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/>
    <xf numFmtId="0" fontId="61" fillId="17" borderId="0" applyNumberFormat="0" applyBorder="0" applyAlignment="0" applyProtection="0"/>
    <xf numFmtId="0" fontId="70" fillId="17" borderId="0" applyNumberFormat="0" applyBorder="0" applyAlignment="0" applyProtection="0">
      <alignment vertical="center"/>
    </xf>
    <xf numFmtId="0" fontId="70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/>
    <xf numFmtId="0" fontId="61" fillId="17" borderId="0" applyNumberFormat="0" applyBorder="0" applyAlignment="0" applyProtection="0"/>
    <xf numFmtId="0" fontId="70" fillId="17" borderId="0" applyNumberFormat="0" applyBorder="0" applyAlignment="0" applyProtection="0">
      <alignment vertical="center"/>
    </xf>
    <xf numFmtId="0" fontId="70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/>
    <xf numFmtId="0" fontId="61" fillId="17" borderId="0" applyNumberFormat="0" applyBorder="0" applyAlignment="0" applyProtection="0"/>
    <xf numFmtId="0" fontId="70" fillId="17" borderId="0" applyNumberFormat="0" applyBorder="0" applyAlignment="0" applyProtection="0">
      <alignment vertical="center"/>
    </xf>
    <xf numFmtId="0" fontId="70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/>
    <xf numFmtId="0" fontId="61" fillId="17" borderId="0" applyNumberFormat="0" applyBorder="0" applyAlignment="0" applyProtection="0"/>
    <xf numFmtId="0" fontId="70" fillId="17" borderId="0" applyNumberFormat="0" applyBorder="0" applyAlignment="0" applyProtection="0">
      <alignment vertical="center"/>
    </xf>
    <xf numFmtId="0" fontId="70" fillId="17" borderId="0" applyNumberFormat="0" applyBorder="0" applyAlignment="0" applyProtection="0">
      <alignment vertical="center"/>
    </xf>
    <xf numFmtId="0" fontId="61" fillId="17" borderId="0" applyNumberFormat="0" applyBorder="0" applyAlignment="0" applyProtection="0"/>
    <xf numFmtId="0" fontId="61" fillId="17" borderId="0" applyNumberFormat="0" applyBorder="0" applyAlignment="0" applyProtection="0"/>
    <xf numFmtId="0" fontId="70" fillId="17" borderId="0" applyNumberFormat="0" applyBorder="0" applyAlignment="0" applyProtection="0">
      <alignment vertical="center"/>
    </xf>
    <xf numFmtId="0" fontId="70" fillId="17" borderId="0" applyNumberFormat="0" applyBorder="0" applyAlignment="0" applyProtection="0">
      <alignment vertical="center"/>
    </xf>
    <xf numFmtId="0" fontId="61" fillId="19" borderId="0" applyNumberFormat="0" applyBorder="0" applyAlignment="0" applyProtection="0"/>
    <xf numFmtId="0" fontId="61" fillId="19" borderId="0" applyNumberFormat="0" applyBorder="0" applyAlignment="0" applyProtection="0"/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/>
    <xf numFmtId="0" fontId="61" fillId="19" borderId="0" applyNumberFormat="0" applyBorder="0" applyAlignment="0" applyProtection="0"/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/>
    <xf numFmtId="0" fontId="70" fillId="20" borderId="0" applyNumberFormat="0" applyBorder="0" applyAlignment="0" applyProtection="0">
      <alignment vertical="center"/>
    </xf>
    <xf numFmtId="0" fontId="71" fillId="19" borderId="0" applyNumberFormat="0" applyBorder="0" applyAlignment="0" applyProtection="0"/>
    <xf numFmtId="0" fontId="72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/>
    <xf numFmtId="0" fontId="61" fillId="19" borderId="0" applyNumberFormat="0" applyBorder="0" applyAlignment="0" applyProtection="0"/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/>
    <xf numFmtId="0" fontId="61" fillId="19" borderId="0" applyNumberFormat="0" applyBorder="0" applyAlignment="0" applyProtection="0"/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/>
    <xf numFmtId="0" fontId="61" fillId="19" borderId="0" applyNumberFormat="0" applyBorder="0" applyAlignment="0" applyProtection="0"/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/>
    <xf numFmtId="0" fontId="61" fillId="19" borderId="0" applyNumberFormat="0" applyBorder="0" applyAlignment="0" applyProtection="0"/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/>
    <xf numFmtId="0" fontId="61" fillId="19" borderId="0" applyNumberFormat="0" applyBorder="0" applyAlignment="0" applyProtection="0"/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/>
    <xf numFmtId="0" fontId="61" fillId="19" borderId="0" applyNumberFormat="0" applyBorder="0" applyAlignment="0" applyProtection="0"/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/>
    <xf numFmtId="0" fontId="61" fillId="19" borderId="0" applyNumberFormat="0" applyBorder="0" applyAlignment="0" applyProtection="0"/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61" fillId="21" borderId="0" applyNumberFormat="0" applyBorder="0" applyAlignment="0" applyProtection="0"/>
    <xf numFmtId="0" fontId="61" fillId="21" borderId="0" applyNumberFormat="0" applyBorder="0" applyAlignment="0" applyProtection="0"/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/>
    <xf numFmtId="0" fontId="61" fillId="21" borderId="0" applyNumberFormat="0" applyBorder="0" applyAlignment="0" applyProtection="0"/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61" fillId="16" borderId="0" applyNumberFormat="0" applyBorder="0" applyAlignment="0" applyProtection="0"/>
    <xf numFmtId="0" fontId="70" fillId="16" borderId="0" applyNumberFormat="0" applyBorder="0" applyAlignment="0" applyProtection="0">
      <alignment vertical="center"/>
    </xf>
    <xf numFmtId="0" fontId="71" fillId="21" borderId="0" applyNumberFormat="0" applyBorder="0" applyAlignment="0" applyProtection="0"/>
    <xf numFmtId="0" fontId="72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/>
    <xf numFmtId="0" fontId="61" fillId="21" borderId="0" applyNumberFormat="0" applyBorder="0" applyAlignment="0" applyProtection="0"/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/>
    <xf numFmtId="0" fontId="61" fillId="21" borderId="0" applyNumberFormat="0" applyBorder="0" applyAlignment="0" applyProtection="0"/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/>
    <xf numFmtId="0" fontId="61" fillId="21" borderId="0" applyNumberFormat="0" applyBorder="0" applyAlignment="0" applyProtection="0"/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/>
    <xf numFmtId="0" fontId="61" fillId="21" borderId="0" applyNumberFormat="0" applyBorder="0" applyAlignment="0" applyProtection="0"/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/>
    <xf numFmtId="0" fontId="61" fillId="21" borderId="0" applyNumberFormat="0" applyBorder="0" applyAlignment="0" applyProtection="0"/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/>
    <xf numFmtId="0" fontId="61" fillId="21" borderId="0" applyNumberFormat="0" applyBorder="0" applyAlignment="0" applyProtection="0"/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/>
    <xf numFmtId="0" fontId="61" fillId="21" borderId="0" applyNumberFormat="0" applyBorder="0" applyAlignment="0" applyProtection="0"/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61" fillId="22" borderId="0" applyNumberFormat="0" applyBorder="0" applyAlignment="0" applyProtection="0"/>
    <xf numFmtId="0" fontId="61" fillId="22" borderId="0" applyNumberFormat="0" applyBorder="0" applyAlignment="0" applyProtection="0"/>
    <xf numFmtId="0" fontId="70" fillId="22" borderId="0" applyNumberFormat="0" applyBorder="0" applyAlignment="0" applyProtection="0">
      <alignment vertical="center"/>
    </xf>
    <xf numFmtId="0" fontId="61" fillId="23" borderId="0" applyNumberFormat="0" applyBorder="0" applyAlignment="0" applyProtection="0"/>
    <xf numFmtId="0" fontId="70" fillId="23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/>
    <xf numFmtId="0" fontId="61" fillId="22" borderId="0" applyNumberFormat="0" applyBorder="0" applyAlignment="0" applyProtection="0"/>
    <xf numFmtId="0" fontId="70" fillId="22" borderId="0" applyNumberFormat="0" applyBorder="0" applyAlignment="0" applyProtection="0">
      <alignment vertical="center"/>
    </xf>
    <xf numFmtId="0" fontId="61" fillId="23" borderId="0" applyNumberFormat="0" applyBorder="0" applyAlignment="0" applyProtection="0"/>
    <xf numFmtId="0" fontId="70" fillId="23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61" fillId="24" borderId="0" applyNumberFormat="0" applyBorder="0" applyAlignment="0" applyProtection="0"/>
    <xf numFmtId="0" fontId="70" fillId="24" borderId="0" applyNumberFormat="0" applyBorder="0" applyAlignment="0" applyProtection="0">
      <alignment vertical="center"/>
    </xf>
    <xf numFmtId="0" fontId="71" fillId="22" borderId="0" applyNumberFormat="0" applyBorder="0" applyAlignment="0" applyProtection="0"/>
    <xf numFmtId="0" fontId="71" fillId="23" borderId="0" applyNumberFormat="0" applyBorder="0" applyAlignment="0" applyProtection="0"/>
    <xf numFmtId="0" fontId="72" fillId="23" borderId="0" applyNumberFormat="0" applyBorder="0" applyAlignment="0" applyProtection="0">
      <alignment vertical="center"/>
    </xf>
    <xf numFmtId="0" fontId="72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/>
    <xf numFmtId="0" fontId="61" fillId="22" borderId="0" applyNumberFormat="0" applyBorder="0" applyAlignment="0" applyProtection="0"/>
    <xf numFmtId="0" fontId="70" fillId="22" borderId="0" applyNumberFormat="0" applyBorder="0" applyAlignment="0" applyProtection="0">
      <alignment vertical="center"/>
    </xf>
    <xf numFmtId="0" fontId="61" fillId="23" borderId="0" applyNumberFormat="0" applyBorder="0" applyAlignment="0" applyProtection="0"/>
    <xf numFmtId="0" fontId="70" fillId="23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/>
    <xf numFmtId="0" fontId="61" fillId="22" borderId="0" applyNumberFormat="0" applyBorder="0" applyAlignment="0" applyProtection="0"/>
    <xf numFmtId="0" fontId="70" fillId="22" borderId="0" applyNumberFormat="0" applyBorder="0" applyAlignment="0" applyProtection="0">
      <alignment vertical="center"/>
    </xf>
    <xf numFmtId="0" fontId="61" fillId="23" borderId="0" applyNumberFormat="0" applyBorder="0" applyAlignment="0" applyProtection="0"/>
    <xf numFmtId="0" fontId="70" fillId="23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/>
    <xf numFmtId="0" fontId="61" fillId="22" borderId="0" applyNumberFormat="0" applyBorder="0" applyAlignment="0" applyProtection="0"/>
    <xf numFmtId="0" fontId="70" fillId="22" borderId="0" applyNumberFormat="0" applyBorder="0" applyAlignment="0" applyProtection="0">
      <alignment vertical="center"/>
    </xf>
    <xf numFmtId="0" fontId="61" fillId="23" borderId="0" applyNumberFormat="0" applyBorder="0" applyAlignment="0" applyProtection="0"/>
    <xf numFmtId="0" fontId="70" fillId="23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/>
    <xf numFmtId="0" fontId="61" fillId="22" borderId="0" applyNumberFormat="0" applyBorder="0" applyAlignment="0" applyProtection="0"/>
    <xf numFmtId="0" fontId="70" fillId="22" borderId="0" applyNumberFormat="0" applyBorder="0" applyAlignment="0" applyProtection="0">
      <alignment vertical="center"/>
    </xf>
    <xf numFmtId="0" fontId="61" fillId="23" borderId="0" applyNumberFormat="0" applyBorder="0" applyAlignment="0" applyProtection="0"/>
    <xf numFmtId="0" fontId="70" fillId="23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/>
    <xf numFmtId="0" fontId="61" fillId="22" borderId="0" applyNumberFormat="0" applyBorder="0" applyAlignment="0" applyProtection="0"/>
    <xf numFmtId="0" fontId="70" fillId="22" borderId="0" applyNumberFormat="0" applyBorder="0" applyAlignment="0" applyProtection="0">
      <alignment vertical="center"/>
    </xf>
    <xf numFmtId="0" fontId="61" fillId="23" borderId="0" applyNumberFormat="0" applyBorder="0" applyAlignment="0" applyProtection="0"/>
    <xf numFmtId="0" fontId="70" fillId="23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/>
    <xf numFmtId="0" fontId="61" fillId="22" borderId="0" applyNumberFormat="0" applyBorder="0" applyAlignment="0" applyProtection="0"/>
    <xf numFmtId="0" fontId="70" fillId="22" borderId="0" applyNumberFormat="0" applyBorder="0" applyAlignment="0" applyProtection="0">
      <alignment vertical="center"/>
    </xf>
    <xf numFmtId="0" fontId="61" fillId="23" borderId="0" applyNumberFormat="0" applyBorder="0" applyAlignment="0" applyProtection="0"/>
    <xf numFmtId="0" fontId="70" fillId="23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61" fillId="22" borderId="0" applyNumberFormat="0" applyBorder="0" applyAlignment="0" applyProtection="0"/>
    <xf numFmtId="0" fontId="61" fillId="22" borderId="0" applyNumberFormat="0" applyBorder="0" applyAlignment="0" applyProtection="0"/>
    <xf numFmtId="0" fontId="70" fillId="22" borderId="0" applyNumberFormat="0" applyBorder="0" applyAlignment="0" applyProtection="0">
      <alignment vertical="center"/>
    </xf>
    <xf numFmtId="0" fontId="61" fillId="23" borderId="0" applyNumberFormat="0" applyBorder="0" applyAlignment="0" applyProtection="0"/>
    <xf numFmtId="0" fontId="70" fillId="23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61" fillId="25" borderId="0" applyNumberFormat="0" applyBorder="0" applyAlignment="0" applyProtection="0"/>
    <xf numFmtId="0" fontId="61" fillId="25" borderId="0" applyNumberFormat="0" applyBorder="0" applyAlignment="0" applyProtection="0"/>
    <xf numFmtId="0" fontId="70" fillId="25" borderId="0" applyNumberFormat="0" applyBorder="0" applyAlignment="0" applyProtection="0">
      <alignment vertical="center"/>
    </xf>
    <xf numFmtId="0" fontId="61" fillId="18" borderId="0" applyNumberFormat="0" applyBorder="0" applyAlignment="0" applyProtection="0"/>
    <xf numFmtId="0" fontId="70" fillId="18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/>
    <xf numFmtId="0" fontId="61" fillId="25" borderId="0" applyNumberFormat="0" applyBorder="0" applyAlignment="0" applyProtection="0"/>
    <xf numFmtId="0" fontId="70" fillId="25" borderId="0" applyNumberFormat="0" applyBorder="0" applyAlignment="0" applyProtection="0">
      <alignment vertical="center"/>
    </xf>
    <xf numFmtId="0" fontId="61" fillId="18" borderId="0" applyNumberFormat="0" applyBorder="0" applyAlignment="0" applyProtection="0"/>
    <xf numFmtId="0" fontId="70" fillId="18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61" fillId="18" borderId="0" applyNumberFormat="0" applyBorder="0" applyAlignment="0" applyProtection="0"/>
    <xf numFmtId="0" fontId="70" fillId="18" borderId="0" applyNumberFormat="0" applyBorder="0" applyAlignment="0" applyProtection="0">
      <alignment vertical="center"/>
    </xf>
    <xf numFmtId="0" fontId="71" fillId="25" borderId="0" applyNumberFormat="0" applyBorder="0" applyAlignment="0" applyProtection="0"/>
    <xf numFmtId="0" fontId="71" fillId="18" borderId="0" applyNumberFormat="0" applyBorder="0" applyAlignment="0" applyProtection="0"/>
    <xf numFmtId="0" fontId="72" fillId="18" borderId="0" applyNumberFormat="0" applyBorder="0" applyAlignment="0" applyProtection="0">
      <alignment vertical="center"/>
    </xf>
    <xf numFmtId="0" fontId="72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/>
    <xf numFmtId="0" fontId="61" fillId="25" borderId="0" applyNumberFormat="0" applyBorder="0" applyAlignment="0" applyProtection="0"/>
    <xf numFmtId="0" fontId="70" fillId="25" borderId="0" applyNumberFormat="0" applyBorder="0" applyAlignment="0" applyProtection="0">
      <alignment vertical="center"/>
    </xf>
    <xf numFmtId="0" fontId="61" fillId="18" borderId="0" applyNumberFormat="0" applyBorder="0" applyAlignment="0" applyProtection="0"/>
    <xf numFmtId="0" fontId="70" fillId="18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/>
    <xf numFmtId="0" fontId="61" fillId="25" borderId="0" applyNumberFormat="0" applyBorder="0" applyAlignment="0" applyProtection="0"/>
    <xf numFmtId="0" fontId="70" fillId="25" borderId="0" applyNumberFormat="0" applyBorder="0" applyAlignment="0" applyProtection="0">
      <alignment vertical="center"/>
    </xf>
    <xf numFmtId="0" fontId="61" fillId="18" borderId="0" applyNumberFormat="0" applyBorder="0" applyAlignment="0" applyProtection="0"/>
    <xf numFmtId="0" fontId="70" fillId="18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/>
    <xf numFmtId="0" fontId="61" fillId="25" borderId="0" applyNumberFormat="0" applyBorder="0" applyAlignment="0" applyProtection="0"/>
    <xf numFmtId="0" fontId="70" fillId="25" borderId="0" applyNumberFormat="0" applyBorder="0" applyAlignment="0" applyProtection="0">
      <alignment vertical="center"/>
    </xf>
    <xf numFmtId="0" fontId="61" fillId="18" borderId="0" applyNumberFormat="0" applyBorder="0" applyAlignment="0" applyProtection="0"/>
    <xf numFmtId="0" fontId="70" fillId="18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/>
    <xf numFmtId="0" fontId="61" fillId="25" borderId="0" applyNumberFormat="0" applyBorder="0" applyAlignment="0" applyProtection="0"/>
    <xf numFmtId="0" fontId="70" fillId="25" borderId="0" applyNumberFormat="0" applyBorder="0" applyAlignment="0" applyProtection="0">
      <alignment vertical="center"/>
    </xf>
    <xf numFmtId="0" fontId="61" fillId="18" borderId="0" applyNumberFormat="0" applyBorder="0" applyAlignment="0" applyProtection="0"/>
    <xf numFmtId="0" fontId="70" fillId="18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/>
    <xf numFmtId="0" fontId="61" fillId="25" borderId="0" applyNumberFormat="0" applyBorder="0" applyAlignment="0" applyProtection="0"/>
    <xf numFmtId="0" fontId="70" fillId="25" borderId="0" applyNumberFormat="0" applyBorder="0" applyAlignment="0" applyProtection="0">
      <alignment vertical="center"/>
    </xf>
    <xf numFmtId="0" fontId="61" fillId="18" borderId="0" applyNumberFormat="0" applyBorder="0" applyAlignment="0" applyProtection="0"/>
    <xf numFmtId="0" fontId="70" fillId="18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/>
    <xf numFmtId="0" fontId="61" fillId="25" borderId="0" applyNumberFormat="0" applyBorder="0" applyAlignment="0" applyProtection="0"/>
    <xf numFmtId="0" fontId="70" fillId="25" borderId="0" applyNumberFormat="0" applyBorder="0" applyAlignment="0" applyProtection="0">
      <alignment vertical="center"/>
    </xf>
    <xf numFmtId="0" fontId="61" fillId="18" borderId="0" applyNumberFormat="0" applyBorder="0" applyAlignment="0" applyProtection="0"/>
    <xf numFmtId="0" fontId="70" fillId="18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/>
    <xf numFmtId="0" fontId="61" fillId="25" borderId="0" applyNumberFormat="0" applyBorder="0" applyAlignment="0" applyProtection="0"/>
    <xf numFmtId="0" fontId="70" fillId="25" borderId="0" applyNumberFormat="0" applyBorder="0" applyAlignment="0" applyProtection="0">
      <alignment vertical="center"/>
    </xf>
    <xf numFmtId="0" fontId="61" fillId="18" borderId="0" applyNumberFormat="0" applyBorder="0" applyAlignment="0" applyProtection="0"/>
    <xf numFmtId="0" fontId="70" fillId="18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61" fillId="26" borderId="0" applyNumberFormat="0" applyBorder="0" applyAlignment="0" applyProtection="0"/>
    <xf numFmtId="0" fontId="61" fillId="26" borderId="0" applyNumberFormat="0" applyBorder="0" applyAlignment="0" applyProtection="0"/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/>
    <xf numFmtId="0" fontId="61" fillId="26" borderId="0" applyNumberFormat="0" applyBorder="0" applyAlignment="0" applyProtection="0"/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61" fillId="27" borderId="0" applyNumberFormat="0" applyBorder="0" applyAlignment="0" applyProtection="0"/>
    <xf numFmtId="0" fontId="70" fillId="27" borderId="0" applyNumberFormat="0" applyBorder="0" applyAlignment="0" applyProtection="0">
      <alignment vertical="center"/>
    </xf>
    <xf numFmtId="0" fontId="71" fillId="26" borderId="0" applyNumberFormat="0" applyBorder="0" applyAlignment="0" applyProtection="0"/>
    <xf numFmtId="0" fontId="72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/>
    <xf numFmtId="0" fontId="61" fillId="26" borderId="0" applyNumberFormat="0" applyBorder="0" applyAlignment="0" applyProtection="0"/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/>
    <xf numFmtId="0" fontId="61" fillId="26" borderId="0" applyNumberFormat="0" applyBorder="0" applyAlignment="0" applyProtection="0"/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/>
    <xf numFmtId="0" fontId="61" fillId="26" borderId="0" applyNumberFormat="0" applyBorder="0" applyAlignment="0" applyProtection="0"/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/>
    <xf numFmtId="0" fontId="61" fillId="26" borderId="0" applyNumberFormat="0" applyBorder="0" applyAlignment="0" applyProtection="0"/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/>
    <xf numFmtId="0" fontId="61" fillId="26" borderId="0" applyNumberFormat="0" applyBorder="0" applyAlignment="0" applyProtection="0"/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/>
    <xf numFmtId="0" fontId="61" fillId="26" borderId="0" applyNumberFormat="0" applyBorder="0" applyAlignment="0" applyProtection="0"/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/>
    <xf numFmtId="0" fontId="61" fillId="26" borderId="0" applyNumberFormat="0" applyBorder="0" applyAlignment="0" applyProtection="0"/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61" fillId="28" borderId="0" applyNumberFormat="0" applyBorder="0" applyAlignment="0" applyProtection="0"/>
    <xf numFmtId="0" fontId="61" fillId="28" borderId="0" applyNumberFormat="0" applyBorder="0" applyAlignment="0" applyProtection="0"/>
    <xf numFmtId="0" fontId="70" fillId="28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/>
    <xf numFmtId="0" fontId="61" fillId="28" borderId="0" applyNumberFormat="0" applyBorder="0" applyAlignment="0" applyProtection="0"/>
    <xf numFmtId="0" fontId="70" fillId="28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61" fillId="29" borderId="0" applyNumberFormat="0" applyBorder="0" applyAlignment="0" applyProtection="0"/>
    <xf numFmtId="0" fontId="70" fillId="29" borderId="0" applyNumberFormat="0" applyBorder="0" applyAlignment="0" applyProtection="0">
      <alignment vertical="center"/>
    </xf>
    <xf numFmtId="0" fontId="71" fillId="28" borderId="0" applyNumberFormat="0" applyBorder="0" applyAlignment="0" applyProtection="0"/>
    <xf numFmtId="0" fontId="72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/>
    <xf numFmtId="0" fontId="61" fillId="28" borderId="0" applyNumberFormat="0" applyBorder="0" applyAlignment="0" applyProtection="0"/>
    <xf numFmtId="0" fontId="70" fillId="28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/>
    <xf numFmtId="0" fontId="61" fillId="28" borderId="0" applyNumberFormat="0" applyBorder="0" applyAlignment="0" applyProtection="0"/>
    <xf numFmtId="0" fontId="70" fillId="28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/>
    <xf numFmtId="0" fontId="61" fillId="28" borderId="0" applyNumberFormat="0" applyBorder="0" applyAlignment="0" applyProtection="0"/>
    <xf numFmtId="0" fontId="70" fillId="28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/>
    <xf numFmtId="0" fontId="61" fillId="28" borderId="0" applyNumberFormat="0" applyBorder="0" applyAlignment="0" applyProtection="0"/>
    <xf numFmtId="0" fontId="70" fillId="28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/>
    <xf numFmtId="0" fontId="61" fillId="28" borderId="0" applyNumberFormat="0" applyBorder="0" applyAlignment="0" applyProtection="0"/>
    <xf numFmtId="0" fontId="70" fillId="28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/>
    <xf numFmtId="0" fontId="61" fillId="28" borderId="0" applyNumberFormat="0" applyBorder="0" applyAlignment="0" applyProtection="0"/>
    <xf numFmtId="0" fontId="70" fillId="28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/>
    <xf numFmtId="0" fontId="61" fillId="28" borderId="0" applyNumberFormat="0" applyBorder="0" applyAlignment="0" applyProtection="0"/>
    <xf numFmtId="0" fontId="70" fillId="28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61" fillId="30" borderId="0" applyNumberFormat="0" applyBorder="0" applyAlignment="0" applyProtection="0"/>
    <xf numFmtId="0" fontId="61" fillId="30" borderId="0" applyNumberFormat="0" applyBorder="0" applyAlignment="0" applyProtection="0"/>
    <xf numFmtId="0" fontId="70" fillId="30" borderId="0" applyNumberFormat="0" applyBorder="0" applyAlignment="0" applyProtection="0">
      <alignment vertical="center"/>
    </xf>
    <xf numFmtId="0" fontId="61" fillId="31" borderId="0" applyNumberFormat="0" applyBorder="0" applyAlignment="0" applyProtection="0"/>
    <xf numFmtId="0" fontId="70" fillId="31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61" fillId="30" borderId="0" applyNumberFormat="0" applyBorder="0" applyAlignment="0" applyProtection="0"/>
    <xf numFmtId="0" fontId="61" fillId="30" borderId="0" applyNumberFormat="0" applyBorder="0" applyAlignment="0" applyProtection="0"/>
    <xf numFmtId="0" fontId="70" fillId="30" borderId="0" applyNumberFormat="0" applyBorder="0" applyAlignment="0" applyProtection="0">
      <alignment vertical="center"/>
    </xf>
    <xf numFmtId="0" fontId="61" fillId="31" borderId="0" applyNumberFormat="0" applyBorder="0" applyAlignment="0" applyProtection="0"/>
    <xf numFmtId="0" fontId="70" fillId="31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61" fillId="32" borderId="0" applyNumberFormat="0" applyBorder="0" applyAlignment="0" applyProtection="0"/>
    <xf numFmtId="0" fontId="70" fillId="32" borderId="0" applyNumberFormat="0" applyBorder="0" applyAlignment="0" applyProtection="0">
      <alignment vertical="center"/>
    </xf>
    <xf numFmtId="0" fontId="71" fillId="30" borderId="0" applyNumberFormat="0" applyBorder="0" applyAlignment="0" applyProtection="0"/>
    <xf numFmtId="0" fontId="71" fillId="31" borderId="0" applyNumberFormat="0" applyBorder="0" applyAlignment="0" applyProtection="0"/>
    <xf numFmtId="0" fontId="72" fillId="31" borderId="0" applyNumberFormat="0" applyBorder="0" applyAlignment="0" applyProtection="0">
      <alignment vertical="center"/>
    </xf>
    <xf numFmtId="0" fontId="72" fillId="30" borderId="0" applyNumberFormat="0" applyBorder="0" applyAlignment="0" applyProtection="0">
      <alignment vertical="center"/>
    </xf>
    <xf numFmtId="0" fontId="61" fillId="30" borderId="0" applyNumberFormat="0" applyBorder="0" applyAlignment="0" applyProtection="0"/>
    <xf numFmtId="0" fontId="61" fillId="30" borderId="0" applyNumberFormat="0" applyBorder="0" applyAlignment="0" applyProtection="0"/>
    <xf numFmtId="0" fontId="70" fillId="30" borderId="0" applyNumberFormat="0" applyBorder="0" applyAlignment="0" applyProtection="0">
      <alignment vertical="center"/>
    </xf>
    <xf numFmtId="0" fontId="61" fillId="31" borderId="0" applyNumberFormat="0" applyBorder="0" applyAlignment="0" applyProtection="0"/>
    <xf numFmtId="0" fontId="70" fillId="31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61" fillId="30" borderId="0" applyNumberFormat="0" applyBorder="0" applyAlignment="0" applyProtection="0"/>
    <xf numFmtId="0" fontId="61" fillId="30" borderId="0" applyNumberFormat="0" applyBorder="0" applyAlignment="0" applyProtection="0"/>
    <xf numFmtId="0" fontId="70" fillId="30" borderId="0" applyNumberFormat="0" applyBorder="0" applyAlignment="0" applyProtection="0">
      <alignment vertical="center"/>
    </xf>
    <xf numFmtId="0" fontId="61" fillId="31" borderId="0" applyNumberFormat="0" applyBorder="0" applyAlignment="0" applyProtection="0"/>
    <xf numFmtId="0" fontId="70" fillId="31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61" fillId="30" borderId="0" applyNumberFormat="0" applyBorder="0" applyAlignment="0" applyProtection="0"/>
    <xf numFmtId="0" fontId="61" fillId="30" borderId="0" applyNumberFormat="0" applyBorder="0" applyAlignment="0" applyProtection="0"/>
    <xf numFmtId="0" fontId="70" fillId="30" borderId="0" applyNumberFormat="0" applyBorder="0" applyAlignment="0" applyProtection="0">
      <alignment vertical="center"/>
    </xf>
    <xf numFmtId="0" fontId="61" fillId="31" borderId="0" applyNumberFormat="0" applyBorder="0" applyAlignment="0" applyProtection="0"/>
    <xf numFmtId="0" fontId="70" fillId="31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61" fillId="30" borderId="0" applyNumberFormat="0" applyBorder="0" applyAlignment="0" applyProtection="0"/>
    <xf numFmtId="0" fontId="61" fillId="30" borderId="0" applyNumberFormat="0" applyBorder="0" applyAlignment="0" applyProtection="0"/>
    <xf numFmtId="0" fontId="70" fillId="30" borderId="0" applyNumberFormat="0" applyBorder="0" applyAlignment="0" applyProtection="0">
      <alignment vertical="center"/>
    </xf>
    <xf numFmtId="0" fontId="61" fillId="31" borderId="0" applyNumberFormat="0" applyBorder="0" applyAlignment="0" applyProtection="0"/>
    <xf numFmtId="0" fontId="70" fillId="31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61" fillId="30" borderId="0" applyNumberFormat="0" applyBorder="0" applyAlignment="0" applyProtection="0"/>
    <xf numFmtId="0" fontId="61" fillId="30" borderId="0" applyNumberFormat="0" applyBorder="0" applyAlignment="0" applyProtection="0"/>
    <xf numFmtId="0" fontId="70" fillId="30" borderId="0" applyNumberFormat="0" applyBorder="0" applyAlignment="0" applyProtection="0">
      <alignment vertical="center"/>
    </xf>
    <xf numFmtId="0" fontId="61" fillId="31" borderId="0" applyNumberFormat="0" applyBorder="0" applyAlignment="0" applyProtection="0"/>
    <xf numFmtId="0" fontId="70" fillId="31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61" fillId="30" borderId="0" applyNumberFormat="0" applyBorder="0" applyAlignment="0" applyProtection="0"/>
    <xf numFmtId="0" fontId="61" fillId="30" borderId="0" applyNumberFormat="0" applyBorder="0" applyAlignment="0" applyProtection="0"/>
    <xf numFmtId="0" fontId="70" fillId="30" borderId="0" applyNumberFormat="0" applyBorder="0" applyAlignment="0" applyProtection="0">
      <alignment vertical="center"/>
    </xf>
    <xf numFmtId="0" fontId="61" fillId="31" borderId="0" applyNumberFormat="0" applyBorder="0" applyAlignment="0" applyProtection="0"/>
    <xf numFmtId="0" fontId="70" fillId="31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61" fillId="30" borderId="0" applyNumberFormat="0" applyBorder="0" applyAlignment="0" applyProtection="0"/>
    <xf numFmtId="0" fontId="61" fillId="30" borderId="0" applyNumberFormat="0" applyBorder="0" applyAlignment="0" applyProtection="0"/>
    <xf numFmtId="0" fontId="70" fillId="30" borderId="0" applyNumberFormat="0" applyBorder="0" applyAlignment="0" applyProtection="0">
      <alignment vertical="center"/>
    </xf>
    <xf numFmtId="0" fontId="61" fillId="31" borderId="0" applyNumberFormat="0" applyBorder="0" applyAlignment="0" applyProtection="0"/>
    <xf numFmtId="0" fontId="70" fillId="31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61" fillId="21" borderId="0" applyNumberFormat="0" applyBorder="0" applyAlignment="0" applyProtection="0"/>
    <xf numFmtId="0" fontId="61" fillId="21" borderId="0" applyNumberFormat="0" applyBorder="0" applyAlignment="0" applyProtection="0"/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/>
    <xf numFmtId="0" fontId="61" fillId="21" borderId="0" applyNumberFormat="0" applyBorder="0" applyAlignment="0" applyProtection="0"/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61" fillId="27" borderId="0" applyNumberFormat="0" applyBorder="0" applyAlignment="0" applyProtection="0"/>
    <xf numFmtId="0" fontId="70" fillId="27" borderId="0" applyNumberFormat="0" applyBorder="0" applyAlignment="0" applyProtection="0">
      <alignment vertical="center"/>
    </xf>
    <xf numFmtId="0" fontId="71" fillId="21" borderId="0" applyNumberFormat="0" applyBorder="0" applyAlignment="0" applyProtection="0"/>
    <xf numFmtId="0" fontId="72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/>
    <xf numFmtId="0" fontId="61" fillId="21" borderId="0" applyNumberFormat="0" applyBorder="0" applyAlignment="0" applyProtection="0"/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/>
    <xf numFmtId="0" fontId="61" fillId="21" borderId="0" applyNumberFormat="0" applyBorder="0" applyAlignment="0" applyProtection="0"/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/>
    <xf numFmtId="0" fontId="61" fillId="21" borderId="0" applyNumberFormat="0" applyBorder="0" applyAlignment="0" applyProtection="0"/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/>
    <xf numFmtId="0" fontId="61" fillId="21" borderId="0" applyNumberFormat="0" applyBorder="0" applyAlignment="0" applyProtection="0"/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/>
    <xf numFmtId="0" fontId="61" fillId="21" borderId="0" applyNumberFormat="0" applyBorder="0" applyAlignment="0" applyProtection="0"/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/>
    <xf numFmtId="0" fontId="61" fillId="21" borderId="0" applyNumberFormat="0" applyBorder="0" applyAlignment="0" applyProtection="0"/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/>
    <xf numFmtId="0" fontId="61" fillId="21" borderId="0" applyNumberFormat="0" applyBorder="0" applyAlignment="0" applyProtection="0"/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61" fillId="26" borderId="0" applyNumberFormat="0" applyBorder="0" applyAlignment="0" applyProtection="0"/>
    <xf numFmtId="0" fontId="61" fillId="26" borderId="0" applyNumberFormat="0" applyBorder="0" applyAlignment="0" applyProtection="0"/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/>
    <xf numFmtId="0" fontId="61" fillId="26" borderId="0" applyNumberFormat="0" applyBorder="0" applyAlignment="0" applyProtection="0"/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1" fillId="26" borderId="0" applyNumberFormat="0" applyBorder="0" applyAlignment="0" applyProtection="0"/>
    <xf numFmtId="0" fontId="72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/>
    <xf numFmtId="0" fontId="61" fillId="26" borderId="0" applyNumberFormat="0" applyBorder="0" applyAlignment="0" applyProtection="0"/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/>
    <xf numFmtId="0" fontId="61" fillId="26" borderId="0" applyNumberFormat="0" applyBorder="0" applyAlignment="0" applyProtection="0"/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/>
    <xf numFmtId="0" fontId="61" fillId="26" borderId="0" applyNumberFormat="0" applyBorder="0" applyAlignment="0" applyProtection="0"/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/>
    <xf numFmtId="0" fontId="61" fillId="26" borderId="0" applyNumberFormat="0" applyBorder="0" applyAlignment="0" applyProtection="0"/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/>
    <xf numFmtId="0" fontId="61" fillId="26" borderId="0" applyNumberFormat="0" applyBorder="0" applyAlignment="0" applyProtection="0"/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/>
    <xf numFmtId="0" fontId="61" fillId="26" borderId="0" applyNumberFormat="0" applyBorder="0" applyAlignment="0" applyProtection="0"/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/>
    <xf numFmtId="0" fontId="61" fillId="26" borderId="0" applyNumberFormat="0" applyBorder="0" applyAlignment="0" applyProtection="0"/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61" fillId="33" borderId="0" applyNumberFormat="0" applyBorder="0" applyAlignment="0" applyProtection="0"/>
    <xf numFmtId="0" fontId="61" fillId="33" borderId="0" applyNumberFormat="0" applyBorder="0" applyAlignment="0" applyProtection="0"/>
    <xf numFmtId="0" fontId="70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/>
    <xf numFmtId="0" fontId="61" fillId="33" borderId="0" applyNumberFormat="0" applyBorder="0" applyAlignment="0" applyProtection="0"/>
    <xf numFmtId="0" fontId="70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61" fillId="18" borderId="0" applyNumberFormat="0" applyBorder="0" applyAlignment="0" applyProtection="0"/>
    <xf numFmtId="0" fontId="70" fillId="18" borderId="0" applyNumberFormat="0" applyBorder="0" applyAlignment="0" applyProtection="0">
      <alignment vertical="center"/>
    </xf>
    <xf numFmtId="0" fontId="71" fillId="33" borderId="0" applyNumberFormat="0" applyBorder="0" applyAlignment="0" applyProtection="0"/>
    <xf numFmtId="0" fontId="72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/>
    <xf numFmtId="0" fontId="61" fillId="33" borderId="0" applyNumberFormat="0" applyBorder="0" applyAlignment="0" applyProtection="0"/>
    <xf numFmtId="0" fontId="70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/>
    <xf numFmtId="0" fontId="61" fillId="33" borderId="0" applyNumberFormat="0" applyBorder="0" applyAlignment="0" applyProtection="0"/>
    <xf numFmtId="0" fontId="70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/>
    <xf numFmtId="0" fontId="61" fillId="33" borderId="0" applyNumberFormat="0" applyBorder="0" applyAlignment="0" applyProtection="0"/>
    <xf numFmtId="0" fontId="70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/>
    <xf numFmtId="0" fontId="61" fillId="33" borderId="0" applyNumberFormat="0" applyBorder="0" applyAlignment="0" applyProtection="0"/>
    <xf numFmtId="0" fontId="70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/>
    <xf numFmtId="0" fontId="61" fillId="33" borderId="0" applyNumberFormat="0" applyBorder="0" applyAlignment="0" applyProtection="0"/>
    <xf numFmtId="0" fontId="70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/>
    <xf numFmtId="0" fontId="61" fillId="33" borderId="0" applyNumberFormat="0" applyBorder="0" applyAlignment="0" applyProtection="0"/>
    <xf numFmtId="0" fontId="70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/>
    <xf numFmtId="0" fontId="61" fillId="33" borderId="0" applyNumberFormat="0" applyBorder="0" applyAlignment="0" applyProtection="0"/>
    <xf numFmtId="0" fontId="70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3" fillId="34" borderId="0" applyNumberFormat="0" applyBorder="0" applyAlignment="0" applyProtection="0"/>
    <xf numFmtId="0" fontId="74" fillId="34" borderId="0" applyNumberFormat="0" applyBorder="0" applyAlignment="0" applyProtection="0">
      <alignment vertical="center"/>
    </xf>
    <xf numFmtId="0" fontId="73" fillId="34" borderId="0" applyNumberFormat="0" applyBorder="0" applyAlignment="0" applyProtection="0"/>
    <xf numFmtId="0" fontId="74" fillId="34" borderId="0" applyNumberFormat="0" applyBorder="0" applyAlignment="0" applyProtection="0">
      <alignment vertical="center"/>
    </xf>
    <xf numFmtId="0" fontId="73" fillId="35" borderId="0" applyNumberFormat="0" applyBorder="0" applyAlignment="0" applyProtection="0"/>
    <xf numFmtId="0" fontId="74" fillId="35" borderId="0" applyNumberFormat="0" applyBorder="0" applyAlignment="0" applyProtection="0">
      <alignment vertical="center"/>
    </xf>
    <xf numFmtId="0" fontId="75" fillId="34" borderId="0" applyNumberFormat="0" applyBorder="0" applyAlignment="0" applyProtection="0"/>
    <xf numFmtId="0" fontId="76" fillId="34" borderId="0" applyNumberFormat="0" applyBorder="0" applyAlignment="0" applyProtection="0">
      <alignment vertical="center"/>
    </xf>
    <xf numFmtId="0" fontId="73" fillId="34" borderId="0" applyNumberFormat="0" applyBorder="0" applyAlignment="0" applyProtection="0"/>
    <xf numFmtId="0" fontId="74" fillId="34" borderId="0" applyNumberFormat="0" applyBorder="0" applyAlignment="0" applyProtection="0">
      <alignment vertical="center"/>
    </xf>
    <xf numFmtId="0" fontId="73" fillId="34" borderId="0" applyNumberFormat="0" applyBorder="0" applyAlignment="0" applyProtection="0"/>
    <xf numFmtId="0" fontId="74" fillId="34" borderId="0" applyNumberFormat="0" applyBorder="0" applyAlignment="0" applyProtection="0">
      <alignment vertical="center"/>
    </xf>
    <xf numFmtId="0" fontId="73" fillId="34" borderId="0" applyNumberFormat="0" applyBorder="0" applyAlignment="0" applyProtection="0"/>
    <xf numFmtId="0" fontId="74" fillId="34" borderId="0" applyNumberFormat="0" applyBorder="0" applyAlignment="0" applyProtection="0">
      <alignment vertical="center"/>
    </xf>
    <xf numFmtId="0" fontId="73" fillId="34" borderId="0" applyNumberFormat="0" applyBorder="0" applyAlignment="0" applyProtection="0"/>
    <xf numFmtId="0" fontId="74" fillId="34" borderId="0" applyNumberFormat="0" applyBorder="0" applyAlignment="0" applyProtection="0">
      <alignment vertical="center"/>
    </xf>
    <xf numFmtId="0" fontId="73" fillId="34" borderId="0" applyNumberFormat="0" applyBorder="0" applyAlignment="0" applyProtection="0"/>
    <xf numFmtId="0" fontId="74" fillId="34" borderId="0" applyNumberFormat="0" applyBorder="0" applyAlignment="0" applyProtection="0">
      <alignment vertical="center"/>
    </xf>
    <xf numFmtId="0" fontId="73" fillId="34" borderId="0" applyNumberFormat="0" applyBorder="0" applyAlignment="0" applyProtection="0"/>
    <xf numFmtId="0" fontId="74" fillId="34" borderId="0" applyNumberFormat="0" applyBorder="0" applyAlignment="0" applyProtection="0">
      <alignment vertical="center"/>
    </xf>
    <xf numFmtId="0" fontId="73" fillId="34" borderId="0" applyNumberFormat="0" applyBorder="0" applyAlignment="0" applyProtection="0"/>
    <xf numFmtId="0" fontId="74" fillId="34" borderId="0" applyNumberFormat="0" applyBorder="0" applyAlignment="0" applyProtection="0">
      <alignment vertical="center"/>
    </xf>
    <xf numFmtId="0" fontId="73" fillId="28" borderId="0" applyNumberFormat="0" applyBorder="0" applyAlignment="0" applyProtection="0"/>
    <xf numFmtId="0" fontId="74" fillId="28" borderId="0" applyNumberFormat="0" applyBorder="0" applyAlignment="0" applyProtection="0">
      <alignment vertical="center"/>
    </xf>
    <xf numFmtId="0" fontId="73" fillId="28" borderId="0" applyNumberFormat="0" applyBorder="0" applyAlignment="0" applyProtection="0"/>
    <xf numFmtId="0" fontId="74" fillId="28" borderId="0" applyNumberFormat="0" applyBorder="0" applyAlignment="0" applyProtection="0">
      <alignment vertical="center"/>
    </xf>
    <xf numFmtId="0" fontId="73" fillId="36" borderId="0" applyNumberFormat="0" applyBorder="0" applyAlignment="0" applyProtection="0"/>
    <xf numFmtId="0" fontId="74" fillId="36" borderId="0" applyNumberFormat="0" applyBorder="0" applyAlignment="0" applyProtection="0">
      <alignment vertical="center"/>
    </xf>
    <xf numFmtId="0" fontId="75" fillId="28" borderId="0" applyNumberFormat="0" applyBorder="0" applyAlignment="0" applyProtection="0"/>
    <xf numFmtId="0" fontId="76" fillId="28" borderId="0" applyNumberFormat="0" applyBorder="0" applyAlignment="0" applyProtection="0">
      <alignment vertical="center"/>
    </xf>
    <xf numFmtId="0" fontId="73" fillId="28" borderId="0" applyNumberFormat="0" applyBorder="0" applyAlignment="0" applyProtection="0"/>
    <xf numFmtId="0" fontId="74" fillId="28" borderId="0" applyNumberFormat="0" applyBorder="0" applyAlignment="0" applyProtection="0">
      <alignment vertical="center"/>
    </xf>
    <xf numFmtId="0" fontId="73" fillId="28" borderId="0" applyNumberFormat="0" applyBorder="0" applyAlignment="0" applyProtection="0"/>
    <xf numFmtId="0" fontId="74" fillId="28" borderId="0" applyNumberFormat="0" applyBorder="0" applyAlignment="0" applyProtection="0">
      <alignment vertical="center"/>
    </xf>
    <xf numFmtId="0" fontId="73" fillId="28" borderId="0" applyNumberFormat="0" applyBorder="0" applyAlignment="0" applyProtection="0"/>
    <xf numFmtId="0" fontId="74" fillId="28" borderId="0" applyNumberFormat="0" applyBorder="0" applyAlignment="0" applyProtection="0">
      <alignment vertical="center"/>
    </xf>
    <xf numFmtId="0" fontId="73" fillId="28" borderId="0" applyNumberFormat="0" applyBorder="0" applyAlignment="0" applyProtection="0"/>
    <xf numFmtId="0" fontId="74" fillId="28" borderId="0" applyNumberFormat="0" applyBorder="0" applyAlignment="0" applyProtection="0">
      <alignment vertical="center"/>
    </xf>
    <xf numFmtId="0" fontId="73" fillId="28" borderId="0" applyNumberFormat="0" applyBorder="0" applyAlignment="0" applyProtection="0"/>
    <xf numFmtId="0" fontId="74" fillId="28" borderId="0" applyNumberFormat="0" applyBorder="0" applyAlignment="0" applyProtection="0">
      <alignment vertical="center"/>
    </xf>
    <xf numFmtId="0" fontId="73" fillId="28" borderId="0" applyNumberFormat="0" applyBorder="0" applyAlignment="0" applyProtection="0"/>
    <xf numFmtId="0" fontId="74" fillId="28" borderId="0" applyNumberFormat="0" applyBorder="0" applyAlignment="0" applyProtection="0">
      <alignment vertical="center"/>
    </xf>
    <xf numFmtId="0" fontId="73" fillId="28" borderId="0" applyNumberFormat="0" applyBorder="0" applyAlignment="0" applyProtection="0"/>
    <xf numFmtId="0" fontId="74" fillId="28" borderId="0" applyNumberFormat="0" applyBorder="0" applyAlignment="0" applyProtection="0">
      <alignment vertical="center"/>
    </xf>
    <xf numFmtId="0" fontId="73" fillId="30" borderId="0" applyNumberFormat="0" applyBorder="0" applyAlignment="0" applyProtection="0"/>
    <xf numFmtId="0" fontId="73" fillId="31" borderId="0" applyNumberFormat="0" applyBorder="0" applyAlignment="0" applyProtection="0"/>
    <xf numFmtId="0" fontId="74" fillId="31" borderId="0" applyNumberFormat="0" applyBorder="0" applyAlignment="0" applyProtection="0">
      <alignment vertical="center"/>
    </xf>
    <xf numFmtId="0" fontId="74" fillId="30" borderId="0" applyNumberFormat="0" applyBorder="0" applyAlignment="0" applyProtection="0">
      <alignment vertical="center"/>
    </xf>
    <xf numFmtId="0" fontId="73" fillId="30" borderId="0" applyNumberFormat="0" applyBorder="0" applyAlignment="0" applyProtection="0"/>
    <xf numFmtId="0" fontId="73" fillId="31" borderId="0" applyNumberFormat="0" applyBorder="0" applyAlignment="0" applyProtection="0"/>
    <xf numFmtId="0" fontId="74" fillId="31" borderId="0" applyNumberFormat="0" applyBorder="0" applyAlignment="0" applyProtection="0">
      <alignment vertical="center"/>
    </xf>
    <xf numFmtId="0" fontId="74" fillId="30" borderId="0" applyNumberFormat="0" applyBorder="0" applyAlignment="0" applyProtection="0">
      <alignment vertical="center"/>
    </xf>
    <xf numFmtId="0" fontId="73" fillId="37" borderId="0" applyNumberFormat="0" applyBorder="0" applyAlignment="0" applyProtection="0"/>
    <xf numFmtId="0" fontId="74" fillId="37" borderId="0" applyNumberFormat="0" applyBorder="0" applyAlignment="0" applyProtection="0">
      <alignment vertical="center"/>
    </xf>
    <xf numFmtId="0" fontId="75" fillId="30" borderId="0" applyNumberFormat="0" applyBorder="0" applyAlignment="0" applyProtection="0"/>
    <xf numFmtId="0" fontId="75" fillId="31" borderId="0" applyNumberFormat="0" applyBorder="0" applyAlignment="0" applyProtection="0"/>
    <xf numFmtId="0" fontId="76" fillId="31" borderId="0" applyNumberFormat="0" applyBorder="0" applyAlignment="0" applyProtection="0">
      <alignment vertical="center"/>
    </xf>
    <xf numFmtId="0" fontId="76" fillId="30" borderId="0" applyNumberFormat="0" applyBorder="0" applyAlignment="0" applyProtection="0">
      <alignment vertical="center"/>
    </xf>
    <xf numFmtId="0" fontId="73" fillId="30" borderId="0" applyNumberFormat="0" applyBorder="0" applyAlignment="0" applyProtection="0"/>
    <xf numFmtId="0" fontId="73" fillId="31" borderId="0" applyNumberFormat="0" applyBorder="0" applyAlignment="0" applyProtection="0"/>
    <xf numFmtId="0" fontId="74" fillId="31" borderId="0" applyNumberFormat="0" applyBorder="0" applyAlignment="0" applyProtection="0">
      <alignment vertical="center"/>
    </xf>
    <xf numFmtId="0" fontId="74" fillId="30" borderId="0" applyNumberFormat="0" applyBorder="0" applyAlignment="0" applyProtection="0">
      <alignment vertical="center"/>
    </xf>
    <xf numFmtId="0" fontId="73" fillId="30" borderId="0" applyNumberFormat="0" applyBorder="0" applyAlignment="0" applyProtection="0"/>
    <xf numFmtId="0" fontId="73" fillId="31" borderId="0" applyNumberFormat="0" applyBorder="0" applyAlignment="0" applyProtection="0"/>
    <xf numFmtId="0" fontId="74" fillId="31" borderId="0" applyNumberFormat="0" applyBorder="0" applyAlignment="0" applyProtection="0">
      <alignment vertical="center"/>
    </xf>
    <xf numFmtId="0" fontId="74" fillId="30" borderId="0" applyNumberFormat="0" applyBorder="0" applyAlignment="0" applyProtection="0">
      <alignment vertical="center"/>
    </xf>
    <xf numFmtId="0" fontId="73" fillId="30" borderId="0" applyNumberFormat="0" applyBorder="0" applyAlignment="0" applyProtection="0"/>
    <xf numFmtId="0" fontId="73" fillId="31" borderId="0" applyNumberFormat="0" applyBorder="0" applyAlignment="0" applyProtection="0"/>
    <xf numFmtId="0" fontId="74" fillId="31" borderId="0" applyNumberFormat="0" applyBorder="0" applyAlignment="0" applyProtection="0">
      <alignment vertical="center"/>
    </xf>
    <xf numFmtId="0" fontId="74" fillId="30" borderId="0" applyNumberFormat="0" applyBorder="0" applyAlignment="0" applyProtection="0">
      <alignment vertical="center"/>
    </xf>
    <xf numFmtId="0" fontId="73" fillId="30" borderId="0" applyNumberFormat="0" applyBorder="0" applyAlignment="0" applyProtection="0"/>
    <xf numFmtId="0" fontId="73" fillId="31" borderId="0" applyNumberFormat="0" applyBorder="0" applyAlignment="0" applyProtection="0"/>
    <xf numFmtId="0" fontId="74" fillId="31" borderId="0" applyNumberFormat="0" applyBorder="0" applyAlignment="0" applyProtection="0">
      <alignment vertical="center"/>
    </xf>
    <xf numFmtId="0" fontId="74" fillId="30" borderId="0" applyNumberFormat="0" applyBorder="0" applyAlignment="0" applyProtection="0">
      <alignment vertical="center"/>
    </xf>
    <xf numFmtId="0" fontId="73" fillId="30" borderId="0" applyNumberFormat="0" applyBorder="0" applyAlignment="0" applyProtection="0"/>
    <xf numFmtId="0" fontId="73" fillId="31" borderId="0" applyNumberFormat="0" applyBorder="0" applyAlignment="0" applyProtection="0"/>
    <xf numFmtId="0" fontId="74" fillId="31" borderId="0" applyNumberFormat="0" applyBorder="0" applyAlignment="0" applyProtection="0">
      <alignment vertical="center"/>
    </xf>
    <xf numFmtId="0" fontId="74" fillId="30" borderId="0" applyNumberFormat="0" applyBorder="0" applyAlignment="0" applyProtection="0">
      <alignment vertical="center"/>
    </xf>
    <xf numFmtId="0" fontId="73" fillId="30" borderId="0" applyNumberFormat="0" applyBorder="0" applyAlignment="0" applyProtection="0"/>
    <xf numFmtId="0" fontId="73" fillId="31" borderId="0" applyNumberFormat="0" applyBorder="0" applyAlignment="0" applyProtection="0"/>
    <xf numFmtId="0" fontId="74" fillId="31" borderId="0" applyNumberFormat="0" applyBorder="0" applyAlignment="0" applyProtection="0">
      <alignment vertical="center"/>
    </xf>
    <xf numFmtId="0" fontId="74" fillId="30" borderId="0" applyNumberFormat="0" applyBorder="0" applyAlignment="0" applyProtection="0">
      <alignment vertical="center"/>
    </xf>
    <xf numFmtId="0" fontId="73" fillId="30" borderId="0" applyNumberFormat="0" applyBorder="0" applyAlignment="0" applyProtection="0"/>
    <xf numFmtId="0" fontId="73" fillId="31" borderId="0" applyNumberFormat="0" applyBorder="0" applyAlignment="0" applyProtection="0"/>
    <xf numFmtId="0" fontId="74" fillId="31" borderId="0" applyNumberFormat="0" applyBorder="0" applyAlignment="0" applyProtection="0">
      <alignment vertical="center"/>
    </xf>
    <xf numFmtId="0" fontId="74" fillId="30" borderId="0" applyNumberFormat="0" applyBorder="0" applyAlignment="0" applyProtection="0">
      <alignment vertical="center"/>
    </xf>
    <xf numFmtId="0" fontId="73" fillId="38" borderId="0" applyNumberFormat="0" applyBorder="0" applyAlignment="0" applyProtection="0"/>
    <xf numFmtId="0" fontId="73" fillId="39" borderId="0" applyNumberFormat="0" applyBorder="0" applyAlignment="0" applyProtection="0"/>
    <xf numFmtId="0" fontId="74" fillId="39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3" fillId="38" borderId="0" applyNumberFormat="0" applyBorder="0" applyAlignment="0" applyProtection="0"/>
    <xf numFmtId="0" fontId="73" fillId="39" borderId="0" applyNumberFormat="0" applyBorder="0" applyAlignment="0" applyProtection="0"/>
    <xf numFmtId="0" fontId="74" fillId="39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3" fillId="27" borderId="0" applyNumberFormat="0" applyBorder="0" applyAlignment="0" applyProtection="0"/>
    <xf numFmtId="0" fontId="74" fillId="27" borderId="0" applyNumberFormat="0" applyBorder="0" applyAlignment="0" applyProtection="0">
      <alignment vertical="center"/>
    </xf>
    <xf numFmtId="0" fontId="75" fillId="38" borderId="0" applyNumberFormat="0" applyBorder="0" applyAlignment="0" applyProtection="0"/>
    <xf numFmtId="0" fontId="75" fillId="39" borderId="0" applyNumberFormat="0" applyBorder="0" applyAlignment="0" applyProtection="0"/>
    <xf numFmtId="0" fontId="76" fillId="39" borderId="0" applyNumberFormat="0" applyBorder="0" applyAlignment="0" applyProtection="0">
      <alignment vertical="center"/>
    </xf>
    <xf numFmtId="0" fontId="76" fillId="38" borderId="0" applyNumberFormat="0" applyBorder="0" applyAlignment="0" applyProtection="0">
      <alignment vertical="center"/>
    </xf>
    <xf numFmtId="0" fontId="73" fillId="38" borderId="0" applyNumberFormat="0" applyBorder="0" applyAlignment="0" applyProtection="0"/>
    <xf numFmtId="0" fontId="73" fillId="39" borderId="0" applyNumberFormat="0" applyBorder="0" applyAlignment="0" applyProtection="0"/>
    <xf numFmtId="0" fontId="74" fillId="39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3" fillId="38" borderId="0" applyNumberFormat="0" applyBorder="0" applyAlignment="0" applyProtection="0"/>
    <xf numFmtId="0" fontId="73" fillId="39" borderId="0" applyNumberFormat="0" applyBorder="0" applyAlignment="0" applyProtection="0"/>
    <xf numFmtId="0" fontId="74" fillId="39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3" fillId="38" borderId="0" applyNumberFormat="0" applyBorder="0" applyAlignment="0" applyProtection="0"/>
    <xf numFmtId="0" fontId="73" fillId="39" borderId="0" applyNumberFormat="0" applyBorder="0" applyAlignment="0" applyProtection="0"/>
    <xf numFmtId="0" fontId="74" fillId="39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3" fillId="38" borderId="0" applyNumberFormat="0" applyBorder="0" applyAlignment="0" applyProtection="0"/>
    <xf numFmtId="0" fontId="73" fillId="39" borderId="0" applyNumberFormat="0" applyBorder="0" applyAlignment="0" applyProtection="0"/>
    <xf numFmtId="0" fontId="74" fillId="39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3" fillId="38" borderId="0" applyNumberFormat="0" applyBorder="0" applyAlignment="0" applyProtection="0"/>
    <xf numFmtId="0" fontId="73" fillId="39" borderId="0" applyNumberFormat="0" applyBorder="0" applyAlignment="0" applyProtection="0"/>
    <xf numFmtId="0" fontId="74" fillId="39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3" fillId="38" borderId="0" applyNumberFormat="0" applyBorder="0" applyAlignment="0" applyProtection="0"/>
    <xf numFmtId="0" fontId="73" fillId="39" borderId="0" applyNumberFormat="0" applyBorder="0" applyAlignment="0" applyProtection="0"/>
    <xf numFmtId="0" fontId="74" fillId="39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3" fillId="38" borderId="0" applyNumberFormat="0" applyBorder="0" applyAlignment="0" applyProtection="0"/>
    <xf numFmtId="0" fontId="73" fillId="39" borderId="0" applyNumberFormat="0" applyBorder="0" applyAlignment="0" applyProtection="0"/>
    <xf numFmtId="0" fontId="74" fillId="39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3" fillId="40" borderId="0" applyNumberFormat="0" applyBorder="0" applyAlignment="0" applyProtection="0"/>
    <xf numFmtId="0" fontId="74" fillId="40" borderId="0" applyNumberFormat="0" applyBorder="0" applyAlignment="0" applyProtection="0">
      <alignment vertical="center"/>
    </xf>
    <xf numFmtId="0" fontId="73" fillId="40" borderId="0" applyNumberFormat="0" applyBorder="0" applyAlignment="0" applyProtection="0"/>
    <xf numFmtId="0" fontId="74" fillId="40" borderId="0" applyNumberFormat="0" applyBorder="0" applyAlignment="0" applyProtection="0">
      <alignment vertical="center"/>
    </xf>
    <xf numFmtId="0" fontId="73" fillId="35" borderId="0" applyNumberFormat="0" applyBorder="0" applyAlignment="0" applyProtection="0"/>
    <xf numFmtId="0" fontId="74" fillId="35" borderId="0" applyNumberFormat="0" applyBorder="0" applyAlignment="0" applyProtection="0">
      <alignment vertical="center"/>
    </xf>
    <xf numFmtId="0" fontId="75" fillId="40" borderId="0" applyNumberFormat="0" applyBorder="0" applyAlignment="0" applyProtection="0"/>
    <xf numFmtId="0" fontId="76" fillId="40" borderId="0" applyNumberFormat="0" applyBorder="0" applyAlignment="0" applyProtection="0">
      <alignment vertical="center"/>
    </xf>
    <xf numFmtId="0" fontId="73" fillId="40" borderId="0" applyNumberFormat="0" applyBorder="0" applyAlignment="0" applyProtection="0"/>
    <xf numFmtId="0" fontId="74" fillId="40" borderId="0" applyNumberFormat="0" applyBorder="0" applyAlignment="0" applyProtection="0">
      <alignment vertical="center"/>
    </xf>
    <xf numFmtId="0" fontId="73" fillId="40" borderId="0" applyNumberFormat="0" applyBorder="0" applyAlignment="0" applyProtection="0"/>
    <xf numFmtId="0" fontId="74" fillId="40" borderId="0" applyNumberFormat="0" applyBorder="0" applyAlignment="0" applyProtection="0">
      <alignment vertical="center"/>
    </xf>
    <xf numFmtId="0" fontId="73" fillId="40" borderId="0" applyNumberFormat="0" applyBorder="0" applyAlignment="0" applyProtection="0"/>
    <xf numFmtId="0" fontId="74" fillId="40" borderId="0" applyNumberFormat="0" applyBorder="0" applyAlignment="0" applyProtection="0">
      <alignment vertical="center"/>
    </xf>
    <xf numFmtId="0" fontId="73" fillId="40" borderId="0" applyNumberFormat="0" applyBorder="0" applyAlignment="0" applyProtection="0"/>
    <xf numFmtId="0" fontId="74" fillId="40" borderId="0" applyNumberFormat="0" applyBorder="0" applyAlignment="0" applyProtection="0">
      <alignment vertical="center"/>
    </xf>
    <xf numFmtId="0" fontId="73" fillId="40" borderId="0" applyNumberFormat="0" applyBorder="0" applyAlignment="0" applyProtection="0"/>
    <xf numFmtId="0" fontId="74" fillId="40" borderId="0" applyNumberFormat="0" applyBorder="0" applyAlignment="0" applyProtection="0">
      <alignment vertical="center"/>
    </xf>
    <xf numFmtId="0" fontId="73" fillId="40" borderId="0" applyNumberFormat="0" applyBorder="0" applyAlignment="0" applyProtection="0"/>
    <xf numFmtId="0" fontId="74" fillId="40" borderId="0" applyNumberFormat="0" applyBorder="0" applyAlignment="0" applyProtection="0">
      <alignment vertical="center"/>
    </xf>
    <xf numFmtId="0" fontId="73" fillId="40" borderId="0" applyNumberFormat="0" applyBorder="0" applyAlignment="0" applyProtection="0"/>
    <xf numFmtId="0" fontId="74" fillId="40" borderId="0" applyNumberFormat="0" applyBorder="0" applyAlignment="0" applyProtection="0">
      <alignment vertical="center"/>
    </xf>
    <xf numFmtId="0" fontId="73" fillId="41" borderId="0" applyNumberFormat="0" applyBorder="0" applyAlignment="0" applyProtection="0"/>
    <xf numFmtId="0" fontId="73" fillId="42" borderId="0" applyNumberFormat="0" applyBorder="0" applyAlignment="0" applyProtection="0"/>
    <xf numFmtId="0" fontId="74" fillId="42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3" fillId="41" borderId="0" applyNumberFormat="0" applyBorder="0" applyAlignment="0" applyProtection="0"/>
    <xf numFmtId="0" fontId="73" fillId="42" borderId="0" applyNumberFormat="0" applyBorder="0" applyAlignment="0" applyProtection="0"/>
    <xf numFmtId="0" fontId="74" fillId="42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3" fillId="18" borderId="0" applyNumberFormat="0" applyBorder="0" applyAlignment="0" applyProtection="0"/>
    <xf numFmtId="0" fontId="74" fillId="18" borderId="0" applyNumberFormat="0" applyBorder="0" applyAlignment="0" applyProtection="0">
      <alignment vertical="center"/>
    </xf>
    <xf numFmtId="0" fontId="75" fillId="41" borderId="0" applyNumberFormat="0" applyBorder="0" applyAlignment="0" applyProtection="0"/>
    <xf numFmtId="0" fontId="75" fillId="42" borderId="0" applyNumberFormat="0" applyBorder="0" applyAlignment="0" applyProtection="0"/>
    <xf numFmtId="0" fontId="76" fillId="42" borderId="0" applyNumberFormat="0" applyBorder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0" fontId="73" fillId="41" borderId="0" applyNumberFormat="0" applyBorder="0" applyAlignment="0" applyProtection="0"/>
    <xf numFmtId="0" fontId="73" fillId="42" borderId="0" applyNumberFormat="0" applyBorder="0" applyAlignment="0" applyProtection="0"/>
    <xf numFmtId="0" fontId="74" fillId="42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3" fillId="41" borderId="0" applyNumberFormat="0" applyBorder="0" applyAlignment="0" applyProtection="0"/>
    <xf numFmtId="0" fontId="73" fillId="42" borderId="0" applyNumberFormat="0" applyBorder="0" applyAlignment="0" applyProtection="0"/>
    <xf numFmtId="0" fontId="74" fillId="42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3" fillId="41" borderId="0" applyNumberFormat="0" applyBorder="0" applyAlignment="0" applyProtection="0"/>
    <xf numFmtId="0" fontId="73" fillId="42" borderId="0" applyNumberFormat="0" applyBorder="0" applyAlignment="0" applyProtection="0"/>
    <xf numFmtId="0" fontId="74" fillId="42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3" fillId="41" borderId="0" applyNumberFormat="0" applyBorder="0" applyAlignment="0" applyProtection="0"/>
    <xf numFmtId="0" fontId="73" fillId="42" borderId="0" applyNumberFormat="0" applyBorder="0" applyAlignment="0" applyProtection="0"/>
    <xf numFmtId="0" fontId="74" fillId="42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3" fillId="41" borderId="0" applyNumberFormat="0" applyBorder="0" applyAlignment="0" applyProtection="0"/>
    <xf numFmtId="0" fontId="73" fillId="42" borderId="0" applyNumberFormat="0" applyBorder="0" applyAlignment="0" applyProtection="0"/>
    <xf numFmtId="0" fontId="74" fillId="42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3" fillId="41" borderId="0" applyNumberFormat="0" applyBorder="0" applyAlignment="0" applyProtection="0"/>
    <xf numFmtId="0" fontId="73" fillId="42" borderId="0" applyNumberFormat="0" applyBorder="0" applyAlignment="0" applyProtection="0"/>
    <xf numFmtId="0" fontId="74" fillId="42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3" fillId="41" borderId="0" applyNumberFormat="0" applyBorder="0" applyAlignment="0" applyProtection="0"/>
    <xf numFmtId="0" fontId="73" fillId="42" borderId="0" applyNumberFormat="0" applyBorder="0" applyAlignment="0" applyProtection="0"/>
    <xf numFmtId="0" fontId="74" fillId="42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3" fillId="43" borderId="0" applyNumberFormat="0" applyBorder="0" applyAlignment="0" applyProtection="0"/>
    <xf numFmtId="0" fontId="74" fillId="43" borderId="0" applyNumberFormat="0" applyBorder="0" applyAlignment="0" applyProtection="0">
      <alignment vertical="center"/>
    </xf>
    <xf numFmtId="0" fontId="73" fillId="43" borderId="0" applyNumberFormat="0" applyBorder="0" applyAlignment="0" applyProtection="0"/>
    <xf numFmtId="0" fontId="74" fillId="43" borderId="0" applyNumberFormat="0" applyBorder="0" applyAlignment="0" applyProtection="0">
      <alignment vertical="center"/>
    </xf>
    <xf numFmtId="0" fontId="73" fillId="35" borderId="0" applyNumberFormat="0" applyBorder="0" applyAlignment="0" applyProtection="0"/>
    <xf numFmtId="0" fontId="74" fillId="35" borderId="0" applyNumberFormat="0" applyBorder="0" applyAlignment="0" applyProtection="0">
      <alignment vertical="center"/>
    </xf>
    <xf numFmtId="0" fontId="75" fillId="43" borderId="0" applyNumberFormat="0" applyBorder="0" applyAlignment="0" applyProtection="0"/>
    <xf numFmtId="0" fontId="76" fillId="43" borderId="0" applyNumberFormat="0" applyBorder="0" applyAlignment="0" applyProtection="0">
      <alignment vertical="center"/>
    </xf>
    <xf numFmtId="0" fontId="73" fillId="43" borderId="0" applyNumberFormat="0" applyBorder="0" applyAlignment="0" applyProtection="0"/>
    <xf numFmtId="0" fontId="74" fillId="43" borderId="0" applyNumberFormat="0" applyBorder="0" applyAlignment="0" applyProtection="0">
      <alignment vertical="center"/>
    </xf>
    <xf numFmtId="0" fontId="73" fillId="43" borderId="0" applyNumberFormat="0" applyBorder="0" applyAlignment="0" applyProtection="0"/>
    <xf numFmtId="0" fontId="74" fillId="43" borderId="0" applyNumberFormat="0" applyBorder="0" applyAlignment="0" applyProtection="0">
      <alignment vertical="center"/>
    </xf>
    <xf numFmtId="0" fontId="73" fillId="43" borderId="0" applyNumberFormat="0" applyBorder="0" applyAlignment="0" applyProtection="0"/>
    <xf numFmtId="0" fontId="74" fillId="43" borderId="0" applyNumberFormat="0" applyBorder="0" applyAlignment="0" applyProtection="0">
      <alignment vertical="center"/>
    </xf>
    <xf numFmtId="0" fontId="73" fillId="43" borderId="0" applyNumberFormat="0" applyBorder="0" applyAlignment="0" applyProtection="0"/>
    <xf numFmtId="0" fontId="74" fillId="43" borderId="0" applyNumberFormat="0" applyBorder="0" applyAlignment="0" applyProtection="0">
      <alignment vertical="center"/>
    </xf>
    <xf numFmtId="0" fontId="73" fillId="43" borderId="0" applyNumberFormat="0" applyBorder="0" applyAlignment="0" applyProtection="0"/>
    <xf numFmtId="0" fontId="74" fillId="43" borderId="0" applyNumberFormat="0" applyBorder="0" applyAlignment="0" applyProtection="0">
      <alignment vertical="center"/>
    </xf>
    <xf numFmtId="0" fontId="73" fillId="43" borderId="0" applyNumberFormat="0" applyBorder="0" applyAlignment="0" applyProtection="0"/>
    <xf numFmtId="0" fontId="74" fillId="43" borderId="0" applyNumberFormat="0" applyBorder="0" applyAlignment="0" applyProtection="0">
      <alignment vertical="center"/>
    </xf>
    <xf numFmtId="0" fontId="73" fillId="43" borderId="0" applyNumberFormat="0" applyBorder="0" applyAlignment="0" applyProtection="0"/>
    <xf numFmtId="0" fontId="74" fillId="43" borderId="0" applyNumberFormat="0" applyBorder="0" applyAlignment="0" applyProtection="0">
      <alignment vertical="center"/>
    </xf>
    <xf numFmtId="0" fontId="73" fillId="44" borderId="0" applyNumberFormat="0" applyBorder="0" applyAlignment="0" applyProtection="0"/>
    <xf numFmtId="0" fontId="74" fillId="44" borderId="0" applyNumberFormat="0" applyBorder="0" applyAlignment="0" applyProtection="0">
      <alignment vertical="center"/>
    </xf>
    <xf numFmtId="0" fontId="73" fillId="44" borderId="0" applyNumberFormat="0" applyBorder="0" applyAlignment="0" applyProtection="0"/>
    <xf numFmtId="0" fontId="74" fillId="44" borderId="0" applyNumberFormat="0" applyBorder="0" applyAlignment="0" applyProtection="0">
      <alignment vertical="center"/>
    </xf>
    <xf numFmtId="0" fontId="73" fillId="36" borderId="0" applyNumberFormat="0" applyBorder="0" applyAlignment="0" applyProtection="0"/>
    <xf numFmtId="0" fontId="74" fillId="36" borderId="0" applyNumberFormat="0" applyBorder="0" applyAlignment="0" applyProtection="0">
      <alignment vertical="center"/>
    </xf>
    <xf numFmtId="0" fontId="75" fillId="44" borderId="0" applyNumberFormat="0" applyBorder="0" applyAlignment="0" applyProtection="0"/>
    <xf numFmtId="0" fontId="76" fillId="44" borderId="0" applyNumberFormat="0" applyBorder="0" applyAlignment="0" applyProtection="0">
      <alignment vertical="center"/>
    </xf>
    <xf numFmtId="0" fontId="73" fillId="44" borderId="0" applyNumberFormat="0" applyBorder="0" applyAlignment="0" applyProtection="0"/>
    <xf numFmtId="0" fontId="74" fillId="44" borderId="0" applyNumberFormat="0" applyBorder="0" applyAlignment="0" applyProtection="0">
      <alignment vertical="center"/>
    </xf>
    <xf numFmtId="0" fontId="73" fillId="44" borderId="0" applyNumberFormat="0" applyBorder="0" applyAlignment="0" applyProtection="0"/>
    <xf numFmtId="0" fontId="74" fillId="44" borderId="0" applyNumberFormat="0" applyBorder="0" applyAlignment="0" applyProtection="0">
      <alignment vertical="center"/>
    </xf>
    <xf numFmtId="0" fontId="73" fillId="44" borderId="0" applyNumberFormat="0" applyBorder="0" applyAlignment="0" applyProtection="0"/>
    <xf numFmtId="0" fontId="74" fillId="44" borderId="0" applyNumberFormat="0" applyBorder="0" applyAlignment="0" applyProtection="0">
      <alignment vertical="center"/>
    </xf>
    <xf numFmtId="0" fontId="73" fillId="44" borderId="0" applyNumberFormat="0" applyBorder="0" applyAlignment="0" applyProtection="0"/>
    <xf numFmtId="0" fontId="74" fillId="44" borderId="0" applyNumberFormat="0" applyBorder="0" applyAlignment="0" applyProtection="0">
      <alignment vertical="center"/>
    </xf>
    <xf numFmtId="0" fontId="73" fillId="44" borderId="0" applyNumberFormat="0" applyBorder="0" applyAlignment="0" applyProtection="0"/>
    <xf numFmtId="0" fontId="74" fillId="44" borderId="0" applyNumberFormat="0" applyBorder="0" applyAlignment="0" applyProtection="0">
      <alignment vertical="center"/>
    </xf>
    <xf numFmtId="0" fontId="73" fillId="44" borderId="0" applyNumberFormat="0" applyBorder="0" applyAlignment="0" applyProtection="0"/>
    <xf numFmtId="0" fontId="74" fillId="44" borderId="0" applyNumberFormat="0" applyBorder="0" applyAlignment="0" applyProtection="0">
      <alignment vertical="center"/>
    </xf>
    <xf numFmtId="0" fontId="73" fillId="44" borderId="0" applyNumberFormat="0" applyBorder="0" applyAlignment="0" applyProtection="0"/>
    <xf numFmtId="0" fontId="74" fillId="44" borderId="0" applyNumberFormat="0" applyBorder="0" applyAlignment="0" applyProtection="0">
      <alignment vertical="center"/>
    </xf>
    <xf numFmtId="0" fontId="73" fillId="45" borderId="0" applyNumberFormat="0" applyBorder="0" applyAlignment="0" applyProtection="0"/>
    <xf numFmtId="0" fontId="73" fillId="46" borderId="0" applyNumberFormat="0" applyBorder="0" applyAlignment="0" applyProtection="0"/>
    <xf numFmtId="0" fontId="74" fillId="46" borderId="0" applyNumberFormat="0" applyBorder="0" applyAlignment="0" applyProtection="0">
      <alignment vertical="center"/>
    </xf>
    <xf numFmtId="0" fontId="74" fillId="45" borderId="0" applyNumberFormat="0" applyBorder="0" applyAlignment="0" applyProtection="0">
      <alignment vertical="center"/>
    </xf>
    <xf numFmtId="0" fontId="73" fillId="45" borderId="0" applyNumberFormat="0" applyBorder="0" applyAlignment="0" applyProtection="0"/>
    <xf numFmtId="0" fontId="73" fillId="46" borderId="0" applyNumberFormat="0" applyBorder="0" applyAlignment="0" applyProtection="0"/>
    <xf numFmtId="0" fontId="74" fillId="46" borderId="0" applyNumberFormat="0" applyBorder="0" applyAlignment="0" applyProtection="0">
      <alignment vertical="center"/>
    </xf>
    <xf numFmtId="0" fontId="74" fillId="45" borderId="0" applyNumberFormat="0" applyBorder="0" applyAlignment="0" applyProtection="0">
      <alignment vertical="center"/>
    </xf>
    <xf numFmtId="0" fontId="73" fillId="46" borderId="0" applyNumberFormat="0" applyBorder="0" applyAlignment="0" applyProtection="0"/>
    <xf numFmtId="0" fontId="74" fillId="46" borderId="0" applyNumberFormat="0" applyBorder="0" applyAlignment="0" applyProtection="0">
      <alignment vertical="center"/>
    </xf>
    <xf numFmtId="0" fontId="75" fillId="45" borderId="0" applyNumberFormat="0" applyBorder="0" applyAlignment="0" applyProtection="0"/>
    <xf numFmtId="0" fontId="75" fillId="46" borderId="0" applyNumberFormat="0" applyBorder="0" applyAlignment="0" applyProtection="0"/>
    <xf numFmtId="0" fontId="76" fillId="46" borderId="0" applyNumberFormat="0" applyBorder="0" applyAlignment="0" applyProtection="0">
      <alignment vertical="center"/>
    </xf>
    <xf numFmtId="0" fontId="76" fillId="45" borderId="0" applyNumberFormat="0" applyBorder="0" applyAlignment="0" applyProtection="0">
      <alignment vertical="center"/>
    </xf>
    <xf numFmtId="0" fontId="73" fillId="45" borderId="0" applyNumberFormat="0" applyBorder="0" applyAlignment="0" applyProtection="0"/>
    <xf numFmtId="0" fontId="73" fillId="46" borderId="0" applyNumberFormat="0" applyBorder="0" applyAlignment="0" applyProtection="0"/>
    <xf numFmtId="0" fontId="74" fillId="46" borderId="0" applyNumberFormat="0" applyBorder="0" applyAlignment="0" applyProtection="0">
      <alignment vertical="center"/>
    </xf>
    <xf numFmtId="0" fontId="74" fillId="45" borderId="0" applyNumberFormat="0" applyBorder="0" applyAlignment="0" applyProtection="0">
      <alignment vertical="center"/>
    </xf>
    <xf numFmtId="0" fontId="73" fillId="45" borderId="0" applyNumberFormat="0" applyBorder="0" applyAlignment="0" applyProtection="0"/>
    <xf numFmtId="0" fontId="73" fillId="46" borderId="0" applyNumberFormat="0" applyBorder="0" applyAlignment="0" applyProtection="0"/>
    <xf numFmtId="0" fontId="74" fillId="46" borderId="0" applyNumberFormat="0" applyBorder="0" applyAlignment="0" applyProtection="0">
      <alignment vertical="center"/>
    </xf>
    <xf numFmtId="0" fontId="74" fillId="45" borderId="0" applyNumberFormat="0" applyBorder="0" applyAlignment="0" applyProtection="0">
      <alignment vertical="center"/>
    </xf>
    <xf numFmtId="0" fontId="73" fillId="45" borderId="0" applyNumberFormat="0" applyBorder="0" applyAlignment="0" applyProtection="0"/>
    <xf numFmtId="0" fontId="73" fillId="46" borderId="0" applyNumberFormat="0" applyBorder="0" applyAlignment="0" applyProtection="0"/>
    <xf numFmtId="0" fontId="74" fillId="46" borderId="0" applyNumberFormat="0" applyBorder="0" applyAlignment="0" applyProtection="0">
      <alignment vertical="center"/>
    </xf>
    <xf numFmtId="0" fontId="74" fillId="45" borderId="0" applyNumberFormat="0" applyBorder="0" applyAlignment="0" applyProtection="0">
      <alignment vertical="center"/>
    </xf>
    <xf numFmtId="0" fontId="73" fillId="45" borderId="0" applyNumberFormat="0" applyBorder="0" applyAlignment="0" applyProtection="0"/>
    <xf numFmtId="0" fontId="73" fillId="46" borderId="0" applyNumberFormat="0" applyBorder="0" applyAlignment="0" applyProtection="0"/>
    <xf numFmtId="0" fontId="74" fillId="46" borderId="0" applyNumberFormat="0" applyBorder="0" applyAlignment="0" applyProtection="0">
      <alignment vertical="center"/>
    </xf>
    <xf numFmtId="0" fontId="74" fillId="45" borderId="0" applyNumberFormat="0" applyBorder="0" applyAlignment="0" applyProtection="0">
      <alignment vertical="center"/>
    </xf>
    <xf numFmtId="0" fontId="73" fillId="45" borderId="0" applyNumberFormat="0" applyBorder="0" applyAlignment="0" applyProtection="0"/>
    <xf numFmtId="0" fontId="73" fillId="46" borderId="0" applyNumberFormat="0" applyBorder="0" applyAlignment="0" applyProtection="0"/>
    <xf numFmtId="0" fontId="74" fillId="46" borderId="0" applyNumberFormat="0" applyBorder="0" applyAlignment="0" applyProtection="0">
      <alignment vertical="center"/>
    </xf>
    <xf numFmtId="0" fontId="74" fillId="45" borderId="0" applyNumberFormat="0" applyBorder="0" applyAlignment="0" applyProtection="0">
      <alignment vertical="center"/>
    </xf>
    <xf numFmtId="0" fontId="73" fillId="45" borderId="0" applyNumberFormat="0" applyBorder="0" applyAlignment="0" applyProtection="0"/>
    <xf numFmtId="0" fontId="73" fillId="46" borderId="0" applyNumberFormat="0" applyBorder="0" applyAlignment="0" applyProtection="0"/>
    <xf numFmtId="0" fontId="74" fillId="46" borderId="0" applyNumberFormat="0" applyBorder="0" applyAlignment="0" applyProtection="0">
      <alignment vertical="center"/>
    </xf>
    <xf numFmtId="0" fontId="74" fillId="45" borderId="0" applyNumberFormat="0" applyBorder="0" applyAlignment="0" applyProtection="0">
      <alignment vertical="center"/>
    </xf>
    <xf numFmtId="0" fontId="73" fillId="45" borderId="0" applyNumberFormat="0" applyBorder="0" applyAlignment="0" applyProtection="0"/>
    <xf numFmtId="0" fontId="73" fillId="46" borderId="0" applyNumberFormat="0" applyBorder="0" applyAlignment="0" applyProtection="0"/>
    <xf numFmtId="0" fontId="74" fillId="46" borderId="0" applyNumberFormat="0" applyBorder="0" applyAlignment="0" applyProtection="0">
      <alignment vertical="center"/>
    </xf>
    <xf numFmtId="0" fontId="74" fillId="45" borderId="0" applyNumberFormat="0" applyBorder="0" applyAlignment="0" applyProtection="0">
      <alignment vertical="center"/>
    </xf>
    <xf numFmtId="0" fontId="73" fillId="38" borderId="0" applyNumberFormat="0" applyBorder="0" applyAlignment="0" applyProtection="0"/>
    <xf numFmtId="0" fontId="73" fillId="39" borderId="0" applyNumberFormat="0" applyBorder="0" applyAlignment="0" applyProtection="0"/>
    <xf numFmtId="0" fontId="74" fillId="39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3" fillId="38" borderId="0" applyNumberFormat="0" applyBorder="0" applyAlignment="0" applyProtection="0"/>
    <xf numFmtId="0" fontId="73" fillId="39" borderId="0" applyNumberFormat="0" applyBorder="0" applyAlignment="0" applyProtection="0"/>
    <xf numFmtId="0" fontId="74" fillId="39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3" fillId="47" borderId="0" applyNumberFormat="0" applyBorder="0" applyAlignment="0" applyProtection="0"/>
    <xf numFmtId="0" fontId="74" fillId="47" borderId="0" applyNumberFormat="0" applyBorder="0" applyAlignment="0" applyProtection="0">
      <alignment vertical="center"/>
    </xf>
    <xf numFmtId="0" fontId="75" fillId="38" borderId="0" applyNumberFormat="0" applyBorder="0" applyAlignment="0" applyProtection="0"/>
    <xf numFmtId="0" fontId="75" fillId="39" borderId="0" applyNumberFormat="0" applyBorder="0" applyAlignment="0" applyProtection="0"/>
    <xf numFmtId="0" fontId="76" fillId="39" borderId="0" applyNumberFormat="0" applyBorder="0" applyAlignment="0" applyProtection="0">
      <alignment vertical="center"/>
    </xf>
    <xf numFmtId="0" fontId="76" fillId="38" borderId="0" applyNumberFormat="0" applyBorder="0" applyAlignment="0" applyProtection="0">
      <alignment vertical="center"/>
    </xf>
    <xf numFmtId="0" fontId="73" fillId="38" borderId="0" applyNumberFormat="0" applyBorder="0" applyAlignment="0" applyProtection="0"/>
    <xf numFmtId="0" fontId="73" fillId="39" borderId="0" applyNumberFormat="0" applyBorder="0" applyAlignment="0" applyProtection="0"/>
    <xf numFmtId="0" fontId="74" fillId="39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3" fillId="38" borderId="0" applyNumberFormat="0" applyBorder="0" applyAlignment="0" applyProtection="0"/>
    <xf numFmtId="0" fontId="73" fillId="39" borderId="0" applyNumberFormat="0" applyBorder="0" applyAlignment="0" applyProtection="0"/>
    <xf numFmtId="0" fontId="74" fillId="39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3" fillId="38" borderId="0" applyNumberFormat="0" applyBorder="0" applyAlignment="0" applyProtection="0"/>
    <xf numFmtId="0" fontId="73" fillId="39" borderId="0" applyNumberFormat="0" applyBorder="0" applyAlignment="0" applyProtection="0"/>
    <xf numFmtId="0" fontId="74" fillId="39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3" fillId="38" borderId="0" applyNumberFormat="0" applyBorder="0" applyAlignment="0" applyProtection="0"/>
    <xf numFmtId="0" fontId="73" fillId="39" borderId="0" applyNumberFormat="0" applyBorder="0" applyAlignment="0" applyProtection="0"/>
    <xf numFmtId="0" fontId="74" fillId="39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3" fillId="38" borderId="0" applyNumberFormat="0" applyBorder="0" applyAlignment="0" applyProtection="0"/>
    <xf numFmtId="0" fontId="73" fillId="39" borderId="0" applyNumberFormat="0" applyBorder="0" applyAlignment="0" applyProtection="0"/>
    <xf numFmtId="0" fontId="74" fillId="39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3" fillId="38" borderId="0" applyNumberFormat="0" applyBorder="0" applyAlignment="0" applyProtection="0"/>
    <xf numFmtId="0" fontId="73" fillId="39" borderId="0" applyNumberFormat="0" applyBorder="0" applyAlignment="0" applyProtection="0"/>
    <xf numFmtId="0" fontId="74" fillId="39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3" fillId="38" borderId="0" applyNumberFormat="0" applyBorder="0" applyAlignment="0" applyProtection="0"/>
    <xf numFmtId="0" fontId="73" fillId="39" borderId="0" applyNumberFormat="0" applyBorder="0" applyAlignment="0" applyProtection="0"/>
    <xf numFmtId="0" fontId="74" fillId="39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3" fillId="40" borderId="0" applyNumberFormat="0" applyBorder="0" applyAlignment="0" applyProtection="0"/>
    <xf numFmtId="0" fontId="74" fillId="40" borderId="0" applyNumberFormat="0" applyBorder="0" applyAlignment="0" applyProtection="0">
      <alignment vertical="center"/>
    </xf>
    <xf numFmtId="0" fontId="73" fillId="40" borderId="0" applyNumberFormat="0" applyBorder="0" applyAlignment="0" applyProtection="0"/>
    <xf numFmtId="0" fontId="74" fillId="40" borderId="0" applyNumberFormat="0" applyBorder="0" applyAlignment="0" applyProtection="0">
      <alignment vertical="center"/>
    </xf>
    <xf numFmtId="0" fontId="73" fillId="35" borderId="0" applyNumberFormat="0" applyBorder="0" applyAlignment="0" applyProtection="0"/>
    <xf numFmtId="0" fontId="74" fillId="35" borderId="0" applyNumberFormat="0" applyBorder="0" applyAlignment="0" applyProtection="0">
      <alignment vertical="center"/>
    </xf>
    <xf numFmtId="0" fontId="75" fillId="40" borderId="0" applyNumberFormat="0" applyBorder="0" applyAlignment="0" applyProtection="0"/>
    <xf numFmtId="0" fontId="76" fillId="40" borderId="0" applyNumberFormat="0" applyBorder="0" applyAlignment="0" applyProtection="0">
      <alignment vertical="center"/>
    </xf>
    <xf numFmtId="0" fontId="73" fillId="40" borderId="0" applyNumberFormat="0" applyBorder="0" applyAlignment="0" applyProtection="0"/>
    <xf numFmtId="0" fontId="74" fillId="40" borderId="0" applyNumberFormat="0" applyBorder="0" applyAlignment="0" applyProtection="0">
      <alignment vertical="center"/>
    </xf>
    <xf numFmtId="0" fontId="73" fillId="40" borderId="0" applyNumberFormat="0" applyBorder="0" applyAlignment="0" applyProtection="0"/>
    <xf numFmtId="0" fontId="74" fillId="40" borderId="0" applyNumberFormat="0" applyBorder="0" applyAlignment="0" applyProtection="0">
      <alignment vertical="center"/>
    </xf>
    <xf numFmtId="0" fontId="73" fillId="40" borderId="0" applyNumberFormat="0" applyBorder="0" applyAlignment="0" applyProtection="0"/>
    <xf numFmtId="0" fontId="74" fillId="40" borderId="0" applyNumberFormat="0" applyBorder="0" applyAlignment="0" applyProtection="0">
      <alignment vertical="center"/>
    </xf>
    <xf numFmtId="0" fontId="73" fillId="40" borderId="0" applyNumberFormat="0" applyBorder="0" applyAlignment="0" applyProtection="0"/>
    <xf numFmtId="0" fontId="74" fillId="40" borderId="0" applyNumberFormat="0" applyBorder="0" applyAlignment="0" applyProtection="0">
      <alignment vertical="center"/>
    </xf>
    <xf numFmtId="0" fontId="73" fillId="40" borderId="0" applyNumberFormat="0" applyBorder="0" applyAlignment="0" applyProtection="0"/>
    <xf numFmtId="0" fontId="74" fillId="40" borderId="0" applyNumberFormat="0" applyBorder="0" applyAlignment="0" applyProtection="0">
      <alignment vertical="center"/>
    </xf>
    <xf numFmtId="0" fontId="73" fillId="40" borderId="0" applyNumberFormat="0" applyBorder="0" applyAlignment="0" applyProtection="0"/>
    <xf numFmtId="0" fontId="74" fillId="40" borderId="0" applyNumberFormat="0" applyBorder="0" applyAlignment="0" applyProtection="0">
      <alignment vertical="center"/>
    </xf>
    <xf numFmtId="0" fontId="73" fillId="40" borderId="0" applyNumberFormat="0" applyBorder="0" applyAlignment="0" applyProtection="0"/>
    <xf numFmtId="0" fontId="74" fillId="40" borderId="0" applyNumberFormat="0" applyBorder="0" applyAlignment="0" applyProtection="0">
      <alignment vertical="center"/>
    </xf>
    <xf numFmtId="0" fontId="73" fillId="48" borderId="0" applyNumberFormat="0" applyBorder="0" applyAlignment="0" applyProtection="0"/>
    <xf numFmtId="0" fontId="73" fillId="29" borderId="0" applyNumberFormat="0" applyBorder="0" applyAlignment="0" applyProtection="0"/>
    <xf numFmtId="0" fontId="74" fillId="29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3" fillId="48" borderId="0" applyNumberFormat="0" applyBorder="0" applyAlignment="0" applyProtection="0"/>
    <xf numFmtId="0" fontId="73" fillId="29" borderId="0" applyNumberFormat="0" applyBorder="0" applyAlignment="0" applyProtection="0"/>
    <xf numFmtId="0" fontId="74" fillId="29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3" fillId="29" borderId="0" applyNumberFormat="0" applyBorder="0" applyAlignment="0" applyProtection="0"/>
    <xf numFmtId="0" fontId="74" fillId="29" borderId="0" applyNumberFormat="0" applyBorder="0" applyAlignment="0" applyProtection="0">
      <alignment vertical="center"/>
    </xf>
    <xf numFmtId="0" fontId="75" fillId="48" borderId="0" applyNumberFormat="0" applyBorder="0" applyAlignment="0" applyProtection="0"/>
    <xf numFmtId="0" fontId="75" fillId="29" borderId="0" applyNumberFormat="0" applyBorder="0" applyAlignment="0" applyProtection="0"/>
    <xf numFmtId="0" fontId="76" fillId="29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73" fillId="48" borderId="0" applyNumberFormat="0" applyBorder="0" applyAlignment="0" applyProtection="0"/>
    <xf numFmtId="0" fontId="73" fillId="29" borderId="0" applyNumberFormat="0" applyBorder="0" applyAlignment="0" applyProtection="0"/>
    <xf numFmtId="0" fontId="74" fillId="29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3" fillId="48" borderId="0" applyNumberFormat="0" applyBorder="0" applyAlignment="0" applyProtection="0"/>
    <xf numFmtId="0" fontId="73" fillId="29" borderId="0" applyNumberFormat="0" applyBorder="0" applyAlignment="0" applyProtection="0"/>
    <xf numFmtId="0" fontId="74" fillId="29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3" fillId="48" borderId="0" applyNumberFormat="0" applyBorder="0" applyAlignment="0" applyProtection="0"/>
    <xf numFmtId="0" fontId="73" fillId="29" borderId="0" applyNumberFormat="0" applyBorder="0" applyAlignment="0" applyProtection="0"/>
    <xf numFmtId="0" fontId="74" fillId="29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3" fillId="48" borderId="0" applyNumberFormat="0" applyBorder="0" applyAlignment="0" applyProtection="0"/>
    <xf numFmtId="0" fontId="73" fillId="29" borderId="0" applyNumberFormat="0" applyBorder="0" applyAlignment="0" applyProtection="0"/>
    <xf numFmtId="0" fontId="74" fillId="29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3" fillId="48" borderId="0" applyNumberFormat="0" applyBorder="0" applyAlignment="0" applyProtection="0"/>
    <xf numFmtId="0" fontId="73" fillId="29" borderId="0" applyNumberFormat="0" applyBorder="0" applyAlignment="0" applyProtection="0"/>
    <xf numFmtId="0" fontId="74" fillId="29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3" fillId="48" borderId="0" applyNumberFormat="0" applyBorder="0" applyAlignment="0" applyProtection="0"/>
    <xf numFmtId="0" fontId="73" fillId="29" borderId="0" applyNumberFormat="0" applyBorder="0" applyAlignment="0" applyProtection="0"/>
    <xf numFmtId="0" fontId="74" fillId="29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3" fillId="48" borderId="0" applyNumberFormat="0" applyBorder="0" applyAlignment="0" applyProtection="0"/>
    <xf numFmtId="0" fontId="73" fillId="29" borderId="0" applyNumberFormat="0" applyBorder="0" applyAlignment="0" applyProtection="0"/>
    <xf numFmtId="0" fontId="74" fillId="29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177" fontId="40" fillId="0" borderId="0" applyFont="0" applyFill="0" applyBorder="0" applyAlignment="0" applyProtection="0"/>
    <xf numFmtId="178" fontId="40" fillId="0" borderId="0" applyFont="0" applyFill="0" applyBorder="0" applyAlignment="0" applyProtection="0"/>
    <xf numFmtId="0" fontId="77" fillId="0" borderId="0">
      <alignment horizontal="center" wrapText="1"/>
      <protection locked="0"/>
    </xf>
    <xf numFmtId="0" fontId="78" fillId="0" borderId="0">
      <alignment horizontal="center" vertical="center" wrapText="1"/>
      <protection locked="0"/>
    </xf>
    <xf numFmtId="179" fontId="40" fillId="0" borderId="0" applyFont="0" applyFill="0" applyBorder="0" applyAlignment="0" applyProtection="0"/>
    <xf numFmtId="180" fontId="67" fillId="0" borderId="0" applyFont="0" applyFill="0" applyBorder="0" applyAlignment="0" applyProtection="0"/>
    <xf numFmtId="0" fontId="79" fillId="17" borderId="0" applyNumberFormat="0" applyBorder="0" applyAlignment="0" applyProtection="0"/>
    <xf numFmtId="0" fontId="80" fillId="17" borderId="0" applyNumberFormat="0" applyBorder="0" applyAlignment="0" applyProtection="0">
      <alignment vertical="center"/>
    </xf>
    <xf numFmtId="0" fontId="79" fillId="17" borderId="0" applyNumberFormat="0" applyBorder="0" applyAlignment="0" applyProtection="0"/>
    <xf numFmtId="0" fontId="80" fillId="17" borderId="0" applyNumberFormat="0" applyBorder="0" applyAlignment="0" applyProtection="0">
      <alignment vertical="center"/>
    </xf>
    <xf numFmtId="0" fontId="81" fillId="21" borderId="0" applyNumberFormat="0" applyBorder="0" applyAlignment="0" applyProtection="0"/>
    <xf numFmtId="0" fontId="82" fillId="21" borderId="0" applyNumberFormat="0" applyBorder="0" applyAlignment="0" applyProtection="0">
      <alignment vertical="center"/>
    </xf>
    <xf numFmtId="0" fontId="83" fillId="17" borderId="0" applyNumberFormat="0" applyBorder="0" applyAlignment="0" applyProtection="0"/>
    <xf numFmtId="0" fontId="84" fillId="17" borderId="0" applyNumberFormat="0" applyBorder="0" applyAlignment="0" applyProtection="0">
      <alignment vertical="center"/>
    </xf>
    <xf numFmtId="0" fontId="79" fillId="17" borderId="0" applyNumberFormat="0" applyBorder="0" applyAlignment="0" applyProtection="0"/>
    <xf numFmtId="0" fontId="80" fillId="17" borderId="0" applyNumberFormat="0" applyBorder="0" applyAlignment="0" applyProtection="0">
      <alignment vertical="center"/>
    </xf>
    <xf numFmtId="0" fontId="79" fillId="17" borderId="0" applyNumberFormat="0" applyBorder="0" applyAlignment="0" applyProtection="0"/>
    <xf numFmtId="0" fontId="80" fillId="17" borderId="0" applyNumberFormat="0" applyBorder="0" applyAlignment="0" applyProtection="0">
      <alignment vertical="center"/>
    </xf>
    <xf numFmtId="0" fontId="79" fillId="17" borderId="0" applyNumberFormat="0" applyBorder="0" applyAlignment="0" applyProtection="0"/>
    <xf numFmtId="0" fontId="80" fillId="17" borderId="0" applyNumberFormat="0" applyBorder="0" applyAlignment="0" applyProtection="0">
      <alignment vertical="center"/>
    </xf>
    <xf numFmtId="0" fontId="79" fillId="17" borderId="0" applyNumberFormat="0" applyBorder="0" applyAlignment="0" applyProtection="0"/>
    <xf numFmtId="0" fontId="80" fillId="17" borderId="0" applyNumberFormat="0" applyBorder="0" applyAlignment="0" applyProtection="0">
      <alignment vertical="center"/>
    </xf>
    <xf numFmtId="0" fontId="79" fillId="17" borderId="0" applyNumberFormat="0" applyBorder="0" applyAlignment="0" applyProtection="0"/>
    <xf numFmtId="0" fontId="80" fillId="17" borderId="0" applyNumberFormat="0" applyBorder="0" applyAlignment="0" applyProtection="0">
      <alignment vertical="center"/>
    </xf>
    <xf numFmtId="0" fontId="79" fillId="17" borderId="0" applyNumberFormat="0" applyBorder="0" applyAlignment="0" applyProtection="0"/>
    <xf numFmtId="0" fontId="80" fillId="17" borderId="0" applyNumberFormat="0" applyBorder="0" applyAlignment="0" applyProtection="0">
      <alignment vertical="center"/>
    </xf>
    <xf numFmtId="0" fontId="79" fillId="17" borderId="0" applyNumberFormat="0" applyBorder="0" applyAlignment="0" applyProtection="0"/>
    <xf numFmtId="0" fontId="80" fillId="17" borderId="0" applyNumberFormat="0" applyBorder="0" applyAlignment="0" applyProtection="0">
      <alignment vertical="center"/>
    </xf>
    <xf numFmtId="0" fontId="69" fillId="0" borderId="0"/>
    <xf numFmtId="0" fontId="59" fillId="0" borderId="0" applyFill="0" applyBorder="0" applyAlignment="0"/>
    <xf numFmtId="0" fontId="85" fillId="0" borderId="0" applyFill="0" applyBorder="0" applyAlignment="0">
      <alignment vertical="center"/>
    </xf>
    <xf numFmtId="181" fontId="67" fillId="0" borderId="0" applyFill="0" applyBorder="0" applyAlignment="0"/>
    <xf numFmtId="181" fontId="68" fillId="0" borderId="0" applyFill="0" applyBorder="0" applyAlignment="0">
      <alignment vertical="center"/>
    </xf>
    <xf numFmtId="182" fontId="67" fillId="0" borderId="0" applyFill="0" applyBorder="0" applyAlignment="0"/>
    <xf numFmtId="182" fontId="68" fillId="0" borderId="0" applyFill="0" applyBorder="0" applyAlignment="0">
      <alignment vertical="center"/>
    </xf>
    <xf numFmtId="183" fontId="67" fillId="0" borderId="0" applyFill="0" applyBorder="0" applyAlignment="0"/>
    <xf numFmtId="183" fontId="68" fillId="0" borderId="0" applyFill="0" applyBorder="0" applyAlignment="0">
      <alignment vertical="center"/>
    </xf>
    <xf numFmtId="184" fontId="67" fillId="0" borderId="0" applyFill="0" applyBorder="0" applyAlignment="0"/>
    <xf numFmtId="184" fontId="68" fillId="0" borderId="0" applyFill="0" applyBorder="0" applyAlignment="0">
      <alignment vertical="center"/>
    </xf>
    <xf numFmtId="185" fontId="67" fillId="0" borderId="0" applyFill="0" applyBorder="0" applyAlignment="0"/>
    <xf numFmtId="185" fontId="68" fillId="0" borderId="0" applyFill="0" applyBorder="0" applyAlignment="0">
      <alignment vertical="center"/>
    </xf>
    <xf numFmtId="174" fontId="67" fillId="0" borderId="0" applyFill="0" applyBorder="0" applyAlignment="0"/>
    <xf numFmtId="174" fontId="68" fillId="0" borderId="0" applyFill="0" applyBorder="0" applyAlignment="0">
      <alignment vertical="center"/>
    </xf>
    <xf numFmtId="181" fontId="67" fillId="0" borderId="0" applyFill="0" applyBorder="0" applyAlignment="0"/>
    <xf numFmtId="181" fontId="68" fillId="0" borderId="0" applyFill="0" applyBorder="0" applyAlignment="0">
      <alignment vertical="center"/>
    </xf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7" fillId="16" borderId="88" applyNumberFormat="0" applyAlignment="0" applyProtection="0">
      <alignment vertical="center"/>
    </xf>
    <xf numFmtId="0" fontId="87" fillId="16" borderId="88" applyNumberFormat="0" applyAlignment="0" applyProtection="0">
      <alignment vertical="center"/>
    </xf>
    <xf numFmtId="0" fontId="87" fillId="16" borderId="88" applyNumberFormat="0" applyAlignment="0" applyProtection="0">
      <alignment vertical="center"/>
    </xf>
    <xf numFmtId="0" fontId="87" fillId="16" borderId="88" applyNumberFormat="0" applyAlignment="0" applyProtection="0">
      <alignment vertical="center"/>
    </xf>
    <xf numFmtId="0" fontId="87" fillId="16" borderId="88" applyNumberFormat="0" applyAlignment="0" applyProtection="0">
      <alignment vertical="center"/>
    </xf>
    <xf numFmtId="0" fontId="87" fillId="16" borderId="88" applyNumberFormat="0" applyAlignment="0" applyProtection="0">
      <alignment vertical="center"/>
    </xf>
    <xf numFmtId="0" fontId="87" fillId="16" borderId="88" applyNumberFormat="0" applyAlignment="0" applyProtection="0">
      <alignment vertical="center"/>
    </xf>
    <xf numFmtId="0" fontId="87" fillId="16" borderId="88" applyNumberFormat="0" applyAlignment="0" applyProtection="0">
      <alignment vertical="center"/>
    </xf>
    <xf numFmtId="0" fontId="87" fillId="16" borderId="88" applyNumberFormat="0" applyAlignment="0" applyProtection="0">
      <alignment vertical="center"/>
    </xf>
    <xf numFmtId="0" fontId="87" fillId="16" borderId="88" applyNumberFormat="0" applyAlignment="0" applyProtection="0">
      <alignment vertical="center"/>
    </xf>
    <xf numFmtId="0" fontId="87" fillId="16" borderId="88" applyNumberFormat="0" applyAlignment="0" applyProtection="0">
      <alignment vertical="center"/>
    </xf>
    <xf numFmtId="0" fontId="87" fillId="16" borderId="88" applyNumberFormat="0" applyAlignment="0" applyProtection="0">
      <alignment vertical="center"/>
    </xf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7" fillId="16" borderId="88" applyNumberFormat="0" applyAlignment="0" applyProtection="0">
      <alignment vertical="center"/>
    </xf>
    <xf numFmtId="0" fontId="87" fillId="16" borderId="88" applyNumberFormat="0" applyAlignment="0" applyProtection="0">
      <alignment vertical="center"/>
    </xf>
    <xf numFmtId="0" fontId="87" fillId="16" borderId="88" applyNumberFormat="0" applyAlignment="0" applyProtection="0">
      <alignment vertical="center"/>
    </xf>
    <xf numFmtId="0" fontId="87" fillId="16" borderId="88" applyNumberFormat="0" applyAlignment="0" applyProtection="0">
      <alignment vertical="center"/>
    </xf>
    <xf numFmtId="0" fontId="87" fillId="16" borderId="88" applyNumberFormat="0" applyAlignment="0" applyProtection="0">
      <alignment vertical="center"/>
    </xf>
    <xf numFmtId="0" fontId="87" fillId="16" borderId="88" applyNumberFormat="0" applyAlignment="0" applyProtection="0">
      <alignment vertical="center"/>
    </xf>
    <xf numFmtId="0" fontId="87" fillId="16" borderId="88" applyNumberFormat="0" applyAlignment="0" applyProtection="0">
      <alignment vertical="center"/>
    </xf>
    <xf numFmtId="0" fontId="87" fillId="16" borderId="88" applyNumberFormat="0" applyAlignment="0" applyProtection="0">
      <alignment vertical="center"/>
    </xf>
    <xf numFmtId="0" fontId="87" fillId="16" borderId="88" applyNumberFormat="0" applyAlignment="0" applyProtection="0">
      <alignment vertical="center"/>
    </xf>
    <xf numFmtId="0" fontId="87" fillId="16" borderId="88" applyNumberFormat="0" applyAlignment="0" applyProtection="0">
      <alignment vertical="center"/>
    </xf>
    <xf numFmtId="0" fontId="87" fillId="16" borderId="88" applyNumberFormat="0" applyAlignment="0" applyProtection="0">
      <alignment vertical="center"/>
    </xf>
    <xf numFmtId="0" fontId="87" fillId="16" borderId="88" applyNumberFormat="0" applyAlignment="0" applyProtection="0">
      <alignment vertical="center"/>
    </xf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7" fillId="16" borderId="88" applyNumberFormat="0" applyAlignment="0" applyProtection="0">
      <alignment vertical="center"/>
    </xf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7" fillId="16" borderId="88" applyNumberFormat="0" applyAlignment="0" applyProtection="0">
      <alignment vertical="center"/>
    </xf>
    <xf numFmtId="0" fontId="86" fillId="16" borderId="88" applyNumberFormat="0" applyAlignment="0" applyProtection="0"/>
    <xf numFmtId="0" fontId="87" fillId="16" borderId="88" applyNumberFormat="0" applyAlignment="0" applyProtection="0">
      <alignment vertical="center"/>
    </xf>
    <xf numFmtId="0" fontId="87" fillId="16" borderId="88" applyNumberFormat="0" applyAlignment="0" applyProtection="0">
      <alignment vertical="center"/>
    </xf>
    <xf numFmtId="0" fontId="87" fillId="16" borderId="88" applyNumberFormat="0" applyAlignment="0" applyProtection="0">
      <alignment vertical="center"/>
    </xf>
    <xf numFmtId="0" fontId="86" fillId="16" borderId="88" applyNumberFormat="0" applyAlignment="0" applyProtection="0"/>
    <xf numFmtId="0" fontId="87" fillId="16" borderId="88" applyNumberFormat="0" applyAlignment="0" applyProtection="0">
      <alignment vertical="center"/>
    </xf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7" fillId="16" borderId="88" applyNumberFormat="0" applyAlignment="0" applyProtection="0">
      <alignment vertical="center"/>
    </xf>
    <xf numFmtId="0" fontId="87" fillId="16" borderId="88" applyNumberFormat="0" applyAlignment="0" applyProtection="0">
      <alignment vertical="center"/>
    </xf>
    <xf numFmtId="0" fontId="87" fillId="16" borderId="88" applyNumberFormat="0" applyAlignment="0" applyProtection="0">
      <alignment vertical="center"/>
    </xf>
    <xf numFmtId="0" fontId="86" fillId="16" borderId="88" applyNumberFormat="0" applyAlignment="0" applyProtection="0"/>
    <xf numFmtId="0" fontId="87" fillId="16" borderId="88" applyNumberFormat="0" applyAlignment="0" applyProtection="0">
      <alignment vertical="center"/>
    </xf>
    <xf numFmtId="0" fontId="87" fillId="16" borderId="88" applyNumberFormat="0" applyAlignment="0" applyProtection="0">
      <alignment vertical="center"/>
    </xf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7" fillId="16" borderId="88" applyNumberFormat="0" applyAlignment="0" applyProtection="0">
      <alignment vertical="center"/>
    </xf>
    <xf numFmtId="0" fontId="87" fillId="16" borderId="88" applyNumberFormat="0" applyAlignment="0" applyProtection="0">
      <alignment vertical="center"/>
    </xf>
    <xf numFmtId="0" fontId="87" fillId="16" borderId="88" applyNumberFormat="0" applyAlignment="0" applyProtection="0">
      <alignment vertical="center"/>
    </xf>
    <xf numFmtId="0" fontId="87" fillId="16" borderId="88" applyNumberFormat="0" applyAlignment="0" applyProtection="0">
      <alignment vertical="center"/>
    </xf>
    <xf numFmtId="0" fontId="87" fillId="16" borderId="88" applyNumberFormat="0" applyAlignment="0" applyProtection="0">
      <alignment vertical="center"/>
    </xf>
    <xf numFmtId="0" fontId="87" fillId="16" borderId="88" applyNumberFormat="0" applyAlignment="0" applyProtection="0">
      <alignment vertical="center"/>
    </xf>
    <xf numFmtId="0" fontId="86" fillId="16" borderId="88" applyNumberFormat="0" applyAlignment="0" applyProtection="0"/>
    <xf numFmtId="0" fontId="86" fillId="16" borderId="88" applyNumberFormat="0" applyAlignment="0" applyProtection="0"/>
    <xf numFmtId="0" fontId="87" fillId="16" borderId="88" applyNumberFormat="0" applyAlignment="0" applyProtection="0">
      <alignment vertical="center"/>
    </xf>
    <xf numFmtId="0" fontId="87" fillId="16" borderId="88" applyNumberFormat="0" applyAlignment="0" applyProtection="0">
      <alignment vertical="center"/>
    </xf>
    <xf numFmtId="0" fontId="86" fillId="16" borderId="88" applyNumberFormat="0" applyAlignment="0" applyProtection="0"/>
    <xf numFmtId="0" fontId="87" fillId="16" borderId="88" applyNumberFormat="0" applyAlignment="0" applyProtection="0">
      <alignment vertical="center"/>
    </xf>
    <xf numFmtId="0" fontId="86" fillId="16" borderId="88" applyNumberFormat="0" applyAlignment="0" applyProtection="0"/>
    <xf numFmtId="0" fontId="87" fillId="16" borderId="88" applyNumberFormat="0" applyAlignment="0" applyProtection="0">
      <alignment vertical="center"/>
    </xf>
    <xf numFmtId="0" fontId="87" fillId="16" borderId="88" applyNumberFormat="0" applyAlignment="0" applyProtection="0">
      <alignment vertical="center"/>
    </xf>
    <xf numFmtId="0" fontId="87" fillId="16" borderId="88" applyNumberFormat="0" applyAlignment="0" applyProtection="0">
      <alignment vertical="center"/>
    </xf>
    <xf numFmtId="0" fontId="87" fillId="16" borderId="88" applyNumberFormat="0" applyAlignment="0" applyProtection="0">
      <alignment vertical="center"/>
    </xf>
    <xf numFmtId="0" fontId="87" fillId="16" borderId="88" applyNumberFormat="0" applyAlignment="0" applyProtection="0">
      <alignment vertical="center"/>
    </xf>
    <xf numFmtId="0" fontId="87" fillId="16" borderId="88" applyNumberFormat="0" applyAlignment="0" applyProtection="0">
      <alignment vertical="center"/>
    </xf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6" fillId="16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9" fillId="27" borderId="88" applyNumberFormat="0" applyAlignment="0" applyProtection="0">
      <alignment vertical="center"/>
    </xf>
    <xf numFmtId="0" fontId="89" fillId="27" borderId="88" applyNumberFormat="0" applyAlignment="0" applyProtection="0">
      <alignment vertical="center"/>
    </xf>
    <xf numFmtId="0" fontId="89" fillId="27" borderId="88" applyNumberFormat="0" applyAlignment="0" applyProtection="0">
      <alignment vertical="center"/>
    </xf>
    <xf numFmtId="0" fontId="89" fillId="27" borderId="88" applyNumberFormat="0" applyAlignment="0" applyProtection="0">
      <alignment vertical="center"/>
    </xf>
    <xf numFmtId="0" fontId="89" fillId="27" borderId="88" applyNumberFormat="0" applyAlignment="0" applyProtection="0">
      <alignment vertical="center"/>
    </xf>
    <xf numFmtId="0" fontId="89" fillId="27" borderId="88" applyNumberFormat="0" applyAlignment="0" applyProtection="0">
      <alignment vertical="center"/>
    </xf>
    <xf numFmtId="0" fontId="89" fillId="27" borderId="88" applyNumberFormat="0" applyAlignment="0" applyProtection="0">
      <alignment vertical="center"/>
    </xf>
    <xf numFmtId="0" fontId="89" fillId="27" borderId="88" applyNumberFormat="0" applyAlignment="0" applyProtection="0">
      <alignment vertical="center"/>
    </xf>
    <xf numFmtId="0" fontId="89" fillId="27" borderId="88" applyNumberFormat="0" applyAlignment="0" applyProtection="0">
      <alignment vertical="center"/>
    </xf>
    <xf numFmtId="0" fontId="89" fillId="27" borderId="88" applyNumberFormat="0" applyAlignment="0" applyProtection="0">
      <alignment vertical="center"/>
    </xf>
    <xf numFmtId="0" fontId="89" fillId="27" borderId="88" applyNumberFormat="0" applyAlignment="0" applyProtection="0">
      <alignment vertical="center"/>
    </xf>
    <xf numFmtId="0" fontId="89" fillId="27" borderId="88" applyNumberFormat="0" applyAlignment="0" applyProtection="0">
      <alignment vertical="center"/>
    </xf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9" fillId="27" borderId="88" applyNumberFormat="0" applyAlignment="0" applyProtection="0">
      <alignment vertical="center"/>
    </xf>
    <xf numFmtId="0" fontId="89" fillId="27" borderId="88" applyNumberFormat="0" applyAlignment="0" applyProtection="0">
      <alignment vertical="center"/>
    </xf>
    <xf numFmtId="0" fontId="89" fillId="27" borderId="88" applyNumberFormat="0" applyAlignment="0" applyProtection="0">
      <alignment vertical="center"/>
    </xf>
    <xf numFmtId="0" fontId="89" fillId="27" borderId="88" applyNumberFormat="0" applyAlignment="0" applyProtection="0">
      <alignment vertical="center"/>
    </xf>
    <xf numFmtId="0" fontId="89" fillId="27" borderId="88" applyNumberFormat="0" applyAlignment="0" applyProtection="0">
      <alignment vertical="center"/>
    </xf>
    <xf numFmtId="0" fontId="89" fillId="27" borderId="88" applyNumberFormat="0" applyAlignment="0" applyProtection="0">
      <alignment vertical="center"/>
    </xf>
    <xf numFmtId="0" fontId="89" fillId="27" borderId="88" applyNumberFormat="0" applyAlignment="0" applyProtection="0">
      <alignment vertical="center"/>
    </xf>
    <xf numFmtId="0" fontId="89" fillId="27" borderId="88" applyNumberFormat="0" applyAlignment="0" applyProtection="0">
      <alignment vertical="center"/>
    </xf>
    <xf numFmtId="0" fontId="89" fillId="27" borderId="88" applyNumberFormat="0" applyAlignment="0" applyProtection="0">
      <alignment vertical="center"/>
    </xf>
    <xf numFmtId="0" fontId="89" fillId="27" borderId="88" applyNumberFormat="0" applyAlignment="0" applyProtection="0">
      <alignment vertical="center"/>
    </xf>
    <xf numFmtId="0" fontId="89" fillId="27" borderId="88" applyNumberFormat="0" applyAlignment="0" applyProtection="0">
      <alignment vertical="center"/>
    </xf>
    <xf numFmtId="0" fontId="89" fillId="27" borderId="88" applyNumberFormat="0" applyAlignment="0" applyProtection="0">
      <alignment vertical="center"/>
    </xf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9" fillId="27" borderId="88" applyNumberFormat="0" applyAlignment="0" applyProtection="0">
      <alignment vertical="center"/>
    </xf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9" fillId="27" borderId="88" applyNumberFormat="0" applyAlignment="0" applyProtection="0">
      <alignment vertical="center"/>
    </xf>
    <xf numFmtId="0" fontId="88" fillId="27" borderId="88" applyNumberFormat="0" applyAlignment="0" applyProtection="0"/>
    <xf numFmtId="0" fontId="89" fillId="27" borderId="88" applyNumberFormat="0" applyAlignment="0" applyProtection="0">
      <alignment vertical="center"/>
    </xf>
    <xf numFmtId="0" fontId="89" fillId="27" borderId="88" applyNumberFormat="0" applyAlignment="0" applyProtection="0">
      <alignment vertical="center"/>
    </xf>
    <xf numFmtId="0" fontId="89" fillId="27" borderId="88" applyNumberFormat="0" applyAlignment="0" applyProtection="0">
      <alignment vertical="center"/>
    </xf>
    <xf numFmtId="0" fontId="88" fillId="27" borderId="88" applyNumberFormat="0" applyAlignment="0" applyProtection="0"/>
    <xf numFmtId="0" fontId="89" fillId="27" borderId="88" applyNumberFormat="0" applyAlignment="0" applyProtection="0">
      <alignment vertical="center"/>
    </xf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9" fillId="27" borderId="88" applyNumberFormat="0" applyAlignment="0" applyProtection="0">
      <alignment vertical="center"/>
    </xf>
    <xf numFmtId="0" fontId="89" fillId="27" borderId="88" applyNumberFormat="0" applyAlignment="0" applyProtection="0">
      <alignment vertical="center"/>
    </xf>
    <xf numFmtId="0" fontId="89" fillId="27" borderId="88" applyNumberFormat="0" applyAlignment="0" applyProtection="0">
      <alignment vertical="center"/>
    </xf>
    <xf numFmtId="0" fontId="88" fillId="27" borderId="88" applyNumberFormat="0" applyAlignment="0" applyProtection="0"/>
    <xf numFmtId="0" fontId="89" fillId="27" borderId="88" applyNumberFormat="0" applyAlignment="0" applyProtection="0">
      <alignment vertical="center"/>
    </xf>
    <xf numFmtId="0" fontId="89" fillId="27" borderId="88" applyNumberFormat="0" applyAlignment="0" applyProtection="0">
      <alignment vertical="center"/>
    </xf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9" fillId="27" borderId="88" applyNumberFormat="0" applyAlignment="0" applyProtection="0">
      <alignment vertical="center"/>
    </xf>
    <xf numFmtId="0" fontId="89" fillId="27" borderId="88" applyNumberFormat="0" applyAlignment="0" applyProtection="0">
      <alignment vertical="center"/>
    </xf>
    <xf numFmtId="0" fontId="89" fillId="27" borderId="88" applyNumberFormat="0" applyAlignment="0" applyProtection="0">
      <alignment vertical="center"/>
    </xf>
    <xf numFmtId="0" fontId="89" fillId="27" borderId="88" applyNumberFormat="0" applyAlignment="0" applyProtection="0">
      <alignment vertical="center"/>
    </xf>
    <xf numFmtId="0" fontId="89" fillId="27" borderId="88" applyNumberFormat="0" applyAlignment="0" applyProtection="0">
      <alignment vertical="center"/>
    </xf>
    <xf numFmtId="0" fontId="89" fillId="27" borderId="88" applyNumberFormat="0" applyAlignment="0" applyProtection="0">
      <alignment vertical="center"/>
    </xf>
    <xf numFmtId="0" fontId="88" fillId="27" borderId="88" applyNumberFormat="0" applyAlignment="0" applyProtection="0"/>
    <xf numFmtId="0" fontId="88" fillId="27" borderId="88" applyNumberFormat="0" applyAlignment="0" applyProtection="0"/>
    <xf numFmtId="0" fontId="89" fillId="27" borderId="88" applyNumberFormat="0" applyAlignment="0" applyProtection="0">
      <alignment vertical="center"/>
    </xf>
    <xf numFmtId="0" fontId="89" fillId="27" borderId="88" applyNumberFormat="0" applyAlignment="0" applyProtection="0">
      <alignment vertical="center"/>
    </xf>
    <xf numFmtId="0" fontId="88" fillId="27" borderId="88" applyNumberFormat="0" applyAlignment="0" applyProtection="0"/>
    <xf numFmtId="0" fontId="89" fillId="27" borderId="88" applyNumberFormat="0" applyAlignment="0" applyProtection="0">
      <alignment vertical="center"/>
    </xf>
    <xf numFmtId="0" fontId="88" fillId="27" borderId="88" applyNumberFormat="0" applyAlignment="0" applyProtection="0"/>
    <xf numFmtId="0" fontId="89" fillId="27" borderId="88" applyNumberFormat="0" applyAlignment="0" applyProtection="0">
      <alignment vertical="center"/>
    </xf>
    <xf numFmtId="0" fontId="89" fillId="27" borderId="88" applyNumberFormat="0" applyAlignment="0" applyProtection="0">
      <alignment vertical="center"/>
    </xf>
    <xf numFmtId="0" fontId="89" fillId="27" borderId="88" applyNumberFormat="0" applyAlignment="0" applyProtection="0">
      <alignment vertical="center"/>
    </xf>
    <xf numFmtId="0" fontId="89" fillId="27" borderId="88" applyNumberFormat="0" applyAlignment="0" applyProtection="0">
      <alignment vertical="center"/>
    </xf>
    <xf numFmtId="0" fontId="89" fillId="27" borderId="88" applyNumberFormat="0" applyAlignment="0" applyProtection="0">
      <alignment vertical="center"/>
    </xf>
    <xf numFmtId="0" fontId="89" fillId="27" borderId="88" applyNumberFormat="0" applyAlignment="0" applyProtection="0">
      <alignment vertical="center"/>
    </xf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8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7" fillId="27" borderId="88" applyNumberFormat="0" applyAlignment="0" applyProtection="0">
      <alignment vertical="center"/>
    </xf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86" fillId="27" borderId="88" applyNumberFormat="0" applyAlignment="0" applyProtection="0"/>
    <xf numFmtId="0" fontId="90" fillId="49" borderId="89" applyNumberFormat="0" applyAlignment="0" applyProtection="0"/>
    <xf numFmtId="0" fontId="90" fillId="35" borderId="89" applyNumberFormat="0" applyAlignment="0" applyProtection="0"/>
    <xf numFmtId="0" fontId="90" fillId="35" borderId="89" applyNumberFormat="0" applyAlignment="0" applyProtection="0"/>
    <xf numFmtId="0" fontId="90" fillId="35" borderId="89" applyNumberFormat="0" applyAlignment="0" applyProtection="0"/>
    <xf numFmtId="0" fontId="91" fillId="35" borderId="89" applyNumberFormat="0" applyAlignment="0" applyProtection="0">
      <alignment vertical="center"/>
    </xf>
    <xf numFmtId="0" fontId="91" fillId="35" borderId="89" applyNumberFormat="0" applyAlignment="0" applyProtection="0">
      <alignment vertical="center"/>
    </xf>
    <xf numFmtId="0" fontId="90" fillId="35" borderId="89" applyNumberFormat="0" applyAlignment="0" applyProtection="0"/>
    <xf numFmtId="0" fontId="91" fillId="35" borderId="89" applyNumberFormat="0" applyAlignment="0" applyProtection="0">
      <alignment vertical="center"/>
    </xf>
    <xf numFmtId="0" fontId="90" fillId="49" borderId="89" applyNumberFormat="0" applyAlignment="0" applyProtection="0"/>
    <xf numFmtId="0" fontId="90" fillId="49" borderId="89" applyNumberFormat="0" applyAlignment="0" applyProtection="0"/>
    <xf numFmtId="0" fontId="91" fillId="49" borderId="89" applyNumberFormat="0" applyAlignment="0" applyProtection="0">
      <alignment vertical="center"/>
    </xf>
    <xf numFmtId="0" fontId="91" fillId="49" borderId="89" applyNumberFormat="0" applyAlignment="0" applyProtection="0">
      <alignment vertical="center"/>
    </xf>
    <xf numFmtId="0" fontId="90" fillId="49" borderId="89" applyNumberFormat="0" applyAlignment="0" applyProtection="0"/>
    <xf numFmtId="0" fontId="91" fillId="49" borderId="89" applyNumberFormat="0" applyAlignment="0" applyProtection="0">
      <alignment vertical="center"/>
    </xf>
    <xf numFmtId="0" fontId="90" fillId="49" borderId="89" applyNumberFormat="0" applyAlignment="0" applyProtection="0"/>
    <xf numFmtId="0" fontId="90" fillId="35" borderId="89" applyNumberFormat="0" applyAlignment="0" applyProtection="0"/>
    <xf numFmtId="0" fontId="90" fillId="35" borderId="89" applyNumberFormat="0" applyAlignment="0" applyProtection="0"/>
    <xf numFmtId="0" fontId="90" fillId="35" borderId="89" applyNumberFormat="0" applyAlignment="0" applyProtection="0"/>
    <xf numFmtId="0" fontId="91" fillId="35" borderId="89" applyNumberFormat="0" applyAlignment="0" applyProtection="0">
      <alignment vertical="center"/>
    </xf>
    <xf numFmtId="0" fontId="91" fillId="35" borderId="89" applyNumberFormat="0" applyAlignment="0" applyProtection="0">
      <alignment vertical="center"/>
    </xf>
    <xf numFmtId="0" fontId="90" fillId="35" borderId="89" applyNumberFormat="0" applyAlignment="0" applyProtection="0"/>
    <xf numFmtId="0" fontId="91" fillId="35" borderId="89" applyNumberFormat="0" applyAlignment="0" applyProtection="0">
      <alignment vertical="center"/>
    </xf>
    <xf numFmtId="0" fontId="90" fillId="49" borderId="89" applyNumberFormat="0" applyAlignment="0" applyProtection="0"/>
    <xf numFmtId="0" fontId="90" fillId="49" borderId="89" applyNumberFormat="0" applyAlignment="0" applyProtection="0"/>
    <xf numFmtId="0" fontId="91" fillId="49" borderId="89" applyNumberFormat="0" applyAlignment="0" applyProtection="0">
      <alignment vertical="center"/>
    </xf>
    <xf numFmtId="0" fontId="91" fillId="49" borderId="89" applyNumberFormat="0" applyAlignment="0" applyProtection="0">
      <alignment vertical="center"/>
    </xf>
    <xf numFmtId="0" fontId="90" fillId="49" borderId="89" applyNumberFormat="0" applyAlignment="0" applyProtection="0"/>
    <xf numFmtId="0" fontId="91" fillId="49" borderId="89" applyNumberFormat="0" applyAlignment="0" applyProtection="0">
      <alignment vertical="center"/>
    </xf>
    <xf numFmtId="0" fontId="90" fillId="27" borderId="89" applyNumberFormat="0" applyAlignment="0" applyProtection="0"/>
    <xf numFmtId="0" fontId="90" fillId="27" borderId="89" applyNumberFormat="0" applyAlignment="0" applyProtection="0"/>
    <xf numFmtId="0" fontId="90" fillId="27" borderId="89" applyNumberFormat="0" applyAlignment="0" applyProtection="0"/>
    <xf numFmtId="0" fontId="91" fillId="27" borderId="89" applyNumberFormat="0" applyAlignment="0" applyProtection="0">
      <alignment vertical="center"/>
    </xf>
    <xf numFmtId="0" fontId="91" fillId="27" borderId="89" applyNumberFormat="0" applyAlignment="0" applyProtection="0">
      <alignment vertical="center"/>
    </xf>
    <xf numFmtId="0" fontId="90" fillId="27" borderId="89" applyNumberFormat="0" applyAlignment="0" applyProtection="0"/>
    <xf numFmtId="0" fontId="91" fillId="27" borderId="89" applyNumberFormat="0" applyAlignment="0" applyProtection="0">
      <alignment vertical="center"/>
    </xf>
    <xf numFmtId="0" fontId="92" fillId="49" borderId="89" applyNumberFormat="0" applyAlignment="0" applyProtection="0"/>
    <xf numFmtId="0" fontId="92" fillId="35" borderId="89" applyNumberFormat="0" applyAlignment="0" applyProtection="0"/>
    <xf numFmtId="0" fontId="92" fillId="35" borderId="89" applyNumberFormat="0" applyAlignment="0" applyProtection="0"/>
    <xf numFmtId="0" fontId="92" fillId="35" borderId="89" applyNumberFormat="0" applyAlignment="0" applyProtection="0"/>
    <xf numFmtId="0" fontId="93" fillId="35" borderId="89" applyNumberFormat="0" applyAlignment="0" applyProtection="0">
      <alignment vertical="center"/>
    </xf>
    <xf numFmtId="0" fontId="93" fillId="35" borderId="89" applyNumberFormat="0" applyAlignment="0" applyProtection="0">
      <alignment vertical="center"/>
    </xf>
    <xf numFmtId="0" fontId="92" fillId="35" borderId="89" applyNumberFormat="0" applyAlignment="0" applyProtection="0"/>
    <xf numFmtId="0" fontId="93" fillId="35" borderId="89" applyNumberFormat="0" applyAlignment="0" applyProtection="0">
      <alignment vertical="center"/>
    </xf>
    <xf numFmtId="0" fontId="92" fillId="49" borderId="89" applyNumberFormat="0" applyAlignment="0" applyProtection="0"/>
    <xf numFmtId="0" fontId="92" fillId="49" borderId="89" applyNumberFormat="0" applyAlignment="0" applyProtection="0"/>
    <xf numFmtId="0" fontId="93" fillId="49" borderId="89" applyNumberFormat="0" applyAlignment="0" applyProtection="0">
      <alignment vertical="center"/>
    </xf>
    <xf numFmtId="0" fontId="93" fillId="49" borderId="89" applyNumberFormat="0" applyAlignment="0" applyProtection="0">
      <alignment vertical="center"/>
    </xf>
    <xf numFmtId="0" fontId="92" fillId="49" borderId="89" applyNumberFormat="0" applyAlignment="0" applyProtection="0"/>
    <xf numFmtId="0" fontId="93" fillId="49" borderId="89" applyNumberFormat="0" applyAlignment="0" applyProtection="0">
      <alignment vertical="center"/>
    </xf>
    <xf numFmtId="0" fontId="90" fillId="49" borderId="89" applyNumberFormat="0" applyAlignment="0" applyProtection="0"/>
    <xf numFmtId="0" fontId="90" fillId="35" borderId="89" applyNumberFormat="0" applyAlignment="0" applyProtection="0"/>
    <xf numFmtId="0" fontId="90" fillId="35" borderId="89" applyNumberFormat="0" applyAlignment="0" applyProtection="0"/>
    <xf numFmtId="0" fontId="90" fillId="35" borderId="89" applyNumberFormat="0" applyAlignment="0" applyProtection="0"/>
    <xf numFmtId="0" fontId="91" fillId="35" borderId="89" applyNumberFormat="0" applyAlignment="0" applyProtection="0">
      <alignment vertical="center"/>
    </xf>
    <xf numFmtId="0" fontId="91" fillId="35" borderId="89" applyNumberFormat="0" applyAlignment="0" applyProtection="0">
      <alignment vertical="center"/>
    </xf>
    <xf numFmtId="0" fontId="90" fillId="35" borderId="89" applyNumberFormat="0" applyAlignment="0" applyProtection="0"/>
    <xf numFmtId="0" fontId="91" fillId="35" borderId="89" applyNumberFormat="0" applyAlignment="0" applyProtection="0">
      <alignment vertical="center"/>
    </xf>
    <xf numFmtId="0" fontId="90" fillId="49" borderId="89" applyNumberFormat="0" applyAlignment="0" applyProtection="0"/>
    <xf numFmtId="0" fontId="90" fillId="49" borderId="89" applyNumberFormat="0" applyAlignment="0" applyProtection="0"/>
    <xf numFmtId="0" fontId="91" fillId="49" borderId="89" applyNumberFormat="0" applyAlignment="0" applyProtection="0">
      <alignment vertical="center"/>
    </xf>
    <xf numFmtId="0" fontId="91" fillId="49" borderId="89" applyNumberFormat="0" applyAlignment="0" applyProtection="0">
      <alignment vertical="center"/>
    </xf>
    <xf numFmtId="0" fontId="90" fillId="49" borderId="89" applyNumberFormat="0" applyAlignment="0" applyProtection="0"/>
    <xf numFmtId="0" fontId="91" fillId="49" borderId="89" applyNumberFormat="0" applyAlignment="0" applyProtection="0">
      <alignment vertical="center"/>
    </xf>
    <xf numFmtId="0" fontId="90" fillId="49" borderId="89" applyNumberFormat="0" applyAlignment="0" applyProtection="0"/>
    <xf numFmtId="0" fontId="90" fillId="35" borderId="89" applyNumberFormat="0" applyAlignment="0" applyProtection="0"/>
    <xf numFmtId="0" fontId="90" fillId="35" borderId="89" applyNumberFormat="0" applyAlignment="0" applyProtection="0"/>
    <xf numFmtId="0" fontId="90" fillId="35" borderId="89" applyNumberFormat="0" applyAlignment="0" applyProtection="0"/>
    <xf numFmtId="0" fontId="91" fillId="35" borderId="89" applyNumberFormat="0" applyAlignment="0" applyProtection="0">
      <alignment vertical="center"/>
    </xf>
    <xf numFmtId="0" fontId="91" fillId="35" borderId="89" applyNumberFormat="0" applyAlignment="0" applyProtection="0">
      <alignment vertical="center"/>
    </xf>
    <xf numFmtId="0" fontId="90" fillId="35" borderId="89" applyNumberFormat="0" applyAlignment="0" applyProtection="0"/>
    <xf numFmtId="0" fontId="91" fillId="35" borderId="89" applyNumberFormat="0" applyAlignment="0" applyProtection="0">
      <alignment vertical="center"/>
    </xf>
    <xf numFmtId="0" fontId="90" fillId="49" borderId="89" applyNumberFormat="0" applyAlignment="0" applyProtection="0"/>
    <xf numFmtId="0" fontId="90" fillId="49" borderId="89" applyNumberFormat="0" applyAlignment="0" applyProtection="0"/>
    <xf numFmtId="0" fontId="91" fillId="49" borderId="89" applyNumberFormat="0" applyAlignment="0" applyProtection="0">
      <alignment vertical="center"/>
    </xf>
    <xf numFmtId="0" fontId="91" fillId="49" borderId="89" applyNumberFormat="0" applyAlignment="0" applyProtection="0">
      <alignment vertical="center"/>
    </xf>
    <xf numFmtId="0" fontId="90" fillId="49" borderId="89" applyNumberFormat="0" applyAlignment="0" applyProtection="0"/>
    <xf numFmtId="0" fontId="91" fillId="49" borderId="89" applyNumberFormat="0" applyAlignment="0" applyProtection="0">
      <alignment vertical="center"/>
    </xf>
    <xf numFmtId="0" fontId="90" fillId="49" borderId="89" applyNumberFormat="0" applyAlignment="0" applyProtection="0"/>
    <xf numFmtId="0" fontId="90" fillId="35" borderId="89" applyNumberFormat="0" applyAlignment="0" applyProtection="0"/>
    <xf numFmtId="0" fontId="90" fillId="35" borderId="89" applyNumberFormat="0" applyAlignment="0" applyProtection="0"/>
    <xf numFmtId="0" fontId="90" fillId="35" borderId="89" applyNumberFormat="0" applyAlignment="0" applyProtection="0"/>
    <xf numFmtId="0" fontId="91" fillId="35" borderId="89" applyNumberFormat="0" applyAlignment="0" applyProtection="0">
      <alignment vertical="center"/>
    </xf>
    <xf numFmtId="0" fontId="91" fillId="35" borderId="89" applyNumberFormat="0" applyAlignment="0" applyProtection="0">
      <alignment vertical="center"/>
    </xf>
    <xf numFmtId="0" fontId="90" fillId="35" borderId="89" applyNumberFormat="0" applyAlignment="0" applyProtection="0"/>
    <xf numFmtId="0" fontId="91" fillId="35" borderId="89" applyNumberFormat="0" applyAlignment="0" applyProtection="0">
      <alignment vertical="center"/>
    </xf>
    <xf numFmtId="0" fontId="90" fillId="49" borderId="89" applyNumberFormat="0" applyAlignment="0" applyProtection="0"/>
    <xf numFmtId="0" fontId="90" fillId="49" borderId="89" applyNumberFormat="0" applyAlignment="0" applyProtection="0"/>
    <xf numFmtId="0" fontId="91" fillId="49" borderId="89" applyNumberFormat="0" applyAlignment="0" applyProtection="0">
      <alignment vertical="center"/>
    </xf>
    <xf numFmtId="0" fontId="91" fillId="49" borderId="89" applyNumberFormat="0" applyAlignment="0" applyProtection="0">
      <alignment vertical="center"/>
    </xf>
    <xf numFmtId="0" fontId="90" fillId="49" borderId="89" applyNumberFormat="0" applyAlignment="0" applyProtection="0"/>
    <xf numFmtId="0" fontId="91" fillId="49" borderId="89" applyNumberFormat="0" applyAlignment="0" applyProtection="0">
      <alignment vertical="center"/>
    </xf>
    <xf numFmtId="0" fontId="90" fillId="49" borderId="89" applyNumberFormat="0" applyAlignment="0" applyProtection="0"/>
    <xf numFmtId="0" fontId="90" fillId="35" borderId="89" applyNumberFormat="0" applyAlignment="0" applyProtection="0"/>
    <xf numFmtId="0" fontId="90" fillId="35" borderId="89" applyNumberFormat="0" applyAlignment="0" applyProtection="0"/>
    <xf numFmtId="0" fontId="90" fillId="35" borderId="89" applyNumberFormat="0" applyAlignment="0" applyProtection="0"/>
    <xf numFmtId="0" fontId="91" fillId="35" borderId="89" applyNumberFormat="0" applyAlignment="0" applyProtection="0">
      <alignment vertical="center"/>
    </xf>
    <xf numFmtId="0" fontId="91" fillId="35" borderId="89" applyNumberFormat="0" applyAlignment="0" applyProtection="0">
      <alignment vertical="center"/>
    </xf>
    <xf numFmtId="0" fontId="90" fillId="35" borderId="89" applyNumberFormat="0" applyAlignment="0" applyProtection="0"/>
    <xf numFmtId="0" fontId="91" fillId="35" borderId="89" applyNumberFormat="0" applyAlignment="0" applyProtection="0">
      <alignment vertical="center"/>
    </xf>
    <xf numFmtId="0" fontId="90" fillId="49" borderId="89" applyNumberFormat="0" applyAlignment="0" applyProtection="0"/>
    <xf numFmtId="0" fontId="90" fillId="49" borderId="89" applyNumberFormat="0" applyAlignment="0" applyProtection="0"/>
    <xf numFmtId="0" fontId="91" fillId="49" borderId="89" applyNumberFormat="0" applyAlignment="0" applyProtection="0">
      <alignment vertical="center"/>
    </xf>
    <xf numFmtId="0" fontId="91" fillId="49" borderId="89" applyNumberFormat="0" applyAlignment="0" applyProtection="0">
      <alignment vertical="center"/>
    </xf>
    <xf numFmtId="0" fontId="90" fillId="49" borderId="89" applyNumberFormat="0" applyAlignment="0" applyProtection="0"/>
    <xf numFmtId="0" fontId="91" fillId="49" borderId="89" applyNumberFormat="0" applyAlignment="0" applyProtection="0">
      <alignment vertical="center"/>
    </xf>
    <xf numFmtId="0" fontId="90" fillId="49" borderId="89" applyNumberFormat="0" applyAlignment="0" applyProtection="0"/>
    <xf numFmtId="0" fontId="90" fillId="35" borderId="89" applyNumberFormat="0" applyAlignment="0" applyProtection="0"/>
    <xf numFmtId="0" fontId="90" fillId="35" borderId="89" applyNumberFormat="0" applyAlignment="0" applyProtection="0"/>
    <xf numFmtId="0" fontId="90" fillId="35" borderId="89" applyNumberFormat="0" applyAlignment="0" applyProtection="0"/>
    <xf numFmtId="0" fontId="91" fillId="35" borderId="89" applyNumberFormat="0" applyAlignment="0" applyProtection="0">
      <alignment vertical="center"/>
    </xf>
    <xf numFmtId="0" fontId="91" fillId="35" borderId="89" applyNumberFormat="0" applyAlignment="0" applyProtection="0">
      <alignment vertical="center"/>
    </xf>
    <xf numFmtId="0" fontId="90" fillId="35" borderId="89" applyNumberFormat="0" applyAlignment="0" applyProtection="0"/>
    <xf numFmtId="0" fontId="91" fillId="35" borderId="89" applyNumberFormat="0" applyAlignment="0" applyProtection="0">
      <alignment vertical="center"/>
    </xf>
    <xf numFmtId="0" fontId="90" fillId="49" borderId="89" applyNumberFormat="0" applyAlignment="0" applyProtection="0"/>
    <xf numFmtId="0" fontId="90" fillId="49" borderId="89" applyNumberFormat="0" applyAlignment="0" applyProtection="0"/>
    <xf numFmtId="0" fontId="91" fillId="49" borderId="89" applyNumberFormat="0" applyAlignment="0" applyProtection="0">
      <alignment vertical="center"/>
    </xf>
    <xf numFmtId="0" fontId="91" fillId="49" borderId="89" applyNumberFormat="0" applyAlignment="0" applyProtection="0">
      <alignment vertical="center"/>
    </xf>
    <xf numFmtId="0" fontId="90" fillId="49" borderId="89" applyNumberFormat="0" applyAlignment="0" applyProtection="0"/>
    <xf numFmtId="0" fontId="91" fillId="49" borderId="89" applyNumberFormat="0" applyAlignment="0" applyProtection="0">
      <alignment vertical="center"/>
    </xf>
    <xf numFmtId="0" fontId="90" fillId="49" borderId="89" applyNumberFormat="0" applyAlignment="0" applyProtection="0"/>
    <xf numFmtId="0" fontId="90" fillId="35" borderId="89" applyNumberFormat="0" applyAlignment="0" applyProtection="0"/>
    <xf numFmtId="0" fontId="90" fillId="35" borderId="89" applyNumberFormat="0" applyAlignment="0" applyProtection="0"/>
    <xf numFmtId="0" fontId="90" fillId="35" borderId="89" applyNumberFormat="0" applyAlignment="0" applyProtection="0"/>
    <xf numFmtId="0" fontId="91" fillId="35" borderId="89" applyNumberFormat="0" applyAlignment="0" applyProtection="0">
      <alignment vertical="center"/>
    </xf>
    <xf numFmtId="0" fontId="91" fillId="35" borderId="89" applyNumberFormat="0" applyAlignment="0" applyProtection="0">
      <alignment vertical="center"/>
    </xf>
    <xf numFmtId="0" fontId="90" fillId="35" borderId="89" applyNumberFormat="0" applyAlignment="0" applyProtection="0"/>
    <xf numFmtId="0" fontId="91" fillId="35" borderId="89" applyNumberFormat="0" applyAlignment="0" applyProtection="0">
      <alignment vertical="center"/>
    </xf>
    <xf numFmtId="0" fontId="90" fillId="49" borderId="89" applyNumberFormat="0" applyAlignment="0" applyProtection="0"/>
    <xf numFmtId="0" fontId="90" fillId="49" borderId="89" applyNumberFormat="0" applyAlignment="0" applyProtection="0"/>
    <xf numFmtId="0" fontId="91" fillId="49" borderId="89" applyNumberFormat="0" applyAlignment="0" applyProtection="0">
      <alignment vertical="center"/>
    </xf>
    <xf numFmtId="0" fontId="91" fillId="49" borderId="89" applyNumberFormat="0" applyAlignment="0" applyProtection="0">
      <alignment vertical="center"/>
    </xf>
    <xf numFmtId="0" fontId="90" fillId="49" borderId="89" applyNumberFormat="0" applyAlignment="0" applyProtection="0"/>
    <xf numFmtId="0" fontId="91" fillId="49" borderId="89" applyNumberFormat="0" applyAlignment="0" applyProtection="0">
      <alignment vertical="center"/>
    </xf>
    <xf numFmtId="0" fontId="90" fillId="49" borderId="89" applyNumberFormat="0" applyAlignment="0" applyProtection="0"/>
    <xf numFmtId="0" fontId="90" fillId="35" borderId="89" applyNumberFormat="0" applyAlignment="0" applyProtection="0"/>
    <xf numFmtId="0" fontId="90" fillId="35" borderId="89" applyNumberFormat="0" applyAlignment="0" applyProtection="0"/>
    <xf numFmtId="0" fontId="90" fillId="35" borderId="89" applyNumberFormat="0" applyAlignment="0" applyProtection="0"/>
    <xf numFmtId="0" fontId="91" fillId="35" borderId="89" applyNumberFormat="0" applyAlignment="0" applyProtection="0">
      <alignment vertical="center"/>
    </xf>
    <xf numFmtId="0" fontId="91" fillId="35" borderId="89" applyNumberFormat="0" applyAlignment="0" applyProtection="0">
      <alignment vertical="center"/>
    </xf>
    <xf numFmtId="0" fontId="90" fillId="35" borderId="89" applyNumberFormat="0" applyAlignment="0" applyProtection="0"/>
    <xf numFmtId="0" fontId="91" fillId="35" borderId="89" applyNumberFormat="0" applyAlignment="0" applyProtection="0">
      <alignment vertical="center"/>
    </xf>
    <xf numFmtId="0" fontId="90" fillId="49" borderId="89" applyNumberFormat="0" applyAlignment="0" applyProtection="0"/>
    <xf numFmtId="0" fontId="90" fillId="49" borderId="89" applyNumberFormat="0" applyAlignment="0" applyProtection="0"/>
    <xf numFmtId="0" fontId="91" fillId="49" borderId="89" applyNumberFormat="0" applyAlignment="0" applyProtection="0">
      <alignment vertical="center"/>
    </xf>
    <xf numFmtId="0" fontId="91" fillId="49" borderId="89" applyNumberFormat="0" applyAlignment="0" applyProtection="0">
      <alignment vertical="center"/>
    </xf>
    <xf numFmtId="0" fontId="90" fillId="49" borderId="89" applyNumberFormat="0" applyAlignment="0" applyProtection="0"/>
    <xf numFmtId="0" fontId="91" fillId="49" borderId="89" applyNumberFormat="0" applyAlignment="0" applyProtection="0">
      <alignment vertical="center"/>
    </xf>
    <xf numFmtId="41" fontId="40" fillId="0" borderId="0" applyFill="0" applyBorder="0" applyAlignment="0" applyProtection="0"/>
    <xf numFmtId="41" fontId="94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95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95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27" fillId="0" borderId="0" applyFont="0" applyFill="0" applyBorder="0" applyAlignment="0" applyProtection="0"/>
    <xf numFmtId="186" fontId="40" fillId="0" borderId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95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70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95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95" fillId="0" borderId="0" applyFont="0" applyFill="0" applyBorder="0" applyAlignment="0" applyProtection="0">
      <alignment vertical="center"/>
    </xf>
    <xf numFmtId="186" fontId="40" fillId="0" borderId="0" applyFill="0" applyBorder="0" applyAlignment="0" applyProtection="0"/>
    <xf numFmtId="186" fontId="64" fillId="0" borderId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95" fillId="0" borderId="0" applyFont="0" applyFill="0" applyBorder="0" applyAlignment="0" applyProtection="0">
      <alignment vertical="center"/>
    </xf>
    <xf numFmtId="186" fontId="40" fillId="0" borderId="0" applyFill="0" applyBorder="0" applyAlignment="0" applyProtection="0"/>
    <xf numFmtId="186" fontId="64" fillId="0" borderId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95" fillId="0" borderId="0" applyFont="0" applyFill="0" applyBorder="0" applyAlignment="0" applyProtection="0">
      <alignment vertical="center"/>
    </xf>
    <xf numFmtId="186" fontId="40" fillId="0" borderId="0" applyFill="0" applyBorder="0" applyAlignment="0" applyProtection="0"/>
    <xf numFmtId="186" fontId="64" fillId="0" borderId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95" fillId="0" borderId="0" applyFont="0" applyFill="0" applyBorder="0" applyAlignment="0" applyProtection="0">
      <alignment vertical="center"/>
    </xf>
    <xf numFmtId="186" fontId="40" fillId="0" borderId="0" applyFill="0" applyBorder="0" applyAlignment="0" applyProtection="0"/>
    <xf numFmtId="186" fontId="64" fillId="0" borderId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95" fillId="0" borderId="0" applyFont="0" applyFill="0" applyBorder="0" applyAlignment="0" applyProtection="0">
      <alignment vertical="center"/>
    </xf>
    <xf numFmtId="186" fontId="40" fillId="0" borderId="0" applyFill="0" applyBorder="0" applyAlignment="0" applyProtection="0"/>
    <xf numFmtId="186" fontId="64" fillId="0" borderId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64" fillId="0" borderId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95" fillId="0" borderId="0" applyFont="0" applyFill="0" applyBorder="0" applyAlignment="0" applyProtection="0">
      <alignment vertical="center"/>
    </xf>
    <xf numFmtId="186" fontId="40" fillId="0" borderId="0" applyFill="0" applyBorder="0" applyAlignment="0" applyProtection="0"/>
    <xf numFmtId="41" fontId="95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95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173" fontId="95" fillId="0" borderId="0" applyFont="0" applyFill="0" applyBorder="0" applyAlignment="0" applyProtection="0">
      <alignment vertical="center"/>
    </xf>
    <xf numFmtId="170" fontId="1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94" fillId="0" borderId="0" applyFont="0" applyFill="0" applyBorder="0" applyAlignment="0" applyProtection="0"/>
    <xf numFmtId="170" fontId="6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0" fontId="27" fillId="0" borderId="0" applyFont="0" applyFill="0" applyBorder="0" applyAlignment="0" applyProtection="0"/>
    <xf numFmtId="170" fontId="27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61" fillId="0" borderId="0" applyFont="0" applyFill="0" applyBorder="0" applyAlignment="0" applyProtection="0"/>
    <xf numFmtId="186" fontId="40" fillId="0" borderId="0" applyFill="0" applyBorder="0" applyAlignment="0" applyProtection="0"/>
    <xf numFmtId="186" fontId="64" fillId="0" borderId="0" applyFill="0" applyBorder="0" applyAlignment="0" applyProtection="0">
      <alignment vertical="center"/>
    </xf>
    <xf numFmtId="41" fontId="61" fillId="0" borderId="0" applyFont="0" applyFill="0" applyBorder="0" applyAlignment="0" applyProtection="0"/>
    <xf numFmtId="41" fontId="40" fillId="0" borderId="0" applyFill="0" applyBorder="0" applyAlignment="0" applyProtection="0"/>
    <xf numFmtId="41" fontId="9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40" fillId="0" borderId="0" applyFill="0" applyBorder="0" applyAlignment="0" applyProtection="0"/>
    <xf numFmtId="186" fontId="40" fillId="0" borderId="0" applyFill="0" applyBorder="0" applyAlignment="0" applyProtection="0"/>
    <xf numFmtId="186" fontId="64" fillId="0" borderId="0" applyFill="0" applyBorder="0" applyAlignment="0" applyProtection="0">
      <alignment vertical="center"/>
    </xf>
    <xf numFmtId="41" fontId="64" fillId="0" borderId="0" applyFill="0" applyBorder="0" applyAlignment="0" applyProtection="0">
      <alignment vertical="center"/>
    </xf>
    <xf numFmtId="41" fontId="40" fillId="0" borderId="0" applyFill="0" applyBorder="0" applyAlignment="0" applyProtection="0"/>
    <xf numFmtId="186" fontId="40" fillId="0" borderId="0" applyFill="0" applyBorder="0" applyAlignment="0" applyProtection="0"/>
    <xf numFmtId="186" fontId="64" fillId="0" borderId="0" applyFill="0" applyBorder="0" applyAlignment="0" applyProtection="0">
      <alignment vertical="center"/>
    </xf>
    <xf numFmtId="41" fontId="64" fillId="0" borderId="0" applyFill="0" applyBorder="0" applyAlignment="0" applyProtection="0">
      <alignment vertical="center"/>
    </xf>
    <xf numFmtId="41" fontId="40" fillId="0" borderId="0" applyFill="0" applyBorder="0" applyAlignment="0" applyProtection="0"/>
    <xf numFmtId="186" fontId="40" fillId="0" borderId="0" applyFill="0" applyBorder="0" applyAlignment="0" applyProtection="0"/>
    <xf numFmtId="186" fontId="64" fillId="0" borderId="0" applyFill="0" applyBorder="0" applyAlignment="0" applyProtection="0">
      <alignment vertical="center"/>
    </xf>
    <xf numFmtId="41" fontId="64" fillId="0" borderId="0" applyFill="0" applyBorder="0" applyAlignment="0" applyProtection="0">
      <alignment vertical="center"/>
    </xf>
    <xf numFmtId="41" fontId="40" fillId="0" borderId="0" applyFont="0" applyFill="0" applyBorder="0" applyAlignment="0" applyProtection="0"/>
    <xf numFmtId="41" fontId="95" fillId="0" borderId="0" applyFont="0" applyFill="0" applyBorder="0" applyAlignment="0" applyProtection="0">
      <alignment vertical="center"/>
    </xf>
    <xf numFmtId="187" fontId="61" fillId="0" borderId="0" applyFont="0" applyFill="0" applyBorder="0" applyAlignment="0" applyProtection="0"/>
    <xf numFmtId="187" fontId="61" fillId="0" borderId="0" applyFont="0" applyFill="0" applyBorder="0" applyAlignment="0" applyProtection="0"/>
    <xf numFmtId="187" fontId="95" fillId="0" borderId="0" applyFont="0" applyFill="0" applyBorder="0" applyAlignment="0" applyProtection="0">
      <alignment vertical="center"/>
    </xf>
    <xf numFmtId="187" fontId="95" fillId="0" borderId="0" applyFont="0" applyFill="0" applyBorder="0" applyAlignment="0" applyProtection="0">
      <alignment vertical="center"/>
    </xf>
    <xf numFmtId="170" fontId="61" fillId="0" borderId="0" applyFont="0" applyFill="0" applyBorder="0" applyAlignment="0" applyProtection="0"/>
    <xf numFmtId="168" fontId="61" fillId="0" borderId="0" applyFont="0" applyFill="0" applyBorder="0" applyAlignment="0" applyProtection="0"/>
    <xf numFmtId="168" fontId="95" fillId="0" borderId="0" applyFont="0" applyFill="0" applyBorder="0" applyAlignment="0" applyProtection="0">
      <alignment vertical="center"/>
    </xf>
    <xf numFmtId="188" fontId="61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70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188" fontId="61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/>
    <xf numFmtId="188" fontId="61" fillId="0" borderId="0" applyFont="0" applyFill="0" applyBorder="0" applyAlignment="0" applyProtection="0"/>
    <xf numFmtId="41" fontId="1" fillId="0" borderId="0" applyFont="0" applyFill="0" applyBorder="0" applyAlignment="0" applyProtection="0"/>
    <xf numFmtId="188" fontId="61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ill="0" applyBorder="0" applyAlignment="0" applyProtection="0"/>
    <xf numFmtId="41" fontId="40" fillId="0" borderId="0" applyFont="0" applyFill="0" applyBorder="0" applyAlignment="0" applyProtection="0"/>
    <xf numFmtId="41" fontId="95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186" fontId="40" fillId="0" borderId="0" applyFill="0" applyBorder="0" applyAlignment="0" applyProtection="0"/>
    <xf numFmtId="41" fontId="95" fillId="0" borderId="0" applyFont="0" applyFill="0" applyBorder="0" applyAlignment="0" applyProtection="0">
      <alignment vertical="center"/>
    </xf>
    <xf numFmtId="186" fontId="40" fillId="0" borderId="0" applyFill="0" applyBorder="0" applyAlignment="0" applyProtection="0"/>
    <xf numFmtId="186" fontId="64" fillId="0" borderId="0" applyFill="0" applyBorder="0" applyAlignment="0" applyProtection="0">
      <alignment vertical="center"/>
    </xf>
    <xf numFmtId="186" fontId="40" fillId="0" borderId="0" applyFill="0" applyBorder="0" applyAlignment="0" applyProtection="0"/>
    <xf numFmtId="186" fontId="64" fillId="0" borderId="0" applyFill="0" applyBorder="0" applyAlignment="0" applyProtection="0">
      <alignment vertical="center"/>
    </xf>
    <xf numFmtId="186" fontId="40" fillId="0" borderId="0" applyFill="0" applyBorder="0" applyAlignment="0" applyProtection="0"/>
    <xf numFmtId="186" fontId="64" fillId="0" borderId="0" applyFill="0" applyBorder="0" applyAlignment="0" applyProtection="0">
      <alignment vertical="center"/>
    </xf>
    <xf numFmtId="186" fontId="40" fillId="0" borderId="0" applyFill="0" applyBorder="0" applyAlignment="0" applyProtection="0"/>
    <xf numFmtId="186" fontId="64" fillId="0" borderId="0" applyFill="0" applyBorder="0" applyAlignment="0" applyProtection="0">
      <alignment vertical="center"/>
    </xf>
    <xf numFmtId="186" fontId="40" fillId="0" borderId="0" applyFill="0" applyBorder="0" applyAlignment="0" applyProtection="0"/>
    <xf numFmtId="186" fontId="64" fillId="0" borderId="0" applyFill="0" applyBorder="0" applyAlignment="0" applyProtection="0">
      <alignment vertical="center"/>
    </xf>
    <xf numFmtId="186" fontId="40" fillId="0" borderId="0" applyFill="0" applyBorder="0" applyAlignment="0" applyProtection="0"/>
    <xf numFmtId="186" fontId="64" fillId="0" borderId="0" applyFill="0" applyBorder="0" applyAlignment="0" applyProtection="0">
      <alignment vertical="center"/>
    </xf>
    <xf numFmtId="186" fontId="40" fillId="0" borderId="0" applyFill="0" applyBorder="0" applyAlignment="0" applyProtection="0"/>
    <xf numFmtId="186" fontId="64" fillId="0" borderId="0" applyFill="0" applyBorder="0" applyAlignment="0" applyProtection="0">
      <alignment vertical="center"/>
    </xf>
    <xf numFmtId="188" fontId="61" fillId="0" borderId="0" applyFont="0" applyFill="0" applyBorder="0" applyAlignment="0" applyProtection="0"/>
    <xf numFmtId="41" fontId="40" fillId="0" borderId="0" applyFill="0" applyBorder="0" applyAlignment="0" applyProtection="0"/>
    <xf numFmtId="41" fontId="95" fillId="0" borderId="0" applyFont="0" applyFill="0" applyBorder="0" applyAlignment="0" applyProtection="0">
      <alignment vertical="center"/>
    </xf>
    <xf numFmtId="41" fontId="40" fillId="0" borderId="0" applyFill="0" applyBorder="0" applyAlignment="0" applyProtection="0"/>
    <xf numFmtId="41" fontId="40" fillId="0" borderId="0" applyFill="0" applyBorder="0" applyAlignment="0" applyProtection="0"/>
    <xf numFmtId="41" fontId="40" fillId="0" borderId="0" applyFill="0" applyBorder="0" applyAlignment="0" applyProtection="0"/>
    <xf numFmtId="41" fontId="40" fillId="0" borderId="0" applyFill="0" applyBorder="0" applyAlignment="0" applyProtection="0"/>
    <xf numFmtId="41" fontId="40" fillId="0" borderId="0" applyFill="0" applyBorder="0" applyAlignment="0" applyProtection="0"/>
    <xf numFmtId="41" fontId="40" fillId="0" borderId="0" applyFill="0" applyBorder="0" applyAlignment="0" applyProtection="0"/>
    <xf numFmtId="41" fontId="40" fillId="0" borderId="0" applyFill="0" applyBorder="0" applyAlignment="0" applyProtection="0"/>
    <xf numFmtId="41" fontId="40" fillId="0" borderId="0" applyFill="0" applyBorder="0" applyAlignment="0" applyProtection="0"/>
    <xf numFmtId="41" fontId="40" fillId="0" borderId="0" applyFill="0" applyBorder="0" applyAlignment="0" applyProtection="0"/>
    <xf numFmtId="172" fontId="96" fillId="0" borderId="0" applyFill="0" applyBorder="0" applyAlignment="0" applyProtection="0"/>
    <xf numFmtId="186" fontId="40" fillId="0" borderId="0" applyFill="0" applyBorder="0" applyAlignment="0" applyProtection="0"/>
    <xf numFmtId="186" fontId="64" fillId="0" borderId="0" applyFill="0" applyBorder="0" applyAlignment="0" applyProtection="0">
      <alignment vertical="center"/>
    </xf>
    <xf numFmtId="41" fontId="40" fillId="0" borderId="0" applyFill="0" applyBorder="0" applyAlignment="0" applyProtection="0"/>
    <xf numFmtId="172" fontId="96" fillId="0" borderId="0" applyFill="0" applyBorder="0" applyAlignment="0" applyProtection="0"/>
    <xf numFmtId="172" fontId="96" fillId="0" borderId="0" applyFill="0" applyBorder="0" applyAlignment="0" applyProtection="0">
      <alignment vertical="center"/>
    </xf>
    <xf numFmtId="172" fontId="96" fillId="0" borderId="0" applyFill="0" applyBorder="0" applyAlignment="0" applyProtection="0"/>
    <xf numFmtId="172" fontId="96" fillId="0" borderId="0" applyFill="0" applyBorder="0" applyAlignment="0" applyProtection="0"/>
    <xf numFmtId="172" fontId="96" fillId="0" borderId="0" applyFill="0" applyBorder="0" applyAlignment="0" applyProtection="0"/>
    <xf numFmtId="41" fontId="40" fillId="0" borderId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172" fontId="96" fillId="0" borderId="0" applyFill="0" applyBorder="0" applyAlignment="0" applyProtection="0"/>
    <xf numFmtId="186" fontId="40" fillId="0" borderId="0" applyFill="0" applyBorder="0" applyAlignment="0" applyProtection="0"/>
    <xf numFmtId="186" fontId="64" fillId="0" borderId="0" applyFill="0" applyBorder="0" applyAlignment="0" applyProtection="0">
      <alignment vertical="center"/>
    </xf>
    <xf numFmtId="41" fontId="40" fillId="0" borderId="0" applyFill="0" applyBorder="0" applyAlignment="0" applyProtection="0"/>
    <xf numFmtId="172" fontId="96" fillId="0" borderId="0" applyFill="0" applyBorder="0" applyAlignment="0" applyProtection="0"/>
    <xf numFmtId="172" fontId="96" fillId="0" borderId="0" applyFill="0" applyBorder="0" applyAlignment="0" applyProtection="0">
      <alignment vertical="center"/>
    </xf>
    <xf numFmtId="172" fontId="96" fillId="0" borderId="0" applyFill="0" applyBorder="0" applyAlignment="0" applyProtection="0"/>
    <xf numFmtId="172" fontId="96" fillId="0" borderId="0" applyFill="0" applyBorder="0" applyAlignment="0" applyProtection="0"/>
    <xf numFmtId="172" fontId="96" fillId="0" borderId="0" applyFill="0" applyBorder="0" applyAlignment="0" applyProtection="0"/>
    <xf numFmtId="172" fontId="96" fillId="0" borderId="0" applyFill="0" applyBorder="0" applyAlignment="0" applyProtection="0"/>
    <xf numFmtId="186" fontId="40" fillId="0" borderId="0" applyFill="0" applyBorder="0" applyAlignment="0" applyProtection="0"/>
    <xf numFmtId="186" fontId="64" fillId="0" borderId="0" applyFill="0" applyBorder="0" applyAlignment="0" applyProtection="0">
      <alignment vertical="center"/>
    </xf>
    <xf numFmtId="41" fontId="40" fillId="0" borderId="0" applyFill="0" applyBorder="0" applyAlignment="0" applyProtection="0"/>
    <xf numFmtId="172" fontId="96" fillId="0" borderId="0" applyFill="0" applyBorder="0" applyAlignment="0" applyProtection="0"/>
    <xf numFmtId="172" fontId="96" fillId="0" borderId="0" applyFill="0" applyBorder="0" applyAlignment="0" applyProtection="0">
      <alignment vertical="center"/>
    </xf>
    <xf numFmtId="172" fontId="96" fillId="0" borderId="0" applyFill="0" applyBorder="0" applyAlignment="0" applyProtection="0"/>
    <xf numFmtId="172" fontId="96" fillId="0" borderId="0" applyFill="0" applyBorder="0" applyAlignment="0" applyProtection="0"/>
    <xf numFmtId="172" fontId="96" fillId="0" borderId="0" applyFill="0" applyBorder="0" applyAlignment="0" applyProtection="0"/>
    <xf numFmtId="172" fontId="96" fillId="0" borderId="0" applyFill="0" applyBorder="0" applyAlignment="0" applyProtection="0"/>
    <xf numFmtId="186" fontId="40" fillId="0" borderId="0" applyFill="0" applyBorder="0" applyAlignment="0" applyProtection="0"/>
    <xf numFmtId="186" fontId="64" fillId="0" borderId="0" applyFill="0" applyBorder="0" applyAlignment="0" applyProtection="0">
      <alignment vertical="center"/>
    </xf>
    <xf numFmtId="41" fontId="40" fillId="0" borderId="0" applyFill="0" applyBorder="0" applyAlignment="0" applyProtection="0"/>
    <xf numFmtId="172" fontId="96" fillId="0" borderId="0" applyFill="0" applyBorder="0" applyAlignment="0" applyProtection="0"/>
    <xf numFmtId="172" fontId="96" fillId="0" borderId="0" applyFill="0" applyBorder="0" applyAlignment="0" applyProtection="0">
      <alignment vertical="center"/>
    </xf>
    <xf numFmtId="172" fontId="96" fillId="0" borderId="0" applyFill="0" applyBorder="0" applyAlignment="0" applyProtection="0"/>
    <xf numFmtId="172" fontId="96" fillId="0" borderId="0" applyFill="0" applyBorder="0" applyAlignment="0" applyProtection="0"/>
    <xf numFmtId="172" fontId="96" fillId="0" borderId="0" applyFill="0" applyBorder="0" applyAlignment="0" applyProtection="0"/>
    <xf numFmtId="172" fontId="96" fillId="0" borderId="0" applyFill="0" applyBorder="0" applyAlignment="0" applyProtection="0"/>
    <xf numFmtId="186" fontId="40" fillId="0" borderId="0" applyFill="0" applyBorder="0" applyAlignment="0" applyProtection="0"/>
    <xf numFmtId="186" fontId="64" fillId="0" borderId="0" applyFill="0" applyBorder="0" applyAlignment="0" applyProtection="0">
      <alignment vertical="center"/>
    </xf>
    <xf numFmtId="41" fontId="40" fillId="0" borderId="0" applyFill="0" applyBorder="0" applyAlignment="0" applyProtection="0"/>
    <xf numFmtId="172" fontId="96" fillId="0" borderId="0" applyFill="0" applyBorder="0" applyAlignment="0" applyProtection="0"/>
    <xf numFmtId="172" fontId="96" fillId="0" borderId="0" applyFill="0" applyBorder="0" applyAlignment="0" applyProtection="0">
      <alignment vertical="center"/>
    </xf>
    <xf numFmtId="172" fontId="96" fillId="0" borderId="0" applyFill="0" applyBorder="0" applyAlignment="0" applyProtection="0"/>
    <xf numFmtId="172" fontId="96" fillId="0" borderId="0" applyFill="0" applyBorder="0" applyAlignment="0" applyProtection="0"/>
    <xf numFmtId="172" fontId="96" fillId="0" borderId="0" applyFill="0" applyBorder="0" applyAlignment="0" applyProtection="0"/>
    <xf numFmtId="41" fontId="94" fillId="0" borderId="0" applyFont="0" applyFill="0" applyBorder="0" applyAlignment="0" applyProtection="0"/>
    <xf numFmtId="186" fontId="40" fillId="0" borderId="0" applyFill="0" applyBorder="0" applyAlignment="0" applyProtection="0"/>
    <xf numFmtId="186" fontId="64" fillId="0" borderId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40" fillId="0" borderId="0" applyFill="0" applyBorder="0" applyAlignment="0" applyProtection="0"/>
    <xf numFmtId="41" fontId="27" fillId="0" borderId="0" applyFont="0" applyFill="0" applyBorder="0" applyAlignment="0" applyProtection="0"/>
    <xf numFmtId="41" fontId="95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94" fillId="0" borderId="0" applyFont="0" applyFill="0" applyBorder="0" applyAlignment="0" applyProtection="0"/>
    <xf numFmtId="186" fontId="40" fillId="0" borderId="0" applyFill="0" applyBorder="0" applyAlignment="0" applyProtection="0"/>
    <xf numFmtId="186" fontId="64" fillId="0" borderId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40" fillId="0" borderId="0" applyFill="0" applyBorder="0" applyAlignment="0" applyProtection="0"/>
    <xf numFmtId="41" fontId="27" fillId="0" borderId="0" applyFont="0" applyFill="0" applyBorder="0" applyAlignment="0" applyProtection="0"/>
    <xf numFmtId="41" fontId="95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40" fillId="0" borderId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95" fillId="0" borderId="0" applyFont="0" applyFill="0" applyBorder="0" applyAlignment="0" applyProtection="0">
      <alignment vertical="center"/>
    </xf>
    <xf numFmtId="186" fontId="40" fillId="0" borderId="0" applyFill="0" applyBorder="0" applyAlignment="0" applyProtection="0"/>
    <xf numFmtId="186" fontId="64" fillId="0" borderId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95" fillId="0" borderId="0" applyFont="0" applyFill="0" applyBorder="0" applyAlignment="0" applyProtection="0">
      <alignment vertical="center"/>
    </xf>
    <xf numFmtId="186" fontId="40" fillId="0" borderId="0" applyFill="0" applyBorder="0" applyAlignment="0" applyProtection="0"/>
    <xf numFmtId="41" fontId="40" fillId="0" borderId="0" applyFont="0" applyFill="0" applyBorder="0" applyAlignment="0" applyProtection="0"/>
    <xf numFmtId="41" fontId="95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189" fontId="96" fillId="0" borderId="0" applyFill="0" applyBorder="0" applyAlignment="0" applyProtection="0"/>
    <xf numFmtId="189" fontId="96" fillId="0" borderId="0" applyFill="0" applyBorder="0" applyAlignment="0" applyProtection="0"/>
    <xf numFmtId="189" fontId="96" fillId="0" borderId="0" applyFill="0" applyBorder="0" applyAlignment="0" applyProtection="0">
      <alignment vertical="center"/>
    </xf>
    <xf numFmtId="170" fontId="61" fillId="0" borderId="0" applyFont="0" applyFill="0" applyBorder="0" applyAlignment="0" applyProtection="0"/>
    <xf numFmtId="189" fontId="96" fillId="0" borderId="0" applyFill="0" applyBorder="0" applyAlignment="0" applyProtection="0"/>
    <xf numFmtId="189" fontId="96" fillId="0" borderId="0" applyFill="0" applyBorder="0" applyAlignment="0" applyProtection="0">
      <alignment vertical="center"/>
    </xf>
    <xf numFmtId="189" fontId="96" fillId="0" borderId="0" applyFill="0" applyBorder="0" applyAlignment="0" applyProtection="0"/>
    <xf numFmtId="189" fontId="96" fillId="0" borderId="0" applyFill="0" applyBorder="0" applyAlignment="0" applyProtection="0"/>
    <xf numFmtId="189" fontId="96" fillId="0" borderId="0" applyFill="0" applyBorder="0" applyAlignment="0" applyProtection="0"/>
    <xf numFmtId="189" fontId="96" fillId="0" borderId="0" applyFill="0" applyBorder="0" applyAlignment="0" applyProtection="0"/>
    <xf numFmtId="189" fontId="96" fillId="0" borderId="0" applyFill="0" applyBorder="0" applyAlignment="0" applyProtection="0">
      <alignment vertical="center"/>
    </xf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/>
    <xf numFmtId="41" fontId="95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70" fillId="0" borderId="0" applyFont="0" applyFill="0" applyBorder="0" applyAlignment="0" applyProtection="0"/>
    <xf numFmtId="41" fontId="95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168" fontId="96" fillId="0" borderId="0" applyFill="0" applyBorder="0" applyAlignment="0" applyProtection="0"/>
    <xf numFmtId="190" fontId="40" fillId="0" borderId="0" applyFill="0" applyBorder="0" applyAlignment="0" applyProtection="0"/>
    <xf numFmtId="41" fontId="95" fillId="0" borderId="0" applyFont="0" applyFill="0" applyBorder="0" applyAlignment="0" applyProtection="0">
      <alignment vertical="center"/>
    </xf>
    <xf numFmtId="186" fontId="40" fillId="0" borderId="0" applyFill="0" applyBorder="0" applyAlignment="0" applyProtection="0"/>
    <xf numFmtId="186" fontId="64" fillId="0" borderId="0" applyFill="0" applyBorder="0" applyAlignment="0" applyProtection="0">
      <alignment vertical="center"/>
    </xf>
    <xf numFmtId="168" fontId="96" fillId="0" borderId="0" applyFill="0" applyBorder="0" applyAlignment="0" applyProtection="0"/>
    <xf numFmtId="168" fontId="96" fillId="0" borderId="0" applyFill="0" applyBorder="0" applyAlignment="0" applyProtection="0">
      <alignment vertical="center"/>
    </xf>
    <xf numFmtId="41" fontId="40" fillId="0" borderId="0" applyFont="0" applyFill="0" applyBorder="0" applyAlignment="0" applyProtection="0"/>
    <xf numFmtId="171" fontId="61" fillId="0" borderId="0" applyFont="0" applyFill="0" applyBorder="0" applyAlignment="0" applyProtection="0"/>
    <xf numFmtId="168" fontId="96" fillId="0" borderId="0" applyFill="0" applyBorder="0" applyAlignment="0" applyProtection="0">
      <alignment vertical="center"/>
    </xf>
    <xf numFmtId="171" fontId="61" fillId="0" borderId="0" applyFont="0" applyFill="0" applyBorder="0" applyAlignment="0" applyProtection="0"/>
    <xf numFmtId="164" fontId="61" fillId="0" borderId="0" applyFont="0" applyFill="0" applyBorder="0" applyAlignment="0" applyProtection="0"/>
    <xf numFmtId="171" fontId="61" fillId="0" borderId="0" applyFont="0" applyFill="0" applyBorder="0" applyAlignment="0" applyProtection="0"/>
    <xf numFmtId="170" fontId="61" fillId="0" borderId="0" applyFont="0" applyFill="0" applyBorder="0" applyAlignment="0" applyProtection="0"/>
    <xf numFmtId="170" fontId="61" fillId="0" borderId="0" applyFont="0" applyFill="0" applyBorder="0" applyAlignment="0" applyProtection="0"/>
    <xf numFmtId="168" fontId="96" fillId="0" borderId="0" applyFill="0" applyBorder="0" applyAlignment="0" applyProtection="0"/>
    <xf numFmtId="41" fontId="27" fillId="0" borderId="0" applyFont="0" applyFill="0" applyBorder="0" applyAlignment="0" applyProtection="0"/>
    <xf numFmtId="186" fontId="96" fillId="0" borderId="0" applyFill="0" applyBorder="0" applyAlignment="0" applyProtection="0"/>
    <xf numFmtId="0" fontId="96" fillId="0" borderId="0" applyFill="0" applyBorder="0" applyAlignment="0" applyProtection="0"/>
    <xf numFmtId="0" fontId="96" fillId="0" borderId="0" applyFill="0" applyBorder="0" applyAlignment="0" applyProtection="0"/>
    <xf numFmtId="186" fontId="40" fillId="0" borderId="0" applyFill="0" applyBorder="0" applyAlignment="0" applyProtection="0"/>
    <xf numFmtId="0" fontId="96" fillId="0" borderId="0" applyFill="0" applyBorder="0" applyAlignment="0" applyProtection="0"/>
    <xf numFmtId="0" fontId="96" fillId="0" borderId="0" applyFill="0" applyBorder="0" applyAlignment="0" applyProtection="0">
      <alignment vertical="center"/>
    </xf>
    <xf numFmtId="0" fontId="96" fillId="0" borderId="0" applyFill="0" applyBorder="0" applyAlignment="0" applyProtection="0"/>
    <xf numFmtId="0" fontId="96" fillId="0" borderId="0" applyFill="0" applyBorder="0" applyAlignment="0" applyProtection="0"/>
    <xf numFmtId="0" fontId="96" fillId="0" borderId="0" applyFill="0" applyBorder="0" applyAlignment="0" applyProtection="0"/>
    <xf numFmtId="0" fontId="96" fillId="0" borderId="0" applyFill="0" applyBorder="0" applyAlignment="0" applyProtection="0"/>
    <xf numFmtId="0" fontId="96" fillId="0" borderId="0" applyFill="0" applyBorder="0" applyAlignment="0" applyProtection="0">
      <alignment vertical="center"/>
    </xf>
    <xf numFmtId="41" fontId="40" fillId="0" borderId="0" applyFont="0" applyFill="0" applyBorder="0" applyAlignment="0" applyProtection="0"/>
    <xf numFmtId="0" fontId="96" fillId="0" borderId="0" applyFill="0" applyBorder="0" applyAlignment="0" applyProtection="0"/>
    <xf numFmtId="0" fontId="96" fillId="0" borderId="0" applyFill="0" applyBorder="0" applyAlignment="0" applyProtection="0">
      <alignment vertical="center"/>
    </xf>
    <xf numFmtId="0" fontId="96" fillId="0" borderId="0" applyFill="0" applyBorder="0" applyAlignment="0" applyProtection="0"/>
    <xf numFmtId="0" fontId="96" fillId="0" borderId="0" applyFill="0" applyBorder="0" applyAlignment="0" applyProtection="0"/>
    <xf numFmtId="0" fontId="96" fillId="0" borderId="0" applyFill="0" applyBorder="0" applyAlignment="0" applyProtection="0"/>
    <xf numFmtId="191" fontId="96" fillId="0" borderId="0" applyFill="0" applyBorder="0" applyAlignment="0" applyProtection="0"/>
    <xf numFmtId="186" fontId="96" fillId="0" borderId="0" applyFill="0" applyBorder="0" applyAlignment="0" applyProtection="0"/>
    <xf numFmtId="191" fontId="96" fillId="0" borderId="0" applyFill="0" applyBorder="0" applyAlignment="0" applyProtection="0"/>
    <xf numFmtId="191" fontId="96" fillId="0" borderId="0" applyFill="0" applyBorder="0" applyAlignment="0" applyProtection="0">
      <alignment vertical="center"/>
    </xf>
    <xf numFmtId="191" fontId="96" fillId="0" borderId="0" applyFill="0" applyBorder="0" applyAlignment="0" applyProtection="0"/>
    <xf numFmtId="191" fontId="96" fillId="0" borderId="0" applyFill="0" applyBorder="0" applyAlignment="0" applyProtection="0"/>
    <xf numFmtId="191" fontId="96" fillId="0" borderId="0" applyFill="0" applyBorder="0" applyAlignment="0" applyProtection="0"/>
    <xf numFmtId="192" fontId="96" fillId="0" borderId="0" applyFill="0" applyBorder="0" applyAlignment="0" applyProtection="0"/>
    <xf numFmtId="192" fontId="96" fillId="0" borderId="0" applyFill="0" applyBorder="0" applyAlignment="0" applyProtection="0">
      <alignment vertical="center"/>
    </xf>
    <xf numFmtId="164" fontId="96" fillId="0" borderId="0" applyFill="0" applyBorder="0" applyAlignment="0" applyProtection="0"/>
    <xf numFmtId="186" fontId="40" fillId="0" borderId="0" applyFill="0" applyBorder="0" applyAlignment="0" applyProtection="0"/>
    <xf numFmtId="41" fontId="95" fillId="0" borderId="0" applyFont="0" applyFill="0" applyBorder="0" applyAlignment="0" applyProtection="0">
      <alignment vertical="center"/>
    </xf>
    <xf numFmtId="164" fontId="96" fillId="0" borderId="0" applyFill="0" applyBorder="0" applyAlignment="0" applyProtection="0"/>
    <xf numFmtId="186" fontId="96" fillId="0" borderId="0" applyFill="0" applyBorder="0" applyAlignment="0" applyProtection="0">
      <alignment vertical="center"/>
    </xf>
    <xf numFmtId="186" fontId="96" fillId="0" borderId="0" applyFill="0" applyBorder="0" applyAlignment="0" applyProtection="0"/>
    <xf numFmtId="186" fontId="96" fillId="0" borderId="0" applyFill="0" applyBorder="0" applyAlignment="0" applyProtection="0"/>
    <xf numFmtId="168" fontId="96" fillId="0" borderId="0" applyFill="0" applyBorder="0" applyAlignment="0" applyProtection="0"/>
    <xf numFmtId="193" fontId="96" fillId="0" borderId="0" applyFill="0" applyBorder="0" applyAlignment="0" applyProtection="0"/>
    <xf numFmtId="194" fontId="96" fillId="0" borderId="0" applyFill="0" applyBorder="0" applyAlignment="0" applyProtection="0"/>
    <xf numFmtId="194" fontId="96" fillId="0" borderId="0" applyFill="0" applyBorder="0" applyAlignment="0" applyProtection="0">
      <alignment vertical="center"/>
    </xf>
    <xf numFmtId="194" fontId="96" fillId="0" borderId="0" applyFill="0" applyBorder="0" applyAlignment="0" applyProtection="0"/>
    <xf numFmtId="194" fontId="96" fillId="0" borderId="0" applyFill="0" applyBorder="0" applyAlignment="0" applyProtection="0">
      <alignment vertical="center"/>
    </xf>
    <xf numFmtId="195" fontId="96" fillId="0" borderId="0" applyFill="0" applyBorder="0" applyAlignment="0" applyProtection="0"/>
    <xf numFmtId="195" fontId="96" fillId="0" borderId="0" applyFill="0" applyBorder="0" applyAlignment="0" applyProtection="0">
      <alignment vertical="center"/>
    </xf>
    <xf numFmtId="193" fontId="96" fillId="0" borderId="0" applyFill="0" applyBorder="0" applyAlignment="0" applyProtection="0"/>
    <xf numFmtId="193" fontId="96" fillId="0" borderId="0" applyFill="0" applyBorder="0" applyAlignment="0" applyProtection="0">
      <alignment vertical="center"/>
    </xf>
    <xf numFmtId="193" fontId="96" fillId="0" borderId="0" applyFill="0" applyBorder="0" applyAlignment="0" applyProtection="0">
      <alignment vertical="center"/>
    </xf>
    <xf numFmtId="194" fontId="96" fillId="0" borderId="0" applyFill="0" applyBorder="0" applyAlignment="0" applyProtection="0"/>
    <xf numFmtId="41" fontId="27" fillId="0" borderId="0" applyFont="0" applyFill="0" applyBorder="0" applyAlignment="0" applyProtection="0"/>
    <xf numFmtId="41" fontId="95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95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95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194" fontId="96" fillId="0" borderId="0" applyFill="0" applyBorder="0" applyAlignment="0" applyProtection="0">
      <alignment vertical="center"/>
    </xf>
    <xf numFmtId="194" fontId="96" fillId="0" borderId="0" applyFill="0" applyBorder="0" applyAlignment="0" applyProtection="0"/>
    <xf numFmtId="194" fontId="96" fillId="0" borderId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168" fontId="96" fillId="0" borderId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94" fillId="0" borderId="0" applyFont="0" applyFill="0" applyBorder="0" applyAlignment="0" applyProtection="0"/>
    <xf numFmtId="41" fontId="95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70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/>
    <xf numFmtId="185" fontId="67" fillId="0" borderId="0" applyFont="0" applyFill="0" applyBorder="0" applyAlignment="0" applyProtection="0"/>
    <xf numFmtId="185" fontId="95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43" fontId="95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43" fontId="95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43" fontId="95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43" fontId="95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43" fontId="95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43" fontId="95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43" fontId="95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43" fontId="95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43" fontId="95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43" fontId="95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43" fontId="95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43" fontId="95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43" fontId="95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43" fontId="95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43" fontId="95" fillId="0" borderId="0" applyFont="0" applyFill="0" applyBorder="0" applyAlignment="0" applyProtection="0">
      <alignment vertical="center"/>
    </xf>
    <xf numFmtId="43" fontId="40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43" fontId="95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43" fontId="95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43" fontId="95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43" fontId="95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43" fontId="95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43" fontId="95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43" fontId="40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43" fontId="40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43" fontId="95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43" fontId="95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43" fontId="95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43" fontId="95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43" fontId="95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43" fontId="95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43" fontId="95" fillId="0" borderId="0" applyFont="0" applyFill="0" applyBorder="0" applyAlignment="0" applyProtection="0">
      <alignment vertical="center"/>
    </xf>
    <xf numFmtId="43" fontId="40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43" fontId="95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43" fontId="95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43" fontId="95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43" fontId="95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43" fontId="95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43" fontId="95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43" fontId="40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43" fontId="40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43" fontId="95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43" fontId="95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43" fontId="95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43" fontId="95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43" fontId="95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43" fontId="95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43" fontId="95" fillId="0" borderId="0" applyFont="0" applyFill="0" applyBorder="0" applyAlignment="0" applyProtection="0">
      <alignment vertical="center"/>
    </xf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43" fontId="40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ill="0" applyBorder="0" applyAlignment="0" applyProtection="0"/>
    <xf numFmtId="43" fontId="40" fillId="0" borderId="0" applyFill="0" applyBorder="0" applyAlignment="0" applyProtection="0"/>
    <xf numFmtId="43" fontId="64" fillId="0" borderId="0" applyFill="0" applyBorder="0" applyAlignment="0" applyProtection="0">
      <alignment vertical="center"/>
    </xf>
    <xf numFmtId="43" fontId="40" fillId="0" borderId="0" applyFill="0" applyBorder="0" applyAlignment="0" applyProtection="0"/>
    <xf numFmtId="43" fontId="64" fillId="0" borderId="0" applyFill="0" applyBorder="0" applyAlignment="0" applyProtection="0">
      <alignment vertical="center"/>
    </xf>
    <xf numFmtId="43" fontId="61" fillId="0" borderId="0" applyFont="0" applyFill="0" applyBorder="0" applyAlignment="0" applyProtection="0"/>
    <xf numFmtId="43" fontId="40" fillId="0" borderId="0" applyFill="0" applyBorder="0" applyAlignment="0" applyProtection="0"/>
    <xf numFmtId="43" fontId="64" fillId="0" borderId="0" applyFill="0" applyBorder="0" applyAlignment="0" applyProtection="0">
      <alignment vertical="center"/>
    </xf>
    <xf numFmtId="43" fontId="40" fillId="0" borderId="0" applyFill="0" applyBorder="0" applyAlignment="0" applyProtection="0"/>
    <xf numFmtId="43" fontId="40" fillId="0" borderId="0" applyFill="0" applyBorder="0" applyAlignment="0" applyProtection="0"/>
    <xf numFmtId="43" fontId="40" fillId="0" borderId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43" fontId="40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43" fontId="40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6" fontId="61" fillId="0" borderId="0" applyFont="0" applyFill="0" applyBorder="0" applyAlignment="0" applyProtection="0"/>
    <xf numFmtId="196" fontId="61" fillId="0" borderId="0" applyFont="0" applyFill="0" applyBorder="0" applyAlignment="0" applyProtection="0"/>
    <xf numFmtId="196" fontId="61" fillId="0" borderId="0" applyFont="0" applyFill="0" applyBorder="0" applyAlignment="0" applyProtection="0"/>
    <xf numFmtId="171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43" fontId="40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5" fontId="40" fillId="0" borderId="0" applyFill="0" applyBorder="0" applyAlignment="0" applyProtection="0"/>
    <xf numFmtId="43" fontId="40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43" fontId="40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7" fontId="40" fillId="0" borderId="0" applyFill="0" applyBorder="0" applyAlignment="0" applyProtection="0"/>
    <xf numFmtId="43" fontId="40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8" fontId="6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95" fontId="96" fillId="0" borderId="0" applyFill="0" applyBorder="0" applyAlignment="0" applyProtection="0"/>
    <xf numFmtId="195" fontId="96" fillId="0" borderId="0" applyFill="0" applyBorder="0" applyAlignment="0" applyProtection="0"/>
    <xf numFmtId="195" fontId="96" fillId="0" borderId="0" applyFill="0" applyBorder="0" applyAlignment="0" applyProtection="0"/>
    <xf numFmtId="195" fontId="96" fillId="0" borderId="0" applyFill="0" applyBorder="0" applyAlignment="0" applyProtection="0"/>
    <xf numFmtId="195" fontId="96" fillId="0" borderId="0" applyFill="0" applyBorder="0" applyAlignment="0" applyProtection="0"/>
    <xf numFmtId="195" fontId="96" fillId="0" borderId="0" applyFill="0" applyBorder="0" applyAlignment="0" applyProtection="0"/>
    <xf numFmtId="195" fontId="96" fillId="0" borderId="0" applyFill="0" applyBorder="0" applyAlignment="0" applyProtection="0"/>
    <xf numFmtId="195" fontId="96" fillId="0" borderId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195" fontId="96" fillId="0" borderId="0" applyFill="0" applyBorder="0" applyAlignment="0" applyProtection="0"/>
    <xf numFmtId="195" fontId="40" fillId="0" borderId="0" applyFill="0" applyBorder="0" applyAlignment="0" applyProtection="0"/>
    <xf numFmtId="195" fontId="40" fillId="0" borderId="0" applyFill="0" applyBorder="0" applyAlignment="0" applyProtection="0"/>
    <xf numFmtId="195" fontId="40" fillId="0" borderId="0" applyFill="0" applyBorder="0" applyAlignment="0" applyProtection="0"/>
    <xf numFmtId="195" fontId="40" fillId="0" borderId="0" applyFill="0" applyBorder="0" applyAlignment="0" applyProtection="0"/>
    <xf numFmtId="195" fontId="40" fillId="0" borderId="0" applyFill="0" applyBorder="0" applyAlignment="0" applyProtection="0"/>
    <xf numFmtId="195" fontId="40" fillId="0" borderId="0" applyFill="0" applyBorder="0" applyAlignment="0" applyProtection="0"/>
    <xf numFmtId="195" fontId="40" fillId="0" borderId="0" applyFill="0" applyBorder="0" applyAlignment="0" applyProtection="0"/>
    <xf numFmtId="195" fontId="40" fillId="0" borderId="0" applyFill="0" applyBorder="0" applyAlignment="0" applyProtection="0"/>
    <xf numFmtId="195" fontId="96" fillId="0" borderId="0" applyFill="0" applyBorder="0" applyAlignment="0" applyProtection="0">
      <alignment vertical="center"/>
    </xf>
    <xf numFmtId="195" fontId="40" fillId="0" borderId="0" applyFill="0" applyBorder="0" applyAlignment="0" applyProtection="0"/>
    <xf numFmtId="43" fontId="1" fillId="0" borderId="0" applyFont="0" applyFill="0" applyBorder="0" applyAlignment="0" applyProtection="0"/>
    <xf numFmtId="195" fontId="96" fillId="0" borderId="0" applyFill="0" applyBorder="0" applyAlignment="0" applyProtection="0"/>
    <xf numFmtId="195" fontId="40" fillId="0" borderId="0" applyFill="0" applyBorder="0" applyAlignment="0" applyProtection="0"/>
    <xf numFmtId="195" fontId="40" fillId="0" borderId="0" applyFill="0" applyBorder="0" applyAlignment="0" applyProtection="0"/>
    <xf numFmtId="195" fontId="40" fillId="0" borderId="0" applyFill="0" applyBorder="0" applyAlignment="0" applyProtection="0"/>
    <xf numFmtId="195" fontId="40" fillId="0" borderId="0" applyFill="0" applyBorder="0" applyAlignment="0" applyProtection="0"/>
    <xf numFmtId="195" fontId="40" fillId="0" borderId="0" applyFill="0" applyBorder="0" applyAlignment="0" applyProtection="0"/>
    <xf numFmtId="195" fontId="40" fillId="0" borderId="0" applyFill="0" applyBorder="0" applyAlignment="0" applyProtection="0"/>
    <xf numFmtId="195" fontId="40" fillId="0" borderId="0" applyFill="0" applyBorder="0" applyAlignment="0" applyProtection="0"/>
    <xf numFmtId="195" fontId="96" fillId="0" borderId="0" applyFill="0" applyBorder="0" applyAlignment="0" applyProtection="0"/>
    <xf numFmtId="195" fontId="96" fillId="0" borderId="0" applyFill="0" applyBorder="0" applyAlignment="0" applyProtection="0"/>
    <xf numFmtId="195" fontId="96" fillId="0" borderId="0" applyFill="0" applyBorder="0" applyAlignment="0" applyProtection="0"/>
    <xf numFmtId="195" fontId="96" fillId="0" borderId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/>
    <xf numFmtId="176" fontId="61" fillId="0" borderId="0" applyFont="0" applyFill="0" applyBorder="0" applyAlignment="0" applyProtection="0"/>
    <xf numFmtId="176" fontId="95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41" fontId="61" fillId="0" borderId="0" applyFont="0" applyFill="0" applyBorder="0" applyAlignment="0" applyProtection="0"/>
    <xf numFmtId="176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43" fontId="40" fillId="0" borderId="0" applyFont="0" applyFill="0" applyBorder="0" applyAlignment="0" applyProtection="0"/>
    <xf numFmtId="195" fontId="96" fillId="0" borderId="0" applyFill="0" applyBorder="0" applyAlignment="0" applyProtection="0"/>
    <xf numFmtId="195" fontId="96" fillId="0" borderId="0" applyFill="0" applyBorder="0" applyAlignment="0" applyProtection="0">
      <alignment vertical="center"/>
    </xf>
    <xf numFmtId="195" fontId="96" fillId="0" borderId="0" applyFill="0" applyBorder="0" applyAlignment="0" applyProtection="0"/>
    <xf numFmtId="195" fontId="96" fillId="0" borderId="0" applyFill="0" applyBorder="0" applyAlignment="0" applyProtection="0"/>
    <xf numFmtId="195" fontId="96" fillId="0" borderId="0" applyFill="0" applyBorder="0" applyAlignment="0" applyProtection="0"/>
    <xf numFmtId="195" fontId="96" fillId="0" borderId="0" applyFill="0" applyBorder="0" applyAlignment="0" applyProtection="0"/>
    <xf numFmtId="170" fontId="61" fillId="0" borderId="0" applyFont="0" applyFill="0" applyBorder="0" applyAlignment="0" applyProtection="0"/>
    <xf numFmtId="171" fontId="6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99" fontId="61" fillId="0" borderId="0" applyFont="0" applyFill="0" applyBorder="0" applyAlignment="0" applyProtection="0"/>
    <xf numFmtId="43" fontId="27" fillId="0" borderId="0" applyFont="0" applyFill="0" applyBorder="0" applyAlignment="0" applyProtection="0"/>
    <xf numFmtId="195" fontId="96" fillId="0" borderId="0" applyFill="0" applyBorder="0" applyAlignment="0" applyProtection="0"/>
    <xf numFmtId="197" fontId="40" fillId="0" borderId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5" fontId="96" fillId="0" borderId="0" applyFill="0" applyBorder="0" applyAlignment="0" applyProtection="0"/>
    <xf numFmtId="195" fontId="96" fillId="0" borderId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96" fillId="0" borderId="0" applyFill="0" applyBorder="0" applyAlignment="0" applyProtection="0"/>
    <xf numFmtId="195" fontId="96" fillId="0" borderId="0" applyFill="0" applyBorder="0" applyAlignment="0" applyProtection="0">
      <alignment vertical="center"/>
    </xf>
    <xf numFmtId="195" fontId="96" fillId="0" borderId="0" applyFill="0" applyBorder="0" applyAlignment="0" applyProtection="0"/>
    <xf numFmtId="195" fontId="96" fillId="0" borderId="0" applyFill="0" applyBorder="0" applyAlignment="0" applyProtection="0"/>
    <xf numFmtId="195" fontId="96" fillId="0" borderId="0" applyFill="0" applyBorder="0" applyAlignment="0" applyProtection="0"/>
    <xf numFmtId="43" fontId="40" fillId="0" borderId="0" applyFont="0" applyFill="0" applyBorder="0" applyAlignment="0" applyProtection="0"/>
    <xf numFmtId="188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200" fontId="61" fillId="0" borderId="0" applyFont="0" applyFill="0" applyBorder="0" applyAlignment="0" applyProtection="0"/>
    <xf numFmtId="171" fontId="61" fillId="0" borderId="0" applyFont="0" applyFill="0" applyBorder="0" applyAlignment="0" applyProtection="0"/>
    <xf numFmtId="19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9" fontId="61" fillId="0" borderId="0" applyFont="0" applyFill="0" applyBorder="0" applyAlignment="0" applyProtection="0"/>
    <xf numFmtId="43" fontId="40" fillId="0" borderId="0" applyFont="0" applyFill="0" applyBorder="0" applyAlignment="0" applyProtection="0"/>
    <xf numFmtId="200" fontId="61" fillId="0" borderId="0" applyFont="0" applyFill="0" applyBorder="0" applyAlignment="0" applyProtection="0"/>
    <xf numFmtId="171" fontId="61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27" fillId="0" borderId="0" applyFont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70" fillId="0" borderId="0" applyFont="0" applyFill="0" applyBorder="0" applyAlignment="0" applyProtection="0">
      <alignment vertical="center"/>
    </xf>
    <xf numFmtId="43" fontId="95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43" fontId="94" fillId="0" borderId="0" applyFont="0" applyFill="0" applyBorder="0" applyAlignment="0" applyProtection="0"/>
    <xf numFmtId="43" fontId="27" fillId="0" borderId="0" applyFont="0" applyFill="0" applyBorder="0" applyAlignment="0" applyProtection="0"/>
    <xf numFmtId="195" fontId="40" fillId="0" borderId="0" applyFill="0" applyBorder="0" applyAlignment="0" applyProtection="0"/>
    <xf numFmtId="43" fontId="40" fillId="0" borderId="0" applyFill="0" applyBorder="0" applyAlignment="0" applyProtection="0"/>
    <xf numFmtId="198" fontId="61" fillId="0" borderId="0" applyFont="0" applyFill="0" applyBorder="0" applyAlignment="0" applyProtection="0"/>
    <xf numFmtId="198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0" fillId="0" borderId="0" applyFill="0" applyBorder="0" applyAlignment="0" applyProtection="0"/>
    <xf numFmtId="198" fontId="61" fillId="0" borderId="0" applyFont="0" applyFill="0" applyBorder="0" applyAlignment="0" applyProtection="0"/>
    <xf numFmtId="171" fontId="61" fillId="0" borderId="0" applyFont="0" applyFill="0" applyBorder="0" applyAlignment="0" applyProtection="0"/>
    <xf numFmtId="43" fontId="27" fillId="0" borderId="0" applyFont="0" applyFill="0" applyBorder="0" applyAlignment="0" applyProtection="0"/>
    <xf numFmtId="198" fontId="6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43" fontId="95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43" fontId="9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0" fillId="0" borderId="0" applyFill="0" applyBorder="0" applyAlignment="0" applyProtection="0"/>
    <xf numFmtId="197" fontId="63" fillId="0" borderId="0"/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197" fontId="63" fillId="0" borderId="0"/>
    <xf numFmtId="43" fontId="61" fillId="0" borderId="0" applyFont="0" applyFill="0" applyBorder="0" applyAlignment="0" applyProtection="0"/>
    <xf numFmtId="197" fontId="97" fillId="0" borderId="0">
      <alignment vertical="center"/>
    </xf>
    <xf numFmtId="180" fontId="63" fillId="0" borderId="0"/>
    <xf numFmtId="197" fontId="97" fillId="0" borderId="0">
      <alignment vertical="center"/>
    </xf>
    <xf numFmtId="197" fontId="63" fillId="0" borderId="0"/>
    <xf numFmtId="197" fontId="63" fillId="0" borderId="0"/>
    <xf numFmtId="197" fontId="63" fillId="0" borderId="0"/>
    <xf numFmtId="43" fontId="40" fillId="0" borderId="0" applyFont="0" applyFill="0" applyBorder="0" applyAlignment="0" applyProtection="0"/>
    <xf numFmtId="195" fontId="40" fillId="0" borderId="0" applyFill="0" applyBorder="0" applyAlignment="0" applyProtection="0"/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43" fontId="95" fillId="0" borderId="0" applyFont="0" applyFill="0" applyBorder="0" applyAlignment="0" applyProtection="0">
      <alignment vertical="center"/>
    </xf>
    <xf numFmtId="43" fontId="40" fillId="0" borderId="0" applyFont="0" applyFill="0" applyBorder="0" applyAlignment="0" applyProtection="0"/>
    <xf numFmtId="195" fontId="40" fillId="0" borderId="0" applyFill="0" applyBorder="0" applyAlignment="0" applyProtection="0"/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43" fontId="95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43" fontId="9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98" fillId="0" borderId="0">
      <protection locked="0"/>
    </xf>
    <xf numFmtId="43" fontId="6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70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6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ill="0" applyBorder="0" applyAlignment="0" applyProtection="0"/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43" fontId="64" fillId="0" borderId="0" applyFill="0" applyBorder="0" applyAlignment="0" applyProtection="0">
      <alignment vertical="center"/>
    </xf>
    <xf numFmtId="43" fontId="40" fillId="0" borderId="0" applyFill="0" applyBorder="0" applyAlignment="0" applyProtection="0"/>
    <xf numFmtId="43" fontId="64" fillId="0" borderId="0" applyFill="0" applyBorder="0" applyAlignment="0" applyProtection="0">
      <alignment vertical="center"/>
    </xf>
    <xf numFmtId="43" fontId="40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43" fontId="94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43" fontId="40" fillId="0" borderId="0" applyFill="0" applyBorder="0" applyAlignment="0" applyProtection="0"/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195" fontId="40" fillId="0" borderId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43" fontId="40" fillId="0" borderId="0" applyFont="0" applyFill="0" applyBorder="0" applyAlignment="0" applyProtection="0"/>
    <xf numFmtId="195" fontId="40" fillId="0" borderId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43" fontId="40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43" fontId="40" fillId="0" borderId="0" applyFill="0" applyBorder="0" applyAlignment="0" applyProtection="0"/>
    <xf numFmtId="43" fontId="40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195" fontId="96" fillId="0" borderId="0" applyFill="0" applyBorder="0" applyAlignment="0" applyProtection="0"/>
    <xf numFmtId="195" fontId="40" fillId="0" borderId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5" fontId="96" fillId="0" borderId="0" applyFill="0" applyBorder="0" applyAlignment="0" applyProtection="0"/>
    <xf numFmtId="195" fontId="96" fillId="0" borderId="0" applyFill="0" applyBorder="0" applyAlignment="0" applyProtection="0">
      <alignment vertical="center"/>
    </xf>
    <xf numFmtId="43" fontId="40" fillId="0" borderId="0" applyFill="0" applyBorder="0" applyAlignment="0" applyProtection="0"/>
    <xf numFmtId="195" fontId="96" fillId="0" borderId="0" applyFill="0" applyBorder="0" applyAlignment="0" applyProtection="0"/>
    <xf numFmtId="195" fontId="96" fillId="0" borderId="0" applyFill="0" applyBorder="0" applyAlignment="0" applyProtection="0">
      <alignment vertical="center"/>
    </xf>
    <xf numFmtId="195" fontId="96" fillId="0" borderId="0" applyFill="0" applyBorder="0" applyAlignment="0" applyProtection="0"/>
    <xf numFmtId="195" fontId="96" fillId="0" borderId="0" applyFill="0" applyBorder="0" applyAlignment="0" applyProtection="0"/>
    <xf numFmtId="195" fontId="96" fillId="0" borderId="0" applyFill="0" applyBorder="0" applyAlignment="0" applyProtection="0"/>
    <xf numFmtId="43" fontId="40" fillId="0" borderId="0" applyFont="0" applyFill="0" applyBorder="0" applyAlignment="0" applyProtection="0"/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43" fontId="40" fillId="0" borderId="0" applyFill="0" applyBorder="0" applyAlignment="0" applyProtection="0"/>
    <xf numFmtId="43" fontId="40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ill="0" applyBorder="0" applyAlignment="0" applyProtection="0"/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43" fontId="64" fillId="0" borderId="0" applyFill="0" applyBorder="0" applyAlignment="0" applyProtection="0">
      <alignment vertical="center"/>
    </xf>
    <xf numFmtId="43" fontId="40" fillId="0" borderId="0" applyFill="0" applyBorder="0" applyAlignment="0" applyProtection="0"/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43" fontId="64" fillId="0" borderId="0" applyFill="0" applyBorder="0" applyAlignment="0" applyProtection="0">
      <alignment vertical="center"/>
    </xf>
    <xf numFmtId="43" fontId="40" fillId="0" borderId="0" applyFill="0" applyBorder="0" applyAlignment="0" applyProtection="0"/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43" fontId="64" fillId="0" borderId="0" applyFill="0" applyBorder="0" applyAlignment="0" applyProtection="0">
      <alignment vertical="center"/>
    </xf>
    <xf numFmtId="43" fontId="40" fillId="0" borderId="0" applyFill="0" applyBorder="0" applyAlignment="0" applyProtection="0"/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43" fontId="64" fillId="0" borderId="0" applyFill="0" applyBorder="0" applyAlignment="0" applyProtection="0">
      <alignment vertical="center"/>
    </xf>
    <xf numFmtId="43" fontId="40" fillId="0" borderId="0" applyFill="0" applyBorder="0" applyAlignment="0" applyProtection="0"/>
    <xf numFmtId="43" fontId="61" fillId="0" borderId="0" applyFont="0" applyFill="0" applyBorder="0" applyAlignment="0" applyProtection="0"/>
    <xf numFmtId="171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1" fillId="0" borderId="0" applyFont="0" applyFill="0" applyBorder="0" applyAlignment="0" applyProtection="0"/>
    <xf numFmtId="171" fontId="27" fillId="0" borderId="0" applyFont="0" applyFill="0" applyBorder="0" applyAlignment="0" applyProtection="0"/>
    <xf numFmtId="43" fontId="61" fillId="0" borderId="0" applyFont="0" applyFill="0" applyBorder="0" applyAlignment="0" applyProtection="0"/>
    <xf numFmtId="171" fontId="70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5" fontId="96" fillId="0" borderId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43" fontId="95" fillId="0" borderId="0" applyFont="0" applyFill="0" applyBorder="0" applyAlignment="0" applyProtection="0">
      <alignment vertical="center"/>
    </xf>
    <xf numFmtId="195" fontId="96" fillId="0" borderId="0" applyFill="0" applyBorder="0" applyAlignment="0" applyProtection="0"/>
    <xf numFmtId="195" fontId="96" fillId="0" borderId="0" applyFill="0" applyBorder="0" applyAlignment="0" applyProtection="0">
      <alignment vertical="center"/>
    </xf>
    <xf numFmtId="43" fontId="94" fillId="0" borderId="0" applyFont="0" applyFill="0" applyBorder="0" applyAlignment="0" applyProtection="0"/>
    <xf numFmtId="170" fontId="61" fillId="0" borderId="0" applyFont="0" applyFill="0" applyBorder="0" applyAlignment="0" applyProtection="0"/>
    <xf numFmtId="195" fontId="96" fillId="0" borderId="0" applyFill="0" applyBorder="0" applyAlignment="0" applyProtection="0">
      <alignment vertical="center"/>
    </xf>
    <xf numFmtId="170" fontId="61" fillId="0" borderId="0" applyFont="0" applyFill="0" applyBorder="0" applyAlignment="0" applyProtection="0"/>
    <xf numFmtId="172" fontId="61" fillId="0" borderId="0" applyFont="0" applyFill="0" applyBorder="0" applyAlignment="0" applyProtection="0"/>
    <xf numFmtId="170" fontId="61" fillId="0" borderId="0" applyFont="0" applyFill="0" applyBorder="0" applyAlignment="0" applyProtection="0"/>
    <xf numFmtId="201" fontId="61" fillId="0" borderId="0" applyFont="0" applyFill="0" applyBorder="0" applyAlignment="0" applyProtection="0"/>
    <xf numFmtId="195" fontId="96" fillId="0" borderId="0" applyFill="0" applyBorder="0" applyAlignment="0" applyProtection="0"/>
    <xf numFmtId="43" fontId="94" fillId="0" borderId="0" applyFont="0" applyFill="0" applyBorder="0" applyAlignment="0" applyProtection="0"/>
    <xf numFmtId="43" fontId="27" fillId="0" borderId="0" applyFont="0" applyFill="0" applyBorder="0" applyAlignment="0" applyProtection="0"/>
    <xf numFmtId="195" fontId="96" fillId="0" borderId="0" applyFill="0" applyBorder="0" applyAlignment="0" applyProtection="0"/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195" fontId="96" fillId="0" borderId="0" applyFill="0" applyBorder="0" applyAlignment="0" applyProtection="0"/>
    <xf numFmtId="195" fontId="96" fillId="0" borderId="0" applyFill="0" applyBorder="0" applyAlignment="0" applyProtection="0">
      <alignment vertical="center"/>
    </xf>
    <xf numFmtId="43" fontId="61" fillId="0" borderId="0" applyFont="0" applyFill="0" applyBorder="0" applyAlignment="0" applyProtection="0"/>
    <xf numFmtId="195" fontId="96" fillId="0" borderId="0" applyFill="0" applyBorder="0" applyAlignment="0" applyProtection="0"/>
    <xf numFmtId="195" fontId="96" fillId="0" borderId="0" applyFill="0" applyBorder="0" applyAlignment="0" applyProtection="0">
      <alignment vertical="center"/>
    </xf>
    <xf numFmtId="195" fontId="96" fillId="0" borderId="0" applyFill="0" applyBorder="0" applyAlignment="0" applyProtection="0"/>
    <xf numFmtId="195" fontId="96" fillId="0" borderId="0" applyFill="0" applyBorder="0" applyAlignment="0" applyProtection="0"/>
    <xf numFmtId="195" fontId="96" fillId="0" borderId="0" applyFill="0" applyBorder="0" applyAlignment="0" applyProtection="0"/>
    <xf numFmtId="43" fontId="40" fillId="0" borderId="0" applyFont="0" applyFill="0" applyBorder="0" applyAlignment="0" applyProtection="0"/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43" fontId="95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43" fontId="95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43" fontId="95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43" fontId="95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43" fontId="95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43" fontId="95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43" fontId="95" fillId="0" borderId="0" applyFont="0" applyFill="0" applyBorder="0" applyAlignment="0" applyProtection="0">
      <alignment vertical="center"/>
    </xf>
    <xf numFmtId="43" fontId="95" fillId="0" borderId="0" applyFont="0" applyFill="0" applyBorder="0" applyAlignment="0" applyProtection="0">
      <alignment vertical="center"/>
    </xf>
    <xf numFmtId="43" fontId="9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43" fontId="95" fillId="0" borderId="0" applyFont="0" applyFill="0" applyBorder="0" applyAlignment="0" applyProtection="0">
      <alignment vertical="center"/>
    </xf>
    <xf numFmtId="43" fontId="40" fillId="0" borderId="0" applyFill="0" applyBorder="0" applyAlignment="0" applyProtection="0"/>
    <xf numFmtId="43" fontId="40" fillId="0" borderId="0" applyFill="0" applyBorder="0" applyAlignment="0" applyProtection="0"/>
    <xf numFmtId="43" fontId="40" fillId="0" borderId="0" applyFill="0" applyBorder="0" applyAlignment="0" applyProtection="0"/>
    <xf numFmtId="43" fontId="64" fillId="0" borderId="0" applyFill="0" applyBorder="0" applyAlignment="0" applyProtection="0">
      <alignment vertical="center"/>
    </xf>
    <xf numFmtId="43" fontId="40" fillId="0" borderId="0" applyFill="0" applyBorder="0" applyAlignment="0" applyProtection="0"/>
    <xf numFmtId="43" fontId="64" fillId="0" borderId="0" applyFill="0" applyBorder="0" applyAlignment="0" applyProtection="0">
      <alignment vertical="center"/>
    </xf>
    <xf numFmtId="43" fontId="61" fillId="0" borderId="0" applyFont="0" applyFill="0" applyBorder="0" applyAlignment="0" applyProtection="0"/>
    <xf numFmtId="43" fontId="40" fillId="0" borderId="0" applyFill="0" applyBorder="0" applyAlignment="0" applyProtection="0"/>
    <xf numFmtId="43" fontId="64" fillId="0" borderId="0" applyFill="0" applyBorder="0" applyAlignment="0" applyProtection="0">
      <alignment vertical="center"/>
    </xf>
    <xf numFmtId="43" fontId="40" fillId="0" borderId="0" applyFill="0" applyBorder="0" applyAlignment="0" applyProtection="0"/>
    <xf numFmtId="43" fontId="40" fillId="0" borderId="0" applyFill="0" applyBorder="0" applyAlignment="0" applyProtection="0"/>
    <xf numFmtId="43" fontId="40" fillId="0" borderId="0" applyFill="0" applyBorder="0" applyAlignment="0" applyProtection="0"/>
    <xf numFmtId="43" fontId="40" fillId="0" borderId="0" applyFill="0" applyBorder="0" applyAlignment="0" applyProtection="0"/>
    <xf numFmtId="43" fontId="40" fillId="0" borderId="0" applyFill="0" applyBorder="0" applyAlignment="0" applyProtection="0"/>
    <xf numFmtId="43" fontId="64" fillId="0" borderId="0" applyFill="0" applyBorder="0" applyAlignment="0" applyProtection="0">
      <alignment vertical="center"/>
    </xf>
    <xf numFmtId="43" fontId="64" fillId="0" borderId="0" applyFill="0" applyBorder="0" applyAlignment="0" applyProtection="0">
      <alignment vertical="center"/>
    </xf>
    <xf numFmtId="43" fontId="40" fillId="0" borderId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5" fontId="40" fillId="0" borderId="0" applyFill="0" applyBorder="0" applyAlignment="0" applyProtection="0"/>
    <xf numFmtId="43" fontId="40" fillId="0" borderId="0" applyFill="0" applyBorder="0" applyAlignment="0" applyProtection="0"/>
    <xf numFmtId="43" fontId="64" fillId="0" borderId="0" applyFill="0" applyBorder="0" applyAlignment="0" applyProtection="0">
      <alignment vertical="center"/>
    </xf>
    <xf numFmtId="43" fontId="40" fillId="0" borderId="0" applyFill="0" applyBorder="0" applyAlignment="0" applyProtection="0"/>
    <xf numFmtId="43" fontId="40" fillId="0" borderId="0" applyFill="0" applyBorder="0" applyAlignment="0" applyProtection="0"/>
    <xf numFmtId="43" fontId="40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43" fontId="9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43" fontId="95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43" fontId="95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43" fontId="95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43" fontId="95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43" fontId="95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43" fontId="95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43" fontId="40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43" fontId="95" fillId="0" borderId="0" applyFont="0" applyFill="0" applyBorder="0" applyAlignment="0" applyProtection="0">
      <alignment vertical="center"/>
    </xf>
    <xf numFmtId="43" fontId="40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5" fontId="40" fillId="0" borderId="0" applyFill="0" applyBorder="0" applyAlignment="0" applyProtection="0"/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43" fontId="95" fillId="0" borderId="0" applyFont="0" applyFill="0" applyBorder="0" applyAlignment="0" applyProtection="0">
      <alignment vertical="center"/>
    </xf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43" fontId="61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43" fontId="95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43" fontId="95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43" fontId="95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43" fontId="95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43" fontId="95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195" fontId="40" fillId="0" borderId="0" applyFill="0" applyBorder="0" applyAlignment="0" applyProtection="0"/>
    <xf numFmtId="195" fontId="64" fillId="0" borderId="0" applyFill="0" applyBorder="0" applyAlignment="0" applyProtection="0">
      <alignment vertical="center"/>
    </xf>
    <xf numFmtId="43" fontId="9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ill="0" applyBorder="0" applyAlignment="0" applyProtection="0"/>
    <xf numFmtId="43" fontId="40" fillId="0" borderId="0" applyFill="0" applyBorder="0" applyAlignment="0" applyProtection="0"/>
    <xf numFmtId="43" fontId="64" fillId="0" borderId="0" applyFill="0" applyBorder="0" applyAlignment="0" applyProtection="0">
      <alignment vertical="center"/>
    </xf>
    <xf numFmtId="43" fontId="40" fillId="0" borderId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/>
    <xf numFmtId="43" fontId="40" fillId="0" borderId="0" applyFill="0" applyBorder="0" applyAlignment="0" applyProtection="0"/>
    <xf numFmtId="43" fontId="64" fillId="0" borderId="0" applyFill="0" applyBorder="0" applyAlignment="0" applyProtection="0">
      <alignment vertical="center"/>
    </xf>
    <xf numFmtId="43" fontId="40" fillId="0" borderId="0" applyFill="0" applyBorder="0" applyAlignment="0" applyProtection="0"/>
    <xf numFmtId="43" fontId="40" fillId="0" borderId="0" applyFill="0" applyBorder="0" applyAlignment="0" applyProtection="0"/>
    <xf numFmtId="43" fontId="40" fillId="0" borderId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43" fontId="70" fillId="0" borderId="0" applyFont="0" applyFill="0" applyBorder="0" applyAlignment="0" applyProtection="0">
      <alignment vertical="center"/>
    </xf>
    <xf numFmtId="43" fontId="9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0" fillId="0" borderId="0" applyFill="0" applyBorder="0" applyAlignment="0" applyProtection="0"/>
    <xf numFmtId="197" fontId="61" fillId="0" borderId="0"/>
    <xf numFmtId="43" fontId="40" fillId="0" borderId="0" applyFill="0" applyBorder="0" applyAlignment="0" applyProtection="0"/>
    <xf numFmtId="197" fontId="61" fillId="0" borderId="0"/>
    <xf numFmtId="197" fontId="70" fillId="0" borderId="0">
      <alignment vertical="center"/>
    </xf>
    <xf numFmtId="197" fontId="61" fillId="0" borderId="0"/>
    <xf numFmtId="197" fontId="61" fillId="0" borderId="0"/>
    <xf numFmtId="197" fontId="61" fillId="0" borderId="0"/>
    <xf numFmtId="43" fontId="61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43" fontId="70" fillId="0" borderId="0" applyFont="0" applyFill="0" applyBorder="0" applyAlignment="0" applyProtection="0">
      <alignment vertical="center"/>
    </xf>
    <xf numFmtId="43" fontId="64" fillId="0" borderId="0" applyFill="0" applyBorder="0" applyAlignment="0" applyProtection="0">
      <alignment vertical="center"/>
    </xf>
    <xf numFmtId="43" fontId="40" fillId="0" borderId="0" applyFill="0" applyBorder="0" applyAlignment="0" applyProtection="0"/>
    <xf numFmtId="43" fontId="40" fillId="0" borderId="0" applyFill="0" applyBorder="0" applyAlignment="0" applyProtection="0"/>
    <xf numFmtId="43" fontId="40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43" fontId="95" fillId="0" borderId="0" applyFont="0" applyFill="0" applyBorder="0" applyAlignment="0" applyProtection="0">
      <alignment vertical="center"/>
    </xf>
    <xf numFmtId="43" fontId="40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95" fillId="0" borderId="0" applyFont="0" applyFill="0" applyBorder="0" applyAlignment="0" applyProtection="0">
      <alignment vertical="center"/>
    </xf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9" fillId="0" borderId="0" applyNumberFormat="0" applyAlignment="0">
      <alignment horizontal="left"/>
    </xf>
    <xf numFmtId="0" fontId="100" fillId="0" borderId="0" applyNumberFormat="0" applyAlignment="0">
      <alignment horizontal="left" vertical="center"/>
    </xf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64" fillId="0" borderId="87">
      <alignment vertical="center"/>
    </xf>
    <xf numFmtId="183" fontId="64" fillId="0" borderId="87">
      <alignment vertical="center"/>
    </xf>
    <xf numFmtId="183" fontId="64" fillId="0" borderId="87">
      <alignment vertical="center"/>
    </xf>
    <xf numFmtId="183" fontId="64" fillId="0" borderId="87">
      <alignment vertical="center"/>
    </xf>
    <xf numFmtId="183" fontId="64" fillId="0" borderId="87">
      <alignment vertical="center"/>
    </xf>
    <xf numFmtId="183" fontId="64" fillId="0" borderId="87">
      <alignment vertical="center"/>
    </xf>
    <xf numFmtId="183" fontId="64" fillId="0" borderId="87">
      <alignment vertical="center"/>
    </xf>
    <xf numFmtId="183" fontId="64" fillId="0" borderId="87">
      <alignment vertical="center"/>
    </xf>
    <xf numFmtId="183" fontId="64" fillId="0" borderId="87">
      <alignment vertical="center"/>
    </xf>
    <xf numFmtId="183" fontId="64" fillId="0" borderId="87">
      <alignment vertical="center"/>
    </xf>
    <xf numFmtId="183" fontId="64" fillId="0" borderId="87">
      <alignment vertical="center"/>
    </xf>
    <xf numFmtId="183" fontId="64" fillId="0" borderId="87">
      <alignment vertical="center"/>
    </xf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64" fillId="0" borderId="87">
      <alignment vertical="center"/>
    </xf>
    <xf numFmtId="183" fontId="40" fillId="0" borderId="87"/>
    <xf numFmtId="183" fontId="64" fillId="0" borderId="87">
      <alignment vertical="center"/>
    </xf>
    <xf numFmtId="183" fontId="40" fillId="0" borderId="87"/>
    <xf numFmtId="183" fontId="40" fillId="0" borderId="87"/>
    <xf numFmtId="183" fontId="64" fillId="0" borderId="87">
      <alignment vertical="center"/>
    </xf>
    <xf numFmtId="183" fontId="64" fillId="0" borderId="87">
      <alignment vertical="center"/>
    </xf>
    <xf numFmtId="183" fontId="64" fillId="0" borderId="87">
      <alignment vertical="center"/>
    </xf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64" fillId="0" borderId="87">
      <alignment vertical="center"/>
    </xf>
    <xf numFmtId="183" fontId="64" fillId="0" borderId="87">
      <alignment vertical="center"/>
    </xf>
    <xf numFmtId="183" fontId="64" fillId="0" borderId="87">
      <alignment vertical="center"/>
    </xf>
    <xf numFmtId="183" fontId="64" fillId="0" borderId="87">
      <alignment vertical="center"/>
    </xf>
    <xf numFmtId="183" fontId="64" fillId="0" borderId="87">
      <alignment vertical="center"/>
    </xf>
    <xf numFmtId="183" fontId="64" fillId="0" borderId="87">
      <alignment vertical="center"/>
    </xf>
    <xf numFmtId="183" fontId="64" fillId="0" borderId="87">
      <alignment vertical="center"/>
    </xf>
    <xf numFmtId="183" fontId="64" fillId="0" borderId="87">
      <alignment vertical="center"/>
    </xf>
    <xf numFmtId="183" fontId="64" fillId="0" borderId="87">
      <alignment vertical="center"/>
    </xf>
    <xf numFmtId="183" fontId="64" fillId="0" borderId="87">
      <alignment vertical="center"/>
    </xf>
    <xf numFmtId="183" fontId="64" fillId="0" borderId="87">
      <alignment vertical="center"/>
    </xf>
    <xf numFmtId="183" fontId="64" fillId="0" borderId="87">
      <alignment vertical="center"/>
    </xf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64" fillId="0" borderId="87">
      <alignment vertical="center"/>
    </xf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64" fillId="0" borderId="87">
      <alignment vertical="center"/>
    </xf>
    <xf numFmtId="183" fontId="64" fillId="0" borderId="87">
      <alignment vertical="center"/>
    </xf>
    <xf numFmtId="183" fontId="40" fillId="0" borderId="87"/>
    <xf numFmtId="183" fontId="64" fillId="0" borderId="87">
      <alignment vertical="center"/>
    </xf>
    <xf numFmtId="183" fontId="64" fillId="0" borderId="87">
      <alignment vertical="center"/>
    </xf>
    <xf numFmtId="183" fontId="64" fillId="0" borderId="87">
      <alignment vertical="center"/>
    </xf>
    <xf numFmtId="183" fontId="64" fillId="0" borderId="87">
      <alignment vertical="center"/>
    </xf>
    <xf numFmtId="183" fontId="64" fillId="0" borderId="87">
      <alignment vertical="center"/>
    </xf>
    <xf numFmtId="183" fontId="64" fillId="0" borderId="87">
      <alignment vertical="center"/>
    </xf>
    <xf numFmtId="183" fontId="64" fillId="0" borderId="87">
      <alignment vertical="center"/>
    </xf>
    <xf numFmtId="183" fontId="64" fillId="0" borderId="87">
      <alignment vertical="center"/>
    </xf>
    <xf numFmtId="183" fontId="40" fillId="0" borderId="87"/>
    <xf numFmtId="183" fontId="64" fillId="0" borderId="87">
      <alignment vertical="center"/>
    </xf>
    <xf numFmtId="183" fontId="64" fillId="0" borderId="87">
      <alignment vertical="center"/>
    </xf>
    <xf numFmtId="183" fontId="64" fillId="0" borderId="87">
      <alignment vertical="center"/>
    </xf>
    <xf numFmtId="183" fontId="64" fillId="0" borderId="87">
      <alignment vertical="center"/>
    </xf>
    <xf numFmtId="183" fontId="40" fillId="0" borderId="87"/>
    <xf numFmtId="183" fontId="64" fillId="0" borderId="87">
      <alignment vertical="center"/>
    </xf>
    <xf numFmtId="183" fontId="40" fillId="0" borderId="87"/>
    <xf numFmtId="183" fontId="40" fillId="0" borderId="87"/>
    <xf numFmtId="183" fontId="64" fillId="0" borderId="87">
      <alignment vertical="center"/>
    </xf>
    <xf numFmtId="183" fontId="64" fillId="0" borderId="87">
      <alignment vertical="center"/>
    </xf>
    <xf numFmtId="183" fontId="64" fillId="0" borderId="87">
      <alignment vertical="center"/>
    </xf>
    <xf numFmtId="183" fontId="64" fillId="0" borderId="87">
      <alignment vertical="center"/>
    </xf>
    <xf numFmtId="183" fontId="64" fillId="0" borderId="87">
      <alignment vertical="center"/>
    </xf>
    <xf numFmtId="183" fontId="64" fillId="0" borderId="87">
      <alignment vertical="center"/>
    </xf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64" fillId="0" borderId="87">
      <alignment vertical="center"/>
    </xf>
    <xf numFmtId="183" fontId="40" fillId="0" borderId="87"/>
    <xf numFmtId="183" fontId="40" fillId="0" borderId="87"/>
    <xf numFmtId="183" fontId="64" fillId="0" borderId="87">
      <alignment vertical="center"/>
    </xf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83" fontId="40" fillId="0" borderId="87"/>
    <xf numFmtId="164" fontId="96" fillId="0" borderId="0" applyFill="0" applyBorder="0" applyAlignment="0" applyProtection="0"/>
    <xf numFmtId="0" fontId="95" fillId="0" borderId="0" applyFont="0" applyFill="0" applyBorder="0" applyAlignment="0" applyProtection="0">
      <alignment vertical="center"/>
    </xf>
    <xf numFmtId="0" fontId="70" fillId="0" borderId="0" applyFont="0" applyFill="0" applyBorder="0" applyAlignment="0" applyProtection="0">
      <alignment vertical="center"/>
    </xf>
    <xf numFmtId="0" fontId="95" fillId="0" borderId="0" applyFont="0" applyFill="0" applyBorder="0" applyAlignment="0" applyProtection="0">
      <alignment vertical="center"/>
    </xf>
    <xf numFmtId="0" fontId="70" fillId="0" borderId="0" applyFont="0" applyFill="0" applyBorder="0" applyAlignment="0" applyProtection="0">
      <alignment vertical="center"/>
    </xf>
    <xf numFmtId="164" fontId="96" fillId="0" borderId="0" applyFill="0" applyBorder="0" applyAlignment="0" applyProtection="0">
      <alignment vertical="center"/>
    </xf>
    <xf numFmtId="202" fontId="40" fillId="0" borderId="0" applyFont="0" applyFill="0" applyBorder="0" applyAlignment="0" applyProtection="0"/>
    <xf numFmtId="202" fontId="95" fillId="0" borderId="0" applyFont="0" applyFill="0" applyBorder="0" applyAlignment="0" applyProtection="0">
      <alignment vertical="center"/>
    </xf>
    <xf numFmtId="203" fontId="96" fillId="0" borderId="0" applyFill="0" applyBorder="0" applyAlignment="0" applyProtection="0"/>
    <xf numFmtId="203" fontId="96" fillId="0" borderId="0" applyFill="0" applyBorder="0" applyAlignment="0" applyProtection="0">
      <alignment vertical="center"/>
    </xf>
    <xf numFmtId="42" fontId="61" fillId="0" borderId="0" applyFont="0" applyFill="0" applyBorder="0" applyAlignment="0" applyProtection="0"/>
    <xf numFmtId="202" fontId="1" fillId="0" borderId="0" applyFont="0" applyFill="0" applyBorder="0" applyAlignment="0" applyProtection="0"/>
    <xf numFmtId="202" fontId="94" fillId="0" borderId="0" applyFont="0" applyFill="0" applyBorder="0" applyAlignment="0" applyProtection="0"/>
    <xf numFmtId="202" fontId="1" fillId="0" borderId="0" applyFont="0" applyFill="0" applyBorder="0" applyAlignment="0" applyProtection="0"/>
    <xf numFmtId="181" fontId="67" fillId="0" borderId="0" applyFont="0" applyFill="0" applyBorder="0" applyAlignment="0" applyProtection="0"/>
    <xf numFmtId="181" fontId="95" fillId="0" borderId="0" applyFont="0" applyFill="0" applyBorder="0" applyAlignment="0" applyProtection="0">
      <alignment vertical="center"/>
    </xf>
    <xf numFmtId="204" fontId="40" fillId="0" borderId="0" applyFont="0" applyFill="0" applyBorder="0" applyAlignment="0"/>
    <xf numFmtId="205" fontId="95" fillId="0" borderId="0" applyFont="0" applyFill="0" applyBorder="0" applyAlignment="0">
      <alignment vertical="center"/>
    </xf>
    <xf numFmtId="8" fontId="40" fillId="0" borderId="0" applyFont="0" applyFill="0" applyBorder="0" applyAlignment="0"/>
    <xf numFmtId="8" fontId="95" fillId="0" borderId="0" applyFont="0" applyFill="0" applyBorder="0" applyAlignment="0">
      <alignment vertical="center"/>
    </xf>
    <xf numFmtId="164" fontId="61" fillId="0" borderId="0" applyFont="0" applyFill="0" applyBorder="0" applyAlignment="0" applyProtection="0"/>
    <xf numFmtId="164" fontId="1" fillId="0" borderId="0" applyFont="0" applyFill="0" applyBorder="0" applyAlignment="0" applyProtection="0"/>
    <xf numFmtId="206" fontId="40" fillId="0" borderId="0" applyFill="0" applyBorder="0" applyAlignment="0" applyProtection="0"/>
    <xf numFmtId="164" fontId="95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1" fillId="0" borderId="0" applyFont="0" applyFill="0" applyBorder="0" applyAlignment="0" applyProtection="0"/>
    <xf numFmtId="15" fontId="101" fillId="0" borderId="0" applyFill="0" applyBorder="0" applyAlignment="0"/>
    <xf numFmtId="15" fontId="102" fillId="0" borderId="0" applyFill="0" applyBorder="0" applyAlignment="0">
      <alignment vertical="center"/>
    </xf>
    <xf numFmtId="15" fontId="102" fillId="0" borderId="0" applyFill="0" applyBorder="0" applyAlignment="0">
      <alignment vertical="center"/>
    </xf>
    <xf numFmtId="15" fontId="102" fillId="0" borderId="0" applyFill="0" applyBorder="0" applyAlignment="0">
      <alignment vertical="center"/>
    </xf>
    <xf numFmtId="15" fontId="102" fillId="0" borderId="0" applyFill="0" applyBorder="0" applyAlignment="0">
      <alignment vertical="center"/>
    </xf>
    <xf numFmtId="207" fontId="40" fillId="50" borderId="0" applyFont="0" applyFill="0" applyBorder="0" applyAlignment="0" applyProtection="0"/>
    <xf numFmtId="207" fontId="95" fillId="50" borderId="0" applyFont="0" applyFill="0" applyBorder="0" applyAlignment="0" applyProtection="0">
      <alignment vertical="center"/>
    </xf>
    <xf numFmtId="207" fontId="40" fillId="50" borderId="69" applyFont="0" applyFill="0" applyBorder="0" applyAlignment="0" applyProtection="0"/>
    <xf numFmtId="207" fontId="95" fillId="50" borderId="69" applyFont="0" applyFill="0" applyBorder="0" applyAlignment="0" applyProtection="0">
      <alignment vertical="center"/>
    </xf>
    <xf numFmtId="207" fontId="40" fillId="50" borderId="69" applyFont="0" applyFill="0" applyBorder="0" applyAlignment="0" applyProtection="0"/>
    <xf numFmtId="207" fontId="95" fillId="50" borderId="69" applyFont="0" applyFill="0" applyBorder="0" applyAlignment="0" applyProtection="0">
      <alignment vertical="center"/>
    </xf>
    <xf numFmtId="207" fontId="40" fillId="50" borderId="69" applyFont="0" applyFill="0" applyBorder="0" applyAlignment="0" applyProtection="0"/>
    <xf numFmtId="207" fontId="95" fillId="50" borderId="69" applyFont="0" applyFill="0" applyBorder="0" applyAlignment="0" applyProtection="0">
      <alignment vertical="center"/>
    </xf>
    <xf numFmtId="207" fontId="95" fillId="50" borderId="69" applyFont="0" applyFill="0" applyBorder="0" applyAlignment="0" applyProtection="0">
      <alignment vertical="center"/>
    </xf>
    <xf numFmtId="207" fontId="95" fillId="50" borderId="69" applyFont="0" applyFill="0" applyBorder="0" applyAlignment="0" applyProtection="0">
      <alignment vertical="center"/>
    </xf>
    <xf numFmtId="207" fontId="95" fillId="50" borderId="69" applyFont="0" applyFill="0" applyBorder="0" applyAlignment="0" applyProtection="0">
      <alignment vertical="center"/>
    </xf>
    <xf numFmtId="207" fontId="40" fillId="50" borderId="69" applyFont="0" applyFill="0" applyBorder="0" applyAlignment="0" applyProtection="0"/>
    <xf numFmtId="207" fontId="40" fillId="50" borderId="69" applyFont="0" applyFill="0" applyBorder="0" applyAlignment="0" applyProtection="0"/>
    <xf numFmtId="207" fontId="40" fillId="50" borderId="69" applyFont="0" applyFill="0" applyBorder="0" applyAlignment="0" applyProtection="0"/>
    <xf numFmtId="207" fontId="40" fillId="50" borderId="69" applyFont="0" applyFill="0" applyBorder="0" applyAlignment="0" applyProtection="0"/>
    <xf numFmtId="207" fontId="95" fillId="50" borderId="69" applyFont="0" applyFill="0" applyBorder="0" applyAlignment="0" applyProtection="0">
      <alignment vertical="center"/>
    </xf>
    <xf numFmtId="207" fontId="95" fillId="50" borderId="69" applyFont="0" applyFill="0" applyBorder="0" applyAlignment="0" applyProtection="0">
      <alignment vertical="center"/>
    </xf>
    <xf numFmtId="207" fontId="95" fillId="50" borderId="69" applyFont="0" applyFill="0" applyBorder="0" applyAlignment="0" applyProtection="0">
      <alignment vertical="center"/>
    </xf>
    <xf numFmtId="207" fontId="95" fillId="50" borderId="69" applyFont="0" applyFill="0" applyBorder="0" applyAlignment="0" applyProtection="0">
      <alignment vertical="center"/>
    </xf>
    <xf numFmtId="207" fontId="40" fillId="50" borderId="69" applyFont="0" applyFill="0" applyBorder="0" applyAlignment="0" applyProtection="0"/>
    <xf numFmtId="207" fontId="40" fillId="50" borderId="69" applyFont="0" applyFill="0" applyBorder="0" applyAlignment="0" applyProtection="0"/>
    <xf numFmtId="207" fontId="40" fillId="50" borderId="69" applyFont="0" applyFill="0" applyBorder="0" applyAlignment="0" applyProtection="0"/>
    <xf numFmtId="207" fontId="40" fillId="50" borderId="69" applyFont="0" applyFill="0" applyBorder="0" applyAlignment="0" applyProtection="0"/>
    <xf numFmtId="207" fontId="40" fillId="50" borderId="69" applyFont="0" applyFill="0" applyBorder="0" applyAlignment="0" applyProtection="0"/>
    <xf numFmtId="207" fontId="40" fillId="50" borderId="69" applyFont="0" applyFill="0" applyBorder="0" applyAlignment="0" applyProtection="0"/>
    <xf numFmtId="207" fontId="40" fillId="50" borderId="69" applyFont="0" applyFill="0" applyBorder="0" applyAlignment="0" applyProtection="0"/>
    <xf numFmtId="207" fontId="40" fillId="50" borderId="69" applyFont="0" applyFill="0" applyBorder="0" applyAlignment="0" applyProtection="0"/>
    <xf numFmtId="207" fontId="95" fillId="50" borderId="69" applyFont="0" applyFill="0" applyBorder="0" applyAlignment="0" applyProtection="0">
      <alignment vertical="center"/>
    </xf>
    <xf numFmtId="207" fontId="95" fillId="50" borderId="69" applyFont="0" applyFill="0" applyBorder="0" applyAlignment="0" applyProtection="0">
      <alignment vertical="center"/>
    </xf>
    <xf numFmtId="17" fontId="101" fillId="0" borderId="0" applyFill="0" applyBorder="0">
      <alignment horizontal="right"/>
    </xf>
    <xf numFmtId="17" fontId="102" fillId="0" borderId="0" applyFill="0" applyBorder="0">
      <alignment horizontal="right" vertical="center"/>
    </xf>
    <xf numFmtId="14" fontId="59" fillId="0" borderId="0" applyFill="0" applyBorder="0" applyAlignment="0"/>
    <xf numFmtId="14" fontId="85" fillId="0" borderId="0" applyFill="0" applyBorder="0" applyAlignment="0">
      <alignment vertical="center"/>
    </xf>
    <xf numFmtId="185" fontId="67" fillId="0" borderId="0" applyFill="0" applyBorder="0" applyAlignment="0"/>
    <xf numFmtId="185" fontId="68" fillId="0" borderId="0" applyFill="0" applyBorder="0" applyAlignment="0">
      <alignment vertical="center"/>
    </xf>
    <xf numFmtId="181" fontId="67" fillId="0" borderId="0" applyFill="0" applyBorder="0" applyAlignment="0"/>
    <xf numFmtId="181" fontId="68" fillId="0" borderId="0" applyFill="0" applyBorder="0" applyAlignment="0">
      <alignment vertical="center"/>
    </xf>
    <xf numFmtId="185" fontId="67" fillId="0" borderId="0" applyFill="0" applyBorder="0" applyAlignment="0"/>
    <xf numFmtId="185" fontId="68" fillId="0" borderId="0" applyFill="0" applyBorder="0" applyAlignment="0">
      <alignment vertical="center"/>
    </xf>
    <xf numFmtId="174" fontId="67" fillId="0" borderId="0" applyFill="0" applyBorder="0" applyAlignment="0"/>
    <xf numFmtId="174" fontId="68" fillId="0" borderId="0" applyFill="0" applyBorder="0" applyAlignment="0">
      <alignment vertical="center"/>
    </xf>
    <xf numFmtId="181" fontId="67" fillId="0" borderId="0" applyFill="0" applyBorder="0" applyAlignment="0"/>
    <xf numFmtId="181" fontId="68" fillId="0" borderId="0" applyFill="0" applyBorder="0" applyAlignment="0">
      <alignment vertical="center"/>
    </xf>
    <xf numFmtId="0" fontId="103" fillId="0" borderId="0" applyNumberFormat="0" applyAlignment="0">
      <alignment horizontal="left"/>
    </xf>
    <xf numFmtId="0" fontId="104" fillId="0" borderId="0" applyNumberFormat="0" applyAlignment="0">
      <alignment horizontal="left" vertical="center"/>
    </xf>
    <xf numFmtId="208" fontId="98" fillId="0" borderId="0" applyBorder="0" applyProtection="0"/>
    <xf numFmtId="209" fontId="63" fillId="0" borderId="0"/>
    <xf numFmtId="209" fontId="97" fillId="0" borderId="0">
      <alignment vertical="center"/>
    </xf>
    <xf numFmtId="208" fontId="70" fillId="0" borderId="0" applyBorder="0" applyProtection="0">
      <alignment vertical="center"/>
    </xf>
    <xf numFmtId="208" fontId="70" fillId="0" borderId="0" applyBorder="0" applyProtection="0">
      <alignment vertical="center"/>
    </xf>
    <xf numFmtId="208" fontId="70" fillId="0" borderId="0" applyBorder="0" applyProtection="0">
      <alignment vertical="center"/>
    </xf>
    <xf numFmtId="208" fontId="70" fillId="0" borderId="0" applyBorder="0" applyProtection="0">
      <alignment vertical="center"/>
    </xf>
    <xf numFmtId="208" fontId="70" fillId="0" borderId="0" applyBorder="0" applyProtection="0">
      <alignment vertical="center"/>
    </xf>
    <xf numFmtId="208" fontId="70" fillId="0" borderId="0" applyBorder="0" applyProtection="0">
      <alignment vertical="center"/>
    </xf>
    <xf numFmtId="208" fontId="70" fillId="0" borderId="0" applyBorder="0" applyProtection="0">
      <alignment vertical="center"/>
    </xf>
    <xf numFmtId="208" fontId="70" fillId="0" borderId="0" applyBorder="0" applyProtection="0">
      <alignment vertical="center"/>
    </xf>
    <xf numFmtId="208" fontId="70" fillId="0" borderId="0" applyBorder="0" applyProtection="0">
      <alignment vertical="center"/>
    </xf>
    <xf numFmtId="208" fontId="70" fillId="0" borderId="0" applyBorder="0" applyProtection="0">
      <alignment vertical="center"/>
    </xf>
    <xf numFmtId="208" fontId="70" fillId="0" borderId="0" applyBorder="0" applyProtection="0">
      <alignment vertical="center"/>
    </xf>
    <xf numFmtId="208" fontId="70" fillId="0" borderId="0" applyBorder="0" applyProtection="0">
      <alignment vertical="center"/>
    </xf>
    <xf numFmtId="208" fontId="70" fillId="0" borderId="0" applyBorder="0" applyProtection="0">
      <alignment vertical="center"/>
    </xf>
    <xf numFmtId="208" fontId="70" fillId="0" borderId="0" applyBorder="0" applyProtection="0">
      <alignment vertical="center"/>
    </xf>
    <xf numFmtId="208" fontId="70" fillId="0" borderId="0" applyBorder="0" applyProtection="0">
      <alignment vertical="center"/>
    </xf>
    <xf numFmtId="210" fontId="98" fillId="0" borderId="0" applyBorder="0" applyProtection="0"/>
    <xf numFmtId="0" fontId="61" fillId="0" borderId="0"/>
    <xf numFmtId="0" fontId="70" fillId="0" borderId="0">
      <alignment vertical="center"/>
    </xf>
    <xf numFmtId="0" fontId="63" fillId="0" borderId="0"/>
    <xf numFmtId="0" fontId="97" fillId="0" borderId="0">
      <alignment vertical="center"/>
    </xf>
    <xf numFmtId="0" fontId="97" fillId="0" borderId="0">
      <alignment vertical="center"/>
    </xf>
    <xf numFmtId="210" fontId="70" fillId="0" borderId="0" applyBorder="0" applyProtection="0">
      <alignment vertical="center"/>
    </xf>
    <xf numFmtId="210" fontId="98" fillId="0" borderId="0" applyBorder="0" applyProtection="0"/>
    <xf numFmtId="210" fontId="98" fillId="0" borderId="0" applyBorder="0" applyProtection="0"/>
    <xf numFmtId="210" fontId="98" fillId="0" borderId="0" applyBorder="0" applyProtection="0"/>
    <xf numFmtId="210" fontId="98" fillId="0" borderId="0" applyBorder="0" applyProtection="0"/>
    <xf numFmtId="0" fontId="105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211" fontId="40" fillId="50" borderId="0" applyFont="0" applyFill="0" applyBorder="0" applyAlignment="0"/>
    <xf numFmtId="211" fontId="95" fillId="50" borderId="0" applyFont="0" applyFill="0" applyBorder="0" applyAlignment="0">
      <alignment vertical="center"/>
    </xf>
    <xf numFmtId="0" fontId="109" fillId="19" borderId="0" applyNumberFormat="0" applyBorder="0" applyAlignment="0" applyProtection="0"/>
    <xf numFmtId="0" fontId="110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/>
    <xf numFmtId="0" fontId="110" fillId="19" borderId="0" applyNumberFormat="0" applyBorder="0" applyAlignment="0" applyProtection="0">
      <alignment vertical="center"/>
    </xf>
    <xf numFmtId="0" fontId="111" fillId="19" borderId="0" applyNumberFormat="0" applyBorder="0" applyAlignment="0" applyProtection="0"/>
    <xf numFmtId="0" fontId="112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/>
    <xf numFmtId="0" fontId="110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/>
    <xf numFmtId="0" fontId="110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/>
    <xf numFmtId="0" fontId="110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/>
    <xf numFmtId="0" fontId="110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/>
    <xf numFmtId="0" fontId="110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/>
    <xf numFmtId="0" fontId="110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/>
    <xf numFmtId="0" fontId="110" fillId="19" borderId="0" applyNumberFormat="0" applyBorder="0" applyAlignment="0" applyProtection="0">
      <alignment vertical="center"/>
    </xf>
    <xf numFmtId="38" fontId="113" fillId="51" borderId="0" applyNumberFormat="0" applyBorder="0" applyAlignment="0" applyProtection="0"/>
    <xf numFmtId="0" fontId="114" fillId="51" borderId="0" applyNumberFormat="0" applyBorder="0" applyAlignment="0" applyProtection="0">
      <alignment vertical="center"/>
    </xf>
    <xf numFmtId="0" fontId="115" fillId="0" borderId="76" applyNumberFormat="0" applyAlignment="0" applyProtection="0">
      <alignment horizontal="left" vertical="center"/>
    </xf>
    <xf numFmtId="0" fontId="115" fillId="0" borderId="76" applyNumberFormat="0" applyAlignment="0" applyProtection="0">
      <alignment horizontal="left" vertical="center"/>
    </xf>
    <xf numFmtId="0" fontId="115" fillId="0" borderId="76" applyNumberFormat="0" applyAlignment="0" applyProtection="0">
      <alignment horizontal="left" vertical="center"/>
    </xf>
    <xf numFmtId="0" fontId="115" fillId="0" borderId="76" applyNumberFormat="0" applyAlignment="0" applyProtection="0">
      <alignment horizontal="left" vertical="center"/>
    </xf>
    <xf numFmtId="0" fontId="115" fillId="0" borderId="76" applyNumberFormat="0" applyAlignment="0" applyProtection="0">
      <alignment horizontal="left" vertical="center"/>
    </xf>
    <xf numFmtId="0" fontId="115" fillId="0" borderId="76" applyNumberFormat="0" applyAlignment="0" applyProtection="0">
      <alignment horizontal="left" vertical="center"/>
    </xf>
    <xf numFmtId="0" fontId="115" fillId="0" borderId="76" applyNumberFormat="0" applyAlignment="0" applyProtection="0">
      <alignment horizontal="left" vertical="center"/>
    </xf>
    <xf numFmtId="0" fontId="116" fillId="0" borderId="76" applyNumberFormat="0" applyAlignment="0" applyProtection="0">
      <alignment horizontal="left" vertical="center"/>
    </xf>
    <xf numFmtId="0" fontId="115" fillId="0" borderId="76" applyNumberFormat="0" applyAlignment="0" applyProtection="0">
      <alignment horizontal="left" vertical="center"/>
    </xf>
    <xf numFmtId="0" fontId="116" fillId="0" borderId="76" applyNumberFormat="0" applyAlignment="0" applyProtection="0">
      <alignment horizontal="left" vertical="center"/>
    </xf>
    <xf numFmtId="0" fontId="116" fillId="0" borderId="76" applyNumberFormat="0" applyAlignment="0" applyProtection="0">
      <alignment horizontal="left" vertical="center"/>
    </xf>
    <xf numFmtId="0" fontId="116" fillId="0" borderId="76" applyNumberFormat="0" applyAlignment="0" applyProtection="0">
      <alignment horizontal="left" vertical="center"/>
    </xf>
    <xf numFmtId="0" fontId="115" fillId="0" borderId="76" applyNumberFormat="0" applyAlignment="0" applyProtection="0">
      <alignment horizontal="left" vertical="center"/>
    </xf>
    <xf numFmtId="0" fontId="116" fillId="0" borderId="76" applyNumberFormat="0" applyAlignment="0" applyProtection="0">
      <alignment horizontal="left" vertical="center"/>
    </xf>
    <xf numFmtId="0" fontId="116" fillId="0" borderId="76" applyNumberFormat="0" applyAlignment="0" applyProtection="0">
      <alignment horizontal="left" vertical="center"/>
    </xf>
    <xf numFmtId="0" fontId="115" fillId="0" borderId="76" applyNumberFormat="0" applyAlignment="0" applyProtection="0">
      <alignment horizontal="left" vertical="center"/>
    </xf>
    <xf numFmtId="0" fontId="115" fillId="0" borderId="76" applyNumberFormat="0" applyAlignment="0" applyProtection="0">
      <alignment horizontal="left" vertical="center"/>
    </xf>
    <xf numFmtId="0" fontId="115" fillId="0" borderId="76" applyNumberFormat="0" applyAlignment="0" applyProtection="0">
      <alignment horizontal="left" vertical="center"/>
    </xf>
    <xf numFmtId="0" fontId="115" fillId="0" borderId="76" applyNumberFormat="0" applyAlignment="0" applyProtection="0">
      <alignment horizontal="left" vertical="center"/>
    </xf>
    <xf numFmtId="0" fontId="115" fillId="0" borderId="76" applyNumberFormat="0" applyAlignment="0" applyProtection="0">
      <alignment horizontal="left" vertical="center"/>
    </xf>
    <xf numFmtId="0" fontId="115" fillId="0" borderId="76" applyNumberFormat="0" applyAlignment="0" applyProtection="0">
      <alignment horizontal="left" vertical="center"/>
    </xf>
    <xf numFmtId="0" fontId="115" fillId="0" borderId="76" applyNumberFormat="0" applyAlignment="0" applyProtection="0">
      <alignment horizontal="left" vertical="center"/>
    </xf>
    <xf numFmtId="0" fontId="115" fillId="0" borderId="76" applyNumberFormat="0" applyAlignment="0" applyProtection="0">
      <alignment horizontal="left" vertical="center"/>
    </xf>
    <xf numFmtId="0" fontId="115" fillId="0" borderId="76" applyNumberFormat="0" applyAlignment="0" applyProtection="0">
      <alignment horizontal="left" vertical="center"/>
    </xf>
    <xf numFmtId="0" fontId="115" fillId="0" borderId="76" applyNumberFormat="0" applyAlignment="0" applyProtection="0">
      <alignment horizontal="left" vertical="center"/>
    </xf>
    <xf numFmtId="0" fontId="115" fillId="0" borderId="76" applyNumberFormat="0" applyAlignment="0" applyProtection="0">
      <alignment horizontal="left" vertical="center"/>
    </xf>
    <xf numFmtId="0" fontId="115" fillId="0" borderId="76" applyNumberFormat="0" applyAlignment="0" applyProtection="0">
      <alignment horizontal="left" vertical="center"/>
    </xf>
    <xf numFmtId="0" fontId="115" fillId="0" borderId="76" applyNumberFormat="0" applyAlignment="0" applyProtection="0">
      <alignment horizontal="left" vertical="center"/>
    </xf>
    <xf numFmtId="0" fontId="115" fillId="0" borderId="76" applyNumberFormat="0" applyAlignment="0" applyProtection="0">
      <alignment horizontal="left" vertical="center"/>
    </xf>
    <xf numFmtId="0" fontId="116" fillId="0" borderId="76" applyNumberFormat="0" applyAlignment="0" applyProtection="0">
      <alignment horizontal="left" vertical="center"/>
    </xf>
    <xf numFmtId="0" fontId="115" fillId="0" borderId="76" applyNumberFormat="0" applyAlignment="0" applyProtection="0">
      <alignment horizontal="left" vertical="center"/>
    </xf>
    <xf numFmtId="0" fontId="115" fillId="0" borderId="76" applyNumberFormat="0" applyAlignment="0" applyProtection="0">
      <alignment horizontal="left" vertical="center"/>
    </xf>
    <xf numFmtId="0" fontId="115" fillId="0" borderId="76" applyNumberFormat="0" applyAlignment="0" applyProtection="0">
      <alignment horizontal="left" vertical="center"/>
    </xf>
    <xf numFmtId="0" fontId="115" fillId="0" borderId="76" applyNumberFormat="0" applyAlignment="0" applyProtection="0">
      <alignment horizontal="left" vertical="center"/>
    </xf>
    <xf numFmtId="0" fontId="116" fillId="0" borderId="76" applyNumberFormat="0" applyAlignment="0" applyProtection="0">
      <alignment horizontal="left" vertical="center"/>
    </xf>
    <xf numFmtId="0" fontId="116" fillId="0" borderId="76" applyNumberFormat="0" applyAlignment="0" applyProtection="0">
      <alignment horizontal="left" vertical="center"/>
    </xf>
    <xf numFmtId="0" fontId="115" fillId="0" borderId="76" applyNumberFormat="0" applyAlignment="0" applyProtection="0">
      <alignment horizontal="left" vertical="center"/>
    </xf>
    <xf numFmtId="0" fontId="115" fillId="0" borderId="76" applyNumberFormat="0" applyAlignment="0" applyProtection="0">
      <alignment horizontal="left" vertical="center"/>
    </xf>
    <xf numFmtId="0" fontId="115" fillId="0" borderId="76" applyNumberFormat="0" applyAlignment="0" applyProtection="0">
      <alignment horizontal="left" vertical="center"/>
    </xf>
    <xf numFmtId="0" fontId="115" fillId="0" borderId="76" applyNumberFormat="0" applyAlignment="0" applyProtection="0">
      <alignment horizontal="left" vertical="center"/>
    </xf>
    <xf numFmtId="0" fontId="116" fillId="0" borderId="76" applyNumberFormat="0" applyAlignment="0" applyProtection="0">
      <alignment horizontal="left" vertical="center"/>
    </xf>
    <xf numFmtId="0" fontId="115" fillId="0" borderId="76" applyNumberFormat="0" applyAlignment="0" applyProtection="0">
      <alignment horizontal="left" vertical="center"/>
    </xf>
    <xf numFmtId="0" fontId="116" fillId="0" borderId="76" applyNumberFormat="0" applyAlignment="0" applyProtection="0">
      <alignment horizontal="left" vertical="center"/>
    </xf>
    <xf numFmtId="0" fontId="116" fillId="0" borderId="76" applyNumberFormat="0" applyAlignment="0" applyProtection="0">
      <alignment horizontal="left" vertical="center"/>
    </xf>
    <xf numFmtId="0" fontId="115" fillId="0" borderId="76" applyNumberFormat="0" applyAlignment="0" applyProtection="0">
      <alignment horizontal="left" vertical="center"/>
    </xf>
    <xf numFmtId="0" fontId="115" fillId="0" borderId="76" applyNumberFormat="0" applyAlignment="0" applyProtection="0">
      <alignment horizontal="left" vertical="center"/>
    </xf>
    <xf numFmtId="0" fontId="115" fillId="0" borderId="76" applyNumberFormat="0" applyAlignment="0" applyProtection="0">
      <alignment horizontal="left" vertical="center"/>
    </xf>
    <xf numFmtId="0" fontId="115" fillId="0" borderId="76" applyNumberFormat="0" applyAlignment="0" applyProtection="0">
      <alignment horizontal="left" vertical="center"/>
    </xf>
    <xf numFmtId="0" fontId="115" fillId="0" borderId="76" applyNumberFormat="0" applyAlignment="0" applyProtection="0">
      <alignment horizontal="left" vertical="center"/>
    </xf>
    <xf numFmtId="0" fontId="115" fillId="0" borderId="76" applyNumberFormat="0" applyAlignment="0" applyProtection="0">
      <alignment horizontal="left" vertical="center"/>
    </xf>
    <xf numFmtId="0" fontId="115" fillId="0" borderId="76" applyNumberFormat="0" applyAlignment="0" applyProtection="0">
      <alignment horizontal="left" vertical="center"/>
    </xf>
    <xf numFmtId="0" fontId="115" fillId="0" borderId="76" applyNumberFormat="0" applyAlignment="0" applyProtection="0">
      <alignment horizontal="left" vertical="center"/>
    </xf>
    <xf numFmtId="0" fontId="115" fillId="0" borderId="76" applyNumberFormat="0" applyAlignment="0" applyProtection="0">
      <alignment horizontal="left" vertical="center"/>
    </xf>
    <xf numFmtId="0" fontId="116" fillId="0" borderId="76" applyNumberFormat="0" applyAlignment="0" applyProtection="0">
      <alignment horizontal="left" vertical="center"/>
    </xf>
    <xf numFmtId="0" fontId="115" fillId="0" borderId="76" applyNumberFormat="0" applyAlignment="0" applyProtection="0">
      <alignment horizontal="left" vertical="center"/>
    </xf>
    <xf numFmtId="0" fontId="116" fillId="0" borderId="76" applyNumberFormat="0" applyAlignment="0" applyProtection="0">
      <alignment horizontal="left" vertical="center"/>
    </xf>
    <xf numFmtId="0" fontId="116" fillId="0" borderId="76" applyNumberFormat="0" applyAlignment="0" applyProtection="0">
      <alignment horizontal="left" vertical="center"/>
    </xf>
    <xf numFmtId="0" fontId="115" fillId="0" borderId="76" applyNumberFormat="0" applyAlignment="0" applyProtection="0">
      <alignment horizontal="left" vertical="center"/>
    </xf>
    <xf numFmtId="0" fontId="115" fillId="0" borderId="76" applyNumberFormat="0" applyAlignment="0" applyProtection="0">
      <alignment horizontal="left" vertical="center"/>
    </xf>
    <xf numFmtId="0" fontId="115" fillId="0" borderId="76" applyNumberFormat="0" applyAlignment="0" applyProtection="0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6" fillId="0" borderId="13">
      <alignment horizontal="left" vertical="center"/>
    </xf>
    <xf numFmtId="0" fontId="116" fillId="0" borderId="13">
      <alignment horizontal="left" vertical="center"/>
    </xf>
    <xf numFmtId="0" fontId="116" fillId="0" borderId="13">
      <alignment horizontal="left" vertical="center"/>
    </xf>
    <xf numFmtId="0" fontId="116" fillId="0" borderId="13">
      <alignment horizontal="left" vertical="center"/>
    </xf>
    <xf numFmtId="0" fontId="116" fillId="0" borderId="13">
      <alignment horizontal="left" vertical="center"/>
    </xf>
    <xf numFmtId="0" fontId="116" fillId="0" borderId="13">
      <alignment horizontal="left" vertical="center"/>
    </xf>
    <xf numFmtId="0" fontId="116" fillId="0" borderId="13">
      <alignment horizontal="left" vertical="center"/>
    </xf>
    <xf numFmtId="0" fontId="116" fillId="0" borderId="13">
      <alignment horizontal="left" vertical="center"/>
    </xf>
    <xf numFmtId="0" fontId="116" fillId="0" borderId="13">
      <alignment horizontal="left" vertical="center"/>
    </xf>
    <xf numFmtId="0" fontId="116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6" fillId="0" borderId="13">
      <alignment horizontal="left" vertical="center"/>
    </xf>
    <xf numFmtId="0" fontId="115" fillId="0" borderId="13">
      <alignment horizontal="left" vertical="center"/>
    </xf>
    <xf numFmtId="0" fontId="116" fillId="0" borderId="13">
      <alignment horizontal="left" vertical="center"/>
    </xf>
    <xf numFmtId="0" fontId="116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6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6" fillId="0" borderId="13">
      <alignment horizontal="left" vertical="center"/>
    </xf>
    <xf numFmtId="0" fontId="116" fillId="0" borderId="13">
      <alignment horizontal="left" vertical="center"/>
    </xf>
    <xf numFmtId="0" fontId="116" fillId="0" borderId="13">
      <alignment horizontal="left" vertical="center"/>
    </xf>
    <xf numFmtId="0" fontId="116" fillId="0" borderId="13">
      <alignment horizontal="left" vertical="center"/>
    </xf>
    <xf numFmtId="0" fontId="116" fillId="0" borderId="13">
      <alignment horizontal="left" vertical="center"/>
    </xf>
    <xf numFmtId="0" fontId="116" fillId="0" borderId="13">
      <alignment horizontal="left" vertical="center"/>
    </xf>
    <xf numFmtId="0" fontId="116" fillId="0" borderId="13">
      <alignment horizontal="left" vertical="center"/>
    </xf>
    <xf numFmtId="0" fontId="116" fillId="0" borderId="13">
      <alignment horizontal="left" vertical="center"/>
    </xf>
    <xf numFmtId="0" fontId="116" fillId="0" borderId="13">
      <alignment horizontal="left" vertical="center"/>
    </xf>
    <xf numFmtId="0" fontId="116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6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6" fillId="0" borderId="13">
      <alignment horizontal="left" vertical="center"/>
    </xf>
    <xf numFmtId="0" fontId="116" fillId="0" borderId="13">
      <alignment horizontal="left" vertical="center"/>
    </xf>
    <xf numFmtId="0" fontId="115" fillId="0" borderId="13">
      <alignment horizontal="left" vertical="center"/>
    </xf>
    <xf numFmtId="0" fontId="116" fillId="0" borderId="13">
      <alignment horizontal="left" vertical="center"/>
    </xf>
    <xf numFmtId="0" fontId="116" fillId="0" borderId="13">
      <alignment horizontal="left" vertical="center"/>
    </xf>
    <xf numFmtId="0" fontId="115" fillId="0" borderId="13">
      <alignment horizontal="left" vertical="center"/>
    </xf>
    <xf numFmtId="0" fontId="116" fillId="0" borderId="13">
      <alignment horizontal="left" vertical="center"/>
    </xf>
    <xf numFmtId="0" fontId="116" fillId="0" borderId="13">
      <alignment horizontal="left" vertical="center"/>
    </xf>
    <xf numFmtId="0" fontId="116" fillId="0" borderId="13">
      <alignment horizontal="left" vertical="center"/>
    </xf>
    <xf numFmtId="0" fontId="116" fillId="0" borderId="13">
      <alignment horizontal="left" vertical="center"/>
    </xf>
    <xf numFmtId="0" fontId="116" fillId="0" borderId="13">
      <alignment horizontal="left" vertical="center"/>
    </xf>
    <xf numFmtId="0" fontId="116" fillId="0" borderId="13">
      <alignment horizontal="left" vertical="center"/>
    </xf>
    <xf numFmtId="0" fontId="116" fillId="0" borderId="13">
      <alignment horizontal="left" vertical="center"/>
    </xf>
    <xf numFmtId="0" fontId="115" fillId="0" borderId="13">
      <alignment horizontal="left" vertical="center"/>
    </xf>
    <xf numFmtId="0" fontId="116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6" fillId="0" borderId="13">
      <alignment horizontal="left" vertical="center"/>
    </xf>
    <xf numFmtId="0" fontId="115" fillId="0" borderId="13">
      <alignment horizontal="left" vertical="center"/>
    </xf>
    <xf numFmtId="0" fontId="116" fillId="0" borderId="13">
      <alignment horizontal="left" vertical="center"/>
    </xf>
    <xf numFmtId="0" fontId="116" fillId="0" borderId="13">
      <alignment horizontal="left" vertical="center"/>
    </xf>
    <xf numFmtId="0" fontId="116" fillId="0" borderId="13">
      <alignment horizontal="left" vertical="center"/>
    </xf>
    <xf numFmtId="0" fontId="116" fillId="0" borderId="13">
      <alignment horizontal="left" vertical="center"/>
    </xf>
    <xf numFmtId="0" fontId="116" fillId="0" borderId="13">
      <alignment horizontal="left" vertical="center"/>
    </xf>
    <xf numFmtId="0" fontId="116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5" fillId="0" borderId="13">
      <alignment horizontal="left" vertical="center"/>
    </xf>
    <xf numFmtId="0" fontId="117" fillId="0" borderId="90" applyNumberFormat="0" applyFill="0" applyAlignment="0" applyProtection="0"/>
    <xf numFmtId="0" fontId="118" fillId="0" borderId="90" applyNumberFormat="0" applyFill="0" applyAlignment="0" applyProtection="0">
      <alignment vertical="center"/>
    </xf>
    <xf numFmtId="0" fontId="117" fillId="0" borderId="90" applyNumberFormat="0" applyFill="0" applyAlignment="0" applyProtection="0"/>
    <xf numFmtId="0" fontId="118" fillId="0" borderId="90" applyNumberFormat="0" applyFill="0" applyAlignment="0" applyProtection="0">
      <alignment vertical="center"/>
    </xf>
    <xf numFmtId="0" fontId="119" fillId="0" borderId="91" applyNumberFormat="0" applyFill="0" applyAlignment="0" applyProtection="0"/>
    <xf numFmtId="0" fontId="120" fillId="0" borderId="91" applyNumberFormat="0" applyFill="0" applyAlignment="0" applyProtection="0">
      <alignment vertical="center"/>
    </xf>
    <xf numFmtId="0" fontId="121" fillId="0" borderId="90" applyNumberFormat="0" applyFill="0" applyAlignment="0" applyProtection="0"/>
    <xf numFmtId="0" fontId="122" fillId="0" borderId="90" applyNumberFormat="0" applyFill="0" applyAlignment="0" applyProtection="0">
      <alignment vertical="center"/>
    </xf>
    <xf numFmtId="0" fontId="117" fillId="0" borderId="90" applyNumberFormat="0" applyFill="0" applyAlignment="0" applyProtection="0"/>
    <xf numFmtId="0" fontId="118" fillId="0" borderId="90" applyNumberFormat="0" applyFill="0" applyAlignment="0" applyProtection="0">
      <alignment vertical="center"/>
    </xf>
    <xf numFmtId="0" fontId="117" fillId="0" borderId="90" applyNumberFormat="0" applyFill="0" applyAlignment="0" applyProtection="0"/>
    <xf numFmtId="0" fontId="118" fillId="0" borderId="90" applyNumberFormat="0" applyFill="0" applyAlignment="0" applyProtection="0">
      <alignment vertical="center"/>
    </xf>
    <xf numFmtId="0" fontId="117" fillId="0" borderId="90" applyNumberFormat="0" applyFill="0" applyAlignment="0" applyProtection="0"/>
    <xf numFmtId="0" fontId="118" fillId="0" borderId="90" applyNumberFormat="0" applyFill="0" applyAlignment="0" applyProtection="0">
      <alignment vertical="center"/>
    </xf>
    <xf numFmtId="0" fontId="117" fillId="0" borderId="90" applyNumberFormat="0" applyFill="0" applyAlignment="0" applyProtection="0"/>
    <xf numFmtId="0" fontId="118" fillId="0" borderId="90" applyNumberFormat="0" applyFill="0" applyAlignment="0" applyProtection="0">
      <alignment vertical="center"/>
    </xf>
    <xf numFmtId="0" fontId="117" fillId="0" borderId="90" applyNumberFormat="0" applyFill="0" applyAlignment="0" applyProtection="0"/>
    <xf numFmtId="0" fontId="118" fillId="0" borderId="90" applyNumberFormat="0" applyFill="0" applyAlignment="0" applyProtection="0">
      <alignment vertical="center"/>
    </xf>
    <xf numFmtId="0" fontId="117" fillId="0" borderId="90" applyNumberFormat="0" applyFill="0" applyAlignment="0" applyProtection="0"/>
    <xf numFmtId="0" fontId="118" fillId="0" borderId="90" applyNumberFormat="0" applyFill="0" applyAlignment="0" applyProtection="0">
      <alignment vertical="center"/>
    </xf>
    <xf numFmtId="0" fontId="117" fillId="0" borderId="90" applyNumberFormat="0" applyFill="0" applyAlignment="0" applyProtection="0"/>
    <xf numFmtId="0" fontId="118" fillId="0" borderId="90" applyNumberFormat="0" applyFill="0" applyAlignment="0" applyProtection="0">
      <alignment vertical="center"/>
    </xf>
    <xf numFmtId="0" fontId="123" fillId="0" borderId="92" applyNumberFormat="0" applyFill="0" applyAlignment="0" applyProtection="0"/>
    <xf numFmtId="0" fontId="124" fillId="0" borderId="92" applyNumberFormat="0" applyFill="0" applyAlignment="0" applyProtection="0">
      <alignment vertical="center"/>
    </xf>
    <xf numFmtId="0" fontId="123" fillId="0" borderId="92" applyNumberFormat="0" applyFill="0" applyAlignment="0" applyProtection="0"/>
    <xf numFmtId="0" fontId="124" fillId="0" borderId="92" applyNumberFormat="0" applyFill="0" applyAlignment="0" applyProtection="0">
      <alignment vertical="center"/>
    </xf>
    <xf numFmtId="0" fontId="125" fillId="0" borderId="92" applyNumberFormat="0" applyFill="0" applyAlignment="0" applyProtection="0"/>
    <xf numFmtId="0" fontId="126" fillId="0" borderId="92" applyNumberFormat="0" applyFill="0" applyAlignment="0" applyProtection="0">
      <alignment vertical="center"/>
    </xf>
    <xf numFmtId="0" fontId="127" fillId="0" borderId="92" applyNumberFormat="0" applyFill="0" applyAlignment="0" applyProtection="0"/>
    <xf numFmtId="0" fontId="128" fillId="0" borderId="92" applyNumberFormat="0" applyFill="0" applyAlignment="0" applyProtection="0">
      <alignment vertical="center"/>
    </xf>
    <xf numFmtId="0" fontId="123" fillId="0" borderId="92" applyNumberFormat="0" applyFill="0" applyAlignment="0" applyProtection="0"/>
    <xf numFmtId="0" fontId="124" fillId="0" borderId="92" applyNumberFormat="0" applyFill="0" applyAlignment="0" applyProtection="0">
      <alignment vertical="center"/>
    </xf>
    <xf numFmtId="0" fontId="123" fillId="0" borderId="92" applyNumberFormat="0" applyFill="0" applyAlignment="0" applyProtection="0"/>
    <xf numFmtId="0" fontId="124" fillId="0" borderId="92" applyNumberFormat="0" applyFill="0" applyAlignment="0" applyProtection="0">
      <alignment vertical="center"/>
    </xf>
    <xf numFmtId="0" fontId="123" fillId="0" borderId="92" applyNumberFormat="0" applyFill="0" applyAlignment="0" applyProtection="0"/>
    <xf numFmtId="0" fontId="124" fillId="0" borderId="92" applyNumberFormat="0" applyFill="0" applyAlignment="0" applyProtection="0">
      <alignment vertical="center"/>
    </xf>
    <xf numFmtId="0" fontId="123" fillId="0" borderId="92" applyNumberFormat="0" applyFill="0" applyAlignment="0" applyProtection="0"/>
    <xf numFmtId="0" fontId="124" fillId="0" borderId="92" applyNumberFormat="0" applyFill="0" applyAlignment="0" applyProtection="0">
      <alignment vertical="center"/>
    </xf>
    <xf numFmtId="0" fontId="123" fillId="0" borderId="92" applyNumberFormat="0" applyFill="0" applyAlignment="0" applyProtection="0"/>
    <xf numFmtId="0" fontId="124" fillId="0" borderId="92" applyNumberFormat="0" applyFill="0" applyAlignment="0" applyProtection="0">
      <alignment vertical="center"/>
    </xf>
    <xf numFmtId="0" fontId="123" fillId="0" borderId="92" applyNumberFormat="0" applyFill="0" applyAlignment="0" applyProtection="0"/>
    <xf numFmtId="0" fontId="124" fillId="0" borderId="92" applyNumberFormat="0" applyFill="0" applyAlignment="0" applyProtection="0">
      <alignment vertical="center"/>
    </xf>
    <xf numFmtId="0" fontId="123" fillId="0" borderId="92" applyNumberFormat="0" applyFill="0" applyAlignment="0" applyProtection="0"/>
    <xf numFmtId="0" fontId="124" fillId="0" borderId="92" applyNumberFormat="0" applyFill="0" applyAlignment="0" applyProtection="0">
      <alignment vertical="center"/>
    </xf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30" fillId="0" borderId="93" applyNumberFormat="0" applyFill="0" applyAlignment="0" applyProtection="0">
      <alignment vertical="center"/>
    </xf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29" fillId="0" borderId="93" applyNumberFormat="0" applyFill="0" applyAlignment="0" applyProtection="0"/>
    <xf numFmtId="0" fontId="130" fillId="0" borderId="93" applyNumberFormat="0" applyFill="0" applyAlignment="0" applyProtection="0">
      <alignment vertical="center"/>
    </xf>
    <xf numFmtId="0" fontId="129" fillId="0" borderId="93" applyNumberFormat="0" applyFill="0" applyAlignment="0" applyProtection="0"/>
    <xf numFmtId="0" fontId="130" fillId="0" borderId="93" applyNumberFormat="0" applyFill="0" applyAlignment="0" applyProtection="0">
      <alignment vertical="center"/>
    </xf>
    <xf numFmtId="0" fontId="129" fillId="0" borderId="93" applyNumberFormat="0" applyFill="0" applyAlignment="0" applyProtection="0"/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30" fillId="0" borderId="93" applyNumberFormat="0" applyFill="0" applyAlignment="0" applyProtection="0">
      <alignment vertical="center"/>
    </xf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29" fillId="0" borderId="93" applyNumberFormat="0" applyFill="0" applyAlignment="0" applyProtection="0"/>
    <xf numFmtId="0" fontId="130" fillId="0" borderId="93" applyNumberFormat="0" applyFill="0" applyAlignment="0" applyProtection="0">
      <alignment vertical="center"/>
    </xf>
    <xf numFmtId="0" fontId="129" fillId="0" borderId="93" applyNumberFormat="0" applyFill="0" applyAlignment="0" applyProtection="0"/>
    <xf numFmtId="0" fontId="130" fillId="0" borderId="93" applyNumberFormat="0" applyFill="0" applyAlignment="0" applyProtection="0">
      <alignment vertical="center"/>
    </xf>
    <xf numFmtId="0" fontId="129" fillId="0" borderId="93" applyNumberFormat="0" applyFill="0" applyAlignment="0" applyProtection="0"/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1" fillId="0" borderId="94" applyNumberFormat="0" applyFill="0" applyAlignment="0" applyProtection="0"/>
    <xf numFmtId="0" fontId="131" fillId="0" borderId="94" applyNumberFormat="0" applyFill="0" applyAlignment="0" applyProtection="0"/>
    <xf numFmtId="0" fontId="131" fillId="0" borderId="94" applyNumberFormat="0" applyFill="0" applyAlignment="0" applyProtection="0"/>
    <xf numFmtId="0" fontId="131" fillId="0" borderId="94" applyNumberFormat="0" applyFill="0" applyAlignment="0" applyProtection="0"/>
    <xf numFmtId="0" fontId="131" fillId="0" borderId="94" applyNumberFormat="0" applyFill="0" applyAlignment="0" applyProtection="0"/>
    <xf numFmtId="0" fontId="131" fillId="0" borderId="94" applyNumberFormat="0" applyFill="0" applyAlignment="0" applyProtection="0"/>
    <xf numFmtId="0" fontId="131" fillId="0" borderId="94" applyNumberFormat="0" applyFill="0" applyAlignment="0" applyProtection="0"/>
    <xf numFmtId="0" fontId="131" fillId="0" borderId="94" applyNumberFormat="0" applyFill="0" applyAlignment="0" applyProtection="0"/>
    <xf numFmtId="0" fontId="131" fillId="0" borderId="94" applyNumberFormat="0" applyFill="0" applyAlignment="0" applyProtection="0"/>
    <xf numFmtId="0" fontId="131" fillId="0" borderId="94" applyNumberFormat="0" applyFill="0" applyAlignment="0" applyProtection="0"/>
    <xf numFmtId="0" fontId="131" fillId="0" borderId="94" applyNumberFormat="0" applyFill="0" applyAlignment="0" applyProtection="0"/>
    <xf numFmtId="0" fontId="131" fillId="0" borderId="94" applyNumberFormat="0" applyFill="0" applyAlignment="0" applyProtection="0"/>
    <xf numFmtId="0" fontId="131" fillId="0" borderId="94" applyNumberFormat="0" applyFill="0" applyAlignment="0" applyProtection="0"/>
    <xf numFmtId="0" fontId="131" fillId="0" borderId="94" applyNumberFormat="0" applyFill="0" applyAlignment="0" applyProtection="0"/>
    <xf numFmtId="0" fontId="131" fillId="0" borderId="94" applyNumberFormat="0" applyFill="0" applyAlignment="0" applyProtection="0"/>
    <xf numFmtId="0" fontId="131" fillId="0" borderId="94" applyNumberFormat="0" applyFill="0" applyAlignment="0" applyProtection="0"/>
    <xf numFmtId="0" fontId="131" fillId="0" borderId="94" applyNumberFormat="0" applyFill="0" applyAlignment="0" applyProtection="0"/>
    <xf numFmtId="0" fontId="131" fillId="0" borderId="94" applyNumberFormat="0" applyFill="0" applyAlignment="0" applyProtection="0"/>
    <xf numFmtId="0" fontId="131" fillId="0" borderId="94" applyNumberFormat="0" applyFill="0" applyAlignment="0" applyProtection="0"/>
    <xf numFmtId="0" fontId="131" fillId="0" borderId="94" applyNumberFormat="0" applyFill="0" applyAlignment="0" applyProtection="0"/>
    <xf numFmtId="0" fontId="131" fillId="0" borderId="94" applyNumberFormat="0" applyFill="0" applyAlignment="0" applyProtection="0"/>
    <xf numFmtId="0" fontId="131" fillId="0" borderId="94" applyNumberFormat="0" applyFill="0" applyAlignment="0" applyProtection="0"/>
    <xf numFmtId="0" fontId="131" fillId="0" borderId="94" applyNumberFormat="0" applyFill="0" applyAlignment="0" applyProtection="0"/>
    <xf numFmtId="0" fontId="131" fillId="0" borderId="94" applyNumberFormat="0" applyFill="0" applyAlignment="0" applyProtection="0"/>
    <xf numFmtId="0" fontId="131" fillId="0" borderId="94" applyNumberFormat="0" applyFill="0" applyAlignment="0" applyProtection="0"/>
    <xf numFmtId="0" fontId="132" fillId="0" borderId="94" applyNumberFormat="0" applyFill="0" applyAlignment="0" applyProtection="0">
      <alignment vertical="center"/>
    </xf>
    <xf numFmtId="0" fontId="132" fillId="0" borderId="94" applyNumberFormat="0" applyFill="0" applyAlignment="0" applyProtection="0">
      <alignment vertical="center"/>
    </xf>
    <xf numFmtId="0" fontId="132" fillId="0" borderId="94" applyNumberFormat="0" applyFill="0" applyAlignment="0" applyProtection="0">
      <alignment vertical="center"/>
    </xf>
    <xf numFmtId="0" fontId="132" fillId="0" borderId="94" applyNumberFormat="0" applyFill="0" applyAlignment="0" applyProtection="0">
      <alignment vertical="center"/>
    </xf>
    <xf numFmtId="0" fontId="132" fillId="0" borderId="94" applyNumberFormat="0" applyFill="0" applyAlignment="0" applyProtection="0">
      <alignment vertical="center"/>
    </xf>
    <xf numFmtId="0" fontId="132" fillId="0" borderId="94" applyNumberFormat="0" applyFill="0" applyAlignment="0" applyProtection="0">
      <alignment vertical="center"/>
    </xf>
    <xf numFmtId="0" fontId="131" fillId="0" borderId="94" applyNumberFormat="0" applyFill="0" applyAlignment="0" applyProtection="0"/>
    <xf numFmtId="0" fontId="131" fillId="0" borderId="94" applyNumberFormat="0" applyFill="0" applyAlignment="0" applyProtection="0"/>
    <xf numFmtId="0" fontId="131" fillId="0" borderId="94" applyNumberFormat="0" applyFill="0" applyAlignment="0" applyProtection="0"/>
    <xf numFmtId="0" fontId="131" fillId="0" borderId="94" applyNumberFormat="0" applyFill="0" applyAlignment="0" applyProtection="0"/>
    <xf numFmtId="0" fontId="131" fillId="0" borderId="94" applyNumberFormat="0" applyFill="0" applyAlignment="0" applyProtection="0"/>
    <xf numFmtId="0" fontId="131" fillId="0" borderId="94" applyNumberFormat="0" applyFill="0" applyAlignment="0" applyProtection="0"/>
    <xf numFmtId="0" fontId="131" fillId="0" borderId="94" applyNumberFormat="0" applyFill="0" applyAlignment="0" applyProtection="0"/>
    <xf numFmtId="0" fontId="131" fillId="0" borderId="94" applyNumberFormat="0" applyFill="0" applyAlignment="0" applyProtection="0"/>
    <xf numFmtId="0" fontId="131" fillId="0" borderId="94" applyNumberFormat="0" applyFill="0" applyAlignment="0" applyProtection="0"/>
    <xf numFmtId="0" fontId="131" fillId="0" borderId="94" applyNumberFormat="0" applyFill="0" applyAlignment="0" applyProtection="0"/>
    <xf numFmtId="0" fontId="131" fillId="0" borderId="94" applyNumberFormat="0" applyFill="0" applyAlignment="0" applyProtection="0"/>
    <xf numFmtId="0" fontId="131" fillId="0" borderId="94" applyNumberFormat="0" applyFill="0" applyAlignment="0" applyProtection="0"/>
    <xf numFmtId="0" fontId="131" fillId="0" borderId="94" applyNumberFormat="0" applyFill="0" applyAlignment="0" applyProtection="0"/>
    <xf numFmtId="0" fontId="131" fillId="0" borderId="94" applyNumberFormat="0" applyFill="0" applyAlignment="0" applyProtection="0"/>
    <xf numFmtId="0" fontId="131" fillId="0" borderId="94" applyNumberFormat="0" applyFill="0" applyAlignment="0" applyProtection="0"/>
    <xf numFmtId="0" fontId="131" fillId="0" borderId="94" applyNumberFormat="0" applyFill="0" applyAlignment="0" applyProtection="0"/>
    <xf numFmtId="0" fontId="132" fillId="0" borderId="94" applyNumberFormat="0" applyFill="0" applyAlignment="0" applyProtection="0">
      <alignment vertical="center"/>
    </xf>
    <xf numFmtId="0" fontId="131" fillId="0" borderId="94" applyNumberFormat="0" applyFill="0" applyAlignment="0" applyProtection="0"/>
    <xf numFmtId="0" fontId="131" fillId="0" borderId="94" applyNumberFormat="0" applyFill="0" applyAlignment="0" applyProtection="0"/>
    <xf numFmtId="0" fontId="131" fillId="0" borderId="94" applyNumberFormat="0" applyFill="0" applyAlignment="0" applyProtection="0"/>
    <xf numFmtId="0" fontId="131" fillId="0" borderId="94" applyNumberFormat="0" applyFill="0" applyAlignment="0" applyProtection="0"/>
    <xf numFmtId="0" fontId="131" fillId="0" borderId="94" applyNumberFormat="0" applyFill="0" applyAlignment="0" applyProtection="0"/>
    <xf numFmtId="0" fontId="131" fillId="0" borderId="94" applyNumberFormat="0" applyFill="0" applyAlignment="0" applyProtection="0"/>
    <xf numFmtId="0" fontId="131" fillId="0" borderId="94" applyNumberFormat="0" applyFill="0" applyAlignment="0" applyProtection="0"/>
    <xf numFmtId="0" fontId="131" fillId="0" borderId="94" applyNumberFormat="0" applyFill="0" applyAlignment="0" applyProtection="0"/>
    <xf numFmtId="0" fontId="132" fillId="0" borderId="94" applyNumberFormat="0" applyFill="0" applyAlignment="0" applyProtection="0">
      <alignment vertical="center"/>
    </xf>
    <xf numFmtId="0" fontId="132" fillId="0" borderId="94" applyNumberFormat="0" applyFill="0" applyAlignment="0" applyProtection="0">
      <alignment vertical="center"/>
    </xf>
    <xf numFmtId="0" fontId="132" fillId="0" borderId="94" applyNumberFormat="0" applyFill="0" applyAlignment="0" applyProtection="0">
      <alignment vertical="center"/>
    </xf>
    <xf numFmtId="0" fontId="131" fillId="0" borderId="94" applyNumberFormat="0" applyFill="0" applyAlignment="0" applyProtection="0"/>
    <xf numFmtId="0" fontId="132" fillId="0" borderId="94" applyNumberFormat="0" applyFill="0" applyAlignment="0" applyProtection="0">
      <alignment vertical="center"/>
    </xf>
    <xf numFmtId="0" fontId="131" fillId="0" borderId="94" applyNumberFormat="0" applyFill="0" applyAlignment="0" applyProtection="0"/>
    <xf numFmtId="0" fontId="132" fillId="0" borderId="94" applyNumberFormat="0" applyFill="0" applyAlignment="0" applyProtection="0">
      <alignment vertical="center"/>
    </xf>
    <xf numFmtId="0" fontId="131" fillId="0" borderId="94" applyNumberFormat="0" applyFill="0" applyAlignment="0" applyProtection="0"/>
    <xf numFmtId="0" fontId="132" fillId="0" borderId="94" applyNumberFormat="0" applyFill="0" applyAlignment="0" applyProtection="0">
      <alignment vertical="center"/>
    </xf>
    <xf numFmtId="0" fontId="132" fillId="0" borderId="94" applyNumberFormat="0" applyFill="0" applyAlignment="0" applyProtection="0">
      <alignment vertical="center"/>
    </xf>
    <xf numFmtId="0" fontId="132" fillId="0" borderId="94" applyNumberFormat="0" applyFill="0" applyAlignment="0" applyProtection="0">
      <alignment vertical="center"/>
    </xf>
    <xf numFmtId="0" fontId="132" fillId="0" borderId="94" applyNumberFormat="0" applyFill="0" applyAlignment="0" applyProtection="0">
      <alignment vertical="center"/>
    </xf>
    <xf numFmtId="0" fontId="132" fillId="0" borderId="94" applyNumberFormat="0" applyFill="0" applyAlignment="0" applyProtection="0">
      <alignment vertical="center"/>
    </xf>
    <xf numFmtId="0" fontId="132" fillId="0" borderId="94" applyNumberFormat="0" applyFill="0" applyAlignment="0" applyProtection="0">
      <alignment vertical="center"/>
    </xf>
    <xf numFmtId="0" fontId="131" fillId="0" borderId="94" applyNumberFormat="0" applyFill="0" applyAlignment="0" applyProtection="0"/>
    <xf numFmtId="0" fontId="131" fillId="0" borderId="94" applyNumberFormat="0" applyFill="0" applyAlignment="0" applyProtection="0"/>
    <xf numFmtId="0" fontId="131" fillId="0" borderId="94" applyNumberFormat="0" applyFill="0" applyAlignment="0" applyProtection="0"/>
    <xf numFmtId="0" fontId="131" fillId="0" borderId="94" applyNumberFormat="0" applyFill="0" applyAlignment="0" applyProtection="0"/>
    <xf numFmtId="0" fontId="131" fillId="0" borderId="94" applyNumberFormat="0" applyFill="0" applyAlignment="0" applyProtection="0"/>
    <xf numFmtId="0" fontId="132" fillId="0" borderId="94" applyNumberFormat="0" applyFill="0" applyAlignment="0" applyProtection="0">
      <alignment vertical="center"/>
    </xf>
    <xf numFmtId="0" fontId="132" fillId="0" borderId="94" applyNumberFormat="0" applyFill="0" applyAlignment="0" applyProtection="0">
      <alignment vertical="center"/>
    </xf>
    <xf numFmtId="0" fontId="131" fillId="0" borderId="94" applyNumberFormat="0" applyFill="0" applyAlignment="0" applyProtection="0"/>
    <xf numFmtId="0" fontId="131" fillId="0" borderId="94" applyNumberFormat="0" applyFill="0" applyAlignment="0" applyProtection="0"/>
    <xf numFmtId="0" fontId="131" fillId="0" borderId="94" applyNumberFormat="0" applyFill="0" applyAlignment="0" applyProtection="0"/>
    <xf numFmtId="0" fontId="131" fillId="0" borderId="94" applyNumberFormat="0" applyFill="0" applyAlignment="0" applyProtection="0"/>
    <xf numFmtId="0" fontId="131" fillId="0" borderId="94" applyNumberFormat="0" applyFill="0" applyAlignment="0" applyProtection="0"/>
    <xf numFmtId="0" fontId="131" fillId="0" borderId="94" applyNumberFormat="0" applyFill="0" applyAlignment="0" applyProtection="0"/>
    <xf numFmtId="0" fontId="131" fillId="0" borderId="94" applyNumberFormat="0" applyFill="0" applyAlignment="0" applyProtection="0"/>
    <xf numFmtId="0" fontId="131" fillId="0" borderId="94" applyNumberFormat="0" applyFill="0" applyAlignment="0" applyProtection="0"/>
    <xf numFmtId="0" fontId="131" fillId="0" borderId="94" applyNumberFormat="0" applyFill="0" applyAlignment="0" applyProtection="0"/>
    <xf numFmtId="0" fontId="131" fillId="0" borderId="94" applyNumberFormat="0" applyFill="0" applyAlignment="0" applyProtection="0"/>
    <xf numFmtId="0" fontId="131" fillId="0" borderId="94" applyNumberFormat="0" applyFill="0" applyAlignment="0" applyProtection="0"/>
    <xf numFmtId="0" fontId="131" fillId="0" borderId="94" applyNumberFormat="0" applyFill="0" applyAlignment="0" applyProtection="0"/>
    <xf numFmtId="0" fontId="131" fillId="0" borderId="94" applyNumberFormat="0" applyFill="0" applyAlignment="0" applyProtection="0"/>
    <xf numFmtId="0" fontId="131" fillId="0" borderId="94" applyNumberFormat="0" applyFill="0" applyAlignment="0" applyProtection="0"/>
    <xf numFmtId="0" fontId="131" fillId="0" borderId="94" applyNumberFormat="0" applyFill="0" applyAlignment="0" applyProtection="0"/>
    <xf numFmtId="0" fontId="131" fillId="0" borderId="94" applyNumberFormat="0" applyFill="0" applyAlignment="0" applyProtection="0"/>
    <xf numFmtId="0" fontId="131" fillId="0" borderId="94" applyNumberFormat="0" applyFill="0" applyAlignment="0" applyProtection="0"/>
    <xf numFmtId="0" fontId="131" fillId="0" borderId="94" applyNumberFormat="0" applyFill="0" applyAlignment="0" applyProtection="0"/>
    <xf numFmtId="0" fontId="131" fillId="0" borderId="94" applyNumberFormat="0" applyFill="0" applyAlignment="0" applyProtection="0"/>
    <xf numFmtId="0" fontId="131" fillId="0" borderId="94" applyNumberFormat="0" applyFill="0" applyAlignment="0" applyProtection="0"/>
    <xf numFmtId="0" fontId="131" fillId="0" borderId="94" applyNumberFormat="0" applyFill="0" applyAlignment="0" applyProtection="0"/>
    <xf numFmtId="0" fontId="131" fillId="0" borderId="94" applyNumberFormat="0" applyFill="0" applyAlignment="0" applyProtection="0"/>
    <xf numFmtId="0" fontId="131" fillId="0" borderId="94" applyNumberFormat="0" applyFill="0" applyAlignment="0" applyProtection="0"/>
    <xf numFmtId="0" fontId="131" fillId="0" borderId="94" applyNumberFormat="0" applyFill="0" applyAlignment="0" applyProtection="0"/>
    <xf numFmtId="0" fontId="131" fillId="0" borderId="94" applyNumberFormat="0" applyFill="0" applyAlignment="0" applyProtection="0"/>
    <xf numFmtId="0" fontId="131" fillId="0" borderId="94" applyNumberFormat="0" applyFill="0" applyAlignment="0" applyProtection="0"/>
    <xf numFmtId="0" fontId="131" fillId="0" borderId="94" applyNumberFormat="0" applyFill="0" applyAlignment="0" applyProtection="0"/>
    <xf numFmtId="0" fontId="131" fillId="0" borderId="94" applyNumberFormat="0" applyFill="0" applyAlignment="0" applyProtection="0"/>
    <xf numFmtId="0" fontId="131" fillId="0" borderId="94" applyNumberFormat="0" applyFill="0" applyAlignment="0" applyProtection="0"/>
    <xf numFmtId="0" fontId="131" fillId="0" borderId="94" applyNumberFormat="0" applyFill="0" applyAlignment="0" applyProtection="0"/>
    <xf numFmtId="0" fontId="131" fillId="0" borderId="94" applyNumberFormat="0" applyFill="0" applyAlignment="0" applyProtection="0"/>
    <xf numFmtId="0" fontId="132" fillId="0" borderId="94" applyNumberFormat="0" applyFill="0" applyAlignment="0" applyProtection="0">
      <alignment vertical="center"/>
    </xf>
    <xf numFmtId="0" fontId="132" fillId="0" borderId="94" applyNumberFormat="0" applyFill="0" applyAlignment="0" applyProtection="0">
      <alignment vertical="center"/>
    </xf>
    <xf numFmtId="0" fontId="132" fillId="0" borderId="94" applyNumberFormat="0" applyFill="0" applyAlignment="0" applyProtection="0">
      <alignment vertical="center"/>
    </xf>
    <xf numFmtId="0" fontId="132" fillId="0" borderId="94" applyNumberFormat="0" applyFill="0" applyAlignment="0" applyProtection="0">
      <alignment vertical="center"/>
    </xf>
    <xf numFmtId="0" fontId="132" fillId="0" borderId="94" applyNumberFormat="0" applyFill="0" applyAlignment="0" applyProtection="0">
      <alignment vertical="center"/>
    </xf>
    <xf numFmtId="0" fontId="132" fillId="0" borderId="94" applyNumberFormat="0" applyFill="0" applyAlignment="0" applyProtection="0">
      <alignment vertical="center"/>
    </xf>
    <xf numFmtId="0" fontId="133" fillId="0" borderId="93" applyNumberFormat="0" applyFill="0" applyAlignment="0" applyProtection="0"/>
    <xf numFmtId="0" fontId="133" fillId="0" borderId="93" applyNumberFormat="0" applyFill="0" applyAlignment="0" applyProtection="0"/>
    <xf numFmtId="0" fontId="133" fillId="0" borderId="93" applyNumberFormat="0" applyFill="0" applyAlignment="0" applyProtection="0"/>
    <xf numFmtId="0" fontId="133" fillId="0" borderId="93" applyNumberFormat="0" applyFill="0" applyAlignment="0" applyProtection="0"/>
    <xf numFmtId="0" fontId="133" fillId="0" borderId="93" applyNumberFormat="0" applyFill="0" applyAlignment="0" applyProtection="0"/>
    <xf numFmtId="0" fontId="133" fillId="0" borderId="93" applyNumberFormat="0" applyFill="0" applyAlignment="0" applyProtection="0"/>
    <xf numFmtId="0" fontId="133" fillId="0" borderId="93" applyNumberFormat="0" applyFill="0" applyAlignment="0" applyProtection="0"/>
    <xf numFmtId="0" fontId="133" fillId="0" borderId="93" applyNumberFormat="0" applyFill="0" applyAlignment="0" applyProtection="0"/>
    <xf numFmtId="0" fontId="133" fillId="0" borderId="93" applyNumberFormat="0" applyFill="0" applyAlignment="0" applyProtection="0"/>
    <xf numFmtId="0" fontId="133" fillId="0" borderId="93" applyNumberFormat="0" applyFill="0" applyAlignment="0" applyProtection="0"/>
    <xf numFmtId="0" fontId="133" fillId="0" borderId="93" applyNumberFormat="0" applyFill="0" applyAlignment="0" applyProtection="0"/>
    <xf numFmtId="0" fontId="133" fillId="0" borderId="93" applyNumberFormat="0" applyFill="0" applyAlignment="0" applyProtection="0"/>
    <xf numFmtId="0" fontId="133" fillId="0" borderId="93" applyNumberFormat="0" applyFill="0" applyAlignment="0" applyProtection="0"/>
    <xf numFmtId="0" fontId="133" fillId="0" borderId="93" applyNumberFormat="0" applyFill="0" applyAlignment="0" applyProtection="0"/>
    <xf numFmtId="0" fontId="133" fillId="0" borderId="93" applyNumberFormat="0" applyFill="0" applyAlignment="0" applyProtection="0"/>
    <xf numFmtId="0" fontId="133" fillId="0" borderId="93" applyNumberFormat="0" applyFill="0" applyAlignment="0" applyProtection="0"/>
    <xf numFmtId="0" fontId="133" fillId="0" borderId="93" applyNumberFormat="0" applyFill="0" applyAlignment="0" applyProtection="0"/>
    <xf numFmtId="0" fontId="133" fillId="0" borderId="93" applyNumberFormat="0" applyFill="0" applyAlignment="0" applyProtection="0"/>
    <xf numFmtId="0" fontId="133" fillId="0" borderId="93" applyNumberFormat="0" applyFill="0" applyAlignment="0" applyProtection="0"/>
    <xf numFmtId="0" fontId="133" fillId="0" borderId="93" applyNumberFormat="0" applyFill="0" applyAlignment="0" applyProtection="0"/>
    <xf numFmtId="0" fontId="133" fillId="0" borderId="93" applyNumberFormat="0" applyFill="0" applyAlignment="0" applyProtection="0"/>
    <xf numFmtId="0" fontId="133" fillId="0" borderId="93" applyNumberFormat="0" applyFill="0" applyAlignment="0" applyProtection="0"/>
    <xf numFmtId="0" fontId="133" fillId="0" borderId="93" applyNumberFormat="0" applyFill="0" applyAlignment="0" applyProtection="0"/>
    <xf numFmtId="0" fontId="133" fillId="0" borderId="93" applyNumberFormat="0" applyFill="0" applyAlignment="0" applyProtection="0"/>
    <xf numFmtId="0" fontId="133" fillId="0" borderId="93" applyNumberFormat="0" applyFill="0" applyAlignment="0" applyProtection="0"/>
    <xf numFmtId="0" fontId="134" fillId="0" borderId="93" applyNumberFormat="0" applyFill="0" applyAlignment="0" applyProtection="0">
      <alignment vertical="center"/>
    </xf>
    <xf numFmtId="0" fontId="134" fillId="0" borderId="93" applyNumberFormat="0" applyFill="0" applyAlignment="0" applyProtection="0">
      <alignment vertical="center"/>
    </xf>
    <xf numFmtId="0" fontId="134" fillId="0" borderId="93" applyNumberFormat="0" applyFill="0" applyAlignment="0" applyProtection="0">
      <alignment vertical="center"/>
    </xf>
    <xf numFmtId="0" fontId="134" fillId="0" borderId="93" applyNumberFormat="0" applyFill="0" applyAlignment="0" applyProtection="0">
      <alignment vertical="center"/>
    </xf>
    <xf numFmtId="0" fontId="134" fillId="0" borderId="93" applyNumberFormat="0" applyFill="0" applyAlignment="0" applyProtection="0">
      <alignment vertical="center"/>
    </xf>
    <xf numFmtId="0" fontId="134" fillId="0" borderId="93" applyNumberFormat="0" applyFill="0" applyAlignment="0" applyProtection="0">
      <alignment vertical="center"/>
    </xf>
    <xf numFmtId="0" fontId="133" fillId="0" borderId="93" applyNumberFormat="0" applyFill="0" applyAlignment="0" applyProtection="0"/>
    <xf numFmtId="0" fontId="133" fillId="0" borderId="93" applyNumberFormat="0" applyFill="0" applyAlignment="0" applyProtection="0"/>
    <xf numFmtId="0" fontId="133" fillId="0" borderId="93" applyNumberFormat="0" applyFill="0" applyAlignment="0" applyProtection="0"/>
    <xf numFmtId="0" fontId="133" fillId="0" borderId="93" applyNumberFormat="0" applyFill="0" applyAlignment="0" applyProtection="0"/>
    <xf numFmtId="0" fontId="133" fillId="0" borderId="93" applyNumberFormat="0" applyFill="0" applyAlignment="0" applyProtection="0"/>
    <xf numFmtId="0" fontId="133" fillId="0" borderId="93" applyNumberFormat="0" applyFill="0" applyAlignment="0" applyProtection="0"/>
    <xf numFmtId="0" fontId="133" fillId="0" borderId="93" applyNumberFormat="0" applyFill="0" applyAlignment="0" applyProtection="0"/>
    <xf numFmtId="0" fontId="133" fillId="0" borderId="93" applyNumberFormat="0" applyFill="0" applyAlignment="0" applyProtection="0"/>
    <xf numFmtId="0" fontId="133" fillId="0" borderId="93" applyNumberFormat="0" applyFill="0" applyAlignment="0" applyProtection="0"/>
    <xf numFmtId="0" fontId="133" fillId="0" borderId="93" applyNumberFormat="0" applyFill="0" applyAlignment="0" applyProtection="0"/>
    <xf numFmtId="0" fontId="133" fillId="0" borderId="93" applyNumberFormat="0" applyFill="0" applyAlignment="0" applyProtection="0"/>
    <xf numFmtId="0" fontId="133" fillId="0" borderId="93" applyNumberFormat="0" applyFill="0" applyAlignment="0" applyProtection="0"/>
    <xf numFmtId="0" fontId="133" fillId="0" borderId="93" applyNumberFormat="0" applyFill="0" applyAlignment="0" applyProtection="0"/>
    <xf numFmtId="0" fontId="133" fillId="0" borderId="93" applyNumberFormat="0" applyFill="0" applyAlignment="0" applyProtection="0"/>
    <xf numFmtId="0" fontId="133" fillId="0" borderId="93" applyNumberFormat="0" applyFill="0" applyAlignment="0" applyProtection="0"/>
    <xf numFmtId="0" fontId="133" fillId="0" borderId="93" applyNumberFormat="0" applyFill="0" applyAlignment="0" applyProtection="0"/>
    <xf numFmtId="0" fontId="134" fillId="0" borderId="93" applyNumberFormat="0" applyFill="0" applyAlignment="0" applyProtection="0">
      <alignment vertical="center"/>
    </xf>
    <xf numFmtId="0" fontId="133" fillId="0" borderId="93" applyNumberFormat="0" applyFill="0" applyAlignment="0" applyProtection="0"/>
    <xf numFmtId="0" fontId="133" fillId="0" borderId="93" applyNumberFormat="0" applyFill="0" applyAlignment="0" applyProtection="0"/>
    <xf numFmtId="0" fontId="133" fillId="0" borderId="93" applyNumberFormat="0" applyFill="0" applyAlignment="0" applyProtection="0"/>
    <xf numFmtId="0" fontId="133" fillId="0" borderId="93" applyNumberFormat="0" applyFill="0" applyAlignment="0" applyProtection="0"/>
    <xf numFmtId="0" fontId="133" fillId="0" borderId="93" applyNumberFormat="0" applyFill="0" applyAlignment="0" applyProtection="0"/>
    <xf numFmtId="0" fontId="133" fillId="0" borderId="93" applyNumberFormat="0" applyFill="0" applyAlignment="0" applyProtection="0"/>
    <xf numFmtId="0" fontId="133" fillId="0" borderId="93" applyNumberFormat="0" applyFill="0" applyAlignment="0" applyProtection="0"/>
    <xf numFmtId="0" fontId="133" fillId="0" borderId="93" applyNumberFormat="0" applyFill="0" applyAlignment="0" applyProtection="0"/>
    <xf numFmtId="0" fontId="134" fillId="0" borderId="93" applyNumberFormat="0" applyFill="0" applyAlignment="0" applyProtection="0">
      <alignment vertical="center"/>
    </xf>
    <xf numFmtId="0" fontId="134" fillId="0" borderId="93" applyNumberFormat="0" applyFill="0" applyAlignment="0" applyProtection="0">
      <alignment vertical="center"/>
    </xf>
    <xf numFmtId="0" fontId="134" fillId="0" borderId="93" applyNumberFormat="0" applyFill="0" applyAlignment="0" applyProtection="0">
      <alignment vertical="center"/>
    </xf>
    <xf numFmtId="0" fontId="133" fillId="0" borderId="93" applyNumberFormat="0" applyFill="0" applyAlignment="0" applyProtection="0"/>
    <xf numFmtId="0" fontId="134" fillId="0" borderId="93" applyNumberFormat="0" applyFill="0" applyAlignment="0" applyProtection="0">
      <alignment vertical="center"/>
    </xf>
    <xf numFmtId="0" fontId="133" fillId="0" borderId="93" applyNumberFormat="0" applyFill="0" applyAlignment="0" applyProtection="0"/>
    <xf numFmtId="0" fontId="134" fillId="0" borderId="93" applyNumberFormat="0" applyFill="0" applyAlignment="0" applyProtection="0">
      <alignment vertical="center"/>
    </xf>
    <xf numFmtId="0" fontId="133" fillId="0" borderId="93" applyNumberFormat="0" applyFill="0" applyAlignment="0" applyProtection="0"/>
    <xf numFmtId="0" fontId="134" fillId="0" borderId="93" applyNumberFormat="0" applyFill="0" applyAlignment="0" applyProtection="0">
      <alignment vertical="center"/>
    </xf>
    <xf numFmtId="0" fontId="134" fillId="0" borderId="93" applyNumberFormat="0" applyFill="0" applyAlignment="0" applyProtection="0">
      <alignment vertical="center"/>
    </xf>
    <xf numFmtId="0" fontId="134" fillId="0" borderId="93" applyNumberFormat="0" applyFill="0" applyAlignment="0" applyProtection="0">
      <alignment vertical="center"/>
    </xf>
    <xf numFmtId="0" fontId="134" fillId="0" borderId="93" applyNumberFormat="0" applyFill="0" applyAlignment="0" applyProtection="0">
      <alignment vertical="center"/>
    </xf>
    <xf numFmtId="0" fontId="134" fillId="0" borderId="93" applyNumberFormat="0" applyFill="0" applyAlignment="0" applyProtection="0">
      <alignment vertical="center"/>
    </xf>
    <xf numFmtId="0" fontId="134" fillId="0" borderId="93" applyNumberFormat="0" applyFill="0" applyAlignment="0" applyProtection="0">
      <alignment vertical="center"/>
    </xf>
    <xf numFmtId="0" fontId="133" fillId="0" borderId="93" applyNumberFormat="0" applyFill="0" applyAlignment="0" applyProtection="0"/>
    <xf numFmtId="0" fontId="133" fillId="0" borderId="93" applyNumberFormat="0" applyFill="0" applyAlignment="0" applyProtection="0"/>
    <xf numFmtId="0" fontId="133" fillId="0" borderId="93" applyNumberFormat="0" applyFill="0" applyAlignment="0" applyProtection="0"/>
    <xf numFmtId="0" fontId="133" fillId="0" borderId="93" applyNumberFormat="0" applyFill="0" applyAlignment="0" applyProtection="0"/>
    <xf numFmtId="0" fontId="133" fillId="0" borderId="93" applyNumberFormat="0" applyFill="0" applyAlignment="0" applyProtection="0"/>
    <xf numFmtId="0" fontId="134" fillId="0" borderId="93" applyNumberFormat="0" applyFill="0" applyAlignment="0" applyProtection="0">
      <alignment vertical="center"/>
    </xf>
    <xf numFmtId="0" fontId="134" fillId="0" borderId="93" applyNumberFormat="0" applyFill="0" applyAlignment="0" applyProtection="0">
      <alignment vertical="center"/>
    </xf>
    <xf numFmtId="0" fontId="133" fillId="0" borderId="93" applyNumberFormat="0" applyFill="0" applyAlignment="0" applyProtection="0"/>
    <xf numFmtId="0" fontId="133" fillId="0" borderId="93" applyNumberFormat="0" applyFill="0" applyAlignment="0" applyProtection="0"/>
    <xf numFmtId="0" fontId="133" fillId="0" borderId="93" applyNumberFormat="0" applyFill="0" applyAlignment="0" applyProtection="0"/>
    <xf numFmtId="0" fontId="133" fillId="0" borderId="93" applyNumberFormat="0" applyFill="0" applyAlignment="0" applyProtection="0"/>
    <xf numFmtId="0" fontId="133" fillId="0" borderId="93" applyNumberFormat="0" applyFill="0" applyAlignment="0" applyProtection="0"/>
    <xf numFmtId="0" fontId="133" fillId="0" borderId="93" applyNumberFormat="0" applyFill="0" applyAlignment="0" applyProtection="0"/>
    <xf numFmtId="0" fontId="133" fillId="0" borderId="93" applyNumberFormat="0" applyFill="0" applyAlignment="0" applyProtection="0"/>
    <xf numFmtId="0" fontId="133" fillId="0" borderId="93" applyNumberFormat="0" applyFill="0" applyAlignment="0" applyProtection="0"/>
    <xf numFmtId="0" fontId="133" fillId="0" borderId="93" applyNumberFormat="0" applyFill="0" applyAlignment="0" applyProtection="0"/>
    <xf numFmtId="0" fontId="133" fillId="0" borderId="93" applyNumberFormat="0" applyFill="0" applyAlignment="0" applyProtection="0"/>
    <xf numFmtId="0" fontId="133" fillId="0" borderId="93" applyNumberFormat="0" applyFill="0" applyAlignment="0" applyProtection="0"/>
    <xf numFmtId="0" fontId="133" fillId="0" borderId="93" applyNumberFormat="0" applyFill="0" applyAlignment="0" applyProtection="0"/>
    <xf numFmtId="0" fontId="133" fillId="0" borderId="93" applyNumberFormat="0" applyFill="0" applyAlignment="0" applyProtection="0"/>
    <xf numFmtId="0" fontId="133" fillId="0" borderId="93" applyNumberFormat="0" applyFill="0" applyAlignment="0" applyProtection="0"/>
    <xf numFmtId="0" fontId="133" fillId="0" borderId="93" applyNumberFormat="0" applyFill="0" applyAlignment="0" applyProtection="0"/>
    <xf numFmtId="0" fontId="133" fillId="0" borderId="93" applyNumberFormat="0" applyFill="0" applyAlignment="0" applyProtection="0"/>
    <xf numFmtId="0" fontId="133" fillId="0" borderId="93" applyNumberFormat="0" applyFill="0" applyAlignment="0" applyProtection="0"/>
    <xf numFmtId="0" fontId="133" fillId="0" borderId="93" applyNumberFormat="0" applyFill="0" applyAlignment="0" applyProtection="0"/>
    <xf numFmtId="0" fontId="133" fillId="0" borderId="93" applyNumberFormat="0" applyFill="0" applyAlignment="0" applyProtection="0"/>
    <xf numFmtId="0" fontId="133" fillId="0" borderId="93" applyNumberFormat="0" applyFill="0" applyAlignment="0" applyProtection="0"/>
    <xf numFmtId="0" fontId="133" fillId="0" borderId="93" applyNumberFormat="0" applyFill="0" applyAlignment="0" applyProtection="0"/>
    <xf numFmtId="0" fontId="133" fillId="0" borderId="93" applyNumberFormat="0" applyFill="0" applyAlignment="0" applyProtection="0"/>
    <xf numFmtId="0" fontId="133" fillId="0" borderId="93" applyNumberFormat="0" applyFill="0" applyAlignment="0" applyProtection="0"/>
    <xf numFmtId="0" fontId="133" fillId="0" borderId="93" applyNumberFormat="0" applyFill="0" applyAlignment="0" applyProtection="0"/>
    <xf numFmtId="0" fontId="133" fillId="0" borderId="93" applyNumberFormat="0" applyFill="0" applyAlignment="0" applyProtection="0"/>
    <xf numFmtId="0" fontId="133" fillId="0" borderId="93" applyNumberFormat="0" applyFill="0" applyAlignment="0" applyProtection="0"/>
    <xf numFmtId="0" fontId="133" fillId="0" borderId="93" applyNumberFormat="0" applyFill="0" applyAlignment="0" applyProtection="0"/>
    <xf numFmtId="0" fontId="133" fillId="0" borderId="93" applyNumberFormat="0" applyFill="0" applyAlignment="0" applyProtection="0"/>
    <xf numFmtId="0" fontId="133" fillId="0" borderId="93" applyNumberFormat="0" applyFill="0" applyAlignment="0" applyProtection="0"/>
    <xf numFmtId="0" fontId="133" fillId="0" borderId="93" applyNumberFormat="0" applyFill="0" applyAlignment="0" applyProtection="0"/>
    <xf numFmtId="0" fontId="133" fillId="0" borderId="93" applyNumberFormat="0" applyFill="0" applyAlignment="0" applyProtection="0"/>
    <xf numFmtId="0" fontId="134" fillId="0" borderId="93" applyNumberFormat="0" applyFill="0" applyAlignment="0" applyProtection="0">
      <alignment vertical="center"/>
    </xf>
    <xf numFmtId="0" fontId="134" fillId="0" borderId="93" applyNumberFormat="0" applyFill="0" applyAlignment="0" applyProtection="0">
      <alignment vertical="center"/>
    </xf>
    <xf numFmtId="0" fontId="134" fillId="0" borderId="93" applyNumberFormat="0" applyFill="0" applyAlignment="0" applyProtection="0">
      <alignment vertical="center"/>
    </xf>
    <xf numFmtId="0" fontId="134" fillId="0" borderId="93" applyNumberFormat="0" applyFill="0" applyAlignment="0" applyProtection="0">
      <alignment vertical="center"/>
    </xf>
    <xf numFmtId="0" fontId="134" fillId="0" borderId="93" applyNumberFormat="0" applyFill="0" applyAlignment="0" applyProtection="0">
      <alignment vertical="center"/>
    </xf>
    <xf numFmtId="0" fontId="134" fillId="0" borderId="93" applyNumberFormat="0" applyFill="0" applyAlignment="0" applyProtection="0">
      <alignment vertical="center"/>
    </xf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30" fillId="0" borderId="93" applyNumberFormat="0" applyFill="0" applyAlignment="0" applyProtection="0">
      <alignment vertical="center"/>
    </xf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29" fillId="0" borderId="93" applyNumberFormat="0" applyFill="0" applyAlignment="0" applyProtection="0"/>
    <xf numFmtId="0" fontId="130" fillId="0" borderId="93" applyNumberFormat="0" applyFill="0" applyAlignment="0" applyProtection="0">
      <alignment vertical="center"/>
    </xf>
    <xf numFmtId="0" fontId="129" fillId="0" borderId="93" applyNumberFormat="0" applyFill="0" applyAlignment="0" applyProtection="0"/>
    <xf numFmtId="0" fontId="130" fillId="0" borderId="93" applyNumberFormat="0" applyFill="0" applyAlignment="0" applyProtection="0">
      <alignment vertical="center"/>
    </xf>
    <xf numFmtId="0" fontId="129" fillId="0" borderId="93" applyNumberFormat="0" applyFill="0" applyAlignment="0" applyProtection="0"/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30" fillId="0" borderId="93" applyNumberFormat="0" applyFill="0" applyAlignment="0" applyProtection="0">
      <alignment vertical="center"/>
    </xf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29" fillId="0" borderId="93" applyNumberFormat="0" applyFill="0" applyAlignment="0" applyProtection="0"/>
    <xf numFmtId="0" fontId="130" fillId="0" borderId="93" applyNumberFormat="0" applyFill="0" applyAlignment="0" applyProtection="0">
      <alignment vertical="center"/>
    </xf>
    <xf numFmtId="0" fontId="129" fillId="0" borderId="93" applyNumberFormat="0" applyFill="0" applyAlignment="0" applyProtection="0"/>
    <xf numFmtId="0" fontId="130" fillId="0" borderId="93" applyNumberFormat="0" applyFill="0" applyAlignment="0" applyProtection="0">
      <alignment vertical="center"/>
    </xf>
    <xf numFmtId="0" fontId="129" fillId="0" borderId="93" applyNumberFormat="0" applyFill="0" applyAlignment="0" applyProtection="0"/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30" fillId="0" borderId="93" applyNumberFormat="0" applyFill="0" applyAlignment="0" applyProtection="0">
      <alignment vertical="center"/>
    </xf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29" fillId="0" borderId="93" applyNumberFormat="0" applyFill="0" applyAlignment="0" applyProtection="0"/>
    <xf numFmtId="0" fontId="130" fillId="0" borderId="93" applyNumberFormat="0" applyFill="0" applyAlignment="0" applyProtection="0">
      <alignment vertical="center"/>
    </xf>
    <xf numFmtId="0" fontId="129" fillId="0" borderId="93" applyNumberFormat="0" applyFill="0" applyAlignment="0" applyProtection="0"/>
    <xf numFmtId="0" fontId="130" fillId="0" borderId="93" applyNumberFormat="0" applyFill="0" applyAlignment="0" applyProtection="0">
      <alignment vertical="center"/>
    </xf>
    <xf numFmtId="0" fontId="129" fillId="0" borderId="93" applyNumberFormat="0" applyFill="0" applyAlignment="0" applyProtection="0"/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30" fillId="0" borderId="93" applyNumberFormat="0" applyFill="0" applyAlignment="0" applyProtection="0">
      <alignment vertical="center"/>
    </xf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29" fillId="0" borderId="93" applyNumberFormat="0" applyFill="0" applyAlignment="0" applyProtection="0"/>
    <xf numFmtId="0" fontId="130" fillId="0" borderId="93" applyNumberFormat="0" applyFill="0" applyAlignment="0" applyProtection="0">
      <alignment vertical="center"/>
    </xf>
    <xf numFmtId="0" fontId="129" fillId="0" borderId="93" applyNumberFormat="0" applyFill="0" applyAlignment="0" applyProtection="0"/>
    <xf numFmtId="0" fontId="130" fillId="0" borderId="93" applyNumberFormat="0" applyFill="0" applyAlignment="0" applyProtection="0">
      <alignment vertical="center"/>
    </xf>
    <xf numFmtId="0" fontId="129" fillId="0" borderId="93" applyNumberFormat="0" applyFill="0" applyAlignment="0" applyProtection="0"/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30" fillId="0" borderId="93" applyNumberFormat="0" applyFill="0" applyAlignment="0" applyProtection="0">
      <alignment vertical="center"/>
    </xf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29" fillId="0" borderId="93" applyNumberFormat="0" applyFill="0" applyAlignment="0" applyProtection="0"/>
    <xf numFmtId="0" fontId="130" fillId="0" borderId="93" applyNumberFormat="0" applyFill="0" applyAlignment="0" applyProtection="0">
      <alignment vertical="center"/>
    </xf>
    <xf numFmtId="0" fontId="129" fillId="0" borderId="93" applyNumberFormat="0" applyFill="0" applyAlignment="0" applyProtection="0"/>
    <xf numFmtId="0" fontId="130" fillId="0" borderId="93" applyNumberFormat="0" applyFill="0" applyAlignment="0" applyProtection="0">
      <alignment vertical="center"/>
    </xf>
    <xf numFmtId="0" fontId="129" fillId="0" borderId="93" applyNumberFormat="0" applyFill="0" applyAlignment="0" applyProtection="0"/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30" fillId="0" borderId="93" applyNumberFormat="0" applyFill="0" applyAlignment="0" applyProtection="0">
      <alignment vertical="center"/>
    </xf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29" fillId="0" borderId="93" applyNumberFormat="0" applyFill="0" applyAlignment="0" applyProtection="0"/>
    <xf numFmtId="0" fontId="130" fillId="0" borderId="93" applyNumberFormat="0" applyFill="0" applyAlignment="0" applyProtection="0">
      <alignment vertical="center"/>
    </xf>
    <xf numFmtId="0" fontId="129" fillId="0" borderId="93" applyNumberFormat="0" applyFill="0" applyAlignment="0" applyProtection="0"/>
    <xf numFmtId="0" fontId="130" fillId="0" borderId="93" applyNumberFormat="0" applyFill="0" applyAlignment="0" applyProtection="0">
      <alignment vertical="center"/>
    </xf>
    <xf numFmtId="0" fontId="129" fillId="0" borderId="93" applyNumberFormat="0" applyFill="0" applyAlignment="0" applyProtection="0"/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30" fillId="0" borderId="93" applyNumberFormat="0" applyFill="0" applyAlignment="0" applyProtection="0">
      <alignment vertical="center"/>
    </xf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29" fillId="0" borderId="93" applyNumberFormat="0" applyFill="0" applyAlignment="0" applyProtection="0"/>
    <xf numFmtId="0" fontId="130" fillId="0" borderId="93" applyNumberFormat="0" applyFill="0" applyAlignment="0" applyProtection="0">
      <alignment vertical="center"/>
    </xf>
    <xf numFmtId="0" fontId="129" fillId="0" borderId="93" applyNumberFormat="0" applyFill="0" applyAlignment="0" applyProtection="0"/>
    <xf numFmtId="0" fontId="130" fillId="0" borderId="93" applyNumberFormat="0" applyFill="0" applyAlignment="0" applyProtection="0">
      <alignment vertical="center"/>
    </xf>
    <xf numFmtId="0" fontId="129" fillId="0" borderId="93" applyNumberFormat="0" applyFill="0" applyAlignment="0" applyProtection="0"/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29" fillId="0" borderId="93" applyNumberFormat="0" applyFill="0" applyAlignment="0" applyProtection="0"/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30" fillId="0" borderId="93" applyNumberFormat="0" applyFill="0" applyAlignment="0" applyProtection="0">
      <alignment vertical="center"/>
    </xf>
    <xf numFmtId="0" fontId="129" fillId="0" borderId="0" applyNumberFormat="0" applyFill="0" applyBorder="0" applyAlignment="0" applyProtection="0"/>
    <xf numFmtId="0" fontId="130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/>
    <xf numFmtId="0" fontId="130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/>
    <xf numFmtId="0" fontId="134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/>
    <xf numFmtId="0" fontId="130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/>
    <xf numFmtId="0" fontId="130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/>
    <xf numFmtId="0" fontId="130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/>
    <xf numFmtId="0" fontId="130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/>
    <xf numFmtId="0" fontId="130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/>
    <xf numFmtId="0" fontId="130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/>
    <xf numFmtId="0" fontId="130" fillId="0" borderId="0" applyNumberFormat="0" applyFill="0" applyBorder="0" applyAlignment="0" applyProtection="0">
      <alignment vertical="center"/>
    </xf>
    <xf numFmtId="0" fontId="135" fillId="0" borderId="95">
      <alignment horizontal="center"/>
    </xf>
    <xf numFmtId="0" fontId="136" fillId="0" borderId="95">
      <alignment horizontal="center" vertical="center"/>
    </xf>
    <xf numFmtId="0" fontId="136" fillId="0" borderId="95">
      <alignment horizontal="center" vertical="center"/>
    </xf>
    <xf numFmtId="0" fontId="136" fillId="0" borderId="95">
      <alignment horizontal="center" vertical="center"/>
    </xf>
    <xf numFmtId="0" fontId="136" fillId="0" borderId="95">
      <alignment horizontal="center" vertical="center"/>
    </xf>
    <xf numFmtId="0" fontId="136" fillId="0" borderId="95">
      <alignment horizontal="center" vertical="center"/>
    </xf>
    <xf numFmtId="0" fontId="135" fillId="0" borderId="95">
      <alignment horizontal="center"/>
    </xf>
    <xf numFmtId="0" fontId="135" fillId="0" borderId="95">
      <alignment horizontal="center"/>
    </xf>
    <xf numFmtId="0" fontId="135" fillId="0" borderId="95">
      <alignment horizontal="center"/>
    </xf>
    <xf numFmtId="0" fontId="135" fillId="0" borderId="95">
      <alignment horizontal="center"/>
    </xf>
    <xf numFmtId="0" fontId="135" fillId="0" borderId="95">
      <alignment horizontal="center"/>
    </xf>
    <xf numFmtId="0" fontId="135" fillId="0" borderId="95">
      <alignment horizontal="center"/>
    </xf>
    <xf numFmtId="0" fontId="135" fillId="0" borderId="95">
      <alignment horizontal="center"/>
    </xf>
    <xf numFmtId="0" fontId="135" fillId="0" borderId="95">
      <alignment horizontal="center"/>
    </xf>
    <xf numFmtId="0" fontId="135" fillId="0" borderId="95">
      <alignment horizontal="center"/>
    </xf>
    <xf numFmtId="0" fontId="136" fillId="0" borderId="95">
      <alignment horizontal="center" vertical="center"/>
    </xf>
    <xf numFmtId="0" fontId="135" fillId="0" borderId="95">
      <alignment horizontal="center"/>
    </xf>
    <xf numFmtId="0" fontId="135" fillId="0" borderId="95">
      <alignment horizontal="center"/>
    </xf>
    <xf numFmtId="0" fontId="136" fillId="0" borderId="95">
      <alignment horizontal="center" vertical="center"/>
    </xf>
    <xf numFmtId="0" fontId="136" fillId="0" borderId="95">
      <alignment horizontal="center" vertical="center"/>
    </xf>
    <xf numFmtId="0" fontId="136" fillId="0" borderId="95">
      <alignment horizontal="center" vertical="center"/>
    </xf>
    <xf numFmtId="0" fontId="136" fillId="0" borderId="95">
      <alignment horizontal="center" vertical="center"/>
    </xf>
    <xf numFmtId="0" fontId="136" fillId="0" borderId="95">
      <alignment horizontal="center" vertical="center"/>
    </xf>
    <xf numFmtId="0" fontId="136" fillId="0" borderId="95">
      <alignment horizontal="center" vertical="center"/>
    </xf>
    <xf numFmtId="0" fontId="136" fillId="0" borderId="95">
      <alignment horizontal="center" vertical="center"/>
    </xf>
    <xf numFmtId="0" fontId="136" fillId="0" borderId="95">
      <alignment horizontal="center" vertical="center"/>
    </xf>
    <xf numFmtId="0" fontId="136" fillId="0" borderId="95">
      <alignment horizontal="center" vertical="center"/>
    </xf>
    <xf numFmtId="0" fontId="136" fillId="0" borderId="95">
      <alignment horizontal="center" vertical="center"/>
    </xf>
    <xf numFmtId="0" fontId="135" fillId="0" borderId="95">
      <alignment horizontal="center"/>
    </xf>
    <xf numFmtId="0" fontId="136" fillId="0" borderId="95">
      <alignment horizontal="center" vertical="center"/>
    </xf>
    <xf numFmtId="0" fontId="135" fillId="0" borderId="95">
      <alignment horizontal="center"/>
    </xf>
    <xf numFmtId="0" fontId="135" fillId="0" borderId="95">
      <alignment horizontal="center"/>
    </xf>
    <xf numFmtId="0" fontId="135" fillId="0" borderId="95">
      <alignment horizontal="center"/>
    </xf>
    <xf numFmtId="0" fontId="136" fillId="0" borderId="95">
      <alignment horizontal="center" vertical="center"/>
    </xf>
    <xf numFmtId="0" fontId="135" fillId="0" borderId="95">
      <alignment horizontal="center"/>
    </xf>
    <xf numFmtId="0" fontId="135" fillId="0" borderId="95">
      <alignment horizontal="center"/>
    </xf>
    <xf numFmtId="0" fontId="135" fillId="0" borderId="95">
      <alignment horizontal="center"/>
    </xf>
    <xf numFmtId="0" fontId="135" fillId="0" borderId="95">
      <alignment horizontal="center"/>
    </xf>
    <xf numFmtId="0" fontId="135" fillId="0" borderId="95">
      <alignment horizontal="center"/>
    </xf>
    <xf numFmtId="0" fontId="135" fillId="0" borderId="95">
      <alignment horizontal="center"/>
    </xf>
    <xf numFmtId="0" fontId="135" fillId="0" borderId="95">
      <alignment horizontal="center"/>
    </xf>
    <xf numFmtId="0" fontId="135" fillId="0" borderId="95">
      <alignment horizontal="center"/>
    </xf>
    <xf numFmtId="0" fontId="135" fillId="0" borderId="95">
      <alignment horizontal="center"/>
    </xf>
    <xf numFmtId="0" fontId="135" fillId="0" borderId="95">
      <alignment horizontal="center"/>
    </xf>
    <xf numFmtId="0" fontId="135" fillId="0" borderId="95">
      <alignment horizontal="center"/>
    </xf>
    <xf numFmtId="0" fontId="135" fillId="0" borderId="95">
      <alignment horizontal="center"/>
    </xf>
    <xf numFmtId="0" fontId="135" fillId="0" borderId="95">
      <alignment horizontal="center"/>
    </xf>
    <xf numFmtId="0" fontId="135" fillId="0" borderId="95">
      <alignment horizontal="center"/>
    </xf>
    <xf numFmtId="0" fontId="135" fillId="0" borderId="95">
      <alignment horizontal="center"/>
    </xf>
    <xf numFmtId="0" fontId="135" fillId="0" borderId="95">
      <alignment horizontal="center"/>
    </xf>
    <xf numFmtId="0" fontId="135" fillId="0" borderId="95">
      <alignment horizontal="center"/>
    </xf>
    <xf numFmtId="0" fontId="135" fillId="0" borderId="95">
      <alignment horizontal="center"/>
    </xf>
    <xf numFmtId="0" fontId="135" fillId="0" borderId="95">
      <alignment horizontal="center"/>
    </xf>
    <xf numFmtId="0" fontId="135" fillId="0" borderId="95">
      <alignment horizontal="center"/>
    </xf>
    <xf numFmtId="0" fontId="135" fillId="0" borderId="95">
      <alignment horizontal="center"/>
    </xf>
    <xf numFmtId="0" fontId="136" fillId="0" borderId="95">
      <alignment horizontal="center" vertical="center"/>
    </xf>
    <xf numFmtId="0" fontId="136" fillId="0" borderId="95">
      <alignment horizontal="center" vertical="center"/>
    </xf>
    <xf numFmtId="0" fontId="136" fillId="0" borderId="95">
      <alignment horizontal="center" vertical="center"/>
    </xf>
    <xf numFmtId="0" fontId="136" fillId="0" borderId="95">
      <alignment horizontal="center" vertical="center"/>
    </xf>
    <xf numFmtId="0" fontId="136" fillId="0" borderId="95">
      <alignment horizontal="center" vertical="center"/>
    </xf>
    <xf numFmtId="0" fontId="135" fillId="0" borderId="95">
      <alignment horizontal="center"/>
    </xf>
    <xf numFmtId="0" fontId="135" fillId="0" borderId="95">
      <alignment horizontal="center"/>
    </xf>
    <xf numFmtId="0" fontId="135" fillId="0" borderId="95">
      <alignment horizontal="center"/>
    </xf>
    <xf numFmtId="0" fontId="135" fillId="0" borderId="95">
      <alignment horizontal="center"/>
    </xf>
    <xf numFmtId="0" fontId="135" fillId="0" borderId="95">
      <alignment horizontal="center"/>
    </xf>
    <xf numFmtId="0" fontId="135" fillId="0" borderId="95">
      <alignment horizontal="center"/>
    </xf>
    <xf numFmtId="0" fontId="135" fillId="0" borderId="95">
      <alignment horizontal="center"/>
    </xf>
    <xf numFmtId="0" fontId="135" fillId="0" borderId="95">
      <alignment horizontal="center"/>
    </xf>
    <xf numFmtId="0" fontId="135" fillId="0" borderId="95">
      <alignment horizontal="center"/>
    </xf>
    <xf numFmtId="0" fontId="135" fillId="0" borderId="95">
      <alignment horizontal="center"/>
    </xf>
    <xf numFmtId="0" fontId="135" fillId="0" borderId="0">
      <alignment horizontal="center"/>
    </xf>
    <xf numFmtId="0" fontId="136" fillId="0" borderId="0">
      <alignment horizontal="center" vertical="center"/>
    </xf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0" fontId="114" fillId="50" borderId="87" applyNumberFormat="0" applyBorder="0" applyAlignment="0" applyProtection="0">
      <alignment vertical="center"/>
    </xf>
    <xf numFmtId="0" fontId="114" fillId="50" borderId="87" applyNumberFormat="0" applyBorder="0" applyAlignment="0" applyProtection="0">
      <alignment vertical="center"/>
    </xf>
    <xf numFmtId="0" fontId="114" fillId="50" borderId="87" applyNumberFormat="0" applyBorder="0" applyAlignment="0" applyProtection="0">
      <alignment vertical="center"/>
    </xf>
    <xf numFmtId="0" fontId="114" fillId="50" borderId="87" applyNumberFormat="0" applyBorder="0" applyAlignment="0" applyProtection="0">
      <alignment vertical="center"/>
    </xf>
    <xf numFmtId="0" fontId="114" fillId="50" borderId="87" applyNumberFormat="0" applyBorder="0" applyAlignment="0" applyProtection="0">
      <alignment vertical="center"/>
    </xf>
    <xf numFmtId="0" fontId="114" fillId="50" borderId="87" applyNumberFormat="0" applyBorder="0" applyAlignment="0" applyProtection="0">
      <alignment vertical="center"/>
    </xf>
    <xf numFmtId="0" fontId="114" fillId="50" borderId="87" applyNumberFormat="0" applyBorder="0" applyAlignment="0" applyProtection="0">
      <alignment vertical="center"/>
    </xf>
    <xf numFmtId="0" fontId="114" fillId="50" borderId="87" applyNumberFormat="0" applyBorder="0" applyAlignment="0" applyProtection="0">
      <alignment vertical="center"/>
    </xf>
    <xf numFmtId="0" fontId="114" fillId="50" borderId="87" applyNumberFormat="0" applyBorder="0" applyAlignment="0" applyProtection="0">
      <alignment vertical="center"/>
    </xf>
    <xf numFmtId="0" fontId="114" fillId="50" borderId="87" applyNumberFormat="0" applyBorder="0" applyAlignment="0" applyProtection="0">
      <alignment vertical="center"/>
    </xf>
    <xf numFmtId="0" fontId="114" fillId="50" borderId="87" applyNumberFormat="0" applyBorder="0" applyAlignment="0" applyProtection="0">
      <alignment vertical="center"/>
    </xf>
    <xf numFmtId="0" fontId="114" fillId="50" borderId="87" applyNumberFormat="0" applyBorder="0" applyAlignment="0" applyProtection="0">
      <alignment vertical="center"/>
    </xf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0" fontId="114" fillId="50" borderId="87" applyNumberFormat="0" applyBorder="0" applyAlignment="0" applyProtection="0">
      <alignment vertical="center"/>
    </xf>
    <xf numFmtId="10" fontId="113" fillId="50" borderId="87" applyNumberFormat="0" applyBorder="0" applyAlignment="0" applyProtection="0"/>
    <xf numFmtId="0" fontId="114" fillId="50" borderId="87" applyNumberFormat="0" applyBorder="0" applyAlignment="0" applyProtection="0">
      <alignment vertical="center"/>
    </xf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0" fontId="114" fillId="50" borderId="87" applyNumberFormat="0" applyBorder="0" applyAlignment="0" applyProtection="0">
      <alignment vertical="center"/>
    </xf>
    <xf numFmtId="0" fontId="114" fillId="50" borderId="87" applyNumberFormat="0" applyBorder="0" applyAlignment="0" applyProtection="0">
      <alignment vertical="center"/>
    </xf>
    <xf numFmtId="0" fontId="114" fillId="50" borderId="87" applyNumberFormat="0" applyBorder="0" applyAlignment="0" applyProtection="0">
      <alignment vertical="center"/>
    </xf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0" fontId="114" fillId="50" borderId="87" applyNumberFormat="0" applyBorder="0" applyAlignment="0" applyProtection="0">
      <alignment vertical="center"/>
    </xf>
    <xf numFmtId="0" fontId="114" fillId="50" borderId="87" applyNumberFormat="0" applyBorder="0" applyAlignment="0" applyProtection="0">
      <alignment vertical="center"/>
    </xf>
    <xf numFmtId="0" fontId="114" fillId="50" borderId="87" applyNumberFormat="0" applyBorder="0" applyAlignment="0" applyProtection="0">
      <alignment vertical="center"/>
    </xf>
    <xf numFmtId="0" fontId="114" fillId="50" borderId="87" applyNumberFormat="0" applyBorder="0" applyAlignment="0" applyProtection="0">
      <alignment vertical="center"/>
    </xf>
    <xf numFmtId="0" fontId="114" fillId="50" borderId="87" applyNumberFormat="0" applyBorder="0" applyAlignment="0" applyProtection="0">
      <alignment vertical="center"/>
    </xf>
    <xf numFmtId="0" fontId="114" fillId="50" borderId="87" applyNumberFormat="0" applyBorder="0" applyAlignment="0" applyProtection="0">
      <alignment vertical="center"/>
    </xf>
    <xf numFmtId="0" fontId="114" fillId="50" borderId="87" applyNumberFormat="0" applyBorder="0" applyAlignment="0" applyProtection="0">
      <alignment vertical="center"/>
    </xf>
    <xf numFmtId="0" fontId="114" fillId="50" borderId="87" applyNumberFormat="0" applyBorder="0" applyAlignment="0" applyProtection="0">
      <alignment vertical="center"/>
    </xf>
    <xf numFmtId="0" fontId="114" fillId="50" borderId="87" applyNumberFormat="0" applyBorder="0" applyAlignment="0" applyProtection="0">
      <alignment vertical="center"/>
    </xf>
    <xf numFmtId="0" fontId="114" fillId="50" borderId="87" applyNumberFormat="0" applyBorder="0" applyAlignment="0" applyProtection="0">
      <alignment vertical="center"/>
    </xf>
    <xf numFmtId="0" fontId="114" fillId="50" borderId="87" applyNumberFormat="0" applyBorder="0" applyAlignment="0" applyProtection="0">
      <alignment vertical="center"/>
    </xf>
    <xf numFmtId="0" fontId="114" fillId="50" borderId="87" applyNumberFormat="0" applyBorder="0" applyAlignment="0" applyProtection="0">
      <alignment vertical="center"/>
    </xf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0" fontId="114" fillId="50" borderId="87" applyNumberFormat="0" applyBorder="0" applyAlignment="0" applyProtection="0">
      <alignment vertical="center"/>
    </xf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0" fontId="114" fillId="50" borderId="87" applyNumberFormat="0" applyBorder="0" applyAlignment="0" applyProtection="0">
      <alignment vertical="center"/>
    </xf>
    <xf numFmtId="0" fontId="114" fillId="50" borderId="87" applyNumberFormat="0" applyBorder="0" applyAlignment="0" applyProtection="0">
      <alignment vertical="center"/>
    </xf>
    <xf numFmtId="10" fontId="113" fillId="50" borderId="87" applyNumberFormat="0" applyBorder="0" applyAlignment="0" applyProtection="0"/>
    <xf numFmtId="0" fontId="114" fillId="50" borderId="87" applyNumberFormat="0" applyBorder="0" applyAlignment="0" applyProtection="0">
      <alignment vertical="center"/>
    </xf>
    <xf numFmtId="0" fontId="114" fillId="50" borderId="87" applyNumberFormat="0" applyBorder="0" applyAlignment="0" applyProtection="0">
      <alignment vertical="center"/>
    </xf>
    <xf numFmtId="0" fontId="114" fillId="50" borderId="87" applyNumberFormat="0" applyBorder="0" applyAlignment="0" applyProtection="0">
      <alignment vertical="center"/>
    </xf>
    <xf numFmtId="0" fontId="114" fillId="50" borderId="87" applyNumberFormat="0" applyBorder="0" applyAlignment="0" applyProtection="0">
      <alignment vertical="center"/>
    </xf>
    <xf numFmtId="0" fontId="114" fillId="50" borderId="87" applyNumberFormat="0" applyBorder="0" applyAlignment="0" applyProtection="0">
      <alignment vertical="center"/>
    </xf>
    <xf numFmtId="0" fontId="114" fillId="50" borderId="87" applyNumberFormat="0" applyBorder="0" applyAlignment="0" applyProtection="0">
      <alignment vertical="center"/>
    </xf>
    <xf numFmtId="0" fontId="114" fillId="50" borderId="87" applyNumberFormat="0" applyBorder="0" applyAlignment="0" applyProtection="0">
      <alignment vertical="center"/>
    </xf>
    <xf numFmtId="0" fontId="114" fillId="50" borderId="87" applyNumberFormat="0" applyBorder="0" applyAlignment="0" applyProtection="0">
      <alignment vertical="center"/>
    </xf>
    <xf numFmtId="10" fontId="113" fillId="50" borderId="87" applyNumberFormat="0" applyBorder="0" applyAlignment="0" applyProtection="0"/>
    <xf numFmtId="0" fontId="114" fillId="50" borderId="87" applyNumberFormat="0" applyBorder="0" applyAlignment="0" applyProtection="0">
      <alignment vertical="center"/>
    </xf>
    <xf numFmtId="0" fontId="114" fillId="50" borderId="87" applyNumberFormat="0" applyBorder="0" applyAlignment="0" applyProtection="0">
      <alignment vertical="center"/>
    </xf>
    <xf numFmtId="0" fontId="114" fillId="50" borderId="87" applyNumberFormat="0" applyBorder="0" applyAlignment="0" applyProtection="0">
      <alignment vertical="center"/>
    </xf>
    <xf numFmtId="0" fontId="114" fillId="50" borderId="87" applyNumberFormat="0" applyBorder="0" applyAlignment="0" applyProtection="0">
      <alignment vertical="center"/>
    </xf>
    <xf numFmtId="10" fontId="113" fillId="50" borderId="87" applyNumberFormat="0" applyBorder="0" applyAlignment="0" applyProtection="0"/>
    <xf numFmtId="0" fontId="114" fillId="50" borderId="87" applyNumberFormat="0" applyBorder="0" applyAlignment="0" applyProtection="0">
      <alignment vertical="center"/>
    </xf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0" fontId="114" fillId="50" borderId="87" applyNumberFormat="0" applyBorder="0" applyAlignment="0" applyProtection="0">
      <alignment vertical="center"/>
    </xf>
    <xf numFmtId="0" fontId="114" fillId="50" borderId="87" applyNumberFormat="0" applyBorder="0" applyAlignment="0" applyProtection="0">
      <alignment vertical="center"/>
    </xf>
    <xf numFmtId="0" fontId="114" fillId="50" borderId="87" applyNumberFormat="0" applyBorder="0" applyAlignment="0" applyProtection="0">
      <alignment vertical="center"/>
    </xf>
    <xf numFmtId="0" fontId="114" fillId="50" borderId="87" applyNumberFormat="0" applyBorder="0" applyAlignment="0" applyProtection="0">
      <alignment vertical="center"/>
    </xf>
    <xf numFmtId="0" fontId="114" fillId="50" borderId="87" applyNumberFormat="0" applyBorder="0" applyAlignment="0" applyProtection="0">
      <alignment vertical="center"/>
    </xf>
    <xf numFmtId="0" fontId="114" fillId="50" borderId="87" applyNumberFormat="0" applyBorder="0" applyAlignment="0" applyProtection="0">
      <alignment vertical="center"/>
    </xf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0" fontId="114" fillId="50" borderId="87" applyNumberFormat="0" applyBorder="0" applyAlignment="0" applyProtection="0">
      <alignment vertical="center"/>
    </xf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0" fontId="114" fillId="50" borderId="87" applyNumberFormat="0" applyBorder="0" applyAlignment="0" applyProtection="0">
      <alignment vertical="center"/>
    </xf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10" fontId="113" fillId="50" borderId="87" applyNumberFormat="0" applyBorder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40" fillId="25" borderId="88" applyNumberFormat="0" applyAlignment="0" applyProtection="0">
      <alignment vertical="center"/>
    </xf>
    <xf numFmtId="0" fontId="140" fillId="25" borderId="88" applyNumberFormat="0" applyAlignment="0" applyProtection="0">
      <alignment vertical="center"/>
    </xf>
    <xf numFmtId="0" fontId="140" fillId="25" borderId="88" applyNumberFormat="0" applyAlignment="0" applyProtection="0">
      <alignment vertical="center"/>
    </xf>
    <xf numFmtId="0" fontId="140" fillId="25" borderId="88" applyNumberFormat="0" applyAlignment="0" applyProtection="0">
      <alignment vertical="center"/>
    </xf>
    <xf numFmtId="0" fontId="140" fillId="25" borderId="88" applyNumberFormat="0" applyAlignment="0" applyProtection="0">
      <alignment vertical="center"/>
    </xf>
    <xf numFmtId="0" fontId="140" fillId="25" borderId="88" applyNumberFormat="0" applyAlignment="0" applyProtection="0">
      <alignment vertical="center"/>
    </xf>
    <xf numFmtId="0" fontId="140" fillId="25" borderId="88" applyNumberFormat="0" applyAlignment="0" applyProtection="0">
      <alignment vertical="center"/>
    </xf>
    <xf numFmtId="0" fontId="140" fillId="25" borderId="88" applyNumberFormat="0" applyAlignment="0" applyProtection="0">
      <alignment vertical="center"/>
    </xf>
    <xf numFmtId="0" fontId="140" fillId="25" borderId="88" applyNumberFormat="0" applyAlignment="0" applyProtection="0">
      <alignment vertical="center"/>
    </xf>
    <xf numFmtId="0" fontId="140" fillId="25" borderId="88" applyNumberFormat="0" applyAlignment="0" applyProtection="0">
      <alignment vertical="center"/>
    </xf>
    <xf numFmtId="0" fontId="140" fillId="25" borderId="88" applyNumberFormat="0" applyAlignment="0" applyProtection="0">
      <alignment vertical="center"/>
    </xf>
    <xf numFmtId="0" fontId="140" fillId="25" borderId="88" applyNumberFormat="0" applyAlignment="0" applyProtection="0">
      <alignment vertical="center"/>
    </xf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40" fillId="18" borderId="88" applyNumberFormat="0" applyAlignment="0" applyProtection="0">
      <alignment vertical="center"/>
    </xf>
    <xf numFmtId="0" fontId="140" fillId="18" borderId="88" applyNumberFormat="0" applyAlignment="0" applyProtection="0">
      <alignment vertical="center"/>
    </xf>
    <xf numFmtId="0" fontId="140" fillId="18" borderId="88" applyNumberFormat="0" applyAlignment="0" applyProtection="0">
      <alignment vertical="center"/>
    </xf>
    <xf numFmtId="0" fontId="140" fillId="18" borderId="88" applyNumberFormat="0" applyAlignment="0" applyProtection="0">
      <alignment vertical="center"/>
    </xf>
    <xf numFmtId="0" fontId="140" fillId="18" borderId="88" applyNumberFormat="0" applyAlignment="0" applyProtection="0">
      <alignment vertical="center"/>
    </xf>
    <xf numFmtId="0" fontId="140" fillId="18" borderId="88" applyNumberFormat="0" applyAlignment="0" applyProtection="0">
      <alignment vertical="center"/>
    </xf>
    <xf numFmtId="0" fontId="140" fillId="18" borderId="88" applyNumberFormat="0" applyAlignment="0" applyProtection="0">
      <alignment vertical="center"/>
    </xf>
    <xf numFmtId="0" fontId="140" fillId="18" borderId="88" applyNumberFormat="0" applyAlignment="0" applyProtection="0">
      <alignment vertical="center"/>
    </xf>
    <xf numFmtId="0" fontId="140" fillId="18" borderId="88" applyNumberFormat="0" applyAlignment="0" applyProtection="0">
      <alignment vertical="center"/>
    </xf>
    <xf numFmtId="0" fontId="140" fillId="18" borderId="88" applyNumberFormat="0" applyAlignment="0" applyProtection="0">
      <alignment vertical="center"/>
    </xf>
    <xf numFmtId="0" fontId="140" fillId="18" borderId="88" applyNumberFormat="0" applyAlignment="0" applyProtection="0">
      <alignment vertical="center"/>
    </xf>
    <xf numFmtId="0" fontId="140" fillId="18" borderId="88" applyNumberFormat="0" applyAlignment="0" applyProtection="0">
      <alignment vertical="center"/>
    </xf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40" fillId="18" borderId="88" applyNumberFormat="0" applyAlignment="0" applyProtection="0">
      <alignment vertical="center"/>
    </xf>
    <xf numFmtId="0" fontId="140" fillId="18" borderId="88" applyNumberFormat="0" applyAlignment="0" applyProtection="0">
      <alignment vertical="center"/>
    </xf>
    <xf numFmtId="0" fontId="140" fillId="18" borderId="88" applyNumberFormat="0" applyAlignment="0" applyProtection="0">
      <alignment vertical="center"/>
    </xf>
    <xf numFmtId="0" fontId="140" fillId="18" borderId="88" applyNumberFormat="0" applyAlignment="0" applyProtection="0">
      <alignment vertical="center"/>
    </xf>
    <xf numFmtId="0" fontId="140" fillId="18" borderId="88" applyNumberFormat="0" applyAlignment="0" applyProtection="0">
      <alignment vertical="center"/>
    </xf>
    <xf numFmtId="0" fontId="140" fillId="18" borderId="88" applyNumberFormat="0" applyAlignment="0" applyProtection="0">
      <alignment vertical="center"/>
    </xf>
    <xf numFmtId="0" fontId="140" fillId="18" borderId="88" applyNumberFormat="0" applyAlignment="0" applyProtection="0">
      <alignment vertical="center"/>
    </xf>
    <xf numFmtId="0" fontId="140" fillId="18" borderId="88" applyNumberFormat="0" applyAlignment="0" applyProtection="0">
      <alignment vertical="center"/>
    </xf>
    <xf numFmtId="0" fontId="140" fillId="18" borderId="88" applyNumberFormat="0" applyAlignment="0" applyProtection="0">
      <alignment vertical="center"/>
    </xf>
    <xf numFmtId="0" fontId="140" fillId="18" borderId="88" applyNumberFormat="0" applyAlignment="0" applyProtection="0">
      <alignment vertical="center"/>
    </xf>
    <xf numFmtId="0" fontId="140" fillId="18" borderId="88" applyNumberFormat="0" applyAlignment="0" applyProtection="0">
      <alignment vertical="center"/>
    </xf>
    <xf numFmtId="0" fontId="140" fillId="18" borderId="88" applyNumberFormat="0" applyAlignment="0" applyProtection="0">
      <alignment vertical="center"/>
    </xf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40" fillId="18" borderId="88" applyNumberFormat="0" applyAlignment="0" applyProtection="0">
      <alignment vertical="center"/>
    </xf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40" fillId="18" borderId="88" applyNumberFormat="0" applyAlignment="0" applyProtection="0">
      <alignment vertical="center"/>
    </xf>
    <xf numFmtId="0" fontId="139" fillId="18" borderId="88" applyNumberFormat="0" applyAlignment="0" applyProtection="0"/>
    <xf numFmtId="0" fontId="140" fillId="18" borderId="88" applyNumberFormat="0" applyAlignment="0" applyProtection="0">
      <alignment vertical="center"/>
    </xf>
    <xf numFmtId="0" fontId="140" fillId="18" borderId="88" applyNumberFormat="0" applyAlignment="0" applyProtection="0">
      <alignment vertical="center"/>
    </xf>
    <xf numFmtId="0" fontId="140" fillId="18" borderId="88" applyNumberFormat="0" applyAlignment="0" applyProtection="0">
      <alignment vertical="center"/>
    </xf>
    <xf numFmtId="0" fontId="139" fillId="18" borderId="88" applyNumberFormat="0" applyAlignment="0" applyProtection="0"/>
    <xf numFmtId="0" fontId="140" fillId="18" borderId="88" applyNumberFormat="0" applyAlignment="0" applyProtection="0">
      <alignment vertical="center"/>
    </xf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40" fillId="18" borderId="88" applyNumberFormat="0" applyAlignment="0" applyProtection="0">
      <alignment vertical="center"/>
    </xf>
    <xf numFmtId="0" fontId="140" fillId="18" borderId="88" applyNumberFormat="0" applyAlignment="0" applyProtection="0">
      <alignment vertical="center"/>
    </xf>
    <xf numFmtId="0" fontId="140" fillId="18" borderId="88" applyNumberFormat="0" applyAlignment="0" applyProtection="0">
      <alignment vertical="center"/>
    </xf>
    <xf numFmtId="0" fontId="139" fillId="18" borderId="88" applyNumberFormat="0" applyAlignment="0" applyProtection="0"/>
    <xf numFmtId="0" fontId="140" fillId="18" borderId="88" applyNumberFormat="0" applyAlignment="0" applyProtection="0">
      <alignment vertical="center"/>
    </xf>
    <xf numFmtId="0" fontId="140" fillId="18" borderId="88" applyNumberFormat="0" applyAlignment="0" applyProtection="0">
      <alignment vertical="center"/>
    </xf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40" fillId="18" borderId="88" applyNumberFormat="0" applyAlignment="0" applyProtection="0">
      <alignment vertical="center"/>
    </xf>
    <xf numFmtId="0" fontId="140" fillId="18" borderId="88" applyNumberFormat="0" applyAlignment="0" applyProtection="0">
      <alignment vertical="center"/>
    </xf>
    <xf numFmtId="0" fontId="140" fillId="18" borderId="88" applyNumberFormat="0" applyAlignment="0" applyProtection="0">
      <alignment vertical="center"/>
    </xf>
    <xf numFmtId="0" fontId="140" fillId="18" borderId="88" applyNumberFormat="0" applyAlignment="0" applyProtection="0">
      <alignment vertical="center"/>
    </xf>
    <xf numFmtId="0" fontId="140" fillId="18" borderId="88" applyNumberFormat="0" applyAlignment="0" applyProtection="0">
      <alignment vertical="center"/>
    </xf>
    <xf numFmtId="0" fontId="140" fillId="18" borderId="88" applyNumberFormat="0" applyAlignment="0" applyProtection="0">
      <alignment vertical="center"/>
    </xf>
    <xf numFmtId="0" fontId="139" fillId="18" borderId="88" applyNumberFormat="0" applyAlignment="0" applyProtection="0"/>
    <xf numFmtId="0" fontId="139" fillId="18" borderId="88" applyNumberFormat="0" applyAlignment="0" applyProtection="0"/>
    <xf numFmtId="0" fontId="140" fillId="18" borderId="88" applyNumberFormat="0" applyAlignment="0" applyProtection="0">
      <alignment vertical="center"/>
    </xf>
    <xf numFmtId="0" fontId="140" fillId="18" borderId="88" applyNumberFormat="0" applyAlignment="0" applyProtection="0">
      <alignment vertical="center"/>
    </xf>
    <xf numFmtId="0" fontId="139" fillId="18" borderId="88" applyNumberFormat="0" applyAlignment="0" applyProtection="0"/>
    <xf numFmtId="0" fontId="140" fillId="18" borderId="88" applyNumberFormat="0" applyAlignment="0" applyProtection="0">
      <alignment vertical="center"/>
    </xf>
    <xf numFmtId="0" fontId="139" fillId="18" borderId="88" applyNumberFormat="0" applyAlignment="0" applyProtection="0"/>
    <xf numFmtId="0" fontId="140" fillId="18" borderId="88" applyNumberFormat="0" applyAlignment="0" applyProtection="0">
      <alignment vertical="center"/>
    </xf>
    <xf numFmtId="0" fontId="140" fillId="18" borderId="88" applyNumberFormat="0" applyAlignment="0" applyProtection="0">
      <alignment vertical="center"/>
    </xf>
    <xf numFmtId="0" fontId="140" fillId="18" borderId="88" applyNumberFormat="0" applyAlignment="0" applyProtection="0">
      <alignment vertical="center"/>
    </xf>
    <xf numFmtId="0" fontId="140" fillId="18" borderId="88" applyNumberFormat="0" applyAlignment="0" applyProtection="0">
      <alignment vertical="center"/>
    </xf>
    <xf numFmtId="0" fontId="140" fillId="18" borderId="88" applyNumberFormat="0" applyAlignment="0" applyProtection="0">
      <alignment vertical="center"/>
    </xf>
    <xf numFmtId="0" fontId="140" fillId="18" borderId="88" applyNumberFormat="0" applyAlignment="0" applyProtection="0">
      <alignment vertical="center"/>
    </xf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18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40" fillId="25" borderId="88" applyNumberFormat="0" applyAlignment="0" applyProtection="0">
      <alignment vertical="center"/>
    </xf>
    <xf numFmtId="0" fontId="140" fillId="25" borderId="88" applyNumberFormat="0" applyAlignment="0" applyProtection="0">
      <alignment vertical="center"/>
    </xf>
    <xf numFmtId="0" fontId="140" fillId="25" borderId="88" applyNumberFormat="0" applyAlignment="0" applyProtection="0">
      <alignment vertical="center"/>
    </xf>
    <xf numFmtId="0" fontId="140" fillId="25" borderId="88" applyNumberFormat="0" applyAlignment="0" applyProtection="0">
      <alignment vertical="center"/>
    </xf>
    <xf numFmtId="0" fontId="140" fillId="25" borderId="88" applyNumberFormat="0" applyAlignment="0" applyProtection="0">
      <alignment vertical="center"/>
    </xf>
    <xf numFmtId="0" fontId="140" fillId="25" borderId="88" applyNumberFormat="0" applyAlignment="0" applyProtection="0">
      <alignment vertical="center"/>
    </xf>
    <xf numFmtId="0" fontId="140" fillId="25" borderId="88" applyNumberFormat="0" applyAlignment="0" applyProtection="0">
      <alignment vertical="center"/>
    </xf>
    <xf numFmtId="0" fontId="140" fillId="25" borderId="88" applyNumberFormat="0" applyAlignment="0" applyProtection="0">
      <alignment vertical="center"/>
    </xf>
    <xf numFmtId="0" fontId="140" fillId="25" borderId="88" applyNumberFormat="0" applyAlignment="0" applyProtection="0">
      <alignment vertical="center"/>
    </xf>
    <xf numFmtId="0" fontId="140" fillId="25" borderId="88" applyNumberFormat="0" applyAlignment="0" applyProtection="0">
      <alignment vertical="center"/>
    </xf>
    <xf numFmtId="0" fontId="140" fillId="25" borderId="88" applyNumberFormat="0" applyAlignment="0" applyProtection="0">
      <alignment vertical="center"/>
    </xf>
    <xf numFmtId="0" fontId="140" fillId="25" borderId="88" applyNumberFormat="0" applyAlignment="0" applyProtection="0">
      <alignment vertical="center"/>
    </xf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40" fillId="25" borderId="88" applyNumberFormat="0" applyAlignment="0" applyProtection="0">
      <alignment vertical="center"/>
    </xf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40" fillId="25" borderId="88" applyNumberFormat="0" applyAlignment="0" applyProtection="0">
      <alignment vertical="center"/>
    </xf>
    <xf numFmtId="0" fontId="139" fillId="25" borderId="88" applyNumberFormat="0" applyAlignment="0" applyProtection="0"/>
    <xf numFmtId="0" fontId="140" fillId="25" borderId="88" applyNumberFormat="0" applyAlignment="0" applyProtection="0">
      <alignment vertical="center"/>
    </xf>
    <xf numFmtId="0" fontId="140" fillId="25" borderId="88" applyNumberFormat="0" applyAlignment="0" applyProtection="0">
      <alignment vertical="center"/>
    </xf>
    <xf numFmtId="0" fontId="140" fillId="25" borderId="88" applyNumberFormat="0" applyAlignment="0" applyProtection="0">
      <alignment vertical="center"/>
    </xf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40" fillId="25" borderId="88" applyNumberFormat="0" applyAlignment="0" applyProtection="0">
      <alignment vertical="center"/>
    </xf>
    <xf numFmtId="0" fontId="140" fillId="25" borderId="88" applyNumberFormat="0" applyAlignment="0" applyProtection="0">
      <alignment vertical="center"/>
    </xf>
    <xf numFmtId="0" fontId="140" fillId="25" borderId="88" applyNumberFormat="0" applyAlignment="0" applyProtection="0">
      <alignment vertical="center"/>
    </xf>
    <xf numFmtId="0" fontId="140" fillId="25" borderId="88" applyNumberFormat="0" applyAlignment="0" applyProtection="0">
      <alignment vertical="center"/>
    </xf>
    <xf numFmtId="0" fontId="139" fillId="25" borderId="88" applyNumberFormat="0" applyAlignment="0" applyProtection="0"/>
    <xf numFmtId="0" fontId="140" fillId="25" borderId="88" applyNumberFormat="0" applyAlignment="0" applyProtection="0">
      <alignment vertical="center"/>
    </xf>
    <xf numFmtId="0" fontId="140" fillId="25" borderId="88" applyNumberFormat="0" applyAlignment="0" applyProtection="0">
      <alignment vertical="center"/>
    </xf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40" fillId="25" borderId="88" applyNumberFormat="0" applyAlignment="0" applyProtection="0">
      <alignment vertical="center"/>
    </xf>
    <xf numFmtId="0" fontId="140" fillId="25" borderId="88" applyNumberFormat="0" applyAlignment="0" applyProtection="0">
      <alignment vertical="center"/>
    </xf>
    <xf numFmtId="0" fontId="139" fillId="25" borderId="88" applyNumberFormat="0" applyAlignment="0" applyProtection="0"/>
    <xf numFmtId="0" fontId="140" fillId="25" borderId="88" applyNumberFormat="0" applyAlignment="0" applyProtection="0">
      <alignment vertical="center"/>
    </xf>
    <xf numFmtId="0" fontId="139" fillId="25" borderId="88" applyNumberFormat="0" applyAlignment="0" applyProtection="0"/>
    <xf numFmtId="0" fontId="140" fillId="25" borderId="88" applyNumberFormat="0" applyAlignment="0" applyProtection="0">
      <alignment vertical="center"/>
    </xf>
    <xf numFmtId="0" fontId="140" fillId="25" borderId="88" applyNumberFormat="0" applyAlignment="0" applyProtection="0">
      <alignment vertical="center"/>
    </xf>
    <xf numFmtId="0" fontId="140" fillId="25" borderId="88" applyNumberFormat="0" applyAlignment="0" applyProtection="0">
      <alignment vertical="center"/>
    </xf>
    <xf numFmtId="0" fontId="140" fillId="25" borderId="88" applyNumberFormat="0" applyAlignment="0" applyProtection="0">
      <alignment vertical="center"/>
    </xf>
    <xf numFmtId="0" fontId="140" fillId="25" borderId="88" applyNumberFormat="0" applyAlignment="0" applyProtection="0">
      <alignment vertical="center"/>
    </xf>
    <xf numFmtId="0" fontId="140" fillId="25" borderId="88" applyNumberFormat="0" applyAlignment="0" applyProtection="0">
      <alignment vertical="center"/>
    </xf>
    <xf numFmtId="0" fontId="140" fillId="25" borderId="88" applyNumberFormat="0" applyAlignment="0" applyProtection="0">
      <alignment vertical="center"/>
    </xf>
    <xf numFmtId="0" fontId="140" fillId="25" borderId="88" applyNumberFormat="0" applyAlignment="0" applyProtection="0">
      <alignment vertical="center"/>
    </xf>
    <xf numFmtId="0" fontId="140" fillId="25" borderId="88" applyNumberFormat="0" applyAlignment="0" applyProtection="0">
      <alignment vertical="center"/>
    </xf>
    <xf numFmtId="0" fontId="140" fillId="25" borderId="88" applyNumberFormat="0" applyAlignment="0" applyProtection="0">
      <alignment vertical="center"/>
    </xf>
    <xf numFmtId="0" fontId="140" fillId="25" borderId="88" applyNumberFormat="0" applyAlignment="0" applyProtection="0">
      <alignment vertical="center"/>
    </xf>
    <xf numFmtId="0" fontId="140" fillId="25" borderId="88" applyNumberFormat="0" applyAlignment="0" applyProtection="0">
      <alignment vertical="center"/>
    </xf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9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8" fillId="18" borderId="88" applyNumberFormat="0" applyAlignment="0" applyProtection="0">
      <alignment vertical="center"/>
    </xf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18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7" fillId="25" borderId="88" applyNumberFormat="0" applyAlignment="0" applyProtection="0"/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8" fillId="25" borderId="88" applyNumberFormat="0" applyAlignment="0" applyProtection="0">
      <alignment vertical="center"/>
    </xf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0" fontId="137" fillId="25" borderId="88" applyNumberFormat="0" applyAlignment="0" applyProtection="0"/>
    <xf numFmtId="8" fontId="113" fillId="50" borderId="0" applyFont="0" applyBorder="0" applyAlignment="0" applyProtection="0">
      <protection locked="0"/>
    </xf>
    <xf numFmtId="8" fontId="95" fillId="50" borderId="0" applyFont="0" applyBorder="0" applyAlignment="0" applyProtection="0">
      <alignment vertical="center"/>
      <protection locked="0"/>
    </xf>
    <xf numFmtId="15" fontId="113" fillId="50" borderId="0" applyFont="0" applyBorder="0" applyAlignment="0" applyProtection="0">
      <protection locked="0"/>
    </xf>
    <xf numFmtId="15" fontId="95" fillId="50" borderId="0" applyFont="0" applyBorder="0" applyAlignment="0" applyProtection="0">
      <alignment vertical="center"/>
      <protection locked="0"/>
    </xf>
    <xf numFmtId="15" fontId="95" fillId="50" borderId="0" applyFont="0" applyBorder="0" applyAlignment="0" applyProtection="0">
      <alignment vertical="center"/>
      <protection locked="0"/>
    </xf>
    <xf numFmtId="15" fontId="95" fillId="50" borderId="0" applyFont="0" applyBorder="0" applyAlignment="0" applyProtection="0">
      <alignment vertical="center"/>
      <protection locked="0"/>
    </xf>
    <xf numFmtId="15" fontId="95" fillId="50" borderId="0" applyFont="0" applyBorder="0" applyAlignment="0" applyProtection="0">
      <alignment vertical="center"/>
      <protection locked="0"/>
    </xf>
    <xf numFmtId="211" fontId="40" fillId="50" borderId="0" applyFont="0" applyBorder="0" applyAlignment="0">
      <protection locked="0"/>
    </xf>
    <xf numFmtId="211" fontId="95" fillId="50" borderId="0" applyFont="0" applyBorder="0" applyAlignment="0">
      <alignment vertical="center"/>
      <protection locked="0"/>
    </xf>
    <xf numFmtId="38" fontId="113" fillId="50" borderId="0">
      <protection locked="0"/>
    </xf>
    <xf numFmtId="38" fontId="114" fillId="50" borderId="0">
      <alignment vertical="center"/>
      <protection locked="0"/>
    </xf>
    <xf numFmtId="170" fontId="40" fillId="50" borderId="0" applyFont="0" applyBorder="0" applyAlignment="0">
      <protection locked="0"/>
    </xf>
    <xf numFmtId="10" fontId="113" fillId="50" borderId="0">
      <protection locked="0"/>
    </xf>
    <xf numFmtId="10" fontId="114" fillId="50" borderId="0">
      <alignment vertical="center"/>
      <protection locked="0"/>
    </xf>
    <xf numFmtId="170" fontId="95" fillId="50" borderId="0" applyFont="0" applyBorder="0" applyAlignment="0">
      <alignment vertical="center"/>
      <protection locked="0"/>
    </xf>
    <xf numFmtId="170" fontId="95" fillId="50" borderId="0" applyFont="0" applyBorder="0" applyAlignment="0">
      <alignment vertical="center"/>
      <protection locked="0"/>
    </xf>
    <xf numFmtId="170" fontId="95" fillId="50" borderId="0" applyFont="0" applyBorder="0" applyAlignment="0">
      <alignment vertical="center"/>
      <protection locked="0"/>
    </xf>
    <xf numFmtId="170" fontId="95" fillId="50" borderId="0" applyFont="0" applyBorder="0" applyAlignment="0">
      <alignment vertical="center"/>
      <protection locked="0"/>
    </xf>
    <xf numFmtId="170" fontId="95" fillId="50" borderId="0" applyFont="0" applyBorder="0" applyAlignment="0">
      <alignment vertical="center"/>
      <protection locked="0"/>
    </xf>
    <xf numFmtId="170" fontId="95" fillId="50" borderId="0" applyFont="0" applyBorder="0" applyAlignment="0">
      <alignment vertical="center"/>
      <protection locked="0"/>
    </xf>
    <xf numFmtId="170" fontId="95" fillId="50" borderId="0" applyFont="0" applyBorder="0" applyAlignment="0">
      <alignment vertical="center"/>
      <protection locked="0"/>
    </xf>
    <xf numFmtId="170" fontId="95" fillId="50" borderId="0" applyFont="0" applyBorder="0" applyAlignment="0">
      <alignment vertical="center"/>
      <protection locked="0"/>
    </xf>
    <xf numFmtId="170" fontId="95" fillId="50" borderId="0" applyFont="0" applyBorder="0" applyAlignment="0">
      <alignment vertical="center"/>
      <protection locked="0"/>
    </xf>
    <xf numFmtId="170" fontId="95" fillId="50" borderId="0" applyFont="0" applyBorder="0" applyAlignment="0">
      <alignment vertical="center"/>
      <protection locked="0"/>
    </xf>
    <xf numFmtId="170" fontId="95" fillId="50" borderId="0" applyFont="0" applyBorder="0" applyAlignment="0">
      <alignment vertical="center"/>
      <protection locked="0"/>
    </xf>
    <xf numFmtId="170" fontId="95" fillId="50" borderId="0" applyFont="0" applyBorder="0" applyAlignment="0">
      <alignment vertical="center"/>
      <protection locked="0"/>
    </xf>
    <xf numFmtId="170" fontId="95" fillId="50" borderId="0" applyFont="0" applyBorder="0" applyAlignment="0">
      <alignment vertical="center"/>
      <protection locked="0"/>
    </xf>
    <xf numFmtId="170" fontId="95" fillId="50" borderId="0" applyFont="0" applyBorder="0" applyAlignment="0">
      <alignment vertical="center"/>
      <protection locked="0"/>
    </xf>
    <xf numFmtId="170" fontId="95" fillId="50" borderId="0" applyFont="0" applyBorder="0" applyAlignment="0">
      <alignment vertical="center"/>
      <protection locked="0"/>
    </xf>
    <xf numFmtId="170" fontId="95" fillId="50" borderId="0" applyFont="0" applyBorder="0" applyAlignment="0">
      <alignment vertical="center"/>
      <protection locked="0"/>
    </xf>
    <xf numFmtId="170" fontId="95" fillId="50" borderId="0" applyFont="0" applyBorder="0" applyAlignment="0">
      <alignment vertical="center"/>
      <protection locked="0"/>
    </xf>
    <xf numFmtId="170" fontId="95" fillId="50" borderId="0" applyFont="0" applyBorder="0" applyAlignment="0">
      <alignment vertical="center"/>
      <protection locked="0"/>
    </xf>
    <xf numFmtId="170" fontId="95" fillId="50" borderId="0" applyFont="0" applyBorder="0" applyAlignment="0">
      <alignment vertical="center"/>
      <protection locked="0"/>
    </xf>
    <xf numFmtId="170" fontId="95" fillId="50" borderId="0" applyFont="0" applyBorder="0" applyAlignment="0">
      <alignment vertical="center"/>
      <protection locked="0"/>
    </xf>
    <xf numFmtId="170" fontId="95" fillId="50" borderId="0" applyFont="0" applyBorder="0" applyAlignment="0">
      <alignment vertical="center"/>
      <protection locked="0"/>
    </xf>
    <xf numFmtId="170" fontId="95" fillId="50" borderId="0" applyFont="0" applyBorder="0" applyAlignment="0">
      <alignment vertical="center"/>
      <protection locked="0"/>
    </xf>
    <xf numFmtId="170" fontId="95" fillId="50" borderId="0" applyFont="0" applyBorder="0" applyAlignment="0">
      <alignment vertical="center"/>
      <protection locked="0"/>
    </xf>
    <xf numFmtId="212" fontId="40" fillId="50" borderId="0" applyNumberFormat="0" applyBorder="0" applyAlignment="0">
      <protection locked="0"/>
    </xf>
    <xf numFmtId="0" fontId="64" fillId="50" borderId="0" applyNumberFormat="0" applyBorder="0" applyAlignment="0">
      <alignment vertical="center"/>
      <protection locked="0"/>
    </xf>
    <xf numFmtId="185" fontId="67" fillId="0" borderId="0" applyFill="0" applyBorder="0" applyAlignment="0"/>
    <xf numFmtId="185" fontId="68" fillId="0" borderId="0" applyFill="0" applyBorder="0" applyAlignment="0">
      <alignment vertical="center"/>
    </xf>
    <xf numFmtId="181" fontId="67" fillId="0" borderId="0" applyFill="0" applyBorder="0" applyAlignment="0"/>
    <xf numFmtId="181" fontId="68" fillId="0" borderId="0" applyFill="0" applyBorder="0" applyAlignment="0">
      <alignment vertical="center"/>
    </xf>
    <xf numFmtId="185" fontId="67" fillId="0" borderId="0" applyFill="0" applyBorder="0" applyAlignment="0"/>
    <xf numFmtId="185" fontId="68" fillId="0" borderId="0" applyFill="0" applyBorder="0" applyAlignment="0">
      <alignment vertical="center"/>
    </xf>
    <xf numFmtId="174" fontId="67" fillId="0" borderId="0" applyFill="0" applyBorder="0" applyAlignment="0"/>
    <xf numFmtId="174" fontId="68" fillId="0" borderId="0" applyFill="0" applyBorder="0" applyAlignment="0">
      <alignment vertical="center"/>
    </xf>
    <xf numFmtId="181" fontId="67" fillId="0" borderId="0" applyFill="0" applyBorder="0" applyAlignment="0"/>
    <xf numFmtId="181" fontId="68" fillId="0" borderId="0" applyFill="0" applyBorder="0" applyAlignment="0">
      <alignment vertical="center"/>
    </xf>
    <xf numFmtId="0" fontId="141" fillId="0" borderId="96" applyNumberFormat="0" applyFill="0" applyAlignment="0" applyProtection="0"/>
    <xf numFmtId="0" fontId="142" fillId="0" borderId="96" applyNumberFormat="0" applyFill="0" applyAlignment="0" applyProtection="0">
      <alignment vertical="center"/>
    </xf>
    <xf numFmtId="0" fontId="141" fillId="0" borderId="96" applyNumberFormat="0" applyFill="0" applyAlignment="0" applyProtection="0"/>
    <xf numFmtId="0" fontId="141" fillId="0" borderId="96" applyNumberFormat="0" applyFill="0" applyAlignment="0" applyProtection="0"/>
    <xf numFmtId="0" fontId="142" fillId="0" borderId="96" applyNumberFormat="0" applyFill="0" applyAlignment="0" applyProtection="0">
      <alignment vertical="center"/>
    </xf>
    <xf numFmtId="0" fontId="141" fillId="0" borderId="96" applyNumberFormat="0" applyFill="0" applyAlignment="0" applyProtection="0"/>
    <xf numFmtId="0" fontId="143" fillId="0" borderId="96" applyNumberFormat="0" applyFill="0" applyAlignment="0" applyProtection="0"/>
    <xf numFmtId="0" fontId="144" fillId="0" borderId="96" applyNumberFormat="0" applyFill="0" applyAlignment="0" applyProtection="0">
      <alignment vertical="center"/>
    </xf>
    <xf numFmtId="0" fontId="143" fillId="0" borderId="96" applyNumberFormat="0" applyFill="0" applyAlignment="0" applyProtection="0"/>
    <xf numFmtId="0" fontId="141" fillId="0" borderId="96" applyNumberFormat="0" applyFill="0" applyAlignment="0" applyProtection="0"/>
    <xf numFmtId="0" fontId="142" fillId="0" borderId="96" applyNumberFormat="0" applyFill="0" applyAlignment="0" applyProtection="0">
      <alignment vertical="center"/>
    </xf>
    <xf numFmtId="0" fontId="141" fillId="0" borderId="96" applyNumberFormat="0" applyFill="0" applyAlignment="0" applyProtection="0"/>
    <xf numFmtId="0" fontId="141" fillId="0" borderId="96" applyNumberFormat="0" applyFill="0" applyAlignment="0" applyProtection="0"/>
    <xf numFmtId="0" fontId="142" fillId="0" borderId="96" applyNumberFormat="0" applyFill="0" applyAlignment="0" applyProtection="0">
      <alignment vertical="center"/>
    </xf>
    <xf numFmtId="0" fontId="141" fillId="0" borderId="96" applyNumberFormat="0" applyFill="0" applyAlignment="0" applyProtection="0"/>
    <xf numFmtId="0" fontId="141" fillId="0" borderId="96" applyNumberFormat="0" applyFill="0" applyAlignment="0" applyProtection="0"/>
    <xf numFmtId="0" fontId="142" fillId="0" borderId="96" applyNumberFormat="0" applyFill="0" applyAlignment="0" applyProtection="0">
      <alignment vertical="center"/>
    </xf>
    <xf numFmtId="0" fontId="141" fillId="0" borderId="96" applyNumberFormat="0" applyFill="0" applyAlignment="0" applyProtection="0"/>
    <xf numFmtId="0" fontId="141" fillId="0" borderId="96" applyNumberFormat="0" applyFill="0" applyAlignment="0" applyProtection="0"/>
    <xf numFmtId="0" fontId="142" fillId="0" borderId="96" applyNumberFormat="0" applyFill="0" applyAlignment="0" applyProtection="0">
      <alignment vertical="center"/>
    </xf>
    <xf numFmtId="0" fontId="141" fillId="0" borderId="96" applyNumberFormat="0" applyFill="0" applyAlignment="0" applyProtection="0"/>
    <xf numFmtId="0" fontId="141" fillId="0" borderId="96" applyNumberFormat="0" applyFill="0" applyAlignment="0" applyProtection="0"/>
    <xf numFmtId="0" fontId="142" fillId="0" borderId="96" applyNumberFormat="0" applyFill="0" applyAlignment="0" applyProtection="0">
      <alignment vertical="center"/>
    </xf>
    <xf numFmtId="0" fontId="141" fillId="0" borderId="96" applyNumberFormat="0" applyFill="0" applyAlignment="0" applyProtection="0"/>
    <xf numFmtId="0" fontId="141" fillId="0" borderId="96" applyNumberFormat="0" applyFill="0" applyAlignment="0" applyProtection="0"/>
    <xf numFmtId="0" fontId="142" fillId="0" borderId="96" applyNumberFormat="0" applyFill="0" applyAlignment="0" applyProtection="0">
      <alignment vertical="center"/>
    </xf>
    <xf numFmtId="0" fontId="141" fillId="0" borderId="96" applyNumberFormat="0" applyFill="0" applyAlignment="0" applyProtection="0"/>
    <xf numFmtId="0" fontId="141" fillId="0" borderId="96" applyNumberFormat="0" applyFill="0" applyAlignment="0" applyProtection="0"/>
    <xf numFmtId="0" fontId="142" fillId="0" borderId="96" applyNumberFormat="0" applyFill="0" applyAlignment="0" applyProtection="0">
      <alignment vertical="center"/>
    </xf>
    <xf numFmtId="0" fontId="141" fillId="0" borderId="96" applyNumberFormat="0" applyFill="0" applyAlignment="0" applyProtection="0"/>
    <xf numFmtId="213" fontId="40" fillId="51" borderId="0" applyFont="0" applyBorder="0" applyAlignment="0" applyProtection="0">
      <alignment horizontal="right"/>
      <protection hidden="1"/>
    </xf>
    <xf numFmtId="213" fontId="95" fillId="51" borderId="0" applyFont="0" applyBorder="0" applyAlignment="0" applyProtection="0">
      <alignment horizontal="right" vertical="center"/>
      <protection hidden="1"/>
    </xf>
    <xf numFmtId="0" fontId="145" fillId="32" borderId="0" applyNumberFormat="0" applyBorder="0" applyAlignment="0" applyProtection="0"/>
    <xf numFmtId="0" fontId="146" fillId="32" borderId="0" applyNumberFormat="0" applyBorder="0" applyAlignment="0" applyProtection="0">
      <alignment vertical="center"/>
    </xf>
    <xf numFmtId="0" fontId="145" fillId="32" borderId="0" applyNumberFormat="0" applyBorder="0" applyAlignment="0" applyProtection="0"/>
    <xf numFmtId="0" fontId="146" fillId="32" borderId="0" applyNumberFormat="0" applyBorder="0" applyAlignment="0" applyProtection="0">
      <alignment vertical="center"/>
    </xf>
    <xf numFmtId="0" fontId="147" fillId="32" borderId="0" applyNumberFormat="0" applyBorder="0" applyAlignment="0" applyProtection="0"/>
    <xf numFmtId="0" fontId="148" fillId="32" borderId="0" applyNumberFormat="0" applyBorder="0" applyAlignment="0" applyProtection="0">
      <alignment vertical="center"/>
    </xf>
    <xf numFmtId="0" fontId="149" fillId="32" borderId="0" applyNumberFormat="0" applyBorder="0" applyAlignment="0" applyProtection="0"/>
    <xf numFmtId="0" fontId="150" fillId="32" borderId="0" applyNumberFormat="0" applyBorder="0" applyAlignment="0" applyProtection="0">
      <alignment vertical="center"/>
    </xf>
    <xf numFmtId="0" fontId="145" fillId="32" borderId="0" applyNumberFormat="0" applyBorder="0" applyAlignment="0" applyProtection="0"/>
    <xf numFmtId="0" fontId="146" fillId="32" borderId="0" applyNumberFormat="0" applyBorder="0" applyAlignment="0" applyProtection="0">
      <alignment vertical="center"/>
    </xf>
    <xf numFmtId="0" fontId="145" fillId="32" borderId="0" applyNumberFormat="0" applyBorder="0" applyAlignment="0" applyProtection="0"/>
    <xf numFmtId="0" fontId="146" fillId="32" borderId="0" applyNumberFormat="0" applyBorder="0" applyAlignment="0" applyProtection="0">
      <alignment vertical="center"/>
    </xf>
    <xf numFmtId="0" fontId="145" fillId="32" borderId="0" applyNumberFormat="0" applyBorder="0" applyAlignment="0" applyProtection="0"/>
    <xf numFmtId="0" fontId="146" fillId="32" borderId="0" applyNumberFormat="0" applyBorder="0" applyAlignment="0" applyProtection="0">
      <alignment vertical="center"/>
    </xf>
    <xf numFmtId="0" fontId="145" fillId="32" borderId="0" applyNumberFormat="0" applyBorder="0" applyAlignment="0" applyProtection="0"/>
    <xf numFmtId="0" fontId="146" fillId="32" borderId="0" applyNumberFormat="0" applyBorder="0" applyAlignment="0" applyProtection="0">
      <alignment vertical="center"/>
    </xf>
    <xf numFmtId="0" fontId="145" fillId="32" borderId="0" applyNumberFormat="0" applyBorder="0" applyAlignment="0" applyProtection="0"/>
    <xf numFmtId="0" fontId="146" fillId="32" borderId="0" applyNumberFormat="0" applyBorder="0" applyAlignment="0" applyProtection="0">
      <alignment vertical="center"/>
    </xf>
    <xf numFmtId="0" fontId="145" fillId="32" borderId="0" applyNumberFormat="0" applyBorder="0" applyAlignment="0" applyProtection="0"/>
    <xf numFmtId="0" fontId="146" fillId="32" borderId="0" applyNumberFormat="0" applyBorder="0" applyAlignment="0" applyProtection="0">
      <alignment vertical="center"/>
    </xf>
    <xf numFmtId="0" fontId="145" fillId="32" borderId="0" applyNumberFormat="0" applyBorder="0" applyAlignment="0" applyProtection="0"/>
    <xf numFmtId="0" fontId="146" fillId="32" borderId="0" applyNumberFormat="0" applyBorder="0" applyAlignment="0" applyProtection="0">
      <alignment vertical="center"/>
    </xf>
    <xf numFmtId="176" fontId="151" fillId="0" borderId="0"/>
    <xf numFmtId="176" fontId="152" fillId="0" borderId="0">
      <alignment vertical="center"/>
    </xf>
    <xf numFmtId="38" fontId="113" fillId="0" borderId="0" applyFont="0" applyFill="0" applyBorder="0" applyAlignment="0"/>
    <xf numFmtId="38" fontId="70" fillId="0" borderId="0" applyFont="0" applyFill="0" applyBorder="0" applyAlignment="0">
      <alignment vertical="center"/>
    </xf>
    <xf numFmtId="212" fontId="40" fillId="0" borderId="0" applyFont="0" applyFill="0" applyBorder="0" applyAlignment="0"/>
    <xf numFmtId="212" fontId="70" fillId="0" borderId="0" applyFont="0" applyFill="0" applyBorder="0" applyAlignment="0">
      <alignment vertical="center"/>
    </xf>
    <xf numFmtId="40" fontId="113" fillId="0" borderId="0" applyFont="0" applyFill="0" applyBorder="0" applyAlignment="0"/>
    <xf numFmtId="40" fontId="70" fillId="0" borderId="0" applyFont="0" applyFill="0" applyBorder="0" applyAlignment="0">
      <alignment vertical="center"/>
    </xf>
    <xf numFmtId="214" fontId="113" fillId="0" borderId="0" applyFont="0" applyFill="0" applyBorder="0" applyAlignment="0"/>
    <xf numFmtId="214" fontId="70" fillId="0" borderId="0" applyFont="0" applyFill="0" applyBorder="0" applyAlignment="0">
      <alignment vertical="center"/>
    </xf>
    <xf numFmtId="0" fontId="40" fillId="0" borderId="0"/>
    <xf numFmtId="0" fontId="40" fillId="0" borderId="0"/>
    <xf numFmtId="0" fontId="64" fillId="0" borderId="0">
      <alignment vertical="center"/>
    </xf>
    <xf numFmtId="0" fontId="94" fillId="0" borderId="0">
      <alignment vertical="center"/>
    </xf>
    <xf numFmtId="0" fontId="64" fillId="0" borderId="0">
      <alignment vertical="center"/>
    </xf>
    <xf numFmtId="0" fontId="94" fillId="0" borderId="0">
      <alignment vertical="center"/>
    </xf>
    <xf numFmtId="0" fontId="27" fillId="0" borderId="0"/>
    <xf numFmtId="0" fontId="64" fillId="0" borderId="0">
      <alignment vertical="center"/>
    </xf>
    <xf numFmtId="0" fontId="27" fillId="0" borderId="0"/>
    <xf numFmtId="0" fontId="27" fillId="0" borderId="0"/>
    <xf numFmtId="0" fontId="40" fillId="0" borderId="0"/>
    <xf numFmtId="0" fontId="40" fillId="0" borderId="0"/>
    <xf numFmtId="0" fontId="64" fillId="0" borderId="0">
      <alignment vertical="center"/>
    </xf>
    <xf numFmtId="0" fontId="1" fillId="0" borderId="0"/>
    <xf numFmtId="0" fontId="70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94" fillId="0" borderId="0">
      <alignment vertical="center"/>
    </xf>
    <xf numFmtId="0" fontId="64" fillId="0" borderId="0">
      <alignment vertical="center"/>
    </xf>
    <xf numFmtId="0" fontId="40" fillId="0" borderId="0"/>
    <xf numFmtId="0" fontId="61" fillId="0" borderId="0"/>
    <xf numFmtId="0" fontId="94" fillId="0" borderId="0">
      <alignment vertical="center"/>
    </xf>
    <xf numFmtId="0" fontId="40" fillId="0" borderId="0"/>
    <xf numFmtId="0" fontId="64" fillId="0" borderId="0">
      <alignment vertical="center"/>
    </xf>
    <xf numFmtId="0" fontId="1" fillId="0" borderId="0"/>
    <xf numFmtId="0" fontId="40" fillId="0" borderId="0"/>
    <xf numFmtId="0" fontId="64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4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94" fillId="0" borderId="0">
      <alignment vertical="center"/>
    </xf>
    <xf numFmtId="0" fontId="27" fillId="0" borderId="0"/>
    <xf numFmtId="0" fontId="94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4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94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94" fillId="0" borderId="0">
      <alignment vertical="center"/>
    </xf>
    <xf numFmtId="0" fontId="27" fillId="0" borderId="0"/>
    <xf numFmtId="0" fontId="27" fillId="0" borderId="0"/>
    <xf numFmtId="0" fontId="94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94" fillId="0" borderId="0">
      <alignment vertical="center"/>
    </xf>
    <xf numFmtId="0" fontId="94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94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94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94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94" fillId="0" borderId="0">
      <alignment vertical="center"/>
    </xf>
    <xf numFmtId="0" fontId="27" fillId="0" borderId="0"/>
    <xf numFmtId="0" fontId="40" fillId="0" borderId="0"/>
    <xf numFmtId="0" fontId="40" fillId="0" borderId="0"/>
    <xf numFmtId="0" fontId="64" fillId="0" borderId="0">
      <alignment vertical="center"/>
    </xf>
    <xf numFmtId="0" fontId="27" fillId="0" borderId="0"/>
    <xf numFmtId="0" fontId="94" fillId="0" borderId="0">
      <alignment vertical="center"/>
    </xf>
    <xf numFmtId="0" fontId="94" fillId="0" borderId="0">
      <alignment vertical="center"/>
    </xf>
    <xf numFmtId="0" fontId="27" fillId="0" borderId="0"/>
    <xf numFmtId="0" fontId="94" fillId="0" borderId="0">
      <alignment vertical="center"/>
    </xf>
    <xf numFmtId="0" fontId="27" fillId="0" borderId="0"/>
    <xf numFmtId="0" fontId="94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40" fillId="0" borderId="0"/>
    <xf numFmtId="0" fontId="40" fillId="0" borderId="0"/>
    <xf numFmtId="0" fontId="64" fillId="0" borderId="0">
      <alignment vertical="center"/>
    </xf>
    <xf numFmtId="0" fontId="40" fillId="0" borderId="0"/>
    <xf numFmtId="0" fontId="27" fillId="0" borderId="0"/>
    <xf numFmtId="0" fontId="94" fillId="0" borderId="0">
      <alignment vertical="center"/>
    </xf>
    <xf numFmtId="0" fontId="27" fillId="0" borderId="0"/>
    <xf numFmtId="0" fontId="64" fillId="0" borderId="0">
      <alignment vertical="center"/>
    </xf>
    <xf numFmtId="0" fontId="27" fillId="0" borderId="0"/>
    <xf numFmtId="0" fontId="27" fillId="0" borderId="0"/>
    <xf numFmtId="0" fontId="94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94" fillId="0" borderId="0">
      <alignment vertical="center"/>
    </xf>
    <xf numFmtId="0" fontId="27" fillId="0" borderId="0"/>
    <xf numFmtId="0" fontId="94" fillId="0" borderId="0">
      <alignment vertical="center"/>
    </xf>
    <xf numFmtId="0" fontId="27" fillId="0" borderId="0"/>
    <xf numFmtId="0" fontId="27" fillId="0" borderId="0"/>
    <xf numFmtId="0" fontId="94" fillId="0" borderId="0">
      <alignment vertical="center"/>
    </xf>
    <xf numFmtId="0" fontId="27" fillId="0" borderId="0"/>
    <xf numFmtId="0" fontId="94" fillId="0" borderId="0">
      <alignment vertical="center"/>
    </xf>
    <xf numFmtId="0" fontId="27" fillId="0" borderId="0"/>
    <xf numFmtId="0" fontId="40" fillId="0" borderId="0">
      <protection locked="0"/>
    </xf>
    <xf numFmtId="0" fontId="64" fillId="0" borderId="0">
      <alignment vertical="center"/>
    </xf>
    <xf numFmtId="0" fontId="96" fillId="0" borderId="0"/>
    <xf numFmtId="0" fontId="27" fillId="0" borderId="0"/>
    <xf numFmtId="0" fontId="94" fillId="0" borderId="0">
      <alignment vertical="center"/>
    </xf>
    <xf numFmtId="0" fontId="27" fillId="0" borderId="0"/>
    <xf numFmtId="0" fontId="96" fillId="0" borderId="0">
      <alignment vertical="center"/>
    </xf>
    <xf numFmtId="0" fontId="40" fillId="0" borderId="0"/>
    <xf numFmtId="0" fontId="40" fillId="0" borderId="0"/>
    <xf numFmtId="0" fontId="64" fillId="0" borderId="0">
      <alignment vertical="center"/>
    </xf>
    <xf numFmtId="0" fontId="64" fillId="0" borderId="0">
      <alignment vertical="center"/>
    </xf>
    <xf numFmtId="0" fontId="1" fillId="0" borderId="0"/>
    <xf numFmtId="0" fontId="1" fillId="0" borderId="0"/>
    <xf numFmtId="0" fontId="70" fillId="0" borderId="0">
      <alignment vertical="center"/>
    </xf>
    <xf numFmtId="0" fontId="1" fillId="0" borderId="0"/>
    <xf numFmtId="0" fontId="27" fillId="0" borderId="0"/>
    <xf numFmtId="0" fontId="27" fillId="0" borderId="0"/>
    <xf numFmtId="0" fontId="94" fillId="0" borderId="0">
      <alignment vertical="center"/>
    </xf>
    <xf numFmtId="0" fontId="27" fillId="0" borderId="0"/>
    <xf numFmtId="0" fontId="40" fillId="0" borderId="0"/>
    <xf numFmtId="0" fontId="94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1" fillId="0" borderId="0"/>
    <xf numFmtId="0" fontId="40" fillId="0" borderId="0"/>
    <xf numFmtId="0" fontId="27" fillId="0" borderId="0"/>
    <xf numFmtId="0" fontId="27" fillId="0" borderId="0"/>
    <xf numFmtId="0" fontId="27" fillId="0" borderId="0"/>
    <xf numFmtId="0" fontId="153" fillId="0" borderId="0">
      <alignment vertical="center"/>
    </xf>
    <xf numFmtId="0" fontId="27" fillId="0" borderId="0"/>
    <xf numFmtId="0" fontId="94" fillId="0" borderId="0">
      <alignment vertical="center"/>
    </xf>
    <xf numFmtId="0" fontId="27" fillId="0" borderId="0"/>
    <xf numFmtId="0" fontId="27" fillId="0" borderId="0"/>
    <xf numFmtId="0" fontId="94" fillId="0" borderId="0">
      <alignment vertical="center"/>
    </xf>
    <xf numFmtId="0" fontId="27" fillId="0" borderId="0"/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1" fillId="0" borderId="0"/>
    <xf numFmtId="0" fontId="70" fillId="0" borderId="0">
      <alignment vertical="center"/>
    </xf>
    <xf numFmtId="0" fontId="1" fillId="0" borderId="0"/>
    <xf numFmtId="0" fontId="70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4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94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94" fillId="0" borderId="0">
      <alignment vertical="center"/>
    </xf>
    <xf numFmtId="0" fontId="27" fillId="0" borderId="0"/>
    <xf numFmtId="0" fontId="94" fillId="0" borderId="0">
      <alignment vertical="center"/>
    </xf>
    <xf numFmtId="0" fontId="27" fillId="0" borderId="0"/>
    <xf numFmtId="0" fontId="94" fillId="0" borderId="0">
      <alignment vertical="center"/>
    </xf>
    <xf numFmtId="0" fontId="27" fillId="0" borderId="0"/>
    <xf numFmtId="0" fontId="94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94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40" fillId="0" borderId="0"/>
    <xf numFmtId="0" fontId="94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94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94" fillId="0" borderId="0">
      <alignment vertical="center"/>
    </xf>
    <xf numFmtId="0" fontId="27" fillId="0" borderId="0"/>
    <xf numFmtId="0" fontId="27" fillId="0" borderId="0"/>
    <xf numFmtId="0" fontId="61" fillId="0" borderId="0"/>
    <xf numFmtId="0" fontId="96" fillId="0" borderId="0"/>
    <xf numFmtId="0" fontId="40" fillId="0" borderId="0"/>
    <xf numFmtId="0" fontId="70" fillId="0" borderId="0">
      <alignment vertical="center"/>
    </xf>
    <xf numFmtId="0" fontId="40" fillId="0" borderId="0"/>
    <xf numFmtId="0" fontId="96" fillId="0" borderId="0"/>
    <xf numFmtId="0" fontId="64" fillId="0" borderId="0">
      <alignment vertical="center"/>
    </xf>
    <xf numFmtId="0" fontId="70" fillId="0" borderId="0"/>
    <xf numFmtId="0" fontId="70" fillId="0" borderId="0">
      <alignment vertical="center"/>
    </xf>
    <xf numFmtId="0" fontId="40" fillId="0" borderId="0"/>
    <xf numFmtId="0" fontId="64" fillId="0" borderId="0">
      <alignment vertical="center"/>
    </xf>
    <xf numFmtId="0" fontId="1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94" fillId="0" borderId="0">
      <alignment vertical="center"/>
    </xf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70" fillId="0" borderId="0">
      <alignment vertical="center"/>
    </xf>
    <xf numFmtId="0" fontId="1" fillId="0" borderId="0"/>
    <xf numFmtId="0" fontId="27" fillId="0" borderId="0"/>
    <xf numFmtId="0" fontId="94" fillId="0" borderId="0">
      <alignment vertical="center"/>
    </xf>
    <xf numFmtId="0" fontId="27" fillId="0" borderId="0"/>
    <xf numFmtId="0" fontId="27" fillId="0" borderId="0"/>
    <xf numFmtId="0" fontId="40" fillId="0" borderId="0"/>
    <xf numFmtId="0" fontId="70" fillId="0" borderId="0">
      <alignment vertical="center"/>
    </xf>
    <xf numFmtId="0" fontId="1" fillId="0" borderId="0"/>
    <xf numFmtId="0" fontId="1" fillId="0" borderId="0"/>
    <xf numFmtId="0" fontId="1" fillId="0" borderId="0"/>
    <xf numFmtId="0" fontId="40" fillId="0" borderId="0">
      <alignment vertical="top"/>
    </xf>
    <xf numFmtId="0" fontId="40" fillId="0" borderId="0">
      <alignment vertical="top"/>
    </xf>
    <xf numFmtId="0" fontId="64" fillId="0" borderId="0">
      <alignment vertical="top"/>
    </xf>
    <xf numFmtId="0" fontId="40" fillId="0" borderId="0">
      <alignment vertical="top"/>
    </xf>
    <xf numFmtId="0" fontId="1" fillId="0" borderId="0"/>
    <xf numFmtId="0" fontId="153" fillId="0" borderId="0">
      <alignment vertical="center"/>
    </xf>
    <xf numFmtId="0" fontId="40" fillId="0" borderId="0"/>
    <xf numFmtId="0" fontId="64" fillId="0" borderId="0">
      <alignment vertical="top"/>
    </xf>
    <xf numFmtId="0" fontId="40" fillId="0" borderId="0">
      <alignment vertical="top"/>
    </xf>
    <xf numFmtId="0" fontId="40" fillId="0" borderId="0">
      <alignment vertical="top"/>
    </xf>
    <xf numFmtId="0" fontId="40" fillId="0" borderId="0">
      <alignment vertical="top"/>
    </xf>
    <xf numFmtId="0" fontId="40" fillId="0" borderId="0"/>
    <xf numFmtId="0" fontId="1" fillId="0" borderId="0"/>
    <xf numFmtId="0" fontId="153" fillId="0" borderId="0">
      <alignment vertical="center"/>
    </xf>
    <xf numFmtId="0" fontId="1" fillId="0" borderId="0"/>
    <xf numFmtId="0" fontId="70" fillId="0" borderId="0">
      <alignment vertical="center"/>
    </xf>
    <xf numFmtId="0" fontId="1" fillId="0" borderId="0"/>
    <xf numFmtId="0" fontId="1" fillId="0" borderId="0"/>
    <xf numFmtId="0" fontId="1" fillId="0" borderId="0"/>
    <xf numFmtId="0" fontId="40" fillId="0" borderId="0"/>
    <xf numFmtId="0" fontId="153" fillId="0" borderId="0">
      <alignment vertical="center"/>
    </xf>
    <xf numFmtId="0" fontId="154" fillId="0" borderId="0">
      <alignment vertical="center"/>
    </xf>
    <xf numFmtId="0" fontId="153" fillId="0" borderId="0">
      <alignment vertical="center"/>
    </xf>
    <xf numFmtId="0" fontId="154" fillId="0" borderId="0">
      <alignment vertical="center"/>
    </xf>
    <xf numFmtId="0" fontId="153" fillId="0" borderId="0">
      <alignment vertical="center"/>
    </xf>
    <xf numFmtId="0" fontId="154" fillId="0" borderId="0">
      <alignment vertical="center"/>
    </xf>
    <xf numFmtId="0" fontId="153" fillId="0" borderId="0">
      <alignment vertical="center"/>
    </xf>
    <xf numFmtId="0" fontId="154" fillId="0" borderId="0">
      <alignment vertical="center"/>
    </xf>
    <xf numFmtId="0" fontId="153" fillId="0" borderId="0">
      <alignment vertical="center"/>
    </xf>
    <xf numFmtId="0" fontId="154" fillId="0" borderId="0">
      <alignment vertical="center"/>
    </xf>
    <xf numFmtId="0" fontId="153" fillId="0" borderId="0">
      <alignment vertical="center"/>
    </xf>
    <xf numFmtId="0" fontId="154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40" fillId="0" borderId="0"/>
    <xf numFmtId="0" fontId="40" fillId="0" borderId="0"/>
    <xf numFmtId="0" fontId="64" fillId="0" borderId="0">
      <alignment vertical="center"/>
    </xf>
    <xf numFmtId="0" fontId="40" fillId="0" borderId="0"/>
    <xf numFmtId="0" fontId="153" fillId="0" borderId="0">
      <alignment vertical="center"/>
    </xf>
    <xf numFmtId="0" fontId="40" fillId="0" borderId="0"/>
    <xf numFmtId="0" fontId="64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>
      <alignment vertical="top"/>
    </xf>
    <xf numFmtId="0" fontId="27" fillId="0" borderId="0"/>
    <xf numFmtId="0" fontId="27" fillId="0" borderId="0"/>
    <xf numFmtId="0" fontId="27" fillId="0" borderId="0"/>
    <xf numFmtId="0" fontId="94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94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94" fillId="0" borderId="0">
      <alignment vertical="center"/>
    </xf>
    <xf numFmtId="0" fontId="27" fillId="0" borderId="0"/>
    <xf numFmtId="0" fontId="40" fillId="0" borderId="0">
      <alignment vertical="top"/>
    </xf>
    <xf numFmtId="0" fontId="153" fillId="0" borderId="0">
      <alignment vertical="center"/>
    </xf>
    <xf numFmtId="0" fontId="64" fillId="0" borderId="0">
      <alignment vertical="top"/>
    </xf>
    <xf numFmtId="0" fontId="27" fillId="0" borderId="0"/>
    <xf numFmtId="0" fontId="27" fillId="0" borderId="0"/>
    <xf numFmtId="0" fontId="94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40" fillId="0" borderId="0"/>
    <xf numFmtId="0" fontId="27" fillId="0" borderId="0"/>
    <xf numFmtId="0" fontId="96" fillId="0" borderId="0"/>
    <xf numFmtId="0" fontId="96" fillId="0" borderId="0">
      <alignment vertical="center"/>
    </xf>
    <xf numFmtId="0" fontId="27" fillId="0" borderId="0"/>
    <xf numFmtId="0" fontId="153" fillId="0" borderId="0">
      <alignment vertical="center"/>
    </xf>
    <xf numFmtId="0" fontId="70" fillId="0" borderId="0">
      <alignment vertical="center"/>
    </xf>
    <xf numFmtId="0" fontId="27" fillId="0" borderId="0"/>
    <xf numFmtId="0" fontId="94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4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94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94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94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94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4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153" fillId="0" borderId="0">
      <alignment vertical="center"/>
    </xf>
    <xf numFmtId="0" fontId="94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4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4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94" fillId="0" borderId="0">
      <alignment vertical="center"/>
    </xf>
    <xf numFmtId="0" fontId="27" fillId="0" borderId="0"/>
    <xf numFmtId="0" fontId="27" fillId="0" borderId="0"/>
    <xf numFmtId="0" fontId="153" fillId="0" borderId="0">
      <alignment vertical="center"/>
    </xf>
    <xf numFmtId="0" fontId="27" fillId="0" borderId="0"/>
    <xf numFmtId="0" fontId="94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4" fillId="0" borderId="0">
      <alignment vertical="center"/>
    </xf>
    <xf numFmtId="0" fontId="27" fillId="0" borderId="0"/>
    <xf numFmtId="0" fontId="27" fillId="0" borderId="0"/>
    <xf numFmtId="0" fontId="153" fillId="0" borderId="0">
      <alignment vertical="center"/>
    </xf>
    <xf numFmtId="0" fontId="27" fillId="0" borderId="0"/>
    <xf numFmtId="0" fontId="27" fillId="0" borderId="0"/>
    <xf numFmtId="0" fontId="98" fillId="0" borderId="0">
      <protection locked="0"/>
    </xf>
    <xf numFmtId="0" fontId="94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3" fillId="0" borderId="0">
      <alignment vertical="center"/>
    </xf>
    <xf numFmtId="0" fontId="1" fillId="0" borderId="0"/>
    <xf numFmtId="0" fontId="27" fillId="0" borderId="0"/>
    <xf numFmtId="0" fontId="94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40" fillId="0" borderId="0"/>
    <xf numFmtId="0" fontId="64" fillId="0" borderId="0">
      <alignment vertical="center"/>
    </xf>
    <xf numFmtId="0" fontId="1" fillId="0" borderId="0"/>
    <xf numFmtId="0" fontId="40" fillId="0" borderId="0"/>
    <xf numFmtId="0" fontId="1" fillId="0" borderId="0"/>
    <xf numFmtId="0" fontId="40" fillId="0" borderId="0"/>
    <xf numFmtId="0" fontId="64" fillId="0" borderId="0">
      <alignment vertical="center"/>
    </xf>
    <xf numFmtId="0" fontId="1" fillId="0" borderId="0"/>
    <xf numFmtId="0" fontId="27" fillId="0" borderId="0"/>
    <xf numFmtId="0" fontId="27" fillId="0" borderId="0"/>
    <xf numFmtId="0" fontId="94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94" fillId="0" borderId="0">
      <alignment vertical="center"/>
    </xf>
    <xf numFmtId="0" fontId="27" fillId="0" borderId="0"/>
    <xf numFmtId="0" fontId="94" fillId="0" borderId="0">
      <alignment vertical="center"/>
    </xf>
    <xf numFmtId="0" fontId="27" fillId="0" borderId="0"/>
    <xf numFmtId="0" fontId="94" fillId="0" borderId="0">
      <alignment vertical="center"/>
    </xf>
    <xf numFmtId="0" fontId="27" fillId="0" borderId="0"/>
    <xf numFmtId="0" fontId="27" fillId="0" borderId="0"/>
    <xf numFmtId="0" fontId="94" fillId="0" borderId="0">
      <alignment vertical="center"/>
    </xf>
    <xf numFmtId="0" fontId="27" fillId="0" borderId="0"/>
    <xf numFmtId="0" fontId="27" fillId="0" borderId="0"/>
    <xf numFmtId="0" fontId="94" fillId="0" borderId="0">
      <alignment vertical="center"/>
    </xf>
    <xf numFmtId="0" fontId="27" fillId="0" borderId="0"/>
    <xf numFmtId="0" fontId="27" fillId="0" borderId="0"/>
    <xf numFmtId="0" fontId="94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4" fillId="0" borderId="0">
      <alignment vertical="center"/>
    </xf>
    <xf numFmtId="0" fontId="27" fillId="0" borderId="0"/>
    <xf numFmtId="0" fontId="1" fillId="0" borderId="0"/>
    <xf numFmtId="0" fontId="27" fillId="0" borderId="0"/>
    <xf numFmtId="0" fontId="94" fillId="0" borderId="0">
      <alignment vertical="center"/>
    </xf>
    <xf numFmtId="0" fontId="27" fillId="0" borderId="0"/>
    <xf numFmtId="0" fontId="50" fillId="0" borderId="0">
      <alignment vertical="center"/>
    </xf>
    <xf numFmtId="0" fontId="27" fillId="0" borderId="0"/>
    <xf numFmtId="0" fontId="94" fillId="0" borderId="0">
      <alignment vertical="center"/>
    </xf>
    <xf numFmtId="0" fontId="27" fillId="0" borderId="0"/>
    <xf numFmtId="0" fontId="27" fillId="0" borderId="0"/>
    <xf numFmtId="0" fontId="1" fillId="0" borderId="0"/>
    <xf numFmtId="0" fontId="70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70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1" fillId="0" borderId="0"/>
    <xf numFmtId="0" fontId="70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6" fillId="0" borderId="0"/>
    <xf numFmtId="0" fontId="96" fillId="0" borderId="0"/>
    <xf numFmtId="0" fontId="64" fillId="0" borderId="0">
      <alignment vertical="center"/>
    </xf>
    <xf numFmtId="0" fontId="40" fillId="0" borderId="0"/>
    <xf numFmtId="0" fontId="40" fillId="0" borderId="0"/>
    <xf numFmtId="0" fontId="27" fillId="0" borderId="0"/>
    <xf numFmtId="0" fontId="96" fillId="0" borderId="0">
      <alignment vertical="center"/>
    </xf>
    <xf numFmtId="0" fontId="96" fillId="0" borderId="0"/>
    <xf numFmtId="0" fontId="96" fillId="0" borderId="0"/>
    <xf numFmtId="0" fontId="96" fillId="0" borderId="0"/>
    <xf numFmtId="0" fontId="40" fillId="0" borderId="0"/>
    <xf numFmtId="0" fontId="27" fillId="0" borderId="0"/>
    <xf numFmtId="0" fontId="15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4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40" fillId="0" borderId="0"/>
    <xf numFmtId="0" fontId="40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4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40" fillId="0" borderId="0"/>
    <xf numFmtId="0" fontId="27" fillId="0" borderId="0"/>
    <xf numFmtId="0" fontId="64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1" fillId="0" borderId="0"/>
    <xf numFmtId="0" fontId="27" fillId="0" borderId="0"/>
    <xf numFmtId="0" fontId="40" fillId="0" borderId="0"/>
    <xf numFmtId="0" fontId="1" fillId="0" borderId="0"/>
    <xf numFmtId="0" fontId="40" fillId="0" borderId="0"/>
    <xf numFmtId="0" fontId="1" fillId="0" borderId="0"/>
    <xf numFmtId="0" fontId="70" fillId="0" borderId="0">
      <alignment vertical="center"/>
    </xf>
    <xf numFmtId="0" fontId="1" fillId="0" borderId="0"/>
    <xf numFmtId="0" fontId="70" fillId="0" borderId="0">
      <alignment vertical="center"/>
    </xf>
    <xf numFmtId="0" fontId="1" fillId="0" borderId="0"/>
    <xf numFmtId="0" fontId="40" fillId="0" borderId="0"/>
    <xf numFmtId="0" fontId="1" fillId="0" borderId="0"/>
    <xf numFmtId="0" fontId="40" fillId="0" borderId="0"/>
    <xf numFmtId="0" fontId="1" fillId="0" borderId="0"/>
    <xf numFmtId="0" fontId="40" fillId="0" borderId="0"/>
    <xf numFmtId="0" fontId="61" fillId="0" borderId="0">
      <alignment vertical="center"/>
    </xf>
    <xf numFmtId="0" fontId="40" fillId="0" borderId="0"/>
    <xf numFmtId="0" fontId="96" fillId="0" borderId="0"/>
    <xf numFmtId="0" fontId="61" fillId="0" borderId="0"/>
    <xf numFmtId="0" fontId="61" fillId="0" borderId="0"/>
    <xf numFmtId="0" fontId="70" fillId="0" borderId="0">
      <alignment vertical="center"/>
    </xf>
    <xf numFmtId="0" fontId="1" fillId="0" borderId="0"/>
    <xf numFmtId="0" fontId="61" fillId="0" borderId="0"/>
    <xf numFmtId="0" fontId="70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40" fillId="0" borderId="0">
      <alignment vertical="top"/>
    </xf>
    <xf numFmtId="0" fontId="96" fillId="0" borderId="0"/>
    <xf numFmtId="0" fontId="40" fillId="0" borderId="0">
      <alignment vertical="top"/>
    </xf>
    <xf numFmtId="0" fontId="64" fillId="0" borderId="0">
      <alignment vertical="top"/>
    </xf>
    <xf numFmtId="0" fontId="40" fillId="0" borderId="0">
      <alignment vertical="top"/>
    </xf>
    <xf numFmtId="0" fontId="40" fillId="0" borderId="0">
      <alignment vertical="top"/>
    </xf>
    <xf numFmtId="0" fontId="40" fillId="0" borderId="0">
      <alignment vertical="top"/>
    </xf>
    <xf numFmtId="0" fontId="27" fillId="0" borderId="0"/>
    <xf numFmtId="0" fontId="27" fillId="0" borderId="0"/>
    <xf numFmtId="0" fontId="27" fillId="0" borderId="0"/>
    <xf numFmtId="0" fontId="94" fillId="0" borderId="0">
      <alignment vertical="center"/>
    </xf>
    <xf numFmtId="0" fontId="27" fillId="0" borderId="0"/>
    <xf numFmtId="0" fontId="27" fillId="0" borderId="0"/>
    <xf numFmtId="0" fontId="40" fillId="0" borderId="0"/>
    <xf numFmtId="0" fontId="94" fillId="0" borderId="0">
      <alignment vertical="center"/>
    </xf>
    <xf numFmtId="0" fontId="27" fillId="0" borderId="0"/>
    <xf numFmtId="0" fontId="96" fillId="0" borderId="0">
      <alignment vertical="center"/>
    </xf>
    <xf numFmtId="0" fontId="96" fillId="0" borderId="0"/>
    <xf numFmtId="0" fontId="96" fillId="0" borderId="0"/>
    <xf numFmtId="0" fontId="96" fillId="0" borderId="0"/>
    <xf numFmtId="0" fontId="70" fillId="0" borderId="0">
      <alignment vertical="center"/>
    </xf>
    <xf numFmtId="0" fontId="70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64" fillId="0" borderId="0">
      <alignment vertical="center"/>
    </xf>
    <xf numFmtId="0" fontId="40" fillId="0" borderId="0"/>
    <xf numFmtId="0" fontId="64" fillId="0" borderId="0">
      <alignment vertical="center"/>
    </xf>
    <xf numFmtId="0" fontId="64" fillId="0" borderId="0">
      <alignment vertical="center"/>
    </xf>
    <xf numFmtId="0" fontId="27" fillId="0" borderId="0"/>
    <xf numFmtId="0" fontId="40" fillId="0" borderId="0"/>
    <xf numFmtId="0" fontId="64" fillId="0" borderId="0">
      <alignment vertical="center"/>
    </xf>
    <xf numFmtId="0" fontId="40" fillId="0" borderId="0"/>
    <xf numFmtId="0" fontId="64" fillId="0" borderId="0">
      <alignment vertical="center"/>
    </xf>
    <xf numFmtId="0" fontId="40" fillId="0" borderId="0"/>
    <xf numFmtId="0" fontId="64" fillId="0" borderId="0">
      <alignment vertical="center"/>
    </xf>
    <xf numFmtId="0" fontId="40" fillId="0" borderId="0"/>
    <xf numFmtId="0" fontId="64" fillId="0" borderId="0">
      <alignment vertical="center"/>
    </xf>
    <xf numFmtId="0" fontId="40" fillId="0" borderId="0"/>
    <xf numFmtId="0" fontId="64" fillId="0" borderId="0">
      <alignment vertical="center"/>
    </xf>
    <xf numFmtId="0" fontId="40" fillId="0" borderId="0"/>
    <xf numFmtId="0" fontId="64" fillId="0" borderId="0">
      <alignment vertical="center"/>
    </xf>
    <xf numFmtId="0" fontId="40" fillId="0" borderId="0"/>
    <xf numFmtId="0" fontId="64" fillId="0" borderId="0">
      <alignment vertical="center"/>
    </xf>
    <xf numFmtId="0" fontId="40" fillId="0" borderId="0"/>
    <xf numFmtId="0" fontId="64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64" fillId="0" borderId="0">
      <alignment vertical="center"/>
    </xf>
    <xf numFmtId="0" fontId="40" fillId="0" borderId="0"/>
    <xf numFmtId="0" fontId="64" fillId="0" borderId="0">
      <alignment vertical="center"/>
    </xf>
    <xf numFmtId="0" fontId="64" fillId="0" borderId="0">
      <alignment vertical="center"/>
    </xf>
    <xf numFmtId="0" fontId="70" fillId="0" borderId="0">
      <alignment vertical="center"/>
    </xf>
    <xf numFmtId="0" fontId="40" fillId="0" borderId="0"/>
    <xf numFmtId="0" fontId="64" fillId="0" borderId="0">
      <alignment vertical="center"/>
    </xf>
    <xf numFmtId="0" fontId="40" fillId="0" borderId="0"/>
    <xf numFmtId="0" fontId="64" fillId="0" borderId="0">
      <alignment vertical="center"/>
    </xf>
    <xf numFmtId="0" fontId="40" fillId="0" borderId="0"/>
    <xf numFmtId="0" fontId="64" fillId="0" borderId="0">
      <alignment vertical="center"/>
    </xf>
    <xf numFmtId="0" fontId="40" fillId="0" borderId="0"/>
    <xf numFmtId="0" fontId="64" fillId="0" borderId="0">
      <alignment vertical="center"/>
    </xf>
    <xf numFmtId="0" fontId="40" fillId="0" borderId="0"/>
    <xf numFmtId="0" fontId="64" fillId="0" borderId="0">
      <alignment vertical="center"/>
    </xf>
    <xf numFmtId="0" fontId="40" fillId="0" borderId="0"/>
    <xf numFmtId="0" fontId="64" fillId="0" borderId="0">
      <alignment vertical="center"/>
    </xf>
    <xf numFmtId="0" fontId="40" fillId="0" borderId="0"/>
    <xf numFmtId="0" fontId="64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27" fillId="0" borderId="0"/>
    <xf numFmtId="0" fontId="27" fillId="0" borderId="0"/>
    <xf numFmtId="0" fontId="40" fillId="0" borderId="0"/>
    <xf numFmtId="0" fontId="40" fillId="0" borderId="0"/>
    <xf numFmtId="0" fontId="40" fillId="0" borderId="0">
      <alignment vertical="top"/>
    </xf>
    <xf numFmtId="0" fontId="40" fillId="0" borderId="0"/>
    <xf numFmtId="0" fontId="64" fillId="0" borderId="0">
      <alignment vertical="center"/>
    </xf>
    <xf numFmtId="0" fontId="40" fillId="0" borderId="0"/>
    <xf numFmtId="0" fontId="64" fillId="0" borderId="0">
      <alignment vertical="center"/>
    </xf>
    <xf numFmtId="0" fontId="64" fillId="0" borderId="0">
      <alignment vertical="top"/>
    </xf>
    <xf numFmtId="0" fontId="27" fillId="0" borderId="0"/>
    <xf numFmtId="0" fontId="40" fillId="0" borderId="0"/>
    <xf numFmtId="0" fontId="94" fillId="0" borderId="0">
      <alignment vertical="center"/>
    </xf>
    <xf numFmtId="0" fontId="40" fillId="0" borderId="0"/>
    <xf numFmtId="0" fontId="64" fillId="0" borderId="0">
      <alignment vertical="center"/>
    </xf>
    <xf numFmtId="0" fontId="40" fillId="0" borderId="0"/>
    <xf numFmtId="0" fontId="64" fillId="0" borderId="0">
      <alignment vertical="center"/>
    </xf>
    <xf numFmtId="0" fontId="40" fillId="0" borderId="0"/>
    <xf numFmtId="0" fontId="64" fillId="0" borderId="0">
      <alignment vertical="center"/>
    </xf>
    <xf numFmtId="0" fontId="40" fillId="0" borderId="0"/>
    <xf numFmtId="0" fontId="64" fillId="0" borderId="0">
      <alignment vertical="center"/>
    </xf>
    <xf numFmtId="0" fontId="40" fillId="0" borderId="0"/>
    <xf numFmtId="0" fontId="64" fillId="0" borderId="0">
      <alignment vertical="center"/>
    </xf>
    <xf numFmtId="0" fontId="40" fillId="0" borderId="0"/>
    <xf numFmtId="0" fontId="64" fillId="0" borderId="0">
      <alignment vertical="center"/>
    </xf>
    <xf numFmtId="0" fontId="40" fillId="0" borderId="0"/>
    <xf numFmtId="0" fontId="64" fillId="0" borderId="0">
      <alignment vertical="center"/>
    </xf>
    <xf numFmtId="0" fontId="40" fillId="0" borderId="0"/>
    <xf numFmtId="0" fontId="40" fillId="0" borderId="0"/>
    <xf numFmtId="0" fontId="27" fillId="0" borderId="0"/>
    <xf numFmtId="0" fontId="27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64" fillId="0" borderId="0">
      <alignment vertical="center"/>
    </xf>
    <xf numFmtId="0" fontId="40" fillId="0" borderId="0"/>
    <xf numFmtId="0" fontId="64" fillId="0" borderId="0">
      <alignment vertical="center"/>
    </xf>
    <xf numFmtId="0" fontId="40" fillId="0" borderId="0"/>
    <xf numFmtId="0" fontId="64" fillId="0" borderId="0">
      <alignment vertical="center"/>
    </xf>
    <xf numFmtId="0" fontId="40" fillId="0" borderId="0"/>
    <xf numFmtId="0" fontId="64" fillId="0" borderId="0">
      <alignment vertical="center"/>
    </xf>
    <xf numFmtId="0" fontId="40" fillId="0" borderId="0"/>
    <xf numFmtId="0" fontId="64" fillId="0" borderId="0">
      <alignment vertical="center"/>
    </xf>
    <xf numFmtId="0" fontId="40" fillId="0" borderId="0"/>
    <xf numFmtId="0" fontId="64" fillId="0" borderId="0">
      <alignment vertical="center"/>
    </xf>
    <xf numFmtId="0" fontId="40" fillId="0" borderId="0"/>
    <xf numFmtId="0" fontId="64" fillId="0" borderId="0">
      <alignment vertical="center"/>
    </xf>
    <xf numFmtId="0" fontId="40" fillId="0" borderId="0"/>
    <xf numFmtId="0" fontId="64" fillId="0" borderId="0">
      <alignment vertical="center"/>
    </xf>
    <xf numFmtId="0" fontId="40" fillId="0" borderId="0"/>
    <xf numFmtId="0" fontId="64" fillId="0" borderId="0">
      <alignment vertical="center"/>
    </xf>
    <xf numFmtId="0" fontId="40" fillId="0" borderId="0"/>
    <xf numFmtId="0" fontId="64" fillId="0" borderId="0">
      <alignment vertical="center"/>
    </xf>
    <xf numFmtId="0" fontId="40" fillId="0" borderId="0"/>
    <xf numFmtId="0" fontId="94" fillId="0" borderId="0">
      <alignment vertical="center"/>
    </xf>
    <xf numFmtId="0" fontId="40" fillId="0" borderId="0"/>
    <xf numFmtId="0" fontId="64" fillId="0" borderId="0">
      <alignment vertical="center"/>
    </xf>
    <xf numFmtId="0" fontId="40" fillId="0" borderId="0"/>
    <xf numFmtId="0" fontId="64" fillId="0" borderId="0">
      <alignment vertical="center"/>
    </xf>
    <xf numFmtId="0" fontId="40" fillId="0" borderId="0"/>
    <xf numFmtId="0" fontId="64" fillId="0" borderId="0">
      <alignment vertical="center"/>
    </xf>
    <xf numFmtId="0" fontId="40" fillId="0" borderId="0"/>
    <xf numFmtId="0" fontId="64" fillId="0" borderId="0">
      <alignment vertical="center"/>
    </xf>
    <xf numFmtId="0" fontId="40" fillId="0" borderId="0"/>
    <xf numFmtId="0" fontId="64" fillId="0" borderId="0">
      <alignment vertical="center"/>
    </xf>
    <xf numFmtId="0" fontId="40" fillId="0" borderId="0"/>
    <xf numFmtId="0" fontId="64" fillId="0" borderId="0">
      <alignment vertical="center"/>
    </xf>
    <xf numFmtId="0" fontId="64" fillId="0" borderId="0">
      <alignment vertical="center"/>
    </xf>
    <xf numFmtId="0" fontId="27" fillId="0" borderId="0"/>
    <xf numFmtId="0" fontId="40" fillId="0" borderId="0"/>
    <xf numFmtId="0" fontId="64" fillId="0" borderId="0">
      <alignment vertical="center"/>
    </xf>
    <xf numFmtId="0" fontId="40" fillId="0" borderId="0"/>
    <xf numFmtId="0" fontId="64" fillId="0" borderId="0">
      <alignment vertical="center"/>
    </xf>
    <xf numFmtId="0" fontId="40" fillId="0" borderId="0"/>
    <xf numFmtId="0" fontId="64" fillId="0" borderId="0">
      <alignment vertical="center"/>
    </xf>
    <xf numFmtId="0" fontId="40" fillId="0" borderId="0"/>
    <xf numFmtId="0" fontId="64" fillId="0" borderId="0">
      <alignment vertical="center"/>
    </xf>
    <xf numFmtId="0" fontId="40" fillId="0" borderId="0"/>
    <xf numFmtId="0" fontId="64" fillId="0" borderId="0">
      <alignment vertical="center"/>
    </xf>
    <xf numFmtId="0" fontId="40" fillId="0" borderId="0"/>
    <xf numFmtId="0" fontId="64" fillId="0" borderId="0">
      <alignment vertical="center"/>
    </xf>
    <xf numFmtId="0" fontId="40" fillId="0" borderId="0"/>
    <xf numFmtId="0" fontId="64" fillId="0" borderId="0">
      <alignment vertical="center"/>
    </xf>
    <xf numFmtId="0" fontId="61" fillId="0" borderId="0"/>
    <xf numFmtId="0" fontId="61" fillId="0" borderId="0"/>
    <xf numFmtId="0" fontId="70" fillId="0" borderId="0">
      <alignment vertical="center"/>
    </xf>
    <xf numFmtId="0" fontId="94" fillId="0" borderId="0">
      <alignment vertical="center"/>
    </xf>
    <xf numFmtId="0" fontId="70" fillId="0" borderId="0">
      <alignment vertical="center"/>
    </xf>
    <xf numFmtId="0" fontId="40" fillId="0" borderId="0"/>
    <xf numFmtId="212" fontId="40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center"/>
    </xf>
    <xf numFmtId="215" fontId="40" fillId="0" borderId="0" applyFont="0" applyFill="0" applyBorder="0" applyAlignment="0" applyProtection="0"/>
    <xf numFmtId="215" fontId="70" fillId="0" borderId="0" applyFont="0" applyFill="0" applyBorder="0" applyAlignment="0" applyProtection="0">
      <alignment vertical="center"/>
    </xf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64" fillId="20" borderId="97" applyNumberFormat="0" applyAlignment="0" applyProtection="0">
      <alignment vertical="center"/>
    </xf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0" fontId="40" fillId="20" borderId="97" applyNumberFormat="0" applyAlignment="0" applyProtection="0"/>
    <xf numFmtId="216" fontId="40" fillId="0" borderId="0" applyFont="0" applyFill="0" applyBorder="0" applyAlignment="0" applyProtection="0"/>
    <xf numFmtId="216" fontId="70" fillId="0" borderId="0" applyFont="0" applyFill="0" applyBorder="0" applyAlignment="0" applyProtection="0">
      <alignment vertical="center"/>
    </xf>
    <xf numFmtId="171" fontId="40" fillId="0" borderId="0" applyFont="0" applyFill="0" applyBorder="0" applyAlignment="0" applyProtection="0"/>
    <xf numFmtId="171" fontId="70" fillId="0" borderId="0" applyFont="0" applyFill="0" applyBorder="0" applyAlignment="0" applyProtection="0">
      <alignment vertical="center"/>
    </xf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7" fillId="16" borderId="98" applyNumberFormat="0" applyAlignment="0" applyProtection="0">
      <alignment vertical="center"/>
    </xf>
    <xf numFmtId="0" fontId="157" fillId="16" borderId="98" applyNumberFormat="0" applyAlignment="0" applyProtection="0">
      <alignment vertical="center"/>
    </xf>
    <xf numFmtId="0" fontId="157" fillId="16" borderId="98" applyNumberFormat="0" applyAlignment="0" applyProtection="0">
      <alignment vertical="center"/>
    </xf>
    <xf numFmtId="0" fontId="157" fillId="16" borderId="98" applyNumberFormat="0" applyAlignment="0" applyProtection="0">
      <alignment vertical="center"/>
    </xf>
    <xf numFmtId="0" fontId="157" fillId="16" borderId="98" applyNumberFormat="0" applyAlignment="0" applyProtection="0">
      <alignment vertical="center"/>
    </xf>
    <xf numFmtId="0" fontId="157" fillId="16" borderId="98" applyNumberFormat="0" applyAlignment="0" applyProtection="0">
      <alignment vertical="center"/>
    </xf>
    <xf numFmtId="0" fontId="157" fillId="16" borderId="98" applyNumberFormat="0" applyAlignment="0" applyProtection="0">
      <alignment vertical="center"/>
    </xf>
    <xf numFmtId="0" fontId="157" fillId="16" borderId="98" applyNumberFormat="0" applyAlignment="0" applyProtection="0">
      <alignment vertical="center"/>
    </xf>
    <xf numFmtId="0" fontId="157" fillId="16" borderId="98" applyNumberFormat="0" applyAlignment="0" applyProtection="0">
      <alignment vertical="center"/>
    </xf>
    <xf numFmtId="0" fontId="157" fillId="16" borderId="98" applyNumberFormat="0" applyAlignment="0" applyProtection="0">
      <alignment vertical="center"/>
    </xf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7" fillId="16" borderId="98" applyNumberFormat="0" applyAlignment="0" applyProtection="0">
      <alignment vertical="center"/>
    </xf>
    <xf numFmtId="0" fontId="157" fillId="16" borderId="98" applyNumberFormat="0" applyAlignment="0" applyProtection="0">
      <alignment vertical="center"/>
    </xf>
    <xf numFmtId="0" fontId="157" fillId="16" borderId="98" applyNumberFormat="0" applyAlignment="0" applyProtection="0">
      <alignment vertical="center"/>
    </xf>
    <xf numFmtId="0" fontId="157" fillId="16" borderId="98" applyNumberFormat="0" applyAlignment="0" applyProtection="0">
      <alignment vertical="center"/>
    </xf>
    <xf numFmtId="0" fontId="157" fillId="16" borderId="98" applyNumberFormat="0" applyAlignment="0" applyProtection="0">
      <alignment vertical="center"/>
    </xf>
    <xf numFmtId="0" fontId="157" fillId="16" borderId="98" applyNumberFormat="0" applyAlignment="0" applyProtection="0">
      <alignment vertical="center"/>
    </xf>
    <xf numFmtId="0" fontId="157" fillId="16" borderId="98" applyNumberFormat="0" applyAlignment="0" applyProtection="0">
      <alignment vertical="center"/>
    </xf>
    <xf numFmtId="0" fontId="157" fillId="16" borderId="98" applyNumberFormat="0" applyAlignment="0" applyProtection="0">
      <alignment vertical="center"/>
    </xf>
    <xf numFmtId="0" fontId="157" fillId="16" borderId="98" applyNumberFormat="0" applyAlignment="0" applyProtection="0">
      <alignment vertical="center"/>
    </xf>
    <xf numFmtId="0" fontId="157" fillId="16" borderId="98" applyNumberFormat="0" applyAlignment="0" applyProtection="0">
      <alignment vertical="center"/>
    </xf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7" fillId="16" borderId="98" applyNumberFormat="0" applyAlignment="0" applyProtection="0">
      <alignment vertical="center"/>
    </xf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7" fillId="16" borderId="98" applyNumberFormat="0" applyAlignment="0" applyProtection="0">
      <alignment vertical="center"/>
    </xf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7" fillId="16" borderId="98" applyNumberFormat="0" applyAlignment="0" applyProtection="0">
      <alignment vertical="center"/>
    </xf>
    <xf numFmtId="0" fontId="157" fillId="16" borderId="98" applyNumberFormat="0" applyAlignment="0" applyProtection="0">
      <alignment vertical="center"/>
    </xf>
    <xf numFmtId="0" fontId="157" fillId="16" borderId="98" applyNumberFormat="0" applyAlignment="0" applyProtection="0">
      <alignment vertical="center"/>
    </xf>
    <xf numFmtId="0" fontId="156" fillId="16" borderId="98" applyNumberFormat="0" applyAlignment="0" applyProtection="0"/>
    <xf numFmtId="0" fontId="157" fillId="16" borderId="98" applyNumberFormat="0" applyAlignment="0" applyProtection="0">
      <alignment vertical="center"/>
    </xf>
    <xf numFmtId="0" fontId="157" fillId="16" borderId="98" applyNumberFormat="0" applyAlignment="0" applyProtection="0">
      <alignment vertical="center"/>
    </xf>
    <xf numFmtId="0" fontId="157" fillId="16" borderId="98" applyNumberFormat="0" applyAlignment="0" applyProtection="0">
      <alignment vertical="center"/>
    </xf>
    <xf numFmtId="0" fontId="157" fillId="16" borderId="98" applyNumberFormat="0" applyAlignment="0" applyProtection="0">
      <alignment vertical="center"/>
    </xf>
    <xf numFmtId="0" fontId="156" fillId="16" borderId="98" applyNumberFormat="0" applyAlignment="0" applyProtection="0"/>
    <xf numFmtId="0" fontId="157" fillId="16" borderId="98" applyNumberFormat="0" applyAlignment="0" applyProtection="0">
      <alignment vertical="center"/>
    </xf>
    <xf numFmtId="0" fontId="157" fillId="16" borderId="98" applyNumberFormat="0" applyAlignment="0" applyProtection="0">
      <alignment vertical="center"/>
    </xf>
    <xf numFmtId="0" fontId="157" fillId="16" borderId="98" applyNumberFormat="0" applyAlignment="0" applyProtection="0">
      <alignment vertical="center"/>
    </xf>
    <xf numFmtId="0" fontId="157" fillId="16" borderId="98" applyNumberFormat="0" applyAlignment="0" applyProtection="0">
      <alignment vertical="center"/>
    </xf>
    <xf numFmtId="0" fontId="157" fillId="16" borderId="98" applyNumberFormat="0" applyAlignment="0" applyProtection="0">
      <alignment vertical="center"/>
    </xf>
    <xf numFmtId="0" fontId="157" fillId="16" borderId="98" applyNumberFormat="0" applyAlignment="0" applyProtection="0">
      <alignment vertical="center"/>
    </xf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7" fillId="16" borderId="98" applyNumberFormat="0" applyAlignment="0" applyProtection="0">
      <alignment vertical="center"/>
    </xf>
    <xf numFmtId="0" fontId="157" fillId="16" borderId="98" applyNumberFormat="0" applyAlignment="0" applyProtection="0">
      <alignment vertical="center"/>
    </xf>
    <xf numFmtId="0" fontId="156" fillId="16" borderId="98" applyNumberFormat="0" applyAlignment="0" applyProtection="0"/>
    <xf numFmtId="0" fontId="157" fillId="16" borderId="98" applyNumberFormat="0" applyAlignment="0" applyProtection="0">
      <alignment vertical="center"/>
    </xf>
    <xf numFmtId="0" fontId="156" fillId="16" borderId="98" applyNumberFormat="0" applyAlignment="0" applyProtection="0"/>
    <xf numFmtId="0" fontId="157" fillId="16" borderId="98" applyNumberFormat="0" applyAlignment="0" applyProtection="0">
      <alignment vertical="center"/>
    </xf>
    <xf numFmtId="0" fontId="157" fillId="16" borderId="98" applyNumberFormat="0" applyAlignment="0" applyProtection="0">
      <alignment vertical="center"/>
    </xf>
    <xf numFmtId="0" fontId="157" fillId="16" borderId="98" applyNumberFormat="0" applyAlignment="0" applyProtection="0">
      <alignment vertical="center"/>
    </xf>
    <xf numFmtId="0" fontId="157" fillId="16" borderId="98" applyNumberFormat="0" applyAlignment="0" applyProtection="0">
      <alignment vertical="center"/>
    </xf>
    <xf numFmtId="0" fontId="157" fillId="16" borderId="98" applyNumberFormat="0" applyAlignment="0" applyProtection="0">
      <alignment vertical="center"/>
    </xf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6" fillId="16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9" fillId="27" borderId="98" applyNumberFormat="0" applyAlignment="0" applyProtection="0">
      <alignment vertical="center"/>
    </xf>
    <xf numFmtId="0" fontId="159" fillId="27" borderId="98" applyNumberFormat="0" applyAlignment="0" applyProtection="0">
      <alignment vertical="center"/>
    </xf>
    <xf numFmtId="0" fontId="159" fillId="27" borderId="98" applyNumberFormat="0" applyAlignment="0" applyProtection="0">
      <alignment vertical="center"/>
    </xf>
    <xf numFmtId="0" fontId="159" fillId="27" borderId="98" applyNumberFormat="0" applyAlignment="0" applyProtection="0">
      <alignment vertical="center"/>
    </xf>
    <xf numFmtId="0" fontId="159" fillId="27" borderId="98" applyNumberFormat="0" applyAlignment="0" applyProtection="0">
      <alignment vertical="center"/>
    </xf>
    <xf numFmtId="0" fontId="159" fillId="27" borderId="98" applyNumberFormat="0" applyAlignment="0" applyProtection="0">
      <alignment vertical="center"/>
    </xf>
    <xf numFmtId="0" fontId="159" fillId="27" borderId="98" applyNumberFormat="0" applyAlignment="0" applyProtection="0">
      <alignment vertical="center"/>
    </xf>
    <xf numFmtId="0" fontId="159" fillId="27" borderId="98" applyNumberFormat="0" applyAlignment="0" applyProtection="0">
      <alignment vertical="center"/>
    </xf>
    <xf numFmtId="0" fontId="159" fillId="27" borderId="98" applyNumberFormat="0" applyAlignment="0" applyProtection="0">
      <alignment vertical="center"/>
    </xf>
    <xf numFmtId="0" fontId="159" fillId="27" borderId="98" applyNumberFormat="0" applyAlignment="0" applyProtection="0">
      <alignment vertical="center"/>
    </xf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9" fillId="27" borderId="98" applyNumberFormat="0" applyAlignment="0" applyProtection="0">
      <alignment vertical="center"/>
    </xf>
    <xf numFmtId="0" fontId="159" fillId="27" borderId="98" applyNumberFormat="0" applyAlignment="0" applyProtection="0">
      <alignment vertical="center"/>
    </xf>
    <xf numFmtId="0" fontId="159" fillId="27" borderId="98" applyNumberFormat="0" applyAlignment="0" applyProtection="0">
      <alignment vertical="center"/>
    </xf>
    <xf numFmtId="0" fontId="159" fillId="27" borderId="98" applyNumberFormat="0" applyAlignment="0" applyProtection="0">
      <alignment vertical="center"/>
    </xf>
    <xf numFmtId="0" fontId="159" fillId="27" borderId="98" applyNumberFormat="0" applyAlignment="0" applyProtection="0">
      <alignment vertical="center"/>
    </xf>
    <xf numFmtId="0" fontId="159" fillId="27" borderId="98" applyNumberFormat="0" applyAlignment="0" applyProtection="0">
      <alignment vertical="center"/>
    </xf>
    <xf numFmtId="0" fontId="159" fillId="27" borderId="98" applyNumberFormat="0" applyAlignment="0" applyProtection="0">
      <alignment vertical="center"/>
    </xf>
    <xf numFmtId="0" fontId="159" fillId="27" borderId="98" applyNumberFormat="0" applyAlignment="0" applyProtection="0">
      <alignment vertical="center"/>
    </xf>
    <xf numFmtId="0" fontId="159" fillId="27" borderId="98" applyNumberFormat="0" applyAlignment="0" applyProtection="0">
      <alignment vertical="center"/>
    </xf>
    <xf numFmtId="0" fontId="159" fillId="27" borderId="98" applyNumberFormat="0" applyAlignment="0" applyProtection="0">
      <alignment vertical="center"/>
    </xf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9" fillId="27" borderId="98" applyNumberFormat="0" applyAlignment="0" applyProtection="0">
      <alignment vertical="center"/>
    </xf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9" fillId="27" borderId="98" applyNumberFormat="0" applyAlignment="0" applyProtection="0">
      <alignment vertical="center"/>
    </xf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9" fillId="27" borderId="98" applyNumberFormat="0" applyAlignment="0" applyProtection="0">
      <alignment vertical="center"/>
    </xf>
    <xf numFmtId="0" fontId="159" fillId="27" borderId="98" applyNumberFormat="0" applyAlignment="0" applyProtection="0">
      <alignment vertical="center"/>
    </xf>
    <xf numFmtId="0" fontId="159" fillId="27" borderId="98" applyNumberFormat="0" applyAlignment="0" applyProtection="0">
      <alignment vertical="center"/>
    </xf>
    <xf numFmtId="0" fontId="158" fillId="27" borderId="98" applyNumberFormat="0" applyAlignment="0" applyProtection="0"/>
    <xf numFmtId="0" fontId="159" fillId="27" borderId="98" applyNumberFormat="0" applyAlignment="0" applyProtection="0">
      <alignment vertical="center"/>
    </xf>
    <xf numFmtId="0" fontId="159" fillId="27" borderId="98" applyNumberFormat="0" applyAlignment="0" applyProtection="0">
      <alignment vertical="center"/>
    </xf>
    <xf numFmtId="0" fontId="159" fillId="27" borderId="98" applyNumberFormat="0" applyAlignment="0" applyProtection="0">
      <alignment vertical="center"/>
    </xf>
    <xf numFmtId="0" fontId="159" fillId="27" borderId="98" applyNumberFormat="0" applyAlignment="0" applyProtection="0">
      <alignment vertical="center"/>
    </xf>
    <xf numFmtId="0" fontId="158" fillId="27" borderId="98" applyNumberFormat="0" applyAlignment="0" applyProtection="0"/>
    <xf numFmtId="0" fontId="159" fillId="27" borderId="98" applyNumberFormat="0" applyAlignment="0" applyProtection="0">
      <alignment vertical="center"/>
    </xf>
    <xf numFmtId="0" fontId="159" fillId="27" borderId="98" applyNumberFormat="0" applyAlignment="0" applyProtection="0">
      <alignment vertical="center"/>
    </xf>
    <xf numFmtId="0" fontId="159" fillId="27" borderId="98" applyNumberFormat="0" applyAlignment="0" applyProtection="0">
      <alignment vertical="center"/>
    </xf>
    <xf numFmtId="0" fontId="159" fillId="27" borderId="98" applyNumberFormat="0" applyAlignment="0" applyProtection="0">
      <alignment vertical="center"/>
    </xf>
    <xf numFmtId="0" fontId="159" fillId="27" borderId="98" applyNumberFormat="0" applyAlignment="0" applyProtection="0">
      <alignment vertical="center"/>
    </xf>
    <xf numFmtId="0" fontId="159" fillId="27" borderId="98" applyNumberFormat="0" applyAlignment="0" applyProtection="0">
      <alignment vertical="center"/>
    </xf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9" fillId="27" borderId="98" applyNumberFormat="0" applyAlignment="0" applyProtection="0">
      <alignment vertical="center"/>
    </xf>
    <xf numFmtId="0" fontId="159" fillId="27" borderId="98" applyNumberFormat="0" applyAlignment="0" applyProtection="0">
      <alignment vertical="center"/>
    </xf>
    <xf numFmtId="0" fontId="158" fillId="27" borderId="98" applyNumberFormat="0" applyAlignment="0" applyProtection="0"/>
    <xf numFmtId="0" fontId="159" fillId="27" borderId="98" applyNumberFormat="0" applyAlignment="0" applyProtection="0">
      <alignment vertical="center"/>
    </xf>
    <xf numFmtId="0" fontId="158" fillId="27" borderId="98" applyNumberFormat="0" applyAlignment="0" applyProtection="0"/>
    <xf numFmtId="0" fontId="159" fillId="27" borderId="98" applyNumberFormat="0" applyAlignment="0" applyProtection="0">
      <alignment vertical="center"/>
    </xf>
    <xf numFmtId="0" fontId="159" fillId="27" borderId="98" applyNumberFormat="0" applyAlignment="0" applyProtection="0">
      <alignment vertical="center"/>
    </xf>
    <xf numFmtId="0" fontId="159" fillId="27" borderId="98" applyNumberFormat="0" applyAlignment="0" applyProtection="0">
      <alignment vertical="center"/>
    </xf>
    <xf numFmtId="0" fontId="159" fillId="27" borderId="98" applyNumberFormat="0" applyAlignment="0" applyProtection="0">
      <alignment vertical="center"/>
    </xf>
    <xf numFmtId="0" fontId="159" fillId="27" borderId="98" applyNumberFormat="0" applyAlignment="0" applyProtection="0">
      <alignment vertical="center"/>
    </xf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8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7" fillId="27" borderId="98" applyNumberFormat="0" applyAlignment="0" applyProtection="0">
      <alignment vertical="center"/>
    </xf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0" fontId="156" fillId="27" borderId="98" applyNumberFormat="0" applyAlignment="0" applyProtection="0"/>
    <xf numFmtId="217" fontId="40" fillId="0" borderId="0"/>
    <xf numFmtId="217" fontId="64" fillId="0" borderId="0">
      <alignment vertical="center"/>
    </xf>
    <xf numFmtId="14" fontId="77" fillId="0" borderId="0">
      <alignment horizontal="center" wrapText="1"/>
      <protection locked="0"/>
    </xf>
    <xf numFmtId="14" fontId="78" fillId="0" borderId="0">
      <alignment horizontal="center" vertical="center" wrapText="1"/>
      <protection locked="0"/>
    </xf>
    <xf numFmtId="184" fontId="67" fillId="0" borderId="0" applyFont="0" applyFill="0" applyBorder="0" applyAlignment="0" applyProtection="0"/>
    <xf numFmtId="184" fontId="70" fillId="0" borderId="0" applyFont="0" applyFill="0" applyBorder="0" applyAlignment="0" applyProtection="0">
      <alignment vertical="center"/>
    </xf>
    <xf numFmtId="218" fontId="67" fillId="0" borderId="0" applyFont="0" applyFill="0" applyBorder="0" applyAlignment="0" applyProtection="0"/>
    <xf numFmtId="218" fontId="70" fillId="0" borderId="0" applyFont="0" applyFill="0" applyBorder="0" applyAlignment="0" applyProtection="0">
      <alignment vertical="center"/>
    </xf>
    <xf numFmtId="170" fontId="40" fillId="0" borderId="0" applyFont="0" applyFill="0" applyBorder="0" applyAlignment="0"/>
    <xf numFmtId="170" fontId="70" fillId="0" borderId="0" applyFont="0" applyFill="0" applyBorder="0" applyAlignment="0">
      <alignment vertical="center"/>
    </xf>
    <xf numFmtId="10" fontId="40" fillId="0" borderId="0" applyFont="0" applyFill="0" applyBorder="0" applyAlignment="0" applyProtection="0"/>
    <xf numFmtId="10" fontId="70" fillId="0" borderId="0" applyFont="0" applyFill="0" applyBorder="0" applyAlignment="0" applyProtection="0">
      <alignment vertical="center"/>
    </xf>
    <xf numFmtId="9" fontId="40" fillId="0" borderId="0" applyFill="0" applyBorder="0" applyAlignment="0" applyProtection="0"/>
    <xf numFmtId="9" fontId="64" fillId="0" borderId="0" applyFill="0" applyBorder="0" applyAlignment="0" applyProtection="0">
      <alignment vertical="center"/>
    </xf>
    <xf numFmtId="9" fontId="40" fillId="0" borderId="0" applyFill="0" applyBorder="0" applyAlignment="0" applyProtection="0"/>
    <xf numFmtId="9" fontId="70" fillId="0" borderId="0" applyFont="0" applyFill="0" applyBorder="0" applyAlignment="0" applyProtection="0">
      <alignment vertical="center"/>
    </xf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70" fillId="0" borderId="0" applyFont="0" applyFill="0" applyBorder="0" applyAlignment="0" applyProtection="0">
      <alignment vertical="center"/>
    </xf>
    <xf numFmtId="9" fontId="40" fillId="0" borderId="0" applyFont="0" applyFill="0" applyBorder="0" applyAlignment="0" applyProtection="0"/>
    <xf numFmtId="9" fontId="70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70" fillId="0" borderId="0" applyFont="0" applyFill="0" applyBorder="0" applyAlignment="0" applyProtection="0">
      <alignment vertical="center"/>
    </xf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40" fillId="0" borderId="0" applyFill="0" applyBorder="0" applyAlignment="0" applyProtection="0"/>
    <xf numFmtId="9" fontId="27" fillId="0" borderId="0" applyFont="0" applyFill="0" applyBorder="0" applyAlignment="0" applyProtection="0"/>
    <xf numFmtId="9" fontId="70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70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1" fillId="0" borderId="0" applyFont="0" applyFill="0" applyBorder="0" applyAlignment="0" applyProtection="0"/>
    <xf numFmtId="219" fontId="40" fillId="0" borderId="0" applyFont="0" applyFill="0" applyBorder="0" applyAlignment="0" applyProtection="0"/>
    <xf numFmtId="219" fontId="70" fillId="0" borderId="0" applyFont="0" applyFill="0" applyBorder="0" applyAlignment="0" applyProtection="0">
      <alignment vertical="center"/>
    </xf>
    <xf numFmtId="185" fontId="67" fillId="0" borderId="0" applyFill="0" applyBorder="0" applyAlignment="0"/>
    <xf numFmtId="185" fontId="68" fillId="0" borderId="0" applyFill="0" applyBorder="0" applyAlignment="0">
      <alignment vertical="center"/>
    </xf>
    <xf numFmtId="181" fontId="67" fillId="0" borderId="0" applyFill="0" applyBorder="0" applyAlignment="0"/>
    <xf numFmtId="181" fontId="68" fillId="0" borderId="0" applyFill="0" applyBorder="0" applyAlignment="0">
      <alignment vertical="center"/>
    </xf>
    <xf numFmtId="185" fontId="67" fillId="0" borderId="0" applyFill="0" applyBorder="0" applyAlignment="0"/>
    <xf numFmtId="185" fontId="68" fillId="0" borderId="0" applyFill="0" applyBorder="0" applyAlignment="0">
      <alignment vertical="center"/>
    </xf>
    <xf numFmtId="174" fontId="67" fillId="0" borderId="0" applyFill="0" applyBorder="0" applyAlignment="0"/>
    <xf numFmtId="174" fontId="68" fillId="0" borderId="0" applyFill="0" applyBorder="0" applyAlignment="0">
      <alignment vertical="center"/>
    </xf>
    <xf numFmtId="181" fontId="67" fillId="0" borderId="0" applyFill="0" applyBorder="0" applyAlignment="0"/>
    <xf numFmtId="181" fontId="68" fillId="0" borderId="0" applyFill="0" applyBorder="0" applyAlignment="0">
      <alignment vertical="center"/>
    </xf>
    <xf numFmtId="212" fontId="40" fillId="0" borderId="0" applyNumberFormat="0" applyFill="0" applyBorder="0" applyAlignment="0" applyProtection="0">
      <alignment horizontal="left"/>
    </xf>
    <xf numFmtId="0" fontId="64" fillId="0" borderId="0" applyNumberFormat="0" applyFill="0" applyBorder="0" applyAlignment="0" applyProtection="0">
      <alignment horizontal="left" vertical="center"/>
    </xf>
    <xf numFmtId="0" fontId="160" fillId="52" borderId="0" applyNumberFormat="0" applyFont="0" applyBorder="0" applyAlignment="0">
      <alignment horizontal="center"/>
    </xf>
    <xf numFmtId="0" fontId="70" fillId="52" borderId="0" applyNumberFormat="0" applyFont="0" applyBorder="0" applyAlignment="0">
      <alignment horizontal="center" vertical="center"/>
    </xf>
    <xf numFmtId="14" fontId="161" fillId="0" borderId="0" applyNumberFormat="0" applyFill="0" applyBorder="0" applyAlignment="0" applyProtection="0">
      <alignment horizontal="left"/>
    </xf>
    <xf numFmtId="0" fontId="162" fillId="0" borderId="0" applyNumberFormat="0" applyFill="0" applyBorder="0" applyAlignment="0" applyProtection="0">
      <alignment horizontal="left" vertical="center"/>
    </xf>
    <xf numFmtId="0" fontId="163" fillId="0" borderId="0">
      <alignment horizontal="center" vertical="center"/>
    </xf>
    <xf numFmtId="0" fontId="164" fillId="53" borderId="0">
      <alignment horizontal="center" vertical="center"/>
    </xf>
    <xf numFmtId="0" fontId="164" fillId="0" borderId="0">
      <alignment horizontal="center" vertical="center"/>
    </xf>
    <xf numFmtId="0" fontId="163" fillId="0" borderId="0">
      <alignment horizontal="center" vertical="center"/>
    </xf>
    <xf numFmtId="0" fontId="165" fillId="53" borderId="0">
      <alignment horizontal="left" vertical="top"/>
    </xf>
    <xf numFmtId="0" fontId="165" fillId="0" borderId="0">
      <alignment horizontal="left" vertical="top"/>
    </xf>
    <xf numFmtId="0" fontId="163" fillId="0" borderId="0">
      <alignment horizontal="left" vertical="center"/>
    </xf>
    <xf numFmtId="0" fontId="166" fillId="53" borderId="0">
      <alignment horizontal="right" vertical="center"/>
    </xf>
    <xf numFmtId="0" fontId="166" fillId="0" borderId="0">
      <alignment horizontal="right" vertical="center"/>
    </xf>
    <xf numFmtId="0" fontId="163" fillId="0" borderId="0">
      <alignment horizontal="right" vertical="center"/>
    </xf>
    <xf numFmtId="0" fontId="166" fillId="53" borderId="0">
      <alignment horizontal="left" vertical="center"/>
    </xf>
    <xf numFmtId="0" fontId="166" fillId="0" borderId="0">
      <alignment horizontal="left" vertical="center"/>
    </xf>
    <xf numFmtId="0" fontId="163" fillId="0" borderId="0">
      <alignment horizontal="center" vertical="center"/>
    </xf>
    <xf numFmtId="0" fontId="166" fillId="53" borderId="0">
      <alignment horizontal="left" vertical="center"/>
    </xf>
    <xf numFmtId="0" fontId="166" fillId="0" borderId="0">
      <alignment horizontal="left" vertical="center"/>
    </xf>
    <xf numFmtId="0" fontId="163" fillId="0" borderId="0">
      <alignment horizontal="right" vertical="center"/>
    </xf>
    <xf numFmtId="0" fontId="163" fillId="0" borderId="0">
      <alignment horizontal="right" vertical="center"/>
    </xf>
    <xf numFmtId="0" fontId="163" fillId="0" borderId="0">
      <alignment horizontal="right" vertical="center"/>
    </xf>
    <xf numFmtId="0" fontId="163" fillId="0" borderId="0">
      <alignment horizontal="center" vertical="center"/>
    </xf>
    <xf numFmtId="0" fontId="163" fillId="0" borderId="0">
      <alignment horizontal="left" vertical="center"/>
    </xf>
    <xf numFmtId="0" fontId="163" fillId="0" borderId="0">
      <alignment horizontal="right" vertical="center"/>
    </xf>
    <xf numFmtId="0" fontId="163" fillId="0" borderId="0">
      <alignment horizontal="right" vertical="center"/>
    </xf>
    <xf numFmtId="0" fontId="167" fillId="0" borderId="0">
      <alignment horizontal="left" vertical="center"/>
    </xf>
    <xf numFmtId="0" fontId="165" fillId="53" borderId="0">
      <alignment horizontal="center" vertical="center"/>
    </xf>
    <xf numFmtId="0" fontId="165" fillId="0" borderId="0">
      <alignment horizontal="center" vertical="center"/>
    </xf>
    <xf numFmtId="0" fontId="163" fillId="0" borderId="0">
      <alignment horizontal="right" vertical="center"/>
    </xf>
    <xf numFmtId="0" fontId="168" fillId="0" borderId="0">
      <alignment horizontal="left" vertical="top"/>
    </xf>
    <xf numFmtId="0" fontId="168" fillId="0" borderId="0">
      <alignment horizontal="left" vertical="top"/>
    </xf>
    <xf numFmtId="0" fontId="168" fillId="0" borderId="0">
      <alignment horizontal="right" vertical="center"/>
    </xf>
    <xf numFmtId="0" fontId="163" fillId="0" borderId="0">
      <alignment horizontal="left" vertical="top"/>
    </xf>
    <xf numFmtId="0" fontId="165" fillId="53" borderId="0">
      <alignment horizontal="left" vertical="center"/>
    </xf>
    <xf numFmtId="0" fontId="165" fillId="0" borderId="0">
      <alignment horizontal="left" vertical="center"/>
    </xf>
    <xf numFmtId="0" fontId="169" fillId="0" borderId="0">
      <alignment horizontal="left" vertical="top"/>
    </xf>
    <xf numFmtId="0" fontId="163" fillId="53" borderId="0">
      <alignment horizontal="center" vertical="center"/>
    </xf>
    <xf numFmtId="0" fontId="163" fillId="0" borderId="0">
      <alignment horizontal="center" vertical="center"/>
    </xf>
    <xf numFmtId="0" fontId="163" fillId="0" borderId="0">
      <alignment horizontal="right" vertical="center"/>
    </xf>
    <xf numFmtId="0" fontId="163" fillId="53" borderId="0">
      <alignment horizontal="left" vertical="center"/>
    </xf>
    <xf numFmtId="0" fontId="163" fillId="0" borderId="0">
      <alignment horizontal="left" vertical="center"/>
    </xf>
    <xf numFmtId="0" fontId="163" fillId="0" borderId="0">
      <alignment horizontal="right" vertical="center"/>
    </xf>
    <xf numFmtId="0" fontId="163" fillId="53" borderId="0">
      <alignment horizontal="center" vertical="center"/>
    </xf>
    <xf numFmtId="0" fontId="163" fillId="0" borderId="0">
      <alignment horizontal="center" vertical="center"/>
    </xf>
    <xf numFmtId="0" fontId="163" fillId="0" borderId="0">
      <alignment horizontal="center" vertical="center"/>
    </xf>
    <xf numFmtId="0" fontId="163" fillId="53" borderId="0">
      <alignment horizontal="left" vertical="center"/>
    </xf>
    <xf numFmtId="0" fontId="163" fillId="0" borderId="0">
      <alignment horizontal="left" vertical="center"/>
    </xf>
    <xf numFmtId="0" fontId="163" fillId="0" borderId="0">
      <alignment horizontal="center" vertical="center"/>
    </xf>
    <xf numFmtId="0" fontId="170" fillId="53" borderId="0">
      <alignment horizontal="center" vertical="top"/>
    </xf>
    <xf numFmtId="0" fontId="170" fillId="0" borderId="0">
      <alignment horizontal="center" vertical="top"/>
    </xf>
    <xf numFmtId="0" fontId="163" fillId="0" borderId="0">
      <alignment horizontal="right" vertical="center"/>
    </xf>
    <xf numFmtId="0" fontId="165" fillId="53" borderId="0">
      <alignment horizontal="center" vertical="center"/>
    </xf>
    <xf numFmtId="0" fontId="165" fillId="0" borderId="0">
      <alignment horizontal="center" vertical="center"/>
    </xf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171" fillId="0" borderId="99">
      <alignment vertical="center"/>
    </xf>
    <xf numFmtId="0" fontId="171" fillId="0" borderId="99">
      <alignment vertical="center"/>
    </xf>
    <xf numFmtId="0" fontId="171" fillId="0" borderId="99">
      <alignment vertical="center"/>
    </xf>
    <xf numFmtId="0" fontId="171" fillId="0" borderId="99">
      <alignment vertical="center"/>
    </xf>
    <xf numFmtId="0" fontId="171" fillId="0" borderId="99">
      <alignment vertical="center"/>
    </xf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171" fillId="0" borderId="99">
      <alignment vertical="center"/>
    </xf>
    <xf numFmtId="0" fontId="171" fillId="0" borderId="99">
      <alignment vertical="center"/>
    </xf>
    <xf numFmtId="0" fontId="171" fillId="0" borderId="99">
      <alignment vertical="center"/>
    </xf>
    <xf numFmtId="0" fontId="171" fillId="0" borderId="99">
      <alignment vertical="center"/>
    </xf>
    <xf numFmtId="0" fontId="171" fillId="0" borderId="99">
      <alignment vertical="center"/>
    </xf>
    <xf numFmtId="0" fontId="171" fillId="0" borderId="99">
      <alignment vertical="center"/>
    </xf>
    <xf numFmtId="0" fontId="171" fillId="0" borderId="99">
      <alignment vertical="center"/>
    </xf>
    <xf numFmtId="0" fontId="171" fillId="0" borderId="99">
      <alignment vertical="center"/>
    </xf>
    <xf numFmtId="0" fontId="171" fillId="0" borderId="99">
      <alignment vertical="center"/>
    </xf>
    <xf numFmtId="0" fontId="171" fillId="0" borderId="99">
      <alignment vertical="center"/>
    </xf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171" fillId="0" borderId="99">
      <alignment vertical="center"/>
    </xf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171" fillId="0" borderId="99">
      <alignment vertical="center"/>
    </xf>
    <xf numFmtId="0" fontId="62" fillId="0" borderId="99"/>
    <xf numFmtId="0" fontId="171" fillId="0" borderId="99">
      <alignment vertical="center"/>
    </xf>
    <xf numFmtId="0" fontId="171" fillId="0" borderId="99">
      <alignment vertical="center"/>
    </xf>
    <xf numFmtId="0" fontId="171" fillId="0" borderId="99">
      <alignment vertical="center"/>
    </xf>
    <xf numFmtId="0" fontId="62" fillId="0" borderId="99"/>
    <xf numFmtId="0" fontId="171" fillId="0" borderId="99">
      <alignment vertical="center"/>
    </xf>
    <xf numFmtId="0" fontId="171" fillId="0" borderId="99">
      <alignment vertical="center"/>
    </xf>
    <xf numFmtId="0" fontId="171" fillId="0" borderId="99">
      <alignment vertical="center"/>
    </xf>
    <xf numFmtId="0" fontId="171" fillId="0" borderId="99">
      <alignment vertical="center"/>
    </xf>
    <xf numFmtId="0" fontId="171" fillId="0" borderId="99">
      <alignment vertical="center"/>
    </xf>
    <xf numFmtId="0" fontId="171" fillId="0" borderId="99">
      <alignment vertical="center"/>
    </xf>
    <xf numFmtId="0" fontId="171" fillId="0" borderId="99">
      <alignment vertical="center"/>
    </xf>
    <xf numFmtId="0" fontId="171" fillId="0" borderId="99">
      <alignment vertical="center"/>
    </xf>
    <xf numFmtId="0" fontId="171" fillId="0" borderId="99">
      <alignment vertical="center"/>
    </xf>
    <xf numFmtId="0" fontId="62" fillId="0" borderId="99"/>
    <xf numFmtId="0" fontId="171" fillId="0" borderId="99">
      <alignment vertical="center"/>
    </xf>
    <xf numFmtId="0" fontId="62" fillId="0" borderId="99"/>
    <xf numFmtId="0" fontId="62" fillId="0" borderId="99"/>
    <xf numFmtId="0" fontId="62" fillId="0" borderId="99"/>
    <xf numFmtId="0" fontId="171" fillId="0" borderId="99">
      <alignment vertical="center"/>
    </xf>
    <xf numFmtId="0" fontId="62" fillId="0" borderId="99"/>
    <xf numFmtId="0" fontId="171" fillId="0" borderId="99">
      <alignment vertical="center"/>
    </xf>
    <xf numFmtId="0" fontId="171" fillId="0" borderId="99">
      <alignment vertical="center"/>
    </xf>
    <xf numFmtId="0" fontId="171" fillId="0" borderId="99">
      <alignment vertical="center"/>
    </xf>
    <xf numFmtId="0" fontId="171" fillId="0" borderId="99">
      <alignment vertical="center"/>
    </xf>
    <xf numFmtId="0" fontId="171" fillId="0" borderId="99">
      <alignment vertical="center"/>
    </xf>
    <xf numFmtId="0" fontId="171" fillId="0" borderId="99">
      <alignment vertical="center"/>
    </xf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62" fillId="0" borderId="99"/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70" fillId="1" borderId="13" applyNumberFormat="0" applyFont="0" applyAlignment="0">
      <alignment horizontal="center" vertical="center"/>
    </xf>
    <xf numFmtId="0" fontId="70" fillId="1" borderId="13" applyNumberFormat="0" applyFont="0" applyAlignment="0">
      <alignment horizontal="center" vertical="center"/>
    </xf>
    <xf numFmtId="0" fontId="70" fillId="1" borderId="13" applyNumberFormat="0" applyFont="0" applyAlignment="0">
      <alignment horizontal="center" vertical="center"/>
    </xf>
    <xf numFmtId="0" fontId="70" fillId="1" borderId="13" applyNumberFormat="0" applyFont="0" applyAlignment="0">
      <alignment horizontal="center" vertical="center"/>
    </xf>
    <xf numFmtId="0" fontId="70" fillId="1" borderId="13" applyNumberFormat="0" applyFont="0" applyAlignment="0">
      <alignment horizontal="center" vertical="center"/>
    </xf>
    <xf numFmtId="0" fontId="70" fillId="1" borderId="13" applyNumberFormat="0" applyFont="0" applyAlignment="0">
      <alignment horizontal="center" vertical="center"/>
    </xf>
    <xf numFmtId="0" fontId="70" fillId="1" borderId="13" applyNumberFormat="0" applyFont="0" applyAlignment="0">
      <alignment horizontal="center" vertical="center"/>
    </xf>
    <xf numFmtId="0" fontId="70" fillId="1" borderId="13" applyNumberFormat="0" applyFont="0" applyAlignment="0">
      <alignment horizontal="center" vertical="center"/>
    </xf>
    <xf numFmtId="0" fontId="70" fillId="1" borderId="13" applyNumberFormat="0" applyFont="0" applyAlignment="0">
      <alignment horizontal="center" vertical="center"/>
    </xf>
    <xf numFmtId="0" fontId="70" fillId="1" borderId="13" applyNumberFormat="0" applyFont="0" applyAlignment="0">
      <alignment horizontal="center" vertic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70" fillId="1" borderId="13" applyNumberFormat="0" applyFont="0" applyAlignment="0">
      <alignment horizontal="center" vertical="center"/>
    </xf>
    <xf numFmtId="0" fontId="70" fillId="1" borderId="13" applyNumberFormat="0" applyFont="0" applyAlignment="0">
      <alignment horizontal="center" vertical="center"/>
    </xf>
    <xf numFmtId="0" fontId="70" fillId="1" borderId="13" applyNumberFormat="0" applyFont="0" applyAlignment="0">
      <alignment horizontal="center" vertical="center"/>
    </xf>
    <xf numFmtId="0" fontId="70" fillId="1" borderId="13" applyNumberFormat="0" applyFont="0" applyAlignment="0">
      <alignment horizontal="center" vertical="center"/>
    </xf>
    <xf numFmtId="0" fontId="70" fillId="1" borderId="13" applyNumberFormat="0" applyFont="0" applyAlignment="0">
      <alignment horizontal="center" vertical="center"/>
    </xf>
    <xf numFmtId="0" fontId="70" fillId="1" borderId="13" applyNumberFormat="0" applyFont="0" applyAlignment="0">
      <alignment horizontal="center" vertical="center"/>
    </xf>
    <xf numFmtId="0" fontId="160" fillId="1" borderId="13" applyNumberFormat="0" applyFont="0" applyAlignment="0">
      <alignment horizontal="center"/>
    </xf>
    <xf numFmtId="0" fontId="70" fillId="1" borderId="13" applyNumberFormat="0" applyFont="0" applyAlignment="0">
      <alignment horizontal="center" vertical="center"/>
    </xf>
    <xf numFmtId="0" fontId="160" fillId="1" borderId="13" applyNumberFormat="0" applyFont="0" applyAlignment="0">
      <alignment horizontal="center"/>
    </xf>
    <xf numFmtId="0" fontId="70" fillId="1" borderId="13" applyNumberFormat="0" applyFont="0" applyAlignment="0">
      <alignment horizontal="center" vertical="center"/>
    </xf>
    <xf numFmtId="0" fontId="70" fillId="1" borderId="13" applyNumberFormat="0" applyFont="0" applyAlignment="0">
      <alignment horizontal="center" vertical="center"/>
    </xf>
    <xf numFmtId="0" fontId="70" fillId="1" borderId="13" applyNumberFormat="0" applyFont="0" applyAlignment="0">
      <alignment horizontal="center" vertical="center"/>
    </xf>
    <xf numFmtId="0" fontId="70" fillId="1" borderId="13" applyNumberFormat="0" applyFont="0" applyAlignment="0">
      <alignment horizontal="center" vertical="center"/>
    </xf>
    <xf numFmtId="0" fontId="70" fillId="1" borderId="13" applyNumberFormat="0" applyFont="0" applyAlignment="0">
      <alignment horizontal="center" vertical="center"/>
    </xf>
    <xf numFmtId="0" fontId="70" fillId="1" borderId="13" applyNumberFormat="0" applyFont="0" applyAlignment="0">
      <alignment horizontal="center" vertic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70" fillId="1" borderId="13" applyNumberFormat="0" applyFont="0" applyAlignment="0">
      <alignment horizontal="center" vertical="center"/>
    </xf>
    <xf numFmtId="0" fontId="70" fillId="1" borderId="13" applyNumberFormat="0" applyFont="0" applyAlignment="0">
      <alignment horizontal="center" vertical="center"/>
    </xf>
    <xf numFmtId="0" fontId="70" fillId="1" borderId="13" applyNumberFormat="0" applyFont="0" applyAlignment="0">
      <alignment horizontal="center" vertical="center"/>
    </xf>
    <xf numFmtId="0" fontId="70" fillId="1" borderId="13" applyNumberFormat="0" applyFont="0" applyAlignment="0">
      <alignment horizontal="center" vertical="center"/>
    </xf>
    <xf numFmtId="0" fontId="70" fillId="1" borderId="13" applyNumberFormat="0" applyFont="0" applyAlignment="0">
      <alignment horizontal="center" vertical="center"/>
    </xf>
    <xf numFmtId="0" fontId="160" fillId="1" borderId="13" applyNumberFormat="0" applyFont="0" applyAlignment="0">
      <alignment horizontal="center"/>
    </xf>
    <xf numFmtId="0" fontId="70" fillId="1" borderId="13" applyNumberFormat="0" applyFont="0" applyAlignment="0">
      <alignment horizontal="center" vertic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70" fillId="1" borderId="13" applyNumberFormat="0" applyFont="0" applyAlignment="0">
      <alignment horizontal="center" vertic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70" fillId="1" borderId="13" applyNumberFormat="0" applyFont="0" applyAlignment="0">
      <alignment horizontal="center" vertical="center"/>
    </xf>
    <xf numFmtId="0" fontId="70" fillId="1" borderId="13" applyNumberFormat="0" applyFont="0" applyAlignment="0">
      <alignment horizontal="center" vertical="center"/>
    </xf>
    <xf numFmtId="0" fontId="70" fillId="1" borderId="13" applyNumberFormat="0" applyFont="0" applyAlignment="0">
      <alignment horizontal="center" vertical="center"/>
    </xf>
    <xf numFmtId="0" fontId="160" fillId="1" borderId="13" applyNumberFormat="0" applyFont="0" applyAlignment="0">
      <alignment horizontal="center"/>
    </xf>
    <xf numFmtId="0" fontId="70" fillId="1" borderId="13" applyNumberFormat="0" applyFont="0" applyAlignment="0">
      <alignment horizontal="center" vertical="center"/>
    </xf>
    <xf numFmtId="0" fontId="70" fillId="1" borderId="13" applyNumberFormat="0" applyFont="0" applyAlignment="0">
      <alignment horizontal="center" vertical="center"/>
    </xf>
    <xf numFmtId="0" fontId="160" fillId="1" borderId="13" applyNumberFormat="0" applyFont="0" applyAlignment="0">
      <alignment horizontal="center"/>
    </xf>
    <xf numFmtId="0" fontId="70" fillId="1" borderId="13" applyNumberFormat="0" applyFont="0" applyAlignment="0">
      <alignment horizontal="center" vertic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70" fillId="1" borderId="13" applyNumberFormat="0" applyFont="0" applyAlignment="0">
      <alignment horizontal="center" vertical="center"/>
    </xf>
    <xf numFmtId="0" fontId="160" fillId="1" borderId="13" applyNumberFormat="0" applyFont="0" applyAlignment="0">
      <alignment horizontal="center"/>
    </xf>
    <xf numFmtId="0" fontId="70" fillId="1" borderId="13" applyNumberFormat="0" applyFont="0" applyAlignment="0">
      <alignment horizontal="center" vertic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60" fillId="1" borderId="13" applyNumberFormat="0" applyFont="0" applyAlignment="0">
      <alignment horizontal="center"/>
    </xf>
    <xf numFmtId="0" fontId="172" fillId="0" borderId="0" applyNumberFormat="0" applyFill="0" applyBorder="0" applyAlignment="0">
      <alignment horizontal="center"/>
    </xf>
    <xf numFmtId="0" fontId="173" fillId="0" borderId="0" applyNumberFormat="0" applyFill="0" applyBorder="0" applyAlignment="0">
      <alignment horizontal="center" vertical="center"/>
    </xf>
    <xf numFmtId="212" fontId="40" fillId="54" borderId="0" applyNumberFormat="0" applyFont="0" applyBorder="0" applyAlignment="0">
      <protection hidden="1"/>
    </xf>
    <xf numFmtId="0" fontId="70" fillId="54" borderId="0" applyNumberFormat="0" applyFont="0" applyBorder="0" applyAlignment="0">
      <alignment vertical="center"/>
      <protection hidden="1"/>
    </xf>
    <xf numFmtId="0" fontId="41" fillId="0" borderId="100"/>
    <xf numFmtId="0" fontId="41" fillId="0" borderId="100"/>
    <xf numFmtId="0" fontId="41" fillId="0" borderId="100"/>
    <xf numFmtId="0" fontId="174" fillId="0" borderId="100">
      <alignment vertical="center"/>
    </xf>
    <xf numFmtId="0" fontId="174" fillId="0" borderId="100">
      <alignment vertical="center"/>
    </xf>
    <xf numFmtId="0" fontId="41" fillId="0" borderId="100"/>
    <xf numFmtId="0" fontId="174" fillId="0" borderId="100">
      <alignment vertical="center"/>
    </xf>
    <xf numFmtId="40" fontId="175" fillId="0" borderId="0" applyBorder="0">
      <alignment horizontal="right"/>
    </xf>
    <xf numFmtId="40" fontId="176" fillId="0" borderId="0" applyBorder="0">
      <alignment horizontal="right" vertical="center"/>
    </xf>
    <xf numFmtId="212" fontId="40" fillId="55" borderId="0" applyNumberFormat="0" applyFont="0" applyBorder="0" applyAlignment="0" applyProtection="0"/>
    <xf numFmtId="0" fontId="70" fillId="55" borderId="0" applyNumberFormat="0" applyFont="0" applyBorder="0" applyAlignment="0" applyProtection="0">
      <alignment vertical="center"/>
    </xf>
    <xf numFmtId="49" fontId="59" fillId="0" borderId="0" applyFill="0" applyBorder="0" applyAlignment="0"/>
    <xf numFmtId="49" fontId="85" fillId="0" borderId="0" applyFill="0" applyBorder="0" applyAlignment="0">
      <alignment vertical="center"/>
    </xf>
    <xf numFmtId="220" fontId="67" fillId="0" borderId="0" applyFill="0" applyBorder="0" applyAlignment="0"/>
    <xf numFmtId="220" fontId="68" fillId="0" borderId="0" applyFill="0" applyBorder="0" applyAlignment="0">
      <alignment vertical="center"/>
    </xf>
    <xf numFmtId="221" fontId="67" fillId="0" borderId="0" applyFill="0" applyBorder="0" applyAlignment="0"/>
    <xf numFmtId="221" fontId="68" fillId="0" borderId="0" applyFill="0" applyBorder="0" applyAlignment="0">
      <alignment vertical="center"/>
    </xf>
    <xf numFmtId="222" fontId="40" fillId="0" borderId="0" applyFill="0" applyBorder="0" applyAlignment="0" applyProtection="0">
      <alignment horizontal="right"/>
    </xf>
    <xf numFmtId="222" fontId="64" fillId="0" borderId="0" applyFill="0" applyBorder="0" applyAlignment="0" applyProtection="0">
      <alignment horizontal="right" vertical="center"/>
    </xf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/>
    <xf numFmtId="0" fontId="180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>
      <alignment vertical="center"/>
    </xf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2" fillId="0" borderId="102" applyNumberFormat="0" applyFill="0" applyAlignment="0" applyProtection="0">
      <alignment vertical="center"/>
    </xf>
    <xf numFmtId="0" fontId="182" fillId="0" borderId="102" applyNumberFormat="0" applyFill="0" applyAlignment="0" applyProtection="0">
      <alignment vertical="center"/>
    </xf>
    <xf numFmtId="0" fontId="182" fillId="0" borderId="102" applyNumberFormat="0" applyFill="0" applyAlignment="0" applyProtection="0">
      <alignment vertical="center"/>
    </xf>
    <xf numFmtId="0" fontId="182" fillId="0" borderId="102" applyNumberFormat="0" applyFill="0" applyAlignment="0" applyProtection="0">
      <alignment vertical="center"/>
    </xf>
    <xf numFmtId="0" fontId="182" fillId="0" borderId="102" applyNumberFormat="0" applyFill="0" applyAlignment="0" applyProtection="0">
      <alignment vertical="center"/>
    </xf>
    <xf numFmtId="0" fontId="182" fillId="0" borderId="102" applyNumberFormat="0" applyFill="0" applyAlignment="0" applyProtection="0">
      <alignment vertical="center"/>
    </xf>
    <xf numFmtId="0" fontId="182" fillId="0" borderId="102" applyNumberFormat="0" applyFill="0" applyAlignment="0" applyProtection="0">
      <alignment vertical="center"/>
    </xf>
    <xf numFmtId="0" fontId="182" fillId="0" borderId="102" applyNumberFormat="0" applyFill="0" applyAlignment="0" applyProtection="0">
      <alignment vertical="center"/>
    </xf>
    <xf numFmtId="0" fontId="182" fillId="0" borderId="102" applyNumberFormat="0" applyFill="0" applyAlignment="0" applyProtection="0">
      <alignment vertical="center"/>
    </xf>
    <xf numFmtId="0" fontId="182" fillId="0" borderId="102" applyNumberFormat="0" applyFill="0" applyAlignment="0" applyProtection="0">
      <alignment vertical="center"/>
    </xf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2" fillId="0" borderId="102" applyNumberFormat="0" applyFill="0" applyAlignment="0" applyProtection="0">
      <alignment vertical="center"/>
    </xf>
    <xf numFmtId="0" fontId="182" fillId="0" borderId="102" applyNumberFormat="0" applyFill="0" applyAlignment="0" applyProtection="0">
      <alignment vertical="center"/>
    </xf>
    <xf numFmtId="0" fontId="182" fillId="0" borderId="102" applyNumberFormat="0" applyFill="0" applyAlignment="0" applyProtection="0">
      <alignment vertical="center"/>
    </xf>
    <xf numFmtId="0" fontId="182" fillId="0" borderId="102" applyNumberFormat="0" applyFill="0" applyAlignment="0" applyProtection="0">
      <alignment vertical="center"/>
    </xf>
    <xf numFmtId="0" fontId="182" fillId="0" borderId="102" applyNumberFormat="0" applyFill="0" applyAlignment="0" applyProtection="0">
      <alignment vertical="center"/>
    </xf>
    <xf numFmtId="0" fontId="182" fillId="0" borderId="102" applyNumberFormat="0" applyFill="0" applyAlignment="0" applyProtection="0">
      <alignment vertical="center"/>
    </xf>
    <xf numFmtId="0" fontId="182" fillId="0" borderId="102" applyNumberFormat="0" applyFill="0" applyAlignment="0" applyProtection="0">
      <alignment vertical="center"/>
    </xf>
    <xf numFmtId="0" fontId="182" fillId="0" borderId="102" applyNumberFormat="0" applyFill="0" applyAlignment="0" applyProtection="0">
      <alignment vertical="center"/>
    </xf>
    <xf numFmtId="0" fontId="182" fillId="0" borderId="102" applyNumberFormat="0" applyFill="0" applyAlignment="0" applyProtection="0">
      <alignment vertical="center"/>
    </xf>
    <xf numFmtId="0" fontId="182" fillId="0" borderId="102" applyNumberFormat="0" applyFill="0" applyAlignment="0" applyProtection="0">
      <alignment vertical="center"/>
    </xf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2" fillId="0" borderId="102" applyNumberFormat="0" applyFill="0" applyAlignment="0" applyProtection="0">
      <alignment vertical="center"/>
    </xf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2" fillId="0" borderId="102" applyNumberFormat="0" applyFill="0" applyAlignment="0" applyProtection="0">
      <alignment vertical="center"/>
    </xf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2" fillId="0" borderId="102" applyNumberFormat="0" applyFill="0" applyAlignment="0" applyProtection="0">
      <alignment vertical="center"/>
    </xf>
    <xf numFmtId="0" fontId="182" fillId="0" borderId="102" applyNumberFormat="0" applyFill="0" applyAlignment="0" applyProtection="0">
      <alignment vertical="center"/>
    </xf>
    <xf numFmtId="0" fontId="182" fillId="0" borderId="102" applyNumberFormat="0" applyFill="0" applyAlignment="0" applyProtection="0">
      <alignment vertical="center"/>
    </xf>
    <xf numFmtId="0" fontId="181" fillId="0" borderId="102" applyNumberFormat="0" applyFill="0" applyAlignment="0" applyProtection="0"/>
    <xf numFmtId="0" fontId="182" fillId="0" borderId="102" applyNumberFormat="0" applyFill="0" applyAlignment="0" applyProtection="0">
      <alignment vertical="center"/>
    </xf>
    <xf numFmtId="0" fontId="182" fillId="0" borderId="102" applyNumberFormat="0" applyFill="0" applyAlignment="0" applyProtection="0">
      <alignment vertical="center"/>
    </xf>
    <xf numFmtId="0" fontId="182" fillId="0" borderId="102" applyNumberFormat="0" applyFill="0" applyAlignment="0" applyProtection="0">
      <alignment vertical="center"/>
    </xf>
    <xf numFmtId="0" fontId="182" fillId="0" borderId="102" applyNumberFormat="0" applyFill="0" applyAlignment="0" applyProtection="0">
      <alignment vertical="center"/>
    </xf>
    <xf numFmtId="0" fontId="181" fillId="0" borderId="102" applyNumberFormat="0" applyFill="0" applyAlignment="0" applyProtection="0"/>
    <xf numFmtId="0" fontId="182" fillId="0" borderId="102" applyNumberFormat="0" applyFill="0" applyAlignment="0" applyProtection="0">
      <alignment vertical="center"/>
    </xf>
    <xf numFmtId="0" fontId="182" fillId="0" borderId="102" applyNumberFormat="0" applyFill="0" applyAlignment="0" applyProtection="0">
      <alignment vertical="center"/>
    </xf>
    <xf numFmtId="0" fontId="182" fillId="0" borderId="102" applyNumberFormat="0" applyFill="0" applyAlignment="0" applyProtection="0">
      <alignment vertical="center"/>
    </xf>
    <xf numFmtId="0" fontId="182" fillId="0" borderId="102" applyNumberFormat="0" applyFill="0" applyAlignment="0" applyProtection="0">
      <alignment vertical="center"/>
    </xf>
    <xf numFmtId="0" fontId="182" fillId="0" borderId="102" applyNumberFormat="0" applyFill="0" applyAlignment="0" applyProtection="0">
      <alignment vertical="center"/>
    </xf>
    <xf numFmtId="0" fontId="182" fillId="0" borderId="102" applyNumberFormat="0" applyFill="0" applyAlignment="0" applyProtection="0">
      <alignment vertical="center"/>
    </xf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2" fillId="0" borderId="102" applyNumberFormat="0" applyFill="0" applyAlignment="0" applyProtection="0">
      <alignment vertical="center"/>
    </xf>
    <xf numFmtId="0" fontId="182" fillId="0" borderId="102" applyNumberFormat="0" applyFill="0" applyAlignment="0" applyProtection="0">
      <alignment vertical="center"/>
    </xf>
    <xf numFmtId="0" fontId="181" fillId="0" borderId="102" applyNumberFormat="0" applyFill="0" applyAlignment="0" applyProtection="0"/>
    <xf numFmtId="0" fontId="182" fillId="0" borderId="102" applyNumberFormat="0" applyFill="0" applyAlignment="0" applyProtection="0">
      <alignment vertical="center"/>
    </xf>
    <xf numFmtId="0" fontId="181" fillId="0" borderId="102" applyNumberFormat="0" applyFill="0" applyAlignment="0" applyProtection="0"/>
    <xf numFmtId="0" fontId="182" fillId="0" borderId="102" applyNumberFormat="0" applyFill="0" applyAlignment="0" applyProtection="0">
      <alignment vertical="center"/>
    </xf>
    <xf numFmtId="0" fontId="182" fillId="0" borderId="102" applyNumberFormat="0" applyFill="0" applyAlignment="0" applyProtection="0">
      <alignment vertical="center"/>
    </xf>
    <xf numFmtId="0" fontId="182" fillId="0" borderId="102" applyNumberFormat="0" applyFill="0" applyAlignment="0" applyProtection="0">
      <alignment vertical="center"/>
    </xf>
    <xf numFmtId="0" fontId="182" fillId="0" borderId="102" applyNumberFormat="0" applyFill="0" applyAlignment="0" applyProtection="0">
      <alignment vertical="center"/>
    </xf>
    <xf numFmtId="0" fontId="182" fillId="0" borderId="102" applyNumberFormat="0" applyFill="0" applyAlignment="0" applyProtection="0">
      <alignment vertical="center"/>
    </xf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1" fillId="0" borderId="102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4" fillId="0" borderId="101" applyNumberFormat="0" applyFill="0" applyAlignment="0" applyProtection="0">
      <alignment vertical="center"/>
    </xf>
    <xf numFmtId="0" fontId="184" fillId="0" borderId="101" applyNumberFormat="0" applyFill="0" applyAlignment="0" applyProtection="0">
      <alignment vertical="center"/>
    </xf>
    <xf numFmtId="0" fontId="184" fillId="0" borderId="101" applyNumberFormat="0" applyFill="0" applyAlignment="0" applyProtection="0">
      <alignment vertical="center"/>
    </xf>
    <xf numFmtId="0" fontId="184" fillId="0" borderId="101" applyNumberFormat="0" applyFill="0" applyAlignment="0" applyProtection="0">
      <alignment vertical="center"/>
    </xf>
    <xf numFmtId="0" fontId="184" fillId="0" borderId="101" applyNumberFormat="0" applyFill="0" applyAlignment="0" applyProtection="0">
      <alignment vertical="center"/>
    </xf>
    <xf numFmtId="0" fontId="184" fillId="0" borderId="101" applyNumberFormat="0" applyFill="0" applyAlignment="0" applyProtection="0">
      <alignment vertical="center"/>
    </xf>
    <xf numFmtId="0" fontId="184" fillId="0" borderId="101" applyNumberFormat="0" applyFill="0" applyAlignment="0" applyProtection="0">
      <alignment vertical="center"/>
    </xf>
    <xf numFmtId="0" fontId="184" fillId="0" borderId="101" applyNumberFormat="0" applyFill="0" applyAlignment="0" applyProtection="0">
      <alignment vertical="center"/>
    </xf>
    <xf numFmtId="0" fontId="184" fillId="0" borderId="101" applyNumberFormat="0" applyFill="0" applyAlignment="0" applyProtection="0">
      <alignment vertical="center"/>
    </xf>
    <xf numFmtId="0" fontId="184" fillId="0" borderId="101" applyNumberFormat="0" applyFill="0" applyAlignment="0" applyProtection="0">
      <alignment vertical="center"/>
    </xf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4" fillId="0" borderId="101" applyNumberFormat="0" applyFill="0" applyAlignment="0" applyProtection="0">
      <alignment vertical="center"/>
    </xf>
    <xf numFmtId="0" fontId="184" fillId="0" borderId="101" applyNumberFormat="0" applyFill="0" applyAlignment="0" applyProtection="0">
      <alignment vertical="center"/>
    </xf>
    <xf numFmtId="0" fontId="184" fillId="0" borderId="101" applyNumberFormat="0" applyFill="0" applyAlignment="0" applyProtection="0">
      <alignment vertical="center"/>
    </xf>
    <xf numFmtId="0" fontId="184" fillId="0" borderId="101" applyNumberFormat="0" applyFill="0" applyAlignment="0" applyProtection="0">
      <alignment vertical="center"/>
    </xf>
    <xf numFmtId="0" fontId="184" fillId="0" borderId="101" applyNumberFormat="0" applyFill="0" applyAlignment="0" applyProtection="0">
      <alignment vertical="center"/>
    </xf>
    <xf numFmtId="0" fontId="184" fillId="0" borderId="101" applyNumberFormat="0" applyFill="0" applyAlignment="0" applyProtection="0">
      <alignment vertical="center"/>
    </xf>
    <xf numFmtId="0" fontId="184" fillId="0" borderId="101" applyNumberFormat="0" applyFill="0" applyAlignment="0" applyProtection="0">
      <alignment vertical="center"/>
    </xf>
    <xf numFmtId="0" fontId="184" fillId="0" borderId="101" applyNumberFormat="0" applyFill="0" applyAlignment="0" applyProtection="0">
      <alignment vertical="center"/>
    </xf>
    <xf numFmtId="0" fontId="184" fillId="0" borderId="101" applyNumberFormat="0" applyFill="0" applyAlignment="0" applyProtection="0">
      <alignment vertical="center"/>
    </xf>
    <xf numFmtId="0" fontId="184" fillId="0" borderId="101" applyNumberFormat="0" applyFill="0" applyAlignment="0" applyProtection="0">
      <alignment vertical="center"/>
    </xf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4" fillId="0" borderId="101" applyNumberFormat="0" applyFill="0" applyAlignment="0" applyProtection="0">
      <alignment vertical="center"/>
    </xf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4" fillId="0" borderId="101" applyNumberFormat="0" applyFill="0" applyAlignment="0" applyProtection="0">
      <alignment vertical="center"/>
    </xf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4" fillId="0" borderId="101" applyNumberFormat="0" applyFill="0" applyAlignment="0" applyProtection="0">
      <alignment vertical="center"/>
    </xf>
    <xf numFmtId="0" fontId="184" fillId="0" borderId="101" applyNumberFormat="0" applyFill="0" applyAlignment="0" applyProtection="0">
      <alignment vertical="center"/>
    </xf>
    <xf numFmtId="0" fontId="184" fillId="0" borderId="101" applyNumberFormat="0" applyFill="0" applyAlignment="0" applyProtection="0">
      <alignment vertical="center"/>
    </xf>
    <xf numFmtId="0" fontId="183" fillId="0" borderId="101" applyNumberFormat="0" applyFill="0" applyAlignment="0" applyProtection="0"/>
    <xf numFmtId="0" fontId="184" fillId="0" borderId="101" applyNumberFormat="0" applyFill="0" applyAlignment="0" applyProtection="0">
      <alignment vertical="center"/>
    </xf>
    <xf numFmtId="0" fontId="184" fillId="0" borderId="101" applyNumberFormat="0" applyFill="0" applyAlignment="0" applyProtection="0">
      <alignment vertical="center"/>
    </xf>
    <xf numFmtId="0" fontId="184" fillId="0" borderId="101" applyNumberFormat="0" applyFill="0" applyAlignment="0" applyProtection="0">
      <alignment vertical="center"/>
    </xf>
    <xf numFmtId="0" fontId="184" fillId="0" borderId="101" applyNumberFormat="0" applyFill="0" applyAlignment="0" applyProtection="0">
      <alignment vertical="center"/>
    </xf>
    <xf numFmtId="0" fontId="183" fillId="0" borderId="101" applyNumberFormat="0" applyFill="0" applyAlignment="0" applyProtection="0"/>
    <xf numFmtId="0" fontId="184" fillId="0" borderId="101" applyNumberFormat="0" applyFill="0" applyAlignment="0" applyProtection="0">
      <alignment vertical="center"/>
    </xf>
    <xf numFmtId="0" fontId="184" fillId="0" borderId="101" applyNumberFormat="0" applyFill="0" applyAlignment="0" applyProtection="0">
      <alignment vertical="center"/>
    </xf>
    <xf numFmtId="0" fontId="184" fillId="0" borderId="101" applyNumberFormat="0" applyFill="0" applyAlignment="0" applyProtection="0">
      <alignment vertical="center"/>
    </xf>
    <xf numFmtId="0" fontId="184" fillId="0" borderId="101" applyNumberFormat="0" applyFill="0" applyAlignment="0" applyProtection="0">
      <alignment vertical="center"/>
    </xf>
    <xf numFmtId="0" fontId="184" fillId="0" borderId="101" applyNumberFormat="0" applyFill="0" applyAlignment="0" applyProtection="0">
      <alignment vertical="center"/>
    </xf>
    <xf numFmtId="0" fontId="184" fillId="0" borderId="101" applyNumberFormat="0" applyFill="0" applyAlignment="0" applyProtection="0">
      <alignment vertical="center"/>
    </xf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4" fillId="0" borderId="101" applyNumberFormat="0" applyFill="0" applyAlignment="0" applyProtection="0">
      <alignment vertical="center"/>
    </xf>
    <xf numFmtId="0" fontId="184" fillId="0" borderId="101" applyNumberFormat="0" applyFill="0" applyAlignment="0" applyProtection="0">
      <alignment vertical="center"/>
    </xf>
    <xf numFmtId="0" fontId="183" fillId="0" borderId="101" applyNumberFormat="0" applyFill="0" applyAlignment="0" applyProtection="0"/>
    <xf numFmtId="0" fontId="184" fillId="0" borderId="101" applyNumberFormat="0" applyFill="0" applyAlignment="0" applyProtection="0">
      <alignment vertical="center"/>
    </xf>
    <xf numFmtId="0" fontId="183" fillId="0" borderId="101" applyNumberFormat="0" applyFill="0" applyAlignment="0" applyProtection="0"/>
    <xf numFmtId="0" fontId="184" fillId="0" borderId="101" applyNumberFormat="0" applyFill="0" applyAlignment="0" applyProtection="0">
      <alignment vertical="center"/>
    </xf>
    <xf numFmtId="0" fontId="184" fillId="0" borderId="101" applyNumberFormat="0" applyFill="0" applyAlignment="0" applyProtection="0">
      <alignment vertical="center"/>
    </xf>
    <xf numFmtId="0" fontId="184" fillId="0" borderId="101" applyNumberFormat="0" applyFill="0" applyAlignment="0" applyProtection="0">
      <alignment vertical="center"/>
    </xf>
    <xf numFmtId="0" fontId="184" fillId="0" borderId="101" applyNumberFormat="0" applyFill="0" applyAlignment="0" applyProtection="0">
      <alignment vertical="center"/>
    </xf>
    <xf numFmtId="0" fontId="184" fillId="0" borderId="101" applyNumberFormat="0" applyFill="0" applyAlignment="0" applyProtection="0">
      <alignment vertical="center"/>
    </xf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3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2" fillId="0" borderId="101" applyNumberFormat="0" applyFill="0" applyAlignment="0" applyProtection="0">
      <alignment vertical="center"/>
    </xf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1" fillId="0" borderId="101" applyNumberFormat="0" applyFill="0" applyAlignment="0" applyProtection="0"/>
    <xf numFmtId="0" fontId="185" fillId="0" borderId="0" applyNumberFormat="0" applyFill="0" applyBorder="0" applyAlignment="0" applyProtection="0"/>
    <xf numFmtId="0" fontId="186" fillId="0" borderId="0" applyNumberFormat="0" applyFill="0" applyBorder="0" applyAlignment="0" applyProtection="0">
      <alignment vertical="center"/>
    </xf>
    <xf numFmtId="0" fontId="185" fillId="0" borderId="0" applyNumberFormat="0" applyFill="0" applyBorder="0" applyAlignment="0" applyProtection="0"/>
    <xf numFmtId="0" fontId="186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/>
    <xf numFmtId="0" fontId="188" fillId="0" borderId="0" applyNumberFormat="0" applyFill="0" applyBorder="0" applyAlignment="0" applyProtection="0">
      <alignment vertical="center"/>
    </xf>
    <xf numFmtId="0" fontId="185" fillId="0" borderId="0" applyNumberFormat="0" applyFill="0" applyBorder="0" applyAlignment="0" applyProtection="0"/>
    <xf numFmtId="0" fontId="186" fillId="0" borderId="0" applyNumberFormat="0" applyFill="0" applyBorder="0" applyAlignment="0" applyProtection="0">
      <alignment vertical="center"/>
    </xf>
    <xf numFmtId="0" fontId="185" fillId="0" borderId="0" applyNumberFormat="0" applyFill="0" applyBorder="0" applyAlignment="0" applyProtection="0"/>
    <xf numFmtId="0" fontId="186" fillId="0" borderId="0" applyNumberFormat="0" applyFill="0" applyBorder="0" applyAlignment="0" applyProtection="0">
      <alignment vertical="center"/>
    </xf>
    <xf numFmtId="0" fontId="185" fillId="0" borderId="0" applyNumberFormat="0" applyFill="0" applyBorder="0" applyAlignment="0" applyProtection="0"/>
    <xf numFmtId="0" fontId="186" fillId="0" borderId="0" applyNumberFormat="0" applyFill="0" applyBorder="0" applyAlignment="0" applyProtection="0">
      <alignment vertical="center"/>
    </xf>
    <xf numFmtId="0" fontId="185" fillId="0" borderId="0" applyNumberFormat="0" applyFill="0" applyBorder="0" applyAlignment="0" applyProtection="0"/>
    <xf numFmtId="0" fontId="186" fillId="0" borderId="0" applyNumberFormat="0" applyFill="0" applyBorder="0" applyAlignment="0" applyProtection="0">
      <alignment vertical="center"/>
    </xf>
    <xf numFmtId="0" fontId="185" fillId="0" borderId="0" applyNumberFormat="0" applyFill="0" applyBorder="0" applyAlignment="0" applyProtection="0"/>
    <xf numFmtId="0" fontId="186" fillId="0" borderId="0" applyNumberFormat="0" applyFill="0" applyBorder="0" applyAlignment="0" applyProtection="0">
      <alignment vertical="center"/>
    </xf>
    <xf numFmtId="0" fontId="185" fillId="0" borderId="0" applyNumberFormat="0" applyFill="0" applyBorder="0" applyAlignment="0" applyProtection="0"/>
    <xf numFmtId="0" fontId="186" fillId="0" borderId="0" applyNumberFormat="0" applyFill="0" applyBorder="0" applyAlignment="0" applyProtection="0">
      <alignment vertical="center"/>
    </xf>
    <xf numFmtId="0" fontId="185" fillId="0" borderId="0" applyNumberFormat="0" applyFill="0" applyBorder="0" applyAlignment="0" applyProtection="0"/>
    <xf numFmtId="0" fontId="186" fillId="0" borderId="0" applyNumberFormat="0" applyFill="0" applyBorder="0" applyAlignment="0" applyProtection="0">
      <alignment vertical="center"/>
    </xf>
    <xf numFmtId="212" fontId="40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187" fontId="9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40" fillId="0" borderId="0" applyFont="0" applyFill="0" applyBorder="0" applyAlignment="0" applyProtection="0"/>
    <xf numFmtId="172" fontId="96" fillId="0" borderId="0" applyFill="0" applyBorder="0" applyAlignment="0" applyProtection="0"/>
    <xf numFmtId="172" fontId="96" fillId="0" borderId="0" applyFill="0" applyBorder="0" applyAlignment="0" applyProtection="0"/>
    <xf numFmtId="172" fontId="96" fillId="0" borderId="0" applyFill="0" applyBorder="0" applyAlignment="0" applyProtection="0"/>
    <xf numFmtId="172" fontId="96" fillId="0" borderId="0" applyFill="0" applyBorder="0" applyAlignment="0" applyProtection="0"/>
    <xf numFmtId="172" fontId="96" fillId="0" borderId="0" applyFill="0" applyBorder="0" applyAlignment="0" applyProtection="0"/>
    <xf numFmtId="41" fontId="95" fillId="0" borderId="0" applyFont="0" applyFill="0" applyBorder="0" applyAlignment="0" applyProtection="0">
      <alignment vertical="center"/>
    </xf>
    <xf numFmtId="0" fontId="96" fillId="0" borderId="0" applyFill="0" applyBorder="0" applyAlignment="0" applyProtection="0"/>
    <xf numFmtId="191" fontId="96" fillId="0" borderId="0" applyFill="0" applyBorder="0" applyAlignment="0" applyProtection="0"/>
    <xf numFmtId="43" fontId="40" fillId="0" borderId="0" applyFont="0" applyFill="0" applyBorder="0" applyAlignment="0" applyProtection="0"/>
    <xf numFmtId="195" fontId="96" fillId="0" borderId="0" applyFill="0" applyBorder="0" applyAlignment="0" applyProtection="0">
      <alignment vertical="center"/>
    </xf>
    <xf numFmtId="43" fontId="40" fillId="0" borderId="0" applyFont="0" applyFill="0" applyBorder="0" applyAlignment="0" applyProtection="0"/>
    <xf numFmtId="43" fontId="40" fillId="0" borderId="0" applyFill="0" applyBorder="0" applyAlignment="0" applyProtection="0"/>
    <xf numFmtId="43" fontId="40" fillId="0" borderId="0" applyFont="0" applyFill="0" applyBorder="0" applyAlignment="0" applyProtection="0"/>
    <xf numFmtId="195" fontId="64" fillId="0" borderId="0" applyFill="0" applyBorder="0" applyAlignment="0" applyProtection="0">
      <alignment vertical="center"/>
    </xf>
    <xf numFmtId="43" fontId="40" fillId="0" borderId="0" applyFont="0" applyFill="0" applyBorder="0" applyAlignment="0" applyProtection="0"/>
    <xf numFmtId="197" fontId="61" fillId="0" borderId="0"/>
    <xf numFmtId="210" fontId="98" fillId="0" borderId="0" applyBorder="0" applyProtection="0"/>
    <xf numFmtId="0" fontId="1" fillId="0" borderId="0"/>
    <xf numFmtId="0" fontId="64" fillId="0" borderId="0">
      <alignment vertical="center"/>
    </xf>
    <xf numFmtId="0" fontId="70" fillId="0" borderId="0">
      <alignment vertical="center"/>
    </xf>
    <xf numFmtId="0" fontId="27" fillId="0" borderId="0"/>
    <xf numFmtId="0" fontId="27" fillId="0" borderId="0"/>
    <xf numFmtId="0" fontId="64" fillId="0" borderId="0">
      <alignment vertical="center"/>
    </xf>
    <xf numFmtId="0" fontId="40" fillId="0" borderId="0"/>
    <xf numFmtId="0" fontId="40" fillId="0" borderId="0"/>
    <xf numFmtId="0" fontId="96" fillId="0" borderId="0"/>
    <xf numFmtId="9" fontId="64" fillId="0" borderId="0" applyFill="0" applyBorder="0" applyAlignment="0" applyProtection="0">
      <alignment vertical="center"/>
    </xf>
    <xf numFmtId="171" fontId="1" fillId="0" borderId="0" applyFont="0" applyFill="0" applyBorder="0" applyAlignment="0" applyProtection="0"/>
    <xf numFmtId="223" fontId="94" fillId="56" borderId="0" applyNumberFormat="0" applyBorder="0" applyAlignment="0" applyProtection="0"/>
    <xf numFmtId="223" fontId="94" fillId="57" borderId="0" applyNumberFormat="0" applyBorder="0" applyAlignment="0" applyProtection="0"/>
    <xf numFmtId="223" fontId="94" fillId="58" borderId="0" applyNumberFormat="0" applyBorder="0" applyAlignment="0" applyProtection="0"/>
    <xf numFmtId="223" fontId="94" fillId="59" borderId="0" applyNumberFormat="0" applyBorder="0" applyAlignment="0" applyProtection="0"/>
    <xf numFmtId="223" fontId="94" fillId="60" borderId="0" applyNumberFormat="0" applyBorder="0" applyAlignment="0" applyProtection="0"/>
    <xf numFmtId="223" fontId="94" fillId="61" borderId="0" applyNumberFormat="0" applyBorder="0" applyAlignment="0" applyProtection="0"/>
    <xf numFmtId="223" fontId="94" fillId="62" borderId="0" applyNumberFormat="0" applyBorder="0" applyAlignment="0" applyProtection="0"/>
    <xf numFmtId="223" fontId="94" fillId="63" borderId="0" applyNumberFormat="0" applyBorder="0" applyAlignment="0" applyProtection="0"/>
    <xf numFmtId="223" fontId="94" fillId="64" borderId="0" applyNumberFormat="0" applyBorder="0" applyAlignment="0" applyProtection="0"/>
    <xf numFmtId="223" fontId="94" fillId="59" borderId="0" applyNumberFormat="0" applyBorder="0" applyAlignment="0" applyProtection="0"/>
    <xf numFmtId="223" fontId="94" fillId="62" borderId="0" applyNumberFormat="0" applyBorder="0" applyAlignment="0" applyProtection="0"/>
    <xf numFmtId="223" fontId="94" fillId="65" borderId="0" applyNumberFormat="0" applyBorder="0" applyAlignment="0" applyProtection="0"/>
    <xf numFmtId="223" fontId="190" fillId="66" borderId="0" applyNumberFormat="0" applyBorder="0" applyAlignment="0" applyProtection="0"/>
    <xf numFmtId="223" fontId="190" fillId="63" borderId="0" applyNumberFormat="0" applyBorder="0" applyAlignment="0" applyProtection="0"/>
    <xf numFmtId="223" fontId="190" fillId="64" borderId="0" applyNumberFormat="0" applyBorder="0" applyAlignment="0" applyProtection="0"/>
    <xf numFmtId="223" fontId="190" fillId="67" borderId="0" applyNumberFormat="0" applyBorder="0" applyAlignment="0" applyProtection="0"/>
    <xf numFmtId="223" fontId="190" fillId="68" borderId="0" applyNumberFormat="0" applyBorder="0" applyAlignment="0" applyProtection="0"/>
    <xf numFmtId="223" fontId="190" fillId="69" borderId="0" applyNumberFormat="0" applyBorder="0" applyAlignment="0" applyProtection="0"/>
    <xf numFmtId="223" fontId="190" fillId="70" borderId="0" applyNumberFormat="0" applyBorder="0" applyAlignment="0" applyProtection="0"/>
    <xf numFmtId="223" fontId="190" fillId="71" borderId="0" applyNumberFormat="0" applyBorder="0" applyAlignment="0" applyProtection="0"/>
    <xf numFmtId="223" fontId="190" fillId="72" borderId="0" applyNumberFormat="0" applyBorder="0" applyAlignment="0" applyProtection="0"/>
    <xf numFmtId="223" fontId="190" fillId="67" borderId="0" applyNumberFormat="0" applyBorder="0" applyAlignment="0" applyProtection="0"/>
    <xf numFmtId="223" fontId="190" fillId="68" borderId="0" applyNumberFormat="0" applyBorder="0" applyAlignment="0" applyProtection="0"/>
    <xf numFmtId="223" fontId="190" fillId="73" borderId="0" applyNumberFormat="0" applyBorder="0" applyAlignment="0" applyProtection="0"/>
    <xf numFmtId="223" fontId="191" fillId="58" borderId="0" applyNumberFormat="0" applyBorder="0" applyAlignment="0" applyProtection="0"/>
    <xf numFmtId="223" fontId="192" fillId="57" borderId="0" applyNumberFormat="0" applyBorder="0" applyAlignment="0" applyProtection="0"/>
    <xf numFmtId="224" fontId="40" fillId="0" borderId="0" applyFill="0" applyBorder="0" applyAlignment="0"/>
    <xf numFmtId="224" fontId="40" fillId="0" borderId="0" applyFill="0" applyBorder="0" applyAlignment="0"/>
    <xf numFmtId="225" fontId="189" fillId="0" borderId="0" applyFill="0" applyBorder="0" applyAlignment="0"/>
    <xf numFmtId="226" fontId="40" fillId="0" borderId="0" applyFill="0" applyBorder="0" applyAlignment="0"/>
    <xf numFmtId="227" fontId="40" fillId="0" borderId="0" applyFill="0" applyBorder="0" applyAlignment="0"/>
    <xf numFmtId="227" fontId="40" fillId="0" borderId="0" applyFill="0" applyBorder="0" applyAlignment="0"/>
    <xf numFmtId="168" fontId="40" fillId="0" borderId="0" applyFill="0" applyBorder="0" applyAlignment="0"/>
    <xf numFmtId="228" fontId="40" fillId="0" borderId="0" applyFill="0" applyBorder="0" applyAlignment="0"/>
    <xf numFmtId="228" fontId="40" fillId="0" borderId="0" applyFill="0" applyBorder="0" applyAlignment="0"/>
    <xf numFmtId="228" fontId="40" fillId="0" borderId="0" applyFill="0" applyBorder="0" applyAlignment="0"/>
    <xf numFmtId="229" fontId="40" fillId="0" borderId="0" applyFill="0" applyBorder="0" applyAlignment="0"/>
    <xf numFmtId="229" fontId="40" fillId="0" borderId="0" applyFill="0" applyBorder="0" applyAlignment="0"/>
    <xf numFmtId="229" fontId="40" fillId="0" borderId="0" applyFill="0" applyBorder="0" applyAlignment="0"/>
    <xf numFmtId="230" fontId="40" fillId="0" borderId="0" applyFill="0" applyBorder="0" applyAlignment="0"/>
    <xf numFmtId="230" fontId="40" fillId="0" borderId="0" applyFill="0" applyBorder="0" applyAlignment="0"/>
    <xf numFmtId="230" fontId="40" fillId="0" borderId="0" applyFill="0" applyBorder="0" applyAlignment="0"/>
    <xf numFmtId="231" fontId="40" fillId="0" borderId="0" applyFill="0" applyBorder="0" applyAlignment="0"/>
    <xf numFmtId="231" fontId="40" fillId="0" borderId="0" applyFill="0" applyBorder="0" applyAlignment="0"/>
    <xf numFmtId="231" fontId="40" fillId="0" borderId="0" applyFill="0" applyBorder="0" applyAlignment="0"/>
    <xf numFmtId="232" fontId="40" fillId="0" borderId="0" applyFill="0" applyBorder="0" applyAlignment="0"/>
    <xf numFmtId="232" fontId="40" fillId="0" borderId="0" applyFill="0" applyBorder="0" applyAlignment="0"/>
    <xf numFmtId="232" fontId="40" fillId="0" borderId="0" applyFill="0" applyBorder="0" applyAlignment="0"/>
    <xf numFmtId="227" fontId="40" fillId="0" borderId="0" applyFill="0" applyBorder="0" applyAlignment="0"/>
    <xf numFmtId="227" fontId="40" fillId="0" borderId="0" applyFill="0" applyBorder="0" applyAlignment="0"/>
    <xf numFmtId="168" fontId="40" fillId="0" borderId="0" applyFill="0" applyBorder="0" applyAlignment="0"/>
    <xf numFmtId="223" fontId="40" fillId="74" borderId="97" applyNumberFormat="0" applyFont="0" applyAlignment="0" applyProtection="0"/>
    <xf numFmtId="223" fontId="40" fillId="74" borderId="97" applyNumberFormat="0" applyFont="0" applyAlignment="0" applyProtection="0"/>
    <xf numFmtId="223" fontId="40" fillId="74" borderId="97" applyNumberFormat="0" applyFont="0" applyAlignment="0" applyProtection="0"/>
    <xf numFmtId="223" fontId="193" fillId="75" borderId="89" applyNumberFormat="0" applyAlignment="0" applyProtection="0"/>
    <xf numFmtId="223" fontId="193" fillId="75" borderId="89" applyNumberFormat="0" applyAlignment="0" applyProtection="0"/>
    <xf numFmtId="223" fontId="193" fillId="75" borderId="89" applyNumberFormat="0" applyAlignment="0" applyProtection="0"/>
    <xf numFmtId="233" fontId="194" fillId="0" borderId="0"/>
    <xf numFmtId="233" fontId="195" fillId="0" borderId="0"/>
    <xf numFmtId="233" fontId="195" fillId="0" borderId="0"/>
    <xf numFmtId="231" fontId="40" fillId="0" borderId="0" applyFill="0" applyBorder="0" applyAlignment="0" applyProtection="0"/>
    <xf numFmtId="231" fontId="40" fillId="0" borderId="0" applyFill="0" applyBorder="0" applyAlignment="0" applyProtection="0"/>
    <xf numFmtId="231" fontId="40" fillId="0" borderId="0" applyFill="0" applyBorder="0" applyAlignment="0" applyProtection="0"/>
    <xf numFmtId="43" fontId="40" fillId="0" borderId="0" applyFont="0" applyFill="0" applyBorder="0" applyAlignment="0" applyProtection="0"/>
    <xf numFmtId="171" fontId="61" fillId="0" borderId="0" applyFont="0" applyFill="0" applyBorder="0" applyAlignment="0" applyProtection="0"/>
    <xf numFmtId="233" fontId="194" fillId="0" borderId="0"/>
    <xf numFmtId="233" fontId="195" fillId="0" borderId="0"/>
    <xf numFmtId="233" fontId="195" fillId="0" borderId="0"/>
    <xf numFmtId="227" fontId="40" fillId="0" borderId="0" applyFill="0" applyBorder="0" applyAlignment="0" applyProtection="0"/>
    <xf numFmtId="227" fontId="40" fillId="0" borderId="0" applyFill="0" applyBorder="0" applyAlignment="0" applyProtection="0"/>
    <xf numFmtId="227" fontId="40" fillId="0" borderId="0" applyFill="0" applyBorder="0" applyAlignment="0" applyProtection="0"/>
    <xf numFmtId="234" fontId="40" fillId="0" borderId="0" applyFill="0" applyBorder="0" applyAlignment="0"/>
    <xf numFmtId="234" fontId="40" fillId="0" borderId="0" applyFill="0" applyBorder="0" applyAlignment="0"/>
    <xf numFmtId="234" fontId="40" fillId="0" borderId="0" applyFill="0" applyBorder="0" applyAlignment="0"/>
    <xf numFmtId="235" fontId="40" fillId="0" borderId="0" applyFill="0" applyBorder="0" applyAlignment="0"/>
    <xf numFmtId="235" fontId="40" fillId="0" borderId="0" applyFill="0" applyBorder="0" applyAlignment="0"/>
    <xf numFmtId="169" fontId="40" fillId="0" borderId="0" applyFont="0" applyFill="0" applyBorder="0" applyAlignment="0"/>
    <xf numFmtId="235" fontId="40" fillId="0" borderId="0" applyFill="0" applyBorder="0" applyAlignment="0"/>
    <xf numFmtId="223" fontId="40" fillId="0" borderId="0">
      <protection locked="0"/>
    </xf>
    <xf numFmtId="236" fontId="40" fillId="0" borderId="0" applyFill="0" applyBorder="0" applyAlignment="0" applyProtection="0"/>
    <xf numFmtId="236" fontId="40" fillId="0" borderId="0" applyFill="0" applyBorder="0" applyAlignment="0" applyProtection="0"/>
    <xf numFmtId="207" fontId="40" fillId="50" borderId="0" applyFont="0" applyFill="0" applyBorder="0" applyAlignment="0" applyProtection="0"/>
    <xf numFmtId="236" fontId="40" fillId="0" borderId="0" applyFill="0" applyBorder="0" applyAlignment="0" applyProtection="0"/>
    <xf numFmtId="236" fontId="40" fillId="0" borderId="0" applyFill="0" applyBorder="0" applyAlignment="0" applyProtection="0"/>
    <xf numFmtId="223" fontId="40" fillId="0" borderId="0">
      <protection locked="0"/>
    </xf>
    <xf numFmtId="223" fontId="40" fillId="0" borderId="0">
      <protection locked="0"/>
    </xf>
    <xf numFmtId="223" fontId="40" fillId="0" borderId="0">
      <protection locked="0"/>
    </xf>
    <xf numFmtId="223" fontId="40" fillId="0" borderId="0">
      <protection locked="0"/>
    </xf>
    <xf numFmtId="231" fontId="40" fillId="0" borderId="0" applyFill="0" applyBorder="0" applyAlignment="0"/>
    <xf numFmtId="231" fontId="40" fillId="0" borderId="0" applyFill="0" applyBorder="0" applyAlignment="0"/>
    <xf numFmtId="231" fontId="40" fillId="0" borderId="0" applyFill="0" applyBorder="0" applyAlignment="0"/>
    <xf numFmtId="227" fontId="40" fillId="0" borderId="0" applyFill="0" applyBorder="0" applyAlignment="0"/>
    <xf numFmtId="227" fontId="40" fillId="0" borderId="0" applyFill="0" applyBorder="0" applyAlignment="0"/>
    <xf numFmtId="168" fontId="40" fillId="0" borderId="0" applyFill="0" applyBorder="0" applyAlignment="0"/>
    <xf numFmtId="231" fontId="40" fillId="0" borderId="0" applyFill="0" applyBorder="0" applyAlignment="0"/>
    <xf numFmtId="231" fontId="40" fillId="0" borderId="0" applyFill="0" applyBorder="0" applyAlignment="0"/>
    <xf numFmtId="231" fontId="40" fillId="0" borderId="0" applyFill="0" applyBorder="0" applyAlignment="0"/>
    <xf numFmtId="232" fontId="40" fillId="0" borderId="0" applyFill="0" applyBorder="0" applyAlignment="0"/>
    <xf numFmtId="232" fontId="40" fillId="0" borderId="0" applyFill="0" applyBorder="0" applyAlignment="0"/>
    <xf numFmtId="232" fontId="40" fillId="0" borderId="0" applyFill="0" applyBorder="0" applyAlignment="0"/>
    <xf numFmtId="227" fontId="40" fillId="0" borderId="0" applyFill="0" applyBorder="0" applyAlignment="0"/>
    <xf numFmtId="227" fontId="40" fillId="0" borderId="0" applyFill="0" applyBorder="0" applyAlignment="0"/>
    <xf numFmtId="168" fontId="40" fillId="0" borderId="0" applyFill="0" applyBorder="0" applyAlignment="0"/>
    <xf numFmtId="223" fontId="40" fillId="0" borderId="0" applyFont="0" applyFill="0" applyBorder="0" applyAlignment="0" applyProtection="0"/>
    <xf numFmtId="164" fontId="196" fillId="0" borderId="103" applyBorder="0">
      <alignment horizontal="center"/>
    </xf>
    <xf numFmtId="237" fontId="196" fillId="0" borderId="0" applyBorder="0">
      <alignment horizontal="center"/>
    </xf>
    <xf numFmtId="223" fontId="40" fillId="0" borderId="0">
      <protection locked="0"/>
    </xf>
    <xf numFmtId="223" fontId="40" fillId="0" borderId="0">
      <protection locked="0"/>
    </xf>
    <xf numFmtId="223" fontId="40" fillId="0" borderId="0">
      <protection locked="0"/>
    </xf>
    <xf numFmtId="223" fontId="40" fillId="0" borderId="0">
      <protection locked="0"/>
    </xf>
    <xf numFmtId="223" fontId="40" fillId="0" borderId="0">
      <protection locked="0"/>
    </xf>
    <xf numFmtId="223" fontId="40" fillId="0" borderId="0">
      <protection locked="0"/>
    </xf>
    <xf numFmtId="223" fontId="40" fillId="0" borderId="0">
      <protection locked="0"/>
    </xf>
    <xf numFmtId="223" fontId="40" fillId="0" borderId="0">
      <protection locked="0"/>
    </xf>
    <xf numFmtId="223" fontId="40" fillId="0" borderId="0">
      <protection locked="0"/>
    </xf>
    <xf numFmtId="223" fontId="40" fillId="0" borderId="0">
      <protection locked="0"/>
    </xf>
    <xf numFmtId="223" fontId="40" fillId="0" borderId="0">
      <protection locked="0"/>
    </xf>
    <xf numFmtId="223" fontId="40" fillId="0" borderId="0">
      <protection locked="0"/>
    </xf>
    <xf numFmtId="223" fontId="40" fillId="0" borderId="0">
      <protection locked="0"/>
    </xf>
    <xf numFmtId="223" fontId="40" fillId="0" borderId="0">
      <protection locked="0"/>
    </xf>
    <xf numFmtId="223" fontId="40" fillId="0" borderId="0">
      <protection locked="0"/>
    </xf>
    <xf numFmtId="223" fontId="40" fillId="0" borderId="0">
      <protection locked="0"/>
    </xf>
    <xf numFmtId="223" fontId="40" fillId="0" borderId="0">
      <protection locked="0"/>
    </xf>
    <xf numFmtId="223" fontId="40" fillId="0" borderId="0">
      <protection locked="0"/>
    </xf>
    <xf numFmtId="223" fontId="40" fillId="0" borderId="0">
      <protection locked="0"/>
    </xf>
    <xf numFmtId="223" fontId="40" fillId="0" borderId="0">
      <protection locked="0"/>
    </xf>
    <xf numFmtId="223" fontId="40" fillId="0" borderId="0">
      <protection locked="0"/>
    </xf>
    <xf numFmtId="223" fontId="40" fillId="0" borderId="0">
      <protection locked="0"/>
    </xf>
    <xf numFmtId="223" fontId="40" fillId="0" borderId="0">
      <protection locked="0"/>
    </xf>
    <xf numFmtId="223" fontId="40" fillId="0" borderId="0">
      <protection locked="0"/>
    </xf>
    <xf numFmtId="223" fontId="40" fillId="0" borderId="0">
      <protection locked="0"/>
    </xf>
    <xf numFmtId="223" fontId="40" fillId="0" borderId="0">
      <protection locked="0"/>
    </xf>
    <xf numFmtId="223" fontId="40" fillId="0" borderId="0">
      <protection locked="0"/>
    </xf>
    <xf numFmtId="223" fontId="40" fillId="0" borderId="0">
      <protection locked="0"/>
    </xf>
    <xf numFmtId="223" fontId="40" fillId="0" borderId="0">
      <protection locked="0"/>
    </xf>
    <xf numFmtId="223" fontId="40" fillId="0" borderId="0">
      <protection locked="0"/>
    </xf>
    <xf numFmtId="223" fontId="40" fillId="0" borderId="0">
      <protection locked="0"/>
    </xf>
    <xf numFmtId="223" fontId="40" fillId="0" borderId="0">
      <protection locked="0"/>
    </xf>
    <xf numFmtId="223" fontId="40" fillId="0" borderId="0">
      <protection locked="0"/>
    </xf>
    <xf numFmtId="223" fontId="40" fillId="0" borderId="0">
      <protection locked="0"/>
    </xf>
    <xf numFmtId="223" fontId="40" fillId="0" borderId="0">
      <protection locked="0"/>
    </xf>
    <xf numFmtId="223" fontId="40" fillId="0" borderId="0">
      <protection locked="0"/>
    </xf>
    <xf numFmtId="238" fontId="40" fillId="0" borderId="0" applyFill="0" applyBorder="0" applyAlignment="0"/>
    <xf numFmtId="238" fontId="40" fillId="0" borderId="0" applyFill="0" applyBorder="0" applyAlignment="0"/>
    <xf numFmtId="211" fontId="40" fillId="50" borderId="0" applyFont="0" applyFill="0" applyBorder="0" applyAlignment="0"/>
    <xf numFmtId="238" fontId="40" fillId="0" borderId="0" applyFill="0" applyBorder="0" applyAlignment="0"/>
    <xf numFmtId="223" fontId="40" fillId="0" borderId="0">
      <protection locked="0"/>
    </xf>
    <xf numFmtId="223" fontId="40" fillId="0" borderId="0">
      <protection locked="0"/>
    </xf>
    <xf numFmtId="223" fontId="40" fillId="0" borderId="0">
      <protection locked="0"/>
    </xf>
    <xf numFmtId="223" fontId="40" fillId="0" borderId="0">
      <protection locked="0"/>
    </xf>
    <xf numFmtId="223" fontId="113" fillId="27" borderId="0" applyNumberFormat="0" applyBorder="0" applyAlignment="0" applyProtection="0"/>
    <xf numFmtId="223" fontId="113" fillId="27" borderId="0" applyNumberFormat="0" applyBorder="0" applyAlignment="0" applyProtection="0"/>
    <xf numFmtId="223" fontId="113" fillId="27" borderId="0" applyNumberFormat="0" applyBorder="0" applyAlignment="0" applyProtection="0"/>
    <xf numFmtId="223" fontId="40" fillId="0" borderId="0">
      <protection locked="0"/>
    </xf>
    <xf numFmtId="223" fontId="40" fillId="0" borderId="0">
      <protection locked="0"/>
    </xf>
    <xf numFmtId="223" fontId="40" fillId="0" borderId="0">
      <protection locked="0"/>
    </xf>
    <xf numFmtId="223" fontId="40" fillId="0" borderId="0">
      <protection locked="0"/>
    </xf>
    <xf numFmtId="223" fontId="40" fillId="0" borderId="0">
      <protection locked="0"/>
    </xf>
    <xf numFmtId="223" fontId="40" fillId="0" borderId="0">
      <protection locked="0"/>
    </xf>
    <xf numFmtId="223" fontId="40" fillId="0" borderId="0">
      <protection locked="0"/>
    </xf>
    <xf numFmtId="223" fontId="40" fillId="0" borderId="0">
      <protection locked="0"/>
    </xf>
    <xf numFmtId="223" fontId="40" fillId="0" borderId="0">
      <protection locked="0"/>
    </xf>
    <xf numFmtId="223" fontId="40" fillId="0" borderId="0">
      <protection locked="0"/>
    </xf>
    <xf numFmtId="223" fontId="40" fillId="0" borderId="0">
      <protection locked="0"/>
    </xf>
    <xf numFmtId="223" fontId="113" fillId="20" borderId="0" applyNumberFormat="0" applyBorder="0" applyAlignment="0" applyProtection="0"/>
    <xf numFmtId="235" fontId="40" fillId="20" borderId="0" applyBorder="0" applyAlignment="0" applyProtection="0"/>
    <xf numFmtId="235" fontId="40" fillId="20" borderId="0" applyBorder="0" applyAlignment="0" applyProtection="0"/>
    <xf numFmtId="169" fontId="113" fillId="50" borderId="0" applyFont="0" applyBorder="0" applyAlignment="0" applyProtection="0">
      <protection locked="0"/>
    </xf>
    <xf numFmtId="235" fontId="40" fillId="20" borderId="0" applyBorder="0" applyAlignment="0" applyProtection="0"/>
    <xf numFmtId="15" fontId="40" fillId="20" borderId="0" applyBorder="0" applyAlignment="0" applyProtection="0"/>
    <xf numFmtId="238" fontId="40" fillId="20" borderId="0" applyBorder="0" applyAlignment="0">
      <protection locked="0"/>
    </xf>
    <xf numFmtId="238" fontId="40" fillId="20" borderId="0" applyBorder="0" applyAlignment="0">
      <protection locked="0"/>
    </xf>
    <xf numFmtId="211" fontId="40" fillId="50" borderId="0" applyFont="0" applyBorder="0" applyAlignment="0">
      <protection locked="0"/>
    </xf>
    <xf numFmtId="238" fontId="40" fillId="20" borderId="0" applyBorder="0" applyAlignment="0">
      <protection locked="0"/>
    </xf>
    <xf numFmtId="38" fontId="113" fillId="20" borderId="0">
      <protection locked="0"/>
    </xf>
    <xf numFmtId="38" fontId="113" fillId="20" borderId="0">
      <protection locked="0"/>
    </xf>
    <xf numFmtId="38" fontId="113" fillId="20" borderId="0">
      <protection locked="0"/>
    </xf>
    <xf numFmtId="10" fontId="113" fillId="20" borderId="0">
      <protection locked="0"/>
    </xf>
    <xf numFmtId="10" fontId="113" fillId="20" borderId="0">
      <protection locked="0"/>
    </xf>
    <xf numFmtId="10" fontId="113" fillId="20" borderId="0">
      <protection locked="0"/>
    </xf>
    <xf numFmtId="239" fontId="40" fillId="20" borderId="0" applyBorder="0" applyAlignment="0">
      <protection locked="0"/>
    </xf>
    <xf numFmtId="223" fontId="40" fillId="20" borderId="0" applyNumberFormat="0" applyBorder="0" applyAlignment="0">
      <protection locked="0"/>
    </xf>
    <xf numFmtId="223" fontId="40" fillId="20" borderId="0" applyNumberFormat="0" applyBorder="0" applyAlignment="0">
      <protection locked="0"/>
    </xf>
    <xf numFmtId="212" fontId="40" fillId="50" borderId="0" applyNumberFormat="0" applyBorder="0" applyAlignment="0">
      <protection locked="0"/>
    </xf>
    <xf numFmtId="223" fontId="197" fillId="0" borderId="0" applyNumberFormat="0" applyFill="0" applyBorder="0" applyAlignment="0" applyProtection="0"/>
    <xf numFmtId="223" fontId="198" fillId="76" borderId="98" applyNumberFormat="0" applyAlignment="0" applyProtection="0"/>
    <xf numFmtId="223" fontId="198" fillId="76" borderId="98" applyNumberFormat="0" applyAlignment="0" applyProtection="0"/>
    <xf numFmtId="223" fontId="198" fillId="76" borderId="98" applyNumberFormat="0" applyAlignment="0" applyProtection="0"/>
    <xf numFmtId="231" fontId="40" fillId="0" borderId="0" applyFill="0" applyBorder="0" applyAlignment="0"/>
    <xf numFmtId="231" fontId="40" fillId="0" borderId="0" applyFill="0" applyBorder="0" applyAlignment="0"/>
    <xf numFmtId="231" fontId="40" fillId="0" borderId="0" applyFill="0" applyBorder="0" applyAlignment="0"/>
    <xf numFmtId="227" fontId="40" fillId="0" borderId="0" applyFill="0" applyBorder="0" applyAlignment="0"/>
    <xf numFmtId="227" fontId="40" fillId="0" borderId="0" applyFill="0" applyBorder="0" applyAlignment="0"/>
    <xf numFmtId="168" fontId="40" fillId="0" borderId="0" applyFill="0" applyBorder="0" applyAlignment="0"/>
    <xf numFmtId="231" fontId="40" fillId="0" borderId="0" applyFill="0" applyBorder="0" applyAlignment="0"/>
    <xf numFmtId="231" fontId="40" fillId="0" borderId="0" applyFill="0" applyBorder="0" applyAlignment="0"/>
    <xf numFmtId="231" fontId="40" fillId="0" borderId="0" applyFill="0" applyBorder="0" applyAlignment="0"/>
    <xf numFmtId="232" fontId="40" fillId="0" borderId="0" applyFill="0" applyBorder="0" applyAlignment="0"/>
    <xf numFmtId="232" fontId="40" fillId="0" borderId="0" applyFill="0" applyBorder="0" applyAlignment="0"/>
    <xf numFmtId="232" fontId="40" fillId="0" borderId="0" applyFill="0" applyBorder="0" applyAlignment="0"/>
    <xf numFmtId="227" fontId="40" fillId="0" borderId="0" applyFill="0" applyBorder="0" applyAlignment="0"/>
    <xf numFmtId="227" fontId="40" fillId="0" borderId="0" applyFill="0" applyBorder="0" applyAlignment="0"/>
    <xf numFmtId="168" fontId="40" fillId="0" borderId="0" applyFill="0" applyBorder="0" applyAlignment="0"/>
    <xf numFmtId="223" fontId="199" fillId="61" borderId="88" applyNumberFormat="0" applyAlignment="0" applyProtection="0"/>
    <xf numFmtId="223" fontId="199" fillId="61" borderId="88" applyNumberFormat="0" applyAlignment="0" applyProtection="0"/>
    <xf numFmtId="223" fontId="199" fillId="61" borderId="88" applyNumberFormat="0" applyAlignment="0" applyProtection="0"/>
    <xf numFmtId="240" fontId="40" fillId="27" borderId="0" applyBorder="0" applyAlignment="0" applyProtection="0"/>
    <xf numFmtId="240" fontId="40" fillId="27" borderId="0" applyBorder="0" applyAlignment="0" applyProtection="0"/>
    <xf numFmtId="213" fontId="40" fillId="51" borderId="0" applyFont="0" applyBorder="0" applyAlignment="0" applyProtection="0">
      <alignment horizontal="right"/>
      <protection hidden="1"/>
    </xf>
    <xf numFmtId="240" fontId="40" fillId="27" borderId="0" applyBorder="0" applyAlignment="0" applyProtection="0"/>
    <xf numFmtId="223" fontId="200" fillId="77" borderId="0" applyNumberFormat="0" applyBorder="0" applyAlignment="0" applyProtection="0"/>
    <xf numFmtId="233" fontId="65" fillId="0" borderId="0"/>
    <xf numFmtId="233" fontId="201" fillId="0" borderId="0"/>
    <xf numFmtId="233" fontId="201" fillId="0" borderId="0"/>
    <xf numFmtId="233" fontId="202" fillId="0" borderId="0"/>
    <xf numFmtId="233" fontId="202" fillId="0" borderId="0"/>
    <xf numFmtId="233" fontId="202" fillId="0" borderId="0"/>
    <xf numFmtId="233" fontId="202" fillId="0" borderId="0"/>
    <xf numFmtId="233" fontId="202" fillId="0" borderId="0"/>
    <xf numFmtId="241" fontId="40" fillId="0" borderId="0"/>
    <xf numFmtId="241" fontId="40" fillId="0" borderId="0"/>
    <xf numFmtId="241" fontId="40" fillId="0" borderId="0"/>
    <xf numFmtId="38" fontId="40" fillId="0" borderId="0" applyFill="0" applyBorder="0" applyAlignment="0"/>
    <xf numFmtId="38" fontId="40" fillId="0" borderId="0" applyFill="0" applyBorder="0" applyAlignment="0"/>
    <xf numFmtId="38" fontId="40" fillId="0" borderId="0" applyFill="0" applyBorder="0" applyAlignment="0"/>
    <xf numFmtId="242" fontId="40" fillId="0" borderId="0" applyFill="0" applyBorder="0" applyAlignment="0"/>
    <xf numFmtId="242" fontId="40" fillId="0" borderId="0" applyFill="0" applyBorder="0" applyAlignment="0"/>
    <xf numFmtId="242" fontId="40" fillId="0" borderId="0" applyFill="0" applyBorder="0" applyAlignment="0"/>
    <xf numFmtId="40" fontId="40" fillId="0" borderId="0" applyFill="0" applyBorder="0" applyAlignment="0"/>
    <xf numFmtId="40" fontId="40" fillId="0" borderId="0" applyFill="0" applyBorder="0" applyAlignment="0"/>
    <xf numFmtId="40" fontId="40" fillId="0" borderId="0" applyFill="0" applyBorder="0" applyAlignment="0"/>
    <xf numFmtId="243" fontId="40" fillId="0" borderId="0" applyFill="0" applyBorder="0" applyAlignment="0"/>
    <xf numFmtId="243" fontId="40" fillId="0" borderId="0" applyFill="0" applyBorder="0" applyAlignment="0"/>
    <xf numFmtId="214" fontId="113" fillId="0" borderId="0" applyFont="0" applyFill="0" applyBorder="0" applyAlignment="0"/>
    <xf numFmtId="243" fontId="40" fillId="0" borderId="0" applyFill="0" applyBorder="0" applyAlignment="0"/>
    <xf numFmtId="223" fontId="40" fillId="0" borderId="0"/>
    <xf numFmtId="223" fontId="94" fillId="0" borderId="0"/>
    <xf numFmtId="223" fontId="40" fillId="0" borderId="0" applyNumberFormat="0" applyFill="0" applyBorder="0" applyAlignment="0" applyProtection="0"/>
    <xf numFmtId="223" fontId="40" fillId="0" borderId="0" applyNumberFormat="0" applyFill="0" applyBorder="0" applyAlignment="0" applyProtection="0"/>
    <xf numFmtId="212" fontId="40" fillId="0" borderId="0" applyNumberFormat="0" applyFill="0" applyBorder="0" applyAlignment="0" applyProtection="0"/>
    <xf numFmtId="244" fontId="40" fillId="0" borderId="0" applyFill="0" applyBorder="0" applyAlignment="0" applyProtection="0"/>
    <xf numFmtId="244" fontId="40" fillId="0" borderId="0" applyFill="0" applyBorder="0" applyAlignment="0" applyProtection="0"/>
    <xf numFmtId="245" fontId="40" fillId="0" borderId="0" applyFont="0" applyFill="0" applyBorder="0" applyAlignment="0" applyProtection="0"/>
    <xf numFmtId="244" fontId="40" fillId="0" borderId="0" applyFill="0" applyBorder="0" applyAlignment="0" applyProtection="0"/>
    <xf numFmtId="216" fontId="40" fillId="0" borderId="0" applyFill="0" applyBorder="0" applyAlignment="0" applyProtection="0"/>
    <xf numFmtId="216" fontId="40" fillId="0" borderId="0" applyFill="0" applyBorder="0" applyAlignment="0" applyProtection="0"/>
    <xf numFmtId="216" fontId="40" fillId="0" borderId="0" applyFill="0" applyBorder="0" applyAlignment="0" applyProtection="0"/>
    <xf numFmtId="246" fontId="40" fillId="0" borderId="0" applyFill="0" applyBorder="0" applyAlignment="0" applyProtection="0"/>
    <xf numFmtId="246" fontId="40" fillId="0" borderId="0" applyFill="0" applyBorder="0" applyAlignment="0" applyProtection="0"/>
    <xf numFmtId="246" fontId="40" fillId="0" borderId="0" applyFill="0" applyBorder="0" applyAlignment="0" applyProtection="0"/>
    <xf numFmtId="230" fontId="40" fillId="0" borderId="0" applyFill="0" applyBorder="0" applyAlignment="0" applyProtection="0"/>
    <xf numFmtId="230" fontId="40" fillId="0" borderId="0" applyFill="0" applyBorder="0" applyAlignment="0" applyProtection="0"/>
    <xf numFmtId="230" fontId="40" fillId="0" borderId="0" applyFill="0" applyBorder="0" applyAlignment="0" applyProtection="0"/>
    <xf numFmtId="239" fontId="40" fillId="0" borderId="0" applyFill="0" applyBorder="0" applyAlignment="0"/>
    <xf numFmtId="239" fontId="40" fillId="0" borderId="0" applyFill="0" applyBorder="0" applyAlignment="0"/>
    <xf numFmtId="239" fontId="40" fillId="0" borderId="0" applyFill="0" applyBorder="0" applyAlignment="0"/>
    <xf numFmtId="10" fontId="40" fillId="0" borderId="0" applyFill="0" applyBorder="0" applyAlignment="0" applyProtection="0"/>
    <xf numFmtId="10" fontId="40" fillId="0" borderId="0" applyFill="0" applyBorder="0" applyAlignment="0" applyProtection="0"/>
    <xf numFmtId="10" fontId="40" fillId="0" borderId="0" applyFill="0" applyBorder="0" applyAlignment="0" applyProtection="0"/>
    <xf numFmtId="9" fontId="27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1" fillId="0" borderId="0" applyFont="0" applyFill="0" applyBorder="0" applyAlignment="0" applyProtection="0"/>
    <xf numFmtId="219" fontId="40" fillId="0" borderId="0" applyFill="0" applyBorder="0" applyAlignment="0" applyProtection="0"/>
    <xf numFmtId="219" fontId="40" fillId="0" borderId="0" applyFill="0" applyBorder="0" applyAlignment="0" applyProtection="0"/>
    <xf numFmtId="219" fontId="40" fillId="0" borderId="0" applyFill="0" applyBorder="0" applyAlignment="0" applyProtection="0"/>
    <xf numFmtId="223" fontId="203" fillId="76" borderId="88" applyNumberFormat="0" applyAlignment="0" applyProtection="0"/>
    <xf numFmtId="223" fontId="203" fillId="76" borderId="88" applyNumberFormat="0" applyAlignment="0" applyProtection="0"/>
    <xf numFmtId="223" fontId="203" fillId="76" borderId="88" applyNumberFormat="0" applyAlignment="0" applyProtection="0"/>
    <xf numFmtId="231" fontId="40" fillId="0" borderId="0" applyFill="0" applyBorder="0" applyAlignment="0"/>
    <xf numFmtId="231" fontId="40" fillId="0" borderId="0" applyFill="0" applyBorder="0" applyAlignment="0"/>
    <xf numFmtId="231" fontId="40" fillId="0" borderId="0" applyFill="0" applyBorder="0" applyAlignment="0"/>
    <xf numFmtId="227" fontId="40" fillId="0" borderId="0" applyFill="0" applyBorder="0" applyAlignment="0"/>
    <xf numFmtId="227" fontId="40" fillId="0" borderId="0" applyFill="0" applyBorder="0" applyAlignment="0"/>
    <xf numFmtId="168" fontId="40" fillId="0" borderId="0" applyFill="0" applyBorder="0" applyAlignment="0"/>
    <xf numFmtId="231" fontId="40" fillId="0" borderId="0" applyFill="0" applyBorder="0" applyAlignment="0"/>
    <xf numFmtId="231" fontId="40" fillId="0" borderId="0" applyFill="0" applyBorder="0" applyAlignment="0"/>
    <xf numFmtId="231" fontId="40" fillId="0" borderId="0" applyFill="0" applyBorder="0" applyAlignment="0"/>
    <xf numFmtId="232" fontId="40" fillId="0" borderId="0" applyFill="0" applyBorder="0" applyAlignment="0"/>
    <xf numFmtId="232" fontId="40" fillId="0" borderId="0" applyFill="0" applyBorder="0" applyAlignment="0"/>
    <xf numFmtId="232" fontId="40" fillId="0" borderId="0" applyFill="0" applyBorder="0" applyAlignment="0"/>
    <xf numFmtId="227" fontId="40" fillId="0" borderId="0" applyFill="0" applyBorder="0" applyAlignment="0"/>
    <xf numFmtId="227" fontId="40" fillId="0" borderId="0" applyFill="0" applyBorder="0" applyAlignment="0"/>
    <xf numFmtId="168" fontId="40" fillId="0" borderId="0" applyFill="0" applyBorder="0" applyAlignment="0"/>
    <xf numFmtId="223" fontId="40" fillId="0" borderId="0" applyNumberFormat="0" applyFill="0" applyBorder="0" applyAlignment="0" applyProtection="0"/>
    <xf numFmtId="223" fontId="40" fillId="0" borderId="0" applyNumberFormat="0" applyFill="0" applyBorder="0" applyAlignment="0" applyProtection="0"/>
    <xf numFmtId="212" fontId="40" fillId="0" borderId="0" applyNumberFormat="0" applyFill="0" applyBorder="0" applyAlignment="0" applyProtection="0">
      <alignment horizontal="left"/>
    </xf>
    <xf numFmtId="223" fontId="204" fillId="0" borderId="96" applyNumberFormat="0" applyFill="0" applyAlignment="0" applyProtection="0"/>
    <xf numFmtId="223" fontId="204" fillId="0" borderId="96" applyNumberFormat="0" applyFill="0" applyAlignment="0" applyProtection="0"/>
    <xf numFmtId="223" fontId="40" fillId="19" borderId="0" applyNumberFormat="0" applyBorder="0" applyAlignment="0">
      <protection hidden="1"/>
    </xf>
    <xf numFmtId="223" fontId="40" fillId="19" borderId="0" applyNumberFormat="0" applyBorder="0" applyAlignment="0">
      <protection hidden="1"/>
    </xf>
    <xf numFmtId="223" fontId="40" fillId="19" borderId="0" applyNumberFormat="0" applyBorder="0" applyAlignment="0">
      <protection hidden="1"/>
    </xf>
    <xf numFmtId="223" fontId="205" fillId="0" borderId="0">
      <alignment vertical="top"/>
    </xf>
    <xf numFmtId="223" fontId="206" fillId="0" borderId="90" applyNumberFormat="0" applyFill="0" applyAlignment="0" applyProtection="0"/>
    <xf numFmtId="223" fontId="207" fillId="0" borderId="92" applyNumberFormat="0" applyFill="0" applyAlignment="0" applyProtection="0"/>
    <xf numFmtId="223" fontId="208" fillId="0" borderId="93" applyNumberFormat="0" applyFill="0" applyAlignment="0" applyProtection="0"/>
    <xf numFmtId="223" fontId="208" fillId="0" borderId="93" applyNumberFormat="0" applyFill="0" applyAlignment="0" applyProtection="0"/>
    <xf numFmtId="223" fontId="208" fillId="0" borderId="93" applyNumberFormat="0" applyFill="0" applyAlignment="0" applyProtection="0"/>
    <xf numFmtId="223" fontId="208" fillId="0" borderId="93" applyNumberFormat="0" applyFill="0" applyAlignment="0" applyProtection="0"/>
    <xf numFmtId="223" fontId="208" fillId="0" borderId="93" applyNumberFormat="0" applyFill="0" applyAlignment="0" applyProtection="0"/>
    <xf numFmtId="223" fontId="208" fillId="0" borderId="0" applyNumberFormat="0" applyFill="0" applyBorder="0" applyAlignment="0" applyProtection="0"/>
    <xf numFmtId="223" fontId="209" fillId="0" borderId="0" applyNumberFormat="0" applyFill="0" applyBorder="0" applyAlignment="0" applyProtection="0"/>
    <xf numFmtId="223" fontId="210" fillId="0" borderId="0" applyNumberFormat="0" applyFill="0" applyBorder="0" applyAlignment="0" applyProtection="0"/>
    <xf numFmtId="223" fontId="40" fillId="30" borderId="0" applyNumberFormat="0" applyBorder="0" applyAlignment="0" applyProtection="0"/>
    <xf numFmtId="223" fontId="40" fillId="30" borderId="0" applyNumberFormat="0" applyBorder="0" applyAlignment="0" applyProtection="0"/>
    <xf numFmtId="223" fontId="40" fillId="30" borderId="0" applyNumberFormat="0" applyBorder="0" applyAlignment="0" applyProtection="0"/>
    <xf numFmtId="247" fontId="40" fillId="0" borderId="0" applyFill="0" applyBorder="0" applyAlignment="0"/>
    <xf numFmtId="247" fontId="40" fillId="0" borderId="0" applyFill="0" applyBorder="0" applyAlignment="0"/>
    <xf numFmtId="247" fontId="40" fillId="0" borderId="0" applyFill="0" applyBorder="0" applyAlignment="0"/>
    <xf numFmtId="248" fontId="40" fillId="0" borderId="0" applyFill="0" applyBorder="0" applyAlignment="0"/>
    <xf numFmtId="248" fontId="40" fillId="0" borderId="0" applyFill="0" applyBorder="0" applyAlignment="0"/>
    <xf numFmtId="248" fontId="40" fillId="0" borderId="0" applyFill="0" applyBorder="0" applyAlignment="0"/>
    <xf numFmtId="222" fontId="40" fillId="0" borderId="0" applyFill="0" applyBorder="0" applyAlignment="0" applyProtection="0"/>
    <xf numFmtId="222" fontId="40" fillId="0" borderId="0" applyFill="0" applyBorder="0" applyAlignment="0" applyProtection="0"/>
    <xf numFmtId="222" fontId="40" fillId="0" borderId="0" applyFill="0" applyBorder="0" applyAlignment="0" applyProtection="0">
      <alignment horizontal="right"/>
    </xf>
    <xf numFmtId="223" fontId="40" fillId="0" borderId="0" applyNumberFormat="0" applyFill="0" applyBorder="0" applyAlignment="0" applyProtection="0"/>
    <xf numFmtId="223" fontId="40" fillId="0" borderId="0" applyNumberFormat="0" applyFill="0" applyBorder="0" applyAlignment="0" applyProtection="0"/>
    <xf numFmtId="212" fontId="40" fillId="0" borderId="0" applyNumberFormat="0" applyFill="0" applyBorder="0" applyAlignment="0" applyProtection="0"/>
    <xf numFmtId="0" fontId="40" fillId="0" borderId="0"/>
  </cellStyleXfs>
  <cellXfs count="1493">
    <xf numFmtId="0" fontId="0" fillId="0" borderId="0" xfId="0"/>
    <xf numFmtId="0" fontId="2" fillId="0" borderId="0" xfId="0" applyFont="1"/>
    <xf numFmtId="0" fontId="2" fillId="0" borderId="2" xfId="0" applyFont="1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3" fontId="0" fillId="2" borderId="2" xfId="0" applyNumberFormat="1" applyFill="1" applyBorder="1"/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0" borderId="0" xfId="0" applyFont="1"/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0" fontId="5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3" fontId="4" fillId="2" borderId="2" xfId="0" applyNumberFormat="1" applyFont="1" applyFill="1" applyBorder="1"/>
    <xf numFmtId="0" fontId="4" fillId="0" borderId="0" xfId="0" applyFont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/>
    <xf numFmtId="0" fontId="0" fillId="2" borderId="2" xfId="0" applyFill="1" applyBorder="1"/>
    <xf numFmtId="0" fontId="0" fillId="2" borderId="2" xfId="0" applyFill="1" applyBorder="1" applyAlignment="1">
      <alignment horizontal="center"/>
    </xf>
    <xf numFmtId="0" fontId="0" fillId="3" borderId="0" xfId="0" applyFill="1"/>
    <xf numFmtId="0" fontId="4" fillId="3" borderId="0" xfId="0" applyFont="1" applyFill="1"/>
    <xf numFmtId="0" fontId="9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0" fillId="2" borderId="0" xfId="0" applyFill="1"/>
    <xf numFmtId="0" fontId="7" fillId="2" borderId="2" xfId="0" applyFont="1" applyFill="1" applyBorder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3" fontId="0" fillId="2" borderId="0" xfId="0" applyNumberForma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3" fontId="2" fillId="2" borderId="2" xfId="0" applyNumberFormat="1" applyFont="1" applyFill="1" applyBorder="1" applyAlignment="1">
      <alignment horizontal="center"/>
    </xf>
    <xf numFmtId="3" fontId="0" fillId="2" borderId="2" xfId="0" applyNumberFormat="1" applyFill="1" applyBorder="1" applyAlignment="1">
      <alignment horizontal="center"/>
    </xf>
    <xf numFmtId="3" fontId="3" fillId="2" borderId="2" xfId="0" applyNumberFormat="1" applyFont="1" applyFill="1" applyBorder="1" applyAlignment="1">
      <alignment horizontal="center"/>
    </xf>
    <xf numFmtId="3" fontId="4" fillId="2" borderId="2" xfId="0" applyNumberFormat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3" fontId="0" fillId="2" borderId="0" xfId="0" applyNumberFormat="1" applyFill="1" applyAlignment="1">
      <alignment horizontal="center"/>
    </xf>
    <xf numFmtId="3" fontId="14" fillId="2" borderId="2" xfId="0" applyNumberFormat="1" applyFont="1" applyFill="1" applyBorder="1"/>
    <xf numFmtId="0" fontId="15" fillId="2" borderId="2" xfId="0" applyFont="1" applyFill="1" applyBorder="1"/>
    <xf numFmtId="0" fontId="14" fillId="2" borderId="2" xfId="0" applyFont="1" applyFill="1" applyBorder="1" applyAlignment="1">
      <alignment horizontal="center"/>
    </xf>
    <xf numFmtId="0" fontId="15" fillId="3" borderId="0" xfId="0" applyFont="1" applyFill="1"/>
    <xf numFmtId="3" fontId="14" fillId="4" borderId="2" xfId="0" applyNumberFormat="1" applyFont="1" applyFill="1" applyBorder="1"/>
    <xf numFmtId="0" fontId="2" fillId="0" borderId="3" xfId="0" applyFont="1" applyBorder="1"/>
    <xf numFmtId="0" fontId="3" fillId="2" borderId="2" xfId="0" applyFont="1" applyFill="1" applyBorder="1" applyAlignment="1">
      <alignment horizontal="right" vertical="center"/>
    </xf>
    <xf numFmtId="3" fontId="2" fillId="0" borderId="2" xfId="0" applyNumberFormat="1" applyFont="1" applyBorder="1"/>
    <xf numFmtId="0" fontId="2" fillId="2" borderId="0" xfId="0" applyFont="1" applyFill="1"/>
    <xf numFmtId="41" fontId="0" fillId="2" borderId="0" xfId="0" applyNumberFormat="1" applyFill="1"/>
    <xf numFmtId="3" fontId="0" fillId="0" borderId="0" xfId="0" applyNumberFormat="1"/>
    <xf numFmtId="3" fontId="0" fillId="0" borderId="2" xfId="0" applyNumberFormat="1" applyBorder="1"/>
    <xf numFmtId="3" fontId="3" fillId="0" borderId="2" xfId="0" applyNumberFormat="1" applyFont="1" applyBorder="1"/>
    <xf numFmtId="3" fontId="4" fillId="0" borderId="2" xfId="0" applyNumberFormat="1" applyFont="1" applyBorder="1"/>
    <xf numFmtId="0" fontId="9" fillId="2" borderId="3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2" fillId="2" borderId="4" xfId="0" applyFont="1" applyFill="1" applyBorder="1"/>
    <xf numFmtId="3" fontId="2" fillId="2" borderId="4" xfId="0" applyNumberFormat="1" applyFont="1" applyFill="1" applyBorder="1"/>
    <xf numFmtId="0" fontId="2" fillId="2" borderId="10" xfId="0" applyFont="1" applyFill="1" applyBorder="1" applyAlignment="1">
      <alignment horizontal="center"/>
    </xf>
    <xf numFmtId="0" fontId="2" fillId="2" borderId="10" xfId="0" applyFont="1" applyFill="1" applyBorder="1"/>
    <xf numFmtId="0" fontId="9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3" xfId="0" applyFont="1" applyBorder="1" applyAlignment="1">
      <alignment horizontal="center"/>
    </xf>
    <xf numFmtId="0" fontId="12" fillId="2" borderId="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2" fillId="0" borderId="5" xfId="0" applyFont="1" applyBorder="1"/>
    <xf numFmtId="3" fontId="2" fillId="2" borderId="10" xfId="0" applyNumberFormat="1" applyFont="1" applyFill="1" applyBorder="1"/>
    <xf numFmtId="3" fontId="4" fillId="0" borderId="3" xfId="0" applyNumberFormat="1" applyFont="1" applyBorder="1"/>
    <xf numFmtId="0" fontId="4" fillId="2" borderId="3" xfId="0" applyFont="1" applyFill="1" applyBorder="1"/>
    <xf numFmtId="0" fontId="4" fillId="2" borderId="3" xfId="0" applyFont="1" applyFill="1" applyBorder="1" applyAlignment="1">
      <alignment horizontal="center"/>
    </xf>
    <xf numFmtId="0" fontId="4" fillId="2" borderId="10" xfId="0" applyFont="1" applyFill="1" applyBorder="1"/>
    <xf numFmtId="0" fontId="9" fillId="2" borderId="10" xfId="0" applyFont="1" applyFill="1" applyBorder="1" applyAlignment="1">
      <alignment horizontal="center"/>
    </xf>
    <xf numFmtId="3" fontId="10" fillId="2" borderId="10" xfId="0" applyNumberFormat="1" applyFon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3" fontId="2" fillId="5" borderId="10" xfId="0" applyNumberFormat="1" applyFont="1" applyFill="1" applyBorder="1" applyAlignment="1">
      <alignment horizontal="center"/>
    </xf>
    <xf numFmtId="3" fontId="2" fillId="2" borderId="4" xfId="0" applyNumberFormat="1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center"/>
    </xf>
    <xf numFmtId="3" fontId="15" fillId="2" borderId="2" xfId="0" applyNumberFormat="1" applyFont="1" applyFill="1" applyBorder="1"/>
    <xf numFmtId="0" fontId="15" fillId="2" borderId="2" xfId="0" applyFont="1" applyFill="1" applyBorder="1" applyAlignment="1">
      <alignment horizontal="center" vertical="center"/>
    </xf>
    <xf numFmtId="3" fontId="3" fillId="2" borderId="2" xfId="1" applyNumberFormat="1" applyFont="1" applyFill="1" applyBorder="1"/>
    <xf numFmtId="0" fontId="0" fillId="4" borderId="2" xfId="0" applyFill="1" applyBorder="1"/>
    <xf numFmtId="16" fontId="2" fillId="2" borderId="4" xfId="0" quotePrefix="1" applyNumberFormat="1" applyFont="1" applyFill="1" applyBorder="1" applyAlignment="1">
      <alignment horizontal="center" vertical="center"/>
    </xf>
    <xf numFmtId="0" fontId="2" fillId="2" borderId="4" xfId="0" quotePrefix="1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3" fontId="0" fillId="2" borderId="2" xfId="0" applyNumberFormat="1" applyFill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0" fillId="6" borderId="2" xfId="0" applyFill="1" applyBorder="1"/>
    <xf numFmtId="0" fontId="0" fillId="6" borderId="2" xfId="0" applyFill="1" applyBorder="1" applyAlignment="1">
      <alignment horizontal="center" vertical="center"/>
    </xf>
    <xf numFmtId="0" fontId="2" fillId="7" borderId="2" xfId="0" applyFont="1" applyFill="1" applyBorder="1"/>
    <xf numFmtId="0" fontId="2" fillId="7" borderId="2" xfId="0" applyFont="1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9" fillId="4" borderId="4" xfId="0" quotePrefix="1" applyFont="1" applyFill="1" applyBorder="1" applyAlignment="1">
      <alignment horizontal="center" vertical="center"/>
    </xf>
    <xf numFmtId="0" fontId="0" fillId="4" borderId="0" xfId="0" applyFill="1"/>
    <xf numFmtId="0" fontId="2" fillId="4" borderId="4" xfId="0" quotePrefix="1" applyFont="1" applyFill="1" applyBorder="1" applyAlignment="1">
      <alignment horizontal="center" vertical="center"/>
    </xf>
    <xf numFmtId="3" fontId="10" fillId="4" borderId="10" xfId="0" applyNumberFormat="1" applyFont="1" applyFill="1" applyBorder="1"/>
    <xf numFmtId="3" fontId="0" fillId="2" borderId="0" xfId="0" applyNumberFormat="1" applyFill="1"/>
    <xf numFmtId="0" fontId="10" fillId="0" borderId="0" xfId="0" applyFont="1"/>
    <xf numFmtId="0" fontId="0" fillId="5" borderId="2" xfId="0" applyFill="1" applyBorder="1"/>
    <xf numFmtId="0" fontId="20" fillId="2" borderId="2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/>
    </xf>
    <xf numFmtId="0" fontId="19" fillId="8" borderId="2" xfId="0" applyFont="1" applyFill="1" applyBorder="1" applyAlignment="1">
      <alignment horizontal="center" vertical="center"/>
    </xf>
    <xf numFmtId="0" fontId="4" fillId="2" borderId="5" xfId="0" applyFont="1" applyFill="1" applyBorder="1"/>
    <xf numFmtId="0" fontId="4" fillId="2" borderId="5" xfId="0" applyFont="1" applyFill="1" applyBorder="1" applyAlignment="1">
      <alignment horizontal="center"/>
    </xf>
    <xf numFmtId="3" fontId="4" fillId="2" borderId="5" xfId="0" applyNumberFormat="1" applyFont="1" applyFill="1" applyBorder="1" applyAlignment="1">
      <alignment horizontal="center"/>
    </xf>
    <xf numFmtId="3" fontId="4" fillId="0" borderId="5" xfId="0" applyNumberFormat="1" applyFont="1" applyBorder="1"/>
    <xf numFmtId="3" fontId="9" fillId="2" borderId="2" xfId="0" applyNumberFormat="1" applyFont="1" applyFill="1" applyBorder="1" applyAlignment="1">
      <alignment horizontal="right"/>
    </xf>
    <xf numFmtId="3" fontId="10" fillId="0" borderId="2" xfId="0" applyNumberFormat="1" applyFont="1" applyBorder="1"/>
    <xf numFmtId="0" fontId="10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0" fillId="2" borderId="2" xfId="0" applyFont="1" applyFill="1" applyBorder="1" applyAlignment="1">
      <alignment horizontal="center"/>
    </xf>
    <xf numFmtId="3" fontId="4" fillId="2" borderId="8" xfId="0" applyNumberFormat="1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4" fillId="2" borderId="10" xfId="0" applyFont="1" applyFill="1" applyBorder="1"/>
    <xf numFmtId="3" fontId="10" fillId="2" borderId="2" xfId="0" applyNumberFormat="1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3" fontId="2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3" fontId="0" fillId="2" borderId="0" xfId="0" applyNumberFormat="1" applyFill="1" applyBorder="1" applyAlignment="1">
      <alignment horizontal="center" vertical="center"/>
    </xf>
    <xf numFmtId="3" fontId="0" fillId="2" borderId="15" xfId="0" applyNumberFormat="1" applyFill="1" applyBorder="1" applyAlignment="1">
      <alignment horizontal="center" vertical="center"/>
    </xf>
    <xf numFmtId="0" fontId="10" fillId="2" borderId="0" xfId="0" applyFont="1" applyFill="1"/>
    <xf numFmtId="0" fontId="18" fillId="2" borderId="3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vertical="center"/>
    </xf>
    <xf numFmtId="3" fontId="3" fillId="2" borderId="4" xfId="0" applyNumberFormat="1" applyFont="1" applyFill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3" fontId="0" fillId="2" borderId="10" xfId="0" applyNumberFormat="1" applyFill="1" applyBorder="1" applyAlignment="1">
      <alignment horizont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/>
    <xf numFmtId="3" fontId="2" fillId="0" borderId="10" xfId="0" applyNumberFormat="1" applyFont="1" applyBorder="1" applyAlignment="1">
      <alignment horizontal="center" vertical="center"/>
    </xf>
    <xf numFmtId="0" fontId="10" fillId="0" borderId="2" xfId="0" applyFont="1" applyBorder="1"/>
    <xf numFmtId="0" fontId="10" fillId="0" borderId="2" xfId="0" applyFont="1" applyBorder="1" applyAlignment="1">
      <alignment horizontal="center"/>
    </xf>
    <xf numFmtId="0" fontId="22" fillId="2" borderId="4" xfId="0" quotePrefix="1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1" fontId="18" fillId="2" borderId="3" xfId="0" applyNumberFormat="1" applyFont="1" applyFill="1" applyBorder="1" applyAlignment="1">
      <alignment horizontal="center" vertical="center"/>
    </xf>
    <xf numFmtId="1" fontId="18" fillId="2" borderId="2" xfId="0" applyNumberFormat="1" applyFont="1" applyFill="1" applyBorder="1" applyAlignment="1">
      <alignment horizontal="center" vertical="center"/>
    </xf>
    <xf numFmtId="2" fontId="14" fillId="0" borderId="4" xfId="0" applyNumberFormat="1" applyFont="1" applyBorder="1"/>
    <xf numFmtId="0" fontId="14" fillId="0" borderId="2" xfId="0" applyFont="1" applyBorder="1"/>
    <xf numFmtId="4" fontId="2" fillId="0" borderId="4" xfId="0" applyNumberFormat="1" applyFont="1" applyBorder="1" applyAlignment="1">
      <alignment horizontal="center" vertical="center"/>
    </xf>
    <xf numFmtId="4" fontId="6" fillId="0" borderId="3" xfId="0" applyNumberFormat="1" applyFont="1" applyBorder="1" applyAlignment="1">
      <alignment horizontal="center" vertical="center"/>
    </xf>
    <xf numFmtId="4" fontId="6" fillId="0" borderId="5" xfId="0" applyNumberFormat="1" applyFont="1" applyBorder="1" applyAlignment="1">
      <alignment horizontal="center" vertical="center"/>
    </xf>
    <xf numFmtId="1" fontId="18" fillId="2" borderId="5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16" fontId="22" fillId="2" borderId="4" xfId="0" quotePrefix="1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4" fillId="0" borderId="4" xfId="0" applyFont="1" applyBorder="1" applyAlignment="1">
      <alignment vertical="center"/>
    </xf>
    <xf numFmtId="0" fontId="24" fillId="0" borderId="2" xfId="0" applyFont="1" applyBorder="1" applyAlignment="1">
      <alignment vertical="center"/>
    </xf>
    <xf numFmtId="0" fontId="3" fillId="2" borderId="5" xfId="0" applyFont="1" applyFill="1" applyBorder="1" applyAlignment="1">
      <alignment horizontal="right" vertical="center"/>
    </xf>
    <xf numFmtId="3" fontId="20" fillId="2" borderId="2" xfId="0" applyNumberFormat="1" applyFont="1" applyFill="1" applyBorder="1" applyAlignment="1">
      <alignment horizontal="center" vertical="center"/>
    </xf>
    <xf numFmtId="164" fontId="20" fillId="2" borderId="2" xfId="2" applyNumberFormat="1" applyFont="1" applyFill="1" applyBorder="1" applyAlignment="1">
      <alignment horizontal="center" vertical="center"/>
    </xf>
    <xf numFmtId="0" fontId="20" fillId="2" borderId="2" xfId="2" applyNumberFormat="1" applyFont="1" applyFill="1" applyBorder="1" applyAlignment="1">
      <alignment horizontal="center" vertical="center"/>
    </xf>
    <xf numFmtId="0" fontId="20" fillId="2" borderId="2" xfId="0" applyNumberFormat="1" applyFont="1" applyFill="1" applyBorder="1" applyAlignment="1">
      <alignment horizontal="center" vertical="center"/>
    </xf>
    <xf numFmtId="0" fontId="20" fillId="2" borderId="2" xfId="2" applyNumberFormat="1" applyFont="1" applyFill="1" applyBorder="1" applyAlignment="1">
      <alignment horizontal="center" vertical="center" wrapText="1"/>
    </xf>
    <xf numFmtId="0" fontId="23" fillId="2" borderId="5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0" fillId="2" borderId="0" xfId="0" applyFill="1" applyBorder="1"/>
    <xf numFmtId="0" fontId="4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16" fontId="2" fillId="4" borderId="4" xfId="0" quotePrefix="1" applyNumberFormat="1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0" xfId="0" applyFont="1" applyFill="1"/>
    <xf numFmtId="0" fontId="2" fillId="0" borderId="2" xfId="0" applyFon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2" fontId="2" fillId="0" borderId="11" xfId="0" applyNumberFormat="1" applyFont="1" applyBorder="1" applyAlignment="1">
      <alignment horizontal="center" vertical="center" wrapText="1"/>
    </xf>
    <xf numFmtId="0" fontId="26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0" fillId="0" borderId="2" xfId="0" applyNumberForma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4" fillId="2" borderId="0" xfId="0" applyFont="1" applyFill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/>
    </xf>
    <xf numFmtId="0" fontId="26" fillId="0" borderId="0" xfId="0" applyFont="1" applyAlignment="1">
      <alignment horizontal="center"/>
    </xf>
    <xf numFmtId="3" fontId="9" fillId="4" borderId="2" xfId="0" applyNumberFormat="1" applyFont="1" applyFill="1" applyBorder="1" applyAlignment="1">
      <alignment horizontal="right"/>
    </xf>
    <xf numFmtId="0" fontId="2" fillId="2" borderId="3" xfId="0" applyFont="1" applyFill="1" applyBorder="1"/>
    <xf numFmtId="0" fontId="2" fillId="0" borderId="11" xfId="0" applyFont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3" fontId="0" fillId="2" borderId="0" xfId="0" applyNumberFormat="1" applyFill="1" applyBorder="1"/>
    <xf numFmtId="0" fontId="0" fillId="0" borderId="2" xfId="0" applyBorder="1" applyAlignment="1">
      <alignment horizontal="center" vertical="center"/>
    </xf>
    <xf numFmtId="0" fontId="2" fillId="9" borderId="2" xfId="0" applyFon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3" fontId="10" fillId="2" borderId="15" xfId="0" applyNumberFormat="1" applyFont="1" applyFill="1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3" fontId="29" fillId="2" borderId="0" xfId="0" applyNumberFormat="1" applyFont="1" applyFill="1" applyAlignment="1">
      <alignment horizontal="left" vertical="center"/>
    </xf>
    <xf numFmtId="3" fontId="30" fillId="0" borderId="0" xfId="0" applyNumberFormat="1" applyFont="1" applyAlignment="1">
      <alignment horizontal="center" vertical="center"/>
    </xf>
    <xf numFmtId="165" fontId="29" fillId="0" borderId="0" xfId="0" applyNumberFormat="1" applyFont="1" applyAlignment="1">
      <alignment horizontal="center" vertical="center"/>
    </xf>
    <xf numFmtId="4" fontId="29" fillId="0" borderId="0" xfId="0" applyNumberFormat="1" applyFont="1" applyAlignment="1">
      <alignment horizontal="center" vertical="center"/>
    </xf>
    <xf numFmtId="3" fontId="31" fillId="0" borderId="0" xfId="0" applyNumberFormat="1" applyFont="1" applyFill="1" applyAlignment="1">
      <alignment horizontal="center" vertical="center"/>
    </xf>
    <xf numFmtId="3" fontId="32" fillId="0" borderId="0" xfId="0" applyNumberFormat="1" applyFont="1" applyAlignment="1">
      <alignment horizontal="center" vertical="center"/>
    </xf>
    <xf numFmtId="3" fontId="29" fillId="0" borderId="23" xfId="0" applyNumberFormat="1" applyFont="1" applyBorder="1" applyAlignment="1">
      <alignment horizontal="center" vertical="center"/>
    </xf>
    <xf numFmtId="3" fontId="29" fillId="2" borderId="24" xfId="0" applyNumberFormat="1" applyFont="1" applyFill="1" applyBorder="1" applyAlignment="1">
      <alignment horizontal="center" vertical="center"/>
    </xf>
    <xf numFmtId="3" fontId="30" fillId="0" borderId="24" xfId="0" applyNumberFormat="1" applyFont="1" applyBorder="1" applyAlignment="1">
      <alignment horizontal="center" vertical="center"/>
    </xf>
    <xf numFmtId="3" fontId="29" fillId="0" borderId="26" xfId="0" applyNumberFormat="1" applyFont="1" applyBorder="1" applyAlignment="1">
      <alignment vertical="center"/>
    </xf>
    <xf numFmtId="3" fontId="32" fillId="0" borderId="28" xfId="0" applyNumberFormat="1" applyFont="1" applyBorder="1" applyAlignment="1">
      <alignment horizontal="center" vertical="center"/>
    </xf>
    <xf numFmtId="3" fontId="29" fillId="0" borderId="29" xfId="0" applyNumberFormat="1" applyFont="1" applyBorder="1" applyAlignment="1">
      <alignment horizontal="center" vertical="center"/>
    </xf>
    <xf numFmtId="3" fontId="29" fillId="0" borderId="30" xfId="0" applyNumberFormat="1" applyFont="1" applyBorder="1" applyAlignment="1">
      <alignment horizontal="center" vertical="center"/>
    </xf>
    <xf numFmtId="3" fontId="29" fillId="2" borderId="30" xfId="0" applyNumberFormat="1" applyFont="1" applyFill="1" applyBorder="1" applyAlignment="1">
      <alignment horizontal="center" vertical="center"/>
    </xf>
    <xf numFmtId="3" fontId="30" fillId="0" borderId="30" xfId="0" applyNumberFormat="1" applyFont="1" applyBorder="1" applyAlignment="1">
      <alignment horizontal="center" vertical="center"/>
    </xf>
    <xf numFmtId="3" fontId="32" fillId="0" borderId="32" xfId="0" applyNumberFormat="1" applyFont="1" applyBorder="1" applyAlignment="1">
      <alignment horizontal="center" vertical="center"/>
    </xf>
    <xf numFmtId="3" fontId="29" fillId="0" borderId="5" xfId="0" applyNumberFormat="1" applyFont="1" applyFill="1" applyBorder="1" applyAlignment="1">
      <alignment horizontal="center" vertical="center"/>
    </xf>
    <xf numFmtId="3" fontId="30" fillId="0" borderId="30" xfId="0" quotePrefix="1" applyNumberFormat="1" applyFont="1" applyBorder="1" applyAlignment="1">
      <alignment horizontal="center" vertical="center"/>
    </xf>
    <xf numFmtId="3" fontId="29" fillId="0" borderId="34" xfId="0" applyNumberFormat="1" applyFont="1" applyBorder="1" applyAlignment="1">
      <alignment horizontal="center" vertical="center"/>
    </xf>
    <xf numFmtId="3" fontId="29" fillId="0" borderId="35" xfId="0" applyNumberFormat="1" applyFont="1" applyBorder="1" applyAlignment="1">
      <alignment horizontal="center" vertical="center"/>
    </xf>
    <xf numFmtId="3" fontId="29" fillId="2" borderId="35" xfId="0" applyNumberFormat="1" applyFont="1" applyFill="1" applyBorder="1" applyAlignment="1">
      <alignment horizontal="left" vertical="center"/>
    </xf>
    <xf numFmtId="3" fontId="29" fillId="0" borderId="9" xfId="0" applyNumberFormat="1" applyFont="1" applyBorder="1" applyAlignment="1">
      <alignment horizontal="center" vertical="center"/>
    </xf>
    <xf numFmtId="3" fontId="29" fillId="0" borderId="9" xfId="0" applyNumberFormat="1" applyFont="1" applyFill="1" applyBorder="1" applyAlignment="1">
      <alignment horizontal="center" vertical="center"/>
    </xf>
    <xf numFmtId="0" fontId="30" fillId="0" borderId="9" xfId="0" applyFont="1" applyBorder="1" applyAlignment="1">
      <alignment horizontal="center" vertical="center"/>
    </xf>
    <xf numFmtId="0" fontId="30" fillId="0" borderId="35" xfId="0" applyFont="1" applyBorder="1" applyAlignment="1">
      <alignment horizontal="center" vertical="center"/>
    </xf>
    <xf numFmtId="3" fontId="31" fillId="0" borderId="37" xfId="0" applyNumberFormat="1" applyFont="1" applyBorder="1" applyAlignment="1">
      <alignment horizontal="center" vertical="center"/>
    </xf>
    <xf numFmtId="0" fontId="20" fillId="2" borderId="3" xfId="0" applyFont="1" applyFill="1" applyBorder="1" applyAlignment="1">
      <alignment horizontal="left" vertical="center"/>
    </xf>
    <xf numFmtId="3" fontId="20" fillId="0" borderId="26" xfId="0" applyNumberFormat="1" applyFont="1" applyBorder="1" applyAlignment="1">
      <alignment horizontal="center" vertical="center"/>
    </xf>
    <xf numFmtId="0" fontId="20" fillId="0" borderId="3" xfId="2" applyNumberFormat="1" applyFont="1" applyFill="1" applyBorder="1" applyAlignment="1">
      <alignment horizontal="center" vertical="center"/>
    </xf>
    <xf numFmtId="3" fontId="20" fillId="0" borderId="5" xfId="0" applyNumberFormat="1" applyFont="1" applyBorder="1" applyAlignment="1">
      <alignment horizontal="center" vertical="center"/>
    </xf>
    <xf numFmtId="3" fontId="20" fillId="2" borderId="3" xfId="0" applyNumberFormat="1" applyFont="1" applyFill="1" applyBorder="1" applyAlignment="1">
      <alignment horizontal="center" vertical="center"/>
    </xf>
    <xf numFmtId="3" fontId="31" fillId="0" borderId="3" xfId="0" applyNumberFormat="1" applyFont="1" applyBorder="1" applyAlignment="1">
      <alignment horizontal="center" vertical="center"/>
    </xf>
    <xf numFmtId="3" fontId="20" fillId="2" borderId="5" xfId="0" applyNumberFormat="1" applyFont="1" applyFill="1" applyBorder="1" applyAlignment="1">
      <alignment horizontal="center" vertical="center"/>
    </xf>
    <xf numFmtId="3" fontId="20" fillId="0" borderId="38" xfId="2" applyNumberFormat="1" applyFont="1" applyBorder="1" applyAlignment="1">
      <alignment horizontal="center" vertical="center" wrapText="1"/>
    </xf>
    <xf numFmtId="164" fontId="33" fillId="0" borderId="39" xfId="2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3" fontId="34" fillId="0" borderId="0" xfId="0" applyNumberFormat="1" applyFont="1" applyAlignment="1">
      <alignment horizontal="center" vertical="center"/>
    </xf>
    <xf numFmtId="3" fontId="20" fillId="0" borderId="18" xfId="0" applyNumberFormat="1" applyFont="1" applyBorder="1" applyAlignment="1">
      <alignment horizontal="center" vertical="center"/>
    </xf>
    <xf numFmtId="3" fontId="20" fillId="2" borderId="2" xfId="0" applyNumberFormat="1" applyFont="1" applyFill="1" applyBorder="1" applyAlignment="1">
      <alignment horizontal="left" vertical="center"/>
    </xf>
    <xf numFmtId="3" fontId="31" fillId="0" borderId="40" xfId="0" applyNumberFormat="1" applyFont="1" applyBorder="1" applyAlignment="1">
      <alignment horizontal="center" vertical="center"/>
    </xf>
    <xf numFmtId="3" fontId="31" fillId="0" borderId="41" xfId="0" applyNumberFormat="1" applyFont="1" applyBorder="1" applyAlignment="1">
      <alignment horizontal="center" vertical="center"/>
    </xf>
    <xf numFmtId="0" fontId="20" fillId="2" borderId="2" xfId="0" applyFont="1" applyFill="1" applyBorder="1" applyAlignment="1">
      <alignment horizontal="left" vertical="center"/>
    </xf>
    <xf numFmtId="0" fontId="20" fillId="0" borderId="18" xfId="0" applyFont="1" applyBorder="1" applyAlignment="1">
      <alignment horizontal="center" vertical="center"/>
    </xf>
    <xf numFmtId="164" fontId="20" fillId="2" borderId="2" xfId="2" applyNumberFormat="1" applyFont="1" applyFill="1" applyBorder="1" applyAlignment="1">
      <alignment horizontal="left" vertical="center"/>
    </xf>
    <xf numFmtId="164" fontId="33" fillId="0" borderId="41" xfId="2" applyNumberFormat="1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3" fontId="34" fillId="0" borderId="0" xfId="0" applyNumberFormat="1" applyFont="1" applyBorder="1" applyAlignment="1">
      <alignment horizontal="center" vertical="center"/>
    </xf>
    <xf numFmtId="0" fontId="20" fillId="0" borderId="18" xfId="0" applyNumberFormat="1" applyFont="1" applyBorder="1" applyAlignment="1">
      <alignment horizontal="center" vertical="center"/>
    </xf>
    <xf numFmtId="0" fontId="20" fillId="2" borderId="2" xfId="2" applyNumberFormat="1" applyFont="1" applyFill="1" applyBorder="1" applyAlignment="1">
      <alignment horizontal="left" vertical="center"/>
    </xf>
    <xf numFmtId="0" fontId="33" fillId="0" borderId="41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0" fillId="2" borderId="2" xfId="0" applyNumberFormat="1" applyFont="1" applyFill="1" applyBorder="1" applyAlignment="1">
      <alignment horizontal="left" vertical="center"/>
    </xf>
    <xf numFmtId="0" fontId="15" fillId="0" borderId="0" xfId="0" applyFont="1" applyAlignment="1">
      <alignment vertical="center"/>
    </xf>
    <xf numFmtId="0" fontId="20" fillId="2" borderId="2" xfId="2" applyNumberFormat="1" applyFont="1" applyFill="1" applyBorder="1" applyAlignment="1">
      <alignment horizontal="left" vertical="center" wrapText="1"/>
    </xf>
    <xf numFmtId="0" fontId="31" fillId="0" borderId="41" xfId="2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3" fontId="33" fillId="0" borderId="41" xfId="0" applyNumberFormat="1" applyFont="1" applyBorder="1" applyAlignment="1">
      <alignment horizontal="center" vertical="center"/>
    </xf>
    <xf numFmtId="0" fontId="33" fillId="0" borderId="41" xfId="0" applyFont="1" applyBorder="1" applyAlignment="1">
      <alignment horizontal="center" vertical="center"/>
    </xf>
    <xf numFmtId="3" fontId="31" fillId="0" borderId="2" xfId="0" applyNumberFormat="1" applyFont="1" applyBorder="1" applyAlignment="1">
      <alignment horizontal="center" vertical="center"/>
    </xf>
    <xf numFmtId="164" fontId="33" fillId="0" borderId="0" xfId="2" applyNumberFormat="1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2" borderId="5" xfId="0" applyFont="1" applyFill="1" applyBorder="1" applyAlignment="1">
      <alignment horizontal="left" vertical="center"/>
    </xf>
    <xf numFmtId="3" fontId="35" fillId="0" borderId="16" xfId="0" applyNumberFormat="1" applyFont="1" applyBorder="1" applyAlignment="1">
      <alignment horizontal="center" vertical="center"/>
    </xf>
    <xf numFmtId="3" fontId="35" fillId="0" borderId="8" xfId="0" applyNumberFormat="1" applyFont="1" applyBorder="1" applyAlignment="1">
      <alignment horizontal="center" vertical="center"/>
    </xf>
    <xf numFmtId="3" fontId="35" fillId="0" borderId="14" xfId="0" applyNumberFormat="1" applyFont="1" applyBorder="1" applyAlignment="1">
      <alignment horizontal="center" vertical="center"/>
    </xf>
    <xf numFmtId="3" fontId="35" fillId="0" borderId="36" xfId="0" applyNumberFormat="1" applyFont="1" applyBorder="1" applyAlignment="1">
      <alignment horizontal="center" vertical="center"/>
    </xf>
    <xf numFmtId="3" fontId="14" fillId="0" borderId="0" xfId="0" applyNumberFormat="1" applyFont="1" applyAlignment="1">
      <alignment horizontal="center" vertical="center"/>
    </xf>
    <xf numFmtId="3" fontId="35" fillId="0" borderId="0" xfId="0" applyNumberFormat="1" applyFont="1" applyBorder="1" applyAlignment="1">
      <alignment horizontal="center" vertical="center"/>
    </xf>
    <xf numFmtId="3" fontId="35" fillId="2" borderId="0" xfId="0" applyNumberFormat="1" applyFont="1" applyFill="1" applyBorder="1" applyAlignment="1">
      <alignment horizontal="center" vertical="center"/>
    </xf>
    <xf numFmtId="3" fontId="31" fillId="0" borderId="0" xfId="0" applyNumberFormat="1" applyFont="1" applyBorder="1" applyAlignment="1">
      <alignment horizontal="center" vertical="center"/>
    </xf>
    <xf numFmtId="3" fontId="31" fillId="2" borderId="0" xfId="0" applyNumberFormat="1" applyFont="1" applyFill="1" applyAlignment="1">
      <alignment horizontal="center" vertical="center"/>
    </xf>
    <xf numFmtId="3" fontId="32" fillId="0" borderId="0" xfId="0" applyNumberFormat="1" applyFont="1" applyBorder="1" applyAlignment="1">
      <alignment horizontal="center" vertical="center"/>
    </xf>
    <xf numFmtId="3" fontId="31" fillId="0" borderId="0" xfId="0" applyNumberFormat="1" applyFont="1" applyAlignment="1">
      <alignment vertical="center"/>
    </xf>
    <xf numFmtId="3" fontId="37" fillId="2" borderId="0" xfId="0" applyNumberFormat="1" applyFont="1" applyFill="1" applyAlignment="1">
      <alignment horizontal="left" vertical="center"/>
    </xf>
    <xf numFmtId="3" fontId="17" fillId="0" borderId="0" xfId="0" applyNumberFormat="1" applyFont="1" applyFill="1" applyAlignment="1">
      <alignment horizontal="center" vertical="center"/>
    </xf>
    <xf numFmtId="3" fontId="19" fillId="0" borderId="0" xfId="0" applyNumberFormat="1" applyFont="1" applyAlignment="1">
      <alignment horizontal="center" vertical="center"/>
    </xf>
    <xf numFmtId="3" fontId="38" fillId="2" borderId="0" xfId="0" applyNumberFormat="1" applyFont="1" applyFill="1" applyAlignment="1">
      <alignment horizontal="center" vertical="center"/>
    </xf>
    <xf numFmtId="3" fontId="39" fillId="0" borderId="0" xfId="0" applyNumberFormat="1" applyFont="1" applyAlignment="1">
      <alignment horizontal="center" vertical="center"/>
    </xf>
    <xf numFmtId="3" fontId="36" fillId="0" borderId="0" xfId="0" applyNumberFormat="1" applyFont="1" applyAlignment="1">
      <alignment vertical="center"/>
    </xf>
    <xf numFmtId="3" fontId="17" fillId="0" borderId="0" xfId="0" applyNumberFormat="1" applyFont="1" applyAlignment="1">
      <alignment vertical="center"/>
    </xf>
    <xf numFmtId="3" fontId="17" fillId="2" borderId="0" xfId="0" applyNumberFormat="1" applyFont="1" applyFill="1" applyAlignment="1">
      <alignment horizontal="center" vertical="center"/>
    </xf>
    <xf numFmtId="3" fontId="17" fillId="2" borderId="0" xfId="0" applyNumberFormat="1" applyFont="1" applyFill="1" applyAlignment="1">
      <alignment horizontal="left" vertical="center"/>
    </xf>
    <xf numFmtId="4" fontId="17" fillId="0" borderId="0" xfId="0" applyNumberFormat="1" applyFont="1" applyAlignment="1">
      <alignment horizontal="center" vertical="center"/>
    </xf>
    <xf numFmtId="4" fontId="39" fillId="0" borderId="0" xfId="0" applyNumberFormat="1" applyFont="1" applyAlignment="1">
      <alignment horizontal="center" vertical="center"/>
    </xf>
    <xf numFmtId="165" fontId="17" fillId="0" borderId="0" xfId="0" applyNumberFormat="1" applyFont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164" fontId="0" fillId="0" borderId="0" xfId="0" applyNumberFormat="1"/>
    <xf numFmtId="3" fontId="2" fillId="0" borderId="2" xfId="0" applyNumberFormat="1" applyFont="1" applyBorder="1" applyAlignment="1">
      <alignment horizontal="center" vertical="center"/>
    </xf>
    <xf numFmtId="164" fontId="2" fillId="0" borderId="2" xfId="2" applyNumberFormat="1" applyFont="1" applyBorder="1" applyAlignment="1">
      <alignment horizontal="center" vertical="center"/>
    </xf>
    <xf numFmtId="164" fontId="22" fillId="0" borderId="2" xfId="0" applyNumberFormat="1" applyFont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4" fontId="2" fillId="5" borderId="2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3" fontId="2" fillId="5" borderId="10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6" fillId="0" borderId="0" xfId="0" applyFont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2" fillId="0" borderId="0" xfId="0" applyFont="1" applyBorder="1"/>
    <xf numFmtId="0" fontId="2" fillId="0" borderId="0" xfId="0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164" fontId="2" fillId="0" borderId="0" xfId="2" applyNumberFormat="1" applyFont="1" applyBorder="1" applyAlignment="1">
      <alignment horizontal="center" vertical="center"/>
    </xf>
    <xf numFmtId="164" fontId="22" fillId="0" borderId="0" xfId="0" applyNumberFormat="1" applyFont="1" applyBorder="1" applyAlignment="1">
      <alignment horizontal="center" vertical="center"/>
    </xf>
    <xf numFmtId="164" fontId="2" fillId="2" borderId="0" xfId="0" applyNumberFormat="1" applyFont="1" applyFill="1" applyBorder="1" applyAlignment="1">
      <alignment horizontal="center" vertical="center"/>
    </xf>
    <xf numFmtId="164" fontId="2" fillId="5" borderId="0" xfId="0" applyNumberFormat="1" applyFont="1" applyFill="1" applyBorder="1" applyAlignment="1">
      <alignment horizontal="center" vertical="center"/>
    </xf>
    <xf numFmtId="165" fontId="3" fillId="2" borderId="4" xfId="0" applyNumberFormat="1" applyFont="1" applyFill="1" applyBorder="1" applyAlignment="1">
      <alignment horizontal="center"/>
    </xf>
    <xf numFmtId="0" fontId="0" fillId="0" borderId="0" xfId="0" applyAlignment="1"/>
    <xf numFmtId="0" fontId="26" fillId="0" borderId="0" xfId="0" applyFont="1" applyAlignment="1"/>
    <xf numFmtId="3" fontId="0" fillId="0" borderId="0" xfId="0" applyNumberFormat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3" fontId="2" fillId="0" borderId="0" xfId="0" applyNumberFormat="1" applyFont="1" applyBorder="1" applyAlignment="1">
      <alignment vertical="center"/>
    </xf>
    <xf numFmtId="0" fontId="0" fillId="0" borderId="0" xfId="0" applyAlignment="1">
      <alignment horizontal="center"/>
    </xf>
    <xf numFmtId="0" fontId="6" fillId="4" borderId="3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18" fillId="4" borderId="3" xfId="0" applyFont="1" applyFill="1" applyBorder="1" applyAlignment="1">
      <alignment horizontal="center" vertical="center"/>
    </xf>
    <xf numFmtId="1" fontId="18" fillId="4" borderId="5" xfId="0" applyNumberFormat="1" applyFont="1" applyFill="1" applyBorder="1" applyAlignment="1">
      <alignment horizontal="center" vertical="center"/>
    </xf>
    <xf numFmtId="3" fontId="4" fillId="4" borderId="3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3" fontId="0" fillId="0" borderId="2" xfId="0" applyNumberForma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43" fontId="0" fillId="0" borderId="2" xfId="0" applyNumberFormat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6" fillId="0" borderId="0" xfId="0" applyFont="1" applyAlignment="1">
      <alignment horizontal="center"/>
    </xf>
    <xf numFmtId="3" fontId="17" fillId="0" borderId="0" xfId="0" applyNumberFormat="1" applyFont="1" applyAlignment="1">
      <alignment horizontal="center" vertical="center"/>
    </xf>
    <xf numFmtId="3" fontId="29" fillId="0" borderId="0" xfId="0" applyNumberFormat="1" applyFont="1" applyAlignment="1">
      <alignment horizontal="center" vertical="center"/>
    </xf>
    <xf numFmtId="3" fontId="31" fillId="0" borderId="22" xfId="0" applyNumberFormat="1" applyFont="1" applyBorder="1" applyAlignment="1">
      <alignment horizontal="center" vertical="center"/>
    </xf>
    <xf numFmtId="3" fontId="31" fillId="0" borderId="0" xfId="0" applyNumberFormat="1" applyFont="1" applyAlignment="1">
      <alignment horizontal="center" vertical="center"/>
    </xf>
    <xf numFmtId="166" fontId="30" fillId="0" borderId="30" xfId="0" applyNumberFormat="1" applyFont="1" applyBorder="1" applyAlignment="1">
      <alignment horizontal="center" vertical="center" wrapText="1"/>
    </xf>
    <xf numFmtId="3" fontId="17" fillId="0" borderId="0" xfId="0" applyNumberFormat="1" applyFont="1" applyFill="1" applyAlignment="1">
      <alignment horizontal="left" vertical="center"/>
    </xf>
    <xf numFmtId="3" fontId="29" fillId="0" borderId="0" xfId="0" applyNumberFormat="1" applyFont="1" applyFill="1" applyAlignment="1">
      <alignment horizontal="left" vertical="center"/>
    </xf>
    <xf numFmtId="3" fontId="29" fillId="2" borderId="0" xfId="0" applyNumberFormat="1" applyFont="1" applyFill="1" applyAlignment="1">
      <alignment horizontal="center" vertical="center"/>
    </xf>
    <xf numFmtId="4" fontId="30" fillId="0" borderId="0" xfId="0" applyNumberFormat="1" applyFont="1" applyAlignment="1">
      <alignment horizontal="center" vertical="center"/>
    </xf>
    <xf numFmtId="3" fontId="29" fillId="0" borderId="0" xfId="0" quotePrefix="1" applyNumberFormat="1" applyFont="1" applyAlignment="1">
      <alignment horizontal="center" vertical="center"/>
    </xf>
    <xf numFmtId="3" fontId="31" fillId="0" borderId="42" xfId="0" applyNumberFormat="1" applyFont="1" applyBorder="1" applyAlignment="1">
      <alignment horizontal="center" vertical="center"/>
    </xf>
    <xf numFmtId="3" fontId="31" fillId="10" borderId="22" xfId="2" applyNumberFormat="1" applyFont="1" applyFill="1" applyBorder="1" applyAlignment="1">
      <alignment horizontal="center" vertical="center" wrapText="1"/>
    </xf>
    <xf numFmtId="3" fontId="31" fillId="10" borderId="0" xfId="2" applyNumberFormat="1" applyFont="1" applyFill="1" applyBorder="1" applyAlignment="1">
      <alignment horizontal="center" vertical="center" wrapText="1"/>
    </xf>
    <xf numFmtId="3" fontId="35" fillId="0" borderId="23" xfId="0" applyNumberFormat="1" applyFont="1" applyBorder="1" applyAlignment="1">
      <alignment horizontal="center" vertical="center"/>
    </xf>
    <xf numFmtId="3" fontId="35" fillId="0" borderId="24" xfId="0" applyNumberFormat="1" applyFont="1" applyBorder="1" applyAlignment="1">
      <alignment horizontal="center" vertical="center"/>
    </xf>
    <xf numFmtId="3" fontId="35" fillId="0" borderId="24" xfId="0" applyNumberFormat="1" applyFont="1" applyFill="1" applyBorder="1" applyAlignment="1">
      <alignment horizontal="center" vertical="center"/>
    </xf>
    <xf numFmtId="3" fontId="35" fillId="0" borderId="25" xfId="0" applyNumberFormat="1" applyFont="1" applyBorder="1" applyAlignment="1">
      <alignment horizontal="center" vertical="center"/>
    </xf>
    <xf numFmtId="3" fontId="35" fillId="0" borderId="26" xfId="0" applyNumberFormat="1" applyFont="1" applyBorder="1" applyAlignment="1">
      <alignment horizontal="center" vertical="center"/>
    </xf>
    <xf numFmtId="3" fontId="35" fillId="0" borderId="5" xfId="0" applyNumberFormat="1" applyFont="1" applyBorder="1" applyAlignment="1">
      <alignment horizontal="center" vertical="center"/>
    </xf>
    <xf numFmtId="3" fontId="35" fillId="0" borderId="28" xfId="0" applyNumberFormat="1" applyFont="1" applyBorder="1" applyAlignment="1">
      <alignment horizontal="center" vertical="center"/>
    </xf>
    <xf numFmtId="3" fontId="35" fillId="0" borderId="29" xfId="0" applyNumberFormat="1" applyFont="1" applyBorder="1" applyAlignment="1">
      <alignment horizontal="center" vertical="center"/>
    </xf>
    <xf numFmtId="3" fontId="35" fillId="0" borderId="30" xfId="0" applyNumberFormat="1" applyFont="1" applyBorder="1" applyAlignment="1">
      <alignment horizontal="center" vertical="center"/>
    </xf>
    <xf numFmtId="3" fontId="35" fillId="0" borderId="30" xfId="0" applyNumberFormat="1" applyFont="1" applyFill="1" applyBorder="1" applyAlignment="1">
      <alignment horizontal="center" vertical="center"/>
    </xf>
    <xf numFmtId="3" fontId="35" fillId="0" borderId="3" xfId="0" applyNumberFormat="1" applyFont="1" applyBorder="1" applyAlignment="1">
      <alignment horizontal="center" vertical="center"/>
    </xf>
    <xf numFmtId="3" fontId="30" fillId="0" borderId="5" xfId="0" applyNumberFormat="1" applyFont="1" applyBorder="1" applyAlignment="1">
      <alignment horizontal="center" vertical="center"/>
    </xf>
    <xf numFmtId="3" fontId="35" fillId="0" borderId="32" xfId="0" applyNumberFormat="1" applyFont="1" applyBorder="1" applyAlignment="1">
      <alignment horizontal="center" vertical="center"/>
    </xf>
    <xf numFmtId="3" fontId="35" fillId="0" borderId="4" xfId="0" applyNumberFormat="1" applyFont="1" applyBorder="1" applyAlignment="1">
      <alignment horizontal="center" vertical="center"/>
    </xf>
    <xf numFmtId="3" fontId="35" fillId="2" borderId="4" xfId="0" applyNumberFormat="1" applyFont="1" applyFill="1" applyBorder="1" applyAlignment="1">
      <alignment horizontal="center" vertical="center"/>
    </xf>
    <xf numFmtId="3" fontId="35" fillId="0" borderId="12" xfId="0" applyNumberFormat="1" applyFont="1" applyBorder="1" applyAlignment="1">
      <alignment horizontal="center" vertical="center"/>
    </xf>
    <xf numFmtId="3" fontId="30" fillId="0" borderId="4" xfId="0" applyNumberFormat="1" applyFont="1" applyBorder="1" applyAlignment="1">
      <alignment horizontal="center" vertical="center"/>
    </xf>
    <xf numFmtId="3" fontId="35" fillId="0" borderId="18" xfId="0" applyNumberFormat="1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 wrapText="1"/>
    </xf>
    <xf numFmtId="0" fontId="30" fillId="0" borderId="12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/>
    </xf>
    <xf numFmtId="3" fontId="30" fillId="0" borderId="18" xfId="0" applyNumberFormat="1" applyFont="1" applyBorder="1" applyAlignment="1">
      <alignment horizontal="center" vertical="center"/>
    </xf>
    <xf numFmtId="3" fontId="35" fillId="0" borderId="41" xfId="0" applyNumberFormat="1" applyFont="1" applyBorder="1" applyAlignment="1">
      <alignment horizontal="center" vertical="center"/>
    </xf>
    <xf numFmtId="3" fontId="35" fillId="0" borderId="34" xfId="0" applyNumberFormat="1" applyFont="1" applyBorder="1" applyAlignment="1">
      <alignment horizontal="center" vertical="center"/>
    </xf>
    <xf numFmtId="3" fontId="35" fillId="0" borderId="35" xfId="0" applyNumberFormat="1" applyFont="1" applyBorder="1" applyAlignment="1">
      <alignment horizontal="center" vertical="center"/>
    </xf>
    <xf numFmtId="3" fontId="35" fillId="0" borderId="35" xfId="0" applyNumberFormat="1" applyFont="1" applyFill="1" applyBorder="1" applyAlignment="1">
      <alignment horizontal="left" vertical="center"/>
    </xf>
    <xf numFmtId="3" fontId="35" fillId="0" borderId="9" xfId="0" applyNumberFormat="1" applyFont="1" applyBorder="1" applyAlignment="1">
      <alignment horizontal="center" vertical="center"/>
    </xf>
    <xf numFmtId="3" fontId="35" fillId="2" borderId="9" xfId="0" applyNumberFormat="1" applyFont="1" applyFill="1" applyBorder="1" applyAlignment="1">
      <alignment horizontal="center" vertical="center"/>
    </xf>
    <xf numFmtId="3" fontId="35" fillId="0" borderId="44" xfId="0" applyNumberFormat="1" applyFont="1" applyBorder="1" applyAlignment="1">
      <alignment horizontal="center" vertical="center"/>
    </xf>
    <xf numFmtId="3" fontId="17" fillId="0" borderId="45" xfId="0" applyNumberFormat="1" applyFont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 vertical="center"/>
    </xf>
    <xf numFmtId="3" fontId="31" fillId="0" borderId="7" xfId="0" applyNumberFormat="1" applyFont="1" applyBorder="1" applyAlignment="1">
      <alignment horizontal="center" vertical="center"/>
    </xf>
    <xf numFmtId="3" fontId="31" fillId="2" borderId="2" xfId="0" applyNumberFormat="1" applyFont="1" applyFill="1" applyBorder="1" applyAlignment="1">
      <alignment horizontal="left" vertical="center"/>
    </xf>
    <xf numFmtId="37" fontId="31" fillId="0" borderId="4" xfId="2" applyNumberFormat="1" applyFont="1" applyBorder="1" applyAlignment="1">
      <alignment horizontal="center" vertical="center" wrapText="1"/>
    </xf>
    <xf numFmtId="164" fontId="31" fillId="0" borderId="18" xfId="2" applyNumberFormat="1" applyFont="1" applyBorder="1" applyAlignment="1">
      <alignment horizontal="center" vertical="center"/>
    </xf>
    <xf numFmtId="164" fontId="31" fillId="0" borderId="2" xfId="0" applyNumberFormat="1" applyFont="1" applyBorder="1" applyAlignment="1">
      <alignment horizontal="center" vertical="center"/>
    </xf>
    <xf numFmtId="3" fontId="31" fillId="0" borderId="4" xfId="0" applyNumberFormat="1" applyFont="1" applyBorder="1" applyAlignment="1">
      <alignment horizontal="center" vertical="center"/>
    </xf>
    <xf numFmtId="3" fontId="31" fillId="2" borderId="2" xfId="0" applyNumberFormat="1" applyFont="1" applyFill="1" applyBorder="1" applyAlignment="1">
      <alignment horizontal="center" vertical="center"/>
    </xf>
    <xf numFmtId="164" fontId="0" fillId="0" borderId="2" xfId="2" applyNumberFormat="1" applyFont="1" applyBorder="1" applyAlignment="1">
      <alignment horizontal="center" vertical="center"/>
    </xf>
    <xf numFmtId="3" fontId="31" fillId="10" borderId="4" xfId="2" applyNumberFormat="1" applyFont="1" applyFill="1" applyBorder="1" applyAlignment="1">
      <alignment horizontal="center" vertical="center" wrapText="1"/>
    </xf>
    <xf numFmtId="3" fontId="31" fillId="2" borderId="4" xfId="0" applyNumberFormat="1" applyFont="1" applyFill="1" applyBorder="1" applyAlignment="1">
      <alignment horizontal="center" vertical="center"/>
    </xf>
    <xf numFmtId="164" fontId="0" fillId="0" borderId="4" xfId="2" applyNumberFormat="1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31" fillId="2" borderId="2" xfId="0" applyFont="1" applyFill="1" applyBorder="1" applyAlignment="1">
      <alignment horizontal="left" vertical="center"/>
    </xf>
    <xf numFmtId="164" fontId="31" fillId="0" borderId="2" xfId="2" applyNumberFormat="1" applyFont="1" applyBorder="1" applyAlignment="1">
      <alignment horizontal="center" vertical="center"/>
    </xf>
    <xf numFmtId="164" fontId="31" fillId="2" borderId="2" xfId="2" applyNumberFormat="1" applyFont="1" applyFill="1" applyBorder="1" applyAlignment="1">
      <alignment horizontal="center" vertical="center"/>
    </xf>
    <xf numFmtId="164" fontId="31" fillId="0" borderId="12" xfId="2" applyNumberFormat="1" applyFont="1" applyBorder="1" applyAlignment="1">
      <alignment horizontal="center" vertical="center"/>
    </xf>
    <xf numFmtId="3" fontId="31" fillId="10" borderId="2" xfId="2" applyNumberFormat="1" applyFont="1" applyFill="1" applyBorder="1" applyAlignment="1">
      <alignment horizontal="center" vertical="center" wrapText="1"/>
    </xf>
    <xf numFmtId="164" fontId="31" fillId="0" borderId="3" xfId="2" applyNumberFormat="1" applyFont="1" applyBorder="1" applyAlignment="1">
      <alignment horizontal="center" vertical="center"/>
    </xf>
    <xf numFmtId="0" fontId="31" fillId="0" borderId="3" xfId="0" applyFont="1" applyBorder="1" applyAlignment="1">
      <alignment horizontal="center" vertical="center"/>
    </xf>
    <xf numFmtId="3" fontId="31" fillId="2" borderId="3" xfId="0" applyNumberFormat="1" applyFont="1" applyFill="1" applyBorder="1" applyAlignment="1">
      <alignment horizontal="center" vertical="center"/>
    </xf>
    <xf numFmtId="0" fontId="31" fillId="2" borderId="3" xfId="0" applyFont="1" applyFill="1" applyBorder="1" applyAlignment="1">
      <alignment horizontal="left" vertical="center"/>
    </xf>
    <xf numFmtId="164" fontId="31" fillId="0" borderId="3" xfId="0" applyNumberFormat="1" applyFont="1" applyBorder="1" applyAlignment="1">
      <alignment horizontal="center" vertical="center"/>
    </xf>
    <xf numFmtId="164" fontId="31" fillId="2" borderId="3" xfId="2" applyNumberFormat="1" applyFont="1" applyFill="1" applyBorder="1" applyAlignment="1">
      <alignment horizontal="center" vertical="center"/>
    </xf>
    <xf numFmtId="3" fontId="31" fillId="0" borderId="2" xfId="0" applyNumberFormat="1" applyFont="1" applyFill="1" applyBorder="1" applyAlignment="1">
      <alignment horizontal="center" vertical="center"/>
    </xf>
    <xf numFmtId="3" fontId="31" fillId="0" borderId="4" xfId="0" applyNumberFormat="1" applyFont="1" applyFill="1" applyBorder="1" applyAlignment="1">
      <alignment horizontal="center" vertical="center"/>
    </xf>
    <xf numFmtId="3" fontId="31" fillId="0" borderId="3" xfId="0" applyNumberFormat="1" applyFont="1" applyFill="1" applyBorder="1" applyAlignment="1">
      <alignment horizontal="center" vertical="center"/>
    </xf>
    <xf numFmtId="3" fontId="31" fillId="0" borderId="33" xfId="2" applyNumberFormat="1" applyFont="1" applyFill="1" applyBorder="1" applyAlignment="1">
      <alignment horizontal="center" vertical="center" wrapText="1"/>
    </xf>
    <xf numFmtId="164" fontId="0" fillId="0" borderId="3" xfId="2" applyNumberFormat="1" applyFont="1" applyBorder="1" applyAlignment="1">
      <alignment horizontal="center" vertical="center"/>
    </xf>
    <xf numFmtId="3" fontId="31" fillId="0" borderId="5" xfId="0" applyNumberFormat="1" applyFont="1" applyBorder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3" fontId="31" fillId="0" borderId="2" xfId="2" applyNumberFormat="1" applyFont="1" applyFill="1" applyBorder="1" applyAlignment="1">
      <alignment horizontal="center" vertical="center" wrapText="1"/>
    </xf>
    <xf numFmtId="3" fontId="31" fillId="0" borderId="16" xfId="0" applyNumberFormat="1" applyFont="1" applyBorder="1" applyAlignment="1">
      <alignment horizontal="center" vertical="center"/>
    </xf>
    <xf numFmtId="3" fontId="31" fillId="0" borderId="8" xfId="0" applyNumberFormat="1" applyFont="1" applyBorder="1" applyAlignment="1">
      <alignment horizontal="center" vertical="center"/>
    </xf>
    <xf numFmtId="3" fontId="31" fillId="0" borderId="8" xfId="0" applyNumberFormat="1" applyFont="1" applyFill="1" applyBorder="1" applyAlignment="1">
      <alignment horizontal="center" vertical="center"/>
    </xf>
    <xf numFmtId="3" fontId="15" fillId="0" borderId="25" xfId="0" applyNumberFormat="1" applyFont="1" applyBorder="1" applyAlignment="1">
      <alignment vertical="center"/>
    </xf>
    <xf numFmtId="3" fontId="17" fillId="0" borderId="25" xfId="0" applyNumberFormat="1" applyFont="1" applyBorder="1" applyAlignment="1">
      <alignment vertical="center"/>
    </xf>
    <xf numFmtId="3" fontId="31" fillId="2" borderId="0" xfId="0" applyNumberFormat="1" applyFont="1" applyFill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40" fillId="0" borderId="0" xfId="0" applyFont="1" applyFill="1" applyAlignment="1">
      <alignment horizontal="center" vertical="center"/>
    </xf>
    <xf numFmtId="0" fontId="28" fillId="0" borderId="0" xfId="0" applyFont="1" applyFill="1" applyAlignment="1">
      <alignment horizontal="center" vertical="center"/>
    </xf>
    <xf numFmtId="0" fontId="38" fillId="0" borderId="0" xfId="0" applyFont="1" applyFill="1" applyAlignment="1">
      <alignment horizontal="center" vertical="center"/>
    </xf>
    <xf numFmtId="0" fontId="31" fillId="0" borderId="0" xfId="0" applyFont="1" applyFill="1" applyAlignment="1">
      <alignment vertical="center"/>
    </xf>
    <xf numFmtId="0" fontId="31" fillId="0" borderId="0" xfId="0" applyFont="1" applyFill="1" applyAlignment="1">
      <alignment horizontal="center" vertical="center"/>
    </xf>
    <xf numFmtId="0" fontId="29" fillId="0" borderId="0" xfId="0" applyFont="1" applyFill="1" applyAlignment="1">
      <alignment horizontal="center" vertical="center"/>
    </xf>
    <xf numFmtId="0" fontId="29" fillId="0" borderId="0" xfId="0" applyFont="1" applyFill="1" applyAlignment="1">
      <alignment vertical="center"/>
    </xf>
    <xf numFmtId="0" fontId="35" fillId="0" borderId="23" xfId="0" applyFont="1" applyFill="1" applyBorder="1" applyAlignment="1">
      <alignment horizontal="center" vertical="center"/>
    </xf>
    <xf numFmtId="0" fontId="35" fillId="0" borderId="24" xfId="0" applyFont="1" applyFill="1" applyBorder="1" applyAlignment="1">
      <alignment horizontal="center" vertical="center"/>
    </xf>
    <xf numFmtId="0" fontId="35" fillId="0" borderId="25" xfId="0" applyFont="1" applyFill="1" applyBorder="1" applyAlignment="1">
      <alignment horizontal="center" vertical="center"/>
    </xf>
    <xf numFmtId="0" fontId="35" fillId="0" borderId="19" xfId="0" applyFont="1" applyFill="1" applyBorder="1" applyAlignment="1">
      <alignment horizontal="center" vertical="center"/>
    </xf>
    <xf numFmtId="3" fontId="29" fillId="0" borderId="26" xfId="0" applyNumberFormat="1" applyFont="1" applyFill="1" applyBorder="1" applyAlignment="1">
      <alignment horizontal="center" vertical="center" textRotation="180"/>
    </xf>
    <xf numFmtId="0" fontId="35" fillId="0" borderId="26" xfId="0" applyFont="1" applyFill="1" applyBorder="1" applyAlignment="1">
      <alignment horizontal="center" vertical="center"/>
    </xf>
    <xf numFmtId="3" fontId="29" fillId="0" borderId="24" xfId="0" applyNumberFormat="1" applyFont="1" applyFill="1" applyBorder="1" applyAlignment="1">
      <alignment horizontal="center" vertical="center" textRotation="180"/>
    </xf>
    <xf numFmtId="0" fontId="41" fillId="0" borderId="0" xfId="0" applyFont="1" applyFill="1" applyAlignment="1">
      <alignment horizontal="center" vertical="center"/>
    </xf>
    <xf numFmtId="0" fontId="35" fillId="0" borderId="29" xfId="0" applyFont="1" applyFill="1" applyBorder="1" applyAlignment="1">
      <alignment horizontal="center" vertical="center"/>
    </xf>
    <xf numFmtId="0" fontId="35" fillId="0" borderId="3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35" fillId="0" borderId="5" xfId="0" applyFont="1" applyFill="1" applyBorder="1" applyAlignment="1">
      <alignment horizontal="center" vertical="center"/>
    </xf>
    <xf numFmtId="3" fontId="29" fillId="0" borderId="30" xfId="0" applyNumberFormat="1" applyFont="1" applyFill="1" applyBorder="1" applyAlignment="1">
      <alignment horizontal="center" vertical="center" textRotation="180"/>
    </xf>
    <xf numFmtId="0" fontId="35" fillId="0" borderId="3" xfId="0" applyFont="1" applyFill="1" applyBorder="1" applyAlignment="1">
      <alignment horizontal="center" vertical="center"/>
    </xf>
    <xf numFmtId="0" fontId="35" fillId="0" borderId="3" xfId="0" applyFont="1" applyFill="1" applyBorder="1" applyAlignment="1">
      <alignment horizontal="center" vertical="center" wrapText="1"/>
    </xf>
    <xf numFmtId="0" fontId="35" fillId="0" borderId="33" xfId="0" applyFont="1" applyFill="1" applyBorder="1" applyAlignment="1">
      <alignment horizontal="center" vertical="center" wrapText="1"/>
    </xf>
    <xf numFmtId="0" fontId="35" fillId="0" borderId="33" xfId="0" applyFont="1" applyFill="1" applyBorder="1" applyAlignment="1">
      <alignment horizontal="center" vertical="center"/>
    </xf>
    <xf numFmtId="9" fontId="35" fillId="0" borderId="30" xfId="0" applyNumberFormat="1" applyFont="1" applyFill="1" applyBorder="1" applyAlignment="1">
      <alignment horizontal="center" vertical="center"/>
    </xf>
    <xf numFmtId="0" fontId="35" fillId="0" borderId="16" xfId="0" applyFont="1" applyFill="1" applyBorder="1" applyAlignment="1">
      <alignment horizontal="center" vertical="center"/>
    </xf>
    <xf numFmtId="0" fontId="35" fillId="0" borderId="36" xfId="0" applyFont="1" applyFill="1" applyBorder="1" applyAlignment="1">
      <alignment horizontal="center" vertical="center"/>
    </xf>
    <xf numFmtId="0" fontId="35" fillId="0" borderId="9" xfId="0" applyFont="1" applyFill="1" applyBorder="1" applyAlignment="1">
      <alignment horizontal="center" vertical="center"/>
    </xf>
    <xf numFmtId="0" fontId="35" fillId="0" borderId="35" xfId="0" applyFont="1" applyFill="1" applyBorder="1" applyAlignment="1">
      <alignment horizontal="center" vertical="center"/>
    </xf>
    <xf numFmtId="0" fontId="35" fillId="0" borderId="46" xfId="0" applyFont="1" applyFill="1" applyBorder="1" applyAlignment="1">
      <alignment horizontal="center" vertical="center"/>
    </xf>
    <xf numFmtId="0" fontId="35" fillId="0" borderId="8" xfId="0" applyFont="1" applyFill="1" applyBorder="1" applyAlignment="1">
      <alignment horizontal="center" vertical="center"/>
    </xf>
    <xf numFmtId="3" fontId="29" fillId="0" borderId="8" xfId="0" applyNumberFormat="1" applyFont="1" applyFill="1" applyBorder="1" applyAlignment="1">
      <alignment horizontal="center" vertical="center" textRotation="180"/>
    </xf>
    <xf numFmtId="3" fontId="35" fillId="0" borderId="8" xfId="0" applyNumberFormat="1" applyFont="1" applyFill="1" applyBorder="1" applyAlignment="1">
      <alignment horizontal="center" vertical="center"/>
    </xf>
    <xf numFmtId="3" fontId="29" fillId="0" borderId="8" xfId="0" applyNumberFormat="1" applyFont="1" applyFill="1" applyBorder="1" applyAlignment="1">
      <alignment vertical="center"/>
    </xf>
    <xf numFmtId="3" fontId="29" fillId="0" borderId="9" xfId="0" applyNumberFormat="1" applyFont="1" applyFill="1" applyBorder="1" applyAlignment="1">
      <alignment horizontal="center" vertical="center" textRotation="180"/>
    </xf>
    <xf numFmtId="3" fontId="30" fillId="0" borderId="8" xfId="0" applyNumberFormat="1" applyFont="1" applyFill="1" applyBorder="1" applyAlignment="1">
      <alignment vertical="center"/>
    </xf>
    <xf numFmtId="0" fontId="35" fillId="0" borderId="14" xfId="0" applyFont="1" applyFill="1" applyBorder="1" applyAlignment="1">
      <alignment horizontal="center" vertical="center"/>
    </xf>
    <xf numFmtId="3" fontId="31" fillId="0" borderId="7" xfId="0" applyNumberFormat="1" applyFont="1" applyFill="1" applyBorder="1" applyAlignment="1">
      <alignment horizontal="center" vertical="center"/>
    </xf>
    <xf numFmtId="3" fontId="31" fillId="0" borderId="18" xfId="0" applyNumberFormat="1" applyFont="1" applyFill="1" applyBorder="1" applyAlignment="1">
      <alignment horizontal="center" vertical="center"/>
    </xf>
    <xf numFmtId="3" fontId="31" fillId="0" borderId="4" xfId="0" applyNumberFormat="1" applyFont="1" applyFill="1" applyBorder="1" applyAlignment="1">
      <alignment horizontal="left" vertical="center"/>
    </xf>
    <xf numFmtId="3" fontId="31" fillId="0" borderId="18" xfId="2" applyNumberFormat="1" applyFont="1" applyFill="1" applyBorder="1" applyAlignment="1">
      <alignment horizontal="center" vertical="center"/>
    </xf>
    <xf numFmtId="3" fontId="31" fillId="0" borderId="18" xfId="2" applyNumberFormat="1" applyFont="1" applyFill="1" applyBorder="1" applyAlignment="1">
      <alignment horizontal="center" vertical="center" wrapText="1"/>
    </xf>
    <xf numFmtId="3" fontId="31" fillId="0" borderId="26" xfId="2" applyNumberFormat="1" applyFont="1" applyFill="1" applyBorder="1" applyAlignment="1">
      <alignment horizontal="center" vertical="center" wrapText="1"/>
    </xf>
    <xf numFmtId="3" fontId="31" fillId="0" borderId="31" xfId="0" applyNumberFormat="1" applyFont="1" applyFill="1" applyBorder="1" applyAlignment="1">
      <alignment horizontal="center" vertical="center"/>
    </xf>
    <xf numFmtId="3" fontId="31" fillId="0" borderId="17" xfId="0" applyNumberFormat="1" applyFont="1" applyFill="1" applyBorder="1" applyAlignment="1">
      <alignment horizontal="center" vertical="center"/>
    </xf>
    <xf numFmtId="3" fontId="30" fillId="0" borderId="34" xfId="0" applyNumberFormat="1" applyFont="1" applyFill="1" applyBorder="1" applyAlignment="1">
      <alignment horizontal="center" vertical="center"/>
    </xf>
    <xf numFmtId="3" fontId="30" fillId="0" borderId="9" xfId="0" applyNumberFormat="1" applyFont="1" applyFill="1" applyBorder="1" applyAlignment="1">
      <alignment horizontal="center" vertical="center"/>
    </xf>
    <xf numFmtId="3" fontId="30" fillId="0" borderId="14" xfId="0" applyNumberFormat="1" applyFont="1" applyFill="1" applyBorder="1" applyAlignment="1">
      <alignment horizontal="center" vertical="center"/>
    </xf>
    <xf numFmtId="3" fontId="42" fillId="0" borderId="0" xfId="0" applyNumberFormat="1" applyFont="1" applyFill="1" applyBorder="1" applyAlignment="1">
      <alignment horizontal="center" vertical="center"/>
    </xf>
    <xf numFmtId="3" fontId="31" fillId="0" borderId="0" xfId="0" applyNumberFormat="1" applyFont="1" applyFill="1" applyBorder="1" applyAlignment="1">
      <alignment horizontal="center" vertical="center"/>
    </xf>
    <xf numFmtId="2" fontId="17" fillId="0" borderId="0" xfId="0" applyNumberFormat="1" applyFont="1" applyFill="1" applyAlignment="1">
      <alignment horizontal="center" vertical="center"/>
    </xf>
    <xf numFmtId="3" fontId="38" fillId="0" borderId="0" xfId="0" applyNumberFormat="1" applyFont="1" applyFill="1" applyAlignment="1"/>
    <xf numFmtId="3" fontId="17" fillId="0" borderId="0" xfId="0" applyNumberFormat="1" applyFont="1" applyFill="1" applyAlignment="1"/>
    <xf numFmtId="0" fontId="19" fillId="0" borderId="0" xfId="0" applyFont="1" applyFill="1" applyAlignment="1">
      <alignment horizontal="center" vertical="center"/>
    </xf>
    <xf numFmtId="3" fontId="40" fillId="0" borderId="0" xfId="0" applyNumberFormat="1" applyFont="1" applyFill="1" applyAlignment="1">
      <alignment horizontal="center" vertical="center"/>
    </xf>
    <xf numFmtId="2" fontId="40" fillId="0" borderId="0" xfId="0" applyNumberFormat="1" applyFont="1" applyFill="1" applyAlignment="1">
      <alignment horizontal="center" vertical="center"/>
    </xf>
    <xf numFmtId="0" fontId="0" fillId="0" borderId="0" xfId="0" applyFill="1"/>
    <xf numFmtId="0" fontId="2" fillId="0" borderId="0" xfId="0" applyFont="1" applyAlignment="1">
      <alignment horizontal="left" vertical="top"/>
    </xf>
    <xf numFmtId="0" fontId="2" fillId="11" borderId="47" xfId="0" applyFont="1" applyFill="1" applyBorder="1" applyAlignment="1">
      <alignment horizontal="center" vertical="center"/>
    </xf>
    <xf numFmtId="0" fontId="44" fillId="0" borderId="2" xfId="0" applyFont="1" applyFill="1" applyBorder="1" applyAlignment="1">
      <alignment horizontal="center" vertical="center"/>
    </xf>
    <xf numFmtId="167" fontId="45" fillId="2" borderId="11" xfId="0" applyNumberFormat="1" applyFont="1" applyFill="1" applyBorder="1" applyAlignment="1">
      <alignment horizontal="center"/>
    </xf>
    <xf numFmtId="3" fontId="46" fillId="0" borderId="4" xfId="0" applyNumberFormat="1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left" vertical="top"/>
    </xf>
    <xf numFmtId="0" fontId="44" fillId="0" borderId="4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left" vertical="top"/>
    </xf>
    <xf numFmtId="0" fontId="10" fillId="2" borderId="48" xfId="0" applyFont="1" applyFill="1" applyBorder="1" applyAlignment="1">
      <alignment horizontal="left" vertical="top"/>
    </xf>
    <xf numFmtId="167" fontId="45" fillId="2" borderId="50" xfId="0" applyNumberFormat="1" applyFont="1" applyFill="1" applyBorder="1" applyAlignment="1">
      <alignment horizontal="center"/>
    </xf>
    <xf numFmtId="167" fontId="45" fillId="2" borderId="51" xfId="0" applyNumberFormat="1" applyFont="1" applyFill="1" applyBorder="1" applyAlignment="1">
      <alignment horizontal="center"/>
    </xf>
    <xf numFmtId="0" fontId="45" fillId="2" borderId="50" xfId="0" quotePrefix="1" applyFont="1" applyFill="1" applyBorder="1" applyAlignment="1">
      <alignment horizontal="center"/>
    </xf>
    <xf numFmtId="167" fontId="45" fillId="2" borderId="50" xfId="0" quotePrefix="1" applyNumberFormat="1" applyFont="1" applyFill="1" applyBorder="1" applyAlignment="1">
      <alignment horizontal="center"/>
    </xf>
    <xf numFmtId="0" fontId="10" fillId="2" borderId="49" xfId="0" applyFont="1" applyFill="1" applyBorder="1" applyAlignment="1">
      <alignment horizontal="left" vertical="center"/>
    </xf>
    <xf numFmtId="167" fontId="45" fillId="0" borderId="52" xfId="0" quotePrefix="1" applyNumberFormat="1" applyFont="1" applyBorder="1" applyAlignment="1">
      <alignment horizontal="center"/>
    </xf>
    <xf numFmtId="3" fontId="10" fillId="0" borderId="4" xfId="0" applyNumberFormat="1" applyFont="1" applyFill="1" applyBorder="1" applyAlignment="1">
      <alignment horizontal="left" vertical="center"/>
    </xf>
    <xf numFmtId="167" fontId="45" fillId="2" borderId="52" xfId="0" quotePrefix="1" applyNumberFormat="1" applyFont="1" applyFill="1" applyBorder="1" applyAlignment="1">
      <alignment horizontal="center"/>
    </xf>
    <xf numFmtId="0" fontId="20" fillId="2" borderId="49" xfId="0" applyFont="1" applyFill="1" applyBorder="1" applyAlignment="1">
      <alignment horizontal="left" vertical="center"/>
    </xf>
    <xf numFmtId="3" fontId="47" fillId="2" borderId="49" xfId="0" applyNumberFormat="1" applyFont="1" applyFill="1" applyBorder="1" applyAlignment="1">
      <alignment horizontal="center"/>
    </xf>
    <xf numFmtId="0" fontId="1" fillId="2" borderId="49" xfId="0" applyFont="1" applyFill="1" applyBorder="1" applyAlignment="1">
      <alignment horizontal="left" vertical="top"/>
    </xf>
    <xf numFmtId="167" fontId="45" fillId="0" borderId="0" xfId="0" quotePrefix="1" applyNumberFormat="1" applyFont="1" applyBorder="1" applyAlignment="1">
      <alignment horizontal="center"/>
    </xf>
    <xf numFmtId="0" fontId="44" fillId="0" borderId="53" xfId="0" applyFont="1" applyFill="1" applyBorder="1" applyAlignment="1">
      <alignment horizontal="center" vertical="center"/>
    </xf>
    <xf numFmtId="3" fontId="10" fillId="0" borderId="5" xfId="0" applyNumberFormat="1" applyFont="1" applyFill="1" applyBorder="1" applyAlignment="1">
      <alignment horizontal="left" vertical="center"/>
    </xf>
    <xf numFmtId="0" fontId="0" fillId="0" borderId="49" xfId="0" applyBorder="1" applyAlignment="1">
      <alignment horizontal="center"/>
    </xf>
    <xf numFmtId="0" fontId="0" fillId="0" borderId="49" xfId="0" applyBorder="1"/>
    <xf numFmtId="0" fontId="1" fillId="0" borderId="49" xfId="0" applyFont="1" applyBorder="1" applyAlignment="1">
      <alignment horizontal="left" vertical="top"/>
    </xf>
    <xf numFmtId="3" fontId="47" fillId="2" borderId="8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left" vertical="top"/>
    </xf>
    <xf numFmtId="0" fontId="0" fillId="0" borderId="48" xfId="0" applyBorder="1"/>
    <xf numFmtId="167" fontId="47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left" vertical="top"/>
    </xf>
    <xf numFmtId="0" fontId="2" fillId="11" borderId="54" xfId="0" applyFont="1" applyFill="1" applyBorder="1" applyAlignment="1">
      <alignment horizontal="center" vertical="center"/>
    </xf>
    <xf numFmtId="3" fontId="46" fillId="2" borderId="55" xfId="0" applyNumberFormat="1" applyFont="1" applyFill="1" applyBorder="1" applyAlignment="1">
      <alignment horizontal="center" vertical="center"/>
    </xf>
    <xf numFmtId="0" fontId="44" fillId="0" borderId="50" xfId="0" applyFont="1" applyFill="1" applyBorder="1" applyAlignment="1">
      <alignment horizontal="center" vertical="center"/>
    </xf>
    <xf numFmtId="0" fontId="46" fillId="2" borderId="49" xfId="0" quotePrefix="1" applyFont="1" applyFill="1" applyBorder="1" applyAlignment="1">
      <alignment horizontal="center" vertical="center"/>
    </xf>
    <xf numFmtId="0" fontId="31" fillId="2" borderId="49" xfId="0" applyFont="1" applyFill="1" applyBorder="1" applyAlignment="1">
      <alignment horizontal="left" vertical="center"/>
    </xf>
    <xf numFmtId="167" fontId="48" fillId="2" borderId="49" xfId="0" quotePrefix="1" applyNumberFormat="1" applyFont="1" applyFill="1" applyBorder="1" applyAlignment="1">
      <alignment horizontal="center"/>
    </xf>
    <xf numFmtId="167" fontId="45" fillId="2" borderId="49" xfId="0" quotePrefix="1" applyNumberFormat="1" applyFont="1" applyFill="1" applyBorder="1" applyAlignment="1">
      <alignment horizontal="center"/>
    </xf>
    <xf numFmtId="0" fontId="10" fillId="2" borderId="53" xfId="0" applyFont="1" applyFill="1" applyBorder="1" applyAlignment="1">
      <alignment horizontal="left" vertical="center"/>
    </xf>
    <xf numFmtId="0" fontId="31" fillId="2" borderId="53" xfId="0" applyFont="1" applyFill="1" applyBorder="1" applyAlignment="1">
      <alignment horizontal="left" vertical="center"/>
    </xf>
    <xf numFmtId="167" fontId="49" fillId="0" borderId="49" xfId="4" quotePrefix="1" applyNumberFormat="1" applyFont="1" applyFill="1" applyBorder="1" applyAlignment="1">
      <alignment horizontal="center" vertical="center"/>
    </xf>
    <xf numFmtId="3" fontId="47" fillId="0" borderId="58" xfId="0" applyNumberFormat="1" applyFont="1" applyBorder="1" applyAlignment="1">
      <alignment horizontal="center" vertical="center"/>
    </xf>
    <xf numFmtId="0" fontId="1" fillId="0" borderId="57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3" fontId="20" fillId="0" borderId="0" xfId="0" applyNumberFormat="1" applyFont="1" applyFill="1" applyAlignment="1">
      <alignment horizontal="center" vertical="center"/>
    </xf>
    <xf numFmtId="3" fontId="17" fillId="0" borderId="0" xfId="0" applyNumberFormat="1" applyFont="1"/>
    <xf numFmtId="0" fontId="17" fillId="0" borderId="0" xfId="0" applyFont="1"/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164" fontId="31" fillId="0" borderId="0" xfId="0" applyNumberFormat="1" applyFont="1" applyAlignment="1">
      <alignment vertical="center"/>
    </xf>
    <xf numFmtId="4" fontId="31" fillId="0" borderId="0" xfId="0" applyNumberFormat="1" applyFont="1" applyAlignment="1">
      <alignment horizontal="center" vertical="center"/>
    </xf>
    <xf numFmtId="164" fontId="31" fillId="0" borderId="0" xfId="0" applyNumberFormat="1" applyFont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0" xfId="0" applyNumberFormat="1" applyFont="1" applyAlignment="1">
      <alignment horizontal="center" vertical="center"/>
    </xf>
    <xf numFmtId="0" fontId="50" fillId="0" borderId="0" xfId="0" applyFont="1" applyFill="1" applyAlignment="1">
      <alignment vertical="center"/>
    </xf>
    <xf numFmtId="3" fontId="15" fillId="0" borderId="0" xfId="0" applyNumberFormat="1" applyFont="1"/>
    <xf numFmtId="0" fontId="0" fillId="0" borderId="0" xfId="0" applyFont="1"/>
    <xf numFmtId="0" fontId="15" fillId="0" borderId="0" xfId="0" applyFont="1"/>
    <xf numFmtId="0" fontId="51" fillId="0" borderId="0" xfId="0" applyFont="1" applyAlignment="1">
      <alignment horizontal="center"/>
    </xf>
    <xf numFmtId="0" fontId="0" fillId="0" borderId="0" xfId="0" applyFont="1" applyFill="1"/>
    <xf numFmtId="0" fontId="17" fillId="0" borderId="0" xfId="0" applyFont="1" applyAlignment="1">
      <alignment horizontal="center"/>
    </xf>
    <xf numFmtId="3" fontId="26" fillId="0" borderId="0" xfId="0" applyNumberFormat="1" applyFont="1" applyFill="1" applyAlignment="1">
      <alignment horizontal="center"/>
    </xf>
    <xf numFmtId="0" fontId="0" fillId="0" borderId="0" xfId="0" applyFont="1" applyAlignment="1"/>
    <xf numFmtId="0" fontId="19" fillId="0" borderId="0" xfId="0" applyFont="1"/>
    <xf numFmtId="0" fontId="19" fillId="0" borderId="0" xfId="0" applyFont="1" applyAlignment="1">
      <alignment horizontal="center"/>
    </xf>
    <xf numFmtId="3" fontId="1" fillId="0" borderId="0" xfId="0" applyNumberFormat="1" applyFont="1" applyFill="1" applyAlignment="1">
      <alignment horizontal="center"/>
    </xf>
    <xf numFmtId="3" fontId="0" fillId="0" borderId="0" xfId="0" applyNumberFormat="1" applyFill="1"/>
    <xf numFmtId="3" fontId="1" fillId="0" borderId="0" xfId="0" applyNumberFormat="1" applyFont="1" applyAlignment="1">
      <alignment horizontal="left" vertical="top"/>
    </xf>
    <xf numFmtId="3" fontId="17" fillId="0" borderId="0" xfId="0" applyNumberFormat="1" applyFont="1" applyAlignment="1">
      <alignment horizontal="center" vertical="center"/>
    </xf>
    <xf numFmtId="0" fontId="0" fillId="2" borderId="49" xfId="0" applyFill="1" applyBorder="1"/>
    <xf numFmtId="0" fontId="0" fillId="4" borderId="49" xfId="0" applyFill="1" applyBorder="1"/>
    <xf numFmtId="0" fontId="0" fillId="2" borderId="49" xfId="0" applyFill="1" applyBorder="1" applyAlignment="1">
      <alignment horizontal="center"/>
    </xf>
    <xf numFmtId="0" fontId="2" fillId="2" borderId="49" xfId="0" applyFont="1" applyFill="1" applyBorder="1" applyAlignment="1">
      <alignment horizontal="center"/>
    </xf>
    <xf numFmtId="0" fontId="22" fillId="2" borderId="49" xfId="0" applyFont="1" applyFill="1" applyBorder="1" applyAlignment="1">
      <alignment horizontal="center" vertical="center"/>
    </xf>
    <xf numFmtId="0" fontId="0" fillId="2" borderId="49" xfId="0" applyFill="1" applyBorder="1" applyAlignment="1">
      <alignment horizontal="center" vertical="center"/>
    </xf>
    <xf numFmtId="0" fontId="0" fillId="4" borderId="49" xfId="0" applyFill="1" applyBorder="1" applyAlignment="1">
      <alignment horizontal="center" vertical="center"/>
    </xf>
    <xf numFmtId="0" fontId="2" fillId="2" borderId="49" xfId="0" applyFont="1" applyFill="1" applyBorder="1" applyAlignment="1">
      <alignment horizontal="center" vertical="center"/>
    </xf>
    <xf numFmtId="4" fontId="0" fillId="2" borderId="49" xfId="0" applyNumberFormat="1" applyFill="1" applyBorder="1"/>
    <xf numFmtId="4" fontId="6" fillId="2" borderId="49" xfId="0" applyNumberFormat="1" applyFont="1" applyFill="1" applyBorder="1"/>
    <xf numFmtId="0" fontId="2" fillId="4" borderId="49" xfId="0" applyFont="1" applyFill="1" applyBorder="1" applyAlignment="1">
      <alignment horizontal="center" vertical="center"/>
    </xf>
    <xf numFmtId="4" fontId="15" fillId="2" borderId="49" xfId="0" applyNumberFormat="1" applyFont="1" applyFill="1" applyBorder="1" applyAlignment="1">
      <alignment horizontal="center" vertical="center"/>
    </xf>
    <xf numFmtId="4" fontId="53" fillId="2" borderId="49" xfId="0" applyNumberFormat="1" applyFont="1" applyFill="1" applyBorder="1" applyAlignment="1">
      <alignment horizontal="center" vertical="center"/>
    </xf>
    <xf numFmtId="4" fontId="54" fillId="2" borderId="49" xfId="0" applyNumberFormat="1" applyFont="1" applyFill="1" applyBorder="1" applyAlignment="1">
      <alignment horizontal="center" vertical="center"/>
    </xf>
    <xf numFmtId="4" fontId="0" fillId="0" borderId="2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31" fillId="0" borderId="0" xfId="0" applyFont="1" applyFill="1" applyAlignment="1">
      <alignment horizontal="center" vertical="center"/>
    </xf>
    <xf numFmtId="0" fontId="44" fillId="0" borderId="59" xfId="0" applyFont="1" applyFill="1" applyBorder="1" applyAlignment="1">
      <alignment horizontal="center" vertical="center"/>
    </xf>
    <xf numFmtId="167" fontId="45" fillId="2" borderId="62" xfId="0" applyNumberFormat="1" applyFont="1" applyFill="1" applyBorder="1" applyAlignment="1">
      <alignment horizontal="center"/>
    </xf>
    <xf numFmtId="167" fontId="45" fillId="2" borderId="63" xfId="0" applyNumberFormat="1" applyFont="1" applyFill="1" applyBorder="1" applyAlignment="1">
      <alignment horizontal="center"/>
    </xf>
    <xf numFmtId="167" fontId="45" fillId="2" borderId="64" xfId="0" applyNumberFormat="1" applyFont="1" applyFill="1" applyBorder="1" applyAlignment="1">
      <alignment horizontal="center"/>
    </xf>
    <xf numFmtId="167" fontId="45" fillId="2" borderId="65" xfId="0" applyNumberFormat="1" applyFont="1" applyFill="1" applyBorder="1" applyAlignment="1">
      <alignment horizontal="center"/>
    </xf>
    <xf numFmtId="0" fontId="44" fillId="0" borderId="66" xfId="0" applyFont="1" applyFill="1" applyBorder="1" applyAlignment="1">
      <alignment horizontal="center" vertical="center"/>
    </xf>
    <xf numFmtId="0" fontId="45" fillId="0" borderId="67" xfId="0" quotePrefix="1" applyFont="1" applyBorder="1" applyAlignment="1">
      <alignment horizontal="center"/>
    </xf>
    <xf numFmtId="0" fontId="45" fillId="0" borderId="67" xfId="0" quotePrefix="1" applyFont="1" applyBorder="1" applyAlignment="1">
      <alignment horizontal="center" vertical="center"/>
    </xf>
    <xf numFmtId="0" fontId="55" fillId="2" borderId="5" xfId="0" applyFont="1" applyFill="1" applyBorder="1" applyAlignment="1">
      <alignment horizontal="center" vertical="center"/>
    </xf>
    <xf numFmtId="0" fontId="55" fillId="0" borderId="66" xfId="0" applyFont="1" applyBorder="1" applyAlignment="1">
      <alignment horizontal="center"/>
    </xf>
    <xf numFmtId="0" fontId="0" fillId="0" borderId="68" xfId="0" applyBorder="1" applyAlignment="1">
      <alignment horizontal="center"/>
    </xf>
    <xf numFmtId="0" fontId="0" fillId="2" borderId="68" xfId="0" applyFill="1" applyBorder="1"/>
    <xf numFmtId="0" fontId="0" fillId="2" borderId="68" xfId="0" applyFill="1" applyBorder="1" applyAlignment="1">
      <alignment horizontal="center"/>
    </xf>
    <xf numFmtId="0" fontId="0" fillId="2" borderId="68" xfId="0" applyFill="1" applyBorder="1" applyAlignment="1">
      <alignment horizontal="center" vertical="center"/>
    </xf>
    <xf numFmtId="0" fontId="3" fillId="2" borderId="68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16" fontId="9" fillId="4" borderId="4" xfId="0" quotePrefix="1" applyNumberFormat="1" applyFont="1" applyFill="1" applyBorder="1" applyAlignment="1">
      <alignment horizontal="center" vertical="center"/>
    </xf>
    <xf numFmtId="0" fontId="2" fillId="0" borderId="68" xfId="0" applyFont="1" applyBorder="1" applyAlignment="1">
      <alignment horizontal="center" vertical="center"/>
    </xf>
    <xf numFmtId="3" fontId="2" fillId="0" borderId="68" xfId="0" applyNumberFormat="1" applyFont="1" applyBorder="1" applyAlignment="1">
      <alignment horizontal="center" vertical="center"/>
    </xf>
    <xf numFmtId="0" fontId="14" fillId="2" borderId="68" xfId="0" applyFont="1" applyFill="1" applyBorder="1" applyAlignment="1">
      <alignment horizontal="center" vertical="center"/>
    </xf>
    <xf numFmtId="0" fontId="0" fillId="4" borderId="68" xfId="0" applyFill="1" applyBorder="1" applyAlignment="1">
      <alignment horizontal="center"/>
    </xf>
    <xf numFmtId="3" fontId="17" fillId="0" borderId="0" xfId="0" applyNumberFormat="1" applyFont="1" applyAlignment="1">
      <alignment horizontal="center" vertical="center"/>
    </xf>
    <xf numFmtId="3" fontId="17" fillId="0" borderId="0" xfId="0" applyNumberFormat="1" applyFont="1" applyAlignment="1">
      <alignment horizontal="center" vertical="center"/>
    </xf>
    <xf numFmtId="3" fontId="31" fillId="0" borderId="53" xfId="0" applyNumberFormat="1" applyFont="1" applyBorder="1" applyAlignment="1">
      <alignment horizontal="center" vertical="center"/>
    </xf>
    <xf numFmtId="164" fontId="31" fillId="0" borderId="53" xfId="2" applyNumberFormat="1" applyFont="1" applyBorder="1" applyAlignment="1">
      <alignment horizontal="center" vertical="center"/>
    </xf>
    <xf numFmtId="164" fontId="31" fillId="2" borderId="53" xfId="2" applyNumberFormat="1" applyFont="1" applyFill="1" applyBorder="1" applyAlignment="1">
      <alignment horizontal="center" vertical="center"/>
    </xf>
    <xf numFmtId="0" fontId="31" fillId="0" borderId="53" xfId="0" applyFont="1" applyBorder="1" applyAlignment="1">
      <alignment horizontal="center" vertical="center"/>
    </xf>
    <xf numFmtId="3" fontId="31" fillId="2" borderId="53" xfId="0" applyNumberFormat="1" applyFont="1" applyFill="1" applyBorder="1" applyAlignment="1">
      <alignment horizontal="center" vertical="center"/>
    </xf>
    <xf numFmtId="164" fontId="0" fillId="0" borderId="53" xfId="2" applyNumberFormat="1" applyFont="1" applyBorder="1" applyAlignment="1">
      <alignment horizontal="center" vertical="center"/>
    </xf>
    <xf numFmtId="3" fontId="31" fillId="0" borderId="53" xfId="0" applyNumberFormat="1" applyFont="1" applyFill="1" applyBorder="1" applyAlignment="1">
      <alignment horizontal="center" vertical="center"/>
    </xf>
    <xf numFmtId="3" fontId="31" fillId="0" borderId="52" xfId="0" applyNumberFormat="1" applyFont="1" applyBorder="1" applyAlignment="1">
      <alignment horizontal="center" vertical="center"/>
    </xf>
    <xf numFmtId="3" fontId="31" fillId="2" borderId="68" xfId="0" applyNumberFormat="1" applyFont="1" applyFill="1" applyBorder="1" applyAlignment="1">
      <alignment horizontal="center" vertical="center"/>
    </xf>
    <xf numFmtId="0" fontId="20" fillId="2" borderId="68" xfId="0" applyFont="1" applyFill="1" applyBorder="1" applyAlignment="1">
      <alignment horizontal="left" vertical="center"/>
    </xf>
    <xf numFmtId="167" fontId="45" fillId="2" borderId="68" xfId="0" quotePrefix="1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 vertical="center"/>
    </xf>
    <xf numFmtId="3" fontId="0" fillId="0" borderId="49" xfId="0" applyNumberFormat="1" applyBorder="1" applyAlignment="1">
      <alignment horizontal="center" vertical="center"/>
    </xf>
    <xf numFmtId="3" fontId="31" fillId="0" borderId="38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3" fontId="31" fillId="0" borderId="0" xfId="0" applyNumberFormat="1" applyFont="1" applyAlignment="1">
      <alignment horizontal="center" vertical="center"/>
    </xf>
    <xf numFmtId="3" fontId="36" fillId="0" borderId="0" xfId="0" applyNumberFormat="1" applyFont="1" applyAlignment="1">
      <alignment horizontal="center" vertical="center"/>
    </xf>
    <xf numFmtId="3" fontId="17" fillId="0" borderId="0" xfId="0" applyNumberFormat="1" applyFont="1" applyAlignment="1">
      <alignment horizontal="center" vertical="center"/>
    </xf>
    <xf numFmtId="3" fontId="19" fillId="0" borderId="0" xfId="0" applyNumberFormat="1" applyFont="1" applyAlignment="1">
      <alignment horizontal="center" vertical="center"/>
    </xf>
    <xf numFmtId="0" fontId="28" fillId="0" borderId="0" xfId="0" applyFont="1" applyFill="1" applyAlignment="1">
      <alignment horizontal="center" vertical="center"/>
    </xf>
    <xf numFmtId="0" fontId="31" fillId="0" borderId="0" xfId="0" applyFont="1" applyFill="1" applyAlignment="1">
      <alignment horizontal="center" vertical="center"/>
    </xf>
    <xf numFmtId="3" fontId="17" fillId="0" borderId="0" xfId="0" applyNumberFormat="1" applyFont="1" applyFill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17" fillId="0" borderId="0" xfId="0" applyFont="1" applyAlignment="1">
      <alignment horizontal="center"/>
    </xf>
    <xf numFmtId="0" fontId="26" fillId="0" borderId="0" xfId="0" applyFont="1" applyFill="1" applyAlignment="1">
      <alignment horizontal="center"/>
    </xf>
    <xf numFmtId="0" fontId="0" fillId="0" borderId="68" xfId="0" applyBorder="1"/>
    <xf numFmtId="0" fontId="14" fillId="0" borderId="49" xfId="0" applyFont="1" applyBorder="1" applyAlignment="1">
      <alignment horizontal="center" vertical="center"/>
    </xf>
    <xf numFmtId="43" fontId="22" fillId="0" borderId="0" xfId="0" applyNumberFormat="1" applyFont="1" applyBorder="1" applyAlignment="1">
      <alignment horizontal="center" vertical="center"/>
    </xf>
    <xf numFmtId="168" fontId="22" fillId="0" borderId="0" xfId="0" applyNumberFormat="1" applyFont="1" applyBorder="1" applyAlignment="1">
      <alignment horizontal="center" vertical="center"/>
    </xf>
    <xf numFmtId="164" fontId="2" fillId="0" borderId="0" xfId="0" applyNumberFormat="1" applyFont="1" applyBorder="1" applyAlignment="1">
      <alignment horizontal="center" vertical="center"/>
    </xf>
    <xf numFmtId="0" fontId="14" fillId="0" borderId="49" xfId="0" applyFont="1" applyBorder="1" applyAlignment="1">
      <alignment horizontal="center" vertical="center" wrapText="1"/>
    </xf>
    <xf numFmtId="0" fontId="2" fillId="0" borderId="49" xfId="0" applyFont="1" applyBorder="1" applyAlignment="1"/>
    <xf numFmtId="3" fontId="2" fillId="0" borderId="49" xfId="0" applyNumberFormat="1" applyFont="1" applyBorder="1" applyAlignment="1"/>
    <xf numFmtId="0" fontId="2" fillId="0" borderId="50" xfId="0" applyFont="1" applyBorder="1" applyAlignment="1"/>
    <xf numFmtId="3" fontId="30" fillId="0" borderId="60" xfId="0" applyNumberFormat="1" applyFont="1" applyFill="1" applyBorder="1" applyAlignment="1">
      <alignment vertical="center"/>
    </xf>
    <xf numFmtId="3" fontId="31" fillId="0" borderId="69" xfId="0" applyNumberFormat="1" applyFont="1" applyFill="1" applyBorder="1" applyAlignment="1">
      <alignment horizontal="center" vertical="center"/>
    </xf>
    <xf numFmtId="0" fontId="36" fillId="0" borderId="0" xfId="0" applyFont="1" applyFill="1" applyAlignment="1">
      <alignment vertical="center"/>
    </xf>
    <xf numFmtId="0" fontId="17" fillId="0" borderId="0" xfId="0" applyFont="1" applyFill="1" applyAlignment="1">
      <alignment vertical="center"/>
    </xf>
    <xf numFmtId="0" fontId="20" fillId="0" borderId="0" xfId="0" applyFont="1" applyFill="1" applyAlignment="1">
      <alignment vertical="center"/>
    </xf>
    <xf numFmtId="0" fontId="26" fillId="0" borderId="0" xfId="0" applyFont="1" applyFill="1" applyAlignment="1"/>
    <xf numFmtId="0" fontId="1" fillId="0" borderId="0" xfId="0" applyFont="1" applyFill="1" applyAlignment="1"/>
    <xf numFmtId="3" fontId="15" fillId="0" borderId="0" xfId="0" applyNumberFormat="1" applyFont="1" applyAlignment="1">
      <alignment horizontal="center"/>
    </xf>
    <xf numFmtId="0" fontId="0" fillId="0" borderId="0" xfId="0" applyFont="1" applyFill="1" applyAlignment="1">
      <alignment horizontal="center"/>
    </xf>
    <xf numFmtId="0" fontId="2" fillId="4" borderId="10" xfId="0" applyFont="1" applyFill="1" applyBorder="1" applyAlignment="1">
      <alignment horizontal="center" vertical="center"/>
    </xf>
    <xf numFmtId="3" fontId="0" fillId="4" borderId="0" xfId="0" applyNumberFormat="1" applyFill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68" xfId="0" applyFont="1" applyBorder="1" applyAlignment="1">
      <alignment vertical="center"/>
    </xf>
    <xf numFmtId="0" fontId="9" fillId="4" borderId="68" xfId="0" applyFont="1" applyFill="1" applyBorder="1" applyAlignment="1">
      <alignment horizontal="center" vertical="center"/>
    </xf>
    <xf numFmtId="4" fontId="6" fillId="0" borderId="10" xfId="0" applyNumberFormat="1" applyFont="1" applyBorder="1" applyAlignment="1">
      <alignment horizontal="center" vertical="center"/>
    </xf>
    <xf numFmtId="3" fontId="0" fillId="0" borderId="68" xfId="0" applyNumberFormat="1" applyBorder="1" applyAlignment="1">
      <alignment horizontal="center"/>
    </xf>
    <xf numFmtId="0" fontId="23" fillId="2" borderId="68" xfId="0" applyFont="1" applyFill="1" applyBorder="1" applyAlignment="1">
      <alignment horizontal="center" vertical="center"/>
    </xf>
    <xf numFmtId="0" fontId="0" fillId="4" borderId="68" xfId="0" applyFill="1" applyBorder="1"/>
    <xf numFmtId="3" fontId="17" fillId="0" borderId="0" xfId="0" applyNumberFormat="1" applyFont="1" applyAlignment="1">
      <alignment horizontal="center" vertical="center"/>
    </xf>
    <xf numFmtId="3" fontId="31" fillId="2" borderId="68" xfId="0" applyNumberFormat="1" applyFont="1" applyFill="1" applyBorder="1" applyAlignment="1">
      <alignment horizontal="left" vertical="center"/>
    </xf>
    <xf numFmtId="3" fontId="31" fillId="0" borderId="75" xfId="0" applyNumberFormat="1" applyFont="1" applyBorder="1" applyAlignment="1">
      <alignment horizontal="center" vertical="center"/>
    </xf>
    <xf numFmtId="3" fontId="31" fillId="0" borderId="68" xfId="0" applyNumberFormat="1" applyFont="1" applyBorder="1" applyAlignment="1">
      <alignment horizontal="center" vertical="center"/>
    </xf>
    <xf numFmtId="3" fontId="31" fillId="0" borderId="69" xfId="0" applyNumberFormat="1" applyFont="1" applyBorder="1" applyAlignment="1">
      <alignment horizontal="center" vertical="center"/>
    </xf>
    <xf numFmtId="164" fontId="0" fillId="0" borderId="69" xfId="2" applyNumberFormat="1" applyFont="1" applyBorder="1" applyAlignment="1">
      <alignment horizontal="center" vertical="center"/>
    </xf>
    <xf numFmtId="3" fontId="20" fillId="0" borderId="69" xfId="0" applyNumberFormat="1" applyFont="1" applyBorder="1" applyAlignment="1">
      <alignment horizontal="center" vertical="center"/>
    </xf>
    <xf numFmtId="3" fontId="20" fillId="0" borderId="69" xfId="2" applyNumberFormat="1" applyFont="1" applyBorder="1" applyAlignment="1">
      <alignment horizontal="center" vertical="center"/>
    </xf>
    <xf numFmtId="0" fontId="0" fillId="4" borderId="49" xfId="0" applyFill="1" applyBorder="1" applyAlignment="1">
      <alignment horizontal="center"/>
    </xf>
    <xf numFmtId="164" fontId="0" fillId="0" borderId="0" xfId="2" applyNumberFormat="1" applyFont="1"/>
    <xf numFmtId="3" fontId="17" fillId="0" borderId="0" xfId="0" applyNumberFormat="1" applyFont="1" applyAlignment="1">
      <alignment horizontal="center" vertical="center"/>
    </xf>
    <xf numFmtId="0" fontId="2" fillId="0" borderId="77" xfId="0" applyFont="1" applyBorder="1" applyAlignment="1">
      <alignment horizontal="center" vertical="center"/>
    </xf>
    <xf numFmtId="3" fontId="0" fillId="2" borderId="68" xfId="0" applyNumberFormat="1" applyFill="1" applyBorder="1" applyAlignment="1">
      <alignment horizontal="center" vertical="center"/>
    </xf>
    <xf numFmtId="3" fontId="0" fillId="5" borderId="2" xfId="0" applyNumberFormat="1" applyFill="1" applyBorder="1" applyAlignment="1">
      <alignment horizontal="center" vertical="center"/>
    </xf>
    <xf numFmtId="3" fontId="19" fillId="8" borderId="53" xfId="0" applyNumberFormat="1" applyFont="1" applyFill="1" applyBorder="1" applyAlignment="1">
      <alignment horizontal="center"/>
    </xf>
    <xf numFmtId="3" fontId="57" fillId="8" borderId="53" xfId="0" applyNumberFormat="1" applyFont="1" applyFill="1" applyBorder="1" applyAlignment="1">
      <alignment horizontal="center" vertical="center"/>
    </xf>
    <xf numFmtId="164" fontId="2" fillId="12" borderId="76" xfId="2" applyNumberFormat="1" applyFont="1" applyFill="1" applyBorder="1" applyAlignment="1">
      <alignment horizontal="center"/>
    </xf>
    <xf numFmtId="3" fontId="2" fillId="12" borderId="76" xfId="0" applyNumberFormat="1" applyFont="1" applyFill="1" applyBorder="1" applyAlignment="1">
      <alignment horizontal="center"/>
    </xf>
    <xf numFmtId="3" fontId="6" fillId="12" borderId="76" xfId="0" applyNumberFormat="1" applyFont="1" applyFill="1" applyBorder="1" applyAlignment="1">
      <alignment horizontal="center"/>
    </xf>
    <xf numFmtId="3" fontId="2" fillId="12" borderId="80" xfId="0" applyNumberFormat="1" applyFont="1" applyFill="1" applyBorder="1" applyAlignment="1">
      <alignment horizontal="center"/>
    </xf>
    <xf numFmtId="3" fontId="0" fillId="0" borderId="75" xfId="0" applyNumberFormat="1" applyBorder="1" applyAlignment="1">
      <alignment horizontal="center"/>
    </xf>
    <xf numFmtId="3" fontId="0" fillId="0" borderId="18" xfId="0" applyNumberFormat="1" applyBorder="1" applyAlignment="1">
      <alignment horizontal="center"/>
    </xf>
    <xf numFmtId="3" fontId="0" fillId="0" borderId="69" xfId="0" applyNumberFormat="1" applyBorder="1" applyAlignment="1">
      <alignment horizontal="center"/>
    </xf>
    <xf numFmtId="164" fontId="2" fillId="0" borderId="69" xfId="2" applyNumberFormat="1" applyFont="1" applyBorder="1" applyAlignment="1">
      <alignment horizontal="center"/>
    </xf>
    <xf numFmtId="3" fontId="3" fillId="0" borderId="69" xfId="0" applyNumberFormat="1" applyFont="1" applyBorder="1" applyAlignment="1">
      <alignment horizontal="center" vertical="center"/>
    </xf>
    <xf numFmtId="3" fontId="3" fillId="0" borderId="69" xfId="0" applyNumberFormat="1" applyFont="1" applyBorder="1" applyAlignment="1">
      <alignment horizontal="center"/>
    </xf>
    <xf numFmtId="3" fontId="2" fillId="0" borderId="72" xfId="0" applyNumberFormat="1" applyFont="1" applyBorder="1" applyAlignment="1">
      <alignment horizontal="center"/>
    </xf>
    <xf numFmtId="3" fontId="0" fillId="0" borderId="71" xfId="0" applyNumberFormat="1" applyBorder="1" applyAlignment="1">
      <alignment horizontal="center"/>
    </xf>
    <xf numFmtId="3" fontId="0" fillId="0" borderId="67" xfId="0" applyNumberFormat="1" applyBorder="1" applyAlignment="1">
      <alignment horizontal="center"/>
    </xf>
    <xf numFmtId="164" fontId="2" fillId="0" borderId="68" xfId="2" applyNumberFormat="1" applyFont="1" applyBorder="1" applyAlignment="1">
      <alignment horizontal="center"/>
    </xf>
    <xf numFmtId="3" fontId="3" fillId="0" borderId="68" xfId="0" applyNumberFormat="1" applyFont="1" applyBorder="1" applyAlignment="1">
      <alignment horizontal="center" vertical="center"/>
    </xf>
    <xf numFmtId="3" fontId="3" fillId="0" borderId="68" xfId="0" applyNumberFormat="1" applyFont="1" applyBorder="1" applyAlignment="1">
      <alignment horizontal="center"/>
    </xf>
    <xf numFmtId="3" fontId="0" fillId="2" borderId="68" xfId="0" applyNumberFormat="1" applyFill="1" applyBorder="1" applyAlignment="1">
      <alignment horizontal="center"/>
    </xf>
    <xf numFmtId="164" fontId="2" fillId="2" borderId="68" xfId="2" applyNumberFormat="1" applyFont="1" applyFill="1" applyBorder="1" applyAlignment="1">
      <alignment horizontal="center"/>
    </xf>
    <xf numFmtId="3" fontId="2" fillId="0" borderId="10" xfId="0" applyNumberFormat="1" applyFont="1" applyBorder="1" applyAlignment="1">
      <alignment horizontal="center"/>
    </xf>
    <xf numFmtId="164" fontId="2" fillId="12" borderId="76" xfId="2" applyNumberFormat="1" applyFont="1" applyFill="1" applyBorder="1" applyAlignment="1">
      <alignment horizontal="center" vertical="center"/>
    </xf>
    <xf numFmtId="3" fontId="19" fillId="12" borderId="76" xfId="0" applyNumberFormat="1" applyFont="1" applyFill="1" applyBorder="1" applyAlignment="1">
      <alignment horizontal="center"/>
    </xf>
    <xf numFmtId="3" fontId="57" fillId="12" borderId="76" xfId="0" applyNumberFormat="1" applyFont="1" applyFill="1" applyBorder="1" applyAlignment="1">
      <alignment horizontal="center" vertical="center"/>
    </xf>
    <xf numFmtId="3" fontId="0" fillId="0" borderId="70" xfId="0" applyNumberFormat="1" applyBorder="1" applyAlignment="1">
      <alignment horizontal="center"/>
    </xf>
    <xf numFmtId="3" fontId="0" fillId="0" borderId="21" xfId="0" applyNumberFormat="1" applyBorder="1" applyAlignment="1">
      <alignment horizontal="center"/>
    </xf>
    <xf numFmtId="3" fontId="0" fillId="0" borderId="21" xfId="0" applyNumberFormat="1" applyBorder="1" applyAlignment="1">
      <alignment horizontal="left"/>
    </xf>
    <xf numFmtId="3" fontId="0" fillId="0" borderId="6" xfId="0" applyNumberFormat="1" applyBorder="1" applyAlignment="1">
      <alignment horizontal="center"/>
    </xf>
    <xf numFmtId="3" fontId="3" fillId="0" borderId="6" xfId="0" applyNumberFormat="1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/>
    </xf>
    <xf numFmtId="3" fontId="0" fillId="0" borderId="67" xfId="0" applyNumberFormat="1" applyBorder="1" applyAlignment="1">
      <alignment horizontal="left"/>
    </xf>
    <xf numFmtId="3" fontId="2" fillId="2" borderId="26" xfId="0" applyNumberFormat="1" applyFont="1" applyFill="1" applyBorder="1" applyAlignment="1">
      <alignment horizontal="center"/>
    </xf>
    <xf numFmtId="3" fontId="0" fillId="2" borderId="69" xfId="0" applyNumberFormat="1" applyFill="1" applyBorder="1" applyAlignment="1">
      <alignment horizontal="center"/>
    </xf>
    <xf numFmtId="3" fontId="2" fillId="12" borderId="9" xfId="0" applyNumberFormat="1" applyFont="1" applyFill="1" applyBorder="1" applyAlignment="1">
      <alignment horizontal="center"/>
    </xf>
    <xf numFmtId="164" fontId="17" fillId="0" borderId="0" xfId="2" applyNumberFormat="1" applyFont="1"/>
    <xf numFmtId="0" fontId="58" fillId="0" borderId="0" xfId="0" applyFont="1" applyAlignment="1"/>
    <xf numFmtId="3" fontId="2" fillId="0" borderId="84" xfId="0" applyNumberFormat="1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2" fillId="0" borderId="2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 applyAlignment="1">
      <alignment horizontal="center"/>
    </xf>
    <xf numFmtId="0" fontId="0" fillId="0" borderId="49" xfId="0" applyFill="1" applyBorder="1" applyAlignment="1">
      <alignment horizontal="center"/>
    </xf>
    <xf numFmtId="0" fontId="0" fillId="0" borderId="68" xfId="0" applyFill="1" applyBorder="1" applyAlignment="1">
      <alignment horizontal="center"/>
    </xf>
    <xf numFmtId="0" fontId="2" fillId="0" borderId="49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3" fillId="2" borderId="49" xfId="0" applyFont="1" applyFill="1" applyBorder="1" applyAlignment="1">
      <alignment horizontal="center" vertical="center"/>
    </xf>
    <xf numFmtId="0" fontId="2" fillId="13" borderId="49" xfId="0" applyFont="1" applyFill="1" applyBorder="1" applyAlignment="1">
      <alignment horizontal="center" vertical="center"/>
    </xf>
    <xf numFmtId="0" fontId="0" fillId="13" borderId="49" xfId="0" applyFill="1" applyBorder="1" applyAlignment="1">
      <alignment horizontal="center" vertical="center"/>
    </xf>
    <xf numFmtId="0" fontId="6" fillId="13" borderId="49" xfId="0" applyFont="1" applyFill="1" applyBorder="1" applyAlignment="1">
      <alignment horizontal="center" vertical="center"/>
    </xf>
    <xf numFmtId="2" fontId="0" fillId="0" borderId="49" xfId="0" applyNumberFormat="1" applyBorder="1" applyAlignment="1">
      <alignment horizontal="center"/>
    </xf>
    <xf numFmtId="0" fontId="44" fillId="0" borderId="49" xfId="0" applyFont="1" applyFill="1" applyBorder="1" applyAlignment="1">
      <alignment horizontal="center" vertical="center"/>
    </xf>
    <xf numFmtId="0" fontId="55" fillId="2" borderId="49" xfId="0" applyFont="1" applyFill="1" applyBorder="1" applyAlignment="1">
      <alignment horizontal="center" vertical="center"/>
    </xf>
    <xf numFmtId="0" fontId="40" fillId="2" borderId="0" xfId="0" applyFont="1" applyFill="1" applyAlignment="1">
      <alignment horizontal="center" vertical="center"/>
    </xf>
    <xf numFmtId="37" fontId="14" fillId="0" borderId="49" xfId="2" applyNumberFormat="1" applyFont="1" applyBorder="1" applyAlignment="1">
      <alignment horizontal="center" vertical="center"/>
    </xf>
    <xf numFmtId="3" fontId="14" fillId="0" borderId="49" xfId="0" applyNumberFormat="1" applyFont="1" applyBorder="1" applyAlignment="1">
      <alignment horizontal="center" vertical="center"/>
    </xf>
    <xf numFmtId="164" fontId="0" fillId="0" borderId="2" xfId="2" applyNumberFormat="1" applyFont="1" applyBorder="1" applyAlignment="1">
      <alignment vertical="center"/>
    </xf>
    <xf numFmtId="0" fontId="14" fillId="0" borderId="50" xfId="0" applyFont="1" applyBorder="1" applyAlignment="1">
      <alignment horizontal="center" vertical="center"/>
    </xf>
    <xf numFmtId="3" fontId="14" fillId="2" borderId="49" xfId="0" applyNumberFormat="1" applyFont="1" applyFill="1" applyBorder="1" applyAlignment="1">
      <alignment horizontal="center" vertical="center"/>
    </xf>
    <xf numFmtId="0" fontId="10" fillId="2" borderId="2" xfId="0" applyFont="1" applyFill="1" applyBorder="1"/>
    <xf numFmtId="0" fontId="10" fillId="2" borderId="49" xfId="0" applyFont="1" applyFill="1" applyBorder="1"/>
    <xf numFmtId="0" fontId="44" fillId="0" borderId="86" xfId="0" applyFont="1" applyFill="1" applyBorder="1" applyAlignment="1">
      <alignment horizontal="center" vertical="center"/>
    </xf>
    <xf numFmtId="0" fontId="10" fillId="4" borderId="2" xfId="0" applyFont="1" applyFill="1" applyBorder="1"/>
    <xf numFmtId="0" fontId="10" fillId="2" borderId="0" xfId="0" applyFont="1" applyFill="1" applyBorder="1" applyAlignment="1">
      <alignment horizontal="center" vertical="center"/>
    </xf>
    <xf numFmtId="0" fontId="10" fillId="4" borderId="0" xfId="0" applyFont="1" applyFill="1"/>
    <xf numFmtId="0" fontId="9" fillId="2" borderId="49" xfId="0" applyFont="1" applyFill="1" applyBorder="1" applyAlignment="1">
      <alignment horizontal="center" vertical="center"/>
    </xf>
    <xf numFmtId="0" fontId="9" fillId="4" borderId="49" xfId="0" applyFont="1" applyFill="1" applyBorder="1" applyAlignment="1">
      <alignment horizontal="center" vertical="center"/>
    </xf>
    <xf numFmtId="0" fontId="10" fillId="2" borderId="49" xfId="0" applyFont="1" applyFill="1" applyBorder="1" applyAlignment="1">
      <alignment horizontal="center"/>
    </xf>
    <xf numFmtId="0" fontId="10" fillId="4" borderId="49" xfId="0" applyFont="1" applyFill="1" applyBorder="1"/>
    <xf numFmtId="0" fontId="10" fillId="2" borderId="68" xfId="0" applyFont="1" applyFill="1" applyBorder="1"/>
    <xf numFmtId="0" fontId="10" fillId="4" borderId="68" xfId="0" applyFont="1" applyFill="1" applyBorder="1"/>
    <xf numFmtId="3" fontId="36" fillId="0" borderId="0" xfId="0" applyNumberFormat="1" applyFont="1" applyAlignment="1">
      <alignment horizontal="center" vertical="center"/>
    </xf>
    <xf numFmtId="3" fontId="17" fillId="0" borderId="0" xfId="0" applyNumberFormat="1" applyFont="1" applyAlignment="1">
      <alignment horizontal="center" vertical="center"/>
    </xf>
    <xf numFmtId="3" fontId="31" fillId="0" borderId="22" xfId="0" applyNumberFormat="1" applyFont="1" applyBorder="1" applyAlignment="1">
      <alignment horizontal="center" vertical="center"/>
    </xf>
    <xf numFmtId="3" fontId="29" fillId="0" borderId="0" xfId="0" applyNumberFormat="1" applyFont="1" applyAlignment="1">
      <alignment horizontal="center" vertical="center"/>
    </xf>
    <xf numFmtId="3" fontId="31" fillId="0" borderId="87" xfId="0" applyNumberFormat="1" applyFont="1" applyBorder="1" applyAlignment="1">
      <alignment horizontal="center" vertical="center"/>
    </xf>
    <xf numFmtId="0" fontId="60" fillId="0" borderId="0" xfId="0" applyFont="1" applyAlignment="1">
      <alignment horizontal="center" vertical="center"/>
    </xf>
    <xf numFmtId="43" fontId="0" fillId="0" borderId="0" xfId="2" applyFont="1"/>
    <xf numFmtId="3" fontId="17" fillId="0" borderId="0" xfId="0" applyNumberFormat="1" applyFont="1" applyAlignment="1">
      <alignment horizontal="center" vertical="center"/>
    </xf>
    <xf numFmtId="37" fontId="14" fillId="2" borderId="49" xfId="2" applyNumberFormat="1" applyFont="1" applyFill="1" applyBorder="1" applyAlignment="1">
      <alignment horizontal="center" vertical="center"/>
    </xf>
    <xf numFmtId="4" fontId="0" fillId="2" borderId="0" xfId="0" applyNumberFormat="1" applyFill="1" applyBorder="1" applyAlignment="1">
      <alignment horizontal="center" vertical="center"/>
    </xf>
    <xf numFmtId="3" fontId="0" fillId="0" borderId="48" xfId="0" applyNumberFormat="1" applyBorder="1" applyAlignment="1">
      <alignment horizontal="center"/>
    </xf>
    <xf numFmtId="3" fontId="0" fillId="0" borderId="87" xfId="0" applyNumberFormat="1" applyBorder="1" applyAlignment="1">
      <alignment horizontal="center"/>
    </xf>
    <xf numFmtId="1" fontId="18" fillId="4" borderId="3" xfId="0" applyNumberFormat="1" applyFont="1" applyFill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4" fillId="0" borderId="73" xfId="0" applyFont="1" applyBorder="1" applyAlignment="1">
      <alignment horizontal="center" vertical="center"/>
    </xf>
    <xf numFmtId="0" fontId="20" fillId="2" borderId="87" xfId="0" applyFont="1" applyFill="1" applyBorder="1" applyAlignment="1">
      <alignment horizontal="center" vertical="center"/>
    </xf>
    <xf numFmtId="0" fontId="0" fillId="2" borderId="87" xfId="0" applyFill="1" applyBorder="1"/>
    <xf numFmtId="0" fontId="0" fillId="4" borderId="87" xfId="0" applyFill="1" applyBorder="1" applyAlignment="1">
      <alignment horizontal="center" vertical="center"/>
    </xf>
    <xf numFmtId="0" fontId="10" fillId="4" borderId="87" xfId="0" applyFont="1" applyFill="1" applyBorder="1" applyAlignment="1">
      <alignment horizontal="center" vertical="center"/>
    </xf>
    <xf numFmtId="3" fontId="20" fillId="0" borderId="104" xfId="0" applyNumberFormat="1" applyFont="1" applyBorder="1" applyAlignment="1">
      <alignment horizontal="center" vertical="center"/>
    </xf>
    <xf numFmtId="0" fontId="20" fillId="0" borderId="104" xfId="0" applyFont="1" applyBorder="1" applyAlignment="1">
      <alignment horizontal="center" vertical="center"/>
    </xf>
    <xf numFmtId="164" fontId="20" fillId="0" borderId="104" xfId="2" applyNumberFormat="1" applyFont="1" applyBorder="1" applyAlignment="1">
      <alignment horizontal="center" vertical="center"/>
    </xf>
    <xf numFmtId="3" fontId="20" fillId="0" borderId="104" xfId="2" applyNumberFormat="1" applyFont="1" applyBorder="1" applyAlignment="1">
      <alignment horizontal="center" vertical="center"/>
    </xf>
    <xf numFmtId="0" fontId="20" fillId="0" borderId="104" xfId="2" applyNumberFormat="1" applyFont="1" applyFill="1" applyBorder="1" applyAlignment="1">
      <alignment horizontal="center" vertical="center"/>
    </xf>
    <xf numFmtId="0" fontId="20" fillId="2" borderId="104" xfId="0" applyFont="1" applyFill="1" applyBorder="1" applyAlignment="1">
      <alignment horizontal="center" vertical="center"/>
    </xf>
    <xf numFmtId="3" fontId="20" fillId="2" borderId="104" xfId="0" applyNumberFormat="1" applyFont="1" applyFill="1" applyBorder="1" applyAlignment="1">
      <alignment horizontal="center" vertical="center"/>
    </xf>
    <xf numFmtId="3" fontId="20" fillId="0" borderId="75" xfId="0" applyNumberFormat="1" applyFont="1" applyBorder="1" applyAlignment="1">
      <alignment horizontal="center" vertical="center"/>
    </xf>
    <xf numFmtId="0" fontId="44" fillId="0" borderId="106" xfId="0" applyFont="1" applyFill="1" applyBorder="1" applyAlignment="1">
      <alignment horizontal="center" vertical="center"/>
    </xf>
    <xf numFmtId="0" fontId="45" fillId="2" borderId="106" xfId="0" quotePrefix="1" applyFont="1" applyFill="1" applyBorder="1" applyAlignment="1">
      <alignment horizontal="center"/>
    </xf>
    <xf numFmtId="0" fontId="10" fillId="2" borderId="107" xfId="0" applyFont="1" applyFill="1" applyBorder="1" applyAlignment="1">
      <alignment horizontal="left" vertical="top"/>
    </xf>
    <xf numFmtId="0" fontId="31" fillId="2" borderId="104" xfId="0" applyFont="1" applyFill="1" applyBorder="1" applyAlignment="1">
      <alignment horizontal="left" vertical="center"/>
    </xf>
    <xf numFmtId="3" fontId="31" fillId="0" borderId="104" xfId="0" applyNumberFormat="1" applyFont="1" applyBorder="1" applyAlignment="1">
      <alignment horizontal="center" vertical="center"/>
    </xf>
    <xf numFmtId="164" fontId="31" fillId="0" borderId="104" xfId="2" applyNumberFormat="1" applyFont="1" applyBorder="1" applyAlignment="1">
      <alignment horizontal="center" vertical="center"/>
    </xf>
    <xf numFmtId="164" fontId="31" fillId="2" borderId="104" xfId="2" applyNumberFormat="1" applyFont="1" applyFill="1" applyBorder="1" applyAlignment="1">
      <alignment horizontal="center" vertical="center"/>
    </xf>
    <xf numFmtId="0" fontId="31" fillId="0" borderId="104" xfId="0" applyFont="1" applyBorder="1" applyAlignment="1">
      <alignment horizontal="center" vertical="center"/>
    </xf>
    <xf numFmtId="3" fontId="31" fillId="2" borderId="104" xfId="0" applyNumberFormat="1" applyFont="1" applyFill="1" applyBorder="1" applyAlignment="1">
      <alignment horizontal="center" vertical="center"/>
    </xf>
    <xf numFmtId="164" fontId="0" fillId="0" borderId="104" xfId="2" applyNumberFormat="1" applyFont="1" applyBorder="1" applyAlignment="1">
      <alignment horizontal="center" vertical="center"/>
    </xf>
    <xf numFmtId="3" fontId="31" fillId="0" borderId="104" xfId="2" applyNumberFormat="1" applyFont="1" applyFill="1" applyBorder="1" applyAlignment="1">
      <alignment horizontal="center" vertical="center" wrapText="1"/>
    </xf>
    <xf numFmtId="3" fontId="31" fillId="10" borderId="104" xfId="2" applyNumberFormat="1" applyFont="1" applyFill="1" applyBorder="1" applyAlignment="1">
      <alignment horizontal="center" vertical="center" wrapText="1"/>
    </xf>
    <xf numFmtId="3" fontId="31" fillId="0" borderId="104" xfId="0" applyNumberFormat="1" applyFont="1" applyFill="1" applyBorder="1" applyAlignment="1">
      <alignment horizontal="center" vertical="center"/>
    </xf>
    <xf numFmtId="3" fontId="31" fillId="0" borderId="105" xfId="0" applyNumberFormat="1" applyFont="1" applyBorder="1" applyAlignment="1">
      <alignment horizontal="center" vertical="center"/>
    </xf>
    <xf numFmtId="3" fontId="31" fillId="0" borderId="108" xfId="0" applyNumberFormat="1" applyFont="1" applyBorder="1" applyAlignment="1">
      <alignment horizontal="center" vertical="center"/>
    </xf>
    <xf numFmtId="4" fontId="0" fillId="0" borderId="0" xfId="0" applyNumberFormat="1" applyBorder="1" applyAlignment="1">
      <alignment horizontal="center" vertical="center"/>
    </xf>
    <xf numFmtId="3" fontId="29" fillId="0" borderId="18" xfId="0" applyNumberFormat="1" applyFont="1" applyBorder="1" applyAlignment="1">
      <alignment horizontal="center" vertical="center" wrapText="1"/>
    </xf>
    <xf numFmtId="3" fontId="0" fillId="0" borderId="109" xfId="0" applyNumberFormat="1" applyBorder="1" applyAlignment="1">
      <alignment horizontal="center"/>
    </xf>
    <xf numFmtId="3" fontId="0" fillId="0" borderId="110" xfId="0" applyNumberFormat="1" applyBorder="1" applyAlignment="1">
      <alignment horizontal="center"/>
    </xf>
    <xf numFmtId="0" fontId="20" fillId="2" borderId="110" xfId="0" applyFont="1" applyFill="1" applyBorder="1" applyAlignment="1">
      <alignment horizontal="left" vertical="center"/>
    </xf>
    <xf numFmtId="0" fontId="4" fillId="0" borderId="111" xfId="0" applyFont="1" applyBorder="1" applyAlignment="1">
      <alignment horizontal="center" vertical="center"/>
    </xf>
    <xf numFmtId="2" fontId="2" fillId="0" borderId="110" xfId="0" applyNumberFormat="1" applyFont="1" applyBorder="1" applyAlignment="1">
      <alignment horizontal="center" vertical="center" wrapText="1"/>
    </xf>
    <xf numFmtId="0" fontId="2" fillId="0" borderId="110" xfId="0" applyFont="1" applyFill="1" applyBorder="1" applyAlignment="1">
      <alignment horizontal="center" vertical="center"/>
    </xf>
    <xf numFmtId="0" fontId="2" fillId="0" borderId="110" xfId="0" applyFont="1" applyFill="1" applyBorder="1" applyAlignment="1">
      <alignment horizontal="center" vertical="center" wrapText="1"/>
    </xf>
    <xf numFmtId="0" fontId="6" fillId="0" borderId="110" xfId="0" applyFont="1" applyBorder="1" applyAlignment="1">
      <alignment horizontal="center" vertical="center" wrapText="1"/>
    </xf>
    <xf numFmtId="0" fontId="0" fillId="0" borderId="110" xfId="0" applyFont="1" applyBorder="1" applyAlignment="1">
      <alignment horizontal="center" vertical="center"/>
    </xf>
    <xf numFmtId="3" fontId="0" fillId="0" borderId="110" xfId="0" applyNumberFormat="1" applyFont="1" applyBorder="1" applyAlignment="1">
      <alignment horizontal="center" vertical="center"/>
    </xf>
    <xf numFmtId="1" fontId="0" fillId="0" borderId="110" xfId="0" applyNumberFormat="1" applyFont="1" applyBorder="1" applyAlignment="1">
      <alignment horizontal="center" vertical="center"/>
    </xf>
    <xf numFmtId="1" fontId="0" fillId="78" borderId="110" xfId="0" applyNumberFormat="1" applyFont="1" applyFill="1" applyBorder="1" applyAlignment="1">
      <alignment horizontal="center" vertical="center"/>
    </xf>
    <xf numFmtId="3" fontId="0" fillId="0" borderId="110" xfId="0" applyNumberFormat="1" applyBorder="1" applyAlignment="1">
      <alignment horizontal="center" vertical="center"/>
    </xf>
    <xf numFmtId="3" fontId="3" fillId="0" borderId="110" xfId="0" applyNumberFormat="1" applyFont="1" applyBorder="1" applyAlignment="1">
      <alignment horizontal="center" vertical="center"/>
    </xf>
    <xf numFmtId="3" fontId="0" fillId="0" borderId="5" xfId="0" applyNumberFormat="1" applyFill="1" applyBorder="1" applyAlignment="1">
      <alignment horizontal="center" vertical="center"/>
    </xf>
    <xf numFmtId="3" fontId="2" fillId="0" borderId="110" xfId="0" applyNumberFormat="1" applyFont="1" applyBorder="1" applyAlignment="1">
      <alignment horizontal="center" vertical="center"/>
    </xf>
    <xf numFmtId="1" fontId="2" fillId="0" borderId="110" xfId="0" applyNumberFormat="1" applyFont="1" applyBorder="1" applyAlignment="1">
      <alignment horizontal="center" vertical="center"/>
    </xf>
    <xf numFmtId="0" fontId="0" fillId="0" borderId="110" xfId="0" applyBorder="1"/>
    <xf numFmtId="3" fontId="6" fillId="0" borderId="110" xfId="0" applyNumberFormat="1" applyFont="1" applyBorder="1" applyAlignment="1">
      <alignment horizontal="center" vertical="center"/>
    </xf>
    <xf numFmtId="0" fontId="47" fillId="0" borderId="0" xfId="0" applyFont="1"/>
    <xf numFmtId="2" fontId="0" fillId="0" borderId="0" xfId="0" applyNumberFormat="1"/>
    <xf numFmtId="3" fontId="17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center" vertical="center"/>
    </xf>
    <xf numFmtId="3" fontId="36" fillId="0" borderId="0" xfId="0" applyNumberFormat="1" applyFont="1" applyAlignment="1">
      <alignment horizontal="center" vertical="center"/>
    </xf>
    <xf numFmtId="3" fontId="29" fillId="0" borderId="0" xfId="0" applyNumberFormat="1" applyFont="1" applyAlignment="1">
      <alignment horizontal="center" vertical="center"/>
    </xf>
    <xf numFmtId="3" fontId="29" fillId="0" borderId="26" xfId="0" applyNumberFormat="1" applyFont="1" applyBorder="1" applyAlignment="1">
      <alignment horizontal="center" vertical="center"/>
    </xf>
    <xf numFmtId="3" fontId="29" fillId="0" borderId="5" xfId="0" applyNumberFormat="1" applyFont="1" applyBorder="1" applyAlignment="1">
      <alignment horizontal="center" vertical="center"/>
    </xf>
    <xf numFmtId="3" fontId="29" fillId="0" borderId="25" xfId="0" applyNumberFormat="1" applyFont="1" applyBorder="1" applyAlignment="1">
      <alignment horizontal="center" vertical="center"/>
    </xf>
    <xf numFmtId="3" fontId="29" fillId="0" borderId="24" xfId="0" applyNumberFormat="1" applyFont="1" applyBorder="1" applyAlignment="1">
      <alignment horizontal="center" vertical="center"/>
    </xf>
    <xf numFmtId="3" fontId="29" fillId="0" borderId="18" xfId="0" applyNumberFormat="1" applyFont="1" applyBorder="1" applyAlignment="1">
      <alignment horizontal="center" vertical="center"/>
    </xf>
    <xf numFmtId="3" fontId="29" fillId="0" borderId="0" xfId="0" applyNumberFormat="1" applyFont="1" applyFill="1" applyAlignment="1">
      <alignment horizontal="center" vertical="center"/>
    </xf>
    <xf numFmtId="3" fontId="17" fillId="0" borderId="0" xfId="0" applyNumberFormat="1" applyFont="1" applyFill="1" applyAlignment="1">
      <alignment horizontal="center" vertical="center"/>
    </xf>
    <xf numFmtId="3" fontId="31" fillId="0" borderId="95" xfId="0" applyNumberFormat="1" applyFont="1" applyBorder="1" applyAlignment="1">
      <alignment horizontal="center" vertical="center"/>
    </xf>
    <xf numFmtId="3" fontId="29" fillId="0" borderId="104" xfId="0" applyNumberFormat="1" applyFont="1" applyBorder="1" applyAlignment="1">
      <alignment horizontal="center" vertical="center"/>
    </xf>
    <xf numFmtId="3" fontId="29" fillId="0" borderId="55" xfId="0" applyNumberFormat="1" applyFont="1" applyBorder="1" applyAlignment="1">
      <alignment horizontal="center" vertical="center"/>
    </xf>
    <xf numFmtId="3" fontId="29" fillId="0" borderId="69" xfId="0" applyNumberFormat="1" applyFont="1" applyBorder="1" applyAlignment="1">
      <alignment horizontal="center" vertical="center"/>
    </xf>
    <xf numFmtId="0" fontId="30" fillId="0" borderId="104" xfId="0" applyFont="1" applyBorder="1" applyAlignment="1">
      <alignment horizontal="center" vertical="center" wrapText="1"/>
    </xf>
    <xf numFmtId="0" fontId="30" fillId="0" borderId="55" xfId="0" applyFont="1" applyBorder="1" applyAlignment="1">
      <alignment horizontal="center" vertical="center" wrapText="1"/>
    </xf>
    <xf numFmtId="0" fontId="30" fillId="0" borderId="55" xfId="0" applyFont="1" applyBorder="1" applyAlignment="1">
      <alignment horizontal="center" vertical="center"/>
    </xf>
    <xf numFmtId="3" fontId="29" fillId="0" borderId="73" xfId="0" applyNumberFormat="1" applyFont="1" applyBorder="1" applyAlignment="1">
      <alignment horizontal="center" vertical="center"/>
    </xf>
    <xf numFmtId="3" fontId="30" fillId="0" borderId="113" xfId="0" applyNumberFormat="1" applyFont="1" applyBorder="1" applyAlignment="1">
      <alignment horizontal="center" vertical="center"/>
    </xf>
    <xf numFmtId="3" fontId="29" fillId="0" borderId="113" xfId="0" applyNumberFormat="1" applyFont="1" applyBorder="1" applyAlignment="1">
      <alignment horizontal="center" vertical="center"/>
    </xf>
    <xf numFmtId="3" fontId="29" fillId="0" borderId="74" xfId="0" applyNumberFormat="1" applyFont="1" applyBorder="1" applyAlignment="1">
      <alignment horizontal="center" vertical="center"/>
    </xf>
    <xf numFmtId="3" fontId="20" fillId="0" borderId="110" xfId="0" applyNumberFormat="1" applyFont="1" applyFill="1" applyBorder="1" applyAlignment="1">
      <alignment horizontal="center" vertical="center"/>
    </xf>
    <xf numFmtId="164" fontId="20" fillId="0" borderId="110" xfId="2" applyNumberFormat="1" applyFont="1" applyBorder="1" applyAlignment="1">
      <alignment horizontal="center" vertical="center" wrapText="1"/>
    </xf>
    <xf numFmtId="3" fontId="32" fillId="0" borderId="104" xfId="0" applyNumberFormat="1" applyFont="1" applyBorder="1" applyAlignment="1">
      <alignment horizontal="center" vertical="center"/>
    </xf>
    <xf numFmtId="164" fontId="20" fillId="0" borderId="104" xfId="2" applyNumberFormat="1" applyFont="1" applyBorder="1" applyAlignment="1">
      <alignment horizontal="center" vertical="center" wrapText="1"/>
    </xf>
    <xf numFmtId="3" fontId="20" fillId="0" borderId="110" xfId="0" applyNumberFormat="1" applyFont="1" applyBorder="1" applyAlignment="1">
      <alignment horizontal="center" vertical="center"/>
    </xf>
    <xf numFmtId="3" fontId="20" fillId="10" borderId="104" xfId="2" applyNumberFormat="1" applyFont="1" applyFill="1" applyBorder="1" applyAlignment="1">
      <alignment horizontal="center" vertical="center" wrapText="1"/>
    </xf>
    <xf numFmtId="3" fontId="20" fillId="0" borderId="110" xfId="2" applyNumberFormat="1" applyFont="1" applyBorder="1" applyAlignment="1">
      <alignment horizontal="center" vertical="center"/>
    </xf>
    <xf numFmtId="3" fontId="20" fillId="2" borderId="110" xfId="0" applyNumberFormat="1" applyFont="1" applyFill="1" applyBorder="1" applyAlignment="1">
      <alignment horizontal="center" vertical="center"/>
    </xf>
    <xf numFmtId="3" fontId="20" fillId="10" borderId="110" xfId="2" applyNumberFormat="1" applyFont="1" applyFill="1" applyBorder="1" applyAlignment="1">
      <alignment horizontal="center" vertical="center" wrapText="1"/>
    </xf>
    <xf numFmtId="3" fontId="20" fillId="0" borderId="85" xfId="2" applyNumberFormat="1" applyFont="1" applyBorder="1" applyAlignment="1">
      <alignment horizontal="center" vertical="center" wrapText="1"/>
    </xf>
    <xf numFmtId="3" fontId="31" fillId="0" borderId="114" xfId="0" applyNumberFormat="1" applyFont="1" applyBorder="1" applyAlignment="1">
      <alignment horizontal="center" vertical="center"/>
    </xf>
    <xf numFmtId="164" fontId="20" fillId="0" borderId="69" xfId="2" applyNumberFormat="1" applyFont="1" applyBorder="1" applyAlignment="1">
      <alignment horizontal="center" vertical="center" wrapText="1"/>
    </xf>
    <xf numFmtId="0" fontId="20" fillId="0" borderId="110" xfId="2" applyNumberFormat="1" applyFont="1" applyFill="1" applyBorder="1" applyAlignment="1">
      <alignment horizontal="center" vertical="center"/>
    </xf>
    <xf numFmtId="164" fontId="20" fillId="0" borderId="110" xfId="2" applyNumberFormat="1" applyFont="1" applyBorder="1" applyAlignment="1">
      <alignment horizontal="center" vertical="center"/>
    </xf>
    <xf numFmtId="0" fontId="20" fillId="0" borderId="110" xfId="0" applyFont="1" applyBorder="1" applyAlignment="1">
      <alignment horizontal="center" vertical="center"/>
    </xf>
    <xf numFmtId="0" fontId="20" fillId="2" borderId="110" xfId="0" applyFont="1" applyFill="1" applyBorder="1" applyAlignment="1">
      <alignment horizontal="center" vertical="center"/>
    </xf>
    <xf numFmtId="164" fontId="33" fillId="0" borderId="114" xfId="2" applyNumberFormat="1" applyFont="1" applyBorder="1" applyAlignment="1">
      <alignment horizontal="center" vertical="center"/>
    </xf>
    <xf numFmtId="164" fontId="33" fillId="0" borderId="109" xfId="2" applyNumberFormat="1" applyFont="1" applyBorder="1" applyAlignment="1">
      <alignment horizontal="center" vertical="center"/>
    </xf>
    <xf numFmtId="3" fontId="34" fillId="0" borderId="110" xfId="0" applyNumberFormat="1" applyFont="1" applyBorder="1" applyAlignment="1">
      <alignment horizontal="center" vertical="center"/>
    </xf>
    <xf numFmtId="0" fontId="20" fillId="0" borderId="69" xfId="2" applyNumberFormat="1" applyFont="1" applyBorder="1" applyAlignment="1">
      <alignment horizontal="center" vertical="center" wrapText="1"/>
    </xf>
    <xf numFmtId="0" fontId="20" fillId="0" borderId="110" xfId="0" applyNumberFormat="1" applyFont="1" applyBorder="1" applyAlignment="1">
      <alignment horizontal="center" vertical="center"/>
    </xf>
    <xf numFmtId="3" fontId="20" fillId="0" borderId="110" xfId="2" applyNumberFormat="1" applyFont="1" applyFill="1" applyBorder="1" applyAlignment="1">
      <alignment horizontal="center" vertical="center"/>
    </xf>
    <xf numFmtId="3" fontId="20" fillId="2" borderId="110" xfId="2" applyNumberFormat="1" applyFont="1" applyFill="1" applyBorder="1" applyAlignment="1">
      <alignment horizontal="center" vertical="center"/>
    </xf>
    <xf numFmtId="0" fontId="20" fillId="0" borderId="109" xfId="0" applyFont="1" applyBorder="1" applyAlignment="1">
      <alignment horizontal="center" vertical="center"/>
    </xf>
    <xf numFmtId="0" fontId="20" fillId="0" borderId="110" xfId="0" applyNumberFormat="1" applyFont="1" applyFill="1" applyBorder="1" applyAlignment="1">
      <alignment horizontal="center" vertical="center"/>
    </xf>
    <xf numFmtId="0" fontId="33" fillId="0" borderId="114" xfId="0" applyFont="1" applyBorder="1" applyAlignment="1">
      <alignment horizontal="center" vertical="center"/>
    </xf>
    <xf numFmtId="0" fontId="20" fillId="0" borderId="109" xfId="0" applyNumberFormat="1" applyFont="1" applyBorder="1" applyAlignment="1">
      <alignment horizontal="center" vertical="center"/>
    </xf>
    <xf numFmtId="3" fontId="32" fillId="0" borderId="104" xfId="2" applyNumberFormat="1" applyFont="1" applyBorder="1" applyAlignment="1">
      <alignment horizontal="center" vertical="center"/>
    </xf>
    <xf numFmtId="3" fontId="20" fillId="0" borderId="110" xfId="2" applyNumberFormat="1" applyFont="1" applyBorder="1" applyAlignment="1">
      <alignment horizontal="center" vertical="center" wrapText="1"/>
    </xf>
    <xf numFmtId="0" fontId="33" fillId="0" borderId="114" xfId="0" applyNumberFormat="1" applyFont="1" applyBorder="1" applyAlignment="1">
      <alignment horizontal="center" vertical="center"/>
    </xf>
    <xf numFmtId="3" fontId="31" fillId="0" borderId="110" xfId="0" applyNumberFormat="1" applyFont="1" applyBorder="1" applyAlignment="1">
      <alignment horizontal="center" vertical="center"/>
    </xf>
    <xf numFmtId="3" fontId="35" fillId="0" borderId="73" xfId="0" applyNumberFormat="1" applyFont="1" applyBorder="1" applyAlignment="1">
      <alignment horizontal="center" vertical="center"/>
    </xf>
    <xf numFmtId="3" fontId="35" fillId="2" borderId="73" xfId="0" applyNumberFormat="1" applyFont="1" applyFill="1" applyBorder="1" applyAlignment="1">
      <alignment horizontal="center" vertical="center"/>
    </xf>
    <xf numFmtId="3" fontId="35" fillId="0" borderId="113" xfId="0" applyNumberFormat="1" applyFont="1" applyBorder="1" applyAlignment="1">
      <alignment horizontal="center" vertical="center"/>
    </xf>
    <xf numFmtId="164" fontId="31" fillId="0" borderId="30" xfId="2" applyNumberFormat="1" applyFont="1" applyBorder="1" applyAlignment="1">
      <alignment horizontal="center" vertical="center"/>
    </xf>
    <xf numFmtId="164" fontId="31" fillId="0" borderId="104" xfId="0" applyNumberFormat="1" applyFont="1" applyBorder="1" applyAlignment="1">
      <alignment horizontal="center" vertical="center"/>
    </xf>
    <xf numFmtId="0" fontId="31" fillId="0" borderId="110" xfId="0" applyFont="1" applyBorder="1" applyAlignment="1">
      <alignment horizontal="center" vertical="center"/>
    </xf>
    <xf numFmtId="0" fontId="31" fillId="2" borderId="110" xfId="0" applyFont="1" applyFill="1" applyBorder="1" applyAlignment="1">
      <alignment horizontal="left" vertical="center"/>
    </xf>
    <xf numFmtId="164" fontId="31" fillId="0" borderId="110" xfId="2" applyNumberFormat="1" applyFont="1" applyBorder="1" applyAlignment="1">
      <alignment horizontal="center" vertical="center"/>
    </xf>
    <xf numFmtId="164" fontId="31" fillId="0" borderId="110" xfId="0" applyNumberFormat="1" applyFont="1" applyBorder="1" applyAlignment="1">
      <alignment horizontal="center" vertical="center"/>
    </xf>
    <xf numFmtId="164" fontId="31" fillId="2" borderId="110" xfId="2" applyNumberFormat="1" applyFont="1" applyFill="1" applyBorder="1" applyAlignment="1">
      <alignment horizontal="center" vertical="center"/>
    </xf>
    <xf numFmtId="3" fontId="31" fillId="2" borderId="110" xfId="0" applyNumberFormat="1" applyFont="1" applyFill="1" applyBorder="1" applyAlignment="1">
      <alignment horizontal="center" vertical="center"/>
    </xf>
    <xf numFmtId="164" fontId="0" fillId="0" borderId="110" xfId="2" applyNumberFormat="1" applyFont="1" applyBorder="1" applyAlignment="1">
      <alignment horizontal="center" vertical="center"/>
    </xf>
    <xf numFmtId="3" fontId="31" fillId="0" borderId="110" xfId="2" applyNumberFormat="1" applyFont="1" applyFill="1" applyBorder="1" applyAlignment="1">
      <alignment horizontal="center" vertical="center" wrapText="1"/>
    </xf>
    <xf numFmtId="3" fontId="31" fillId="10" borderId="110" xfId="2" applyNumberFormat="1" applyFont="1" applyFill="1" applyBorder="1" applyAlignment="1">
      <alignment horizontal="center" vertical="center" wrapText="1"/>
    </xf>
    <xf numFmtId="3" fontId="31" fillId="0" borderId="110" xfId="0" applyNumberFormat="1" applyFont="1" applyFill="1" applyBorder="1" applyAlignment="1">
      <alignment horizontal="center" vertical="center"/>
    </xf>
    <xf numFmtId="0" fontId="0" fillId="0" borderId="109" xfId="0" applyBorder="1" applyAlignment="1">
      <alignment horizontal="center"/>
    </xf>
    <xf numFmtId="0" fontId="0" fillId="0" borderId="110" xfId="0" applyBorder="1" applyAlignment="1">
      <alignment horizontal="center"/>
    </xf>
    <xf numFmtId="43" fontId="0" fillId="0" borderId="110" xfId="0" applyNumberFormat="1" applyBorder="1" applyAlignment="1">
      <alignment horizontal="center"/>
    </xf>
    <xf numFmtId="3" fontId="0" fillId="0" borderId="110" xfId="0" applyNumberFormat="1" applyBorder="1"/>
    <xf numFmtId="0" fontId="10" fillId="2" borderId="109" xfId="0" applyFont="1" applyFill="1" applyBorder="1" applyAlignment="1">
      <alignment horizontal="left" vertical="top"/>
    </xf>
    <xf numFmtId="3" fontId="46" fillId="2" borderId="110" xfId="0" applyNumberFormat="1" applyFont="1" applyFill="1" applyBorder="1" applyAlignment="1">
      <alignment horizontal="center" vertical="center"/>
    </xf>
    <xf numFmtId="3" fontId="17" fillId="0" borderId="0" xfId="0" applyNumberFormat="1" applyFont="1" applyAlignment="1">
      <alignment horizontal="center" vertical="center"/>
    </xf>
    <xf numFmtId="3" fontId="30" fillId="0" borderId="5" xfId="0" applyNumberFormat="1" applyFont="1" applyBorder="1" applyAlignment="1">
      <alignment horizontal="center" vertical="center"/>
    </xf>
    <xf numFmtId="3" fontId="0" fillId="2" borderId="110" xfId="0" applyNumberFormat="1" applyFill="1" applyBorder="1" applyAlignment="1">
      <alignment horizontal="center" vertical="center"/>
    </xf>
    <xf numFmtId="4" fontId="0" fillId="0" borderId="110" xfId="0" applyNumberFormat="1" applyBorder="1" applyAlignment="1">
      <alignment horizontal="center" vertical="center"/>
    </xf>
    <xf numFmtId="3" fontId="14" fillId="2" borderId="110" xfId="0" applyNumberFormat="1" applyFont="1" applyFill="1" applyBorder="1" applyAlignment="1">
      <alignment horizontal="center" vertical="center"/>
    </xf>
    <xf numFmtId="37" fontId="14" fillId="2" borderId="110" xfId="2" applyNumberFormat="1" applyFont="1" applyFill="1" applyBorder="1" applyAlignment="1">
      <alignment horizontal="center" vertical="center"/>
    </xf>
    <xf numFmtId="3" fontId="14" fillId="0" borderId="110" xfId="0" applyNumberFormat="1" applyFont="1" applyBorder="1" applyAlignment="1">
      <alignment horizontal="center" vertical="center"/>
    </xf>
    <xf numFmtId="3" fontId="15" fillId="0" borderId="0" xfId="0" applyNumberFormat="1" applyFont="1" applyAlignment="1">
      <alignment horizontal="center" vertical="center"/>
    </xf>
    <xf numFmtId="0" fontId="39" fillId="0" borderId="110" xfId="0" applyFont="1" applyBorder="1" applyAlignment="1">
      <alignment horizontal="center" vertical="center" wrapText="1"/>
    </xf>
    <xf numFmtId="0" fontId="39" fillId="0" borderId="110" xfId="0" applyFont="1" applyBorder="1" applyAlignment="1">
      <alignment horizontal="center" wrapText="1"/>
    </xf>
    <xf numFmtId="0" fontId="0" fillId="0" borderId="110" xfId="0" applyBorder="1" applyAlignment="1">
      <alignment horizontal="center" vertical="center"/>
    </xf>
    <xf numFmtId="0" fontId="0" fillId="5" borderId="0" xfId="0" applyFill="1"/>
    <xf numFmtId="0" fontId="45" fillId="79" borderId="106" xfId="0" quotePrefix="1" applyFont="1" applyFill="1" applyBorder="1" applyAlignment="1">
      <alignment horizontal="center"/>
    </xf>
    <xf numFmtId="3" fontId="0" fillId="2" borderId="110" xfId="0" applyNumberFormat="1" applyFill="1" applyBorder="1" applyAlignment="1">
      <alignment horizontal="center"/>
    </xf>
    <xf numFmtId="3" fontId="10" fillId="4" borderId="3" xfId="0" applyNumberFormat="1" applyFont="1" applyFill="1" applyBorder="1" applyAlignment="1">
      <alignment horizontal="center" vertical="center"/>
    </xf>
    <xf numFmtId="0" fontId="10" fillId="4" borderId="68" xfId="0" applyFont="1" applyFill="1" applyBorder="1" applyAlignment="1">
      <alignment horizontal="center"/>
    </xf>
    <xf numFmtId="3" fontId="4" fillId="4" borderId="2" xfId="0" applyNumberFormat="1" applyFont="1" applyFill="1" applyBorder="1" applyAlignment="1">
      <alignment horizontal="center" vertical="center"/>
    </xf>
    <xf numFmtId="0" fontId="22" fillId="4" borderId="4" xfId="0" quotePrefix="1" applyFont="1" applyFill="1" applyBorder="1" applyAlignment="1">
      <alignment horizontal="center" vertical="center"/>
    </xf>
    <xf numFmtId="3" fontId="10" fillId="4" borderId="2" xfId="0" applyNumberFormat="1" applyFont="1" applyFill="1" applyBorder="1" applyAlignment="1">
      <alignment horizontal="center" vertical="center"/>
    </xf>
    <xf numFmtId="3" fontId="10" fillId="4" borderId="2" xfId="0" applyNumberFormat="1" applyFont="1" applyFill="1" applyBorder="1" applyAlignment="1">
      <alignment horizontal="center"/>
    </xf>
    <xf numFmtId="0" fontId="0" fillId="4" borderId="0" xfId="0" applyFill="1" applyBorder="1" applyAlignment="1">
      <alignment horizontal="center" vertical="center"/>
    </xf>
    <xf numFmtId="0" fontId="10" fillId="4" borderId="0" xfId="0" applyFont="1" applyFill="1" applyBorder="1" applyAlignment="1">
      <alignment horizontal="center" vertical="center"/>
    </xf>
    <xf numFmtId="3" fontId="31" fillId="9" borderId="104" xfId="0" applyNumberFormat="1" applyFont="1" applyFill="1" applyBorder="1" applyAlignment="1">
      <alignment horizontal="center" vertical="center"/>
    </xf>
    <xf numFmtId="3" fontId="46" fillId="2" borderId="104" xfId="0" applyNumberFormat="1" applyFont="1" applyFill="1" applyBorder="1" applyAlignment="1">
      <alignment horizontal="center" vertical="center"/>
    </xf>
    <xf numFmtId="192" fontId="0" fillId="0" borderId="110" xfId="0" applyNumberFormat="1" applyFont="1" applyBorder="1" applyAlignment="1">
      <alignment horizontal="center" vertical="center"/>
    </xf>
    <xf numFmtId="3" fontId="17" fillId="0" borderId="0" xfId="0" applyNumberFormat="1" applyFont="1" applyAlignment="1">
      <alignment horizontal="center" vertical="center"/>
    </xf>
    <xf numFmtId="0" fontId="45" fillId="5" borderId="106" xfId="0" quotePrefix="1" applyFont="1" applyFill="1" applyBorder="1" applyAlignment="1">
      <alignment horizontal="center"/>
    </xf>
    <xf numFmtId="1" fontId="18" fillId="4" borderId="2" xfId="0" applyNumberFormat="1" applyFont="1" applyFill="1" applyBorder="1" applyAlignment="1">
      <alignment horizontal="center" vertical="center"/>
    </xf>
    <xf numFmtId="0" fontId="10" fillId="4" borderId="2" xfId="0" quotePrefix="1" applyFont="1" applyFill="1" applyBorder="1" applyAlignment="1">
      <alignment horizontal="center" vertical="center"/>
    </xf>
    <xf numFmtId="0" fontId="9" fillId="4" borderId="6" xfId="0" quotePrefix="1" applyFont="1" applyFill="1" applyBorder="1" applyAlignment="1">
      <alignment horizontal="center" vertical="center"/>
    </xf>
    <xf numFmtId="3" fontId="10" fillId="4" borderId="8" xfId="0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3" fontId="31" fillId="0" borderId="113" xfId="0" applyNumberFormat="1" applyFont="1" applyBorder="1" applyAlignment="1">
      <alignment horizontal="center" vertical="center"/>
    </xf>
    <xf numFmtId="3" fontId="31" fillId="0" borderId="115" xfId="0" applyNumberFormat="1" applyFont="1" applyBorder="1" applyAlignment="1">
      <alignment horizontal="center" vertical="center"/>
    </xf>
    <xf numFmtId="192" fontId="0" fillId="0" borderId="0" xfId="0" applyNumberFormat="1"/>
    <xf numFmtId="3" fontId="0" fillId="5" borderId="2" xfId="0" applyNumberFormat="1" applyFill="1" applyBorder="1"/>
    <xf numFmtId="0" fontId="4" fillId="4" borderId="8" xfId="0" applyFont="1" applyFill="1" applyBorder="1" applyAlignment="1">
      <alignment horizontal="center" vertical="center"/>
    </xf>
    <xf numFmtId="0" fontId="9" fillId="4" borderId="10" xfId="0" quotePrefix="1" applyFont="1" applyFill="1" applyBorder="1" applyAlignment="1">
      <alignment horizontal="center" vertical="center"/>
    </xf>
    <xf numFmtId="3" fontId="10" fillId="4" borderId="0" xfId="0" applyNumberFormat="1" applyFont="1" applyFill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3" fontId="20" fillId="5" borderId="110" xfId="0" applyNumberFormat="1" applyFont="1" applyFill="1" applyBorder="1" applyAlignment="1">
      <alignment horizontal="center" vertical="center"/>
    </xf>
    <xf numFmtId="3" fontId="31" fillId="5" borderId="110" xfId="0" applyNumberFormat="1" applyFont="1" applyFill="1" applyBorder="1" applyAlignment="1">
      <alignment horizontal="center" vertical="center"/>
    </xf>
    <xf numFmtId="0" fontId="44" fillId="0" borderId="110" xfId="0" applyFont="1" applyFill="1" applyBorder="1" applyAlignment="1">
      <alignment horizontal="center" vertical="center"/>
    </xf>
    <xf numFmtId="3" fontId="17" fillId="0" borderId="0" xfId="0" applyNumberFormat="1" applyFont="1" applyAlignment="1">
      <alignment horizontal="center" vertical="center"/>
    </xf>
    <xf numFmtId="3" fontId="17" fillId="0" borderId="0" xfId="0" applyNumberFormat="1" applyFont="1" applyFill="1" applyAlignment="1">
      <alignment horizontal="center" vertical="center"/>
    </xf>
    <xf numFmtId="3" fontId="0" fillId="0" borderId="26" xfId="0" applyNumberFormat="1" applyBorder="1" applyAlignment="1">
      <alignment horizontal="center"/>
    </xf>
    <xf numFmtId="39" fontId="211" fillId="0" borderId="0" xfId="0" applyNumberFormat="1" applyFont="1" applyAlignment="1">
      <alignment vertical="top"/>
    </xf>
    <xf numFmtId="39" fontId="211" fillId="0" borderId="0" xfId="0" applyNumberFormat="1" applyFont="1" applyAlignment="1">
      <alignment horizontal="right" vertical="top"/>
    </xf>
    <xf numFmtId="39" fontId="211" fillId="0" borderId="110" xfId="0" applyNumberFormat="1" applyFont="1" applyBorder="1" applyAlignment="1">
      <alignment horizontal="right" vertical="top"/>
    </xf>
    <xf numFmtId="0" fontId="2" fillId="0" borderId="2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2" fillId="0" borderId="76" xfId="0" applyFont="1" applyFill="1" applyBorder="1" applyAlignment="1">
      <alignment horizontal="center"/>
    </xf>
    <xf numFmtId="0" fontId="9" fillId="0" borderId="10" xfId="0" quotePrefix="1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2" fillId="0" borderId="0" xfId="0" applyFont="1" applyFill="1"/>
    <xf numFmtId="0" fontId="9" fillId="0" borderId="68" xfId="0" applyFont="1" applyFill="1" applyBorder="1" applyAlignment="1">
      <alignment horizontal="center" vertical="center"/>
    </xf>
    <xf numFmtId="0" fontId="2" fillId="0" borderId="68" xfId="0" applyFont="1" applyFill="1" applyBorder="1"/>
    <xf numFmtId="0" fontId="2" fillId="0" borderId="10" xfId="0" quotePrefix="1" applyFont="1" applyFill="1" applyBorder="1" applyAlignment="1">
      <alignment horizontal="center" vertical="center"/>
    </xf>
    <xf numFmtId="16" fontId="2" fillId="0" borderId="4" xfId="0" quotePrefix="1" applyNumberFormat="1" applyFont="1" applyFill="1" applyBorder="1" applyAlignment="1">
      <alignment horizontal="center" vertical="center"/>
    </xf>
    <xf numFmtId="0" fontId="9" fillId="0" borderId="4" xfId="0" quotePrefix="1" applyFont="1" applyFill="1" applyBorder="1" applyAlignment="1">
      <alignment horizontal="center" vertical="center"/>
    </xf>
    <xf numFmtId="0" fontId="2" fillId="0" borderId="4" xfId="0" quotePrefix="1" applyFont="1" applyFill="1" applyBorder="1" applyAlignment="1">
      <alignment horizontal="center" vertical="center"/>
    </xf>
    <xf numFmtId="16" fontId="9" fillId="0" borderId="4" xfId="0" quotePrefix="1" applyNumberFormat="1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quotePrefix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0" xfId="0" applyFont="1" applyFill="1"/>
    <xf numFmtId="0" fontId="4" fillId="0" borderId="3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18" fillId="0" borderId="3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3" fontId="4" fillId="0" borderId="3" xfId="0" applyNumberFormat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3" fontId="10" fillId="0" borderId="3" xfId="0" applyNumberFormat="1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3" fontId="4" fillId="0" borderId="8" xfId="0" applyNumberFormat="1" applyFont="1" applyFill="1" applyBorder="1" applyAlignment="1">
      <alignment horizontal="center" vertical="center"/>
    </xf>
    <xf numFmtId="3" fontId="10" fillId="0" borderId="8" xfId="0" applyNumberFormat="1" applyFont="1" applyFill="1" applyBorder="1" applyAlignment="1">
      <alignment horizontal="center"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2" xfId="0" quotePrefix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3" fontId="4" fillId="0" borderId="2" xfId="0" applyNumberFormat="1" applyFont="1" applyFill="1" applyBorder="1" applyAlignment="1">
      <alignment horizontal="center" vertical="center"/>
    </xf>
    <xf numFmtId="0" fontId="14" fillId="0" borderId="4" xfId="0" quotePrefix="1" applyFont="1" applyFill="1" applyBorder="1" applyAlignment="1">
      <alignment horizontal="center" vertical="center"/>
    </xf>
    <xf numFmtId="16" fontId="22" fillId="0" borderId="4" xfId="0" quotePrefix="1" applyNumberFormat="1" applyFont="1" applyFill="1" applyBorder="1" applyAlignment="1">
      <alignment horizontal="center" vertical="center"/>
    </xf>
    <xf numFmtId="1" fontId="18" fillId="0" borderId="2" xfId="0" applyNumberFormat="1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0" fontId="23" fillId="0" borderId="4" xfId="0" quotePrefix="1" applyFont="1" applyFill="1" applyBorder="1" applyAlignment="1">
      <alignment horizontal="center" vertical="center"/>
    </xf>
    <xf numFmtId="0" fontId="22" fillId="0" borderId="4" xfId="0" quotePrefix="1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17" fontId="14" fillId="0" borderId="4" xfId="0" quotePrefix="1" applyNumberFormat="1" applyFont="1" applyFill="1" applyBorder="1" applyAlignment="1">
      <alignment horizontal="center" vertical="center"/>
    </xf>
    <xf numFmtId="0" fontId="0" fillId="0" borderId="2" xfId="0" quotePrefix="1" applyFill="1" applyBorder="1" applyAlignment="1">
      <alignment horizontal="center" vertical="center"/>
    </xf>
    <xf numFmtId="1" fontId="18" fillId="0" borderId="3" xfId="0" applyNumberFormat="1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horizontal="center" vertical="center"/>
    </xf>
    <xf numFmtId="1" fontId="10" fillId="0" borderId="2" xfId="0" applyNumberFormat="1" applyFont="1" applyFill="1" applyBorder="1" applyAlignment="1">
      <alignment horizontal="center" vertical="center"/>
    </xf>
    <xf numFmtId="1" fontId="10" fillId="0" borderId="3" xfId="0" applyNumberFormat="1" applyFont="1" applyFill="1" applyBorder="1" applyAlignment="1">
      <alignment horizontal="center" vertical="center"/>
    </xf>
    <xf numFmtId="3" fontId="12" fillId="0" borderId="3" xfId="0" applyNumberFormat="1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16" fontId="23" fillId="0" borderId="4" xfId="0" quotePrefix="1" applyNumberFormat="1" applyFont="1" applyFill="1" applyBorder="1" applyAlignment="1">
      <alignment horizontal="center" vertical="center"/>
    </xf>
    <xf numFmtId="1" fontId="4" fillId="0" borderId="3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0" fontId="21" fillId="0" borderId="4" xfId="0" quotePrefix="1" applyFont="1" applyFill="1" applyBorder="1" applyAlignment="1">
      <alignment horizontal="center" vertical="center"/>
    </xf>
    <xf numFmtId="3" fontId="5" fillId="0" borderId="2" xfId="0" applyNumberFormat="1" applyFont="1" applyFill="1" applyBorder="1" applyAlignment="1">
      <alignment horizontal="center" vertical="center"/>
    </xf>
    <xf numFmtId="17" fontId="9" fillId="0" borderId="4" xfId="0" quotePrefix="1" applyNumberFormat="1" applyFont="1" applyFill="1" applyBorder="1" applyAlignment="1">
      <alignment horizontal="center" vertical="center"/>
    </xf>
    <xf numFmtId="0" fontId="2" fillId="0" borderId="6" xfId="0" quotePrefix="1" applyFont="1" applyFill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/>
    </xf>
    <xf numFmtId="17" fontId="2" fillId="0" borderId="4" xfId="0" quotePrefix="1" applyNumberFormat="1" applyFont="1" applyFill="1" applyBorder="1" applyAlignment="1">
      <alignment horizontal="center" vertical="center"/>
    </xf>
    <xf numFmtId="1" fontId="4" fillId="0" borderId="2" xfId="0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/>
    </xf>
    <xf numFmtId="1" fontId="18" fillId="0" borderId="5" xfId="0" applyNumberFormat="1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/>
    </xf>
    <xf numFmtId="3" fontId="10" fillId="0" borderId="5" xfId="0" applyNumberFormat="1" applyFont="1" applyFill="1" applyBorder="1" applyAlignment="1">
      <alignment horizontal="center" vertical="center"/>
    </xf>
    <xf numFmtId="3" fontId="12" fillId="0" borderId="110" xfId="0" applyNumberFormat="1" applyFont="1" applyFill="1" applyBorder="1" applyAlignment="1">
      <alignment horizontal="center" vertical="center"/>
    </xf>
    <xf numFmtId="3" fontId="14" fillId="0" borderId="2" xfId="0" applyNumberFormat="1" applyFont="1" applyFill="1" applyBorder="1"/>
    <xf numFmtId="3" fontId="2" fillId="0" borderId="2" xfId="0" applyNumberFormat="1" applyFont="1" applyFill="1" applyBorder="1"/>
    <xf numFmtId="3" fontId="9" fillId="0" borderId="2" xfId="0" applyNumberFormat="1" applyFont="1" applyFill="1" applyBorder="1"/>
    <xf numFmtId="3" fontId="21" fillId="0" borderId="2" xfId="0" applyNumberFormat="1" applyFont="1" applyFill="1" applyBorder="1"/>
    <xf numFmtId="0" fontId="13" fillId="0" borderId="2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3" fontId="0" fillId="0" borderId="0" xfId="0" applyNumberFormat="1" applyFill="1" applyAlignment="1">
      <alignment horizontal="center" vertical="center"/>
    </xf>
    <xf numFmtId="3" fontId="10" fillId="0" borderId="0" xfId="0" applyNumberFormat="1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3" fontId="10" fillId="0" borderId="2" xfId="0" applyNumberFormat="1" applyFont="1" applyFill="1" applyBorder="1" applyAlignment="1">
      <alignment horizontal="center"/>
    </xf>
    <xf numFmtId="0" fontId="0" fillId="0" borderId="68" xfId="0" applyFont="1" applyFill="1" applyBorder="1" applyAlignment="1">
      <alignment horizontal="center"/>
    </xf>
    <xf numFmtId="0" fontId="10" fillId="0" borderId="68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0" fontId="10" fillId="0" borderId="0" xfId="0" applyFont="1" applyFill="1"/>
    <xf numFmtId="0" fontId="0" fillId="0" borderId="2" xfId="0" applyFill="1" applyBorder="1"/>
    <xf numFmtId="0" fontId="0" fillId="0" borderId="2" xfId="0" applyFont="1" applyFill="1" applyBorder="1"/>
    <xf numFmtId="0" fontId="10" fillId="0" borderId="2" xfId="0" applyFont="1" applyFill="1" applyBorder="1"/>
    <xf numFmtId="0" fontId="0" fillId="0" borderId="49" xfId="0" applyFill="1" applyBorder="1"/>
    <xf numFmtId="0" fontId="0" fillId="0" borderId="49" xfId="0" applyFont="1" applyFill="1" applyBorder="1"/>
    <xf numFmtId="0" fontId="0" fillId="0" borderId="49" xfId="0" applyFill="1" applyBorder="1" applyAlignment="1">
      <alignment horizontal="center" vertical="center"/>
    </xf>
    <xf numFmtId="0" fontId="0" fillId="0" borderId="49" xfId="0" applyFont="1" applyFill="1" applyBorder="1" applyAlignment="1">
      <alignment horizontal="center" vertical="center"/>
    </xf>
    <xf numFmtId="0" fontId="10" fillId="0" borderId="49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87" xfId="0" applyFont="1" applyFill="1" applyBorder="1" applyAlignment="1">
      <alignment horizontal="center" vertical="center"/>
    </xf>
    <xf numFmtId="0" fontId="0" fillId="4" borderId="2" xfId="0" quotePrefix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16" fontId="14" fillId="4" borderId="4" xfId="0" quotePrefix="1" applyNumberFormat="1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16" fontId="22" fillId="4" borderId="4" xfId="0" quotePrefix="1" applyNumberFormat="1" applyFont="1" applyFill="1" applyBorder="1" applyAlignment="1">
      <alignment horizontal="center" vertical="center"/>
    </xf>
    <xf numFmtId="3" fontId="12" fillId="4" borderId="110" xfId="0" applyNumberFormat="1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23" fillId="4" borderId="4" xfId="0" quotePrefix="1" applyFont="1" applyFill="1" applyBorder="1" applyAlignment="1">
      <alignment horizontal="center" vertical="center"/>
    </xf>
    <xf numFmtId="3" fontId="12" fillId="4" borderId="3" xfId="0" applyNumberFormat="1" applyFont="1" applyFill="1" applyBorder="1" applyAlignment="1">
      <alignment horizontal="center" vertical="center"/>
    </xf>
    <xf numFmtId="16" fontId="23" fillId="4" borderId="4" xfId="0" quotePrefix="1" applyNumberFormat="1" applyFont="1" applyFill="1" applyBorder="1" applyAlignment="1">
      <alignment horizontal="center" vertical="center"/>
    </xf>
    <xf numFmtId="3" fontId="21" fillId="4" borderId="2" xfId="0" applyNumberFormat="1" applyFont="1" applyFill="1" applyBorder="1"/>
    <xf numFmtId="0" fontId="9" fillId="4" borderId="2" xfId="0" applyFont="1" applyFill="1" applyBorder="1" applyAlignment="1">
      <alignment horizontal="center"/>
    </xf>
    <xf numFmtId="0" fontId="10" fillId="4" borderId="49" xfId="0" applyFont="1" applyFill="1" applyBorder="1" applyAlignment="1">
      <alignment horizontal="center" vertical="center"/>
    </xf>
    <xf numFmtId="0" fontId="0" fillId="4" borderId="68" xfId="0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9" fillId="2" borderId="4" xfId="0" quotePrefix="1" applyFont="1" applyFill="1" applyBorder="1" applyAlignment="1">
      <alignment horizontal="center" vertical="center"/>
    </xf>
    <xf numFmtId="0" fontId="2" fillId="5" borderId="10" xfId="0" quotePrefix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1" fontId="4" fillId="0" borderId="5" xfId="0" applyNumberFormat="1" applyFont="1" applyFill="1" applyBorder="1" applyAlignment="1">
      <alignment horizontal="center" vertical="center"/>
    </xf>
    <xf numFmtId="1" fontId="10" fillId="0" borderId="5" xfId="0" applyNumberFormat="1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/>
    </xf>
    <xf numFmtId="3" fontId="4" fillId="0" borderId="5" xfId="0" applyNumberFormat="1" applyFont="1" applyFill="1" applyBorder="1" applyAlignment="1">
      <alignment horizontal="center" vertical="center"/>
    </xf>
    <xf numFmtId="3" fontId="4" fillId="4" borderId="5" xfId="0" applyNumberFormat="1" applyFont="1" applyFill="1" applyBorder="1" applyAlignment="1">
      <alignment horizontal="center" vertical="center"/>
    </xf>
    <xf numFmtId="3" fontId="12" fillId="0" borderId="5" xfId="0" applyNumberFormat="1" applyFont="1" applyFill="1" applyBorder="1" applyAlignment="1">
      <alignment horizontal="center" vertical="center"/>
    </xf>
    <xf numFmtId="0" fontId="4" fillId="0" borderId="5" xfId="0" applyFont="1" applyBorder="1"/>
    <xf numFmtId="0" fontId="4" fillId="0" borderId="5" xfId="0" applyFont="1" applyBorder="1" applyAlignment="1">
      <alignment horizontal="center" vertical="center"/>
    </xf>
    <xf numFmtId="0" fontId="2" fillId="0" borderId="68" xfId="0" applyFont="1" applyBorder="1" applyAlignment="1">
      <alignment horizontal="center"/>
    </xf>
    <xf numFmtId="3" fontId="36" fillId="0" borderId="0" xfId="0" applyNumberFormat="1" applyFont="1" applyAlignment="1">
      <alignment horizontal="center" vertical="center"/>
    </xf>
    <xf numFmtId="3" fontId="17" fillId="0" borderId="0" xfId="0" applyNumberFormat="1" applyFont="1" applyAlignment="1">
      <alignment horizontal="center" vertical="center"/>
    </xf>
    <xf numFmtId="3" fontId="29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center" vertical="center"/>
    </xf>
    <xf numFmtId="3" fontId="35" fillId="0" borderId="12" xfId="0" applyNumberFormat="1" applyFont="1" applyBorder="1" applyAlignment="1">
      <alignment horizontal="center" vertical="center"/>
    </xf>
    <xf numFmtId="3" fontId="30" fillId="0" borderId="5" xfId="0" applyNumberFormat="1" applyFont="1" applyBorder="1" applyAlignment="1">
      <alignment horizontal="center" vertical="center"/>
    </xf>
    <xf numFmtId="3" fontId="35" fillId="0" borderId="26" xfId="0" applyNumberFormat="1" applyFont="1" applyBorder="1" applyAlignment="1">
      <alignment horizontal="center" vertical="center"/>
    </xf>
    <xf numFmtId="3" fontId="35" fillId="0" borderId="5" xfId="0" applyNumberFormat="1" applyFont="1" applyBorder="1" applyAlignment="1">
      <alignment horizontal="center" vertical="center"/>
    </xf>
    <xf numFmtId="3" fontId="35" fillId="0" borderId="4" xfId="0" applyNumberFormat="1" applyFont="1" applyBorder="1" applyAlignment="1">
      <alignment horizontal="center" vertical="center"/>
    </xf>
    <xf numFmtId="3" fontId="35" fillId="0" borderId="25" xfId="0" applyNumberFormat="1" applyFont="1" applyBorder="1" applyAlignment="1">
      <alignment horizontal="center" vertical="center"/>
    </xf>
    <xf numFmtId="3" fontId="35" fillId="0" borderId="24" xfId="0" applyNumberFormat="1" applyFont="1" applyBorder="1" applyAlignment="1">
      <alignment horizontal="center" vertical="center"/>
    </xf>
    <xf numFmtId="3" fontId="35" fillId="0" borderId="18" xfId="0" applyNumberFormat="1" applyFont="1" applyBorder="1" applyAlignment="1">
      <alignment horizontal="center" vertical="center"/>
    </xf>
    <xf numFmtId="3" fontId="35" fillId="0" borderId="28" xfId="0" applyNumberFormat="1" applyFont="1" applyBorder="1" applyAlignment="1">
      <alignment horizontal="center" vertical="center"/>
    </xf>
    <xf numFmtId="3" fontId="35" fillId="0" borderId="32" xfId="0" applyNumberFormat="1" applyFont="1" applyBorder="1" applyAlignment="1">
      <alignment horizontal="center" vertical="center"/>
    </xf>
    <xf numFmtId="3" fontId="35" fillId="0" borderId="41" xfId="0" applyNumberFormat="1" applyFont="1" applyBorder="1" applyAlignment="1">
      <alignment horizontal="center" vertical="center"/>
    </xf>
    <xf numFmtId="3" fontId="31" fillId="0" borderId="22" xfId="0" applyNumberFormat="1" applyFont="1" applyBorder="1" applyAlignment="1">
      <alignment horizontal="center" vertical="center"/>
    </xf>
    <xf numFmtId="3" fontId="17" fillId="0" borderId="0" xfId="0" applyNumberFormat="1" applyFont="1" applyFill="1" applyAlignment="1">
      <alignment horizontal="center" vertical="center"/>
    </xf>
    <xf numFmtId="3" fontId="35" fillId="0" borderId="24" xfId="0" applyNumberFormat="1" applyFont="1" applyFill="1" applyBorder="1" applyAlignment="1">
      <alignment horizontal="center" vertical="center"/>
    </xf>
    <xf numFmtId="3" fontId="31" fillId="5" borderId="2" xfId="0" applyNumberFormat="1" applyFont="1" applyFill="1" applyBorder="1" applyAlignment="1">
      <alignment horizontal="center" vertical="center"/>
    </xf>
    <xf numFmtId="3" fontId="31" fillId="5" borderId="4" xfId="0" applyNumberFormat="1" applyFont="1" applyFill="1" applyBorder="1" applyAlignment="1">
      <alignment horizontal="center" vertical="center"/>
    </xf>
    <xf numFmtId="3" fontId="2" fillId="0" borderId="110" xfId="0" applyNumberFormat="1" applyFont="1" applyBorder="1" applyAlignment="1">
      <alignment horizontal="center"/>
    </xf>
    <xf numFmtId="0" fontId="2" fillId="0" borderId="110" xfId="0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43" fontId="2" fillId="0" borderId="110" xfId="0" applyNumberFormat="1" applyFont="1" applyBorder="1" applyAlignment="1">
      <alignment horizontal="center"/>
    </xf>
    <xf numFmtId="3" fontId="2" fillId="0" borderId="110" xfId="0" applyNumberFormat="1" applyFont="1" applyBorder="1"/>
    <xf numFmtId="0" fontId="2" fillId="0" borderId="110" xfId="0" applyFont="1" applyBorder="1" applyAlignment="1">
      <alignment horizontal="center" vertical="center"/>
    </xf>
    <xf numFmtId="0" fontId="40" fillId="0" borderId="0" xfId="5"/>
    <xf numFmtId="0" fontId="40" fillId="0" borderId="0" xfId="5" applyAlignment="1">
      <alignment vertical="center"/>
    </xf>
    <xf numFmtId="41" fontId="40" fillId="0" borderId="0" xfId="6" applyFont="1" applyFill="1" applyAlignment="1">
      <alignment vertical="center"/>
    </xf>
    <xf numFmtId="41" fontId="40" fillId="0" borderId="0" xfId="6" applyFont="1" applyFill="1" applyAlignment="1">
      <alignment horizontal="center" vertical="center"/>
    </xf>
    <xf numFmtId="0" fontId="40" fillId="0" borderId="0" xfId="6" applyNumberFormat="1" applyFont="1" applyFill="1" applyAlignment="1">
      <alignment horizontal="center" vertical="center"/>
    </xf>
    <xf numFmtId="0" fontId="40" fillId="0" borderId="0" xfId="5" applyAlignment="1">
      <alignment horizontal="left" vertical="center"/>
    </xf>
    <xf numFmtId="0" fontId="40" fillId="0" borderId="0" xfId="5" applyAlignment="1">
      <alignment horizontal="center" vertical="center"/>
    </xf>
    <xf numFmtId="10" fontId="40" fillId="0" borderId="0" xfId="6" applyNumberFormat="1" applyFont="1" applyFill="1" applyAlignment="1">
      <alignment horizontal="center" vertical="center"/>
    </xf>
    <xf numFmtId="41" fontId="212" fillId="3" borderId="0" xfId="6" applyFont="1" applyFill="1" applyAlignment="1">
      <alignment vertical="center"/>
    </xf>
    <xf numFmtId="41" fontId="212" fillId="12" borderId="26" xfId="6" applyFont="1" applyFill="1" applyBorder="1" applyAlignment="1">
      <alignment horizontal="center" vertical="center"/>
    </xf>
    <xf numFmtId="41" fontId="212" fillId="12" borderId="26" xfId="6" applyFont="1" applyFill="1" applyBorder="1" applyAlignment="1">
      <alignment horizontal="center" vertical="center" wrapText="1"/>
    </xf>
    <xf numFmtId="0" fontId="212" fillId="12" borderId="10" xfId="6" applyNumberFormat="1" applyFont="1" applyFill="1" applyBorder="1" applyAlignment="1">
      <alignment horizontal="center" vertical="center"/>
    </xf>
    <xf numFmtId="0" fontId="212" fillId="12" borderId="116" xfId="5" applyFont="1" applyFill="1" applyBorder="1" applyAlignment="1">
      <alignment horizontal="center" vertical="center" wrapText="1"/>
    </xf>
    <xf numFmtId="0" fontId="212" fillId="12" borderId="79" xfId="5" applyFont="1" applyFill="1" applyBorder="1" applyAlignment="1">
      <alignment horizontal="center" vertical="center"/>
    </xf>
    <xf numFmtId="0" fontId="212" fillId="12" borderId="117" xfId="5" applyFont="1" applyFill="1" applyBorder="1" applyAlignment="1">
      <alignment horizontal="center" vertical="center"/>
    </xf>
    <xf numFmtId="41" fontId="212" fillId="12" borderId="28" xfId="6" applyFont="1" applyFill="1" applyBorder="1" applyAlignment="1">
      <alignment horizontal="center" vertical="center"/>
    </xf>
    <xf numFmtId="0" fontId="212" fillId="12" borderId="117" xfId="6" applyNumberFormat="1" applyFont="1" applyFill="1" applyBorder="1" applyAlignment="1">
      <alignment horizontal="center" vertical="center" wrapText="1"/>
    </xf>
    <xf numFmtId="0" fontId="212" fillId="12" borderId="118" xfId="6" applyNumberFormat="1" applyFont="1" applyFill="1" applyBorder="1" applyAlignment="1">
      <alignment horizontal="center" vertical="center" wrapText="1"/>
    </xf>
    <xf numFmtId="0" fontId="41" fillId="12" borderId="118" xfId="6" applyNumberFormat="1" applyFont="1" applyFill="1" applyBorder="1" applyAlignment="1">
      <alignment horizontal="center" vertical="center" wrapText="1"/>
    </xf>
    <xf numFmtId="0" fontId="41" fillId="12" borderId="117" xfId="6" applyNumberFormat="1" applyFont="1" applyFill="1" applyBorder="1" applyAlignment="1">
      <alignment horizontal="center" vertical="center" wrapText="1"/>
    </xf>
    <xf numFmtId="10" fontId="212" fillId="12" borderId="117" xfId="6" applyNumberFormat="1" applyFont="1" applyFill="1" applyBorder="1" applyAlignment="1">
      <alignment horizontal="center" vertical="center" wrapText="1"/>
    </xf>
    <xf numFmtId="0" fontId="40" fillId="0" borderId="119" xfId="5" quotePrefix="1" applyBorder="1" applyAlignment="1">
      <alignment horizontal="center" vertical="center"/>
    </xf>
    <xf numFmtId="249" fontId="59" fillId="0" borderId="119" xfId="5" applyNumberFormat="1" applyFont="1" applyBorder="1" applyAlignment="1">
      <alignment horizontal="left" vertical="center"/>
    </xf>
    <xf numFmtId="250" fontId="59" fillId="0" borderId="119" xfId="5" applyNumberFormat="1" applyFont="1" applyBorder="1" applyAlignment="1">
      <alignment horizontal="center" vertical="center"/>
    </xf>
    <xf numFmtId="251" fontId="59" fillId="0" borderId="119" xfId="6" quotePrefix="1" applyNumberFormat="1" applyFont="1" applyFill="1" applyBorder="1" applyAlignment="1" applyProtection="1">
      <alignment horizontal="center" vertical="center"/>
    </xf>
    <xf numFmtId="249" fontId="213" fillId="0" borderId="119" xfId="5" applyNumberFormat="1" applyFont="1" applyBorder="1" applyAlignment="1">
      <alignment horizontal="left" vertical="center"/>
    </xf>
    <xf numFmtId="249" fontId="213" fillId="0" borderId="119" xfId="5" applyNumberFormat="1" applyFont="1" applyBorder="1" applyAlignment="1">
      <alignment horizontal="center" vertical="center"/>
    </xf>
    <xf numFmtId="0" fontId="59" fillId="0" borderId="119" xfId="21010" applyFont="1" applyBorder="1" applyAlignment="1">
      <alignment horizontal="center" vertical="center"/>
    </xf>
    <xf numFmtId="0" fontId="40" fillId="0" borderId="119" xfId="21010" applyBorder="1" applyAlignment="1">
      <alignment horizontal="center" vertical="center"/>
    </xf>
    <xf numFmtId="0" fontId="40" fillId="3" borderId="119" xfId="21010" applyFill="1" applyBorder="1" applyAlignment="1">
      <alignment horizontal="center" vertical="center"/>
    </xf>
    <xf numFmtId="41" fontId="59" fillId="0" borderId="26" xfId="6" applyFont="1" applyFill="1" applyBorder="1" applyAlignment="1" applyProtection="1">
      <alignment horizontal="left" vertical="center"/>
    </xf>
    <xf numFmtId="164" fontId="31" fillId="0" borderId="5" xfId="2" applyNumberFormat="1" applyFont="1" applyFill="1" applyBorder="1" applyAlignment="1">
      <alignment vertical="center"/>
    </xf>
    <xf numFmtId="41" fontId="59" fillId="0" borderId="119" xfId="6" applyFont="1" applyFill="1" applyBorder="1" applyAlignment="1" applyProtection="1">
      <alignment horizontal="left" vertical="center"/>
    </xf>
    <xf numFmtId="41" fontId="59" fillId="0" borderId="120" xfId="6" applyFont="1" applyFill="1" applyBorder="1" applyAlignment="1" applyProtection="1">
      <alignment horizontal="left" vertical="center"/>
    </xf>
    <xf numFmtId="41" fontId="59" fillId="3" borderId="121" xfId="6" applyFont="1" applyFill="1" applyBorder="1" applyAlignment="1" applyProtection="1">
      <alignment horizontal="left" vertical="center"/>
    </xf>
    <xf numFmtId="10" fontId="59" fillId="3" borderId="120" xfId="6" applyNumberFormat="1" applyFont="1" applyFill="1" applyBorder="1" applyAlignment="1" applyProtection="1">
      <alignment horizontal="center" vertical="center"/>
    </xf>
    <xf numFmtId="41" fontId="59" fillId="3" borderId="122" xfId="6" applyFont="1" applyFill="1" applyBorder="1" applyAlignment="1" applyProtection="1">
      <alignment horizontal="left" vertical="center"/>
    </xf>
    <xf numFmtId="41" fontId="59" fillId="0" borderId="123" xfId="6" applyFont="1" applyFill="1" applyBorder="1" applyAlignment="1" applyProtection="1">
      <alignment horizontal="left" vertical="center"/>
    </xf>
    <xf numFmtId="164" fontId="40" fillId="0" borderId="0" xfId="5" applyNumberFormat="1" applyAlignment="1">
      <alignment vertical="center"/>
    </xf>
    <xf numFmtId="43" fontId="40" fillId="0" borderId="0" xfId="5" applyNumberFormat="1" applyAlignment="1">
      <alignment vertical="center"/>
    </xf>
    <xf numFmtId="41" fontId="40" fillId="0" borderId="0" xfId="5" applyNumberFormat="1" applyAlignment="1">
      <alignment vertical="center"/>
    </xf>
    <xf numFmtId="0" fontId="40" fillId="0" borderId="120" xfId="5" quotePrefix="1" applyBorder="1" applyAlignment="1">
      <alignment horizontal="center" vertical="center"/>
    </xf>
    <xf numFmtId="249" fontId="59" fillId="0" borderId="120" xfId="5" applyNumberFormat="1" applyFont="1" applyBorder="1" applyAlignment="1">
      <alignment horizontal="left" vertical="center"/>
    </xf>
    <xf numFmtId="250" fontId="59" fillId="0" borderId="120" xfId="5" applyNumberFormat="1" applyFont="1" applyBorder="1" applyAlignment="1">
      <alignment horizontal="center" vertical="center"/>
    </xf>
    <xf numFmtId="251" fontId="59" fillId="0" borderId="120" xfId="6" quotePrefix="1" applyNumberFormat="1" applyFont="1" applyFill="1" applyBorder="1" applyAlignment="1" applyProtection="1">
      <alignment horizontal="center" vertical="center"/>
    </xf>
    <xf numFmtId="249" fontId="213" fillId="0" borderId="120" xfId="5" applyNumberFormat="1" applyFont="1" applyBorder="1" applyAlignment="1">
      <alignment horizontal="left" vertical="center"/>
    </xf>
    <xf numFmtId="249" fontId="213" fillId="0" borderId="120" xfId="5" applyNumberFormat="1" applyFont="1" applyBorder="1" applyAlignment="1">
      <alignment horizontal="center" vertical="center"/>
    </xf>
    <xf numFmtId="0" fontId="59" fillId="0" borderId="120" xfId="21010" applyFont="1" applyBorder="1" applyAlignment="1">
      <alignment horizontal="center" vertical="center"/>
    </xf>
    <xf numFmtId="0" fontId="40" fillId="0" borderId="120" xfId="21010" applyBorder="1" applyAlignment="1">
      <alignment horizontal="center" vertical="center"/>
    </xf>
    <xf numFmtId="0" fontId="40" fillId="3" borderId="121" xfId="21010" applyFill="1" applyBorder="1" applyAlignment="1">
      <alignment horizontal="center" vertical="center"/>
    </xf>
    <xf numFmtId="41" fontId="59" fillId="0" borderId="121" xfId="6" applyFont="1" applyFill="1" applyBorder="1" applyAlignment="1" applyProtection="1">
      <alignment horizontal="left" vertical="center"/>
    </xf>
    <xf numFmtId="164" fontId="31" fillId="0" borderId="121" xfId="2" applyNumberFormat="1" applyFont="1" applyFill="1" applyBorder="1" applyAlignment="1">
      <alignment vertical="center"/>
    </xf>
    <xf numFmtId="10" fontId="59" fillId="3" borderId="121" xfId="6" applyNumberFormat="1" applyFont="1" applyFill="1" applyBorder="1" applyAlignment="1" applyProtection="1">
      <alignment horizontal="center" vertical="center"/>
    </xf>
    <xf numFmtId="0" fontId="40" fillId="0" borderId="121" xfId="21010" applyBorder="1" applyAlignment="1">
      <alignment horizontal="center" vertical="center"/>
    </xf>
    <xf numFmtId="250" fontId="59" fillId="0" borderId="121" xfId="5" applyNumberFormat="1" applyFont="1" applyBorder="1" applyAlignment="1">
      <alignment horizontal="center" vertical="center"/>
    </xf>
    <xf numFmtId="251" fontId="59" fillId="0" borderId="121" xfId="6" quotePrefix="1" applyNumberFormat="1" applyFont="1" applyFill="1" applyBorder="1" applyAlignment="1" applyProtection="1">
      <alignment horizontal="center" vertical="center"/>
    </xf>
    <xf numFmtId="249" fontId="213" fillId="0" borderId="121" xfId="5" applyNumberFormat="1" applyFont="1" applyBorder="1" applyAlignment="1">
      <alignment horizontal="left" vertical="center"/>
    </xf>
    <xf numFmtId="0" fontId="59" fillId="0" borderId="121" xfId="21010" applyFont="1" applyBorder="1" applyAlignment="1">
      <alignment horizontal="center" vertical="center"/>
    </xf>
    <xf numFmtId="41" fontId="59" fillId="0" borderId="124" xfId="6" applyFont="1" applyFill="1" applyBorder="1" applyAlignment="1" applyProtection="1">
      <alignment horizontal="left" vertical="center"/>
    </xf>
    <xf numFmtId="249" fontId="214" fillId="0" borderId="120" xfId="5" applyNumberFormat="1" applyFont="1" applyBorder="1" applyAlignment="1">
      <alignment horizontal="left" vertical="center"/>
    </xf>
    <xf numFmtId="0" fontId="31" fillId="2" borderId="124" xfId="0" applyFont="1" applyFill="1" applyBorder="1" applyAlignment="1">
      <alignment horizontal="left" vertical="center"/>
    </xf>
    <xf numFmtId="250" fontId="59" fillId="0" borderId="124" xfId="5" quotePrefix="1" applyNumberFormat="1" applyFont="1" applyBorder="1" applyAlignment="1">
      <alignment horizontal="center" vertical="center"/>
    </xf>
    <xf numFmtId="251" fontId="213" fillId="0" borderId="124" xfId="6" quotePrefix="1" applyNumberFormat="1" applyFont="1" applyFill="1" applyBorder="1" applyAlignment="1" applyProtection="1">
      <alignment horizontal="center" vertical="center"/>
    </xf>
    <xf numFmtId="249" fontId="213" fillId="0" borderId="124" xfId="5" applyNumberFormat="1" applyFont="1" applyBorder="1" applyAlignment="1">
      <alignment horizontal="left" vertical="center"/>
    </xf>
    <xf numFmtId="0" fontId="59" fillId="0" borderId="124" xfId="21010" applyFont="1" applyBorder="1" applyAlignment="1">
      <alignment horizontal="center" vertical="center"/>
    </xf>
    <xf numFmtId="0" fontId="40" fillId="0" borderId="124" xfId="21010" applyFont="1" applyBorder="1" applyAlignment="1">
      <alignment horizontal="center" vertical="center"/>
    </xf>
    <xf numFmtId="0" fontId="40" fillId="3" borderId="124" xfId="21010" applyFont="1" applyFill="1" applyBorder="1" applyAlignment="1">
      <alignment horizontal="center" vertical="center"/>
    </xf>
    <xf numFmtId="0" fontId="113" fillId="0" borderId="0" xfId="5" applyFont="1" applyAlignment="1">
      <alignment vertical="center"/>
    </xf>
    <xf numFmtId="250" fontId="59" fillId="0" borderId="121" xfId="5" quotePrefix="1" applyNumberFormat="1" applyFont="1" applyBorder="1" applyAlignment="1">
      <alignment horizontal="center" vertical="center"/>
    </xf>
    <xf numFmtId="250" fontId="59" fillId="0" borderId="124" xfId="5" applyNumberFormat="1" applyFont="1" applyBorder="1" applyAlignment="1">
      <alignment horizontal="center" vertical="center"/>
    </xf>
    <xf numFmtId="251" fontId="59" fillId="0" borderId="5" xfId="6" quotePrefix="1" applyNumberFormat="1" applyFont="1" applyFill="1" applyBorder="1" applyAlignment="1" applyProtection="1">
      <alignment horizontal="center" vertical="center"/>
    </xf>
    <xf numFmtId="249" fontId="213" fillId="0" borderId="5" xfId="5" applyNumberFormat="1" applyFont="1" applyBorder="1" applyAlignment="1">
      <alignment horizontal="center" vertical="center"/>
    </xf>
    <xf numFmtId="0" fontId="40" fillId="0" borderId="124" xfId="21010" applyBorder="1" applyAlignment="1">
      <alignment horizontal="center" vertical="center"/>
    </xf>
    <xf numFmtId="0" fontId="40" fillId="3" borderId="124" xfId="21010" applyFill="1" applyBorder="1" applyAlignment="1">
      <alignment horizontal="center" vertical="center"/>
    </xf>
    <xf numFmtId="3" fontId="215" fillId="0" borderId="121" xfId="12596" quotePrefix="1" applyNumberFormat="1" applyFont="1" applyFill="1" applyBorder="1" applyAlignment="1">
      <alignment horizontal="center" vertical="center"/>
    </xf>
    <xf numFmtId="251" fontId="214" fillId="0" borderId="121" xfId="6" quotePrefix="1" applyNumberFormat="1" applyFont="1" applyFill="1" applyBorder="1" applyAlignment="1" applyProtection="1">
      <alignment horizontal="center" vertical="center"/>
    </xf>
    <xf numFmtId="0" fontId="216" fillId="0" borderId="121" xfId="12596" applyNumberFormat="1" applyFont="1" applyBorder="1" applyAlignment="1">
      <alignment horizontal="left" vertical="center"/>
    </xf>
    <xf numFmtId="249" fontId="213" fillId="0" borderId="121" xfId="5" applyNumberFormat="1" applyFont="1" applyBorder="1" applyAlignment="1">
      <alignment horizontal="center" vertical="center"/>
    </xf>
    <xf numFmtId="249" fontId="214" fillId="2" borderId="120" xfId="5" applyNumberFormat="1" applyFont="1" applyFill="1" applyBorder="1" applyAlignment="1">
      <alignment horizontal="left" vertical="center"/>
    </xf>
    <xf numFmtId="3" fontId="215" fillId="2" borderId="121" xfId="12596" quotePrefix="1" applyNumberFormat="1" applyFont="1" applyFill="1" applyBorder="1" applyAlignment="1">
      <alignment horizontal="center" vertical="center"/>
    </xf>
    <xf numFmtId="251" fontId="214" fillId="2" borderId="121" xfId="6" quotePrefix="1" applyNumberFormat="1" applyFont="1" applyFill="1" applyBorder="1" applyAlignment="1" applyProtection="1">
      <alignment horizontal="center" vertical="center"/>
    </xf>
    <xf numFmtId="249" fontId="213" fillId="2" borderId="120" xfId="5" applyNumberFormat="1" applyFont="1" applyFill="1" applyBorder="1" applyAlignment="1">
      <alignment horizontal="left" vertical="center"/>
    </xf>
    <xf numFmtId="249" fontId="213" fillId="2" borderId="121" xfId="5" applyNumberFormat="1" applyFont="1" applyFill="1" applyBorder="1" applyAlignment="1">
      <alignment horizontal="center" vertical="center"/>
    </xf>
    <xf numFmtId="0" fontId="59" fillId="2" borderId="121" xfId="21010" applyFont="1" applyFill="1" applyBorder="1" applyAlignment="1">
      <alignment horizontal="center" vertical="center"/>
    </xf>
    <xf numFmtId="0" fontId="40" fillId="2" borderId="121" xfId="21010" applyFill="1" applyBorder="1" applyAlignment="1">
      <alignment horizontal="center" vertical="center"/>
    </xf>
    <xf numFmtId="41" fontId="59" fillId="2" borderId="121" xfId="6" applyFont="1" applyFill="1" applyBorder="1" applyAlignment="1" applyProtection="1">
      <alignment horizontal="left" vertical="center"/>
    </xf>
    <xf numFmtId="41" fontId="59" fillId="2" borderId="120" xfId="6" applyFont="1" applyFill="1" applyBorder="1" applyAlignment="1" applyProtection="1">
      <alignment horizontal="left" vertical="center"/>
    </xf>
    <xf numFmtId="41" fontId="40" fillId="2" borderId="0" xfId="5" applyNumberFormat="1" applyFill="1" applyAlignment="1">
      <alignment vertical="center"/>
    </xf>
    <xf numFmtId="0" fontId="40" fillId="2" borderId="0" xfId="5" applyFill="1" applyAlignment="1">
      <alignment vertical="center"/>
    </xf>
    <xf numFmtId="0" fontId="31" fillId="2" borderId="121" xfId="0" applyFont="1" applyFill="1" applyBorder="1" applyAlignment="1">
      <alignment horizontal="left" vertical="center"/>
    </xf>
    <xf numFmtId="251" fontId="213" fillId="0" borderId="121" xfId="6" quotePrefix="1" applyNumberFormat="1" applyFont="1" applyFill="1" applyBorder="1" applyAlignment="1" applyProtection="1">
      <alignment horizontal="center" vertical="center"/>
    </xf>
    <xf numFmtId="0" fontId="40" fillId="0" borderId="121" xfId="21010" applyFont="1" applyBorder="1" applyAlignment="1">
      <alignment horizontal="center" vertical="center"/>
    </xf>
    <xf numFmtId="0" fontId="40" fillId="3" borderId="121" xfId="21010" applyFont="1" applyFill="1" applyBorder="1" applyAlignment="1">
      <alignment horizontal="center" vertical="center"/>
    </xf>
    <xf numFmtId="3" fontId="214" fillId="0" borderId="121" xfId="5" quotePrefix="1" applyNumberFormat="1" applyFont="1" applyBorder="1" applyAlignment="1">
      <alignment horizontal="center" vertical="center"/>
    </xf>
    <xf numFmtId="0" fontId="214" fillId="0" borderId="121" xfId="5" applyNumberFormat="1" applyFont="1" applyBorder="1" applyAlignment="1">
      <alignment horizontal="left" vertical="center"/>
    </xf>
    <xf numFmtId="249" fontId="214" fillId="0" borderId="0" xfId="5" applyNumberFormat="1" applyFont="1" applyBorder="1" applyAlignment="1">
      <alignment horizontal="left" vertical="center"/>
    </xf>
    <xf numFmtId="41" fontId="59" fillId="0" borderId="5" xfId="6" applyFont="1" applyFill="1" applyBorder="1" applyAlignment="1" applyProtection="1">
      <alignment horizontal="left" vertical="center"/>
    </xf>
    <xf numFmtId="0" fontId="212" fillId="12" borderId="79" xfId="5" quotePrefix="1" applyFont="1" applyFill="1" applyBorder="1" applyAlignment="1">
      <alignment vertical="center"/>
    </xf>
    <xf numFmtId="0" fontId="212" fillId="12" borderId="76" xfId="5" quotePrefix="1" applyFont="1" applyFill="1" applyBorder="1" applyAlignment="1">
      <alignment vertical="center"/>
    </xf>
    <xf numFmtId="164" fontId="41" fillId="12" borderId="10" xfId="2" applyNumberFormat="1" applyFont="1" applyFill="1" applyBorder="1" applyAlignment="1">
      <alignment vertical="center"/>
    </xf>
    <xf numFmtId="0" fontId="212" fillId="0" borderId="0" xfId="5" applyFont="1"/>
    <xf numFmtId="41" fontId="212" fillId="0" borderId="0" xfId="5" applyNumberFormat="1" applyFont="1"/>
    <xf numFmtId="0" fontId="40" fillId="0" borderId="0" xfId="7"/>
    <xf numFmtId="9" fontId="40" fillId="0" borderId="0" xfId="8" applyFont="1" applyFill="1" applyAlignment="1">
      <alignment vertical="center"/>
    </xf>
    <xf numFmtId="3" fontId="40" fillId="0" borderId="0" xfId="5" applyNumberFormat="1" applyAlignment="1">
      <alignment vertical="center"/>
    </xf>
    <xf numFmtId="41" fontId="217" fillId="0" borderId="0" xfId="6" applyFont="1" applyFill="1" applyAlignment="1">
      <alignment horizontal="center" vertical="center"/>
    </xf>
    <xf numFmtId="0" fontId="218" fillId="0" borderId="0" xfId="5" applyFont="1" applyAlignment="1">
      <alignment horizontal="center" vertical="center"/>
    </xf>
    <xf numFmtId="250" fontId="59" fillId="0" borderId="125" xfId="5" quotePrefix="1" applyNumberFormat="1" applyFont="1" applyBorder="1" applyAlignment="1">
      <alignment horizontal="center" vertical="center"/>
    </xf>
    <xf numFmtId="251" fontId="59" fillId="0" borderId="125" xfId="6" quotePrefix="1" applyNumberFormat="1" applyFont="1" applyFill="1" applyBorder="1" applyAlignment="1" applyProtection="1">
      <alignment horizontal="center" vertical="center"/>
    </xf>
    <xf numFmtId="250" fontId="59" fillId="0" borderId="126" xfId="5" quotePrefix="1" applyNumberFormat="1" applyFont="1" applyBorder="1" applyAlignment="1">
      <alignment horizontal="center" vertical="center"/>
    </xf>
    <xf numFmtId="3" fontId="36" fillId="0" borderId="0" xfId="0" applyNumberFormat="1" applyFont="1" applyAlignment="1">
      <alignment horizontal="center" vertical="center"/>
    </xf>
    <xf numFmtId="3" fontId="17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center" vertical="center"/>
    </xf>
    <xf numFmtId="3" fontId="30" fillId="0" borderId="4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249" fontId="213" fillId="0" borderId="127" xfId="5" applyNumberFormat="1" applyFont="1" applyBorder="1" applyAlignment="1">
      <alignment horizontal="left" vertical="center"/>
    </xf>
    <xf numFmtId="249" fontId="213" fillId="0" borderId="126" xfId="5" applyNumberFormat="1" applyFont="1" applyBorder="1" applyAlignment="1">
      <alignment horizontal="center" vertical="center"/>
    </xf>
    <xf numFmtId="41" fontId="59" fillId="0" borderId="128" xfId="6" applyFont="1" applyFill="1" applyBorder="1" applyAlignment="1" applyProtection="1">
      <alignment horizontal="left" vertical="center"/>
    </xf>
    <xf numFmtId="0" fontId="10" fillId="5" borderId="2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8" xfId="0" applyFont="1" applyFill="1" applyBorder="1" applyAlignment="1">
      <alignment horizontal="center" vertical="center"/>
    </xf>
    <xf numFmtId="0" fontId="2" fillId="2" borderId="10" xfId="0" quotePrefix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14" fontId="9" fillId="2" borderId="4" xfId="0" quotePrefix="1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9" fillId="80" borderId="3" xfId="0" applyFont="1" applyFill="1" applyBorder="1" applyAlignment="1">
      <alignment horizontal="center" vertical="center"/>
    </xf>
    <xf numFmtId="0" fontId="9" fillId="80" borderId="10" xfId="0" applyFont="1" applyFill="1" applyBorder="1" applyAlignment="1">
      <alignment horizontal="center" vertical="center"/>
    </xf>
    <xf numFmtId="0" fontId="6" fillId="80" borderId="4" xfId="0" applyFont="1" applyFill="1" applyBorder="1" applyAlignment="1">
      <alignment horizontal="center" vertical="center"/>
    </xf>
    <xf numFmtId="0" fontId="6" fillId="80" borderId="2" xfId="0" applyFont="1" applyFill="1" applyBorder="1" applyAlignment="1">
      <alignment horizontal="center" vertical="center"/>
    </xf>
    <xf numFmtId="0" fontId="6" fillId="80" borderId="3" xfId="0" applyFont="1" applyFill="1" applyBorder="1" applyAlignment="1">
      <alignment horizontal="center" vertical="center"/>
    </xf>
    <xf numFmtId="0" fontId="23" fillId="80" borderId="5" xfId="0" applyFont="1" applyFill="1" applyBorder="1" applyAlignment="1">
      <alignment horizontal="center" vertical="center"/>
    </xf>
    <xf numFmtId="0" fontId="23" fillId="80" borderId="68" xfId="0" applyFont="1" applyFill="1" applyBorder="1" applyAlignment="1">
      <alignment horizontal="center" vertical="center"/>
    </xf>
    <xf numFmtId="0" fontId="22" fillId="80" borderId="4" xfId="0" quotePrefix="1" applyFont="1" applyFill="1" applyBorder="1" applyAlignment="1">
      <alignment horizontal="center" vertical="center"/>
    </xf>
    <xf numFmtId="0" fontId="10" fillId="80" borderId="2" xfId="0" applyFont="1" applyFill="1" applyBorder="1" applyAlignment="1">
      <alignment horizontal="center" vertical="center"/>
    </xf>
    <xf numFmtId="0" fontId="0" fillId="80" borderId="2" xfId="0" applyFill="1" applyBorder="1" applyAlignment="1">
      <alignment horizontal="center" vertical="center"/>
    </xf>
    <xf numFmtId="0" fontId="3" fillId="80" borderId="2" xfId="0" applyFont="1" applyFill="1" applyBorder="1" applyAlignment="1">
      <alignment horizontal="center" vertical="center"/>
    </xf>
    <xf numFmtId="0" fontId="12" fillId="80" borderId="3" xfId="0" applyFont="1" applyFill="1" applyBorder="1" applyAlignment="1">
      <alignment horizontal="center" vertical="center"/>
    </xf>
    <xf numFmtId="0" fontId="12" fillId="80" borderId="8" xfId="0" applyFont="1" applyFill="1" applyBorder="1" applyAlignment="1">
      <alignment horizontal="center" vertical="center"/>
    </xf>
    <xf numFmtId="16" fontId="2" fillId="80" borderId="4" xfId="0" quotePrefix="1" applyNumberFormat="1" applyFont="1" applyFill="1" applyBorder="1" applyAlignment="1">
      <alignment horizontal="center" vertical="center"/>
    </xf>
    <xf numFmtId="0" fontId="12" fillId="80" borderId="2" xfId="0" applyFont="1" applyFill="1" applyBorder="1" applyAlignment="1">
      <alignment horizontal="center" vertical="center"/>
    </xf>
    <xf numFmtId="0" fontId="2" fillId="80" borderId="4" xfId="0" quotePrefix="1" applyFont="1" applyFill="1" applyBorder="1" applyAlignment="1">
      <alignment horizontal="center" vertical="center"/>
    </xf>
    <xf numFmtId="0" fontId="5" fillId="80" borderId="2" xfId="0" applyFont="1" applyFill="1" applyBorder="1" applyAlignment="1">
      <alignment horizontal="center" vertical="center"/>
    </xf>
    <xf numFmtId="3" fontId="4" fillId="80" borderId="3" xfId="0" applyNumberFormat="1" applyFont="1" applyFill="1" applyBorder="1" applyAlignment="1">
      <alignment horizontal="center" vertical="center"/>
    </xf>
    <xf numFmtId="1" fontId="18" fillId="80" borderId="3" xfId="0" applyNumberFormat="1" applyFont="1" applyFill="1" applyBorder="1" applyAlignment="1">
      <alignment horizontal="center" vertical="center"/>
    </xf>
    <xf numFmtId="0" fontId="2" fillId="80" borderId="10" xfId="0" applyFont="1" applyFill="1" applyBorder="1" applyAlignment="1">
      <alignment horizontal="center" vertical="center"/>
    </xf>
    <xf numFmtId="16" fontId="22" fillId="80" borderId="4" xfId="0" quotePrefix="1" applyNumberFormat="1" applyFont="1" applyFill="1" applyBorder="1" applyAlignment="1">
      <alignment horizontal="center" vertical="center"/>
    </xf>
    <xf numFmtId="17" fontId="22" fillId="80" borderId="4" xfId="0" quotePrefix="1" applyNumberFormat="1" applyFont="1" applyFill="1" applyBorder="1" applyAlignment="1">
      <alignment horizontal="center" vertical="center"/>
    </xf>
    <xf numFmtId="0" fontId="4" fillId="80" borderId="2" xfId="0" applyFont="1" applyFill="1" applyBorder="1" applyAlignment="1">
      <alignment horizontal="center" vertical="center"/>
    </xf>
    <xf numFmtId="0" fontId="9" fillId="80" borderId="2" xfId="0" applyFont="1" applyFill="1" applyBorder="1" applyAlignment="1">
      <alignment horizontal="center" vertical="center"/>
    </xf>
    <xf numFmtId="1" fontId="18" fillId="80" borderId="2" xfId="0" applyNumberFormat="1" applyFont="1" applyFill="1" applyBorder="1" applyAlignment="1">
      <alignment horizontal="center" vertical="center"/>
    </xf>
    <xf numFmtId="1" fontId="18" fillId="80" borderId="5" xfId="0" applyNumberFormat="1" applyFont="1" applyFill="1" applyBorder="1" applyAlignment="1">
      <alignment horizontal="center" vertical="center"/>
    </xf>
    <xf numFmtId="3" fontId="10" fillId="80" borderId="10" xfId="0" applyNumberFormat="1" applyFont="1" applyFill="1" applyBorder="1"/>
    <xf numFmtId="0" fontId="16" fillId="80" borderId="2" xfId="0" applyFont="1" applyFill="1" applyBorder="1" applyAlignment="1">
      <alignment horizontal="center" vertical="center"/>
    </xf>
    <xf numFmtId="3" fontId="9" fillId="80" borderId="2" xfId="0" applyNumberFormat="1" applyFont="1" applyFill="1" applyBorder="1" applyAlignment="1">
      <alignment horizontal="right"/>
    </xf>
    <xf numFmtId="3" fontId="14" fillId="80" borderId="2" xfId="0" applyNumberFormat="1" applyFont="1" applyFill="1" applyBorder="1" applyAlignment="1">
      <alignment horizontal="center"/>
    </xf>
    <xf numFmtId="0" fontId="10" fillId="80" borderId="0" xfId="0" applyFont="1" applyFill="1" applyAlignment="1">
      <alignment horizontal="center" vertical="center"/>
    </xf>
    <xf numFmtId="3" fontId="0" fillId="80" borderId="0" xfId="0" applyNumberFormat="1" applyFill="1" applyAlignment="1">
      <alignment horizontal="center" vertical="center"/>
    </xf>
    <xf numFmtId="0" fontId="10" fillId="80" borderId="2" xfId="0" applyFont="1" applyFill="1" applyBorder="1" applyAlignment="1">
      <alignment horizontal="center"/>
    </xf>
    <xf numFmtId="0" fontId="0" fillId="80" borderId="2" xfId="0" applyFill="1" applyBorder="1" applyAlignment="1">
      <alignment horizontal="center"/>
    </xf>
    <xf numFmtId="0" fontId="0" fillId="80" borderId="68" xfId="0" applyFill="1" applyBorder="1" applyAlignment="1">
      <alignment horizontal="center"/>
    </xf>
    <xf numFmtId="0" fontId="2" fillId="80" borderId="2" xfId="0" applyFont="1" applyFill="1" applyBorder="1" applyAlignment="1">
      <alignment horizontal="center"/>
    </xf>
    <xf numFmtId="0" fontId="0" fillId="80" borderId="0" xfId="0" applyFill="1" applyAlignment="1">
      <alignment horizontal="center"/>
    </xf>
    <xf numFmtId="0" fontId="0" fillId="80" borderId="49" xfId="0" applyFill="1" applyBorder="1" applyAlignment="1">
      <alignment horizontal="center"/>
    </xf>
    <xf numFmtId="0" fontId="0" fillId="80" borderId="49" xfId="0" applyFill="1" applyBorder="1" applyAlignment="1">
      <alignment horizontal="center" vertical="center"/>
    </xf>
    <xf numFmtId="0" fontId="9" fillId="80" borderId="5" xfId="0" applyFont="1" applyFill="1" applyBorder="1" applyAlignment="1">
      <alignment horizontal="center" vertical="center"/>
    </xf>
    <xf numFmtId="0" fontId="9" fillId="80" borderId="68" xfId="0" applyFont="1" applyFill="1" applyBorder="1" applyAlignment="1">
      <alignment horizontal="center" vertical="center"/>
    </xf>
    <xf numFmtId="0" fontId="2" fillId="80" borderId="10" xfId="0" quotePrefix="1" applyFont="1" applyFill="1" applyBorder="1" applyAlignment="1">
      <alignment horizontal="center" vertical="center"/>
    </xf>
    <xf numFmtId="0" fontId="4" fillId="80" borderId="3" xfId="0" applyFont="1" applyFill="1" applyBorder="1" applyAlignment="1">
      <alignment horizontal="center" vertical="center"/>
    </xf>
    <xf numFmtId="0" fontId="4" fillId="80" borderId="8" xfId="0" applyFont="1" applyFill="1" applyBorder="1" applyAlignment="1">
      <alignment horizontal="center" vertical="center"/>
    </xf>
    <xf numFmtId="0" fontId="5" fillId="80" borderId="3" xfId="0" applyFont="1" applyFill="1" applyBorder="1" applyAlignment="1">
      <alignment horizontal="center" vertical="center"/>
    </xf>
    <xf numFmtId="0" fontId="9" fillId="80" borderId="4" xfId="0" quotePrefix="1" applyFont="1" applyFill="1" applyBorder="1" applyAlignment="1">
      <alignment horizontal="center" vertical="center"/>
    </xf>
    <xf numFmtId="0" fontId="8" fillId="80" borderId="3" xfId="0" applyFont="1" applyFill="1" applyBorder="1" applyAlignment="1">
      <alignment horizontal="center" vertical="center"/>
    </xf>
    <xf numFmtId="0" fontId="23" fillId="80" borderId="4" xfId="0" quotePrefix="1" applyFont="1" applyFill="1" applyBorder="1" applyAlignment="1">
      <alignment horizontal="center" vertical="center" wrapText="1"/>
    </xf>
    <xf numFmtId="0" fontId="2" fillId="80" borderId="2" xfId="0" applyFont="1" applyFill="1" applyBorder="1" applyAlignment="1">
      <alignment horizontal="center" vertical="center"/>
    </xf>
    <xf numFmtId="0" fontId="21" fillId="80" borderId="4" xfId="0" quotePrefix="1" applyFont="1" applyFill="1" applyBorder="1" applyAlignment="1">
      <alignment horizontal="center" vertical="center"/>
    </xf>
    <xf numFmtId="0" fontId="5" fillId="80" borderId="5" xfId="0" applyFont="1" applyFill="1" applyBorder="1" applyAlignment="1">
      <alignment horizontal="center" vertical="center"/>
    </xf>
    <xf numFmtId="3" fontId="14" fillId="80" borderId="2" xfId="0" applyNumberFormat="1" applyFont="1" applyFill="1" applyBorder="1"/>
    <xf numFmtId="0" fontId="0" fillId="80" borderId="0" xfId="0" applyFill="1" applyAlignment="1">
      <alignment horizontal="center" vertical="center"/>
    </xf>
    <xf numFmtId="0" fontId="0" fillId="80" borderId="0" xfId="0" applyFill="1"/>
    <xf numFmtId="0" fontId="0" fillId="80" borderId="2" xfId="0" applyFill="1" applyBorder="1"/>
    <xf numFmtId="0" fontId="0" fillId="80" borderId="49" xfId="0" applyFill="1" applyBorder="1"/>
    <xf numFmtId="3" fontId="17" fillId="0" borderId="0" xfId="0" applyNumberFormat="1" applyFont="1" applyAlignment="1">
      <alignment horizontal="center" vertical="center"/>
    </xf>
    <xf numFmtId="3" fontId="29" fillId="0" borderId="0" xfId="0" applyNumberFormat="1" applyFont="1" applyAlignment="1">
      <alignment horizontal="center" vertical="center"/>
    </xf>
    <xf numFmtId="3" fontId="29" fillId="0" borderId="24" xfId="0" applyNumberFormat="1" applyFont="1" applyBorder="1" applyAlignment="1">
      <alignment horizontal="center" vertical="center"/>
    </xf>
    <xf numFmtId="3" fontId="35" fillId="0" borderId="24" xfId="0" applyNumberFormat="1" applyFont="1" applyBorder="1" applyAlignment="1">
      <alignment horizontal="center" vertical="center"/>
    </xf>
    <xf numFmtId="3" fontId="31" fillId="0" borderId="5" xfId="0" applyNumberFormat="1" applyFont="1" applyFill="1" applyBorder="1" applyAlignment="1">
      <alignment horizontal="center" vertical="center"/>
    </xf>
    <xf numFmtId="0" fontId="18" fillId="0" borderId="110" xfId="0" applyFont="1" applyFill="1" applyBorder="1" applyAlignment="1">
      <alignment horizontal="center" vertical="center"/>
    </xf>
    <xf numFmtId="0" fontId="4" fillId="0" borderId="110" xfId="0" applyFont="1" applyFill="1" applyBorder="1" applyAlignment="1">
      <alignment horizontal="center" vertical="center"/>
    </xf>
    <xf numFmtId="3" fontId="4" fillId="4" borderId="110" xfId="0" applyNumberFormat="1" applyFont="1" applyFill="1" applyBorder="1" applyAlignment="1">
      <alignment horizontal="center" vertical="center"/>
    </xf>
    <xf numFmtId="3" fontId="2" fillId="0" borderId="111" xfId="0" applyNumberFormat="1" applyFont="1" applyBorder="1" applyAlignment="1">
      <alignment horizontal="center"/>
    </xf>
    <xf numFmtId="164" fontId="2" fillId="2" borderId="110" xfId="2" applyNumberFormat="1" applyFont="1" applyFill="1" applyBorder="1" applyAlignment="1">
      <alignment horizontal="center"/>
    </xf>
    <xf numFmtId="3" fontId="3" fillId="0" borderId="110" xfId="0" applyNumberFormat="1" applyFont="1" applyBorder="1" applyAlignment="1">
      <alignment horizontal="center"/>
    </xf>
    <xf numFmtId="3" fontId="2" fillId="2" borderId="5" xfId="0" applyNumberFormat="1" applyFont="1" applyFill="1" applyBorder="1" applyAlignment="1">
      <alignment horizontal="center"/>
    </xf>
    <xf numFmtId="3" fontId="0" fillId="0" borderId="73" xfId="0" applyNumberFormat="1" applyBorder="1" applyAlignment="1">
      <alignment horizontal="center"/>
    </xf>
    <xf numFmtId="39" fontId="219" fillId="0" borderId="0" xfId="0" applyNumberFormat="1" applyFont="1" applyAlignment="1">
      <alignment vertical="top"/>
    </xf>
    <xf numFmtId="164" fontId="2" fillId="0" borderId="26" xfId="2" applyNumberFormat="1" applyFont="1" applyBorder="1" applyAlignment="1">
      <alignment horizontal="center"/>
    </xf>
    <xf numFmtId="164" fontId="2" fillId="2" borderId="69" xfId="2" applyNumberFormat="1" applyFont="1" applyFill="1" applyBorder="1" applyAlignment="1">
      <alignment horizontal="center"/>
    </xf>
    <xf numFmtId="0" fontId="0" fillId="2" borderId="110" xfId="0" applyFill="1" applyBorder="1" applyAlignment="1">
      <alignment horizontal="center" vertical="center"/>
    </xf>
    <xf numFmtId="3" fontId="10" fillId="2" borderId="11" xfId="0" applyNumberFormat="1" applyFont="1" applyFill="1" applyBorder="1" applyAlignment="1">
      <alignment horizontal="center"/>
    </xf>
    <xf numFmtId="3" fontId="10" fillId="2" borderId="12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 vertical="center"/>
    </xf>
    <xf numFmtId="3" fontId="2" fillId="0" borderId="5" xfId="0" applyNumberFormat="1" applyFont="1" applyBorder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6" fillId="9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13" borderId="50" xfId="0" applyFont="1" applyFill="1" applyBorder="1" applyAlignment="1">
      <alignment horizontal="center" vertical="center"/>
    </xf>
    <xf numFmtId="0" fontId="2" fillId="13" borderId="48" xfId="0" applyFont="1" applyFill="1" applyBorder="1" applyAlignment="1">
      <alignment horizontal="center" vertical="center"/>
    </xf>
    <xf numFmtId="0" fontId="2" fillId="0" borderId="49" xfId="0" applyFont="1" applyBorder="1" applyAlignment="1">
      <alignment horizontal="center" vertical="center" wrapText="1"/>
    </xf>
    <xf numFmtId="0" fontId="2" fillId="0" borderId="5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9" xfId="0" applyFont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/>
    </xf>
    <xf numFmtId="0" fontId="26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6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56" fillId="0" borderId="43" xfId="0" applyFont="1" applyBorder="1" applyAlignment="1">
      <alignment horizontal="center" vertical="center"/>
    </xf>
    <xf numFmtId="0" fontId="56" fillId="0" borderId="55" xfId="0" applyFont="1" applyBorder="1" applyAlignment="1">
      <alignment horizontal="center" vertical="center"/>
    </xf>
    <xf numFmtId="0" fontId="14" fillId="0" borderId="43" xfId="0" applyFont="1" applyBorder="1" applyAlignment="1">
      <alignment horizontal="center" vertical="center"/>
    </xf>
    <xf numFmtId="0" fontId="14" fillId="0" borderId="55" xfId="0" applyFont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11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2" fillId="0" borderId="68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0" xfId="0" applyFont="1" applyFill="1" applyBorder="1" applyAlignment="1">
      <alignment horizontal="center" vertical="center"/>
    </xf>
    <xf numFmtId="3" fontId="17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center" vertical="center"/>
    </xf>
    <xf numFmtId="3" fontId="36" fillId="0" borderId="0" xfId="0" applyNumberFormat="1" applyFont="1" applyAlignment="1">
      <alignment horizontal="center" vertical="center"/>
    </xf>
    <xf numFmtId="3" fontId="31" fillId="0" borderId="95" xfId="0" applyNumberFormat="1" applyFont="1" applyBorder="1" applyAlignment="1">
      <alignment horizontal="center" vertical="center"/>
    </xf>
    <xf numFmtId="3" fontId="29" fillId="0" borderId="95" xfId="0" applyNumberFormat="1" applyFont="1" applyBorder="1" applyAlignment="1">
      <alignment horizontal="center" vertical="center"/>
    </xf>
    <xf numFmtId="3" fontId="28" fillId="0" borderId="0" xfId="0" applyNumberFormat="1" applyFont="1" applyAlignment="1">
      <alignment horizontal="center" vertical="center"/>
    </xf>
    <xf numFmtId="3" fontId="29" fillId="0" borderId="0" xfId="0" applyNumberFormat="1" applyFont="1" applyAlignment="1">
      <alignment horizontal="center" vertical="center"/>
    </xf>
    <xf numFmtId="166" fontId="30" fillId="0" borderId="5" xfId="0" applyNumberFormat="1" applyFont="1" applyBorder="1" applyAlignment="1">
      <alignment horizontal="center" vertical="center" wrapText="1"/>
    </xf>
    <xf numFmtId="3" fontId="29" fillId="0" borderId="106" xfId="0" applyNumberFormat="1" applyFont="1" applyBorder="1" applyAlignment="1">
      <alignment horizontal="center" vertical="center"/>
    </xf>
    <xf numFmtId="3" fontId="29" fillId="0" borderId="109" xfId="0" applyNumberFormat="1" applyFont="1" applyBorder="1" applyAlignment="1">
      <alignment horizontal="center" vertical="center"/>
    </xf>
    <xf numFmtId="3" fontId="29" fillId="0" borderId="19" xfId="0" applyNumberFormat="1" applyFont="1" applyBorder="1" applyAlignment="1">
      <alignment horizontal="center" vertical="center"/>
    </xf>
    <xf numFmtId="3" fontId="29" fillId="0" borderId="20" xfId="0" applyNumberFormat="1" applyFont="1" applyBorder="1" applyAlignment="1">
      <alignment horizontal="center" vertical="center"/>
    </xf>
    <xf numFmtId="3" fontId="29" fillId="0" borderId="21" xfId="0" applyNumberFormat="1" applyFont="1" applyBorder="1" applyAlignment="1">
      <alignment horizontal="center" vertical="center"/>
    </xf>
    <xf numFmtId="3" fontId="29" fillId="0" borderId="26" xfId="0" applyNumberFormat="1" applyFont="1" applyBorder="1" applyAlignment="1">
      <alignment horizontal="center" vertical="center"/>
    </xf>
    <xf numFmtId="3" fontId="29" fillId="0" borderId="5" xfId="0" applyNumberFormat="1" applyFont="1" applyBorder="1" applyAlignment="1">
      <alignment horizontal="center" vertical="center"/>
    </xf>
    <xf numFmtId="3" fontId="29" fillId="0" borderId="27" xfId="0" applyNumberFormat="1" applyFont="1" applyBorder="1" applyAlignment="1">
      <alignment horizontal="center" vertical="center"/>
    </xf>
    <xf numFmtId="3" fontId="29" fillId="0" borderId="25" xfId="0" applyNumberFormat="1" applyFont="1" applyBorder="1" applyAlignment="1">
      <alignment horizontal="center" vertical="center"/>
    </xf>
    <xf numFmtId="3" fontId="29" fillId="0" borderId="24" xfId="0" applyNumberFormat="1" applyFont="1" applyBorder="1" applyAlignment="1">
      <alignment horizontal="center" vertical="center"/>
    </xf>
    <xf numFmtId="3" fontId="29" fillId="0" borderId="31" xfId="0" applyNumberFormat="1" applyFont="1" applyBorder="1" applyAlignment="1">
      <alignment horizontal="center" vertical="center"/>
    </xf>
    <xf numFmtId="3" fontId="29" fillId="0" borderId="1" xfId="0" applyNumberFormat="1" applyFont="1" applyBorder="1" applyAlignment="1">
      <alignment horizontal="center" vertical="center"/>
    </xf>
    <xf numFmtId="3" fontId="29" fillId="0" borderId="18" xfId="0" applyNumberFormat="1" applyFont="1" applyBorder="1" applyAlignment="1">
      <alignment horizontal="center" vertical="center"/>
    </xf>
    <xf numFmtId="3" fontId="29" fillId="0" borderId="112" xfId="0" applyNumberFormat="1" applyFont="1" applyBorder="1" applyAlignment="1">
      <alignment horizontal="center" vertical="center"/>
    </xf>
    <xf numFmtId="3" fontId="30" fillId="0" borderId="106" xfId="0" applyNumberFormat="1" applyFont="1" applyBorder="1" applyAlignment="1">
      <alignment horizontal="center" vertical="center"/>
    </xf>
    <xf numFmtId="3" fontId="30" fillId="0" borderId="112" xfId="0" applyNumberFormat="1" applyFont="1" applyBorder="1" applyAlignment="1">
      <alignment horizontal="center" vertical="center"/>
    </xf>
    <xf numFmtId="3" fontId="30" fillId="0" borderId="109" xfId="0" applyNumberFormat="1" applyFont="1" applyBorder="1" applyAlignment="1">
      <alignment horizontal="center" vertical="center"/>
    </xf>
    <xf numFmtId="3" fontId="29" fillId="0" borderId="28" xfId="0" applyNumberFormat="1" applyFont="1" applyBorder="1" applyAlignment="1">
      <alignment horizontal="center" vertical="center"/>
    </xf>
    <xf numFmtId="3" fontId="29" fillId="0" borderId="15" xfId="0" applyNumberFormat="1" applyFont="1" applyBorder="1" applyAlignment="1">
      <alignment horizontal="center" vertical="center"/>
    </xf>
    <xf numFmtId="3" fontId="29" fillId="0" borderId="32" xfId="0" applyNumberFormat="1" applyFont="1" applyBorder="1" applyAlignment="1">
      <alignment horizontal="center" vertical="center"/>
    </xf>
    <xf numFmtId="3" fontId="31" fillId="0" borderId="22" xfId="0" applyNumberFormat="1" applyFont="1" applyBorder="1" applyAlignment="1">
      <alignment horizontal="center" vertical="center"/>
    </xf>
    <xf numFmtId="3" fontId="29" fillId="0" borderId="22" xfId="0" applyNumberFormat="1" applyFont="1" applyBorder="1" applyAlignment="1">
      <alignment horizontal="center" vertical="center"/>
    </xf>
    <xf numFmtId="3" fontId="35" fillId="0" borderId="27" xfId="0" applyNumberFormat="1" applyFont="1" applyBorder="1" applyAlignment="1">
      <alignment horizontal="center" vertical="center"/>
    </xf>
    <xf numFmtId="3" fontId="35" fillId="0" borderId="28" xfId="0" applyNumberFormat="1" applyFont="1" applyBorder="1" applyAlignment="1">
      <alignment horizontal="center" vertical="center"/>
    </xf>
    <xf numFmtId="3" fontId="35" fillId="0" borderId="15" xfId="0" applyNumberFormat="1" applyFont="1" applyBorder="1" applyAlignment="1">
      <alignment horizontal="center" vertical="center"/>
    </xf>
    <xf numFmtId="3" fontId="35" fillId="0" borderId="32" xfId="0" applyNumberFormat="1" applyFont="1" applyBorder="1" applyAlignment="1">
      <alignment horizontal="center" vertical="center"/>
    </xf>
    <xf numFmtId="3" fontId="35" fillId="0" borderId="31" xfId="0" applyNumberFormat="1" applyFont="1" applyBorder="1" applyAlignment="1">
      <alignment horizontal="center" vertical="center"/>
    </xf>
    <xf numFmtId="3" fontId="35" fillId="0" borderId="41" xfId="0" applyNumberFormat="1" applyFont="1" applyBorder="1" applyAlignment="1">
      <alignment horizontal="center" vertical="center"/>
    </xf>
    <xf numFmtId="3" fontId="35" fillId="0" borderId="11" xfId="0" applyNumberFormat="1" applyFont="1" applyBorder="1" applyAlignment="1">
      <alignment horizontal="center" vertical="center"/>
    </xf>
    <xf numFmtId="3" fontId="35" fillId="0" borderId="12" xfId="0" applyNumberFormat="1" applyFont="1" applyBorder="1" applyAlignment="1">
      <alignment horizontal="center" vertical="center"/>
    </xf>
    <xf numFmtId="3" fontId="35" fillId="0" borderId="13" xfId="0" applyNumberFormat="1" applyFont="1" applyBorder="1" applyAlignment="1">
      <alignment horizontal="center" vertical="center"/>
    </xf>
    <xf numFmtId="3" fontId="35" fillId="0" borderId="19" xfId="0" applyNumberFormat="1" applyFont="1" applyBorder="1" applyAlignment="1">
      <alignment horizontal="center" vertical="center"/>
    </xf>
    <xf numFmtId="3" fontId="35" fillId="0" borderId="20" xfId="0" applyNumberFormat="1" applyFont="1" applyBorder="1" applyAlignment="1">
      <alignment horizontal="center" vertical="center"/>
    </xf>
    <xf numFmtId="3" fontId="35" fillId="0" borderId="21" xfId="0" applyNumberFormat="1" applyFont="1" applyBorder="1" applyAlignment="1">
      <alignment horizontal="center" vertical="center"/>
    </xf>
    <xf numFmtId="3" fontId="35" fillId="0" borderId="43" xfId="0" applyNumberFormat="1" applyFont="1" applyBorder="1" applyAlignment="1">
      <alignment horizontal="center" vertical="center"/>
    </xf>
    <xf numFmtId="3" fontId="35" fillId="0" borderId="33" xfId="0" applyNumberFormat="1" applyFont="1" applyBorder="1" applyAlignment="1">
      <alignment horizontal="center" vertical="center"/>
    </xf>
    <xf numFmtId="3" fontId="35" fillId="0" borderId="1" xfId="0" applyNumberFormat="1" applyFont="1" applyBorder="1" applyAlignment="1">
      <alignment horizontal="center" vertical="center"/>
    </xf>
    <xf numFmtId="3" fontId="35" fillId="0" borderId="18" xfId="0" applyNumberFormat="1" applyFont="1" applyBorder="1" applyAlignment="1">
      <alignment horizontal="center" vertical="center"/>
    </xf>
    <xf numFmtId="3" fontId="30" fillId="0" borderId="5" xfId="0" applyNumberFormat="1" applyFont="1" applyBorder="1" applyAlignment="1">
      <alignment horizontal="center" vertical="center" wrapText="1"/>
    </xf>
    <xf numFmtId="3" fontId="30" fillId="0" borderId="69" xfId="0" applyNumberFormat="1" applyFont="1" applyBorder="1" applyAlignment="1">
      <alignment horizontal="center" vertical="center" wrapText="1"/>
    </xf>
    <xf numFmtId="3" fontId="30" fillId="0" borderId="5" xfId="0" applyNumberFormat="1" applyFont="1" applyBorder="1" applyAlignment="1">
      <alignment horizontal="center" vertical="center"/>
    </xf>
    <xf numFmtId="3" fontId="30" fillId="0" borderId="69" xfId="0" applyNumberFormat="1" applyFont="1" applyBorder="1" applyAlignment="1">
      <alignment horizontal="center" vertical="center"/>
    </xf>
    <xf numFmtId="3" fontId="35" fillId="0" borderId="26" xfId="0" applyNumberFormat="1" applyFont="1" applyBorder="1" applyAlignment="1">
      <alignment horizontal="center" vertical="center"/>
    </xf>
    <xf numFmtId="3" fontId="35" fillId="0" borderId="5" xfId="0" applyNumberFormat="1" applyFont="1" applyBorder="1" applyAlignment="1">
      <alignment horizontal="center" vertical="center"/>
    </xf>
    <xf numFmtId="3" fontId="35" fillId="0" borderId="4" xfId="0" applyNumberFormat="1" applyFont="1" applyBorder="1" applyAlignment="1">
      <alignment horizontal="center" vertical="center"/>
    </xf>
    <xf numFmtId="3" fontId="30" fillId="0" borderId="11" xfId="0" applyNumberFormat="1" applyFont="1" applyBorder="1" applyAlignment="1">
      <alignment horizontal="center" vertical="center"/>
    </xf>
    <xf numFmtId="3" fontId="30" fillId="0" borderId="13" xfId="0" applyNumberFormat="1" applyFont="1" applyBorder="1" applyAlignment="1">
      <alignment horizontal="center" vertical="center"/>
    </xf>
    <xf numFmtId="3" fontId="30" fillId="0" borderId="12" xfId="0" applyNumberFormat="1" applyFont="1" applyBorder="1" applyAlignment="1">
      <alignment horizontal="center" vertical="center"/>
    </xf>
    <xf numFmtId="3" fontId="30" fillId="0" borderId="4" xfId="0" applyNumberFormat="1" applyFont="1" applyBorder="1" applyAlignment="1">
      <alignment horizontal="center" vertical="center" wrapText="1"/>
    </xf>
    <xf numFmtId="166" fontId="30" fillId="0" borderId="4" xfId="0" applyNumberFormat="1" applyFont="1" applyBorder="1" applyAlignment="1">
      <alignment horizontal="center" vertical="center" wrapText="1"/>
    </xf>
    <xf numFmtId="3" fontId="35" fillId="0" borderId="25" xfId="0" applyNumberFormat="1" applyFont="1" applyBorder="1" applyAlignment="1">
      <alignment horizontal="center" vertical="center"/>
    </xf>
    <xf numFmtId="3" fontId="35" fillId="0" borderId="24" xfId="0" applyNumberFormat="1" applyFont="1" applyBorder="1" applyAlignment="1">
      <alignment horizontal="center" vertical="center"/>
    </xf>
    <xf numFmtId="0" fontId="35" fillId="0" borderId="31" xfId="0" applyFont="1" applyFill="1" applyBorder="1" applyAlignment="1">
      <alignment horizontal="center" vertical="center"/>
    </xf>
    <xf numFmtId="0" fontId="35" fillId="0" borderId="18" xfId="0" applyFont="1" applyFill="1" applyBorder="1" applyAlignment="1">
      <alignment horizontal="center" vertical="center"/>
    </xf>
    <xf numFmtId="0" fontId="35" fillId="0" borderId="2" xfId="0" applyFont="1" applyFill="1" applyBorder="1" applyAlignment="1">
      <alignment horizontal="center" vertical="center"/>
    </xf>
    <xf numFmtId="0" fontId="30" fillId="0" borderId="5" xfId="0" applyNumberFormat="1" applyFont="1" applyFill="1" applyBorder="1" applyAlignment="1">
      <alignment horizontal="center" vertical="center" wrapText="1"/>
    </xf>
    <xf numFmtId="0" fontId="30" fillId="0" borderId="4" xfId="0" applyNumberFormat="1" applyFont="1" applyFill="1" applyBorder="1" applyAlignment="1">
      <alignment horizontal="center" vertical="center" wrapText="1"/>
    </xf>
    <xf numFmtId="0" fontId="28" fillId="0" borderId="0" xfId="0" applyFont="1" applyFill="1" applyAlignment="1">
      <alignment horizontal="center" vertical="center"/>
    </xf>
    <xf numFmtId="0" fontId="29" fillId="0" borderId="0" xfId="0" applyFont="1" applyFill="1" applyAlignment="1">
      <alignment horizontal="center" vertical="center"/>
    </xf>
    <xf numFmtId="3" fontId="29" fillId="0" borderId="0" xfId="0" quotePrefix="1" applyNumberFormat="1" applyFont="1" applyFill="1" applyAlignment="1">
      <alignment horizontal="center" vertical="center"/>
    </xf>
    <xf numFmtId="3" fontId="29" fillId="0" borderId="0" xfId="0" applyNumberFormat="1" applyFont="1" applyFill="1" applyAlignment="1">
      <alignment horizontal="center" vertical="center"/>
    </xf>
    <xf numFmtId="0" fontId="31" fillId="0" borderId="0" xfId="0" applyFont="1" applyFill="1" applyAlignment="1">
      <alignment horizontal="center" vertical="center"/>
    </xf>
    <xf numFmtId="0" fontId="35" fillId="0" borderId="19" xfId="0" applyFont="1" applyFill="1" applyBorder="1" applyAlignment="1">
      <alignment horizontal="center" vertical="center"/>
    </xf>
    <xf numFmtId="0" fontId="35" fillId="0" borderId="20" xfId="0" applyFont="1" applyFill="1" applyBorder="1" applyAlignment="1">
      <alignment horizontal="center" vertical="center"/>
    </xf>
    <xf numFmtId="0" fontId="35" fillId="0" borderId="21" xfId="0" applyFont="1" applyFill="1" applyBorder="1" applyAlignment="1">
      <alignment horizontal="center" vertical="center"/>
    </xf>
    <xf numFmtId="0" fontId="35" fillId="0" borderId="6" xfId="0" applyFont="1" applyFill="1" applyBorder="1" applyAlignment="1">
      <alignment horizontal="center" vertical="center"/>
    </xf>
    <xf numFmtId="0" fontId="35" fillId="0" borderId="26" xfId="0" applyFont="1" applyFill="1" applyBorder="1" applyAlignment="1">
      <alignment horizontal="center" vertical="center"/>
    </xf>
    <xf numFmtId="0" fontId="35" fillId="0" borderId="5" xfId="0" applyFont="1" applyFill="1" applyBorder="1" applyAlignment="1">
      <alignment horizontal="center" vertical="center"/>
    </xf>
    <xf numFmtId="3" fontId="29" fillId="0" borderId="26" xfId="0" applyNumberFormat="1" applyFont="1" applyFill="1" applyBorder="1" applyAlignment="1">
      <alignment horizontal="center" vertical="center" textRotation="180"/>
    </xf>
    <xf numFmtId="3" fontId="29" fillId="0" borderId="5" xfId="0" applyNumberFormat="1" applyFont="1" applyFill="1" applyBorder="1" applyAlignment="1">
      <alignment horizontal="center" vertical="center" textRotation="180"/>
    </xf>
    <xf numFmtId="3" fontId="29" fillId="0" borderId="9" xfId="0" applyNumberFormat="1" applyFont="1" applyFill="1" applyBorder="1" applyAlignment="1">
      <alignment horizontal="center" vertical="center" textRotation="180"/>
    </xf>
    <xf numFmtId="0" fontId="35" fillId="0" borderId="27" xfId="0" applyFont="1" applyFill="1" applyBorder="1" applyAlignment="1">
      <alignment horizontal="center" vertical="center"/>
    </xf>
    <xf numFmtId="0" fontId="35" fillId="0" borderId="25" xfId="0" applyFont="1" applyFill="1" applyBorder="1" applyAlignment="1">
      <alignment horizontal="center" vertical="center"/>
    </xf>
    <xf numFmtId="0" fontId="35" fillId="0" borderId="24" xfId="0" applyFont="1" applyFill="1" applyBorder="1" applyAlignment="1">
      <alignment horizontal="center" vertical="center"/>
    </xf>
    <xf numFmtId="0" fontId="35" fillId="0" borderId="1" xfId="0" applyFont="1" applyFill="1" applyBorder="1" applyAlignment="1">
      <alignment horizontal="center" vertical="center"/>
    </xf>
    <xf numFmtId="3" fontId="35" fillId="0" borderId="27" xfId="0" applyNumberFormat="1" applyFont="1" applyFill="1" applyBorder="1" applyAlignment="1">
      <alignment horizontal="center" vertical="center"/>
    </xf>
    <xf numFmtId="3" fontId="35" fillId="0" borderId="25" xfId="0" applyNumberFormat="1" applyFont="1" applyFill="1" applyBorder="1" applyAlignment="1">
      <alignment horizontal="center" vertical="center"/>
    </xf>
    <xf numFmtId="3" fontId="35" fillId="0" borderId="24" xfId="0" applyNumberFormat="1" applyFont="1" applyFill="1" applyBorder="1" applyAlignment="1">
      <alignment horizontal="center" vertical="center"/>
    </xf>
    <xf numFmtId="3" fontId="35" fillId="0" borderId="31" xfId="0" applyNumberFormat="1" applyFont="1" applyFill="1" applyBorder="1" applyAlignment="1">
      <alignment horizontal="center" vertical="center"/>
    </xf>
    <xf numFmtId="3" fontId="35" fillId="0" borderId="1" xfId="0" applyNumberFormat="1" applyFont="1" applyFill="1" applyBorder="1" applyAlignment="1">
      <alignment horizontal="center" vertical="center"/>
    </xf>
    <xf numFmtId="3" fontId="35" fillId="0" borderId="18" xfId="0" applyNumberFormat="1" applyFont="1" applyFill="1" applyBorder="1" applyAlignment="1">
      <alignment horizontal="center" vertical="center"/>
    </xf>
    <xf numFmtId="0" fontId="35" fillId="0" borderId="28" xfId="0" applyFont="1" applyFill="1" applyBorder="1" applyAlignment="1">
      <alignment horizontal="center" vertical="center"/>
    </xf>
    <xf numFmtId="0" fontId="35" fillId="0" borderId="15" xfId="0" applyFont="1" applyFill="1" applyBorder="1" applyAlignment="1">
      <alignment horizontal="center" vertical="center"/>
    </xf>
    <xf numFmtId="0" fontId="35" fillId="0" borderId="32" xfId="0" applyFont="1" applyFill="1" applyBorder="1" applyAlignment="1">
      <alignment horizontal="center" vertical="center"/>
    </xf>
    <xf numFmtId="3" fontId="30" fillId="0" borderId="5" xfId="0" applyNumberFormat="1" applyFont="1" applyFill="1" applyBorder="1" applyAlignment="1">
      <alignment horizontal="center" vertical="center"/>
    </xf>
    <xf numFmtId="0" fontId="35" fillId="0" borderId="11" xfId="0" applyFont="1" applyFill="1" applyBorder="1" applyAlignment="1">
      <alignment horizontal="center" vertical="center"/>
    </xf>
    <xf numFmtId="0" fontId="35" fillId="0" borderId="12" xfId="0" applyFont="1" applyFill="1" applyBorder="1" applyAlignment="1">
      <alignment horizontal="center" vertical="center"/>
    </xf>
    <xf numFmtId="3" fontId="17" fillId="0" borderId="0" xfId="0" applyNumberFormat="1" applyFont="1" applyFill="1" applyAlignment="1">
      <alignment horizontal="center" vertical="center"/>
    </xf>
    <xf numFmtId="167" fontId="47" fillId="0" borderId="49" xfId="0" applyNumberFormat="1" applyFont="1" applyBorder="1" applyAlignment="1">
      <alignment horizontal="center"/>
    </xf>
    <xf numFmtId="0" fontId="47" fillId="0" borderId="56" xfId="0" applyFont="1" applyBorder="1" applyAlignment="1">
      <alignment horizontal="center"/>
    </xf>
    <xf numFmtId="0" fontId="47" fillId="0" borderId="61" xfId="0" applyFont="1" applyBorder="1" applyAlignment="1">
      <alignment horizontal="center"/>
    </xf>
    <xf numFmtId="0" fontId="47" fillId="0" borderId="57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43" fillId="0" borderId="0" xfId="0" applyFont="1" applyFill="1" applyAlignment="1">
      <alignment horizontal="center"/>
    </xf>
    <xf numFmtId="0" fontId="43" fillId="0" borderId="0" xfId="0" applyFont="1" applyAlignment="1">
      <alignment horizontal="center"/>
    </xf>
    <xf numFmtId="167" fontId="47" fillId="0" borderId="8" xfId="0" applyNumberFormat="1" applyFont="1" applyBorder="1" applyAlignment="1">
      <alignment horizontal="center"/>
    </xf>
    <xf numFmtId="167" fontId="47" fillId="0" borderId="60" xfId="0" applyNumberFormat="1" applyFont="1" applyBorder="1" applyAlignment="1">
      <alignment horizontal="center"/>
    </xf>
    <xf numFmtId="0" fontId="20" fillId="0" borderId="0" xfId="0" applyFont="1" applyFill="1" applyAlignment="1">
      <alignment horizontal="center" vertical="center"/>
    </xf>
    <xf numFmtId="0" fontId="52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51" fillId="0" borderId="0" xfId="0" applyFont="1" applyAlignment="1">
      <alignment horizontal="center"/>
    </xf>
    <xf numFmtId="0" fontId="25" fillId="0" borderId="0" xfId="0" applyFont="1" applyBorder="1" applyAlignment="1">
      <alignment horizontal="center"/>
    </xf>
    <xf numFmtId="3" fontId="2" fillId="8" borderId="23" xfId="0" applyNumberFormat="1" applyFont="1" applyFill="1" applyBorder="1" applyAlignment="1">
      <alignment horizontal="center" vertical="center"/>
    </xf>
    <xf numFmtId="3" fontId="2" fillId="8" borderId="29" xfId="0" applyNumberFormat="1" applyFont="1" applyFill="1" applyBorder="1" applyAlignment="1">
      <alignment horizontal="center" vertical="center"/>
    </xf>
    <xf numFmtId="3" fontId="2" fillId="8" borderId="26" xfId="0" applyNumberFormat="1" applyFont="1" applyFill="1" applyBorder="1" applyAlignment="1">
      <alignment horizontal="center" vertical="center"/>
    </xf>
    <xf numFmtId="3" fontId="2" fillId="8" borderId="5" xfId="0" applyNumberFormat="1" applyFont="1" applyFill="1" applyBorder="1" applyAlignment="1">
      <alignment horizontal="center" vertical="center"/>
    </xf>
    <xf numFmtId="3" fontId="2" fillId="8" borderId="26" xfId="0" applyNumberFormat="1" applyFont="1" applyFill="1" applyBorder="1" applyAlignment="1">
      <alignment horizontal="center" vertical="center" wrapText="1"/>
    </xf>
    <xf numFmtId="3" fontId="2" fillId="8" borderId="5" xfId="0" applyNumberFormat="1" applyFont="1" applyFill="1" applyBorder="1" applyAlignment="1">
      <alignment horizontal="center" vertical="center" wrapText="1"/>
    </xf>
    <xf numFmtId="164" fontId="2" fillId="8" borderId="26" xfId="2" applyNumberFormat="1" applyFont="1" applyFill="1" applyBorder="1" applyAlignment="1">
      <alignment horizontal="center" vertical="center"/>
    </xf>
    <xf numFmtId="164" fontId="2" fillId="8" borderId="5" xfId="2" applyNumberFormat="1" applyFont="1" applyFill="1" applyBorder="1" applyAlignment="1">
      <alignment horizontal="center" vertical="center"/>
    </xf>
    <xf numFmtId="3" fontId="2" fillId="8" borderId="19" xfId="0" applyNumberFormat="1" applyFont="1" applyFill="1" applyBorder="1" applyAlignment="1">
      <alignment horizontal="center" vertical="center"/>
    </xf>
    <xf numFmtId="3" fontId="2" fillId="8" borderId="20" xfId="0" applyNumberFormat="1" applyFont="1" applyFill="1" applyBorder="1" applyAlignment="1">
      <alignment horizontal="center" vertical="center"/>
    </xf>
    <xf numFmtId="3" fontId="2" fillId="8" borderId="21" xfId="0" applyNumberFormat="1" applyFont="1" applyFill="1" applyBorder="1" applyAlignment="1">
      <alignment horizontal="center" vertical="center"/>
    </xf>
    <xf numFmtId="3" fontId="2" fillId="8" borderId="38" xfId="0" applyNumberFormat="1" applyFont="1" applyFill="1" applyBorder="1" applyAlignment="1">
      <alignment horizontal="center" vertical="center" wrapText="1"/>
    </xf>
    <xf numFmtId="3" fontId="2" fillId="8" borderId="78" xfId="0" applyNumberFormat="1" applyFont="1" applyFill="1" applyBorder="1" applyAlignment="1">
      <alignment horizontal="center" vertical="center" wrapText="1"/>
    </xf>
    <xf numFmtId="3" fontId="2" fillId="8" borderId="77" xfId="0" applyNumberFormat="1" applyFont="1" applyFill="1" applyBorder="1" applyAlignment="1">
      <alignment horizontal="center" vertical="center"/>
    </xf>
    <xf numFmtId="3" fontId="2" fillId="8" borderId="13" xfId="0" applyNumberFormat="1" applyFont="1" applyFill="1" applyBorder="1" applyAlignment="1">
      <alignment horizontal="center" vertical="center"/>
    </xf>
    <xf numFmtId="3" fontId="2" fillId="8" borderId="67" xfId="0" applyNumberFormat="1" applyFont="1" applyFill="1" applyBorder="1" applyAlignment="1">
      <alignment horizontal="center" vertical="center"/>
    </xf>
    <xf numFmtId="3" fontId="2" fillId="8" borderId="43" xfId="0" applyNumberFormat="1" applyFont="1" applyFill="1" applyBorder="1" applyAlignment="1">
      <alignment horizontal="center" vertical="center"/>
    </xf>
    <xf numFmtId="3" fontId="2" fillId="8" borderId="52" xfId="0" applyNumberFormat="1" applyFont="1" applyFill="1" applyBorder="1" applyAlignment="1">
      <alignment horizontal="center" vertical="center"/>
    </xf>
    <xf numFmtId="3" fontId="2" fillId="8" borderId="55" xfId="0" applyNumberFormat="1" applyFont="1" applyFill="1" applyBorder="1" applyAlignment="1">
      <alignment horizontal="center" vertical="center"/>
    </xf>
    <xf numFmtId="3" fontId="2" fillId="2" borderId="129" xfId="0" applyNumberFormat="1" applyFont="1" applyFill="1" applyBorder="1" applyAlignment="1">
      <alignment horizontal="center"/>
    </xf>
    <xf numFmtId="3" fontId="2" fillId="2" borderId="95" xfId="0" applyNumberFormat="1" applyFont="1" applyFill="1" applyBorder="1" applyAlignment="1">
      <alignment horizontal="center"/>
    </xf>
    <xf numFmtId="3" fontId="2" fillId="2" borderId="130" xfId="0" applyNumberFormat="1" applyFont="1" applyFill="1" applyBorder="1" applyAlignment="1">
      <alignment horizontal="center"/>
    </xf>
    <xf numFmtId="3" fontId="2" fillId="12" borderId="83" xfId="0" applyNumberFormat="1" applyFont="1" applyFill="1" applyBorder="1" applyAlignment="1">
      <alignment horizontal="center"/>
    </xf>
    <xf numFmtId="3" fontId="2" fillId="12" borderId="22" xfId="0" applyNumberFormat="1" applyFont="1" applyFill="1" applyBorder="1" applyAlignment="1">
      <alignment horizontal="center"/>
    </xf>
    <xf numFmtId="3" fontId="2" fillId="12" borderId="35" xfId="0" applyNumberFormat="1" applyFont="1" applyFill="1" applyBorder="1" applyAlignment="1">
      <alignment horizontal="center"/>
    </xf>
    <xf numFmtId="3" fontId="2" fillId="12" borderId="79" xfId="0" applyNumberFormat="1" applyFont="1" applyFill="1" applyBorder="1" applyAlignment="1">
      <alignment horizontal="left" vertical="center"/>
    </xf>
    <xf numFmtId="3" fontId="2" fillId="12" borderId="76" xfId="0" applyNumberFormat="1" applyFont="1" applyFill="1" applyBorder="1" applyAlignment="1">
      <alignment horizontal="left" vertical="center"/>
    </xf>
    <xf numFmtId="3" fontId="2" fillId="2" borderId="79" xfId="0" applyNumberFormat="1" applyFont="1" applyFill="1" applyBorder="1" applyAlignment="1">
      <alignment horizontal="center"/>
    </xf>
    <xf numFmtId="3" fontId="2" fillId="2" borderId="76" xfId="0" applyNumberFormat="1" applyFont="1" applyFill="1" applyBorder="1" applyAlignment="1">
      <alignment horizontal="center"/>
    </xf>
    <xf numFmtId="3" fontId="2" fillId="2" borderId="81" xfId="0" applyNumberFormat="1" applyFont="1" applyFill="1" applyBorder="1" applyAlignment="1">
      <alignment horizontal="center"/>
    </xf>
    <xf numFmtId="3" fontId="2" fillId="2" borderId="82" xfId="0" applyNumberFormat="1" applyFont="1" applyFill="1" applyBorder="1" applyAlignment="1">
      <alignment horizontal="center"/>
    </xf>
    <xf numFmtId="3" fontId="2" fillId="2" borderId="25" xfId="0" applyNumberFormat="1" applyFont="1" applyFill="1" applyBorder="1" applyAlignment="1">
      <alignment horizontal="center"/>
    </xf>
    <xf numFmtId="3" fontId="2" fillId="2" borderId="24" xfId="0" applyNumberFormat="1" applyFont="1" applyFill="1" applyBorder="1" applyAlignment="1">
      <alignment horizontal="center"/>
    </xf>
    <xf numFmtId="41" fontId="40" fillId="0" borderId="0" xfId="6" applyFont="1" applyFill="1" applyAlignment="1">
      <alignment horizontal="center" vertical="center"/>
    </xf>
    <xf numFmtId="41" fontId="217" fillId="0" borderId="0" xfId="6" applyFont="1" applyFill="1" applyBorder="1" applyAlignment="1">
      <alignment horizontal="center" vertical="center"/>
    </xf>
    <xf numFmtId="41" fontId="40" fillId="0" borderId="0" xfId="6" applyFont="1" applyFill="1" applyBorder="1" applyAlignment="1">
      <alignment horizontal="center" vertical="center"/>
    </xf>
    <xf numFmtId="41" fontId="217" fillId="0" borderId="0" xfId="6" applyFont="1" applyFill="1" applyAlignment="1">
      <alignment horizontal="center" vertical="center"/>
    </xf>
    <xf numFmtId="0" fontId="2" fillId="0" borderId="110" xfId="0" applyFont="1" applyBorder="1" applyAlignment="1">
      <alignment horizontal="center" vertical="center"/>
    </xf>
    <xf numFmtId="39" fontId="219" fillId="0" borderId="0" xfId="0" applyNumberFormat="1" applyFont="1" applyAlignment="1">
      <alignment horizontal="center" vertical="top"/>
    </xf>
  </cellXfs>
  <cellStyles count="21011">
    <cellStyle name="‡" xfId="14"/>
    <cellStyle name="‡ 2" xfId="15"/>
    <cellStyle name="‡_515" xfId="16"/>
    <cellStyle name="‡_515 2" xfId="17"/>
    <cellStyle name="‡_516" xfId="18"/>
    <cellStyle name="‡_516 2" xfId="19"/>
    <cellStyle name="‡_529" xfId="20"/>
    <cellStyle name="‡_529 2" xfId="21"/>
    <cellStyle name="‡_530" xfId="22"/>
    <cellStyle name="‡_530 2" xfId="23"/>
    <cellStyle name="‡_581" xfId="24"/>
    <cellStyle name="‡_581 2" xfId="25"/>
    <cellStyle name="‡_582" xfId="26"/>
    <cellStyle name="‡_582 2" xfId="27"/>
    <cellStyle name="‡_BOOK1" xfId="28"/>
    <cellStyle name="‡_BOOK1 2" xfId="29"/>
    <cellStyle name="‡_BOOK1_1" xfId="30"/>
    <cellStyle name="‡_BOOK1_1 2" xfId="31"/>
    <cellStyle name="‡_STA-DRP" xfId="32"/>
    <cellStyle name="‡_STA-DRP 2" xfId="33"/>
    <cellStyle name="‡_STA-DRP_515" xfId="34"/>
    <cellStyle name="‡_STA-DRP_515 2" xfId="35"/>
    <cellStyle name="‡_STA-DRP_516" xfId="36"/>
    <cellStyle name="‡_STA-DRP_516 2" xfId="37"/>
    <cellStyle name="‡_STA-DRP_529" xfId="38"/>
    <cellStyle name="‡_STA-DRP_529 2" xfId="39"/>
    <cellStyle name="‡_STA-DRP_530" xfId="40"/>
    <cellStyle name="‡_STA-DRP_530 2" xfId="41"/>
    <cellStyle name="‡_STA-DRP_581" xfId="42"/>
    <cellStyle name="‡_STA-DRP_581 2" xfId="43"/>
    <cellStyle name="‡_STA-DRP_582" xfId="44"/>
    <cellStyle name="‡_STA-DRP_582 2" xfId="45"/>
    <cellStyle name="‡_STA-DRP_BOOK1" xfId="46"/>
    <cellStyle name="‡_STA-DRP_BOOK1 2" xfId="47"/>
    <cellStyle name="‡_STA-DRP_BOOK1_1" xfId="48"/>
    <cellStyle name="‡_STA-DRP_BOOK1_1 2" xfId="49"/>
    <cellStyle name="¹éºÐÀ²_±âÅ¸" xfId="50"/>
    <cellStyle name="20% - Accent1 10" xfId="51"/>
    <cellStyle name="20% - Accent1 10 2" xfId="52"/>
    <cellStyle name="20% - Accent1 10 2 2" xfId="53"/>
    <cellStyle name="20% - Accent1 10 3" xfId="54"/>
    <cellStyle name="20% - Accent1 10 3 2" xfId="55"/>
    <cellStyle name="20% - Accent1 10 4" xfId="56"/>
    <cellStyle name="20% - Accent1 11" xfId="57"/>
    <cellStyle name="20% - Accent1 11 2" xfId="58"/>
    <cellStyle name="20% - Accent1 11 2 2" xfId="59"/>
    <cellStyle name="20% - Accent1 11 3" xfId="60"/>
    <cellStyle name="20% - Accent1 11 3 2" xfId="61"/>
    <cellStyle name="20% - Accent1 11 4" xfId="62"/>
    <cellStyle name="20% - Accent1 12" xfId="63"/>
    <cellStyle name="20% - Accent1 12 2" xfId="64"/>
    <cellStyle name="20% - Accent1 2" xfId="65"/>
    <cellStyle name="20% - Accent1 2 2" xfId="66"/>
    <cellStyle name="20% - Accent1 2 2 2" xfId="67"/>
    <cellStyle name="20% - Accent1 2 3" xfId="68"/>
    <cellStyle name="20% - Accent1 3" xfId="69"/>
    <cellStyle name="20% - Accent1 3 2" xfId="70"/>
    <cellStyle name="20% - Accent1 3 2 2" xfId="71"/>
    <cellStyle name="20% - Accent1 3 3" xfId="72"/>
    <cellStyle name="20% - Accent1 3 3 2" xfId="73"/>
    <cellStyle name="20% - Accent1 3 4" xfId="74"/>
    <cellStyle name="20% - Accent1 4" xfId="75"/>
    <cellStyle name="20% - Accent1 4 2" xfId="76"/>
    <cellStyle name="20% - Accent1 4 2 2" xfId="77"/>
    <cellStyle name="20% - Accent1 4 3" xfId="78"/>
    <cellStyle name="20% - Accent1 4 3 2" xfId="79"/>
    <cellStyle name="20% - Accent1 4 4" xfId="80"/>
    <cellStyle name="20% - Accent1 5" xfId="81"/>
    <cellStyle name="20% - Accent1 5 2" xfId="82"/>
    <cellStyle name="20% - Accent1 5 2 2" xfId="83"/>
    <cellStyle name="20% - Accent1 5 3" xfId="84"/>
    <cellStyle name="20% - Accent1 5 3 2" xfId="85"/>
    <cellStyle name="20% - Accent1 5 4" xfId="86"/>
    <cellStyle name="20% - Accent1 6" xfId="87"/>
    <cellStyle name="20% - Accent1 6 2" xfId="88"/>
    <cellStyle name="20% - Accent1 6 2 2" xfId="89"/>
    <cellStyle name="20% - Accent1 6 3" xfId="90"/>
    <cellStyle name="20% - Accent1 6 3 2" xfId="91"/>
    <cellStyle name="20% - Accent1 6 4" xfId="92"/>
    <cellStyle name="20% - Accent1 7" xfId="93"/>
    <cellStyle name="20% - Accent1 7 2" xfId="94"/>
    <cellStyle name="20% - Accent1 7 2 2" xfId="95"/>
    <cellStyle name="20% - Accent1 7 3" xfId="96"/>
    <cellStyle name="20% - Accent1 7 3 2" xfId="97"/>
    <cellStyle name="20% - Accent1 7 4" xfId="98"/>
    <cellStyle name="20% - Accent1 8" xfId="99"/>
    <cellStyle name="20% - Accent1 8 2" xfId="100"/>
    <cellStyle name="20% - Accent1 8 2 2" xfId="101"/>
    <cellStyle name="20% - Accent1 8 3" xfId="102"/>
    <cellStyle name="20% - Accent1 8 3 2" xfId="103"/>
    <cellStyle name="20% - Accent1 8 4" xfId="104"/>
    <cellStyle name="20% - Accent1 9" xfId="105"/>
    <cellStyle name="20% - Accent1 9 2" xfId="106"/>
    <cellStyle name="20% - Accent1 9 2 2" xfId="107"/>
    <cellStyle name="20% - Accent1 9 3" xfId="108"/>
    <cellStyle name="20% - Accent1 9 3 2" xfId="109"/>
    <cellStyle name="20% - Accent1 9 4" xfId="110"/>
    <cellStyle name="20% - Accent2 10" xfId="111"/>
    <cellStyle name="20% - Accent2 10 2" xfId="112"/>
    <cellStyle name="20% - Accent2 10 2 2" xfId="113"/>
    <cellStyle name="20% - Accent2 10 3" xfId="114"/>
    <cellStyle name="20% - Accent2 11" xfId="115"/>
    <cellStyle name="20% - Accent2 11 2" xfId="116"/>
    <cellStyle name="20% - Accent2 11 2 2" xfId="117"/>
    <cellStyle name="20% - Accent2 11 3" xfId="118"/>
    <cellStyle name="20% - Accent2 12" xfId="119"/>
    <cellStyle name="20% - Accent2 12 2" xfId="120"/>
    <cellStyle name="20% - Accent2 2" xfId="121"/>
    <cellStyle name="20% - Accent2 2 2" xfId="122"/>
    <cellStyle name="20% - Accent2 3" xfId="123"/>
    <cellStyle name="20% - Accent2 3 2" xfId="124"/>
    <cellStyle name="20% - Accent2 3 2 2" xfId="125"/>
    <cellStyle name="20% - Accent2 3 3" xfId="126"/>
    <cellStyle name="20% - Accent2 4" xfId="127"/>
    <cellStyle name="20% - Accent2 4 2" xfId="128"/>
    <cellStyle name="20% - Accent2 4 2 2" xfId="129"/>
    <cellStyle name="20% - Accent2 4 3" xfId="130"/>
    <cellStyle name="20% - Accent2 5" xfId="131"/>
    <cellStyle name="20% - Accent2 5 2" xfId="132"/>
    <cellStyle name="20% - Accent2 5 2 2" xfId="133"/>
    <cellStyle name="20% - Accent2 5 3" xfId="134"/>
    <cellStyle name="20% - Accent2 6" xfId="135"/>
    <cellStyle name="20% - Accent2 6 2" xfId="136"/>
    <cellStyle name="20% - Accent2 6 2 2" xfId="137"/>
    <cellStyle name="20% - Accent2 6 3" xfId="138"/>
    <cellStyle name="20% - Accent2 7" xfId="139"/>
    <cellStyle name="20% - Accent2 7 2" xfId="140"/>
    <cellStyle name="20% - Accent2 7 2 2" xfId="141"/>
    <cellStyle name="20% - Accent2 7 3" xfId="142"/>
    <cellStyle name="20% - Accent2 8" xfId="143"/>
    <cellStyle name="20% - Accent2 8 2" xfId="144"/>
    <cellStyle name="20% - Accent2 8 2 2" xfId="145"/>
    <cellStyle name="20% - Accent2 8 3" xfId="146"/>
    <cellStyle name="20% - Accent2 9" xfId="147"/>
    <cellStyle name="20% - Accent2 9 2" xfId="148"/>
    <cellStyle name="20% - Accent2 9 2 2" xfId="149"/>
    <cellStyle name="20% - Accent2 9 3" xfId="150"/>
    <cellStyle name="20% - Accent3 10" xfId="151"/>
    <cellStyle name="20% - Accent3 10 2" xfId="152"/>
    <cellStyle name="20% - Accent3 10 2 2" xfId="153"/>
    <cellStyle name="20% - Accent3 10 3" xfId="154"/>
    <cellStyle name="20% - Accent3 11" xfId="155"/>
    <cellStyle name="20% - Accent3 11 2" xfId="156"/>
    <cellStyle name="20% - Accent3 11 2 2" xfId="157"/>
    <cellStyle name="20% - Accent3 11 3" xfId="158"/>
    <cellStyle name="20% - Accent3 12" xfId="159"/>
    <cellStyle name="20% - Accent3 12 2" xfId="160"/>
    <cellStyle name="20% - Accent3 2" xfId="161"/>
    <cellStyle name="20% - Accent3 2 2" xfId="162"/>
    <cellStyle name="20% - Accent3 3" xfId="163"/>
    <cellStyle name="20% - Accent3 3 2" xfId="164"/>
    <cellStyle name="20% - Accent3 3 2 2" xfId="165"/>
    <cellStyle name="20% - Accent3 3 3" xfId="166"/>
    <cellStyle name="20% - Accent3 4" xfId="167"/>
    <cellStyle name="20% - Accent3 4 2" xfId="168"/>
    <cellStyle name="20% - Accent3 4 2 2" xfId="169"/>
    <cellStyle name="20% - Accent3 4 3" xfId="170"/>
    <cellStyle name="20% - Accent3 5" xfId="171"/>
    <cellStyle name="20% - Accent3 5 2" xfId="172"/>
    <cellStyle name="20% - Accent3 5 2 2" xfId="173"/>
    <cellStyle name="20% - Accent3 5 3" xfId="174"/>
    <cellStyle name="20% - Accent3 6" xfId="175"/>
    <cellStyle name="20% - Accent3 6 2" xfId="176"/>
    <cellStyle name="20% - Accent3 6 2 2" xfId="177"/>
    <cellStyle name="20% - Accent3 6 3" xfId="178"/>
    <cellStyle name="20% - Accent3 7" xfId="179"/>
    <cellStyle name="20% - Accent3 7 2" xfId="180"/>
    <cellStyle name="20% - Accent3 7 2 2" xfId="181"/>
    <cellStyle name="20% - Accent3 7 3" xfId="182"/>
    <cellStyle name="20% - Accent3 8" xfId="183"/>
    <cellStyle name="20% - Accent3 8 2" xfId="184"/>
    <cellStyle name="20% - Accent3 8 2 2" xfId="185"/>
    <cellStyle name="20% - Accent3 8 3" xfId="186"/>
    <cellStyle name="20% - Accent3 9" xfId="187"/>
    <cellStyle name="20% - Accent3 9 2" xfId="188"/>
    <cellStyle name="20% - Accent3 9 2 2" xfId="189"/>
    <cellStyle name="20% - Accent3 9 3" xfId="190"/>
    <cellStyle name="20% - Accent4 10" xfId="191"/>
    <cellStyle name="20% - Accent4 10 2" xfId="192"/>
    <cellStyle name="20% - Accent4 10 2 2" xfId="193"/>
    <cellStyle name="20% - Accent4 10 3" xfId="194"/>
    <cellStyle name="20% - Accent4 11" xfId="195"/>
    <cellStyle name="20% - Accent4 11 2" xfId="196"/>
    <cellStyle name="20% - Accent4 11 2 2" xfId="197"/>
    <cellStyle name="20% - Accent4 11 3" xfId="198"/>
    <cellStyle name="20% - Accent4 12" xfId="199"/>
    <cellStyle name="20% - Accent4 12 2" xfId="200"/>
    <cellStyle name="20% - Accent4 2" xfId="201"/>
    <cellStyle name="20% - Accent4 2 2" xfId="202"/>
    <cellStyle name="20% - Accent4 3" xfId="203"/>
    <cellStyle name="20% - Accent4 3 2" xfId="204"/>
    <cellStyle name="20% - Accent4 3 2 2" xfId="205"/>
    <cellStyle name="20% - Accent4 3 3" xfId="206"/>
    <cellStyle name="20% - Accent4 4" xfId="207"/>
    <cellStyle name="20% - Accent4 4 2" xfId="208"/>
    <cellStyle name="20% - Accent4 4 2 2" xfId="209"/>
    <cellStyle name="20% - Accent4 4 3" xfId="210"/>
    <cellStyle name="20% - Accent4 5" xfId="211"/>
    <cellStyle name="20% - Accent4 5 2" xfId="212"/>
    <cellStyle name="20% - Accent4 5 2 2" xfId="213"/>
    <cellStyle name="20% - Accent4 5 3" xfId="214"/>
    <cellStyle name="20% - Accent4 6" xfId="215"/>
    <cellStyle name="20% - Accent4 6 2" xfId="216"/>
    <cellStyle name="20% - Accent4 6 2 2" xfId="217"/>
    <cellStyle name="20% - Accent4 6 3" xfId="218"/>
    <cellStyle name="20% - Accent4 7" xfId="219"/>
    <cellStyle name="20% - Accent4 7 2" xfId="220"/>
    <cellStyle name="20% - Accent4 7 2 2" xfId="221"/>
    <cellStyle name="20% - Accent4 7 3" xfId="222"/>
    <cellStyle name="20% - Accent4 8" xfId="223"/>
    <cellStyle name="20% - Accent4 8 2" xfId="224"/>
    <cellStyle name="20% - Accent4 8 2 2" xfId="225"/>
    <cellStyle name="20% - Accent4 8 3" xfId="226"/>
    <cellStyle name="20% - Accent4 9" xfId="227"/>
    <cellStyle name="20% - Accent4 9 2" xfId="228"/>
    <cellStyle name="20% - Accent4 9 2 2" xfId="229"/>
    <cellStyle name="20% - Accent4 9 3" xfId="230"/>
    <cellStyle name="20% - Accent5 10" xfId="231"/>
    <cellStyle name="20% - Accent5 10 2" xfId="232"/>
    <cellStyle name="20% - Accent5 10 2 2" xfId="233"/>
    <cellStyle name="20% - Accent5 10 3" xfId="234"/>
    <cellStyle name="20% - Accent5 10 3 2" xfId="235"/>
    <cellStyle name="20% - Accent5 10 4" xfId="236"/>
    <cellStyle name="20% - Accent5 11" xfId="237"/>
    <cellStyle name="20% - Accent5 11 2" xfId="238"/>
    <cellStyle name="20% - Accent5 11 2 2" xfId="239"/>
    <cellStyle name="20% - Accent5 11 3" xfId="240"/>
    <cellStyle name="20% - Accent5 11 3 2" xfId="241"/>
    <cellStyle name="20% - Accent5 11 4" xfId="242"/>
    <cellStyle name="20% - Accent5 12" xfId="243"/>
    <cellStyle name="20% - Accent5 12 2" xfId="244"/>
    <cellStyle name="20% - Accent5 2" xfId="245"/>
    <cellStyle name="20% - Accent5 2 2" xfId="246"/>
    <cellStyle name="20% - Accent5 2 2 2" xfId="247"/>
    <cellStyle name="20% - Accent5 2 3" xfId="248"/>
    <cellStyle name="20% - Accent5 3" xfId="249"/>
    <cellStyle name="20% - Accent5 3 2" xfId="250"/>
    <cellStyle name="20% - Accent5 3 2 2" xfId="251"/>
    <cellStyle name="20% - Accent5 3 3" xfId="252"/>
    <cellStyle name="20% - Accent5 3 3 2" xfId="253"/>
    <cellStyle name="20% - Accent5 3 4" xfId="254"/>
    <cellStyle name="20% - Accent5 4" xfId="255"/>
    <cellStyle name="20% - Accent5 4 2" xfId="256"/>
    <cellStyle name="20% - Accent5 4 2 2" xfId="257"/>
    <cellStyle name="20% - Accent5 4 3" xfId="258"/>
    <cellStyle name="20% - Accent5 4 3 2" xfId="259"/>
    <cellStyle name="20% - Accent5 4 4" xfId="260"/>
    <cellStyle name="20% - Accent5 5" xfId="261"/>
    <cellStyle name="20% - Accent5 5 2" xfId="262"/>
    <cellStyle name="20% - Accent5 5 2 2" xfId="263"/>
    <cellStyle name="20% - Accent5 5 3" xfId="264"/>
    <cellStyle name="20% - Accent5 5 3 2" xfId="265"/>
    <cellStyle name="20% - Accent5 5 4" xfId="266"/>
    <cellStyle name="20% - Accent5 6" xfId="267"/>
    <cellStyle name="20% - Accent5 6 2" xfId="268"/>
    <cellStyle name="20% - Accent5 6 2 2" xfId="269"/>
    <cellStyle name="20% - Accent5 6 3" xfId="270"/>
    <cellStyle name="20% - Accent5 6 3 2" xfId="271"/>
    <cellStyle name="20% - Accent5 6 4" xfId="272"/>
    <cellStyle name="20% - Accent5 7" xfId="273"/>
    <cellStyle name="20% - Accent5 7 2" xfId="274"/>
    <cellStyle name="20% - Accent5 7 2 2" xfId="275"/>
    <cellStyle name="20% - Accent5 7 3" xfId="276"/>
    <cellStyle name="20% - Accent5 7 3 2" xfId="277"/>
    <cellStyle name="20% - Accent5 7 4" xfId="278"/>
    <cellStyle name="20% - Accent5 8" xfId="279"/>
    <cellStyle name="20% - Accent5 8 2" xfId="280"/>
    <cellStyle name="20% - Accent5 8 2 2" xfId="281"/>
    <cellStyle name="20% - Accent5 8 3" xfId="282"/>
    <cellStyle name="20% - Accent5 8 3 2" xfId="283"/>
    <cellStyle name="20% - Accent5 8 4" xfId="284"/>
    <cellStyle name="20% - Accent5 9" xfId="285"/>
    <cellStyle name="20% - Accent5 9 2" xfId="286"/>
    <cellStyle name="20% - Accent5 9 2 2" xfId="287"/>
    <cellStyle name="20% - Accent5 9 3" xfId="288"/>
    <cellStyle name="20% - Accent5 9 3 2" xfId="289"/>
    <cellStyle name="20% - Accent5 9 4" xfId="290"/>
    <cellStyle name="20% - Accent6 10" xfId="291"/>
    <cellStyle name="20% - Accent6 10 2" xfId="292"/>
    <cellStyle name="20% - Accent6 10 2 2" xfId="293"/>
    <cellStyle name="20% - Accent6 10 3" xfId="294"/>
    <cellStyle name="20% - Accent6 10 3 2" xfId="295"/>
    <cellStyle name="20% - Accent6 10 4" xfId="296"/>
    <cellStyle name="20% - Accent6 11" xfId="297"/>
    <cellStyle name="20% - Accent6 11 2" xfId="298"/>
    <cellStyle name="20% - Accent6 11 2 2" xfId="299"/>
    <cellStyle name="20% - Accent6 11 3" xfId="300"/>
    <cellStyle name="20% - Accent6 11 3 2" xfId="301"/>
    <cellStyle name="20% - Accent6 11 4" xfId="302"/>
    <cellStyle name="20% - Accent6 12" xfId="303"/>
    <cellStyle name="20% - Accent6 12 2" xfId="304"/>
    <cellStyle name="20% - Accent6 2" xfId="305"/>
    <cellStyle name="20% - Accent6 2 2" xfId="306"/>
    <cellStyle name="20% - Accent6 2 2 2" xfId="307"/>
    <cellStyle name="20% - Accent6 2 3" xfId="308"/>
    <cellStyle name="20% - Accent6 3" xfId="309"/>
    <cellStyle name="20% - Accent6 3 2" xfId="310"/>
    <cellStyle name="20% - Accent6 3 2 2" xfId="311"/>
    <cellStyle name="20% - Accent6 3 3" xfId="312"/>
    <cellStyle name="20% - Accent6 3 3 2" xfId="313"/>
    <cellStyle name="20% - Accent6 3 4" xfId="314"/>
    <cellStyle name="20% - Accent6 4" xfId="315"/>
    <cellStyle name="20% - Accent6 4 2" xfId="316"/>
    <cellStyle name="20% - Accent6 4 2 2" xfId="317"/>
    <cellStyle name="20% - Accent6 4 3" xfId="318"/>
    <cellStyle name="20% - Accent6 4 3 2" xfId="319"/>
    <cellStyle name="20% - Accent6 4 4" xfId="320"/>
    <cellStyle name="20% - Accent6 5" xfId="321"/>
    <cellStyle name="20% - Accent6 5 2" xfId="322"/>
    <cellStyle name="20% - Accent6 5 2 2" xfId="323"/>
    <cellStyle name="20% - Accent6 5 3" xfId="324"/>
    <cellStyle name="20% - Accent6 5 3 2" xfId="325"/>
    <cellStyle name="20% - Accent6 5 4" xfId="326"/>
    <cellStyle name="20% - Accent6 6" xfId="327"/>
    <cellStyle name="20% - Accent6 6 2" xfId="328"/>
    <cellStyle name="20% - Accent6 6 2 2" xfId="329"/>
    <cellStyle name="20% - Accent6 6 3" xfId="330"/>
    <cellStyle name="20% - Accent6 6 3 2" xfId="331"/>
    <cellStyle name="20% - Accent6 6 4" xfId="332"/>
    <cellStyle name="20% - Accent6 7" xfId="333"/>
    <cellStyle name="20% - Accent6 7 2" xfId="334"/>
    <cellStyle name="20% - Accent6 7 2 2" xfId="335"/>
    <cellStyle name="20% - Accent6 7 3" xfId="336"/>
    <cellStyle name="20% - Accent6 7 3 2" xfId="337"/>
    <cellStyle name="20% - Accent6 7 4" xfId="338"/>
    <cellStyle name="20% - Accent6 8" xfId="339"/>
    <cellStyle name="20% - Accent6 8 2" xfId="340"/>
    <cellStyle name="20% - Accent6 8 2 2" xfId="341"/>
    <cellStyle name="20% - Accent6 8 3" xfId="342"/>
    <cellStyle name="20% - Accent6 8 3 2" xfId="343"/>
    <cellStyle name="20% - Accent6 8 4" xfId="344"/>
    <cellStyle name="20% - Accent6 9" xfId="345"/>
    <cellStyle name="20% - Accent6 9 2" xfId="346"/>
    <cellStyle name="20% - Accent6 9 2 2" xfId="347"/>
    <cellStyle name="20% - Accent6 9 3" xfId="348"/>
    <cellStyle name="20% - Accent6 9 3 2" xfId="349"/>
    <cellStyle name="20% - Accent6 9 4" xfId="350"/>
    <cellStyle name="20% - Aksen1" xfId="20692"/>
    <cellStyle name="20% - Aksen2" xfId="20693"/>
    <cellStyle name="20% - Aksen3" xfId="20694"/>
    <cellStyle name="20% - Aksen4" xfId="20695"/>
    <cellStyle name="20% - Aksen5" xfId="20696"/>
    <cellStyle name="20% - Aksen6" xfId="20697"/>
    <cellStyle name="40% - Accent1 10" xfId="351"/>
    <cellStyle name="40% - Accent1 10 2" xfId="352"/>
    <cellStyle name="40% - Accent1 10 2 2" xfId="353"/>
    <cellStyle name="40% - Accent1 10 3" xfId="354"/>
    <cellStyle name="40% - Accent1 11" xfId="355"/>
    <cellStyle name="40% - Accent1 11 2" xfId="356"/>
    <cellStyle name="40% - Accent1 11 2 2" xfId="357"/>
    <cellStyle name="40% - Accent1 11 3" xfId="358"/>
    <cellStyle name="40% - Accent1 12" xfId="359"/>
    <cellStyle name="40% - Accent1 12 2" xfId="360"/>
    <cellStyle name="40% - Accent1 2" xfId="361"/>
    <cellStyle name="40% - Accent1 2 2" xfId="362"/>
    <cellStyle name="40% - Accent1 3" xfId="363"/>
    <cellStyle name="40% - Accent1 3 2" xfId="364"/>
    <cellStyle name="40% - Accent1 3 2 2" xfId="365"/>
    <cellStyle name="40% - Accent1 3 3" xfId="366"/>
    <cellStyle name="40% - Accent1 4" xfId="367"/>
    <cellStyle name="40% - Accent1 4 2" xfId="368"/>
    <cellStyle name="40% - Accent1 4 2 2" xfId="369"/>
    <cellStyle name="40% - Accent1 4 3" xfId="370"/>
    <cellStyle name="40% - Accent1 5" xfId="371"/>
    <cellStyle name="40% - Accent1 5 2" xfId="372"/>
    <cellStyle name="40% - Accent1 5 2 2" xfId="373"/>
    <cellStyle name="40% - Accent1 5 3" xfId="374"/>
    <cellStyle name="40% - Accent1 6" xfId="375"/>
    <cellStyle name="40% - Accent1 6 2" xfId="376"/>
    <cellStyle name="40% - Accent1 6 2 2" xfId="377"/>
    <cellStyle name="40% - Accent1 6 3" xfId="378"/>
    <cellStyle name="40% - Accent1 7" xfId="379"/>
    <cellStyle name="40% - Accent1 7 2" xfId="380"/>
    <cellStyle name="40% - Accent1 7 2 2" xfId="381"/>
    <cellStyle name="40% - Accent1 7 3" xfId="382"/>
    <cellStyle name="40% - Accent1 8" xfId="383"/>
    <cellStyle name="40% - Accent1 8 2" xfId="384"/>
    <cellStyle name="40% - Accent1 8 2 2" xfId="385"/>
    <cellStyle name="40% - Accent1 8 3" xfId="386"/>
    <cellStyle name="40% - Accent1 9" xfId="387"/>
    <cellStyle name="40% - Accent1 9 2" xfId="388"/>
    <cellStyle name="40% - Accent1 9 2 2" xfId="389"/>
    <cellStyle name="40% - Accent1 9 3" xfId="390"/>
    <cellStyle name="40% - Accent2 10" xfId="391"/>
    <cellStyle name="40% - Accent2 10 2" xfId="392"/>
    <cellStyle name="40% - Accent2 10 2 2" xfId="393"/>
    <cellStyle name="40% - Accent2 10 3" xfId="394"/>
    <cellStyle name="40% - Accent2 11" xfId="395"/>
    <cellStyle name="40% - Accent2 11 2" xfId="396"/>
    <cellStyle name="40% - Accent2 11 2 2" xfId="397"/>
    <cellStyle name="40% - Accent2 11 3" xfId="398"/>
    <cellStyle name="40% - Accent2 12" xfId="399"/>
    <cellStyle name="40% - Accent2 12 2" xfId="400"/>
    <cellStyle name="40% - Accent2 2" xfId="401"/>
    <cellStyle name="40% - Accent2 2 2" xfId="402"/>
    <cellStyle name="40% - Accent2 3" xfId="403"/>
    <cellStyle name="40% - Accent2 3 2" xfId="404"/>
    <cellStyle name="40% - Accent2 3 2 2" xfId="405"/>
    <cellStyle name="40% - Accent2 3 3" xfId="406"/>
    <cellStyle name="40% - Accent2 4" xfId="407"/>
    <cellStyle name="40% - Accent2 4 2" xfId="408"/>
    <cellStyle name="40% - Accent2 4 2 2" xfId="409"/>
    <cellStyle name="40% - Accent2 4 3" xfId="410"/>
    <cellStyle name="40% - Accent2 5" xfId="411"/>
    <cellStyle name="40% - Accent2 5 2" xfId="412"/>
    <cellStyle name="40% - Accent2 5 2 2" xfId="413"/>
    <cellStyle name="40% - Accent2 5 3" xfId="414"/>
    <cellStyle name="40% - Accent2 6" xfId="415"/>
    <cellStyle name="40% - Accent2 6 2" xfId="416"/>
    <cellStyle name="40% - Accent2 6 2 2" xfId="417"/>
    <cellStyle name="40% - Accent2 6 3" xfId="418"/>
    <cellStyle name="40% - Accent2 7" xfId="419"/>
    <cellStyle name="40% - Accent2 7 2" xfId="420"/>
    <cellStyle name="40% - Accent2 7 2 2" xfId="421"/>
    <cellStyle name="40% - Accent2 7 3" xfId="422"/>
    <cellStyle name="40% - Accent2 8" xfId="423"/>
    <cellStyle name="40% - Accent2 8 2" xfId="424"/>
    <cellStyle name="40% - Accent2 8 2 2" xfId="425"/>
    <cellStyle name="40% - Accent2 8 3" xfId="426"/>
    <cellStyle name="40% - Accent2 9" xfId="427"/>
    <cellStyle name="40% - Accent2 9 2" xfId="428"/>
    <cellStyle name="40% - Accent2 9 2 2" xfId="429"/>
    <cellStyle name="40% - Accent2 9 3" xfId="430"/>
    <cellStyle name="40% - Accent3 10" xfId="431"/>
    <cellStyle name="40% - Accent3 10 2" xfId="432"/>
    <cellStyle name="40% - Accent3 10 2 2" xfId="433"/>
    <cellStyle name="40% - Accent3 10 3" xfId="434"/>
    <cellStyle name="40% - Accent3 10 3 2" xfId="435"/>
    <cellStyle name="40% - Accent3 10 4" xfId="436"/>
    <cellStyle name="40% - Accent3 11" xfId="437"/>
    <cellStyle name="40% - Accent3 11 2" xfId="438"/>
    <cellStyle name="40% - Accent3 11 2 2" xfId="439"/>
    <cellStyle name="40% - Accent3 11 3" xfId="440"/>
    <cellStyle name="40% - Accent3 11 3 2" xfId="441"/>
    <cellStyle name="40% - Accent3 11 4" xfId="442"/>
    <cellStyle name="40% - Accent3 12" xfId="443"/>
    <cellStyle name="40% - Accent3 12 2" xfId="444"/>
    <cellStyle name="40% - Accent3 2" xfId="445"/>
    <cellStyle name="40% - Accent3 2 2" xfId="446"/>
    <cellStyle name="40% - Accent3 2 2 2" xfId="447"/>
    <cellStyle name="40% - Accent3 2 3" xfId="448"/>
    <cellStyle name="40% - Accent3 3" xfId="449"/>
    <cellStyle name="40% - Accent3 3 2" xfId="450"/>
    <cellStyle name="40% - Accent3 3 2 2" xfId="451"/>
    <cellStyle name="40% - Accent3 3 3" xfId="452"/>
    <cellStyle name="40% - Accent3 3 3 2" xfId="453"/>
    <cellStyle name="40% - Accent3 3 4" xfId="454"/>
    <cellStyle name="40% - Accent3 4" xfId="455"/>
    <cellStyle name="40% - Accent3 4 2" xfId="456"/>
    <cellStyle name="40% - Accent3 4 2 2" xfId="457"/>
    <cellStyle name="40% - Accent3 4 3" xfId="458"/>
    <cellStyle name="40% - Accent3 4 3 2" xfId="459"/>
    <cellStyle name="40% - Accent3 4 4" xfId="460"/>
    <cellStyle name="40% - Accent3 5" xfId="461"/>
    <cellStyle name="40% - Accent3 5 2" xfId="462"/>
    <cellStyle name="40% - Accent3 5 2 2" xfId="463"/>
    <cellStyle name="40% - Accent3 5 3" xfId="464"/>
    <cellStyle name="40% - Accent3 5 3 2" xfId="465"/>
    <cellStyle name="40% - Accent3 5 4" xfId="466"/>
    <cellStyle name="40% - Accent3 6" xfId="467"/>
    <cellStyle name="40% - Accent3 6 2" xfId="468"/>
    <cellStyle name="40% - Accent3 6 2 2" xfId="469"/>
    <cellStyle name="40% - Accent3 6 3" xfId="470"/>
    <cellStyle name="40% - Accent3 6 3 2" xfId="471"/>
    <cellStyle name="40% - Accent3 6 4" xfId="472"/>
    <cellStyle name="40% - Accent3 7" xfId="473"/>
    <cellStyle name="40% - Accent3 7 2" xfId="474"/>
    <cellStyle name="40% - Accent3 7 2 2" xfId="475"/>
    <cellStyle name="40% - Accent3 7 3" xfId="476"/>
    <cellStyle name="40% - Accent3 7 3 2" xfId="477"/>
    <cellStyle name="40% - Accent3 7 4" xfId="478"/>
    <cellStyle name="40% - Accent3 8" xfId="479"/>
    <cellStyle name="40% - Accent3 8 2" xfId="480"/>
    <cellStyle name="40% - Accent3 8 2 2" xfId="481"/>
    <cellStyle name="40% - Accent3 8 3" xfId="482"/>
    <cellStyle name="40% - Accent3 8 3 2" xfId="483"/>
    <cellStyle name="40% - Accent3 8 4" xfId="484"/>
    <cellStyle name="40% - Accent3 9" xfId="485"/>
    <cellStyle name="40% - Accent3 9 2" xfId="486"/>
    <cellStyle name="40% - Accent3 9 2 2" xfId="487"/>
    <cellStyle name="40% - Accent3 9 3" xfId="488"/>
    <cellStyle name="40% - Accent3 9 3 2" xfId="489"/>
    <cellStyle name="40% - Accent3 9 4" xfId="490"/>
    <cellStyle name="40% - Accent4 10" xfId="491"/>
    <cellStyle name="40% - Accent4 10 2" xfId="492"/>
    <cellStyle name="40% - Accent4 10 2 2" xfId="493"/>
    <cellStyle name="40% - Accent4 10 3" xfId="494"/>
    <cellStyle name="40% - Accent4 11" xfId="495"/>
    <cellStyle name="40% - Accent4 11 2" xfId="496"/>
    <cellStyle name="40% - Accent4 11 2 2" xfId="497"/>
    <cellStyle name="40% - Accent4 11 3" xfId="498"/>
    <cellStyle name="40% - Accent4 12" xfId="499"/>
    <cellStyle name="40% - Accent4 12 2" xfId="500"/>
    <cellStyle name="40% - Accent4 2" xfId="501"/>
    <cellStyle name="40% - Accent4 2 2" xfId="502"/>
    <cellStyle name="40% - Accent4 3" xfId="503"/>
    <cellStyle name="40% - Accent4 3 2" xfId="504"/>
    <cellStyle name="40% - Accent4 3 2 2" xfId="505"/>
    <cellStyle name="40% - Accent4 3 3" xfId="506"/>
    <cellStyle name="40% - Accent4 4" xfId="507"/>
    <cellStyle name="40% - Accent4 4 2" xfId="508"/>
    <cellStyle name="40% - Accent4 4 2 2" xfId="509"/>
    <cellStyle name="40% - Accent4 4 3" xfId="510"/>
    <cellStyle name="40% - Accent4 5" xfId="511"/>
    <cellStyle name="40% - Accent4 5 2" xfId="512"/>
    <cellStyle name="40% - Accent4 5 2 2" xfId="513"/>
    <cellStyle name="40% - Accent4 5 3" xfId="514"/>
    <cellStyle name="40% - Accent4 6" xfId="515"/>
    <cellStyle name="40% - Accent4 6 2" xfId="516"/>
    <cellStyle name="40% - Accent4 6 2 2" xfId="517"/>
    <cellStyle name="40% - Accent4 6 3" xfId="518"/>
    <cellStyle name="40% - Accent4 7" xfId="519"/>
    <cellStyle name="40% - Accent4 7 2" xfId="520"/>
    <cellStyle name="40% - Accent4 7 2 2" xfId="521"/>
    <cellStyle name="40% - Accent4 7 3" xfId="522"/>
    <cellStyle name="40% - Accent4 8" xfId="523"/>
    <cellStyle name="40% - Accent4 8 2" xfId="524"/>
    <cellStyle name="40% - Accent4 8 2 2" xfId="525"/>
    <cellStyle name="40% - Accent4 8 3" xfId="526"/>
    <cellStyle name="40% - Accent4 9" xfId="527"/>
    <cellStyle name="40% - Accent4 9 2" xfId="528"/>
    <cellStyle name="40% - Accent4 9 2 2" xfId="529"/>
    <cellStyle name="40% - Accent4 9 3" xfId="530"/>
    <cellStyle name="40% - Accent5 10" xfId="531"/>
    <cellStyle name="40% - Accent5 10 2" xfId="532"/>
    <cellStyle name="40% - Accent5 10 2 2" xfId="533"/>
    <cellStyle name="40% - Accent5 10 3" xfId="534"/>
    <cellStyle name="40% - Accent5 11" xfId="535"/>
    <cellStyle name="40% - Accent5 11 2" xfId="536"/>
    <cellStyle name="40% - Accent5 11 2 2" xfId="537"/>
    <cellStyle name="40% - Accent5 11 3" xfId="538"/>
    <cellStyle name="40% - Accent5 2" xfId="539"/>
    <cellStyle name="40% - Accent5 2 2" xfId="540"/>
    <cellStyle name="40% - Accent5 3" xfId="541"/>
    <cellStyle name="40% - Accent5 3 2" xfId="542"/>
    <cellStyle name="40% - Accent5 3 2 2" xfId="543"/>
    <cellStyle name="40% - Accent5 3 3" xfId="544"/>
    <cellStyle name="40% - Accent5 4" xfId="545"/>
    <cellStyle name="40% - Accent5 4 2" xfId="546"/>
    <cellStyle name="40% - Accent5 4 2 2" xfId="547"/>
    <cellStyle name="40% - Accent5 4 3" xfId="548"/>
    <cellStyle name="40% - Accent5 5" xfId="549"/>
    <cellStyle name="40% - Accent5 5 2" xfId="550"/>
    <cellStyle name="40% - Accent5 5 2 2" xfId="551"/>
    <cellStyle name="40% - Accent5 5 3" xfId="552"/>
    <cellStyle name="40% - Accent5 6" xfId="553"/>
    <cellStyle name="40% - Accent5 6 2" xfId="554"/>
    <cellStyle name="40% - Accent5 6 2 2" xfId="555"/>
    <cellStyle name="40% - Accent5 6 3" xfId="556"/>
    <cellStyle name="40% - Accent5 7" xfId="557"/>
    <cellStyle name="40% - Accent5 7 2" xfId="558"/>
    <cellStyle name="40% - Accent5 7 2 2" xfId="559"/>
    <cellStyle name="40% - Accent5 7 3" xfId="560"/>
    <cellStyle name="40% - Accent5 8" xfId="561"/>
    <cellStyle name="40% - Accent5 8 2" xfId="562"/>
    <cellStyle name="40% - Accent5 8 2 2" xfId="563"/>
    <cellStyle name="40% - Accent5 8 3" xfId="564"/>
    <cellStyle name="40% - Accent5 9" xfId="565"/>
    <cellStyle name="40% - Accent5 9 2" xfId="566"/>
    <cellStyle name="40% - Accent5 9 2 2" xfId="567"/>
    <cellStyle name="40% - Accent5 9 3" xfId="568"/>
    <cellStyle name="40% - Accent6 10" xfId="569"/>
    <cellStyle name="40% - Accent6 10 2" xfId="570"/>
    <cellStyle name="40% - Accent6 10 2 2" xfId="571"/>
    <cellStyle name="40% - Accent6 10 3" xfId="572"/>
    <cellStyle name="40% - Accent6 11" xfId="573"/>
    <cellStyle name="40% - Accent6 11 2" xfId="574"/>
    <cellStyle name="40% - Accent6 11 2 2" xfId="575"/>
    <cellStyle name="40% - Accent6 11 3" xfId="576"/>
    <cellStyle name="40% - Accent6 12" xfId="577"/>
    <cellStyle name="40% - Accent6 12 2" xfId="578"/>
    <cellStyle name="40% - Accent6 2" xfId="579"/>
    <cellStyle name="40% - Accent6 2 2" xfId="580"/>
    <cellStyle name="40% - Accent6 3" xfId="581"/>
    <cellStyle name="40% - Accent6 3 2" xfId="582"/>
    <cellStyle name="40% - Accent6 3 2 2" xfId="583"/>
    <cellStyle name="40% - Accent6 3 3" xfId="584"/>
    <cellStyle name="40% - Accent6 4" xfId="585"/>
    <cellStyle name="40% - Accent6 4 2" xfId="586"/>
    <cellStyle name="40% - Accent6 4 2 2" xfId="587"/>
    <cellStyle name="40% - Accent6 4 3" xfId="588"/>
    <cellStyle name="40% - Accent6 5" xfId="589"/>
    <cellStyle name="40% - Accent6 5 2" xfId="590"/>
    <cellStyle name="40% - Accent6 5 2 2" xfId="591"/>
    <cellStyle name="40% - Accent6 5 3" xfId="592"/>
    <cellStyle name="40% - Accent6 6" xfId="593"/>
    <cellStyle name="40% - Accent6 6 2" xfId="594"/>
    <cellStyle name="40% - Accent6 6 2 2" xfId="595"/>
    <cellStyle name="40% - Accent6 6 3" xfId="596"/>
    <cellStyle name="40% - Accent6 7" xfId="597"/>
    <cellStyle name="40% - Accent6 7 2" xfId="598"/>
    <cellStyle name="40% - Accent6 7 2 2" xfId="599"/>
    <cellStyle name="40% - Accent6 7 3" xfId="600"/>
    <cellStyle name="40% - Accent6 8" xfId="601"/>
    <cellStyle name="40% - Accent6 8 2" xfId="602"/>
    <cellStyle name="40% - Accent6 8 2 2" xfId="603"/>
    <cellStyle name="40% - Accent6 8 3" xfId="604"/>
    <cellStyle name="40% - Accent6 9" xfId="605"/>
    <cellStyle name="40% - Accent6 9 2" xfId="606"/>
    <cellStyle name="40% - Accent6 9 2 2" xfId="607"/>
    <cellStyle name="40% - Accent6 9 3" xfId="608"/>
    <cellStyle name="40% - Aksen1" xfId="20698"/>
    <cellStyle name="40% - Aksen2" xfId="20699"/>
    <cellStyle name="40% - Aksen3" xfId="20700"/>
    <cellStyle name="40% - Aksen4" xfId="20701"/>
    <cellStyle name="40% - Aksen5" xfId="20702"/>
    <cellStyle name="40% - Aksen6" xfId="20703"/>
    <cellStyle name="60% - Accent1 10" xfId="609"/>
    <cellStyle name="60% - Accent1 10 2" xfId="610"/>
    <cellStyle name="60% - Accent1 11" xfId="611"/>
    <cellStyle name="60% - Accent1 11 2" xfId="612"/>
    <cellStyle name="60% - Accent1 12" xfId="613"/>
    <cellStyle name="60% - Accent1 12 2" xfId="614"/>
    <cellStyle name="60% - Accent1 2" xfId="615"/>
    <cellStyle name="60% - Accent1 2 2" xfId="616"/>
    <cellStyle name="60% - Accent1 3" xfId="617"/>
    <cellStyle name="60% - Accent1 3 2" xfId="618"/>
    <cellStyle name="60% - Accent1 4" xfId="619"/>
    <cellStyle name="60% - Accent1 4 2" xfId="620"/>
    <cellStyle name="60% - Accent1 5" xfId="621"/>
    <cellStyle name="60% - Accent1 5 2" xfId="622"/>
    <cellStyle name="60% - Accent1 6" xfId="623"/>
    <cellStyle name="60% - Accent1 6 2" xfId="624"/>
    <cellStyle name="60% - Accent1 7" xfId="625"/>
    <cellStyle name="60% - Accent1 7 2" xfId="626"/>
    <cellStyle name="60% - Accent1 8" xfId="627"/>
    <cellStyle name="60% - Accent1 8 2" xfId="628"/>
    <cellStyle name="60% - Accent1 9" xfId="629"/>
    <cellStyle name="60% - Accent1 9 2" xfId="630"/>
    <cellStyle name="60% - Accent2 10" xfId="631"/>
    <cellStyle name="60% - Accent2 10 2" xfId="632"/>
    <cellStyle name="60% - Accent2 11" xfId="633"/>
    <cellStyle name="60% - Accent2 11 2" xfId="634"/>
    <cellStyle name="60% - Accent2 12" xfId="635"/>
    <cellStyle name="60% - Accent2 12 2" xfId="636"/>
    <cellStyle name="60% - Accent2 2" xfId="637"/>
    <cellStyle name="60% - Accent2 2 2" xfId="638"/>
    <cellStyle name="60% - Accent2 3" xfId="639"/>
    <cellStyle name="60% - Accent2 3 2" xfId="640"/>
    <cellStyle name="60% - Accent2 4" xfId="641"/>
    <cellStyle name="60% - Accent2 4 2" xfId="642"/>
    <cellStyle name="60% - Accent2 5" xfId="643"/>
    <cellStyle name="60% - Accent2 5 2" xfId="644"/>
    <cellStyle name="60% - Accent2 6" xfId="645"/>
    <cellStyle name="60% - Accent2 6 2" xfId="646"/>
    <cellStyle name="60% - Accent2 7" xfId="647"/>
    <cellStyle name="60% - Accent2 7 2" xfId="648"/>
    <cellStyle name="60% - Accent2 8" xfId="649"/>
    <cellStyle name="60% - Accent2 8 2" xfId="650"/>
    <cellStyle name="60% - Accent2 9" xfId="651"/>
    <cellStyle name="60% - Accent2 9 2" xfId="652"/>
    <cellStyle name="60% - Accent3 10" xfId="653"/>
    <cellStyle name="60% - Accent3 10 2" xfId="654"/>
    <cellStyle name="60% - Accent3 10 2 2" xfId="655"/>
    <cellStyle name="60% - Accent3 10 3" xfId="656"/>
    <cellStyle name="60% - Accent3 11" xfId="657"/>
    <cellStyle name="60% - Accent3 11 2" xfId="658"/>
    <cellStyle name="60% - Accent3 11 2 2" xfId="659"/>
    <cellStyle name="60% - Accent3 11 3" xfId="660"/>
    <cellStyle name="60% - Accent3 12" xfId="661"/>
    <cellStyle name="60% - Accent3 12 2" xfId="662"/>
    <cellStyle name="60% - Accent3 2" xfId="663"/>
    <cellStyle name="60% - Accent3 2 2" xfId="664"/>
    <cellStyle name="60% - Accent3 2 2 2" xfId="665"/>
    <cellStyle name="60% - Accent3 2 3" xfId="666"/>
    <cellStyle name="60% - Accent3 3" xfId="667"/>
    <cellStyle name="60% - Accent3 3 2" xfId="668"/>
    <cellStyle name="60% - Accent3 3 2 2" xfId="669"/>
    <cellStyle name="60% - Accent3 3 3" xfId="670"/>
    <cellStyle name="60% - Accent3 4" xfId="671"/>
    <cellStyle name="60% - Accent3 4 2" xfId="672"/>
    <cellStyle name="60% - Accent3 4 2 2" xfId="673"/>
    <cellStyle name="60% - Accent3 4 3" xfId="674"/>
    <cellStyle name="60% - Accent3 5" xfId="675"/>
    <cellStyle name="60% - Accent3 5 2" xfId="676"/>
    <cellStyle name="60% - Accent3 5 2 2" xfId="677"/>
    <cellStyle name="60% - Accent3 5 3" xfId="678"/>
    <cellStyle name="60% - Accent3 6" xfId="679"/>
    <cellStyle name="60% - Accent3 6 2" xfId="680"/>
    <cellStyle name="60% - Accent3 6 2 2" xfId="681"/>
    <cellStyle name="60% - Accent3 6 3" xfId="682"/>
    <cellStyle name="60% - Accent3 7" xfId="683"/>
    <cellStyle name="60% - Accent3 7 2" xfId="684"/>
    <cellStyle name="60% - Accent3 7 2 2" xfId="685"/>
    <cellStyle name="60% - Accent3 7 3" xfId="686"/>
    <cellStyle name="60% - Accent3 8" xfId="687"/>
    <cellStyle name="60% - Accent3 8 2" xfId="688"/>
    <cellStyle name="60% - Accent3 8 2 2" xfId="689"/>
    <cellStyle name="60% - Accent3 8 3" xfId="690"/>
    <cellStyle name="60% - Accent3 9" xfId="691"/>
    <cellStyle name="60% - Accent3 9 2" xfId="692"/>
    <cellStyle name="60% - Accent3 9 2 2" xfId="693"/>
    <cellStyle name="60% - Accent3 9 3" xfId="694"/>
    <cellStyle name="60% - Accent4 10" xfId="695"/>
    <cellStyle name="60% - Accent4 10 2" xfId="696"/>
    <cellStyle name="60% - Accent4 10 2 2" xfId="697"/>
    <cellStyle name="60% - Accent4 10 3" xfId="698"/>
    <cellStyle name="60% - Accent4 11" xfId="699"/>
    <cellStyle name="60% - Accent4 11 2" xfId="700"/>
    <cellStyle name="60% - Accent4 11 2 2" xfId="701"/>
    <cellStyle name="60% - Accent4 11 3" xfId="702"/>
    <cellStyle name="60% - Accent4 12" xfId="703"/>
    <cellStyle name="60% - Accent4 12 2" xfId="704"/>
    <cellStyle name="60% - Accent4 2" xfId="705"/>
    <cellStyle name="60% - Accent4 2 2" xfId="706"/>
    <cellStyle name="60% - Accent4 2 2 2" xfId="707"/>
    <cellStyle name="60% - Accent4 2 3" xfId="708"/>
    <cellStyle name="60% - Accent4 3" xfId="709"/>
    <cellStyle name="60% - Accent4 3 2" xfId="710"/>
    <cellStyle name="60% - Accent4 3 2 2" xfId="711"/>
    <cellStyle name="60% - Accent4 3 3" xfId="712"/>
    <cellStyle name="60% - Accent4 4" xfId="713"/>
    <cellStyle name="60% - Accent4 4 2" xfId="714"/>
    <cellStyle name="60% - Accent4 4 2 2" xfId="715"/>
    <cellStyle name="60% - Accent4 4 3" xfId="716"/>
    <cellStyle name="60% - Accent4 5" xfId="717"/>
    <cellStyle name="60% - Accent4 5 2" xfId="718"/>
    <cellStyle name="60% - Accent4 5 2 2" xfId="719"/>
    <cellStyle name="60% - Accent4 5 3" xfId="720"/>
    <cellStyle name="60% - Accent4 6" xfId="721"/>
    <cellStyle name="60% - Accent4 6 2" xfId="722"/>
    <cellStyle name="60% - Accent4 6 2 2" xfId="723"/>
    <cellStyle name="60% - Accent4 6 3" xfId="724"/>
    <cellStyle name="60% - Accent4 7" xfId="725"/>
    <cellStyle name="60% - Accent4 7 2" xfId="726"/>
    <cellStyle name="60% - Accent4 7 2 2" xfId="727"/>
    <cellStyle name="60% - Accent4 7 3" xfId="728"/>
    <cellStyle name="60% - Accent4 8" xfId="729"/>
    <cellStyle name="60% - Accent4 8 2" xfId="730"/>
    <cellStyle name="60% - Accent4 8 2 2" xfId="731"/>
    <cellStyle name="60% - Accent4 8 3" xfId="732"/>
    <cellStyle name="60% - Accent4 9" xfId="733"/>
    <cellStyle name="60% - Accent4 9 2" xfId="734"/>
    <cellStyle name="60% - Accent4 9 2 2" xfId="735"/>
    <cellStyle name="60% - Accent4 9 3" xfId="736"/>
    <cellStyle name="60% - Accent5 10" xfId="737"/>
    <cellStyle name="60% - Accent5 10 2" xfId="738"/>
    <cellStyle name="60% - Accent5 11" xfId="739"/>
    <cellStyle name="60% - Accent5 11 2" xfId="740"/>
    <cellStyle name="60% - Accent5 12" xfId="741"/>
    <cellStyle name="60% - Accent5 12 2" xfId="742"/>
    <cellStyle name="60% - Accent5 2" xfId="743"/>
    <cellStyle name="60% - Accent5 2 2" xfId="744"/>
    <cellStyle name="60% - Accent5 3" xfId="745"/>
    <cellStyle name="60% - Accent5 3 2" xfId="746"/>
    <cellStyle name="60% - Accent5 4" xfId="747"/>
    <cellStyle name="60% - Accent5 4 2" xfId="748"/>
    <cellStyle name="60% - Accent5 5" xfId="749"/>
    <cellStyle name="60% - Accent5 5 2" xfId="750"/>
    <cellStyle name="60% - Accent5 6" xfId="751"/>
    <cellStyle name="60% - Accent5 6 2" xfId="752"/>
    <cellStyle name="60% - Accent5 7" xfId="753"/>
    <cellStyle name="60% - Accent5 7 2" xfId="754"/>
    <cellStyle name="60% - Accent5 8" xfId="755"/>
    <cellStyle name="60% - Accent5 8 2" xfId="756"/>
    <cellStyle name="60% - Accent5 9" xfId="757"/>
    <cellStyle name="60% - Accent5 9 2" xfId="758"/>
    <cellStyle name="60% - Accent6 10" xfId="759"/>
    <cellStyle name="60% - Accent6 10 2" xfId="760"/>
    <cellStyle name="60% - Accent6 10 2 2" xfId="761"/>
    <cellStyle name="60% - Accent6 10 3" xfId="762"/>
    <cellStyle name="60% - Accent6 11" xfId="763"/>
    <cellStyle name="60% - Accent6 11 2" xfId="764"/>
    <cellStyle name="60% - Accent6 11 2 2" xfId="765"/>
    <cellStyle name="60% - Accent6 11 3" xfId="766"/>
    <cellStyle name="60% - Accent6 12" xfId="767"/>
    <cellStyle name="60% - Accent6 12 2" xfId="768"/>
    <cellStyle name="60% - Accent6 2" xfId="769"/>
    <cellStyle name="60% - Accent6 2 2" xfId="770"/>
    <cellStyle name="60% - Accent6 2 2 2" xfId="771"/>
    <cellStyle name="60% - Accent6 2 3" xfId="772"/>
    <cellStyle name="60% - Accent6 3" xfId="773"/>
    <cellStyle name="60% - Accent6 3 2" xfId="774"/>
    <cellStyle name="60% - Accent6 3 2 2" xfId="775"/>
    <cellStyle name="60% - Accent6 3 3" xfId="776"/>
    <cellStyle name="60% - Accent6 4" xfId="777"/>
    <cellStyle name="60% - Accent6 4 2" xfId="778"/>
    <cellStyle name="60% - Accent6 4 2 2" xfId="779"/>
    <cellStyle name="60% - Accent6 4 3" xfId="780"/>
    <cellStyle name="60% - Accent6 5" xfId="781"/>
    <cellStyle name="60% - Accent6 5 2" xfId="782"/>
    <cellStyle name="60% - Accent6 5 2 2" xfId="783"/>
    <cellStyle name="60% - Accent6 5 3" xfId="784"/>
    <cellStyle name="60% - Accent6 6" xfId="785"/>
    <cellStyle name="60% - Accent6 6 2" xfId="786"/>
    <cellStyle name="60% - Accent6 6 2 2" xfId="787"/>
    <cellStyle name="60% - Accent6 6 3" xfId="788"/>
    <cellStyle name="60% - Accent6 7" xfId="789"/>
    <cellStyle name="60% - Accent6 7 2" xfId="790"/>
    <cellStyle name="60% - Accent6 7 2 2" xfId="791"/>
    <cellStyle name="60% - Accent6 7 3" xfId="792"/>
    <cellStyle name="60% - Accent6 8" xfId="793"/>
    <cellStyle name="60% - Accent6 8 2" xfId="794"/>
    <cellStyle name="60% - Accent6 8 2 2" xfId="795"/>
    <cellStyle name="60% - Accent6 8 3" xfId="796"/>
    <cellStyle name="60% - Accent6 9" xfId="797"/>
    <cellStyle name="60% - Accent6 9 2" xfId="798"/>
    <cellStyle name="60% - Accent6 9 2 2" xfId="799"/>
    <cellStyle name="60% - Accent6 9 3" xfId="800"/>
    <cellStyle name="60% - Aksen1" xfId="20704"/>
    <cellStyle name="60% - Aksen2" xfId="20705"/>
    <cellStyle name="60% - Aksen3" xfId="20706"/>
    <cellStyle name="60% - Aksen4" xfId="20707"/>
    <cellStyle name="60% - Aksen5" xfId="20708"/>
    <cellStyle name="60% - Aksen6" xfId="20709"/>
    <cellStyle name="Accent1 10" xfId="801"/>
    <cellStyle name="Accent1 10 2" xfId="802"/>
    <cellStyle name="Accent1 11" xfId="803"/>
    <cellStyle name="Accent1 11 2" xfId="804"/>
    <cellStyle name="Accent1 12" xfId="805"/>
    <cellStyle name="Accent1 12 2" xfId="806"/>
    <cellStyle name="Accent1 2" xfId="807"/>
    <cellStyle name="Accent1 2 2" xfId="808"/>
    <cellStyle name="Accent1 3" xfId="809"/>
    <cellStyle name="Accent1 3 2" xfId="810"/>
    <cellStyle name="Accent1 4" xfId="811"/>
    <cellStyle name="Accent1 4 2" xfId="812"/>
    <cellStyle name="Accent1 5" xfId="813"/>
    <cellStyle name="Accent1 5 2" xfId="814"/>
    <cellStyle name="Accent1 6" xfId="815"/>
    <cellStyle name="Accent1 6 2" xfId="816"/>
    <cellStyle name="Accent1 7" xfId="817"/>
    <cellStyle name="Accent1 7 2" xfId="818"/>
    <cellStyle name="Accent1 8" xfId="819"/>
    <cellStyle name="Accent1 8 2" xfId="820"/>
    <cellStyle name="Accent1 9" xfId="821"/>
    <cellStyle name="Accent1 9 2" xfId="822"/>
    <cellStyle name="Accent2 10" xfId="823"/>
    <cellStyle name="Accent2 10 2" xfId="824"/>
    <cellStyle name="Accent2 11" xfId="825"/>
    <cellStyle name="Accent2 11 2" xfId="826"/>
    <cellStyle name="Accent2 12" xfId="827"/>
    <cellStyle name="Accent2 12 2" xfId="828"/>
    <cellStyle name="Accent2 2" xfId="829"/>
    <cellStyle name="Accent2 2 2" xfId="830"/>
    <cellStyle name="Accent2 3" xfId="831"/>
    <cellStyle name="Accent2 3 2" xfId="832"/>
    <cellStyle name="Accent2 4" xfId="833"/>
    <cellStyle name="Accent2 4 2" xfId="834"/>
    <cellStyle name="Accent2 5" xfId="835"/>
    <cellStyle name="Accent2 5 2" xfId="836"/>
    <cellStyle name="Accent2 6" xfId="837"/>
    <cellStyle name="Accent2 6 2" xfId="838"/>
    <cellStyle name="Accent2 7" xfId="839"/>
    <cellStyle name="Accent2 7 2" xfId="840"/>
    <cellStyle name="Accent2 8" xfId="841"/>
    <cellStyle name="Accent2 8 2" xfId="842"/>
    <cellStyle name="Accent2 9" xfId="843"/>
    <cellStyle name="Accent2 9 2" xfId="844"/>
    <cellStyle name="Accent3 10" xfId="845"/>
    <cellStyle name="Accent3 10 2" xfId="846"/>
    <cellStyle name="Accent3 10 2 2" xfId="847"/>
    <cellStyle name="Accent3 10 3" xfId="848"/>
    <cellStyle name="Accent3 11" xfId="849"/>
    <cellStyle name="Accent3 11 2" xfId="850"/>
    <cellStyle name="Accent3 11 2 2" xfId="851"/>
    <cellStyle name="Accent3 11 3" xfId="852"/>
    <cellStyle name="Accent3 12" xfId="853"/>
    <cellStyle name="Accent3 12 2" xfId="854"/>
    <cellStyle name="Accent3 2" xfId="855"/>
    <cellStyle name="Accent3 2 2" xfId="856"/>
    <cellStyle name="Accent3 2 2 2" xfId="857"/>
    <cellStyle name="Accent3 2 3" xfId="858"/>
    <cellStyle name="Accent3 3" xfId="859"/>
    <cellStyle name="Accent3 3 2" xfId="860"/>
    <cellStyle name="Accent3 3 2 2" xfId="861"/>
    <cellStyle name="Accent3 3 3" xfId="862"/>
    <cellStyle name="Accent3 4" xfId="863"/>
    <cellStyle name="Accent3 4 2" xfId="864"/>
    <cellStyle name="Accent3 4 2 2" xfId="865"/>
    <cellStyle name="Accent3 4 3" xfId="866"/>
    <cellStyle name="Accent3 5" xfId="867"/>
    <cellStyle name="Accent3 5 2" xfId="868"/>
    <cellStyle name="Accent3 5 2 2" xfId="869"/>
    <cellStyle name="Accent3 5 3" xfId="870"/>
    <cellStyle name="Accent3 6" xfId="871"/>
    <cellStyle name="Accent3 6 2" xfId="872"/>
    <cellStyle name="Accent3 6 2 2" xfId="873"/>
    <cellStyle name="Accent3 6 3" xfId="874"/>
    <cellStyle name="Accent3 7" xfId="875"/>
    <cellStyle name="Accent3 7 2" xfId="876"/>
    <cellStyle name="Accent3 7 2 2" xfId="877"/>
    <cellStyle name="Accent3 7 3" xfId="878"/>
    <cellStyle name="Accent3 8" xfId="879"/>
    <cellStyle name="Accent3 8 2" xfId="880"/>
    <cellStyle name="Accent3 8 2 2" xfId="881"/>
    <cellStyle name="Accent3 8 3" xfId="882"/>
    <cellStyle name="Accent3 9" xfId="883"/>
    <cellStyle name="Accent3 9 2" xfId="884"/>
    <cellStyle name="Accent3 9 2 2" xfId="885"/>
    <cellStyle name="Accent3 9 3" xfId="886"/>
    <cellStyle name="Accent4 10" xfId="887"/>
    <cellStyle name="Accent4 10 2" xfId="888"/>
    <cellStyle name="Accent4 10 2 2" xfId="889"/>
    <cellStyle name="Accent4 10 3" xfId="890"/>
    <cellStyle name="Accent4 11" xfId="891"/>
    <cellStyle name="Accent4 11 2" xfId="892"/>
    <cellStyle name="Accent4 11 2 2" xfId="893"/>
    <cellStyle name="Accent4 11 3" xfId="894"/>
    <cellStyle name="Accent4 12" xfId="895"/>
    <cellStyle name="Accent4 12 2" xfId="896"/>
    <cellStyle name="Accent4 2" xfId="897"/>
    <cellStyle name="Accent4 2 2" xfId="898"/>
    <cellStyle name="Accent4 2 2 2" xfId="899"/>
    <cellStyle name="Accent4 2 3" xfId="900"/>
    <cellStyle name="Accent4 3" xfId="901"/>
    <cellStyle name="Accent4 3 2" xfId="902"/>
    <cellStyle name="Accent4 3 2 2" xfId="903"/>
    <cellStyle name="Accent4 3 3" xfId="904"/>
    <cellStyle name="Accent4 4" xfId="905"/>
    <cellStyle name="Accent4 4 2" xfId="906"/>
    <cellStyle name="Accent4 4 2 2" xfId="907"/>
    <cellStyle name="Accent4 4 3" xfId="908"/>
    <cellStyle name="Accent4 5" xfId="909"/>
    <cellStyle name="Accent4 5 2" xfId="910"/>
    <cellStyle name="Accent4 5 2 2" xfId="911"/>
    <cellStyle name="Accent4 5 3" xfId="912"/>
    <cellStyle name="Accent4 6" xfId="913"/>
    <cellStyle name="Accent4 6 2" xfId="914"/>
    <cellStyle name="Accent4 6 2 2" xfId="915"/>
    <cellStyle name="Accent4 6 3" xfId="916"/>
    <cellStyle name="Accent4 7" xfId="917"/>
    <cellStyle name="Accent4 7 2" xfId="918"/>
    <cellStyle name="Accent4 7 2 2" xfId="919"/>
    <cellStyle name="Accent4 7 3" xfId="920"/>
    <cellStyle name="Accent4 8" xfId="921"/>
    <cellStyle name="Accent4 8 2" xfId="922"/>
    <cellStyle name="Accent4 8 2 2" xfId="923"/>
    <cellStyle name="Accent4 8 3" xfId="924"/>
    <cellStyle name="Accent4 9" xfId="925"/>
    <cellStyle name="Accent4 9 2" xfId="926"/>
    <cellStyle name="Accent4 9 2 2" xfId="927"/>
    <cellStyle name="Accent4 9 3" xfId="928"/>
    <cellStyle name="Accent5 10" xfId="929"/>
    <cellStyle name="Accent5 10 2" xfId="930"/>
    <cellStyle name="Accent5 11" xfId="931"/>
    <cellStyle name="Accent5 11 2" xfId="932"/>
    <cellStyle name="Accent5 12" xfId="933"/>
    <cellStyle name="Accent5 12 2" xfId="934"/>
    <cellStyle name="Accent5 2" xfId="935"/>
    <cellStyle name="Accent5 2 2" xfId="936"/>
    <cellStyle name="Accent5 3" xfId="937"/>
    <cellStyle name="Accent5 3 2" xfId="938"/>
    <cellStyle name="Accent5 4" xfId="939"/>
    <cellStyle name="Accent5 4 2" xfId="940"/>
    <cellStyle name="Accent5 5" xfId="941"/>
    <cellStyle name="Accent5 5 2" xfId="942"/>
    <cellStyle name="Accent5 6" xfId="943"/>
    <cellStyle name="Accent5 6 2" xfId="944"/>
    <cellStyle name="Accent5 7" xfId="945"/>
    <cellStyle name="Accent5 7 2" xfId="946"/>
    <cellStyle name="Accent5 8" xfId="947"/>
    <cellStyle name="Accent5 8 2" xfId="948"/>
    <cellStyle name="Accent5 9" xfId="949"/>
    <cellStyle name="Accent5 9 2" xfId="950"/>
    <cellStyle name="Accent6 10" xfId="951"/>
    <cellStyle name="Accent6 10 2" xfId="952"/>
    <cellStyle name="Accent6 10 2 2" xfId="953"/>
    <cellStyle name="Accent6 10 3" xfId="954"/>
    <cellStyle name="Accent6 11" xfId="955"/>
    <cellStyle name="Accent6 11 2" xfId="956"/>
    <cellStyle name="Accent6 11 2 2" xfId="957"/>
    <cellStyle name="Accent6 11 3" xfId="958"/>
    <cellStyle name="Accent6 12" xfId="959"/>
    <cellStyle name="Accent6 12 2" xfId="960"/>
    <cellStyle name="Accent6 2" xfId="961"/>
    <cellStyle name="Accent6 2 2" xfId="962"/>
    <cellStyle name="Accent6 2 2 2" xfId="963"/>
    <cellStyle name="Accent6 2 3" xfId="964"/>
    <cellStyle name="Accent6 3" xfId="965"/>
    <cellStyle name="Accent6 3 2" xfId="966"/>
    <cellStyle name="Accent6 3 2 2" xfId="967"/>
    <cellStyle name="Accent6 3 3" xfId="968"/>
    <cellStyle name="Accent6 4" xfId="969"/>
    <cellStyle name="Accent6 4 2" xfId="970"/>
    <cellStyle name="Accent6 4 2 2" xfId="971"/>
    <cellStyle name="Accent6 4 3" xfId="972"/>
    <cellStyle name="Accent6 5" xfId="973"/>
    <cellStyle name="Accent6 5 2" xfId="974"/>
    <cellStyle name="Accent6 5 2 2" xfId="975"/>
    <cellStyle name="Accent6 5 3" xfId="976"/>
    <cellStyle name="Accent6 6" xfId="977"/>
    <cellStyle name="Accent6 6 2" xfId="978"/>
    <cellStyle name="Accent6 6 2 2" xfId="979"/>
    <cellStyle name="Accent6 6 3" xfId="980"/>
    <cellStyle name="Accent6 7" xfId="981"/>
    <cellStyle name="Accent6 7 2" xfId="982"/>
    <cellStyle name="Accent6 7 2 2" xfId="983"/>
    <cellStyle name="Accent6 7 3" xfId="984"/>
    <cellStyle name="Accent6 8" xfId="985"/>
    <cellStyle name="Accent6 8 2" xfId="986"/>
    <cellStyle name="Accent6 8 2 2" xfId="987"/>
    <cellStyle name="Accent6 8 3" xfId="988"/>
    <cellStyle name="Accent6 9" xfId="989"/>
    <cellStyle name="Accent6 9 2" xfId="990"/>
    <cellStyle name="Accent6 9 2 2" xfId="991"/>
    <cellStyle name="Accent6 9 3" xfId="992"/>
    <cellStyle name="ÅëÈ­ [0]_±âÅ¸" xfId="993"/>
    <cellStyle name="ÅëÈ­_±âÅ¸" xfId="994"/>
    <cellStyle name="Aksen1" xfId="20710"/>
    <cellStyle name="Aksen2" xfId="20711"/>
    <cellStyle name="Aksen3" xfId="20712"/>
    <cellStyle name="Aksen4" xfId="20713"/>
    <cellStyle name="Aksen5" xfId="20714"/>
    <cellStyle name="Aksen6" xfId="20715"/>
    <cellStyle name="args.style" xfId="995"/>
    <cellStyle name="args.style 2" xfId="996"/>
    <cellStyle name="ÄÞ¸¶ [0]_±âÅ¸" xfId="997"/>
    <cellStyle name="ÄÞ¸¶_±âÅ¸" xfId="998"/>
    <cellStyle name="Bad 10" xfId="999"/>
    <cellStyle name="Bad 10 2" xfId="1000"/>
    <cellStyle name="Bad 11" xfId="1001"/>
    <cellStyle name="Bad 11 2" xfId="1002"/>
    <cellStyle name="Bad 12" xfId="1003"/>
    <cellStyle name="Bad 12 2" xfId="1004"/>
    <cellStyle name="Bad 2" xfId="1005"/>
    <cellStyle name="Bad 2 2" xfId="1006"/>
    <cellStyle name="Bad 3" xfId="1007"/>
    <cellStyle name="Bad 3 2" xfId="1008"/>
    <cellStyle name="Bad 4" xfId="1009"/>
    <cellStyle name="Bad 4 2" xfId="1010"/>
    <cellStyle name="Bad 5" xfId="1011"/>
    <cellStyle name="Bad 5 2" xfId="1012"/>
    <cellStyle name="Bad 6" xfId="1013"/>
    <cellStyle name="Bad 6 2" xfId="1014"/>
    <cellStyle name="Bad 7" xfId="1015"/>
    <cellStyle name="Bad 7 2" xfId="1016"/>
    <cellStyle name="Bad 8" xfId="1017"/>
    <cellStyle name="Bad 8 2" xfId="1018"/>
    <cellStyle name="Bad 9" xfId="1019"/>
    <cellStyle name="Bad 9 2" xfId="1020"/>
    <cellStyle name="Baik" xfId="20716"/>
    <cellStyle name="Buruk" xfId="20717"/>
    <cellStyle name="Ç¥ÁØ_¿¬°£´©°è¿¹»ó" xfId="1021"/>
    <cellStyle name="Calc Currency (0)" xfId="1022"/>
    <cellStyle name="Calc Currency (0) 2" xfId="1023"/>
    <cellStyle name="Calc Currency (0) 3" xfId="20718"/>
    <cellStyle name="Calc Currency (0) 4" xfId="20719"/>
    <cellStyle name="Calc Currency (0) 5" xfId="20720"/>
    <cellStyle name="Calc Currency (0)_1x1" xfId="20721"/>
    <cellStyle name="Calc Currency (2)" xfId="1024"/>
    <cellStyle name="Calc Currency (2) 2" xfId="1025"/>
    <cellStyle name="Calc Currency (2) 3" xfId="20722"/>
    <cellStyle name="Calc Currency (2) 4" xfId="20723"/>
    <cellStyle name="Calc Currency (2)_1x1" xfId="20724"/>
    <cellStyle name="Calc Percent (0)" xfId="1026"/>
    <cellStyle name="Calc Percent (0) 2" xfId="1027"/>
    <cellStyle name="Calc Percent (0) 3" xfId="20725"/>
    <cellStyle name="Calc Percent (0) 4" xfId="20726"/>
    <cellStyle name="Calc Percent (0)_1x1" xfId="20727"/>
    <cellStyle name="Calc Percent (1)" xfId="1028"/>
    <cellStyle name="Calc Percent (1) 2" xfId="1029"/>
    <cellStyle name="Calc Percent (1) 3" xfId="20728"/>
    <cellStyle name="Calc Percent (1) 4" xfId="20729"/>
    <cellStyle name="Calc Percent (1)_1x1" xfId="20730"/>
    <cellStyle name="Calc Percent (2)" xfId="1030"/>
    <cellStyle name="Calc Percent (2) 2" xfId="1031"/>
    <cellStyle name="Calc Percent (2) 3" xfId="20731"/>
    <cellStyle name="Calc Percent (2) 4" xfId="20732"/>
    <cellStyle name="Calc Percent (2)_1x1" xfId="20733"/>
    <cellStyle name="Calc Units (0)" xfId="1032"/>
    <cellStyle name="Calc Units (0) 2" xfId="1033"/>
    <cellStyle name="Calc Units (0) 3" xfId="20734"/>
    <cellStyle name="Calc Units (0) 4" xfId="20735"/>
    <cellStyle name="Calc Units (0)_1x1" xfId="20736"/>
    <cellStyle name="Calc Units (1)" xfId="1034"/>
    <cellStyle name="Calc Units (1) 2" xfId="1035"/>
    <cellStyle name="Calc Units (1) 3" xfId="20737"/>
    <cellStyle name="Calc Units (1) 4" xfId="20738"/>
    <cellStyle name="Calc Units (1)_1x1" xfId="20739"/>
    <cellStyle name="Calc Units (2)" xfId="1036"/>
    <cellStyle name="Calc Units (2) 2" xfId="1037"/>
    <cellStyle name="Calc Units (2) 3" xfId="20740"/>
    <cellStyle name="Calc Units (2) 4" xfId="20741"/>
    <cellStyle name="Calc Units (2)_1x1" xfId="20742"/>
    <cellStyle name="Calculation 10" xfId="1038"/>
    <cellStyle name="Calculation 10 10" xfId="1039"/>
    <cellStyle name="Calculation 10 10 2" xfId="1040"/>
    <cellStyle name="Calculation 10 10 3" xfId="1041"/>
    <cellStyle name="Calculation 10 10 4" xfId="1042"/>
    <cellStyle name="Calculation 10 10 5" xfId="1043"/>
    <cellStyle name="Calculation 10 10 6" xfId="1044"/>
    <cellStyle name="Calculation 10 11" xfId="1045"/>
    <cellStyle name="Calculation 10 11 2" xfId="1046"/>
    <cellStyle name="Calculation 10 11 3" xfId="1047"/>
    <cellStyle name="Calculation 10 11 4" xfId="1048"/>
    <cellStyle name="Calculation 10 11 5" xfId="1049"/>
    <cellStyle name="Calculation 10 11 6" xfId="1050"/>
    <cellStyle name="Calculation 10 12" xfId="1051"/>
    <cellStyle name="Calculation 10 12 2" xfId="1052"/>
    <cellStyle name="Calculation 10 12 3" xfId="1053"/>
    <cellStyle name="Calculation 10 12 4" xfId="1054"/>
    <cellStyle name="Calculation 10 12 5" xfId="1055"/>
    <cellStyle name="Calculation 10 12 6" xfId="1056"/>
    <cellStyle name="Calculation 10 13" xfId="1057"/>
    <cellStyle name="Calculation 10 13 2" xfId="1058"/>
    <cellStyle name="Calculation 10 13 3" xfId="1059"/>
    <cellStyle name="Calculation 10 13 4" xfId="1060"/>
    <cellStyle name="Calculation 10 13 5" xfId="1061"/>
    <cellStyle name="Calculation 10 13 6" xfId="1062"/>
    <cellStyle name="Calculation 10 14" xfId="1063"/>
    <cellStyle name="Calculation 10 14 2" xfId="1064"/>
    <cellStyle name="Calculation 10 14 3" xfId="1065"/>
    <cellStyle name="Calculation 10 14 4" xfId="1066"/>
    <cellStyle name="Calculation 10 14 5" xfId="1067"/>
    <cellStyle name="Calculation 10 14 6" xfId="1068"/>
    <cellStyle name="Calculation 10 15" xfId="1069"/>
    <cellStyle name="Calculation 10 15 2" xfId="1070"/>
    <cellStyle name="Calculation 10 15 3" xfId="1071"/>
    <cellStyle name="Calculation 10 15 4" xfId="1072"/>
    <cellStyle name="Calculation 10 15 5" xfId="1073"/>
    <cellStyle name="Calculation 10 15 6" xfId="1074"/>
    <cellStyle name="Calculation 10 16" xfId="1075"/>
    <cellStyle name="Calculation 10 16 2" xfId="1076"/>
    <cellStyle name="Calculation 10 16 3" xfId="1077"/>
    <cellStyle name="Calculation 10 16 4" xfId="1078"/>
    <cellStyle name="Calculation 10 16 5" xfId="1079"/>
    <cellStyle name="Calculation 10 16 6" xfId="1080"/>
    <cellStyle name="Calculation 10 17" xfId="1081"/>
    <cellStyle name="Calculation 10 17 2" xfId="1082"/>
    <cellStyle name="Calculation 10 17 3" xfId="1083"/>
    <cellStyle name="Calculation 10 17 4" xfId="1084"/>
    <cellStyle name="Calculation 10 17 5" xfId="1085"/>
    <cellStyle name="Calculation 10 17 6" xfId="1086"/>
    <cellStyle name="Calculation 10 18" xfId="1087"/>
    <cellStyle name="Calculation 10 18 2" xfId="1088"/>
    <cellStyle name="Calculation 10 18 3" xfId="1089"/>
    <cellStyle name="Calculation 10 18 4" xfId="1090"/>
    <cellStyle name="Calculation 10 18 5" xfId="1091"/>
    <cellStyle name="Calculation 10 18 6" xfId="1092"/>
    <cellStyle name="Calculation 10 19" xfId="1093"/>
    <cellStyle name="Calculation 10 19 2" xfId="1094"/>
    <cellStyle name="Calculation 10 19 3" xfId="1095"/>
    <cellStyle name="Calculation 10 19 4" xfId="1096"/>
    <cellStyle name="Calculation 10 19 5" xfId="1097"/>
    <cellStyle name="Calculation 10 19 6" xfId="1098"/>
    <cellStyle name="Calculation 10 2" xfId="1099"/>
    <cellStyle name="Calculation 10 2 10" xfId="1100"/>
    <cellStyle name="Calculation 10 2 2" xfId="1101"/>
    <cellStyle name="Calculation 10 2 2 2" xfId="1102"/>
    <cellStyle name="Calculation 10 2 2 3" xfId="1103"/>
    <cellStyle name="Calculation 10 2 2 4" xfId="1104"/>
    <cellStyle name="Calculation 10 2 2 5" xfId="1105"/>
    <cellStyle name="Calculation 10 2 2 6" xfId="1106"/>
    <cellStyle name="Calculation 10 2 3" xfId="1107"/>
    <cellStyle name="Calculation 10 2 3 2" xfId="1108"/>
    <cellStyle name="Calculation 10 2 3 3" xfId="1109"/>
    <cellStyle name="Calculation 10 2 3 4" xfId="1110"/>
    <cellStyle name="Calculation 10 2 3 5" xfId="1111"/>
    <cellStyle name="Calculation 10 2 3 6" xfId="1112"/>
    <cellStyle name="Calculation 10 2 4" xfId="1113"/>
    <cellStyle name="Calculation 10 2 4 2" xfId="1114"/>
    <cellStyle name="Calculation 10 2 4 3" xfId="1115"/>
    <cellStyle name="Calculation 10 2 4 4" xfId="1116"/>
    <cellStyle name="Calculation 10 2 4 5" xfId="1117"/>
    <cellStyle name="Calculation 10 2 4 6" xfId="1118"/>
    <cellStyle name="Calculation 10 2 5" xfId="1119"/>
    <cellStyle name="Calculation 10 2 5 2" xfId="1120"/>
    <cellStyle name="Calculation 10 2 5 3" xfId="1121"/>
    <cellStyle name="Calculation 10 2 5 4" xfId="1122"/>
    <cellStyle name="Calculation 10 2 5 5" xfId="1123"/>
    <cellStyle name="Calculation 10 2 5 6" xfId="1124"/>
    <cellStyle name="Calculation 10 2 6" xfId="1125"/>
    <cellStyle name="Calculation 10 2 7" xfId="1126"/>
    <cellStyle name="Calculation 10 2 8" xfId="1127"/>
    <cellStyle name="Calculation 10 2 9" xfId="1128"/>
    <cellStyle name="Calculation 10 20" xfId="1129"/>
    <cellStyle name="Calculation 10 20 2" xfId="1130"/>
    <cellStyle name="Calculation 10 20 3" xfId="1131"/>
    <cellStyle name="Calculation 10 20 4" xfId="1132"/>
    <cellStyle name="Calculation 10 20 5" xfId="1133"/>
    <cellStyle name="Calculation 10 20 6" xfId="1134"/>
    <cellStyle name="Calculation 10 21" xfId="1135"/>
    <cellStyle name="Calculation 10 21 2" xfId="1136"/>
    <cellStyle name="Calculation 10 21 3" xfId="1137"/>
    <cellStyle name="Calculation 10 21 4" xfId="1138"/>
    <cellStyle name="Calculation 10 21 5" xfId="1139"/>
    <cellStyle name="Calculation 10 21 6" xfId="1140"/>
    <cellStyle name="Calculation 10 22" xfId="1141"/>
    <cellStyle name="Calculation 10 22 2" xfId="1142"/>
    <cellStyle name="Calculation 10 22 3" xfId="1143"/>
    <cellStyle name="Calculation 10 22 4" xfId="1144"/>
    <cellStyle name="Calculation 10 22 5" xfId="1145"/>
    <cellStyle name="Calculation 10 22 6" xfId="1146"/>
    <cellStyle name="Calculation 10 23" xfId="1147"/>
    <cellStyle name="Calculation 10 23 2" xfId="1148"/>
    <cellStyle name="Calculation 10 23 3" xfId="1149"/>
    <cellStyle name="Calculation 10 23 4" xfId="1150"/>
    <cellStyle name="Calculation 10 23 5" xfId="1151"/>
    <cellStyle name="Calculation 10 23 6" xfId="1152"/>
    <cellStyle name="Calculation 10 24" xfId="1153"/>
    <cellStyle name="Calculation 10 24 2" xfId="1154"/>
    <cellStyle name="Calculation 10 24 3" xfId="1155"/>
    <cellStyle name="Calculation 10 24 4" xfId="1156"/>
    <cellStyle name="Calculation 10 24 5" xfId="1157"/>
    <cellStyle name="Calculation 10 24 6" xfId="1158"/>
    <cellStyle name="Calculation 10 25" xfId="1159"/>
    <cellStyle name="Calculation 10 25 2" xfId="1160"/>
    <cellStyle name="Calculation 10 25 3" xfId="1161"/>
    <cellStyle name="Calculation 10 25 4" xfId="1162"/>
    <cellStyle name="Calculation 10 25 5" xfId="1163"/>
    <cellStyle name="Calculation 10 25 6" xfId="1164"/>
    <cellStyle name="Calculation 10 26" xfId="1165"/>
    <cellStyle name="Calculation 10 26 2" xfId="1166"/>
    <cellStyle name="Calculation 10 26 3" xfId="1167"/>
    <cellStyle name="Calculation 10 26 4" xfId="1168"/>
    <cellStyle name="Calculation 10 26 5" xfId="1169"/>
    <cellStyle name="Calculation 10 26 6" xfId="1170"/>
    <cellStyle name="Calculation 10 27" xfId="1171"/>
    <cellStyle name="Calculation 10 27 2" xfId="1172"/>
    <cellStyle name="Calculation 10 27 3" xfId="1173"/>
    <cellStyle name="Calculation 10 27 4" xfId="1174"/>
    <cellStyle name="Calculation 10 27 5" xfId="1175"/>
    <cellStyle name="Calculation 10 27 6" xfId="1176"/>
    <cellStyle name="Calculation 10 28" xfId="1177"/>
    <cellStyle name="Calculation 10 28 2" xfId="1178"/>
    <cellStyle name="Calculation 10 28 3" xfId="1179"/>
    <cellStyle name="Calculation 10 28 4" xfId="1180"/>
    <cellStyle name="Calculation 10 28 5" xfId="1181"/>
    <cellStyle name="Calculation 10 28 6" xfId="1182"/>
    <cellStyle name="Calculation 10 29" xfId="1183"/>
    <cellStyle name="Calculation 10 29 2" xfId="1184"/>
    <cellStyle name="Calculation 10 29 3" xfId="1185"/>
    <cellStyle name="Calculation 10 29 4" xfId="1186"/>
    <cellStyle name="Calculation 10 3" xfId="1187"/>
    <cellStyle name="Calculation 10 3 2" xfId="1188"/>
    <cellStyle name="Calculation 10 3 3" xfId="1189"/>
    <cellStyle name="Calculation 10 3 4" xfId="1190"/>
    <cellStyle name="Calculation 10 3 5" xfId="1191"/>
    <cellStyle name="Calculation 10 3 6" xfId="1192"/>
    <cellStyle name="Calculation 10 30" xfId="1193"/>
    <cellStyle name="Calculation 10 31" xfId="1194"/>
    <cellStyle name="Calculation 10 32" xfId="1195"/>
    <cellStyle name="Calculation 10 33" xfId="1196"/>
    <cellStyle name="Calculation 10 34" xfId="1197"/>
    <cellStyle name="Calculation 10 35" xfId="1198"/>
    <cellStyle name="Calculation 10 36" xfId="1199"/>
    <cellStyle name="Calculation 10 37" xfId="1200"/>
    <cellStyle name="Calculation 10 38" xfId="1201"/>
    <cellStyle name="Calculation 10 39" xfId="1202"/>
    <cellStyle name="Calculation 10 4" xfId="1203"/>
    <cellStyle name="Calculation 10 4 2" xfId="1204"/>
    <cellStyle name="Calculation 10 4 3" xfId="1205"/>
    <cellStyle name="Calculation 10 4 4" xfId="1206"/>
    <cellStyle name="Calculation 10 4 5" xfId="1207"/>
    <cellStyle name="Calculation 10 4 6" xfId="1208"/>
    <cellStyle name="Calculation 10 40" xfId="1209"/>
    <cellStyle name="Calculation 10 41" xfId="1210"/>
    <cellStyle name="Calculation 10 42" xfId="1211"/>
    <cellStyle name="Calculation 10 43" xfId="1212"/>
    <cellStyle name="Calculation 10 44" xfId="1213"/>
    <cellStyle name="Calculation 10 45" xfId="1214"/>
    <cellStyle name="Calculation 10 46" xfId="1215"/>
    <cellStyle name="Calculation 10 47" xfId="1216"/>
    <cellStyle name="Calculation 10 48" xfId="1217"/>
    <cellStyle name="Calculation 10 49" xfId="1218"/>
    <cellStyle name="Calculation 10 5" xfId="1219"/>
    <cellStyle name="Calculation 10 5 2" xfId="1220"/>
    <cellStyle name="Calculation 10 5 3" xfId="1221"/>
    <cellStyle name="Calculation 10 5 4" xfId="1222"/>
    <cellStyle name="Calculation 10 5 5" xfId="1223"/>
    <cellStyle name="Calculation 10 5 6" xfId="1224"/>
    <cellStyle name="Calculation 10 50" xfId="1225"/>
    <cellStyle name="Calculation 10 51" xfId="1226"/>
    <cellStyle name="Calculation 10 52" xfId="1227"/>
    <cellStyle name="Calculation 10 53" xfId="1228"/>
    <cellStyle name="Calculation 10 54" xfId="1229"/>
    <cellStyle name="Calculation 10 55" xfId="1230"/>
    <cellStyle name="Calculation 10 56" xfId="1231"/>
    <cellStyle name="Calculation 10 57" xfId="1232"/>
    <cellStyle name="Calculation 10 58" xfId="1233"/>
    <cellStyle name="Calculation 10 59" xfId="1234"/>
    <cellStyle name="Calculation 10 6" xfId="1235"/>
    <cellStyle name="Calculation 10 6 2" xfId="1236"/>
    <cellStyle name="Calculation 10 6 3" xfId="1237"/>
    <cellStyle name="Calculation 10 6 4" xfId="1238"/>
    <cellStyle name="Calculation 10 6 5" xfId="1239"/>
    <cellStyle name="Calculation 10 6 6" xfId="1240"/>
    <cellStyle name="Calculation 10 60" xfId="1241"/>
    <cellStyle name="Calculation 10 61" xfId="1242"/>
    <cellStyle name="Calculation 10 62" xfId="1243"/>
    <cellStyle name="Calculation 10 63" xfId="1244"/>
    <cellStyle name="Calculation 10 64" xfId="1245"/>
    <cellStyle name="Calculation 10 65" xfId="1246"/>
    <cellStyle name="Calculation 10 66" xfId="1247"/>
    <cellStyle name="Calculation 10 7" xfId="1248"/>
    <cellStyle name="Calculation 10 7 2" xfId="1249"/>
    <cellStyle name="Calculation 10 7 3" xfId="1250"/>
    <cellStyle name="Calculation 10 7 4" xfId="1251"/>
    <cellStyle name="Calculation 10 7 5" xfId="1252"/>
    <cellStyle name="Calculation 10 7 6" xfId="1253"/>
    <cellStyle name="Calculation 10 8" xfId="1254"/>
    <cellStyle name="Calculation 10 8 2" xfId="1255"/>
    <cellStyle name="Calculation 10 8 3" xfId="1256"/>
    <cellStyle name="Calculation 10 8 4" xfId="1257"/>
    <cellStyle name="Calculation 10 8 5" xfId="1258"/>
    <cellStyle name="Calculation 10 8 6" xfId="1259"/>
    <cellStyle name="Calculation 10 9" xfId="1260"/>
    <cellStyle name="Calculation 10 9 2" xfId="1261"/>
    <cellStyle name="Calculation 10 9 3" xfId="1262"/>
    <cellStyle name="Calculation 10 9 4" xfId="1263"/>
    <cellStyle name="Calculation 10 9 5" xfId="1264"/>
    <cellStyle name="Calculation 10 9 6" xfId="1265"/>
    <cellStyle name="Calculation 11" xfId="1266"/>
    <cellStyle name="Calculation 11 10" xfId="1267"/>
    <cellStyle name="Calculation 11 10 2" xfId="1268"/>
    <cellStyle name="Calculation 11 10 3" xfId="1269"/>
    <cellStyle name="Calculation 11 10 4" xfId="1270"/>
    <cellStyle name="Calculation 11 10 5" xfId="1271"/>
    <cellStyle name="Calculation 11 10 6" xfId="1272"/>
    <cellStyle name="Calculation 11 11" xfId="1273"/>
    <cellStyle name="Calculation 11 11 2" xfId="1274"/>
    <cellStyle name="Calculation 11 11 3" xfId="1275"/>
    <cellStyle name="Calculation 11 11 4" xfId="1276"/>
    <cellStyle name="Calculation 11 11 5" xfId="1277"/>
    <cellStyle name="Calculation 11 11 6" xfId="1278"/>
    <cellStyle name="Calculation 11 12" xfId="1279"/>
    <cellStyle name="Calculation 11 12 2" xfId="1280"/>
    <cellStyle name="Calculation 11 12 3" xfId="1281"/>
    <cellStyle name="Calculation 11 12 4" xfId="1282"/>
    <cellStyle name="Calculation 11 12 5" xfId="1283"/>
    <cellStyle name="Calculation 11 12 6" xfId="1284"/>
    <cellStyle name="Calculation 11 13" xfId="1285"/>
    <cellStyle name="Calculation 11 13 2" xfId="1286"/>
    <cellStyle name="Calculation 11 13 3" xfId="1287"/>
    <cellStyle name="Calculation 11 13 4" xfId="1288"/>
    <cellStyle name="Calculation 11 13 5" xfId="1289"/>
    <cellStyle name="Calculation 11 13 6" xfId="1290"/>
    <cellStyle name="Calculation 11 14" xfId="1291"/>
    <cellStyle name="Calculation 11 14 2" xfId="1292"/>
    <cellStyle name="Calculation 11 14 3" xfId="1293"/>
    <cellStyle name="Calculation 11 14 4" xfId="1294"/>
    <cellStyle name="Calculation 11 14 5" xfId="1295"/>
    <cellStyle name="Calculation 11 14 6" xfId="1296"/>
    <cellStyle name="Calculation 11 15" xfId="1297"/>
    <cellStyle name="Calculation 11 15 2" xfId="1298"/>
    <cellStyle name="Calculation 11 15 3" xfId="1299"/>
    <cellStyle name="Calculation 11 15 4" xfId="1300"/>
    <cellStyle name="Calculation 11 15 5" xfId="1301"/>
    <cellStyle name="Calculation 11 15 6" xfId="1302"/>
    <cellStyle name="Calculation 11 16" xfId="1303"/>
    <cellStyle name="Calculation 11 16 2" xfId="1304"/>
    <cellStyle name="Calculation 11 16 3" xfId="1305"/>
    <cellStyle name="Calculation 11 16 4" xfId="1306"/>
    <cellStyle name="Calculation 11 16 5" xfId="1307"/>
    <cellStyle name="Calculation 11 16 6" xfId="1308"/>
    <cellStyle name="Calculation 11 17" xfId="1309"/>
    <cellStyle name="Calculation 11 17 2" xfId="1310"/>
    <cellStyle name="Calculation 11 17 3" xfId="1311"/>
    <cellStyle name="Calculation 11 17 4" xfId="1312"/>
    <cellStyle name="Calculation 11 17 5" xfId="1313"/>
    <cellStyle name="Calculation 11 17 6" xfId="1314"/>
    <cellStyle name="Calculation 11 18" xfId="1315"/>
    <cellStyle name="Calculation 11 18 2" xfId="1316"/>
    <cellStyle name="Calculation 11 18 3" xfId="1317"/>
    <cellStyle name="Calculation 11 18 4" xfId="1318"/>
    <cellStyle name="Calculation 11 18 5" xfId="1319"/>
    <cellStyle name="Calculation 11 18 6" xfId="1320"/>
    <cellStyle name="Calculation 11 19" xfId="1321"/>
    <cellStyle name="Calculation 11 19 2" xfId="1322"/>
    <cellStyle name="Calculation 11 19 3" xfId="1323"/>
    <cellStyle name="Calculation 11 19 4" xfId="1324"/>
    <cellStyle name="Calculation 11 19 5" xfId="1325"/>
    <cellStyle name="Calculation 11 19 6" xfId="1326"/>
    <cellStyle name="Calculation 11 2" xfId="1327"/>
    <cellStyle name="Calculation 11 2 10" xfId="1328"/>
    <cellStyle name="Calculation 11 2 2" xfId="1329"/>
    <cellStyle name="Calculation 11 2 2 2" xfId="1330"/>
    <cellStyle name="Calculation 11 2 2 3" xfId="1331"/>
    <cellStyle name="Calculation 11 2 2 4" xfId="1332"/>
    <cellStyle name="Calculation 11 2 2 5" xfId="1333"/>
    <cellStyle name="Calculation 11 2 2 6" xfId="1334"/>
    <cellStyle name="Calculation 11 2 3" xfId="1335"/>
    <cellStyle name="Calculation 11 2 3 2" xfId="1336"/>
    <cellStyle name="Calculation 11 2 3 3" xfId="1337"/>
    <cellStyle name="Calculation 11 2 3 4" xfId="1338"/>
    <cellStyle name="Calculation 11 2 3 5" xfId="1339"/>
    <cellStyle name="Calculation 11 2 3 6" xfId="1340"/>
    <cellStyle name="Calculation 11 2 4" xfId="1341"/>
    <cellStyle name="Calculation 11 2 4 2" xfId="1342"/>
    <cellStyle name="Calculation 11 2 4 3" xfId="1343"/>
    <cellStyle name="Calculation 11 2 4 4" xfId="1344"/>
    <cellStyle name="Calculation 11 2 4 5" xfId="1345"/>
    <cellStyle name="Calculation 11 2 4 6" xfId="1346"/>
    <cellStyle name="Calculation 11 2 5" xfId="1347"/>
    <cellStyle name="Calculation 11 2 5 2" xfId="1348"/>
    <cellStyle name="Calculation 11 2 5 3" xfId="1349"/>
    <cellStyle name="Calculation 11 2 5 4" xfId="1350"/>
    <cellStyle name="Calculation 11 2 5 5" xfId="1351"/>
    <cellStyle name="Calculation 11 2 5 6" xfId="1352"/>
    <cellStyle name="Calculation 11 2 6" xfId="1353"/>
    <cellStyle name="Calculation 11 2 7" xfId="1354"/>
    <cellStyle name="Calculation 11 2 8" xfId="1355"/>
    <cellStyle name="Calculation 11 2 9" xfId="1356"/>
    <cellStyle name="Calculation 11 20" xfId="1357"/>
    <cellStyle name="Calculation 11 20 2" xfId="1358"/>
    <cellStyle name="Calculation 11 20 3" xfId="1359"/>
    <cellStyle name="Calculation 11 20 4" xfId="1360"/>
    <cellStyle name="Calculation 11 20 5" xfId="1361"/>
    <cellStyle name="Calculation 11 20 6" xfId="1362"/>
    <cellStyle name="Calculation 11 21" xfId="1363"/>
    <cellStyle name="Calculation 11 21 2" xfId="1364"/>
    <cellStyle name="Calculation 11 21 3" xfId="1365"/>
    <cellStyle name="Calculation 11 21 4" xfId="1366"/>
    <cellStyle name="Calculation 11 21 5" xfId="1367"/>
    <cellStyle name="Calculation 11 21 6" xfId="1368"/>
    <cellStyle name="Calculation 11 22" xfId="1369"/>
    <cellStyle name="Calculation 11 22 2" xfId="1370"/>
    <cellStyle name="Calculation 11 22 3" xfId="1371"/>
    <cellStyle name="Calculation 11 22 4" xfId="1372"/>
    <cellStyle name="Calculation 11 22 5" xfId="1373"/>
    <cellStyle name="Calculation 11 22 6" xfId="1374"/>
    <cellStyle name="Calculation 11 23" xfId="1375"/>
    <cellStyle name="Calculation 11 23 2" xfId="1376"/>
    <cellStyle name="Calculation 11 23 3" xfId="1377"/>
    <cellStyle name="Calculation 11 23 4" xfId="1378"/>
    <cellStyle name="Calculation 11 23 5" xfId="1379"/>
    <cellStyle name="Calculation 11 23 6" xfId="1380"/>
    <cellStyle name="Calculation 11 24" xfId="1381"/>
    <cellStyle name="Calculation 11 24 2" xfId="1382"/>
    <cellStyle name="Calculation 11 24 3" xfId="1383"/>
    <cellStyle name="Calculation 11 24 4" xfId="1384"/>
    <cellStyle name="Calculation 11 24 5" xfId="1385"/>
    <cellStyle name="Calculation 11 24 6" xfId="1386"/>
    <cellStyle name="Calculation 11 25" xfId="1387"/>
    <cellStyle name="Calculation 11 25 2" xfId="1388"/>
    <cellStyle name="Calculation 11 25 3" xfId="1389"/>
    <cellStyle name="Calculation 11 25 4" xfId="1390"/>
    <cellStyle name="Calculation 11 25 5" xfId="1391"/>
    <cellStyle name="Calculation 11 25 6" xfId="1392"/>
    <cellStyle name="Calculation 11 26" xfId="1393"/>
    <cellStyle name="Calculation 11 26 2" xfId="1394"/>
    <cellStyle name="Calculation 11 26 3" xfId="1395"/>
    <cellStyle name="Calculation 11 26 4" xfId="1396"/>
    <cellStyle name="Calculation 11 26 5" xfId="1397"/>
    <cellStyle name="Calculation 11 26 6" xfId="1398"/>
    <cellStyle name="Calculation 11 27" xfId="1399"/>
    <cellStyle name="Calculation 11 27 2" xfId="1400"/>
    <cellStyle name="Calculation 11 27 3" xfId="1401"/>
    <cellStyle name="Calculation 11 27 4" xfId="1402"/>
    <cellStyle name="Calculation 11 27 5" xfId="1403"/>
    <cellStyle name="Calculation 11 27 6" xfId="1404"/>
    <cellStyle name="Calculation 11 28" xfId="1405"/>
    <cellStyle name="Calculation 11 28 2" xfId="1406"/>
    <cellStyle name="Calculation 11 28 3" xfId="1407"/>
    <cellStyle name="Calculation 11 28 4" xfId="1408"/>
    <cellStyle name="Calculation 11 28 5" xfId="1409"/>
    <cellStyle name="Calculation 11 28 6" xfId="1410"/>
    <cellStyle name="Calculation 11 29" xfId="1411"/>
    <cellStyle name="Calculation 11 29 2" xfId="1412"/>
    <cellStyle name="Calculation 11 29 3" xfId="1413"/>
    <cellStyle name="Calculation 11 29 4" xfId="1414"/>
    <cellStyle name="Calculation 11 3" xfId="1415"/>
    <cellStyle name="Calculation 11 3 2" xfId="1416"/>
    <cellStyle name="Calculation 11 3 3" xfId="1417"/>
    <cellStyle name="Calculation 11 3 4" xfId="1418"/>
    <cellStyle name="Calculation 11 3 5" xfId="1419"/>
    <cellStyle name="Calculation 11 3 6" xfId="1420"/>
    <cellStyle name="Calculation 11 30" xfId="1421"/>
    <cellStyle name="Calculation 11 31" xfId="1422"/>
    <cellStyle name="Calculation 11 32" xfId="1423"/>
    <cellStyle name="Calculation 11 33" xfId="1424"/>
    <cellStyle name="Calculation 11 34" xfId="1425"/>
    <cellStyle name="Calculation 11 35" xfId="1426"/>
    <cellStyle name="Calculation 11 36" xfId="1427"/>
    <cellStyle name="Calculation 11 37" xfId="1428"/>
    <cellStyle name="Calculation 11 38" xfId="1429"/>
    <cellStyle name="Calculation 11 39" xfId="1430"/>
    <cellStyle name="Calculation 11 4" xfId="1431"/>
    <cellStyle name="Calculation 11 4 2" xfId="1432"/>
    <cellStyle name="Calculation 11 4 3" xfId="1433"/>
    <cellStyle name="Calculation 11 4 4" xfId="1434"/>
    <cellStyle name="Calculation 11 4 5" xfId="1435"/>
    <cellStyle name="Calculation 11 4 6" xfId="1436"/>
    <cellStyle name="Calculation 11 40" xfId="1437"/>
    <cellStyle name="Calculation 11 41" xfId="1438"/>
    <cellStyle name="Calculation 11 42" xfId="1439"/>
    <cellStyle name="Calculation 11 43" xfId="1440"/>
    <cellStyle name="Calculation 11 44" xfId="1441"/>
    <cellStyle name="Calculation 11 45" xfId="1442"/>
    <cellStyle name="Calculation 11 46" xfId="1443"/>
    <cellStyle name="Calculation 11 47" xfId="1444"/>
    <cellStyle name="Calculation 11 48" xfId="1445"/>
    <cellStyle name="Calculation 11 49" xfId="1446"/>
    <cellStyle name="Calculation 11 5" xfId="1447"/>
    <cellStyle name="Calculation 11 5 2" xfId="1448"/>
    <cellStyle name="Calculation 11 5 3" xfId="1449"/>
    <cellStyle name="Calculation 11 5 4" xfId="1450"/>
    <cellStyle name="Calculation 11 5 5" xfId="1451"/>
    <cellStyle name="Calculation 11 5 6" xfId="1452"/>
    <cellStyle name="Calculation 11 50" xfId="1453"/>
    <cellStyle name="Calculation 11 51" xfId="1454"/>
    <cellStyle name="Calculation 11 52" xfId="1455"/>
    <cellStyle name="Calculation 11 53" xfId="1456"/>
    <cellStyle name="Calculation 11 54" xfId="1457"/>
    <cellStyle name="Calculation 11 55" xfId="1458"/>
    <cellStyle name="Calculation 11 56" xfId="1459"/>
    <cellStyle name="Calculation 11 57" xfId="1460"/>
    <cellStyle name="Calculation 11 58" xfId="1461"/>
    <cellStyle name="Calculation 11 59" xfId="1462"/>
    <cellStyle name="Calculation 11 6" xfId="1463"/>
    <cellStyle name="Calculation 11 6 2" xfId="1464"/>
    <cellStyle name="Calculation 11 6 3" xfId="1465"/>
    <cellStyle name="Calculation 11 6 4" xfId="1466"/>
    <cellStyle name="Calculation 11 6 5" xfId="1467"/>
    <cellStyle name="Calculation 11 6 6" xfId="1468"/>
    <cellStyle name="Calculation 11 60" xfId="1469"/>
    <cellStyle name="Calculation 11 61" xfId="1470"/>
    <cellStyle name="Calculation 11 62" xfId="1471"/>
    <cellStyle name="Calculation 11 63" xfId="1472"/>
    <cellStyle name="Calculation 11 64" xfId="1473"/>
    <cellStyle name="Calculation 11 65" xfId="1474"/>
    <cellStyle name="Calculation 11 66" xfId="1475"/>
    <cellStyle name="Calculation 11 7" xfId="1476"/>
    <cellStyle name="Calculation 11 7 2" xfId="1477"/>
    <cellStyle name="Calculation 11 7 3" xfId="1478"/>
    <cellStyle name="Calculation 11 7 4" xfId="1479"/>
    <cellStyle name="Calculation 11 7 5" xfId="1480"/>
    <cellStyle name="Calculation 11 7 6" xfId="1481"/>
    <cellStyle name="Calculation 11 8" xfId="1482"/>
    <cellStyle name="Calculation 11 8 2" xfId="1483"/>
    <cellStyle name="Calculation 11 8 3" xfId="1484"/>
    <cellStyle name="Calculation 11 8 4" xfId="1485"/>
    <cellStyle name="Calculation 11 8 5" xfId="1486"/>
    <cellStyle name="Calculation 11 8 6" xfId="1487"/>
    <cellStyle name="Calculation 11 9" xfId="1488"/>
    <cellStyle name="Calculation 11 9 2" xfId="1489"/>
    <cellStyle name="Calculation 11 9 3" xfId="1490"/>
    <cellStyle name="Calculation 11 9 4" xfId="1491"/>
    <cellStyle name="Calculation 11 9 5" xfId="1492"/>
    <cellStyle name="Calculation 11 9 6" xfId="1493"/>
    <cellStyle name="Calculation 12" xfId="1494"/>
    <cellStyle name="Calculation 12 10" xfId="1495"/>
    <cellStyle name="Calculation 12 10 2" xfId="1496"/>
    <cellStyle name="Calculation 12 10 3" xfId="1497"/>
    <cellStyle name="Calculation 12 10 4" xfId="1498"/>
    <cellStyle name="Calculation 12 10 5" xfId="1499"/>
    <cellStyle name="Calculation 12 10 6" xfId="1500"/>
    <cellStyle name="Calculation 12 11" xfId="1501"/>
    <cellStyle name="Calculation 12 11 2" xfId="1502"/>
    <cellStyle name="Calculation 12 11 3" xfId="1503"/>
    <cellStyle name="Calculation 12 11 4" xfId="1504"/>
    <cellStyle name="Calculation 12 11 5" xfId="1505"/>
    <cellStyle name="Calculation 12 11 6" xfId="1506"/>
    <cellStyle name="Calculation 12 12" xfId="1507"/>
    <cellStyle name="Calculation 12 12 2" xfId="1508"/>
    <cellStyle name="Calculation 12 12 3" xfId="1509"/>
    <cellStyle name="Calculation 12 12 4" xfId="1510"/>
    <cellStyle name="Calculation 12 12 5" xfId="1511"/>
    <cellStyle name="Calculation 12 12 6" xfId="1512"/>
    <cellStyle name="Calculation 12 13" xfId="1513"/>
    <cellStyle name="Calculation 12 13 2" xfId="1514"/>
    <cellStyle name="Calculation 12 13 3" xfId="1515"/>
    <cellStyle name="Calculation 12 13 4" xfId="1516"/>
    <cellStyle name="Calculation 12 13 5" xfId="1517"/>
    <cellStyle name="Calculation 12 13 6" xfId="1518"/>
    <cellStyle name="Calculation 12 14" xfId="1519"/>
    <cellStyle name="Calculation 12 14 2" xfId="1520"/>
    <cellStyle name="Calculation 12 14 3" xfId="1521"/>
    <cellStyle name="Calculation 12 14 4" xfId="1522"/>
    <cellStyle name="Calculation 12 14 5" xfId="1523"/>
    <cellStyle name="Calculation 12 14 6" xfId="1524"/>
    <cellStyle name="Calculation 12 15" xfId="1525"/>
    <cellStyle name="Calculation 12 15 2" xfId="1526"/>
    <cellStyle name="Calculation 12 15 3" xfId="1527"/>
    <cellStyle name="Calculation 12 15 4" xfId="1528"/>
    <cellStyle name="Calculation 12 15 5" xfId="1529"/>
    <cellStyle name="Calculation 12 15 6" xfId="1530"/>
    <cellStyle name="Calculation 12 16" xfId="1531"/>
    <cellStyle name="Calculation 12 16 2" xfId="1532"/>
    <cellStyle name="Calculation 12 16 3" xfId="1533"/>
    <cellStyle name="Calculation 12 16 4" xfId="1534"/>
    <cellStyle name="Calculation 12 16 5" xfId="1535"/>
    <cellStyle name="Calculation 12 16 6" xfId="1536"/>
    <cellStyle name="Calculation 12 17" xfId="1537"/>
    <cellStyle name="Calculation 12 17 2" xfId="1538"/>
    <cellStyle name="Calculation 12 17 3" xfId="1539"/>
    <cellStyle name="Calculation 12 17 4" xfId="1540"/>
    <cellStyle name="Calculation 12 17 5" xfId="1541"/>
    <cellStyle name="Calculation 12 17 6" xfId="1542"/>
    <cellStyle name="Calculation 12 18" xfId="1543"/>
    <cellStyle name="Calculation 12 18 2" xfId="1544"/>
    <cellStyle name="Calculation 12 18 3" xfId="1545"/>
    <cellStyle name="Calculation 12 18 4" xfId="1546"/>
    <cellStyle name="Calculation 12 18 5" xfId="1547"/>
    <cellStyle name="Calculation 12 18 6" xfId="1548"/>
    <cellStyle name="Calculation 12 19" xfId="1549"/>
    <cellStyle name="Calculation 12 19 2" xfId="1550"/>
    <cellStyle name="Calculation 12 19 3" xfId="1551"/>
    <cellStyle name="Calculation 12 19 4" xfId="1552"/>
    <cellStyle name="Calculation 12 19 5" xfId="1553"/>
    <cellStyle name="Calculation 12 19 6" xfId="1554"/>
    <cellStyle name="Calculation 12 2" xfId="1555"/>
    <cellStyle name="Calculation 12 2 10" xfId="1556"/>
    <cellStyle name="Calculation 12 2 2" xfId="1557"/>
    <cellStyle name="Calculation 12 2 2 2" xfId="1558"/>
    <cellStyle name="Calculation 12 2 2 3" xfId="1559"/>
    <cellStyle name="Calculation 12 2 2 4" xfId="1560"/>
    <cellStyle name="Calculation 12 2 2 5" xfId="1561"/>
    <cellStyle name="Calculation 12 2 2 6" xfId="1562"/>
    <cellStyle name="Calculation 12 2 3" xfId="1563"/>
    <cellStyle name="Calculation 12 2 3 2" xfId="1564"/>
    <cellStyle name="Calculation 12 2 3 3" xfId="1565"/>
    <cellStyle name="Calculation 12 2 3 4" xfId="1566"/>
    <cellStyle name="Calculation 12 2 3 5" xfId="1567"/>
    <cellStyle name="Calculation 12 2 3 6" xfId="1568"/>
    <cellStyle name="Calculation 12 2 4" xfId="1569"/>
    <cellStyle name="Calculation 12 2 4 2" xfId="1570"/>
    <cellStyle name="Calculation 12 2 4 3" xfId="1571"/>
    <cellStyle name="Calculation 12 2 4 4" xfId="1572"/>
    <cellStyle name="Calculation 12 2 4 5" xfId="1573"/>
    <cellStyle name="Calculation 12 2 4 6" xfId="1574"/>
    <cellStyle name="Calculation 12 2 5" xfId="1575"/>
    <cellStyle name="Calculation 12 2 5 2" xfId="1576"/>
    <cellStyle name="Calculation 12 2 5 3" xfId="1577"/>
    <cellStyle name="Calculation 12 2 5 4" xfId="1578"/>
    <cellStyle name="Calculation 12 2 5 5" xfId="1579"/>
    <cellStyle name="Calculation 12 2 5 6" xfId="1580"/>
    <cellStyle name="Calculation 12 2 6" xfId="1581"/>
    <cellStyle name="Calculation 12 2 7" xfId="1582"/>
    <cellStyle name="Calculation 12 2 8" xfId="1583"/>
    <cellStyle name="Calculation 12 2 9" xfId="1584"/>
    <cellStyle name="Calculation 12 20" xfId="1585"/>
    <cellStyle name="Calculation 12 20 2" xfId="1586"/>
    <cellStyle name="Calculation 12 20 3" xfId="1587"/>
    <cellStyle name="Calculation 12 20 4" xfId="1588"/>
    <cellStyle name="Calculation 12 20 5" xfId="1589"/>
    <cellStyle name="Calculation 12 20 6" xfId="1590"/>
    <cellStyle name="Calculation 12 21" xfId="1591"/>
    <cellStyle name="Calculation 12 21 2" xfId="1592"/>
    <cellStyle name="Calculation 12 21 3" xfId="1593"/>
    <cellStyle name="Calculation 12 21 4" xfId="1594"/>
    <cellStyle name="Calculation 12 21 5" xfId="1595"/>
    <cellStyle name="Calculation 12 21 6" xfId="1596"/>
    <cellStyle name="Calculation 12 22" xfId="1597"/>
    <cellStyle name="Calculation 12 22 2" xfId="1598"/>
    <cellStyle name="Calculation 12 22 3" xfId="1599"/>
    <cellStyle name="Calculation 12 22 4" xfId="1600"/>
    <cellStyle name="Calculation 12 22 5" xfId="1601"/>
    <cellStyle name="Calculation 12 22 6" xfId="1602"/>
    <cellStyle name="Calculation 12 23" xfId="1603"/>
    <cellStyle name="Calculation 12 23 2" xfId="1604"/>
    <cellStyle name="Calculation 12 23 3" xfId="1605"/>
    <cellStyle name="Calculation 12 23 4" xfId="1606"/>
    <cellStyle name="Calculation 12 23 5" xfId="1607"/>
    <cellStyle name="Calculation 12 23 6" xfId="1608"/>
    <cellStyle name="Calculation 12 24" xfId="1609"/>
    <cellStyle name="Calculation 12 24 2" xfId="1610"/>
    <cellStyle name="Calculation 12 24 3" xfId="1611"/>
    <cellStyle name="Calculation 12 24 4" xfId="1612"/>
    <cellStyle name="Calculation 12 24 5" xfId="1613"/>
    <cellStyle name="Calculation 12 24 6" xfId="1614"/>
    <cellStyle name="Calculation 12 25" xfId="1615"/>
    <cellStyle name="Calculation 12 25 2" xfId="1616"/>
    <cellStyle name="Calculation 12 25 3" xfId="1617"/>
    <cellStyle name="Calculation 12 25 4" xfId="1618"/>
    <cellStyle name="Calculation 12 25 5" xfId="1619"/>
    <cellStyle name="Calculation 12 25 6" xfId="1620"/>
    <cellStyle name="Calculation 12 26" xfId="1621"/>
    <cellStyle name="Calculation 12 26 2" xfId="1622"/>
    <cellStyle name="Calculation 12 26 3" xfId="1623"/>
    <cellStyle name="Calculation 12 26 4" xfId="1624"/>
    <cellStyle name="Calculation 12 26 5" xfId="1625"/>
    <cellStyle name="Calculation 12 26 6" xfId="1626"/>
    <cellStyle name="Calculation 12 27" xfId="1627"/>
    <cellStyle name="Calculation 12 27 2" xfId="1628"/>
    <cellStyle name="Calculation 12 27 3" xfId="1629"/>
    <cellStyle name="Calculation 12 27 4" xfId="1630"/>
    <cellStyle name="Calculation 12 27 5" xfId="1631"/>
    <cellStyle name="Calculation 12 27 6" xfId="1632"/>
    <cellStyle name="Calculation 12 28" xfId="1633"/>
    <cellStyle name="Calculation 12 28 2" xfId="1634"/>
    <cellStyle name="Calculation 12 28 3" xfId="1635"/>
    <cellStyle name="Calculation 12 28 4" xfId="1636"/>
    <cellStyle name="Calculation 12 28 5" xfId="1637"/>
    <cellStyle name="Calculation 12 28 6" xfId="1638"/>
    <cellStyle name="Calculation 12 29" xfId="1639"/>
    <cellStyle name="Calculation 12 29 2" xfId="1640"/>
    <cellStyle name="Calculation 12 29 3" xfId="1641"/>
    <cellStyle name="Calculation 12 29 4" xfId="1642"/>
    <cellStyle name="Calculation 12 3" xfId="1643"/>
    <cellStyle name="Calculation 12 3 2" xfId="1644"/>
    <cellStyle name="Calculation 12 3 3" xfId="1645"/>
    <cellStyle name="Calculation 12 3 4" xfId="1646"/>
    <cellStyle name="Calculation 12 3 5" xfId="1647"/>
    <cellStyle name="Calculation 12 3 6" xfId="1648"/>
    <cellStyle name="Calculation 12 30" xfId="1649"/>
    <cellStyle name="Calculation 12 31" xfId="1650"/>
    <cellStyle name="Calculation 12 32" xfId="1651"/>
    <cellStyle name="Calculation 12 33" xfId="1652"/>
    <cellStyle name="Calculation 12 34" xfId="1653"/>
    <cellStyle name="Calculation 12 35" xfId="1654"/>
    <cellStyle name="Calculation 12 36" xfId="1655"/>
    <cellStyle name="Calculation 12 37" xfId="1656"/>
    <cellStyle name="Calculation 12 38" xfId="1657"/>
    <cellStyle name="Calculation 12 39" xfId="1658"/>
    <cellStyle name="Calculation 12 4" xfId="1659"/>
    <cellStyle name="Calculation 12 4 2" xfId="1660"/>
    <cellStyle name="Calculation 12 4 3" xfId="1661"/>
    <cellStyle name="Calculation 12 4 4" xfId="1662"/>
    <cellStyle name="Calculation 12 4 5" xfId="1663"/>
    <cellStyle name="Calculation 12 4 6" xfId="1664"/>
    <cellStyle name="Calculation 12 40" xfId="1665"/>
    <cellStyle name="Calculation 12 41" xfId="1666"/>
    <cellStyle name="Calculation 12 42" xfId="1667"/>
    <cellStyle name="Calculation 12 43" xfId="1668"/>
    <cellStyle name="Calculation 12 44" xfId="1669"/>
    <cellStyle name="Calculation 12 45" xfId="1670"/>
    <cellStyle name="Calculation 12 46" xfId="1671"/>
    <cellStyle name="Calculation 12 47" xfId="1672"/>
    <cellStyle name="Calculation 12 48" xfId="1673"/>
    <cellStyle name="Calculation 12 49" xfId="1674"/>
    <cellStyle name="Calculation 12 5" xfId="1675"/>
    <cellStyle name="Calculation 12 5 2" xfId="1676"/>
    <cellStyle name="Calculation 12 5 3" xfId="1677"/>
    <cellStyle name="Calculation 12 5 4" xfId="1678"/>
    <cellStyle name="Calculation 12 5 5" xfId="1679"/>
    <cellStyle name="Calculation 12 5 6" xfId="1680"/>
    <cellStyle name="Calculation 12 50" xfId="1681"/>
    <cellStyle name="Calculation 12 51" xfId="1682"/>
    <cellStyle name="Calculation 12 52" xfId="1683"/>
    <cellStyle name="Calculation 12 53" xfId="1684"/>
    <cellStyle name="Calculation 12 54" xfId="1685"/>
    <cellStyle name="Calculation 12 55" xfId="1686"/>
    <cellStyle name="Calculation 12 56" xfId="1687"/>
    <cellStyle name="Calculation 12 57" xfId="1688"/>
    <cellStyle name="Calculation 12 58" xfId="1689"/>
    <cellStyle name="Calculation 12 59" xfId="1690"/>
    <cellStyle name="Calculation 12 6" xfId="1691"/>
    <cellStyle name="Calculation 12 6 2" xfId="1692"/>
    <cellStyle name="Calculation 12 6 3" xfId="1693"/>
    <cellStyle name="Calculation 12 6 4" xfId="1694"/>
    <cellStyle name="Calculation 12 6 5" xfId="1695"/>
    <cellStyle name="Calculation 12 6 6" xfId="1696"/>
    <cellStyle name="Calculation 12 60" xfId="1697"/>
    <cellStyle name="Calculation 12 61" xfId="1698"/>
    <cellStyle name="Calculation 12 62" xfId="1699"/>
    <cellStyle name="Calculation 12 63" xfId="1700"/>
    <cellStyle name="Calculation 12 64" xfId="1701"/>
    <cellStyle name="Calculation 12 65" xfId="1702"/>
    <cellStyle name="Calculation 12 66" xfId="1703"/>
    <cellStyle name="Calculation 12 7" xfId="1704"/>
    <cellStyle name="Calculation 12 7 2" xfId="1705"/>
    <cellStyle name="Calculation 12 7 3" xfId="1706"/>
    <cellStyle name="Calculation 12 7 4" xfId="1707"/>
    <cellStyle name="Calculation 12 7 5" xfId="1708"/>
    <cellStyle name="Calculation 12 7 6" xfId="1709"/>
    <cellStyle name="Calculation 12 8" xfId="1710"/>
    <cellStyle name="Calculation 12 8 2" xfId="1711"/>
    <cellStyle name="Calculation 12 8 3" xfId="1712"/>
    <cellStyle name="Calculation 12 8 4" xfId="1713"/>
    <cellStyle name="Calculation 12 8 5" xfId="1714"/>
    <cellStyle name="Calculation 12 8 6" xfId="1715"/>
    <cellStyle name="Calculation 12 9" xfId="1716"/>
    <cellStyle name="Calculation 12 9 2" xfId="1717"/>
    <cellStyle name="Calculation 12 9 3" xfId="1718"/>
    <cellStyle name="Calculation 12 9 4" xfId="1719"/>
    <cellStyle name="Calculation 12 9 5" xfId="1720"/>
    <cellStyle name="Calculation 12 9 6" xfId="1721"/>
    <cellStyle name="Calculation 2" xfId="1722"/>
    <cellStyle name="Calculation 2 10" xfId="1723"/>
    <cellStyle name="Calculation 2 10 2" xfId="1724"/>
    <cellStyle name="Calculation 2 10 3" xfId="1725"/>
    <cellStyle name="Calculation 2 10 4" xfId="1726"/>
    <cellStyle name="Calculation 2 10 5" xfId="1727"/>
    <cellStyle name="Calculation 2 10 6" xfId="1728"/>
    <cellStyle name="Calculation 2 11" xfId="1729"/>
    <cellStyle name="Calculation 2 11 2" xfId="1730"/>
    <cellStyle name="Calculation 2 11 3" xfId="1731"/>
    <cellStyle name="Calculation 2 11 4" xfId="1732"/>
    <cellStyle name="Calculation 2 11 5" xfId="1733"/>
    <cellStyle name="Calculation 2 11 6" xfId="1734"/>
    <cellStyle name="Calculation 2 12" xfId="1735"/>
    <cellStyle name="Calculation 2 12 2" xfId="1736"/>
    <cellStyle name="Calculation 2 12 3" xfId="1737"/>
    <cellStyle name="Calculation 2 12 4" xfId="1738"/>
    <cellStyle name="Calculation 2 12 5" xfId="1739"/>
    <cellStyle name="Calculation 2 12 6" xfId="1740"/>
    <cellStyle name="Calculation 2 13" xfId="1741"/>
    <cellStyle name="Calculation 2 13 2" xfId="1742"/>
    <cellStyle name="Calculation 2 13 3" xfId="1743"/>
    <cellStyle name="Calculation 2 13 4" xfId="1744"/>
    <cellStyle name="Calculation 2 13 5" xfId="1745"/>
    <cellStyle name="Calculation 2 13 6" xfId="1746"/>
    <cellStyle name="Calculation 2 14" xfId="1747"/>
    <cellStyle name="Calculation 2 14 2" xfId="1748"/>
    <cellStyle name="Calculation 2 14 3" xfId="1749"/>
    <cellStyle name="Calculation 2 14 4" xfId="1750"/>
    <cellStyle name="Calculation 2 14 5" xfId="1751"/>
    <cellStyle name="Calculation 2 14 6" xfId="1752"/>
    <cellStyle name="Calculation 2 15" xfId="1753"/>
    <cellStyle name="Calculation 2 15 2" xfId="1754"/>
    <cellStyle name="Calculation 2 15 3" xfId="1755"/>
    <cellStyle name="Calculation 2 15 4" xfId="1756"/>
    <cellStyle name="Calculation 2 15 5" xfId="1757"/>
    <cellStyle name="Calculation 2 15 6" xfId="1758"/>
    <cellStyle name="Calculation 2 16" xfId="1759"/>
    <cellStyle name="Calculation 2 16 2" xfId="1760"/>
    <cellStyle name="Calculation 2 16 3" xfId="1761"/>
    <cellStyle name="Calculation 2 16 4" xfId="1762"/>
    <cellStyle name="Calculation 2 16 5" xfId="1763"/>
    <cellStyle name="Calculation 2 16 6" xfId="1764"/>
    <cellStyle name="Calculation 2 17" xfId="1765"/>
    <cellStyle name="Calculation 2 17 2" xfId="1766"/>
    <cellStyle name="Calculation 2 17 3" xfId="1767"/>
    <cellStyle name="Calculation 2 17 4" xfId="1768"/>
    <cellStyle name="Calculation 2 17 5" xfId="1769"/>
    <cellStyle name="Calculation 2 17 6" xfId="1770"/>
    <cellStyle name="Calculation 2 18" xfId="1771"/>
    <cellStyle name="Calculation 2 18 2" xfId="1772"/>
    <cellStyle name="Calculation 2 18 3" xfId="1773"/>
    <cellStyle name="Calculation 2 18 4" xfId="1774"/>
    <cellStyle name="Calculation 2 18 5" xfId="1775"/>
    <cellStyle name="Calculation 2 18 6" xfId="1776"/>
    <cellStyle name="Calculation 2 19" xfId="1777"/>
    <cellStyle name="Calculation 2 19 2" xfId="1778"/>
    <cellStyle name="Calculation 2 19 3" xfId="1779"/>
    <cellStyle name="Calculation 2 19 4" xfId="1780"/>
    <cellStyle name="Calculation 2 19 5" xfId="1781"/>
    <cellStyle name="Calculation 2 19 6" xfId="1782"/>
    <cellStyle name="Calculation 2 2" xfId="1783"/>
    <cellStyle name="Calculation 2 2 10" xfId="1784"/>
    <cellStyle name="Calculation 2 2 2" xfId="1785"/>
    <cellStyle name="Calculation 2 2 2 2" xfId="1786"/>
    <cellStyle name="Calculation 2 2 2 3" xfId="1787"/>
    <cellStyle name="Calculation 2 2 2 4" xfId="1788"/>
    <cellStyle name="Calculation 2 2 2 5" xfId="1789"/>
    <cellStyle name="Calculation 2 2 2 6" xfId="1790"/>
    <cellStyle name="Calculation 2 2 3" xfId="1791"/>
    <cellStyle name="Calculation 2 2 3 2" xfId="1792"/>
    <cellStyle name="Calculation 2 2 3 3" xfId="1793"/>
    <cellStyle name="Calculation 2 2 3 4" xfId="1794"/>
    <cellStyle name="Calculation 2 2 3 5" xfId="1795"/>
    <cellStyle name="Calculation 2 2 3 6" xfId="1796"/>
    <cellStyle name="Calculation 2 2 4" xfId="1797"/>
    <cellStyle name="Calculation 2 2 4 2" xfId="1798"/>
    <cellStyle name="Calculation 2 2 4 3" xfId="1799"/>
    <cellStyle name="Calculation 2 2 4 4" xfId="1800"/>
    <cellStyle name="Calculation 2 2 4 5" xfId="1801"/>
    <cellStyle name="Calculation 2 2 4 6" xfId="1802"/>
    <cellStyle name="Calculation 2 2 5" xfId="1803"/>
    <cellStyle name="Calculation 2 2 5 2" xfId="1804"/>
    <cellStyle name="Calculation 2 2 5 3" xfId="1805"/>
    <cellStyle name="Calculation 2 2 5 4" xfId="1806"/>
    <cellStyle name="Calculation 2 2 5 5" xfId="1807"/>
    <cellStyle name="Calculation 2 2 5 6" xfId="1808"/>
    <cellStyle name="Calculation 2 2 6" xfId="1809"/>
    <cellStyle name="Calculation 2 2 7" xfId="1810"/>
    <cellStyle name="Calculation 2 2 8" xfId="1811"/>
    <cellStyle name="Calculation 2 2 9" xfId="1812"/>
    <cellStyle name="Calculation 2 20" xfId="1813"/>
    <cellStyle name="Calculation 2 20 2" xfId="1814"/>
    <cellStyle name="Calculation 2 20 3" xfId="1815"/>
    <cellStyle name="Calculation 2 20 4" xfId="1816"/>
    <cellStyle name="Calculation 2 20 5" xfId="1817"/>
    <cellStyle name="Calculation 2 20 6" xfId="1818"/>
    <cellStyle name="Calculation 2 21" xfId="1819"/>
    <cellStyle name="Calculation 2 21 2" xfId="1820"/>
    <cellStyle name="Calculation 2 21 3" xfId="1821"/>
    <cellStyle name="Calculation 2 21 4" xfId="1822"/>
    <cellStyle name="Calculation 2 21 5" xfId="1823"/>
    <cellStyle name="Calculation 2 21 6" xfId="1824"/>
    <cellStyle name="Calculation 2 22" xfId="1825"/>
    <cellStyle name="Calculation 2 22 2" xfId="1826"/>
    <cellStyle name="Calculation 2 22 3" xfId="1827"/>
    <cellStyle name="Calculation 2 22 4" xfId="1828"/>
    <cellStyle name="Calculation 2 22 5" xfId="1829"/>
    <cellStyle name="Calculation 2 22 6" xfId="1830"/>
    <cellStyle name="Calculation 2 23" xfId="1831"/>
    <cellStyle name="Calculation 2 23 2" xfId="1832"/>
    <cellStyle name="Calculation 2 23 3" xfId="1833"/>
    <cellStyle name="Calculation 2 23 4" xfId="1834"/>
    <cellStyle name="Calculation 2 23 5" xfId="1835"/>
    <cellStyle name="Calculation 2 23 6" xfId="1836"/>
    <cellStyle name="Calculation 2 24" xfId="1837"/>
    <cellStyle name="Calculation 2 24 2" xfId="1838"/>
    <cellStyle name="Calculation 2 24 3" xfId="1839"/>
    <cellStyle name="Calculation 2 24 4" xfId="1840"/>
    <cellStyle name="Calculation 2 24 5" xfId="1841"/>
    <cellStyle name="Calculation 2 24 6" xfId="1842"/>
    <cellStyle name="Calculation 2 25" xfId="1843"/>
    <cellStyle name="Calculation 2 25 2" xfId="1844"/>
    <cellStyle name="Calculation 2 25 3" xfId="1845"/>
    <cellStyle name="Calculation 2 25 4" xfId="1846"/>
    <cellStyle name="Calculation 2 25 5" xfId="1847"/>
    <cellStyle name="Calculation 2 25 6" xfId="1848"/>
    <cellStyle name="Calculation 2 26" xfId="1849"/>
    <cellStyle name="Calculation 2 26 2" xfId="1850"/>
    <cellStyle name="Calculation 2 26 3" xfId="1851"/>
    <cellStyle name="Calculation 2 26 4" xfId="1852"/>
    <cellStyle name="Calculation 2 26 5" xfId="1853"/>
    <cellStyle name="Calculation 2 26 6" xfId="1854"/>
    <cellStyle name="Calculation 2 27" xfId="1855"/>
    <cellStyle name="Calculation 2 27 2" xfId="1856"/>
    <cellStyle name="Calculation 2 27 3" xfId="1857"/>
    <cellStyle name="Calculation 2 27 4" xfId="1858"/>
    <cellStyle name="Calculation 2 27 5" xfId="1859"/>
    <cellStyle name="Calculation 2 27 6" xfId="1860"/>
    <cellStyle name="Calculation 2 28" xfId="1861"/>
    <cellStyle name="Calculation 2 28 2" xfId="1862"/>
    <cellStyle name="Calculation 2 28 3" xfId="1863"/>
    <cellStyle name="Calculation 2 28 4" xfId="1864"/>
    <cellStyle name="Calculation 2 28 5" xfId="1865"/>
    <cellStyle name="Calculation 2 28 6" xfId="1866"/>
    <cellStyle name="Calculation 2 29" xfId="1867"/>
    <cellStyle name="Calculation 2 29 2" xfId="1868"/>
    <cellStyle name="Calculation 2 29 3" xfId="1869"/>
    <cellStyle name="Calculation 2 29 4" xfId="1870"/>
    <cellStyle name="Calculation 2 3" xfId="1871"/>
    <cellStyle name="Calculation 2 3 2" xfId="1872"/>
    <cellStyle name="Calculation 2 3 3" xfId="1873"/>
    <cellStyle name="Calculation 2 3 4" xfId="1874"/>
    <cellStyle name="Calculation 2 3 5" xfId="1875"/>
    <cellStyle name="Calculation 2 3 6" xfId="1876"/>
    <cellStyle name="Calculation 2 30" xfId="1877"/>
    <cellStyle name="Calculation 2 31" xfId="1878"/>
    <cellStyle name="Calculation 2 32" xfId="1879"/>
    <cellStyle name="Calculation 2 33" xfId="1880"/>
    <cellStyle name="Calculation 2 34" xfId="1881"/>
    <cellStyle name="Calculation 2 35" xfId="1882"/>
    <cellStyle name="Calculation 2 36" xfId="1883"/>
    <cellStyle name="Calculation 2 37" xfId="1884"/>
    <cellStyle name="Calculation 2 38" xfId="1885"/>
    <cellStyle name="Calculation 2 39" xfId="1886"/>
    <cellStyle name="Calculation 2 4" xfId="1887"/>
    <cellStyle name="Calculation 2 4 2" xfId="1888"/>
    <cellStyle name="Calculation 2 4 3" xfId="1889"/>
    <cellStyle name="Calculation 2 4 4" xfId="1890"/>
    <cellStyle name="Calculation 2 4 5" xfId="1891"/>
    <cellStyle name="Calculation 2 4 6" xfId="1892"/>
    <cellStyle name="Calculation 2 40" xfId="1893"/>
    <cellStyle name="Calculation 2 41" xfId="1894"/>
    <cellStyle name="Calculation 2 42" xfId="1895"/>
    <cellStyle name="Calculation 2 43" xfId="1896"/>
    <cellStyle name="Calculation 2 44" xfId="1897"/>
    <cellStyle name="Calculation 2 45" xfId="1898"/>
    <cellStyle name="Calculation 2 46" xfId="1899"/>
    <cellStyle name="Calculation 2 47" xfId="1900"/>
    <cellStyle name="Calculation 2 48" xfId="1901"/>
    <cellStyle name="Calculation 2 49" xfId="1902"/>
    <cellStyle name="Calculation 2 5" xfId="1903"/>
    <cellStyle name="Calculation 2 5 2" xfId="1904"/>
    <cellStyle name="Calculation 2 5 3" xfId="1905"/>
    <cellStyle name="Calculation 2 5 4" xfId="1906"/>
    <cellStyle name="Calculation 2 5 5" xfId="1907"/>
    <cellStyle name="Calculation 2 5 6" xfId="1908"/>
    <cellStyle name="Calculation 2 50" xfId="1909"/>
    <cellStyle name="Calculation 2 51" xfId="1910"/>
    <cellStyle name="Calculation 2 52" xfId="1911"/>
    <cellStyle name="Calculation 2 53" xfId="1912"/>
    <cellStyle name="Calculation 2 54" xfId="1913"/>
    <cellStyle name="Calculation 2 55" xfId="1914"/>
    <cellStyle name="Calculation 2 56" xfId="1915"/>
    <cellStyle name="Calculation 2 57" xfId="1916"/>
    <cellStyle name="Calculation 2 58" xfId="1917"/>
    <cellStyle name="Calculation 2 59" xfId="1918"/>
    <cellStyle name="Calculation 2 6" xfId="1919"/>
    <cellStyle name="Calculation 2 6 2" xfId="1920"/>
    <cellStyle name="Calculation 2 6 3" xfId="1921"/>
    <cellStyle name="Calculation 2 6 4" xfId="1922"/>
    <cellStyle name="Calculation 2 6 5" xfId="1923"/>
    <cellStyle name="Calculation 2 6 6" xfId="1924"/>
    <cellStyle name="Calculation 2 60" xfId="1925"/>
    <cellStyle name="Calculation 2 61" xfId="1926"/>
    <cellStyle name="Calculation 2 62" xfId="1927"/>
    <cellStyle name="Calculation 2 63" xfId="1928"/>
    <cellStyle name="Calculation 2 64" xfId="1929"/>
    <cellStyle name="Calculation 2 65" xfId="1930"/>
    <cellStyle name="Calculation 2 66" xfId="1931"/>
    <cellStyle name="Calculation 2 7" xfId="1932"/>
    <cellStyle name="Calculation 2 7 2" xfId="1933"/>
    <cellStyle name="Calculation 2 7 3" xfId="1934"/>
    <cellStyle name="Calculation 2 7 4" xfId="1935"/>
    <cellStyle name="Calculation 2 7 5" xfId="1936"/>
    <cellStyle name="Calculation 2 7 6" xfId="1937"/>
    <cellStyle name="Calculation 2 8" xfId="1938"/>
    <cellStyle name="Calculation 2 8 2" xfId="1939"/>
    <cellStyle name="Calculation 2 8 3" xfId="1940"/>
    <cellStyle name="Calculation 2 8 4" xfId="1941"/>
    <cellStyle name="Calculation 2 8 5" xfId="1942"/>
    <cellStyle name="Calculation 2 8 6" xfId="1943"/>
    <cellStyle name="Calculation 2 9" xfId="1944"/>
    <cellStyle name="Calculation 2 9 2" xfId="1945"/>
    <cellStyle name="Calculation 2 9 3" xfId="1946"/>
    <cellStyle name="Calculation 2 9 4" xfId="1947"/>
    <cellStyle name="Calculation 2 9 5" xfId="1948"/>
    <cellStyle name="Calculation 2 9 6" xfId="1949"/>
    <cellStyle name="Calculation 3" xfId="1950"/>
    <cellStyle name="Calculation 3 10" xfId="1951"/>
    <cellStyle name="Calculation 3 10 2" xfId="1952"/>
    <cellStyle name="Calculation 3 10 3" xfId="1953"/>
    <cellStyle name="Calculation 3 10 4" xfId="1954"/>
    <cellStyle name="Calculation 3 10 5" xfId="1955"/>
    <cellStyle name="Calculation 3 10 6" xfId="1956"/>
    <cellStyle name="Calculation 3 11" xfId="1957"/>
    <cellStyle name="Calculation 3 11 2" xfId="1958"/>
    <cellStyle name="Calculation 3 11 3" xfId="1959"/>
    <cellStyle name="Calculation 3 11 4" xfId="1960"/>
    <cellStyle name="Calculation 3 11 5" xfId="1961"/>
    <cellStyle name="Calculation 3 11 6" xfId="1962"/>
    <cellStyle name="Calculation 3 12" xfId="1963"/>
    <cellStyle name="Calculation 3 12 2" xfId="1964"/>
    <cellStyle name="Calculation 3 12 3" xfId="1965"/>
    <cellStyle name="Calculation 3 12 4" xfId="1966"/>
    <cellStyle name="Calculation 3 12 5" xfId="1967"/>
    <cellStyle name="Calculation 3 12 6" xfId="1968"/>
    <cellStyle name="Calculation 3 13" xfId="1969"/>
    <cellStyle name="Calculation 3 13 2" xfId="1970"/>
    <cellStyle name="Calculation 3 13 3" xfId="1971"/>
    <cellStyle name="Calculation 3 13 4" xfId="1972"/>
    <cellStyle name="Calculation 3 13 5" xfId="1973"/>
    <cellStyle name="Calculation 3 13 6" xfId="1974"/>
    <cellStyle name="Calculation 3 14" xfId="1975"/>
    <cellStyle name="Calculation 3 14 2" xfId="1976"/>
    <cellStyle name="Calculation 3 14 3" xfId="1977"/>
    <cellStyle name="Calculation 3 14 4" xfId="1978"/>
    <cellStyle name="Calculation 3 14 5" xfId="1979"/>
    <cellStyle name="Calculation 3 14 6" xfId="1980"/>
    <cellStyle name="Calculation 3 15" xfId="1981"/>
    <cellStyle name="Calculation 3 15 2" xfId="1982"/>
    <cellStyle name="Calculation 3 15 3" xfId="1983"/>
    <cellStyle name="Calculation 3 15 4" xfId="1984"/>
    <cellStyle name="Calculation 3 15 5" xfId="1985"/>
    <cellStyle name="Calculation 3 15 6" xfId="1986"/>
    <cellStyle name="Calculation 3 16" xfId="1987"/>
    <cellStyle name="Calculation 3 16 2" xfId="1988"/>
    <cellStyle name="Calculation 3 16 3" xfId="1989"/>
    <cellStyle name="Calculation 3 16 4" xfId="1990"/>
    <cellStyle name="Calculation 3 16 5" xfId="1991"/>
    <cellStyle name="Calculation 3 16 6" xfId="1992"/>
    <cellStyle name="Calculation 3 17" xfId="1993"/>
    <cellStyle name="Calculation 3 17 2" xfId="1994"/>
    <cellStyle name="Calculation 3 17 3" xfId="1995"/>
    <cellStyle name="Calculation 3 17 4" xfId="1996"/>
    <cellStyle name="Calculation 3 17 5" xfId="1997"/>
    <cellStyle name="Calculation 3 17 6" xfId="1998"/>
    <cellStyle name="Calculation 3 18" xfId="1999"/>
    <cellStyle name="Calculation 3 18 2" xfId="2000"/>
    <cellStyle name="Calculation 3 18 3" xfId="2001"/>
    <cellStyle name="Calculation 3 18 4" xfId="2002"/>
    <cellStyle name="Calculation 3 18 5" xfId="2003"/>
    <cellStyle name="Calculation 3 18 6" xfId="2004"/>
    <cellStyle name="Calculation 3 19" xfId="2005"/>
    <cellStyle name="Calculation 3 19 2" xfId="2006"/>
    <cellStyle name="Calculation 3 19 3" xfId="2007"/>
    <cellStyle name="Calculation 3 19 4" xfId="2008"/>
    <cellStyle name="Calculation 3 19 5" xfId="2009"/>
    <cellStyle name="Calculation 3 19 6" xfId="2010"/>
    <cellStyle name="Calculation 3 2" xfId="2011"/>
    <cellStyle name="Calculation 3 2 10" xfId="2012"/>
    <cellStyle name="Calculation 3 2 2" xfId="2013"/>
    <cellStyle name="Calculation 3 2 2 2" xfId="2014"/>
    <cellStyle name="Calculation 3 2 2 3" xfId="2015"/>
    <cellStyle name="Calculation 3 2 2 4" xfId="2016"/>
    <cellStyle name="Calculation 3 2 2 5" xfId="2017"/>
    <cellStyle name="Calculation 3 2 2 6" xfId="2018"/>
    <cellStyle name="Calculation 3 2 3" xfId="2019"/>
    <cellStyle name="Calculation 3 2 3 2" xfId="2020"/>
    <cellStyle name="Calculation 3 2 3 3" xfId="2021"/>
    <cellStyle name="Calculation 3 2 3 4" xfId="2022"/>
    <cellStyle name="Calculation 3 2 3 5" xfId="2023"/>
    <cellStyle name="Calculation 3 2 3 6" xfId="2024"/>
    <cellStyle name="Calculation 3 2 4" xfId="2025"/>
    <cellStyle name="Calculation 3 2 4 2" xfId="2026"/>
    <cellStyle name="Calculation 3 2 4 3" xfId="2027"/>
    <cellStyle name="Calculation 3 2 4 4" xfId="2028"/>
    <cellStyle name="Calculation 3 2 4 5" xfId="2029"/>
    <cellStyle name="Calculation 3 2 4 6" xfId="2030"/>
    <cellStyle name="Calculation 3 2 5" xfId="2031"/>
    <cellStyle name="Calculation 3 2 5 2" xfId="2032"/>
    <cellStyle name="Calculation 3 2 5 3" xfId="2033"/>
    <cellStyle name="Calculation 3 2 5 4" xfId="2034"/>
    <cellStyle name="Calculation 3 2 5 5" xfId="2035"/>
    <cellStyle name="Calculation 3 2 5 6" xfId="2036"/>
    <cellStyle name="Calculation 3 2 6" xfId="2037"/>
    <cellStyle name="Calculation 3 2 7" xfId="2038"/>
    <cellStyle name="Calculation 3 2 8" xfId="2039"/>
    <cellStyle name="Calculation 3 2 9" xfId="2040"/>
    <cellStyle name="Calculation 3 20" xfId="2041"/>
    <cellStyle name="Calculation 3 20 2" xfId="2042"/>
    <cellStyle name="Calculation 3 20 3" xfId="2043"/>
    <cellStyle name="Calculation 3 20 4" xfId="2044"/>
    <cellStyle name="Calculation 3 20 5" xfId="2045"/>
    <cellStyle name="Calculation 3 20 6" xfId="2046"/>
    <cellStyle name="Calculation 3 21" xfId="2047"/>
    <cellStyle name="Calculation 3 21 2" xfId="2048"/>
    <cellStyle name="Calculation 3 21 3" xfId="2049"/>
    <cellStyle name="Calculation 3 21 4" xfId="2050"/>
    <cellStyle name="Calculation 3 21 5" xfId="2051"/>
    <cellStyle name="Calculation 3 21 6" xfId="2052"/>
    <cellStyle name="Calculation 3 22" xfId="2053"/>
    <cellStyle name="Calculation 3 22 2" xfId="2054"/>
    <cellStyle name="Calculation 3 22 3" xfId="2055"/>
    <cellStyle name="Calculation 3 22 4" xfId="2056"/>
    <cellStyle name="Calculation 3 22 5" xfId="2057"/>
    <cellStyle name="Calculation 3 22 6" xfId="2058"/>
    <cellStyle name="Calculation 3 23" xfId="2059"/>
    <cellStyle name="Calculation 3 23 2" xfId="2060"/>
    <cellStyle name="Calculation 3 23 3" xfId="2061"/>
    <cellStyle name="Calculation 3 23 4" xfId="2062"/>
    <cellStyle name="Calculation 3 23 5" xfId="2063"/>
    <cellStyle name="Calculation 3 23 6" xfId="2064"/>
    <cellStyle name="Calculation 3 24" xfId="2065"/>
    <cellStyle name="Calculation 3 24 2" xfId="2066"/>
    <cellStyle name="Calculation 3 24 3" xfId="2067"/>
    <cellStyle name="Calculation 3 24 4" xfId="2068"/>
    <cellStyle name="Calculation 3 24 5" xfId="2069"/>
    <cellStyle name="Calculation 3 24 6" xfId="2070"/>
    <cellStyle name="Calculation 3 25" xfId="2071"/>
    <cellStyle name="Calculation 3 25 2" xfId="2072"/>
    <cellStyle name="Calculation 3 25 3" xfId="2073"/>
    <cellStyle name="Calculation 3 25 4" xfId="2074"/>
    <cellStyle name="Calculation 3 25 5" xfId="2075"/>
    <cellStyle name="Calculation 3 25 6" xfId="2076"/>
    <cellStyle name="Calculation 3 26" xfId="2077"/>
    <cellStyle name="Calculation 3 26 2" xfId="2078"/>
    <cellStyle name="Calculation 3 26 3" xfId="2079"/>
    <cellStyle name="Calculation 3 26 4" xfId="2080"/>
    <cellStyle name="Calculation 3 26 5" xfId="2081"/>
    <cellStyle name="Calculation 3 26 6" xfId="2082"/>
    <cellStyle name="Calculation 3 27" xfId="2083"/>
    <cellStyle name="Calculation 3 27 2" xfId="2084"/>
    <cellStyle name="Calculation 3 27 3" xfId="2085"/>
    <cellStyle name="Calculation 3 27 4" xfId="2086"/>
    <cellStyle name="Calculation 3 27 5" xfId="2087"/>
    <cellStyle name="Calculation 3 27 6" xfId="2088"/>
    <cellStyle name="Calculation 3 28" xfId="2089"/>
    <cellStyle name="Calculation 3 28 2" xfId="2090"/>
    <cellStyle name="Calculation 3 28 3" xfId="2091"/>
    <cellStyle name="Calculation 3 28 4" xfId="2092"/>
    <cellStyle name="Calculation 3 28 5" xfId="2093"/>
    <cellStyle name="Calculation 3 28 6" xfId="2094"/>
    <cellStyle name="Calculation 3 29" xfId="2095"/>
    <cellStyle name="Calculation 3 29 2" xfId="2096"/>
    <cellStyle name="Calculation 3 29 3" xfId="2097"/>
    <cellStyle name="Calculation 3 29 4" xfId="2098"/>
    <cellStyle name="Calculation 3 3" xfId="2099"/>
    <cellStyle name="Calculation 3 3 2" xfId="2100"/>
    <cellStyle name="Calculation 3 3 3" xfId="2101"/>
    <cellStyle name="Calculation 3 3 4" xfId="2102"/>
    <cellStyle name="Calculation 3 3 5" xfId="2103"/>
    <cellStyle name="Calculation 3 3 6" xfId="2104"/>
    <cellStyle name="Calculation 3 30" xfId="2105"/>
    <cellStyle name="Calculation 3 31" xfId="2106"/>
    <cellStyle name="Calculation 3 32" xfId="2107"/>
    <cellStyle name="Calculation 3 33" xfId="2108"/>
    <cellStyle name="Calculation 3 34" xfId="2109"/>
    <cellStyle name="Calculation 3 35" xfId="2110"/>
    <cellStyle name="Calculation 3 36" xfId="2111"/>
    <cellStyle name="Calculation 3 37" xfId="2112"/>
    <cellStyle name="Calculation 3 38" xfId="2113"/>
    <cellStyle name="Calculation 3 39" xfId="2114"/>
    <cellStyle name="Calculation 3 4" xfId="2115"/>
    <cellStyle name="Calculation 3 4 2" xfId="2116"/>
    <cellStyle name="Calculation 3 4 3" xfId="2117"/>
    <cellStyle name="Calculation 3 4 4" xfId="2118"/>
    <cellStyle name="Calculation 3 4 5" xfId="2119"/>
    <cellStyle name="Calculation 3 4 6" xfId="2120"/>
    <cellStyle name="Calculation 3 40" xfId="2121"/>
    <cellStyle name="Calculation 3 41" xfId="2122"/>
    <cellStyle name="Calculation 3 42" xfId="2123"/>
    <cellStyle name="Calculation 3 43" xfId="2124"/>
    <cellStyle name="Calculation 3 44" xfId="2125"/>
    <cellStyle name="Calculation 3 45" xfId="2126"/>
    <cellStyle name="Calculation 3 46" xfId="2127"/>
    <cellStyle name="Calculation 3 47" xfId="2128"/>
    <cellStyle name="Calculation 3 48" xfId="2129"/>
    <cellStyle name="Calculation 3 49" xfId="2130"/>
    <cellStyle name="Calculation 3 5" xfId="2131"/>
    <cellStyle name="Calculation 3 5 2" xfId="2132"/>
    <cellStyle name="Calculation 3 5 3" xfId="2133"/>
    <cellStyle name="Calculation 3 5 4" xfId="2134"/>
    <cellStyle name="Calculation 3 5 5" xfId="2135"/>
    <cellStyle name="Calculation 3 5 6" xfId="2136"/>
    <cellStyle name="Calculation 3 50" xfId="2137"/>
    <cellStyle name="Calculation 3 51" xfId="2138"/>
    <cellStyle name="Calculation 3 52" xfId="2139"/>
    <cellStyle name="Calculation 3 53" xfId="2140"/>
    <cellStyle name="Calculation 3 54" xfId="2141"/>
    <cellStyle name="Calculation 3 55" xfId="2142"/>
    <cellStyle name="Calculation 3 56" xfId="2143"/>
    <cellStyle name="Calculation 3 57" xfId="2144"/>
    <cellStyle name="Calculation 3 58" xfId="2145"/>
    <cellStyle name="Calculation 3 59" xfId="2146"/>
    <cellStyle name="Calculation 3 6" xfId="2147"/>
    <cellStyle name="Calculation 3 6 2" xfId="2148"/>
    <cellStyle name="Calculation 3 6 3" xfId="2149"/>
    <cellStyle name="Calculation 3 6 4" xfId="2150"/>
    <cellStyle name="Calculation 3 6 5" xfId="2151"/>
    <cellStyle name="Calculation 3 6 6" xfId="2152"/>
    <cellStyle name="Calculation 3 60" xfId="2153"/>
    <cellStyle name="Calculation 3 61" xfId="2154"/>
    <cellStyle name="Calculation 3 62" xfId="2155"/>
    <cellStyle name="Calculation 3 63" xfId="2156"/>
    <cellStyle name="Calculation 3 64" xfId="2157"/>
    <cellStyle name="Calculation 3 65" xfId="2158"/>
    <cellStyle name="Calculation 3 66" xfId="2159"/>
    <cellStyle name="Calculation 3 7" xfId="2160"/>
    <cellStyle name="Calculation 3 7 2" xfId="2161"/>
    <cellStyle name="Calculation 3 7 3" xfId="2162"/>
    <cellStyle name="Calculation 3 7 4" xfId="2163"/>
    <cellStyle name="Calculation 3 7 5" xfId="2164"/>
    <cellStyle name="Calculation 3 7 6" xfId="2165"/>
    <cellStyle name="Calculation 3 8" xfId="2166"/>
    <cellStyle name="Calculation 3 8 2" xfId="2167"/>
    <cellStyle name="Calculation 3 8 3" xfId="2168"/>
    <cellStyle name="Calculation 3 8 4" xfId="2169"/>
    <cellStyle name="Calculation 3 8 5" xfId="2170"/>
    <cellStyle name="Calculation 3 8 6" xfId="2171"/>
    <cellStyle name="Calculation 3 9" xfId="2172"/>
    <cellStyle name="Calculation 3 9 2" xfId="2173"/>
    <cellStyle name="Calculation 3 9 3" xfId="2174"/>
    <cellStyle name="Calculation 3 9 4" xfId="2175"/>
    <cellStyle name="Calculation 3 9 5" xfId="2176"/>
    <cellStyle name="Calculation 3 9 6" xfId="2177"/>
    <cellStyle name="Calculation 4" xfId="2178"/>
    <cellStyle name="Calculation 4 10" xfId="2179"/>
    <cellStyle name="Calculation 4 10 2" xfId="2180"/>
    <cellStyle name="Calculation 4 10 3" xfId="2181"/>
    <cellStyle name="Calculation 4 10 4" xfId="2182"/>
    <cellStyle name="Calculation 4 10 5" xfId="2183"/>
    <cellStyle name="Calculation 4 10 6" xfId="2184"/>
    <cellStyle name="Calculation 4 11" xfId="2185"/>
    <cellStyle name="Calculation 4 11 2" xfId="2186"/>
    <cellStyle name="Calculation 4 11 3" xfId="2187"/>
    <cellStyle name="Calculation 4 11 4" xfId="2188"/>
    <cellStyle name="Calculation 4 11 5" xfId="2189"/>
    <cellStyle name="Calculation 4 11 6" xfId="2190"/>
    <cellStyle name="Calculation 4 12" xfId="2191"/>
    <cellStyle name="Calculation 4 12 2" xfId="2192"/>
    <cellStyle name="Calculation 4 12 3" xfId="2193"/>
    <cellStyle name="Calculation 4 12 4" xfId="2194"/>
    <cellStyle name="Calculation 4 12 5" xfId="2195"/>
    <cellStyle name="Calculation 4 12 6" xfId="2196"/>
    <cellStyle name="Calculation 4 13" xfId="2197"/>
    <cellStyle name="Calculation 4 13 2" xfId="2198"/>
    <cellStyle name="Calculation 4 13 3" xfId="2199"/>
    <cellStyle name="Calculation 4 13 4" xfId="2200"/>
    <cellStyle name="Calculation 4 13 5" xfId="2201"/>
    <cellStyle name="Calculation 4 13 6" xfId="2202"/>
    <cellStyle name="Calculation 4 14" xfId="2203"/>
    <cellStyle name="Calculation 4 14 2" xfId="2204"/>
    <cellStyle name="Calculation 4 14 3" xfId="2205"/>
    <cellStyle name="Calculation 4 14 4" xfId="2206"/>
    <cellStyle name="Calculation 4 14 5" xfId="2207"/>
    <cellStyle name="Calculation 4 14 6" xfId="2208"/>
    <cellStyle name="Calculation 4 15" xfId="2209"/>
    <cellStyle name="Calculation 4 15 2" xfId="2210"/>
    <cellStyle name="Calculation 4 15 3" xfId="2211"/>
    <cellStyle name="Calculation 4 15 4" xfId="2212"/>
    <cellStyle name="Calculation 4 15 5" xfId="2213"/>
    <cellStyle name="Calculation 4 15 6" xfId="2214"/>
    <cellStyle name="Calculation 4 16" xfId="2215"/>
    <cellStyle name="Calculation 4 16 2" xfId="2216"/>
    <cellStyle name="Calculation 4 16 3" xfId="2217"/>
    <cellStyle name="Calculation 4 16 4" xfId="2218"/>
    <cellStyle name="Calculation 4 16 5" xfId="2219"/>
    <cellStyle name="Calculation 4 16 6" xfId="2220"/>
    <cellStyle name="Calculation 4 17" xfId="2221"/>
    <cellStyle name="Calculation 4 17 2" xfId="2222"/>
    <cellStyle name="Calculation 4 17 3" xfId="2223"/>
    <cellStyle name="Calculation 4 17 4" xfId="2224"/>
    <cellStyle name="Calculation 4 17 5" xfId="2225"/>
    <cellStyle name="Calculation 4 17 6" xfId="2226"/>
    <cellStyle name="Calculation 4 18" xfId="2227"/>
    <cellStyle name="Calculation 4 18 2" xfId="2228"/>
    <cellStyle name="Calculation 4 18 3" xfId="2229"/>
    <cellStyle name="Calculation 4 18 4" xfId="2230"/>
    <cellStyle name="Calculation 4 18 5" xfId="2231"/>
    <cellStyle name="Calculation 4 18 6" xfId="2232"/>
    <cellStyle name="Calculation 4 19" xfId="2233"/>
    <cellStyle name="Calculation 4 19 2" xfId="2234"/>
    <cellStyle name="Calculation 4 19 3" xfId="2235"/>
    <cellStyle name="Calculation 4 19 4" xfId="2236"/>
    <cellStyle name="Calculation 4 19 5" xfId="2237"/>
    <cellStyle name="Calculation 4 19 6" xfId="2238"/>
    <cellStyle name="Calculation 4 2" xfId="2239"/>
    <cellStyle name="Calculation 4 2 10" xfId="2240"/>
    <cellStyle name="Calculation 4 2 2" xfId="2241"/>
    <cellStyle name="Calculation 4 2 2 2" xfId="2242"/>
    <cellStyle name="Calculation 4 2 2 3" xfId="2243"/>
    <cellStyle name="Calculation 4 2 2 4" xfId="2244"/>
    <cellStyle name="Calculation 4 2 2 5" xfId="2245"/>
    <cellStyle name="Calculation 4 2 2 6" xfId="2246"/>
    <cellStyle name="Calculation 4 2 3" xfId="2247"/>
    <cellStyle name="Calculation 4 2 3 2" xfId="2248"/>
    <cellStyle name="Calculation 4 2 3 3" xfId="2249"/>
    <cellStyle name="Calculation 4 2 3 4" xfId="2250"/>
    <cellStyle name="Calculation 4 2 3 5" xfId="2251"/>
    <cellStyle name="Calculation 4 2 3 6" xfId="2252"/>
    <cellStyle name="Calculation 4 2 4" xfId="2253"/>
    <cellStyle name="Calculation 4 2 4 2" xfId="2254"/>
    <cellStyle name="Calculation 4 2 4 3" xfId="2255"/>
    <cellStyle name="Calculation 4 2 4 4" xfId="2256"/>
    <cellStyle name="Calculation 4 2 4 5" xfId="2257"/>
    <cellStyle name="Calculation 4 2 4 6" xfId="2258"/>
    <cellStyle name="Calculation 4 2 5" xfId="2259"/>
    <cellStyle name="Calculation 4 2 5 2" xfId="2260"/>
    <cellStyle name="Calculation 4 2 5 3" xfId="2261"/>
    <cellStyle name="Calculation 4 2 5 4" xfId="2262"/>
    <cellStyle name="Calculation 4 2 5 5" xfId="2263"/>
    <cellStyle name="Calculation 4 2 5 6" xfId="2264"/>
    <cellStyle name="Calculation 4 2 6" xfId="2265"/>
    <cellStyle name="Calculation 4 2 7" xfId="2266"/>
    <cellStyle name="Calculation 4 2 8" xfId="2267"/>
    <cellStyle name="Calculation 4 2 9" xfId="2268"/>
    <cellStyle name="Calculation 4 20" xfId="2269"/>
    <cellStyle name="Calculation 4 20 2" xfId="2270"/>
    <cellStyle name="Calculation 4 20 3" xfId="2271"/>
    <cellStyle name="Calculation 4 20 4" xfId="2272"/>
    <cellStyle name="Calculation 4 20 5" xfId="2273"/>
    <cellStyle name="Calculation 4 20 6" xfId="2274"/>
    <cellStyle name="Calculation 4 21" xfId="2275"/>
    <cellStyle name="Calculation 4 21 2" xfId="2276"/>
    <cellStyle name="Calculation 4 21 3" xfId="2277"/>
    <cellStyle name="Calculation 4 21 4" xfId="2278"/>
    <cellStyle name="Calculation 4 21 5" xfId="2279"/>
    <cellStyle name="Calculation 4 21 6" xfId="2280"/>
    <cellStyle name="Calculation 4 22" xfId="2281"/>
    <cellStyle name="Calculation 4 22 2" xfId="2282"/>
    <cellStyle name="Calculation 4 22 3" xfId="2283"/>
    <cellStyle name="Calculation 4 22 4" xfId="2284"/>
    <cellStyle name="Calculation 4 22 5" xfId="2285"/>
    <cellStyle name="Calculation 4 22 6" xfId="2286"/>
    <cellStyle name="Calculation 4 23" xfId="2287"/>
    <cellStyle name="Calculation 4 23 2" xfId="2288"/>
    <cellStyle name="Calculation 4 23 3" xfId="2289"/>
    <cellStyle name="Calculation 4 23 4" xfId="2290"/>
    <cellStyle name="Calculation 4 23 5" xfId="2291"/>
    <cellStyle name="Calculation 4 23 6" xfId="2292"/>
    <cellStyle name="Calculation 4 24" xfId="2293"/>
    <cellStyle name="Calculation 4 24 2" xfId="2294"/>
    <cellStyle name="Calculation 4 24 3" xfId="2295"/>
    <cellStyle name="Calculation 4 24 4" xfId="2296"/>
    <cellStyle name="Calculation 4 24 5" xfId="2297"/>
    <cellStyle name="Calculation 4 24 6" xfId="2298"/>
    <cellStyle name="Calculation 4 25" xfId="2299"/>
    <cellStyle name="Calculation 4 25 2" xfId="2300"/>
    <cellStyle name="Calculation 4 25 3" xfId="2301"/>
    <cellStyle name="Calculation 4 25 4" xfId="2302"/>
    <cellStyle name="Calculation 4 25 5" xfId="2303"/>
    <cellStyle name="Calculation 4 25 6" xfId="2304"/>
    <cellStyle name="Calculation 4 26" xfId="2305"/>
    <cellStyle name="Calculation 4 26 2" xfId="2306"/>
    <cellStyle name="Calculation 4 26 3" xfId="2307"/>
    <cellStyle name="Calculation 4 26 4" xfId="2308"/>
    <cellStyle name="Calculation 4 26 5" xfId="2309"/>
    <cellStyle name="Calculation 4 26 6" xfId="2310"/>
    <cellStyle name="Calculation 4 27" xfId="2311"/>
    <cellStyle name="Calculation 4 27 2" xfId="2312"/>
    <cellStyle name="Calculation 4 27 3" xfId="2313"/>
    <cellStyle name="Calculation 4 27 4" xfId="2314"/>
    <cellStyle name="Calculation 4 27 5" xfId="2315"/>
    <cellStyle name="Calculation 4 27 6" xfId="2316"/>
    <cellStyle name="Calculation 4 28" xfId="2317"/>
    <cellStyle name="Calculation 4 28 2" xfId="2318"/>
    <cellStyle name="Calculation 4 28 3" xfId="2319"/>
    <cellStyle name="Calculation 4 28 4" xfId="2320"/>
    <cellStyle name="Calculation 4 28 5" xfId="2321"/>
    <cellStyle name="Calculation 4 28 6" xfId="2322"/>
    <cellStyle name="Calculation 4 29" xfId="2323"/>
    <cellStyle name="Calculation 4 29 2" xfId="2324"/>
    <cellStyle name="Calculation 4 29 3" xfId="2325"/>
    <cellStyle name="Calculation 4 29 4" xfId="2326"/>
    <cellStyle name="Calculation 4 3" xfId="2327"/>
    <cellStyle name="Calculation 4 3 2" xfId="2328"/>
    <cellStyle name="Calculation 4 3 3" xfId="2329"/>
    <cellStyle name="Calculation 4 3 4" xfId="2330"/>
    <cellStyle name="Calculation 4 3 5" xfId="2331"/>
    <cellStyle name="Calculation 4 3 6" xfId="2332"/>
    <cellStyle name="Calculation 4 30" xfId="2333"/>
    <cellStyle name="Calculation 4 31" xfId="2334"/>
    <cellStyle name="Calculation 4 32" xfId="2335"/>
    <cellStyle name="Calculation 4 33" xfId="2336"/>
    <cellStyle name="Calculation 4 34" xfId="2337"/>
    <cellStyle name="Calculation 4 35" xfId="2338"/>
    <cellStyle name="Calculation 4 36" xfId="2339"/>
    <cellStyle name="Calculation 4 37" xfId="2340"/>
    <cellStyle name="Calculation 4 38" xfId="2341"/>
    <cellStyle name="Calculation 4 39" xfId="2342"/>
    <cellStyle name="Calculation 4 4" xfId="2343"/>
    <cellStyle name="Calculation 4 4 2" xfId="2344"/>
    <cellStyle name="Calculation 4 4 3" xfId="2345"/>
    <cellStyle name="Calculation 4 4 4" xfId="2346"/>
    <cellStyle name="Calculation 4 4 5" xfId="2347"/>
    <cellStyle name="Calculation 4 4 6" xfId="2348"/>
    <cellStyle name="Calculation 4 40" xfId="2349"/>
    <cellStyle name="Calculation 4 41" xfId="2350"/>
    <cellStyle name="Calculation 4 42" xfId="2351"/>
    <cellStyle name="Calculation 4 43" xfId="2352"/>
    <cellStyle name="Calculation 4 44" xfId="2353"/>
    <cellStyle name="Calculation 4 45" xfId="2354"/>
    <cellStyle name="Calculation 4 46" xfId="2355"/>
    <cellStyle name="Calculation 4 47" xfId="2356"/>
    <cellStyle name="Calculation 4 48" xfId="2357"/>
    <cellStyle name="Calculation 4 49" xfId="2358"/>
    <cellStyle name="Calculation 4 5" xfId="2359"/>
    <cellStyle name="Calculation 4 5 2" xfId="2360"/>
    <cellStyle name="Calculation 4 5 3" xfId="2361"/>
    <cellStyle name="Calculation 4 5 4" xfId="2362"/>
    <cellStyle name="Calculation 4 5 5" xfId="2363"/>
    <cellStyle name="Calculation 4 5 6" xfId="2364"/>
    <cellStyle name="Calculation 4 50" xfId="2365"/>
    <cellStyle name="Calculation 4 51" xfId="2366"/>
    <cellStyle name="Calculation 4 52" xfId="2367"/>
    <cellStyle name="Calculation 4 53" xfId="2368"/>
    <cellStyle name="Calculation 4 54" xfId="2369"/>
    <cellStyle name="Calculation 4 55" xfId="2370"/>
    <cellStyle name="Calculation 4 56" xfId="2371"/>
    <cellStyle name="Calculation 4 57" xfId="2372"/>
    <cellStyle name="Calculation 4 58" xfId="2373"/>
    <cellStyle name="Calculation 4 59" xfId="2374"/>
    <cellStyle name="Calculation 4 6" xfId="2375"/>
    <cellStyle name="Calculation 4 6 2" xfId="2376"/>
    <cellStyle name="Calculation 4 6 3" xfId="2377"/>
    <cellStyle name="Calculation 4 6 4" xfId="2378"/>
    <cellStyle name="Calculation 4 6 5" xfId="2379"/>
    <cellStyle name="Calculation 4 6 6" xfId="2380"/>
    <cellStyle name="Calculation 4 60" xfId="2381"/>
    <cellStyle name="Calculation 4 61" xfId="2382"/>
    <cellStyle name="Calculation 4 62" xfId="2383"/>
    <cellStyle name="Calculation 4 63" xfId="2384"/>
    <cellStyle name="Calculation 4 64" xfId="2385"/>
    <cellStyle name="Calculation 4 65" xfId="2386"/>
    <cellStyle name="Calculation 4 66" xfId="2387"/>
    <cellStyle name="Calculation 4 7" xfId="2388"/>
    <cellStyle name="Calculation 4 7 2" xfId="2389"/>
    <cellStyle name="Calculation 4 7 3" xfId="2390"/>
    <cellStyle name="Calculation 4 7 4" xfId="2391"/>
    <cellStyle name="Calculation 4 7 5" xfId="2392"/>
    <cellStyle name="Calculation 4 7 6" xfId="2393"/>
    <cellStyle name="Calculation 4 8" xfId="2394"/>
    <cellStyle name="Calculation 4 8 2" xfId="2395"/>
    <cellStyle name="Calculation 4 8 3" xfId="2396"/>
    <cellStyle name="Calculation 4 8 4" xfId="2397"/>
    <cellStyle name="Calculation 4 8 5" xfId="2398"/>
    <cellStyle name="Calculation 4 8 6" xfId="2399"/>
    <cellStyle name="Calculation 4 9" xfId="2400"/>
    <cellStyle name="Calculation 4 9 2" xfId="2401"/>
    <cellStyle name="Calculation 4 9 3" xfId="2402"/>
    <cellStyle name="Calculation 4 9 4" xfId="2403"/>
    <cellStyle name="Calculation 4 9 5" xfId="2404"/>
    <cellStyle name="Calculation 4 9 6" xfId="2405"/>
    <cellStyle name="Calculation 5" xfId="2406"/>
    <cellStyle name="Calculation 5 10" xfId="2407"/>
    <cellStyle name="Calculation 5 10 2" xfId="2408"/>
    <cellStyle name="Calculation 5 10 3" xfId="2409"/>
    <cellStyle name="Calculation 5 10 4" xfId="2410"/>
    <cellStyle name="Calculation 5 10 5" xfId="2411"/>
    <cellStyle name="Calculation 5 10 6" xfId="2412"/>
    <cellStyle name="Calculation 5 11" xfId="2413"/>
    <cellStyle name="Calculation 5 11 2" xfId="2414"/>
    <cellStyle name="Calculation 5 11 3" xfId="2415"/>
    <cellStyle name="Calculation 5 11 4" xfId="2416"/>
    <cellStyle name="Calculation 5 11 5" xfId="2417"/>
    <cellStyle name="Calculation 5 11 6" xfId="2418"/>
    <cellStyle name="Calculation 5 12" xfId="2419"/>
    <cellStyle name="Calculation 5 12 2" xfId="2420"/>
    <cellStyle name="Calculation 5 12 3" xfId="2421"/>
    <cellStyle name="Calculation 5 12 4" xfId="2422"/>
    <cellStyle name="Calculation 5 12 5" xfId="2423"/>
    <cellStyle name="Calculation 5 12 6" xfId="2424"/>
    <cellStyle name="Calculation 5 13" xfId="2425"/>
    <cellStyle name="Calculation 5 13 2" xfId="2426"/>
    <cellStyle name="Calculation 5 13 3" xfId="2427"/>
    <cellStyle name="Calculation 5 13 4" xfId="2428"/>
    <cellStyle name="Calculation 5 13 5" xfId="2429"/>
    <cellStyle name="Calculation 5 13 6" xfId="2430"/>
    <cellStyle name="Calculation 5 14" xfId="2431"/>
    <cellStyle name="Calculation 5 14 2" xfId="2432"/>
    <cellStyle name="Calculation 5 14 3" xfId="2433"/>
    <cellStyle name="Calculation 5 14 4" xfId="2434"/>
    <cellStyle name="Calculation 5 14 5" xfId="2435"/>
    <cellStyle name="Calculation 5 14 6" xfId="2436"/>
    <cellStyle name="Calculation 5 15" xfId="2437"/>
    <cellStyle name="Calculation 5 15 2" xfId="2438"/>
    <cellStyle name="Calculation 5 15 3" xfId="2439"/>
    <cellStyle name="Calculation 5 15 4" xfId="2440"/>
    <cellStyle name="Calculation 5 15 5" xfId="2441"/>
    <cellStyle name="Calculation 5 15 6" xfId="2442"/>
    <cellStyle name="Calculation 5 16" xfId="2443"/>
    <cellStyle name="Calculation 5 16 2" xfId="2444"/>
    <cellStyle name="Calculation 5 16 3" xfId="2445"/>
    <cellStyle name="Calculation 5 16 4" xfId="2446"/>
    <cellStyle name="Calculation 5 16 5" xfId="2447"/>
    <cellStyle name="Calculation 5 16 6" xfId="2448"/>
    <cellStyle name="Calculation 5 17" xfId="2449"/>
    <cellStyle name="Calculation 5 17 2" xfId="2450"/>
    <cellStyle name="Calculation 5 17 3" xfId="2451"/>
    <cellStyle name="Calculation 5 17 4" xfId="2452"/>
    <cellStyle name="Calculation 5 17 5" xfId="2453"/>
    <cellStyle name="Calculation 5 17 6" xfId="2454"/>
    <cellStyle name="Calculation 5 18" xfId="2455"/>
    <cellStyle name="Calculation 5 18 2" xfId="2456"/>
    <cellStyle name="Calculation 5 18 3" xfId="2457"/>
    <cellStyle name="Calculation 5 18 4" xfId="2458"/>
    <cellStyle name="Calculation 5 18 5" xfId="2459"/>
    <cellStyle name="Calculation 5 18 6" xfId="2460"/>
    <cellStyle name="Calculation 5 19" xfId="2461"/>
    <cellStyle name="Calculation 5 19 2" xfId="2462"/>
    <cellStyle name="Calculation 5 19 3" xfId="2463"/>
    <cellStyle name="Calculation 5 19 4" xfId="2464"/>
    <cellStyle name="Calculation 5 19 5" xfId="2465"/>
    <cellStyle name="Calculation 5 19 6" xfId="2466"/>
    <cellStyle name="Calculation 5 2" xfId="2467"/>
    <cellStyle name="Calculation 5 2 10" xfId="2468"/>
    <cellStyle name="Calculation 5 2 2" xfId="2469"/>
    <cellStyle name="Calculation 5 2 2 2" xfId="2470"/>
    <cellStyle name="Calculation 5 2 2 3" xfId="2471"/>
    <cellStyle name="Calculation 5 2 2 4" xfId="2472"/>
    <cellStyle name="Calculation 5 2 2 5" xfId="2473"/>
    <cellStyle name="Calculation 5 2 2 6" xfId="2474"/>
    <cellStyle name="Calculation 5 2 3" xfId="2475"/>
    <cellStyle name="Calculation 5 2 3 2" xfId="2476"/>
    <cellStyle name="Calculation 5 2 3 3" xfId="2477"/>
    <cellStyle name="Calculation 5 2 3 4" xfId="2478"/>
    <cellStyle name="Calculation 5 2 3 5" xfId="2479"/>
    <cellStyle name="Calculation 5 2 3 6" xfId="2480"/>
    <cellStyle name="Calculation 5 2 4" xfId="2481"/>
    <cellStyle name="Calculation 5 2 4 2" xfId="2482"/>
    <cellStyle name="Calculation 5 2 4 3" xfId="2483"/>
    <cellStyle name="Calculation 5 2 4 4" xfId="2484"/>
    <cellStyle name="Calculation 5 2 4 5" xfId="2485"/>
    <cellStyle name="Calculation 5 2 4 6" xfId="2486"/>
    <cellStyle name="Calculation 5 2 5" xfId="2487"/>
    <cellStyle name="Calculation 5 2 5 2" xfId="2488"/>
    <cellStyle name="Calculation 5 2 5 3" xfId="2489"/>
    <cellStyle name="Calculation 5 2 5 4" xfId="2490"/>
    <cellStyle name="Calculation 5 2 5 5" xfId="2491"/>
    <cellStyle name="Calculation 5 2 5 6" xfId="2492"/>
    <cellStyle name="Calculation 5 2 6" xfId="2493"/>
    <cellStyle name="Calculation 5 2 7" xfId="2494"/>
    <cellStyle name="Calculation 5 2 8" xfId="2495"/>
    <cellStyle name="Calculation 5 2 9" xfId="2496"/>
    <cellStyle name="Calculation 5 20" xfId="2497"/>
    <cellStyle name="Calculation 5 20 2" xfId="2498"/>
    <cellStyle name="Calculation 5 20 3" xfId="2499"/>
    <cellStyle name="Calculation 5 20 4" xfId="2500"/>
    <cellStyle name="Calculation 5 20 5" xfId="2501"/>
    <cellStyle name="Calculation 5 20 6" xfId="2502"/>
    <cellStyle name="Calculation 5 21" xfId="2503"/>
    <cellStyle name="Calculation 5 21 2" xfId="2504"/>
    <cellStyle name="Calculation 5 21 3" xfId="2505"/>
    <cellStyle name="Calculation 5 21 4" xfId="2506"/>
    <cellStyle name="Calculation 5 21 5" xfId="2507"/>
    <cellStyle name="Calculation 5 21 6" xfId="2508"/>
    <cellStyle name="Calculation 5 22" xfId="2509"/>
    <cellStyle name="Calculation 5 22 2" xfId="2510"/>
    <cellStyle name="Calculation 5 22 3" xfId="2511"/>
    <cellStyle name="Calculation 5 22 4" xfId="2512"/>
    <cellStyle name="Calculation 5 22 5" xfId="2513"/>
    <cellStyle name="Calculation 5 22 6" xfId="2514"/>
    <cellStyle name="Calculation 5 23" xfId="2515"/>
    <cellStyle name="Calculation 5 23 2" xfId="2516"/>
    <cellStyle name="Calculation 5 23 3" xfId="2517"/>
    <cellStyle name="Calculation 5 23 4" xfId="2518"/>
    <cellStyle name="Calculation 5 23 5" xfId="2519"/>
    <cellStyle name="Calculation 5 23 6" xfId="2520"/>
    <cellStyle name="Calculation 5 24" xfId="2521"/>
    <cellStyle name="Calculation 5 24 2" xfId="2522"/>
    <cellStyle name="Calculation 5 24 3" xfId="2523"/>
    <cellStyle name="Calculation 5 24 4" xfId="2524"/>
    <cellStyle name="Calculation 5 24 5" xfId="2525"/>
    <cellStyle name="Calculation 5 24 6" xfId="2526"/>
    <cellStyle name="Calculation 5 25" xfId="2527"/>
    <cellStyle name="Calculation 5 25 2" xfId="2528"/>
    <cellStyle name="Calculation 5 25 3" xfId="2529"/>
    <cellStyle name="Calculation 5 25 4" xfId="2530"/>
    <cellStyle name="Calculation 5 25 5" xfId="2531"/>
    <cellStyle name="Calculation 5 25 6" xfId="2532"/>
    <cellStyle name="Calculation 5 26" xfId="2533"/>
    <cellStyle name="Calculation 5 26 2" xfId="2534"/>
    <cellStyle name="Calculation 5 26 3" xfId="2535"/>
    <cellStyle name="Calculation 5 26 4" xfId="2536"/>
    <cellStyle name="Calculation 5 26 5" xfId="2537"/>
    <cellStyle name="Calculation 5 26 6" xfId="2538"/>
    <cellStyle name="Calculation 5 27" xfId="2539"/>
    <cellStyle name="Calculation 5 27 2" xfId="2540"/>
    <cellStyle name="Calculation 5 27 3" xfId="2541"/>
    <cellStyle name="Calculation 5 27 4" xfId="2542"/>
    <cellStyle name="Calculation 5 27 5" xfId="2543"/>
    <cellStyle name="Calculation 5 27 6" xfId="2544"/>
    <cellStyle name="Calculation 5 28" xfId="2545"/>
    <cellStyle name="Calculation 5 28 2" xfId="2546"/>
    <cellStyle name="Calculation 5 28 3" xfId="2547"/>
    <cellStyle name="Calculation 5 28 4" xfId="2548"/>
    <cellStyle name="Calculation 5 28 5" xfId="2549"/>
    <cellStyle name="Calculation 5 28 6" xfId="2550"/>
    <cellStyle name="Calculation 5 29" xfId="2551"/>
    <cellStyle name="Calculation 5 29 2" xfId="2552"/>
    <cellStyle name="Calculation 5 29 3" xfId="2553"/>
    <cellStyle name="Calculation 5 29 4" xfId="2554"/>
    <cellStyle name="Calculation 5 3" xfId="2555"/>
    <cellStyle name="Calculation 5 3 2" xfId="2556"/>
    <cellStyle name="Calculation 5 3 3" xfId="2557"/>
    <cellStyle name="Calculation 5 3 4" xfId="2558"/>
    <cellStyle name="Calculation 5 3 5" xfId="2559"/>
    <cellStyle name="Calculation 5 3 6" xfId="2560"/>
    <cellStyle name="Calculation 5 30" xfId="2561"/>
    <cellStyle name="Calculation 5 31" xfId="2562"/>
    <cellStyle name="Calculation 5 32" xfId="2563"/>
    <cellStyle name="Calculation 5 33" xfId="2564"/>
    <cellStyle name="Calculation 5 34" xfId="2565"/>
    <cellStyle name="Calculation 5 35" xfId="2566"/>
    <cellStyle name="Calculation 5 36" xfId="2567"/>
    <cellStyle name="Calculation 5 37" xfId="2568"/>
    <cellStyle name="Calculation 5 38" xfId="2569"/>
    <cellStyle name="Calculation 5 39" xfId="2570"/>
    <cellStyle name="Calculation 5 4" xfId="2571"/>
    <cellStyle name="Calculation 5 4 2" xfId="2572"/>
    <cellStyle name="Calculation 5 4 3" xfId="2573"/>
    <cellStyle name="Calculation 5 4 4" xfId="2574"/>
    <cellStyle name="Calculation 5 4 5" xfId="2575"/>
    <cellStyle name="Calculation 5 4 6" xfId="2576"/>
    <cellStyle name="Calculation 5 40" xfId="2577"/>
    <cellStyle name="Calculation 5 41" xfId="2578"/>
    <cellStyle name="Calculation 5 42" xfId="2579"/>
    <cellStyle name="Calculation 5 43" xfId="2580"/>
    <cellStyle name="Calculation 5 44" xfId="2581"/>
    <cellStyle name="Calculation 5 45" xfId="2582"/>
    <cellStyle name="Calculation 5 46" xfId="2583"/>
    <cellStyle name="Calculation 5 47" xfId="2584"/>
    <cellStyle name="Calculation 5 48" xfId="2585"/>
    <cellStyle name="Calculation 5 49" xfId="2586"/>
    <cellStyle name="Calculation 5 5" xfId="2587"/>
    <cellStyle name="Calculation 5 5 2" xfId="2588"/>
    <cellStyle name="Calculation 5 5 3" xfId="2589"/>
    <cellStyle name="Calculation 5 5 4" xfId="2590"/>
    <cellStyle name="Calculation 5 5 5" xfId="2591"/>
    <cellStyle name="Calculation 5 5 6" xfId="2592"/>
    <cellStyle name="Calculation 5 50" xfId="2593"/>
    <cellStyle name="Calculation 5 51" xfId="2594"/>
    <cellStyle name="Calculation 5 52" xfId="2595"/>
    <cellStyle name="Calculation 5 53" xfId="2596"/>
    <cellStyle name="Calculation 5 54" xfId="2597"/>
    <cellStyle name="Calculation 5 55" xfId="2598"/>
    <cellStyle name="Calculation 5 56" xfId="2599"/>
    <cellStyle name="Calculation 5 57" xfId="2600"/>
    <cellStyle name="Calculation 5 58" xfId="2601"/>
    <cellStyle name="Calculation 5 59" xfId="2602"/>
    <cellStyle name="Calculation 5 6" xfId="2603"/>
    <cellStyle name="Calculation 5 6 2" xfId="2604"/>
    <cellStyle name="Calculation 5 6 3" xfId="2605"/>
    <cellStyle name="Calculation 5 6 4" xfId="2606"/>
    <cellStyle name="Calculation 5 6 5" xfId="2607"/>
    <cellStyle name="Calculation 5 6 6" xfId="2608"/>
    <cellStyle name="Calculation 5 60" xfId="2609"/>
    <cellStyle name="Calculation 5 61" xfId="2610"/>
    <cellStyle name="Calculation 5 62" xfId="2611"/>
    <cellStyle name="Calculation 5 63" xfId="2612"/>
    <cellStyle name="Calculation 5 64" xfId="2613"/>
    <cellStyle name="Calculation 5 65" xfId="2614"/>
    <cellStyle name="Calculation 5 66" xfId="2615"/>
    <cellStyle name="Calculation 5 7" xfId="2616"/>
    <cellStyle name="Calculation 5 7 2" xfId="2617"/>
    <cellStyle name="Calculation 5 7 3" xfId="2618"/>
    <cellStyle name="Calculation 5 7 4" xfId="2619"/>
    <cellStyle name="Calculation 5 7 5" xfId="2620"/>
    <cellStyle name="Calculation 5 7 6" xfId="2621"/>
    <cellStyle name="Calculation 5 8" xfId="2622"/>
    <cellStyle name="Calculation 5 8 2" xfId="2623"/>
    <cellStyle name="Calculation 5 8 3" xfId="2624"/>
    <cellStyle name="Calculation 5 8 4" xfId="2625"/>
    <cellStyle name="Calculation 5 8 5" xfId="2626"/>
    <cellStyle name="Calculation 5 8 6" xfId="2627"/>
    <cellStyle name="Calculation 5 9" xfId="2628"/>
    <cellStyle name="Calculation 5 9 2" xfId="2629"/>
    <cellStyle name="Calculation 5 9 3" xfId="2630"/>
    <cellStyle name="Calculation 5 9 4" xfId="2631"/>
    <cellStyle name="Calculation 5 9 5" xfId="2632"/>
    <cellStyle name="Calculation 5 9 6" xfId="2633"/>
    <cellStyle name="Calculation 6" xfId="2634"/>
    <cellStyle name="Calculation 6 10" xfId="2635"/>
    <cellStyle name="Calculation 6 10 2" xfId="2636"/>
    <cellStyle name="Calculation 6 10 3" xfId="2637"/>
    <cellStyle name="Calculation 6 10 4" xfId="2638"/>
    <cellStyle name="Calculation 6 10 5" xfId="2639"/>
    <cellStyle name="Calculation 6 10 6" xfId="2640"/>
    <cellStyle name="Calculation 6 11" xfId="2641"/>
    <cellStyle name="Calculation 6 11 2" xfId="2642"/>
    <cellStyle name="Calculation 6 11 3" xfId="2643"/>
    <cellStyle name="Calculation 6 11 4" xfId="2644"/>
    <cellStyle name="Calculation 6 11 5" xfId="2645"/>
    <cellStyle name="Calculation 6 11 6" xfId="2646"/>
    <cellStyle name="Calculation 6 12" xfId="2647"/>
    <cellStyle name="Calculation 6 12 2" xfId="2648"/>
    <cellStyle name="Calculation 6 12 3" xfId="2649"/>
    <cellStyle name="Calculation 6 12 4" xfId="2650"/>
    <cellStyle name="Calculation 6 12 5" xfId="2651"/>
    <cellStyle name="Calculation 6 12 6" xfId="2652"/>
    <cellStyle name="Calculation 6 13" xfId="2653"/>
    <cellStyle name="Calculation 6 13 2" xfId="2654"/>
    <cellStyle name="Calculation 6 13 3" xfId="2655"/>
    <cellStyle name="Calculation 6 13 4" xfId="2656"/>
    <cellStyle name="Calculation 6 13 5" xfId="2657"/>
    <cellStyle name="Calculation 6 13 6" xfId="2658"/>
    <cellStyle name="Calculation 6 14" xfId="2659"/>
    <cellStyle name="Calculation 6 14 2" xfId="2660"/>
    <cellStyle name="Calculation 6 14 3" xfId="2661"/>
    <cellStyle name="Calculation 6 14 4" xfId="2662"/>
    <cellStyle name="Calculation 6 14 5" xfId="2663"/>
    <cellStyle name="Calculation 6 14 6" xfId="2664"/>
    <cellStyle name="Calculation 6 15" xfId="2665"/>
    <cellStyle name="Calculation 6 15 2" xfId="2666"/>
    <cellStyle name="Calculation 6 15 3" xfId="2667"/>
    <cellStyle name="Calculation 6 15 4" xfId="2668"/>
    <cellStyle name="Calculation 6 15 5" xfId="2669"/>
    <cellStyle name="Calculation 6 15 6" xfId="2670"/>
    <cellStyle name="Calculation 6 16" xfId="2671"/>
    <cellStyle name="Calculation 6 16 2" xfId="2672"/>
    <cellStyle name="Calculation 6 16 3" xfId="2673"/>
    <cellStyle name="Calculation 6 16 4" xfId="2674"/>
    <cellStyle name="Calculation 6 16 5" xfId="2675"/>
    <cellStyle name="Calculation 6 16 6" xfId="2676"/>
    <cellStyle name="Calculation 6 17" xfId="2677"/>
    <cellStyle name="Calculation 6 17 2" xfId="2678"/>
    <cellStyle name="Calculation 6 17 3" xfId="2679"/>
    <cellStyle name="Calculation 6 17 4" xfId="2680"/>
    <cellStyle name="Calculation 6 17 5" xfId="2681"/>
    <cellStyle name="Calculation 6 17 6" xfId="2682"/>
    <cellStyle name="Calculation 6 18" xfId="2683"/>
    <cellStyle name="Calculation 6 18 2" xfId="2684"/>
    <cellStyle name="Calculation 6 18 3" xfId="2685"/>
    <cellStyle name="Calculation 6 18 4" xfId="2686"/>
    <cellStyle name="Calculation 6 18 5" xfId="2687"/>
    <cellStyle name="Calculation 6 18 6" xfId="2688"/>
    <cellStyle name="Calculation 6 19" xfId="2689"/>
    <cellStyle name="Calculation 6 19 2" xfId="2690"/>
    <cellStyle name="Calculation 6 19 3" xfId="2691"/>
    <cellStyle name="Calculation 6 19 4" xfId="2692"/>
    <cellStyle name="Calculation 6 19 5" xfId="2693"/>
    <cellStyle name="Calculation 6 19 6" xfId="2694"/>
    <cellStyle name="Calculation 6 2" xfId="2695"/>
    <cellStyle name="Calculation 6 2 10" xfId="2696"/>
    <cellStyle name="Calculation 6 2 2" xfId="2697"/>
    <cellStyle name="Calculation 6 2 2 2" xfId="2698"/>
    <cellStyle name="Calculation 6 2 2 3" xfId="2699"/>
    <cellStyle name="Calculation 6 2 2 4" xfId="2700"/>
    <cellStyle name="Calculation 6 2 2 5" xfId="2701"/>
    <cellStyle name="Calculation 6 2 2 6" xfId="2702"/>
    <cellStyle name="Calculation 6 2 3" xfId="2703"/>
    <cellStyle name="Calculation 6 2 3 2" xfId="2704"/>
    <cellStyle name="Calculation 6 2 3 3" xfId="2705"/>
    <cellStyle name="Calculation 6 2 3 4" xfId="2706"/>
    <cellStyle name="Calculation 6 2 3 5" xfId="2707"/>
    <cellStyle name="Calculation 6 2 3 6" xfId="2708"/>
    <cellStyle name="Calculation 6 2 4" xfId="2709"/>
    <cellStyle name="Calculation 6 2 4 2" xfId="2710"/>
    <cellStyle name="Calculation 6 2 4 3" xfId="2711"/>
    <cellStyle name="Calculation 6 2 4 4" xfId="2712"/>
    <cellStyle name="Calculation 6 2 4 5" xfId="2713"/>
    <cellStyle name="Calculation 6 2 4 6" xfId="2714"/>
    <cellStyle name="Calculation 6 2 5" xfId="2715"/>
    <cellStyle name="Calculation 6 2 5 2" xfId="2716"/>
    <cellStyle name="Calculation 6 2 5 3" xfId="2717"/>
    <cellStyle name="Calculation 6 2 5 4" xfId="2718"/>
    <cellStyle name="Calculation 6 2 5 5" xfId="2719"/>
    <cellStyle name="Calculation 6 2 5 6" xfId="2720"/>
    <cellStyle name="Calculation 6 2 6" xfId="2721"/>
    <cellStyle name="Calculation 6 2 7" xfId="2722"/>
    <cellStyle name="Calculation 6 2 8" xfId="2723"/>
    <cellStyle name="Calculation 6 2 9" xfId="2724"/>
    <cellStyle name="Calculation 6 20" xfId="2725"/>
    <cellStyle name="Calculation 6 20 2" xfId="2726"/>
    <cellStyle name="Calculation 6 20 3" xfId="2727"/>
    <cellStyle name="Calculation 6 20 4" xfId="2728"/>
    <cellStyle name="Calculation 6 20 5" xfId="2729"/>
    <cellStyle name="Calculation 6 20 6" xfId="2730"/>
    <cellStyle name="Calculation 6 21" xfId="2731"/>
    <cellStyle name="Calculation 6 21 2" xfId="2732"/>
    <cellStyle name="Calculation 6 21 3" xfId="2733"/>
    <cellStyle name="Calculation 6 21 4" xfId="2734"/>
    <cellStyle name="Calculation 6 21 5" xfId="2735"/>
    <cellStyle name="Calculation 6 21 6" xfId="2736"/>
    <cellStyle name="Calculation 6 22" xfId="2737"/>
    <cellStyle name="Calculation 6 22 2" xfId="2738"/>
    <cellStyle name="Calculation 6 22 3" xfId="2739"/>
    <cellStyle name="Calculation 6 22 4" xfId="2740"/>
    <cellStyle name="Calculation 6 22 5" xfId="2741"/>
    <cellStyle name="Calculation 6 22 6" xfId="2742"/>
    <cellStyle name="Calculation 6 23" xfId="2743"/>
    <cellStyle name="Calculation 6 23 2" xfId="2744"/>
    <cellStyle name="Calculation 6 23 3" xfId="2745"/>
    <cellStyle name="Calculation 6 23 4" xfId="2746"/>
    <cellStyle name="Calculation 6 23 5" xfId="2747"/>
    <cellStyle name="Calculation 6 23 6" xfId="2748"/>
    <cellStyle name="Calculation 6 24" xfId="2749"/>
    <cellStyle name="Calculation 6 24 2" xfId="2750"/>
    <cellStyle name="Calculation 6 24 3" xfId="2751"/>
    <cellStyle name="Calculation 6 24 4" xfId="2752"/>
    <cellStyle name="Calculation 6 24 5" xfId="2753"/>
    <cellStyle name="Calculation 6 24 6" xfId="2754"/>
    <cellStyle name="Calculation 6 25" xfId="2755"/>
    <cellStyle name="Calculation 6 25 2" xfId="2756"/>
    <cellStyle name="Calculation 6 25 3" xfId="2757"/>
    <cellStyle name="Calculation 6 25 4" xfId="2758"/>
    <cellStyle name="Calculation 6 25 5" xfId="2759"/>
    <cellStyle name="Calculation 6 25 6" xfId="2760"/>
    <cellStyle name="Calculation 6 26" xfId="2761"/>
    <cellStyle name="Calculation 6 26 2" xfId="2762"/>
    <cellStyle name="Calculation 6 26 3" xfId="2763"/>
    <cellStyle name="Calculation 6 26 4" xfId="2764"/>
    <cellStyle name="Calculation 6 26 5" xfId="2765"/>
    <cellStyle name="Calculation 6 26 6" xfId="2766"/>
    <cellStyle name="Calculation 6 27" xfId="2767"/>
    <cellStyle name="Calculation 6 27 2" xfId="2768"/>
    <cellStyle name="Calculation 6 27 3" xfId="2769"/>
    <cellStyle name="Calculation 6 27 4" xfId="2770"/>
    <cellStyle name="Calculation 6 27 5" xfId="2771"/>
    <cellStyle name="Calculation 6 27 6" xfId="2772"/>
    <cellStyle name="Calculation 6 28" xfId="2773"/>
    <cellStyle name="Calculation 6 28 2" xfId="2774"/>
    <cellStyle name="Calculation 6 28 3" xfId="2775"/>
    <cellStyle name="Calculation 6 28 4" xfId="2776"/>
    <cellStyle name="Calculation 6 28 5" xfId="2777"/>
    <cellStyle name="Calculation 6 28 6" xfId="2778"/>
    <cellStyle name="Calculation 6 29" xfId="2779"/>
    <cellStyle name="Calculation 6 29 2" xfId="2780"/>
    <cellStyle name="Calculation 6 29 3" xfId="2781"/>
    <cellStyle name="Calculation 6 29 4" xfId="2782"/>
    <cellStyle name="Calculation 6 3" xfId="2783"/>
    <cellStyle name="Calculation 6 3 2" xfId="2784"/>
    <cellStyle name="Calculation 6 3 3" xfId="2785"/>
    <cellStyle name="Calculation 6 3 4" xfId="2786"/>
    <cellStyle name="Calculation 6 3 5" xfId="2787"/>
    <cellStyle name="Calculation 6 3 6" xfId="2788"/>
    <cellStyle name="Calculation 6 30" xfId="2789"/>
    <cellStyle name="Calculation 6 31" xfId="2790"/>
    <cellStyle name="Calculation 6 32" xfId="2791"/>
    <cellStyle name="Calculation 6 33" xfId="2792"/>
    <cellStyle name="Calculation 6 34" xfId="2793"/>
    <cellStyle name="Calculation 6 35" xfId="2794"/>
    <cellStyle name="Calculation 6 36" xfId="2795"/>
    <cellStyle name="Calculation 6 37" xfId="2796"/>
    <cellStyle name="Calculation 6 38" xfId="2797"/>
    <cellStyle name="Calculation 6 39" xfId="2798"/>
    <cellStyle name="Calculation 6 4" xfId="2799"/>
    <cellStyle name="Calculation 6 4 2" xfId="2800"/>
    <cellStyle name="Calculation 6 4 3" xfId="2801"/>
    <cellStyle name="Calculation 6 4 4" xfId="2802"/>
    <cellStyle name="Calculation 6 4 5" xfId="2803"/>
    <cellStyle name="Calculation 6 4 6" xfId="2804"/>
    <cellStyle name="Calculation 6 40" xfId="2805"/>
    <cellStyle name="Calculation 6 41" xfId="2806"/>
    <cellStyle name="Calculation 6 42" xfId="2807"/>
    <cellStyle name="Calculation 6 43" xfId="2808"/>
    <cellStyle name="Calculation 6 44" xfId="2809"/>
    <cellStyle name="Calculation 6 45" xfId="2810"/>
    <cellStyle name="Calculation 6 46" xfId="2811"/>
    <cellStyle name="Calculation 6 47" xfId="2812"/>
    <cellStyle name="Calculation 6 48" xfId="2813"/>
    <cellStyle name="Calculation 6 49" xfId="2814"/>
    <cellStyle name="Calculation 6 5" xfId="2815"/>
    <cellStyle name="Calculation 6 5 2" xfId="2816"/>
    <cellStyle name="Calculation 6 5 3" xfId="2817"/>
    <cellStyle name="Calculation 6 5 4" xfId="2818"/>
    <cellStyle name="Calculation 6 5 5" xfId="2819"/>
    <cellStyle name="Calculation 6 5 6" xfId="2820"/>
    <cellStyle name="Calculation 6 50" xfId="2821"/>
    <cellStyle name="Calculation 6 51" xfId="2822"/>
    <cellStyle name="Calculation 6 52" xfId="2823"/>
    <cellStyle name="Calculation 6 53" xfId="2824"/>
    <cellStyle name="Calculation 6 54" xfId="2825"/>
    <cellStyle name="Calculation 6 55" xfId="2826"/>
    <cellStyle name="Calculation 6 56" xfId="2827"/>
    <cellStyle name="Calculation 6 57" xfId="2828"/>
    <cellStyle name="Calculation 6 58" xfId="2829"/>
    <cellStyle name="Calculation 6 59" xfId="2830"/>
    <cellStyle name="Calculation 6 6" xfId="2831"/>
    <cellStyle name="Calculation 6 6 2" xfId="2832"/>
    <cellStyle name="Calculation 6 6 3" xfId="2833"/>
    <cellStyle name="Calculation 6 6 4" xfId="2834"/>
    <cellStyle name="Calculation 6 6 5" xfId="2835"/>
    <cellStyle name="Calculation 6 6 6" xfId="2836"/>
    <cellStyle name="Calculation 6 60" xfId="2837"/>
    <cellStyle name="Calculation 6 61" xfId="2838"/>
    <cellStyle name="Calculation 6 62" xfId="2839"/>
    <cellStyle name="Calculation 6 63" xfId="2840"/>
    <cellStyle name="Calculation 6 64" xfId="2841"/>
    <cellStyle name="Calculation 6 65" xfId="2842"/>
    <cellStyle name="Calculation 6 66" xfId="2843"/>
    <cellStyle name="Calculation 6 7" xfId="2844"/>
    <cellStyle name="Calculation 6 7 2" xfId="2845"/>
    <cellStyle name="Calculation 6 7 3" xfId="2846"/>
    <cellStyle name="Calculation 6 7 4" xfId="2847"/>
    <cellStyle name="Calculation 6 7 5" xfId="2848"/>
    <cellStyle name="Calculation 6 7 6" xfId="2849"/>
    <cellStyle name="Calculation 6 8" xfId="2850"/>
    <cellStyle name="Calculation 6 8 2" xfId="2851"/>
    <cellStyle name="Calculation 6 8 3" xfId="2852"/>
    <cellStyle name="Calculation 6 8 4" xfId="2853"/>
    <cellStyle name="Calculation 6 8 5" xfId="2854"/>
    <cellStyle name="Calculation 6 8 6" xfId="2855"/>
    <cellStyle name="Calculation 6 9" xfId="2856"/>
    <cellStyle name="Calculation 6 9 2" xfId="2857"/>
    <cellStyle name="Calculation 6 9 3" xfId="2858"/>
    <cellStyle name="Calculation 6 9 4" xfId="2859"/>
    <cellStyle name="Calculation 6 9 5" xfId="2860"/>
    <cellStyle name="Calculation 6 9 6" xfId="2861"/>
    <cellStyle name="Calculation 7" xfId="2862"/>
    <cellStyle name="Calculation 7 10" xfId="2863"/>
    <cellStyle name="Calculation 7 10 2" xfId="2864"/>
    <cellStyle name="Calculation 7 10 3" xfId="2865"/>
    <cellStyle name="Calculation 7 10 4" xfId="2866"/>
    <cellStyle name="Calculation 7 10 5" xfId="2867"/>
    <cellStyle name="Calculation 7 10 6" xfId="2868"/>
    <cellStyle name="Calculation 7 11" xfId="2869"/>
    <cellStyle name="Calculation 7 11 2" xfId="2870"/>
    <cellStyle name="Calculation 7 11 3" xfId="2871"/>
    <cellStyle name="Calculation 7 11 4" xfId="2872"/>
    <cellStyle name="Calculation 7 11 5" xfId="2873"/>
    <cellStyle name="Calculation 7 11 6" xfId="2874"/>
    <cellStyle name="Calculation 7 12" xfId="2875"/>
    <cellStyle name="Calculation 7 12 2" xfId="2876"/>
    <cellStyle name="Calculation 7 12 3" xfId="2877"/>
    <cellStyle name="Calculation 7 12 4" xfId="2878"/>
    <cellStyle name="Calculation 7 12 5" xfId="2879"/>
    <cellStyle name="Calculation 7 12 6" xfId="2880"/>
    <cellStyle name="Calculation 7 13" xfId="2881"/>
    <cellStyle name="Calculation 7 13 2" xfId="2882"/>
    <cellStyle name="Calculation 7 13 3" xfId="2883"/>
    <cellStyle name="Calculation 7 13 4" xfId="2884"/>
    <cellStyle name="Calculation 7 13 5" xfId="2885"/>
    <cellStyle name="Calculation 7 13 6" xfId="2886"/>
    <cellStyle name="Calculation 7 14" xfId="2887"/>
    <cellStyle name="Calculation 7 14 2" xfId="2888"/>
    <cellStyle name="Calculation 7 14 3" xfId="2889"/>
    <cellStyle name="Calculation 7 14 4" xfId="2890"/>
    <cellStyle name="Calculation 7 14 5" xfId="2891"/>
    <cellStyle name="Calculation 7 14 6" xfId="2892"/>
    <cellStyle name="Calculation 7 15" xfId="2893"/>
    <cellStyle name="Calculation 7 15 2" xfId="2894"/>
    <cellStyle name="Calculation 7 15 3" xfId="2895"/>
    <cellStyle name="Calculation 7 15 4" xfId="2896"/>
    <cellStyle name="Calculation 7 15 5" xfId="2897"/>
    <cellStyle name="Calculation 7 15 6" xfId="2898"/>
    <cellStyle name="Calculation 7 16" xfId="2899"/>
    <cellStyle name="Calculation 7 16 2" xfId="2900"/>
    <cellStyle name="Calculation 7 16 3" xfId="2901"/>
    <cellStyle name="Calculation 7 16 4" xfId="2902"/>
    <cellStyle name="Calculation 7 16 5" xfId="2903"/>
    <cellStyle name="Calculation 7 16 6" xfId="2904"/>
    <cellStyle name="Calculation 7 17" xfId="2905"/>
    <cellStyle name="Calculation 7 17 2" xfId="2906"/>
    <cellStyle name="Calculation 7 17 3" xfId="2907"/>
    <cellStyle name="Calculation 7 17 4" xfId="2908"/>
    <cellStyle name="Calculation 7 17 5" xfId="2909"/>
    <cellStyle name="Calculation 7 17 6" xfId="2910"/>
    <cellStyle name="Calculation 7 18" xfId="2911"/>
    <cellStyle name="Calculation 7 18 2" xfId="2912"/>
    <cellStyle name="Calculation 7 18 3" xfId="2913"/>
    <cellStyle name="Calculation 7 18 4" xfId="2914"/>
    <cellStyle name="Calculation 7 18 5" xfId="2915"/>
    <cellStyle name="Calculation 7 18 6" xfId="2916"/>
    <cellStyle name="Calculation 7 19" xfId="2917"/>
    <cellStyle name="Calculation 7 19 2" xfId="2918"/>
    <cellStyle name="Calculation 7 19 3" xfId="2919"/>
    <cellStyle name="Calculation 7 19 4" xfId="2920"/>
    <cellStyle name="Calculation 7 19 5" xfId="2921"/>
    <cellStyle name="Calculation 7 19 6" xfId="2922"/>
    <cellStyle name="Calculation 7 2" xfId="2923"/>
    <cellStyle name="Calculation 7 2 10" xfId="2924"/>
    <cellStyle name="Calculation 7 2 2" xfId="2925"/>
    <cellStyle name="Calculation 7 2 2 2" xfId="2926"/>
    <cellStyle name="Calculation 7 2 2 3" xfId="2927"/>
    <cellStyle name="Calculation 7 2 2 4" xfId="2928"/>
    <cellStyle name="Calculation 7 2 2 5" xfId="2929"/>
    <cellStyle name="Calculation 7 2 2 6" xfId="2930"/>
    <cellStyle name="Calculation 7 2 3" xfId="2931"/>
    <cellStyle name="Calculation 7 2 3 2" xfId="2932"/>
    <cellStyle name="Calculation 7 2 3 3" xfId="2933"/>
    <cellStyle name="Calculation 7 2 3 4" xfId="2934"/>
    <cellStyle name="Calculation 7 2 3 5" xfId="2935"/>
    <cellStyle name="Calculation 7 2 3 6" xfId="2936"/>
    <cellStyle name="Calculation 7 2 4" xfId="2937"/>
    <cellStyle name="Calculation 7 2 4 2" xfId="2938"/>
    <cellStyle name="Calculation 7 2 4 3" xfId="2939"/>
    <cellStyle name="Calculation 7 2 4 4" xfId="2940"/>
    <cellStyle name="Calculation 7 2 4 5" xfId="2941"/>
    <cellStyle name="Calculation 7 2 4 6" xfId="2942"/>
    <cellStyle name="Calculation 7 2 5" xfId="2943"/>
    <cellStyle name="Calculation 7 2 5 2" xfId="2944"/>
    <cellStyle name="Calculation 7 2 5 3" xfId="2945"/>
    <cellStyle name="Calculation 7 2 5 4" xfId="2946"/>
    <cellStyle name="Calculation 7 2 5 5" xfId="2947"/>
    <cellStyle name="Calculation 7 2 5 6" xfId="2948"/>
    <cellStyle name="Calculation 7 2 6" xfId="2949"/>
    <cellStyle name="Calculation 7 2 7" xfId="2950"/>
    <cellStyle name="Calculation 7 2 8" xfId="2951"/>
    <cellStyle name="Calculation 7 2 9" xfId="2952"/>
    <cellStyle name="Calculation 7 20" xfId="2953"/>
    <cellStyle name="Calculation 7 20 2" xfId="2954"/>
    <cellStyle name="Calculation 7 20 3" xfId="2955"/>
    <cellStyle name="Calculation 7 20 4" xfId="2956"/>
    <cellStyle name="Calculation 7 20 5" xfId="2957"/>
    <cellStyle name="Calculation 7 20 6" xfId="2958"/>
    <cellStyle name="Calculation 7 21" xfId="2959"/>
    <cellStyle name="Calculation 7 21 2" xfId="2960"/>
    <cellStyle name="Calculation 7 21 3" xfId="2961"/>
    <cellStyle name="Calculation 7 21 4" xfId="2962"/>
    <cellStyle name="Calculation 7 21 5" xfId="2963"/>
    <cellStyle name="Calculation 7 21 6" xfId="2964"/>
    <cellStyle name="Calculation 7 22" xfId="2965"/>
    <cellStyle name="Calculation 7 22 2" xfId="2966"/>
    <cellStyle name="Calculation 7 22 3" xfId="2967"/>
    <cellStyle name="Calculation 7 22 4" xfId="2968"/>
    <cellStyle name="Calculation 7 22 5" xfId="2969"/>
    <cellStyle name="Calculation 7 22 6" xfId="2970"/>
    <cellStyle name="Calculation 7 23" xfId="2971"/>
    <cellStyle name="Calculation 7 23 2" xfId="2972"/>
    <cellStyle name="Calculation 7 23 3" xfId="2973"/>
    <cellStyle name="Calculation 7 23 4" xfId="2974"/>
    <cellStyle name="Calculation 7 23 5" xfId="2975"/>
    <cellStyle name="Calculation 7 23 6" xfId="2976"/>
    <cellStyle name="Calculation 7 24" xfId="2977"/>
    <cellStyle name="Calculation 7 24 2" xfId="2978"/>
    <cellStyle name="Calculation 7 24 3" xfId="2979"/>
    <cellStyle name="Calculation 7 24 4" xfId="2980"/>
    <cellStyle name="Calculation 7 24 5" xfId="2981"/>
    <cellStyle name="Calculation 7 24 6" xfId="2982"/>
    <cellStyle name="Calculation 7 25" xfId="2983"/>
    <cellStyle name="Calculation 7 25 2" xfId="2984"/>
    <cellStyle name="Calculation 7 25 3" xfId="2985"/>
    <cellStyle name="Calculation 7 25 4" xfId="2986"/>
    <cellStyle name="Calculation 7 25 5" xfId="2987"/>
    <cellStyle name="Calculation 7 25 6" xfId="2988"/>
    <cellStyle name="Calculation 7 26" xfId="2989"/>
    <cellStyle name="Calculation 7 26 2" xfId="2990"/>
    <cellStyle name="Calculation 7 26 3" xfId="2991"/>
    <cellStyle name="Calculation 7 26 4" xfId="2992"/>
    <cellStyle name="Calculation 7 26 5" xfId="2993"/>
    <cellStyle name="Calculation 7 26 6" xfId="2994"/>
    <cellStyle name="Calculation 7 27" xfId="2995"/>
    <cellStyle name="Calculation 7 27 2" xfId="2996"/>
    <cellStyle name="Calculation 7 27 3" xfId="2997"/>
    <cellStyle name="Calculation 7 27 4" xfId="2998"/>
    <cellStyle name="Calculation 7 27 5" xfId="2999"/>
    <cellStyle name="Calculation 7 27 6" xfId="3000"/>
    <cellStyle name="Calculation 7 28" xfId="3001"/>
    <cellStyle name="Calculation 7 28 2" xfId="3002"/>
    <cellStyle name="Calculation 7 28 3" xfId="3003"/>
    <cellStyle name="Calculation 7 28 4" xfId="3004"/>
    <cellStyle name="Calculation 7 28 5" xfId="3005"/>
    <cellStyle name="Calculation 7 28 6" xfId="3006"/>
    <cellStyle name="Calculation 7 29" xfId="3007"/>
    <cellStyle name="Calculation 7 29 2" xfId="3008"/>
    <cellStyle name="Calculation 7 29 3" xfId="3009"/>
    <cellStyle name="Calculation 7 29 4" xfId="3010"/>
    <cellStyle name="Calculation 7 3" xfId="3011"/>
    <cellStyle name="Calculation 7 3 2" xfId="3012"/>
    <cellStyle name="Calculation 7 3 3" xfId="3013"/>
    <cellStyle name="Calculation 7 3 4" xfId="3014"/>
    <cellStyle name="Calculation 7 3 5" xfId="3015"/>
    <cellStyle name="Calculation 7 3 6" xfId="3016"/>
    <cellStyle name="Calculation 7 30" xfId="3017"/>
    <cellStyle name="Calculation 7 31" xfId="3018"/>
    <cellStyle name="Calculation 7 32" xfId="3019"/>
    <cellStyle name="Calculation 7 33" xfId="3020"/>
    <cellStyle name="Calculation 7 34" xfId="3021"/>
    <cellStyle name="Calculation 7 35" xfId="3022"/>
    <cellStyle name="Calculation 7 36" xfId="3023"/>
    <cellStyle name="Calculation 7 37" xfId="3024"/>
    <cellStyle name="Calculation 7 38" xfId="3025"/>
    <cellStyle name="Calculation 7 39" xfId="3026"/>
    <cellStyle name="Calculation 7 4" xfId="3027"/>
    <cellStyle name="Calculation 7 4 2" xfId="3028"/>
    <cellStyle name="Calculation 7 4 3" xfId="3029"/>
    <cellStyle name="Calculation 7 4 4" xfId="3030"/>
    <cellStyle name="Calculation 7 4 5" xfId="3031"/>
    <cellStyle name="Calculation 7 4 6" xfId="3032"/>
    <cellStyle name="Calculation 7 40" xfId="3033"/>
    <cellStyle name="Calculation 7 41" xfId="3034"/>
    <cellStyle name="Calculation 7 42" xfId="3035"/>
    <cellStyle name="Calculation 7 43" xfId="3036"/>
    <cellStyle name="Calculation 7 44" xfId="3037"/>
    <cellStyle name="Calculation 7 45" xfId="3038"/>
    <cellStyle name="Calculation 7 46" xfId="3039"/>
    <cellStyle name="Calculation 7 47" xfId="3040"/>
    <cellStyle name="Calculation 7 48" xfId="3041"/>
    <cellStyle name="Calculation 7 49" xfId="3042"/>
    <cellStyle name="Calculation 7 5" xfId="3043"/>
    <cellStyle name="Calculation 7 5 2" xfId="3044"/>
    <cellStyle name="Calculation 7 5 3" xfId="3045"/>
    <cellStyle name="Calculation 7 5 4" xfId="3046"/>
    <cellStyle name="Calculation 7 5 5" xfId="3047"/>
    <cellStyle name="Calculation 7 5 6" xfId="3048"/>
    <cellStyle name="Calculation 7 50" xfId="3049"/>
    <cellStyle name="Calculation 7 51" xfId="3050"/>
    <cellStyle name="Calculation 7 52" xfId="3051"/>
    <cellStyle name="Calculation 7 53" xfId="3052"/>
    <cellStyle name="Calculation 7 54" xfId="3053"/>
    <cellStyle name="Calculation 7 55" xfId="3054"/>
    <cellStyle name="Calculation 7 56" xfId="3055"/>
    <cellStyle name="Calculation 7 57" xfId="3056"/>
    <cellStyle name="Calculation 7 58" xfId="3057"/>
    <cellStyle name="Calculation 7 59" xfId="3058"/>
    <cellStyle name="Calculation 7 6" xfId="3059"/>
    <cellStyle name="Calculation 7 6 2" xfId="3060"/>
    <cellStyle name="Calculation 7 6 3" xfId="3061"/>
    <cellStyle name="Calculation 7 6 4" xfId="3062"/>
    <cellStyle name="Calculation 7 6 5" xfId="3063"/>
    <cellStyle name="Calculation 7 6 6" xfId="3064"/>
    <cellStyle name="Calculation 7 60" xfId="3065"/>
    <cellStyle name="Calculation 7 61" xfId="3066"/>
    <cellStyle name="Calculation 7 62" xfId="3067"/>
    <cellStyle name="Calculation 7 63" xfId="3068"/>
    <cellStyle name="Calculation 7 64" xfId="3069"/>
    <cellStyle name="Calculation 7 65" xfId="3070"/>
    <cellStyle name="Calculation 7 66" xfId="3071"/>
    <cellStyle name="Calculation 7 7" xfId="3072"/>
    <cellStyle name="Calculation 7 7 2" xfId="3073"/>
    <cellStyle name="Calculation 7 7 3" xfId="3074"/>
    <cellStyle name="Calculation 7 7 4" xfId="3075"/>
    <cellStyle name="Calculation 7 7 5" xfId="3076"/>
    <cellStyle name="Calculation 7 7 6" xfId="3077"/>
    <cellStyle name="Calculation 7 8" xfId="3078"/>
    <cellStyle name="Calculation 7 8 2" xfId="3079"/>
    <cellStyle name="Calculation 7 8 3" xfId="3080"/>
    <cellStyle name="Calculation 7 8 4" xfId="3081"/>
    <cellStyle name="Calculation 7 8 5" xfId="3082"/>
    <cellStyle name="Calculation 7 8 6" xfId="3083"/>
    <cellStyle name="Calculation 7 9" xfId="3084"/>
    <cellStyle name="Calculation 7 9 2" xfId="3085"/>
    <cellStyle name="Calculation 7 9 3" xfId="3086"/>
    <cellStyle name="Calculation 7 9 4" xfId="3087"/>
    <cellStyle name="Calculation 7 9 5" xfId="3088"/>
    <cellStyle name="Calculation 7 9 6" xfId="3089"/>
    <cellStyle name="Calculation 8" xfId="3090"/>
    <cellStyle name="Calculation 8 10" xfId="3091"/>
    <cellStyle name="Calculation 8 10 2" xfId="3092"/>
    <cellStyle name="Calculation 8 10 3" xfId="3093"/>
    <cellStyle name="Calculation 8 10 4" xfId="3094"/>
    <cellStyle name="Calculation 8 10 5" xfId="3095"/>
    <cellStyle name="Calculation 8 10 6" xfId="3096"/>
    <cellStyle name="Calculation 8 11" xfId="3097"/>
    <cellStyle name="Calculation 8 11 2" xfId="3098"/>
    <cellStyle name="Calculation 8 11 3" xfId="3099"/>
    <cellStyle name="Calculation 8 11 4" xfId="3100"/>
    <cellStyle name="Calculation 8 11 5" xfId="3101"/>
    <cellStyle name="Calculation 8 11 6" xfId="3102"/>
    <cellStyle name="Calculation 8 12" xfId="3103"/>
    <cellStyle name="Calculation 8 12 2" xfId="3104"/>
    <cellStyle name="Calculation 8 12 3" xfId="3105"/>
    <cellStyle name="Calculation 8 12 4" xfId="3106"/>
    <cellStyle name="Calculation 8 12 5" xfId="3107"/>
    <cellStyle name="Calculation 8 12 6" xfId="3108"/>
    <cellStyle name="Calculation 8 13" xfId="3109"/>
    <cellStyle name="Calculation 8 13 2" xfId="3110"/>
    <cellStyle name="Calculation 8 13 3" xfId="3111"/>
    <cellStyle name="Calculation 8 13 4" xfId="3112"/>
    <cellStyle name="Calculation 8 13 5" xfId="3113"/>
    <cellStyle name="Calculation 8 13 6" xfId="3114"/>
    <cellStyle name="Calculation 8 14" xfId="3115"/>
    <cellStyle name="Calculation 8 14 2" xfId="3116"/>
    <cellStyle name="Calculation 8 14 3" xfId="3117"/>
    <cellStyle name="Calculation 8 14 4" xfId="3118"/>
    <cellStyle name="Calculation 8 14 5" xfId="3119"/>
    <cellStyle name="Calculation 8 14 6" xfId="3120"/>
    <cellStyle name="Calculation 8 15" xfId="3121"/>
    <cellStyle name="Calculation 8 15 2" xfId="3122"/>
    <cellStyle name="Calculation 8 15 3" xfId="3123"/>
    <cellStyle name="Calculation 8 15 4" xfId="3124"/>
    <cellStyle name="Calculation 8 15 5" xfId="3125"/>
    <cellStyle name="Calculation 8 15 6" xfId="3126"/>
    <cellStyle name="Calculation 8 16" xfId="3127"/>
    <cellStyle name="Calculation 8 16 2" xfId="3128"/>
    <cellStyle name="Calculation 8 16 3" xfId="3129"/>
    <cellStyle name="Calculation 8 16 4" xfId="3130"/>
    <cellStyle name="Calculation 8 16 5" xfId="3131"/>
    <cellStyle name="Calculation 8 16 6" xfId="3132"/>
    <cellStyle name="Calculation 8 17" xfId="3133"/>
    <cellStyle name="Calculation 8 17 2" xfId="3134"/>
    <cellStyle name="Calculation 8 17 3" xfId="3135"/>
    <cellStyle name="Calculation 8 17 4" xfId="3136"/>
    <cellStyle name="Calculation 8 17 5" xfId="3137"/>
    <cellStyle name="Calculation 8 17 6" xfId="3138"/>
    <cellStyle name="Calculation 8 18" xfId="3139"/>
    <cellStyle name="Calculation 8 18 2" xfId="3140"/>
    <cellStyle name="Calculation 8 18 3" xfId="3141"/>
    <cellStyle name="Calculation 8 18 4" xfId="3142"/>
    <cellStyle name="Calculation 8 18 5" xfId="3143"/>
    <cellStyle name="Calculation 8 18 6" xfId="3144"/>
    <cellStyle name="Calculation 8 19" xfId="3145"/>
    <cellStyle name="Calculation 8 19 2" xfId="3146"/>
    <cellStyle name="Calculation 8 19 3" xfId="3147"/>
    <cellStyle name="Calculation 8 19 4" xfId="3148"/>
    <cellStyle name="Calculation 8 19 5" xfId="3149"/>
    <cellStyle name="Calculation 8 19 6" xfId="3150"/>
    <cellStyle name="Calculation 8 2" xfId="3151"/>
    <cellStyle name="Calculation 8 2 10" xfId="3152"/>
    <cellStyle name="Calculation 8 2 2" xfId="3153"/>
    <cellStyle name="Calculation 8 2 2 2" xfId="3154"/>
    <cellStyle name="Calculation 8 2 2 3" xfId="3155"/>
    <cellStyle name="Calculation 8 2 2 4" xfId="3156"/>
    <cellStyle name="Calculation 8 2 2 5" xfId="3157"/>
    <cellStyle name="Calculation 8 2 2 6" xfId="3158"/>
    <cellStyle name="Calculation 8 2 3" xfId="3159"/>
    <cellStyle name="Calculation 8 2 3 2" xfId="3160"/>
    <cellStyle name="Calculation 8 2 3 3" xfId="3161"/>
    <cellStyle name="Calculation 8 2 3 4" xfId="3162"/>
    <cellStyle name="Calculation 8 2 3 5" xfId="3163"/>
    <cellStyle name="Calculation 8 2 3 6" xfId="3164"/>
    <cellStyle name="Calculation 8 2 4" xfId="3165"/>
    <cellStyle name="Calculation 8 2 4 2" xfId="3166"/>
    <cellStyle name="Calculation 8 2 4 3" xfId="3167"/>
    <cellStyle name="Calculation 8 2 4 4" xfId="3168"/>
    <cellStyle name="Calculation 8 2 4 5" xfId="3169"/>
    <cellStyle name="Calculation 8 2 4 6" xfId="3170"/>
    <cellStyle name="Calculation 8 2 5" xfId="3171"/>
    <cellStyle name="Calculation 8 2 5 2" xfId="3172"/>
    <cellStyle name="Calculation 8 2 5 3" xfId="3173"/>
    <cellStyle name="Calculation 8 2 5 4" xfId="3174"/>
    <cellStyle name="Calculation 8 2 5 5" xfId="3175"/>
    <cellStyle name="Calculation 8 2 5 6" xfId="3176"/>
    <cellStyle name="Calculation 8 2 6" xfId="3177"/>
    <cellStyle name="Calculation 8 2 7" xfId="3178"/>
    <cellStyle name="Calculation 8 2 8" xfId="3179"/>
    <cellStyle name="Calculation 8 2 9" xfId="3180"/>
    <cellStyle name="Calculation 8 20" xfId="3181"/>
    <cellStyle name="Calculation 8 20 2" xfId="3182"/>
    <cellStyle name="Calculation 8 20 3" xfId="3183"/>
    <cellStyle name="Calculation 8 20 4" xfId="3184"/>
    <cellStyle name="Calculation 8 20 5" xfId="3185"/>
    <cellStyle name="Calculation 8 20 6" xfId="3186"/>
    <cellStyle name="Calculation 8 21" xfId="3187"/>
    <cellStyle name="Calculation 8 21 2" xfId="3188"/>
    <cellStyle name="Calculation 8 21 3" xfId="3189"/>
    <cellStyle name="Calculation 8 21 4" xfId="3190"/>
    <cellStyle name="Calculation 8 21 5" xfId="3191"/>
    <cellStyle name="Calculation 8 21 6" xfId="3192"/>
    <cellStyle name="Calculation 8 22" xfId="3193"/>
    <cellStyle name="Calculation 8 22 2" xfId="3194"/>
    <cellStyle name="Calculation 8 22 3" xfId="3195"/>
    <cellStyle name="Calculation 8 22 4" xfId="3196"/>
    <cellStyle name="Calculation 8 22 5" xfId="3197"/>
    <cellStyle name="Calculation 8 22 6" xfId="3198"/>
    <cellStyle name="Calculation 8 23" xfId="3199"/>
    <cellStyle name="Calculation 8 23 2" xfId="3200"/>
    <cellStyle name="Calculation 8 23 3" xfId="3201"/>
    <cellStyle name="Calculation 8 23 4" xfId="3202"/>
    <cellStyle name="Calculation 8 23 5" xfId="3203"/>
    <cellStyle name="Calculation 8 23 6" xfId="3204"/>
    <cellStyle name="Calculation 8 24" xfId="3205"/>
    <cellStyle name="Calculation 8 24 2" xfId="3206"/>
    <cellStyle name="Calculation 8 24 3" xfId="3207"/>
    <cellStyle name="Calculation 8 24 4" xfId="3208"/>
    <cellStyle name="Calculation 8 24 5" xfId="3209"/>
    <cellStyle name="Calculation 8 24 6" xfId="3210"/>
    <cellStyle name="Calculation 8 25" xfId="3211"/>
    <cellStyle name="Calculation 8 25 2" xfId="3212"/>
    <cellStyle name="Calculation 8 25 3" xfId="3213"/>
    <cellStyle name="Calculation 8 25 4" xfId="3214"/>
    <cellStyle name="Calculation 8 25 5" xfId="3215"/>
    <cellStyle name="Calculation 8 25 6" xfId="3216"/>
    <cellStyle name="Calculation 8 26" xfId="3217"/>
    <cellStyle name="Calculation 8 26 2" xfId="3218"/>
    <cellStyle name="Calculation 8 26 3" xfId="3219"/>
    <cellStyle name="Calculation 8 26 4" xfId="3220"/>
    <cellStyle name="Calculation 8 26 5" xfId="3221"/>
    <cellStyle name="Calculation 8 26 6" xfId="3222"/>
    <cellStyle name="Calculation 8 27" xfId="3223"/>
    <cellStyle name="Calculation 8 27 2" xfId="3224"/>
    <cellStyle name="Calculation 8 27 3" xfId="3225"/>
    <cellStyle name="Calculation 8 27 4" xfId="3226"/>
    <cellStyle name="Calculation 8 27 5" xfId="3227"/>
    <cellStyle name="Calculation 8 27 6" xfId="3228"/>
    <cellStyle name="Calculation 8 28" xfId="3229"/>
    <cellStyle name="Calculation 8 28 2" xfId="3230"/>
    <cellStyle name="Calculation 8 28 3" xfId="3231"/>
    <cellStyle name="Calculation 8 28 4" xfId="3232"/>
    <cellStyle name="Calculation 8 28 5" xfId="3233"/>
    <cellStyle name="Calculation 8 28 6" xfId="3234"/>
    <cellStyle name="Calculation 8 29" xfId="3235"/>
    <cellStyle name="Calculation 8 29 2" xfId="3236"/>
    <cellStyle name="Calculation 8 29 3" xfId="3237"/>
    <cellStyle name="Calculation 8 29 4" xfId="3238"/>
    <cellStyle name="Calculation 8 3" xfId="3239"/>
    <cellStyle name="Calculation 8 3 2" xfId="3240"/>
    <cellStyle name="Calculation 8 3 3" xfId="3241"/>
    <cellStyle name="Calculation 8 3 4" xfId="3242"/>
    <cellStyle name="Calculation 8 3 5" xfId="3243"/>
    <cellStyle name="Calculation 8 3 6" xfId="3244"/>
    <cellStyle name="Calculation 8 30" xfId="3245"/>
    <cellStyle name="Calculation 8 31" xfId="3246"/>
    <cellStyle name="Calculation 8 32" xfId="3247"/>
    <cellStyle name="Calculation 8 33" xfId="3248"/>
    <cellStyle name="Calculation 8 34" xfId="3249"/>
    <cellStyle name="Calculation 8 35" xfId="3250"/>
    <cellStyle name="Calculation 8 36" xfId="3251"/>
    <cellStyle name="Calculation 8 37" xfId="3252"/>
    <cellStyle name="Calculation 8 38" xfId="3253"/>
    <cellStyle name="Calculation 8 39" xfId="3254"/>
    <cellStyle name="Calculation 8 4" xfId="3255"/>
    <cellStyle name="Calculation 8 4 2" xfId="3256"/>
    <cellStyle name="Calculation 8 4 3" xfId="3257"/>
    <cellStyle name="Calculation 8 4 4" xfId="3258"/>
    <cellStyle name="Calculation 8 4 5" xfId="3259"/>
    <cellStyle name="Calculation 8 4 6" xfId="3260"/>
    <cellStyle name="Calculation 8 40" xfId="3261"/>
    <cellStyle name="Calculation 8 41" xfId="3262"/>
    <cellStyle name="Calculation 8 42" xfId="3263"/>
    <cellStyle name="Calculation 8 43" xfId="3264"/>
    <cellStyle name="Calculation 8 44" xfId="3265"/>
    <cellStyle name="Calculation 8 45" xfId="3266"/>
    <cellStyle name="Calculation 8 46" xfId="3267"/>
    <cellStyle name="Calculation 8 47" xfId="3268"/>
    <cellStyle name="Calculation 8 48" xfId="3269"/>
    <cellStyle name="Calculation 8 49" xfId="3270"/>
    <cellStyle name="Calculation 8 5" xfId="3271"/>
    <cellStyle name="Calculation 8 5 2" xfId="3272"/>
    <cellStyle name="Calculation 8 5 3" xfId="3273"/>
    <cellStyle name="Calculation 8 5 4" xfId="3274"/>
    <cellStyle name="Calculation 8 5 5" xfId="3275"/>
    <cellStyle name="Calculation 8 5 6" xfId="3276"/>
    <cellStyle name="Calculation 8 50" xfId="3277"/>
    <cellStyle name="Calculation 8 51" xfId="3278"/>
    <cellStyle name="Calculation 8 52" xfId="3279"/>
    <cellStyle name="Calculation 8 53" xfId="3280"/>
    <cellStyle name="Calculation 8 54" xfId="3281"/>
    <cellStyle name="Calculation 8 55" xfId="3282"/>
    <cellStyle name="Calculation 8 56" xfId="3283"/>
    <cellStyle name="Calculation 8 57" xfId="3284"/>
    <cellStyle name="Calculation 8 58" xfId="3285"/>
    <cellStyle name="Calculation 8 59" xfId="3286"/>
    <cellStyle name="Calculation 8 6" xfId="3287"/>
    <cellStyle name="Calculation 8 6 2" xfId="3288"/>
    <cellStyle name="Calculation 8 6 3" xfId="3289"/>
    <cellStyle name="Calculation 8 6 4" xfId="3290"/>
    <cellStyle name="Calculation 8 6 5" xfId="3291"/>
    <cellStyle name="Calculation 8 6 6" xfId="3292"/>
    <cellStyle name="Calculation 8 60" xfId="3293"/>
    <cellStyle name="Calculation 8 61" xfId="3294"/>
    <cellStyle name="Calculation 8 62" xfId="3295"/>
    <cellStyle name="Calculation 8 63" xfId="3296"/>
    <cellStyle name="Calculation 8 64" xfId="3297"/>
    <cellStyle name="Calculation 8 65" xfId="3298"/>
    <cellStyle name="Calculation 8 66" xfId="3299"/>
    <cellStyle name="Calculation 8 7" xfId="3300"/>
    <cellStyle name="Calculation 8 7 2" xfId="3301"/>
    <cellStyle name="Calculation 8 7 3" xfId="3302"/>
    <cellStyle name="Calculation 8 7 4" xfId="3303"/>
    <cellStyle name="Calculation 8 7 5" xfId="3304"/>
    <cellStyle name="Calculation 8 7 6" xfId="3305"/>
    <cellStyle name="Calculation 8 8" xfId="3306"/>
    <cellStyle name="Calculation 8 8 2" xfId="3307"/>
    <cellStyle name="Calculation 8 8 3" xfId="3308"/>
    <cellStyle name="Calculation 8 8 4" xfId="3309"/>
    <cellStyle name="Calculation 8 8 5" xfId="3310"/>
    <cellStyle name="Calculation 8 8 6" xfId="3311"/>
    <cellStyle name="Calculation 8 9" xfId="3312"/>
    <cellStyle name="Calculation 8 9 2" xfId="3313"/>
    <cellStyle name="Calculation 8 9 3" xfId="3314"/>
    <cellStyle name="Calculation 8 9 4" xfId="3315"/>
    <cellStyle name="Calculation 8 9 5" xfId="3316"/>
    <cellStyle name="Calculation 8 9 6" xfId="3317"/>
    <cellStyle name="Calculation 9" xfId="3318"/>
    <cellStyle name="Calculation 9 10" xfId="3319"/>
    <cellStyle name="Calculation 9 10 2" xfId="3320"/>
    <cellStyle name="Calculation 9 10 3" xfId="3321"/>
    <cellStyle name="Calculation 9 10 4" xfId="3322"/>
    <cellStyle name="Calculation 9 10 5" xfId="3323"/>
    <cellStyle name="Calculation 9 10 6" xfId="3324"/>
    <cellStyle name="Calculation 9 11" xfId="3325"/>
    <cellStyle name="Calculation 9 11 2" xfId="3326"/>
    <cellStyle name="Calculation 9 11 3" xfId="3327"/>
    <cellStyle name="Calculation 9 11 4" xfId="3328"/>
    <cellStyle name="Calculation 9 11 5" xfId="3329"/>
    <cellStyle name="Calculation 9 11 6" xfId="3330"/>
    <cellStyle name="Calculation 9 12" xfId="3331"/>
    <cellStyle name="Calculation 9 12 2" xfId="3332"/>
    <cellStyle name="Calculation 9 12 3" xfId="3333"/>
    <cellStyle name="Calculation 9 12 4" xfId="3334"/>
    <cellStyle name="Calculation 9 12 5" xfId="3335"/>
    <cellStyle name="Calculation 9 12 6" xfId="3336"/>
    <cellStyle name="Calculation 9 13" xfId="3337"/>
    <cellStyle name="Calculation 9 13 2" xfId="3338"/>
    <cellStyle name="Calculation 9 13 3" xfId="3339"/>
    <cellStyle name="Calculation 9 13 4" xfId="3340"/>
    <cellStyle name="Calculation 9 13 5" xfId="3341"/>
    <cellStyle name="Calculation 9 13 6" xfId="3342"/>
    <cellStyle name="Calculation 9 14" xfId="3343"/>
    <cellStyle name="Calculation 9 14 2" xfId="3344"/>
    <cellStyle name="Calculation 9 14 3" xfId="3345"/>
    <cellStyle name="Calculation 9 14 4" xfId="3346"/>
    <cellStyle name="Calculation 9 14 5" xfId="3347"/>
    <cellStyle name="Calculation 9 14 6" xfId="3348"/>
    <cellStyle name="Calculation 9 15" xfId="3349"/>
    <cellStyle name="Calculation 9 15 2" xfId="3350"/>
    <cellStyle name="Calculation 9 15 3" xfId="3351"/>
    <cellStyle name="Calculation 9 15 4" xfId="3352"/>
    <cellStyle name="Calculation 9 15 5" xfId="3353"/>
    <cellStyle name="Calculation 9 15 6" xfId="3354"/>
    <cellStyle name="Calculation 9 16" xfId="3355"/>
    <cellStyle name="Calculation 9 16 2" xfId="3356"/>
    <cellStyle name="Calculation 9 16 3" xfId="3357"/>
    <cellStyle name="Calculation 9 16 4" xfId="3358"/>
    <cellStyle name="Calculation 9 16 5" xfId="3359"/>
    <cellStyle name="Calculation 9 16 6" xfId="3360"/>
    <cellStyle name="Calculation 9 17" xfId="3361"/>
    <cellStyle name="Calculation 9 17 2" xfId="3362"/>
    <cellStyle name="Calculation 9 17 3" xfId="3363"/>
    <cellStyle name="Calculation 9 17 4" xfId="3364"/>
    <cellStyle name="Calculation 9 17 5" xfId="3365"/>
    <cellStyle name="Calculation 9 17 6" xfId="3366"/>
    <cellStyle name="Calculation 9 18" xfId="3367"/>
    <cellStyle name="Calculation 9 18 2" xfId="3368"/>
    <cellStyle name="Calculation 9 18 3" xfId="3369"/>
    <cellStyle name="Calculation 9 18 4" xfId="3370"/>
    <cellStyle name="Calculation 9 18 5" xfId="3371"/>
    <cellStyle name="Calculation 9 18 6" xfId="3372"/>
    <cellStyle name="Calculation 9 19" xfId="3373"/>
    <cellStyle name="Calculation 9 19 2" xfId="3374"/>
    <cellStyle name="Calculation 9 19 3" xfId="3375"/>
    <cellStyle name="Calculation 9 19 4" xfId="3376"/>
    <cellStyle name="Calculation 9 19 5" xfId="3377"/>
    <cellStyle name="Calculation 9 19 6" xfId="3378"/>
    <cellStyle name="Calculation 9 2" xfId="3379"/>
    <cellStyle name="Calculation 9 2 10" xfId="3380"/>
    <cellStyle name="Calculation 9 2 2" xfId="3381"/>
    <cellStyle name="Calculation 9 2 2 2" xfId="3382"/>
    <cellStyle name="Calculation 9 2 2 3" xfId="3383"/>
    <cellStyle name="Calculation 9 2 2 4" xfId="3384"/>
    <cellStyle name="Calculation 9 2 2 5" xfId="3385"/>
    <cellStyle name="Calculation 9 2 2 6" xfId="3386"/>
    <cellStyle name="Calculation 9 2 3" xfId="3387"/>
    <cellStyle name="Calculation 9 2 3 2" xfId="3388"/>
    <cellStyle name="Calculation 9 2 3 3" xfId="3389"/>
    <cellStyle name="Calculation 9 2 3 4" xfId="3390"/>
    <cellStyle name="Calculation 9 2 3 5" xfId="3391"/>
    <cellStyle name="Calculation 9 2 3 6" xfId="3392"/>
    <cellStyle name="Calculation 9 2 4" xfId="3393"/>
    <cellStyle name="Calculation 9 2 4 2" xfId="3394"/>
    <cellStyle name="Calculation 9 2 4 3" xfId="3395"/>
    <cellStyle name="Calculation 9 2 4 4" xfId="3396"/>
    <cellStyle name="Calculation 9 2 4 5" xfId="3397"/>
    <cellStyle name="Calculation 9 2 4 6" xfId="3398"/>
    <cellStyle name="Calculation 9 2 5" xfId="3399"/>
    <cellStyle name="Calculation 9 2 5 2" xfId="3400"/>
    <cellStyle name="Calculation 9 2 5 3" xfId="3401"/>
    <cellStyle name="Calculation 9 2 5 4" xfId="3402"/>
    <cellStyle name="Calculation 9 2 5 5" xfId="3403"/>
    <cellStyle name="Calculation 9 2 5 6" xfId="3404"/>
    <cellStyle name="Calculation 9 2 6" xfId="3405"/>
    <cellStyle name="Calculation 9 2 7" xfId="3406"/>
    <cellStyle name="Calculation 9 2 8" xfId="3407"/>
    <cellStyle name="Calculation 9 2 9" xfId="3408"/>
    <cellStyle name="Calculation 9 20" xfId="3409"/>
    <cellStyle name="Calculation 9 20 2" xfId="3410"/>
    <cellStyle name="Calculation 9 20 3" xfId="3411"/>
    <cellStyle name="Calculation 9 20 4" xfId="3412"/>
    <cellStyle name="Calculation 9 20 5" xfId="3413"/>
    <cellStyle name="Calculation 9 20 6" xfId="3414"/>
    <cellStyle name="Calculation 9 21" xfId="3415"/>
    <cellStyle name="Calculation 9 21 2" xfId="3416"/>
    <cellStyle name="Calculation 9 21 3" xfId="3417"/>
    <cellStyle name="Calculation 9 21 4" xfId="3418"/>
    <cellStyle name="Calculation 9 21 5" xfId="3419"/>
    <cellStyle name="Calculation 9 21 6" xfId="3420"/>
    <cellStyle name="Calculation 9 22" xfId="3421"/>
    <cellStyle name="Calculation 9 22 2" xfId="3422"/>
    <cellStyle name="Calculation 9 22 3" xfId="3423"/>
    <cellStyle name="Calculation 9 22 4" xfId="3424"/>
    <cellStyle name="Calculation 9 22 5" xfId="3425"/>
    <cellStyle name="Calculation 9 22 6" xfId="3426"/>
    <cellStyle name="Calculation 9 23" xfId="3427"/>
    <cellStyle name="Calculation 9 23 2" xfId="3428"/>
    <cellStyle name="Calculation 9 23 3" xfId="3429"/>
    <cellStyle name="Calculation 9 23 4" xfId="3430"/>
    <cellStyle name="Calculation 9 23 5" xfId="3431"/>
    <cellStyle name="Calculation 9 23 6" xfId="3432"/>
    <cellStyle name="Calculation 9 24" xfId="3433"/>
    <cellStyle name="Calculation 9 24 2" xfId="3434"/>
    <cellStyle name="Calculation 9 24 3" xfId="3435"/>
    <cellStyle name="Calculation 9 24 4" xfId="3436"/>
    <cellStyle name="Calculation 9 24 5" xfId="3437"/>
    <cellStyle name="Calculation 9 24 6" xfId="3438"/>
    <cellStyle name="Calculation 9 25" xfId="3439"/>
    <cellStyle name="Calculation 9 25 2" xfId="3440"/>
    <cellStyle name="Calculation 9 25 3" xfId="3441"/>
    <cellStyle name="Calculation 9 25 4" xfId="3442"/>
    <cellStyle name="Calculation 9 25 5" xfId="3443"/>
    <cellStyle name="Calculation 9 25 6" xfId="3444"/>
    <cellStyle name="Calculation 9 26" xfId="3445"/>
    <cellStyle name="Calculation 9 26 2" xfId="3446"/>
    <cellStyle name="Calculation 9 26 3" xfId="3447"/>
    <cellStyle name="Calculation 9 26 4" xfId="3448"/>
    <cellStyle name="Calculation 9 26 5" xfId="3449"/>
    <cellStyle name="Calculation 9 26 6" xfId="3450"/>
    <cellStyle name="Calculation 9 27" xfId="3451"/>
    <cellStyle name="Calculation 9 27 2" xfId="3452"/>
    <cellStyle name="Calculation 9 27 3" xfId="3453"/>
    <cellStyle name="Calculation 9 27 4" xfId="3454"/>
    <cellStyle name="Calculation 9 27 5" xfId="3455"/>
    <cellStyle name="Calculation 9 27 6" xfId="3456"/>
    <cellStyle name="Calculation 9 28" xfId="3457"/>
    <cellStyle name="Calculation 9 28 2" xfId="3458"/>
    <cellStyle name="Calculation 9 28 3" xfId="3459"/>
    <cellStyle name="Calculation 9 28 4" xfId="3460"/>
    <cellStyle name="Calculation 9 28 5" xfId="3461"/>
    <cellStyle name="Calculation 9 28 6" xfId="3462"/>
    <cellStyle name="Calculation 9 29" xfId="3463"/>
    <cellStyle name="Calculation 9 29 2" xfId="3464"/>
    <cellStyle name="Calculation 9 29 3" xfId="3465"/>
    <cellStyle name="Calculation 9 29 4" xfId="3466"/>
    <cellStyle name="Calculation 9 3" xfId="3467"/>
    <cellStyle name="Calculation 9 3 2" xfId="3468"/>
    <cellStyle name="Calculation 9 3 3" xfId="3469"/>
    <cellStyle name="Calculation 9 3 4" xfId="3470"/>
    <cellStyle name="Calculation 9 3 5" xfId="3471"/>
    <cellStyle name="Calculation 9 3 6" xfId="3472"/>
    <cellStyle name="Calculation 9 30" xfId="3473"/>
    <cellStyle name="Calculation 9 31" xfId="3474"/>
    <cellStyle name="Calculation 9 32" xfId="3475"/>
    <cellStyle name="Calculation 9 33" xfId="3476"/>
    <cellStyle name="Calculation 9 34" xfId="3477"/>
    <cellStyle name="Calculation 9 35" xfId="3478"/>
    <cellStyle name="Calculation 9 36" xfId="3479"/>
    <cellStyle name="Calculation 9 37" xfId="3480"/>
    <cellStyle name="Calculation 9 38" xfId="3481"/>
    <cellStyle name="Calculation 9 39" xfId="3482"/>
    <cellStyle name="Calculation 9 4" xfId="3483"/>
    <cellStyle name="Calculation 9 4 2" xfId="3484"/>
    <cellStyle name="Calculation 9 4 3" xfId="3485"/>
    <cellStyle name="Calculation 9 4 4" xfId="3486"/>
    <cellStyle name="Calculation 9 4 5" xfId="3487"/>
    <cellStyle name="Calculation 9 4 6" xfId="3488"/>
    <cellStyle name="Calculation 9 40" xfId="3489"/>
    <cellStyle name="Calculation 9 41" xfId="3490"/>
    <cellStyle name="Calculation 9 42" xfId="3491"/>
    <cellStyle name="Calculation 9 43" xfId="3492"/>
    <cellStyle name="Calculation 9 44" xfId="3493"/>
    <cellStyle name="Calculation 9 45" xfId="3494"/>
    <cellStyle name="Calculation 9 46" xfId="3495"/>
    <cellStyle name="Calculation 9 47" xfId="3496"/>
    <cellStyle name="Calculation 9 48" xfId="3497"/>
    <cellStyle name="Calculation 9 49" xfId="3498"/>
    <cellStyle name="Calculation 9 5" xfId="3499"/>
    <cellStyle name="Calculation 9 5 2" xfId="3500"/>
    <cellStyle name="Calculation 9 5 3" xfId="3501"/>
    <cellStyle name="Calculation 9 5 4" xfId="3502"/>
    <cellStyle name="Calculation 9 5 5" xfId="3503"/>
    <cellStyle name="Calculation 9 5 6" xfId="3504"/>
    <cellStyle name="Calculation 9 50" xfId="3505"/>
    <cellStyle name="Calculation 9 51" xfId="3506"/>
    <cellStyle name="Calculation 9 52" xfId="3507"/>
    <cellStyle name="Calculation 9 53" xfId="3508"/>
    <cellStyle name="Calculation 9 54" xfId="3509"/>
    <cellStyle name="Calculation 9 55" xfId="3510"/>
    <cellStyle name="Calculation 9 56" xfId="3511"/>
    <cellStyle name="Calculation 9 57" xfId="3512"/>
    <cellStyle name="Calculation 9 58" xfId="3513"/>
    <cellStyle name="Calculation 9 59" xfId="3514"/>
    <cellStyle name="Calculation 9 6" xfId="3515"/>
    <cellStyle name="Calculation 9 6 2" xfId="3516"/>
    <cellStyle name="Calculation 9 6 3" xfId="3517"/>
    <cellStyle name="Calculation 9 6 4" xfId="3518"/>
    <cellStyle name="Calculation 9 6 5" xfId="3519"/>
    <cellStyle name="Calculation 9 6 6" xfId="3520"/>
    <cellStyle name="Calculation 9 60" xfId="3521"/>
    <cellStyle name="Calculation 9 61" xfId="3522"/>
    <cellStyle name="Calculation 9 62" xfId="3523"/>
    <cellStyle name="Calculation 9 63" xfId="3524"/>
    <cellStyle name="Calculation 9 64" xfId="3525"/>
    <cellStyle name="Calculation 9 65" xfId="3526"/>
    <cellStyle name="Calculation 9 66" xfId="3527"/>
    <cellStyle name="Calculation 9 7" xfId="3528"/>
    <cellStyle name="Calculation 9 7 2" xfId="3529"/>
    <cellStyle name="Calculation 9 7 3" xfId="3530"/>
    <cellStyle name="Calculation 9 7 4" xfId="3531"/>
    <cellStyle name="Calculation 9 7 5" xfId="3532"/>
    <cellStyle name="Calculation 9 7 6" xfId="3533"/>
    <cellStyle name="Calculation 9 8" xfId="3534"/>
    <cellStyle name="Calculation 9 8 2" xfId="3535"/>
    <cellStyle name="Calculation 9 8 3" xfId="3536"/>
    <cellStyle name="Calculation 9 8 4" xfId="3537"/>
    <cellStyle name="Calculation 9 8 5" xfId="3538"/>
    <cellStyle name="Calculation 9 8 6" xfId="3539"/>
    <cellStyle name="Calculation 9 9" xfId="3540"/>
    <cellStyle name="Calculation 9 9 2" xfId="3541"/>
    <cellStyle name="Calculation 9 9 3" xfId="3542"/>
    <cellStyle name="Calculation 9 9 4" xfId="3543"/>
    <cellStyle name="Calculation 9 9 5" xfId="3544"/>
    <cellStyle name="Calculation 9 9 6" xfId="3545"/>
    <cellStyle name="Catatan" xfId="20743"/>
    <cellStyle name="Catatan 2" xfId="20744"/>
    <cellStyle name="Catatan 3" xfId="20745"/>
    <cellStyle name="Cek Sel" xfId="20746"/>
    <cellStyle name="Cek Sel 2" xfId="20747"/>
    <cellStyle name="Cek Sel 3" xfId="20748"/>
    <cellStyle name="Check Cell 10" xfId="3546"/>
    <cellStyle name="Check Cell 10 2" xfId="3547"/>
    <cellStyle name="Check Cell 10 2 2" xfId="3548"/>
    <cellStyle name="Check Cell 10 2 2 2" xfId="3549"/>
    <cellStyle name="Check Cell 10 2 3" xfId="3550"/>
    <cellStyle name="Check Cell 10 2 3 2" xfId="3551"/>
    <cellStyle name="Check Cell 10 2 4" xfId="3552"/>
    <cellStyle name="Check Cell 10 2 5" xfId="3553"/>
    <cellStyle name="Check Cell 10 3" xfId="3554"/>
    <cellStyle name="Check Cell 10 3 2" xfId="3555"/>
    <cellStyle name="Check Cell 10 4" xfId="3556"/>
    <cellStyle name="Check Cell 10 4 2" xfId="3557"/>
    <cellStyle name="Check Cell 10 5" xfId="3558"/>
    <cellStyle name="Check Cell 10 6" xfId="3559"/>
    <cellStyle name="Check Cell 11" xfId="3560"/>
    <cellStyle name="Check Cell 11 2" xfId="3561"/>
    <cellStyle name="Check Cell 11 2 2" xfId="3562"/>
    <cellStyle name="Check Cell 11 2 2 2" xfId="3563"/>
    <cellStyle name="Check Cell 11 2 3" xfId="3564"/>
    <cellStyle name="Check Cell 11 2 3 2" xfId="3565"/>
    <cellStyle name="Check Cell 11 2 4" xfId="3566"/>
    <cellStyle name="Check Cell 11 2 5" xfId="3567"/>
    <cellStyle name="Check Cell 11 3" xfId="3568"/>
    <cellStyle name="Check Cell 11 3 2" xfId="3569"/>
    <cellStyle name="Check Cell 11 4" xfId="3570"/>
    <cellStyle name="Check Cell 11 4 2" xfId="3571"/>
    <cellStyle name="Check Cell 11 5" xfId="3572"/>
    <cellStyle name="Check Cell 11 6" xfId="3573"/>
    <cellStyle name="Check Cell 12" xfId="3574"/>
    <cellStyle name="Check Cell 12 2" xfId="3575"/>
    <cellStyle name="Check Cell 12 2 2" xfId="3576"/>
    <cellStyle name="Check Cell 12 3" xfId="3577"/>
    <cellStyle name="Check Cell 12 3 2" xfId="3578"/>
    <cellStyle name="Check Cell 12 4" xfId="3579"/>
    <cellStyle name="Check Cell 12 5" xfId="3580"/>
    <cellStyle name="Check Cell 2" xfId="3581"/>
    <cellStyle name="Check Cell 2 2" xfId="3582"/>
    <cellStyle name="Check Cell 2 2 2" xfId="3583"/>
    <cellStyle name="Check Cell 2 2 2 2" xfId="3584"/>
    <cellStyle name="Check Cell 2 2 3" xfId="3585"/>
    <cellStyle name="Check Cell 2 2 3 2" xfId="3586"/>
    <cellStyle name="Check Cell 2 2 4" xfId="3587"/>
    <cellStyle name="Check Cell 2 2 5" xfId="3588"/>
    <cellStyle name="Check Cell 2 3" xfId="3589"/>
    <cellStyle name="Check Cell 2 3 2" xfId="3590"/>
    <cellStyle name="Check Cell 2 4" xfId="3591"/>
    <cellStyle name="Check Cell 2 4 2" xfId="3592"/>
    <cellStyle name="Check Cell 2 5" xfId="3593"/>
    <cellStyle name="Check Cell 2 6" xfId="3594"/>
    <cellStyle name="Check Cell 3" xfId="3595"/>
    <cellStyle name="Check Cell 3 2" xfId="3596"/>
    <cellStyle name="Check Cell 3 2 2" xfId="3597"/>
    <cellStyle name="Check Cell 3 2 2 2" xfId="3598"/>
    <cellStyle name="Check Cell 3 2 3" xfId="3599"/>
    <cellStyle name="Check Cell 3 2 3 2" xfId="3600"/>
    <cellStyle name="Check Cell 3 2 4" xfId="3601"/>
    <cellStyle name="Check Cell 3 2 5" xfId="3602"/>
    <cellStyle name="Check Cell 3 3" xfId="3603"/>
    <cellStyle name="Check Cell 3 3 2" xfId="3604"/>
    <cellStyle name="Check Cell 3 4" xfId="3605"/>
    <cellStyle name="Check Cell 3 4 2" xfId="3606"/>
    <cellStyle name="Check Cell 3 5" xfId="3607"/>
    <cellStyle name="Check Cell 3 6" xfId="3608"/>
    <cellStyle name="Check Cell 4" xfId="3609"/>
    <cellStyle name="Check Cell 4 2" xfId="3610"/>
    <cellStyle name="Check Cell 4 2 2" xfId="3611"/>
    <cellStyle name="Check Cell 4 2 2 2" xfId="3612"/>
    <cellStyle name="Check Cell 4 2 3" xfId="3613"/>
    <cellStyle name="Check Cell 4 2 3 2" xfId="3614"/>
    <cellStyle name="Check Cell 4 2 4" xfId="3615"/>
    <cellStyle name="Check Cell 4 2 5" xfId="3616"/>
    <cellStyle name="Check Cell 4 3" xfId="3617"/>
    <cellStyle name="Check Cell 4 3 2" xfId="3618"/>
    <cellStyle name="Check Cell 4 4" xfId="3619"/>
    <cellStyle name="Check Cell 4 4 2" xfId="3620"/>
    <cellStyle name="Check Cell 4 5" xfId="3621"/>
    <cellStyle name="Check Cell 4 6" xfId="3622"/>
    <cellStyle name="Check Cell 5" xfId="3623"/>
    <cellStyle name="Check Cell 5 2" xfId="3624"/>
    <cellStyle name="Check Cell 5 2 2" xfId="3625"/>
    <cellStyle name="Check Cell 5 2 2 2" xfId="3626"/>
    <cellStyle name="Check Cell 5 2 3" xfId="3627"/>
    <cellStyle name="Check Cell 5 2 3 2" xfId="3628"/>
    <cellStyle name="Check Cell 5 2 4" xfId="3629"/>
    <cellStyle name="Check Cell 5 2 5" xfId="3630"/>
    <cellStyle name="Check Cell 5 3" xfId="3631"/>
    <cellStyle name="Check Cell 5 3 2" xfId="3632"/>
    <cellStyle name="Check Cell 5 4" xfId="3633"/>
    <cellStyle name="Check Cell 5 4 2" xfId="3634"/>
    <cellStyle name="Check Cell 5 5" xfId="3635"/>
    <cellStyle name="Check Cell 5 6" xfId="3636"/>
    <cellStyle name="Check Cell 6" xfId="3637"/>
    <cellStyle name="Check Cell 6 2" xfId="3638"/>
    <cellStyle name="Check Cell 6 2 2" xfId="3639"/>
    <cellStyle name="Check Cell 6 2 2 2" xfId="3640"/>
    <cellStyle name="Check Cell 6 2 3" xfId="3641"/>
    <cellStyle name="Check Cell 6 2 3 2" xfId="3642"/>
    <cellStyle name="Check Cell 6 2 4" xfId="3643"/>
    <cellStyle name="Check Cell 6 2 5" xfId="3644"/>
    <cellStyle name="Check Cell 6 3" xfId="3645"/>
    <cellStyle name="Check Cell 6 3 2" xfId="3646"/>
    <cellStyle name="Check Cell 6 4" xfId="3647"/>
    <cellStyle name="Check Cell 6 4 2" xfId="3648"/>
    <cellStyle name="Check Cell 6 5" xfId="3649"/>
    <cellStyle name="Check Cell 6 6" xfId="3650"/>
    <cellStyle name="Check Cell 7" xfId="3651"/>
    <cellStyle name="Check Cell 7 2" xfId="3652"/>
    <cellStyle name="Check Cell 7 2 2" xfId="3653"/>
    <cellStyle name="Check Cell 7 2 2 2" xfId="3654"/>
    <cellStyle name="Check Cell 7 2 3" xfId="3655"/>
    <cellStyle name="Check Cell 7 2 3 2" xfId="3656"/>
    <cellStyle name="Check Cell 7 2 4" xfId="3657"/>
    <cellStyle name="Check Cell 7 2 5" xfId="3658"/>
    <cellStyle name="Check Cell 7 3" xfId="3659"/>
    <cellStyle name="Check Cell 7 3 2" xfId="3660"/>
    <cellStyle name="Check Cell 7 4" xfId="3661"/>
    <cellStyle name="Check Cell 7 4 2" xfId="3662"/>
    <cellStyle name="Check Cell 7 5" xfId="3663"/>
    <cellStyle name="Check Cell 7 6" xfId="3664"/>
    <cellStyle name="Check Cell 8" xfId="3665"/>
    <cellStyle name="Check Cell 8 2" xfId="3666"/>
    <cellStyle name="Check Cell 8 2 2" xfId="3667"/>
    <cellStyle name="Check Cell 8 2 2 2" xfId="3668"/>
    <cellStyle name="Check Cell 8 2 3" xfId="3669"/>
    <cellStyle name="Check Cell 8 2 3 2" xfId="3670"/>
    <cellStyle name="Check Cell 8 2 4" xfId="3671"/>
    <cellStyle name="Check Cell 8 2 5" xfId="3672"/>
    <cellStyle name="Check Cell 8 3" xfId="3673"/>
    <cellStyle name="Check Cell 8 3 2" xfId="3674"/>
    <cellStyle name="Check Cell 8 4" xfId="3675"/>
    <cellStyle name="Check Cell 8 4 2" xfId="3676"/>
    <cellStyle name="Check Cell 8 5" xfId="3677"/>
    <cellStyle name="Check Cell 8 6" xfId="3678"/>
    <cellStyle name="Check Cell 9" xfId="3679"/>
    <cellStyle name="Check Cell 9 2" xfId="3680"/>
    <cellStyle name="Check Cell 9 2 2" xfId="3681"/>
    <cellStyle name="Check Cell 9 2 2 2" xfId="3682"/>
    <cellStyle name="Check Cell 9 2 3" xfId="3683"/>
    <cellStyle name="Check Cell 9 2 3 2" xfId="3684"/>
    <cellStyle name="Check Cell 9 2 4" xfId="3685"/>
    <cellStyle name="Check Cell 9 2 5" xfId="3686"/>
    <cellStyle name="Check Cell 9 3" xfId="3687"/>
    <cellStyle name="Check Cell 9 3 2" xfId="3688"/>
    <cellStyle name="Check Cell 9 4" xfId="3689"/>
    <cellStyle name="Check Cell 9 4 2" xfId="3690"/>
    <cellStyle name="Check Cell 9 5" xfId="3691"/>
    <cellStyle name="Check Cell 9 6" xfId="3692"/>
    <cellStyle name="Comma" xfId="2" builtinId="3"/>
    <cellStyle name="Comma  - Style1" xfId="20749"/>
    <cellStyle name="Comma  - Style2" xfId="20750"/>
    <cellStyle name="Comma  - Style3" xfId="20751"/>
    <cellStyle name="Comma [0]" xfId="1" builtinId="6"/>
    <cellStyle name="Comma [0] 10" xfId="3693"/>
    <cellStyle name="Comma [0] 10 2" xfId="3694"/>
    <cellStyle name="Comma [0] 10 2 2" xfId="3695"/>
    <cellStyle name="Comma [0] 10 2 2 2" xfId="3696"/>
    <cellStyle name="Comma [0] 10 2 2 2 2" xfId="3697"/>
    <cellStyle name="Comma [0] 10 2 2 2 2 2" xfId="3698"/>
    <cellStyle name="Comma [0] 10 2 2 2 2 3" xfId="3699"/>
    <cellStyle name="Comma [0] 10 2 2 2 3" xfId="3700"/>
    <cellStyle name="Comma [0] 10 2 2 2 3 2" xfId="3701"/>
    <cellStyle name="Comma [0] 10 2 2 2 4" xfId="3702"/>
    <cellStyle name="Comma [0] 10 2 2 2 4 2" xfId="3703"/>
    <cellStyle name="Comma [0] 10 2 2 2 4 2 2" xfId="3704"/>
    <cellStyle name="Comma [0] 10 2 2 2 4 3" xfId="3705"/>
    <cellStyle name="Comma [0] 10 2 2 2 5" xfId="3706"/>
    <cellStyle name="Comma [0] 10 2 2 2 5 2" xfId="3707"/>
    <cellStyle name="Comma [0] 10 2 2 2 6" xfId="3708"/>
    <cellStyle name="Comma [0] 10 2 2 2 7" xfId="3709"/>
    <cellStyle name="Comma [0] 10 2 2 3" xfId="3710"/>
    <cellStyle name="Comma [0] 10 2 2 3 2" xfId="3711"/>
    <cellStyle name="Comma [0] 10 2 2 3 2 2" xfId="3712"/>
    <cellStyle name="Comma [0] 10 2 2 3 3" xfId="12"/>
    <cellStyle name="Comma [0] 10 2 2 3 4" xfId="3713"/>
    <cellStyle name="Comma [0] 10 2 2 4" xfId="3714"/>
    <cellStyle name="Comma [0] 10 2 2 4 2" xfId="3715"/>
    <cellStyle name="Comma [0] 10 2 2 5" xfId="3716"/>
    <cellStyle name="Comma [0] 10 2 2 5 2" xfId="3717"/>
    <cellStyle name="Comma [0] 10 2 2 6" xfId="3718"/>
    <cellStyle name="Comma [0] 10 2 2 6 2" xfId="3719"/>
    <cellStyle name="Comma [0] 10 2 2 7" xfId="3720"/>
    <cellStyle name="Comma [0] 10 2 3" xfId="3721"/>
    <cellStyle name="Comma [0] 10 2 3 2" xfId="3722"/>
    <cellStyle name="Comma [0] 10 2 3 2 2" xfId="3723"/>
    <cellStyle name="Comma [0] 10 2 3 2 2 2" xfId="3724"/>
    <cellStyle name="Comma [0] 10 2 3 2 3" xfId="3725"/>
    <cellStyle name="Comma [0] 10 2 3 3" xfId="3726"/>
    <cellStyle name="Comma [0] 10 2 3 3 2" xfId="3727"/>
    <cellStyle name="Comma [0] 10 2 3 4" xfId="3728"/>
    <cellStyle name="Comma [0] 10 2 3 4 2" xfId="3729"/>
    <cellStyle name="Comma [0] 10 2 3 5" xfId="3730"/>
    <cellStyle name="Comma [0] 10 2 3 5 2" xfId="3731"/>
    <cellStyle name="Comma [0] 10 2 3 6" xfId="3732"/>
    <cellStyle name="Comma [0] 10 2 4" xfId="3733"/>
    <cellStyle name="Comma [0] 10 2 4 2" xfId="3734"/>
    <cellStyle name="Comma [0] 10 2 4 2 2" xfId="3735"/>
    <cellStyle name="Comma [0] 10 2 4 2 3" xfId="3736"/>
    <cellStyle name="Comma [0] 10 2 4 3" xfId="3737"/>
    <cellStyle name="Comma [0] 10 2 5" xfId="3738"/>
    <cellStyle name="Comma [0] 10 2 5 2" xfId="3739"/>
    <cellStyle name="Comma [0] 10 2 6" xfId="3740"/>
    <cellStyle name="Comma [0] 10 2 6 2" xfId="3741"/>
    <cellStyle name="Comma [0] 10 2 7" xfId="3742"/>
    <cellStyle name="Comma [0] 10 2 7 2" xfId="3743"/>
    <cellStyle name="Comma [0] 10 2 8" xfId="3744"/>
    <cellStyle name="Comma [0] 10 3" xfId="3745"/>
    <cellStyle name="Comma [0] 10 3 2" xfId="3746"/>
    <cellStyle name="Comma [0] 10 3 2 2" xfId="3747"/>
    <cellStyle name="Comma [0] 10 3 3" xfId="3748"/>
    <cellStyle name="Comma [0] 10 3 3 2" xfId="3749"/>
    <cellStyle name="Comma [0] 10 3 4" xfId="3750"/>
    <cellStyle name="Comma [0] 10 4" xfId="3751"/>
    <cellStyle name="Comma [0] 10 4 2" xfId="3752"/>
    <cellStyle name="Comma [0] 10 4 2 2" xfId="3753"/>
    <cellStyle name="Comma [0] 10 4 3" xfId="3754"/>
    <cellStyle name="Comma [0] 10 4 3 2" xfId="3755"/>
    <cellStyle name="Comma [0] 10 4 4" xfId="3756"/>
    <cellStyle name="Comma [0] 10 5" xfId="3757"/>
    <cellStyle name="Comma [0] 10 5 2" xfId="3758"/>
    <cellStyle name="Comma [0] 10 5 2 2" xfId="3759"/>
    <cellStyle name="Comma [0] 10 5 3" xfId="3760"/>
    <cellStyle name="Comma [0] 10 5 3 2" xfId="3761"/>
    <cellStyle name="Comma [0] 10 5 4" xfId="3762"/>
    <cellStyle name="Comma [0] 10 6" xfId="3763"/>
    <cellStyle name="Comma [0] 10 6 2" xfId="3764"/>
    <cellStyle name="Comma [0] 10 6 2 2" xfId="3765"/>
    <cellStyle name="Comma [0] 10 6 3" xfId="3766"/>
    <cellStyle name="Comma [0] 10 6 3 2" xfId="3767"/>
    <cellStyle name="Comma [0] 10 6 4" xfId="3768"/>
    <cellStyle name="Comma [0] 10 7" xfId="3769"/>
    <cellStyle name="Comma [0] 10 7 2" xfId="3770"/>
    <cellStyle name="Comma [0] 10 7 2 2" xfId="3771"/>
    <cellStyle name="Comma [0] 10 7 3" xfId="3772"/>
    <cellStyle name="Comma [0] 10 7 3 2" xfId="3773"/>
    <cellStyle name="Comma [0] 10 7 4" xfId="3774"/>
    <cellStyle name="Comma [0] 10 8" xfId="3775"/>
    <cellStyle name="Comma [0] 10 9" xfId="3776"/>
    <cellStyle name="Comma [0] 11" xfId="3777"/>
    <cellStyle name="Comma [0] 11 2" xfId="3778"/>
    <cellStyle name="Comma [0] 11 2 2" xfId="3779"/>
    <cellStyle name="Comma [0] 11 3" xfId="3780"/>
    <cellStyle name="Comma [0] 12" xfId="3781"/>
    <cellStyle name="Comma [0] 12 2" xfId="3782"/>
    <cellStyle name="Comma [0] 12 2 2" xfId="3783"/>
    <cellStyle name="Comma [0] 12 3" xfId="3784"/>
    <cellStyle name="Comma [0] 12 4" xfId="20660"/>
    <cellStyle name="Comma [0] 13" xfId="3785"/>
    <cellStyle name="Comma [0] 13 2" xfId="3786"/>
    <cellStyle name="Comma [0] 13 3" xfId="3787"/>
    <cellStyle name="Comma [0] 13 3 2" xfId="3788"/>
    <cellStyle name="Comma [0] 13 4" xfId="3789"/>
    <cellStyle name="Comma [0] 14" xfId="3790"/>
    <cellStyle name="Comma [0] 14 2" xfId="3791"/>
    <cellStyle name="Comma [0] 15" xfId="3792"/>
    <cellStyle name="Comma [0] 15 2" xfId="3793"/>
    <cellStyle name="Comma [0] 16" xfId="3794"/>
    <cellStyle name="Comma [0] 17" xfId="3795"/>
    <cellStyle name="Comma [0] 18" xfId="3796"/>
    <cellStyle name="Comma [0] 18 2" xfId="3797"/>
    <cellStyle name="Comma [0] 19" xfId="3798"/>
    <cellStyle name="Comma [0] 19 2" xfId="3799"/>
    <cellStyle name="Comma [0] 19 2 2" xfId="3800"/>
    <cellStyle name="Comma [0] 2" xfId="3801"/>
    <cellStyle name="Comma [0] 2 10" xfId="3802"/>
    <cellStyle name="Comma [0] 2 10 2" xfId="3803"/>
    <cellStyle name="Comma [0] 2 10 2 2" xfId="3804"/>
    <cellStyle name="Comma [0] 2 10 3" xfId="3805"/>
    <cellStyle name="Comma [0] 2 10 4" xfId="3806"/>
    <cellStyle name="Comma [0] 2 10 5" xfId="3807"/>
    <cellStyle name="Comma [0] 2 10 6" xfId="3808"/>
    <cellStyle name="Comma [0] 2 11" xfId="3809"/>
    <cellStyle name="Comma [0] 2 11 2" xfId="3810"/>
    <cellStyle name="Comma [0] 2 11 2 2" xfId="3811"/>
    <cellStyle name="Comma [0] 2 11 3" xfId="3812"/>
    <cellStyle name="Comma [0] 2 12" xfId="3813"/>
    <cellStyle name="Comma [0] 2 12 2" xfId="3814"/>
    <cellStyle name="Comma [0] 2 12 2 2" xfId="3815"/>
    <cellStyle name="Comma [0] 2 12 3" xfId="3816"/>
    <cellStyle name="Comma [0] 2 13" xfId="3817"/>
    <cellStyle name="Comma [0] 2 13 2" xfId="3818"/>
    <cellStyle name="Comma [0] 2 13 2 2" xfId="3819"/>
    <cellStyle name="Comma [0] 2 13 3" xfId="3820"/>
    <cellStyle name="Comma [0] 2 14" xfId="3821"/>
    <cellStyle name="Comma [0] 2 14 2" xfId="3822"/>
    <cellStyle name="Comma [0] 2 15" xfId="3823"/>
    <cellStyle name="Comma [0] 2 15 2" xfId="3824"/>
    <cellStyle name="Comma [0] 2 15 2 2" xfId="3825"/>
    <cellStyle name="Comma [0] 2 15 3" xfId="3826"/>
    <cellStyle name="Comma [0] 2 15 3 2" xfId="3827"/>
    <cellStyle name="Comma [0] 2 15 4" xfId="20661"/>
    <cellStyle name="Comma [0] 2 16" xfId="3828"/>
    <cellStyle name="Comma [0] 2 16 2" xfId="3829"/>
    <cellStyle name="Comma [0] 2 17" xfId="3830"/>
    <cellStyle name="Comma [0] 2 17 2" xfId="3831"/>
    <cellStyle name="Comma [0] 2 17 2 2" xfId="3832"/>
    <cellStyle name="Comma [0] 2 17 2 2 2" xfId="3833"/>
    <cellStyle name="Comma [0] 2 17 2 3" xfId="3834"/>
    <cellStyle name="Comma [0] 2 17 2 4" xfId="3835"/>
    <cellStyle name="Comma [0] 2 17 2 5" xfId="3836"/>
    <cellStyle name="Comma [0] 2 17 3" xfId="3837"/>
    <cellStyle name="Comma [0] 2 17 3 2" xfId="3838"/>
    <cellStyle name="Comma [0] 2 17 4" xfId="3839"/>
    <cellStyle name="Comma [0] 2 17 5" xfId="3840"/>
    <cellStyle name="Comma [0] 2 18" xfId="3841"/>
    <cellStyle name="Comma [0] 2 18 2" xfId="3842"/>
    <cellStyle name="Comma [0] 2 18 3" xfId="20662"/>
    <cellStyle name="Comma [0] 2 19" xfId="3843"/>
    <cellStyle name="Comma [0] 2 2" xfId="3844"/>
    <cellStyle name="Comma [0] 2 2 10" xfId="3845"/>
    <cellStyle name="Comma [0] 2 2 10 2" xfId="3846"/>
    <cellStyle name="Comma [0] 2 2 11" xfId="3847"/>
    <cellStyle name="Comma [0] 2 2 11 2" xfId="3848"/>
    <cellStyle name="Comma [0] 2 2 12" xfId="3849"/>
    <cellStyle name="Comma [0] 2 2 13" xfId="3850"/>
    <cellStyle name="Comma [0] 2 2 14" xfId="20663"/>
    <cellStyle name="Comma [0] 2 2 2" xfId="3851"/>
    <cellStyle name="Comma [0] 2 2 2 2" xfId="3852"/>
    <cellStyle name="Comma [0] 2 2 3" xfId="3853"/>
    <cellStyle name="Comma [0] 2 2 3 2" xfId="3854"/>
    <cellStyle name="Comma [0] 2 2 4" xfId="3855"/>
    <cellStyle name="Comma [0] 2 2 4 2" xfId="3856"/>
    <cellStyle name="Comma [0] 2 2 5" xfId="3857"/>
    <cellStyle name="Comma [0] 2 2 5 2" xfId="3858"/>
    <cellStyle name="Comma [0] 2 2 6" xfId="3859"/>
    <cellStyle name="Comma [0] 2 2 6 2" xfId="3860"/>
    <cellStyle name="Comma [0] 2 2 7" xfId="3861"/>
    <cellStyle name="Comma [0] 2 2 7 2" xfId="3862"/>
    <cellStyle name="Comma [0] 2 2 8" xfId="3863"/>
    <cellStyle name="Comma [0] 2 2 8 2" xfId="3864"/>
    <cellStyle name="Comma [0] 2 2 9" xfId="3865"/>
    <cellStyle name="Comma [0] 2 2 9 2" xfId="3866"/>
    <cellStyle name="Comma [0] 2 20" xfId="3867"/>
    <cellStyle name="Comma [0] 2 20 2" xfId="3868"/>
    <cellStyle name="Comma [0] 2 21" xfId="3869"/>
    <cellStyle name="Comma [0] 2 21 2" xfId="3870"/>
    <cellStyle name="Comma [0] 2 22" xfId="3871"/>
    <cellStyle name="Comma [0] 2 23" xfId="3872"/>
    <cellStyle name="Comma [0] 2 24" xfId="3873"/>
    <cellStyle name="Comma [0] 2 25" xfId="3874"/>
    <cellStyle name="Comma [0] 2 26" xfId="3875"/>
    <cellStyle name="Comma [0] 2 27" xfId="3876"/>
    <cellStyle name="Comma [0] 2 28" xfId="3877"/>
    <cellStyle name="Comma [0] 2 29" xfId="3878"/>
    <cellStyle name="Comma [0] 2 3" xfId="3879"/>
    <cellStyle name="Comma [0] 2 3 2" xfId="3880"/>
    <cellStyle name="Comma [0] 2 3 2 2" xfId="3881"/>
    <cellStyle name="Comma [0] 2 3 3" xfId="3882"/>
    <cellStyle name="Comma [0] 2 3 3 2" xfId="3883"/>
    <cellStyle name="Comma [0] 2 3 4" xfId="3884"/>
    <cellStyle name="Comma [0] 2 3 4 2" xfId="3885"/>
    <cellStyle name="Comma [0] 2 3 5" xfId="3886"/>
    <cellStyle name="Comma [0] 2 3 6" xfId="3887"/>
    <cellStyle name="Comma [0] 2 3 7" xfId="20664"/>
    <cellStyle name="Comma [0] 2 30" xfId="3888"/>
    <cellStyle name="Comma [0] 2 31" xfId="3889"/>
    <cellStyle name="Comma [0] 2 32" xfId="3890"/>
    <cellStyle name="Comma [0] 2 33" xfId="3891"/>
    <cellStyle name="Comma [0] 2 34" xfId="3892"/>
    <cellStyle name="Comma [0] 2 4" xfId="3893"/>
    <cellStyle name="Comma [0] 2 4 2" xfId="3894"/>
    <cellStyle name="Comma [0] 2 4 2 2" xfId="3895"/>
    <cellStyle name="Comma [0] 2 4 3" xfId="3896"/>
    <cellStyle name="Comma [0] 2 4 3 2" xfId="3897"/>
    <cellStyle name="Comma [0] 2 4 4" xfId="3898"/>
    <cellStyle name="Comma [0] 2 4 4 2" xfId="3899"/>
    <cellStyle name="Comma [0] 2 4 5" xfId="3900"/>
    <cellStyle name="Comma [0] 2 4 6" xfId="3901"/>
    <cellStyle name="Comma [0] 2 4 7" xfId="20665"/>
    <cellStyle name="Comma [0] 2 5" xfId="3902"/>
    <cellStyle name="Comma [0] 2 5 2" xfId="3903"/>
    <cellStyle name="Comma [0] 2 5 2 2" xfId="3904"/>
    <cellStyle name="Comma [0] 2 5 3" xfId="3905"/>
    <cellStyle name="Comma [0] 2 5 3 2" xfId="3906"/>
    <cellStyle name="Comma [0] 2 5 4" xfId="3907"/>
    <cellStyle name="Comma [0] 2 5 4 2" xfId="3908"/>
    <cellStyle name="Comma [0] 2 5 5" xfId="3909"/>
    <cellStyle name="Comma [0] 2 5 6" xfId="3910"/>
    <cellStyle name="Comma [0] 2 5 7" xfId="20666"/>
    <cellStyle name="Comma [0] 2 6" xfId="3911"/>
    <cellStyle name="Comma [0] 2 6 2" xfId="3912"/>
    <cellStyle name="Comma [0] 2 6 2 2" xfId="3913"/>
    <cellStyle name="Comma [0] 2 6 3" xfId="3914"/>
    <cellStyle name="Comma [0] 2 6 3 2" xfId="3915"/>
    <cellStyle name="Comma [0] 2 6 4" xfId="3916"/>
    <cellStyle name="Comma [0] 2 6 4 2" xfId="3917"/>
    <cellStyle name="Comma [0] 2 6 5" xfId="3918"/>
    <cellStyle name="Comma [0] 2 6 6" xfId="3919"/>
    <cellStyle name="Comma [0] 2 6 7" xfId="20667"/>
    <cellStyle name="Comma [0] 2 7" xfId="3920"/>
    <cellStyle name="Comma [0] 2 7 2" xfId="3921"/>
    <cellStyle name="Comma [0] 2 7 2 2" xfId="3922"/>
    <cellStyle name="Comma [0] 2 7 3" xfId="3923"/>
    <cellStyle name="Comma [0] 2 7 3 2" xfId="3924"/>
    <cellStyle name="Comma [0] 2 7 4" xfId="3925"/>
    <cellStyle name="Comma [0] 2 7 4 2" xfId="3926"/>
    <cellStyle name="Comma [0] 2 7 5" xfId="3927"/>
    <cellStyle name="Comma [0] 2 7 6" xfId="3928"/>
    <cellStyle name="Comma [0] 2 7 7" xfId="20668"/>
    <cellStyle name="Comma [0] 2 8" xfId="3929"/>
    <cellStyle name="Comma [0] 2 8 2" xfId="3930"/>
    <cellStyle name="Comma [0] 2 8 2 2" xfId="3931"/>
    <cellStyle name="Comma [0] 2 8 3" xfId="3932"/>
    <cellStyle name="Comma [0] 2 8 3 2" xfId="3933"/>
    <cellStyle name="Comma [0] 2 8 3 3" xfId="3934"/>
    <cellStyle name="Comma [0] 2 8 4" xfId="3935"/>
    <cellStyle name="Comma [0] 2 8 4 2" xfId="3936"/>
    <cellStyle name="Comma [0] 2 8 5" xfId="3937"/>
    <cellStyle name="Comma [0] 2 8 5 2" xfId="3938"/>
    <cellStyle name="Comma [0] 2 8 6" xfId="3939"/>
    <cellStyle name="Comma [0] 2 8 6 2" xfId="3940"/>
    <cellStyle name="Comma [0] 2 8 7" xfId="3941"/>
    <cellStyle name="Comma [0] 2 9" xfId="3942"/>
    <cellStyle name="Comma [0] 2 9 2" xfId="3943"/>
    <cellStyle name="Comma [0] 2 9 2 2" xfId="3944"/>
    <cellStyle name="Comma [0] 2 9 3" xfId="3945"/>
    <cellStyle name="Comma [0] 2 9 3 2" xfId="3946"/>
    <cellStyle name="Comma [0] 2 9 3 3" xfId="3947"/>
    <cellStyle name="Comma [0] 2 9 4" xfId="3948"/>
    <cellStyle name="Comma [0] 2 9 4 2" xfId="3949"/>
    <cellStyle name="Comma [0] 2 9 5" xfId="3950"/>
    <cellStyle name="Comma [0] 2 9 5 2" xfId="3951"/>
    <cellStyle name="Comma [0] 2 9 6" xfId="3952"/>
    <cellStyle name="Comma [0] 2 9 6 2" xfId="3953"/>
    <cellStyle name="Comma [0] 2 9 7" xfId="3954"/>
    <cellStyle name="Comma [0] 2_Trial Balance Apr11-Mar12 Oil MillA" xfId="3955"/>
    <cellStyle name="Comma [0] 21" xfId="3956"/>
    <cellStyle name="Comma [0] 21 2" xfId="3957"/>
    <cellStyle name="Comma [0] 21 2 2" xfId="3958"/>
    <cellStyle name="Comma [0] 21 3" xfId="3959"/>
    <cellStyle name="Comma [0] 21 3 2" xfId="3960"/>
    <cellStyle name="Comma [0] 21 4" xfId="3961"/>
    <cellStyle name="Comma [0] 3" xfId="3962"/>
    <cellStyle name="Comma [0] 3 10" xfId="3963"/>
    <cellStyle name="Comma [0] 3 2" xfId="3964"/>
    <cellStyle name="Comma [0] 3 2 2" xfId="3965"/>
    <cellStyle name="Comma [0] 3 2 2 2" xfId="3966"/>
    <cellStyle name="Comma [0] 3 2 3" xfId="3967"/>
    <cellStyle name="Comma [0] 3 2 3 2" xfId="3968"/>
    <cellStyle name="Comma [0] 3 2 4" xfId="3969"/>
    <cellStyle name="Comma [0] 3 2 4 2" xfId="3970"/>
    <cellStyle name="Comma [0] 3 2 5" xfId="3971"/>
    <cellStyle name="Comma [0] 3 2 6" xfId="3972"/>
    <cellStyle name="Comma [0] 3 3" xfId="3973"/>
    <cellStyle name="Comma [0] 3 3 2" xfId="3974"/>
    <cellStyle name="Comma [0] 3 3 2 2" xfId="3975"/>
    <cellStyle name="Comma [0] 3 3 3" xfId="3976"/>
    <cellStyle name="Comma [0] 3 3 3 2" xfId="3977"/>
    <cellStyle name="Comma [0] 3 3 4" xfId="3978"/>
    <cellStyle name="Comma [0] 3 3 4 2" xfId="3979"/>
    <cellStyle name="Comma [0] 3 3 5" xfId="3980"/>
    <cellStyle name="Comma [0] 3 3 6" xfId="3981"/>
    <cellStyle name="Comma [0] 3 4" xfId="3982"/>
    <cellStyle name="Comma [0] 3 4 2" xfId="3983"/>
    <cellStyle name="Comma [0] 3 5" xfId="3984"/>
    <cellStyle name="Comma [0] 3 5 2" xfId="3985"/>
    <cellStyle name="Comma [0] 3 5 2 2" xfId="3986"/>
    <cellStyle name="Comma [0] 3 5 3" xfId="3987"/>
    <cellStyle name="Comma [0] 3 6" xfId="3988"/>
    <cellStyle name="Comma [0] 3 6 2" xfId="3989"/>
    <cellStyle name="Comma [0] 3 6 2 2" xfId="3990"/>
    <cellStyle name="Comma [0] 3 6 2 2 2" xfId="3991"/>
    <cellStyle name="Comma [0] 3 6 2 3" xfId="3992"/>
    <cellStyle name="Comma [0] 3 6 2 3 2" xfId="3993"/>
    <cellStyle name="Comma [0] 3 6 2 4" xfId="3994"/>
    <cellStyle name="Comma [0] 3 6 3" xfId="20669"/>
    <cellStyle name="Comma [0] 3 7" xfId="3995"/>
    <cellStyle name="Comma [0] 3 8" xfId="3996"/>
    <cellStyle name="Comma [0] 3 8 2" xfId="3997"/>
    <cellStyle name="Comma [0] 3 9" xfId="3998"/>
    <cellStyle name="Comma [0] 4" xfId="6"/>
    <cellStyle name="Comma [0] 4 10" xfId="3999"/>
    <cellStyle name="Comma [0] 4 2" xfId="4000"/>
    <cellStyle name="Comma [0] 4 2 2" xfId="4001"/>
    <cellStyle name="Comma [0] 4 3" xfId="4002"/>
    <cellStyle name="Comma [0] 4 3 2" xfId="4003"/>
    <cellStyle name="Comma [0] 4 4" xfId="4004"/>
    <cellStyle name="Comma [0] 4 4 2" xfId="4005"/>
    <cellStyle name="Comma [0] 4 5" xfId="4006"/>
    <cellStyle name="Comma [0] 4 5 2" xfId="4007"/>
    <cellStyle name="Comma [0] 4 6" xfId="4008"/>
    <cellStyle name="Comma [0] 4 6 2" xfId="4009"/>
    <cellStyle name="Comma [0] 4 6 2 2" xfId="4010"/>
    <cellStyle name="Comma [0] 4 6 3" xfId="4011"/>
    <cellStyle name="Comma [0] 4 7" xfId="4012"/>
    <cellStyle name="Comma [0] 4 7 2" xfId="4013"/>
    <cellStyle name="Comma [0] 4 8" xfId="4014"/>
    <cellStyle name="Comma [0] 4 9" xfId="4015"/>
    <cellStyle name="Comma [0] 5" xfId="4016"/>
    <cellStyle name="Comma [0] 5 2" xfId="4017"/>
    <cellStyle name="Comma [0] 5 2 2" xfId="4018"/>
    <cellStyle name="Comma [0] 5 2 2 2" xfId="4019"/>
    <cellStyle name="Comma [0] 5 2 2 2 2" xfId="4020"/>
    <cellStyle name="Comma [0] 5 2 2 3" xfId="4021"/>
    <cellStyle name="Comma [0] 5 2 2 3 2" xfId="4022"/>
    <cellStyle name="Comma [0] 5 2 2 4" xfId="4023"/>
    <cellStyle name="Comma [0] 5 2 2 5" xfId="4024"/>
    <cellStyle name="Comma [0] 5 2 2 6" xfId="20670"/>
    <cellStyle name="Comma [0] 5 2 3" xfId="4025"/>
    <cellStyle name="Comma [0] 5 2 3 2" xfId="4026"/>
    <cellStyle name="Comma [0] 5 2 4" xfId="4027"/>
    <cellStyle name="Comma [0] 5 2 4 2" xfId="4028"/>
    <cellStyle name="Comma [0] 5 2 5" xfId="4029"/>
    <cellStyle name="Comma [0] 5 2 5 2" xfId="4030"/>
    <cellStyle name="Comma [0] 5 2 6" xfId="4031"/>
    <cellStyle name="Comma [0] 5 2 7" xfId="4032"/>
    <cellStyle name="Comma [0] 5 3" xfId="4033"/>
    <cellStyle name="Comma [0] 5 3 2" xfId="4034"/>
    <cellStyle name="Comma [0] 5 3 2 2" xfId="4035"/>
    <cellStyle name="Comma [0] 5 3 3" xfId="4036"/>
    <cellStyle name="Comma [0] 5 3 3 2" xfId="4037"/>
    <cellStyle name="Comma [0] 5 3 4" xfId="4038"/>
    <cellStyle name="Comma [0] 5 3 5" xfId="4039"/>
    <cellStyle name="Comma [0] 5 3 6" xfId="20671"/>
    <cellStyle name="Comma [0] 5 4" xfId="4040"/>
    <cellStyle name="Comma [0] 5 4 2" xfId="4041"/>
    <cellStyle name="Comma [0] 5 5" xfId="4042"/>
    <cellStyle name="Comma [0] 5 5 2" xfId="4043"/>
    <cellStyle name="Comma [0] 5 5 3" xfId="4044"/>
    <cellStyle name="Comma [0] 5 6" xfId="4045"/>
    <cellStyle name="Comma [0] 5 7" xfId="4046"/>
    <cellStyle name="Comma [0] 5 7 2" xfId="4047"/>
    <cellStyle name="Comma [0] 5 8" xfId="4048"/>
    <cellStyle name="Comma [0] 6" xfId="4049"/>
    <cellStyle name="Comma [0] 6 2" xfId="4050"/>
    <cellStyle name="Comma [0] 6 2 2" xfId="4051"/>
    <cellStyle name="Comma [0] 6 2 2 2" xfId="4052"/>
    <cellStyle name="Comma [0] 6 2 3" xfId="4053"/>
    <cellStyle name="Comma [0] 6 2 3 2" xfId="4054"/>
    <cellStyle name="Comma [0] 6 2 4" xfId="4055"/>
    <cellStyle name="Comma [0] 6 2 4 2" xfId="4056"/>
    <cellStyle name="Comma [0] 6 2 5" xfId="4057"/>
    <cellStyle name="Comma [0] 6 2 5 2" xfId="4058"/>
    <cellStyle name="Comma [0] 6 2 6" xfId="4059"/>
    <cellStyle name="Comma [0] 6 3" xfId="4060"/>
    <cellStyle name="Comma [0] 6 3 2" xfId="4061"/>
    <cellStyle name="Comma [0] 6 3 2 2" xfId="4062"/>
    <cellStyle name="Comma [0] 6 3 2 3" xfId="4063"/>
    <cellStyle name="Comma [0] 6 3 3" xfId="4064"/>
    <cellStyle name="Comma [0] 6 3 3 2" xfId="4065"/>
    <cellStyle name="Comma [0] 6 3 3 3" xfId="4066"/>
    <cellStyle name="Comma [0] 6 3 4" xfId="4067"/>
    <cellStyle name="Comma [0] 6 3 4 2" xfId="4068"/>
    <cellStyle name="Comma [0] 6 3 4 3" xfId="4069"/>
    <cellStyle name="Comma [0] 6 3 5" xfId="4070"/>
    <cellStyle name="Comma [0] 6 4" xfId="4071"/>
    <cellStyle name="Comma [0] 6 4 2" xfId="4072"/>
    <cellStyle name="Comma [0] 6 5" xfId="4073"/>
    <cellStyle name="Comma [0] 6 5 2" xfId="4074"/>
    <cellStyle name="Comma [0] 6 6" xfId="4075"/>
    <cellStyle name="Comma [0] 6 7" xfId="4076"/>
    <cellStyle name="Comma [0] 7" xfId="4077"/>
    <cellStyle name="Comma [0] 7 2" xfId="4078"/>
    <cellStyle name="Comma [0] 7 2 2" xfId="4079"/>
    <cellStyle name="Comma [0] 7 3" xfId="4080"/>
    <cellStyle name="Comma [0] 7 3 2" xfId="4081"/>
    <cellStyle name="Comma [0] 7 4" xfId="4082"/>
    <cellStyle name="Comma [0] 8" xfId="4083"/>
    <cellStyle name="Comma [0] 8 2" xfId="4084"/>
    <cellStyle name="Comma [0] 8 2 2" xfId="4085"/>
    <cellStyle name="Comma [0] 8 3" xfId="4086"/>
    <cellStyle name="Comma [0] 8 3 2" xfId="4087"/>
    <cellStyle name="Comma [0] 8 4" xfId="4088"/>
    <cellStyle name="Comma [0] 9" xfId="4089"/>
    <cellStyle name="Comma [0] 9 2" xfId="4090"/>
    <cellStyle name="Comma [0] 9 2 2" xfId="4091"/>
    <cellStyle name="Comma [0] 9 2 3" xfId="4092"/>
    <cellStyle name="Comma [0] 9 2 4" xfId="4093"/>
    <cellStyle name="Comma [0] 9 2 5" xfId="4094"/>
    <cellStyle name="Comma [0] 9 3" xfId="4095"/>
    <cellStyle name="Comma [0] 9 3 2" xfId="4096"/>
    <cellStyle name="Comma [0] 9 4" xfId="4097"/>
    <cellStyle name="Comma [0] 9 5" xfId="4098"/>
    <cellStyle name="Comma [00]" xfId="4099"/>
    <cellStyle name="Comma [00] 2" xfId="4100"/>
    <cellStyle name="Comma [00] 3" xfId="20752"/>
    <cellStyle name="Comma [00] 4" xfId="20753"/>
    <cellStyle name="Comma [00]_PKS" xfId="20754"/>
    <cellStyle name="Comma 10" xfId="10"/>
    <cellStyle name="Comma 10 10" xfId="4101"/>
    <cellStyle name="Comma 10 10 2" xfId="4102"/>
    <cellStyle name="Comma 10 10 2 2" xfId="4103"/>
    <cellStyle name="Comma 10 10 3" xfId="4104"/>
    <cellStyle name="Comma 10 10 3 2" xfId="4105"/>
    <cellStyle name="Comma 10 10 4" xfId="4106"/>
    <cellStyle name="Comma 10 11" xfId="4107"/>
    <cellStyle name="Comma 10 11 2" xfId="4108"/>
    <cellStyle name="Comma 10 11 2 2" xfId="4109"/>
    <cellStyle name="Comma 10 11 3" xfId="4110"/>
    <cellStyle name="Comma 10 11 3 2" xfId="4111"/>
    <cellStyle name="Comma 10 11 4" xfId="4112"/>
    <cellStyle name="Comma 10 12" xfId="4113"/>
    <cellStyle name="Comma 10 12 2" xfId="4114"/>
    <cellStyle name="Comma 10 12 2 2" xfId="4115"/>
    <cellStyle name="Comma 10 12 3" xfId="4116"/>
    <cellStyle name="Comma 10 12 3 2" xfId="4117"/>
    <cellStyle name="Comma 10 12 4" xfId="4118"/>
    <cellStyle name="Comma 10 13" xfId="4119"/>
    <cellStyle name="Comma 10 13 2" xfId="4120"/>
    <cellStyle name="Comma 10 13 2 2" xfId="4121"/>
    <cellStyle name="Comma 10 13 3" xfId="4122"/>
    <cellStyle name="Comma 10 13 3 2" xfId="4123"/>
    <cellStyle name="Comma 10 13 4" xfId="4124"/>
    <cellStyle name="Comma 10 14" xfId="4125"/>
    <cellStyle name="Comma 10 14 2" xfId="4126"/>
    <cellStyle name="Comma 10 14 2 2" xfId="4127"/>
    <cellStyle name="Comma 10 14 3" xfId="4128"/>
    <cellStyle name="Comma 10 14 3 2" xfId="4129"/>
    <cellStyle name="Comma 10 14 4" xfId="4130"/>
    <cellStyle name="Comma 10 15" xfId="4131"/>
    <cellStyle name="Comma 10 15 2" xfId="4132"/>
    <cellStyle name="Comma 10 15 2 2" xfId="4133"/>
    <cellStyle name="Comma 10 15 3" xfId="4134"/>
    <cellStyle name="Comma 10 15 3 2" xfId="4135"/>
    <cellStyle name="Comma 10 15 4" xfId="4136"/>
    <cellStyle name="Comma 10 16" xfId="4137"/>
    <cellStyle name="Comma 10 16 2" xfId="4138"/>
    <cellStyle name="Comma 10 17" xfId="4139"/>
    <cellStyle name="Comma 10 17 2" xfId="4140"/>
    <cellStyle name="Comma 10 18" xfId="4141"/>
    <cellStyle name="Comma 10 2" xfId="4142"/>
    <cellStyle name="Comma 10 2 2" xfId="4143"/>
    <cellStyle name="Comma 10 2 2 2" xfId="4144"/>
    <cellStyle name="Comma 10 2 3" xfId="4145"/>
    <cellStyle name="Comma 10 2 3 2" xfId="4146"/>
    <cellStyle name="Comma 10 2 4" xfId="4147"/>
    <cellStyle name="Comma 10 3" xfId="4148"/>
    <cellStyle name="Comma 10 3 2" xfId="4149"/>
    <cellStyle name="Comma 10 3 2 2" xfId="4150"/>
    <cellStyle name="Comma 10 3 3" xfId="4151"/>
    <cellStyle name="Comma 10 3 3 2" xfId="4152"/>
    <cellStyle name="Comma 10 3 4" xfId="4153"/>
    <cellStyle name="Comma 10 4" xfId="4154"/>
    <cellStyle name="Comma 10 4 2" xfId="4155"/>
    <cellStyle name="Comma 10 4 2 2" xfId="4156"/>
    <cellStyle name="Comma 10 4 3" xfId="4157"/>
    <cellStyle name="Comma 10 4 3 2" xfId="4158"/>
    <cellStyle name="Comma 10 4 4" xfId="4159"/>
    <cellStyle name="Comma 10 5" xfId="4160"/>
    <cellStyle name="Comma 10 5 2" xfId="4161"/>
    <cellStyle name="Comma 10 5 2 2" xfId="4162"/>
    <cellStyle name="Comma 10 5 3" xfId="4163"/>
    <cellStyle name="Comma 10 5 3 2" xfId="4164"/>
    <cellStyle name="Comma 10 5 4" xfId="4165"/>
    <cellStyle name="Comma 10 6" xfId="4166"/>
    <cellStyle name="Comma 10 6 2" xfId="4167"/>
    <cellStyle name="Comma 10 6 2 2" xfId="4168"/>
    <cellStyle name="Comma 10 6 3" xfId="4169"/>
    <cellStyle name="Comma 10 6 3 2" xfId="4170"/>
    <cellStyle name="Comma 10 6 4" xfId="4171"/>
    <cellStyle name="Comma 10 7" xfId="4172"/>
    <cellStyle name="Comma 10 7 2" xfId="4173"/>
    <cellStyle name="Comma 10 7 2 2" xfId="4174"/>
    <cellStyle name="Comma 10 7 3" xfId="4175"/>
    <cellStyle name="Comma 10 7 3 2" xfId="4176"/>
    <cellStyle name="Comma 10 7 4" xfId="4177"/>
    <cellStyle name="Comma 10 8" xfId="4178"/>
    <cellStyle name="Comma 10 8 2" xfId="4179"/>
    <cellStyle name="Comma 10 8 2 2" xfId="4180"/>
    <cellStyle name="Comma 10 8 3" xfId="4181"/>
    <cellStyle name="Comma 10 8 3 2" xfId="4182"/>
    <cellStyle name="Comma 10 8 4" xfId="4183"/>
    <cellStyle name="Comma 10 9" xfId="4184"/>
    <cellStyle name="Comma 10 9 2" xfId="4185"/>
    <cellStyle name="Comma 10 9 2 2" xfId="4186"/>
    <cellStyle name="Comma 10 9 3" xfId="4187"/>
    <cellStyle name="Comma 10 9 3 2" xfId="4188"/>
    <cellStyle name="Comma 10 9 4" xfId="4189"/>
    <cellStyle name="Comma 11" xfId="4190"/>
    <cellStyle name="Comma 11 10" xfId="4191"/>
    <cellStyle name="Comma 11 10 2" xfId="4192"/>
    <cellStyle name="Comma 11 10 2 2" xfId="4193"/>
    <cellStyle name="Comma 11 10 3" xfId="4194"/>
    <cellStyle name="Comma 11 10 3 2" xfId="4195"/>
    <cellStyle name="Comma 11 10 4" xfId="4196"/>
    <cellStyle name="Comma 11 11" xfId="4197"/>
    <cellStyle name="Comma 11 11 2" xfId="4198"/>
    <cellStyle name="Comma 11 11 2 2" xfId="4199"/>
    <cellStyle name="Comma 11 11 3" xfId="4200"/>
    <cellStyle name="Comma 11 11 3 2" xfId="4201"/>
    <cellStyle name="Comma 11 11 4" xfId="4202"/>
    <cellStyle name="Comma 11 12" xfId="4203"/>
    <cellStyle name="Comma 11 12 2" xfId="4204"/>
    <cellStyle name="Comma 11 12 2 2" xfId="4205"/>
    <cellStyle name="Comma 11 12 3" xfId="4206"/>
    <cellStyle name="Comma 11 12 3 2" xfId="4207"/>
    <cellStyle name="Comma 11 12 4" xfId="4208"/>
    <cellStyle name="Comma 11 13" xfId="4209"/>
    <cellStyle name="Comma 11 13 2" xfId="4210"/>
    <cellStyle name="Comma 11 13 2 2" xfId="4211"/>
    <cellStyle name="Comma 11 13 3" xfId="4212"/>
    <cellStyle name="Comma 11 13 3 2" xfId="4213"/>
    <cellStyle name="Comma 11 13 4" xfId="4214"/>
    <cellStyle name="Comma 11 14" xfId="4215"/>
    <cellStyle name="Comma 11 14 2" xfId="4216"/>
    <cellStyle name="Comma 11 14 2 2" xfId="4217"/>
    <cellStyle name="Comma 11 14 3" xfId="4218"/>
    <cellStyle name="Comma 11 14 3 2" xfId="4219"/>
    <cellStyle name="Comma 11 14 4" xfId="4220"/>
    <cellStyle name="Comma 11 15" xfId="4221"/>
    <cellStyle name="Comma 11 15 2" xfId="4222"/>
    <cellStyle name="Comma 11 15 2 2" xfId="4223"/>
    <cellStyle name="Comma 11 15 3" xfId="4224"/>
    <cellStyle name="Comma 11 15 3 2" xfId="4225"/>
    <cellStyle name="Comma 11 15 4" xfId="4226"/>
    <cellStyle name="Comma 11 16" xfId="4227"/>
    <cellStyle name="Comma 11 16 2" xfId="4228"/>
    <cellStyle name="Comma 11 17" xfId="4229"/>
    <cellStyle name="Comma 11 17 2" xfId="4230"/>
    <cellStyle name="Comma 11 18" xfId="4231"/>
    <cellStyle name="Comma 11 18 2" xfId="4232"/>
    <cellStyle name="Comma 11 19" xfId="4233"/>
    <cellStyle name="Comma 11 19 2" xfId="4234"/>
    <cellStyle name="Comma 11 2" xfId="4235"/>
    <cellStyle name="Comma 11 2 2" xfId="4236"/>
    <cellStyle name="Comma 11 2 2 2" xfId="4237"/>
    <cellStyle name="Comma 11 2 3" xfId="4238"/>
    <cellStyle name="Comma 11 2 3 2" xfId="4239"/>
    <cellStyle name="Comma 11 2 4" xfId="4240"/>
    <cellStyle name="Comma 11 2 4 2" xfId="4241"/>
    <cellStyle name="Comma 11 2 5" xfId="4242"/>
    <cellStyle name="Comma 11 2 5 2" xfId="4243"/>
    <cellStyle name="Comma 11 2 6" xfId="4244"/>
    <cellStyle name="Comma 11 2 6 2" xfId="4245"/>
    <cellStyle name="Comma 11 2 7" xfId="4246"/>
    <cellStyle name="Comma 11 2 8" xfId="4247"/>
    <cellStyle name="Comma 11 20" xfId="4248"/>
    <cellStyle name="Comma 11 20 2" xfId="4249"/>
    <cellStyle name="Comma 11 21" xfId="4250"/>
    <cellStyle name="Comma 11 22" xfId="4251"/>
    <cellStyle name="Comma 11 3" xfId="4252"/>
    <cellStyle name="Comma 11 3 2" xfId="4253"/>
    <cellStyle name="Comma 11 3 2 2" xfId="4254"/>
    <cellStyle name="Comma 11 3 3" xfId="4255"/>
    <cellStyle name="Comma 11 3 3 2" xfId="4256"/>
    <cellStyle name="Comma 11 3 4" xfId="4257"/>
    <cellStyle name="Comma 11 4" xfId="4258"/>
    <cellStyle name="Comma 11 4 2" xfId="4259"/>
    <cellStyle name="Comma 11 4 2 2" xfId="4260"/>
    <cellStyle name="Comma 11 4 3" xfId="4261"/>
    <cellStyle name="Comma 11 4 3 2" xfId="4262"/>
    <cellStyle name="Comma 11 4 4" xfId="4263"/>
    <cellStyle name="Comma 11 5" xfId="4264"/>
    <cellStyle name="Comma 11 5 2" xfId="4265"/>
    <cellStyle name="Comma 11 5 2 2" xfId="4266"/>
    <cellStyle name="Comma 11 5 3" xfId="4267"/>
    <cellStyle name="Comma 11 5 3 2" xfId="4268"/>
    <cellStyle name="Comma 11 5 4" xfId="4269"/>
    <cellStyle name="Comma 11 6" xfId="4270"/>
    <cellStyle name="Comma 11 6 2" xfId="4271"/>
    <cellStyle name="Comma 11 6 2 2" xfId="4272"/>
    <cellStyle name="Comma 11 6 3" xfId="4273"/>
    <cellStyle name="Comma 11 6 3 2" xfId="4274"/>
    <cellStyle name="Comma 11 6 4" xfId="4275"/>
    <cellStyle name="Comma 11 7" xfId="4276"/>
    <cellStyle name="Comma 11 7 2" xfId="4277"/>
    <cellStyle name="Comma 11 7 2 2" xfId="4278"/>
    <cellStyle name="Comma 11 7 3" xfId="4279"/>
    <cellStyle name="Comma 11 7 3 2" xfId="4280"/>
    <cellStyle name="Comma 11 7 4" xfId="4281"/>
    <cellStyle name="Comma 11 8" xfId="4282"/>
    <cellStyle name="Comma 11 8 2" xfId="4283"/>
    <cellStyle name="Comma 11 8 2 2" xfId="4284"/>
    <cellStyle name="Comma 11 8 3" xfId="4285"/>
    <cellStyle name="Comma 11 8 3 2" xfId="4286"/>
    <cellStyle name="Comma 11 8 4" xfId="4287"/>
    <cellStyle name="Comma 11 9" xfId="4288"/>
    <cellStyle name="Comma 11 9 2" xfId="4289"/>
    <cellStyle name="Comma 11 9 2 2" xfId="4290"/>
    <cellStyle name="Comma 11 9 3" xfId="4291"/>
    <cellStyle name="Comma 11 9 3 2" xfId="4292"/>
    <cellStyle name="Comma 11 9 4" xfId="4293"/>
    <cellStyle name="Comma 12" xfId="4294"/>
    <cellStyle name="Comma 12 10" xfId="4295"/>
    <cellStyle name="Comma 12 10 2" xfId="4296"/>
    <cellStyle name="Comma 12 10 2 2" xfId="4297"/>
    <cellStyle name="Comma 12 10 3" xfId="4298"/>
    <cellStyle name="Comma 12 10 3 2" xfId="4299"/>
    <cellStyle name="Comma 12 10 4" xfId="4300"/>
    <cellStyle name="Comma 12 11" xfId="4301"/>
    <cellStyle name="Comma 12 11 2" xfId="4302"/>
    <cellStyle name="Comma 12 11 2 2" xfId="4303"/>
    <cellStyle name="Comma 12 11 3" xfId="4304"/>
    <cellStyle name="Comma 12 11 3 2" xfId="4305"/>
    <cellStyle name="Comma 12 11 4" xfId="4306"/>
    <cellStyle name="Comma 12 12" xfId="4307"/>
    <cellStyle name="Comma 12 12 2" xfId="4308"/>
    <cellStyle name="Comma 12 12 2 2" xfId="4309"/>
    <cellStyle name="Comma 12 12 3" xfId="4310"/>
    <cellStyle name="Comma 12 12 3 2" xfId="4311"/>
    <cellStyle name="Comma 12 12 4" xfId="4312"/>
    <cellStyle name="Comma 12 13" xfId="4313"/>
    <cellStyle name="Comma 12 13 2" xfId="4314"/>
    <cellStyle name="Comma 12 13 2 2" xfId="4315"/>
    <cellStyle name="Comma 12 13 3" xfId="4316"/>
    <cellStyle name="Comma 12 13 3 2" xfId="4317"/>
    <cellStyle name="Comma 12 13 4" xfId="4318"/>
    <cellStyle name="Comma 12 14" xfId="4319"/>
    <cellStyle name="Comma 12 14 2" xfId="4320"/>
    <cellStyle name="Comma 12 14 2 2" xfId="4321"/>
    <cellStyle name="Comma 12 14 3" xfId="4322"/>
    <cellStyle name="Comma 12 14 3 2" xfId="4323"/>
    <cellStyle name="Comma 12 14 4" xfId="4324"/>
    <cellStyle name="Comma 12 15" xfId="4325"/>
    <cellStyle name="Comma 12 15 2" xfId="4326"/>
    <cellStyle name="Comma 12 15 2 2" xfId="4327"/>
    <cellStyle name="Comma 12 15 3" xfId="4328"/>
    <cellStyle name="Comma 12 15 3 2" xfId="4329"/>
    <cellStyle name="Comma 12 15 4" xfId="4330"/>
    <cellStyle name="Comma 12 16" xfId="4331"/>
    <cellStyle name="Comma 12 16 2" xfId="4332"/>
    <cellStyle name="Comma 12 17" xfId="4333"/>
    <cellStyle name="Comma 12 17 2" xfId="4334"/>
    <cellStyle name="Comma 12 18" xfId="4335"/>
    <cellStyle name="Comma 12 18 2" xfId="4336"/>
    <cellStyle name="Comma 12 19" xfId="4337"/>
    <cellStyle name="Comma 12 19 2" xfId="4338"/>
    <cellStyle name="Comma 12 2" xfId="4339"/>
    <cellStyle name="Comma 12 2 2" xfId="4340"/>
    <cellStyle name="Comma 12 2 2 2" xfId="4341"/>
    <cellStyle name="Comma 12 2 3" xfId="4342"/>
    <cellStyle name="Comma 12 2 3 2" xfId="4343"/>
    <cellStyle name="Comma 12 2 4" xfId="4344"/>
    <cellStyle name="Comma 12 2 4 2" xfId="4345"/>
    <cellStyle name="Comma 12 2 5" xfId="4346"/>
    <cellStyle name="Comma 12 2 5 2" xfId="4347"/>
    <cellStyle name="Comma 12 2 6" xfId="4348"/>
    <cellStyle name="Comma 12 2 6 2" xfId="4349"/>
    <cellStyle name="Comma 12 2 7" xfId="4350"/>
    <cellStyle name="Comma 12 2 8" xfId="4351"/>
    <cellStyle name="Comma 12 20" xfId="4352"/>
    <cellStyle name="Comma 12 20 2" xfId="4353"/>
    <cellStyle name="Comma 12 21" xfId="4354"/>
    <cellStyle name="Comma 12 22" xfId="4355"/>
    <cellStyle name="Comma 12 3" xfId="4356"/>
    <cellStyle name="Comma 12 3 2" xfId="4357"/>
    <cellStyle name="Comma 12 3 2 2" xfId="4358"/>
    <cellStyle name="Comma 12 3 3" xfId="4359"/>
    <cellStyle name="Comma 12 3 3 2" xfId="4360"/>
    <cellStyle name="Comma 12 3 4" xfId="4361"/>
    <cellStyle name="Comma 12 4" xfId="4362"/>
    <cellStyle name="Comma 12 4 2" xfId="4363"/>
    <cellStyle name="Comma 12 4 2 2" xfId="4364"/>
    <cellStyle name="Comma 12 4 3" xfId="4365"/>
    <cellStyle name="Comma 12 4 3 2" xfId="4366"/>
    <cellStyle name="Comma 12 4 4" xfId="4367"/>
    <cellStyle name="Comma 12 5" xfId="4368"/>
    <cellStyle name="Comma 12 5 2" xfId="4369"/>
    <cellStyle name="Comma 12 5 2 2" xfId="4370"/>
    <cellStyle name="Comma 12 5 3" xfId="4371"/>
    <cellStyle name="Comma 12 5 3 2" xfId="4372"/>
    <cellStyle name="Comma 12 5 4" xfId="4373"/>
    <cellStyle name="Comma 12 6" xfId="4374"/>
    <cellStyle name="Comma 12 6 2" xfId="4375"/>
    <cellStyle name="Comma 12 6 2 2" xfId="4376"/>
    <cellStyle name="Comma 12 6 3" xfId="4377"/>
    <cellStyle name="Comma 12 6 3 2" xfId="4378"/>
    <cellStyle name="Comma 12 6 4" xfId="4379"/>
    <cellStyle name="Comma 12 7" xfId="4380"/>
    <cellStyle name="Comma 12 7 2" xfId="4381"/>
    <cellStyle name="Comma 12 7 2 2" xfId="4382"/>
    <cellStyle name="Comma 12 7 3" xfId="4383"/>
    <cellStyle name="Comma 12 7 3 2" xfId="4384"/>
    <cellStyle name="Comma 12 7 4" xfId="4385"/>
    <cellStyle name="Comma 12 8" xfId="4386"/>
    <cellStyle name="Comma 12 8 2" xfId="4387"/>
    <cellStyle name="Comma 12 8 2 2" xfId="4388"/>
    <cellStyle name="Comma 12 8 3" xfId="4389"/>
    <cellStyle name="Comma 12 8 3 2" xfId="4390"/>
    <cellStyle name="Comma 12 8 4" xfId="4391"/>
    <cellStyle name="Comma 12 9" xfId="4392"/>
    <cellStyle name="Comma 12 9 2" xfId="4393"/>
    <cellStyle name="Comma 12 9 2 2" xfId="4394"/>
    <cellStyle name="Comma 12 9 3" xfId="4395"/>
    <cellStyle name="Comma 12 9 3 2" xfId="4396"/>
    <cellStyle name="Comma 12 9 4" xfId="4397"/>
    <cellStyle name="Comma 13" xfId="4398"/>
    <cellStyle name="Comma 13 2" xfId="4399"/>
    <cellStyle name="Comma 13 2 2" xfId="4400"/>
    <cellStyle name="Comma 13 3" xfId="4401"/>
    <cellStyle name="Comma 13 3 2" xfId="4402"/>
    <cellStyle name="Comma 13 4" xfId="4403"/>
    <cellStyle name="Comma 13 4 2" xfId="4404"/>
    <cellStyle name="Comma 13 5" xfId="4405"/>
    <cellStyle name="Comma 13 6" xfId="4406"/>
    <cellStyle name="Comma 14" xfId="4407"/>
    <cellStyle name="Comma 14 2" xfId="4408"/>
    <cellStyle name="Comma 14 2 2" xfId="4409"/>
    <cellStyle name="Comma 14 3" xfId="4410"/>
    <cellStyle name="Comma 14 3 2" xfId="4411"/>
    <cellStyle name="Comma 14 4" xfId="4412"/>
    <cellStyle name="Comma 14 4 2" xfId="4413"/>
    <cellStyle name="Comma 14 5" xfId="4414"/>
    <cellStyle name="Comma 14 5 2" xfId="4415"/>
    <cellStyle name="Comma 14 6" xfId="4416"/>
    <cellStyle name="Comma 14 7" xfId="4417"/>
    <cellStyle name="Comma 15" xfId="4418"/>
    <cellStyle name="Comma 15 2" xfId="4419"/>
    <cellStyle name="Comma 15 2 2" xfId="4420"/>
    <cellStyle name="Comma 15 3" xfId="4421"/>
    <cellStyle name="Comma 15 3 2" xfId="4422"/>
    <cellStyle name="Comma 15 4" xfId="4423"/>
    <cellStyle name="Comma 15 4 2" xfId="4424"/>
    <cellStyle name="Comma 15 5" xfId="4425"/>
    <cellStyle name="Comma 15 5 2" xfId="4426"/>
    <cellStyle name="Comma 15 6" xfId="4427"/>
    <cellStyle name="Comma 15 7" xfId="4428"/>
    <cellStyle name="Comma 16" xfId="4429"/>
    <cellStyle name="Comma 16 2" xfId="4430"/>
    <cellStyle name="Comma 16 2 2" xfId="4431"/>
    <cellStyle name="Comma 16 3" xfId="4432"/>
    <cellStyle name="Comma 16 3 2" xfId="4433"/>
    <cellStyle name="Comma 16 4" xfId="4434"/>
    <cellStyle name="Comma 16 4 2" xfId="4435"/>
    <cellStyle name="Comma 16 5" xfId="4436"/>
    <cellStyle name="Comma 16 5 2" xfId="4437"/>
    <cellStyle name="Comma 16 6" xfId="4438"/>
    <cellStyle name="Comma 16 7" xfId="4439"/>
    <cellStyle name="Comma 17" xfId="4440"/>
    <cellStyle name="Comma 17 2" xfId="4441"/>
    <cellStyle name="Comma 17 2 2" xfId="4442"/>
    <cellStyle name="Comma 17 3" xfId="4443"/>
    <cellStyle name="Comma 17 3 2" xfId="4444"/>
    <cellStyle name="Comma 17 4" xfId="4445"/>
    <cellStyle name="Comma 17 5" xfId="4446"/>
    <cellStyle name="Comma 17 6" xfId="4447"/>
    <cellStyle name="Comma 17 7" xfId="4448"/>
    <cellStyle name="Comma 17 7 2" xfId="20672"/>
    <cellStyle name="Comma 17 8" xfId="4449"/>
    <cellStyle name="Comma 18" xfId="4450"/>
    <cellStyle name="Comma 18 2" xfId="4451"/>
    <cellStyle name="Comma 18 2 2" xfId="4452"/>
    <cellStyle name="Comma 18 2 2 2" xfId="4453"/>
    <cellStyle name="Comma 18 2 3" xfId="4454"/>
    <cellStyle name="Comma 18 2 3 2" xfId="4455"/>
    <cellStyle name="Comma 18 2 4" xfId="4456"/>
    <cellStyle name="Comma 18 2 4 2" xfId="4457"/>
    <cellStyle name="Comma 18 2 5" xfId="4458"/>
    <cellStyle name="Comma 18 2 5 2" xfId="4459"/>
    <cellStyle name="Comma 18 2 6" xfId="4460"/>
    <cellStyle name="Comma 18 2 6 2" xfId="4461"/>
    <cellStyle name="Comma 18 2 7" xfId="4462"/>
    <cellStyle name="Comma 18 2 8" xfId="4463"/>
    <cellStyle name="Comma 18 3" xfId="4464"/>
    <cellStyle name="Comma 18 3 2" xfId="4465"/>
    <cellStyle name="Comma 18 4" xfId="4466"/>
    <cellStyle name="Comma 18 4 2" xfId="4467"/>
    <cellStyle name="Comma 18 5" xfId="4468"/>
    <cellStyle name="Comma 18 5 2" xfId="4469"/>
    <cellStyle name="Comma 18 6" xfId="4470"/>
    <cellStyle name="Comma 18 7" xfId="4471"/>
    <cellStyle name="Comma 19" xfId="4472"/>
    <cellStyle name="Comma 19 2" xfId="4473"/>
    <cellStyle name="Comma 19 2 2" xfId="4474"/>
    <cellStyle name="Comma 19 2 2 2" xfId="4475"/>
    <cellStyle name="Comma 19 2 3" xfId="4476"/>
    <cellStyle name="Comma 19 2 3 2" xfId="4477"/>
    <cellStyle name="Comma 19 2 4" xfId="4478"/>
    <cellStyle name="Comma 19 2 4 2" xfId="4479"/>
    <cellStyle name="Comma 19 2 5" xfId="4480"/>
    <cellStyle name="Comma 19 2 5 2" xfId="4481"/>
    <cellStyle name="Comma 19 2 6" xfId="4482"/>
    <cellStyle name="Comma 19 2 6 2" xfId="4483"/>
    <cellStyle name="Comma 19 2 7" xfId="4484"/>
    <cellStyle name="Comma 19 2 8" xfId="4485"/>
    <cellStyle name="Comma 19 3" xfId="4486"/>
    <cellStyle name="Comma 19 3 2" xfId="4487"/>
    <cellStyle name="Comma 19 4" xfId="4488"/>
    <cellStyle name="Comma 19 4 2" xfId="4489"/>
    <cellStyle name="Comma 19 5" xfId="4490"/>
    <cellStyle name="Comma 19 5 2" xfId="4491"/>
    <cellStyle name="Comma 19 6" xfId="4492"/>
    <cellStyle name="Comma 19 7" xfId="4493"/>
    <cellStyle name="Comma 2" xfId="4494"/>
    <cellStyle name="Comma 2 10" xfId="4495"/>
    <cellStyle name="Comma 2 10 2" xfId="4496"/>
    <cellStyle name="Comma 2 11" xfId="4497"/>
    <cellStyle name="Comma 2 11 2" xfId="4498"/>
    <cellStyle name="Comma 2 11 2 2" xfId="4499"/>
    <cellStyle name="Comma 2 11 2 3" xfId="4500"/>
    <cellStyle name="Comma 2 11 3" xfId="4501"/>
    <cellStyle name="Comma 2 12" xfId="4502"/>
    <cellStyle name="Comma 2 12 2" xfId="4503"/>
    <cellStyle name="Comma 2 12 2 2" xfId="4504"/>
    <cellStyle name="Comma 2 12 3" xfId="4505"/>
    <cellStyle name="Comma 2 13" xfId="4506"/>
    <cellStyle name="Comma 2 13 2" xfId="4507"/>
    <cellStyle name="Comma 2 14" xfId="4508"/>
    <cellStyle name="Comma 2 14 2" xfId="4509"/>
    <cellStyle name="Comma 2 15" xfId="4510"/>
    <cellStyle name="Comma 2 15 2" xfId="4511"/>
    <cellStyle name="Comma 2 16" xfId="4512"/>
    <cellStyle name="Comma 2 16 2" xfId="4513"/>
    <cellStyle name="Comma 2 17" xfId="4514"/>
    <cellStyle name="Comma 2 17 2" xfId="4515"/>
    <cellStyle name="Comma 2 18" xfId="4516"/>
    <cellStyle name="Comma 2 18 2" xfId="4517"/>
    <cellStyle name="Comma 2 19" xfId="4518"/>
    <cellStyle name="Comma 2 19 2" xfId="4519"/>
    <cellStyle name="Comma 2 2" xfId="4520"/>
    <cellStyle name="Comma 2 2 10" xfId="4521"/>
    <cellStyle name="Comma 2 2 11" xfId="4522"/>
    <cellStyle name="Comma 2 2 12" xfId="4523"/>
    <cellStyle name="Comma 2 2 13" xfId="4524"/>
    <cellStyle name="Comma 2 2 14" xfId="4525"/>
    <cellStyle name="Comma 2 2 15" xfId="4526"/>
    <cellStyle name="Comma 2 2 16" xfId="4527"/>
    <cellStyle name="Comma 2 2 17" xfId="4528"/>
    <cellStyle name="Comma 2 2 18" xfId="4529"/>
    <cellStyle name="Comma 2 2 19" xfId="4530"/>
    <cellStyle name="Comma 2 2 2" xfId="4531"/>
    <cellStyle name="Comma 2 2 2 10" xfId="4532"/>
    <cellStyle name="Comma 2 2 2 11" xfId="4533"/>
    <cellStyle name="Comma 2 2 2 12" xfId="4534"/>
    <cellStyle name="Comma 2 2 2 13" xfId="4535"/>
    <cellStyle name="Comma 2 2 2 14" xfId="4536"/>
    <cellStyle name="Comma 2 2 2 15" xfId="4537"/>
    <cellStyle name="Comma 2 2 2 16" xfId="4538"/>
    <cellStyle name="Comma 2 2 2 17" xfId="20673"/>
    <cellStyle name="Comma 2 2 2 2" xfId="4539"/>
    <cellStyle name="Comma 2 2 2 2 2" xfId="4540"/>
    <cellStyle name="Comma 2 2 2 2 2 2" xfId="4541"/>
    <cellStyle name="Comma 2 2 2 3" xfId="4542"/>
    <cellStyle name="Comma 2 2 2 3 2" xfId="4543"/>
    <cellStyle name="Comma 2 2 2 4" xfId="4544"/>
    <cellStyle name="Comma 2 2 2 5" xfId="4545"/>
    <cellStyle name="Comma 2 2 2 6" xfId="4546"/>
    <cellStyle name="Comma 2 2 2 7" xfId="4547"/>
    <cellStyle name="Comma 2 2 2 8" xfId="4548"/>
    <cellStyle name="Comma 2 2 2 9" xfId="4549"/>
    <cellStyle name="Comma 2 2 20" xfId="4550"/>
    <cellStyle name="Comma 2 2 21" xfId="4551"/>
    <cellStyle name="Comma 2 2 22" xfId="4552"/>
    <cellStyle name="Comma 2 2 3" xfId="4553"/>
    <cellStyle name="Comma 2 2 3 2" xfId="4554"/>
    <cellStyle name="Comma 2 2 4" xfId="4555"/>
    <cellStyle name="Comma 2 2 4 2" xfId="4556"/>
    <cellStyle name="Comma 2 2 4 2 2" xfId="4557"/>
    <cellStyle name="Comma 2 2 4 2 2 2" xfId="4558"/>
    <cellStyle name="Comma 2 2 4 2 3" xfId="4559"/>
    <cellStyle name="Comma 2 2 4 2 3 2" xfId="4560"/>
    <cellStyle name="Comma 2 2 4 2 4" xfId="4561"/>
    <cellStyle name="Comma 2 2 4 2 5" xfId="4562"/>
    <cellStyle name="Comma 2 2 4 3" xfId="4563"/>
    <cellStyle name="Comma 2 2 4 3 2" xfId="4564"/>
    <cellStyle name="Comma 2 2 4 3 3" xfId="4565"/>
    <cellStyle name="Comma 2 2 4 3 4" xfId="4566"/>
    <cellStyle name="Comma 2 2 4 4" xfId="4567"/>
    <cellStyle name="Comma 2 2 4 4 2" xfId="4568"/>
    <cellStyle name="Comma 2 2 4 5" xfId="4569"/>
    <cellStyle name="Comma 2 2 4 6" xfId="4570"/>
    <cellStyle name="Comma 2 2 5" xfId="4571"/>
    <cellStyle name="Comma 2 2 5 2" xfId="4572"/>
    <cellStyle name="Comma 2 2 6" xfId="4573"/>
    <cellStyle name="Comma 2 2 6 2" xfId="4574"/>
    <cellStyle name="Comma 2 2 7" xfId="4575"/>
    <cellStyle name="Comma 2 2 8" xfId="4576"/>
    <cellStyle name="Comma 2 2 9" xfId="4577"/>
    <cellStyle name="Comma 2 20" xfId="4578"/>
    <cellStyle name="Comma 2 21" xfId="4579"/>
    <cellStyle name="Comma 2 22" xfId="4580"/>
    <cellStyle name="Comma 2 22 2" xfId="4581"/>
    <cellStyle name="Comma 2 23" xfId="4582"/>
    <cellStyle name="Comma 2 23 2" xfId="4583"/>
    <cellStyle name="Comma 2 24" xfId="4584"/>
    <cellStyle name="Comma 2 24 2" xfId="4585"/>
    <cellStyle name="Comma 2 25" xfId="4586"/>
    <cellStyle name="Comma 2 25 2" xfId="4587"/>
    <cellStyle name="Comma 2 26" xfId="4588"/>
    <cellStyle name="Comma 2 27" xfId="4589"/>
    <cellStyle name="Comma 2 3" xfId="4590"/>
    <cellStyle name="Comma 2 3 2" xfId="4591"/>
    <cellStyle name="Comma 2 3 2 2" xfId="4592"/>
    <cellStyle name="Comma 2 3 3" xfId="4593"/>
    <cellStyle name="Comma 2 3 3 2" xfId="4594"/>
    <cellStyle name="Comma 2 3 4" xfId="4595"/>
    <cellStyle name="Comma 2 3 4 2" xfId="4596"/>
    <cellStyle name="Comma 2 3 5" xfId="4597"/>
    <cellStyle name="Comma 2 3 5 2" xfId="4598"/>
    <cellStyle name="Comma 2 3 6" xfId="4599"/>
    <cellStyle name="Comma 2 3 7" xfId="4600"/>
    <cellStyle name="Comma 2 4" xfId="4601"/>
    <cellStyle name="Comma 2 4 2" xfId="4602"/>
    <cellStyle name="Comma 2 4 2 2" xfId="4603"/>
    <cellStyle name="Comma 2 4 3" xfId="4604"/>
    <cellStyle name="Comma 2 4 3 2" xfId="4605"/>
    <cellStyle name="Comma 2 4 3 3" xfId="4606"/>
    <cellStyle name="Comma 2 4 4" xfId="4607"/>
    <cellStyle name="Comma 2 4 4 2" xfId="4608"/>
    <cellStyle name="Comma 2 4 5" xfId="4609"/>
    <cellStyle name="Comma 2 4 5 2" xfId="4610"/>
    <cellStyle name="Comma 2 4 6" xfId="4611"/>
    <cellStyle name="Comma 2 4 7" xfId="20674"/>
    <cellStyle name="Comma 2 5" xfId="4612"/>
    <cellStyle name="Comma 2 5 2" xfId="4613"/>
    <cellStyle name="Comma 2 5 2 2" xfId="4614"/>
    <cellStyle name="Comma 2 5 2 3" xfId="4615"/>
    <cellStyle name="Comma 2 5 2 4" xfId="4616"/>
    <cellStyle name="Comma 2 5 3" xfId="4617"/>
    <cellStyle name="Comma 2 5 4" xfId="4618"/>
    <cellStyle name="Comma 2 5 4 2" xfId="4619"/>
    <cellStyle name="Comma 2 5 5" xfId="4620"/>
    <cellStyle name="Comma 2 5 5 2" xfId="4621"/>
    <cellStyle name="Comma 2 5 6" xfId="4622"/>
    <cellStyle name="Comma 2 6" xfId="4623"/>
    <cellStyle name="Comma 2 6 2" xfId="4624"/>
    <cellStyle name="Comma 2 6 2 2" xfId="4625"/>
    <cellStyle name="Comma 2 6 2 2 2" xfId="4626"/>
    <cellStyle name="Comma 2 6 2 2 2 2" xfId="4627"/>
    <cellStyle name="Comma 2 6 2 2 2 2 2" xfId="4628"/>
    <cellStyle name="Comma 2 6 2 2 2 3" xfId="4629"/>
    <cellStyle name="Comma 2 6 2 2 2 4" xfId="4630"/>
    <cellStyle name="Comma 2 6 2 2 3" xfId="4631"/>
    <cellStyle name="Comma 2 6 2 2 3 2" xfId="4632"/>
    <cellStyle name="Comma 2 6 2 2 3 3" xfId="4633"/>
    <cellStyle name="Comma 2 6 2 2 4" xfId="4634"/>
    <cellStyle name="Comma 2 6 2 2 4 2" xfId="4635"/>
    <cellStyle name="Comma 2 6 2 2 4 2 2" xfId="4636"/>
    <cellStyle name="Comma 2 6 2 2 4 2 3" xfId="4637"/>
    <cellStyle name="Comma 2 6 2 2 4 3" xfId="4638"/>
    <cellStyle name="Comma 2 6 2 2 4 3 2" xfId="4639"/>
    <cellStyle name="Comma 2 6 2 2 4 3 2 2" xfId="4640"/>
    <cellStyle name="Comma 2 6 2 2 4 3 2 2 2" xfId="4641"/>
    <cellStyle name="Comma 2 6 2 2 4 3 2 3" xfId="4642"/>
    <cellStyle name="Comma 2 6 2 2 4 3 2 4" xfId="4643"/>
    <cellStyle name="Comma 2 6 2 2 4 3 3" xfId="4644"/>
    <cellStyle name="Comma 2 6 2 2 4 3 4" xfId="4645"/>
    <cellStyle name="Comma 2 6 2 2 4 4" xfId="4646"/>
    <cellStyle name="Comma 2 6 2 2 4 5" xfId="4647"/>
    <cellStyle name="Comma 2 6 2 2 5" xfId="4648"/>
    <cellStyle name="Comma 2 6 2 2 5 2" xfId="4649"/>
    <cellStyle name="Comma 2 6 2 2 6" xfId="4650"/>
    <cellStyle name="Comma 2 6 2 2 7" xfId="4651"/>
    <cellStyle name="Comma 2 6 2 3" xfId="4652"/>
    <cellStyle name="Comma 2 6 2 3 2" xfId="4653"/>
    <cellStyle name="Comma 2 6 2 4" xfId="4654"/>
    <cellStyle name="Comma 2 6 2 5" xfId="4655"/>
    <cellStyle name="Comma 2 6 3" xfId="4656"/>
    <cellStyle name="Comma 2 6 3 2" xfId="4657"/>
    <cellStyle name="Comma 2 6 3 2 2" xfId="4658"/>
    <cellStyle name="Comma 2 6 3 3" xfId="4659"/>
    <cellStyle name="Comma 2 6 3 4" xfId="4660"/>
    <cellStyle name="Comma 2 6 4" xfId="4661"/>
    <cellStyle name="Comma 2 6 4 2" xfId="4662"/>
    <cellStyle name="Comma 2 6 5" xfId="4663"/>
    <cellStyle name="Comma 2 6 5 2" xfId="4664"/>
    <cellStyle name="Comma 2 6 6" xfId="4665"/>
    <cellStyle name="Comma 2 7" xfId="4666"/>
    <cellStyle name="Comma 2 7 2" xfId="4667"/>
    <cellStyle name="Comma 2 7 2 2" xfId="4668"/>
    <cellStyle name="Comma 2 7 2 3" xfId="20675"/>
    <cellStyle name="Comma 2 7 3" xfId="4669"/>
    <cellStyle name="Comma 2 7 4" xfId="4670"/>
    <cellStyle name="Comma 2 7 5" xfId="4671"/>
    <cellStyle name="Comma 2 8" xfId="4672"/>
    <cellStyle name="Comma 2 8 2" xfId="4673"/>
    <cellStyle name="Comma 2 8 3" xfId="4674"/>
    <cellStyle name="Comma 2 8 4" xfId="4675"/>
    <cellStyle name="Comma 2 8 5" xfId="4676"/>
    <cellStyle name="Comma 2 9" xfId="4677"/>
    <cellStyle name="Comma 2 9 2" xfId="4678"/>
    <cellStyle name="Comma 2 9 2 2" xfId="4679"/>
    <cellStyle name="Comma 2 9 3" xfId="4680"/>
    <cellStyle name="Comma 2_2. Rekap Grading PNF (230310)" xfId="20755"/>
    <cellStyle name="Comma 20" xfId="4681"/>
    <cellStyle name="Comma 20 2" xfId="4682"/>
    <cellStyle name="Comma 20 2 2" xfId="4683"/>
    <cellStyle name="Comma 20 2 2 2" xfId="4684"/>
    <cellStyle name="Comma 20 2 3" xfId="4685"/>
    <cellStyle name="Comma 20 2 3 2" xfId="4686"/>
    <cellStyle name="Comma 20 2 4" xfId="4687"/>
    <cellStyle name="Comma 20 3" xfId="4688"/>
    <cellStyle name="Comma 20 3 2" xfId="4689"/>
    <cellStyle name="Comma 20 3 3" xfId="4690"/>
    <cellStyle name="Comma 20 4" xfId="4691"/>
    <cellStyle name="Comma 20 4 2" xfId="4692"/>
    <cellStyle name="Comma 20 5" xfId="4693"/>
    <cellStyle name="Comma 20 6" xfId="4694"/>
    <cellStyle name="Comma 21" xfId="4695"/>
    <cellStyle name="Comma 21 2" xfId="4696"/>
    <cellStyle name="Comma 21 2 2" xfId="4697"/>
    <cellStyle name="Comma 21 3" xfId="4698"/>
    <cellStyle name="Comma 21 3 2" xfId="4699"/>
    <cellStyle name="Comma 21 4" xfId="4700"/>
    <cellStyle name="Comma 21 4 2" xfId="4701"/>
    <cellStyle name="Comma 21 4 3" xfId="4702"/>
    <cellStyle name="Comma 21 4 4" xfId="4703"/>
    <cellStyle name="Comma 21 5" xfId="4704"/>
    <cellStyle name="Comma 21 5 2" xfId="4705"/>
    <cellStyle name="Comma 21 6" xfId="4706"/>
    <cellStyle name="Comma 21 7" xfId="4707"/>
    <cellStyle name="Comma 21 8" xfId="4708"/>
    <cellStyle name="Comma 22" xfId="4709"/>
    <cellStyle name="Comma 22 2" xfId="4710"/>
    <cellStyle name="Comma 22 2 2" xfId="4711"/>
    <cellStyle name="Comma 22 3" xfId="4712"/>
    <cellStyle name="Comma 22 3 2" xfId="4713"/>
    <cellStyle name="Comma 22 4" xfId="4714"/>
    <cellStyle name="Comma 22 5" xfId="4715"/>
    <cellStyle name="Comma 23" xfId="4716"/>
    <cellStyle name="Comma 23 2" xfId="4717"/>
    <cellStyle name="Comma 23 2 2" xfId="4718"/>
    <cellStyle name="Comma 23 3" xfId="4719"/>
    <cellStyle name="Comma 23 3 2" xfId="4720"/>
    <cellStyle name="Comma 23 4" xfId="4721"/>
    <cellStyle name="Comma 24" xfId="4722"/>
    <cellStyle name="Comma 24 2" xfId="4723"/>
    <cellStyle name="Comma 24 2 2" xfId="4724"/>
    <cellStyle name="Comma 24 3" xfId="4725"/>
    <cellStyle name="Comma 24 3 2" xfId="4726"/>
    <cellStyle name="Comma 24 4" xfId="4727"/>
    <cellStyle name="Comma 25" xfId="4728"/>
    <cellStyle name="Comma 25 2" xfId="4729"/>
    <cellStyle name="Comma 25 3" xfId="4730"/>
    <cellStyle name="Comma 25 3 2" xfId="4731"/>
    <cellStyle name="Comma 25 4" xfId="4732"/>
    <cellStyle name="Comma 25 5" xfId="4733"/>
    <cellStyle name="Comma 26" xfId="4734"/>
    <cellStyle name="Comma 26 2" xfId="4735"/>
    <cellStyle name="Comma 26 3" xfId="4736"/>
    <cellStyle name="Comma 26 4" xfId="4737"/>
    <cellStyle name="Comma 27" xfId="4738"/>
    <cellStyle name="Comma 27 2" xfId="4739"/>
    <cellStyle name="Comma 28" xfId="4740"/>
    <cellStyle name="Comma 28 2" xfId="4741"/>
    <cellStyle name="Comma 28 3" xfId="4742"/>
    <cellStyle name="Comma 29" xfId="4743"/>
    <cellStyle name="Comma 29 2" xfId="4744"/>
    <cellStyle name="Comma 3" xfId="4745"/>
    <cellStyle name="Comma 3 10" xfId="4746"/>
    <cellStyle name="Comma 3 10 2" xfId="4747"/>
    <cellStyle name="Comma 3 10 2 2" xfId="4748"/>
    <cellStyle name="Comma 3 10 3" xfId="4749"/>
    <cellStyle name="Comma 3 11" xfId="4750"/>
    <cellStyle name="Comma 3 11 2" xfId="4751"/>
    <cellStyle name="Comma 3 12" xfId="4752"/>
    <cellStyle name="Comma 3 12 2" xfId="4753"/>
    <cellStyle name="Comma 3 13" xfId="4754"/>
    <cellStyle name="Comma 3 13 2" xfId="20676"/>
    <cellStyle name="Comma 3 14" xfId="4755"/>
    <cellStyle name="Comma 3 14 2" xfId="4756"/>
    <cellStyle name="Comma 3 15" xfId="4757"/>
    <cellStyle name="Comma 3 16" xfId="4758"/>
    <cellStyle name="Comma 3 17" xfId="4759"/>
    <cellStyle name="Comma 3 2" xfId="4760"/>
    <cellStyle name="Comma 3 2 10" xfId="4761"/>
    <cellStyle name="Comma 3 2 10 2" xfId="4762"/>
    <cellStyle name="Comma 3 2 11" xfId="4763"/>
    <cellStyle name="Comma 3 2 11 2" xfId="4764"/>
    <cellStyle name="Comma 3 2 12" xfId="4765"/>
    <cellStyle name="Comma 3 2 12 2" xfId="4766"/>
    <cellStyle name="Comma 3 2 13" xfId="4767"/>
    <cellStyle name="Comma 3 2 14" xfId="4768"/>
    <cellStyle name="Comma 3 2 2" xfId="4769"/>
    <cellStyle name="Comma 3 2 2 2" xfId="4770"/>
    <cellStyle name="Comma 3 2 3" xfId="4771"/>
    <cellStyle name="Comma 3 2 3 2" xfId="4772"/>
    <cellStyle name="Comma 3 2 4" xfId="4773"/>
    <cellStyle name="Comma 3 2 4 2" xfId="4774"/>
    <cellStyle name="Comma 3 2 5" xfId="4775"/>
    <cellStyle name="Comma 3 2 5 2" xfId="4776"/>
    <cellStyle name="Comma 3 2 6" xfId="4777"/>
    <cellStyle name="Comma 3 2 6 2" xfId="4778"/>
    <cellStyle name="Comma 3 2 7" xfId="4779"/>
    <cellStyle name="Comma 3 2 7 2" xfId="4780"/>
    <cellStyle name="Comma 3 2 8" xfId="4781"/>
    <cellStyle name="Comma 3 2 8 2" xfId="4782"/>
    <cellStyle name="Comma 3 2 9" xfId="4783"/>
    <cellStyle name="Comma 3 2 9 2" xfId="4784"/>
    <cellStyle name="Comma 3 3" xfId="4785"/>
    <cellStyle name="Comma 3 3 2" xfId="4786"/>
    <cellStyle name="Comma 3 3 2 2" xfId="4787"/>
    <cellStyle name="Comma 3 3 3" xfId="4788"/>
    <cellStyle name="Comma 3 3 3 2" xfId="4789"/>
    <cellStyle name="Comma 3 3 4" xfId="4790"/>
    <cellStyle name="Comma 3 3 4 2" xfId="4791"/>
    <cellStyle name="Comma 3 3 5" xfId="4792"/>
    <cellStyle name="Comma 3 3 5 2" xfId="4793"/>
    <cellStyle name="Comma 3 3 6" xfId="4794"/>
    <cellStyle name="Comma 3 3 7" xfId="4795"/>
    <cellStyle name="Comma 3 4" xfId="4796"/>
    <cellStyle name="Comma 3 4 2" xfId="4797"/>
    <cellStyle name="Comma 3 4 2 2" xfId="4798"/>
    <cellStyle name="Comma 3 4 3" xfId="4799"/>
    <cellStyle name="Comma 3 4 3 2" xfId="4800"/>
    <cellStyle name="Comma 3 4 4" xfId="4801"/>
    <cellStyle name="Comma 3 4 4 2" xfId="4802"/>
    <cellStyle name="Comma 3 4 5" xfId="4803"/>
    <cellStyle name="Comma 3 4 5 2" xfId="4804"/>
    <cellStyle name="Comma 3 4 6" xfId="4805"/>
    <cellStyle name="Comma 3 4 7" xfId="4806"/>
    <cellStyle name="Comma 3 5" xfId="4807"/>
    <cellStyle name="Comma 3 5 2" xfId="4808"/>
    <cellStyle name="Comma 3 5 2 2" xfId="4809"/>
    <cellStyle name="Comma 3 5 2 2 2" xfId="4810"/>
    <cellStyle name="Comma 3 5 2 2 2 2" xfId="4811"/>
    <cellStyle name="Comma 3 5 2 2 3" xfId="4812"/>
    <cellStyle name="Comma 3 5 2 2 3 2" xfId="4813"/>
    <cellStyle name="Comma 3 5 2 2 4" xfId="4814"/>
    <cellStyle name="Comma 3 5 2 2 4 2" xfId="4815"/>
    <cellStyle name="Comma 3 5 2 2 5" xfId="4816"/>
    <cellStyle name="Comma 3 5 2 3" xfId="4817"/>
    <cellStyle name="Comma 3 5 2 3 2" xfId="4818"/>
    <cellStyle name="Comma 3 5 2 4" xfId="20677"/>
    <cellStyle name="Comma 3 5 3" xfId="4819"/>
    <cellStyle name="Comma 3 5 3 2" xfId="4820"/>
    <cellStyle name="Comma 3 5 4" xfId="4821"/>
    <cellStyle name="Comma 3 5 4 2" xfId="4822"/>
    <cellStyle name="Comma 3 5 5" xfId="4823"/>
    <cellStyle name="Comma 3 5 5 2" xfId="4824"/>
    <cellStyle name="Comma 3 5 6" xfId="4825"/>
    <cellStyle name="Comma 3 5 7" xfId="4826"/>
    <cellStyle name="Comma 3 6" xfId="4827"/>
    <cellStyle name="Comma 3 6 2" xfId="4828"/>
    <cellStyle name="Comma 3 6 2 2" xfId="4829"/>
    <cellStyle name="Comma 3 6 3" xfId="4830"/>
    <cellStyle name="Comma 3 7" xfId="4831"/>
    <cellStyle name="Comma 3 7 2" xfId="4832"/>
    <cellStyle name="Comma 3 7 2 2" xfId="4833"/>
    <cellStyle name="Comma 3 7 3" xfId="4834"/>
    <cellStyle name="Comma 3 8" xfId="4835"/>
    <cellStyle name="Comma 3 8 2" xfId="4836"/>
    <cellStyle name="Comma 3 8 2 2" xfId="4837"/>
    <cellStyle name="Comma 3 8 3" xfId="4838"/>
    <cellStyle name="Comma 3 9" xfId="4839"/>
    <cellStyle name="Comma 3 9 2" xfId="4840"/>
    <cellStyle name="Comma 3 9 2 2" xfId="4841"/>
    <cellStyle name="Comma 3 9 3" xfId="4842"/>
    <cellStyle name="Comma 3_Trial Balance Apr11-Mar12 Oil MillA" xfId="4843"/>
    <cellStyle name="Comma 30" xfId="4844"/>
    <cellStyle name="Comma 30 2" xfId="4845"/>
    <cellStyle name="Comma 30 2 2" xfId="4846"/>
    <cellStyle name="Comma 30 3" xfId="4847"/>
    <cellStyle name="Comma 31" xfId="4848"/>
    <cellStyle name="Comma 31 2" xfId="4849"/>
    <cellStyle name="Comma 32" xfId="4850"/>
    <cellStyle name="Comma 32 2" xfId="4851"/>
    <cellStyle name="Comma 33" xfId="4852"/>
    <cellStyle name="Comma 33 2" xfId="4853"/>
    <cellStyle name="Comma 34" xfId="4854"/>
    <cellStyle name="Comma 35" xfId="4855"/>
    <cellStyle name="Comma 36" xfId="4856"/>
    <cellStyle name="Comma 37" xfId="4857"/>
    <cellStyle name="Comma 38" xfId="4858"/>
    <cellStyle name="Comma 39" xfId="4859"/>
    <cellStyle name="Comma 4" xfId="4860"/>
    <cellStyle name="Comma 4 10" xfId="4861"/>
    <cellStyle name="Comma 4 10 2" xfId="4862"/>
    <cellStyle name="Comma 4 10 2 2" xfId="4863"/>
    <cellStyle name="Comma 4 10 3" xfId="4864"/>
    <cellStyle name="Comma 4 10 3 2" xfId="4865"/>
    <cellStyle name="Comma 4 10 4" xfId="4866"/>
    <cellStyle name="Comma 4 11" xfId="4867"/>
    <cellStyle name="Comma 4 11 2" xfId="4868"/>
    <cellStyle name="Comma 4 12" xfId="4869"/>
    <cellStyle name="Comma 4 12 2" xfId="4870"/>
    <cellStyle name="Comma 4 13" xfId="4871"/>
    <cellStyle name="Comma 4 13 2" xfId="4872"/>
    <cellStyle name="Comma 4 13 2 2" xfId="4873"/>
    <cellStyle name="Comma 4 13 3" xfId="4874"/>
    <cellStyle name="Comma 4 14" xfId="4875"/>
    <cellStyle name="Comma 4 15" xfId="4876"/>
    <cellStyle name="Comma 4 15 2" xfId="4877"/>
    <cellStyle name="Comma 4 16" xfId="4878"/>
    <cellStyle name="Comma 4 2" xfId="4879"/>
    <cellStyle name="Comma 4 2 2" xfId="4880"/>
    <cellStyle name="Comma 4 2 2 2" xfId="4881"/>
    <cellStyle name="Comma 4 2 3" xfId="4882"/>
    <cellStyle name="Comma 4 2 3 2" xfId="4883"/>
    <cellStyle name="Comma 4 2 4" xfId="4884"/>
    <cellStyle name="Comma 4 2 4 2" xfId="4885"/>
    <cellStyle name="Comma 4 2 5" xfId="4886"/>
    <cellStyle name="Comma 4 2 5 2" xfId="4887"/>
    <cellStyle name="Comma 4 2 6" xfId="4888"/>
    <cellStyle name="Comma 4 2 6 2" xfId="4889"/>
    <cellStyle name="Comma 4 2 7" xfId="4890"/>
    <cellStyle name="Comma 4 2 8" xfId="4891"/>
    <cellStyle name="Comma 4 3" xfId="4892"/>
    <cellStyle name="Comma 4 3 2" xfId="4893"/>
    <cellStyle name="Comma 4 3 2 2" xfId="4894"/>
    <cellStyle name="Comma 4 3 3" xfId="4895"/>
    <cellStyle name="Comma 4 4" xfId="4896"/>
    <cellStyle name="Comma 4 4 2" xfId="4897"/>
    <cellStyle name="Comma 4 4 2 2" xfId="4898"/>
    <cellStyle name="Comma 4 4 3" xfId="4899"/>
    <cellStyle name="Comma 4 4 3 2" xfId="4900"/>
    <cellStyle name="Comma 4 4 4" xfId="4901"/>
    <cellStyle name="Comma 4 5" xfId="4902"/>
    <cellStyle name="Comma 4 5 2" xfId="4903"/>
    <cellStyle name="Comma 4 5 2 2" xfId="4904"/>
    <cellStyle name="Comma 4 5 3" xfId="4905"/>
    <cellStyle name="Comma 4 5 3 2" xfId="4906"/>
    <cellStyle name="Comma 4 5 4" xfId="4907"/>
    <cellStyle name="Comma 4 6" xfId="4908"/>
    <cellStyle name="Comma 4 6 2" xfId="4909"/>
    <cellStyle name="Comma 4 6 2 2" xfId="4910"/>
    <cellStyle name="Comma 4 6 3" xfId="4911"/>
    <cellStyle name="Comma 4 6 3 2" xfId="4912"/>
    <cellStyle name="Comma 4 6 4" xfId="4913"/>
    <cellStyle name="Comma 4 7" xfId="4914"/>
    <cellStyle name="Comma 4 7 2" xfId="4915"/>
    <cellStyle name="Comma 4 7 2 2" xfId="4916"/>
    <cellStyle name="Comma 4 7 3" xfId="4917"/>
    <cellStyle name="Comma 4 7 3 2" xfId="4918"/>
    <cellStyle name="Comma 4 7 4" xfId="4919"/>
    <cellStyle name="Comma 4 8" xfId="4920"/>
    <cellStyle name="Comma 4 8 2" xfId="4921"/>
    <cellStyle name="Comma 4 8 2 2" xfId="4922"/>
    <cellStyle name="Comma 4 8 3" xfId="4923"/>
    <cellStyle name="Comma 4 8 3 2" xfId="4924"/>
    <cellStyle name="Comma 4 8 4" xfId="4925"/>
    <cellStyle name="Comma 4 9" xfId="4926"/>
    <cellStyle name="Comma 4 9 2" xfId="4927"/>
    <cellStyle name="Comma 4 9 2 2" xfId="4928"/>
    <cellStyle name="Comma 4 9 3" xfId="4929"/>
    <cellStyle name="Comma 4 9 3 2" xfId="4930"/>
    <cellStyle name="Comma 4 9 4" xfId="4931"/>
    <cellStyle name="Comma 40" xfId="4932"/>
    <cellStyle name="Comma 41" xfId="4933"/>
    <cellStyle name="Comma 42" xfId="4934"/>
    <cellStyle name="Comma 43" xfId="4935"/>
    <cellStyle name="Comma 44" xfId="4936"/>
    <cellStyle name="Comma 45" xfId="4937"/>
    <cellStyle name="Comma 46" xfId="4938"/>
    <cellStyle name="Comma 47" xfId="4939"/>
    <cellStyle name="Comma 48" xfId="4940"/>
    <cellStyle name="Comma 49" xfId="4941"/>
    <cellStyle name="Comma 5" xfId="4942"/>
    <cellStyle name="Comma 5 2" xfId="4943"/>
    <cellStyle name="Comma 5 2 2" xfId="4944"/>
    <cellStyle name="Comma 5 2 2 2" xfId="4945"/>
    <cellStyle name="Comma 5 2 3" xfId="4946"/>
    <cellStyle name="Comma 5 2 3 2" xfId="4947"/>
    <cellStyle name="Comma 5 2 4" xfId="4948"/>
    <cellStyle name="Comma 5 2 4 2" xfId="4949"/>
    <cellStyle name="Comma 5 2 5" xfId="4950"/>
    <cellStyle name="Comma 5 2 5 2" xfId="4951"/>
    <cellStyle name="Comma 5 2 6" xfId="4952"/>
    <cellStyle name="Comma 5 2 7" xfId="4953"/>
    <cellStyle name="Comma 5 3" xfId="4954"/>
    <cellStyle name="Comma 5 3 2" xfId="4955"/>
    <cellStyle name="Comma 5 3 2 2" xfId="4956"/>
    <cellStyle name="Comma 5 3 3" xfId="4957"/>
    <cellStyle name="Comma 5 4" xfId="4958"/>
    <cellStyle name="Comma 5 4 2" xfId="4959"/>
    <cellStyle name="Comma 5 5" xfId="4960"/>
    <cellStyle name="Comma 5 5 2" xfId="4961"/>
    <cellStyle name="Comma 5 6" xfId="4962"/>
    <cellStyle name="Comma 5 6 2" xfId="4963"/>
    <cellStyle name="Comma 5 7" xfId="4964"/>
    <cellStyle name="Comma 5 8" xfId="4965"/>
    <cellStyle name="Comma 50" xfId="4966"/>
    <cellStyle name="Comma 51" xfId="4967"/>
    <cellStyle name="Comma 52" xfId="4968"/>
    <cellStyle name="Comma 53" xfId="4969"/>
    <cellStyle name="Comma 54" xfId="4970"/>
    <cellStyle name="Comma 55" xfId="4971"/>
    <cellStyle name="Comma 56" xfId="4972"/>
    <cellStyle name="Comma 57" xfId="4973"/>
    <cellStyle name="Comma 58" xfId="4974"/>
    <cellStyle name="Comma 59" xfId="4975"/>
    <cellStyle name="Comma 6" xfId="4976"/>
    <cellStyle name="Comma 6 10" xfId="4977"/>
    <cellStyle name="Comma 6 10 2" xfId="4978"/>
    <cellStyle name="Comma 6 10 2 2" xfId="4979"/>
    <cellStyle name="Comma 6 10 3" xfId="4980"/>
    <cellStyle name="Comma 6 10 3 2" xfId="4981"/>
    <cellStyle name="Comma 6 10 4" xfId="4982"/>
    <cellStyle name="Comma 6 11" xfId="4983"/>
    <cellStyle name="Comma 6 11 2" xfId="4984"/>
    <cellStyle name="Comma 6 11 2 2" xfId="4985"/>
    <cellStyle name="Comma 6 11 3" xfId="4986"/>
    <cellStyle name="Comma 6 11 3 2" xfId="4987"/>
    <cellStyle name="Comma 6 11 4" xfId="4988"/>
    <cellStyle name="Comma 6 12" xfId="4989"/>
    <cellStyle name="Comma 6 12 2" xfId="4990"/>
    <cellStyle name="Comma 6 12 2 2" xfId="4991"/>
    <cellStyle name="Comma 6 12 3" xfId="4992"/>
    <cellStyle name="Comma 6 12 3 2" xfId="4993"/>
    <cellStyle name="Comma 6 12 4" xfId="4994"/>
    <cellStyle name="Comma 6 13" xfId="4995"/>
    <cellStyle name="Comma 6 13 2" xfId="4996"/>
    <cellStyle name="Comma 6 13 2 2" xfId="4997"/>
    <cellStyle name="Comma 6 13 3" xfId="4998"/>
    <cellStyle name="Comma 6 13 3 2" xfId="4999"/>
    <cellStyle name="Comma 6 13 4" xfId="5000"/>
    <cellStyle name="Comma 6 14" xfId="5001"/>
    <cellStyle name="Comma 6 14 2" xfId="5002"/>
    <cellStyle name="Comma 6 14 2 2" xfId="5003"/>
    <cellStyle name="Comma 6 14 3" xfId="5004"/>
    <cellStyle name="Comma 6 14 3 2" xfId="5005"/>
    <cellStyle name="Comma 6 14 4" xfId="5006"/>
    <cellStyle name="Comma 6 15" xfId="5007"/>
    <cellStyle name="Comma 6 15 2" xfId="5008"/>
    <cellStyle name="Comma 6 15 2 2" xfId="5009"/>
    <cellStyle name="Comma 6 15 3" xfId="5010"/>
    <cellStyle name="Comma 6 15 3 2" xfId="5011"/>
    <cellStyle name="Comma 6 15 4" xfId="5012"/>
    <cellStyle name="Comma 6 16" xfId="5013"/>
    <cellStyle name="Comma 6 16 2" xfId="5014"/>
    <cellStyle name="Comma 6 17" xfId="5015"/>
    <cellStyle name="Comma 6 17 2" xfId="5016"/>
    <cellStyle name="Comma 6 18" xfId="5017"/>
    <cellStyle name="Comma 6 18 2" xfId="5018"/>
    <cellStyle name="Comma 6 19" xfId="5019"/>
    <cellStyle name="Comma 6 19 2" xfId="5020"/>
    <cellStyle name="Comma 6 2" xfId="5021"/>
    <cellStyle name="Comma 6 2 2" xfId="5022"/>
    <cellStyle name="Comma 6 2 2 2" xfId="5023"/>
    <cellStyle name="Comma 6 2 3" xfId="5024"/>
    <cellStyle name="Comma 6 2 3 2" xfId="5025"/>
    <cellStyle name="Comma 6 2 3 2 2" xfId="5026"/>
    <cellStyle name="Comma 6 2 3 3" xfId="5027"/>
    <cellStyle name="Comma 6 2 3 3 2" xfId="5028"/>
    <cellStyle name="Comma 6 2 3 4" xfId="5029"/>
    <cellStyle name="Comma 6 2 3 4 2" xfId="5030"/>
    <cellStyle name="Comma 6 2 3 5" xfId="5031"/>
    <cellStyle name="Comma 6 2 3 6" xfId="5032"/>
    <cellStyle name="Comma 6 2 4" xfId="5033"/>
    <cellStyle name="Comma 6 2 4 2" xfId="5034"/>
    <cellStyle name="Comma 6 2 4 2 2" xfId="5035"/>
    <cellStyle name="Comma 6 2 4 3" xfId="5036"/>
    <cellStyle name="Comma 6 2 5" xfId="5037"/>
    <cellStyle name="Comma 6 2 6" xfId="20756"/>
    <cellStyle name="Comma 6 20" xfId="5038"/>
    <cellStyle name="Comma 6 21" xfId="5039"/>
    <cellStyle name="Comma 6 22" xfId="5040"/>
    <cellStyle name="Comma 6 3" xfId="5041"/>
    <cellStyle name="Comma 6 3 2" xfId="5042"/>
    <cellStyle name="Comma 6 3 2 2" xfId="5043"/>
    <cellStyle name="Comma 6 3 3" xfId="5044"/>
    <cellStyle name="Comma 6 3 3 2" xfId="5045"/>
    <cellStyle name="Comma 6 3 4" xfId="5046"/>
    <cellStyle name="Comma 6 3 4 2" xfId="5047"/>
    <cellStyle name="Comma 6 3 5" xfId="5048"/>
    <cellStyle name="Comma 6 3 5 2" xfId="5049"/>
    <cellStyle name="Comma 6 3 6" xfId="5050"/>
    <cellStyle name="Comma 6 3 7" xfId="5051"/>
    <cellStyle name="Comma 6 3 8" xfId="20678"/>
    <cellStyle name="Comma 6 4" xfId="5052"/>
    <cellStyle name="Comma 6 4 2" xfId="5053"/>
    <cellStyle name="Comma 6 4 2 2" xfId="5054"/>
    <cellStyle name="Comma 6 4 3" xfId="5055"/>
    <cellStyle name="Comma 6 4 3 2" xfId="5056"/>
    <cellStyle name="Comma 6 4 4" xfId="5057"/>
    <cellStyle name="Comma 6 5" xfId="5058"/>
    <cellStyle name="Comma 6 5 2" xfId="5059"/>
    <cellStyle name="Comma 6 5 2 2" xfId="5060"/>
    <cellStyle name="Comma 6 5 3" xfId="5061"/>
    <cellStyle name="Comma 6 5 3 2" xfId="5062"/>
    <cellStyle name="Comma 6 5 4" xfId="5063"/>
    <cellStyle name="Comma 6 6" xfId="5064"/>
    <cellStyle name="Comma 6 6 2" xfId="5065"/>
    <cellStyle name="Comma 6 6 2 2" xfId="5066"/>
    <cellStyle name="Comma 6 6 3" xfId="5067"/>
    <cellStyle name="Comma 6 6 3 2" xfId="5068"/>
    <cellStyle name="Comma 6 6 4" xfId="5069"/>
    <cellStyle name="Comma 6 7" xfId="5070"/>
    <cellStyle name="Comma 6 7 2" xfId="5071"/>
    <cellStyle name="Comma 6 7 2 2" xfId="5072"/>
    <cellStyle name="Comma 6 7 3" xfId="5073"/>
    <cellStyle name="Comma 6 7 3 2" xfId="5074"/>
    <cellStyle name="Comma 6 7 4" xfId="5075"/>
    <cellStyle name="Comma 6 8" xfId="5076"/>
    <cellStyle name="Comma 6 8 2" xfId="5077"/>
    <cellStyle name="Comma 6 8 2 2" xfId="5078"/>
    <cellStyle name="Comma 6 8 3" xfId="5079"/>
    <cellStyle name="Comma 6 8 3 2" xfId="5080"/>
    <cellStyle name="Comma 6 8 4" xfId="5081"/>
    <cellStyle name="Comma 6 9" xfId="5082"/>
    <cellStyle name="Comma 6 9 2" xfId="5083"/>
    <cellStyle name="Comma 6 9 2 2" xfId="5084"/>
    <cellStyle name="Comma 6 9 3" xfId="5085"/>
    <cellStyle name="Comma 6 9 3 2" xfId="5086"/>
    <cellStyle name="Comma 6 9 4" xfId="5087"/>
    <cellStyle name="Comma 60" xfId="5088"/>
    <cellStyle name="Comma 61" xfId="5089"/>
    <cellStyle name="Comma 62" xfId="5090"/>
    <cellStyle name="Comma 63" xfId="5091"/>
    <cellStyle name="Comma 64" xfId="5092"/>
    <cellStyle name="Comma 65" xfId="5093"/>
    <cellStyle name="Comma 66" xfId="5094"/>
    <cellStyle name="Comma 67" xfId="5095"/>
    <cellStyle name="Comma 68" xfId="5096"/>
    <cellStyle name="Comma 69" xfId="5097"/>
    <cellStyle name="Comma 7" xfId="5098"/>
    <cellStyle name="Comma 7 2" xfId="5099"/>
    <cellStyle name="Comma 7 2 2" xfId="5100"/>
    <cellStyle name="Comma 7 2 2 2" xfId="5101"/>
    <cellStyle name="Comma 7 2 3" xfId="5102"/>
    <cellStyle name="Comma 7 2 3 2" xfId="5103"/>
    <cellStyle name="Comma 7 2 4" xfId="5104"/>
    <cellStyle name="Comma 7 2 4 2" xfId="5105"/>
    <cellStyle name="Comma 7 2 5" xfId="5106"/>
    <cellStyle name="Comma 7 2 5 2" xfId="5107"/>
    <cellStyle name="Comma 7 2 6" xfId="5108"/>
    <cellStyle name="Comma 7 2 7" xfId="5109"/>
    <cellStyle name="Comma 7 3" xfId="5110"/>
    <cellStyle name="Comma 7 3 2" xfId="5111"/>
    <cellStyle name="Comma 7 4" xfId="5112"/>
    <cellStyle name="Comma 70" xfId="5113"/>
    <cellStyle name="Comma 71" xfId="5114"/>
    <cellStyle name="Comma 72" xfId="5115"/>
    <cellStyle name="Comma 73" xfId="5116"/>
    <cellStyle name="Comma 74" xfId="5117"/>
    <cellStyle name="Comma 75" xfId="5118"/>
    <cellStyle name="Comma 76" xfId="5119"/>
    <cellStyle name="Comma 77" xfId="5120"/>
    <cellStyle name="Comma 78" xfId="5121"/>
    <cellStyle name="Comma 79" xfId="5122"/>
    <cellStyle name="Comma 8" xfId="5123"/>
    <cellStyle name="Comma 8 2" xfId="5124"/>
    <cellStyle name="Comma 8 2 2" xfId="5125"/>
    <cellStyle name="Comma 8 2 2 2" xfId="5126"/>
    <cellStyle name="Comma 8 2 3" xfId="5127"/>
    <cellStyle name="Comma 8 2 3 2" xfId="5128"/>
    <cellStyle name="Comma 8 2 4" xfId="5129"/>
    <cellStyle name="Comma 8 2 5" xfId="5130"/>
    <cellStyle name="Comma 8 2 6" xfId="20679"/>
    <cellStyle name="Comma 8 3" xfId="5131"/>
    <cellStyle name="Comma 8 3 2" xfId="5132"/>
    <cellStyle name="Comma 8 3 3" xfId="5133"/>
    <cellStyle name="Comma 8 4" xfId="5134"/>
    <cellStyle name="Comma 8 4 2" xfId="5135"/>
    <cellStyle name="Comma 8 5" xfId="5136"/>
    <cellStyle name="Comma 8 6" xfId="5137"/>
    <cellStyle name="Comma 80" xfId="5138"/>
    <cellStyle name="Comma 81" xfId="5139"/>
    <cellStyle name="Comma 82" xfId="5140"/>
    <cellStyle name="Comma 83" xfId="5141"/>
    <cellStyle name="Comma 84" xfId="5142"/>
    <cellStyle name="Comma 85" xfId="5143"/>
    <cellStyle name="Comma 86" xfId="5144"/>
    <cellStyle name="Comma 87" xfId="5145"/>
    <cellStyle name="Comma 88" xfId="5146"/>
    <cellStyle name="Comma 89" xfId="5147"/>
    <cellStyle name="Comma 9" xfId="5148"/>
    <cellStyle name="Comma 9 2" xfId="5149"/>
    <cellStyle name="Comma 9 2 2" xfId="5150"/>
    <cellStyle name="Comma 9 3" xfId="5151"/>
    <cellStyle name="Comma 9 3 2" xfId="5152"/>
    <cellStyle name="Comma 9 3 2 2" xfId="5153"/>
    <cellStyle name="Comma 9 3 3" xfId="5154"/>
    <cellStyle name="Comma 9 4" xfId="5155"/>
    <cellStyle name="Comma 9 4 2" xfId="5156"/>
    <cellStyle name="Comma 9 5" xfId="5157"/>
    <cellStyle name="Comma 9 5 2" xfId="5158"/>
    <cellStyle name="Comma 9 6" xfId="5159"/>
    <cellStyle name="Comma 9 6 2" xfId="5160"/>
    <cellStyle name="Comma 9 7" xfId="5161"/>
    <cellStyle name="Comma 9 8" xfId="5162"/>
    <cellStyle name="Comma 90" xfId="5163"/>
    <cellStyle name="Comma 91" xfId="5164"/>
    <cellStyle name="Comma 92" xfId="5165"/>
    <cellStyle name="Comma 93" xfId="20691"/>
    <cellStyle name="Copied" xfId="5166"/>
    <cellStyle name="Copied 2" xfId="5167"/>
    <cellStyle name="Curren - Style2" xfId="20757"/>
    <cellStyle name="Curren - Style7" xfId="20758"/>
    <cellStyle name="Curren - Style8" xfId="20759"/>
    <cellStyle name="Currency (0.00)" xfId="5168"/>
    <cellStyle name="Currency (0.00) 10" xfId="5169"/>
    <cellStyle name="Currency (0.00) 10 2" xfId="5170"/>
    <cellStyle name="Currency (0.00) 10 3" xfId="5171"/>
    <cellStyle name="Currency (0.00) 10 4" xfId="5172"/>
    <cellStyle name="Currency (0.00) 10 5" xfId="5173"/>
    <cellStyle name="Currency (0.00) 10 6" xfId="5174"/>
    <cellStyle name="Currency (0.00) 11" xfId="5175"/>
    <cellStyle name="Currency (0.00) 11 2" xfId="5176"/>
    <cellStyle name="Currency (0.00) 11 3" xfId="5177"/>
    <cellStyle name="Currency (0.00) 11 4" xfId="5178"/>
    <cellStyle name="Currency (0.00) 11 5" xfId="5179"/>
    <cellStyle name="Currency (0.00) 11 6" xfId="5180"/>
    <cellStyle name="Currency (0.00) 12" xfId="5181"/>
    <cellStyle name="Currency (0.00) 12 2" xfId="5182"/>
    <cellStyle name="Currency (0.00) 12 3" xfId="5183"/>
    <cellStyle name="Currency (0.00) 12 4" xfId="5184"/>
    <cellStyle name="Currency (0.00) 12 5" xfId="5185"/>
    <cellStyle name="Currency (0.00) 12 6" xfId="5186"/>
    <cellStyle name="Currency (0.00) 13" xfId="5187"/>
    <cellStyle name="Currency (0.00) 13 2" xfId="5188"/>
    <cellStyle name="Currency (0.00) 13 3" xfId="5189"/>
    <cellStyle name="Currency (0.00) 13 4" xfId="5190"/>
    <cellStyle name="Currency (0.00) 13 5" xfId="5191"/>
    <cellStyle name="Currency (0.00) 13 6" xfId="5192"/>
    <cellStyle name="Currency (0.00) 14" xfId="5193"/>
    <cellStyle name="Currency (0.00) 14 2" xfId="5194"/>
    <cellStyle name="Currency (0.00) 14 3" xfId="5195"/>
    <cellStyle name="Currency (0.00) 14 4" xfId="5196"/>
    <cellStyle name="Currency (0.00) 14 5" xfId="5197"/>
    <cellStyle name="Currency (0.00) 14 6" xfId="5198"/>
    <cellStyle name="Currency (0.00) 15" xfId="5199"/>
    <cellStyle name="Currency (0.00) 15 2" xfId="5200"/>
    <cellStyle name="Currency (0.00) 15 3" xfId="5201"/>
    <cellStyle name="Currency (0.00) 15 4" xfId="5202"/>
    <cellStyle name="Currency (0.00) 15 5" xfId="5203"/>
    <cellStyle name="Currency (0.00) 15 6" xfId="5204"/>
    <cellStyle name="Currency (0.00) 16" xfId="5205"/>
    <cellStyle name="Currency (0.00) 16 2" xfId="5206"/>
    <cellStyle name="Currency (0.00) 16 3" xfId="5207"/>
    <cellStyle name="Currency (0.00) 16 4" xfId="5208"/>
    <cellStyle name="Currency (0.00) 16 5" xfId="5209"/>
    <cellStyle name="Currency (0.00) 16 6" xfId="5210"/>
    <cellStyle name="Currency (0.00) 17" xfId="5211"/>
    <cellStyle name="Currency (0.00) 17 2" xfId="5212"/>
    <cellStyle name="Currency (0.00) 17 3" xfId="5213"/>
    <cellStyle name="Currency (0.00) 17 4" xfId="5214"/>
    <cellStyle name="Currency (0.00) 17 5" xfId="5215"/>
    <cellStyle name="Currency (0.00) 17 6" xfId="5216"/>
    <cellStyle name="Currency (0.00) 18" xfId="5217"/>
    <cellStyle name="Currency (0.00) 18 2" xfId="5218"/>
    <cellStyle name="Currency (0.00) 18 3" xfId="5219"/>
    <cellStyle name="Currency (0.00) 18 4" xfId="5220"/>
    <cellStyle name="Currency (0.00) 18 5" xfId="5221"/>
    <cellStyle name="Currency (0.00) 18 6" xfId="5222"/>
    <cellStyle name="Currency (0.00) 19" xfId="5223"/>
    <cellStyle name="Currency (0.00) 19 2" xfId="5224"/>
    <cellStyle name="Currency (0.00) 19 3" xfId="5225"/>
    <cellStyle name="Currency (0.00) 19 4" xfId="5226"/>
    <cellStyle name="Currency (0.00) 19 5" xfId="5227"/>
    <cellStyle name="Currency (0.00) 19 6" xfId="5228"/>
    <cellStyle name="Currency (0.00) 2" xfId="5229"/>
    <cellStyle name="Currency (0.00) 2 10" xfId="5230"/>
    <cellStyle name="Currency (0.00) 2 11" xfId="5231"/>
    <cellStyle name="Currency (0.00) 2 2" xfId="5232"/>
    <cellStyle name="Currency (0.00) 2 3" xfId="5233"/>
    <cellStyle name="Currency (0.00) 2 4" xfId="5234"/>
    <cellStyle name="Currency (0.00) 2 5" xfId="5235"/>
    <cellStyle name="Currency (0.00) 2 6" xfId="5236"/>
    <cellStyle name="Currency (0.00) 2 7" xfId="5237"/>
    <cellStyle name="Currency (0.00) 2 8" xfId="5238"/>
    <cellStyle name="Currency (0.00) 2 9" xfId="5239"/>
    <cellStyle name="Currency (0.00) 20" xfId="5240"/>
    <cellStyle name="Currency (0.00) 20 2" xfId="5241"/>
    <cellStyle name="Currency (0.00) 20 3" xfId="5242"/>
    <cellStyle name="Currency (0.00) 20 4" xfId="5243"/>
    <cellStyle name="Currency (0.00) 20 5" xfId="5244"/>
    <cellStyle name="Currency (0.00) 20 6" xfId="5245"/>
    <cellStyle name="Currency (0.00) 21" xfId="5246"/>
    <cellStyle name="Currency (0.00) 21 2" xfId="5247"/>
    <cellStyle name="Currency (0.00) 21 3" xfId="5248"/>
    <cellStyle name="Currency (0.00) 21 4" xfId="5249"/>
    <cellStyle name="Currency (0.00) 21 5" xfId="5250"/>
    <cellStyle name="Currency (0.00) 21 6" xfId="5251"/>
    <cellStyle name="Currency (0.00) 22" xfId="5252"/>
    <cellStyle name="Currency (0.00) 22 2" xfId="5253"/>
    <cellStyle name="Currency (0.00) 22 3" xfId="5254"/>
    <cellStyle name="Currency (0.00) 22 4" xfId="5255"/>
    <cellStyle name="Currency (0.00) 22 5" xfId="5256"/>
    <cellStyle name="Currency (0.00) 22 6" xfId="5257"/>
    <cellStyle name="Currency (0.00) 23" xfId="5258"/>
    <cellStyle name="Currency (0.00) 23 2" xfId="5259"/>
    <cellStyle name="Currency (0.00) 23 3" xfId="5260"/>
    <cellStyle name="Currency (0.00) 23 4" xfId="5261"/>
    <cellStyle name="Currency (0.00) 23 5" xfId="5262"/>
    <cellStyle name="Currency (0.00) 23 6" xfId="5263"/>
    <cellStyle name="Currency (0.00) 24" xfId="5264"/>
    <cellStyle name="Currency (0.00) 24 2" xfId="5265"/>
    <cellStyle name="Currency (0.00) 24 3" xfId="5266"/>
    <cellStyle name="Currency (0.00) 24 4" xfId="5267"/>
    <cellStyle name="Currency (0.00) 24 5" xfId="5268"/>
    <cellStyle name="Currency (0.00) 24 6" xfId="5269"/>
    <cellStyle name="Currency (0.00) 25" xfId="5270"/>
    <cellStyle name="Currency (0.00) 25 2" xfId="5271"/>
    <cellStyle name="Currency (0.00) 25 3" xfId="5272"/>
    <cellStyle name="Currency (0.00) 25 4" xfId="5273"/>
    <cellStyle name="Currency (0.00) 25 5" xfId="5274"/>
    <cellStyle name="Currency (0.00) 25 6" xfId="5275"/>
    <cellStyle name="Currency (0.00) 26" xfId="5276"/>
    <cellStyle name="Currency (0.00) 26 2" xfId="5277"/>
    <cellStyle name="Currency (0.00) 26 3" xfId="5278"/>
    <cellStyle name="Currency (0.00) 26 4" xfId="5279"/>
    <cellStyle name="Currency (0.00) 26 5" xfId="5280"/>
    <cellStyle name="Currency (0.00) 26 6" xfId="5281"/>
    <cellStyle name="Currency (0.00) 27" xfId="5282"/>
    <cellStyle name="Currency (0.00) 27 2" xfId="5283"/>
    <cellStyle name="Currency (0.00) 27 3" xfId="5284"/>
    <cellStyle name="Currency (0.00) 27 4" xfId="5285"/>
    <cellStyle name="Currency (0.00) 27 5" xfId="5286"/>
    <cellStyle name="Currency (0.00) 27 6" xfId="5287"/>
    <cellStyle name="Currency (0.00) 28" xfId="5288"/>
    <cellStyle name="Currency (0.00) 28 2" xfId="5289"/>
    <cellStyle name="Currency (0.00) 28 3" xfId="5290"/>
    <cellStyle name="Currency (0.00) 28 4" xfId="5291"/>
    <cellStyle name="Currency (0.00) 28 5" xfId="5292"/>
    <cellStyle name="Currency (0.00) 28 6" xfId="5293"/>
    <cellStyle name="Currency (0.00) 29" xfId="5294"/>
    <cellStyle name="Currency (0.00) 29 2" xfId="5295"/>
    <cellStyle name="Currency (0.00) 29 3" xfId="5296"/>
    <cellStyle name="Currency (0.00) 29 4" xfId="5297"/>
    <cellStyle name="Currency (0.00) 29 5" xfId="5298"/>
    <cellStyle name="Currency (0.00) 29 6" xfId="5299"/>
    <cellStyle name="Currency (0.00) 3" xfId="5300"/>
    <cellStyle name="Currency (0.00) 3 2" xfId="5301"/>
    <cellStyle name="Currency (0.00) 3 3" xfId="5302"/>
    <cellStyle name="Currency (0.00) 3 4" xfId="5303"/>
    <cellStyle name="Currency (0.00) 3 5" xfId="5304"/>
    <cellStyle name="Currency (0.00) 3 6" xfId="5305"/>
    <cellStyle name="Currency (0.00) 30" xfId="5306"/>
    <cellStyle name="Currency (0.00) 30 2" xfId="5307"/>
    <cellStyle name="Currency (0.00) 30 3" xfId="5308"/>
    <cellStyle name="Currency (0.00) 30 4" xfId="5309"/>
    <cellStyle name="Currency (0.00) 30 5" xfId="5310"/>
    <cellStyle name="Currency (0.00) 30 6" xfId="5311"/>
    <cellStyle name="Currency (0.00) 31" xfId="5312"/>
    <cellStyle name="Currency (0.00) 31 2" xfId="5313"/>
    <cellStyle name="Currency (0.00) 31 3" xfId="5314"/>
    <cellStyle name="Currency (0.00) 31 4" xfId="5315"/>
    <cellStyle name="Currency (0.00) 31 5" xfId="5316"/>
    <cellStyle name="Currency (0.00) 31 6" xfId="5317"/>
    <cellStyle name="Currency (0.00) 32" xfId="5318"/>
    <cellStyle name="Currency (0.00) 32 2" xfId="5319"/>
    <cellStyle name="Currency (0.00) 32 3" xfId="5320"/>
    <cellStyle name="Currency (0.00) 33" xfId="5321"/>
    <cellStyle name="Currency (0.00) 33 2" xfId="5322"/>
    <cellStyle name="Currency (0.00) 33 3" xfId="5323"/>
    <cellStyle name="Currency (0.00) 34" xfId="5324"/>
    <cellStyle name="Currency (0.00) 35" xfId="5325"/>
    <cellStyle name="Currency (0.00) 36" xfId="5326"/>
    <cellStyle name="Currency (0.00) 37" xfId="5327"/>
    <cellStyle name="Currency (0.00) 38" xfId="5328"/>
    <cellStyle name="Currency (0.00) 39" xfId="5329"/>
    <cellStyle name="Currency (0.00) 4" xfId="5330"/>
    <cellStyle name="Currency (0.00) 4 2" xfId="5331"/>
    <cellStyle name="Currency (0.00) 4 3" xfId="5332"/>
    <cellStyle name="Currency (0.00) 4 4" xfId="5333"/>
    <cellStyle name="Currency (0.00) 4 5" xfId="5334"/>
    <cellStyle name="Currency (0.00) 4 6" xfId="5335"/>
    <cellStyle name="Currency (0.00) 40" xfId="5336"/>
    <cellStyle name="Currency (0.00) 41" xfId="5337"/>
    <cellStyle name="Currency (0.00) 42" xfId="5338"/>
    <cellStyle name="Currency (0.00) 43" xfId="5339"/>
    <cellStyle name="Currency (0.00) 44" xfId="5340"/>
    <cellStyle name="Currency (0.00) 45" xfId="5341"/>
    <cellStyle name="Currency (0.00) 46" xfId="5342"/>
    <cellStyle name="Currency (0.00) 47" xfId="5343"/>
    <cellStyle name="Currency (0.00) 48" xfId="5344"/>
    <cellStyle name="Currency (0.00) 49" xfId="5345"/>
    <cellStyle name="Currency (0.00) 5" xfId="5346"/>
    <cellStyle name="Currency (0.00) 5 2" xfId="5347"/>
    <cellStyle name="Currency (0.00) 5 3" xfId="5348"/>
    <cellStyle name="Currency (0.00) 5 4" xfId="5349"/>
    <cellStyle name="Currency (0.00) 5 5" xfId="5350"/>
    <cellStyle name="Currency (0.00) 5 6" xfId="5351"/>
    <cellStyle name="Currency (0.00) 50" xfId="5352"/>
    <cellStyle name="Currency (0.00) 51" xfId="5353"/>
    <cellStyle name="Currency (0.00) 52" xfId="5354"/>
    <cellStyle name="Currency (0.00) 53" xfId="5355"/>
    <cellStyle name="Currency (0.00) 54" xfId="5356"/>
    <cellStyle name="Currency (0.00) 55" xfId="5357"/>
    <cellStyle name="Currency (0.00) 56" xfId="5358"/>
    <cellStyle name="Currency (0.00) 57" xfId="5359"/>
    <cellStyle name="Currency (0.00) 58" xfId="5360"/>
    <cellStyle name="Currency (0.00) 59" xfId="5361"/>
    <cellStyle name="Currency (0.00) 6" xfId="5362"/>
    <cellStyle name="Currency (0.00) 6 2" xfId="5363"/>
    <cellStyle name="Currency (0.00) 6 3" xfId="5364"/>
    <cellStyle name="Currency (0.00) 6 4" xfId="5365"/>
    <cellStyle name="Currency (0.00) 6 5" xfId="5366"/>
    <cellStyle name="Currency (0.00) 6 6" xfId="5367"/>
    <cellStyle name="Currency (0.00) 60" xfId="5368"/>
    <cellStyle name="Currency (0.00) 61" xfId="5369"/>
    <cellStyle name="Currency (0.00) 62" xfId="5370"/>
    <cellStyle name="Currency (0.00) 63" xfId="5371"/>
    <cellStyle name="Currency (0.00) 64" xfId="5372"/>
    <cellStyle name="Currency (0.00) 65" xfId="5373"/>
    <cellStyle name="Currency (0.00) 66" xfId="5374"/>
    <cellStyle name="Currency (0.00) 67" xfId="5375"/>
    <cellStyle name="Currency (0.00) 68" xfId="5376"/>
    <cellStyle name="Currency (0.00) 7" xfId="5377"/>
    <cellStyle name="Currency (0.00) 7 2" xfId="5378"/>
    <cellStyle name="Currency (0.00) 7 3" xfId="5379"/>
    <cellStyle name="Currency (0.00) 7 4" xfId="5380"/>
    <cellStyle name="Currency (0.00) 7 5" xfId="5381"/>
    <cellStyle name="Currency (0.00) 7 6" xfId="5382"/>
    <cellStyle name="Currency (0.00) 8" xfId="5383"/>
    <cellStyle name="Currency (0.00) 8 2" xfId="5384"/>
    <cellStyle name="Currency (0.00) 8 3" xfId="5385"/>
    <cellStyle name="Currency (0.00) 8 4" xfId="5386"/>
    <cellStyle name="Currency (0.00) 8 5" xfId="5387"/>
    <cellStyle name="Currency (0.00) 8 6" xfId="5388"/>
    <cellStyle name="Currency (0.00) 9" xfId="5389"/>
    <cellStyle name="Currency (0.00) 9 2" xfId="5390"/>
    <cellStyle name="Currency (0.00) 9 3" xfId="5391"/>
    <cellStyle name="Currency (0.00) 9 4" xfId="5392"/>
    <cellStyle name="Currency (0.00) 9 5" xfId="5393"/>
    <cellStyle name="Currency (0.00) 9 6" xfId="5394"/>
    <cellStyle name="Currency [0] 2" xfId="5395"/>
    <cellStyle name="Currency [0] 2 2" xfId="5396"/>
    <cellStyle name="Currency [0] 2 2 2" xfId="5397"/>
    <cellStyle name="Currency [0] 2 3" xfId="5398"/>
    <cellStyle name="Currency [0] 2 3 2" xfId="5399"/>
    <cellStyle name="Currency [0] 2 4" xfId="5400"/>
    <cellStyle name="Currency [0] 3" xfId="5401"/>
    <cellStyle name="Currency [0] 3 2" xfId="5402"/>
    <cellStyle name="Currency [0] 4" xfId="5403"/>
    <cellStyle name="Currency [0] 4 2" xfId="5404"/>
    <cellStyle name="Currency [0] 5" xfId="5405"/>
    <cellStyle name="Currency [0] 5 2" xfId="5406"/>
    <cellStyle name="Currency [0] 6" xfId="5407"/>
    <cellStyle name="Currency [0] 7" xfId="5408"/>
    <cellStyle name="Currency [00]" xfId="5409"/>
    <cellStyle name="Currency [00] 2" xfId="5410"/>
    <cellStyle name="Currency [00] 3" xfId="20760"/>
    <cellStyle name="Currency [00] 4" xfId="20761"/>
    <cellStyle name="Currency [00]_PKS" xfId="20762"/>
    <cellStyle name="Currency [1]" xfId="5411"/>
    <cellStyle name="Currency [1] 2" xfId="5412"/>
    <cellStyle name="Currency [1] 3" xfId="20763"/>
    <cellStyle name="Currency [1] 4" xfId="20764"/>
    <cellStyle name="Currency [1]_PKS" xfId="20765"/>
    <cellStyle name="Currency [2]" xfId="5413"/>
    <cellStyle name="Currency [2] 2" xfId="5414"/>
    <cellStyle name="Currency [2] 3" xfId="20766"/>
    <cellStyle name="Currency [2] 4" xfId="20767"/>
    <cellStyle name="Currency [2] 5" xfId="20768"/>
    <cellStyle name="Currency [2]_PKS" xfId="20769"/>
    <cellStyle name="Currency 2" xfId="5415"/>
    <cellStyle name="Currency 2 2" xfId="5416"/>
    <cellStyle name="Currency 2 2 2" xfId="5417"/>
    <cellStyle name="Currency 2 3" xfId="5418"/>
    <cellStyle name="Currency 2 3 2" xfId="5419"/>
    <cellStyle name="Currency 2 4" xfId="5420"/>
    <cellStyle name="Currency 2 5" xfId="5421"/>
    <cellStyle name="Currency 2 6" xfId="5422"/>
    <cellStyle name="Date" xfId="20770"/>
    <cellStyle name="Date [d-mmm-yy]" xfId="5423"/>
    <cellStyle name="Date [d-mmm-yy] 2" xfId="5424"/>
    <cellStyle name="Date [d-mmm-yy] 3" xfId="5425"/>
    <cellStyle name="Date [d-mmm-yy] 4" xfId="5426"/>
    <cellStyle name="Date [d-mmm-yy] 5" xfId="5427"/>
    <cellStyle name="Date [mm-d-yy]" xfId="5428"/>
    <cellStyle name="Date [mm-d-yy] 2" xfId="5429"/>
    <cellStyle name="Date [mm-d-yy] 3" xfId="20771"/>
    <cellStyle name="Date [mm-d-yy] 4" xfId="20772"/>
    <cellStyle name="Date [mm-d-yy] 5" xfId="20773"/>
    <cellStyle name="Date [mm-d-yy]_PKS" xfId="20774"/>
    <cellStyle name="Date [mm-d-yyyy]" xfId="5430"/>
    <cellStyle name="Date [mm-d-yyyy] 10" xfId="5431"/>
    <cellStyle name="Date [mm-d-yyyy] 11" xfId="5432"/>
    <cellStyle name="Date [mm-d-yyyy] 12" xfId="5433"/>
    <cellStyle name="Date [mm-d-yyyy] 13" xfId="5434"/>
    <cellStyle name="Date [mm-d-yyyy] 2" xfId="5435"/>
    <cellStyle name="Date [mm-d-yyyy] 2 2" xfId="5436"/>
    <cellStyle name="Date [mm-d-yyyy] 2 3" xfId="5437"/>
    <cellStyle name="Date [mm-d-yyyy] 2 4" xfId="5438"/>
    <cellStyle name="Date [mm-d-yyyy] 3" xfId="5439"/>
    <cellStyle name="Date [mm-d-yyyy] 3 2" xfId="5440"/>
    <cellStyle name="Date [mm-d-yyyy] 3 3" xfId="5441"/>
    <cellStyle name="Date [mm-d-yyyy] 3 4" xfId="5442"/>
    <cellStyle name="Date [mm-d-yyyy] 4" xfId="5443"/>
    <cellStyle name="Date [mm-d-yyyy] 4 2" xfId="5444"/>
    <cellStyle name="Date [mm-d-yyyy] 4 3" xfId="5445"/>
    <cellStyle name="Date [mm-d-yyyy] 4 4" xfId="5446"/>
    <cellStyle name="Date [mm-d-yyyy] 5" xfId="5447"/>
    <cellStyle name="Date [mm-d-yyyy] 5 2" xfId="5448"/>
    <cellStyle name="Date [mm-d-yyyy] 5 3" xfId="5449"/>
    <cellStyle name="Date [mm-d-yyyy] 5 4" xfId="5450"/>
    <cellStyle name="Date [mm-d-yyyy] 6" xfId="5451"/>
    <cellStyle name="Date [mm-d-yyyy] 6 2" xfId="5452"/>
    <cellStyle name="Date [mm-d-yyyy] 6 3" xfId="5453"/>
    <cellStyle name="Date [mm-d-yyyy] 7" xfId="5454"/>
    <cellStyle name="Date [mm-d-yyyy] 8" xfId="5455"/>
    <cellStyle name="Date [mm-d-yyyy] 9" xfId="5456"/>
    <cellStyle name="Date [mm-d-yyyy]_PKS" xfId="20775"/>
    <cellStyle name="Date [mmm-yy]" xfId="5457"/>
    <cellStyle name="Date [mmm-yy] 2" xfId="5458"/>
    <cellStyle name="Date 2" xfId="20776"/>
    <cellStyle name="Date 3" xfId="20777"/>
    <cellStyle name="Date 4" xfId="20778"/>
    <cellStyle name="Date Short" xfId="5459"/>
    <cellStyle name="Date Short 2" xfId="5460"/>
    <cellStyle name="Date_006.Laporan Pengolahan Juni'09" xfId="20779"/>
    <cellStyle name="Enter Currency (0)" xfId="5461"/>
    <cellStyle name="Enter Currency (0) 2" xfId="5462"/>
    <cellStyle name="Enter Currency (0) 3" xfId="20780"/>
    <cellStyle name="Enter Currency (0) 4" xfId="20781"/>
    <cellStyle name="Enter Currency (0)_1x1" xfId="20782"/>
    <cellStyle name="Enter Currency (2)" xfId="5463"/>
    <cellStyle name="Enter Currency (2) 2" xfId="5464"/>
    <cellStyle name="Enter Currency (2) 3" xfId="20783"/>
    <cellStyle name="Enter Currency (2) 4" xfId="20784"/>
    <cellStyle name="Enter Currency (2)_1x1" xfId="20785"/>
    <cellStyle name="Enter Units (0)" xfId="5465"/>
    <cellStyle name="Enter Units (0) 2" xfId="5466"/>
    <cellStyle name="Enter Units (0) 3" xfId="20786"/>
    <cellStyle name="Enter Units (0) 4" xfId="20787"/>
    <cellStyle name="Enter Units (0)_1x1" xfId="20788"/>
    <cellStyle name="Enter Units (1)" xfId="5467"/>
    <cellStyle name="Enter Units (1) 2" xfId="5468"/>
    <cellStyle name="Enter Units (1) 3" xfId="20789"/>
    <cellStyle name="Enter Units (1) 4" xfId="20790"/>
    <cellStyle name="Enter Units (1)_1x1" xfId="20791"/>
    <cellStyle name="Enter Units (2)" xfId="5469"/>
    <cellStyle name="Enter Units (2) 2" xfId="5470"/>
    <cellStyle name="Enter Units (2) 3" xfId="20792"/>
    <cellStyle name="Enter Units (2) 4" xfId="20793"/>
    <cellStyle name="Enter Units (2)_1x1" xfId="20794"/>
    <cellStyle name="Entered" xfId="5471"/>
    <cellStyle name="Entered 2" xfId="5472"/>
    <cellStyle name="Euro" xfId="20795"/>
    <cellStyle name="Excel Built-in Comma" xfId="5473"/>
    <cellStyle name="Excel Built-in Comma [0]" xfId="5474"/>
    <cellStyle name="Excel Built-in Comma [0] 2" xfId="5475"/>
    <cellStyle name="Excel Built-in Comma 10" xfId="5476"/>
    <cellStyle name="Excel Built-in Comma 11" xfId="5477"/>
    <cellStyle name="Excel Built-in Comma 12" xfId="5478"/>
    <cellStyle name="Excel Built-in Comma 13" xfId="5479"/>
    <cellStyle name="Excel Built-in Comma 14" xfId="5480"/>
    <cellStyle name="Excel Built-in Comma 15" xfId="5481"/>
    <cellStyle name="Excel Built-in Comma 16" xfId="5482"/>
    <cellStyle name="Excel Built-in Comma 2" xfId="5483"/>
    <cellStyle name="Excel Built-in Comma 3" xfId="5484"/>
    <cellStyle name="Excel Built-in Comma 4" xfId="5485"/>
    <cellStyle name="Excel Built-in Comma 5" xfId="5486"/>
    <cellStyle name="Excel Built-in Comma 6" xfId="5487"/>
    <cellStyle name="Excel Built-in Comma 7" xfId="5488"/>
    <cellStyle name="Excel Built-in Comma 8" xfId="5489"/>
    <cellStyle name="Excel Built-in Comma 9" xfId="5490"/>
    <cellStyle name="Excel Built-in Normal" xfId="5491"/>
    <cellStyle name="Excel Built-in Normal 2" xfId="5492"/>
    <cellStyle name="Excel Built-in Normal 2 2" xfId="5493"/>
    <cellStyle name="Excel Built-in Normal 3" xfId="11"/>
    <cellStyle name="Excel Built-in Normal 3 2" xfId="5494"/>
    <cellStyle name="Excel Built-in Normal 3 2 2" xfId="5495"/>
    <cellStyle name="Excel Built-in Normal 3 3" xfId="5496"/>
    <cellStyle name="Excel Built-in Normal 4" xfId="5497"/>
    <cellStyle name="Excel Built-in Normal 4 2" xfId="5498"/>
    <cellStyle name="Excel Built-in Normal 5" xfId="5499"/>
    <cellStyle name="Excel Built-in Normal 6" xfId="5500"/>
    <cellStyle name="Excel Built-in Normal 7" xfId="5501"/>
    <cellStyle name="Excel Built-in Normal 8" xfId="20680"/>
    <cellStyle name="Explanatory Text 10" xfId="5502"/>
    <cellStyle name="Explanatory Text 10 2" xfId="5503"/>
    <cellStyle name="Explanatory Text 11" xfId="5504"/>
    <cellStyle name="Explanatory Text 11 2" xfId="5505"/>
    <cellStyle name="Explanatory Text 2" xfId="5506"/>
    <cellStyle name="Explanatory Text 2 2" xfId="5507"/>
    <cellStyle name="Explanatory Text 3" xfId="5508"/>
    <cellStyle name="Explanatory Text 3 2" xfId="5509"/>
    <cellStyle name="Explanatory Text 4" xfId="5510"/>
    <cellStyle name="Explanatory Text 4 2" xfId="5511"/>
    <cellStyle name="Explanatory Text 5" xfId="5512"/>
    <cellStyle name="Explanatory Text 5 2" xfId="5513"/>
    <cellStyle name="Explanatory Text 6" xfId="5514"/>
    <cellStyle name="Explanatory Text 6 2" xfId="5515"/>
    <cellStyle name="Explanatory Text 7" xfId="5516"/>
    <cellStyle name="Explanatory Text 7 2" xfId="5517"/>
    <cellStyle name="Explanatory Text 8" xfId="5518"/>
    <cellStyle name="Explanatory Text 8 2" xfId="5519"/>
    <cellStyle name="Explanatory Text 9" xfId="5520"/>
    <cellStyle name="Explanatory Text 9 2" xfId="5521"/>
    <cellStyle name="F" xfId="20796"/>
    <cellStyle name="F_PKS" xfId="20797"/>
    <cellStyle name="F2" xfId="20798"/>
    <cellStyle name="F2 2" xfId="20799"/>
    <cellStyle name="F2 3" xfId="20800"/>
    <cellStyle name="F2 4" xfId="20801"/>
    <cellStyle name="F2_1x1" xfId="20802"/>
    <cellStyle name="F3" xfId="20803"/>
    <cellStyle name="F3 2" xfId="20804"/>
    <cellStyle name="F3 3" xfId="20805"/>
    <cellStyle name="F3 4" xfId="20806"/>
    <cellStyle name="F3_1x1" xfId="20807"/>
    <cellStyle name="F4" xfId="20808"/>
    <cellStyle name="F4 2" xfId="20809"/>
    <cellStyle name="F4 3" xfId="20810"/>
    <cellStyle name="F4 4" xfId="20811"/>
    <cellStyle name="F4_1x1" xfId="20812"/>
    <cellStyle name="F5" xfId="20813"/>
    <cellStyle name="F5 2" xfId="20814"/>
    <cellStyle name="F5 3" xfId="20815"/>
    <cellStyle name="F5 4" xfId="20816"/>
    <cellStyle name="F5_1x1" xfId="20817"/>
    <cellStyle name="F6" xfId="20818"/>
    <cellStyle name="F6 2" xfId="20819"/>
    <cellStyle name="F6 3" xfId="20820"/>
    <cellStyle name="F6 4" xfId="20821"/>
    <cellStyle name="F6_1x1" xfId="20822"/>
    <cellStyle name="F7" xfId="20823"/>
    <cellStyle name="F7 2" xfId="20824"/>
    <cellStyle name="F7 3" xfId="20825"/>
    <cellStyle name="F7 4" xfId="20826"/>
    <cellStyle name="F7_1x1" xfId="20827"/>
    <cellStyle name="F8" xfId="20828"/>
    <cellStyle name="F8 2" xfId="20829"/>
    <cellStyle name="F8 3" xfId="20830"/>
    <cellStyle name="F8 4" xfId="20831"/>
    <cellStyle name="F8_1x1" xfId="20832"/>
    <cellStyle name="Fixed" xfId="20833"/>
    <cellStyle name="Fixed [0]" xfId="5522"/>
    <cellStyle name="Fixed [0] 2" xfId="5523"/>
    <cellStyle name="Fixed [0] 3" xfId="20834"/>
    <cellStyle name="Fixed [0] 4" xfId="20835"/>
    <cellStyle name="Fixed [0] 5" xfId="20836"/>
    <cellStyle name="Fixed [0]_PKS" xfId="20837"/>
    <cellStyle name="Fixed 2" xfId="20838"/>
    <cellStyle name="Fixed 3" xfId="20839"/>
    <cellStyle name="Fixed 4" xfId="20840"/>
    <cellStyle name="Fixed_006.Laporan Pengolahan Juni'09" xfId="20841"/>
    <cellStyle name="Good 10" xfId="5524"/>
    <cellStyle name="Good 10 2" xfId="5525"/>
    <cellStyle name="Good 11" xfId="5526"/>
    <cellStyle name="Good 11 2" xfId="5527"/>
    <cellStyle name="Good 2" xfId="5528"/>
    <cellStyle name="Good 2 2" xfId="5529"/>
    <cellStyle name="Good 3" xfId="5530"/>
    <cellStyle name="Good 3 2" xfId="5531"/>
    <cellStyle name="Good 4" xfId="5532"/>
    <cellStyle name="Good 4 2" xfId="5533"/>
    <cellStyle name="Good 5" xfId="5534"/>
    <cellStyle name="Good 5 2" xfId="5535"/>
    <cellStyle name="Good 6" xfId="5536"/>
    <cellStyle name="Good 6 2" xfId="5537"/>
    <cellStyle name="Good 7" xfId="5538"/>
    <cellStyle name="Good 7 2" xfId="5539"/>
    <cellStyle name="Good 8" xfId="5540"/>
    <cellStyle name="Good 8 2" xfId="5541"/>
    <cellStyle name="Good 9" xfId="5542"/>
    <cellStyle name="Good 9 2" xfId="5543"/>
    <cellStyle name="Grey" xfId="5544"/>
    <cellStyle name="Grey 2" xfId="5545"/>
    <cellStyle name="Grey 3" xfId="20842"/>
    <cellStyle name="Grey 4" xfId="20843"/>
    <cellStyle name="Grey_PKS" xfId="20844"/>
    <cellStyle name="Header1" xfId="5546"/>
    <cellStyle name="Header1 10" xfId="5547"/>
    <cellStyle name="Header1 10 2" xfId="5548"/>
    <cellStyle name="Header1 10 3" xfId="5549"/>
    <cellStyle name="Header1 11" xfId="5550"/>
    <cellStyle name="Header1 11 2" xfId="5551"/>
    <cellStyle name="Header1 11 3" xfId="5552"/>
    <cellStyle name="Header1 12" xfId="5553"/>
    <cellStyle name="Header1 12 2" xfId="5554"/>
    <cellStyle name="Header1 12 3" xfId="5555"/>
    <cellStyle name="Header1 12 4" xfId="5556"/>
    <cellStyle name="Header1 13" xfId="5557"/>
    <cellStyle name="Header1 13 2" xfId="5558"/>
    <cellStyle name="Header1 13 3" xfId="5559"/>
    <cellStyle name="Header1 13 4" xfId="5560"/>
    <cellStyle name="Header1 14" xfId="5561"/>
    <cellStyle name="Header1 14 2" xfId="5562"/>
    <cellStyle name="Header1 14 3" xfId="5563"/>
    <cellStyle name="Header1 15" xfId="5564"/>
    <cellStyle name="Header1 15 2" xfId="5565"/>
    <cellStyle name="Header1 15 3" xfId="5566"/>
    <cellStyle name="Header1 16" xfId="5567"/>
    <cellStyle name="Header1 16 2" xfId="5568"/>
    <cellStyle name="Header1 16 3" xfId="5569"/>
    <cellStyle name="Header1 17" xfId="5570"/>
    <cellStyle name="Header1 17 2" xfId="5571"/>
    <cellStyle name="Header1 17 3" xfId="5572"/>
    <cellStyle name="Header1 18" xfId="5573"/>
    <cellStyle name="Header1 18 2" xfId="5574"/>
    <cellStyle name="Header1 19" xfId="5575"/>
    <cellStyle name="Header1 2" xfId="5576"/>
    <cellStyle name="Header1 2 2" xfId="5577"/>
    <cellStyle name="Header1 2 3" xfId="5578"/>
    <cellStyle name="Header1 20" xfId="5579"/>
    <cellStyle name="Header1 21" xfId="5580"/>
    <cellStyle name="Header1 22" xfId="5581"/>
    <cellStyle name="Header1 23" xfId="5582"/>
    <cellStyle name="Header1 3" xfId="5583"/>
    <cellStyle name="Header1 3 2" xfId="5584"/>
    <cellStyle name="Header1 3 3" xfId="5585"/>
    <cellStyle name="Header1 4" xfId="5586"/>
    <cellStyle name="Header1 4 2" xfId="5587"/>
    <cellStyle name="Header1 4 3" xfId="5588"/>
    <cellStyle name="Header1 4 4" xfId="5589"/>
    <cellStyle name="Header1 5" xfId="5590"/>
    <cellStyle name="Header1 5 2" xfId="5591"/>
    <cellStyle name="Header1 5 3" xfId="5592"/>
    <cellStyle name="Header1 6" xfId="5593"/>
    <cellStyle name="Header1 6 2" xfId="5594"/>
    <cellStyle name="Header1 6 3" xfId="5595"/>
    <cellStyle name="Header1 7" xfId="5596"/>
    <cellStyle name="Header1 7 2" xfId="5597"/>
    <cellStyle name="Header1 7 3" xfId="5598"/>
    <cellStyle name="Header1 8" xfId="5599"/>
    <cellStyle name="Header1 8 2" xfId="5600"/>
    <cellStyle name="Header1 8 3" xfId="5601"/>
    <cellStyle name="Header1 8 4" xfId="5602"/>
    <cellStyle name="Header1 9" xfId="5603"/>
    <cellStyle name="Header1 9 2" xfId="5604"/>
    <cellStyle name="Header1 9 3" xfId="5605"/>
    <cellStyle name="Header2" xfId="5606"/>
    <cellStyle name="Header2 10" xfId="5607"/>
    <cellStyle name="Header2 10 2" xfId="5608"/>
    <cellStyle name="Header2 10 3" xfId="5609"/>
    <cellStyle name="Header2 10 4" xfId="5610"/>
    <cellStyle name="Header2 10 5" xfId="5611"/>
    <cellStyle name="Header2 11" xfId="5612"/>
    <cellStyle name="Header2 11 2" xfId="5613"/>
    <cellStyle name="Header2 11 3" xfId="5614"/>
    <cellStyle name="Header2 11 4" xfId="5615"/>
    <cellStyle name="Header2 11 5" xfId="5616"/>
    <cellStyle name="Header2 12" xfId="5617"/>
    <cellStyle name="Header2 12 2" xfId="5618"/>
    <cellStyle name="Header2 12 3" xfId="5619"/>
    <cellStyle name="Header2 12 4" xfId="5620"/>
    <cellStyle name="Header2 12 5" xfId="5621"/>
    <cellStyle name="Header2 13" xfId="5622"/>
    <cellStyle name="Header2 13 2" xfId="5623"/>
    <cellStyle name="Header2 13 3" xfId="5624"/>
    <cellStyle name="Header2 13 4" xfId="5625"/>
    <cellStyle name="Header2 13 5" xfId="5626"/>
    <cellStyle name="Header2 14" xfId="5627"/>
    <cellStyle name="Header2 14 2" xfId="5628"/>
    <cellStyle name="Header2 14 3" xfId="5629"/>
    <cellStyle name="Header2 14 4" xfId="5630"/>
    <cellStyle name="Header2 14 5" xfId="5631"/>
    <cellStyle name="Header2 15" xfId="5632"/>
    <cellStyle name="Header2 15 2" xfId="5633"/>
    <cellStyle name="Header2 15 3" xfId="5634"/>
    <cellStyle name="Header2 15 4" xfId="5635"/>
    <cellStyle name="Header2 15 5" xfId="5636"/>
    <cellStyle name="Header2 16" xfId="5637"/>
    <cellStyle name="Header2 16 2" xfId="5638"/>
    <cellStyle name="Header2 16 3" xfId="5639"/>
    <cellStyle name="Header2 16 4" xfId="5640"/>
    <cellStyle name="Header2 16 5" xfId="5641"/>
    <cellStyle name="Header2 17" xfId="5642"/>
    <cellStyle name="Header2 17 2" xfId="5643"/>
    <cellStyle name="Header2 17 3" xfId="5644"/>
    <cellStyle name="Header2 17 4" xfId="5645"/>
    <cellStyle name="Header2 17 5" xfId="5646"/>
    <cellStyle name="Header2 18" xfId="5647"/>
    <cellStyle name="Header2 18 2" xfId="5648"/>
    <cellStyle name="Header2 18 3" xfId="5649"/>
    <cellStyle name="Header2 18 4" xfId="5650"/>
    <cellStyle name="Header2 18 5" xfId="5651"/>
    <cellStyle name="Header2 19" xfId="5652"/>
    <cellStyle name="Header2 19 2" xfId="5653"/>
    <cellStyle name="Header2 19 3" xfId="5654"/>
    <cellStyle name="Header2 19 4" xfId="5655"/>
    <cellStyle name="Header2 19 5" xfId="5656"/>
    <cellStyle name="Header2 2" xfId="5657"/>
    <cellStyle name="Header2 2 2" xfId="5658"/>
    <cellStyle name="Header2 2 3" xfId="5659"/>
    <cellStyle name="Header2 2 4" xfId="5660"/>
    <cellStyle name="Header2 2 5" xfId="5661"/>
    <cellStyle name="Header2 2 6" xfId="5662"/>
    <cellStyle name="Header2 2 7" xfId="5663"/>
    <cellStyle name="Header2 2 8" xfId="5664"/>
    <cellStyle name="Header2 2 9" xfId="5665"/>
    <cellStyle name="Header2 20" xfId="5666"/>
    <cellStyle name="Header2 20 2" xfId="5667"/>
    <cellStyle name="Header2 20 3" xfId="5668"/>
    <cellStyle name="Header2 20 4" xfId="5669"/>
    <cellStyle name="Header2 20 5" xfId="5670"/>
    <cellStyle name="Header2 21" xfId="5671"/>
    <cellStyle name="Header2 21 2" xfId="5672"/>
    <cellStyle name="Header2 21 3" xfId="5673"/>
    <cellStyle name="Header2 21 4" xfId="5674"/>
    <cellStyle name="Header2 21 5" xfId="5675"/>
    <cellStyle name="Header2 22" xfId="5676"/>
    <cellStyle name="Header2 22 2" xfId="5677"/>
    <cellStyle name="Header2 22 3" xfId="5678"/>
    <cellStyle name="Header2 22 4" xfId="5679"/>
    <cellStyle name="Header2 22 5" xfId="5680"/>
    <cellStyle name="Header2 23" xfId="5681"/>
    <cellStyle name="Header2 23 2" xfId="5682"/>
    <cellStyle name="Header2 23 3" xfId="5683"/>
    <cellStyle name="Header2 23 4" xfId="5684"/>
    <cellStyle name="Header2 23 5" xfId="5685"/>
    <cellStyle name="Header2 24" xfId="5686"/>
    <cellStyle name="Header2 24 2" xfId="5687"/>
    <cellStyle name="Header2 24 3" xfId="5688"/>
    <cellStyle name="Header2 24 4" xfId="5689"/>
    <cellStyle name="Header2 24 5" xfId="5690"/>
    <cellStyle name="Header2 25" xfId="5691"/>
    <cellStyle name="Header2 25 2" xfId="5692"/>
    <cellStyle name="Header2 25 3" xfId="5693"/>
    <cellStyle name="Header2 25 4" xfId="5694"/>
    <cellStyle name="Header2 25 5" xfId="5695"/>
    <cellStyle name="Header2 26" xfId="5696"/>
    <cellStyle name="Header2 26 2" xfId="5697"/>
    <cellStyle name="Header2 26 3" xfId="5698"/>
    <cellStyle name="Header2 26 4" xfId="5699"/>
    <cellStyle name="Header2 26 5" xfId="5700"/>
    <cellStyle name="Header2 27" xfId="5701"/>
    <cellStyle name="Header2 27 2" xfId="5702"/>
    <cellStyle name="Header2 27 3" xfId="5703"/>
    <cellStyle name="Header2 27 4" xfId="5704"/>
    <cellStyle name="Header2 27 5" xfId="5705"/>
    <cellStyle name="Header2 28" xfId="5706"/>
    <cellStyle name="Header2 28 2" xfId="5707"/>
    <cellStyle name="Header2 28 3" xfId="5708"/>
    <cellStyle name="Header2 28 4" xfId="5709"/>
    <cellStyle name="Header2 28 5" xfId="5710"/>
    <cellStyle name="Header2 29" xfId="5711"/>
    <cellStyle name="Header2 29 2" xfId="5712"/>
    <cellStyle name="Header2 29 3" xfId="5713"/>
    <cellStyle name="Header2 3" xfId="5714"/>
    <cellStyle name="Header2 3 2" xfId="5715"/>
    <cellStyle name="Header2 3 3" xfId="5716"/>
    <cellStyle name="Header2 3 4" xfId="5717"/>
    <cellStyle name="Header2 3 5" xfId="5718"/>
    <cellStyle name="Header2 30" xfId="5719"/>
    <cellStyle name="Header2 30 2" xfId="5720"/>
    <cellStyle name="Header2 30 3" xfId="5721"/>
    <cellStyle name="Header2 31" xfId="5722"/>
    <cellStyle name="Header2 32" xfId="5723"/>
    <cellStyle name="Header2 33" xfId="5724"/>
    <cellStyle name="Header2 34" xfId="5725"/>
    <cellStyle name="Header2 35" xfId="5726"/>
    <cellStyle name="Header2 36" xfId="5727"/>
    <cellStyle name="Header2 37" xfId="5728"/>
    <cellStyle name="Header2 38" xfId="5729"/>
    <cellStyle name="Header2 39" xfId="5730"/>
    <cellStyle name="Header2 4" xfId="5731"/>
    <cellStyle name="Header2 4 2" xfId="5732"/>
    <cellStyle name="Header2 4 3" xfId="5733"/>
    <cellStyle name="Header2 4 4" xfId="5734"/>
    <cellStyle name="Header2 4 5" xfId="5735"/>
    <cellStyle name="Header2 40" xfId="5736"/>
    <cellStyle name="Header2 41" xfId="5737"/>
    <cellStyle name="Header2 42" xfId="5738"/>
    <cellStyle name="Header2 43" xfId="5739"/>
    <cellStyle name="Header2 44" xfId="5740"/>
    <cellStyle name="Header2 45" xfId="5741"/>
    <cellStyle name="Header2 46" xfId="5742"/>
    <cellStyle name="Header2 47" xfId="5743"/>
    <cellStyle name="Header2 48" xfId="5744"/>
    <cellStyle name="Header2 49" xfId="5745"/>
    <cellStyle name="Header2 5" xfId="5746"/>
    <cellStyle name="Header2 5 2" xfId="5747"/>
    <cellStyle name="Header2 5 3" xfId="5748"/>
    <cellStyle name="Header2 5 4" xfId="5749"/>
    <cellStyle name="Header2 5 5" xfId="5750"/>
    <cellStyle name="Header2 50" xfId="5751"/>
    <cellStyle name="Header2 51" xfId="5752"/>
    <cellStyle name="Header2 52" xfId="5753"/>
    <cellStyle name="Header2 53" xfId="5754"/>
    <cellStyle name="Header2 54" xfId="5755"/>
    <cellStyle name="Header2 55" xfId="5756"/>
    <cellStyle name="Header2 56" xfId="5757"/>
    <cellStyle name="Header2 57" xfId="5758"/>
    <cellStyle name="Header2 58" xfId="5759"/>
    <cellStyle name="Header2 59" xfId="5760"/>
    <cellStyle name="Header2 6" xfId="5761"/>
    <cellStyle name="Header2 6 2" xfId="5762"/>
    <cellStyle name="Header2 6 3" xfId="5763"/>
    <cellStyle name="Header2 6 4" xfId="5764"/>
    <cellStyle name="Header2 6 5" xfId="5765"/>
    <cellStyle name="Header2 60" xfId="5766"/>
    <cellStyle name="Header2 61" xfId="5767"/>
    <cellStyle name="Header2 7" xfId="5768"/>
    <cellStyle name="Header2 7 2" xfId="5769"/>
    <cellStyle name="Header2 7 3" xfId="5770"/>
    <cellStyle name="Header2 7 4" xfId="5771"/>
    <cellStyle name="Header2 7 5" xfId="5772"/>
    <cellStyle name="Header2 8" xfId="5773"/>
    <cellStyle name="Header2 8 2" xfId="5774"/>
    <cellStyle name="Header2 8 3" xfId="5775"/>
    <cellStyle name="Header2 8 4" xfId="5776"/>
    <cellStyle name="Header2 8 5" xfId="5777"/>
    <cellStyle name="Header2 9" xfId="5778"/>
    <cellStyle name="Header2 9 2" xfId="5779"/>
    <cellStyle name="Header2 9 3" xfId="5780"/>
    <cellStyle name="Header2 9 4" xfId="5781"/>
    <cellStyle name="Header2 9 5" xfId="5782"/>
    <cellStyle name="Heading 1 10" xfId="5783"/>
    <cellStyle name="Heading 1 10 2" xfId="5784"/>
    <cellStyle name="Heading 1 11" xfId="5785"/>
    <cellStyle name="Heading 1 11 2" xfId="5786"/>
    <cellStyle name="Heading 1 12" xfId="5787"/>
    <cellStyle name="Heading 1 12 2" xfId="5788"/>
    <cellStyle name="Heading 1 2" xfId="5789"/>
    <cellStyle name="Heading 1 2 2" xfId="5790"/>
    <cellStyle name="Heading 1 3" xfId="5791"/>
    <cellStyle name="Heading 1 3 2" xfId="5792"/>
    <cellStyle name="Heading 1 4" xfId="5793"/>
    <cellStyle name="Heading 1 4 2" xfId="5794"/>
    <cellStyle name="Heading 1 5" xfId="5795"/>
    <cellStyle name="Heading 1 5 2" xfId="5796"/>
    <cellStyle name="Heading 1 6" xfId="5797"/>
    <cellStyle name="Heading 1 6 2" xfId="5798"/>
    <cellStyle name="Heading 1 7" xfId="5799"/>
    <cellStyle name="Heading 1 7 2" xfId="5800"/>
    <cellStyle name="Heading 1 8" xfId="5801"/>
    <cellStyle name="Heading 1 8 2" xfId="5802"/>
    <cellStyle name="Heading 1 9" xfId="5803"/>
    <cellStyle name="Heading 1 9 2" xfId="5804"/>
    <cellStyle name="Heading 2 10" xfId="5805"/>
    <cellStyle name="Heading 2 10 2" xfId="5806"/>
    <cellStyle name="Heading 2 11" xfId="5807"/>
    <cellStyle name="Heading 2 11 2" xfId="5808"/>
    <cellStyle name="Heading 2 12" xfId="5809"/>
    <cellStyle name="Heading 2 12 2" xfId="5810"/>
    <cellStyle name="Heading 2 2" xfId="5811"/>
    <cellStyle name="Heading 2 2 2" xfId="5812"/>
    <cellStyle name="Heading 2 3" xfId="5813"/>
    <cellStyle name="Heading 2 3 2" xfId="5814"/>
    <cellStyle name="Heading 2 4" xfId="5815"/>
    <cellStyle name="Heading 2 4 2" xfId="5816"/>
    <cellStyle name="Heading 2 5" xfId="5817"/>
    <cellStyle name="Heading 2 5 2" xfId="5818"/>
    <cellStyle name="Heading 2 6" xfId="5819"/>
    <cellStyle name="Heading 2 6 2" xfId="5820"/>
    <cellStyle name="Heading 2 7" xfId="5821"/>
    <cellStyle name="Heading 2 7 2" xfId="5822"/>
    <cellStyle name="Heading 2 8" xfId="5823"/>
    <cellStyle name="Heading 2 8 2" xfId="5824"/>
    <cellStyle name="Heading 2 9" xfId="5825"/>
    <cellStyle name="Heading 2 9 2" xfId="5826"/>
    <cellStyle name="Heading 3 10" xfId="5827"/>
    <cellStyle name="Heading 3 10 10" xfId="5828"/>
    <cellStyle name="Heading 3 10 10 2" xfId="5829"/>
    <cellStyle name="Heading 3 10 10 3" xfId="5830"/>
    <cellStyle name="Heading 3 10 10 4" xfId="5831"/>
    <cellStyle name="Heading 3 10 10 5" xfId="5832"/>
    <cellStyle name="Heading 3 10 10 6" xfId="5833"/>
    <cellStyle name="Heading 3 10 11" xfId="5834"/>
    <cellStyle name="Heading 3 10 11 2" xfId="5835"/>
    <cellStyle name="Heading 3 10 11 3" xfId="5836"/>
    <cellStyle name="Heading 3 10 11 4" xfId="5837"/>
    <cellStyle name="Heading 3 10 11 5" xfId="5838"/>
    <cellStyle name="Heading 3 10 11 6" xfId="5839"/>
    <cellStyle name="Heading 3 10 12" xfId="5840"/>
    <cellStyle name="Heading 3 10 12 2" xfId="5841"/>
    <cellStyle name="Heading 3 10 12 3" xfId="5842"/>
    <cellStyle name="Heading 3 10 12 4" xfId="5843"/>
    <cellStyle name="Heading 3 10 12 5" xfId="5844"/>
    <cellStyle name="Heading 3 10 12 6" xfId="5845"/>
    <cellStyle name="Heading 3 10 13" xfId="5846"/>
    <cellStyle name="Heading 3 10 13 2" xfId="5847"/>
    <cellStyle name="Heading 3 10 13 3" xfId="5848"/>
    <cellStyle name="Heading 3 10 13 4" xfId="5849"/>
    <cellStyle name="Heading 3 10 13 5" xfId="5850"/>
    <cellStyle name="Heading 3 10 13 6" xfId="5851"/>
    <cellStyle name="Heading 3 10 14" xfId="5852"/>
    <cellStyle name="Heading 3 10 14 2" xfId="5853"/>
    <cellStyle name="Heading 3 10 14 3" xfId="5854"/>
    <cellStyle name="Heading 3 10 14 4" xfId="5855"/>
    <cellStyle name="Heading 3 10 14 5" xfId="5856"/>
    <cellStyle name="Heading 3 10 14 6" xfId="5857"/>
    <cellStyle name="Heading 3 10 15" xfId="5858"/>
    <cellStyle name="Heading 3 10 15 2" xfId="5859"/>
    <cellStyle name="Heading 3 10 15 3" xfId="5860"/>
    <cellStyle name="Heading 3 10 15 4" xfId="5861"/>
    <cellStyle name="Heading 3 10 15 5" xfId="5862"/>
    <cellStyle name="Heading 3 10 15 6" xfId="5863"/>
    <cellStyle name="Heading 3 10 16" xfId="5864"/>
    <cellStyle name="Heading 3 10 16 2" xfId="5865"/>
    <cellStyle name="Heading 3 10 16 3" xfId="5866"/>
    <cellStyle name="Heading 3 10 16 4" xfId="5867"/>
    <cellStyle name="Heading 3 10 16 5" xfId="5868"/>
    <cellStyle name="Heading 3 10 17" xfId="5869"/>
    <cellStyle name="Heading 3 10 17 2" xfId="5870"/>
    <cellStyle name="Heading 3 10 17 3" xfId="5871"/>
    <cellStyle name="Heading 3 10 17 4" xfId="5872"/>
    <cellStyle name="Heading 3 10 18" xfId="5873"/>
    <cellStyle name="Heading 3 10 19" xfId="5874"/>
    <cellStyle name="Heading 3 10 2" xfId="5875"/>
    <cellStyle name="Heading 3 10 2 2" xfId="5876"/>
    <cellStyle name="Heading 3 10 2 3" xfId="5877"/>
    <cellStyle name="Heading 3 10 2 4" xfId="5878"/>
    <cellStyle name="Heading 3 10 2 5" xfId="5879"/>
    <cellStyle name="Heading 3 10 2 6" xfId="5880"/>
    <cellStyle name="Heading 3 10 20" xfId="5881"/>
    <cellStyle name="Heading 3 10 21" xfId="5882"/>
    <cellStyle name="Heading 3 10 22" xfId="5883"/>
    <cellStyle name="Heading 3 10 23" xfId="5884"/>
    <cellStyle name="Heading 3 10 24" xfId="5885"/>
    <cellStyle name="Heading 3 10 25" xfId="5886"/>
    <cellStyle name="Heading 3 10 26" xfId="5887"/>
    <cellStyle name="Heading 3 10 27" xfId="5888"/>
    <cellStyle name="Heading 3 10 28" xfId="5889"/>
    <cellStyle name="Heading 3 10 29" xfId="5890"/>
    <cellStyle name="Heading 3 10 3" xfId="5891"/>
    <cellStyle name="Heading 3 10 3 2" xfId="5892"/>
    <cellStyle name="Heading 3 10 3 3" xfId="5893"/>
    <cellStyle name="Heading 3 10 3 4" xfId="5894"/>
    <cellStyle name="Heading 3 10 3 5" xfId="5895"/>
    <cellStyle name="Heading 3 10 3 6" xfId="5896"/>
    <cellStyle name="Heading 3 10 30" xfId="5897"/>
    <cellStyle name="Heading 3 10 31" xfId="5898"/>
    <cellStyle name="Heading 3 10 32" xfId="5899"/>
    <cellStyle name="Heading 3 10 33" xfId="5900"/>
    <cellStyle name="Heading 3 10 34" xfId="5901"/>
    <cellStyle name="Heading 3 10 35" xfId="5902"/>
    <cellStyle name="Heading 3 10 36" xfId="5903"/>
    <cellStyle name="Heading 3 10 37" xfId="5904"/>
    <cellStyle name="Heading 3 10 4" xfId="5905"/>
    <cellStyle name="Heading 3 10 4 2" xfId="5906"/>
    <cellStyle name="Heading 3 10 4 3" xfId="5907"/>
    <cellStyle name="Heading 3 10 4 4" xfId="5908"/>
    <cellStyle name="Heading 3 10 4 5" xfId="5909"/>
    <cellStyle name="Heading 3 10 4 6" xfId="5910"/>
    <cellStyle name="Heading 3 10 5" xfId="5911"/>
    <cellStyle name="Heading 3 10 5 2" xfId="5912"/>
    <cellStyle name="Heading 3 10 5 3" xfId="5913"/>
    <cellStyle name="Heading 3 10 5 4" xfId="5914"/>
    <cellStyle name="Heading 3 10 5 5" xfId="5915"/>
    <cellStyle name="Heading 3 10 5 6" xfId="5916"/>
    <cellStyle name="Heading 3 10 6" xfId="5917"/>
    <cellStyle name="Heading 3 10 6 2" xfId="5918"/>
    <cellStyle name="Heading 3 10 6 3" xfId="5919"/>
    <cellStyle name="Heading 3 10 6 4" xfId="5920"/>
    <cellStyle name="Heading 3 10 6 5" xfId="5921"/>
    <cellStyle name="Heading 3 10 6 6" xfId="5922"/>
    <cellStyle name="Heading 3 10 7" xfId="5923"/>
    <cellStyle name="Heading 3 10 7 2" xfId="5924"/>
    <cellStyle name="Heading 3 10 7 3" xfId="5925"/>
    <cellStyle name="Heading 3 10 7 4" xfId="5926"/>
    <cellStyle name="Heading 3 10 7 5" xfId="5927"/>
    <cellStyle name="Heading 3 10 7 6" xfId="5928"/>
    <cellStyle name="Heading 3 10 8" xfId="5929"/>
    <cellStyle name="Heading 3 10 8 2" xfId="5930"/>
    <cellStyle name="Heading 3 10 8 3" xfId="5931"/>
    <cellStyle name="Heading 3 10 8 4" xfId="5932"/>
    <cellStyle name="Heading 3 10 8 5" xfId="5933"/>
    <cellStyle name="Heading 3 10 8 6" xfId="5934"/>
    <cellStyle name="Heading 3 10 9" xfId="5935"/>
    <cellStyle name="Heading 3 10 9 2" xfId="5936"/>
    <cellStyle name="Heading 3 10 9 3" xfId="5937"/>
    <cellStyle name="Heading 3 10 9 4" xfId="5938"/>
    <cellStyle name="Heading 3 10 9 5" xfId="5939"/>
    <cellStyle name="Heading 3 10 9 6" xfId="5940"/>
    <cellStyle name="Heading 3 11" xfId="5941"/>
    <cellStyle name="Heading 3 11 10" xfId="5942"/>
    <cellStyle name="Heading 3 11 10 2" xfId="5943"/>
    <cellStyle name="Heading 3 11 10 3" xfId="5944"/>
    <cellStyle name="Heading 3 11 10 4" xfId="5945"/>
    <cellStyle name="Heading 3 11 10 5" xfId="5946"/>
    <cellStyle name="Heading 3 11 10 6" xfId="5947"/>
    <cellStyle name="Heading 3 11 11" xfId="5948"/>
    <cellStyle name="Heading 3 11 11 2" xfId="5949"/>
    <cellStyle name="Heading 3 11 11 3" xfId="5950"/>
    <cellStyle name="Heading 3 11 11 4" xfId="5951"/>
    <cellStyle name="Heading 3 11 11 5" xfId="5952"/>
    <cellStyle name="Heading 3 11 11 6" xfId="5953"/>
    <cellStyle name="Heading 3 11 12" xfId="5954"/>
    <cellStyle name="Heading 3 11 12 2" xfId="5955"/>
    <cellStyle name="Heading 3 11 12 3" xfId="5956"/>
    <cellStyle name="Heading 3 11 12 4" xfId="5957"/>
    <cellStyle name="Heading 3 11 12 5" xfId="5958"/>
    <cellStyle name="Heading 3 11 12 6" xfId="5959"/>
    <cellStyle name="Heading 3 11 13" xfId="5960"/>
    <cellStyle name="Heading 3 11 13 2" xfId="5961"/>
    <cellStyle name="Heading 3 11 13 3" xfId="5962"/>
    <cellStyle name="Heading 3 11 13 4" xfId="5963"/>
    <cellStyle name="Heading 3 11 13 5" xfId="5964"/>
    <cellStyle name="Heading 3 11 13 6" xfId="5965"/>
    <cellStyle name="Heading 3 11 14" xfId="5966"/>
    <cellStyle name="Heading 3 11 14 2" xfId="5967"/>
    <cellStyle name="Heading 3 11 14 3" xfId="5968"/>
    <cellStyle name="Heading 3 11 14 4" xfId="5969"/>
    <cellStyle name="Heading 3 11 14 5" xfId="5970"/>
    <cellStyle name="Heading 3 11 14 6" xfId="5971"/>
    <cellStyle name="Heading 3 11 15" xfId="5972"/>
    <cellStyle name="Heading 3 11 15 2" xfId="5973"/>
    <cellStyle name="Heading 3 11 15 3" xfId="5974"/>
    <cellStyle name="Heading 3 11 15 4" xfId="5975"/>
    <cellStyle name="Heading 3 11 15 5" xfId="5976"/>
    <cellStyle name="Heading 3 11 15 6" xfId="5977"/>
    <cellStyle name="Heading 3 11 16" xfId="5978"/>
    <cellStyle name="Heading 3 11 16 2" xfId="5979"/>
    <cellStyle name="Heading 3 11 16 3" xfId="5980"/>
    <cellStyle name="Heading 3 11 16 4" xfId="5981"/>
    <cellStyle name="Heading 3 11 16 5" xfId="5982"/>
    <cellStyle name="Heading 3 11 17" xfId="5983"/>
    <cellStyle name="Heading 3 11 17 2" xfId="5984"/>
    <cellStyle name="Heading 3 11 17 3" xfId="5985"/>
    <cellStyle name="Heading 3 11 17 4" xfId="5986"/>
    <cellStyle name="Heading 3 11 18" xfId="5987"/>
    <cellStyle name="Heading 3 11 19" xfId="5988"/>
    <cellStyle name="Heading 3 11 2" xfId="5989"/>
    <cellStyle name="Heading 3 11 2 2" xfId="5990"/>
    <cellStyle name="Heading 3 11 2 3" xfId="5991"/>
    <cellStyle name="Heading 3 11 2 4" xfId="5992"/>
    <cellStyle name="Heading 3 11 2 5" xfId="5993"/>
    <cellStyle name="Heading 3 11 2 6" xfId="5994"/>
    <cellStyle name="Heading 3 11 20" xfId="5995"/>
    <cellStyle name="Heading 3 11 21" xfId="5996"/>
    <cellStyle name="Heading 3 11 22" xfId="5997"/>
    <cellStyle name="Heading 3 11 23" xfId="5998"/>
    <cellStyle name="Heading 3 11 24" xfId="5999"/>
    <cellStyle name="Heading 3 11 25" xfId="6000"/>
    <cellStyle name="Heading 3 11 26" xfId="6001"/>
    <cellStyle name="Heading 3 11 27" xfId="6002"/>
    <cellStyle name="Heading 3 11 28" xfId="6003"/>
    <cellStyle name="Heading 3 11 29" xfId="6004"/>
    <cellStyle name="Heading 3 11 3" xfId="6005"/>
    <cellStyle name="Heading 3 11 3 2" xfId="6006"/>
    <cellStyle name="Heading 3 11 3 3" xfId="6007"/>
    <cellStyle name="Heading 3 11 3 4" xfId="6008"/>
    <cellStyle name="Heading 3 11 3 5" xfId="6009"/>
    <cellStyle name="Heading 3 11 3 6" xfId="6010"/>
    <cellStyle name="Heading 3 11 30" xfId="6011"/>
    <cellStyle name="Heading 3 11 31" xfId="6012"/>
    <cellStyle name="Heading 3 11 32" xfId="6013"/>
    <cellStyle name="Heading 3 11 33" xfId="6014"/>
    <cellStyle name="Heading 3 11 34" xfId="6015"/>
    <cellStyle name="Heading 3 11 35" xfId="6016"/>
    <cellStyle name="Heading 3 11 36" xfId="6017"/>
    <cellStyle name="Heading 3 11 37" xfId="6018"/>
    <cellStyle name="Heading 3 11 4" xfId="6019"/>
    <cellStyle name="Heading 3 11 4 2" xfId="6020"/>
    <cellStyle name="Heading 3 11 4 3" xfId="6021"/>
    <cellStyle name="Heading 3 11 4 4" xfId="6022"/>
    <cellStyle name="Heading 3 11 4 5" xfId="6023"/>
    <cellStyle name="Heading 3 11 4 6" xfId="6024"/>
    <cellStyle name="Heading 3 11 5" xfId="6025"/>
    <cellStyle name="Heading 3 11 5 2" xfId="6026"/>
    <cellStyle name="Heading 3 11 5 3" xfId="6027"/>
    <cellStyle name="Heading 3 11 5 4" xfId="6028"/>
    <cellStyle name="Heading 3 11 5 5" xfId="6029"/>
    <cellStyle name="Heading 3 11 5 6" xfId="6030"/>
    <cellStyle name="Heading 3 11 6" xfId="6031"/>
    <cellStyle name="Heading 3 11 6 2" xfId="6032"/>
    <cellStyle name="Heading 3 11 6 3" xfId="6033"/>
    <cellStyle name="Heading 3 11 6 4" xfId="6034"/>
    <cellStyle name="Heading 3 11 6 5" xfId="6035"/>
    <cellStyle name="Heading 3 11 6 6" xfId="6036"/>
    <cellStyle name="Heading 3 11 7" xfId="6037"/>
    <cellStyle name="Heading 3 11 7 2" xfId="6038"/>
    <cellStyle name="Heading 3 11 7 3" xfId="6039"/>
    <cellStyle name="Heading 3 11 7 4" xfId="6040"/>
    <cellStyle name="Heading 3 11 7 5" xfId="6041"/>
    <cellStyle name="Heading 3 11 7 6" xfId="6042"/>
    <cellStyle name="Heading 3 11 8" xfId="6043"/>
    <cellStyle name="Heading 3 11 8 2" xfId="6044"/>
    <cellStyle name="Heading 3 11 8 3" xfId="6045"/>
    <cellStyle name="Heading 3 11 8 4" xfId="6046"/>
    <cellStyle name="Heading 3 11 8 5" xfId="6047"/>
    <cellStyle name="Heading 3 11 8 6" xfId="6048"/>
    <cellStyle name="Heading 3 11 9" xfId="6049"/>
    <cellStyle name="Heading 3 11 9 2" xfId="6050"/>
    <cellStyle name="Heading 3 11 9 3" xfId="6051"/>
    <cellStyle name="Heading 3 11 9 4" xfId="6052"/>
    <cellStyle name="Heading 3 11 9 5" xfId="6053"/>
    <cellStyle name="Heading 3 11 9 6" xfId="6054"/>
    <cellStyle name="Heading 3 12" xfId="6055"/>
    <cellStyle name="Heading 3 12 10" xfId="6056"/>
    <cellStyle name="Heading 3 12 10 2" xfId="6057"/>
    <cellStyle name="Heading 3 12 10 3" xfId="6058"/>
    <cellStyle name="Heading 3 12 10 4" xfId="6059"/>
    <cellStyle name="Heading 3 12 10 5" xfId="6060"/>
    <cellStyle name="Heading 3 12 10 6" xfId="6061"/>
    <cellStyle name="Heading 3 12 11" xfId="6062"/>
    <cellStyle name="Heading 3 12 11 2" xfId="6063"/>
    <cellStyle name="Heading 3 12 11 3" xfId="6064"/>
    <cellStyle name="Heading 3 12 11 4" xfId="6065"/>
    <cellStyle name="Heading 3 12 11 5" xfId="6066"/>
    <cellStyle name="Heading 3 12 11 6" xfId="6067"/>
    <cellStyle name="Heading 3 12 12" xfId="6068"/>
    <cellStyle name="Heading 3 12 12 2" xfId="6069"/>
    <cellStyle name="Heading 3 12 12 3" xfId="6070"/>
    <cellStyle name="Heading 3 12 12 4" xfId="6071"/>
    <cellStyle name="Heading 3 12 12 5" xfId="6072"/>
    <cellStyle name="Heading 3 12 12 6" xfId="6073"/>
    <cellStyle name="Heading 3 12 13" xfId="6074"/>
    <cellStyle name="Heading 3 12 13 2" xfId="6075"/>
    <cellStyle name="Heading 3 12 13 3" xfId="6076"/>
    <cellStyle name="Heading 3 12 13 4" xfId="6077"/>
    <cellStyle name="Heading 3 12 13 5" xfId="6078"/>
    <cellStyle name="Heading 3 12 13 6" xfId="6079"/>
    <cellStyle name="Heading 3 12 14" xfId="6080"/>
    <cellStyle name="Heading 3 12 14 2" xfId="6081"/>
    <cellStyle name="Heading 3 12 14 3" xfId="6082"/>
    <cellStyle name="Heading 3 12 14 4" xfId="6083"/>
    <cellStyle name="Heading 3 12 14 5" xfId="6084"/>
    <cellStyle name="Heading 3 12 14 6" xfId="6085"/>
    <cellStyle name="Heading 3 12 15" xfId="6086"/>
    <cellStyle name="Heading 3 12 15 2" xfId="6087"/>
    <cellStyle name="Heading 3 12 15 3" xfId="6088"/>
    <cellStyle name="Heading 3 12 15 4" xfId="6089"/>
    <cellStyle name="Heading 3 12 15 5" xfId="6090"/>
    <cellStyle name="Heading 3 12 15 6" xfId="6091"/>
    <cellStyle name="Heading 3 12 16" xfId="6092"/>
    <cellStyle name="Heading 3 12 16 2" xfId="6093"/>
    <cellStyle name="Heading 3 12 16 3" xfId="6094"/>
    <cellStyle name="Heading 3 12 16 4" xfId="6095"/>
    <cellStyle name="Heading 3 12 16 5" xfId="6096"/>
    <cellStyle name="Heading 3 12 17" xfId="6097"/>
    <cellStyle name="Heading 3 12 17 2" xfId="6098"/>
    <cellStyle name="Heading 3 12 17 3" xfId="6099"/>
    <cellStyle name="Heading 3 12 17 4" xfId="6100"/>
    <cellStyle name="Heading 3 12 18" xfId="6101"/>
    <cellStyle name="Heading 3 12 19" xfId="6102"/>
    <cellStyle name="Heading 3 12 2" xfId="6103"/>
    <cellStyle name="Heading 3 12 2 2" xfId="6104"/>
    <cellStyle name="Heading 3 12 2 3" xfId="6105"/>
    <cellStyle name="Heading 3 12 2 4" xfId="6106"/>
    <cellStyle name="Heading 3 12 2 5" xfId="6107"/>
    <cellStyle name="Heading 3 12 2 6" xfId="6108"/>
    <cellStyle name="Heading 3 12 20" xfId="6109"/>
    <cellStyle name="Heading 3 12 21" xfId="6110"/>
    <cellStyle name="Heading 3 12 22" xfId="6111"/>
    <cellStyle name="Heading 3 12 23" xfId="6112"/>
    <cellStyle name="Heading 3 12 24" xfId="6113"/>
    <cellStyle name="Heading 3 12 25" xfId="6114"/>
    <cellStyle name="Heading 3 12 26" xfId="6115"/>
    <cellStyle name="Heading 3 12 27" xfId="6116"/>
    <cellStyle name="Heading 3 12 28" xfId="6117"/>
    <cellStyle name="Heading 3 12 29" xfId="6118"/>
    <cellStyle name="Heading 3 12 3" xfId="6119"/>
    <cellStyle name="Heading 3 12 3 2" xfId="6120"/>
    <cellStyle name="Heading 3 12 3 3" xfId="6121"/>
    <cellStyle name="Heading 3 12 3 4" xfId="6122"/>
    <cellStyle name="Heading 3 12 3 5" xfId="6123"/>
    <cellStyle name="Heading 3 12 3 6" xfId="6124"/>
    <cellStyle name="Heading 3 12 30" xfId="6125"/>
    <cellStyle name="Heading 3 12 31" xfId="6126"/>
    <cellStyle name="Heading 3 12 32" xfId="6127"/>
    <cellStyle name="Heading 3 12 33" xfId="6128"/>
    <cellStyle name="Heading 3 12 34" xfId="6129"/>
    <cellStyle name="Heading 3 12 35" xfId="6130"/>
    <cellStyle name="Heading 3 12 36" xfId="6131"/>
    <cellStyle name="Heading 3 12 37" xfId="6132"/>
    <cellStyle name="Heading 3 12 4" xfId="6133"/>
    <cellStyle name="Heading 3 12 4 2" xfId="6134"/>
    <cellStyle name="Heading 3 12 4 3" xfId="6135"/>
    <cellStyle name="Heading 3 12 4 4" xfId="6136"/>
    <cellStyle name="Heading 3 12 4 5" xfId="6137"/>
    <cellStyle name="Heading 3 12 4 6" xfId="6138"/>
    <cellStyle name="Heading 3 12 5" xfId="6139"/>
    <cellStyle name="Heading 3 12 5 2" xfId="6140"/>
    <cellStyle name="Heading 3 12 5 3" xfId="6141"/>
    <cellStyle name="Heading 3 12 5 4" xfId="6142"/>
    <cellStyle name="Heading 3 12 5 5" xfId="6143"/>
    <cellStyle name="Heading 3 12 5 6" xfId="6144"/>
    <cellStyle name="Heading 3 12 6" xfId="6145"/>
    <cellStyle name="Heading 3 12 6 2" xfId="6146"/>
    <cellStyle name="Heading 3 12 6 3" xfId="6147"/>
    <cellStyle name="Heading 3 12 6 4" xfId="6148"/>
    <cellStyle name="Heading 3 12 6 5" xfId="6149"/>
    <cellStyle name="Heading 3 12 6 6" xfId="6150"/>
    <cellStyle name="Heading 3 12 7" xfId="6151"/>
    <cellStyle name="Heading 3 12 7 2" xfId="6152"/>
    <cellStyle name="Heading 3 12 7 3" xfId="6153"/>
    <cellStyle name="Heading 3 12 7 4" xfId="6154"/>
    <cellStyle name="Heading 3 12 7 5" xfId="6155"/>
    <cellStyle name="Heading 3 12 7 6" xfId="6156"/>
    <cellStyle name="Heading 3 12 8" xfId="6157"/>
    <cellStyle name="Heading 3 12 8 2" xfId="6158"/>
    <cellStyle name="Heading 3 12 8 3" xfId="6159"/>
    <cellStyle name="Heading 3 12 8 4" xfId="6160"/>
    <cellStyle name="Heading 3 12 8 5" xfId="6161"/>
    <cellStyle name="Heading 3 12 8 6" xfId="6162"/>
    <cellStyle name="Heading 3 12 9" xfId="6163"/>
    <cellStyle name="Heading 3 12 9 2" xfId="6164"/>
    <cellStyle name="Heading 3 12 9 3" xfId="6165"/>
    <cellStyle name="Heading 3 12 9 4" xfId="6166"/>
    <cellStyle name="Heading 3 12 9 5" xfId="6167"/>
    <cellStyle name="Heading 3 12 9 6" xfId="6168"/>
    <cellStyle name="Heading 3 2" xfId="6169"/>
    <cellStyle name="Heading 3 2 10" xfId="6170"/>
    <cellStyle name="Heading 3 2 10 2" xfId="6171"/>
    <cellStyle name="Heading 3 2 10 3" xfId="6172"/>
    <cellStyle name="Heading 3 2 10 4" xfId="6173"/>
    <cellStyle name="Heading 3 2 10 5" xfId="6174"/>
    <cellStyle name="Heading 3 2 10 6" xfId="6175"/>
    <cellStyle name="Heading 3 2 11" xfId="6176"/>
    <cellStyle name="Heading 3 2 11 2" xfId="6177"/>
    <cellStyle name="Heading 3 2 11 3" xfId="6178"/>
    <cellStyle name="Heading 3 2 11 4" xfId="6179"/>
    <cellStyle name="Heading 3 2 11 5" xfId="6180"/>
    <cellStyle name="Heading 3 2 11 6" xfId="6181"/>
    <cellStyle name="Heading 3 2 12" xfId="6182"/>
    <cellStyle name="Heading 3 2 12 2" xfId="6183"/>
    <cellStyle name="Heading 3 2 12 3" xfId="6184"/>
    <cellStyle name="Heading 3 2 12 4" xfId="6185"/>
    <cellStyle name="Heading 3 2 12 5" xfId="6186"/>
    <cellStyle name="Heading 3 2 12 6" xfId="6187"/>
    <cellStyle name="Heading 3 2 13" xfId="6188"/>
    <cellStyle name="Heading 3 2 13 2" xfId="6189"/>
    <cellStyle name="Heading 3 2 13 3" xfId="6190"/>
    <cellStyle name="Heading 3 2 13 4" xfId="6191"/>
    <cellStyle name="Heading 3 2 13 5" xfId="6192"/>
    <cellStyle name="Heading 3 2 13 6" xfId="6193"/>
    <cellStyle name="Heading 3 2 14" xfId="6194"/>
    <cellStyle name="Heading 3 2 14 2" xfId="6195"/>
    <cellStyle name="Heading 3 2 14 3" xfId="6196"/>
    <cellStyle name="Heading 3 2 14 4" xfId="6197"/>
    <cellStyle name="Heading 3 2 14 5" xfId="6198"/>
    <cellStyle name="Heading 3 2 14 6" xfId="6199"/>
    <cellStyle name="Heading 3 2 15" xfId="6200"/>
    <cellStyle name="Heading 3 2 15 2" xfId="6201"/>
    <cellStyle name="Heading 3 2 15 3" xfId="6202"/>
    <cellStyle name="Heading 3 2 15 4" xfId="6203"/>
    <cellStyle name="Heading 3 2 15 5" xfId="6204"/>
    <cellStyle name="Heading 3 2 15 6" xfId="6205"/>
    <cellStyle name="Heading 3 2 16" xfId="6206"/>
    <cellStyle name="Heading 3 2 16 2" xfId="6207"/>
    <cellStyle name="Heading 3 2 16 3" xfId="6208"/>
    <cellStyle name="Heading 3 2 16 4" xfId="6209"/>
    <cellStyle name="Heading 3 2 16 5" xfId="6210"/>
    <cellStyle name="Heading 3 2 17" xfId="6211"/>
    <cellStyle name="Heading 3 2 17 2" xfId="6212"/>
    <cellStyle name="Heading 3 2 17 3" xfId="6213"/>
    <cellStyle name="Heading 3 2 17 4" xfId="6214"/>
    <cellStyle name="Heading 3 2 18" xfId="6215"/>
    <cellStyle name="Heading 3 2 19" xfId="6216"/>
    <cellStyle name="Heading 3 2 2" xfId="6217"/>
    <cellStyle name="Heading 3 2 2 2" xfId="6218"/>
    <cellStyle name="Heading 3 2 2 3" xfId="6219"/>
    <cellStyle name="Heading 3 2 2 4" xfId="6220"/>
    <cellStyle name="Heading 3 2 2 5" xfId="6221"/>
    <cellStyle name="Heading 3 2 2 6" xfId="6222"/>
    <cellStyle name="Heading 3 2 20" xfId="6223"/>
    <cellStyle name="Heading 3 2 21" xfId="6224"/>
    <cellStyle name="Heading 3 2 22" xfId="6225"/>
    <cellStyle name="Heading 3 2 23" xfId="6226"/>
    <cellStyle name="Heading 3 2 24" xfId="6227"/>
    <cellStyle name="Heading 3 2 25" xfId="6228"/>
    <cellStyle name="Heading 3 2 26" xfId="6229"/>
    <cellStyle name="Heading 3 2 27" xfId="6230"/>
    <cellStyle name="Heading 3 2 28" xfId="6231"/>
    <cellStyle name="Heading 3 2 29" xfId="6232"/>
    <cellStyle name="Heading 3 2 3" xfId="6233"/>
    <cellStyle name="Heading 3 2 3 2" xfId="6234"/>
    <cellStyle name="Heading 3 2 3 3" xfId="6235"/>
    <cellStyle name="Heading 3 2 3 4" xfId="6236"/>
    <cellStyle name="Heading 3 2 3 5" xfId="6237"/>
    <cellStyle name="Heading 3 2 3 6" xfId="6238"/>
    <cellStyle name="Heading 3 2 30" xfId="6239"/>
    <cellStyle name="Heading 3 2 31" xfId="6240"/>
    <cellStyle name="Heading 3 2 32" xfId="6241"/>
    <cellStyle name="Heading 3 2 33" xfId="6242"/>
    <cellStyle name="Heading 3 2 34" xfId="6243"/>
    <cellStyle name="Heading 3 2 35" xfId="6244"/>
    <cellStyle name="Heading 3 2 36" xfId="6245"/>
    <cellStyle name="Heading 3 2 37" xfId="6246"/>
    <cellStyle name="Heading 3 2 4" xfId="6247"/>
    <cellStyle name="Heading 3 2 4 2" xfId="6248"/>
    <cellStyle name="Heading 3 2 4 3" xfId="6249"/>
    <cellStyle name="Heading 3 2 4 4" xfId="6250"/>
    <cellStyle name="Heading 3 2 4 5" xfId="6251"/>
    <cellStyle name="Heading 3 2 4 6" xfId="6252"/>
    <cellStyle name="Heading 3 2 5" xfId="6253"/>
    <cellStyle name="Heading 3 2 5 2" xfId="6254"/>
    <cellStyle name="Heading 3 2 5 3" xfId="6255"/>
    <cellStyle name="Heading 3 2 5 4" xfId="6256"/>
    <cellStyle name="Heading 3 2 5 5" xfId="6257"/>
    <cellStyle name="Heading 3 2 5 6" xfId="6258"/>
    <cellStyle name="Heading 3 2 6" xfId="6259"/>
    <cellStyle name="Heading 3 2 6 2" xfId="6260"/>
    <cellStyle name="Heading 3 2 6 3" xfId="6261"/>
    <cellStyle name="Heading 3 2 6 4" xfId="6262"/>
    <cellStyle name="Heading 3 2 6 5" xfId="6263"/>
    <cellStyle name="Heading 3 2 6 6" xfId="6264"/>
    <cellStyle name="Heading 3 2 7" xfId="6265"/>
    <cellStyle name="Heading 3 2 7 2" xfId="6266"/>
    <cellStyle name="Heading 3 2 7 3" xfId="6267"/>
    <cellStyle name="Heading 3 2 7 4" xfId="6268"/>
    <cellStyle name="Heading 3 2 7 5" xfId="6269"/>
    <cellStyle name="Heading 3 2 7 6" xfId="6270"/>
    <cellStyle name="Heading 3 2 8" xfId="6271"/>
    <cellStyle name="Heading 3 2 8 2" xfId="6272"/>
    <cellStyle name="Heading 3 2 8 3" xfId="6273"/>
    <cellStyle name="Heading 3 2 8 4" xfId="6274"/>
    <cellStyle name="Heading 3 2 8 5" xfId="6275"/>
    <cellStyle name="Heading 3 2 8 6" xfId="6276"/>
    <cellStyle name="Heading 3 2 9" xfId="6277"/>
    <cellStyle name="Heading 3 2 9 2" xfId="6278"/>
    <cellStyle name="Heading 3 2 9 3" xfId="6279"/>
    <cellStyle name="Heading 3 2 9 4" xfId="6280"/>
    <cellStyle name="Heading 3 2 9 5" xfId="6281"/>
    <cellStyle name="Heading 3 2 9 6" xfId="6282"/>
    <cellStyle name="Heading 3 3" xfId="6283"/>
    <cellStyle name="Heading 3 3 10" xfId="6284"/>
    <cellStyle name="Heading 3 3 10 2" xfId="6285"/>
    <cellStyle name="Heading 3 3 10 3" xfId="6286"/>
    <cellStyle name="Heading 3 3 10 4" xfId="6287"/>
    <cellStyle name="Heading 3 3 10 5" xfId="6288"/>
    <cellStyle name="Heading 3 3 10 6" xfId="6289"/>
    <cellStyle name="Heading 3 3 11" xfId="6290"/>
    <cellStyle name="Heading 3 3 11 2" xfId="6291"/>
    <cellStyle name="Heading 3 3 11 3" xfId="6292"/>
    <cellStyle name="Heading 3 3 11 4" xfId="6293"/>
    <cellStyle name="Heading 3 3 11 5" xfId="6294"/>
    <cellStyle name="Heading 3 3 11 6" xfId="6295"/>
    <cellStyle name="Heading 3 3 12" xfId="6296"/>
    <cellStyle name="Heading 3 3 12 2" xfId="6297"/>
    <cellStyle name="Heading 3 3 12 3" xfId="6298"/>
    <cellStyle name="Heading 3 3 12 4" xfId="6299"/>
    <cellStyle name="Heading 3 3 12 5" xfId="6300"/>
    <cellStyle name="Heading 3 3 12 6" xfId="6301"/>
    <cellStyle name="Heading 3 3 13" xfId="6302"/>
    <cellStyle name="Heading 3 3 13 2" xfId="6303"/>
    <cellStyle name="Heading 3 3 13 3" xfId="6304"/>
    <cellStyle name="Heading 3 3 13 4" xfId="6305"/>
    <cellStyle name="Heading 3 3 13 5" xfId="6306"/>
    <cellStyle name="Heading 3 3 13 6" xfId="6307"/>
    <cellStyle name="Heading 3 3 14" xfId="6308"/>
    <cellStyle name="Heading 3 3 14 2" xfId="6309"/>
    <cellStyle name="Heading 3 3 14 3" xfId="6310"/>
    <cellStyle name="Heading 3 3 14 4" xfId="6311"/>
    <cellStyle name="Heading 3 3 14 5" xfId="6312"/>
    <cellStyle name="Heading 3 3 14 6" xfId="6313"/>
    <cellStyle name="Heading 3 3 15" xfId="6314"/>
    <cellStyle name="Heading 3 3 15 2" xfId="6315"/>
    <cellStyle name="Heading 3 3 15 3" xfId="6316"/>
    <cellStyle name="Heading 3 3 15 4" xfId="6317"/>
    <cellStyle name="Heading 3 3 15 5" xfId="6318"/>
    <cellStyle name="Heading 3 3 15 6" xfId="6319"/>
    <cellStyle name="Heading 3 3 16" xfId="6320"/>
    <cellStyle name="Heading 3 3 16 2" xfId="6321"/>
    <cellStyle name="Heading 3 3 16 3" xfId="6322"/>
    <cellStyle name="Heading 3 3 16 4" xfId="6323"/>
    <cellStyle name="Heading 3 3 16 5" xfId="6324"/>
    <cellStyle name="Heading 3 3 17" xfId="6325"/>
    <cellStyle name="Heading 3 3 17 2" xfId="6326"/>
    <cellStyle name="Heading 3 3 17 3" xfId="6327"/>
    <cellStyle name="Heading 3 3 17 4" xfId="6328"/>
    <cellStyle name="Heading 3 3 18" xfId="6329"/>
    <cellStyle name="Heading 3 3 19" xfId="6330"/>
    <cellStyle name="Heading 3 3 2" xfId="6331"/>
    <cellStyle name="Heading 3 3 2 2" xfId="6332"/>
    <cellStyle name="Heading 3 3 2 3" xfId="6333"/>
    <cellStyle name="Heading 3 3 2 4" xfId="6334"/>
    <cellStyle name="Heading 3 3 2 5" xfId="6335"/>
    <cellStyle name="Heading 3 3 2 6" xfId="6336"/>
    <cellStyle name="Heading 3 3 20" xfId="6337"/>
    <cellStyle name="Heading 3 3 21" xfId="6338"/>
    <cellStyle name="Heading 3 3 22" xfId="6339"/>
    <cellStyle name="Heading 3 3 23" xfId="6340"/>
    <cellStyle name="Heading 3 3 24" xfId="6341"/>
    <cellStyle name="Heading 3 3 25" xfId="6342"/>
    <cellStyle name="Heading 3 3 26" xfId="6343"/>
    <cellStyle name="Heading 3 3 27" xfId="6344"/>
    <cellStyle name="Heading 3 3 28" xfId="6345"/>
    <cellStyle name="Heading 3 3 29" xfId="6346"/>
    <cellStyle name="Heading 3 3 3" xfId="6347"/>
    <cellStyle name="Heading 3 3 3 2" xfId="6348"/>
    <cellStyle name="Heading 3 3 3 3" xfId="6349"/>
    <cellStyle name="Heading 3 3 3 4" xfId="6350"/>
    <cellStyle name="Heading 3 3 3 5" xfId="6351"/>
    <cellStyle name="Heading 3 3 3 6" xfId="6352"/>
    <cellStyle name="Heading 3 3 30" xfId="6353"/>
    <cellStyle name="Heading 3 3 31" xfId="6354"/>
    <cellStyle name="Heading 3 3 32" xfId="6355"/>
    <cellStyle name="Heading 3 3 33" xfId="6356"/>
    <cellStyle name="Heading 3 3 34" xfId="6357"/>
    <cellStyle name="Heading 3 3 35" xfId="6358"/>
    <cellStyle name="Heading 3 3 36" xfId="6359"/>
    <cellStyle name="Heading 3 3 37" xfId="6360"/>
    <cellStyle name="Heading 3 3 4" xfId="6361"/>
    <cellStyle name="Heading 3 3 4 2" xfId="6362"/>
    <cellStyle name="Heading 3 3 4 3" xfId="6363"/>
    <cellStyle name="Heading 3 3 4 4" xfId="6364"/>
    <cellStyle name="Heading 3 3 4 5" xfId="6365"/>
    <cellStyle name="Heading 3 3 4 6" xfId="6366"/>
    <cellStyle name="Heading 3 3 5" xfId="6367"/>
    <cellStyle name="Heading 3 3 5 2" xfId="6368"/>
    <cellStyle name="Heading 3 3 5 3" xfId="6369"/>
    <cellStyle name="Heading 3 3 5 4" xfId="6370"/>
    <cellStyle name="Heading 3 3 5 5" xfId="6371"/>
    <cellStyle name="Heading 3 3 5 6" xfId="6372"/>
    <cellStyle name="Heading 3 3 6" xfId="6373"/>
    <cellStyle name="Heading 3 3 6 2" xfId="6374"/>
    <cellStyle name="Heading 3 3 6 3" xfId="6375"/>
    <cellStyle name="Heading 3 3 6 4" xfId="6376"/>
    <cellStyle name="Heading 3 3 6 5" xfId="6377"/>
    <cellStyle name="Heading 3 3 6 6" xfId="6378"/>
    <cellStyle name="Heading 3 3 7" xfId="6379"/>
    <cellStyle name="Heading 3 3 7 2" xfId="6380"/>
    <cellStyle name="Heading 3 3 7 3" xfId="6381"/>
    <cellStyle name="Heading 3 3 7 4" xfId="6382"/>
    <cellStyle name="Heading 3 3 7 5" xfId="6383"/>
    <cellStyle name="Heading 3 3 7 6" xfId="6384"/>
    <cellStyle name="Heading 3 3 8" xfId="6385"/>
    <cellStyle name="Heading 3 3 8 2" xfId="6386"/>
    <cellStyle name="Heading 3 3 8 3" xfId="6387"/>
    <cellStyle name="Heading 3 3 8 4" xfId="6388"/>
    <cellStyle name="Heading 3 3 8 5" xfId="6389"/>
    <cellStyle name="Heading 3 3 8 6" xfId="6390"/>
    <cellStyle name="Heading 3 3 9" xfId="6391"/>
    <cellStyle name="Heading 3 3 9 2" xfId="6392"/>
    <cellStyle name="Heading 3 3 9 3" xfId="6393"/>
    <cellStyle name="Heading 3 3 9 4" xfId="6394"/>
    <cellStyle name="Heading 3 3 9 5" xfId="6395"/>
    <cellStyle name="Heading 3 3 9 6" xfId="6396"/>
    <cellStyle name="Heading 3 4" xfId="6397"/>
    <cellStyle name="Heading 3 4 10" xfId="6398"/>
    <cellStyle name="Heading 3 4 10 2" xfId="6399"/>
    <cellStyle name="Heading 3 4 10 3" xfId="6400"/>
    <cellStyle name="Heading 3 4 10 4" xfId="6401"/>
    <cellStyle name="Heading 3 4 10 5" xfId="6402"/>
    <cellStyle name="Heading 3 4 10 6" xfId="6403"/>
    <cellStyle name="Heading 3 4 11" xfId="6404"/>
    <cellStyle name="Heading 3 4 11 2" xfId="6405"/>
    <cellStyle name="Heading 3 4 11 3" xfId="6406"/>
    <cellStyle name="Heading 3 4 11 4" xfId="6407"/>
    <cellStyle name="Heading 3 4 11 5" xfId="6408"/>
    <cellStyle name="Heading 3 4 11 6" xfId="6409"/>
    <cellStyle name="Heading 3 4 12" xfId="6410"/>
    <cellStyle name="Heading 3 4 12 2" xfId="6411"/>
    <cellStyle name="Heading 3 4 12 3" xfId="6412"/>
    <cellStyle name="Heading 3 4 12 4" xfId="6413"/>
    <cellStyle name="Heading 3 4 12 5" xfId="6414"/>
    <cellStyle name="Heading 3 4 12 6" xfId="6415"/>
    <cellStyle name="Heading 3 4 13" xfId="6416"/>
    <cellStyle name="Heading 3 4 13 2" xfId="6417"/>
    <cellStyle name="Heading 3 4 13 3" xfId="6418"/>
    <cellStyle name="Heading 3 4 13 4" xfId="6419"/>
    <cellStyle name="Heading 3 4 13 5" xfId="6420"/>
    <cellStyle name="Heading 3 4 13 6" xfId="6421"/>
    <cellStyle name="Heading 3 4 14" xfId="6422"/>
    <cellStyle name="Heading 3 4 14 2" xfId="6423"/>
    <cellStyle name="Heading 3 4 14 3" xfId="6424"/>
    <cellStyle name="Heading 3 4 14 4" xfId="6425"/>
    <cellStyle name="Heading 3 4 14 5" xfId="6426"/>
    <cellStyle name="Heading 3 4 14 6" xfId="6427"/>
    <cellStyle name="Heading 3 4 15" xfId="6428"/>
    <cellStyle name="Heading 3 4 15 2" xfId="6429"/>
    <cellStyle name="Heading 3 4 15 3" xfId="6430"/>
    <cellStyle name="Heading 3 4 15 4" xfId="6431"/>
    <cellStyle name="Heading 3 4 15 5" xfId="6432"/>
    <cellStyle name="Heading 3 4 15 6" xfId="6433"/>
    <cellStyle name="Heading 3 4 16" xfId="6434"/>
    <cellStyle name="Heading 3 4 16 2" xfId="6435"/>
    <cellStyle name="Heading 3 4 16 3" xfId="6436"/>
    <cellStyle name="Heading 3 4 16 4" xfId="6437"/>
    <cellStyle name="Heading 3 4 16 5" xfId="6438"/>
    <cellStyle name="Heading 3 4 17" xfId="6439"/>
    <cellStyle name="Heading 3 4 17 2" xfId="6440"/>
    <cellStyle name="Heading 3 4 17 3" xfId="6441"/>
    <cellStyle name="Heading 3 4 17 4" xfId="6442"/>
    <cellStyle name="Heading 3 4 18" xfId="6443"/>
    <cellStyle name="Heading 3 4 19" xfId="6444"/>
    <cellStyle name="Heading 3 4 2" xfId="6445"/>
    <cellStyle name="Heading 3 4 2 2" xfId="6446"/>
    <cellStyle name="Heading 3 4 2 3" xfId="6447"/>
    <cellStyle name="Heading 3 4 2 4" xfId="6448"/>
    <cellStyle name="Heading 3 4 2 5" xfId="6449"/>
    <cellStyle name="Heading 3 4 2 6" xfId="6450"/>
    <cellStyle name="Heading 3 4 20" xfId="6451"/>
    <cellStyle name="Heading 3 4 21" xfId="6452"/>
    <cellStyle name="Heading 3 4 22" xfId="6453"/>
    <cellStyle name="Heading 3 4 23" xfId="6454"/>
    <cellStyle name="Heading 3 4 24" xfId="6455"/>
    <cellStyle name="Heading 3 4 25" xfId="6456"/>
    <cellStyle name="Heading 3 4 26" xfId="6457"/>
    <cellStyle name="Heading 3 4 27" xfId="6458"/>
    <cellStyle name="Heading 3 4 28" xfId="6459"/>
    <cellStyle name="Heading 3 4 29" xfId="6460"/>
    <cellStyle name="Heading 3 4 3" xfId="6461"/>
    <cellStyle name="Heading 3 4 3 2" xfId="6462"/>
    <cellStyle name="Heading 3 4 3 3" xfId="6463"/>
    <cellStyle name="Heading 3 4 3 4" xfId="6464"/>
    <cellStyle name="Heading 3 4 3 5" xfId="6465"/>
    <cellStyle name="Heading 3 4 3 6" xfId="6466"/>
    <cellStyle name="Heading 3 4 30" xfId="6467"/>
    <cellStyle name="Heading 3 4 31" xfId="6468"/>
    <cellStyle name="Heading 3 4 32" xfId="6469"/>
    <cellStyle name="Heading 3 4 33" xfId="6470"/>
    <cellStyle name="Heading 3 4 34" xfId="6471"/>
    <cellStyle name="Heading 3 4 35" xfId="6472"/>
    <cellStyle name="Heading 3 4 36" xfId="6473"/>
    <cellStyle name="Heading 3 4 37" xfId="6474"/>
    <cellStyle name="Heading 3 4 4" xfId="6475"/>
    <cellStyle name="Heading 3 4 4 2" xfId="6476"/>
    <cellStyle name="Heading 3 4 4 3" xfId="6477"/>
    <cellStyle name="Heading 3 4 4 4" xfId="6478"/>
    <cellStyle name="Heading 3 4 4 5" xfId="6479"/>
    <cellStyle name="Heading 3 4 4 6" xfId="6480"/>
    <cellStyle name="Heading 3 4 5" xfId="6481"/>
    <cellStyle name="Heading 3 4 5 2" xfId="6482"/>
    <cellStyle name="Heading 3 4 5 3" xfId="6483"/>
    <cellStyle name="Heading 3 4 5 4" xfId="6484"/>
    <cellStyle name="Heading 3 4 5 5" xfId="6485"/>
    <cellStyle name="Heading 3 4 5 6" xfId="6486"/>
    <cellStyle name="Heading 3 4 6" xfId="6487"/>
    <cellStyle name="Heading 3 4 6 2" xfId="6488"/>
    <cellStyle name="Heading 3 4 6 3" xfId="6489"/>
    <cellStyle name="Heading 3 4 6 4" xfId="6490"/>
    <cellStyle name="Heading 3 4 6 5" xfId="6491"/>
    <cellStyle name="Heading 3 4 6 6" xfId="6492"/>
    <cellStyle name="Heading 3 4 7" xfId="6493"/>
    <cellStyle name="Heading 3 4 7 2" xfId="6494"/>
    <cellStyle name="Heading 3 4 7 3" xfId="6495"/>
    <cellStyle name="Heading 3 4 7 4" xfId="6496"/>
    <cellStyle name="Heading 3 4 7 5" xfId="6497"/>
    <cellStyle name="Heading 3 4 7 6" xfId="6498"/>
    <cellStyle name="Heading 3 4 8" xfId="6499"/>
    <cellStyle name="Heading 3 4 8 2" xfId="6500"/>
    <cellStyle name="Heading 3 4 8 3" xfId="6501"/>
    <cellStyle name="Heading 3 4 8 4" xfId="6502"/>
    <cellStyle name="Heading 3 4 8 5" xfId="6503"/>
    <cellStyle name="Heading 3 4 8 6" xfId="6504"/>
    <cellStyle name="Heading 3 4 9" xfId="6505"/>
    <cellStyle name="Heading 3 4 9 2" xfId="6506"/>
    <cellStyle name="Heading 3 4 9 3" xfId="6507"/>
    <cellStyle name="Heading 3 4 9 4" xfId="6508"/>
    <cellStyle name="Heading 3 4 9 5" xfId="6509"/>
    <cellStyle name="Heading 3 4 9 6" xfId="6510"/>
    <cellStyle name="Heading 3 5" xfId="6511"/>
    <cellStyle name="Heading 3 5 10" xfId="6512"/>
    <cellStyle name="Heading 3 5 10 2" xfId="6513"/>
    <cellStyle name="Heading 3 5 10 3" xfId="6514"/>
    <cellStyle name="Heading 3 5 10 4" xfId="6515"/>
    <cellStyle name="Heading 3 5 10 5" xfId="6516"/>
    <cellStyle name="Heading 3 5 10 6" xfId="6517"/>
    <cellStyle name="Heading 3 5 11" xfId="6518"/>
    <cellStyle name="Heading 3 5 11 2" xfId="6519"/>
    <cellStyle name="Heading 3 5 11 3" xfId="6520"/>
    <cellStyle name="Heading 3 5 11 4" xfId="6521"/>
    <cellStyle name="Heading 3 5 11 5" xfId="6522"/>
    <cellStyle name="Heading 3 5 11 6" xfId="6523"/>
    <cellStyle name="Heading 3 5 12" xfId="6524"/>
    <cellStyle name="Heading 3 5 12 2" xfId="6525"/>
    <cellStyle name="Heading 3 5 12 3" xfId="6526"/>
    <cellStyle name="Heading 3 5 12 4" xfId="6527"/>
    <cellStyle name="Heading 3 5 12 5" xfId="6528"/>
    <cellStyle name="Heading 3 5 12 6" xfId="6529"/>
    <cellStyle name="Heading 3 5 13" xfId="6530"/>
    <cellStyle name="Heading 3 5 13 2" xfId="6531"/>
    <cellStyle name="Heading 3 5 13 3" xfId="6532"/>
    <cellStyle name="Heading 3 5 13 4" xfId="6533"/>
    <cellStyle name="Heading 3 5 13 5" xfId="6534"/>
    <cellStyle name="Heading 3 5 13 6" xfId="6535"/>
    <cellStyle name="Heading 3 5 14" xfId="6536"/>
    <cellStyle name="Heading 3 5 14 2" xfId="6537"/>
    <cellStyle name="Heading 3 5 14 3" xfId="6538"/>
    <cellStyle name="Heading 3 5 14 4" xfId="6539"/>
    <cellStyle name="Heading 3 5 14 5" xfId="6540"/>
    <cellStyle name="Heading 3 5 14 6" xfId="6541"/>
    <cellStyle name="Heading 3 5 15" xfId="6542"/>
    <cellStyle name="Heading 3 5 15 2" xfId="6543"/>
    <cellStyle name="Heading 3 5 15 3" xfId="6544"/>
    <cellStyle name="Heading 3 5 15 4" xfId="6545"/>
    <cellStyle name="Heading 3 5 15 5" xfId="6546"/>
    <cellStyle name="Heading 3 5 15 6" xfId="6547"/>
    <cellStyle name="Heading 3 5 16" xfId="6548"/>
    <cellStyle name="Heading 3 5 16 2" xfId="6549"/>
    <cellStyle name="Heading 3 5 16 3" xfId="6550"/>
    <cellStyle name="Heading 3 5 16 4" xfId="6551"/>
    <cellStyle name="Heading 3 5 16 5" xfId="6552"/>
    <cellStyle name="Heading 3 5 17" xfId="6553"/>
    <cellStyle name="Heading 3 5 17 2" xfId="6554"/>
    <cellStyle name="Heading 3 5 17 3" xfId="6555"/>
    <cellStyle name="Heading 3 5 17 4" xfId="6556"/>
    <cellStyle name="Heading 3 5 18" xfId="6557"/>
    <cellStyle name="Heading 3 5 19" xfId="6558"/>
    <cellStyle name="Heading 3 5 2" xfId="6559"/>
    <cellStyle name="Heading 3 5 2 2" xfId="6560"/>
    <cellStyle name="Heading 3 5 2 3" xfId="6561"/>
    <cellStyle name="Heading 3 5 2 4" xfId="6562"/>
    <cellStyle name="Heading 3 5 2 5" xfId="6563"/>
    <cellStyle name="Heading 3 5 2 6" xfId="6564"/>
    <cellStyle name="Heading 3 5 20" xfId="6565"/>
    <cellStyle name="Heading 3 5 21" xfId="6566"/>
    <cellStyle name="Heading 3 5 22" xfId="6567"/>
    <cellStyle name="Heading 3 5 23" xfId="6568"/>
    <cellStyle name="Heading 3 5 24" xfId="6569"/>
    <cellStyle name="Heading 3 5 25" xfId="6570"/>
    <cellStyle name="Heading 3 5 26" xfId="6571"/>
    <cellStyle name="Heading 3 5 27" xfId="6572"/>
    <cellStyle name="Heading 3 5 28" xfId="6573"/>
    <cellStyle name="Heading 3 5 29" xfId="6574"/>
    <cellStyle name="Heading 3 5 3" xfId="6575"/>
    <cellStyle name="Heading 3 5 3 2" xfId="6576"/>
    <cellStyle name="Heading 3 5 3 3" xfId="6577"/>
    <cellStyle name="Heading 3 5 3 4" xfId="6578"/>
    <cellStyle name="Heading 3 5 3 5" xfId="6579"/>
    <cellStyle name="Heading 3 5 3 6" xfId="6580"/>
    <cellStyle name="Heading 3 5 30" xfId="6581"/>
    <cellStyle name="Heading 3 5 31" xfId="6582"/>
    <cellStyle name="Heading 3 5 32" xfId="6583"/>
    <cellStyle name="Heading 3 5 33" xfId="6584"/>
    <cellStyle name="Heading 3 5 34" xfId="6585"/>
    <cellStyle name="Heading 3 5 35" xfId="6586"/>
    <cellStyle name="Heading 3 5 36" xfId="6587"/>
    <cellStyle name="Heading 3 5 37" xfId="6588"/>
    <cellStyle name="Heading 3 5 4" xfId="6589"/>
    <cellStyle name="Heading 3 5 4 2" xfId="6590"/>
    <cellStyle name="Heading 3 5 4 3" xfId="6591"/>
    <cellStyle name="Heading 3 5 4 4" xfId="6592"/>
    <cellStyle name="Heading 3 5 4 5" xfId="6593"/>
    <cellStyle name="Heading 3 5 4 6" xfId="6594"/>
    <cellStyle name="Heading 3 5 5" xfId="6595"/>
    <cellStyle name="Heading 3 5 5 2" xfId="6596"/>
    <cellStyle name="Heading 3 5 5 3" xfId="6597"/>
    <cellStyle name="Heading 3 5 5 4" xfId="6598"/>
    <cellStyle name="Heading 3 5 5 5" xfId="6599"/>
    <cellStyle name="Heading 3 5 5 6" xfId="6600"/>
    <cellStyle name="Heading 3 5 6" xfId="6601"/>
    <cellStyle name="Heading 3 5 6 2" xfId="6602"/>
    <cellStyle name="Heading 3 5 6 3" xfId="6603"/>
    <cellStyle name="Heading 3 5 6 4" xfId="6604"/>
    <cellStyle name="Heading 3 5 6 5" xfId="6605"/>
    <cellStyle name="Heading 3 5 6 6" xfId="6606"/>
    <cellStyle name="Heading 3 5 7" xfId="6607"/>
    <cellStyle name="Heading 3 5 7 2" xfId="6608"/>
    <cellStyle name="Heading 3 5 7 3" xfId="6609"/>
    <cellStyle name="Heading 3 5 7 4" xfId="6610"/>
    <cellStyle name="Heading 3 5 7 5" xfId="6611"/>
    <cellStyle name="Heading 3 5 7 6" xfId="6612"/>
    <cellStyle name="Heading 3 5 8" xfId="6613"/>
    <cellStyle name="Heading 3 5 8 2" xfId="6614"/>
    <cellStyle name="Heading 3 5 8 3" xfId="6615"/>
    <cellStyle name="Heading 3 5 8 4" xfId="6616"/>
    <cellStyle name="Heading 3 5 8 5" xfId="6617"/>
    <cellStyle name="Heading 3 5 8 6" xfId="6618"/>
    <cellStyle name="Heading 3 5 9" xfId="6619"/>
    <cellStyle name="Heading 3 5 9 2" xfId="6620"/>
    <cellStyle name="Heading 3 5 9 3" xfId="6621"/>
    <cellStyle name="Heading 3 5 9 4" xfId="6622"/>
    <cellStyle name="Heading 3 5 9 5" xfId="6623"/>
    <cellStyle name="Heading 3 5 9 6" xfId="6624"/>
    <cellStyle name="Heading 3 6" xfId="6625"/>
    <cellStyle name="Heading 3 6 10" xfId="6626"/>
    <cellStyle name="Heading 3 6 10 2" xfId="6627"/>
    <cellStyle name="Heading 3 6 10 3" xfId="6628"/>
    <cellStyle name="Heading 3 6 10 4" xfId="6629"/>
    <cellStyle name="Heading 3 6 10 5" xfId="6630"/>
    <cellStyle name="Heading 3 6 10 6" xfId="6631"/>
    <cellStyle name="Heading 3 6 11" xfId="6632"/>
    <cellStyle name="Heading 3 6 11 2" xfId="6633"/>
    <cellStyle name="Heading 3 6 11 3" xfId="6634"/>
    <cellStyle name="Heading 3 6 11 4" xfId="6635"/>
    <cellStyle name="Heading 3 6 11 5" xfId="6636"/>
    <cellStyle name="Heading 3 6 11 6" xfId="6637"/>
    <cellStyle name="Heading 3 6 12" xfId="6638"/>
    <cellStyle name="Heading 3 6 12 2" xfId="6639"/>
    <cellStyle name="Heading 3 6 12 3" xfId="6640"/>
    <cellStyle name="Heading 3 6 12 4" xfId="6641"/>
    <cellStyle name="Heading 3 6 12 5" xfId="6642"/>
    <cellStyle name="Heading 3 6 12 6" xfId="6643"/>
    <cellStyle name="Heading 3 6 13" xfId="6644"/>
    <cellStyle name="Heading 3 6 13 2" xfId="6645"/>
    <cellStyle name="Heading 3 6 13 3" xfId="6646"/>
    <cellStyle name="Heading 3 6 13 4" xfId="6647"/>
    <cellStyle name="Heading 3 6 13 5" xfId="6648"/>
    <cellStyle name="Heading 3 6 13 6" xfId="6649"/>
    <cellStyle name="Heading 3 6 14" xfId="6650"/>
    <cellStyle name="Heading 3 6 14 2" xfId="6651"/>
    <cellStyle name="Heading 3 6 14 3" xfId="6652"/>
    <cellStyle name="Heading 3 6 14 4" xfId="6653"/>
    <cellStyle name="Heading 3 6 14 5" xfId="6654"/>
    <cellStyle name="Heading 3 6 14 6" xfId="6655"/>
    <cellStyle name="Heading 3 6 15" xfId="6656"/>
    <cellStyle name="Heading 3 6 15 2" xfId="6657"/>
    <cellStyle name="Heading 3 6 15 3" xfId="6658"/>
    <cellStyle name="Heading 3 6 15 4" xfId="6659"/>
    <cellStyle name="Heading 3 6 15 5" xfId="6660"/>
    <cellStyle name="Heading 3 6 15 6" xfId="6661"/>
    <cellStyle name="Heading 3 6 16" xfId="6662"/>
    <cellStyle name="Heading 3 6 16 2" xfId="6663"/>
    <cellStyle name="Heading 3 6 16 3" xfId="6664"/>
    <cellStyle name="Heading 3 6 16 4" xfId="6665"/>
    <cellStyle name="Heading 3 6 16 5" xfId="6666"/>
    <cellStyle name="Heading 3 6 17" xfId="6667"/>
    <cellStyle name="Heading 3 6 17 2" xfId="6668"/>
    <cellStyle name="Heading 3 6 17 3" xfId="6669"/>
    <cellStyle name="Heading 3 6 17 4" xfId="6670"/>
    <cellStyle name="Heading 3 6 18" xfId="6671"/>
    <cellStyle name="Heading 3 6 19" xfId="6672"/>
    <cellStyle name="Heading 3 6 2" xfId="6673"/>
    <cellStyle name="Heading 3 6 2 2" xfId="6674"/>
    <cellStyle name="Heading 3 6 2 3" xfId="6675"/>
    <cellStyle name="Heading 3 6 2 4" xfId="6676"/>
    <cellStyle name="Heading 3 6 2 5" xfId="6677"/>
    <cellStyle name="Heading 3 6 2 6" xfId="6678"/>
    <cellStyle name="Heading 3 6 20" xfId="6679"/>
    <cellStyle name="Heading 3 6 21" xfId="6680"/>
    <cellStyle name="Heading 3 6 22" xfId="6681"/>
    <cellStyle name="Heading 3 6 23" xfId="6682"/>
    <cellStyle name="Heading 3 6 24" xfId="6683"/>
    <cellStyle name="Heading 3 6 25" xfId="6684"/>
    <cellStyle name="Heading 3 6 26" xfId="6685"/>
    <cellStyle name="Heading 3 6 27" xfId="6686"/>
    <cellStyle name="Heading 3 6 28" xfId="6687"/>
    <cellStyle name="Heading 3 6 29" xfId="6688"/>
    <cellStyle name="Heading 3 6 3" xfId="6689"/>
    <cellStyle name="Heading 3 6 3 2" xfId="6690"/>
    <cellStyle name="Heading 3 6 3 3" xfId="6691"/>
    <cellStyle name="Heading 3 6 3 4" xfId="6692"/>
    <cellStyle name="Heading 3 6 3 5" xfId="6693"/>
    <cellStyle name="Heading 3 6 3 6" xfId="6694"/>
    <cellStyle name="Heading 3 6 30" xfId="6695"/>
    <cellStyle name="Heading 3 6 31" xfId="6696"/>
    <cellStyle name="Heading 3 6 32" xfId="6697"/>
    <cellStyle name="Heading 3 6 33" xfId="6698"/>
    <cellStyle name="Heading 3 6 34" xfId="6699"/>
    <cellStyle name="Heading 3 6 35" xfId="6700"/>
    <cellStyle name="Heading 3 6 36" xfId="6701"/>
    <cellStyle name="Heading 3 6 37" xfId="6702"/>
    <cellStyle name="Heading 3 6 4" xfId="6703"/>
    <cellStyle name="Heading 3 6 4 2" xfId="6704"/>
    <cellStyle name="Heading 3 6 4 3" xfId="6705"/>
    <cellStyle name="Heading 3 6 4 4" xfId="6706"/>
    <cellStyle name="Heading 3 6 4 5" xfId="6707"/>
    <cellStyle name="Heading 3 6 4 6" xfId="6708"/>
    <cellStyle name="Heading 3 6 5" xfId="6709"/>
    <cellStyle name="Heading 3 6 5 2" xfId="6710"/>
    <cellStyle name="Heading 3 6 5 3" xfId="6711"/>
    <cellStyle name="Heading 3 6 5 4" xfId="6712"/>
    <cellStyle name="Heading 3 6 5 5" xfId="6713"/>
    <cellStyle name="Heading 3 6 5 6" xfId="6714"/>
    <cellStyle name="Heading 3 6 6" xfId="6715"/>
    <cellStyle name="Heading 3 6 6 2" xfId="6716"/>
    <cellStyle name="Heading 3 6 6 3" xfId="6717"/>
    <cellStyle name="Heading 3 6 6 4" xfId="6718"/>
    <cellStyle name="Heading 3 6 6 5" xfId="6719"/>
    <cellStyle name="Heading 3 6 6 6" xfId="6720"/>
    <cellStyle name="Heading 3 6 7" xfId="6721"/>
    <cellStyle name="Heading 3 6 7 2" xfId="6722"/>
    <cellStyle name="Heading 3 6 7 3" xfId="6723"/>
    <cellStyle name="Heading 3 6 7 4" xfId="6724"/>
    <cellStyle name="Heading 3 6 7 5" xfId="6725"/>
    <cellStyle name="Heading 3 6 7 6" xfId="6726"/>
    <cellStyle name="Heading 3 6 8" xfId="6727"/>
    <cellStyle name="Heading 3 6 8 2" xfId="6728"/>
    <cellStyle name="Heading 3 6 8 3" xfId="6729"/>
    <cellStyle name="Heading 3 6 8 4" xfId="6730"/>
    <cellStyle name="Heading 3 6 8 5" xfId="6731"/>
    <cellStyle name="Heading 3 6 8 6" xfId="6732"/>
    <cellStyle name="Heading 3 6 9" xfId="6733"/>
    <cellStyle name="Heading 3 6 9 2" xfId="6734"/>
    <cellStyle name="Heading 3 6 9 3" xfId="6735"/>
    <cellStyle name="Heading 3 6 9 4" xfId="6736"/>
    <cellStyle name="Heading 3 6 9 5" xfId="6737"/>
    <cellStyle name="Heading 3 6 9 6" xfId="6738"/>
    <cellStyle name="Heading 3 7" xfId="6739"/>
    <cellStyle name="Heading 3 7 10" xfId="6740"/>
    <cellStyle name="Heading 3 7 10 2" xfId="6741"/>
    <cellStyle name="Heading 3 7 10 3" xfId="6742"/>
    <cellStyle name="Heading 3 7 10 4" xfId="6743"/>
    <cellStyle name="Heading 3 7 10 5" xfId="6744"/>
    <cellStyle name="Heading 3 7 10 6" xfId="6745"/>
    <cellStyle name="Heading 3 7 11" xfId="6746"/>
    <cellStyle name="Heading 3 7 11 2" xfId="6747"/>
    <cellStyle name="Heading 3 7 11 3" xfId="6748"/>
    <cellStyle name="Heading 3 7 11 4" xfId="6749"/>
    <cellStyle name="Heading 3 7 11 5" xfId="6750"/>
    <cellStyle name="Heading 3 7 11 6" xfId="6751"/>
    <cellStyle name="Heading 3 7 12" xfId="6752"/>
    <cellStyle name="Heading 3 7 12 2" xfId="6753"/>
    <cellStyle name="Heading 3 7 12 3" xfId="6754"/>
    <cellStyle name="Heading 3 7 12 4" xfId="6755"/>
    <cellStyle name="Heading 3 7 12 5" xfId="6756"/>
    <cellStyle name="Heading 3 7 12 6" xfId="6757"/>
    <cellStyle name="Heading 3 7 13" xfId="6758"/>
    <cellStyle name="Heading 3 7 13 2" xfId="6759"/>
    <cellStyle name="Heading 3 7 13 3" xfId="6760"/>
    <cellStyle name="Heading 3 7 13 4" xfId="6761"/>
    <cellStyle name="Heading 3 7 13 5" xfId="6762"/>
    <cellStyle name="Heading 3 7 13 6" xfId="6763"/>
    <cellStyle name="Heading 3 7 14" xfId="6764"/>
    <cellStyle name="Heading 3 7 14 2" xfId="6765"/>
    <cellStyle name="Heading 3 7 14 3" xfId="6766"/>
    <cellStyle name="Heading 3 7 14 4" xfId="6767"/>
    <cellStyle name="Heading 3 7 14 5" xfId="6768"/>
    <cellStyle name="Heading 3 7 14 6" xfId="6769"/>
    <cellStyle name="Heading 3 7 15" xfId="6770"/>
    <cellStyle name="Heading 3 7 15 2" xfId="6771"/>
    <cellStyle name="Heading 3 7 15 3" xfId="6772"/>
    <cellStyle name="Heading 3 7 15 4" xfId="6773"/>
    <cellStyle name="Heading 3 7 15 5" xfId="6774"/>
    <cellStyle name="Heading 3 7 15 6" xfId="6775"/>
    <cellStyle name="Heading 3 7 16" xfId="6776"/>
    <cellStyle name="Heading 3 7 16 2" xfId="6777"/>
    <cellStyle name="Heading 3 7 16 3" xfId="6778"/>
    <cellStyle name="Heading 3 7 16 4" xfId="6779"/>
    <cellStyle name="Heading 3 7 16 5" xfId="6780"/>
    <cellStyle name="Heading 3 7 17" xfId="6781"/>
    <cellStyle name="Heading 3 7 17 2" xfId="6782"/>
    <cellStyle name="Heading 3 7 17 3" xfId="6783"/>
    <cellStyle name="Heading 3 7 17 4" xfId="6784"/>
    <cellStyle name="Heading 3 7 18" xfId="6785"/>
    <cellStyle name="Heading 3 7 19" xfId="6786"/>
    <cellStyle name="Heading 3 7 2" xfId="6787"/>
    <cellStyle name="Heading 3 7 2 2" xfId="6788"/>
    <cellStyle name="Heading 3 7 2 3" xfId="6789"/>
    <cellStyle name="Heading 3 7 2 4" xfId="6790"/>
    <cellStyle name="Heading 3 7 2 5" xfId="6791"/>
    <cellStyle name="Heading 3 7 2 6" xfId="6792"/>
    <cellStyle name="Heading 3 7 20" xfId="6793"/>
    <cellStyle name="Heading 3 7 21" xfId="6794"/>
    <cellStyle name="Heading 3 7 22" xfId="6795"/>
    <cellStyle name="Heading 3 7 23" xfId="6796"/>
    <cellStyle name="Heading 3 7 24" xfId="6797"/>
    <cellStyle name="Heading 3 7 25" xfId="6798"/>
    <cellStyle name="Heading 3 7 26" xfId="6799"/>
    <cellStyle name="Heading 3 7 27" xfId="6800"/>
    <cellStyle name="Heading 3 7 28" xfId="6801"/>
    <cellStyle name="Heading 3 7 29" xfId="6802"/>
    <cellStyle name="Heading 3 7 3" xfId="6803"/>
    <cellStyle name="Heading 3 7 3 2" xfId="6804"/>
    <cellStyle name="Heading 3 7 3 3" xfId="6805"/>
    <cellStyle name="Heading 3 7 3 4" xfId="6806"/>
    <cellStyle name="Heading 3 7 3 5" xfId="6807"/>
    <cellStyle name="Heading 3 7 3 6" xfId="6808"/>
    <cellStyle name="Heading 3 7 30" xfId="6809"/>
    <cellStyle name="Heading 3 7 31" xfId="6810"/>
    <cellStyle name="Heading 3 7 32" xfId="6811"/>
    <cellStyle name="Heading 3 7 33" xfId="6812"/>
    <cellStyle name="Heading 3 7 34" xfId="6813"/>
    <cellStyle name="Heading 3 7 35" xfId="6814"/>
    <cellStyle name="Heading 3 7 36" xfId="6815"/>
    <cellStyle name="Heading 3 7 37" xfId="6816"/>
    <cellStyle name="Heading 3 7 4" xfId="6817"/>
    <cellStyle name="Heading 3 7 4 2" xfId="6818"/>
    <cellStyle name="Heading 3 7 4 3" xfId="6819"/>
    <cellStyle name="Heading 3 7 4 4" xfId="6820"/>
    <cellStyle name="Heading 3 7 4 5" xfId="6821"/>
    <cellStyle name="Heading 3 7 4 6" xfId="6822"/>
    <cellStyle name="Heading 3 7 5" xfId="6823"/>
    <cellStyle name="Heading 3 7 5 2" xfId="6824"/>
    <cellStyle name="Heading 3 7 5 3" xfId="6825"/>
    <cellStyle name="Heading 3 7 5 4" xfId="6826"/>
    <cellStyle name="Heading 3 7 5 5" xfId="6827"/>
    <cellStyle name="Heading 3 7 5 6" xfId="6828"/>
    <cellStyle name="Heading 3 7 6" xfId="6829"/>
    <cellStyle name="Heading 3 7 6 2" xfId="6830"/>
    <cellStyle name="Heading 3 7 6 3" xfId="6831"/>
    <cellStyle name="Heading 3 7 6 4" xfId="6832"/>
    <cellStyle name="Heading 3 7 6 5" xfId="6833"/>
    <cellStyle name="Heading 3 7 6 6" xfId="6834"/>
    <cellStyle name="Heading 3 7 7" xfId="6835"/>
    <cellStyle name="Heading 3 7 7 2" xfId="6836"/>
    <cellStyle name="Heading 3 7 7 3" xfId="6837"/>
    <cellStyle name="Heading 3 7 7 4" xfId="6838"/>
    <cellStyle name="Heading 3 7 7 5" xfId="6839"/>
    <cellStyle name="Heading 3 7 7 6" xfId="6840"/>
    <cellStyle name="Heading 3 7 8" xfId="6841"/>
    <cellStyle name="Heading 3 7 8 2" xfId="6842"/>
    <cellStyle name="Heading 3 7 8 3" xfId="6843"/>
    <cellStyle name="Heading 3 7 8 4" xfId="6844"/>
    <cellStyle name="Heading 3 7 8 5" xfId="6845"/>
    <cellStyle name="Heading 3 7 8 6" xfId="6846"/>
    <cellStyle name="Heading 3 7 9" xfId="6847"/>
    <cellStyle name="Heading 3 7 9 2" xfId="6848"/>
    <cellStyle name="Heading 3 7 9 3" xfId="6849"/>
    <cellStyle name="Heading 3 7 9 4" xfId="6850"/>
    <cellStyle name="Heading 3 7 9 5" xfId="6851"/>
    <cellStyle name="Heading 3 7 9 6" xfId="6852"/>
    <cellStyle name="Heading 3 8" xfId="6853"/>
    <cellStyle name="Heading 3 8 10" xfId="6854"/>
    <cellStyle name="Heading 3 8 10 2" xfId="6855"/>
    <cellStyle name="Heading 3 8 10 3" xfId="6856"/>
    <cellStyle name="Heading 3 8 10 4" xfId="6857"/>
    <cellStyle name="Heading 3 8 10 5" xfId="6858"/>
    <cellStyle name="Heading 3 8 10 6" xfId="6859"/>
    <cellStyle name="Heading 3 8 11" xfId="6860"/>
    <cellStyle name="Heading 3 8 11 2" xfId="6861"/>
    <cellStyle name="Heading 3 8 11 3" xfId="6862"/>
    <cellStyle name="Heading 3 8 11 4" xfId="6863"/>
    <cellStyle name="Heading 3 8 11 5" xfId="6864"/>
    <cellStyle name="Heading 3 8 11 6" xfId="6865"/>
    <cellStyle name="Heading 3 8 12" xfId="6866"/>
    <cellStyle name="Heading 3 8 12 2" xfId="6867"/>
    <cellStyle name="Heading 3 8 12 3" xfId="6868"/>
    <cellStyle name="Heading 3 8 12 4" xfId="6869"/>
    <cellStyle name="Heading 3 8 12 5" xfId="6870"/>
    <cellStyle name="Heading 3 8 12 6" xfId="6871"/>
    <cellStyle name="Heading 3 8 13" xfId="6872"/>
    <cellStyle name="Heading 3 8 13 2" xfId="6873"/>
    <cellStyle name="Heading 3 8 13 3" xfId="6874"/>
    <cellStyle name="Heading 3 8 13 4" xfId="6875"/>
    <cellStyle name="Heading 3 8 13 5" xfId="6876"/>
    <cellStyle name="Heading 3 8 13 6" xfId="6877"/>
    <cellStyle name="Heading 3 8 14" xfId="6878"/>
    <cellStyle name="Heading 3 8 14 2" xfId="6879"/>
    <cellStyle name="Heading 3 8 14 3" xfId="6880"/>
    <cellStyle name="Heading 3 8 14 4" xfId="6881"/>
    <cellStyle name="Heading 3 8 14 5" xfId="6882"/>
    <cellStyle name="Heading 3 8 14 6" xfId="6883"/>
    <cellStyle name="Heading 3 8 15" xfId="6884"/>
    <cellStyle name="Heading 3 8 15 2" xfId="6885"/>
    <cellStyle name="Heading 3 8 15 3" xfId="6886"/>
    <cellStyle name="Heading 3 8 15 4" xfId="6887"/>
    <cellStyle name="Heading 3 8 15 5" xfId="6888"/>
    <cellStyle name="Heading 3 8 15 6" xfId="6889"/>
    <cellStyle name="Heading 3 8 16" xfId="6890"/>
    <cellStyle name="Heading 3 8 16 2" xfId="6891"/>
    <cellStyle name="Heading 3 8 16 3" xfId="6892"/>
    <cellStyle name="Heading 3 8 16 4" xfId="6893"/>
    <cellStyle name="Heading 3 8 16 5" xfId="6894"/>
    <cellStyle name="Heading 3 8 17" xfId="6895"/>
    <cellStyle name="Heading 3 8 17 2" xfId="6896"/>
    <cellStyle name="Heading 3 8 17 3" xfId="6897"/>
    <cellStyle name="Heading 3 8 17 4" xfId="6898"/>
    <cellStyle name="Heading 3 8 18" xfId="6899"/>
    <cellStyle name="Heading 3 8 19" xfId="6900"/>
    <cellStyle name="Heading 3 8 2" xfId="6901"/>
    <cellStyle name="Heading 3 8 2 2" xfId="6902"/>
    <cellStyle name="Heading 3 8 2 3" xfId="6903"/>
    <cellStyle name="Heading 3 8 2 4" xfId="6904"/>
    <cellStyle name="Heading 3 8 2 5" xfId="6905"/>
    <cellStyle name="Heading 3 8 2 6" xfId="6906"/>
    <cellStyle name="Heading 3 8 20" xfId="6907"/>
    <cellStyle name="Heading 3 8 21" xfId="6908"/>
    <cellStyle name="Heading 3 8 22" xfId="6909"/>
    <cellStyle name="Heading 3 8 23" xfId="6910"/>
    <cellStyle name="Heading 3 8 24" xfId="6911"/>
    <cellStyle name="Heading 3 8 25" xfId="6912"/>
    <cellStyle name="Heading 3 8 26" xfId="6913"/>
    <cellStyle name="Heading 3 8 27" xfId="6914"/>
    <cellStyle name="Heading 3 8 28" xfId="6915"/>
    <cellStyle name="Heading 3 8 29" xfId="6916"/>
    <cellStyle name="Heading 3 8 3" xfId="6917"/>
    <cellStyle name="Heading 3 8 3 2" xfId="6918"/>
    <cellStyle name="Heading 3 8 3 3" xfId="6919"/>
    <cellStyle name="Heading 3 8 3 4" xfId="6920"/>
    <cellStyle name="Heading 3 8 3 5" xfId="6921"/>
    <cellStyle name="Heading 3 8 3 6" xfId="6922"/>
    <cellStyle name="Heading 3 8 30" xfId="6923"/>
    <cellStyle name="Heading 3 8 31" xfId="6924"/>
    <cellStyle name="Heading 3 8 32" xfId="6925"/>
    <cellStyle name="Heading 3 8 33" xfId="6926"/>
    <cellStyle name="Heading 3 8 34" xfId="6927"/>
    <cellStyle name="Heading 3 8 35" xfId="6928"/>
    <cellStyle name="Heading 3 8 36" xfId="6929"/>
    <cellStyle name="Heading 3 8 37" xfId="6930"/>
    <cellStyle name="Heading 3 8 4" xfId="6931"/>
    <cellStyle name="Heading 3 8 4 2" xfId="6932"/>
    <cellStyle name="Heading 3 8 4 3" xfId="6933"/>
    <cellStyle name="Heading 3 8 4 4" xfId="6934"/>
    <cellStyle name="Heading 3 8 4 5" xfId="6935"/>
    <cellStyle name="Heading 3 8 4 6" xfId="6936"/>
    <cellStyle name="Heading 3 8 5" xfId="6937"/>
    <cellStyle name="Heading 3 8 5 2" xfId="6938"/>
    <cellStyle name="Heading 3 8 5 3" xfId="6939"/>
    <cellStyle name="Heading 3 8 5 4" xfId="6940"/>
    <cellStyle name="Heading 3 8 5 5" xfId="6941"/>
    <cellStyle name="Heading 3 8 5 6" xfId="6942"/>
    <cellStyle name="Heading 3 8 6" xfId="6943"/>
    <cellStyle name="Heading 3 8 6 2" xfId="6944"/>
    <cellStyle name="Heading 3 8 6 3" xfId="6945"/>
    <cellStyle name="Heading 3 8 6 4" xfId="6946"/>
    <cellStyle name="Heading 3 8 6 5" xfId="6947"/>
    <cellStyle name="Heading 3 8 6 6" xfId="6948"/>
    <cellStyle name="Heading 3 8 7" xfId="6949"/>
    <cellStyle name="Heading 3 8 7 2" xfId="6950"/>
    <cellStyle name="Heading 3 8 7 3" xfId="6951"/>
    <cellStyle name="Heading 3 8 7 4" xfId="6952"/>
    <cellStyle name="Heading 3 8 7 5" xfId="6953"/>
    <cellStyle name="Heading 3 8 7 6" xfId="6954"/>
    <cellStyle name="Heading 3 8 8" xfId="6955"/>
    <cellStyle name="Heading 3 8 8 2" xfId="6956"/>
    <cellStyle name="Heading 3 8 8 3" xfId="6957"/>
    <cellStyle name="Heading 3 8 8 4" xfId="6958"/>
    <cellStyle name="Heading 3 8 8 5" xfId="6959"/>
    <cellStyle name="Heading 3 8 8 6" xfId="6960"/>
    <cellStyle name="Heading 3 8 9" xfId="6961"/>
    <cellStyle name="Heading 3 8 9 2" xfId="6962"/>
    <cellStyle name="Heading 3 8 9 3" xfId="6963"/>
    <cellStyle name="Heading 3 8 9 4" xfId="6964"/>
    <cellStyle name="Heading 3 8 9 5" xfId="6965"/>
    <cellStyle name="Heading 3 8 9 6" xfId="6966"/>
    <cellStyle name="Heading 3 9" xfId="6967"/>
    <cellStyle name="Heading 3 9 10" xfId="6968"/>
    <cellStyle name="Heading 3 9 10 2" xfId="6969"/>
    <cellStyle name="Heading 3 9 10 3" xfId="6970"/>
    <cellStyle name="Heading 3 9 10 4" xfId="6971"/>
    <cellStyle name="Heading 3 9 10 5" xfId="6972"/>
    <cellStyle name="Heading 3 9 10 6" xfId="6973"/>
    <cellStyle name="Heading 3 9 11" xfId="6974"/>
    <cellStyle name="Heading 3 9 11 2" xfId="6975"/>
    <cellStyle name="Heading 3 9 11 3" xfId="6976"/>
    <cellStyle name="Heading 3 9 11 4" xfId="6977"/>
    <cellStyle name="Heading 3 9 11 5" xfId="6978"/>
    <cellStyle name="Heading 3 9 11 6" xfId="6979"/>
    <cellStyle name="Heading 3 9 12" xfId="6980"/>
    <cellStyle name="Heading 3 9 12 2" xfId="6981"/>
    <cellStyle name="Heading 3 9 12 3" xfId="6982"/>
    <cellStyle name="Heading 3 9 12 4" xfId="6983"/>
    <cellStyle name="Heading 3 9 12 5" xfId="6984"/>
    <cellStyle name="Heading 3 9 12 6" xfId="6985"/>
    <cellStyle name="Heading 3 9 13" xfId="6986"/>
    <cellStyle name="Heading 3 9 13 2" xfId="6987"/>
    <cellStyle name="Heading 3 9 13 3" xfId="6988"/>
    <cellStyle name="Heading 3 9 13 4" xfId="6989"/>
    <cellStyle name="Heading 3 9 13 5" xfId="6990"/>
    <cellStyle name="Heading 3 9 13 6" xfId="6991"/>
    <cellStyle name="Heading 3 9 14" xfId="6992"/>
    <cellStyle name="Heading 3 9 14 2" xfId="6993"/>
    <cellStyle name="Heading 3 9 14 3" xfId="6994"/>
    <cellStyle name="Heading 3 9 14 4" xfId="6995"/>
    <cellStyle name="Heading 3 9 14 5" xfId="6996"/>
    <cellStyle name="Heading 3 9 14 6" xfId="6997"/>
    <cellStyle name="Heading 3 9 15" xfId="6998"/>
    <cellStyle name="Heading 3 9 15 2" xfId="6999"/>
    <cellStyle name="Heading 3 9 15 3" xfId="7000"/>
    <cellStyle name="Heading 3 9 15 4" xfId="7001"/>
    <cellStyle name="Heading 3 9 15 5" xfId="7002"/>
    <cellStyle name="Heading 3 9 15 6" xfId="7003"/>
    <cellStyle name="Heading 3 9 16" xfId="7004"/>
    <cellStyle name="Heading 3 9 16 2" xfId="7005"/>
    <cellStyle name="Heading 3 9 16 3" xfId="7006"/>
    <cellStyle name="Heading 3 9 16 4" xfId="7007"/>
    <cellStyle name="Heading 3 9 16 5" xfId="7008"/>
    <cellStyle name="Heading 3 9 17" xfId="7009"/>
    <cellStyle name="Heading 3 9 17 2" xfId="7010"/>
    <cellStyle name="Heading 3 9 17 3" xfId="7011"/>
    <cellStyle name="Heading 3 9 17 4" xfId="7012"/>
    <cellStyle name="Heading 3 9 18" xfId="7013"/>
    <cellStyle name="Heading 3 9 19" xfId="7014"/>
    <cellStyle name="Heading 3 9 2" xfId="7015"/>
    <cellStyle name="Heading 3 9 2 2" xfId="7016"/>
    <cellStyle name="Heading 3 9 2 3" xfId="7017"/>
    <cellStyle name="Heading 3 9 2 4" xfId="7018"/>
    <cellStyle name="Heading 3 9 2 5" xfId="7019"/>
    <cellStyle name="Heading 3 9 2 6" xfId="7020"/>
    <cellStyle name="Heading 3 9 20" xfId="7021"/>
    <cellStyle name="Heading 3 9 21" xfId="7022"/>
    <cellStyle name="Heading 3 9 22" xfId="7023"/>
    <cellStyle name="Heading 3 9 23" xfId="7024"/>
    <cellStyle name="Heading 3 9 24" xfId="7025"/>
    <cellStyle name="Heading 3 9 25" xfId="7026"/>
    <cellStyle name="Heading 3 9 26" xfId="7027"/>
    <cellStyle name="Heading 3 9 27" xfId="7028"/>
    <cellStyle name="Heading 3 9 28" xfId="7029"/>
    <cellStyle name="Heading 3 9 29" xfId="7030"/>
    <cellStyle name="Heading 3 9 3" xfId="7031"/>
    <cellStyle name="Heading 3 9 3 2" xfId="7032"/>
    <cellStyle name="Heading 3 9 3 3" xfId="7033"/>
    <cellStyle name="Heading 3 9 3 4" xfId="7034"/>
    <cellStyle name="Heading 3 9 3 5" xfId="7035"/>
    <cellStyle name="Heading 3 9 3 6" xfId="7036"/>
    <cellStyle name="Heading 3 9 30" xfId="7037"/>
    <cellStyle name="Heading 3 9 31" xfId="7038"/>
    <cellStyle name="Heading 3 9 32" xfId="7039"/>
    <cellStyle name="Heading 3 9 33" xfId="7040"/>
    <cellStyle name="Heading 3 9 34" xfId="7041"/>
    <cellStyle name="Heading 3 9 35" xfId="7042"/>
    <cellStyle name="Heading 3 9 36" xfId="7043"/>
    <cellStyle name="Heading 3 9 37" xfId="7044"/>
    <cellStyle name="Heading 3 9 4" xfId="7045"/>
    <cellStyle name="Heading 3 9 4 2" xfId="7046"/>
    <cellStyle name="Heading 3 9 4 3" xfId="7047"/>
    <cellStyle name="Heading 3 9 4 4" xfId="7048"/>
    <cellStyle name="Heading 3 9 4 5" xfId="7049"/>
    <cellStyle name="Heading 3 9 4 6" xfId="7050"/>
    <cellStyle name="Heading 3 9 5" xfId="7051"/>
    <cellStyle name="Heading 3 9 5 2" xfId="7052"/>
    <cellStyle name="Heading 3 9 5 3" xfId="7053"/>
    <cellStyle name="Heading 3 9 5 4" xfId="7054"/>
    <cellStyle name="Heading 3 9 5 5" xfId="7055"/>
    <cellStyle name="Heading 3 9 5 6" xfId="7056"/>
    <cellStyle name="Heading 3 9 6" xfId="7057"/>
    <cellStyle name="Heading 3 9 6 2" xfId="7058"/>
    <cellStyle name="Heading 3 9 6 3" xfId="7059"/>
    <cellStyle name="Heading 3 9 6 4" xfId="7060"/>
    <cellStyle name="Heading 3 9 6 5" xfId="7061"/>
    <cellStyle name="Heading 3 9 6 6" xfId="7062"/>
    <cellStyle name="Heading 3 9 7" xfId="7063"/>
    <cellStyle name="Heading 3 9 7 2" xfId="7064"/>
    <cellStyle name="Heading 3 9 7 3" xfId="7065"/>
    <cellStyle name="Heading 3 9 7 4" xfId="7066"/>
    <cellStyle name="Heading 3 9 7 5" xfId="7067"/>
    <cellStyle name="Heading 3 9 7 6" xfId="7068"/>
    <cellStyle name="Heading 3 9 8" xfId="7069"/>
    <cellStyle name="Heading 3 9 8 2" xfId="7070"/>
    <cellStyle name="Heading 3 9 8 3" xfId="7071"/>
    <cellStyle name="Heading 3 9 8 4" xfId="7072"/>
    <cellStyle name="Heading 3 9 8 5" xfId="7073"/>
    <cellStyle name="Heading 3 9 8 6" xfId="7074"/>
    <cellStyle name="Heading 3 9 9" xfId="7075"/>
    <cellStyle name="Heading 3 9 9 2" xfId="7076"/>
    <cellStyle name="Heading 3 9 9 3" xfId="7077"/>
    <cellStyle name="Heading 3 9 9 4" xfId="7078"/>
    <cellStyle name="Heading 3 9 9 5" xfId="7079"/>
    <cellStyle name="Heading 3 9 9 6" xfId="7080"/>
    <cellStyle name="Heading 4 10" xfId="7081"/>
    <cellStyle name="Heading 4 10 2" xfId="7082"/>
    <cellStyle name="Heading 4 11" xfId="7083"/>
    <cellStyle name="Heading 4 11 2" xfId="7084"/>
    <cellStyle name="Heading 4 12" xfId="7085"/>
    <cellStyle name="Heading 4 12 2" xfId="7086"/>
    <cellStyle name="Heading 4 2" xfId="7087"/>
    <cellStyle name="Heading 4 2 2" xfId="7088"/>
    <cellStyle name="Heading 4 3" xfId="7089"/>
    <cellStyle name="Heading 4 3 2" xfId="7090"/>
    <cellStyle name="Heading 4 4" xfId="7091"/>
    <cellStyle name="Heading 4 4 2" xfId="7092"/>
    <cellStyle name="Heading 4 5" xfId="7093"/>
    <cellStyle name="Heading 4 5 2" xfId="7094"/>
    <cellStyle name="Heading 4 6" xfId="7095"/>
    <cellStyle name="Heading 4 6 2" xfId="7096"/>
    <cellStyle name="Heading 4 7" xfId="7097"/>
    <cellStyle name="Heading 4 7 2" xfId="7098"/>
    <cellStyle name="Heading 4 8" xfId="7099"/>
    <cellStyle name="Heading 4 8 2" xfId="7100"/>
    <cellStyle name="Heading 4 9" xfId="7101"/>
    <cellStyle name="Heading 4 9 2" xfId="7102"/>
    <cellStyle name="Heading1" xfId="20845"/>
    <cellStyle name="Heading1 1" xfId="20846"/>
    <cellStyle name="Heading1 2" xfId="20847"/>
    <cellStyle name="Heading1 3" xfId="20848"/>
    <cellStyle name="Heading1 4" xfId="20849"/>
    <cellStyle name="Heading1_1x1" xfId="20850"/>
    <cellStyle name="Heading2" xfId="20851"/>
    <cellStyle name="Heading2 2" xfId="20852"/>
    <cellStyle name="Heading2 3" xfId="20853"/>
    <cellStyle name="Heading2 4" xfId="20854"/>
    <cellStyle name="Heading2_1x1" xfId="20855"/>
    <cellStyle name="HEADINGS" xfId="7103"/>
    <cellStyle name="HEADINGS 10" xfId="7104"/>
    <cellStyle name="HEADINGS 10 2" xfId="7105"/>
    <cellStyle name="HEADINGS 10 3" xfId="7106"/>
    <cellStyle name="HEADINGS 10 4" xfId="7107"/>
    <cellStyle name="HEADINGS 10 5" xfId="7108"/>
    <cellStyle name="HEADINGS 11" xfId="7109"/>
    <cellStyle name="HEADINGS 11 2" xfId="7110"/>
    <cellStyle name="HEADINGS 11 3" xfId="7111"/>
    <cellStyle name="HEADINGS 11 4" xfId="7112"/>
    <cellStyle name="HEADINGS 12" xfId="7113"/>
    <cellStyle name="HEADINGS 12 2" xfId="7114"/>
    <cellStyle name="HEADINGS 12 3" xfId="7115"/>
    <cellStyle name="HEADINGS 12 4" xfId="7116"/>
    <cellStyle name="HEADINGS 13" xfId="7117"/>
    <cellStyle name="HEADINGS 14" xfId="7118"/>
    <cellStyle name="HEADINGS 15" xfId="7119"/>
    <cellStyle name="HEADINGS 16" xfId="7120"/>
    <cellStyle name="HEADINGS 17" xfId="7121"/>
    <cellStyle name="HEADINGS 18" xfId="7122"/>
    <cellStyle name="HEADINGS 19" xfId="7123"/>
    <cellStyle name="HEADINGS 2" xfId="7124"/>
    <cellStyle name="HEADINGS 2 2" xfId="7125"/>
    <cellStyle name="HEADINGS 2 3" xfId="7126"/>
    <cellStyle name="HEADINGS 2 4" xfId="7127"/>
    <cellStyle name="HEADINGS 2 5" xfId="7128"/>
    <cellStyle name="HEADINGS 2 6" xfId="7129"/>
    <cellStyle name="HEADINGS 2 7" xfId="7130"/>
    <cellStyle name="HEADINGS 20" xfId="7131"/>
    <cellStyle name="HEADINGS 21" xfId="7132"/>
    <cellStyle name="HEADINGS 22" xfId="7133"/>
    <cellStyle name="HEADINGS 23" xfId="7134"/>
    <cellStyle name="HEADINGS 24" xfId="7135"/>
    <cellStyle name="HEADINGS 25" xfId="7136"/>
    <cellStyle name="HEADINGS 26" xfId="7137"/>
    <cellStyle name="HEADINGS 3" xfId="7138"/>
    <cellStyle name="HEADINGS 3 2" xfId="7139"/>
    <cellStyle name="HEADINGS 3 3" xfId="7140"/>
    <cellStyle name="HEADINGS 3 4" xfId="7141"/>
    <cellStyle name="HEADINGS 3 5" xfId="7142"/>
    <cellStyle name="HEADINGS 4" xfId="7143"/>
    <cellStyle name="HEADINGS 4 2" xfId="7144"/>
    <cellStyle name="HEADINGS 4 3" xfId="7145"/>
    <cellStyle name="HEADINGS 4 4" xfId="7146"/>
    <cellStyle name="HEADINGS 4 5" xfId="7147"/>
    <cellStyle name="HEADINGS 5" xfId="7148"/>
    <cellStyle name="HEADINGS 5 2" xfId="7149"/>
    <cellStyle name="HEADINGS 5 3" xfId="7150"/>
    <cellStyle name="HEADINGS 5 4" xfId="7151"/>
    <cellStyle name="HEADINGS 5 5" xfId="7152"/>
    <cellStyle name="HEADINGS 6" xfId="7153"/>
    <cellStyle name="HEADINGS 6 2" xfId="7154"/>
    <cellStyle name="HEADINGS 6 3" xfId="7155"/>
    <cellStyle name="HEADINGS 6 4" xfId="7156"/>
    <cellStyle name="HEADINGS 6 5" xfId="7157"/>
    <cellStyle name="HEADINGS 7" xfId="7158"/>
    <cellStyle name="HEADINGS 7 2" xfId="7159"/>
    <cellStyle name="HEADINGS 7 3" xfId="7160"/>
    <cellStyle name="HEADINGS 7 4" xfId="7161"/>
    <cellStyle name="HEADINGS 7 5" xfId="7162"/>
    <cellStyle name="HEADINGS 8" xfId="7163"/>
    <cellStyle name="HEADINGS 8 2" xfId="7164"/>
    <cellStyle name="HEADINGS 8 3" xfId="7165"/>
    <cellStyle name="HEADINGS 8 4" xfId="7166"/>
    <cellStyle name="HEADINGS 8 5" xfId="7167"/>
    <cellStyle name="HEADINGS 9" xfId="7168"/>
    <cellStyle name="HEADINGS 9 2" xfId="7169"/>
    <cellStyle name="HEADINGS 9 3" xfId="7170"/>
    <cellStyle name="HEADINGS 9 4" xfId="7171"/>
    <cellStyle name="HEADINGS 9 5" xfId="7172"/>
    <cellStyle name="HEADINGSTOP" xfId="7173"/>
    <cellStyle name="HEADINGSTOP 2" xfId="7174"/>
    <cellStyle name="Input [yellow]" xfId="7175"/>
    <cellStyle name="Input [yellow] 10" xfId="7176"/>
    <cellStyle name="Input [yellow] 10 2" xfId="7177"/>
    <cellStyle name="Input [yellow] 10 3" xfId="7178"/>
    <cellStyle name="Input [yellow] 10 4" xfId="7179"/>
    <cellStyle name="Input [yellow] 10 5" xfId="7180"/>
    <cellStyle name="Input [yellow] 10 6" xfId="7181"/>
    <cellStyle name="Input [yellow] 11" xfId="7182"/>
    <cellStyle name="Input [yellow] 11 2" xfId="7183"/>
    <cellStyle name="Input [yellow] 11 3" xfId="7184"/>
    <cellStyle name="Input [yellow] 11 4" xfId="7185"/>
    <cellStyle name="Input [yellow] 11 5" xfId="7186"/>
    <cellStyle name="Input [yellow] 11 6" xfId="7187"/>
    <cellStyle name="Input [yellow] 12" xfId="7188"/>
    <cellStyle name="Input [yellow] 12 2" xfId="7189"/>
    <cellStyle name="Input [yellow] 12 3" xfId="7190"/>
    <cellStyle name="Input [yellow] 12 4" xfId="7191"/>
    <cellStyle name="Input [yellow] 12 5" xfId="7192"/>
    <cellStyle name="Input [yellow] 12 6" xfId="7193"/>
    <cellStyle name="Input [yellow] 13" xfId="7194"/>
    <cellStyle name="Input [yellow] 13 2" xfId="7195"/>
    <cellStyle name="Input [yellow] 13 3" xfId="7196"/>
    <cellStyle name="Input [yellow] 13 4" xfId="7197"/>
    <cellStyle name="Input [yellow] 13 5" xfId="7198"/>
    <cellStyle name="Input [yellow] 13 6" xfId="7199"/>
    <cellStyle name="Input [yellow] 14" xfId="7200"/>
    <cellStyle name="Input [yellow] 14 2" xfId="7201"/>
    <cellStyle name="Input [yellow] 14 3" xfId="7202"/>
    <cellStyle name="Input [yellow] 14 4" xfId="7203"/>
    <cellStyle name="Input [yellow] 14 5" xfId="7204"/>
    <cellStyle name="Input [yellow] 14 6" xfId="7205"/>
    <cellStyle name="Input [yellow] 15" xfId="7206"/>
    <cellStyle name="Input [yellow] 15 2" xfId="7207"/>
    <cellStyle name="Input [yellow] 15 3" xfId="7208"/>
    <cellStyle name="Input [yellow] 15 4" xfId="7209"/>
    <cellStyle name="Input [yellow] 15 5" xfId="7210"/>
    <cellStyle name="Input [yellow] 15 6" xfId="7211"/>
    <cellStyle name="Input [yellow] 16" xfId="7212"/>
    <cellStyle name="Input [yellow] 16 2" xfId="7213"/>
    <cellStyle name="Input [yellow] 16 3" xfId="7214"/>
    <cellStyle name="Input [yellow] 16 4" xfId="7215"/>
    <cellStyle name="Input [yellow] 16 5" xfId="7216"/>
    <cellStyle name="Input [yellow] 16 6" xfId="7217"/>
    <cellStyle name="Input [yellow] 17" xfId="7218"/>
    <cellStyle name="Input [yellow] 17 2" xfId="7219"/>
    <cellStyle name="Input [yellow] 17 3" xfId="7220"/>
    <cellStyle name="Input [yellow] 17 4" xfId="7221"/>
    <cellStyle name="Input [yellow] 17 5" xfId="7222"/>
    <cellStyle name="Input [yellow] 17 6" xfId="7223"/>
    <cellStyle name="Input [yellow] 18" xfId="7224"/>
    <cellStyle name="Input [yellow] 18 2" xfId="7225"/>
    <cellStyle name="Input [yellow] 18 3" xfId="7226"/>
    <cellStyle name="Input [yellow] 18 4" xfId="7227"/>
    <cellStyle name="Input [yellow] 18 5" xfId="7228"/>
    <cellStyle name="Input [yellow] 18 6" xfId="7229"/>
    <cellStyle name="Input [yellow] 19" xfId="7230"/>
    <cellStyle name="Input [yellow] 19 2" xfId="7231"/>
    <cellStyle name="Input [yellow] 19 3" xfId="7232"/>
    <cellStyle name="Input [yellow] 19 4" xfId="7233"/>
    <cellStyle name="Input [yellow] 19 5" xfId="7234"/>
    <cellStyle name="Input [yellow] 19 6" xfId="7235"/>
    <cellStyle name="Input [yellow] 2" xfId="7236"/>
    <cellStyle name="Input [yellow] 2 10" xfId="7237"/>
    <cellStyle name="Input [yellow] 2 11" xfId="7238"/>
    <cellStyle name="Input [yellow] 2 2" xfId="7239"/>
    <cellStyle name="Input [yellow] 2 3" xfId="7240"/>
    <cellStyle name="Input [yellow] 2 4" xfId="7241"/>
    <cellStyle name="Input [yellow] 2 5" xfId="7242"/>
    <cellStyle name="Input [yellow] 2 6" xfId="7243"/>
    <cellStyle name="Input [yellow] 2 7" xfId="7244"/>
    <cellStyle name="Input [yellow] 2 8" xfId="7245"/>
    <cellStyle name="Input [yellow] 2 9" xfId="7246"/>
    <cellStyle name="Input [yellow] 20" xfId="7247"/>
    <cellStyle name="Input [yellow] 20 2" xfId="7248"/>
    <cellStyle name="Input [yellow] 20 3" xfId="7249"/>
    <cellStyle name="Input [yellow] 20 4" xfId="7250"/>
    <cellStyle name="Input [yellow] 20 5" xfId="7251"/>
    <cellStyle name="Input [yellow] 20 6" xfId="7252"/>
    <cellStyle name="Input [yellow] 21" xfId="7253"/>
    <cellStyle name="Input [yellow] 21 2" xfId="7254"/>
    <cellStyle name="Input [yellow] 21 3" xfId="7255"/>
    <cellStyle name="Input [yellow] 21 4" xfId="7256"/>
    <cellStyle name="Input [yellow] 21 5" xfId="7257"/>
    <cellStyle name="Input [yellow] 21 6" xfId="7258"/>
    <cellStyle name="Input [yellow] 22" xfId="7259"/>
    <cellStyle name="Input [yellow] 22 2" xfId="7260"/>
    <cellStyle name="Input [yellow] 22 3" xfId="7261"/>
    <cellStyle name="Input [yellow] 22 4" xfId="7262"/>
    <cellStyle name="Input [yellow] 22 5" xfId="7263"/>
    <cellStyle name="Input [yellow] 22 6" xfId="7264"/>
    <cellStyle name="Input [yellow] 23" xfId="7265"/>
    <cellStyle name="Input [yellow] 23 2" xfId="7266"/>
    <cellStyle name="Input [yellow] 23 3" xfId="7267"/>
    <cellStyle name="Input [yellow] 23 4" xfId="7268"/>
    <cellStyle name="Input [yellow] 23 5" xfId="7269"/>
    <cellStyle name="Input [yellow] 23 6" xfId="7270"/>
    <cellStyle name="Input [yellow] 24" xfId="7271"/>
    <cellStyle name="Input [yellow] 24 2" xfId="7272"/>
    <cellStyle name="Input [yellow] 24 3" xfId="7273"/>
    <cellStyle name="Input [yellow] 24 4" xfId="7274"/>
    <cellStyle name="Input [yellow] 24 5" xfId="7275"/>
    <cellStyle name="Input [yellow] 24 6" xfId="7276"/>
    <cellStyle name="Input [yellow] 25" xfId="7277"/>
    <cellStyle name="Input [yellow] 25 2" xfId="7278"/>
    <cellStyle name="Input [yellow] 25 3" xfId="7279"/>
    <cellStyle name="Input [yellow] 25 4" xfId="7280"/>
    <cellStyle name="Input [yellow] 25 5" xfId="7281"/>
    <cellStyle name="Input [yellow] 25 6" xfId="7282"/>
    <cellStyle name="Input [yellow] 26" xfId="7283"/>
    <cellStyle name="Input [yellow] 26 2" xfId="7284"/>
    <cellStyle name="Input [yellow] 26 3" xfId="7285"/>
    <cellStyle name="Input [yellow] 26 4" xfId="7286"/>
    <cellStyle name="Input [yellow] 26 5" xfId="7287"/>
    <cellStyle name="Input [yellow] 26 6" xfId="7288"/>
    <cellStyle name="Input [yellow] 27" xfId="7289"/>
    <cellStyle name="Input [yellow] 27 2" xfId="7290"/>
    <cellStyle name="Input [yellow] 27 3" xfId="7291"/>
    <cellStyle name="Input [yellow] 27 4" xfId="7292"/>
    <cellStyle name="Input [yellow] 27 5" xfId="7293"/>
    <cellStyle name="Input [yellow] 27 6" xfId="7294"/>
    <cellStyle name="Input [yellow] 28" xfId="7295"/>
    <cellStyle name="Input [yellow] 28 2" xfId="7296"/>
    <cellStyle name="Input [yellow] 28 3" xfId="7297"/>
    <cellStyle name="Input [yellow] 28 4" xfId="7298"/>
    <cellStyle name="Input [yellow] 28 5" xfId="7299"/>
    <cellStyle name="Input [yellow] 28 6" xfId="7300"/>
    <cellStyle name="Input [yellow] 29" xfId="7301"/>
    <cellStyle name="Input [yellow] 29 2" xfId="7302"/>
    <cellStyle name="Input [yellow] 29 3" xfId="7303"/>
    <cellStyle name="Input [yellow] 29 4" xfId="7304"/>
    <cellStyle name="Input [yellow] 29 5" xfId="7305"/>
    <cellStyle name="Input [yellow] 29 6" xfId="7306"/>
    <cellStyle name="Input [yellow] 3" xfId="7307"/>
    <cellStyle name="Input [yellow] 3 2" xfId="7308"/>
    <cellStyle name="Input [yellow] 3 3" xfId="7309"/>
    <cellStyle name="Input [yellow] 3 4" xfId="7310"/>
    <cellStyle name="Input [yellow] 3 5" xfId="7311"/>
    <cellStyle name="Input [yellow] 3 6" xfId="7312"/>
    <cellStyle name="Input [yellow] 30" xfId="7313"/>
    <cellStyle name="Input [yellow] 30 2" xfId="7314"/>
    <cellStyle name="Input [yellow] 30 3" xfId="7315"/>
    <cellStyle name="Input [yellow] 30 4" xfId="7316"/>
    <cellStyle name="Input [yellow] 30 5" xfId="7317"/>
    <cellStyle name="Input [yellow] 30 6" xfId="7318"/>
    <cellStyle name="Input [yellow] 31" xfId="7319"/>
    <cellStyle name="Input [yellow] 31 2" xfId="7320"/>
    <cellStyle name="Input [yellow] 31 3" xfId="7321"/>
    <cellStyle name="Input [yellow] 31 4" xfId="7322"/>
    <cellStyle name="Input [yellow] 31 5" xfId="7323"/>
    <cellStyle name="Input [yellow] 31 6" xfId="7324"/>
    <cellStyle name="Input [yellow] 32" xfId="7325"/>
    <cellStyle name="Input [yellow] 32 2" xfId="7326"/>
    <cellStyle name="Input [yellow] 32 3" xfId="7327"/>
    <cellStyle name="Input [yellow] 33" xfId="7328"/>
    <cellStyle name="Input [yellow] 33 2" xfId="7329"/>
    <cellStyle name="Input [yellow] 33 3" xfId="7330"/>
    <cellStyle name="Input [yellow] 34" xfId="7331"/>
    <cellStyle name="Input [yellow] 35" xfId="7332"/>
    <cellStyle name="Input [yellow] 36" xfId="7333"/>
    <cellStyle name="Input [yellow] 37" xfId="7334"/>
    <cellStyle name="Input [yellow] 38" xfId="7335"/>
    <cellStyle name="Input [yellow] 39" xfId="7336"/>
    <cellStyle name="Input [yellow] 4" xfId="7337"/>
    <cellStyle name="Input [yellow] 4 2" xfId="7338"/>
    <cellStyle name="Input [yellow] 4 3" xfId="7339"/>
    <cellStyle name="Input [yellow] 4 4" xfId="7340"/>
    <cellStyle name="Input [yellow] 4 5" xfId="7341"/>
    <cellStyle name="Input [yellow] 4 6" xfId="7342"/>
    <cellStyle name="Input [yellow] 40" xfId="7343"/>
    <cellStyle name="Input [yellow] 41" xfId="7344"/>
    <cellStyle name="Input [yellow] 42" xfId="7345"/>
    <cellStyle name="Input [yellow] 43" xfId="7346"/>
    <cellStyle name="Input [yellow] 44" xfId="7347"/>
    <cellStyle name="Input [yellow] 45" xfId="7348"/>
    <cellStyle name="Input [yellow] 46" xfId="7349"/>
    <cellStyle name="Input [yellow] 47" xfId="7350"/>
    <cellStyle name="Input [yellow] 48" xfId="7351"/>
    <cellStyle name="Input [yellow] 49" xfId="7352"/>
    <cellStyle name="Input [yellow] 5" xfId="7353"/>
    <cellStyle name="Input [yellow] 5 2" xfId="7354"/>
    <cellStyle name="Input [yellow] 5 3" xfId="7355"/>
    <cellStyle name="Input [yellow] 5 4" xfId="7356"/>
    <cellStyle name="Input [yellow] 5 5" xfId="7357"/>
    <cellStyle name="Input [yellow] 5 6" xfId="7358"/>
    <cellStyle name="Input [yellow] 50" xfId="7359"/>
    <cellStyle name="Input [yellow] 51" xfId="7360"/>
    <cellStyle name="Input [yellow] 52" xfId="7361"/>
    <cellStyle name="Input [yellow] 53" xfId="7362"/>
    <cellStyle name="Input [yellow] 54" xfId="7363"/>
    <cellStyle name="Input [yellow] 55" xfId="7364"/>
    <cellStyle name="Input [yellow] 56" xfId="7365"/>
    <cellStyle name="Input [yellow] 57" xfId="7366"/>
    <cellStyle name="Input [yellow] 58" xfId="7367"/>
    <cellStyle name="Input [yellow] 59" xfId="7368"/>
    <cellStyle name="Input [yellow] 6" xfId="7369"/>
    <cellStyle name="Input [yellow] 6 2" xfId="7370"/>
    <cellStyle name="Input [yellow] 6 3" xfId="7371"/>
    <cellStyle name="Input [yellow] 6 4" xfId="7372"/>
    <cellStyle name="Input [yellow] 6 5" xfId="7373"/>
    <cellStyle name="Input [yellow] 6 6" xfId="7374"/>
    <cellStyle name="Input [yellow] 60" xfId="7375"/>
    <cellStyle name="Input [yellow] 61" xfId="7376"/>
    <cellStyle name="Input [yellow] 62" xfId="7377"/>
    <cellStyle name="Input [yellow] 63" xfId="7378"/>
    <cellStyle name="Input [yellow] 64" xfId="7379"/>
    <cellStyle name="Input [yellow] 65" xfId="7380"/>
    <cellStyle name="Input [yellow] 66" xfId="7381"/>
    <cellStyle name="Input [yellow] 67" xfId="7382"/>
    <cellStyle name="Input [yellow] 68" xfId="7383"/>
    <cellStyle name="Input [yellow] 7" xfId="7384"/>
    <cellStyle name="Input [yellow] 7 2" xfId="7385"/>
    <cellStyle name="Input [yellow] 7 3" xfId="7386"/>
    <cellStyle name="Input [yellow] 7 4" xfId="7387"/>
    <cellStyle name="Input [yellow] 7 5" xfId="7388"/>
    <cellStyle name="Input [yellow] 7 6" xfId="7389"/>
    <cellStyle name="Input [yellow] 8" xfId="7390"/>
    <cellStyle name="Input [yellow] 8 2" xfId="7391"/>
    <cellStyle name="Input [yellow] 8 3" xfId="7392"/>
    <cellStyle name="Input [yellow] 8 4" xfId="7393"/>
    <cellStyle name="Input [yellow] 8 5" xfId="7394"/>
    <cellStyle name="Input [yellow] 8 6" xfId="7395"/>
    <cellStyle name="Input [yellow] 9" xfId="7396"/>
    <cellStyle name="Input [yellow] 9 2" xfId="7397"/>
    <cellStyle name="Input [yellow] 9 3" xfId="7398"/>
    <cellStyle name="Input [yellow] 9 4" xfId="7399"/>
    <cellStyle name="Input [yellow] 9 5" xfId="7400"/>
    <cellStyle name="Input [yellow] 9 6" xfId="7401"/>
    <cellStyle name="Input [yellow]_PKS" xfId="20856"/>
    <cellStyle name="Input 10" xfId="7402"/>
    <cellStyle name="Input 10 10" xfId="7403"/>
    <cellStyle name="Input 10 10 2" xfId="7404"/>
    <cellStyle name="Input 10 10 3" xfId="7405"/>
    <cellStyle name="Input 10 10 4" xfId="7406"/>
    <cellStyle name="Input 10 10 5" xfId="7407"/>
    <cellStyle name="Input 10 10 6" xfId="7408"/>
    <cellStyle name="Input 10 11" xfId="7409"/>
    <cellStyle name="Input 10 11 2" xfId="7410"/>
    <cellStyle name="Input 10 11 3" xfId="7411"/>
    <cellStyle name="Input 10 11 4" xfId="7412"/>
    <cellStyle name="Input 10 11 5" xfId="7413"/>
    <cellStyle name="Input 10 11 6" xfId="7414"/>
    <cellStyle name="Input 10 12" xfId="7415"/>
    <cellStyle name="Input 10 12 2" xfId="7416"/>
    <cellStyle name="Input 10 12 3" xfId="7417"/>
    <cellStyle name="Input 10 12 4" xfId="7418"/>
    <cellStyle name="Input 10 12 5" xfId="7419"/>
    <cellStyle name="Input 10 12 6" xfId="7420"/>
    <cellStyle name="Input 10 13" xfId="7421"/>
    <cellStyle name="Input 10 13 2" xfId="7422"/>
    <cellStyle name="Input 10 13 3" xfId="7423"/>
    <cellStyle name="Input 10 13 4" xfId="7424"/>
    <cellStyle name="Input 10 13 5" xfId="7425"/>
    <cellStyle name="Input 10 13 6" xfId="7426"/>
    <cellStyle name="Input 10 14" xfId="7427"/>
    <cellStyle name="Input 10 14 2" xfId="7428"/>
    <cellStyle name="Input 10 14 3" xfId="7429"/>
    <cellStyle name="Input 10 14 4" xfId="7430"/>
    <cellStyle name="Input 10 14 5" xfId="7431"/>
    <cellStyle name="Input 10 14 6" xfId="7432"/>
    <cellStyle name="Input 10 15" xfId="7433"/>
    <cellStyle name="Input 10 15 2" xfId="7434"/>
    <cellStyle name="Input 10 15 3" xfId="7435"/>
    <cellStyle name="Input 10 15 4" xfId="7436"/>
    <cellStyle name="Input 10 15 5" xfId="7437"/>
    <cellStyle name="Input 10 15 6" xfId="7438"/>
    <cellStyle name="Input 10 16" xfId="7439"/>
    <cellStyle name="Input 10 16 2" xfId="7440"/>
    <cellStyle name="Input 10 16 3" xfId="7441"/>
    <cellStyle name="Input 10 16 4" xfId="7442"/>
    <cellStyle name="Input 10 16 5" xfId="7443"/>
    <cellStyle name="Input 10 16 6" xfId="7444"/>
    <cellStyle name="Input 10 17" xfId="7445"/>
    <cellStyle name="Input 10 17 2" xfId="7446"/>
    <cellStyle name="Input 10 17 3" xfId="7447"/>
    <cellStyle name="Input 10 17 4" xfId="7448"/>
    <cellStyle name="Input 10 17 5" xfId="7449"/>
    <cellStyle name="Input 10 17 6" xfId="7450"/>
    <cellStyle name="Input 10 18" xfId="7451"/>
    <cellStyle name="Input 10 18 2" xfId="7452"/>
    <cellStyle name="Input 10 18 3" xfId="7453"/>
    <cellStyle name="Input 10 18 4" xfId="7454"/>
    <cellStyle name="Input 10 18 5" xfId="7455"/>
    <cellStyle name="Input 10 18 6" xfId="7456"/>
    <cellStyle name="Input 10 19" xfId="7457"/>
    <cellStyle name="Input 10 19 2" xfId="7458"/>
    <cellStyle name="Input 10 19 3" xfId="7459"/>
    <cellStyle name="Input 10 19 4" xfId="7460"/>
    <cellStyle name="Input 10 19 5" xfId="7461"/>
    <cellStyle name="Input 10 19 6" xfId="7462"/>
    <cellStyle name="Input 10 2" xfId="7463"/>
    <cellStyle name="Input 10 2 10" xfId="7464"/>
    <cellStyle name="Input 10 2 10 2" xfId="7465"/>
    <cellStyle name="Input 10 2 10 3" xfId="7466"/>
    <cellStyle name="Input 10 2 10 4" xfId="7467"/>
    <cellStyle name="Input 10 2 10 5" xfId="7468"/>
    <cellStyle name="Input 10 2 10 6" xfId="7469"/>
    <cellStyle name="Input 10 2 11" xfId="7470"/>
    <cellStyle name="Input 10 2 11 2" xfId="7471"/>
    <cellStyle name="Input 10 2 11 3" xfId="7472"/>
    <cellStyle name="Input 10 2 11 4" xfId="7473"/>
    <cellStyle name="Input 10 2 11 5" xfId="7474"/>
    <cellStyle name="Input 10 2 11 6" xfId="7475"/>
    <cellStyle name="Input 10 2 12" xfId="7476"/>
    <cellStyle name="Input 10 2 12 2" xfId="7477"/>
    <cellStyle name="Input 10 2 12 3" xfId="7478"/>
    <cellStyle name="Input 10 2 12 4" xfId="7479"/>
    <cellStyle name="Input 10 2 12 5" xfId="7480"/>
    <cellStyle name="Input 10 2 12 6" xfId="7481"/>
    <cellStyle name="Input 10 2 13" xfId="7482"/>
    <cellStyle name="Input 10 2 13 2" xfId="7483"/>
    <cellStyle name="Input 10 2 13 3" xfId="7484"/>
    <cellStyle name="Input 10 2 13 4" xfId="7485"/>
    <cellStyle name="Input 10 2 13 5" xfId="7486"/>
    <cellStyle name="Input 10 2 13 6" xfId="7487"/>
    <cellStyle name="Input 10 2 14" xfId="7488"/>
    <cellStyle name="Input 10 2 14 2" xfId="7489"/>
    <cellStyle name="Input 10 2 14 3" xfId="7490"/>
    <cellStyle name="Input 10 2 14 4" xfId="7491"/>
    <cellStyle name="Input 10 2 14 5" xfId="7492"/>
    <cellStyle name="Input 10 2 14 6" xfId="7493"/>
    <cellStyle name="Input 10 2 15" xfId="7494"/>
    <cellStyle name="Input 10 2 15 2" xfId="7495"/>
    <cellStyle name="Input 10 2 15 3" xfId="7496"/>
    <cellStyle name="Input 10 2 15 4" xfId="7497"/>
    <cellStyle name="Input 10 2 15 5" xfId="7498"/>
    <cellStyle name="Input 10 2 15 6" xfId="7499"/>
    <cellStyle name="Input 10 2 16" xfId="7500"/>
    <cellStyle name="Input 10 2 16 2" xfId="7501"/>
    <cellStyle name="Input 10 2 16 3" xfId="7502"/>
    <cellStyle name="Input 10 2 16 4" xfId="7503"/>
    <cellStyle name="Input 10 2 16 5" xfId="7504"/>
    <cellStyle name="Input 10 2 16 6" xfId="7505"/>
    <cellStyle name="Input 10 2 17" xfId="7506"/>
    <cellStyle name="Input 10 2 17 2" xfId="7507"/>
    <cellStyle name="Input 10 2 17 3" xfId="7508"/>
    <cellStyle name="Input 10 2 17 4" xfId="7509"/>
    <cellStyle name="Input 10 2 17 5" xfId="7510"/>
    <cellStyle name="Input 10 2 17 6" xfId="7511"/>
    <cellStyle name="Input 10 2 18" xfId="7512"/>
    <cellStyle name="Input 10 2 18 2" xfId="7513"/>
    <cellStyle name="Input 10 2 18 3" xfId="7514"/>
    <cellStyle name="Input 10 2 18 4" xfId="7515"/>
    <cellStyle name="Input 10 2 18 5" xfId="7516"/>
    <cellStyle name="Input 10 2 18 6" xfId="7517"/>
    <cellStyle name="Input 10 2 19" xfId="7518"/>
    <cellStyle name="Input 10 2 19 2" xfId="7519"/>
    <cellStyle name="Input 10 2 19 3" xfId="7520"/>
    <cellStyle name="Input 10 2 19 4" xfId="7521"/>
    <cellStyle name="Input 10 2 19 5" xfId="7522"/>
    <cellStyle name="Input 10 2 19 6" xfId="7523"/>
    <cellStyle name="Input 10 2 2" xfId="7524"/>
    <cellStyle name="Input 10 2 2 10" xfId="7525"/>
    <cellStyle name="Input 10 2 2 2" xfId="7526"/>
    <cellStyle name="Input 10 2 2 2 2" xfId="7527"/>
    <cellStyle name="Input 10 2 2 2 3" xfId="7528"/>
    <cellStyle name="Input 10 2 2 2 4" xfId="7529"/>
    <cellStyle name="Input 10 2 2 2 5" xfId="7530"/>
    <cellStyle name="Input 10 2 2 2 6" xfId="7531"/>
    <cellStyle name="Input 10 2 2 3" xfId="7532"/>
    <cellStyle name="Input 10 2 2 3 2" xfId="7533"/>
    <cellStyle name="Input 10 2 2 3 3" xfId="7534"/>
    <cellStyle name="Input 10 2 2 3 4" xfId="7535"/>
    <cellStyle name="Input 10 2 2 3 5" xfId="7536"/>
    <cellStyle name="Input 10 2 2 3 6" xfId="7537"/>
    <cellStyle name="Input 10 2 2 4" xfId="7538"/>
    <cellStyle name="Input 10 2 2 4 2" xfId="7539"/>
    <cellStyle name="Input 10 2 2 4 3" xfId="7540"/>
    <cellStyle name="Input 10 2 2 4 4" xfId="7541"/>
    <cellStyle name="Input 10 2 2 4 5" xfId="7542"/>
    <cellStyle name="Input 10 2 2 4 6" xfId="7543"/>
    <cellStyle name="Input 10 2 2 5" xfId="7544"/>
    <cellStyle name="Input 10 2 2 5 2" xfId="7545"/>
    <cellStyle name="Input 10 2 2 5 3" xfId="7546"/>
    <cellStyle name="Input 10 2 2 5 4" xfId="7547"/>
    <cellStyle name="Input 10 2 2 5 5" xfId="7548"/>
    <cellStyle name="Input 10 2 2 5 6" xfId="7549"/>
    <cellStyle name="Input 10 2 2 6" xfId="7550"/>
    <cellStyle name="Input 10 2 2 7" xfId="7551"/>
    <cellStyle name="Input 10 2 2 8" xfId="7552"/>
    <cellStyle name="Input 10 2 2 9" xfId="7553"/>
    <cellStyle name="Input 10 2 20" xfId="7554"/>
    <cellStyle name="Input 10 2 20 2" xfId="7555"/>
    <cellStyle name="Input 10 2 20 3" xfId="7556"/>
    <cellStyle name="Input 10 2 20 4" xfId="7557"/>
    <cellStyle name="Input 10 2 20 5" xfId="7558"/>
    <cellStyle name="Input 10 2 20 6" xfId="7559"/>
    <cellStyle name="Input 10 2 21" xfId="7560"/>
    <cellStyle name="Input 10 2 21 2" xfId="7561"/>
    <cellStyle name="Input 10 2 21 3" xfId="7562"/>
    <cellStyle name="Input 10 2 21 4" xfId="7563"/>
    <cellStyle name="Input 10 2 21 5" xfId="7564"/>
    <cellStyle name="Input 10 2 21 6" xfId="7565"/>
    <cellStyle name="Input 10 2 22" xfId="7566"/>
    <cellStyle name="Input 10 2 22 2" xfId="7567"/>
    <cellStyle name="Input 10 2 22 3" xfId="7568"/>
    <cellStyle name="Input 10 2 22 4" xfId="7569"/>
    <cellStyle name="Input 10 2 22 5" xfId="7570"/>
    <cellStyle name="Input 10 2 22 6" xfId="7571"/>
    <cellStyle name="Input 10 2 23" xfId="7572"/>
    <cellStyle name="Input 10 2 23 2" xfId="7573"/>
    <cellStyle name="Input 10 2 23 3" xfId="7574"/>
    <cellStyle name="Input 10 2 23 4" xfId="7575"/>
    <cellStyle name="Input 10 2 23 5" xfId="7576"/>
    <cellStyle name="Input 10 2 23 6" xfId="7577"/>
    <cellStyle name="Input 10 2 24" xfId="7578"/>
    <cellStyle name="Input 10 2 24 2" xfId="7579"/>
    <cellStyle name="Input 10 2 24 3" xfId="7580"/>
    <cellStyle name="Input 10 2 24 4" xfId="7581"/>
    <cellStyle name="Input 10 2 24 5" xfId="7582"/>
    <cellStyle name="Input 10 2 24 6" xfId="7583"/>
    <cellStyle name="Input 10 2 25" xfId="7584"/>
    <cellStyle name="Input 10 2 25 2" xfId="7585"/>
    <cellStyle name="Input 10 2 25 3" xfId="7586"/>
    <cellStyle name="Input 10 2 25 4" xfId="7587"/>
    <cellStyle name="Input 10 2 25 5" xfId="7588"/>
    <cellStyle name="Input 10 2 25 6" xfId="7589"/>
    <cellStyle name="Input 10 2 26" xfId="7590"/>
    <cellStyle name="Input 10 2 26 2" xfId="7591"/>
    <cellStyle name="Input 10 2 26 3" xfId="7592"/>
    <cellStyle name="Input 10 2 26 4" xfId="7593"/>
    <cellStyle name="Input 10 2 26 5" xfId="7594"/>
    <cellStyle name="Input 10 2 26 6" xfId="7595"/>
    <cellStyle name="Input 10 2 27" xfId="7596"/>
    <cellStyle name="Input 10 2 27 2" xfId="7597"/>
    <cellStyle name="Input 10 2 27 3" xfId="7598"/>
    <cellStyle name="Input 10 2 27 4" xfId="7599"/>
    <cellStyle name="Input 10 2 27 5" xfId="7600"/>
    <cellStyle name="Input 10 2 27 6" xfId="7601"/>
    <cellStyle name="Input 10 2 28" xfId="7602"/>
    <cellStyle name="Input 10 2 28 2" xfId="7603"/>
    <cellStyle name="Input 10 2 28 3" xfId="7604"/>
    <cellStyle name="Input 10 2 28 4" xfId="7605"/>
    <cellStyle name="Input 10 2 28 5" xfId="7606"/>
    <cellStyle name="Input 10 2 28 6" xfId="7607"/>
    <cellStyle name="Input 10 2 29" xfId="7608"/>
    <cellStyle name="Input 10 2 29 2" xfId="7609"/>
    <cellStyle name="Input 10 2 29 3" xfId="7610"/>
    <cellStyle name="Input 10 2 29 4" xfId="7611"/>
    <cellStyle name="Input 10 2 3" xfId="7612"/>
    <cellStyle name="Input 10 2 3 2" xfId="7613"/>
    <cellStyle name="Input 10 2 3 3" xfId="7614"/>
    <cellStyle name="Input 10 2 3 4" xfId="7615"/>
    <cellStyle name="Input 10 2 3 5" xfId="7616"/>
    <cellStyle name="Input 10 2 3 6" xfId="7617"/>
    <cellStyle name="Input 10 2 30" xfId="7618"/>
    <cellStyle name="Input 10 2 31" xfId="7619"/>
    <cellStyle name="Input 10 2 32" xfId="7620"/>
    <cellStyle name="Input 10 2 33" xfId="7621"/>
    <cellStyle name="Input 10 2 34" xfId="7622"/>
    <cellStyle name="Input 10 2 35" xfId="7623"/>
    <cellStyle name="Input 10 2 36" xfId="7624"/>
    <cellStyle name="Input 10 2 37" xfId="7625"/>
    <cellStyle name="Input 10 2 38" xfId="7626"/>
    <cellStyle name="Input 10 2 39" xfId="7627"/>
    <cellStyle name="Input 10 2 4" xfId="7628"/>
    <cellStyle name="Input 10 2 4 2" xfId="7629"/>
    <cellStyle name="Input 10 2 4 3" xfId="7630"/>
    <cellStyle name="Input 10 2 4 4" xfId="7631"/>
    <cellStyle name="Input 10 2 4 5" xfId="7632"/>
    <cellStyle name="Input 10 2 4 6" xfId="7633"/>
    <cellStyle name="Input 10 2 40" xfId="7634"/>
    <cellStyle name="Input 10 2 41" xfId="7635"/>
    <cellStyle name="Input 10 2 42" xfId="7636"/>
    <cellStyle name="Input 10 2 43" xfId="7637"/>
    <cellStyle name="Input 10 2 44" xfId="7638"/>
    <cellStyle name="Input 10 2 45" xfId="7639"/>
    <cellStyle name="Input 10 2 46" xfId="7640"/>
    <cellStyle name="Input 10 2 47" xfId="7641"/>
    <cellStyle name="Input 10 2 48" xfId="7642"/>
    <cellStyle name="Input 10 2 49" xfId="7643"/>
    <cellStyle name="Input 10 2 5" xfId="7644"/>
    <cellStyle name="Input 10 2 5 2" xfId="7645"/>
    <cellStyle name="Input 10 2 5 3" xfId="7646"/>
    <cellStyle name="Input 10 2 5 4" xfId="7647"/>
    <cellStyle name="Input 10 2 5 5" xfId="7648"/>
    <cellStyle name="Input 10 2 5 6" xfId="7649"/>
    <cellStyle name="Input 10 2 50" xfId="7650"/>
    <cellStyle name="Input 10 2 51" xfId="7651"/>
    <cellStyle name="Input 10 2 52" xfId="7652"/>
    <cellStyle name="Input 10 2 53" xfId="7653"/>
    <cellStyle name="Input 10 2 54" xfId="7654"/>
    <cellStyle name="Input 10 2 55" xfId="7655"/>
    <cellStyle name="Input 10 2 56" xfId="7656"/>
    <cellStyle name="Input 10 2 57" xfId="7657"/>
    <cellStyle name="Input 10 2 58" xfId="7658"/>
    <cellStyle name="Input 10 2 59" xfId="7659"/>
    <cellStyle name="Input 10 2 6" xfId="7660"/>
    <cellStyle name="Input 10 2 6 2" xfId="7661"/>
    <cellStyle name="Input 10 2 6 3" xfId="7662"/>
    <cellStyle name="Input 10 2 6 4" xfId="7663"/>
    <cellStyle name="Input 10 2 6 5" xfId="7664"/>
    <cellStyle name="Input 10 2 6 6" xfId="7665"/>
    <cellStyle name="Input 10 2 60" xfId="7666"/>
    <cellStyle name="Input 10 2 61" xfId="7667"/>
    <cellStyle name="Input 10 2 62" xfId="7668"/>
    <cellStyle name="Input 10 2 63" xfId="7669"/>
    <cellStyle name="Input 10 2 64" xfId="7670"/>
    <cellStyle name="Input 10 2 65" xfId="7671"/>
    <cellStyle name="Input 10 2 66" xfId="7672"/>
    <cellStyle name="Input 10 2 7" xfId="7673"/>
    <cellStyle name="Input 10 2 7 2" xfId="7674"/>
    <cellStyle name="Input 10 2 7 3" xfId="7675"/>
    <cellStyle name="Input 10 2 7 4" xfId="7676"/>
    <cellStyle name="Input 10 2 7 5" xfId="7677"/>
    <cellStyle name="Input 10 2 7 6" xfId="7678"/>
    <cellStyle name="Input 10 2 8" xfId="7679"/>
    <cellStyle name="Input 10 2 8 2" xfId="7680"/>
    <cellStyle name="Input 10 2 8 3" xfId="7681"/>
    <cellStyle name="Input 10 2 8 4" xfId="7682"/>
    <cellStyle name="Input 10 2 8 5" xfId="7683"/>
    <cellStyle name="Input 10 2 8 6" xfId="7684"/>
    <cellStyle name="Input 10 2 9" xfId="7685"/>
    <cellStyle name="Input 10 2 9 2" xfId="7686"/>
    <cellStyle name="Input 10 2 9 3" xfId="7687"/>
    <cellStyle name="Input 10 2 9 4" xfId="7688"/>
    <cellStyle name="Input 10 2 9 5" xfId="7689"/>
    <cellStyle name="Input 10 2 9 6" xfId="7690"/>
    <cellStyle name="Input 10 20" xfId="7691"/>
    <cellStyle name="Input 10 20 2" xfId="7692"/>
    <cellStyle name="Input 10 20 3" xfId="7693"/>
    <cellStyle name="Input 10 20 4" xfId="7694"/>
    <cellStyle name="Input 10 20 5" xfId="7695"/>
    <cellStyle name="Input 10 20 6" xfId="7696"/>
    <cellStyle name="Input 10 21" xfId="7697"/>
    <cellStyle name="Input 10 21 2" xfId="7698"/>
    <cellStyle name="Input 10 21 3" xfId="7699"/>
    <cellStyle name="Input 10 21 4" xfId="7700"/>
    <cellStyle name="Input 10 21 5" xfId="7701"/>
    <cellStyle name="Input 10 21 6" xfId="7702"/>
    <cellStyle name="Input 10 22" xfId="7703"/>
    <cellStyle name="Input 10 22 2" xfId="7704"/>
    <cellStyle name="Input 10 22 3" xfId="7705"/>
    <cellStyle name="Input 10 22 4" xfId="7706"/>
    <cellStyle name="Input 10 22 5" xfId="7707"/>
    <cellStyle name="Input 10 22 6" xfId="7708"/>
    <cellStyle name="Input 10 23" xfId="7709"/>
    <cellStyle name="Input 10 23 2" xfId="7710"/>
    <cellStyle name="Input 10 23 3" xfId="7711"/>
    <cellStyle name="Input 10 23 4" xfId="7712"/>
    <cellStyle name="Input 10 23 5" xfId="7713"/>
    <cellStyle name="Input 10 23 6" xfId="7714"/>
    <cellStyle name="Input 10 24" xfId="7715"/>
    <cellStyle name="Input 10 24 2" xfId="7716"/>
    <cellStyle name="Input 10 24 3" xfId="7717"/>
    <cellStyle name="Input 10 24 4" xfId="7718"/>
    <cellStyle name="Input 10 24 5" xfId="7719"/>
    <cellStyle name="Input 10 24 6" xfId="7720"/>
    <cellStyle name="Input 10 25" xfId="7721"/>
    <cellStyle name="Input 10 25 2" xfId="7722"/>
    <cellStyle name="Input 10 25 3" xfId="7723"/>
    <cellStyle name="Input 10 25 4" xfId="7724"/>
    <cellStyle name="Input 10 25 5" xfId="7725"/>
    <cellStyle name="Input 10 25 6" xfId="7726"/>
    <cellStyle name="Input 10 26" xfId="7727"/>
    <cellStyle name="Input 10 26 2" xfId="7728"/>
    <cellStyle name="Input 10 26 3" xfId="7729"/>
    <cellStyle name="Input 10 26 4" xfId="7730"/>
    <cellStyle name="Input 10 26 5" xfId="7731"/>
    <cellStyle name="Input 10 26 6" xfId="7732"/>
    <cellStyle name="Input 10 27" xfId="7733"/>
    <cellStyle name="Input 10 27 2" xfId="7734"/>
    <cellStyle name="Input 10 27 3" xfId="7735"/>
    <cellStyle name="Input 10 27 4" xfId="7736"/>
    <cellStyle name="Input 10 27 5" xfId="7737"/>
    <cellStyle name="Input 10 27 6" xfId="7738"/>
    <cellStyle name="Input 10 28" xfId="7739"/>
    <cellStyle name="Input 10 28 2" xfId="7740"/>
    <cellStyle name="Input 10 28 3" xfId="7741"/>
    <cellStyle name="Input 10 28 4" xfId="7742"/>
    <cellStyle name="Input 10 28 5" xfId="7743"/>
    <cellStyle name="Input 10 28 6" xfId="7744"/>
    <cellStyle name="Input 10 29" xfId="7745"/>
    <cellStyle name="Input 10 29 2" xfId="7746"/>
    <cellStyle name="Input 10 29 3" xfId="7747"/>
    <cellStyle name="Input 10 29 4" xfId="7748"/>
    <cellStyle name="Input 10 29 5" xfId="7749"/>
    <cellStyle name="Input 10 29 6" xfId="7750"/>
    <cellStyle name="Input 10 3" xfId="7751"/>
    <cellStyle name="Input 10 3 10" xfId="7752"/>
    <cellStyle name="Input 10 3 2" xfId="7753"/>
    <cellStyle name="Input 10 3 2 2" xfId="7754"/>
    <cellStyle name="Input 10 3 2 3" xfId="7755"/>
    <cellStyle name="Input 10 3 2 4" xfId="7756"/>
    <cellStyle name="Input 10 3 2 5" xfId="7757"/>
    <cellStyle name="Input 10 3 2 6" xfId="7758"/>
    <cellStyle name="Input 10 3 3" xfId="7759"/>
    <cellStyle name="Input 10 3 3 2" xfId="7760"/>
    <cellStyle name="Input 10 3 3 3" xfId="7761"/>
    <cellStyle name="Input 10 3 3 4" xfId="7762"/>
    <cellStyle name="Input 10 3 3 5" xfId="7763"/>
    <cellStyle name="Input 10 3 3 6" xfId="7764"/>
    <cellStyle name="Input 10 3 4" xfId="7765"/>
    <cellStyle name="Input 10 3 4 2" xfId="7766"/>
    <cellStyle name="Input 10 3 4 3" xfId="7767"/>
    <cellStyle name="Input 10 3 4 4" xfId="7768"/>
    <cellStyle name="Input 10 3 4 5" xfId="7769"/>
    <cellStyle name="Input 10 3 4 6" xfId="7770"/>
    <cellStyle name="Input 10 3 5" xfId="7771"/>
    <cellStyle name="Input 10 3 5 2" xfId="7772"/>
    <cellStyle name="Input 10 3 5 3" xfId="7773"/>
    <cellStyle name="Input 10 3 5 4" xfId="7774"/>
    <cellStyle name="Input 10 3 5 5" xfId="7775"/>
    <cellStyle name="Input 10 3 5 6" xfId="7776"/>
    <cellStyle name="Input 10 3 6" xfId="7777"/>
    <cellStyle name="Input 10 3 7" xfId="7778"/>
    <cellStyle name="Input 10 3 8" xfId="7779"/>
    <cellStyle name="Input 10 3 9" xfId="7780"/>
    <cellStyle name="Input 10 30" xfId="7781"/>
    <cellStyle name="Input 10 30 2" xfId="7782"/>
    <cellStyle name="Input 10 30 3" xfId="7783"/>
    <cellStyle name="Input 10 30 4" xfId="7784"/>
    <cellStyle name="Input 10 31" xfId="7785"/>
    <cellStyle name="Input 10 32" xfId="7786"/>
    <cellStyle name="Input 10 33" xfId="7787"/>
    <cellStyle name="Input 10 34" xfId="7788"/>
    <cellStyle name="Input 10 35" xfId="7789"/>
    <cellStyle name="Input 10 36" xfId="7790"/>
    <cellStyle name="Input 10 37" xfId="7791"/>
    <cellStyle name="Input 10 38" xfId="7792"/>
    <cellStyle name="Input 10 39" xfId="7793"/>
    <cellStyle name="Input 10 4" xfId="7794"/>
    <cellStyle name="Input 10 4 2" xfId="7795"/>
    <cellStyle name="Input 10 4 3" xfId="7796"/>
    <cellStyle name="Input 10 4 4" xfId="7797"/>
    <cellStyle name="Input 10 4 5" xfId="7798"/>
    <cellStyle name="Input 10 4 6" xfId="7799"/>
    <cellStyle name="Input 10 40" xfId="7800"/>
    <cellStyle name="Input 10 41" xfId="7801"/>
    <cellStyle name="Input 10 42" xfId="7802"/>
    <cellStyle name="Input 10 43" xfId="7803"/>
    <cellStyle name="Input 10 44" xfId="7804"/>
    <cellStyle name="Input 10 45" xfId="7805"/>
    <cellStyle name="Input 10 46" xfId="7806"/>
    <cellStyle name="Input 10 47" xfId="7807"/>
    <cellStyle name="Input 10 48" xfId="7808"/>
    <cellStyle name="Input 10 49" xfId="7809"/>
    <cellStyle name="Input 10 5" xfId="7810"/>
    <cellStyle name="Input 10 5 2" xfId="7811"/>
    <cellStyle name="Input 10 5 3" xfId="7812"/>
    <cellStyle name="Input 10 5 4" xfId="7813"/>
    <cellStyle name="Input 10 5 5" xfId="7814"/>
    <cellStyle name="Input 10 5 6" xfId="7815"/>
    <cellStyle name="Input 10 50" xfId="7816"/>
    <cellStyle name="Input 10 51" xfId="7817"/>
    <cellStyle name="Input 10 52" xfId="7818"/>
    <cellStyle name="Input 10 53" xfId="7819"/>
    <cellStyle name="Input 10 54" xfId="7820"/>
    <cellStyle name="Input 10 55" xfId="7821"/>
    <cellStyle name="Input 10 56" xfId="7822"/>
    <cellStyle name="Input 10 57" xfId="7823"/>
    <cellStyle name="Input 10 58" xfId="7824"/>
    <cellStyle name="Input 10 59" xfId="7825"/>
    <cellStyle name="Input 10 6" xfId="7826"/>
    <cellStyle name="Input 10 6 2" xfId="7827"/>
    <cellStyle name="Input 10 6 3" xfId="7828"/>
    <cellStyle name="Input 10 6 4" xfId="7829"/>
    <cellStyle name="Input 10 6 5" xfId="7830"/>
    <cellStyle name="Input 10 6 6" xfId="7831"/>
    <cellStyle name="Input 10 60" xfId="7832"/>
    <cellStyle name="Input 10 61" xfId="7833"/>
    <cellStyle name="Input 10 62" xfId="7834"/>
    <cellStyle name="Input 10 63" xfId="7835"/>
    <cellStyle name="Input 10 64" xfId="7836"/>
    <cellStyle name="Input 10 65" xfId="7837"/>
    <cellStyle name="Input 10 66" xfId="7838"/>
    <cellStyle name="Input 10 67" xfId="7839"/>
    <cellStyle name="Input 10 7" xfId="7840"/>
    <cellStyle name="Input 10 7 2" xfId="7841"/>
    <cellStyle name="Input 10 7 3" xfId="7842"/>
    <cellStyle name="Input 10 7 4" xfId="7843"/>
    <cellStyle name="Input 10 7 5" xfId="7844"/>
    <cellStyle name="Input 10 7 6" xfId="7845"/>
    <cellStyle name="Input 10 8" xfId="7846"/>
    <cellStyle name="Input 10 8 2" xfId="7847"/>
    <cellStyle name="Input 10 8 3" xfId="7848"/>
    <cellStyle name="Input 10 8 4" xfId="7849"/>
    <cellStyle name="Input 10 8 5" xfId="7850"/>
    <cellStyle name="Input 10 8 6" xfId="7851"/>
    <cellStyle name="Input 10 9" xfId="7852"/>
    <cellStyle name="Input 10 9 2" xfId="7853"/>
    <cellStyle name="Input 10 9 3" xfId="7854"/>
    <cellStyle name="Input 10 9 4" xfId="7855"/>
    <cellStyle name="Input 10 9 5" xfId="7856"/>
    <cellStyle name="Input 10 9 6" xfId="7857"/>
    <cellStyle name="Input 11" xfId="7858"/>
    <cellStyle name="Input 11 10" xfId="7859"/>
    <cellStyle name="Input 11 10 2" xfId="7860"/>
    <cellStyle name="Input 11 10 3" xfId="7861"/>
    <cellStyle name="Input 11 10 4" xfId="7862"/>
    <cellStyle name="Input 11 10 5" xfId="7863"/>
    <cellStyle name="Input 11 10 6" xfId="7864"/>
    <cellStyle name="Input 11 11" xfId="7865"/>
    <cellStyle name="Input 11 11 2" xfId="7866"/>
    <cellStyle name="Input 11 11 3" xfId="7867"/>
    <cellStyle name="Input 11 11 4" xfId="7868"/>
    <cellStyle name="Input 11 11 5" xfId="7869"/>
    <cellStyle name="Input 11 11 6" xfId="7870"/>
    <cellStyle name="Input 11 12" xfId="7871"/>
    <cellStyle name="Input 11 12 2" xfId="7872"/>
    <cellStyle name="Input 11 12 3" xfId="7873"/>
    <cellStyle name="Input 11 12 4" xfId="7874"/>
    <cellStyle name="Input 11 12 5" xfId="7875"/>
    <cellStyle name="Input 11 12 6" xfId="7876"/>
    <cellStyle name="Input 11 13" xfId="7877"/>
    <cellStyle name="Input 11 13 2" xfId="7878"/>
    <cellStyle name="Input 11 13 3" xfId="7879"/>
    <cellStyle name="Input 11 13 4" xfId="7880"/>
    <cellStyle name="Input 11 13 5" xfId="7881"/>
    <cellStyle name="Input 11 13 6" xfId="7882"/>
    <cellStyle name="Input 11 14" xfId="7883"/>
    <cellStyle name="Input 11 14 2" xfId="7884"/>
    <cellStyle name="Input 11 14 3" xfId="7885"/>
    <cellStyle name="Input 11 14 4" xfId="7886"/>
    <cellStyle name="Input 11 14 5" xfId="7887"/>
    <cellStyle name="Input 11 14 6" xfId="7888"/>
    <cellStyle name="Input 11 15" xfId="7889"/>
    <cellStyle name="Input 11 15 2" xfId="7890"/>
    <cellStyle name="Input 11 15 3" xfId="7891"/>
    <cellStyle name="Input 11 15 4" xfId="7892"/>
    <cellStyle name="Input 11 15 5" xfId="7893"/>
    <cellStyle name="Input 11 15 6" xfId="7894"/>
    <cellStyle name="Input 11 16" xfId="7895"/>
    <cellStyle name="Input 11 16 2" xfId="7896"/>
    <cellStyle name="Input 11 16 3" xfId="7897"/>
    <cellStyle name="Input 11 16 4" xfId="7898"/>
    <cellStyle name="Input 11 16 5" xfId="7899"/>
    <cellStyle name="Input 11 16 6" xfId="7900"/>
    <cellStyle name="Input 11 17" xfId="7901"/>
    <cellStyle name="Input 11 17 2" xfId="7902"/>
    <cellStyle name="Input 11 17 3" xfId="7903"/>
    <cellStyle name="Input 11 17 4" xfId="7904"/>
    <cellStyle name="Input 11 17 5" xfId="7905"/>
    <cellStyle name="Input 11 17 6" xfId="7906"/>
    <cellStyle name="Input 11 18" xfId="7907"/>
    <cellStyle name="Input 11 18 2" xfId="7908"/>
    <cellStyle name="Input 11 18 3" xfId="7909"/>
    <cellStyle name="Input 11 18 4" xfId="7910"/>
    <cellStyle name="Input 11 18 5" xfId="7911"/>
    <cellStyle name="Input 11 18 6" xfId="7912"/>
    <cellStyle name="Input 11 19" xfId="7913"/>
    <cellStyle name="Input 11 19 2" xfId="7914"/>
    <cellStyle name="Input 11 19 3" xfId="7915"/>
    <cellStyle name="Input 11 19 4" xfId="7916"/>
    <cellStyle name="Input 11 19 5" xfId="7917"/>
    <cellStyle name="Input 11 19 6" xfId="7918"/>
    <cellStyle name="Input 11 2" xfId="7919"/>
    <cellStyle name="Input 11 2 10" xfId="7920"/>
    <cellStyle name="Input 11 2 10 2" xfId="7921"/>
    <cellStyle name="Input 11 2 10 3" xfId="7922"/>
    <cellStyle name="Input 11 2 10 4" xfId="7923"/>
    <cellStyle name="Input 11 2 10 5" xfId="7924"/>
    <cellStyle name="Input 11 2 10 6" xfId="7925"/>
    <cellStyle name="Input 11 2 11" xfId="7926"/>
    <cellStyle name="Input 11 2 11 2" xfId="7927"/>
    <cellStyle name="Input 11 2 11 3" xfId="7928"/>
    <cellStyle name="Input 11 2 11 4" xfId="7929"/>
    <cellStyle name="Input 11 2 11 5" xfId="7930"/>
    <cellStyle name="Input 11 2 11 6" xfId="7931"/>
    <cellStyle name="Input 11 2 12" xfId="7932"/>
    <cellStyle name="Input 11 2 12 2" xfId="7933"/>
    <cellStyle name="Input 11 2 12 3" xfId="7934"/>
    <cellStyle name="Input 11 2 12 4" xfId="7935"/>
    <cellStyle name="Input 11 2 12 5" xfId="7936"/>
    <cellStyle name="Input 11 2 12 6" xfId="7937"/>
    <cellStyle name="Input 11 2 13" xfId="7938"/>
    <cellStyle name="Input 11 2 13 2" xfId="7939"/>
    <cellStyle name="Input 11 2 13 3" xfId="7940"/>
    <cellStyle name="Input 11 2 13 4" xfId="7941"/>
    <cellStyle name="Input 11 2 13 5" xfId="7942"/>
    <cellStyle name="Input 11 2 13 6" xfId="7943"/>
    <cellStyle name="Input 11 2 14" xfId="7944"/>
    <cellStyle name="Input 11 2 14 2" xfId="7945"/>
    <cellStyle name="Input 11 2 14 3" xfId="7946"/>
    <cellStyle name="Input 11 2 14 4" xfId="7947"/>
    <cellStyle name="Input 11 2 14 5" xfId="7948"/>
    <cellStyle name="Input 11 2 14 6" xfId="7949"/>
    <cellStyle name="Input 11 2 15" xfId="7950"/>
    <cellStyle name="Input 11 2 15 2" xfId="7951"/>
    <cellStyle name="Input 11 2 15 3" xfId="7952"/>
    <cellStyle name="Input 11 2 15 4" xfId="7953"/>
    <cellStyle name="Input 11 2 15 5" xfId="7954"/>
    <cellStyle name="Input 11 2 15 6" xfId="7955"/>
    <cellStyle name="Input 11 2 16" xfId="7956"/>
    <cellStyle name="Input 11 2 16 2" xfId="7957"/>
    <cellStyle name="Input 11 2 16 3" xfId="7958"/>
    <cellStyle name="Input 11 2 16 4" xfId="7959"/>
    <cellStyle name="Input 11 2 16 5" xfId="7960"/>
    <cellStyle name="Input 11 2 16 6" xfId="7961"/>
    <cellStyle name="Input 11 2 17" xfId="7962"/>
    <cellStyle name="Input 11 2 17 2" xfId="7963"/>
    <cellStyle name="Input 11 2 17 3" xfId="7964"/>
    <cellStyle name="Input 11 2 17 4" xfId="7965"/>
    <cellStyle name="Input 11 2 17 5" xfId="7966"/>
    <cellStyle name="Input 11 2 17 6" xfId="7967"/>
    <cellStyle name="Input 11 2 18" xfId="7968"/>
    <cellStyle name="Input 11 2 18 2" xfId="7969"/>
    <cellStyle name="Input 11 2 18 3" xfId="7970"/>
    <cellStyle name="Input 11 2 18 4" xfId="7971"/>
    <cellStyle name="Input 11 2 18 5" xfId="7972"/>
    <cellStyle name="Input 11 2 18 6" xfId="7973"/>
    <cellStyle name="Input 11 2 19" xfId="7974"/>
    <cellStyle name="Input 11 2 19 2" xfId="7975"/>
    <cellStyle name="Input 11 2 19 3" xfId="7976"/>
    <cellStyle name="Input 11 2 19 4" xfId="7977"/>
    <cellStyle name="Input 11 2 19 5" xfId="7978"/>
    <cellStyle name="Input 11 2 19 6" xfId="7979"/>
    <cellStyle name="Input 11 2 2" xfId="7980"/>
    <cellStyle name="Input 11 2 2 10" xfId="7981"/>
    <cellStyle name="Input 11 2 2 2" xfId="7982"/>
    <cellStyle name="Input 11 2 2 2 2" xfId="7983"/>
    <cellStyle name="Input 11 2 2 2 3" xfId="7984"/>
    <cellStyle name="Input 11 2 2 2 4" xfId="7985"/>
    <cellStyle name="Input 11 2 2 2 5" xfId="7986"/>
    <cellStyle name="Input 11 2 2 2 6" xfId="7987"/>
    <cellStyle name="Input 11 2 2 3" xfId="7988"/>
    <cellStyle name="Input 11 2 2 3 2" xfId="7989"/>
    <cellStyle name="Input 11 2 2 3 3" xfId="7990"/>
    <cellStyle name="Input 11 2 2 3 4" xfId="7991"/>
    <cellStyle name="Input 11 2 2 3 5" xfId="7992"/>
    <cellStyle name="Input 11 2 2 3 6" xfId="7993"/>
    <cellStyle name="Input 11 2 2 4" xfId="7994"/>
    <cellStyle name="Input 11 2 2 4 2" xfId="7995"/>
    <cellStyle name="Input 11 2 2 4 3" xfId="7996"/>
    <cellStyle name="Input 11 2 2 4 4" xfId="7997"/>
    <cellStyle name="Input 11 2 2 4 5" xfId="7998"/>
    <cellStyle name="Input 11 2 2 4 6" xfId="7999"/>
    <cellStyle name="Input 11 2 2 5" xfId="8000"/>
    <cellStyle name="Input 11 2 2 5 2" xfId="8001"/>
    <cellStyle name="Input 11 2 2 5 3" xfId="8002"/>
    <cellStyle name="Input 11 2 2 5 4" xfId="8003"/>
    <cellStyle name="Input 11 2 2 5 5" xfId="8004"/>
    <cellStyle name="Input 11 2 2 5 6" xfId="8005"/>
    <cellStyle name="Input 11 2 2 6" xfId="8006"/>
    <cellStyle name="Input 11 2 2 7" xfId="8007"/>
    <cellStyle name="Input 11 2 2 8" xfId="8008"/>
    <cellStyle name="Input 11 2 2 9" xfId="8009"/>
    <cellStyle name="Input 11 2 20" xfId="8010"/>
    <cellStyle name="Input 11 2 20 2" xfId="8011"/>
    <cellStyle name="Input 11 2 20 3" xfId="8012"/>
    <cellStyle name="Input 11 2 20 4" xfId="8013"/>
    <cellStyle name="Input 11 2 20 5" xfId="8014"/>
    <cellStyle name="Input 11 2 20 6" xfId="8015"/>
    <cellStyle name="Input 11 2 21" xfId="8016"/>
    <cellStyle name="Input 11 2 21 2" xfId="8017"/>
    <cellStyle name="Input 11 2 21 3" xfId="8018"/>
    <cellStyle name="Input 11 2 21 4" xfId="8019"/>
    <cellStyle name="Input 11 2 21 5" xfId="8020"/>
    <cellStyle name="Input 11 2 21 6" xfId="8021"/>
    <cellStyle name="Input 11 2 22" xfId="8022"/>
    <cellStyle name="Input 11 2 22 2" xfId="8023"/>
    <cellStyle name="Input 11 2 22 3" xfId="8024"/>
    <cellStyle name="Input 11 2 22 4" xfId="8025"/>
    <cellStyle name="Input 11 2 22 5" xfId="8026"/>
    <cellStyle name="Input 11 2 22 6" xfId="8027"/>
    <cellStyle name="Input 11 2 23" xfId="8028"/>
    <cellStyle name="Input 11 2 23 2" xfId="8029"/>
    <cellStyle name="Input 11 2 23 3" xfId="8030"/>
    <cellStyle name="Input 11 2 23 4" xfId="8031"/>
    <cellStyle name="Input 11 2 23 5" xfId="8032"/>
    <cellStyle name="Input 11 2 23 6" xfId="8033"/>
    <cellStyle name="Input 11 2 24" xfId="8034"/>
    <cellStyle name="Input 11 2 24 2" xfId="8035"/>
    <cellStyle name="Input 11 2 24 3" xfId="8036"/>
    <cellStyle name="Input 11 2 24 4" xfId="8037"/>
    <cellStyle name="Input 11 2 24 5" xfId="8038"/>
    <cellStyle name="Input 11 2 24 6" xfId="8039"/>
    <cellStyle name="Input 11 2 25" xfId="8040"/>
    <cellStyle name="Input 11 2 25 2" xfId="8041"/>
    <cellStyle name="Input 11 2 25 3" xfId="8042"/>
    <cellStyle name="Input 11 2 25 4" xfId="8043"/>
    <cellStyle name="Input 11 2 25 5" xfId="8044"/>
    <cellStyle name="Input 11 2 25 6" xfId="8045"/>
    <cellStyle name="Input 11 2 26" xfId="8046"/>
    <cellStyle name="Input 11 2 26 2" xfId="8047"/>
    <cellStyle name="Input 11 2 26 3" xfId="8048"/>
    <cellStyle name="Input 11 2 26 4" xfId="8049"/>
    <cellStyle name="Input 11 2 26 5" xfId="8050"/>
    <cellStyle name="Input 11 2 26 6" xfId="8051"/>
    <cellStyle name="Input 11 2 27" xfId="8052"/>
    <cellStyle name="Input 11 2 27 2" xfId="8053"/>
    <cellStyle name="Input 11 2 27 3" xfId="8054"/>
    <cellStyle name="Input 11 2 27 4" xfId="8055"/>
    <cellStyle name="Input 11 2 27 5" xfId="8056"/>
    <cellStyle name="Input 11 2 27 6" xfId="8057"/>
    <cellStyle name="Input 11 2 28" xfId="8058"/>
    <cellStyle name="Input 11 2 28 2" xfId="8059"/>
    <cellStyle name="Input 11 2 28 3" xfId="8060"/>
    <cellStyle name="Input 11 2 28 4" xfId="8061"/>
    <cellStyle name="Input 11 2 28 5" xfId="8062"/>
    <cellStyle name="Input 11 2 28 6" xfId="8063"/>
    <cellStyle name="Input 11 2 29" xfId="8064"/>
    <cellStyle name="Input 11 2 29 2" xfId="8065"/>
    <cellStyle name="Input 11 2 29 3" xfId="8066"/>
    <cellStyle name="Input 11 2 29 4" xfId="8067"/>
    <cellStyle name="Input 11 2 3" xfId="8068"/>
    <cellStyle name="Input 11 2 3 2" xfId="8069"/>
    <cellStyle name="Input 11 2 3 3" xfId="8070"/>
    <cellStyle name="Input 11 2 3 4" xfId="8071"/>
    <cellStyle name="Input 11 2 3 5" xfId="8072"/>
    <cellStyle name="Input 11 2 3 6" xfId="8073"/>
    <cellStyle name="Input 11 2 30" xfId="8074"/>
    <cellStyle name="Input 11 2 31" xfId="8075"/>
    <cellStyle name="Input 11 2 32" xfId="8076"/>
    <cellStyle name="Input 11 2 33" xfId="8077"/>
    <cellStyle name="Input 11 2 34" xfId="8078"/>
    <cellStyle name="Input 11 2 35" xfId="8079"/>
    <cellStyle name="Input 11 2 36" xfId="8080"/>
    <cellStyle name="Input 11 2 37" xfId="8081"/>
    <cellStyle name="Input 11 2 38" xfId="8082"/>
    <cellStyle name="Input 11 2 39" xfId="8083"/>
    <cellStyle name="Input 11 2 4" xfId="8084"/>
    <cellStyle name="Input 11 2 4 2" xfId="8085"/>
    <cellStyle name="Input 11 2 4 3" xfId="8086"/>
    <cellStyle name="Input 11 2 4 4" xfId="8087"/>
    <cellStyle name="Input 11 2 4 5" xfId="8088"/>
    <cellStyle name="Input 11 2 4 6" xfId="8089"/>
    <cellStyle name="Input 11 2 40" xfId="8090"/>
    <cellStyle name="Input 11 2 41" xfId="8091"/>
    <cellStyle name="Input 11 2 42" xfId="8092"/>
    <cellStyle name="Input 11 2 43" xfId="8093"/>
    <cellStyle name="Input 11 2 44" xfId="8094"/>
    <cellStyle name="Input 11 2 45" xfId="8095"/>
    <cellStyle name="Input 11 2 46" xfId="8096"/>
    <cellStyle name="Input 11 2 47" xfId="8097"/>
    <cellStyle name="Input 11 2 48" xfId="8098"/>
    <cellStyle name="Input 11 2 49" xfId="8099"/>
    <cellStyle name="Input 11 2 5" xfId="8100"/>
    <cellStyle name="Input 11 2 5 2" xfId="8101"/>
    <cellStyle name="Input 11 2 5 3" xfId="8102"/>
    <cellStyle name="Input 11 2 5 4" xfId="8103"/>
    <cellStyle name="Input 11 2 5 5" xfId="8104"/>
    <cellStyle name="Input 11 2 5 6" xfId="8105"/>
    <cellStyle name="Input 11 2 50" xfId="8106"/>
    <cellStyle name="Input 11 2 51" xfId="8107"/>
    <cellStyle name="Input 11 2 52" xfId="8108"/>
    <cellStyle name="Input 11 2 53" xfId="8109"/>
    <cellStyle name="Input 11 2 54" xfId="8110"/>
    <cellStyle name="Input 11 2 55" xfId="8111"/>
    <cellStyle name="Input 11 2 56" xfId="8112"/>
    <cellStyle name="Input 11 2 57" xfId="8113"/>
    <cellStyle name="Input 11 2 58" xfId="8114"/>
    <cellStyle name="Input 11 2 59" xfId="8115"/>
    <cellStyle name="Input 11 2 6" xfId="8116"/>
    <cellStyle name="Input 11 2 6 2" xfId="8117"/>
    <cellStyle name="Input 11 2 6 3" xfId="8118"/>
    <cellStyle name="Input 11 2 6 4" xfId="8119"/>
    <cellStyle name="Input 11 2 6 5" xfId="8120"/>
    <cellStyle name="Input 11 2 6 6" xfId="8121"/>
    <cellStyle name="Input 11 2 60" xfId="8122"/>
    <cellStyle name="Input 11 2 61" xfId="8123"/>
    <cellStyle name="Input 11 2 62" xfId="8124"/>
    <cellStyle name="Input 11 2 63" xfId="8125"/>
    <cellStyle name="Input 11 2 64" xfId="8126"/>
    <cellStyle name="Input 11 2 65" xfId="8127"/>
    <cellStyle name="Input 11 2 66" xfId="8128"/>
    <cellStyle name="Input 11 2 7" xfId="8129"/>
    <cellStyle name="Input 11 2 7 2" xfId="8130"/>
    <cellStyle name="Input 11 2 7 3" xfId="8131"/>
    <cellStyle name="Input 11 2 7 4" xfId="8132"/>
    <cellStyle name="Input 11 2 7 5" xfId="8133"/>
    <cellStyle name="Input 11 2 7 6" xfId="8134"/>
    <cellStyle name="Input 11 2 8" xfId="8135"/>
    <cellStyle name="Input 11 2 8 2" xfId="8136"/>
    <cellStyle name="Input 11 2 8 3" xfId="8137"/>
    <cellStyle name="Input 11 2 8 4" xfId="8138"/>
    <cellStyle name="Input 11 2 8 5" xfId="8139"/>
    <cellStyle name="Input 11 2 8 6" xfId="8140"/>
    <cellStyle name="Input 11 2 9" xfId="8141"/>
    <cellStyle name="Input 11 2 9 2" xfId="8142"/>
    <cellStyle name="Input 11 2 9 3" xfId="8143"/>
    <cellStyle name="Input 11 2 9 4" xfId="8144"/>
    <cellStyle name="Input 11 2 9 5" xfId="8145"/>
    <cellStyle name="Input 11 2 9 6" xfId="8146"/>
    <cellStyle name="Input 11 20" xfId="8147"/>
    <cellStyle name="Input 11 20 2" xfId="8148"/>
    <cellStyle name="Input 11 20 3" xfId="8149"/>
    <cellStyle name="Input 11 20 4" xfId="8150"/>
    <cellStyle name="Input 11 20 5" xfId="8151"/>
    <cellStyle name="Input 11 20 6" xfId="8152"/>
    <cellStyle name="Input 11 21" xfId="8153"/>
    <cellStyle name="Input 11 21 2" xfId="8154"/>
    <cellStyle name="Input 11 21 3" xfId="8155"/>
    <cellStyle name="Input 11 21 4" xfId="8156"/>
    <cellStyle name="Input 11 21 5" xfId="8157"/>
    <cellStyle name="Input 11 21 6" xfId="8158"/>
    <cellStyle name="Input 11 22" xfId="8159"/>
    <cellStyle name="Input 11 22 2" xfId="8160"/>
    <cellStyle name="Input 11 22 3" xfId="8161"/>
    <cellStyle name="Input 11 22 4" xfId="8162"/>
    <cellStyle name="Input 11 22 5" xfId="8163"/>
    <cellStyle name="Input 11 22 6" xfId="8164"/>
    <cellStyle name="Input 11 23" xfId="8165"/>
    <cellStyle name="Input 11 23 2" xfId="8166"/>
    <cellStyle name="Input 11 23 3" xfId="8167"/>
    <cellStyle name="Input 11 23 4" xfId="8168"/>
    <cellStyle name="Input 11 23 5" xfId="8169"/>
    <cellStyle name="Input 11 23 6" xfId="8170"/>
    <cellStyle name="Input 11 24" xfId="8171"/>
    <cellStyle name="Input 11 24 2" xfId="8172"/>
    <cellStyle name="Input 11 24 3" xfId="8173"/>
    <cellStyle name="Input 11 24 4" xfId="8174"/>
    <cellStyle name="Input 11 24 5" xfId="8175"/>
    <cellStyle name="Input 11 24 6" xfId="8176"/>
    <cellStyle name="Input 11 25" xfId="8177"/>
    <cellStyle name="Input 11 25 2" xfId="8178"/>
    <cellStyle name="Input 11 25 3" xfId="8179"/>
    <cellStyle name="Input 11 25 4" xfId="8180"/>
    <cellStyle name="Input 11 25 5" xfId="8181"/>
    <cellStyle name="Input 11 25 6" xfId="8182"/>
    <cellStyle name="Input 11 26" xfId="8183"/>
    <cellStyle name="Input 11 26 2" xfId="8184"/>
    <cellStyle name="Input 11 26 3" xfId="8185"/>
    <cellStyle name="Input 11 26 4" xfId="8186"/>
    <cellStyle name="Input 11 26 5" xfId="8187"/>
    <cellStyle name="Input 11 26 6" xfId="8188"/>
    <cellStyle name="Input 11 27" xfId="8189"/>
    <cellStyle name="Input 11 27 2" xfId="8190"/>
    <cellStyle name="Input 11 27 3" xfId="8191"/>
    <cellStyle name="Input 11 27 4" xfId="8192"/>
    <cellStyle name="Input 11 27 5" xfId="8193"/>
    <cellStyle name="Input 11 27 6" xfId="8194"/>
    <cellStyle name="Input 11 28" xfId="8195"/>
    <cellStyle name="Input 11 28 2" xfId="8196"/>
    <cellStyle name="Input 11 28 3" xfId="8197"/>
    <cellStyle name="Input 11 28 4" xfId="8198"/>
    <cellStyle name="Input 11 28 5" xfId="8199"/>
    <cellStyle name="Input 11 28 6" xfId="8200"/>
    <cellStyle name="Input 11 29" xfId="8201"/>
    <cellStyle name="Input 11 29 2" xfId="8202"/>
    <cellStyle name="Input 11 29 3" xfId="8203"/>
    <cellStyle name="Input 11 29 4" xfId="8204"/>
    <cellStyle name="Input 11 29 5" xfId="8205"/>
    <cellStyle name="Input 11 29 6" xfId="8206"/>
    <cellStyle name="Input 11 3" xfId="8207"/>
    <cellStyle name="Input 11 3 10" xfId="8208"/>
    <cellStyle name="Input 11 3 2" xfId="8209"/>
    <cellStyle name="Input 11 3 2 2" xfId="8210"/>
    <cellStyle name="Input 11 3 2 3" xfId="8211"/>
    <cellStyle name="Input 11 3 2 4" xfId="8212"/>
    <cellStyle name="Input 11 3 2 5" xfId="8213"/>
    <cellStyle name="Input 11 3 2 6" xfId="8214"/>
    <cellStyle name="Input 11 3 3" xfId="8215"/>
    <cellStyle name="Input 11 3 3 2" xfId="8216"/>
    <cellStyle name="Input 11 3 3 3" xfId="8217"/>
    <cellStyle name="Input 11 3 3 4" xfId="8218"/>
    <cellStyle name="Input 11 3 3 5" xfId="8219"/>
    <cellStyle name="Input 11 3 3 6" xfId="8220"/>
    <cellStyle name="Input 11 3 4" xfId="8221"/>
    <cellStyle name="Input 11 3 4 2" xfId="8222"/>
    <cellStyle name="Input 11 3 4 3" xfId="8223"/>
    <cellStyle name="Input 11 3 4 4" xfId="8224"/>
    <cellStyle name="Input 11 3 4 5" xfId="8225"/>
    <cellStyle name="Input 11 3 4 6" xfId="8226"/>
    <cellStyle name="Input 11 3 5" xfId="8227"/>
    <cellStyle name="Input 11 3 5 2" xfId="8228"/>
    <cellStyle name="Input 11 3 5 3" xfId="8229"/>
    <cellStyle name="Input 11 3 5 4" xfId="8230"/>
    <cellStyle name="Input 11 3 5 5" xfId="8231"/>
    <cellStyle name="Input 11 3 5 6" xfId="8232"/>
    <cellStyle name="Input 11 3 6" xfId="8233"/>
    <cellStyle name="Input 11 3 7" xfId="8234"/>
    <cellStyle name="Input 11 3 8" xfId="8235"/>
    <cellStyle name="Input 11 3 9" xfId="8236"/>
    <cellStyle name="Input 11 30" xfId="8237"/>
    <cellStyle name="Input 11 30 2" xfId="8238"/>
    <cellStyle name="Input 11 30 3" xfId="8239"/>
    <cellStyle name="Input 11 30 4" xfId="8240"/>
    <cellStyle name="Input 11 31" xfId="8241"/>
    <cellStyle name="Input 11 32" xfId="8242"/>
    <cellStyle name="Input 11 33" xfId="8243"/>
    <cellStyle name="Input 11 34" xfId="8244"/>
    <cellStyle name="Input 11 35" xfId="8245"/>
    <cellStyle name="Input 11 36" xfId="8246"/>
    <cellStyle name="Input 11 37" xfId="8247"/>
    <cellStyle name="Input 11 38" xfId="8248"/>
    <cellStyle name="Input 11 39" xfId="8249"/>
    <cellStyle name="Input 11 4" xfId="8250"/>
    <cellStyle name="Input 11 4 2" xfId="8251"/>
    <cellStyle name="Input 11 4 3" xfId="8252"/>
    <cellStyle name="Input 11 4 4" xfId="8253"/>
    <cellStyle name="Input 11 4 5" xfId="8254"/>
    <cellStyle name="Input 11 4 6" xfId="8255"/>
    <cellStyle name="Input 11 40" xfId="8256"/>
    <cellStyle name="Input 11 41" xfId="8257"/>
    <cellStyle name="Input 11 42" xfId="8258"/>
    <cellStyle name="Input 11 43" xfId="8259"/>
    <cellStyle name="Input 11 44" xfId="8260"/>
    <cellStyle name="Input 11 45" xfId="8261"/>
    <cellStyle name="Input 11 46" xfId="8262"/>
    <cellStyle name="Input 11 47" xfId="8263"/>
    <cellStyle name="Input 11 48" xfId="8264"/>
    <cellStyle name="Input 11 49" xfId="8265"/>
    <cellStyle name="Input 11 5" xfId="8266"/>
    <cellStyle name="Input 11 5 2" xfId="8267"/>
    <cellStyle name="Input 11 5 3" xfId="8268"/>
    <cellStyle name="Input 11 5 4" xfId="8269"/>
    <cellStyle name="Input 11 5 5" xfId="8270"/>
    <cellStyle name="Input 11 5 6" xfId="8271"/>
    <cellStyle name="Input 11 50" xfId="8272"/>
    <cellStyle name="Input 11 51" xfId="8273"/>
    <cellStyle name="Input 11 52" xfId="8274"/>
    <cellStyle name="Input 11 53" xfId="8275"/>
    <cellStyle name="Input 11 54" xfId="8276"/>
    <cellStyle name="Input 11 55" xfId="8277"/>
    <cellStyle name="Input 11 56" xfId="8278"/>
    <cellStyle name="Input 11 57" xfId="8279"/>
    <cellStyle name="Input 11 58" xfId="8280"/>
    <cellStyle name="Input 11 59" xfId="8281"/>
    <cellStyle name="Input 11 6" xfId="8282"/>
    <cellStyle name="Input 11 6 2" xfId="8283"/>
    <cellStyle name="Input 11 6 3" xfId="8284"/>
    <cellStyle name="Input 11 6 4" xfId="8285"/>
    <cellStyle name="Input 11 6 5" xfId="8286"/>
    <cellStyle name="Input 11 6 6" xfId="8287"/>
    <cellStyle name="Input 11 60" xfId="8288"/>
    <cellStyle name="Input 11 61" xfId="8289"/>
    <cellStyle name="Input 11 62" xfId="8290"/>
    <cellStyle name="Input 11 63" xfId="8291"/>
    <cellStyle name="Input 11 64" xfId="8292"/>
    <cellStyle name="Input 11 65" xfId="8293"/>
    <cellStyle name="Input 11 66" xfId="8294"/>
    <cellStyle name="Input 11 67" xfId="8295"/>
    <cellStyle name="Input 11 7" xfId="8296"/>
    <cellStyle name="Input 11 7 2" xfId="8297"/>
    <cellStyle name="Input 11 7 3" xfId="8298"/>
    <cellStyle name="Input 11 7 4" xfId="8299"/>
    <cellStyle name="Input 11 7 5" xfId="8300"/>
    <cellStyle name="Input 11 7 6" xfId="8301"/>
    <cellStyle name="Input 11 8" xfId="8302"/>
    <cellStyle name="Input 11 8 2" xfId="8303"/>
    <cellStyle name="Input 11 8 3" xfId="8304"/>
    <cellStyle name="Input 11 8 4" xfId="8305"/>
    <cellStyle name="Input 11 8 5" xfId="8306"/>
    <cellStyle name="Input 11 8 6" xfId="8307"/>
    <cellStyle name="Input 11 9" xfId="8308"/>
    <cellStyle name="Input 11 9 2" xfId="8309"/>
    <cellStyle name="Input 11 9 3" xfId="8310"/>
    <cellStyle name="Input 11 9 4" xfId="8311"/>
    <cellStyle name="Input 11 9 5" xfId="8312"/>
    <cellStyle name="Input 11 9 6" xfId="8313"/>
    <cellStyle name="Input 12" xfId="8314"/>
    <cellStyle name="Input 12 10" xfId="8315"/>
    <cellStyle name="Input 12 10 2" xfId="8316"/>
    <cellStyle name="Input 12 10 3" xfId="8317"/>
    <cellStyle name="Input 12 10 4" xfId="8318"/>
    <cellStyle name="Input 12 10 5" xfId="8319"/>
    <cellStyle name="Input 12 10 6" xfId="8320"/>
    <cellStyle name="Input 12 11" xfId="8321"/>
    <cellStyle name="Input 12 11 2" xfId="8322"/>
    <cellStyle name="Input 12 11 3" xfId="8323"/>
    <cellStyle name="Input 12 11 4" xfId="8324"/>
    <cellStyle name="Input 12 11 5" xfId="8325"/>
    <cellStyle name="Input 12 11 6" xfId="8326"/>
    <cellStyle name="Input 12 12" xfId="8327"/>
    <cellStyle name="Input 12 12 2" xfId="8328"/>
    <cellStyle name="Input 12 12 3" xfId="8329"/>
    <cellStyle name="Input 12 12 4" xfId="8330"/>
    <cellStyle name="Input 12 12 5" xfId="8331"/>
    <cellStyle name="Input 12 12 6" xfId="8332"/>
    <cellStyle name="Input 12 13" xfId="8333"/>
    <cellStyle name="Input 12 13 2" xfId="8334"/>
    <cellStyle name="Input 12 13 3" xfId="8335"/>
    <cellStyle name="Input 12 13 4" xfId="8336"/>
    <cellStyle name="Input 12 13 5" xfId="8337"/>
    <cellStyle name="Input 12 13 6" xfId="8338"/>
    <cellStyle name="Input 12 14" xfId="8339"/>
    <cellStyle name="Input 12 14 2" xfId="8340"/>
    <cellStyle name="Input 12 14 3" xfId="8341"/>
    <cellStyle name="Input 12 14 4" xfId="8342"/>
    <cellStyle name="Input 12 14 5" xfId="8343"/>
    <cellStyle name="Input 12 14 6" xfId="8344"/>
    <cellStyle name="Input 12 15" xfId="8345"/>
    <cellStyle name="Input 12 15 2" xfId="8346"/>
    <cellStyle name="Input 12 15 3" xfId="8347"/>
    <cellStyle name="Input 12 15 4" xfId="8348"/>
    <cellStyle name="Input 12 15 5" xfId="8349"/>
    <cellStyle name="Input 12 15 6" xfId="8350"/>
    <cellStyle name="Input 12 16" xfId="8351"/>
    <cellStyle name="Input 12 16 2" xfId="8352"/>
    <cellStyle name="Input 12 16 3" xfId="8353"/>
    <cellStyle name="Input 12 16 4" xfId="8354"/>
    <cellStyle name="Input 12 16 5" xfId="8355"/>
    <cellStyle name="Input 12 16 6" xfId="8356"/>
    <cellStyle name="Input 12 17" xfId="8357"/>
    <cellStyle name="Input 12 17 2" xfId="8358"/>
    <cellStyle name="Input 12 17 3" xfId="8359"/>
    <cellStyle name="Input 12 17 4" xfId="8360"/>
    <cellStyle name="Input 12 17 5" xfId="8361"/>
    <cellStyle name="Input 12 17 6" xfId="8362"/>
    <cellStyle name="Input 12 18" xfId="8363"/>
    <cellStyle name="Input 12 18 2" xfId="8364"/>
    <cellStyle name="Input 12 18 3" xfId="8365"/>
    <cellStyle name="Input 12 18 4" xfId="8366"/>
    <cellStyle name="Input 12 18 5" xfId="8367"/>
    <cellStyle name="Input 12 18 6" xfId="8368"/>
    <cellStyle name="Input 12 19" xfId="8369"/>
    <cellStyle name="Input 12 19 2" xfId="8370"/>
    <cellStyle name="Input 12 19 3" xfId="8371"/>
    <cellStyle name="Input 12 19 4" xfId="8372"/>
    <cellStyle name="Input 12 19 5" xfId="8373"/>
    <cellStyle name="Input 12 19 6" xfId="8374"/>
    <cellStyle name="Input 12 2" xfId="8375"/>
    <cellStyle name="Input 12 2 10" xfId="8376"/>
    <cellStyle name="Input 12 2 2" xfId="8377"/>
    <cellStyle name="Input 12 2 2 2" xfId="8378"/>
    <cellStyle name="Input 12 2 2 3" xfId="8379"/>
    <cellStyle name="Input 12 2 2 4" xfId="8380"/>
    <cellStyle name="Input 12 2 2 5" xfId="8381"/>
    <cellStyle name="Input 12 2 2 6" xfId="8382"/>
    <cellStyle name="Input 12 2 3" xfId="8383"/>
    <cellStyle name="Input 12 2 3 2" xfId="8384"/>
    <cellStyle name="Input 12 2 3 3" xfId="8385"/>
    <cellStyle name="Input 12 2 3 4" xfId="8386"/>
    <cellStyle name="Input 12 2 3 5" xfId="8387"/>
    <cellStyle name="Input 12 2 3 6" xfId="8388"/>
    <cellStyle name="Input 12 2 4" xfId="8389"/>
    <cellStyle name="Input 12 2 4 2" xfId="8390"/>
    <cellStyle name="Input 12 2 4 3" xfId="8391"/>
    <cellStyle name="Input 12 2 4 4" xfId="8392"/>
    <cellStyle name="Input 12 2 4 5" xfId="8393"/>
    <cellStyle name="Input 12 2 4 6" xfId="8394"/>
    <cellStyle name="Input 12 2 5" xfId="8395"/>
    <cellStyle name="Input 12 2 5 2" xfId="8396"/>
    <cellStyle name="Input 12 2 5 3" xfId="8397"/>
    <cellStyle name="Input 12 2 5 4" xfId="8398"/>
    <cellStyle name="Input 12 2 5 5" xfId="8399"/>
    <cellStyle name="Input 12 2 5 6" xfId="8400"/>
    <cellStyle name="Input 12 2 6" xfId="8401"/>
    <cellStyle name="Input 12 2 7" xfId="8402"/>
    <cellStyle name="Input 12 2 8" xfId="8403"/>
    <cellStyle name="Input 12 2 9" xfId="8404"/>
    <cellStyle name="Input 12 20" xfId="8405"/>
    <cellStyle name="Input 12 20 2" xfId="8406"/>
    <cellStyle name="Input 12 20 3" xfId="8407"/>
    <cellStyle name="Input 12 20 4" xfId="8408"/>
    <cellStyle name="Input 12 20 5" xfId="8409"/>
    <cellStyle name="Input 12 20 6" xfId="8410"/>
    <cellStyle name="Input 12 21" xfId="8411"/>
    <cellStyle name="Input 12 21 2" xfId="8412"/>
    <cellStyle name="Input 12 21 3" xfId="8413"/>
    <cellStyle name="Input 12 21 4" xfId="8414"/>
    <cellStyle name="Input 12 21 5" xfId="8415"/>
    <cellStyle name="Input 12 21 6" xfId="8416"/>
    <cellStyle name="Input 12 22" xfId="8417"/>
    <cellStyle name="Input 12 22 2" xfId="8418"/>
    <cellStyle name="Input 12 22 3" xfId="8419"/>
    <cellStyle name="Input 12 22 4" xfId="8420"/>
    <cellStyle name="Input 12 22 5" xfId="8421"/>
    <cellStyle name="Input 12 22 6" xfId="8422"/>
    <cellStyle name="Input 12 23" xfId="8423"/>
    <cellStyle name="Input 12 23 2" xfId="8424"/>
    <cellStyle name="Input 12 23 3" xfId="8425"/>
    <cellStyle name="Input 12 23 4" xfId="8426"/>
    <cellStyle name="Input 12 23 5" xfId="8427"/>
    <cellStyle name="Input 12 23 6" xfId="8428"/>
    <cellStyle name="Input 12 24" xfId="8429"/>
    <cellStyle name="Input 12 24 2" xfId="8430"/>
    <cellStyle name="Input 12 24 3" xfId="8431"/>
    <cellStyle name="Input 12 24 4" xfId="8432"/>
    <cellStyle name="Input 12 24 5" xfId="8433"/>
    <cellStyle name="Input 12 24 6" xfId="8434"/>
    <cellStyle name="Input 12 25" xfId="8435"/>
    <cellStyle name="Input 12 25 2" xfId="8436"/>
    <cellStyle name="Input 12 25 3" xfId="8437"/>
    <cellStyle name="Input 12 25 4" xfId="8438"/>
    <cellStyle name="Input 12 25 5" xfId="8439"/>
    <cellStyle name="Input 12 25 6" xfId="8440"/>
    <cellStyle name="Input 12 26" xfId="8441"/>
    <cellStyle name="Input 12 26 2" xfId="8442"/>
    <cellStyle name="Input 12 26 3" xfId="8443"/>
    <cellStyle name="Input 12 26 4" xfId="8444"/>
    <cellStyle name="Input 12 26 5" xfId="8445"/>
    <cellStyle name="Input 12 26 6" xfId="8446"/>
    <cellStyle name="Input 12 27" xfId="8447"/>
    <cellStyle name="Input 12 27 2" xfId="8448"/>
    <cellStyle name="Input 12 27 3" xfId="8449"/>
    <cellStyle name="Input 12 27 4" xfId="8450"/>
    <cellStyle name="Input 12 27 5" xfId="8451"/>
    <cellStyle name="Input 12 27 6" xfId="8452"/>
    <cellStyle name="Input 12 28" xfId="8453"/>
    <cellStyle name="Input 12 28 2" xfId="8454"/>
    <cellStyle name="Input 12 28 3" xfId="8455"/>
    <cellStyle name="Input 12 28 4" xfId="8456"/>
    <cellStyle name="Input 12 28 5" xfId="8457"/>
    <cellStyle name="Input 12 28 6" xfId="8458"/>
    <cellStyle name="Input 12 29" xfId="8459"/>
    <cellStyle name="Input 12 29 2" xfId="8460"/>
    <cellStyle name="Input 12 29 3" xfId="8461"/>
    <cellStyle name="Input 12 29 4" xfId="8462"/>
    <cellStyle name="Input 12 3" xfId="8463"/>
    <cellStyle name="Input 12 3 2" xfId="8464"/>
    <cellStyle name="Input 12 3 3" xfId="8465"/>
    <cellStyle name="Input 12 3 4" xfId="8466"/>
    <cellStyle name="Input 12 3 5" xfId="8467"/>
    <cellStyle name="Input 12 3 6" xfId="8468"/>
    <cellStyle name="Input 12 30" xfId="8469"/>
    <cellStyle name="Input 12 31" xfId="8470"/>
    <cellStyle name="Input 12 32" xfId="8471"/>
    <cellStyle name="Input 12 33" xfId="8472"/>
    <cellStyle name="Input 12 34" xfId="8473"/>
    <cellStyle name="Input 12 35" xfId="8474"/>
    <cellStyle name="Input 12 36" xfId="8475"/>
    <cellStyle name="Input 12 37" xfId="8476"/>
    <cellStyle name="Input 12 38" xfId="8477"/>
    <cellStyle name="Input 12 39" xfId="8478"/>
    <cellStyle name="Input 12 4" xfId="8479"/>
    <cellStyle name="Input 12 4 2" xfId="8480"/>
    <cellStyle name="Input 12 4 3" xfId="8481"/>
    <cellStyle name="Input 12 4 4" xfId="8482"/>
    <cellStyle name="Input 12 4 5" xfId="8483"/>
    <cellStyle name="Input 12 4 6" xfId="8484"/>
    <cellStyle name="Input 12 40" xfId="8485"/>
    <cellStyle name="Input 12 41" xfId="8486"/>
    <cellStyle name="Input 12 42" xfId="8487"/>
    <cellStyle name="Input 12 43" xfId="8488"/>
    <cellStyle name="Input 12 44" xfId="8489"/>
    <cellStyle name="Input 12 45" xfId="8490"/>
    <cellStyle name="Input 12 46" xfId="8491"/>
    <cellStyle name="Input 12 47" xfId="8492"/>
    <cellStyle name="Input 12 48" xfId="8493"/>
    <cellStyle name="Input 12 49" xfId="8494"/>
    <cellStyle name="Input 12 5" xfId="8495"/>
    <cellStyle name="Input 12 5 2" xfId="8496"/>
    <cellStyle name="Input 12 5 3" xfId="8497"/>
    <cellStyle name="Input 12 5 4" xfId="8498"/>
    <cellStyle name="Input 12 5 5" xfId="8499"/>
    <cellStyle name="Input 12 5 6" xfId="8500"/>
    <cellStyle name="Input 12 50" xfId="8501"/>
    <cellStyle name="Input 12 51" xfId="8502"/>
    <cellStyle name="Input 12 52" xfId="8503"/>
    <cellStyle name="Input 12 53" xfId="8504"/>
    <cellStyle name="Input 12 54" xfId="8505"/>
    <cellStyle name="Input 12 55" xfId="8506"/>
    <cellStyle name="Input 12 56" xfId="8507"/>
    <cellStyle name="Input 12 57" xfId="8508"/>
    <cellStyle name="Input 12 58" xfId="8509"/>
    <cellStyle name="Input 12 59" xfId="8510"/>
    <cellStyle name="Input 12 6" xfId="8511"/>
    <cellStyle name="Input 12 6 2" xfId="8512"/>
    <cellStyle name="Input 12 6 3" xfId="8513"/>
    <cellStyle name="Input 12 6 4" xfId="8514"/>
    <cellStyle name="Input 12 6 5" xfId="8515"/>
    <cellStyle name="Input 12 6 6" xfId="8516"/>
    <cellStyle name="Input 12 60" xfId="8517"/>
    <cellStyle name="Input 12 61" xfId="8518"/>
    <cellStyle name="Input 12 62" xfId="8519"/>
    <cellStyle name="Input 12 63" xfId="8520"/>
    <cellStyle name="Input 12 64" xfId="8521"/>
    <cellStyle name="Input 12 65" xfId="8522"/>
    <cellStyle name="Input 12 66" xfId="8523"/>
    <cellStyle name="Input 12 7" xfId="8524"/>
    <cellStyle name="Input 12 7 2" xfId="8525"/>
    <cellStyle name="Input 12 7 3" xfId="8526"/>
    <cellStyle name="Input 12 7 4" xfId="8527"/>
    <cellStyle name="Input 12 7 5" xfId="8528"/>
    <cellStyle name="Input 12 7 6" xfId="8529"/>
    <cellStyle name="Input 12 8" xfId="8530"/>
    <cellStyle name="Input 12 8 2" xfId="8531"/>
    <cellStyle name="Input 12 8 3" xfId="8532"/>
    <cellStyle name="Input 12 8 4" xfId="8533"/>
    <cellStyle name="Input 12 8 5" xfId="8534"/>
    <cellStyle name="Input 12 8 6" xfId="8535"/>
    <cellStyle name="Input 12 9" xfId="8536"/>
    <cellStyle name="Input 12 9 2" xfId="8537"/>
    <cellStyle name="Input 12 9 3" xfId="8538"/>
    <cellStyle name="Input 12 9 4" xfId="8539"/>
    <cellStyle name="Input 12 9 5" xfId="8540"/>
    <cellStyle name="Input 12 9 6" xfId="8541"/>
    <cellStyle name="Input 2" xfId="8542"/>
    <cellStyle name="Input 2 10" xfId="8543"/>
    <cellStyle name="Input 2 10 2" xfId="8544"/>
    <cellStyle name="Input 2 10 3" xfId="8545"/>
    <cellStyle name="Input 2 10 4" xfId="8546"/>
    <cellStyle name="Input 2 10 5" xfId="8547"/>
    <cellStyle name="Input 2 10 6" xfId="8548"/>
    <cellStyle name="Input 2 11" xfId="8549"/>
    <cellStyle name="Input 2 11 2" xfId="8550"/>
    <cellStyle name="Input 2 11 3" xfId="8551"/>
    <cellStyle name="Input 2 11 4" xfId="8552"/>
    <cellStyle name="Input 2 11 5" xfId="8553"/>
    <cellStyle name="Input 2 11 6" xfId="8554"/>
    <cellStyle name="Input 2 12" xfId="8555"/>
    <cellStyle name="Input 2 12 2" xfId="8556"/>
    <cellStyle name="Input 2 12 3" xfId="8557"/>
    <cellStyle name="Input 2 12 4" xfId="8558"/>
    <cellStyle name="Input 2 12 5" xfId="8559"/>
    <cellStyle name="Input 2 12 6" xfId="8560"/>
    <cellStyle name="Input 2 13" xfId="8561"/>
    <cellStyle name="Input 2 13 2" xfId="8562"/>
    <cellStyle name="Input 2 13 3" xfId="8563"/>
    <cellStyle name="Input 2 13 4" xfId="8564"/>
    <cellStyle name="Input 2 13 5" xfId="8565"/>
    <cellStyle name="Input 2 13 6" xfId="8566"/>
    <cellStyle name="Input 2 14" xfId="8567"/>
    <cellStyle name="Input 2 14 2" xfId="8568"/>
    <cellStyle name="Input 2 14 3" xfId="8569"/>
    <cellStyle name="Input 2 14 4" xfId="8570"/>
    <cellStyle name="Input 2 14 5" xfId="8571"/>
    <cellStyle name="Input 2 14 6" xfId="8572"/>
    <cellStyle name="Input 2 15" xfId="8573"/>
    <cellStyle name="Input 2 15 2" xfId="8574"/>
    <cellStyle name="Input 2 15 3" xfId="8575"/>
    <cellStyle name="Input 2 15 4" xfId="8576"/>
    <cellStyle name="Input 2 15 5" xfId="8577"/>
    <cellStyle name="Input 2 15 6" xfId="8578"/>
    <cellStyle name="Input 2 16" xfId="8579"/>
    <cellStyle name="Input 2 16 2" xfId="8580"/>
    <cellStyle name="Input 2 16 3" xfId="8581"/>
    <cellStyle name="Input 2 16 4" xfId="8582"/>
    <cellStyle name="Input 2 16 5" xfId="8583"/>
    <cellStyle name="Input 2 16 6" xfId="8584"/>
    <cellStyle name="Input 2 17" xfId="8585"/>
    <cellStyle name="Input 2 17 2" xfId="8586"/>
    <cellStyle name="Input 2 17 3" xfId="8587"/>
    <cellStyle name="Input 2 17 4" xfId="8588"/>
    <cellStyle name="Input 2 17 5" xfId="8589"/>
    <cellStyle name="Input 2 17 6" xfId="8590"/>
    <cellStyle name="Input 2 18" xfId="8591"/>
    <cellStyle name="Input 2 18 2" xfId="8592"/>
    <cellStyle name="Input 2 18 3" xfId="8593"/>
    <cellStyle name="Input 2 18 4" xfId="8594"/>
    <cellStyle name="Input 2 18 5" xfId="8595"/>
    <cellStyle name="Input 2 18 6" xfId="8596"/>
    <cellStyle name="Input 2 19" xfId="8597"/>
    <cellStyle name="Input 2 19 2" xfId="8598"/>
    <cellStyle name="Input 2 19 3" xfId="8599"/>
    <cellStyle name="Input 2 19 4" xfId="8600"/>
    <cellStyle name="Input 2 19 5" xfId="8601"/>
    <cellStyle name="Input 2 19 6" xfId="8602"/>
    <cellStyle name="Input 2 2" xfId="8603"/>
    <cellStyle name="Input 2 2 10" xfId="8604"/>
    <cellStyle name="Input 2 2 10 2" xfId="8605"/>
    <cellStyle name="Input 2 2 10 3" xfId="8606"/>
    <cellStyle name="Input 2 2 10 4" xfId="8607"/>
    <cellStyle name="Input 2 2 10 5" xfId="8608"/>
    <cellStyle name="Input 2 2 10 6" xfId="8609"/>
    <cellStyle name="Input 2 2 11" xfId="8610"/>
    <cellStyle name="Input 2 2 11 2" xfId="8611"/>
    <cellStyle name="Input 2 2 11 3" xfId="8612"/>
    <cellStyle name="Input 2 2 11 4" xfId="8613"/>
    <cellStyle name="Input 2 2 11 5" xfId="8614"/>
    <cellStyle name="Input 2 2 11 6" xfId="8615"/>
    <cellStyle name="Input 2 2 12" xfId="8616"/>
    <cellStyle name="Input 2 2 12 2" xfId="8617"/>
    <cellStyle name="Input 2 2 12 3" xfId="8618"/>
    <cellStyle name="Input 2 2 12 4" xfId="8619"/>
    <cellStyle name="Input 2 2 12 5" xfId="8620"/>
    <cellStyle name="Input 2 2 12 6" xfId="8621"/>
    <cellStyle name="Input 2 2 13" xfId="8622"/>
    <cellStyle name="Input 2 2 13 2" xfId="8623"/>
    <cellStyle name="Input 2 2 13 3" xfId="8624"/>
    <cellStyle name="Input 2 2 13 4" xfId="8625"/>
    <cellStyle name="Input 2 2 13 5" xfId="8626"/>
    <cellStyle name="Input 2 2 13 6" xfId="8627"/>
    <cellStyle name="Input 2 2 14" xfId="8628"/>
    <cellStyle name="Input 2 2 14 2" xfId="8629"/>
    <cellStyle name="Input 2 2 14 3" xfId="8630"/>
    <cellStyle name="Input 2 2 14 4" xfId="8631"/>
    <cellStyle name="Input 2 2 14 5" xfId="8632"/>
    <cellStyle name="Input 2 2 14 6" xfId="8633"/>
    <cellStyle name="Input 2 2 15" xfId="8634"/>
    <cellStyle name="Input 2 2 15 2" xfId="8635"/>
    <cellStyle name="Input 2 2 15 3" xfId="8636"/>
    <cellStyle name="Input 2 2 15 4" xfId="8637"/>
    <cellStyle name="Input 2 2 15 5" xfId="8638"/>
    <cellStyle name="Input 2 2 15 6" xfId="8639"/>
    <cellStyle name="Input 2 2 16" xfId="8640"/>
    <cellStyle name="Input 2 2 16 2" xfId="8641"/>
    <cellStyle name="Input 2 2 16 3" xfId="8642"/>
    <cellStyle name="Input 2 2 16 4" xfId="8643"/>
    <cellStyle name="Input 2 2 16 5" xfId="8644"/>
    <cellStyle name="Input 2 2 16 6" xfId="8645"/>
    <cellStyle name="Input 2 2 17" xfId="8646"/>
    <cellStyle name="Input 2 2 17 2" xfId="8647"/>
    <cellStyle name="Input 2 2 17 3" xfId="8648"/>
    <cellStyle name="Input 2 2 17 4" xfId="8649"/>
    <cellStyle name="Input 2 2 17 5" xfId="8650"/>
    <cellStyle name="Input 2 2 17 6" xfId="8651"/>
    <cellStyle name="Input 2 2 18" xfId="8652"/>
    <cellStyle name="Input 2 2 18 2" xfId="8653"/>
    <cellStyle name="Input 2 2 18 3" xfId="8654"/>
    <cellStyle name="Input 2 2 18 4" xfId="8655"/>
    <cellStyle name="Input 2 2 18 5" xfId="8656"/>
    <cellStyle name="Input 2 2 18 6" xfId="8657"/>
    <cellStyle name="Input 2 2 19" xfId="8658"/>
    <cellStyle name="Input 2 2 19 2" xfId="8659"/>
    <cellStyle name="Input 2 2 19 3" xfId="8660"/>
    <cellStyle name="Input 2 2 19 4" xfId="8661"/>
    <cellStyle name="Input 2 2 19 5" xfId="8662"/>
    <cellStyle name="Input 2 2 19 6" xfId="8663"/>
    <cellStyle name="Input 2 2 2" xfId="8664"/>
    <cellStyle name="Input 2 2 2 10" xfId="8665"/>
    <cellStyle name="Input 2 2 2 2" xfId="8666"/>
    <cellStyle name="Input 2 2 2 2 2" xfId="8667"/>
    <cellStyle name="Input 2 2 2 2 3" xfId="8668"/>
    <cellStyle name="Input 2 2 2 2 4" xfId="8669"/>
    <cellStyle name="Input 2 2 2 2 5" xfId="8670"/>
    <cellStyle name="Input 2 2 2 2 6" xfId="8671"/>
    <cellStyle name="Input 2 2 2 3" xfId="8672"/>
    <cellStyle name="Input 2 2 2 3 2" xfId="8673"/>
    <cellStyle name="Input 2 2 2 3 3" xfId="8674"/>
    <cellStyle name="Input 2 2 2 3 4" xfId="8675"/>
    <cellStyle name="Input 2 2 2 3 5" xfId="8676"/>
    <cellStyle name="Input 2 2 2 3 6" xfId="8677"/>
    <cellStyle name="Input 2 2 2 4" xfId="8678"/>
    <cellStyle name="Input 2 2 2 4 2" xfId="8679"/>
    <cellStyle name="Input 2 2 2 4 3" xfId="8680"/>
    <cellStyle name="Input 2 2 2 4 4" xfId="8681"/>
    <cellStyle name="Input 2 2 2 4 5" xfId="8682"/>
    <cellStyle name="Input 2 2 2 4 6" xfId="8683"/>
    <cellStyle name="Input 2 2 2 5" xfId="8684"/>
    <cellStyle name="Input 2 2 2 5 2" xfId="8685"/>
    <cellStyle name="Input 2 2 2 5 3" xfId="8686"/>
    <cellStyle name="Input 2 2 2 5 4" xfId="8687"/>
    <cellStyle name="Input 2 2 2 5 5" xfId="8688"/>
    <cellStyle name="Input 2 2 2 5 6" xfId="8689"/>
    <cellStyle name="Input 2 2 2 6" xfId="8690"/>
    <cellStyle name="Input 2 2 2 7" xfId="8691"/>
    <cellStyle name="Input 2 2 2 8" xfId="8692"/>
    <cellStyle name="Input 2 2 2 9" xfId="8693"/>
    <cellStyle name="Input 2 2 20" xfId="8694"/>
    <cellStyle name="Input 2 2 20 2" xfId="8695"/>
    <cellStyle name="Input 2 2 20 3" xfId="8696"/>
    <cellStyle name="Input 2 2 20 4" xfId="8697"/>
    <cellStyle name="Input 2 2 20 5" xfId="8698"/>
    <cellStyle name="Input 2 2 20 6" xfId="8699"/>
    <cellStyle name="Input 2 2 21" xfId="8700"/>
    <cellStyle name="Input 2 2 21 2" xfId="8701"/>
    <cellStyle name="Input 2 2 21 3" xfId="8702"/>
    <cellStyle name="Input 2 2 21 4" xfId="8703"/>
    <cellStyle name="Input 2 2 21 5" xfId="8704"/>
    <cellStyle name="Input 2 2 21 6" xfId="8705"/>
    <cellStyle name="Input 2 2 22" xfId="8706"/>
    <cellStyle name="Input 2 2 22 2" xfId="8707"/>
    <cellStyle name="Input 2 2 22 3" xfId="8708"/>
    <cellStyle name="Input 2 2 22 4" xfId="8709"/>
    <cellStyle name="Input 2 2 22 5" xfId="8710"/>
    <cellStyle name="Input 2 2 22 6" xfId="8711"/>
    <cellStyle name="Input 2 2 23" xfId="8712"/>
    <cellStyle name="Input 2 2 23 2" xfId="8713"/>
    <cellStyle name="Input 2 2 23 3" xfId="8714"/>
    <cellStyle name="Input 2 2 23 4" xfId="8715"/>
    <cellStyle name="Input 2 2 23 5" xfId="8716"/>
    <cellStyle name="Input 2 2 23 6" xfId="8717"/>
    <cellStyle name="Input 2 2 24" xfId="8718"/>
    <cellStyle name="Input 2 2 24 2" xfId="8719"/>
    <cellStyle name="Input 2 2 24 3" xfId="8720"/>
    <cellStyle name="Input 2 2 24 4" xfId="8721"/>
    <cellStyle name="Input 2 2 24 5" xfId="8722"/>
    <cellStyle name="Input 2 2 24 6" xfId="8723"/>
    <cellStyle name="Input 2 2 25" xfId="8724"/>
    <cellStyle name="Input 2 2 25 2" xfId="8725"/>
    <cellStyle name="Input 2 2 25 3" xfId="8726"/>
    <cellStyle name="Input 2 2 25 4" xfId="8727"/>
    <cellStyle name="Input 2 2 25 5" xfId="8728"/>
    <cellStyle name="Input 2 2 25 6" xfId="8729"/>
    <cellStyle name="Input 2 2 26" xfId="8730"/>
    <cellStyle name="Input 2 2 26 2" xfId="8731"/>
    <cellStyle name="Input 2 2 26 3" xfId="8732"/>
    <cellStyle name="Input 2 2 26 4" xfId="8733"/>
    <cellStyle name="Input 2 2 26 5" xfId="8734"/>
    <cellStyle name="Input 2 2 26 6" xfId="8735"/>
    <cellStyle name="Input 2 2 27" xfId="8736"/>
    <cellStyle name="Input 2 2 27 2" xfId="8737"/>
    <cellStyle name="Input 2 2 27 3" xfId="8738"/>
    <cellStyle name="Input 2 2 27 4" xfId="8739"/>
    <cellStyle name="Input 2 2 27 5" xfId="8740"/>
    <cellStyle name="Input 2 2 27 6" xfId="8741"/>
    <cellStyle name="Input 2 2 28" xfId="8742"/>
    <cellStyle name="Input 2 2 28 2" xfId="8743"/>
    <cellStyle name="Input 2 2 28 3" xfId="8744"/>
    <cellStyle name="Input 2 2 28 4" xfId="8745"/>
    <cellStyle name="Input 2 2 28 5" xfId="8746"/>
    <cellStyle name="Input 2 2 28 6" xfId="8747"/>
    <cellStyle name="Input 2 2 29" xfId="8748"/>
    <cellStyle name="Input 2 2 29 2" xfId="8749"/>
    <cellStyle name="Input 2 2 29 3" xfId="8750"/>
    <cellStyle name="Input 2 2 29 4" xfId="8751"/>
    <cellStyle name="Input 2 2 3" xfId="8752"/>
    <cellStyle name="Input 2 2 3 2" xfId="8753"/>
    <cellStyle name="Input 2 2 3 3" xfId="8754"/>
    <cellStyle name="Input 2 2 3 4" xfId="8755"/>
    <cellStyle name="Input 2 2 3 5" xfId="8756"/>
    <cellStyle name="Input 2 2 3 6" xfId="8757"/>
    <cellStyle name="Input 2 2 30" xfId="8758"/>
    <cellStyle name="Input 2 2 31" xfId="8759"/>
    <cellStyle name="Input 2 2 32" xfId="8760"/>
    <cellStyle name="Input 2 2 33" xfId="8761"/>
    <cellStyle name="Input 2 2 34" xfId="8762"/>
    <cellStyle name="Input 2 2 35" xfId="8763"/>
    <cellStyle name="Input 2 2 36" xfId="8764"/>
    <cellStyle name="Input 2 2 37" xfId="8765"/>
    <cellStyle name="Input 2 2 38" xfId="8766"/>
    <cellStyle name="Input 2 2 39" xfId="8767"/>
    <cellStyle name="Input 2 2 4" xfId="8768"/>
    <cellStyle name="Input 2 2 4 2" xfId="8769"/>
    <cellStyle name="Input 2 2 4 3" xfId="8770"/>
    <cellStyle name="Input 2 2 4 4" xfId="8771"/>
    <cellStyle name="Input 2 2 4 5" xfId="8772"/>
    <cellStyle name="Input 2 2 4 6" xfId="8773"/>
    <cellStyle name="Input 2 2 40" xfId="8774"/>
    <cellStyle name="Input 2 2 41" xfId="8775"/>
    <cellStyle name="Input 2 2 42" xfId="8776"/>
    <cellStyle name="Input 2 2 43" xfId="8777"/>
    <cellStyle name="Input 2 2 44" xfId="8778"/>
    <cellStyle name="Input 2 2 45" xfId="8779"/>
    <cellStyle name="Input 2 2 46" xfId="8780"/>
    <cellStyle name="Input 2 2 47" xfId="8781"/>
    <cellStyle name="Input 2 2 48" xfId="8782"/>
    <cellStyle name="Input 2 2 49" xfId="8783"/>
    <cellStyle name="Input 2 2 5" xfId="8784"/>
    <cellStyle name="Input 2 2 5 2" xfId="8785"/>
    <cellStyle name="Input 2 2 5 3" xfId="8786"/>
    <cellStyle name="Input 2 2 5 4" xfId="8787"/>
    <cellStyle name="Input 2 2 5 5" xfId="8788"/>
    <cellStyle name="Input 2 2 5 6" xfId="8789"/>
    <cellStyle name="Input 2 2 50" xfId="8790"/>
    <cellStyle name="Input 2 2 51" xfId="8791"/>
    <cellStyle name="Input 2 2 52" xfId="8792"/>
    <cellStyle name="Input 2 2 53" xfId="8793"/>
    <cellStyle name="Input 2 2 54" xfId="8794"/>
    <cellStyle name="Input 2 2 55" xfId="8795"/>
    <cellStyle name="Input 2 2 56" xfId="8796"/>
    <cellStyle name="Input 2 2 57" xfId="8797"/>
    <cellStyle name="Input 2 2 58" xfId="8798"/>
    <cellStyle name="Input 2 2 59" xfId="8799"/>
    <cellStyle name="Input 2 2 6" xfId="8800"/>
    <cellStyle name="Input 2 2 6 2" xfId="8801"/>
    <cellStyle name="Input 2 2 6 3" xfId="8802"/>
    <cellStyle name="Input 2 2 6 4" xfId="8803"/>
    <cellStyle name="Input 2 2 6 5" xfId="8804"/>
    <cellStyle name="Input 2 2 6 6" xfId="8805"/>
    <cellStyle name="Input 2 2 60" xfId="8806"/>
    <cellStyle name="Input 2 2 61" xfId="8807"/>
    <cellStyle name="Input 2 2 62" xfId="8808"/>
    <cellStyle name="Input 2 2 63" xfId="8809"/>
    <cellStyle name="Input 2 2 64" xfId="8810"/>
    <cellStyle name="Input 2 2 65" xfId="8811"/>
    <cellStyle name="Input 2 2 66" xfId="8812"/>
    <cellStyle name="Input 2 2 7" xfId="8813"/>
    <cellStyle name="Input 2 2 7 2" xfId="8814"/>
    <cellStyle name="Input 2 2 7 3" xfId="8815"/>
    <cellStyle name="Input 2 2 7 4" xfId="8816"/>
    <cellStyle name="Input 2 2 7 5" xfId="8817"/>
    <cellStyle name="Input 2 2 7 6" xfId="8818"/>
    <cellStyle name="Input 2 2 8" xfId="8819"/>
    <cellStyle name="Input 2 2 8 2" xfId="8820"/>
    <cellStyle name="Input 2 2 8 3" xfId="8821"/>
    <cellStyle name="Input 2 2 8 4" xfId="8822"/>
    <cellStyle name="Input 2 2 8 5" xfId="8823"/>
    <cellStyle name="Input 2 2 8 6" xfId="8824"/>
    <cellStyle name="Input 2 2 9" xfId="8825"/>
    <cellStyle name="Input 2 2 9 2" xfId="8826"/>
    <cellStyle name="Input 2 2 9 3" xfId="8827"/>
    <cellStyle name="Input 2 2 9 4" xfId="8828"/>
    <cellStyle name="Input 2 2 9 5" xfId="8829"/>
    <cellStyle name="Input 2 2 9 6" xfId="8830"/>
    <cellStyle name="Input 2 20" xfId="8831"/>
    <cellStyle name="Input 2 20 2" xfId="8832"/>
    <cellStyle name="Input 2 20 3" xfId="8833"/>
    <cellStyle name="Input 2 20 4" xfId="8834"/>
    <cellStyle name="Input 2 20 5" xfId="8835"/>
    <cellStyle name="Input 2 20 6" xfId="8836"/>
    <cellStyle name="Input 2 21" xfId="8837"/>
    <cellStyle name="Input 2 21 2" xfId="8838"/>
    <cellStyle name="Input 2 21 3" xfId="8839"/>
    <cellStyle name="Input 2 21 4" xfId="8840"/>
    <cellStyle name="Input 2 21 5" xfId="8841"/>
    <cellStyle name="Input 2 21 6" xfId="8842"/>
    <cellStyle name="Input 2 22" xfId="8843"/>
    <cellStyle name="Input 2 22 2" xfId="8844"/>
    <cellStyle name="Input 2 22 3" xfId="8845"/>
    <cellStyle name="Input 2 22 4" xfId="8846"/>
    <cellStyle name="Input 2 22 5" xfId="8847"/>
    <cellStyle name="Input 2 22 6" xfId="8848"/>
    <cellStyle name="Input 2 23" xfId="8849"/>
    <cellStyle name="Input 2 23 2" xfId="8850"/>
    <cellStyle name="Input 2 23 3" xfId="8851"/>
    <cellStyle name="Input 2 23 4" xfId="8852"/>
    <cellStyle name="Input 2 23 5" xfId="8853"/>
    <cellStyle name="Input 2 23 6" xfId="8854"/>
    <cellStyle name="Input 2 24" xfId="8855"/>
    <cellStyle name="Input 2 24 2" xfId="8856"/>
    <cellStyle name="Input 2 24 3" xfId="8857"/>
    <cellStyle name="Input 2 24 4" xfId="8858"/>
    <cellStyle name="Input 2 24 5" xfId="8859"/>
    <cellStyle name="Input 2 24 6" xfId="8860"/>
    <cellStyle name="Input 2 25" xfId="8861"/>
    <cellStyle name="Input 2 25 2" xfId="8862"/>
    <cellStyle name="Input 2 25 3" xfId="8863"/>
    <cellStyle name="Input 2 25 4" xfId="8864"/>
    <cellStyle name="Input 2 25 5" xfId="8865"/>
    <cellStyle name="Input 2 25 6" xfId="8866"/>
    <cellStyle name="Input 2 26" xfId="8867"/>
    <cellStyle name="Input 2 26 2" xfId="8868"/>
    <cellStyle name="Input 2 26 3" xfId="8869"/>
    <cellStyle name="Input 2 26 4" xfId="8870"/>
    <cellStyle name="Input 2 26 5" xfId="8871"/>
    <cellStyle name="Input 2 26 6" xfId="8872"/>
    <cellStyle name="Input 2 27" xfId="8873"/>
    <cellStyle name="Input 2 27 2" xfId="8874"/>
    <cellStyle name="Input 2 27 3" xfId="8875"/>
    <cellStyle name="Input 2 27 4" xfId="8876"/>
    <cellStyle name="Input 2 27 5" xfId="8877"/>
    <cellStyle name="Input 2 27 6" xfId="8878"/>
    <cellStyle name="Input 2 28" xfId="8879"/>
    <cellStyle name="Input 2 28 2" xfId="8880"/>
    <cellStyle name="Input 2 28 3" xfId="8881"/>
    <cellStyle name="Input 2 28 4" xfId="8882"/>
    <cellStyle name="Input 2 28 5" xfId="8883"/>
    <cellStyle name="Input 2 28 6" xfId="8884"/>
    <cellStyle name="Input 2 29" xfId="8885"/>
    <cellStyle name="Input 2 29 2" xfId="8886"/>
    <cellStyle name="Input 2 29 3" xfId="8887"/>
    <cellStyle name="Input 2 29 4" xfId="8888"/>
    <cellStyle name="Input 2 29 5" xfId="8889"/>
    <cellStyle name="Input 2 29 6" xfId="8890"/>
    <cellStyle name="Input 2 3" xfId="8891"/>
    <cellStyle name="Input 2 3 10" xfId="8892"/>
    <cellStyle name="Input 2 3 2" xfId="8893"/>
    <cellStyle name="Input 2 3 2 2" xfId="8894"/>
    <cellStyle name="Input 2 3 2 3" xfId="8895"/>
    <cellStyle name="Input 2 3 2 4" xfId="8896"/>
    <cellStyle name="Input 2 3 2 5" xfId="8897"/>
    <cellStyle name="Input 2 3 2 6" xfId="8898"/>
    <cellStyle name="Input 2 3 3" xfId="8899"/>
    <cellStyle name="Input 2 3 3 2" xfId="8900"/>
    <cellStyle name="Input 2 3 3 3" xfId="8901"/>
    <cellStyle name="Input 2 3 3 4" xfId="8902"/>
    <cellStyle name="Input 2 3 3 5" xfId="8903"/>
    <cellStyle name="Input 2 3 3 6" xfId="8904"/>
    <cellStyle name="Input 2 3 4" xfId="8905"/>
    <cellStyle name="Input 2 3 4 2" xfId="8906"/>
    <cellStyle name="Input 2 3 4 3" xfId="8907"/>
    <cellStyle name="Input 2 3 4 4" xfId="8908"/>
    <cellStyle name="Input 2 3 4 5" xfId="8909"/>
    <cellStyle name="Input 2 3 4 6" xfId="8910"/>
    <cellStyle name="Input 2 3 5" xfId="8911"/>
    <cellStyle name="Input 2 3 5 2" xfId="8912"/>
    <cellStyle name="Input 2 3 5 3" xfId="8913"/>
    <cellStyle name="Input 2 3 5 4" xfId="8914"/>
    <cellStyle name="Input 2 3 5 5" xfId="8915"/>
    <cellStyle name="Input 2 3 5 6" xfId="8916"/>
    <cellStyle name="Input 2 3 6" xfId="8917"/>
    <cellStyle name="Input 2 3 7" xfId="8918"/>
    <cellStyle name="Input 2 3 8" xfId="8919"/>
    <cellStyle name="Input 2 3 9" xfId="8920"/>
    <cellStyle name="Input 2 30" xfId="8921"/>
    <cellStyle name="Input 2 30 2" xfId="8922"/>
    <cellStyle name="Input 2 30 3" xfId="8923"/>
    <cellStyle name="Input 2 30 4" xfId="8924"/>
    <cellStyle name="Input 2 31" xfId="8925"/>
    <cellStyle name="Input 2 32" xfId="8926"/>
    <cellStyle name="Input 2 33" xfId="8927"/>
    <cellStyle name="Input 2 34" xfId="8928"/>
    <cellStyle name="Input 2 35" xfId="8929"/>
    <cellStyle name="Input 2 36" xfId="8930"/>
    <cellStyle name="Input 2 37" xfId="8931"/>
    <cellStyle name="Input 2 38" xfId="8932"/>
    <cellStyle name="Input 2 39" xfId="8933"/>
    <cellStyle name="Input 2 4" xfId="8934"/>
    <cellStyle name="Input 2 4 2" xfId="8935"/>
    <cellStyle name="Input 2 4 3" xfId="8936"/>
    <cellStyle name="Input 2 4 4" xfId="8937"/>
    <cellStyle name="Input 2 4 5" xfId="8938"/>
    <cellStyle name="Input 2 4 6" xfId="8939"/>
    <cellStyle name="Input 2 40" xfId="8940"/>
    <cellStyle name="Input 2 41" xfId="8941"/>
    <cellStyle name="Input 2 42" xfId="8942"/>
    <cellStyle name="Input 2 43" xfId="8943"/>
    <cellStyle name="Input 2 44" xfId="8944"/>
    <cellStyle name="Input 2 45" xfId="8945"/>
    <cellStyle name="Input 2 46" xfId="8946"/>
    <cellStyle name="Input 2 47" xfId="8947"/>
    <cellStyle name="Input 2 48" xfId="8948"/>
    <cellStyle name="Input 2 49" xfId="8949"/>
    <cellStyle name="Input 2 5" xfId="8950"/>
    <cellStyle name="Input 2 5 2" xfId="8951"/>
    <cellStyle name="Input 2 5 3" xfId="8952"/>
    <cellStyle name="Input 2 5 4" xfId="8953"/>
    <cellStyle name="Input 2 5 5" xfId="8954"/>
    <cellStyle name="Input 2 5 6" xfId="8955"/>
    <cellStyle name="Input 2 50" xfId="8956"/>
    <cellStyle name="Input 2 51" xfId="8957"/>
    <cellStyle name="Input 2 52" xfId="8958"/>
    <cellStyle name="Input 2 53" xfId="8959"/>
    <cellStyle name="Input 2 54" xfId="8960"/>
    <cellStyle name="Input 2 55" xfId="8961"/>
    <cellStyle name="Input 2 56" xfId="8962"/>
    <cellStyle name="Input 2 57" xfId="8963"/>
    <cellStyle name="Input 2 58" xfId="8964"/>
    <cellStyle name="Input 2 59" xfId="8965"/>
    <cellStyle name="Input 2 6" xfId="8966"/>
    <cellStyle name="Input 2 6 2" xfId="8967"/>
    <cellStyle name="Input 2 6 3" xfId="8968"/>
    <cellStyle name="Input 2 6 4" xfId="8969"/>
    <cellStyle name="Input 2 6 5" xfId="8970"/>
    <cellStyle name="Input 2 6 6" xfId="8971"/>
    <cellStyle name="Input 2 60" xfId="8972"/>
    <cellStyle name="Input 2 61" xfId="8973"/>
    <cellStyle name="Input 2 62" xfId="8974"/>
    <cellStyle name="Input 2 63" xfId="8975"/>
    <cellStyle name="Input 2 64" xfId="8976"/>
    <cellStyle name="Input 2 65" xfId="8977"/>
    <cellStyle name="Input 2 66" xfId="8978"/>
    <cellStyle name="Input 2 67" xfId="8979"/>
    <cellStyle name="Input 2 7" xfId="8980"/>
    <cellStyle name="Input 2 7 2" xfId="8981"/>
    <cellStyle name="Input 2 7 3" xfId="8982"/>
    <cellStyle name="Input 2 7 4" xfId="8983"/>
    <cellStyle name="Input 2 7 5" xfId="8984"/>
    <cellStyle name="Input 2 7 6" xfId="8985"/>
    <cellStyle name="Input 2 8" xfId="8986"/>
    <cellStyle name="Input 2 8 2" xfId="8987"/>
    <cellStyle name="Input 2 8 3" xfId="8988"/>
    <cellStyle name="Input 2 8 4" xfId="8989"/>
    <cellStyle name="Input 2 8 5" xfId="8990"/>
    <cellStyle name="Input 2 8 6" xfId="8991"/>
    <cellStyle name="Input 2 9" xfId="8992"/>
    <cellStyle name="Input 2 9 2" xfId="8993"/>
    <cellStyle name="Input 2 9 3" xfId="8994"/>
    <cellStyle name="Input 2 9 4" xfId="8995"/>
    <cellStyle name="Input 2 9 5" xfId="8996"/>
    <cellStyle name="Input 2 9 6" xfId="8997"/>
    <cellStyle name="Input 3" xfId="8998"/>
    <cellStyle name="Input 3 10" xfId="8999"/>
    <cellStyle name="Input 3 10 2" xfId="9000"/>
    <cellStyle name="Input 3 10 3" xfId="9001"/>
    <cellStyle name="Input 3 10 4" xfId="9002"/>
    <cellStyle name="Input 3 10 5" xfId="9003"/>
    <cellStyle name="Input 3 10 6" xfId="9004"/>
    <cellStyle name="Input 3 11" xfId="9005"/>
    <cellStyle name="Input 3 11 2" xfId="9006"/>
    <cellStyle name="Input 3 11 3" xfId="9007"/>
    <cellStyle name="Input 3 11 4" xfId="9008"/>
    <cellStyle name="Input 3 11 5" xfId="9009"/>
    <cellStyle name="Input 3 11 6" xfId="9010"/>
    <cellStyle name="Input 3 12" xfId="9011"/>
    <cellStyle name="Input 3 12 2" xfId="9012"/>
    <cellStyle name="Input 3 12 3" xfId="9013"/>
    <cellStyle name="Input 3 12 4" xfId="9014"/>
    <cellStyle name="Input 3 12 5" xfId="9015"/>
    <cellStyle name="Input 3 12 6" xfId="9016"/>
    <cellStyle name="Input 3 13" xfId="9017"/>
    <cellStyle name="Input 3 13 2" xfId="9018"/>
    <cellStyle name="Input 3 13 3" xfId="9019"/>
    <cellStyle name="Input 3 13 4" xfId="9020"/>
    <cellStyle name="Input 3 13 5" xfId="9021"/>
    <cellStyle name="Input 3 13 6" xfId="9022"/>
    <cellStyle name="Input 3 14" xfId="9023"/>
    <cellStyle name="Input 3 14 2" xfId="9024"/>
    <cellStyle name="Input 3 14 3" xfId="9025"/>
    <cellStyle name="Input 3 14 4" xfId="9026"/>
    <cellStyle name="Input 3 14 5" xfId="9027"/>
    <cellStyle name="Input 3 14 6" xfId="9028"/>
    <cellStyle name="Input 3 15" xfId="9029"/>
    <cellStyle name="Input 3 15 2" xfId="9030"/>
    <cellStyle name="Input 3 15 3" xfId="9031"/>
    <cellStyle name="Input 3 15 4" xfId="9032"/>
    <cellStyle name="Input 3 15 5" xfId="9033"/>
    <cellStyle name="Input 3 15 6" xfId="9034"/>
    <cellStyle name="Input 3 16" xfId="9035"/>
    <cellStyle name="Input 3 16 2" xfId="9036"/>
    <cellStyle name="Input 3 16 3" xfId="9037"/>
    <cellStyle name="Input 3 16 4" xfId="9038"/>
    <cellStyle name="Input 3 16 5" xfId="9039"/>
    <cellStyle name="Input 3 16 6" xfId="9040"/>
    <cellStyle name="Input 3 17" xfId="9041"/>
    <cellStyle name="Input 3 17 2" xfId="9042"/>
    <cellStyle name="Input 3 17 3" xfId="9043"/>
    <cellStyle name="Input 3 17 4" xfId="9044"/>
    <cellStyle name="Input 3 17 5" xfId="9045"/>
    <cellStyle name="Input 3 17 6" xfId="9046"/>
    <cellStyle name="Input 3 18" xfId="9047"/>
    <cellStyle name="Input 3 18 2" xfId="9048"/>
    <cellStyle name="Input 3 18 3" xfId="9049"/>
    <cellStyle name="Input 3 18 4" xfId="9050"/>
    <cellStyle name="Input 3 18 5" xfId="9051"/>
    <cellStyle name="Input 3 18 6" xfId="9052"/>
    <cellStyle name="Input 3 19" xfId="9053"/>
    <cellStyle name="Input 3 19 2" xfId="9054"/>
    <cellStyle name="Input 3 19 3" xfId="9055"/>
    <cellStyle name="Input 3 19 4" xfId="9056"/>
    <cellStyle name="Input 3 19 5" xfId="9057"/>
    <cellStyle name="Input 3 19 6" xfId="9058"/>
    <cellStyle name="Input 3 2" xfId="9059"/>
    <cellStyle name="Input 3 2 10" xfId="9060"/>
    <cellStyle name="Input 3 2 10 2" xfId="9061"/>
    <cellStyle name="Input 3 2 10 3" xfId="9062"/>
    <cellStyle name="Input 3 2 10 4" xfId="9063"/>
    <cellStyle name="Input 3 2 10 5" xfId="9064"/>
    <cellStyle name="Input 3 2 10 6" xfId="9065"/>
    <cellStyle name="Input 3 2 11" xfId="9066"/>
    <cellStyle name="Input 3 2 11 2" xfId="9067"/>
    <cellStyle name="Input 3 2 11 3" xfId="9068"/>
    <cellStyle name="Input 3 2 11 4" xfId="9069"/>
    <cellStyle name="Input 3 2 11 5" xfId="9070"/>
    <cellStyle name="Input 3 2 11 6" xfId="9071"/>
    <cellStyle name="Input 3 2 12" xfId="9072"/>
    <cellStyle name="Input 3 2 12 2" xfId="9073"/>
    <cellStyle name="Input 3 2 12 3" xfId="9074"/>
    <cellStyle name="Input 3 2 12 4" xfId="9075"/>
    <cellStyle name="Input 3 2 12 5" xfId="9076"/>
    <cellStyle name="Input 3 2 12 6" xfId="9077"/>
    <cellStyle name="Input 3 2 13" xfId="9078"/>
    <cellStyle name="Input 3 2 13 2" xfId="9079"/>
    <cellStyle name="Input 3 2 13 3" xfId="9080"/>
    <cellStyle name="Input 3 2 13 4" xfId="9081"/>
    <cellStyle name="Input 3 2 13 5" xfId="9082"/>
    <cellStyle name="Input 3 2 13 6" xfId="9083"/>
    <cellStyle name="Input 3 2 14" xfId="9084"/>
    <cellStyle name="Input 3 2 14 2" xfId="9085"/>
    <cellStyle name="Input 3 2 14 3" xfId="9086"/>
    <cellStyle name="Input 3 2 14 4" xfId="9087"/>
    <cellStyle name="Input 3 2 14 5" xfId="9088"/>
    <cellStyle name="Input 3 2 14 6" xfId="9089"/>
    <cellStyle name="Input 3 2 15" xfId="9090"/>
    <cellStyle name="Input 3 2 15 2" xfId="9091"/>
    <cellStyle name="Input 3 2 15 3" xfId="9092"/>
    <cellStyle name="Input 3 2 15 4" xfId="9093"/>
    <cellStyle name="Input 3 2 15 5" xfId="9094"/>
    <cellStyle name="Input 3 2 15 6" xfId="9095"/>
    <cellStyle name="Input 3 2 16" xfId="9096"/>
    <cellStyle name="Input 3 2 16 2" xfId="9097"/>
    <cellStyle name="Input 3 2 16 3" xfId="9098"/>
    <cellStyle name="Input 3 2 16 4" xfId="9099"/>
    <cellStyle name="Input 3 2 16 5" xfId="9100"/>
    <cellStyle name="Input 3 2 16 6" xfId="9101"/>
    <cellStyle name="Input 3 2 17" xfId="9102"/>
    <cellStyle name="Input 3 2 17 2" xfId="9103"/>
    <cellStyle name="Input 3 2 17 3" xfId="9104"/>
    <cellStyle name="Input 3 2 17 4" xfId="9105"/>
    <cellStyle name="Input 3 2 17 5" xfId="9106"/>
    <cellStyle name="Input 3 2 17 6" xfId="9107"/>
    <cellStyle name="Input 3 2 18" xfId="9108"/>
    <cellStyle name="Input 3 2 18 2" xfId="9109"/>
    <cellStyle name="Input 3 2 18 3" xfId="9110"/>
    <cellStyle name="Input 3 2 18 4" xfId="9111"/>
    <cellStyle name="Input 3 2 18 5" xfId="9112"/>
    <cellStyle name="Input 3 2 18 6" xfId="9113"/>
    <cellStyle name="Input 3 2 19" xfId="9114"/>
    <cellStyle name="Input 3 2 19 2" xfId="9115"/>
    <cellStyle name="Input 3 2 19 3" xfId="9116"/>
    <cellStyle name="Input 3 2 19 4" xfId="9117"/>
    <cellStyle name="Input 3 2 19 5" xfId="9118"/>
    <cellStyle name="Input 3 2 19 6" xfId="9119"/>
    <cellStyle name="Input 3 2 2" xfId="9120"/>
    <cellStyle name="Input 3 2 2 10" xfId="9121"/>
    <cellStyle name="Input 3 2 2 2" xfId="9122"/>
    <cellStyle name="Input 3 2 2 2 2" xfId="9123"/>
    <cellStyle name="Input 3 2 2 2 3" xfId="9124"/>
    <cellStyle name="Input 3 2 2 2 4" xfId="9125"/>
    <cellStyle name="Input 3 2 2 2 5" xfId="9126"/>
    <cellStyle name="Input 3 2 2 2 6" xfId="9127"/>
    <cellStyle name="Input 3 2 2 3" xfId="9128"/>
    <cellStyle name="Input 3 2 2 3 2" xfId="9129"/>
    <cellStyle name="Input 3 2 2 3 3" xfId="9130"/>
    <cellStyle name="Input 3 2 2 3 4" xfId="9131"/>
    <cellStyle name="Input 3 2 2 3 5" xfId="9132"/>
    <cellStyle name="Input 3 2 2 3 6" xfId="9133"/>
    <cellStyle name="Input 3 2 2 4" xfId="9134"/>
    <cellStyle name="Input 3 2 2 4 2" xfId="9135"/>
    <cellStyle name="Input 3 2 2 4 3" xfId="9136"/>
    <cellStyle name="Input 3 2 2 4 4" xfId="9137"/>
    <cellStyle name="Input 3 2 2 4 5" xfId="9138"/>
    <cellStyle name="Input 3 2 2 4 6" xfId="9139"/>
    <cellStyle name="Input 3 2 2 5" xfId="9140"/>
    <cellStyle name="Input 3 2 2 5 2" xfId="9141"/>
    <cellStyle name="Input 3 2 2 5 3" xfId="9142"/>
    <cellStyle name="Input 3 2 2 5 4" xfId="9143"/>
    <cellStyle name="Input 3 2 2 5 5" xfId="9144"/>
    <cellStyle name="Input 3 2 2 5 6" xfId="9145"/>
    <cellStyle name="Input 3 2 2 6" xfId="9146"/>
    <cellStyle name="Input 3 2 2 7" xfId="9147"/>
    <cellStyle name="Input 3 2 2 8" xfId="9148"/>
    <cellStyle name="Input 3 2 2 9" xfId="9149"/>
    <cellStyle name="Input 3 2 20" xfId="9150"/>
    <cellStyle name="Input 3 2 20 2" xfId="9151"/>
    <cellStyle name="Input 3 2 20 3" xfId="9152"/>
    <cellStyle name="Input 3 2 20 4" xfId="9153"/>
    <cellStyle name="Input 3 2 20 5" xfId="9154"/>
    <cellStyle name="Input 3 2 20 6" xfId="9155"/>
    <cellStyle name="Input 3 2 21" xfId="9156"/>
    <cellStyle name="Input 3 2 21 2" xfId="9157"/>
    <cellStyle name="Input 3 2 21 3" xfId="9158"/>
    <cellStyle name="Input 3 2 21 4" xfId="9159"/>
    <cellStyle name="Input 3 2 21 5" xfId="9160"/>
    <cellStyle name="Input 3 2 21 6" xfId="9161"/>
    <cellStyle name="Input 3 2 22" xfId="9162"/>
    <cellStyle name="Input 3 2 22 2" xfId="9163"/>
    <cellStyle name="Input 3 2 22 3" xfId="9164"/>
    <cellStyle name="Input 3 2 22 4" xfId="9165"/>
    <cellStyle name="Input 3 2 22 5" xfId="9166"/>
    <cellStyle name="Input 3 2 22 6" xfId="9167"/>
    <cellStyle name="Input 3 2 23" xfId="9168"/>
    <cellStyle name="Input 3 2 23 2" xfId="9169"/>
    <cellStyle name="Input 3 2 23 3" xfId="9170"/>
    <cellStyle name="Input 3 2 23 4" xfId="9171"/>
    <cellStyle name="Input 3 2 23 5" xfId="9172"/>
    <cellStyle name="Input 3 2 23 6" xfId="9173"/>
    <cellStyle name="Input 3 2 24" xfId="9174"/>
    <cellStyle name="Input 3 2 24 2" xfId="9175"/>
    <cellStyle name="Input 3 2 24 3" xfId="9176"/>
    <cellStyle name="Input 3 2 24 4" xfId="9177"/>
    <cellStyle name="Input 3 2 24 5" xfId="9178"/>
    <cellStyle name="Input 3 2 24 6" xfId="9179"/>
    <cellStyle name="Input 3 2 25" xfId="9180"/>
    <cellStyle name="Input 3 2 25 2" xfId="9181"/>
    <cellStyle name="Input 3 2 25 3" xfId="9182"/>
    <cellStyle name="Input 3 2 25 4" xfId="9183"/>
    <cellStyle name="Input 3 2 25 5" xfId="9184"/>
    <cellStyle name="Input 3 2 25 6" xfId="9185"/>
    <cellStyle name="Input 3 2 26" xfId="9186"/>
    <cellStyle name="Input 3 2 26 2" xfId="9187"/>
    <cellStyle name="Input 3 2 26 3" xfId="9188"/>
    <cellStyle name="Input 3 2 26 4" xfId="9189"/>
    <cellStyle name="Input 3 2 26 5" xfId="9190"/>
    <cellStyle name="Input 3 2 26 6" xfId="9191"/>
    <cellStyle name="Input 3 2 27" xfId="9192"/>
    <cellStyle name="Input 3 2 27 2" xfId="9193"/>
    <cellStyle name="Input 3 2 27 3" xfId="9194"/>
    <cellStyle name="Input 3 2 27 4" xfId="9195"/>
    <cellStyle name="Input 3 2 27 5" xfId="9196"/>
    <cellStyle name="Input 3 2 27 6" xfId="9197"/>
    <cellStyle name="Input 3 2 28" xfId="9198"/>
    <cellStyle name="Input 3 2 28 2" xfId="9199"/>
    <cellStyle name="Input 3 2 28 3" xfId="9200"/>
    <cellStyle name="Input 3 2 28 4" xfId="9201"/>
    <cellStyle name="Input 3 2 28 5" xfId="9202"/>
    <cellStyle name="Input 3 2 28 6" xfId="9203"/>
    <cellStyle name="Input 3 2 29" xfId="9204"/>
    <cellStyle name="Input 3 2 29 2" xfId="9205"/>
    <cellStyle name="Input 3 2 29 3" xfId="9206"/>
    <cellStyle name="Input 3 2 29 4" xfId="9207"/>
    <cellStyle name="Input 3 2 3" xfId="9208"/>
    <cellStyle name="Input 3 2 3 2" xfId="9209"/>
    <cellStyle name="Input 3 2 3 3" xfId="9210"/>
    <cellStyle name="Input 3 2 3 4" xfId="9211"/>
    <cellStyle name="Input 3 2 3 5" xfId="9212"/>
    <cellStyle name="Input 3 2 3 6" xfId="9213"/>
    <cellStyle name="Input 3 2 30" xfId="9214"/>
    <cellStyle name="Input 3 2 31" xfId="9215"/>
    <cellStyle name="Input 3 2 32" xfId="9216"/>
    <cellStyle name="Input 3 2 33" xfId="9217"/>
    <cellStyle name="Input 3 2 34" xfId="9218"/>
    <cellStyle name="Input 3 2 35" xfId="9219"/>
    <cellStyle name="Input 3 2 36" xfId="9220"/>
    <cellStyle name="Input 3 2 37" xfId="9221"/>
    <cellStyle name="Input 3 2 38" xfId="9222"/>
    <cellStyle name="Input 3 2 39" xfId="9223"/>
    <cellStyle name="Input 3 2 4" xfId="9224"/>
    <cellStyle name="Input 3 2 4 2" xfId="9225"/>
    <cellStyle name="Input 3 2 4 3" xfId="9226"/>
    <cellStyle name="Input 3 2 4 4" xfId="9227"/>
    <cellStyle name="Input 3 2 4 5" xfId="9228"/>
    <cellStyle name="Input 3 2 4 6" xfId="9229"/>
    <cellStyle name="Input 3 2 40" xfId="9230"/>
    <cellStyle name="Input 3 2 41" xfId="9231"/>
    <cellStyle name="Input 3 2 42" xfId="9232"/>
    <cellStyle name="Input 3 2 43" xfId="9233"/>
    <cellStyle name="Input 3 2 44" xfId="9234"/>
    <cellStyle name="Input 3 2 45" xfId="9235"/>
    <cellStyle name="Input 3 2 46" xfId="9236"/>
    <cellStyle name="Input 3 2 47" xfId="9237"/>
    <cellStyle name="Input 3 2 48" xfId="9238"/>
    <cellStyle name="Input 3 2 49" xfId="9239"/>
    <cellStyle name="Input 3 2 5" xfId="9240"/>
    <cellStyle name="Input 3 2 5 2" xfId="9241"/>
    <cellStyle name="Input 3 2 5 3" xfId="9242"/>
    <cellStyle name="Input 3 2 5 4" xfId="9243"/>
    <cellStyle name="Input 3 2 5 5" xfId="9244"/>
    <cellStyle name="Input 3 2 5 6" xfId="9245"/>
    <cellStyle name="Input 3 2 50" xfId="9246"/>
    <cellStyle name="Input 3 2 51" xfId="9247"/>
    <cellStyle name="Input 3 2 52" xfId="9248"/>
    <cellStyle name="Input 3 2 53" xfId="9249"/>
    <cellStyle name="Input 3 2 54" xfId="9250"/>
    <cellStyle name="Input 3 2 55" xfId="9251"/>
    <cellStyle name="Input 3 2 56" xfId="9252"/>
    <cellStyle name="Input 3 2 57" xfId="9253"/>
    <cellStyle name="Input 3 2 58" xfId="9254"/>
    <cellStyle name="Input 3 2 59" xfId="9255"/>
    <cellStyle name="Input 3 2 6" xfId="9256"/>
    <cellStyle name="Input 3 2 6 2" xfId="9257"/>
    <cellStyle name="Input 3 2 6 3" xfId="9258"/>
    <cellStyle name="Input 3 2 6 4" xfId="9259"/>
    <cellStyle name="Input 3 2 6 5" xfId="9260"/>
    <cellStyle name="Input 3 2 6 6" xfId="9261"/>
    <cellStyle name="Input 3 2 60" xfId="9262"/>
    <cellStyle name="Input 3 2 61" xfId="9263"/>
    <cellStyle name="Input 3 2 62" xfId="9264"/>
    <cellStyle name="Input 3 2 63" xfId="9265"/>
    <cellStyle name="Input 3 2 64" xfId="9266"/>
    <cellStyle name="Input 3 2 65" xfId="9267"/>
    <cellStyle name="Input 3 2 66" xfId="9268"/>
    <cellStyle name="Input 3 2 7" xfId="9269"/>
    <cellStyle name="Input 3 2 7 2" xfId="9270"/>
    <cellStyle name="Input 3 2 7 3" xfId="9271"/>
    <cellStyle name="Input 3 2 7 4" xfId="9272"/>
    <cellStyle name="Input 3 2 7 5" xfId="9273"/>
    <cellStyle name="Input 3 2 7 6" xfId="9274"/>
    <cellStyle name="Input 3 2 8" xfId="9275"/>
    <cellStyle name="Input 3 2 8 2" xfId="9276"/>
    <cellStyle name="Input 3 2 8 3" xfId="9277"/>
    <cellStyle name="Input 3 2 8 4" xfId="9278"/>
    <cellStyle name="Input 3 2 8 5" xfId="9279"/>
    <cellStyle name="Input 3 2 8 6" xfId="9280"/>
    <cellStyle name="Input 3 2 9" xfId="9281"/>
    <cellStyle name="Input 3 2 9 2" xfId="9282"/>
    <cellStyle name="Input 3 2 9 3" xfId="9283"/>
    <cellStyle name="Input 3 2 9 4" xfId="9284"/>
    <cellStyle name="Input 3 2 9 5" xfId="9285"/>
    <cellStyle name="Input 3 2 9 6" xfId="9286"/>
    <cellStyle name="Input 3 20" xfId="9287"/>
    <cellStyle name="Input 3 20 2" xfId="9288"/>
    <cellStyle name="Input 3 20 3" xfId="9289"/>
    <cellStyle name="Input 3 20 4" xfId="9290"/>
    <cellStyle name="Input 3 20 5" xfId="9291"/>
    <cellStyle name="Input 3 20 6" xfId="9292"/>
    <cellStyle name="Input 3 21" xfId="9293"/>
    <cellStyle name="Input 3 21 2" xfId="9294"/>
    <cellStyle name="Input 3 21 3" xfId="9295"/>
    <cellStyle name="Input 3 21 4" xfId="9296"/>
    <cellStyle name="Input 3 21 5" xfId="9297"/>
    <cellStyle name="Input 3 21 6" xfId="9298"/>
    <cellStyle name="Input 3 22" xfId="9299"/>
    <cellStyle name="Input 3 22 2" xfId="9300"/>
    <cellStyle name="Input 3 22 3" xfId="9301"/>
    <cellStyle name="Input 3 22 4" xfId="9302"/>
    <cellStyle name="Input 3 22 5" xfId="9303"/>
    <cellStyle name="Input 3 22 6" xfId="9304"/>
    <cellStyle name="Input 3 23" xfId="9305"/>
    <cellStyle name="Input 3 23 2" xfId="9306"/>
    <cellStyle name="Input 3 23 3" xfId="9307"/>
    <cellStyle name="Input 3 23 4" xfId="9308"/>
    <cellStyle name="Input 3 23 5" xfId="9309"/>
    <cellStyle name="Input 3 23 6" xfId="9310"/>
    <cellStyle name="Input 3 24" xfId="9311"/>
    <cellStyle name="Input 3 24 2" xfId="9312"/>
    <cellStyle name="Input 3 24 3" xfId="9313"/>
    <cellStyle name="Input 3 24 4" xfId="9314"/>
    <cellStyle name="Input 3 24 5" xfId="9315"/>
    <cellStyle name="Input 3 24 6" xfId="9316"/>
    <cellStyle name="Input 3 25" xfId="9317"/>
    <cellStyle name="Input 3 25 2" xfId="9318"/>
    <cellStyle name="Input 3 25 3" xfId="9319"/>
    <cellStyle name="Input 3 25 4" xfId="9320"/>
    <cellStyle name="Input 3 25 5" xfId="9321"/>
    <cellStyle name="Input 3 25 6" xfId="9322"/>
    <cellStyle name="Input 3 26" xfId="9323"/>
    <cellStyle name="Input 3 26 2" xfId="9324"/>
    <cellStyle name="Input 3 26 3" xfId="9325"/>
    <cellStyle name="Input 3 26 4" xfId="9326"/>
    <cellStyle name="Input 3 26 5" xfId="9327"/>
    <cellStyle name="Input 3 26 6" xfId="9328"/>
    <cellStyle name="Input 3 27" xfId="9329"/>
    <cellStyle name="Input 3 27 2" xfId="9330"/>
    <cellStyle name="Input 3 27 3" xfId="9331"/>
    <cellStyle name="Input 3 27 4" xfId="9332"/>
    <cellStyle name="Input 3 27 5" xfId="9333"/>
    <cellStyle name="Input 3 27 6" xfId="9334"/>
    <cellStyle name="Input 3 28" xfId="9335"/>
    <cellStyle name="Input 3 28 2" xfId="9336"/>
    <cellStyle name="Input 3 28 3" xfId="9337"/>
    <cellStyle name="Input 3 28 4" xfId="9338"/>
    <cellStyle name="Input 3 28 5" xfId="9339"/>
    <cellStyle name="Input 3 28 6" xfId="9340"/>
    <cellStyle name="Input 3 29" xfId="9341"/>
    <cellStyle name="Input 3 29 2" xfId="9342"/>
    <cellStyle name="Input 3 29 3" xfId="9343"/>
    <cellStyle name="Input 3 29 4" xfId="9344"/>
    <cellStyle name="Input 3 29 5" xfId="9345"/>
    <cellStyle name="Input 3 29 6" xfId="9346"/>
    <cellStyle name="Input 3 3" xfId="9347"/>
    <cellStyle name="Input 3 3 10" xfId="9348"/>
    <cellStyle name="Input 3 3 2" xfId="9349"/>
    <cellStyle name="Input 3 3 2 2" xfId="9350"/>
    <cellStyle name="Input 3 3 2 3" xfId="9351"/>
    <cellStyle name="Input 3 3 2 4" xfId="9352"/>
    <cellStyle name="Input 3 3 2 5" xfId="9353"/>
    <cellStyle name="Input 3 3 2 6" xfId="9354"/>
    <cellStyle name="Input 3 3 3" xfId="9355"/>
    <cellStyle name="Input 3 3 3 2" xfId="9356"/>
    <cellStyle name="Input 3 3 3 3" xfId="9357"/>
    <cellStyle name="Input 3 3 3 4" xfId="9358"/>
    <cellStyle name="Input 3 3 3 5" xfId="9359"/>
    <cellStyle name="Input 3 3 3 6" xfId="9360"/>
    <cellStyle name="Input 3 3 4" xfId="9361"/>
    <cellStyle name="Input 3 3 4 2" xfId="9362"/>
    <cellStyle name="Input 3 3 4 3" xfId="9363"/>
    <cellStyle name="Input 3 3 4 4" xfId="9364"/>
    <cellStyle name="Input 3 3 4 5" xfId="9365"/>
    <cellStyle name="Input 3 3 4 6" xfId="9366"/>
    <cellStyle name="Input 3 3 5" xfId="9367"/>
    <cellStyle name="Input 3 3 5 2" xfId="9368"/>
    <cellStyle name="Input 3 3 5 3" xfId="9369"/>
    <cellStyle name="Input 3 3 5 4" xfId="9370"/>
    <cellStyle name="Input 3 3 5 5" xfId="9371"/>
    <cellStyle name="Input 3 3 5 6" xfId="9372"/>
    <cellStyle name="Input 3 3 6" xfId="9373"/>
    <cellStyle name="Input 3 3 7" xfId="9374"/>
    <cellStyle name="Input 3 3 8" xfId="9375"/>
    <cellStyle name="Input 3 3 9" xfId="9376"/>
    <cellStyle name="Input 3 30" xfId="9377"/>
    <cellStyle name="Input 3 30 2" xfId="9378"/>
    <cellStyle name="Input 3 30 3" xfId="9379"/>
    <cellStyle name="Input 3 30 4" xfId="9380"/>
    <cellStyle name="Input 3 31" xfId="9381"/>
    <cellStyle name="Input 3 32" xfId="9382"/>
    <cellStyle name="Input 3 33" xfId="9383"/>
    <cellStyle name="Input 3 34" xfId="9384"/>
    <cellStyle name="Input 3 35" xfId="9385"/>
    <cellStyle name="Input 3 36" xfId="9386"/>
    <cellStyle name="Input 3 37" xfId="9387"/>
    <cellStyle name="Input 3 38" xfId="9388"/>
    <cellStyle name="Input 3 39" xfId="9389"/>
    <cellStyle name="Input 3 4" xfId="9390"/>
    <cellStyle name="Input 3 4 2" xfId="9391"/>
    <cellStyle name="Input 3 4 3" xfId="9392"/>
    <cellStyle name="Input 3 4 4" xfId="9393"/>
    <cellStyle name="Input 3 4 5" xfId="9394"/>
    <cellStyle name="Input 3 4 6" xfId="9395"/>
    <cellStyle name="Input 3 40" xfId="9396"/>
    <cellStyle name="Input 3 41" xfId="9397"/>
    <cellStyle name="Input 3 42" xfId="9398"/>
    <cellStyle name="Input 3 43" xfId="9399"/>
    <cellStyle name="Input 3 44" xfId="9400"/>
    <cellStyle name="Input 3 45" xfId="9401"/>
    <cellStyle name="Input 3 46" xfId="9402"/>
    <cellStyle name="Input 3 47" xfId="9403"/>
    <cellStyle name="Input 3 48" xfId="9404"/>
    <cellStyle name="Input 3 49" xfId="9405"/>
    <cellStyle name="Input 3 5" xfId="9406"/>
    <cellStyle name="Input 3 5 2" xfId="9407"/>
    <cellStyle name="Input 3 5 3" xfId="9408"/>
    <cellStyle name="Input 3 5 4" xfId="9409"/>
    <cellStyle name="Input 3 5 5" xfId="9410"/>
    <cellStyle name="Input 3 5 6" xfId="9411"/>
    <cellStyle name="Input 3 50" xfId="9412"/>
    <cellStyle name="Input 3 51" xfId="9413"/>
    <cellStyle name="Input 3 52" xfId="9414"/>
    <cellStyle name="Input 3 53" xfId="9415"/>
    <cellStyle name="Input 3 54" xfId="9416"/>
    <cellStyle name="Input 3 55" xfId="9417"/>
    <cellStyle name="Input 3 56" xfId="9418"/>
    <cellStyle name="Input 3 57" xfId="9419"/>
    <cellStyle name="Input 3 58" xfId="9420"/>
    <cellStyle name="Input 3 59" xfId="9421"/>
    <cellStyle name="Input 3 6" xfId="9422"/>
    <cellStyle name="Input 3 6 2" xfId="9423"/>
    <cellStyle name="Input 3 6 3" xfId="9424"/>
    <cellStyle name="Input 3 6 4" xfId="9425"/>
    <cellStyle name="Input 3 6 5" xfId="9426"/>
    <cellStyle name="Input 3 6 6" xfId="9427"/>
    <cellStyle name="Input 3 60" xfId="9428"/>
    <cellStyle name="Input 3 61" xfId="9429"/>
    <cellStyle name="Input 3 62" xfId="9430"/>
    <cellStyle name="Input 3 63" xfId="9431"/>
    <cellStyle name="Input 3 64" xfId="9432"/>
    <cellStyle name="Input 3 65" xfId="9433"/>
    <cellStyle name="Input 3 66" xfId="9434"/>
    <cellStyle name="Input 3 67" xfId="9435"/>
    <cellStyle name="Input 3 7" xfId="9436"/>
    <cellStyle name="Input 3 7 2" xfId="9437"/>
    <cellStyle name="Input 3 7 3" xfId="9438"/>
    <cellStyle name="Input 3 7 4" xfId="9439"/>
    <cellStyle name="Input 3 7 5" xfId="9440"/>
    <cellStyle name="Input 3 7 6" xfId="9441"/>
    <cellStyle name="Input 3 8" xfId="9442"/>
    <cellStyle name="Input 3 8 2" xfId="9443"/>
    <cellStyle name="Input 3 8 3" xfId="9444"/>
    <cellStyle name="Input 3 8 4" xfId="9445"/>
    <cellStyle name="Input 3 8 5" xfId="9446"/>
    <cellStyle name="Input 3 8 6" xfId="9447"/>
    <cellStyle name="Input 3 9" xfId="9448"/>
    <cellStyle name="Input 3 9 2" xfId="9449"/>
    <cellStyle name="Input 3 9 3" xfId="9450"/>
    <cellStyle name="Input 3 9 4" xfId="9451"/>
    <cellStyle name="Input 3 9 5" xfId="9452"/>
    <cellStyle name="Input 3 9 6" xfId="9453"/>
    <cellStyle name="Input 4" xfId="9454"/>
    <cellStyle name="Input 4 10" xfId="9455"/>
    <cellStyle name="Input 4 10 2" xfId="9456"/>
    <cellStyle name="Input 4 10 3" xfId="9457"/>
    <cellStyle name="Input 4 10 4" xfId="9458"/>
    <cellStyle name="Input 4 10 5" xfId="9459"/>
    <cellStyle name="Input 4 10 6" xfId="9460"/>
    <cellStyle name="Input 4 11" xfId="9461"/>
    <cellStyle name="Input 4 11 2" xfId="9462"/>
    <cellStyle name="Input 4 11 3" xfId="9463"/>
    <cellStyle name="Input 4 11 4" xfId="9464"/>
    <cellStyle name="Input 4 11 5" xfId="9465"/>
    <cellStyle name="Input 4 11 6" xfId="9466"/>
    <cellStyle name="Input 4 12" xfId="9467"/>
    <cellStyle name="Input 4 12 2" xfId="9468"/>
    <cellStyle name="Input 4 12 3" xfId="9469"/>
    <cellStyle name="Input 4 12 4" xfId="9470"/>
    <cellStyle name="Input 4 12 5" xfId="9471"/>
    <cellStyle name="Input 4 12 6" xfId="9472"/>
    <cellStyle name="Input 4 13" xfId="9473"/>
    <cellStyle name="Input 4 13 2" xfId="9474"/>
    <cellStyle name="Input 4 13 3" xfId="9475"/>
    <cellStyle name="Input 4 13 4" xfId="9476"/>
    <cellStyle name="Input 4 13 5" xfId="9477"/>
    <cellStyle name="Input 4 13 6" xfId="9478"/>
    <cellStyle name="Input 4 14" xfId="9479"/>
    <cellStyle name="Input 4 14 2" xfId="9480"/>
    <cellStyle name="Input 4 14 3" xfId="9481"/>
    <cellStyle name="Input 4 14 4" xfId="9482"/>
    <cellStyle name="Input 4 14 5" xfId="9483"/>
    <cellStyle name="Input 4 14 6" xfId="9484"/>
    <cellStyle name="Input 4 15" xfId="9485"/>
    <cellStyle name="Input 4 15 2" xfId="9486"/>
    <cellStyle name="Input 4 15 3" xfId="9487"/>
    <cellStyle name="Input 4 15 4" xfId="9488"/>
    <cellStyle name="Input 4 15 5" xfId="9489"/>
    <cellStyle name="Input 4 15 6" xfId="9490"/>
    <cellStyle name="Input 4 16" xfId="9491"/>
    <cellStyle name="Input 4 16 2" xfId="9492"/>
    <cellStyle name="Input 4 16 3" xfId="9493"/>
    <cellStyle name="Input 4 16 4" xfId="9494"/>
    <cellStyle name="Input 4 16 5" xfId="9495"/>
    <cellStyle name="Input 4 16 6" xfId="9496"/>
    <cellStyle name="Input 4 17" xfId="9497"/>
    <cellStyle name="Input 4 17 2" xfId="9498"/>
    <cellStyle name="Input 4 17 3" xfId="9499"/>
    <cellStyle name="Input 4 17 4" xfId="9500"/>
    <cellStyle name="Input 4 17 5" xfId="9501"/>
    <cellStyle name="Input 4 17 6" xfId="9502"/>
    <cellStyle name="Input 4 18" xfId="9503"/>
    <cellStyle name="Input 4 18 2" xfId="9504"/>
    <cellStyle name="Input 4 18 3" xfId="9505"/>
    <cellStyle name="Input 4 18 4" xfId="9506"/>
    <cellStyle name="Input 4 18 5" xfId="9507"/>
    <cellStyle name="Input 4 18 6" xfId="9508"/>
    <cellStyle name="Input 4 19" xfId="9509"/>
    <cellStyle name="Input 4 19 2" xfId="9510"/>
    <cellStyle name="Input 4 19 3" xfId="9511"/>
    <cellStyle name="Input 4 19 4" xfId="9512"/>
    <cellStyle name="Input 4 19 5" xfId="9513"/>
    <cellStyle name="Input 4 19 6" xfId="9514"/>
    <cellStyle name="Input 4 2" xfId="9515"/>
    <cellStyle name="Input 4 2 10" xfId="9516"/>
    <cellStyle name="Input 4 2 10 2" xfId="9517"/>
    <cellStyle name="Input 4 2 10 3" xfId="9518"/>
    <cellStyle name="Input 4 2 10 4" xfId="9519"/>
    <cellStyle name="Input 4 2 10 5" xfId="9520"/>
    <cellStyle name="Input 4 2 10 6" xfId="9521"/>
    <cellStyle name="Input 4 2 11" xfId="9522"/>
    <cellStyle name="Input 4 2 11 2" xfId="9523"/>
    <cellStyle name="Input 4 2 11 3" xfId="9524"/>
    <cellStyle name="Input 4 2 11 4" xfId="9525"/>
    <cellStyle name="Input 4 2 11 5" xfId="9526"/>
    <cellStyle name="Input 4 2 11 6" xfId="9527"/>
    <cellStyle name="Input 4 2 12" xfId="9528"/>
    <cellStyle name="Input 4 2 12 2" xfId="9529"/>
    <cellStyle name="Input 4 2 12 3" xfId="9530"/>
    <cellStyle name="Input 4 2 12 4" xfId="9531"/>
    <cellStyle name="Input 4 2 12 5" xfId="9532"/>
    <cellStyle name="Input 4 2 12 6" xfId="9533"/>
    <cellStyle name="Input 4 2 13" xfId="9534"/>
    <cellStyle name="Input 4 2 13 2" xfId="9535"/>
    <cellStyle name="Input 4 2 13 3" xfId="9536"/>
    <cellStyle name="Input 4 2 13 4" xfId="9537"/>
    <cellStyle name="Input 4 2 13 5" xfId="9538"/>
    <cellStyle name="Input 4 2 13 6" xfId="9539"/>
    <cellStyle name="Input 4 2 14" xfId="9540"/>
    <cellStyle name="Input 4 2 14 2" xfId="9541"/>
    <cellStyle name="Input 4 2 14 3" xfId="9542"/>
    <cellStyle name="Input 4 2 14 4" xfId="9543"/>
    <cellStyle name="Input 4 2 14 5" xfId="9544"/>
    <cellStyle name="Input 4 2 14 6" xfId="9545"/>
    <cellStyle name="Input 4 2 15" xfId="9546"/>
    <cellStyle name="Input 4 2 15 2" xfId="9547"/>
    <cellStyle name="Input 4 2 15 3" xfId="9548"/>
    <cellStyle name="Input 4 2 15 4" xfId="9549"/>
    <cellStyle name="Input 4 2 15 5" xfId="9550"/>
    <cellStyle name="Input 4 2 15 6" xfId="9551"/>
    <cellStyle name="Input 4 2 16" xfId="9552"/>
    <cellStyle name="Input 4 2 16 2" xfId="9553"/>
    <cellStyle name="Input 4 2 16 3" xfId="9554"/>
    <cellStyle name="Input 4 2 16 4" xfId="9555"/>
    <cellStyle name="Input 4 2 16 5" xfId="9556"/>
    <cellStyle name="Input 4 2 16 6" xfId="9557"/>
    <cellStyle name="Input 4 2 17" xfId="9558"/>
    <cellStyle name="Input 4 2 17 2" xfId="9559"/>
    <cellStyle name="Input 4 2 17 3" xfId="9560"/>
    <cellStyle name="Input 4 2 17 4" xfId="9561"/>
    <cellStyle name="Input 4 2 17 5" xfId="9562"/>
    <cellStyle name="Input 4 2 17 6" xfId="9563"/>
    <cellStyle name="Input 4 2 18" xfId="9564"/>
    <cellStyle name="Input 4 2 18 2" xfId="9565"/>
    <cellStyle name="Input 4 2 18 3" xfId="9566"/>
    <cellStyle name="Input 4 2 18 4" xfId="9567"/>
    <cellStyle name="Input 4 2 18 5" xfId="9568"/>
    <cellStyle name="Input 4 2 18 6" xfId="9569"/>
    <cellStyle name="Input 4 2 19" xfId="9570"/>
    <cellStyle name="Input 4 2 19 2" xfId="9571"/>
    <cellStyle name="Input 4 2 19 3" xfId="9572"/>
    <cellStyle name="Input 4 2 19 4" xfId="9573"/>
    <cellStyle name="Input 4 2 19 5" xfId="9574"/>
    <cellStyle name="Input 4 2 19 6" xfId="9575"/>
    <cellStyle name="Input 4 2 2" xfId="9576"/>
    <cellStyle name="Input 4 2 2 10" xfId="9577"/>
    <cellStyle name="Input 4 2 2 2" xfId="9578"/>
    <cellStyle name="Input 4 2 2 2 2" xfId="9579"/>
    <cellStyle name="Input 4 2 2 2 3" xfId="9580"/>
    <cellStyle name="Input 4 2 2 2 4" xfId="9581"/>
    <cellStyle name="Input 4 2 2 2 5" xfId="9582"/>
    <cellStyle name="Input 4 2 2 2 6" xfId="9583"/>
    <cellStyle name="Input 4 2 2 3" xfId="9584"/>
    <cellStyle name="Input 4 2 2 3 2" xfId="9585"/>
    <cellStyle name="Input 4 2 2 3 3" xfId="9586"/>
    <cellStyle name="Input 4 2 2 3 4" xfId="9587"/>
    <cellStyle name="Input 4 2 2 3 5" xfId="9588"/>
    <cellStyle name="Input 4 2 2 3 6" xfId="9589"/>
    <cellStyle name="Input 4 2 2 4" xfId="9590"/>
    <cellStyle name="Input 4 2 2 4 2" xfId="9591"/>
    <cellStyle name="Input 4 2 2 4 3" xfId="9592"/>
    <cellStyle name="Input 4 2 2 4 4" xfId="9593"/>
    <cellStyle name="Input 4 2 2 4 5" xfId="9594"/>
    <cellStyle name="Input 4 2 2 4 6" xfId="9595"/>
    <cellStyle name="Input 4 2 2 5" xfId="9596"/>
    <cellStyle name="Input 4 2 2 5 2" xfId="9597"/>
    <cellStyle name="Input 4 2 2 5 3" xfId="9598"/>
    <cellStyle name="Input 4 2 2 5 4" xfId="9599"/>
    <cellStyle name="Input 4 2 2 5 5" xfId="9600"/>
    <cellStyle name="Input 4 2 2 5 6" xfId="9601"/>
    <cellStyle name="Input 4 2 2 6" xfId="9602"/>
    <cellStyle name="Input 4 2 2 7" xfId="9603"/>
    <cellStyle name="Input 4 2 2 8" xfId="9604"/>
    <cellStyle name="Input 4 2 2 9" xfId="9605"/>
    <cellStyle name="Input 4 2 20" xfId="9606"/>
    <cellStyle name="Input 4 2 20 2" xfId="9607"/>
    <cellStyle name="Input 4 2 20 3" xfId="9608"/>
    <cellStyle name="Input 4 2 20 4" xfId="9609"/>
    <cellStyle name="Input 4 2 20 5" xfId="9610"/>
    <cellStyle name="Input 4 2 20 6" xfId="9611"/>
    <cellStyle name="Input 4 2 21" xfId="9612"/>
    <cellStyle name="Input 4 2 21 2" xfId="9613"/>
    <cellStyle name="Input 4 2 21 3" xfId="9614"/>
    <cellStyle name="Input 4 2 21 4" xfId="9615"/>
    <cellStyle name="Input 4 2 21 5" xfId="9616"/>
    <cellStyle name="Input 4 2 21 6" xfId="9617"/>
    <cellStyle name="Input 4 2 22" xfId="9618"/>
    <cellStyle name="Input 4 2 22 2" xfId="9619"/>
    <cellStyle name="Input 4 2 22 3" xfId="9620"/>
    <cellStyle name="Input 4 2 22 4" xfId="9621"/>
    <cellStyle name="Input 4 2 22 5" xfId="9622"/>
    <cellStyle name="Input 4 2 22 6" xfId="9623"/>
    <cellStyle name="Input 4 2 23" xfId="9624"/>
    <cellStyle name="Input 4 2 23 2" xfId="9625"/>
    <cellStyle name="Input 4 2 23 3" xfId="9626"/>
    <cellStyle name="Input 4 2 23 4" xfId="9627"/>
    <cellStyle name="Input 4 2 23 5" xfId="9628"/>
    <cellStyle name="Input 4 2 23 6" xfId="9629"/>
    <cellStyle name="Input 4 2 24" xfId="9630"/>
    <cellStyle name="Input 4 2 24 2" xfId="9631"/>
    <cellStyle name="Input 4 2 24 3" xfId="9632"/>
    <cellStyle name="Input 4 2 24 4" xfId="9633"/>
    <cellStyle name="Input 4 2 24 5" xfId="9634"/>
    <cellStyle name="Input 4 2 24 6" xfId="9635"/>
    <cellStyle name="Input 4 2 25" xfId="9636"/>
    <cellStyle name="Input 4 2 25 2" xfId="9637"/>
    <cellStyle name="Input 4 2 25 3" xfId="9638"/>
    <cellStyle name="Input 4 2 25 4" xfId="9639"/>
    <cellStyle name="Input 4 2 25 5" xfId="9640"/>
    <cellStyle name="Input 4 2 25 6" xfId="9641"/>
    <cellStyle name="Input 4 2 26" xfId="9642"/>
    <cellStyle name="Input 4 2 26 2" xfId="9643"/>
    <cellStyle name="Input 4 2 26 3" xfId="9644"/>
    <cellStyle name="Input 4 2 26 4" xfId="9645"/>
    <cellStyle name="Input 4 2 26 5" xfId="9646"/>
    <cellStyle name="Input 4 2 26 6" xfId="9647"/>
    <cellStyle name="Input 4 2 27" xfId="9648"/>
    <cellStyle name="Input 4 2 27 2" xfId="9649"/>
    <cellStyle name="Input 4 2 27 3" xfId="9650"/>
    <cellStyle name="Input 4 2 27 4" xfId="9651"/>
    <cellStyle name="Input 4 2 27 5" xfId="9652"/>
    <cellStyle name="Input 4 2 27 6" xfId="9653"/>
    <cellStyle name="Input 4 2 28" xfId="9654"/>
    <cellStyle name="Input 4 2 28 2" xfId="9655"/>
    <cellStyle name="Input 4 2 28 3" xfId="9656"/>
    <cellStyle name="Input 4 2 28 4" xfId="9657"/>
    <cellStyle name="Input 4 2 28 5" xfId="9658"/>
    <cellStyle name="Input 4 2 28 6" xfId="9659"/>
    <cellStyle name="Input 4 2 29" xfId="9660"/>
    <cellStyle name="Input 4 2 29 2" xfId="9661"/>
    <cellStyle name="Input 4 2 29 3" xfId="9662"/>
    <cellStyle name="Input 4 2 29 4" xfId="9663"/>
    <cellStyle name="Input 4 2 3" xfId="9664"/>
    <cellStyle name="Input 4 2 3 2" xfId="9665"/>
    <cellStyle name="Input 4 2 3 3" xfId="9666"/>
    <cellStyle name="Input 4 2 3 4" xfId="9667"/>
    <cellStyle name="Input 4 2 3 5" xfId="9668"/>
    <cellStyle name="Input 4 2 3 6" xfId="9669"/>
    <cellStyle name="Input 4 2 30" xfId="9670"/>
    <cellStyle name="Input 4 2 31" xfId="9671"/>
    <cellStyle name="Input 4 2 32" xfId="9672"/>
    <cellStyle name="Input 4 2 33" xfId="9673"/>
    <cellStyle name="Input 4 2 34" xfId="9674"/>
    <cellStyle name="Input 4 2 35" xfId="9675"/>
    <cellStyle name="Input 4 2 36" xfId="9676"/>
    <cellStyle name="Input 4 2 37" xfId="9677"/>
    <cellStyle name="Input 4 2 38" xfId="9678"/>
    <cellStyle name="Input 4 2 39" xfId="9679"/>
    <cellStyle name="Input 4 2 4" xfId="9680"/>
    <cellStyle name="Input 4 2 4 2" xfId="9681"/>
    <cellStyle name="Input 4 2 4 3" xfId="9682"/>
    <cellStyle name="Input 4 2 4 4" xfId="9683"/>
    <cellStyle name="Input 4 2 4 5" xfId="9684"/>
    <cellStyle name="Input 4 2 4 6" xfId="9685"/>
    <cellStyle name="Input 4 2 40" xfId="9686"/>
    <cellStyle name="Input 4 2 41" xfId="9687"/>
    <cellStyle name="Input 4 2 42" xfId="9688"/>
    <cellStyle name="Input 4 2 43" xfId="9689"/>
    <cellStyle name="Input 4 2 44" xfId="9690"/>
    <cellStyle name="Input 4 2 45" xfId="9691"/>
    <cellStyle name="Input 4 2 46" xfId="9692"/>
    <cellStyle name="Input 4 2 47" xfId="9693"/>
    <cellStyle name="Input 4 2 48" xfId="9694"/>
    <cellStyle name="Input 4 2 49" xfId="9695"/>
    <cellStyle name="Input 4 2 5" xfId="9696"/>
    <cellStyle name="Input 4 2 5 2" xfId="9697"/>
    <cellStyle name="Input 4 2 5 3" xfId="9698"/>
    <cellStyle name="Input 4 2 5 4" xfId="9699"/>
    <cellStyle name="Input 4 2 5 5" xfId="9700"/>
    <cellStyle name="Input 4 2 5 6" xfId="9701"/>
    <cellStyle name="Input 4 2 50" xfId="9702"/>
    <cellStyle name="Input 4 2 51" xfId="9703"/>
    <cellStyle name="Input 4 2 52" xfId="9704"/>
    <cellStyle name="Input 4 2 53" xfId="9705"/>
    <cellStyle name="Input 4 2 54" xfId="9706"/>
    <cellStyle name="Input 4 2 55" xfId="9707"/>
    <cellStyle name="Input 4 2 56" xfId="9708"/>
    <cellStyle name="Input 4 2 57" xfId="9709"/>
    <cellStyle name="Input 4 2 58" xfId="9710"/>
    <cellStyle name="Input 4 2 59" xfId="9711"/>
    <cellStyle name="Input 4 2 6" xfId="9712"/>
    <cellStyle name="Input 4 2 6 2" xfId="9713"/>
    <cellStyle name="Input 4 2 6 3" xfId="9714"/>
    <cellStyle name="Input 4 2 6 4" xfId="9715"/>
    <cellStyle name="Input 4 2 6 5" xfId="9716"/>
    <cellStyle name="Input 4 2 6 6" xfId="9717"/>
    <cellStyle name="Input 4 2 60" xfId="9718"/>
    <cellStyle name="Input 4 2 61" xfId="9719"/>
    <cellStyle name="Input 4 2 62" xfId="9720"/>
    <cellStyle name="Input 4 2 63" xfId="9721"/>
    <cellStyle name="Input 4 2 64" xfId="9722"/>
    <cellStyle name="Input 4 2 65" xfId="9723"/>
    <cellStyle name="Input 4 2 66" xfId="9724"/>
    <cellStyle name="Input 4 2 7" xfId="9725"/>
    <cellStyle name="Input 4 2 7 2" xfId="9726"/>
    <cellStyle name="Input 4 2 7 3" xfId="9727"/>
    <cellStyle name="Input 4 2 7 4" xfId="9728"/>
    <cellStyle name="Input 4 2 7 5" xfId="9729"/>
    <cellStyle name="Input 4 2 7 6" xfId="9730"/>
    <cellStyle name="Input 4 2 8" xfId="9731"/>
    <cellStyle name="Input 4 2 8 2" xfId="9732"/>
    <cellStyle name="Input 4 2 8 3" xfId="9733"/>
    <cellStyle name="Input 4 2 8 4" xfId="9734"/>
    <cellStyle name="Input 4 2 8 5" xfId="9735"/>
    <cellStyle name="Input 4 2 8 6" xfId="9736"/>
    <cellStyle name="Input 4 2 9" xfId="9737"/>
    <cellStyle name="Input 4 2 9 2" xfId="9738"/>
    <cellStyle name="Input 4 2 9 3" xfId="9739"/>
    <cellStyle name="Input 4 2 9 4" xfId="9740"/>
    <cellStyle name="Input 4 2 9 5" xfId="9741"/>
    <cellStyle name="Input 4 2 9 6" xfId="9742"/>
    <cellStyle name="Input 4 20" xfId="9743"/>
    <cellStyle name="Input 4 20 2" xfId="9744"/>
    <cellStyle name="Input 4 20 3" xfId="9745"/>
    <cellStyle name="Input 4 20 4" xfId="9746"/>
    <cellStyle name="Input 4 20 5" xfId="9747"/>
    <cellStyle name="Input 4 20 6" xfId="9748"/>
    <cellStyle name="Input 4 21" xfId="9749"/>
    <cellStyle name="Input 4 21 2" xfId="9750"/>
    <cellStyle name="Input 4 21 3" xfId="9751"/>
    <cellStyle name="Input 4 21 4" xfId="9752"/>
    <cellStyle name="Input 4 21 5" xfId="9753"/>
    <cellStyle name="Input 4 21 6" xfId="9754"/>
    <cellStyle name="Input 4 22" xfId="9755"/>
    <cellStyle name="Input 4 22 2" xfId="9756"/>
    <cellStyle name="Input 4 22 3" xfId="9757"/>
    <cellStyle name="Input 4 22 4" xfId="9758"/>
    <cellStyle name="Input 4 22 5" xfId="9759"/>
    <cellStyle name="Input 4 22 6" xfId="9760"/>
    <cellStyle name="Input 4 23" xfId="9761"/>
    <cellStyle name="Input 4 23 2" xfId="9762"/>
    <cellStyle name="Input 4 23 3" xfId="9763"/>
    <cellStyle name="Input 4 23 4" xfId="9764"/>
    <cellStyle name="Input 4 23 5" xfId="9765"/>
    <cellStyle name="Input 4 23 6" xfId="9766"/>
    <cellStyle name="Input 4 24" xfId="9767"/>
    <cellStyle name="Input 4 24 2" xfId="9768"/>
    <cellStyle name="Input 4 24 3" xfId="9769"/>
    <cellStyle name="Input 4 24 4" xfId="9770"/>
    <cellStyle name="Input 4 24 5" xfId="9771"/>
    <cellStyle name="Input 4 24 6" xfId="9772"/>
    <cellStyle name="Input 4 25" xfId="9773"/>
    <cellStyle name="Input 4 25 2" xfId="9774"/>
    <cellStyle name="Input 4 25 3" xfId="9775"/>
    <cellStyle name="Input 4 25 4" xfId="9776"/>
    <cellStyle name="Input 4 25 5" xfId="9777"/>
    <cellStyle name="Input 4 25 6" xfId="9778"/>
    <cellStyle name="Input 4 26" xfId="9779"/>
    <cellStyle name="Input 4 26 2" xfId="9780"/>
    <cellStyle name="Input 4 26 3" xfId="9781"/>
    <cellStyle name="Input 4 26 4" xfId="9782"/>
    <cellStyle name="Input 4 26 5" xfId="9783"/>
    <cellStyle name="Input 4 26 6" xfId="9784"/>
    <cellStyle name="Input 4 27" xfId="9785"/>
    <cellStyle name="Input 4 27 2" xfId="9786"/>
    <cellStyle name="Input 4 27 3" xfId="9787"/>
    <cellStyle name="Input 4 27 4" xfId="9788"/>
    <cellStyle name="Input 4 27 5" xfId="9789"/>
    <cellStyle name="Input 4 27 6" xfId="9790"/>
    <cellStyle name="Input 4 28" xfId="9791"/>
    <cellStyle name="Input 4 28 2" xfId="9792"/>
    <cellStyle name="Input 4 28 3" xfId="9793"/>
    <cellStyle name="Input 4 28 4" xfId="9794"/>
    <cellStyle name="Input 4 28 5" xfId="9795"/>
    <cellStyle name="Input 4 28 6" xfId="9796"/>
    <cellStyle name="Input 4 29" xfId="9797"/>
    <cellStyle name="Input 4 29 2" xfId="9798"/>
    <cellStyle name="Input 4 29 3" xfId="9799"/>
    <cellStyle name="Input 4 29 4" xfId="9800"/>
    <cellStyle name="Input 4 29 5" xfId="9801"/>
    <cellStyle name="Input 4 29 6" xfId="9802"/>
    <cellStyle name="Input 4 3" xfId="9803"/>
    <cellStyle name="Input 4 3 10" xfId="9804"/>
    <cellStyle name="Input 4 3 2" xfId="9805"/>
    <cellStyle name="Input 4 3 2 2" xfId="9806"/>
    <cellStyle name="Input 4 3 2 3" xfId="9807"/>
    <cellStyle name="Input 4 3 2 4" xfId="9808"/>
    <cellStyle name="Input 4 3 2 5" xfId="9809"/>
    <cellStyle name="Input 4 3 2 6" xfId="9810"/>
    <cellStyle name="Input 4 3 3" xfId="9811"/>
    <cellStyle name="Input 4 3 3 2" xfId="9812"/>
    <cellStyle name="Input 4 3 3 3" xfId="9813"/>
    <cellStyle name="Input 4 3 3 4" xfId="9814"/>
    <cellStyle name="Input 4 3 3 5" xfId="9815"/>
    <cellStyle name="Input 4 3 3 6" xfId="9816"/>
    <cellStyle name="Input 4 3 4" xfId="9817"/>
    <cellStyle name="Input 4 3 4 2" xfId="9818"/>
    <cellStyle name="Input 4 3 4 3" xfId="9819"/>
    <cellStyle name="Input 4 3 4 4" xfId="9820"/>
    <cellStyle name="Input 4 3 4 5" xfId="9821"/>
    <cellStyle name="Input 4 3 4 6" xfId="9822"/>
    <cellStyle name="Input 4 3 5" xfId="9823"/>
    <cellStyle name="Input 4 3 5 2" xfId="9824"/>
    <cellStyle name="Input 4 3 5 3" xfId="9825"/>
    <cellStyle name="Input 4 3 5 4" xfId="9826"/>
    <cellStyle name="Input 4 3 5 5" xfId="9827"/>
    <cellStyle name="Input 4 3 5 6" xfId="9828"/>
    <cellStyle name="Input 4 3 6" xfId="9829"/>
    <cellStyle name="Input 4 3 7" xfId="9830"/>
    <cellStyle name="Input 4 3 8" xfId="9831"/>
    <cellStyle name="Input 4 3 9" xfId="9832"/>
    <cellStyle name="Input 4 30" xfId="9833"/>
    <cellStyle name="Input 4 30 2" xfId="9834"/>
    <cellStyle name="Input 4 30 3" xfId="9835"/>
    <cellStyle name="Input 4 30 4" xfId="9836"/>
    <cellStyle name="Input 4 31" xfId="9837"/>
    <cellStyle name="Input 4 32" xfId="9838"/>
    <cellStyle name="Input 4 33" xfId="9839"/>
    <cellStyle name="Input 4 34" xfId="9840"/>
    <cellStyle name="Input 4 35" xfId="9841"/>
    <cellStyle name="Input 4 36" xfId="9842"/>
    <cellStyle name="Input 4 37" xfId="9843"/>
    <cellStyle name="Input 4 38" xfId="9844"/>
    <cellStyle name="Input 4 39" xfId="9845"/>
    <cellStyle name="Input 4 4" xfId="9846"/>
    <cellStyle name="Input 4 4 2" xfId="9847"/>
    <cellStyle name="Input 4 4 3" xfId="9848"/>
    <cellStyle name="Input 4 4 4" xfId="9849"/>
    <cellStyle name="Input 4 4 5" xfId="9850"/>
    <cellStyle name="Input 4 4 6" xfId="9851"/>
    <cellStyle name="Input 4 40" xfId="9852"/>
    <cellStyle name="Input 4 41" xfId="9853"/>
    <cellStyle name="Input 4 42" xfId="9854"/>
    <cellStyle name="Input 4 43" xfId="9855"/>
    <cellStyle name="Input 4 44" xfId="9856"/>
    <cellStyle name="Input 4 45" xfId="9857"/>
    <cellStyle name="Input 4 46" xfId="9858"/>
    <cellStyle name="Input 4 47" xfId="9859"/>
    <cellStyle name="Input 4 48" xfId="9860"/>
    <cellStyle name="Input 4 49" xfId="9861"/>
    <cellStyle name="Input 4 5" xfId="9862"/>
    <cellStyle name="Input 4 5 2" xfId="9863"/>
    <cellStyle name="Input 4 5 3" xfId="9864"/>
    <cellStyle name="Input 4 5 4" xfId="9865"/>
    <cellStyle name="Input 4 5 5" xfId="9866"/>
    <cellStyle name="Input 4 5 6" xfId="9867"/>
    <cellStyle name="Input 4 50" xfId="9868"/>
    <cellStyle name="Input 4 51" xfId="9869"/>
    <cellStyle name="Input 4 52" xfId="9870"/>
    <cellStyle name="Input 4 53" xfId="9871"/>
    <cellStyle name="Input 4 54" xfId="9872"/>
    <cellStyle name="Input 4 55" xfId="9873"/>
    <cellStyle name="Input 4 56" xfId="9874"/>
    <cellStyle name="Input 4 57" xfId="9875"/>
    <cellStyle name="Input 4 58" xfId="9876"/>
    <cellStyle name="Input 4 59" xfId="9877"/>
    <cellStyle name="Input 4 6" xfId="9878"/>
    <cellStyle name="Input 4 6 2" xfId="9879"/>
    <cellStyle name="Input 4 6 3" xfId="9880"/>
    <cellStyle name="Input 4 6 4" xfId="9881"/>
    <cellStyle name="Input 4 6 5" xfId="9882"/>
    <cellStyle name="Input 4 6 6" xfId="9883"/>
    <cellStyle name="Input 4 60" xfId="9884"/>
    <cellStyle name="Input 4 61" xfId="9885"/>
    <cellStyle name="Input 4 62" xfId="9886"/>
    <cellStyle name="Input 4 63" xfId="9887"/>
    <cellStyle name="Input 4 64" xfId="9888"/>
    <cellStyle name="Input 4 65" xfId="9889"/>
    <cellStyle name="Input 4 66" xfId="9890"/>
    <cellStyle name="Input 4 67" xfId="9891"/>
    <cellStyle name="Input 4 7" xfId="9892"/>
    <cellStyle name="Input 4 7 2" xfId="9893"/>
    <cellStyle name="Input 4 7 3" xfId="9894"/>
    <cellStyle name="Input 4 7 4" xfId="9895"/>
    <cellStyle name="Input 4 7 5" xfId="9896"/>
    <cellStyle name="Input 4 7 6" xfId="9897"/>
    <cellStyle name="Input 4 8" xfId="9898"/>
    <cellStyle name="Input 4 8 2" xfId="9899"/>
    <cellStyle name="Input 4 8 3" xfId="9900"/>
    <cellStyle name="Input 4 8 4" xfId="9901"/>
    <cellStyle name="Input 4 8 5" xfId="9902"/>
    <cellStyle name="Input 4 8 6" xfId="9903"/>
    <cellStyle name="Input 4 9" xfId="9904"/>
    <cellStyle name="Input 4 9 2" xfId="9905"/>
    <cellStyle name="Input 4 9 3" xfId="9906"/>
    <cellStyle name="Input 4 9 4" xfId="9907"/>
    <cellStyle name="Input 4 9 5" xfId="9908"/>
    <cellStyle name="Input 4 9 6" xfId="9909"/>
    <cellStyle name="Input 5" xfId="9910"/>
    <cellStyle name="Input 5 10" xfId="9911"/>
    <cellStyle name="Input 5 10 2" xfId="9912"/>
    <cellStyle name="Input 5 10 3" xfId="9913"/>
    <cellStyle name="Input 5 10 4" xfId="9914"/>
    <cellStyle name="Input 5 10 5" xfId="9915"/>
    <cellStyle name="Input 5 10 6" xfId="9916"/>
    <cellStyle name="Input 5 11" xfId="9917"/>
    <cellStyle name="Input 5 11 2" xfId="9918"/>
    <cellStyle name="Input 5 11 3" xfId="9919"/>
    <cellStyle name="Input 5 11 4" xfId="9920"/>
    <cellStyle name="Input 5 11 5" xfId="9921"/>
    <cellStyle name="Input 5 11 6" xfId="9922"/>
    <cellStyle name="Input 5 12" xfId="9923"/>
    <cellStyle name="Input 5 12 2" xfId="9924"/>
    <cellStyle name="Input 5 12 3" xfId="9925"/>
    <cellStyle name="Input 5 12 4" xfId="9926"/>
    <cellStyle name="Input 5 12 5" xfId="9927"/>
    <cellStyle name="Input 5 12 6" xfId="9928"/>
    <cellStyle name="Input 5 13" xfId="9929"/>
    <cellStyle name="Input 5 13 2" xfId="9930"/>
    <cellStyle name="Input 5 13 3" xfId="9931"/>
    <cellStyle name="Input 5 13 4" xfId="9932"/>
    <cellStyle name="Input 5 13 5" xfId="9933"/>
    <cellStyle name="Input 5 13 6" xfId="9934"/>
    <cellStyle name="Input 5 14" xfId="9935"/>
    <cellStyle name="Input 5 14 2" xfId="9936"/>
    <cellStyle name="Input 5 14 3" xfId="9937"/>
    <cellStyle name="Input 5 14 4" xfId="9938"/>
    <cellStyle name="Input 5 14 5" xfId="9939"/>
    <cellStyle name="Input 5 14 6" xfId="9940"/>
    <cellStyle name="Input 5 15" xfId="9941"/>
    <cellStyle name="Input 5 15 2" xfId="9942"/>
    <cellStyle name="Input 5 15 3" xfId="9943"/>
    <cellStyle name="Input 5 15 4" xfId="9944"/>
    <cellStyle name="Input 5 15 5" xfId="9945"/>
    <cellStyle name="Input 5 15 6" xfId="9946"/>
    <cellStyle name="Input 5 16" xfId="9947"/>
    <cellStyle name="Input 5 16 2" xfId="9948"/>
    <cellStyle name="Input 5 16 3" xfId="9949"/>
    <cellStyle name="Input 5 16 4" xfId="9950"/>
    <cellStyle name="Input 5 16 5" xfId="9951"/>
    <cellStyle name="Input 5 16 6" xfId="9952"/>
    <cellStyle name="Input 5 17" xfId="9953"/>
    <cellStyle name="Input 5 17 2" xfId="9954"/>
    <cellStyle name="Input 5 17 3" xfId="9955"/>
    <cellStyle name="Input 5 17 4" xfId="9956"/>
    <cellStyle name="Input 5 17 5" xfId="9957"/>
    <cellStyle name="Input 5 17 6" xfId="9958"/>
    <cellStyle name="Input 5 18" xfId="9959"/>
    <cellStyle name="Input 5 18 2" xfId="9960"/>
    <cellStyle name="Input 5 18 3" xfId="9961"/>
    <cellStyle name="Input 5 18 4" xfId="9962"/>
    <cellStyle name="Input 5 18 5" xfId="9963"/>
    <cellStyle name="Input 5 18 6" xfId="9964"/>
    <cellStyle name="Input 5 19" xfId="9965"/>
    <cellStyle name="Input 5 19 2" xfId="9966"/>
    <cellStyle name="Input 5 19 3" xfId="9967"/>
    <cellStyle name="Input 5 19 4" xfId="9968"/>
    <cellStyle name="Input 5 19 5" xfId="9969"/>
    <cellStyle name="Input 5 19 6" xfId="9970"/>
    <cellStyle name="Input 5 2" xfId="9971"/>
    <cellStyle name="Input 5 2 10" xfId="9972"/>
    <cellStyle name="Input 5 2 10 2" xfId="9973"/>
    <cellStyle name="Input 5 2 10 3" xfId="9974"/>
    <cellStyle name="Input 5 2 10 4" xfId="9975"/>
    <cellStyle name="Input 5 2 10 5" xfId="9976"/>
    <cellStyle name="Input 5 2 10 6" xfId="9977"/>
    <cellStyle name="Input 5 2 11" xfId="9978"/>
    <cellStyle name="Input 5 2 11 2" xfId="9979"/>
    <cellStyle name="Input 5 2 11 3" xfId="9980"/>
    <cellStyle name="Input 5 2 11 4" xfId="9981"/>
    <cellStyle name="Input 5 2 11 5" xfId="9982"/>
    <cellStyle name="Input 5 2 11 6" xfId="9983"/>
    <cellStyle name="Input 5 2 12" xfId="9984"/>
    <cellStyle name="Input 5 2 12 2" xfId="9985"/>
    <cellStyle name="Input 5 2 12 3" xfId="9986"/>
    <cellStyle name="Input 5 2 12 4" xfId="9987"/>
    <cellStyle name="Input 5 2 12 5" xfId="9988"/>
    <cellStyle name="Input 5 2 12 6" xfId="9989"/>
    <cellStyle name="Input 5 2 13" xfId="9990"/>
    <cellStyle name="Input 5 2 13 2" xfId="9991"/>
    <cellStyle name="Input 5 2 13 3" xfId="9992"/>
    <cellStyle name="Input 5 2 13 4" xfId="9993"/>
    <cellStyle name="Input 5 2 13 5" xfId="9994"/>
    <cellStyle name="Input 5 2 13 6" xfId="9995"/>
    <cellStyle name="Input 5 2 14" xfId="9996"/>
    <cellStyle name="Input 5 2 14 2" xfId="9997"/>
    <cellStyle name="Input 5 2 14 3" xfId="9998"/>
    <cellStyle name="Input 5 2 14 4" xfId="9999"/>
    <cellStyle name="Input 5 2 14 5" xfId="10000"/>
    <cellStyle name="Input 5 2 14 6" xfId="10001"/>
    <cellStyle name="Input 5 2 15" xfId="10002"/>
    <cellStyle name="Input 5 2 15 2" xfId="10003"/>
    <cellStyle name="Input 5 2 15 3" xfId="10004"/>
    <cellStyle name="Input 5 2 15 4" xfId="10005"/>
    <cellStyle name="Input 5 2 15 5" xfId="10006"/>
    <cellStyle name="Input 5 2 15 6" xfId="10007"/>
    <cellStyle name="Input 5 2 16" xfId="10008"/>
    <cellStyle name="Input 5 2 16 2" xfId="10009"/>
    <cellStyle name="Input 5 2 16 3" xfId="10010"/>
    <cellStyle name="Input 5 2 16 4" xfId="10011"/>
    <cellStyle name="Input 5 2 16 5" xfId="10012"/>
    <cellStyle name="Input 5 2 16 6" xfId="10013"/>
    <cellStyle name="Input 5 2 17" xfId="10014"/>
    <cellStyle name="Input 5 2 17 2" xfId="10015"/>
    <cellStyle name="Input 5 2 17 3" xfId="10016"/>
    <cellStyle name="Input 5 2 17 4" xfId="10017"/>
    <cellStyle name="Input 5 2 17 5" xfId="10018"/>
    <cellStyle name="Input 5 2 17 6" xfId="10019"/>
    <cellStyle name="Input 5 2 18" xfId="10020"/>
    <cellStyle name="Input 5 2 18 2" xfId="10021"/>
    <cellStyle name="Input 5 2 18 3" xfId="10022"/>
    <cellStyle name="Input 5 2 18 4" xfId="10023"/>
    <cellStyle name="Input 5 2 18 5" xfId="10024"/>
    <cellStyle name="Input 5 2 18 6" xfId="10025"/>
    <cellStyle name="Input 5 2 19" xfId="10026"/>
    <cellStyle name="Input 5 2 19 2" xfId="10027"/>
    <cellStyle name="Input 5 2 19 3" xfId="10028"/>
    <cellStyle name="Input 5 2 19 4" xfId="10029"/>
    <cellStyle name="Input 5 2 19 5" xfId="10030"/>
    <cellStyle name="Input 5 2 19 6" xfId="10031"/>
    <cellStyle name="Input 5 2 2" xfId="10032"/>
    <cellStyle name="Input 5 2 2 10" xfId="10033"/>
    <cellStyle name="Input 5 2 2 2" xfId="10034"/>
    <cellStyle name="Input 5 2 2 2 2" xfId="10035"/>
    <cellStyle name="Input 5 2 2 2 3" xfId="10036"/>
    <cellStyle name="Input 5 2 2 2 4" xfId="10037"/>
    <cellStyle name="Input 5 2 2 2 5" xfId="10038"/>
    <cellStyle name="Input 5 2 2 2 6" xfId="10039"/>
    <cellStyle name="Input 5 2 2 3" xfId="10040"/>
    <cellStyle name="Input 5 2 2 3 2" xfId="10041"/>
    <cellStyle name="Input 5 2 2 3 3" xfId="10042"/>
    <cellStyle name="Input 5 2 2 3 4" xfId="10043"/>
    <cellStyle name="Input 5 2 2 3 5" xfId="10044"/>
    <cellStyle name="Input 5 2 2 3 6" xfId="10045"/>
    <cellStyle name="Input 5 2 2 4" xfId="10046"/>
    <cellStyle name="Input 5 2 2 4 2" xfId="10047"/>
    <cellStyle name="Input 5 2 2 4 3" xfId="10048"/>
    <cellStyle name="Input 5 2 2 4 4" xfId="10049"/>
    <cellStyle name="Input 5 2 2 4 5" xfId="10050"/>
    <cellStyle name="Input 5 2 2 4 6" xfId="10051"/>
    <cellStyle name="Input 5 2 2 5" xfId="10052"/>
    <cellStyle name="Input 5 2 2 5 2" xfId="10053"/>
    <cellStyle name="Input 5 2 2 5 3" xfId="10054"/>
    <cellStyle name="Input 5 2 2 5 4" xfId="10055"/>
    <cellStyle name="Input 5 2 2 5 5" xfId="10056"/>
    <cellStyle name="Input 5 2 2 5 6" xfId="10057"/>
    <cellStyle name="Input 5 2 2 6" xfId="10058"/>
    <cellStyle name="Input 5 2 2 7" xfId="10059"/>
    <cellStyle name="Input 5 2 2 8" xfId="10060"/>
    <cellStyle name="Input 5 2 2 9" xfId="10061"/>
    <cellStyle name="Input 5 2 20" xfId="10062"/>
    <cellStyle name="Input 5 2 20 2" xfId="10063"/>
    <cellStyle name="Input 5 2 20 3" xfId="10064"/>
    <cellStyle name="Input 5 2 20 4" xfId="10065"/>
    <cellStyle name="Input 5 2 20 5" xfId="10066"/>
    <cellStyle name="Input 5 2 20 6" xfId="10067"/>
    <cellStyle name="Input 5 2 21" xfId="10068"/>
    <cellStyle name="Input 5 2 21 2" xfId="10069"/>
    <cellStyle name="Input 5 2 21 3" xfId="10070"/>
    <cellStyle name="Input 5 2 21 4" xfId="10071"/>
    <cellStyle name="Input 5 2 21 5" xfId="10072"/>
    <cellStyle name="Input 5 2 21 6" xfId="10073"/>
    <cellStyle name="Input 5 2 22" xfId="10074"/>
    <cellStyle name="Input 5 2 22 2" xfId="10075"/>
    <cellStyle name="Input 5 2 22 3" xfId="10076"/>
    <cellStyle name="Input 5 2 22 4" xfId="10077"/>
    <cellStyle name="Input 5 2 22 5" xfId="10078"/>
    <cellStyle name="Input 5 2 22 6" xfId="10079"/>
    <cellStyle name="Input 5 2 23" xfId="10080"/>
    <cellStyle name="Input 5 2 23 2" xfId="10081"/>
    <cellStyle name="Input 5 2 23 3" xfId="10082"/>
    <cellStyle name="Input 5 2 23 4" xfId="10083"/>
    <cellStyle name="Input 5 2 23 5" xfId="10084"/>
    <cellStyle name="Input 5 2 23 6" xfId="10085"/>
    <cellStyle name="Input 5 2 24" xfId="10086"/>
    <cellStyle name="Input 5 2 24 2" xfId="10087"/>
    <cellStyle name="Input 5 2 24 3" xfId="10088"/>
    <cellStyle name="Input 5 2 24 4" xfId="10089"/>
    <cellStyle name="Input 5 2 24 5" xfId="10090"/>
    <cellStyle name="Input 5 2 24 6" xfId="10091"/>
    <cellStyle name="Input 5 2 25" xfId="10092"/>
    <cellStyle name="Input 5 2 25 2" xfId="10093"/>
    <cellStyle name="Input 5 2 25 3" xfId="10094"/>
    <cellStyle name="Input 5 2 25 4" xfId="10095"/>
    <cellStyle name="Input 5 2 25 5" xfId="10096"/>
    <cellStyle name="Input 5 2 25 6" xfId="10097"/>
    <cellStyle name="Input 5 2 26" xfId="10098"/>
    <cellStyle name="Input 5 2 26 2" xfId="10099"/>
    <cellStyle name="Input 5 2 26 3" xfId="10100"/>
    <cellStyle name="Input 5 2 26 4" xfId="10101"/>
    <cellStyle name="Input 5 2 26 5" xfId="10102"/>
    <cellStyle name="Input 5 2 26 6" xfId="10103"/>
    <cellStyle name="Input 5 2 27" xfId="10104"/>
    <cellStyle name="Input 5 2 27 2" xfId="10105"/>
    <cellStyle name="Input 5 2 27 3" xfId="10106"/>
    <cellStyle name="Input 5 2 27 4" xfId="10107"/>
    <cellStyle name="Input 5 2 27 5" xfId="10108"/>
    <cellStyle name="Input 5 2 27 6" xfId="10109"/>
    <cellStyle name="Input 5 2 28" xfId="10110"/>
    <cellStyle name="Input 5 2 28 2" xfId="10111"/>
    <cellStyle name="Input 5 2 28 3" xfId="10112"/>
    <cellStyle name="Input 5 2 28 4" xfId="10113"/>
    <cellStyle name="Input 5 2 28 5" xfId="10114"/>
    <cellStyle name="Input 5 2 28 6" xfId="10115"/>
    <cellStyle name="Input 5 2 29" xfId="10116"/>
    <cellStyle name="Input 5 2 29 2" xfId="10117"/>
    <cellStyle name="Input 5 2 29 3" xfId="10118"/>
    <cellStyle name="Input 5 2 29 4" xfId="10119"/>
    <cellStyle name="Input 5 2 3" xfId="10120"/>
    <cellStyle name="Input 5 2 3 2" xfId="10121"/>
    <cellStyle name="Input 5 2 3 3" xfId="10122"/>
    <cellStyle name="Input 5 2 3 4" xfId="10123"/>
    <cellStyle name="Input 5 2 3 5" xfId="10124"/>
    <cellStyle name="Input 5 2 3 6" xfId="10125"/>
    <cellStyle name="Input 5 2 30" xfId="10126"/>
    <cellStyle name="Input 5 2 31" xfId="10127"/>
    <cellStyle name="Input 5 2 32" xfId="10128"/>
    <cellStyle name="Input 5 2 33" xfId="10129"/>
    <cellStyle name="Input 5 2 34" xfId="10130"/>
    <cellStyle name="Input 5 2 35" xfId="10131"/>
    <cellStyle name="Input 5 2 36" xfId="10132"/>
    <cellStyle name="Input 5 2 37" xfId="10133"/>
    <cellStyle name="Input 5 2 38" xfId="10134"/>
    <cellStyle name="Input 5 2 39" xfId="10135"/>
    <cellStyle name="Input 5 2 4" xfId="10136"/>
    <cellStyle name="Input 5 2 4 2" xfId="10137"/>
    <cellStyle name="Input 5 2 4 3" xfId="10138"/>
    <cellStyle name="Input 5 2 4 4" xfId="10139"/>
    <cellStyle name="Input 5 2 4 5" xfId="10140"/>
    <cellStyle name="Input 5 2 4 6" xfId="10141"/>
    <cellStyle name="Input 5 2 40" xfId="10142"/>
    <cellStyle name="Input 5 2 41" xfId="10143"/>
    <cellStyle name="Input 5 2 42" xfId="10144"/>
    <cellStyle name="Input 5 2 43" xfId="10145"/>
    <cellStyle name="Input 5 2 44" xfId="10146"/>
    <cellStyle name="Input 5 2 45" xfId="10147"/>
    <cellStyle name="Input 5 2 46" xfId="10148"/>
    <cellStyle name="Input 5 2 47" xfId="10149"/>
    <cellStyle name="Input 5 2 48" xfId="10150"/>
    <cellStyle name="Input 5 2 49" xfId="10151"/>
    <cellStyle name="Input 5 2 5" xfId="10152"/>
    <cellStyle name="Input 5 2 5 2" xfId="10153"/>
    <cellStyle name="Input 5 2 5 3" xfId="10154"/>
    <cellStyle name="Input 5 2 5 4" xfId="10155"/>
    <cellStyle name="Input 5 2 5 5" xfId="10156"/>
    <cellStyle name="Input 5 2 5 6" xfId="10157"/>
    <cellStyle name="Input 5 2 50" xfId="10158"/>
    <cellStyle name="Input 5 2 51" xfId="10159"/>
    <cellStyle name="Input 5 2 52" xfId="10160"/>
    <cellStyle name="Input 5 2 53" xfId="10161"/>
    <cellStyle name="Input 5 2 54" xfId="10162"/>
    <cellStyle name="Input 5 2 55" xfId="10163"/>
    <cellStyle name="Input 5 2 56" xfId="10164"/>
    <cellStyle name="Input 5 2 57" xfId="10165"/>
    <cellStyle name="Input 5 2 58" xfId="10166"/>
    <cellStyle name="Input 5 2 59" xfId="10167"/>
    <cellStyle name="Input 5 2 6" xfId="10168"/>
    <cellStyle name="Input 5 2 6 2" xfId="10169"/>
    <cellStyle name="Input 5 2 6 3" xfId="10170"/>
    <cellStyle name="Input 5 2 6 4" xfId="10171"/>
    <cellStyle name="Input 5 2 6 5" xfId="10172"/>
    <cellStyle name="Input 5 2 6 6" xfId="10173"/>
    <cellStyle name="Input 5 2 60" xfId="10174"/>
    <cellStyle name="Input 5 2 61" xfId="10175"/>
    <cellStyle name="Input 5 2 62" xfId="10176"/>
    <cellStyle name="Input 5 2 63" xfId="10177"/>
    <cellStyle name="Input 5 2 64" xfId="10178"/>
    <cellStyle name="Input 5 2 65" xfId="10179"/>
    <cellStyle name="Input 5 2 66" xfId="10180"/>
    <cellStyle name="Input 5 2 7" xfId="10181"/>
    <cellStyle name="Input 5 2 7 2" xfId="10182"/>
    <cellStyle name="Input 5 2 7 3" xfId="10183"/>
    <cellStyle name="Input 5 2 7 4" xfId="10184"/>
    <cellStyle name="Input 5 2 7 5" xfId="10185"/>
    <cellStyle name="Input 5 2 7 6" xfId="10186"/>
    <cellStyle name="Input 5 2 8" xfId="10187"/>
    <cellStyle name="Input 5 2 8 2" xfId="10188"/>
    <cellStyle name="Input 5 2 8 3" xfId="10189"/>
    <cellStyle name="Input 5 2 8 4" xfId="10190"/>
    <cellStyle name="Input 5 2 8 5" xfId="10191"/>
    <cellStyle name="Input 5 2 8 6" xfId="10192"/>
    <cellStyle name="Input 5 2 9" xfId="10193"/>
    <cellStyle name="Input 5 2 9 2" xfId="10194"/>
    <cellStyle name="Input 5 2 9 3" xfId="10195"/>
    <cellStyle name="Input 5 2 9 4" xfId="10196"/>
    <cellStyle name="Input 5 2 9 5" xfId="10197"/>
    <cellStyle name="Input 5 2 9 6" xfId="10198"/>
    <cellStyle name="Input 5 20" xfId="10199"/>
    <cellStyle name="Input 5 20 2" xfId="10200"/>
    <cellStyle name="Input 5 20 3" xfId="10201"/>
    <cellStyle name="Input 5 20 4" xfId="10202"/>
    <cellStyle name="Input 5 20 5" xfId="10203"/>
    <cellStyle name="Input 5 20 6" xfId="10204"/>
    <cellStyle name="Input 5 21" xfId="10205"/>
    <cellStyle name="Input 5 21 2" xfId="10206"/>
    <cellStyle name="Input 5 21 3" xfId="10207"/>
    <cellStyle name="Input 5 21 4" xfId="10208"/>
    <cellStyle name="Input 5 21 5" xfId="10209"/>
    <cellStyle name="Input 5 21 6" xfId="10210"/>
    <cellStyle name="Input 5 22" xfId="10211"/>
    <cellStyle name="Input 5 22 2" xfId="10212"/>
    <cellStyle name="Input 5 22 3" xfId="10213"/>
    <cellStyle name="Input 5 22 4" xfId="10214"/>
    <cellStyle name="Input 5 22 5" xfId="10215"/>
    <cellStyle name="Input 5 22 6" xfId="10216"/>
    <cellStyle name="Input 5 23" xfId="10217"/>
    <cellStyle name="Input 5 23 2" xfId="10218"/>
    <cellStyle name="Input 5 23 3" xfId="10219"/>
    <cellStyle name="Input 5 23 4" xfId="10220"/>
    <cellStyle name="Input 5 23 5" xfId="10221"/>
    <cellStyle name="Input 5 23 6" xfId="10222"/>
    <cellStyle name="Input 5 24" xfId="10223"/>
    <cellStyle name="Input 5 24 2" xfId="10224"/>
    <cellStyle name="Input 5 24 3" xfId="10225"/>
    <cellStyle name="Input 5 24 4" xfId="10226"/>
    <cellStyle name="Input 5 24 5" xfId="10227"/>
    <cellStyle name="Input 5 24 6" xfId="10228"/>
    <cellStyle name="Input 5 25" xfId="10229"/>
    <cellStyle name="Input 5 25 2" xfId="10230"/>
    <cellStyle name="Input 5 25 3" xfId="10231"/>
    <cellStyle name="Input 5 25 4" xfId="10232"/>
    <cellStyle name="Input 5 25 5" xfId="10233"/>
    <cellStyle name="Input 5 25 6" xfId="10234"/>
    <cellStyle name="Input 5 26" xfId="10235"/>
    <cellStyle name="Input 5 26 2" xfId="10236"/>
    <cellStyle name="Input 5 26 3" xfId="10237"/>
    <cellStyle name="Input 5 26 4" xfId="10238"/>
    <cellStyle name="Input 5 26 5" xfId="10239"/>
    <cellStyle name="Input 5 26 6" xfId="10240"/>
    <cellStyle name="Input 5 27" xfId="10241"/>
    <cellStyle name="Input 5 27 2" xfId="10242"/>
    <cellStyle name="Input 5 27 3" xfId="10243"/>
    <cellStyle name="Input 5 27 4" xfId="10244"/>
    <cellStyle name="Input 5 27 5" xfId="10245"/>
    <cellStyle name="Input 5 27 6" xfId="10246"/>
    <cellStyle name="Input 5 28" xfId="10247"/>
    <cellStyle name="Input 5 28 2" xfId="10248"/>
    <cellStyle name="Input 5 28 3" xfId="10249"/>
    <cellStyle name="Input 5 28 4" xfId="10250"/>
    <cellStyle name="Input 5 28 5" xfId="10251"/>
    <cellStyle name="Input 5 28 6" xfId="10252"/>
    <cellStyle name="Input 5 29" xfId="10253"/>
    <cellStyle name="Input 5 29 2" xfId="10254"/>
    <cellStyle name="Input 5 29 3" xfId="10255"/>
    <cellStyle name="Input 5 29 4" xfId="10256"/>
    <cellStyle name="Input 5 29 5" xfId="10257"/>
    <cellStyle name="Input 5 29 6" xfId="10258"/>
    <cellStyle name="Input 5 3" xfId="10259"/>
    <cellStyle name="Input 5 3 10" xfId="10260"/>
    <cellStyle name="Input 5 3 2" xfId="10261"/>
    <cellStyle name="Input 5 3 2 2" xfId="10262"/>
    <cellStyle name="Input 5 3 2 3" xfId="10263"/>
    <cellStyle name="Input 5 3 2 4" xfId="10264"/>
    <cellStyle name="Input 5 3 2 5" xfId="10265"/>
    <cellStyle name="Input 5 3 2 6" xfId="10266"/>
    <cellStyle name="Input 5 3 3" xfId="10267"/>
    <cellStyle name="Input 5 3 3 2" xfId="10268"/>
    <cellStyle name="Input 5 3 3 3" xfId="10269"/>
    <cellStyle name="Input 5 3 3 4" xfId="10270"/>
    <cellStyle name="Input 5 3 3 5" xfId="10271"/>
    <cellStyle name="Input 5 3 3 6" xfId="10272"/>
    <cellStyle name="Input 5 3 4" xfId="10273"/>
    <cellStyle name="Input 5 3 4 2" xfId="10274"/>
    <cellStyle name="Input 5 3 4 3" xfId="10275"/>
    <cellStyle name="Input 5 3 4 4" xfId="10276"/>
    <cellStyle name="Input 5 3 4 5" xfId="10277"/>
    <cellStyle name="Input 5 3 4 6" xfId="10278"/>
    <cellStyle name="Input 5 3 5" xfId="10279"/>
    <cellStyle name="Input 5 3 5 2" xfId="10280"/>
    <cellStyle name="Input 5 3 5 3" xfId="10281"/>
    <cellStyle name="Input 5 3 5 4" xfId="10282"/>
    <cellStyle name="Input 5 3 5 5" xfId="10283"/>
    <cellStyle name="Input 5 3 5 6" xfId="10284"/>
    <cellStyle name="Input 5 3 6" xfId="10285"/>
    <cellStyle name="Input 5 3 7" xfId="10286"/>
    <cellStyle name="Input 5 3 8" xfId="10287"/>
    <cellStyle name="Input 5 3 9" xfId="10288"/>
    <cellStyle name="Input 5 30" xfId="10289"/>
    <cellStyle name="Input 5 30 2" xfId="10290"/>
    <cellStyle name="Input 5 30 3" xfId="10291"/>
    <cellStyle name="Input 5 30 4" xfId="10292"/>
    <cellStyle name="Input 5 31" xfId="10293"/>
    <cellStyle name="Input 5 32" xfId="10294"/>
    <cellStyle name="Input 5 33" xfId="10295"/>
    <cellStyle name="Input 5 34" xfId="10296"/>
    <cellStyle name="Input 5 35" xfId="10297"/>
    <cellStyle name="Input 5 36" xfId="10298"/>
    <cellStyle name="Input 5 37" xfId="10299"/>
    <cellStyle name="Input 5 38" xfId="10300"/>
    <cellStyle name="Input 5 39" xfId="10301"/>
    <cellStyle name="Input 5 4" xfId="10302"/>
    <cellStyle name="Input 5 4 2" xfId="10303"/>
    <cellStyle name="Input 5 4 3" xfId="10304"/>
    <cellStyle name="Input 5 4 4" xfId="10305"/>
    <cellStyle name="Input 5 4 5" xfId="10306"/>
    <cellStyle name="Input 5 4 6" xfId="10307"/>
    <cellStyle name="Input 5 40" xfId="10308"/>
    <cellStyle name="Input 5 41" xfId="10309"/>
    <cellStyle name="Input 5 42" xfId="10310"/>
    <cellStyle name="Input 5 43" xfId="10311"/>
    <cellStyle name="Input 5 44" xfId="10312"/>
    <cellStyle name="Input 5 45" xfId="10313"/>
    <cellStyle name="Input 5 46" xfId="10314"/>
    <cellStyle name="Input 5 47" xfId="10315"/>
    <cellStyle name="Input 5 48" xfId="10316"/>
    <cellStyle name="Input 5 49" xfId="10317"/>
    <cellStyle name="Input 5 5" xfId="10318"/>
    <cellStyle name="Input 5 5 2" xfId="10319"/>
    <cellStyle name="Input 5 5 3" xfId="10320"/>
    <cellStyle name="Input 5 5 4" xfId="10321"/>
    <cellStyle name="Input 5 5 5" xfId="10322"/>
    <cellStyle name="Input 5 5 6" xfId="10323"/>
    <cellStyle name="Input 5 50" xfId="10324"/>
    <cellStyle name="Input 5 51" xfId="10325"/>
    <cellStyle name="Input 5 52" xfId="10326"/>
    <cellStyle name="Input 5 53" xfId="10327"/>
    <cellStyle name="Input 5 54" xfId="10328"/>
    <cellStyle name="Input 5 55" xfId="10329"/>
    <cellStyle name="Input 5 56" xfId="10330"/>
    <cellStyle name="Input 5 57" xfId="10331"/>
    <cellStyle name="Input 5 58" xfId="10332"/>
    <cellStyle name="Input 5 59" xfId="10333"/>
    <cellStyle name="Input 5 6" xfId="10334"/>
    <cellStyle name="Input 5 6 2" xfId="10335"/>
    <cellStyle name="Input 5 6 3" xfId="10336"/>
    <cellStyle name="Input 5 6 4" xfId="10337"/>
    <cellStyle name="Input 5 6 5" xfId="10338"/>
    <cellStyle name="Input 5 6 6" xfId="10339"/>
    <cellStyle name="Input 5 60" xfId="10340"/>
    <cellStyle name="Input 5 61" xfId="10341"/>
    <cellStyle name="Input 5 62" xfId="10342"/>
    <cellStyle name="Input 5 63" xfId="10343"/>
    <cellStyle name="Input 5 64" xfId="10344"/>
    <cellStyle name="Input 5 65" xfId="10345"/>
    <cellStyle name="Input 5 66" xfId="10346"/>
    <cellStyle name="Input 5 67" xfId="10347"/>
    <cellStyle name="Input 5 7" xfId="10348"/>
    <cellStyle name="Input 5 7 2" xfId="10349"/>
    <cellStyle name="Input 5 7 3" xfId="10350"/>
    <cellStyle name="Input 5 7 4" xfId="10351"/>
    <cellStyle name="Input 5 7 5" xfId="10352"/>
    <cellStyle name="Input 5 7 6" xfId="10353"/>
    <cellStyle name="Input 5 8" xfId="10354"/>
    <cellStyle name="Input 5 8 2" xfId="10355"/>
    <cellStyle name="Input 5 8 3" xfId="10356"/>
    <cellStyle name="Input 5 8 4" xfId="10357"/>
    <cellStyle name="Input 5 8 5" xfId="10358"/>
    <cellStyle name="Input 5 8 6" xfId="10359"/>
    <cellStyle name="Input 5 9" xfId="10360"/>
    <cellStyle name="Input 5 9 2" xfId="10361"/>
    <cellStyle name="Input 5 9 3" xfId="10362"/>
    <cellStyle name="Input 5 9 4" xfId="10363"/>
    <cellStyle name="Input 5 9 5" xfId="10364"/>
    <cellStyle name="Input 5 9 6" xfId="10365"/>
    <cellStyle name="Input 6" xfId="10366"/>
    <cellStyle name="Input 6 10" xfId="10367"/>
    <cellStyle name="Input 6 10 2" xfId="10368"/>
    <cellStyle name="Input 6 10 3" xfId="10369"/>
    <cellStyle name="Input 6 10 4" xfId="10370"/>
    <cellStyle name="Input 6 10 5" xfId="10371"/>
    <cellStyle name="Input 6 10 6" xfId="10372"/>
    <cellStyle name="Input 6 11" xfId="10373"/>
    <cellStyle name="Input 6 11 2" xfId="10374"/>
    <cellStyle name="Input 6 11 3" xfId="10375"/>
    <cellStyle name="Input 6 11 4" xfId="10376"/>
    <cellStyle name="Input 6 11 5" xfId="10377"/>
    <cellStyle name="Input 6 11 6" xfId="10378"/>
    <cellStyle name="Input 6 12" xfId="10379"/>
    <cellStyle name="Input 6 12 2" xfId="10380"/>
    <cellStyle name="Input 6 12 3" xfId="10381"/>
    <cellStyle name="Input 6 12 4" xfId="10382"/>
    <cellStyle name="Input 6 12 5" xfId="10383"/>
    <cellStyle name="Input 6 12 6" xfId="10384"/>
    <cellStyle name="Input 6 13" xfId="10385"/>
    <cellStyle name="Input 6 13 2" xfId="10386"/>
    <cellStyle name="Input 6 13 3" xfId="10387"/>
    <cellStyle name="Input 6 13 4" xfId="10388"/>
    <cellStyle name="Input 6 13 5" xfId="10389"/>
    <cellStyle name="Input 6 13 6" xfId="10390"/>
    <cellStyle name="Input 6 14" xfId="10391"/>
    <cellStyle name="Input 6 14 2" xfId="10392"/>
    <cellStyle name="Input 6 14 3" xfId="10393"/>
    <cellStyle name="Input 6 14 4" xfId="10394"/>
    <cellStyle name="Input 6 14 5" xfId="10395"/>
    <cellStyle name="Input 6 14 6" xfId="10396"/>
    <cellStyle name="Input 6 15" xfId="10397"/>
    <cellStyle name="Input 6 15 2" xfId="10398"/>
    <cellStyle name="Input 6 15 3" xfId="10399"/>
    <cellStyle name="Input 6 15 4" xfId="10400"/>
    <cellStyle name="Input 6 15 5" xfId="10401"/>
    <cellStyle name="Input 6 15 6" xfId="10402"/>
    <cellStyle name="Input 6 16" xfId="10403"/>
    <cellStyle name="Input 6 16 2" xfId="10404"/>
    <cellStyle name="Input 6 16 3" xfId="10405"/>
    <cellStyle name="Input 6 16 4" xfId="10406"/>
    <cellStyle name="Input 6 16 5" xfId="10407"/>
    <cellStyle name="Input 6 16 6" xfId="10408"/>
    <cellStyle name="Input 6 17" xfId="10409"/>
    <cellStyle name="Input 6 17 2" xfId="10410"/>
    <cellStyle name="Input 6 17 3" xfId="10411"/>
    <cellStyle name="Input 6 17 4" xfId="10412"/>
    <cellStyle name="Input 6 17 5" xfId="10413"/>
    <cellStyle name="Input 6 17 6" xfId="10414"/>
    <cellStyle name="Input 6 18" xfId="10415"/>
    <cellStyle name="Input 6 18 2" xfId="10416"/>
    <cellStyle name="Input 6 18 3" xfId="10417"/>
    <cellStyle name="Input 6 18 4" xfId="10418"/>
    <cellStyle name="Input 6 18 5" xfId="10419"/>
    <cellStyle name="Input 6 18 6" xfId="10420"/>
    <cellStyle name="Input 6 19" xfId="10421"/>
    <cellStyle name="Input 6 19 2" xfId="10422"/>
    <cellStyle name="Input 6 19 3" xfId="10423"/>
    <cellStyle name="Input 6 19 4" xfId="10424"/>
    <cellStyle name="Input 6 19 5" xfId="10425"/>
    <cellStyle name="Input 6 19 6" xfId="10426"/>
    <cellStyle name="Input 6 2" xfId="10427"/>
    <cellStyle name="Input 6 2 10" xfId="10428"/>
    <cellStyle name="Input 6 2 10 2" xfId="10429"/>
    <cellStyle name="Input 6 2 10 3" xfId="10430"/>
    <cellStyle name="Input 6 2 10 4" xfId="10431"/>
    <cellStyle name="Input 6 2 10 5" xfId="10432"/>
    <cellStyle name="Input 6 2 10 6" xfId="10433"/>
    <cellStyle name="Input 6 2 11" xfId="10434"/>
    <cellStyle name="Input 6 2 11 2" xfId="10435"/>
    <cellStyle name="Input 6 2 11 3" xfId="10436"/>
    <cellStyle name="Input 6 2 11 4" xfId="10437"/>
    <cellStyle name="Input 6 2 11 5" xfId="10438"/>
    <cellStyle name="Input 6 2 11 6" xfId="10439"/>
    <cellStyle name="Input 6 2 12" xfId="10440"/>
    <cellStyle name="Input 6 2 12 2" xfId="10441"/>
    <cellStyle name="Input 6 2 12 3" xfId="10442"/>
    <cellStyle name="Input 6 2 12 4" xfId="10443"/>
    <cellStyle name="Input 6 2 12 5" xfId="10444"/>
    <cellStyle name="Input 6 2 12 6" xfId="10445"/>
    <cellStyle name="Input 6 2 13" xfId="10446"/>
    <cellStyle name="Input 6 2 13 2" xfId="10447"/>
    <cellStyle name="Input 6 2 13 3" xfId="10448"/>
    <cellStyle name="Input 6 2 13 4" xfId="10449"/>
    <cellStyle name="Input 6 2 13 5" xfId="10450"/>
    <cellStyle name="Input 6 2 13 6" xfId="10451"/>
    <cellStyle name="Input 6 2 14" xfId="10452"/>
    <cellStyle name="Input 6 2 14 2" xfId="10453"/>
    <cellStyle name="Input 6 2 14 3" xfId="10454"/>
    <cellStyle name="Input 6 2 14 4" xfId="10455"/>
    <cellStyle name="Input 6 2 14 5" xfId="10456"/>
    <cellStyle name="Input 6 2 14 6" xfId="10457"/>
    <cellStyle name="Input 6 2 15" xfId="10458"/>
    <cellStyle name="Input 6 2 15 2" xfId="10459"/>
    <cellStyle name="Input 6 2 15 3" xfId="10460"/>
    <cellStyle name="Input 6 2 15 4" xfId="10461"/>
    <cellStyle name="Input 6 2 15 5" xfId="10462"/>
    <cellStyle name="Input 6 2 15 6" xfId="10463"/>
    <cellStyle name="Input 6 2 16" xfId="10464"/>
    <cellStyle name="Input 6 2 16 2" xfId="10465"/>
    <cellStyle name="Input 6 2 16 3" xfId="10466"/>
    <cellStyle name="Input 6 2 16 4" xfId="10467"/>
    <cellStyle name="Input 6 2 16 5" xfId="10468"/>
    <cellStyle name="Input 6 2 16 6" xfId="10469"/>
    <cellStyle name="Input 6 2 17" xfId="10470"/>
    <cellStyle name="Input 6 2 17 2" xfId="10471"/>
    <cellStyle name="Input 6 2 17 3" xfId="10472"/>
    <cellStyle name="Input 6 2 17 4" xfId="10473"/>
    <cellStyle name="Input 6 2 17 5" xfId="10474"/>
    <cellStyle name="Input 6 2 17 6" xfId="10475"/>
    <cellStyle name="Input 6 2 18" xfId="10476"/>
    <cellStyle name="Input 6 2 18 2" xfId="10477"/>
    <cellStyle name="Input 6 2 18 3" xfId="10478"/>
    <cellStyle name="Input 6 2 18 4" xfId="10479"/>
    <cellStyle name="Input 6 2 18 5" xfId="10480"/>
    <cellStyle name="Input 6 2 18 6" xfId="10481"/>
    <cellStyle name="Input 6 2 19" xfId="10482"/>
    <cellStyle name="Input 6 2 19 2" xfId="10483"/>
    <cellStyle name="Input 6 2 19 3" xfId="10484"/>
    <cellStyle name="Input 6 2 19 4" xfId="10485"/>
    <cellStyle name="Input 6 2 19 5" xfId="10486"/>
    <cellStyle name="Input 6 2 19 6" xfId="10487"/>
    <cellStyle name="Input 6 2 2" xfId="10488"/>
    <cellStyle name="Input 6 2 2 10" xfId="10489"/>
    <cellStyle name="Input 6 2 2 2" xfId="10490"/>
    <cellStyle name="Input 6 2 2 2 2" xfId="10491"/>
    <cellStyle name="Input 6 2 2 2 3" xfId="10492"/>
    <cellStyle name="Input 6 2 2 2 4" xfId="10493"/>
    <cellStyle name="Input 6 2 2 2 5" xfId="10494"/>
    <cellStyle name="Input 6 2 2 2 6" xfId="10495"/>
    <cellStyle name="Input 6 2 2 3" xfId="10496"/>
    <cellStyle name="Input 6 2 2 3 2" xfId="10497"/>
    <cellStyle name="Input 6 2 2 3 3" xfId="10498"/>
    <cellStyle name="Input 6 2 2 3 4" xfId="10499"/>
    <cellStyle name="Input 6 2 2 3 5" xfId="10500"/>
    <cellStyle name="Input 6 2 2 3 6" xfId="10501"/>
    <cellStyle name="Input 6 2 2 4" xfId="10502"/>
    <cellStyle name="Input 6 2 2 4 2" xfId="10503"/>
    <cellStyle name="Input 6 2 2 4 3" xfId="10504"/>
    <cellStyle name="Input 6 2 2 4 4" xfId="10505"/>
    <cellStyle name="Input 6 2 2 4 5" xfId="10506"/>
    <cellStyle name="Input 6 2 2 4 6" xfId="10507"/>
    <cellStyle name="Input 6 2 2 5" xfId="10508"/>
    <cellStyle name="Input 6 2 2 5 2" xfId="10509"/>
    <cellStyle name="Input 6 2 2 5 3" xfId="10510"/>
    <cellStyle name="Input 6 2 2 5 4" xfId="10511"/>
    <cellStyle name="Input 6 2 2 5 5" xfId="10512"/>
    <cellStyle name="Input 6 2 2 5 6" xfId="10513"/>
    <cellStyle name="Input 6 2 2 6" xfId="10514"/>
    <cellStyle name="Input 6 2 2 7" xfId="10515"/>
    <cellStyle name="Input 6 2 2 8" xfId="10516"/>
    <cellStyle name="Input 6 2 2 9" xfId="10517"/>
    <cellStyle name="Input 6 2 20" xfId="10518"/>
    <cellStyle name="Input 6 2 20 2" xfId="10519"/>
    <cellStyle name="Input 6 2 20 3" xfId="10520"/>
    <cellStyle name="Input 6 2 20 4" xfId="10521"/>
    <cellStyle name="Input 6 2 20 5" xfId="10522"/>
    <cellStyle name="Input 6 2 20 6" xfId="10523"/>
    <cellStyle name="Input 6 2 21" xfId="10524"/>
    <cellStyle name="Input 6 2 21 2" xfId="10525"/>
    <cellStyle name="Input 6 2 21 3" xfId="10526"/>
    <cellStyle name="Input 6 2 21 4" xfId="10527"/>
    <cellStyle name="Input 6 2 21 5" xfId="10528"/>
    <cellStyle name="Input 6 2 21 6" xfId="10529"/>
    <cellStyle name="Input 6 2 22" xfId="10530"/>
    <cellStyle name="Input 6 2 22 2" xfId="10531"/>
    <cellStyle name="Input 6 2 22 3" xfId="10532"/>
    <cellStyle name="Input 6 2 22 4" xfId="10533"/>
    <cellStyle name="Input 6 2 22 5" xfId="10534"/>
    <cellStyle name="Input 6 2 22 6" xfId="10535"/>
    <cellStyle name="Input 6 2 23" xfId="10536"/>
    <cellStyle name="Input 6 2 23 2" xfId="10537"/>
    <cellStyle name="Input 6 2 23 3" xfId="10538"/>
    <cellStyle name="Input 6 2 23 4" xfId="10539"/>
    <cellStyle name="Input 6 2 23 5" xfId="10540"/>
    <cellStyle name="Input 6 2 23 6" xfId="10541"/>
    <cellStyle name="Input 6 2 24" xfId="10542"/>
    <cellStyle name="Input 6 2 24 2" xfId="10543"/>
    <cellStyle name="Input 6 2 24 3" xfId="10544"/>
    <cellStyle name="Input 6 2 24 4" xfId="10545"/>
    <cellStyle name="Input 6 2 24 5" xfId="10546"/>
    <cellStyle name="Input 6 2 24 6" xfId="10547"/>
    <cellStyle name="Input 6 2 25" xfId="10548"/>
    <cellStyle name="Input 6 2 25 2" xfId="10549"/>
    <cellStyle name="Input 6 2 25 3" xfId="10550"/>
    <cellStyle name="Input 6 2 25 4" xfId="10551"/>
    <cellStyle name="Input 6 2 25 5" xfId="10552"/>
    <cellStyle name="Input 6 2 25 6" xfId="10553"/>
    <cellStyle name="Input 6 2 26" xfId="10554"/>
    <cellStyle name="Input 6 2 26 2" xfId="10555"/>
    <cellStyle name="Input 6 2 26 3" xfId="10556"/>
    <cellStyle name="Input 6 2 26 4" xfId="10557"/>
    <cellStyle name="Input 6 2 26 5" xfId="10558"/>
    <cellStyle name="Input 6 2 26 6" xfId="10559"/>
    <cellStyle name="Input 6 2 27" xfId="10560"/>
    <cellStyle name="Input 6 2 27 2" xfId="10561"/>
    <cellStyle name="Input 6 2 27 3" xfId="10562"/>
    <cellStyle name="Input 6 2 27 4" xfId="10563"/>
    <cellStyle name="Input 6 2 27 5" xfId="10564"/>
    <cellStyle name="Input 6 2 27 6" xfId="10565"/>
    <cellStyle name="Input 6 2 28" xfId="10566"/>
    <cellStyle name="Input 6 2 28 2" xfId="10567"/>
    <cellStyle name="Input 6 2 28 3" xfId="10568"/>
    <cellStyle name="Input 6 2 28 4" xfId="10569"/>
    <cellStyle name="Input 6 2 28 5" xfId="10570"/>
    <cellStyle name="Input 6 2 28 6" xfId="10571"/>
    <cellStyle name="Input 6 2 29" xfId="10572"/>
    <cellStyle name="Input 6 2 29 2" xfId="10573"/>
    <cellStyle name="Input 6 2 29 3" xfId="10574"/>
    <cellStyle name="Input 6 2 29 4" xfId="10575"/>
    <cellStyle name="Input 6 2 3" xfId="10576"/>
    <cellStyle name="Input 6 2 3 2" xfId="10577"/>
    <cellStyle name="Input 6 2 3 3" xfId="10578"/>
    <cellStyle name="Input 6 2 3 4" xfId="10579"/>
    <cellStyle name="Input 6 2 3 5" xfId="10580"/>
    <cellStyle name="Input 6 2 3 6" xfId="10581"/>
    <cellStyle name="Input 6 2 30" xfId="10582"/>
    <cellStyle name="Input 6 2 31" xfId="10583"/>
    <cellStyle name="Input 6 2 32" xfId="10584"/>
    <cellStyle name="Input 6 2 33" xfId="10585"/>
    <cellStyle name="Input 6 2 34" xfId="10586"/>
    <cellStyle name="Input 6 2 35" xfId="10587"/>
    <cellStyle name="Input 6 2 36" xfId="10588"/>
    <cellStyle name="Input 6 2 37" xfId="10589"/>
    <cellStyle name="Input 6 2 38" xfId="10590"/>
    <cellStyle name="Input 6 2 39" xfId="10591"/>
    <cellStyle name="Input 6 2 4" xfId="10592"/>
    <cellStyle name="Input 6 2 4 2" xfId="10593"/>
    <cellStyle name="Input 6 2 4 3" xfId="10594"/>
    <cellStyle name="Input 6 2 4 4" xfId="10595"/>
    <cellStyle name="Input 6 2 4 5" xfId="10596"/>
    <cellStyle name="Input 6 2 4 6" xfId="10597"/>
    <cellStyle name="Input 6 2 40" xfId="10598"/>
    <cellStyle name="Input 6 2 41" xfId="10599"/>
    <cellStyle name="Input 6 2 42" xfId="10600"/>
    <cellStyle name="Input 6 2 43" xfId="10601"/>
    <cellStyle name="Input 6 2 44" xfId="10602"/>
    <cellStyle name="Input 6 2 45" xfId="10603"/>
    <cellStyle name="Input 6 2 46" xfId="10604"/>
    <cellStyle name="Input 6 2 47" xfId="10605"/>
    <cellStyle name="Input 6 2 48" xfId="10606"/>
    <cellStyle name="Input 6 2 49" xfId="10607"/>
    <cellStyle name="Input 6 2 5" xfId="10608"/>
    <cellStyle name="Input 6 2 5 2" xfId="10609"/>
    <cellStyle name="Input 6 2 5 3" xfId="10610"/>
    <cellStyle name="Input 6 2 5 4" xfId="10611"/>
    <cellStyle name="Input 6 2 5 5" xfId="10612"/>
    <cellStyle name="Input 6 2 5 6" xfId="10613"/>
    <cellStyle name="Input 6 2 50" xfId="10614"/>
    <cellStyle name="Input 6 2 51" xfId="10615"/>
    <cellStyle name="Input 6 2 52" xfId="10616"/>
    <cellStyle name="Input 6 2 53" xfId="10617"/>
    <cellStyle name="Input 6 2 54" xfId="10618"/>
    <cellStyle name="Input 6 2 55" xfId="10619"/>
    <cellStyle name="Input 6 2 56" xfId="10620"/>
    <cellStyle name="Input 6 2 57" xfId="10621"/>
    <cellStyle name="Input 6 2 58" xfId="10622"/>
    <cellStyle name="Input 6 2 59" xfId="10623"/>
    <cellStyle name="Input 6 2 6" xfId="10624"/>
    <cellStyle name="Input 6 2 6 2" xfId="10625"/>
    <cellStyle name="Input 6 2 6 3" xfId="10626"/>
    <cellStyle name="Input 6 2 6 4" xfId="10627"/>
    <cellStyle name="Input 6 2 6 5" xfId="10628"/>
    <cellStyle name="Input 6 2 6 6" xfId="10629"/>
    <cellStyle name="Input 6 2 60" xfId="10630"/>
    <cellStyle name="Input 6 2 61" xfId="10631"/>
    <cellStyle name="Input 6 2 62" xfId="10632"/>
    <cellStyle name="Input 6 2 63" xfId="10633"/>
    <cellStyle name="Input 6 2 64" xfId="10634"/>
    <cellStyle name="Input 6 2 65" xfId="10635"/>
    <cellStyle name="Input 6 2 66" xfId="10636"/>
    <cellStyle name="Input 6 2 7" xfId="10637"/>
    <cellStyle name="Input 6 2 7 2" xfId="10638"/>
    <cellStyle name="Input 6 2 7 3" xfId="10639"/>
    <cellStyle name="Input 6 2 7 4" xfId="10640"/>
    <cellStyle name="Input 6 2 7 5" xfId="10641"/>
    <cellStyle name="Input 6 2 7 6" xfId="10642"/>
    <cellStyle name="Input 6 2 8" xfId="10643"/>
    <cellStyle name="Input 6 2 8 2" xfId="10644"/>
    <cellStyle name="Input 6 2 8 3" xfId="10645"/>
    <cellStyle name="Input 6 2 8 4" xfId="10646"/>
    <cellStyle name="Input 6 2 8 5" xfId="10647"/>
    <cellStyle name="Input 6 2 8 6" xfId="10648"/>
    <cellStyle name="Input 6 2 9" xfId="10649"/>
    <cellStyle name="Input 6 2 9 2" xfId="10650"/>
    <cellStyle name="Input 6 2 9 3" xfId="10651"/>
    <cellStyle name="Input 6 2 9 4" xfId="10652"/>
    <cellStyle name="Input 6 2 9 5" xfId="10653"/>
    <cellStyle name="Input 6 2 9 6" xfId="10654"/>
    <cellStyle name="Input 6 20" xfId="10655"/>
    <cellStyle name="Input 6 20 2" xfId="10656"/>
    <cellStyle name="Input 6 20 3" xfId="10657"/>
    <cellStyle name="Input 6 20 4" xfId="10658"/>
    <cellStyle name="Input 6 20 5" xfId="10659"/>
    <cellStyle name="Input 6 20 6" xfId="10660"/>
    <cellStyle name="Input 6 21" xfId="10661"/>
    <cellStyle name="Input 6 21 2" xfId="10662"/>
    <cellStyle name="Input 6 21 3" xfId="10663"/>
    <cellStyle name="Input 6 21 4" xfId="10664"/>
    <cellStyle name="Input 6 21 5" xfId="10665"/>
    <cellStyle name="Input 6 21 6" xfId="10666"/>
    <cellStyle name="Input 6 22" xfId="10667"/>
    <cellStyle name="Input 6 22 2" xfId="10668"/>
    <cellStyle name="Input 6 22 3" xfId="10669"/>
    <cellStyle name="Input 6 22 4" xfId="10670"/>
    <cellStyle name="Input 6 22 5" xfId="10671"/>
    <cellStyle name="Input 6 22 6" xfId="10672"/>
    <cellStyle name="Input 6 23" xfId="10673"/>
    <cellStyle name="Input 6 23 2" xfId="10674"/>
    <cellStyle name="Input 6 23 3" xfId="10675"/>
    <cellStyle name="Input 6 23 4" xfId="10676"/>
    <cellStyle name="Input 6 23 5" xfId="10677"/>
    <cellStyle name="Input 6 23 6" xfId="10678"/>
    <cellStyle name="Input 6 24" xfId="10679"/>
    <cellStyle name="Input 6 24 2" xfId="10680"/>
    <cellStyle name="Input 6 24 3" xfId="10681"/>
    <cellStyle name="Input 6 24 4" xfId="10682"/>
    <cellStyle name="Input 6 24 5" xfId="10683"/>
    <cellStyle name="Input 6 24 6" xfId="10684"/>
    <cellStyle name="Input 6 25" xfId="10685"/>
    <cellStyle name="Input 6 25 2" xfId="10686"/>
    <cellStyle name="Input 6 25 3" xfId="10687"/>
    <cellStyle name="Input 6 25 4" xfId="10688"/>
    <cellStyle name="Input 6 25 5" xfId="10689"/>
    <cellStyle name="Input 6 25 6" xfId="10690"/>
    <cellStyle name="Input 6 26" xfId="10691"/>
    <cellStyle name="Input 6 26 2" xfId="10692"/>
    <cellStyle name="Input 6 26 3" xfId="10693"/>
    <cellStyle name="Input 6 26 4" xfId="10694"/>
    <cellStyle name="Input 6 26 5" xfId="10695"/>
    <cellStyle name="Input 6 26 6" xfId="10696"/>
    <cellStyle name="Input 6 27" xfId="10697"/>
    <cellStyle name="Input 6 27 2" xfId="10698"/>
    <cellStyle name="Input 6 27 3" xfId="10699"/>
    <cellStyle name="Input 6 27 4" xfId="10700"/>
    <cellStyle name="Input 6 27 5" xfId="10701"/>
    <cellStyle name="Input 6 27 6" xfId="10702"/>
    <cellStyle name="Input 6 28" xfId="10703"/>
    <cellStyle name="Input 6 28 2" xfId="10704"/>
    <cellStyle name="Input 6 28 3" xfId="10705"/>
    <cellStyle name="Input 6 28 4" xfId="10706"/>
    <cellStyle name="Input 6 28 5" xfId="10707"/>
    <cellStyle name="Input 6 28 6" xfId="10708"/>
    <cellStyle name="Input 6 29" xfId="10709"/>
    <cellStyle name="Input 6 29 2" xfId="10710"/>
    <cellStyle name="Input 6 29 3" xfId="10711"/>
    <cellStyle name="Input 6 29 4" xfId="10712"/>
    <cellStyle name="Input 6 29 5" xfId="10713"/>
    <cellStyle name="Input 6 29 6" xfId="10714"/>
    <cellStyle name="Input 6 3" xfId="10715"/>
    <cellStyle name="Input 6 3 10" xfId="10716"/>
    <cellStyle name="Input 6 3 2" xfId="10717"/>
    <cellStyle name="Input 6 3 2 2" xfId="10718"/>
    <cellStyle name="Input 6 3 2 3" xfId="10719"/>
    <cellStyle name="Input 6 3 2 4" xfId="10720"/>
    <cellStyle name="Input 6 3 2 5" xfId="10721"/>
    <cellStyle name="Input 6 3 2 6" xfId="10722"/>
    <cellStyle name="Input 6 3 3" xfId="10723"/>
    <cellStyle name="Input 6 3 3 2" xfId="10724"/>
    <cellStyle name="Input 6 3 3 3" xfId="10725"/>
    <cellStyle name="Input 6 3 3 4" xfId="10726"/>
    <cellStyle name="Input 6 3 3 5" xfId="10727"/>
    <cellStyle name="Input 6 3 3 6" xfId="10728"/>
    <cellStyle name="Input 6 3 4" xfId="10729"/>
    <cellStyle name="Input 6 3 4 2" xfId="10730"/>
    <cellStyle name="Input 6 3 4 3" xfId="10731"/>
    <cellStyle name="Input 6 3 4 4" xfId="10732"/>
    <cellStyle name="Input 6 3 4 5" xfId="10733"/>
    <cellStyle name="Input 6 3 4 6" xfId="10734"/>
    <cellStyle name="Input 6 3 5" xfId="10735"/>
    <cellStyle name="Input 6 3 5 2" xfId="10736"/>
    <cellStyle name="Input 6 3 5 3" xfId="10737"/>
    <cellStyle name="Input 6 3 5 4" xfId="10738"/>
    <cellStyle name="Input 6 3 5 5" xfId="10739"/>
    <cellStyle name="Input 6 3 5 6" xfId="10740"/>
    <cellStyle name="Input 6 3 6" xfId="10741"/>
    <cellStyle name="Input 6 3 7" xfId="10742"/>
    <cellStyle name="Input 6 3 8" xfId="10743"/>
    <cellStyle name="Input 6 3 9" xfId="10744"/>
    <cellStyle name="Input 6 30" xfId="10745"/>
    <cellStyle name="Input 6 30 2" xfId="10746"/>
    <cellStyle name="Input 6 30 3" xfId="10747"/>
    <cellStyle name="Input 6 30 4" xfId="10748"/>
    <cellStyle name="Input 6 31" xfId="10749"/>
    <cellStyle name="Input 6 32" xfId="10750"/>
    <cellStyle name="Input 6 33" xfId="10751"/>
    <cellStyle name="Input 6 34" xfId="10752"/>
    <cellStyle name="Input 6 35" xfId="10753"/>
    <cellStyle name="Input 6 36" xfId="10754"/>
    <cellStyle name="Input 6 37" xfId="10755"/>
    <cellStyle name="Input 6 38" xfId="10756"/>
    <cellStyle name="Input 6 39" xfId="10757"/>
    <cellStyle name="Input 6 4" xfId="10758"/>
    <cellStyle name="Input 6 4 2" xfId="10759"/>
    <cellStyle name="Input 6 4 3" xfId="10760"/>
    <cellStyle name="Input 6 4 4" xfId="10761"/>
    <cellStyle name="Input 6 4 5" xfId="10762"/>
    <cellStyle name="Input 6 4 6" xfId="10763"/>
    <cellStyle name="Input 6 40" xfId="10764"/>
    <cellStyle name="Input 6 41" xfId="10765"/>
    <cellStyle name="Input 6 42" xfId="10766"/>
    <cellStyle name="Input 6 43" xfId="10767"/>
    <cellStyle name="Input 6 44" xfId="10768"/>
    <cellStyle name="Input 6 45" xfId="10769"/>
    <cellStyle name="Input 6 46" xfId="10770"/>
    <cellStyle name="Input 6 47" xfId="10771"/>
    <cellStyle name="Input 6 48" xfId="10772"/>
    <cellStyle name="Input 6 49" xfId="10773"/>
    <cellStyle name="Input 6 5" xfId="10774"/>
    <cellStyle name="Input 6 5 2" xfId="10775"/>
    <cellStyle name="Input 6 5 3" xfId="10776"/>
    <cellStyle name="Input 6 5 4" xfId="10777"/>
    <cellStyle name="Input 6 5 5" xfId="10778"/>
    <cellStyle name="Input 6 5 6" xfId="10779"/>
    <cellStyle name="Input 6 50" xfId="10780"/>
    <cellStyle name="Input 6 51" xfId="10781"/>
    <cellStyle name="Input 6 52" xfId="10782"/>
    <cellStyle name="Input 6 53" xfId="10783"/>
    <cellStyle name="Input 6 54" xfId="10784"/>
    <cellStyle name="Input 6 55" xfId="10785"/>
    <cellStyle name="Input 6 56" xfId="10786"/>
    <cellStyle name="Input 6 57" xfId="10787"/>
    <cellStyle name="Input 6 58" xfId="10788"/>
    <cellStyle name="Input 6 59" xfId="10789"/>
    <cellStyle name="Input 6 6" xfId="10790"/>
    <cellStyle name="Input 6 6 2" xfId="10791"/>
    <cellStyle name="Input 6 6 3" xfId="10792"/>
    <cellStyle name="Input 6 6 4" xfId="10793"/>
    <cellStyle name="Input 6 6 5" xfId="10794"/>
    <cellStyle name="Input 6 6 6" xfId="10795"/>
    <cellStyle name="Input 6 60" xfId="10796"/>
    <cellStyle name="Input 6 61" xfId="10797"/>
    <cellStyle name="Input 6 62" xfId="10798"/>
    <cellStyle name="Input 6 63" xfId="10799"/>
    <cellStyle name="Input 6 64" xfId="10800"/>
    <cellStyle name="Input 6 65" xfId="10801"/>
    <cellStyle name="Input 6 66" xfId="10802"/>
    <cellStyle name="Input 6 67" xfId="10803"/>
    <cellStyle name="Input 6 7" xfId="10804"/>
    <cellStyle name="Input 6 7 2" xfId="10805"/>
    <cellStyle name="Input 6 7 3" xfId="10806"/>
    <cellStyle name="Input 6 7 4" xfId="10807"/>
    <cellStyle name="Input 6 7 5" xfId="10808"/>
    <cellStyle name="Input 6 7 6" xfId="10809"/>
    <cellStyle name="Input 6 8" xfId="10810"/>
    <cellStyle name="Input 6 8 2" xfId="10811"/>
    <cellStyle name="Input 6 8 3" xfId="10812"/>
    <cellStyle name="Input 6 8 4" xfId="10813"/>
    <cellStyle name="Input 6 8 5" xfId="10814"/>
    <cellStyle name="Input 6 8 6" xfId="10815"/>
    <cellStyle name="Input 6 9" xfId="10816"/>
    <cellStyle name="Input 6 9 2" xfId="10817"/>
    <cellStyle name="Input 6 9 3" xfId="10818"/>
    <cellStyle name="Input 6 9 4" xfId="10819"/>
    <cellStyle name="Input 6 9 5" xfId="10820"/>
    <cellStyle name="Input 6 9 6" xfId="10821"/>
    <cellStyle name="Input 7" xfId="10822"/>
    <cellStyle name="Input 7 10" xfId="10823"/>
    <cellStyle name="Input 7 10 2" xfId="10824"/>
    <cellStyle name="Input 7 10 3" xfId="10825"/>
    <cellStyle name="Input 7 10 4" xfId="10826"/>
    <cellStyle name="Input 7 10 5" xfId="10827"/>
    <cellStyle name="Input 7 10 6" xfId="10828"/>
    <cellStyle name="Input 7 11" xfId="10829"/>
    <cellStyle name="Input 7 11 2" xfId="10830"/>
    <cellStyle name="Input 7 11 3" xfId="10831"/>
    <cellStyle name="Input 7 11 4" xfId="10832"/>
    <cellStyle name="Input 7 11 5" xfId="10833"/>
    <cellStyle name="Input 7 11 6" xfId="10834"/>
    <cellStyle name="Input 7 12" xfId="10835"/>
    <cellStyle name="Input 7 12 2" xfId="10836"/>
    <cellStyle name="Input 7 12 3" xfId="10837"/>
    <cellStyle name="Input 7 12 4" xfId="10838"/>
    <cellStyle name="Input 7 12 5" xfId="10839"/>
    <cellStyle name="Input 7 12 6" xfId="10840"/>
    <cellStyle name="Input 7 13" xfId="10841"/>
    <cellStyle name="Input 7 13 2" xfId="10842"/>
    <cellStyle name="Input 7 13 3" xfId="10843"/>
    <cellStyle name="Input 7 13 4" xfId="10844"/>
    <cellStyle name="Input 7 13 5" xfId="10845"/>
    <cellStyle name="Input 7 13 6" xfId="10846"/>
    <cellStyle name="Input 7 14" xfId="10847"/>
    <cellStyle name="Input 7 14 2" xfId="10848"/>
    <cellStyle name="Input 7 14 3" xfId="10849"/>
    <cellStyle name="Input 7 14 4" xfId="10850"/>
    <cellStyle name="Input 7 14 5" xfId="10851"/>
    <cellStyle name="Input 7 14 6" xfId="10852"/>
    <cellStyle name="Input 7 15" xfId="10853"/>
    <cellStyle name="Input 7 15 2" xfId="10854"/>
    <cellStyle name="Input 7 15 3" xfId="10855"/>
    <cellStyle name="Input 7 15 4" xfId="10856"/>
    <cellStyle name="Input 7 15 5" xfId="10857"/>
    <cellStyle name="Input 7 15 6" xfId="10858"/>
    <cellStyle name="Input 7 16" xfId="10859"/>
    <cellStyle name="Input 7 16 2" xfId="10860"/>
    <cellStyle name="Input 7 16 3" xfId="10861"/>
    <cellStyle name="Input 7 16 4" xfId="10862"/>
    <cellStyle name="Input 7 16 5" xfId="10863"/>
    <cellStyle name="Input 7 16 6" xfId="10864"/>
    <cellStyle name="Input 7 17" xfId="10865"/>
    <cellStyle name="Input 7 17 2" xfId="10866"/>
    <cellStyle name="Input 7 17 3" xfId="10867"/>
    <cellStyle name="Input 7 17 4" xfId="10868"/>
    <cellStyle name="Input 7 17 5" xfId="10869"/>
    <cellStyle name="Input 7 17 6" xfId="10870"/>
    <cellStyle name="Input 7 18" xfId="10871"/>
    <cellStyle name="Input 7 18 2" xfId="10872"/>
    <cellStyle name="Input 7 18 3" xfId="10873"/>
    <cellStyle name="Input 7 18 4" xfId="10874"/>
    <cellStyle name="Input 7 18 5" xfId="10875"/>
    <cellStyle name="Input 7 18 6" xfId="10876"/>
    <cellStyle name="Input 7 19" xfId="10877"/>
    <cellStyle name="Input 7 19 2" xfId="10878"/>
    <cellStyle name="Input 7 19 3" xfId="10879"/>
    <cellStyle name="Input 7 19 4" xfId="10880"/>
    <cellStyle name="Input 7 19 5" xfId="10881"/>
    <cellStyle name="Input 7 19 6" xfId="10882"/>
    <cellStyle name="Input 7 2" xfId="10883"/>
    <cellStyle name="Input 7 2 10" xfId="10884"/>
    <cellStyle name="Input 7 2 10 2" xfId="10885"/>
    <cellStyle name="Input 7 2 10 3" xfId="10886"/>
    <cellStyle name="Input 7 2 10 4" xfId="10887"/>
    <cellStyle name="Input 7 2 10 5" xfId="10888"/>
    <cellStyle name="Input 7 2 10 6" xfId="10889"/>
    <cellStyle name="Input 7 2 11" xfId="10890"/>
    <cellStyle name="Input 7 2 11 2" xfId="10891"/>
    <cellStyle name="Input 7 2 11 3" xfId="10892"/>
    <cellStyle name="Input 7 2 11 4" xfId="10893"/>
    <cellStyle name="Input 7 2 11 5" xfId="10894"/>
    <cellStyle name="Input 7 2 11 6" xfId="10895"/>
    <cellStyle name="Input 7 2 12" xfId="10896"/>
    <cellStyle name="Input 7 2 12 2" xfId="10897"/>
    <cellStyle name="Input 7 2 12 3" xfId="10898"/>
    <cellStyle name="Input 7 2 12 4" xfId="10899"/>
    <cellStyle name="Input 7 2 12 5" xfId="10900"/>
    <cellStyle name="Input 7 2 12 6" xfId="10901"/>
    <cellStyle name="Input 7 2 13" xfId="10902"/>
    <cellStyle name="Input 7 2 13 2" xfId="10903"/>
    <cellStyle name="Input 7 2 13 3" xfId="10904"/>
    <cellStyle name="Input 7 2 13 4" xfId="10905"/>
    <cellStyle name="Input 7 2 13 5" xfId="10906"/>
    <cellStyle name="Input 7 2 13 6" xfId="10907"/>
    <cellStyle name="Input 7 2 14" xfId="10908"/>
    <cellStyle name="Input 7 2 14 2" xfId="10909"/>
    <cellStyle name="Input 7 2 14 3" xfId="10910"/>
    <cellStyle name="Input 7 2 14 4" xfId="10911"/>
    <cellStyle name="Input 7 2 14 5" xfId="10912"/>
    <cellStyle name="Input 7 2 14 6" xfId="10913"/>
    <cellStyle name="Input 7 2 15" xfId="10914"/>
    <cellStyle name="Input 7 2 15 2" xfId="10915"/>
    <cellStyle name="Input 7 2 15 3" xfId="10916"/>
    <cellStyle name="Input 7 2 15 4" xfId="10917"/>
    <cellStyle name="Input 7 2 15 5" xfId="10918"/>
    <cellStyle name="Input 7 2 15 6" xfId="10919"/>
    <cellStyle name="Input 7 2 16" xfId="10920"/>
    <cellStyle name="Input 7 2 16 2" xfId="10921"/>
    <cellStyle name="Input 7 2 16 3" xfId="10922"/>
    <cellStyle name="Input 7 2 16 4" xfId="10923"/>
    <cellStyle name="Input 7 2 16 5" xfId="10924"/>
    <cellStyle name="Input 7 2 16 6" xfId="10925"/>
    <cellStyle name="Input 7 2 17" xfId="10926"/>
    <cellStyle name="Input 7 2 17 2" xfId="10927"/>
    <cellStyle name="Input 7 2 17 3" xfId="10928"/>
    <cellStyle name="Input 7 2 17 4" xfId="10929"/>
    <cellStyle name="Input 7 2 17 5" xfId="10930"/>
    <cellStyle name="Input 7 2 17 6" xfId="10931"/>
    <cellStyle name="Input 7 2 18" xfId="10932"/>
    <cellStyle name="Input 7 2 18 2" xfId="10933"/>
    <cellStyle name="Input 7 2 18 3" xfId="10934"/>
    <cellStyle name="Input 7 2 18 4" xfId="10935"/>
    <cellStyle name="Input 7 2 18 5" xfId="10936"/>
    <cellStyle name="Input 7 2 18 6" xfId="10937"/>
    <cellStyle name="Input 7 2 19" xfId="10938"/>
    <cellStyle name="Input 7 2 19 2" xfId="10939"/>
    <cellStyle name="Input 7 2 19 3" xfId="10940"/>
    <cellStyle name="Input 7 2 19 4" xfId="10941"/>
    <cellStyle name="Input 7 2 19 5" xfId="10942"/>
    <cellStyle name="Input 7 2 19 6" xfId="10943"/>
    <cellStyle name="Input 7 2 2" xfId="10944"/>
    <cellStyle name="Input 7 2 2 10" xfId="10945"/>
    <cellStyle name="Input 7 2 2 2" xfId="10946"/>
    <cellStyle name="Input 7 2 2 2 2" xfId="10947"/>
    <cellStyle name="Input 7 2 2 2 3" xfId="10948"/>
    <cellStyle name="Input 7 2 2 2 4" xfId="10949"/>
    <cellStyle name="Input 7 2 2 2 5" xfId="10950"/>
    <cellStyle name="Input 7 2 2 2 6" xfId="10951"/>
    <cellStyle name="Input 7 2 2 3" xfId="10952"/>
    <cellStyle name="Input 7 2 2 3 2" xfId="10953"/>
    <cellStyle name="Input 7 2 2 3 3" xfId="10954"/>
    <cellStyle name="Input 7 2 2 3 4" xfId="10955"/>
    <cellStyle name="Input 7 2 2 3 5" xfId="10956"/>
    <cellStyle name="Input 7 2 2 3 6" xfId="10957"/>
    <cellStyle name="Input 7 2 2 4" xfId="10958"/>
    <cellStyle name="Input 7 2 2 4 2" xfId="10959"/>
    <cellStyle name="Input 7 2 2 4 3" xfId="10960"/>
    <cellStyle name="Input 7 2 2 4 4" xfId="10961"/>
    <cellStyle name="Input 7 2 2 4 5" xfId="10962"/>
    <cellStyle name="Input 7 2 2 4 6" xfId="10963"/>
    <cellStyle name="Input 7 2 2 5" xfId="10964"/>
    <cellStyle name="Input 7 2 2 5 2" xfId="10965"/>
    <cellStyle name="Input 7 2 2 5 3" xfId="10966"/>
    <cellStyle name="Input 7 2 2 5 4" xfId="10967"/>
    <cellStyle name="Input 7 2 2 5 5" xfId="10968"/>
    <cellStyle name="Input 7 2 2 5 6" xfId="10969"/>
    <cellStyle name="Input 7 2 2 6" xfId="10970"/>
    <cellStyle name="Input 7 2 2 7" xfId="10971"/>
    <cellStyle name="Input 7 2 2 8" xfId="10972"/>
    <cellStyle name="Input 7 2 2 9" xfId="10973"/>
    <cellStyle name="Input 7 2 20" xfId="10974"/>
    <cellStyle name="Input 7 2 20 2" xfId="10975"/>
    <cellStyle name="Input 7 2 20 3" xfId="10976"/>
    <cellStyle name="Input 7 2 20 4" xfId="10977"/>
    <cellStyle name="Input 7 2 20 5" xfId="10978"/>
    <cellStyle name="Input 7 2 20 6" xfId="10979"/>
    <cellStyle name="Input 7 2 21" xfId="10980"/>
    <cellStyle name="Input 7 2 21 2" xfId="10981"/>
    <cellStyle name="Input 7 2 21 3" xfId="10982"/>
    <cellStyle name="Input 7 2 21 4" xfId="10983"/>
    <cellStyle name="Input 7 2 21 5" xfId="10984"/>
    <cellStyle name="Input 7 2 21 6" xfId="10985"/>
    <cellStyle name="Input 7 2 22" xfId="10986"/>
    <cellStyle name="Input 7 2 22 2" xfId="10987"/>
    <cellStyle name="Input 7 2 22 3" xfId="10988"/>
    <cellStyle name="Input 7 2 22 4" xfId="10989"/>
    <cellStyle name="Input 7 2 22 5" xfId="10990"/>
    <cellStyle name="Input 7 2 22 6" xfId="10991"/>
    <cellStyle name="Input 7 2 23" xfId="10992"/>
    <cellStyle name="Input 7 2 23 2" xfId="10993"/>
    <cellStyle name="Input 7 2 23 3" xfId="10994"/>
    <cellStyle name="Input 7 2 23 4" xfId="10995"/>
    <cellStyle name="Input 7 2 23 5" xfId="10996"/>
    <cellStyle name="Input 7 2 23 6" xfId="10997"/>
    <cellStyle name="Input 7 2 24" xfId="10998"/>
    <cellStyle name="Input 7 2 24 2" xfId="10999"/>
    <cellStyle name="Input 7 2 24 3" xfId="11000"/>
    <cellStyle name="Input 7 2 24 4" xfId="11001"/>
    <cellStyle name="Input 7 2 24 5" xfId="11002"/>
    <cellStyle name="Input 7 2 24 6" xfId="11003"/>
    <cellStyle name="Input 7 2 25" xfId="11004"/>
    <cellStyle name="Input 7 2 25 2" xfId="11005"/>
    <cellStyle name="Input 7 2 25 3" xfId="11006"/>
    <cellStyle name="Input 7 2 25 4" xfId="11007"/>
    <cellStyle name="Input 7 2 25 5" xfId="11008"/>
    <cellStyle name="Input 7 2 25 6" xfId="11009"/>
    <cellStyle name="Input 7 2 26" xfId="11010"/>
    <cellStyle name="Input 7 2 26 2" xfId="11011"/>
    <cellStyle name="Input 7 2 26 3" xfId="11012"/>
    <cellStyle name="Input 7 2 26 4" xfId="11013"/>
    <cellStyle name="Input 7 2 26 5" xfId="11014"/>
    <cellStyle name="Input 7 2 26 6" xfId="11015"/>
    <cellStyle name="Input 7 2 27" xfId="11016"/>
    <cellStyle name="Input 7 2 27 2" xfId="11017"/>
    <cellStyle name="Input 7 2 27 3" xfId="11018"/>
    <cellStyle name="Input 7 2 27 4" xfId="11019"/>
    <cellStyle name="Input 7 2 27 5" xfId="11020"/>
    <cellStyle name="Input 7 2 27 6" xfId="11021"/>
    <cellStyle name="Input 7 2 28" xfId="11022"/>
    <cellStyle name="Input 7 2 28 2" xfId="11023"/>
    <cellStyle name="Input 7 2 28 3" xfId="11024"/>
    <cellStyle name="Input 7 2 28 4" xfId="11025"/>
    <cellStyle name="Input 7 2 28 5" xfId="11026"/>
    <cellStyle name="Input 7 2 28 6" xfId="11027"/>
    <cellStyle name="Input 7 2 29" xfId="11028"/>
    <cellStyle name="Input 7 2 29 2" xfId="11029"/>
    <cellStyle name="Input 7 2 29 3" xfId="11030"/>
    <cellStyle name="Input 7 2 29 4" xfId="11031"/>
    <cellStyle name="Input 7 2 3" xfId="11032"/>
    <cellStyle name="Input 7 2 3 2" xfId="11033"/>
    <cellStyle name="Input 7 2 3 3" xfId="11034"/>
    <cellStyle name="Input 7 2 3 4" xfId="11035"/>
    <cellStyle name="Input 7 2 3 5" xfId="11036"/>
    <cellStyle name="Input 7 2 3 6" xfId="11037"/>
    <cellStyle name="Input 7 2 30" xfId="11038"/>
    <cellStyle name="Input 7 2 31" xfId="11039"/>
    <cellStyle name="Input 7 2 32" xfId="11040"/>
    <cellStyle name="Input 7 2 33" xfId="11041"/>
    <cellStyle name="Input 7 2 34" xfId="11042"/>
    <cellStyle name="Input 7 2 35" xfId="11043"/>
    <cellStyle name="Input 7 2 36" xfId="11044"/>
    <cellStyle name="Input 7 2 37" xfId="11045"/>
    <cellStyle name="Input 7 2 38" xfId="11046"/>
    <cellStyle name="Input 7 2 39" xfId="11047"/>
    <cellStyle name="Input 7 2 4" xfId="11048"/>
    <cellStyle name="Input 7 2 4 2" xfId="11049"/>
    <cellStyle name="Input 7 2 4 3" xfId="11050"/>
    <cellStyle name="Input 7 2 4 4" xfId="11051"/>
    <cellStyle name="Input 7 2 4 5" xfId="11052"/>
    <cellStyle name="Input 7 2 4 6" xfId="11053"/>
    <cellStyle name="Input 7 2 40" xfId="11054"/>
    <cellStyle name="Input 7 2 41" xfId="11055"/>
    <cellStyle name="Input 7 2 42" xfId="11056"/>
    <cellStyle name="Input 7 2 43" xfId="11057"/>
    <cellStyle name="Input 7 2 44" xfId="11058"/>
    <cellStyle name="Input 7 2 45" xfId="11059"/>
    <cellStyle name="Input 7 2 46" xfId="11060"/>
    <cellStyle name="Input 7 2 47" xfId="11061"/>
    <cellStyle name="Input 7 2 48" xfId="11062"/>
    <cellStyle name="Input 7 2 49" xfId="11063"/>
    <cellStyle name="Input 7 2 5" xfId="11064"/>
    <cellStyle name="Input 7 2 5 2" xfId="11065"/>
    <cellStyle name="Input 7 2 5 3" xfId="11066"/>
    <cellStyle name="Input 7 2 5 4" xfId="11067"/>
    <cellStyle name="Input 7 2 5 5" xfId="11068"/>
    <cellStyle name="Input 7 2 5 6" xfId="11069"/>
    <cellStyle name="Input 7 2 50" xfId="11070"/>
    <cellStyle name="Input 7 2 51" xfId="11071"/>
    <cellStyle name="Input 7 2 52" xfId="11072"/>
    <cellStyle name="Input 7 2 53" xfId="11073"/>
    <cellStyle name="Input 7 2 54" xfId="11074"/>
    <cellStyle name="Input 7 2 55" xfId="11075"/>
    <cellStyle name="Input 7 2 56" xfId="11076"/>
    <cellStyle name="Input 7 2 57" xfId="11077"/>
    <cellStyle name="Input 7 2 58" xfId="11078"/>
    <cellStyle name="Input 7 2 59" xfId="11079"/>
    <cellStyle name="Input 7 2 6" xfId="11080"/>
    <cellStyle name="Input 7 2 6 2" xfId="11081"/>
    <cellStyle name="Input 7 2 6 3" xfId="11082"/>
    <cellStyle name="Input 7 2 6 4" xfId="11083"/>
    <cellStyle name="Input 7 2 6 5" xfId="11084"/>
    <cellStyle name="Input 7 2 6 6" xfId="11085"/>
    <cellStyle name="Input 7 2 60" xfId="11086"/>
    <cellStyle name="Input 7 2 61" xfId="11087"/>
    <cellStyle name="Input 7 2 62" xfId="11088"/>
    <cellStyle name="Input 7 2 63" xfId="11089"/>
    <cellStyle name="Input 7 2 64" xfId="11090"/>
    <cellStyle name="Input 7 2 65" xfId="11091"/>
    <cellStyle name="Input 7 2 66" xfId="11092"/>
    <cellStyle name="Input 7 2 7" xfId="11093"/>
    <cellStyle name="Input 7 2 7 2" xfId="11094"/>
    <cellStyle name="Input 7 2 7 3" xfId="11095"/>
    <cellStyle name="Input 7 2 7 4" xfId="11096"/>
    <cellStyle name="Input 7 2 7 5" xfId="11097"/>
    <cellStyle name="Input 7 2 7 6" xfId="11098"/>
    <cellStyle name="Input 7 2 8" xfId="11099"/>
    <cellStyle name="Input 7 2 8 2" xfId="11100"/>
    <cellStyle name="Input 7 2 8 3" xfId="11101"/>
    <cellStyle name="Input 7 2 8 4" xfId="11102"/>
    <cellStyle name="Input 7 2 8 5" xfId="11103"/>
    <cellStyle name="Input 7 2 8 6" xfId="11104"/>
    <cellStyle name="Input 7 2 9" xfId="11105"/>
    <cellStyle name="Input 7 2 9 2" xfId="11106"/>
    <cellStyle name="Input 7 2 9 3" xfId="11107"/>
    <cellStyle name="Input 7 2 9 4" xfId="11108"/>
    <cellStyle name="Input 7 2 9 5" xfId="11109"/>
    <cellStyle name="Input 7 2 9 6" xfId="11110"/>
    <cellStyle name="Input 7 20" xfId="11111"/>
    <cellStyle name="Input 7 20 2" xfId="11112"/>
    <cellStyle name="Input 7 20 3" xfId="11113"/>
    <cellStyle name="Input 7 20 4" xfId="11114"/>
    <cellStyle name="Input 7 20 5" xfId="11115"/>
    <cellStyle name="Input 7 20 6" xfId="11116"/>
    <cellStyle name="Input 7 21" xfId="11117"/>
    <cellStyle name="Input 7 21 2" xfId="11118"/>
    <cellStyle name="Input 7 21 3" xfId="11119"/>
    <cellStyle name="Input 7 21 4" xfId="11120"/>
    <cellStyle name="Input 7 21 5" xfId="11121"/>
    <cellStyle name="Input 7 21 6" xfId="11122"/>
    <cellStyle name="Input 7 22" xfId="11123"/>
    <cellStyle name="Input 7 22 2" xfId="11124"/>
    <cellStyle name="Input 7 22 3" xfId="11125"/>
    <cellStyle name="Input 7 22 4" xfId="11126"/>
    <cellStyle name="Input 7 22 5" xfId="11127"/>
    <cellStyle name="Input 7 22 6" xfId="11128"/>
    <cellStyle name="Input 7 23" xfId="11129"/>
    <cellStyle name="Input 7 23 2" xfId="11130"/>
    <cellStyle name="Input 7 23 3" xfId="11131"/>
    <cellStyle name="Input 7 23 4" xfId="11132"/>
    <cellStyle name="Input 7 23 5" xfId="11133"/>
    <cellStyle name="Input 7 23 6" xfId="11134"/>
    <cellStyle name="Input 7 24" xfId="11135"/>
    <cellStyle name="Input 7 24 2" xfId="11136"/>
    <cellStyle name="Input 7 24 3" xfId="11137"/>
    <cellStyle name="Input 7 24 4" xfId="11138"/>
    <cellStyle name="Input 7 24 5" xfId="11139"/>
    <cellStyle name="Input 7 24 6" xfId="11140"/>
    <cellStyle name="Input 7 25" xfId="11141"/>
    <cellStyle name="Input 7 25 2" xfId="11142"/>
    <cellStyle name="Input 7 25 3" xfId="11143"/>
    <cellStyle name="Input 7 25 4" xfId="11144"/>
    <cellStyle name="Input 7 25 5" xfId="11145"/>
    <cellStyle name="Input 7 25 6" xfId="11146"/>
    <cellStyle name="Input 7 26" xfId="11147"/>
    <cellStyle name="Input 7 26 2" xfId="11148"/>
    <cellStyle name="Input 7 26 3" xfId="11149"/>
    <cellStyle name="Input 7 26 4" xfId="11150"/>
    <cellStyle name="Input 7 26 5" xfId="11151"/>
    <cellStyle name="Input 7 26 6" xfId="11152"/>
    <cellStyle name="Input 7 27" xfId="11153"/>
    <cellStyle name="Input 7 27 2" xfId="11154"/>
    <cellStyle name="Input 7 27 3" xfId="11155"/>
    <cellStyle name="Input 7 27 4" xfId="11156"/>
    <cellStyle name="Input 7 27 5" xfId="11157"/>
    <cellStyle name="Input 7 27 6" xfId="11158"/>
    <cellStyle name="Input 7 28" xfId="11159"/>
    <cellStyle name="Input 7 28 2" xfId="11160"/>
    <cellStyle name="Input 7 28 3" xfId="11161"/>
    <cellStyle name="Input 7 28 4" xfId="11162"/>
    <cellStyle name="Input 7 28 5" xfId="11163"/>
    <cellStyle name="Input 7 28 6" xfId="11164"/>
    <cellStyle name="Input 7 29" xfId="11165"/>
    <cellStyle name="Input 7 29 2" xfId="11166"/>
    <cellStyle name="Input 7 29 3" xfId="11167"/>
    <cellStyle name="Input 7 29 4" xfId="11168"/>
    <cellStyle name="Input 7 29 5" xfId="11169"/>
    <cellStyle name="Input 7 29 6" xfId="11170"/>
    <cellStyle name="Input 7 3" xfId="11171"/>
    <cellStyle name="Input 7 3 10" xfId="11172"/>
    <cellStyle name="Input 7 3 2" xfId="11173"/>
    <cellStyle name="Input 7 3 2 2" xfId="11174"/>
    <cellStyle name="Input 7 3 2 3" xfId="11175"/>
    <cellStyle name="Input 7 3 2 4" xfId="11176"/>
    <cellStyle name="Input 7 3 2 5" xfId="11177"/>
    <cellStyle name="Input 7 3 2 6" xfId="11178"/>
    <cellStyle name="Input 7 3 3" xfId="11179"/>
    <cellStyle name="Input 7 3 3 2" xfId="11180"/>
    <cellStyle name="Input 7 3 3 3" xfId="11181"/>
    <cellStyle name="Input 7 3 3 4" xfId="11182"/>
    <cellStyle name="Input 7 3 3 5" xfId="11183"/>
    <cellStyle name="Input 7 3 3 6" xfId="11184"/>
    <cellStyle name="Input 7 3 4" xfId="11185"/>
    <cellStyle name="Input 7 3 4 2" xfId="11186"/>
    <cellStyle name="Input 7 3 4 3" xfId="11187"/>
    <cellStyle name="Input 7 3 4 4" xfId="11188"/>
    <cellStyle name="Input 7 3 4 5" xfId="11189"/>
    <cellStyle name="Input 7 3 4 6" xfId="11190"/>
    <cellStyle name="Input 7 3 5" xfId="11191"/>
    <cellStyle name="Input 7 3 5 2" xfId="11192"/>
    <cellStyle name="Input 7 3 5 3" xfId="11193"/>
    <cellStyle name="Input 7 3 5 4" xfId="11194"/>
    <cellStyle name="Input 7 3 5 5" xfId="11195"/>
    <cellStyle name="Input 7 3 5 6" xfId="11196"/>
    <cellStyle name="Input 7 3 6" xfId="11197"/>
    <cellStyle name="Input 7 3 7" xfId="11198"/>
    <cellStyle name="Input 7 3 8" xfId="11199"/>
    <cellStyle name="Input 7 3 9" xfId="11200"/>
    <cellStyle name="Input 7 30" xfId="11201"/>
    <cellStyle name="Input 7 30 2" xfId="11202"/>
    <cellStyle name="Input 7 30 3" xfId="11203"/>
    <cellStyle name="Input 7 30 4" xfId="11204"/>
    <cellStyle name="Input 7 31" xfId="11205"/>
    <cellStyle name="Input 7 32" xfId="11206"/>
    <cellStyle name="Input 7 33" xfId="11207"/>
    <cellStyle name="Input 7 34" xfId="11208"/>
    <cellStyle name="Input 7 35" xfId="11209"/>
    <cellStyle name="Input 7 36" xfId="11210"/>
    <cellStyle name="Input 7 37" xfId="11211"/>
    <cellStyle name="Input 7 38" xfId="11212"/>
    <cellStyle name="Input 7 39" xfId="11213"/>
    <cellStyle name="Input 7 4" xfId="11214"/>
    <cellStyle name="Input 7 4 2" xfId="11215"/>
    <cellStyle name="Input 7 4 3" xfId="11216"/>
    <cellStyle name="Input 7 4 4" xfId="11217"/>
    <cellStyle name="Input 7 4 5" xfId="11218"/>
    <cellStyle name="Input 7 4 6" xfId="11219"/>
    <cellStyle name="Input 7 40" xfId="11220"/>
    <cellStyle name="Input 7 41" xfId="11221"/>
    <cellStyle name="Input 7 42" xfId="11222"/>
    <cellStyle name="Input 7 43" xfId="11223"/>
    <cellStyle name="Input 7 44" xfId="11224"/>
    <cellStyle name="Input 7 45" xfId="11225"/>
    <cellStyle name="Input 7 46" xfId="11226"/>
    <cellStyle name="Input 7 47" xfId="11227"/>
    <cellStyle name="Input 7 48" xfId="11228"/>
    <cellStyle name="Input 7 49" xfId="11229"/>
    <cellStyle name="Input 7 5" xfId="11230"/>
    <cellStyle name="Input 7 5 2" xfId="11231"/>
    <cellStyle name="Input 7 5 3" xfId="11232"/>
    <cellStyle name="Input 7 5 4" xfId="11233"/>
    <cellStyle name="Input 7 5 5" xfId="11234"/>
    <cellStyle name="Input 7 5 6" xfId="11235"/>
    <cellStyle name="Input 7 50" xfId="11236"/>
    <cellStyle name="Input 7 51" xfId="11237"/>
    <cellStyle name="Input 7 52" xfId="11238"/>
    <cellStyle name="Input 7 53" xfId="11239"/>
    <cellStyle name="Input 7 54" xfId="11240"/>
    <cellStyle name="Input 7 55" xfId="11241"/>
    <cellStyle name="Input 7 56" xfId="11242"/>
    <cellStyle name="Input 7 57" xfId="11243"/>
    <cellStyle name="Input 7 58" xfId="11244"/>
    <cellStyle name="Input 7 59" xfId="11245"/>
    <cellStyle name="Input 7 6" xfId="11246"/>
    <cellStyle name="Input 7 6 2" xfId="11247"/>
    <cellStyle name="Input 7 6 3" xfId="11248"/>
    <cellStyle name="Input 7 6 4" xfId="11249"/>
    <cellStyle name="Input 7 6 5" xfId="11250"/>
    <cellStyle name="Input 7 6 6" xfId="11251"/>
    <cellStyle name="Input 7 60" xfId="11252"/>
    <cellStyle name="Input 7 61" xfId="11253"/>
    <cellStyle name="Input 7 62" xfId="11254"/>
    <cellStyle name="Input 7 63" xfId="11255"/>
    <cellStyle name="Input 7 64" xfId="11256"/>
    <cellStyle name="Input 7 65" xfId="11257"/>
    <cellStyle name="Input 7 66" xfId="11258"/>
    <cellStyle name="Input 7 67" xfId="11259"/>
    <cellStyle name="Input 7 7" xfId="11260"/>
    <cellStyle name="Input 7 7 2" xfId="11261"/>
    <cellStyle name="Input 7 7 3" xfId="11262"/>
    <cellStyle name="Input 7 7 4" xfId="11263"/>
    <cellStyle name="Input 7 7 5" xfId="11264"/>
    <cellStyle name="Input 7 7 6" xfId="11265"/>
    <cellStyle name="Input 7 8" xfId="11266"/>
    <cellStyle name="Input 7 8 2" xfId="11267"/>
    <cellStyle name="Input 7 8 3" xfId="11268"/>
    <cellStyle name="Input 7 8 4" xfId="11269"/>
    <cellStyle name="Input 7 8 5" xfId="11270"/>
    <cellStyle name="Input 7 8 6" xfId="11271"/>
    <cellStyle name="Input 7 9" xfId="11272"/>
    <cellStyle name="Input 7 9 2" xfId="11273"/>
    <cellStyle name="Input 7 9 3" xfId="11274"/>
    <cellStyle name="Input 7 9 4" xfId="11275"/>
    <cellStyle name="Input 7 9 5" xfId="11276"/>
    <cellStyle name="Input 7 9 6" xfId="11277"/>
    <cellStyle name="Input 8" xfId="11278"/>
    <cellStyle name="Input 8 10" xfId="11279"/>
    <cellStyle name="Input 8 10 2" xfId="11280"/>
    <cellStyle name="Input 8 10 3" xfId="11281"/>
    <cellStyle name="Input 8 10 4" xfId="11282"/>
    <cellStyle name="Input 8 10 5" xfId="11283"/>
    <cellStyle name="Input 8 10 6" xfId="11284"/>
    <cellStyle name="Input 8 11" xfId="11285"/>
    <cellStyle name="Input 8 11 2" xfId="11286"/>
    <cellStyle name="Input 8 11 3" xfId="11287"/>
    <cellStyle name="Input 8 11 4" xfId="11288"/>
    <cellStyle name="Input 8 11 5" xfId="11289"/>
    <cellStyle name="Input 8 11 6" xfId="11290"/>
    <cellStyle name="Input 8 12" xfId="11291"/>
    <cellStyle name="Input 8 12 2" xfId="11292"/>
    <cellStyle name="Input 8 12 3" xfId="11293"/>
    <cellStyle name="Input 8 12 4" xfId="11294"/>
    <cellStyle name="Input 8 12 5" xfId="11295"/>
    <cellStyle name="Input 8 12 6" xfId="11296"/>
    <cellStyle name="Input 8 13" xfId="11297"/>
    <cellStyle name="Input 8 13 2" xfId="11298"/>
    <cellStyle name="Input 8 13 3" xfId="11299"/>
    <cellStyle name="Input 8 13 4" xfId="11300"/>
    <cellStyle name="Input 8 13 5" xfId="11301"/>
    <cellStyle name="Input 8 13 6" xfId="11302"/>
    <cellStyle name="Input 8 14" xfId="11303"/>
    <cellStyle name="Input 8 14 2" xfId="11304"/>
    <cellStyle name="Input 8 14 3" xfId="11305"/>
    <cellStyle name="Input 8 14 4" xfId="11306"/>
    <cellStyle name="Input 8 14 5" xfId="11307"/>
    <cellStyle name="Input 8 14 6" xfId="11308"/>
    <cellStyle name="Input 8 15" xfId="11309"/>
    <cellStyle name="Input 8 15 2" xfId="11310"/>
    <cellStyle name="Input 8 15 3" xfId="11311"/>
    <cellStyle name="Input 8 15 4" xfId="11312"/>
    <cellStyle name="Input 8 15 5" xfId="11313"/>
    <cellStyle name="Input 8 15 6" xfId="11314"/>
    <cellStyle name="Input 8 16" xfId="11315"/>
    <cellStyle name="Input 8 16 2" xfId="11316"/>
    <cellStyle name="Input 8 16 3" xfId="11317"/>
    <cellStyle name="Input 8 16 4" xfId="11318"/>
    <cellStyle name="Input 8 16 5" xfId="11319"/>
    <cellStyle name="Input 8 16 6" xfId="11320"/>
    <cellStyle name="Input 8 17" xfId="11321"/>
    <cellStyle name="Input 8 17 2" xfId="11322"/>
    <cellStyle name="Input 8 17 3" xfId="11323"/>
    <cellStyle name="Input 8 17 4" xfId="11324"/>
    <cellStyle name="Input 8 17 5" xfId="11325"/>
    <cellStyle name="Input 8 17 6" xfId="11326"/>
    <cellStyle name="Input 8 18" xfId="11327"/>
    <cellStyle name="Input 8 18 2" xfId="11328"/>
    <cellStyle name="Input 8 18 3" xfId="11329"/>
    <cellStyle name="Input 8 18 4" xfId="11330"/>
    <cellStyle name="Input 8 18 5" xfId="11331"/>
    <cellStyle name="Input 8 18 6" xfId="11332"/>
    <cellStyle name="Input 8 19" xfId="11333"/>
    <cellStyle name="Input 8 19 2" xfId="11334"/>
    <cellStyle name="Input 8 19 3" xfId="11335"/>
    <cellStyle name="Input 8 19 4" xfId="11336"/>
    <cellStyle name="Input 8 19 5" xfId="11337"/>
    <cellStyle name="Input 8 19 6" xfId="11338"/>
    <cellStyle name="Input 8 2" xfId="11339"/>
    <cellStyle name="Input 8 2 10" xfId="11340"/>
    <cellStyle name="Input 8 2 10 2" xfId="11341"/>
    <cellStyle name="Input 8 2 10 3" xfId="11342"/>
    <cellStyle name="Input 8 2 10 4" xfId="11343"/>
    <cellStyle name="Input 8 2 10 5" xfId="11344"/>
    <cellStyle name="Input 8 2 10 6" xfId="11345"/>
    <cellStyle name="Input 8 2 11" xfId="11346"/>
    <cellStyle name="Input 8 2 11 2" xfId="11347"/>
    <cellStyle name="Input 8 2 11 3" xfId="11348"/>
    <cellStyle name="Input 8 2 11 4" xfId="11349"/>
    <cellStyle name="Input 8 2 11 5" xfId="11350"/>
    <cellStyle name="Input 8 2 11 6" xfId="11351"/>
    <cellStyle name="Input 8 2 12" xfId="11352"/>
    <cellStyle name="Input 8 2 12 2" xfId="11353"/>
    <cellStyle name="Input 8 2 12 3" xfId="11354"/>
    <cellStyle name="Input 8 2 12 4" xfId="11355"/>
    <cellStyle name="Input 8 2 12 5" xfId="11356"/>
    <cellStyle name="Input 8 2 12 6" xfId="11357"/>
    <cellStyle name="Input 8 2 13" xfId="11358"/>
    <cellStyle name="Input 8 2 13 2" xfId="11359"/>
    <cellStyle name="Input 8 2 13 3" xfId="11360"/>
    <cellStyle name="Input 8 2 13 4" xfId="11361"/>
    <cellStyle name="Input 8 2 13 5" xfId="11362"/>
    <cellStyle name="Input 8 2 13 6" xfId="11363"/>
    <cellStyle name="Input 8 2 14" xfId="11364"/>
    <cellStyle name="Input 8 2 14 2" xfId="11365"/>
    <cellStyle name="Input 8 2 14 3" xfId="11366"/>
    <cellStyle name="Input 8 2 14 4" xfId="11367"/>
    <cellStyle name="Input 8 2 14 5" xfId="11368"/>
    <cellStyle name="Input 8 2 14 6" xfId="11369"/>
    <cellStyle name="Input 8 2 15" xfId="11370"/>
    <cellStyle name="Input 8 2 15 2" xfId="11371"/>
    <cellStyle name="Input 8 2 15 3" xfId="11372"/>
    <cellStyle name="Input 8 2 15 4" xfId="11373"/>
    <cellStyle name="Input 8 2 15 5" xfId="11374"/>
    <cellStyle name="Input 8 2 15 6" xfId="11375"/>
    <cellStyle name="Input 8 2 16" xfId="11376"/>
    <cellStyle name="Input 8 2 16 2" xfId="11377"/>
    <cellStyle name="Input 8 2 16 3" xfId="11378"/>
    <cellStyle name="Input 8 2 16 4" xfId="11379"/>
    <cellStyle name="Input 8 2 16 5" xfId="11380"/>
    <cellStyle name="Input 8 2 16 6" xfId="11381"/>
    <cellStyle name="Input 8 2 17" xfId="11382"/>
    <cellStyle name="Input 8 2 17 2" xfId="11383"/>
    <cellStyle name="Input 8 2 17 3" xfId="11384"/>
    <cellStyle name="Input 8 2 17 4" xfId="11385"/>
    <cellStyle name="Input 8 2 17 5" xfId="11386"/>
    <cellStyle name="Input 8 2 17 6" xfId="11387"/>
    <cellStyle name="Input 8 2 18" xfId="11388"/>
    <cellStyle name="Input 8 2 18 2" xfId="11389"/>
    <cellStyle name="Input 8 2 18 3" xfId="11390"/>
    <cellStyle name="Input 8 2 18 4" xfId="11391"/>
    <cellStyle name="Input 8 2 18 5" xfId="11392"/>
    <cellStyle name="Input 8 2 18 6" xfId="11393"/>
    <cellStyle name="Input 8 2 19" xfId="11394"/>
    <cellStyle name="Input 8 2 19 2" xfId="11395"/>
    <cellStyle name="Input 8 2 19 3" xfId="11396"/>
    <cellStyle name="Input 8 2 19 4" xfId="11397"/>
    <cellStyle name="Input 8 2 19 5" xfId="11398"/>
    <cellStyle name="Input 8 2 19 6" xfId="11399"/>
    <cellStyle name="Input 8 2 2" xfId="11400"/>
    <cellStyle name="Input 8 2 2 10" xfId="11401"/>
    <cellStyle name="Input 8 2 2 2" xfId="11402"/>
    <cellStyle name="Input 8 2 2 2 2" xfId="11403"/>
    <cellStyle name="Input 8 2 2 2 3" xfId="11404"/>
    <cellStyle name="Input 8 2 2 2 4" xfId="11405"/>
    <cellStyle name="Input 8 2 2 2 5" xfId="11406"/>
    <cellStyle name="Input 8 2 2 2 6" xfId="11407"/>
    <cellStyle name="Input 8 2 2 3" xfId="11408"/>
    <cellStyle name="Input 8 2 2 3 2" xfId="11409"/>
    <cellStyle name="Input 8 2 2 3 3" xfId="11410"/>
    <cellStyle name="Input 8 2 2 3 4" xfId="11411"/>
    <cellStyle name="Input 8 2 2 3 5" xfId="11412"/>
    <cellStyle name="Input 8 2 2 3 6" xfId="11413"/>
    <cellStyle name="Input 8 2 2 4" xfId="11414"/>
    <cellStyle name="Input 8 2 2 4 2" xfId="11415"/>
    <cellStyle name="Input 8 2 2 4 3" xfId="11416"/>
    <cellStyle name="Input 8 2 2 4 4" xfId="11417"/>
    <cellStyle name="Input 8 2 2 4 5" xfId="11418"/>
    <cellStyle name="Input 8 2 2 4 6" xfId="11419"/>
    <cellStyle name="Input 8 2 2 5" xfId="11420"/>
    <cellStyle name="Input 8 2 2 5 2" xfId="11421"/>
    <cellStyle name="Input 8 2 2 5 3" xfId="11422"/>
    <cellStyle name="Input 8 2 2 5 4" xfId="11423"/>
    <cellStyle name="Input 8 2 2 5 5" xfId="11424"/>
    <cellStyle name="Input 8 2 2 5 6" xfId="11425"/>
    <cellStyle name="Input 8 2 2 6" xfId="11426"/>
    <cellStyle name="Input 8 2 2 7" xfId="11427"/>
    <cellStyle name="Input 8 2 2 8" xfId="11428"/>
    <cellStyle name="Input 8 2 2 9" xfId="11429"/>
    <cellStyle name="Input 8 2 20" xfId="11430"/>
    <cellStyle name="Input 8 2 20 2" xfId="11431"/>
    <cellStyle name="Input 8 2 20 3" xfId="11432"/>
    <cellStyle name="Input 8 2 20 4" xfId="11433"/>
    <cellStyle name="Input 8 2 20 5" xfId="11434"/>
    <cellStyle name="Input 8 2 20 6" xfId="11435"/>
    <cellStyle name="Input 8 2 21" xfId="11436"/>
    <cellStyle name="Input 8 2 21 2" xfId="11437"/>
    <cellStyle name="Input 8 2 21 3" xfId="11438"/>
    <cellStyle name="Input 8 2 21 4" xfId="11439"/>
    <cellStyle name="Input 8 2 21 5" xfId="11440"/>
    <cellStyle name="Input 8 2 21 6" xfId="11441"/>
    <cellStyle name="Input 8 2 22" xfId="11442"/>
    <cellStyle name="Input 8 2 22 2" xfId="11443"/>
    <cellStyle name="Input 8 2 22 3" xfId="11444"/>
    <cellStyle name="Input 8 2 22 4" xfId="11445"/>
    <cellStyle name="Input 8 2 22 5" xfId="11446"/>
    <cellStyle name="Input 8 2 22 6" xfId="11447"/>
    <cellStyle name="Input 8 2 23" xfId="11448"/>
    <cellStyle name="Input 8 2 23 2" xfId="11449"/>
    <cellStyle name="Input 8 2 23 3" xfId="11450"/>
    <cellStyle name="Input 8 2 23 4" xfId="11451"/>
    <cellStyle name="Input 8 2 23 5" xfId="11452"/>
    <cellStyle name="Input 8 2 23 6" xfId="11453"/>
    <cellStyle name="Input 8 2 24" xfId="11454"/>
    <cellStyle name="Input 8 2 24 2" xfId="11455"/>
    <cellStyle name="Input 8 2 24 3" xfId="11456"/>
    <cellStyle name="Input 8 2 24 4" xfId="11457"/>
    <cellStyle name="Input 8 2 24 5" xfId="11458"/>
    <cellStyle name="Input 8 2 24 6" xfId="11459"/>
    <cellStyle name="Input 8 2 25" xfId="11460"/>
    <cellStyle name="Input 8 2 25 2" xfId="11461"/>
    <cellStyle name="Input 8 2 25 3" xfId="11462"/>
    <cellStyle name="Input 8 2 25 4" xfId="11463"/>
    <cellStyle name="Input 8 2 25 5" xfId="11464"/>
    <cellStyle name="Input 8 2 25 6" xfId="11465"/>
    <cellStyle name="Input 8 2 26" xfId="11466"/>
    <cellStyle name="Input 8 2 26 2" xfId="11467"/>
    <cellStyle name="Input 8 2 26 3" xfId="11468"/>
    <cellStyle name="Input 8 2 26 4" xfId="11469"/>
    <cellStyle name="Input 8 2 26 5" xfId="11470"/>
    <cellStyle name="Input 8 2 26 6" xfId="11471"/>
    <cellStyle name="Input 8 2 27" xfId="11472"/>
    <cellStyle name="Input 8 2 27 2" xfId="11473"/>
    <cellStyle name="Input 8 2 27 3" xfId="11474"/>
    <cellStyle name="Input 8 2 27 4" xfId="11475"/>
    <cellStyle name="Input 8 2 27 5" xfId="11476"/>
    <cellStyle name="Input 8 2 27 6" xfId="11477"/>
    <cellStyle name="Input 8 2 28" xfId="11478"/>
    <cellStyle name="Input 8 2 28 2" xfId="11479"/>
    <cellStyle name="Input 8 2 28 3" xfId="11480"/>
    <cellStyle name="Input 8 2 28 4" xfId="11481"/>
    <cellStyle name="Input 8 2 28 5" xfId="11482"/>
    <cellStyle name="Input 8 2 28 6" xfId="11483"/>
    <cellStyle name="Input 8 2 29" xfId="11484"/>
    <cellStyle name="Input 8 2 29 2" xfId="11485"/>
    <cellStyle name="Input 8 2 29 3" xfId="11486"/>
    <cellStyle name="Input 8 2 29 4" xfId="11487"/>
    <cellStyle name="Input 8 2 3" xfId="11488"/>
    <cellStyle name="Input 8 2 3 2" xfId="11489"/>
    <cellStyle name="Input 8 2 3 3" xfId="11490"/>
    <cellStyle name="Input 8 2 3 4" xfId="11491"/>
    <cellStyle name="Input 8 2 3 5" xfId="11492"/>
    <cellStyle name="Input 8 2 3 6" xfId="11493"/>
    <cellStyle name="Input 8 2 30" xfId="11494"/>
    <cellStyle name="Input 8 2 31" xfId="11495"/>
    <cellStyle name="Input 8 2 32" xfId="11496"/>
    <cellStyle name="Input 8 2 33" xfId="11497"/>
    <cellStyle name="Input 8 2 34" xfId="11498"/>
    <cellStyle name="Input 8 2 35" xfId="11499"/>
    <cellStyle name="Input 8 2 36" xfId="11500"/>
    <cellStyle name="Input 8 2 37" xfId="11501"/>
    <cellStyle name="Input 8 2 38" xfId="11502"/>
    <cellStyle name="Input 8 2 39" xfId="11503"/>
    <cellStyle name="Input 8 2 4" xfId="11504"/>
    <cellStyle name="Input 8 2 4 2" xfId="11505"/>
    <cellStyle name="Input 8 2 4 3" xfId="11506"/>
    <cellStyle name="Input 8 2 4 4" xfId="11507"/>
    <cellStyle name="Input 8 2 4 5" xfId="11508"/>
    <cellStyle name="Input 8 2 4 6" xfId="11509"/>
    <cellStyle name="Input 8 2 40" xfId="11510"/>
    <cellStyle name="Input 8 2 41" xfId="11511"/>
    <cellStyle name="Input 8 2 42" xfId="11512"/>
    <cellStyle name="Input 8 2 43" xfId="11513"/>
    <cellStyle name="Input 8 2 44" xfId="11514"/>
    <cellStyle name="Input 8 2 45" xfId="11515"/>
    <cellStyle name="Input 8 2 46" xfId="11516"/>
    <cellStyle name="Input 8 2 47" xfId="11517"/>
    <cellStyle name="Input 8 2 48" xfId="11518"/>
    <cellStyle name="Input 8 2 49" xfId="11519"/>
    <cellStyle name="Input 8 2 5" xfId="11520"/>
    <cellStyle name="Input 8 2 5 2" xfId="11521"/>
    <cellStyle name="Input 8 2 5 3" xfId="11522"/>
    <cellStyle name="Input 8 2 5 4" xfId="11523"/>
    <cellStyle name="Input 8 2 5 5" xfId="11524"/>
    <cellStyle name="Input 8 2 5 6" xfId="11525"/>
    <cellStyle name="Input 8 2 50" xfId="11526"/>
    <cellStyle name="Input 8 2 51" xfId="11527"/>
    <cellStyle name="Input 8 2 52" xfId="11528"/>
    <cellStyle name="Input 8 2 53" xfId="11529"/>
    <cellStyle name="Input 8 2 54" xfId="11530"/>
    <cellStyle name="Input 8 2 55" xfId="11531"/>
    <cellStyle name="Input 8 2 56" xfId="11532"/>
    <cellStyle name="Input 8 2 57" xfId="11533"/>
    <cellStyle name="Input 8 2 58" xfId="11534"/>
    <cellStyle name="Input 8 2 59" xfId="11535"/>
    <cellStyle name="Input 8 2 6" xfId="11536"/>
    <cellStyle name="Input 8 2 6 2" xfId="11537"/>
    <cellStyle name="Input 8 2 6 3" xfId="11538"/>
    <cellStyle name="Input 8 2 6 4" xfId="11539"/>
    <cellStyle name="Input 8 2 6 5" xfId="11540"/>
    <cellStyle name="Input 8 2 6 6" xfId="11541"/>
    <cellStyle name="Input 8 2 60" xfId="11542"/>
    <cellStyle name="Input 8 2 61" xfId="11543"/>
    <cellStyle name="Input 8 2 62" xfId="11544"/>
    <cellStyle name="Input 8 2 63" xfId="11545"/>
    <cellStyle name="Input 8 2 64" xfId="11546"/>
    <cellStyle name="Input 8 2 65" xfId="11547"/>
    <cellStyle name="Input 8 2 66" xfId="11548"/>
    <cellStyle name="Input 8 2 7" xfId="11549"/>
    <cellStyle name="Input 8 2 7 2" xfId="11550"/>
    <cellStyle name="Input 8 2 7 3" xfId="11551"/>
    <cellStyle name="Input 8 2 7 4" xfId="11552"/>
    <cellStyle name="Input 8 2 7 5" xfId="11553"/>
    <cellStyle name="Input 8 2 7 6" xfId="11554"/>
    <cellStyle name="Input 8 2 8" xfId="11555"/>
    <cellStyle name="Input 8 2 8 2" xfId="11556"/>
    <cellStyle name="Input 8 2 8 3" xfId="11557"/>
    <cellStyle name="Input 8 2 8 4" xfId="11558"/>
    <cellStyle name="Input 8 2 8 5" xfId="11559"/>
    <cellStyle name="Input 8 2 8 6" xfId="11560"/>
    <cellStyle name="Input 8 2 9" xfId="11561"/>
    <cellStyle name="Input 8 2 9 2" xfId="11562"/>
    <cellStyle name="Input 8 2 9 3" xfId="11563"/>
    <cellStyle name="Input 8 2 9 4" xfId="11564"/>
    <cellStyle name="Input 8 2 9 5" xfId="11565"/>
    <cellStyle name="Input 8 2 9 6" xfId="11566"/>
    <cellStyle name="Input 8 20" xfId="11567"/>
    <cellStyle name="Input 8 20 2" xfId="11568"/>
    <cellStyle name="Input 8 20 3" xfId="11569"/>
    <cellStyle name="Input 8 20 4" xfId="11570"/>
    <cellStyle name="Input 8 20 5" xfId="11571"/>
    <cellStyle name="Input 8 20 6" xfId="11572"/>
    <cellStyle name="Input 8 21" xfId="11573"/>
    <cellStyle name="Input 8 21 2" xfId="11574"/>
    <cellStyle name="Input 8 21 3" xfId="11575"/>
    <cellStyle name="Input 8 21 4" xfId="11576"/>
    <cellStyle name="Input 8 21 5" xfId="11577"/>
    <cellStyle name="Input 8 21 6" xfId="11578"/>
    <cellStyle name="Input 8 22" xfId="11579"/>
    <cellStyle name="Input 8 22 2" xfId="11580"/>
    <cellStyle name="Input 8 22 3" xfId="11581"/>
    <cellStyle name="Input 8 22 4" xfId="11582"/>
    <cellStyle name="Input 8 22 5" xfId="11583"/>
    <cellStyle name="Input 8 22 6" xfId="11584"/>
    <cellStyle name="Input 8 23" xfId="11585"/>
    <cellStyle name="Input 8 23 2" xfId="11586"/>
    <cellStyle name="Input 8 23 3" xfId="11587"/>
    <cellStyle name="Input 8 23 4" xfId="11588"/>
    <cellStyle name="Input 8 23 5" xfId="11589"/>
    <cellStyle name="Input 8 23 6" xfId="11590"/>
    <cellStyle name="Input 8 24" xfId="11591"/>
    <cellStyle name="Input 8 24 2" xfId="11592"/>
    <cellStyle name="Input 8 24 3" xfId="11593"/>
    <cellStyle name="Input 8 24 4" xfId="11594"/>
    <cellStyle name="Input 8 24 5" xfId="11595"/>
    <cellStyle name="Input 8 24 6" xfId="11596"/>
    <cellStyle name="Input 8 25" xfId="11597"/>
    <cellStyle name="Input 8 25 2" xfId="11598"/>
    <cellStyle name="Input 8 25 3" xfId="11599"/>
    <cellStyle name="Input 8 25 4" xfId="11600"/>
    <cellStyle name="Input 8 25 5" xfId="11601"/>
    <cellStyle name="Input 8 25 6" xfId="11602"/>
    <cellStyle name="Input 8 26" xfId="11603"/>
    <cellStyle name="Input 8 26 2" xfId="11604"/>
    <cellStyle name="Input 8 26 3" xfId="11605"/>
    <cellStyle name="Input 8 26 4" xfId="11606"/>
    <cellStyle name="Input 8 26 5" xfId="11607"/>
    <cellStyle name="Input 8 26 6" xfId="11608"/>
    <cellStyle name="Input 8 27" xfId="11609"/>
    <cellStyle name="Input 8 27 2" xfId="11610"/>
    <cellStyle name="Input 8 27 3" xfId="11611"/>
    <cellStyle name="Input 8 27 4" xfId="11612"/>
    <cellStyle name="Input 8 27 5" xfId="11613"/>
    <cellStyle name="Input 8 27 6" xfId="11614"/>
    <cellStyle name="Input 8 28" xfId="11615"/>
    <cellStyle name="Input 8 28 2" xfId="11616"/>
    <cellStyle name="Input 8 28 3" xfId="11617"/>
    <cellStyle name="Input 8 28 4" xfId="11618"/>
    <cellStyle name="Input 8 28 5" xfId="11619"/>
    <cellStyle name="Input 8 28 6" xfId="11620"/>
    <cellStyle name="Input 8 29" xfId="11621"/>
    <cellStyle name="Input 8 29 2" xfId="11622"/>
    <cellStyle name="Input 8 29 3" xfId="11623"/>
    <cellStyle name="Input 8 29 4" xfId="11624"/>
    <cellStyle name="Input 8 29 5" xfId="11625"/>
    <cellStyle name="Input 8 29 6" xfId="11626"/>
    <cellStyle name="Input 8 3" xfId="11627"/>
    <cellStyle name="Input 8 3 10" xfId="11628"/>
    <cellStyle name="Input 8 3 2" xfId="11629"/>
    <cellStyle name="Input 8 3 2 2" xfId="11630"/>
    <cellStyle name="Input 8 3 2 3" xfId="11631"/>
    <cellStyle name="Input 8 3 2 4" xfId="11632"/>
    <cellStyle name="Input 8 3 2 5" xfId="11633"/>
    <cellStyle name="Input 8 3 2 6" xfId="11634"/>
    <cellStyle name="Input 8 3 3" xfId="11635"/>
    <cellStyle name="Input 8 3 3 2" xfId="11636"/>
    <cellStyle name="Input 8 3 3 3" xfId="11637"/>
    <cellStyle name="Input 8 3 3 4" xfId="11638"/>
    <cellStyle name="Input 8 3 3 5" xfId="11639"/>
    <cellStyle name="Input 8 3 3 6" xfId="11640"/>
    <cellStyle name="Input 8 3 4" xfId="11641"/>
    <cellStyle name="Input 8 3 4 2" xfId="11642"/>
    <cellStyle name="Input 8 3 4 3" xfId="11643"/>
    <cellStyle name="Input 8 3 4 4" xfId="11644"/>
    <cellStyle name="Input 8 3 4 5" xfId="11645"/>
    <cellStyle name="Input 8 3 4 6" xfId="11646"/>
    <cellStyle name="Input 8 3 5" xfId="11647"/>
    <cellStyle name="Input 8 3 5 2" xfId="11648"/>
    <cellStyle name="Input 8 3 5 3" xfId="11649"/>
    <cellStyle name="Input 8 3 5 4" xfId="11650"/>
    <cellStyle name="Input 8 3 5 5" xfId="11651"/>
    <cellStyle name="Input 8 3 5 6" xfId="11652"/>
    <cellStyle name="Input 8 3 6" xfId="11653"/>
    <cellStyle name="Input 8 3 7" xfId="11654"/>
    <cellStyle name="Input 8 3 8" xfId="11655"/>
    <cellStyle name="Input 8 3 9" xfId="11656"/>
    <cellStyle name="Input 8 30" xfId="11657"/>
    <cellStyle name="Input 8 30 2" xfId="11658"/>
    <cellStyle name="Input 8 30 3" xfId="11659"/>
    <cellStyle name="Input 8 30 4" xfId="11660"/>
    <cellStyle name="Input 8 31" xfId="11661"/>
    <cellStyle name="Input 8 32" xfId="11662"/>
    <cellStyle name="Input 8 33" xfId="11663"/>
    <cellStyle name="Input 8 34" xfId="11664"/>
    <cellStyle name="Input 8 35" xfId="11665"/>
    <cellStyle name="Input 8 36" xfId="11666"/>
    <cellStyle name="Input 8 37" xfId="11667"/>
    <cellStyle name="Input 8 38" xfId="11668"/>
    <cellStyle name="Input 8 39" xfId="11669"/>
    <cellStyle name="Input 8 4" xfId="11670"/>
    <cellStyle name="Input 8 4 2" xfId="11671"/>
    <cellStyle name="Input 8 4 3" xfId="11672"/>
    <cellStyle name="Input 8 4 4" xfId="11673"/>
    <cellStyle name="Input 8 4 5" xfId="11674"/>
    <cellStyle name="Input 8 4 6" xfId="11675"/>
    <cellStyle name="Input 8 40" xfId="11676"/>
    <cellStyle name="Input 8 41" xfId="11677"/>
    <cellStyle name="Input 8 42" xfId="11678"/>
    <cellStyle name="Input 8 43" xfId="11679"/>
    <cellStyle name="Input 8 44" xfId="11680"/>
    <cellStyle name="Input 8 45" xfId="11681"/>
    <cellStyle name="Input 8 46" xfId="11682"/>
    <cellStyle name="Input 8 47" xfId="11683"/>
    <cellStyle name="Input 8 48" xfId="11684"/>
    <cellStyle name="Input 8 49" xfId="11685"/>
    <cellStyle name="Input 8 5" xfId="11686"/>
    <cellStyle name="Input 8 5 2" xfId="11687"/>
    <cellStyle name="Input 8 5 3" xfId="11688"/>
    <cellStyle name="Input 8 5 4" xfId="11689"/>
    <cellStyle name="Input 8 5 5" xfId="11690"/>
    <cellStyle name="Input 8 5 6" xfId="11691"/>
    <cellStyle name="Input 8 50" xfId="11692"/>
    <cellStyle name="Input 8 51" xfId="11693"/>
    <cellStyle name="Input 8 52" xfId="11694"/>
    <cellStyle name="Input 8 53" xfId="11695"/>
    <cellStyle name="Input 8 54" xfId="11696"/>
    <cellStyle name="Input 8 55" xfId="11697"/>
    <cellStyle name="Input 8 56" xfId="11698"/>
    <cellStyle name="Input 8 57" xfId="11699"/>
    <cellStyle name="Input 8 58" xfId="11700"/>
    <cellStyle name="Input 8 59" xfId="11701"/>
    <cellStyle name="Input 8 6" xfId="11702"/>
    <cellStyle name="Input 8 6 2" xfId="11703"/>
    <cellStyle name="Input 8 6 3" xfId="11704"/>
    <cellStyle name="Input 8 6 4" xfId="11705"/>
    <cellStyle name="Input 8 6 5" xfId="11706"/>
    <cellStyle name="Input 8 6 6" xfId="11707"/>
    <cellStyle name="Input 8 60" xfId="11708"/>
    <cellStyle name="Input 8 61" xfId="11709"/>
    <cellStyle name="Input 8 62" xfId="11710"/>
    <cellStyle name="Input 8 63" xfId="11711"/>
    <cellStyle name="Input 8 64" xfId="11712"/>
    <cellStyle name="Input 8 65" xfId="11713"/>
    <cellStyle name="Input 8 66" xfId="11714"/>
    <cellStyle name="Input 8 67" xfId="11715"/>
    <cellStyle name="Input 8 7" xfId="11716"/>
    <cellStyle name="Input 8 7 2" xfId="11717"/>
    <cellStyle name="Input 8 7 3" xfId="11718"/>
    <cellStyle name="Input 8 7 4" xfId="11719"/>
    <cellStyle name="Input 8 7 5" xfId="11720"/>
    <cellStyle name="Input 8 7 6" xfId="11721"/>
    <cellStyle name="Input 8 8" xfId="11722"/>
    <cellStyle name="Input 8 8 2" xfId="11723"/>
    <cellStyle name="Input 8 8 3" xfId="11724"/>
    <cellStyle name="Input 8 8 4" xfId="11725"/>
    <cellStyle name="Input 8 8 5" xfId="11726"/>
    <cellStyle name="Input 8 8 6" xfId="11727"/>
    <cellStyle name="Input 8 9" xfId="11728"/>
    <cellStyle name="Input 8 9 2" xfId="11729"/>
    <cellStyle name="Input 8 9 3" xfId="11730"/>
    <cellStyle name="Input 8 9 4" xfId="11731"/>
    <cellStyle name="Input 8 9 5" xfId="11732"/>
    <cellStyle name="Input 8 9 6" xfId="11733"/>
    <cellStyle name="Input 9" xfId="11734"/>
    <cellStyle name="Input 9 10" xfId="11735"/>
    <cellStyle name="Input 9 10 2" xfId="11736"/>
    <cellStyle name="Input 9 10 3" xfId="11737"/>
    <cellStyle name="Input 9 10 4" xfId="11738"/>
    <cellStyle name="Input 9 10 5" xfId="11739"/>
    <cellStyle name="Input 9 10 6" xfId="11740"/>
    <cellStyle name="Input 9 11" xfId="11741"/>
    <cellStyle name="Input 9 11 2" xfId="11742"/>
    <cellStyle name="Input 9 11 3" xfId="11743"/>
    <cellStyle name="Input 9 11 4" xfId="11744"/>
    <cellStyle name="Input 9 11 5" xfId="11745"/>
    <cellStyle name="Input 9 11 6" xfId="11746"/>
    <cellStyle name="Input 9 12" xfId="11747"/>
    <cellStyle name="Input 9 12 2" xfId="11748"/>
    <cellStyle name="Input 9 12 3" xfId="11749"/>
    <cellStyle name="Input 9 12 4" xfId="11750"/>
    <cellStyle name="Input 9 12 5" xfId="11751"/>
    <cellStyle name="Input 9 12 6" xfId="11752"/>
    <cellStyle name="Input 9 13" xfId="11753"/>
    <cellStyle name="Input 9 13 2" xfId="11754"/>
    <cellStyle name="Input 9 13 3" xfId="11755"/>
    <cellStyle name="Input 9 13 4" xfId="11756"/>
    <cellStyle name="Input 9 13 5" xfId="11757"/>
    <cellStyle name="Input 9 13 6" xfId="11758"/>
    <cellStyle name="Input 9 14" xfId="11759"/>
    <cellStyle name="Input 9 14 2" xfId="11760"/>
    <cellStyle name="Input 9 14 3" xfId="11761"/>
    <cellStyle name="Input 9 14 4" xfId="11762"/>
    <cellStyle name="Input 9 14 5" xfId="11763"/>
    <cellStyle name="Input 9 14 6" xfId="11764"/>
    <cellStyle name="Input 9 15" xfId="11765"/>
    <cellStyle name="Input 9 15 2" xfId="11766"/>
    <cellStyle name="Input 9 15 3" xfId="11767"/>
    <cellStyle name="Input 9 15 4" xfId="11768"/>
    <cellStyle name="Input 9 15 5" xfId="11769"/>
    <cellStyle name="Input 9 15 6" xfId="11770"/>
    <cellStyle name="Input 9 16" xfId="11771"/>
    <cellStyle name="Input 9 16 2" xfId="11772"/>
    <cellStyle name="Input 9 16 3" xfId="11773"/>
    <cellStyle name="Input 9 16 4" xfId="11774"/>
    <cellStyle name="Input 9 16 5" xfId="11775"/>
    <cellStyle name="Input 9 16 6" xfId="11776"/>
    <cellStyle name="Input 9 17" xfId="11777"/>
    <cellStyle name="Input 9 17 2" xfId="11778"/>
    <cellStyle name="Input 9 17 3" xfId="11779"/>
    <cellStyle name="Input 9 17 4" xfId="11780"/>
    <cellStyle name="Input 9 17 5" xfId="11781"/>
    <cellStyle name="Input 9 17 6" xfId="11782"/>
    <cellStyle name="Input 9 18" xfId="11783"/>
    <cellStyle name="Input 9 18 2" xfId="11784"/>
    <cellStyle name="Input 9 18 3" xfId="11785"/>
    <cellStyle name="Input 9 18 4" xfId="11786"/>
    <cellStyle name="Input 9 18 5" xfId="11787"/>
    <cellStyle name="Input 9 18 6" xfId="11788"/>
    <cellStyle name="Input 9 19" xfId="11789"/>
    <cellStyle name="Input 9 19 2" xfId="11790"/>
    <cellStyle name="Input 9 19 3" xfId="11791"/>
    <cellStyle name="Input 9 19 4" xfId="11792"/>
    <cellStyle name="Input 9 19 5" xfId="11793"/>
    <cellStyle name="Input 9 19 6" xfId="11794"/>
    <cellStyle name="Input 9 2" xfId="11795"/>
    <cellStyle name="Input 9 2 10" xfId="11796"/>
    <cellStyle name="Input 9 2 10 2" xfId="11797"/>
    <cellStyle name="Input 9 2 10 3" xfId="11798"/>
    <cellStyle name="Input 9 2 10 4" xfId="11799"/>
    <cellStyle name="Input 9 2 10 5" xfId="11800"/>
    <cellStyle name="Input 9 2 10 6" xfId="11801"/>
    <cellStyle name="Input 9 2 11" xfId="11802"/>
    <cellStyle name="Input 9 2 11 2" xfId="11803"/>
    <cellStyle name="Input 9 2 11 3" xfId="11804"/>
    <cellStyle name="Input 9 2 11 4" xfId="11805"/>
    <cellStyle name="Input 9 2 11 5" xfId="11806"/>
    <cellStyle name="Input 9 2 11 6" xfId="11807"/>
    <cellStyle name="Input 9 2 12" xfId="11808"/>
    <cellStyle name="Input 9 2 12 2" xfId="11809"/>
    <cellStyle name="Input 9 2 12 3" xfId="11810"/>
    <cellStyle name="Input 9 2 12 4" xfId="11811"/>
    <cellStyle name="Input 9 2 12 5" xfId="11812"/>
    <cellStyle name="Input 9 2 12 6" xfId="11813"/>
    <cellStyle name="Input 9 2 13" xfId="11814"/>
    <cellStyle name="Input 9 2 13 2" xfId="11815"/>
    <cellStyle name="Input 9 2 13 3" xfId="11816"/>
    <cellStyle name="Input 9 2 13 4" xfId="11817"/>
    <cellStyle name="Input 9 2 13 5" xfId="11818"/>
    <cellStyle name="Input 9 2 13 6" xfId="11819"/>
    <cellStyle name="Input 9 2 14" xfId="11820"/>
    <cellStyle name="Input 9 2 14 2" xfId="11821"/>
    <cellStyle name="Input 9 2 14 3" xfId="11822"/>
    <cellStyle name="Input 9 2 14 4" xfId="11823"/>
    <cellStyle name="Input 9 2 14 5" xfId="11824"/>
    <cellStyle name="Input 9 2 14 6" xfId="11825"/>
    <cellStyle name="Input 9 2 15" xfId="11826"/>
    <cellStyle name="Input 9 2 15 2" xfId="11827"/>
    <cellStyle name="Input 9 2 15 3" xfId="11828"/>
    <cellStyle name="Input 9 2 15 4" xfId="11829"/>
    <cellStyle name="Input 9 2 15 5" xfId="11830"/>
    <cellStyle name="Input 9 2 15 6" xfId="11831"/>
    <cellStyle name="Input 9 2 16" xfId="11832"/>
    <cellStyle name="Input 9 2 16 2" xfId="11833"/>
    <cellStyle name="Input 9 2 16 3" xfId="11834"/>
    <cellStyle name="Input 9 2 16 4" xfId="11835"/>
    <cellStyle name="Input 9 2 16 5" xfId="11836"/>
    <cellStyle name="Input 9 2 16 6" xfId="11837"/>
    <cellStyle name="Input 9 2 17" xfId="11838"/>
    <cellStyle name="Input 9 2 17 2" xfId="11839"/>
    <cellStyle name="Input 9 2 17 3" xfId="11840"/>
    <cellStyle name="Input 9 2 17 4" xfId="11841"/>
    <cellStyle name="Input 9 2 17 5" xfId="11842"/>
    <cellStyle name="Input 9 2 17 6" xfId="11843"/>
    <cellStyle name="Input 9 2 18" xfId="11844"/>
    <cellStyle name="Input 9 2 18 2" xfId="11845"/>
    <cellStyle name="Input 9 2 18 3" xfId="11846"/>
    <cellStyle name="Input 9 2 18 4" xfId="11847"/>
    <cellStyle name="Input 9 2 18 5" xfId="11848"/>
    <cellStyle name="Input 9 2 18 6" xfId="11849"/>
    <cellStyle name="Input 9 2 19" xfId="11850"/>
    <cellStyle name="Input 9 2 19 2" xfId="11851"/>
    <cellStyle name="Input 9 2 19 3" xfId="11852"/>
    <cellStyle name="Input 9 2 19 4" xfId="11853"/>
    <cellStyle name="Input 9 2 19 5" xfId="11854"/>
    <cellStyle name="Input 9 2 19 6" xfId="11855"/>
    <cellStyle name="Input 9 2 2" xfId="11856"/>
    <cellStyle name="Input 9 2 2 10" xfId="11857"/>
    <cellStyle name="Input 9 2 2 2" xfId="11858"/>
    <cellStyle name="Input 9 2 2 2 2" xfId="11859"/>
    <cellStyle name="Input 9 2 2 2 3" xfId="11860"/>
    <cellStyle name="Input 9 2 2 2 4" xfId="11861"/>
    <cellStyle name="Input 9 2 2 2 5" xfId="11862"/>
    <cellStyle name="Input 9 2 2 2 6" xfId="11863"/>
    <cellStyle name="Input 9 2 2 3" xfId="11864"/>
    <cellStyle name="Input 9 2 2 3 2" xfId="11865"/>
    <cellStyle name="Input 9 2 2 3 3" xfId="11866"/>
    <cellStyle name="Input 9 2 2 3 4" xfId="11867"/>
    <cellStyle name="Input 9 2 2 3 5" xfId="11868"/>
    <cellStyle name="Input 9 2 2 3 6" xfId="11869"/>
    <cellStyle name="Input 9 2 2 4" xfId="11870"/>
    <cellStyle name="Input 9 2 2 4 2" xfId="11871"/>
    <cellStyle name="Input 9 2 2 4 3" xfId="11872"/>
    <cellStyle name="Input 9 2 2 4 4" xfId="11873"/>
    <cellStyle name="Input 9 2 2 4 5" xfId="11874"/>
    <cellStyle name="Input 9 2 2 4 6" xfId="11875"/>
    <cellStyle name="Input 9 2 2 5" xfId="11876"/>
    <cellStyle name="Input 9 2 2 5 2" xfId="11877"/>
    <cellStyle name="Input 9 2 2 5 3" xfId="11878"/>
    <cellStyle name="Input 9 2 2 5 4" xfId="11879"/>
    <cellStyle name="Input 9 2 2 5 5" xfId="11880"/>
    <cellStyle name="Input 9 2 2 5 6" xfId="11881"/>
    <cellStyle name="Input 9 2 2 6" xfId="11882"/>
    <cellStyle name="Input 9 2 2 7" xfId="11883"/>
    <cellStyle name="Input 9 2 2 8" xfId="11884"/>
    <cellStyle name="Input 9 2 2 9" xfId="11885"/>
    <cellStyle name="Input 9 2 20" xfId="11886"/>
    <cellStyle name="Input 9 2 20 2" xfId="11887"/>
    <cellStyle name="Input 9 2 20 3" xfId="11888"/>
    <cellStyle name="Input 9 2 20 4" xfId="11889"/>
    <cellStyle name="Input 9 2 20 5" xfId="11890"/>
    <cellStyle name="Input 9 2 20 6" xfId="11891"/>
    <cellStyle name="Input 9 2 21" xfId="11892"/>
    <cellStyle name="Input 9 2 21 2" xfId="11893"/>
    <cellStyle name="Input 9 2 21 3" xfId="11894"/>
    <cellStyle name="Input 9 2 21 4" xfId="11895"/>
    <cellStyle name="Input 9 2 21 5" xfId="11896"/>
    <cellStyle name="Input 9 2 21 6" xfId="11897"/>
    <cellStyle name="Input 9 2 22" xfId="11898"/>
    <cellStyle name="Input 9 2 22 2" xfId="11899"/>
    <cellStyle name="Input 9 2 22 3" xfId="11900"/>
    <cellStyle name="Input 9 2 22 4" xfId="11901"/>
    <cellStyle name="Input 9 2 22 5" xfId="11902"/>
    <cellStyle name="Input 9 2 22 6" xfId="11903"/>
    <cellStyle name="Input 9 2 23" xfId="11904"/>
    <cellStyle name="Input 9 2 23 2" xfId="11905"/>
    <cellStyle name="Input 9 2 23 3" xfId="11906"/>
    <cellStyle name="Input 9 2 23 4" xfId="11907"/>
    <cellStyle name="Input 9 2 23 5" xfId="11908"/>
    <cellStyle name="Input 9 2 23 6" xfId="11909"/>
    <cellStyle name="Input 9 2 24" xfId="11910"/>
    <cellStyle name="Input 9 2 24 2" xfId="11911"/>
    <cellStyle name="Input 9 2 24 3" xfId="11912"/>
    <cellStyle name="Input 9 2 24 4" xfId="11913"/>
    <cellStyle name="Input 9 2 24 5" xfId="11914"/>
    <cellStyle name="Input 9 2 24 6" xfId="11915"/>
    <cellStyle name="Input 9 2 25" xfId="11916"/>
    <cellStyle name="Input 9 2 25 2" xfId="11917"/>
    <cellStyle name="Input 9 2 25 3" xfId="11918"/>
    <cellStyle name="Input 9 2 25 4" xfId="11919"/>
    <cellStyle name="Input 9 2 25 5" xfId="11920"/>
    <cellStyle name="Input 9 2 25 6" xfId="11921"/>
    <cellStyle name="Input 9 2 26" xfId="11922"/>
    <cellStyle name="Input 9 2 26 2" xfId="11923"/>
    <cellStyle name="Input 9 2 26 3" xfId="11924"/>
    <cellStyle name="Input 9 2 26 4" xfId="11925"/>
    <cellStyle name="Input 9 2 26 5" xfId="11926"/>
    <cellStyle name="Input 9 2 26 6" xfId="11927"/>
    <cellStyle name="Input 9 2 27" xfId="11928"/>
    <cellStyle name="Input 9 2 27 2" xfId="11929"/>
    <cellStyle name="Input 9 2 27 3" xfId="11930"/>
    <cellStyle name="Input 9 2 27 4" xfId="11931"/>
    <cellStyle name="Input 9 2 27 5" xfId="11932"/>
    <cellStyle name="Input 9 2 27 6" xfId="11933"/>
    <cellStyle name="Input 9 2 28" xfId="11934"/>
    <cellStyle name="Input 9 2 28 2" xfId="11935"/>
    <cellStyle name="Input 9 2 28 3" xfId="11936"/>
    <cellStyle name="Input 9 2 28 4" xfId="11937"/>
    <cellStyle name="Input 9 2 28 5" xfId="11938"/>
    <cellStyle name="Input 9 2 28 6" xfId="11939"/>
    <cellStyle name="Input 9 2 29" xfId="11940"/>
    <cellStyle name="Input 9 2 29 2" xfId="11941"/>
    <cellStyle name="Input 9 2 29 3" xfId="11942"/>
    <cellStyle name="Input 9 2 29 4" xfId="11943"/>
    <cellStyle name="Input 9 2 3" xfId="11944"/>
    <cellStyle name="Input 9 2 3 2" xfId="11945"/>
    <cellStyle name="Input 9 2 3 3" xfId="11946"/>
    <cellStyle name="Input 9 2 3 4" xfId="11947"/>
    <cellStyle name="Input 9 2 3 5" xfId="11948"/>
    <cellStyle name="Input 9 2 3 6" xfId="11949"/>
    <cellStyle name="Input 9 2 30" xfId="11950"/>
    <cellStyle name="Input 9 2 31" xfId="11951"/>
    <cellStyle name="Input 9 2 32" xfId="11952"/>
    <cellStyle name="Input 9 2 33" xfId="11953"/>
    <cellStyle name="Input 9 2 34" xfId="11954"/>
    <cellStyle name="Input 9 2 35" xfId="11955"/>
    <cellStyle name="Input 9 2 36" xfId="11956"/>
    <cellStyle name="Input 9 2 37" xfId="11957"/>
    <cellStyle name="Input 9 2 38" xfId="11958"/>
    <cellStyle name="Input 9 2 39" xfId="11959"/>
    <cellStyle name="Input 9 2 4" xfId="11960"/>
    <cellStyle name="Input 9 2 4 2" xfId="11961"/>
    <cellStyle name="Input 9 2 4 3" xfId="11962"/>
    <cellStyle name="Input 9 2 4 4" xfId="11963"/>
    <cellStyle name="Input 9 2 4 5" xfId="11964"/>
    <cellStyle name="Input 9 2 4 6" xfId="11965"/>
    <cellStyle name="Input 9 2 40" xfId="11966"/>
    <cellStyle name="Input 9 2 41" xfId="11967"/>
    <cellStyle name="Input 9 2 42" xfId="11968"/>
    <cellStyle name="Input 9 2 43" xfId="11969"/>
    <cellStyle name="Input 9 2 44" xfId="11970"/>
    <cellStyle name="Input 9 2 45" xfId="11971"/>
    <cellStyle name="Input 9 2 46" xfId="11972"/>
    <cellStyle name="Input 9 2 47" xfId="11973"/>
    <cellStyle name="Input 9 2 48" xfId="11974"/>
    <cellStyle name="Input 9 2 49" xfId="11975"/>
    <cellStyle name="Input 9 2 5" xfId="11976"/>
    <cellStyle name="Input 9 2 5 2" xfId="11977"/>
    <cellStyle name="Input 9 2 5 3" xfId="11978"/>
    <cellStyle name="Input 9 2 5 4" xfId="11979"/>
    <cellStyle name="Input 9 2 5 5" xfId="11980"/>
    <cellStyle name="Input 9 2 5 6" xfId="11981"/>
    <cellStyle name="Input 9 2 50" xfId="11982"/>
    <cellStyle name="Input 9 2 51" xfId="11983"/>
    <cellStyle name="Input 9 2 52" xfId="11984"/>
    <cellStyle name="Input 9 2 53" xfId="11985"/>
    <cellStyle name="Input 9 2 54" xfId="11986"/>
    <cellStyle name="Input 9 2 55" xfId="11987"/>
    <cellStyle name="Input 9 2 56" xfId="11988"/>
    <cellStyle name="Input 9 2 57" xfId="11989"/>
    <cellStyle name="Input 9 2 58" xfId="11990"/>
    <cellStyle name="Input 9 2 59" xfId="11991"/>
    <cellStyle name="Input 9 2 6" xfId="11992"/>
    <cellStyle name="Input 9 2 6 2" xfId="11993"/>
    <cellStyle name="Input 9 2 6 3" xfId="11994"/>
    <cellStyle name="Input 9 2 6 4" xfId="11995"/>
    <cellStyle name="Input 9 2 6 5" xfId="11996"/>
    <cellStyle name="Input 9 2 6 6" xfId="11997"/>
    <cellStyle name="Input 9 2 60" xfId="11998"/>
    <cellStyle name="Input 9 2 61" xfId="11999"/>
    <cellStyle name="Input 9 2 62" xfId="12000"/>
    <cellStyle name="Input 9 2 63" xfId="12001"/>
    <cellStyle name="Input 9 2 64" xfId="12002"/>
    <cellStyle name="Input 9 2 65" xfId="12003"/>
    <cellStyle name="Input 9 2 66" xfId="12004"/>
    <cellStyle name="Input 9 2 7" xfId="12005"/>
    <cellStyle name="Input 9 2 7 2" xfId="12006"/>
    <cellStyle name="Input 9 2 7 3" xfId="12007"/>
    <cellStyle name="Input 9 2 7 4" xfId="12008"/>
    <cellStyle name="Input 9 2 7 5" xfId="12009"/>
    <cellStyle name="Input 9 2 7 6" xfId="12010"/>
    <cellStyle name="Input 9 2 8" xfId="12011"/>
    <cellStyle name="Input 9 2 8 2" xfId="12012"/>
    <cellStyle name="Input 9 2 8 3" xfId="12013"/>
    <cellStyle name="Input 9 2 8 4" xfId="12014"/>
    <cellStyle name="Input 9 2 8 5" xfId="12015"/>
    <cellStyle name="Input 9 2 8 6" xfId="12016"/>
    <cellStyle name="Input 9 2 9" xfId="12017"/>
    <cellStyle name="Input 9 2 9 2" xfId="12018"/>
    <cellStyle name="Input 9 2 9 3" xfId="12019"/>
    <cellStyle name="Input 9 2 9 4" xfId="12020"/>
    <cellStyle name="Input 9 2 9 5" xfId="12021"/>
    <cellStyle name="Input 9 2 9 6" xfId="12022"/>
    <cellStyle name="Input 9 20" xfId="12023"/>
    <cellStyle name="Input 9 20 2" xfId="12024"/>
    <cellStyle name="Input 9 20 3" xfId="12025"/>
    <cellStyle name="Input 9 20 4" xfId="12026"/>
    <cellStyle name="Input 9 20 5" xfId="12027"/>
    <cellStyle name="Input 9 20 6" xfId="12028"/>
    <cellStyle name="Input 9 21" xfId="12029"/>
    <cellStyle name="Input 9 21 2" xfId="12030"/>
    <cellStyle name="Input 9 21 3" xfId="12031"/>
    <cellStyle name="Input 9 21 4" xfId="12032"/>
    <cellStyle name="Input 9 21 5" xfId="12033"/>
    <cellStyle name="Input 9 21 6" xfId="12034"/>
    <cellStyle name="Input 9 22" xfId="12035"/>
    <cellStyle name="Input 9 22 2" xfId="12036"/>
    <cellStyle name="Input 9 22 3" xfId="12037"/>
    <cellStyle name="Input 9 22 4" xfId="12038"/>
    <cellStyle name="Input 9 22 5" xfId="12039"/>
    <cellStyle name="Input 9 22 6" xfId="12040"/>
    <cellStyle name="Input 9 23" xfId="12041"/>
    <cellStyle name="Input 9 23 2" xfId="12042"/>
    <cellStyle name="Input 9 23 3" xfId="12043"/>
    <cellStyle name="Input 9 23 4" xfId="12044"/>
    <cellStyle name="Input 9 23 5" xfId="12045"/>
    <cellStyle name="Input 9 23 6" xfId="12046"/>
    <cellStyle name="Input 9 24" xfId="12047"/>
    <cellStyle name="Input 9 24 2" xfId="12048"/>
    <cellStyle name="Input 9 24 3" xfId="12049"/>
    <cellStyle name="Input 9 24 4" xfId="12050"/>
    <cellStyle name="Input 9 24 5" xfId="12051"/>
    <cellStyle name="Input 9 24 6" xfId="12052"/>
    <cellStyle name="Input 9 25" xfId="12053"/>
    <cellStyle name="Input 9 25 2" xfId="12054"/>
    <cellStyle name="Input 9 25 3" xfId="12055"/>
    <cellStyle name="Input 9 25 4" xfId="12056"/>
    <cellStyle name="Input 9 25 5" xfId="12057"/>
    <cellStyle name="Input 9 25 6" xfId="12058"/>
    <cellStyle name="Input 9 26" xfId="12059"/>
    <cellStyle name="Input 9 26 2" xfId="12060"/>
    <cellStyle name="Input 9 26 3" xfId="12061"/>
    <cellStyle name="Input 9 26 4" xfId="12062"/>
    <cellStyle name="Input 9 26 5" xfId="12063"/>
    <cellStyle name="Input 9 26 6" xfId="12064"/>
    <cellStyle name="Input 9 27" xfId="12065"/>
    <cellStyle name="Input 9 27 2" xfId="12066"/>
    <cellStyle name="Input 9 27 3" xfId="12067"/>
    <cellStyle name="Input 9 27 4" xfId="12068"/>
    <cellStyle name="Input 9 27 5" xfId="12069"/>
    <cellStyle name="Input 9 27 6" xfId="12070"/>
    <cellStyle name="Input 9 28" xfId="12071"/>
    <cellStyle name="Input 9 28 2" xfId="12072"/>
    <cellStyle name="Input 9 28 3" xfId="12073"/>
    <cellStyle name="Input 9 28 4" xfId="12074"/>
    <cellStyle name="Input 9 28 5" xfId="12075"/>
    <cellStyle name="Input 9 28 6" xfId="12076"/>
    <cellStyle name="Input 9 29" xfId="12077"/>
    <cellStyle name="Input 9 29 2" xfId="12078"/>
    <cellStyle name="Input 9 29 3" xfId="12079"/>
    <cellStyle name="Input 9 29 4" xfId="12080"/>
    <cellStyle name="Input 9 29 5" xfId="12081"/>
    <cellStyle name="Input 9 29 6" xfId="12082"/>
    <cellStyle name="Input 9 3" xfId="12083"/>
    <cellStyle name="Input 9 3 10" xfId="12084"/>
    <cellStyle name="Input 9 3 2" xfId="12085"/>
    <cellStyle name="Input 9 3 2 2" xfId="12086"/>
    <cellStyle name="Input 9 3 2 3" xfId="12087"/>
    <cellStyle name="Input 9 3 2 4" xfId="12088"/>
    <cellStyle name="Input 9 3 2 5" xfId="12089"/>
    <cellStyle name="Input 9 3 2 6" xfId="12090"/>
    <cellStyle name="Input 9 3 3" xfId="12091"/>
    <cellStyle name="Input 9 3 3 2" xfId="12092"/>
    <cellStyle name="Input 9 3 3 3" xfId="12093"/>
    <cellStyle name="Input 9 3 3 4" xfId="12094"/>
    <cellStyle name="Input 9 3 3 5" xfId="12095"/>
    <cellStyle name="Input 9 3 3 6" xfId="12096"/>
    <cellStyle name="Input 9 3 4" xfId="12097"/>
    <cellStyle name="Input 9 3 4 2" xfId="12098"/>
    <cellStyle name="Input 9 3 4 3" xfId="12099"/>
    <cellStyle name="Input 9 3 4 4" xfId="12100"/>
    <cellStyle name="Input 9 3 4 5" xfId="12101"/>
    <cellStyle name="Input 9 3 4 6" xfId="12102"/>
    <cellStyle name="Input 9 3 5" xfId="12103"/>
    <cellStyle name="Input 9 3 5 2" xfId="12104"/>
    <cellStyle name="Input 9 3 5 3" xfId="12105"/>
    <cellStyle name="Input 9 3 5 4" xfId="12106"/>
    <cellStyle name="Input 9 3 5 5" xfId="12107"/>
    <cellStyle name="Input 9 3 5 6" xfId="12108"/>
    <cellStyle name="Input 9 3 6" xfId="12109"/>
    <cellStyle name="Input 9 3 7" xfId="12110"/>
    <cellStyle name="Input 9 3 8" xfId="12111"/>
    <cellStyle name="Input 9 3 9" xfId="12112"/>
    <cellStyle name="Input 9 30" xfId="12113"/>
    <cellStyle name="Input 9 30 2" xfId="12114"/>
    <cellStyle name="Input 9 30 3" xfId="12115"/>
    <cellStyle name="Input 9 30 4" xfId="12116"/>
    <cellStyle name="Input 9 31" xfId="12117"/>
    <cellStyle name="Input 9 32" xfId="12118"/>
    <cellStyle name="Input 9 33" xfId="12119"/>
    <cellStyle name="Input 9 34" xfId="12120"/>
    <cellStyle name="Input 9 35" xfId="12121"/>
    <cellStyle name="Input 9 36" xfId="12122"/>
    <cellStyle name="Input 9 37" xfId="12123"/>
    <cellStyle name="Input 9 38" xfId="12124"/>
    <cellStyle name="Input 9 39" xfId="12125"/>
    <cellStyle name="Input 9 4" xfId="12126"/>
    <cellStyle name="Input 9 4 2" xfId="12127"/>
    <cellStyle name="Input 9 4 3" xfId="12128"/>
    <cellStyle name="Input 9 4 4" xfId="12129"/>
    <cellStyle name="Input 9 4 5" xfId="12130"/>
    <cellStyle name="Input 9 4 6" xfId="12131"/>
    <cellStyle name="Input 9 40" xfId="12132"/>
    <cellStyle name="Input 9 41" xfId="12133"/>
    <cellStyle name="Input 9 42" xfId="12134"/>
    <cellStyle name="Input 9 43" xfId="12135"/>
    <cellStyle name="Input 9 44" xfId="12136"/>
    <cellStyle name="Input 9 45" xfId="12137"/>
    <cellStyle name="Input 9 46" xfId="12138"/>
    <cellStyle name="Input 9 47" xfId="12139"/>
    <cellStyle name="Input 9 48" xfId="12140"/>
    <cellStyle name="Input 9 49" xfId="12141"/>
    <cellStyle name="Input 9 5" xfId="12142"/>
    <cellStyle name="Input 9 5 2" xfId="12143"/>
    <cellStyle name="Input 9 5 3" xfId="12144"/>
    <cellStyle name="Input 9 5 4" xfId="12145"/>
    <cellStyle name="Input 9 5 5" xfId="12146"/>
    <cellStyle name="Input 9 5 6" xfId="12147"/>
    <cellStyle name="Input 9 50" xfId="12148"/>
    <cellStyle name="Input 9 51" xfId="12149"/>
    <cellStyle name="Input 9 52" xfId="12150"/>
    <cellStyle name="Input 9 53" xfId="12151"/>
    <cellStyle name="Input 9 54" xfId="12152"/>
    <cellStyle name="Input 9 55" xfId="12153"/>
    <cellStyle name="Input 9 56" xfId="12154"/>
    <cellStyle name="Input 9 57" xfId="12155"/>
    <cellStyle name="Input 9 58" xfId="12156"/>
    <cellStyle name="Input 9 59" xfId="12157"/>
    <cellStyle name="Input 9 6" xfId="12158"/>
    <cellStyle name="Input 9 6 2" xfId="12159"/>
    <cellStyle name="Input 9 6 3" xfId="12160"/>
    <cellStyle name="Input 9 6 4" xfId="12161"/>
    <cellStyle name="Input 9 6 5" xfId="12162"/>
    <cellStyle name="Input 9 6 6" xfId="12163"/>
    <cellStyle name="Input 9 60" xfId="12164"/>
    <cellStyle name="Input 9 61" xfId="12165"/>
    <cellStyle name="Input 9 62" xfId="12166"/>
    <cellStyle name="Input 9 63" xfId="12167"/>
    <cellStyle name="Input 9 64" xfId="12168"/>
    <cellStyle name="Input 9 65" xfId="12169"/>
    <cellStyle name="Input 9 66" xfId="12170"/>
    <cellStyle name="Input 9 67" xfId="12171"/>
    <cellStyle name="Input 9 7" xfId="12172"/>
    <cellStyle name="Input 9 7 2" xfId="12173"/>
    <cellStyle name="Input 9 7 3" xfId="12174"/>
    <cellStyle name="Input 9 7 4" xfId="12175"/>
    <cellStyle name="Input 9 7 5" xfId="12176"/>
    <cellStyle name="Input 9 7 6" xfId="12177"/>
    <cellStyle name="Input 9 8" xfId="12178"/>
    <cellStyle name="Input 9 8 2" xfId="12179"/>
    <cellStyle name="Input 9 8 3" xfId="12180"/>
    <cellStyle name="Input 9 8 4" xfId="12181"/>
    <cellStyle name="Input 9 8 5" xfId="12182"/>
    <cellStyle name="Input 9 8 6" xfId="12183"/>
    <cellStyle name="Input 9 9" xfId="12184"/>
    <cellStyle name="Input 9 9 2" xfId="12185"/>
    <cellStyle name="Input 9 9 3" xfId="12186"/>
    <cellStyle name="Input 9 9 4" xfId="12187"/>
    <cellStyle name="Input 9 9 5" xfId="12188"/>
    <cellStyle name="Input 9 9 6" xfId="12189"/>
    <cellStyle name="Input Currency" xfId="12190"/>
    <cellStyle name="Input Currency 2" xfId="12191"/>
    <cellStyle name="Input Currency 3" xfId="20857"/>
    <cellStyle name="Input Currency 4" xfId="20858"/>
    <cellStyle name="Input Currency 5" xfId="20859"/>
    <cellStyle name="Input Currency_PKS" xfId="20860"/>
    <cellStyle name="Input Date" xfId="12192"/>
    <cellStyle name="Input Date 2" xfId="12193"/>
    <cellStyle name="Input Date 3" xfId="12194"/>
    <cellStyle name="Input Date 4" xfId="12195"/>
    <cellStyle name="Input Date 5" xfId="12196"/>
    <cellStyle name="Input Date_PKS" xfId="20861"/>
    <cellStyle name="Input Fixed [0]" xfId="12197"/>
    <cellStyle name="Input Fixed [0] 2" xfId="12198"/>
    <cellStyle name="Input Fixed [0] 3" xfId="20862"/>
    <cellStyle name="Input Fixed [0] 4" xfId="20863"/>
    <cellStyle name="Input Fixed [0] 5" xfId="20864"/>
    <cellStyle name="Input Fixed [0]_PKS" xfId="20865"/>
    <cellStyle name="Input Normal" xfId="12199"/>
    <cellStyle name="Input Normal 2" xfId="12200"/>
    <cellStyle name="Input Normal 3" xfId="20866"/>
    <cellStyle name="Input Normal 4" xfId="20867"/>
    <cellStyle name="Input Normal_PKS" xfId="20868"/>
    <cellStyle name="Input Percent" xfId="12201"/>
    <cellStyle name="Input Percent [2]" xfId="12202"/>
    <cellStyle name="Input Percent [2] 2" xfId="12203"/>
    <cellStyle name="Input Percent [2] 3" xfId="20869"/>
    <cellStyle name="Input Percent [2] 4" xfId="20870"/>
    <cellStyle name="Input Percent [2]_PKS" xfId="20871"/>
    <cellStyle name="Input Percent 10" xfId="12204"/>
    <cellStyle name="Input Percent 11" xfId="12205"/>
    <cellStyle name="Input Percent 12" xfId="12206"/>
    <cellStyle name="Input Percent 13" xfId="12207"/>
    <cellStyle name="Input Percent 14" xfId="12208"/>
    <cellStyle name="Input Percent 15" xfId="12209"/>
    <cellStyle name="Input Percent 16" xfId="12210"/>
    <cellStyle name="Input Percent 17" xfId="12211"/>
    <cellStyle name="Input Percent 18" xfId="12212"/>
    <cellStyle name="Input Percent 19" xfId="12213"/>
    <cellStyle name="Input Percent 2" xfId="12214"/>
    <cellStyle name="Input Percent 20" xfId="12215"/>
    <cellStyle name="Input Percent 21" xfId="12216"/>
    <cellStyle name="Input Percent 22" xfId="12217"/>
    <cellStyle name="Input Percent 23" xfId="12218"/>
    <cellStyle name="Input Percent 24" xfId="12219"/>
    <cellStyle name="Input Percent 3" xfId="12220"/>
    <cellStyle name="Input Percent 4" xfId="12221"/>
    <cellStyle name="Input Percent 5" xfId="12222"/>
    <cellStyle name="Input Percent 6" xfId="12223"/>
    <cellStyle name="Input Percent 7" xfId="12224"/>
    <cellStyle name="Input Percent 8" xfId="12225"/>
    <cellStyle name="Input Percent 9" xfId="12226"/>
    <cellStyle name="Input Percent_PKS" xfId="20872"/>
    <cellStyle name="Input Titles" xfId="12227"/>
    <cellStyle name="Input Titles 2" xfId="12228"/>
    <cellStyle name="Input Titles 3" xfId="20873"/>
    <cellStyle name="Input Titles 4" xfId="20874"/>
    <cellStyle name="Input Titles_1x1" xfId="20875"/>
    <cellStyle name="Judul" xfId="20876"/>
    <cellStyle name="Keluaran" xfId="20877"/>
    <cellStyle name="Keluaran 2" xfId="20878"/>
    <cellStyle name="Keluaran 3" xfId="20879"/>
    <cellStyle name="Link Currency (0)" xfId="12229"/>
    <cellStyle name="Link Currency (0) 2" xfId="12230"/>
    <cellStyle name="Link Currency (0) 3" xfId="20880"/>
    <cellStyle name="Link Currency (0) 4" xfId="20881"/>
    <cellStyle name="Link Currency (0)_1x1" xfId="20882"/>
    <cellStyle name="Link Currency (2)" xfId="12231"/>
    <cellStyle name="Link Currency (2) 2" xfId="12232"/>
    <cellStyle name="Link Currency (2) 3" xfId="20883"/>
    <cellStyle name="Link Currency (2) 4" xfId="20884"/>
    <cellStyle name="Link Currency (2)_1x1" xfId="20885"/>
    <cellStyle name="Link Units (0)" xfId="12233"/>
    <cellStyle name="Link Units (0) 2" xfId="12234"/>
    <cellStyle name="Link Units (0) 3" xfId="20886"/>
    <cellStyle name="Link Units (0) 4" xfId="20887"/>
    <cellStyle name="Link Units (0)_1x1" xfId="20888"/>
    <cellStyle name="Link Units (1)" xfId="12235"/>
    <cellStyle name="Link Units (1) 2" xfId="12236"/>
    <cellStyle name="Link Units (1) 3" xfId="20889"/>
    <cellStyle name="Link Units (1) 4" xfId="20890"/>
    <cellStyle name="Link Units (1)_1x1" xfId="20891"/>
    <cellStyle name="Link Units (2)" xfId="12237"/>
    <cellStyle name="Link Units (2) 2" xfId="12238"/>
    <cellStyle name="Link Units (2) 3" xfId="20892"/>
    <cellStyle name="Link Units (2) 4" xfId="20893"/>
    <cellStyle name="Link Units (2)_1x1" xfId="20894"/>
    <cellStyle name="Linked Cell 10" xfId="12239"/>
    <cellStyle name="Linked Cell 10 2" xfId="12240"/>
    <cellStyle name="Linked Cell 10 2 2" xfId="12241"/>
    <cellStyle name="Linked Cell 11" xfId="12242"/>
    <cellStyle name="Linked Cell 11 2" xfId="12243"/>
    <cellStyle name="Linked Cell 11 2 2" xfId="12244"/>
    <cellStyle name="Linked Cell 2" xfId="12245"/>
    <cellStyle name="Linked Cell 2 2" xfId="12246"/>
    <cellStyle name="Linked Cell 2 2 2" xfId="12247"/>
    <cellStyle name="Linked Cell 3" xfId="12248"/>
    <cellStyle name="Linked Cell 3 2" xfId="12249"/>
    <cellStyle name="Linked Cell 3 2 2" xfId="12250"/>
    <cellStyle name="Linked Cell 4" xfId="12251"/>
    <cellStyle name="Linked Cell 4 2" xfId="12252"/>
    <cellStyle name="Linked Cell 4 2 2" xfId="12253"/>
    <cellStyle name="Linked Cell 5" xfId="12254"/>
    <cellStyle name="Linked Cell 5 2" xfId="12255"/>
    <cellStyle name="Linked Cell 5 2 2" xfId="12256"/>
    <cellStyle name="Linked Cell 6" xfId="12257"/>
    <cellStyle name="Linked Cell 6 2" xfId="12258"/>
    <cellStyle name="Linked Cell 6 2 2" xfId="12259"/>
    <cellStyle name="Linked Cell 7" xfId="12260"/>
    <cellStyle name="Linked Cell 7 2" xfId="12261"/>
    <cellStyle name="Linked Cell 7 2 2" xfId="12262"/>
    <cellStyle name="Linked Cell 8" xfId="12263"/>
    <cellStyle name="Linked Cell 8 2" xfId="12264"/>
    <cellStyle name="Linked Cell 8 2 2" xfId="12265"/>
    <cellStyle name="Linked Cell 9" xfId="12266"/>
    <cellStyle name="Linked Cell 9 2" xfId="12267"/>
    <cellStyle name="Linked Cell 9 2 2" xfId="12268"/>
    <cellStyle name="Masukan" xfId="20895"/>
    <cellStyle name="Masukan 2" xfId="20896"/>
    <cellStyle name="Masukan 3" xfId="20897"/>
    <cellStyle name="NA is zero" xfId="12269"/>
    <cellStyle name="NA is zero 2" xfId="12270"/>
    <cellStyle name="NA is zero 3" xfId="20898"/>
    <cellStyle name="NA is zero 4" xfId="20899"/>
    <cellStyle name="NA is zero 5" xfId="20900"/>
    <cellStyle name="NA is zero_PKS" xfId="20901"/>
    <cellStyle name="Netral" xfId="20902"/>
    <cellStyle name="Neutral 10" xfId="12271"/>
    <cellStyle name="Neutral 10 2" xfId="12272"/>
    <cellStyle name="Neutral 11" xfId="12273"/>
    <cellStyle name="Neutral 11 2" xfId="12274"/>
    <cellStyle name="Neutral 12" xfId="12275"/>
    <cellStyle name="Neutral 12 2" xfId="12276"/>
    <cellStyle name="Neutral 2" xfId="12277"/>
    <cellStyle name="Neutral 2 2" xfId="12278"/>
    <cellStyle name="Neutral 3" xfId="12279"/>
    <cellStyle name="Neutral 3 2" xfId="12280"/>
    <cellStyle name="Neutral 4" xfId="12281"/>
    <cellStyle name="Neutral 4 2" xfId="12282"/>
    <cellStyle name="Neutral 5" xfId="12283"/>
    <cellStyle name="Neutral 5 2" xfId="12284"/>
    <cellStyle name="Neutral 6" xfId="12285"/>
    <cellStyle name="Neutral 6 2" xfId="12286"/>
    <cellStyle name="Neutral 7" xfId="12287"/>
    <cellStyle name="Neutral 7 2" xfId="12288"/>
    <cellStyle name="Neutral 8" xfId="12289"/>
    <cellStyle name="Neutral 8 2" xfId="12290"/>
    <cellStyle name="Neutral 9" xfId="12291"/>
    <cellStyle name="Neutral 9 2" xfId="12292"/>
    <cellStyle name="Norma - Style1" xfId="20903"/>
    <cellStyle name="Norma - Style2" xfId="20904"/>
    <cellStyle name="Norma - Style3" xfId="20905"/>
    <cellStyle name="Norma - Style4" xfId="20906"/>
    <cellStyle name="Norma - Style5" xfId="20907"/>
    <cellStyle name="Norma - Style6" xfId="20908"/>
    <cellStyle name="Norma - Style7" xfId="20909"/>
    <cellStyle name="Norma - Style8" xfId="20910"/>
    <cellStyle name="Normal" xfId="0" builtinId="0"/>
    <cellStyle name="Normal - Style1" xfId="12293"/>
    <cellStyle name="Normal - Style1 2" xfId="12294"/>
    <cellStyle name="Normal - Style1 3" xfId="20911"/>
    <cellStyle name="Normal - Style1 4" xfId="20912"/>
    <cellStyle name="Normal - Style1_1x1" xfId="20913"/>
    <cellStyle name="Normal [0]" xfId="12295"/>
    <cellStyle name="Normal [0] 2" xfId="12296"/>
    <cellStyle name="Normal [0] 3" xfId="20914"/>
    <cellStyle name="Normal [0] 4" xfId="20915"/>
    <cellStyle name="Normal [0]_PKS" xfId="20916"/>
    <cellStyle name="Normal [1]" xfId="12297"/>
    <cellStyle name="Normal [1] 2" xfId="12298"/>
    <cellStyle name="Normal [1] 3" xfId="20917"/>
    <cellStyle name="Normal [1] 4" xfId="20918"/>
    <cellStyle name="Normal [1]_PKS" xfId="20919"/>
    <cellStyle name="Normal [2]" xfId="12299"/>
    <cellStyle name="Normal [2] 2" xfId="12300"/>
    <cellStyle name="Normal [2] 3" xfId="20920"/>
    <cellStyle name="Normal [2] 4" xfId="20921"/>
    <cellStyle name="Normal [2]_PKS" xfId="20922"/>
    <cellStyle name="Normal [3]" xfId="12301"/>
    <cellStyle name="Normal [3] 2" xfId="12302"/>
    <cellStyle name="Normal [3] 3" xfId="20923"/>
    <cellStyle name="Normal [3] 4" xfId="20924"/>
    <cellStyle name="Normal [3] 5" xfId="20925"/>
    <cellStyle name="Normal [3]_PKS" xfId="20926"/>
    <cellStyle name="Normal 10" xfId="13"/>
    <cellStyle name="Normal 10 2" xfId="12303"/>
    <cellStyle name="Normal 10 2 2" xfId="12304"/>
    <cellStyle name="Normal 10 2 2 2" xfId="12305"/>
    <cellStyle name="Normal 10 2 3" xfId="12306"/>
    <cellStyle name="Normal 10 2 4" xfId="12307"/>
    <cellStyle name="Normal 10 3" xfId="12308"/>
    <cellStyle name="Normal 10 3 2" xfId="12309"/>
    <cellStyle name="Normal 10 4" xfId="12310"/>
    <cellStyle name="Normal 10 4 2" xfId="12311"/>
    <cellStyle name="Normal 10 5" xfId="12312"/>
    <cellStyle name="Normal 11" xfId="12313"/>
    <cellStyle name="Normal 11 2" xfId="12314"/>
    <cellStyle name="Normal 11 2 2" xfId="12315"/>
    <cellStyle name="Normal 11 3" xfId="12316"/>
    <cellStyle name="Normal 11 3 2" xfId="12317"/>
    <cellStyle name="Normal 11 3 2 2" xfId="12318"/>
    <cellStyle name="Normal 11 3 2 2 2" xfId="12319"/>
    <cellStyle name="Normal 11 3 2 2 3" xfId="12320"/>
    <cellStyle name="Normal 11 3 3" xfId="12321"/>
    <cellStyle name="Normal 11 4" xfId="12322"/>
    <cellStyle name="Normal 11 5" xfId="12323"/>
    <cellStyle name="Normal 12" xfId="12324"/>
    <cellStyle name="Normal 12 2" xfId="12325"/>
    <cellStyle name="Normal 12 2 2" xfId="12326"/>
    <cellStyle name="Normal 12 3" xfId="12327"/>
    <cellStyle name="Normal 12 3 2" xfId="12328"/>
    <cellStyle name="Normal 12 4" xfId="12329"/>
    <cellStyle name="Normal 12 4 2" xfId="12330"/>
    <cellStyle name="Normal 12 5" xfId="12331"/>
    <cellStyle name="Normal 12 5 2" xfId="12332"/>
    <cellStyle name="Normal 12 6" xfId="12333"/>
    <cellStyle name="Normal 12 7" xfId="12334"/>
    <cellStyle name="Normal 13" xfId="3"/>
    <cellStyle name="Normal 13 2" xfId="12335"/>
    <cellStyle name="Normal 13 2 2" xfId="12336"/>
    <cellStyle name="Normal 13 2 2 2" xfId="12337"/>
    <cellStyle name="Normal 13 2 2 2 2" xfId="12338"/>
    <cellStyle name="Normal 13 2 2 2 2 2" xfId="12339"/>
    <cellStyle name="Normal 13 2 2 2 2 2 2" xfId="12340"/>
    <cellStyle name="Normal 13 2 2 2 2 2 2 2" xfId="12341"/>
    <cellStyle name="Normal 13 2 2 2 2 2 3" xfId="12342"/>
    <cellStyle name="Normal 13 2 2 2 2 3" xfId="12343"/>
    <cellStyle name="Normal 13 2 2 2 3" xfId="12344"/>
    <cellStyle name="Normal 13 2 2 2 3 2" xfId="12345"/>
    <cellStyle name="Normal 13 2 2 2 4" xfId="12346"/>
    <cellStyle name="Normal 13 2 2 2 5" xfId="12347"/>
    <cellStyle name="Normal 13 2 2 3" xfId="12348"/>
    <cellStyle name="Normal 13 2 2 3 2" xfId="12349"/>
    <cellStyle name="Normal 13 2 2 3 2 2" xfId="12350"/>
    <cellStyle name="Normal 13 2 2 3 2 2 2" xfId="12351"/>
    <cellStyle name="Normal 13 2 2 3 2 3" xfId="12352"/>
    <cellStyle name="Normal 13 2 2 3 2 4" xfId="12353"/>
    <cellStyle name="Normal 13 2 2 3 3" xfId="12354"/>
    <cellStyle name="Normal 13 2 2 3 3 2" xfId="12355"/>
    <cellStyle name="Normal 13 2 2 3 3 2 2" xfId="12356"/>
    <cellStyle name="Normal 13 2 2 3 3 2 2 2" xfId="12357"/>
    <cellStyle name="Normal 13 2 2 3 3 2 2 2 2" xfId="12358"/>
    <cellStyle name="Normal 13 2 2 3 3 2 2 3" xfId="12359"/>
    <cellStyle name="Normal 13 2 2 3 3 2 3" xfId="12360"/>
    <cellStyle name="Normal 13 2 2 3 3 2 3 2" xfId="12361"/>
    <cellStyle name="Normal 13 2 2 3 3 2 4" xfId="12362"/>
    <cellStyle name="Normal 13 2 2 3 3 3" xfId="12363"/>
    <cellStyle name="Normal 13 2 2 3 3 4" xfId="12364"/>
    <cellStyle name="Normal 13 2 2 3 4" xfId="12365"/>
    <cellStyle name="Normal 13 2 2 3 4 2" xfId="12366"/>
    <cellStyle name="Normal 13 2 2 3 4 3" xfId="12367"/>
    <cellStyle name="Normal 13 2 2 3 5" xfId="12368"/>
    <cellStyle name="Normal 13 2 2 3 6" xfId="12369"/>
    <cellStyle name="Normal 13 2 2 4" xfId="12370"/>
    <cellStyle name="Normal 13 2 2 4 2" xfId="12371"/>
    <cellStyle name="Normal 13 2 2 4 2 2" xfId="12372"/>
    <cellStyle name="Normal 13 2 2 4 3" xfId="12373"/>
    <cellStyle name="Normal 13 2 2 4 4" xfId="12374"/>
    <cellStyle name="Normal 13 2 2 5" xfId="12375"/>
    <cellStyle name="Normal 13 2 2 5 2" xfId="12376"/>
    <cellStyle name="Normal 13 2 2 6" xfId="12377"/>
    <cellStyle name="Normal 13 2 2 7" xfId="12378"/>
    <cellStyle name="Normal 13 2 3" xfId="12379"/>
    <cellStyle name="Normal 13 2 3 2" xfId="12380"/>
    <cellStyle name="Normal 13 2 3 2 2" xfId="12381"/>
    <cellStyle name="Normal 13 2 3 3" xfId="12382"/>
    <cellStyle name="Normal 13 2 3 4" xfId="12383"/>
    <cellStyle name="Normal 13 2 4" xfId="12384"/>
    <cellStyle name="Normal 13 2 4 2" xfId="12385"/>
    <cellStyle name="Normal 13 2 5" xfId="12386"/>
    <cellStyle name="Normal 13 2 6" xfId="12387"/>
    <cellStyle name="Normal 13 2 7" xfId="12388"/>
    <cellStyle name="Normal 13 3" xfId="12389"/>
    <cellStyle name="Normal 13 3 2" xfId="12390"/>
    <cellStyle name="Normal 13 4" xfId="12391"/>
    <cellStyle name="Normal 13 4 2" xfId="12392"/>
    <cellStyle name="Normal 13 4 2 2" xfId="12393"/>
    <cellStyle name="Normal 13 4 2 3" xfId="12394"/>
    <cellStyle name="Normal 13 4 3" xfId="12395"/>
    <cellStyle name="Normal 13 4 4" xfId="12396"/>
    <cellStyle name="Normal 13 5" xfId="12397"/>
    <cellStyle name="Normal 13 5 2" xfId="12398"/>
    <cellStyle name="Normal 13 5 2 2" xfId="12399"/>
    <cellStyle name="Normal 13 5 3" xfId="12400"/>
    <cellStyle name="Normal 13 5 3 2" xfId="12401"/>
    <cellStyle name="Normal 13 6" xfId="12402"/>
    <cellStyle name="Normal 13 6 2" xfId="12403"/>
    <cellStyle name="Normal 13 6 2 2" xfId="12404"/>
    <cellStyle name="Normal 13 6 3" xfId="12405"/>
    <cellStyle name="Normal 13 6 3 2" xfId="12406"/>
    <cellStyle name="Normal 13 6 3 2 2" xfId="12407"/>
    <cellStyle name="Normal 13 6 3 3" xfId="12408"/>
    <cellStyle name="Normal 13 6 4" xfId="12409"/>
    <cellStyle name="Normal 13 7" xfId="12410"/>
    <cellStyle name="Normal 13 7 2" xfId="12411"/>
    <cellStyle name="Normal 13 8" xfId="12412"/>
    <cellStyle name="Normal 14" xfId="12413"/>
    <cellStyle name="Normal 14 2" xfId="12414"/>
    <cellStyle name="Normal 14 2 2" xfId="12415"/>
    <cellStyle name="Normal 14 3" xfId="12416"/>
    <cellStyle name="Normal 14 3 2" xfId="12417"/>
    <cellStyle name="Normal 14 3 2 2" xfId="12418"/>
    <cellStyle name="Normal 14 3 2 3" xfId="12419"/>
    <cellStyle name="Normal 14 3 3" xfId="12420"/>
    <cellStyle name="Normal 14 4" xfId="12421"/>
    <cellStyle name="Normal 14 4 2" xfId="12422"/>
    <cellStyle name="Normal 14 4 2 2" xfId="12423"/>
    <cellStyle name="Normal 14 4 2 3" xfId="12424"/>
    <cellStyle name="Normal 14 4 3" xfId="12425"/>
    <cellStyle name="Normal 14 4 3 2" xfId="12426"/>
    <cellStyle name="Normal 14 4 3 2 2" xfId="12427"/>
    <cellStyle name="Normal 14 4 3 2 3" xfId="12428"/>
    <cellStyle name="Normal 14 4 3 3" xfId="12429"/>
    <cellStyle name="Normal 14 4 3 4" xfId="12430"/>
    <cellStyle name="Normal 14 4 4" xfId="12431"/>
    <cellStyle name="Normal 14 4 4 2" xfId="12432"/>
    <cellStyle name="Normal 14 4 4 3" xfId="12433"/>
    <cellStyle name="Normal 14 4 5" xfId="12434"/>
    <cellStyle name="Normal 14 4 6" xfId="12435"/>
    <cellStyle name="Normal 14 4 7" xfId="12436"/>
    <cellStyle name="Normal 14 5" xfId="12437"/>
    <cellStyle name="Normal 15" xfId="12438"/>
    <cellStyle name="Normal 15 2" xfId="12439"/>
    <cellStyle name="Normal 15 2 2" xfId="12440"/>
    <cellStyle name="Normal 15 2 3" xfId="12441"/>
    <cellStyle name="Normal 15 3" xfId="12442"/>
    <cellStyle name="Normal 16" xfId="12443"/>
    <cellStyle name="Normal 16 2" xfId="12444"/>
    <cellStyle name="Normal 16 2 2" xfId="12445"/>
    <cellStyle name="Normal 16 3" xfId="12446"/>
    <cellStyle name="Normal 16 4" xfId="12447"/>
    <cellStyle name="Normal 17" xfId="12448"/>
    <cellStyle name="Normal 17 2" xfId="12449"/>
    <cellStyle name="Normal 18" xfId="12450"/>
    <cellStyle name="Normal 18 2" xfId="12451"/>
    <cellStyle name="Normal 18 2 2" xfId="12452"/>
    <cellStyle name="Normal 18 3" xfId="12453"/>
    <cellStyle name="Normal 18 4" xfId="12454"/>
    <cellStyle name="Normal 19" xfId="12455"/>
    <cellStyle name="Normal 19 2" xfId="12456"/>
    <cellStyle name="Normal 19 3" xfId="12457"/>
    <cellStyle name="Normal 19 3 2" xfId="12458"/>
    <cellStyle name="Normal 19 4" xfId="12459"/>
    <cellStyle name="Normal 19 5" xfId="12460"/>
    <cellStyle name="Normal 19 6" xfId="12461"/>
    <cellStyle name="Normal 2" xfId="9"/>
    <cellStyle name="Normal 2 10" xfId="12463"/>
    <cellStyle name="Normal 2 10 2" xfId="12464"/>
    <cellStyle name="Normal 2 10 2 2" xfId="12465"/>
    <cellStyle name="Normal 2 10 2 2 2" xfId="12466"/>
    <cellStyle name="Normal 2 10 2 3" xfId="12467"/>
    <cellStyle name="Normal 2 10 2 4" xfId="12468"/>
    <cellStyle name="Normal 2 10 3" xfId="12469"/>
    <cellStyle name="Normal 2 10 3 2" xfId="12470"/>
    <cellStyle name="Normal 2 10 3 3" xfId="12471"/>
    <cellStyle name="Normal 2 10 4" xfId="12472"/>
    <cellStyle name="Normal 2 10 4 2" xfId="12473"/>
    <cellStyle name="Normal 2 10 5" xfId="12474"/>
    <cellStyle name="Normal 2 10 5 2" xfId="12475"/>
    <cellStyle name="Normal 2 10 6" xfId="12476"/>
    <cellStyle name="Normal 2 11" xfId="12477"/>
    <cellStyle name="Normal 2 11 2" xfId="12478"/>
    <cellStyle name="Normal 2 11 2 2" xfId="12479"/>
    <cellStyle name="Normal 2 11 2 2 2" xfId="12480"/>
    <cellStyle name="Normal 2 11 2 2 3" xfId="12481"/>
    <cellStyle name="Normal 2 11 2 3" xfId="20681"/>
    <cellStyle name="Normal 2 11 3" xfId="12482"/>
    <cellStyle name="Normal 2 11 3 2" xfId="12483"/>
    <cellStyle name="Normal 2 11 3 2 2" xfId="12484"/>
    <cellStyle name="Normal 2 11 3 2 2 2" xfId="12485"/>
    <cellStyle name="Normal 2 11 3 2 2 2 2" xfId="12486"/>
    <cellStyle name="Normal 2 11 3 2 2 3" xfId="12487"/>
    <cellStyle name="Normal 2 11 3 2 2 4" xfId="12488"/>
    <cellStyle name="Normal 2 11 3 2 3" xfId="12489"/>
    <cellStyle name="Normal 2 11 3 2 3 2" xfId="12490"/>
    <cellStyle name="Normal 2 11 3 2 3 2 2" xfId="12491"/>
    <cellStyle name="Normal 2 11 3 2 3 2 2 2" xfId="12492"/>
    <cellStyle name="Normal 2 11 3 2 3 2 2 3" xfId="12493"/>
    <cellStyle name="Normal 2 11 3 2 3 2 3" xfId="12494"/>
    <cellStyle name="Normal 2 11 3 2 3 2 3 2" xfId="12495"/>
    <cellStyle name="Normal 2 11 3 2 3 2 3 2 2" xfId="12496"/>
    <cellStyle name="Normal 2 11 3 2 3 2 3 2 3" xfId="12497"/>
    <cellStyle name="Normal 2 11 3 2 3 2 3 3" xfId="12498"/>
    <cellStyle name="Normal 2 11 3 2 3 2 3 4" xfId="12499"/>
    <cellStyle name="Normal 2 11 3 2 3 2 4" xfId="12500"/>
    <cellStyle name="Normal 2 11 3 2 3 2 5" xfId="12501"/>
    <cellStyle name="Normal 2 11 3 2 3 3" xfId="12502"/>
    <cellStyle name="Normal 2 11 3 2 3 4" xfId="12503"/>
    <cellStyle name="Normal 2 11 3 2 4" xfId="12504"/>
    <cellStyle name="Normal 2 11 3 2 4 2" xfId="12505"/>
    <cellStyle name="Normal 2 11 3 2 5" xfId="12506"/>
    <cellStyle name="Normal 2 11 3 2 6" xfId="12507"/>
    <cellStyle name="Normal 2 11 3 3" xfId="12508"/>
    <cellStyle name="Normal 2 11 3 3 2" xfId="12509"/>
    <cellStyle name="Normal 2 11 3 4" xfId="12510"/>
    <cellStyle name="Normal 2 11 3 5" xfId="12511"/>
    <cellStyle name="Normal 2 11 3 6" xfId="12512"/>
    <cellStyle name="Normal 2 11 4" xfId="12513"/>
    <cellStyle name="Normal 2 11 4 2" xfId="12514"/>
    <cellStyle name="Normal 2 11 4 2 2" xfId="12515"/>
    <cellStyle name="Normal 2 11 4 3" xfId="12516"/>
    <cellStyle name="Normal 2 11 4 4" xfId="12517"/>
    <cellStyle name="Normal 2 11 5" xfId="12518"/>
    <cellStyle name="Normal 2 11 5 2" xfId="12519"/>
    <cellStyle name="Normal 2 11 6" xfId="12520"/>
    <cellStyle name="Normal 2 11 6 2" xfId="12521"/>
    <cellStyle name="Normal 2 11 7" xfId="12522"/>
    <cellStyle name="Normal 2 12" xfId="12523"/>
    <cellStyle name="Normal 2 12 2" xfId="12524"/>
    <cellStyle name="Normal 2 12 3" xfId="12525"/>
    <cellStyle name="Normal 2 12 4" xfId="12526"/>
    <cellStyle name="Normal 2 13" xfId="12527"/>
    <cellStyle name="Normal 2 13 2" xfId="12528"/>
    <cellStyle name="Normal 2 13 3" xfId="12529"/>
    <cellStyle name="Normal 2 14" xfId="12530"/>
    <cellStyle name="Normal 2 14 2" xfId="12531"/>
    <cellStyle name="Normal 2 15" xfId="12532"/>
    <cellStyle name="Normal 2 15 2" xfId="12533"/>
    <cellStyle name="Normal 2 15 2 2" xfId="12534"/>
    <cellStyle name="Normal 2 15 3" xfId="20682"/>
    <cellStyle name="Normal 2 16" xfId="12535"/>
    <cellStyle name="Normal 2 16 2" xfId="12536"/>
    <cellStyle name="Normal 2 16 2 2" xfId="12537"/>
    <cellStyle name="Normal 2 16 3" xfId="12538"/>
    <cellStyle name="Normal 2 16 4" xfId="12539"/>
    <cellStyle name="Normal 2 17" xfId="12540"/>
    <cellStyle name="Normal 2 17 2" xfId="12541"/>
    <cellStyle name="Normal 2 18" xfId="12542"/>
    <cellStyle name="Normal 2 18 2" xfId="12543"/>
    <cellStyle name="Normal 2 19" xfId="12544"/>
    <cellStyle name="Normal 2 19 2" xfId="12545"/>
    <cellStyle name="Normal 2 2" xfId="4"/>
    <cellStyle name="Normal 2 2 10" xfId="12547"/>
    <cellStyle name="Normal 2 2 10 2" xfId="12548"/>
    <cellStyle name="Normal 2 2 10 2 2" xfId="12549"/>
    <cellStyle name="Normal 2 2 10 3" xfId="20683"/>
    <cellStyle name="Normal 2 2 11" xfId="12550"/>
    <cellStyle name="Normal 2 2 11 2" xfId="12551"/>
    <cellStyle name="Normal 2 2 11 2 2" xfId="12552"/>
    <cellStyle name="Normal 2 2 11 3" xfId="12553"/>
    <cellStyle name="Normal 2 2 12" xfId="12554"/>
    <cellStyle name="Normal 2 2 13" xfId="12555"/>
    <cellStyle name="Normal 2 2 13 2" xfId="12556"/>
    <cellStyle name="Normal 2 2 14" xfId="12557"/>
    <cellStyle name="Normal 2 2 15" xfId="12558"/>
    <cellStyle name="Normal 2 2 16" xfId="12546"/>
    <cellStyle name="Normal 2 2 2" xfId="12559"/>
    <cellStyle name="Normal 2 2 2 2" xfId="12560"/>
    <cellStyle name="Normal 2 2 2 2 2" xfId="12561"/>
    <cellStyle name="Normal 2 2 2 2 2 2" xfId="12562"/>
    <cellStyle name="Normal 2 2 2 2 3" xfId="12563"/>
    <cellStyle name="Normal 2 2 2 3" xfId="12564"/>
    <cellStyle name="Normal 2 2 2 3 2" xfId="12565"/>
    <cellStyle name="Normal 2 2 2 4" xfId="12566"/>
    <cellStyle name="Normal 2 2 2 4 2" xfId="12567"/>
    <cellStyle name="Normal 2 2 2 5" xfId="12568"/>
    <cellStyle name="Normal 2 2 2 6" xfId="12569"/>
    <cellStyle name="Normal 2 2 2 7" xfId="12570"/>
    <cellStyle name="Normal 2 2 3" xfId="12571"/>
    <cellStyle name="Normal 2 2 3 2" xfId="12572"/>
    <cellStyle name="Normal 2 2 3 2 2" xfId="12573"/>
    <cellStyle name="Normal 2 2 3 3" xfId="12574"/>
    <cellStyle name="Normal 2 2 3 3 2" xfId="12575"/>
    <cellStyle name="Normal 2 2 3 4" xfId="12576"/>
    <cellStyle name="Normal 2 2 3 5" xfId="12577"/>
    <cellStyle name="Normal 2 2 3 6" xfId="12578"/>
    <cellStyle name="Normal 2 2 4" xfId="12579"/>
    <cellStyle name="Normal 2 2 4 2" xfId="12580"/>
    <cellStyle name="Normal 2 2 5" xfId="12581"/>
    <cellStyle name="Normal 2 2 5 2" xfId="12582"/>
    <cellStyle name="Normal 2 2 6" xfId="12583"/>
    <cellStyle name="Normal 2 2 6 2" xfId="12584"/>
    <cellStyle name="Normal 2 2 7" xfId="12585"/>
    <cellStyle name="Normal 2 2 7 2" xfId="12586"/>
    <cellStyle name="Normal 2 2 8" xfId="12587"/>
    <cellStyle name="Normal 2 2 8 2" xfId="12588"/>
    <cellStyle name="Normal 2 2 9" xfId="12589"/>
    <cellStyle name="Normal 2 2 9 2" xfId="12590"/>
    <cellStyle name="Normal 2 2_Performance Harvesting Februari 2012" xfId="20927"/>
    <cellStyle name="Normal 2 20" xfId="12591"/>
    <cellStyle name="Normal 2 20 2" xfId="12592"/>
    <cellStyle name="Normal 2 21" xfId="12593"/>
    <cellStyle name="Normal 2 22" xfId="12594"/>
    <cellStyle name="Normal 2 23" xfId="12595"/>
    <cellStyle name="Normal 2 24" xfId="12462"/>
    <cellStyle name="Normal 2 3" xfId="12596"/>
    <cellStyle name="Normal 2 3 2" xfId="12597"/>
    <cellStyle name="Normal 2 3 2 2" xfId="12598"/>
    <cellStyle name="Normal 2 3 2 2 2" xfId="12599"/>
    <cellStyle name="Normal 2 3 3" xfId="12600"/>
    <cellStyle name="Normal 2 3 3 2" xfId="12601"/>
    <cellStyle name="Normal 2 3 4" xfId="12602"/>
    <cellStyle name="Normal 2 3 4 2" xfId="12603"/>
    <cellStyle name="Normal 2 3 5" xfId="12604"/>
    <cellStyle name="Normal 2 3 6" xfId="12605"/>
    <cellStyle name="Normal 2 3 7" xfId="12606"/>
    <cellStyle name="Normal 2 4" xfId="12607"/>
    <cellStyle name="Normal 2 4 2" xfId="12608"/>
    <cellStyle name="Normal 2 4 2 2" xfId="12609"/>
    <cellStyle name="Normal 2 4 2 2 2" xfId="12610"/>
    <cellStyle name="Normal 2 4 2 2 2 2" xfId="12611"/>
    <cellStyle name="Normal 2 4 2 2 2 2 2" xfId="12612"/>
    <cellStyle name="Normal 2 4 2 2 2 3" xfId="12613"/>
    <cellStyle name="Normal 2 4 2 2 3" xfId="12614"/>
    <cellStyle name="Normal 2 4 2 2 4" xfId="12615"/>
    <cellStyle name="Normal 2 4 2 3" xfId="12616"/>
    <cellStyle name="Normal 2 4 2 3 2" xfId="12617"/>
    <cellStyle name="Normal 2 4 2 4" xfId="12618"/>
    <cellStyle name="Normal 2 4 2 5" xfId="12619"/>
    <cellStyle name="Normal 2 4 3" xfId="12620"/>
    <cellStyle name="Normal 2 4 3 2" xfId="12621"/>
    <cellStyle name="Normal 2 4 3 3" xfId="12622"/>
    <cellStyle name="Normal 2 4 4" xfId="12623"/>
    <cellStyle name="Normal 2 4 4 2" xfId="12624"/>
    <cellStyle name="Normal 2 4 5" xfId="12625"/>
    <cellStyle name="Normal 2 4 5 2" xfId="12626"/>
    <cellStyle name="Normal 2 4 6" xfId="12627"/>
    <cellStyle name="Normal 2 4 6 2" xfId="12628"/>
    <cellStyle name="Normal 2 4 7" xfId="12629"/>
    <cellStyle name="Normal 2 4 8" xfId="12630"/>
    <cellStyle name="Normal 2 5" xfId="12631"/>
    <cellStyle name="Normal 2 5 2" xfId="12632"/>
    <cellStyle name="Normal 2 5 2 2" xfId="12633"/>
    <cellStyle name="Normal 2 5 3" xfId="12634"/>
    <cellStyle name="Normal 2 5 3 2" xfId="12635"/>
    <cellStyle name="Normal 2 5 3 3" xfId="12636"/>
    <cellStyle name="Normal 2 5 3 4" xfId="12637"/>
    <cellStyle name="Normal 2 5 4" xfId="12638"/>
    <cellStyle name="Normal 2 5 4 2" xfId="12639"/>
    <cellStyle name="Normal 2 5 5" xfId="12640"/>
    <cellStyle name="Normal 2 5 5 2" xfId="12641"/>
    <cellStyle name="Normal 2 5 6" xfId="12642"/>
    <cellStyle name="Normal 2 5 6 2" xfId="12643"/>
    <cellStyle name="Normal 2 5 7" xfId="12644"/>
    <cellStyle name="Normal 2 6" xfId="12645"/>
    <cellStyle name="Normal 2 6 10" xfId="12646"/>
    <cellStyle name="Normal 2 6 2" xfId="12647"/>
    <cellStyle name="Normal 2 6 2 2" xfId="12648"/>
    <cellStyle name="Normal 2 6 2 2 2" xfId="12649"/>
    <cellStyle name="Normal 2 6 2 2 2 2" xfId="12650"/>
    <cellStyle name="Normal 2 6 2 2 3" xfId="12651"/>
    <cellStyle name="Normal 2 6 2 2 4" xfId="12652"/>
    <cellStyle name="Normal 2 6 2 3" xfId="12653"/>
    <cellStyle name="Normal 2 6 2 3 2" xfId="12654"/>
    <cellStyle name="Normal 2 6 2 4" xfId="12655"/>
    <cellStyle name="Normal 2 6 2 5" xfId="12656"/>
    <cellStyle name="Normal 2 6 3" xfId="12657"/>
    <cellStyle name="Normal 2 6 3 2" xfId="12658"/>
    <cellStyle name="Normal 2 6 3 2 2" xfId="12659"/>
    <cellStyle name="Normal 2 6 3 2 2 2" xfId="12660"/>
    <cellStyle name="Normal 2 6 3 2 2 2 2" xfId="12661"/>
    <cellStyle name="Normal 2 6 3 2 2 3" xfId="12662"/>
    <cellStyle name="Normal 2 6 3 2 3" xfId="12663"/>
    <cellStyle name="Normal 2 6 3 2 3 2" xfId="12664"/>
    <cellStyle name="Normal 2 6 3 2 4" xfId="12665"/>
    <cellStyle name="Normal 2 6 3 2 5" xfId="12666"/>
    <cellStyle name="Normal 2 6 3 3" xfId="12667"/>
    <cellStyle name="Normal 2 6 3 3 2" xfId="12668"/>
    <cellStyle name="Normal 2 6 3 4" xfId="12669"/>
    <cellStyle name="Normal 2 6 3 4 2" xfId="12670"/>
    <cellStyle name="Normal 2 6 3 4 2 2" xfId="12671"/>
    <cellStyle name="Normal 2 6 3 4 3" xfId="12672"/>
    <cellStyle name="Normal 2 6 3 5" xfId="12673"/>
    <cellStyle name="Normal 2 6 3 5 2" xfId="12674"/>
    <cellStyle name="Normal 2 6 3 6" xfId="12675"/>
    <cellStyle name="Normal 2 6 4" xfId="12676"/>
    <cellStyle name="Normal 2 6 4 2" xfId="12677"/>
    <cellStyle name="Normal 2 6 4 2 2" xfId="12678"/>
    <cellStyle name="Normal 2 6 4 2 2 2" xfId="12679"/>
    <cellStyle name="Normal 2 6 4 2 3" xfId="12680"/>
    <cellStyle name="Normal 2 6 4 3" xfId="12681"/>
    <cellStyle name="Normal 2 6 4 3 2" xfId="12682"/>
    <cellStyle name="Normal 2 6 4 4" xfId="12683"/>
    <cellStyle name="Normal 2 6 4 5" xfId="12684"/>
    <cellStyle name="Normal 2 6 4 6" xfId="12685"/>
    <cellStyle name="Normal 2 6 5" xfId="12686"/>
    <cellStyle name="Normal 2 6 5 2" xfId="12687"/>
    <cellStyle name="Normal 2 6 6" xfId="12688"/>
    <cellStyle name="Normal 2 6 6 2" xfId="12689"/>
    <cellStyle name="Normal 2 6 7" xfId="12690"/>
    <cellStyle name="Normal 2 6 7 2" xfId="12691"/>
    <cellStyle name="Normal 2 6 8" xfId="12692"/>
    <cellStyle name="Normal 2 6 8 2" xfId="12693"/>
    <cellStyle name="Normal 2 6 8 2 2" xfId="12694"/>
    <cellStyle name="Normal 2 6 8 3" xfId="12695"/>
    <cellStyle name="Normal 2 6 9" xfId="12696"/>
    <cellStyle name="Normal 2 6 9 2" xfId="12697"/>
    <cellStyle name="Normal 2 7" xfId="12698"/>
    <cellStyle name="Normal 2 7 2" xfId="12699"/>
    <cellStyle name="Normal 2 7 2 2" xfId="12700"/>
    <cellStyle name="Normal 2 7 2 2 2" xfId="12701"/>
    <cellStyle name="Normal 2 7 2 2 2 2" xfId="12702"/>
    <cellStyle name="Normal 2 7 2 2 3" xfId="12703"/>
    <cellStyle name="Normal 2 7 2 2 4" xfId="12704"/>
    <cellStyle name="Normal 2 7 2 3" xfId="12705"/>
    <cellStyle name="Normal 2 7 2 3 2" xfId="12706"/>
    <cellStyle name="Normal 2 7 2 4" xfId="12707"/>
    <cellStyle name="Normal 2 7 2 5" xfId="12708"/>
    <cellStyle name="Normal 2 7 3" xfId="12709"/>
    <cellStyle name="Normal 2 7 3 2" xfId="12710"/>
    <cellStyle name="Normal 2 7 3 3" xfId="12711"/>
    <cellStyle name="Normal 2 7 4" xfId="12712"/>
    <cellStyle name="Normal 2 7 4 2" xfId="12713"/>
    <cellStyle name="Normal 2 7 5" xfId="12714"/>
    <cellStyle name="Normal 2 7 5 2" xfId="12715"/>
    <cellStyle name="Normal 2 7 6" xfId="12716"/>
    <cellStyle name="Normal 2 7 6 2" xfId="12717"/>
    <cellStyle name="Normal 2 7 7" xfId="12718"/>
    <cellStyle name="Normal 2 8" xfId="12719"/>
    <cellStyle name="Normal 2 8 2" xfId="12720"/>
    <cellStyle name="Normal 2 8 2 2" xfId="12721"/>
    <cellStyle name="Normal 2 8 2 2 2" xfId="12722"/>
    <cellStyle name="Normal 2 8 2 2 2 2" xfId="12723"/>
    <cellStyle name="Normal 2 8 2 2 3" xfId="12724"/>
    <cellStyle name="Normal 2 8 2 3" xfId="12725"/>
    <cellStyle name="Normal 2 8 2 4" xfId="12726"/>
    <cellStyle name="Normal 2 8 3" xfId="12727"/>
    <cellStyle name="Normal 2 8 3 2" xfId="12728"/>
    <cellStyle name="Normal 2 8 3 2 2" xfId="12729"/>
    <cellStyle name="Normal 2 8 3 3" xfId="12730"/>
    <cellStyle name="Normal 2 8 3 4" xfId="12731"/>
    <cellStyle name="Normal 2 8 4" xfId="12732"/>
    <cellStyle name="Normal 2 8 4 2" xfId="12733"/>
    <cellStyle name="Normal 2 8 5" xfId="12734"/>
    <cellStyle name="Normal 2 8 5 2" xfId="12735"/>
    <cellStyle name="Normal 2 8 6" xfId="12736"/>
    <cellStyle name="Normal 2 8 6 2" xfId="12737"/>
    <cellStyle name="Normal 2 8 7" xfId="12738"/>
    <cellStyle name="Normal 2 9" xfId="12739"/>
    <cellStyle name="Normal 2 9 2" xfId="12740"/>
    <cellStyle name="Normal 2 9 2 2" xfId="12741"/>
    <cellStyle name="Normal 2 9 2 2 2" xfId="12742"/>
    <cellStyle name="Normal 2 9 2 3" xfId="12743"/>
    <cellStyle name="Normal 2 9 3" xfId="12744"/>
    <cellStyle name="Normal 2 9 3 2" xfId="12745"/>
    <cellStyle name="Normal 2 9 4" xfId="12746"/>
    <cellStyle name="Normal 2 9 4 2" xfId="12747"/>
    <cellStyle name="Normal 2 9 5" xfId="12748"/>
    <cellStyle name="Normal 2 9 5 2" xfId="12749"/>
    <cellStyle name="Normal 2 9 6" xfId="12750"/>
    <cellStyle name="Normal 2 9 7" xfId="12751"/>
    <cellStyle name="Normal 2_BEST DATA WIL III 09 (version 1)" xfId="20928"/>
    <cellStyle name="Normal 20" xfId="12752"/>
    <cellStyle name="Normal 20 2" xfId="12753"/>
    <cellStyle name="Normal 20 2 2" xfId="12754"/>
    <cellStyle name="Normal 20 3" xfId="12755"/>
    <cellStyle name="Normal 20 4" xfId="12756"/>
    <cellStyle name="Normal 20 5" xfId="20684"/>
    <cellStyle name="Normal 21" xfId="12757"/>
    <cellStyle name="Normal 21 2" xfId="12758"/>
    <cellStyle name="Normal 21 3" xfId="12759"/>
    <cellStyle name="Normal 21 4" xfId="20685"/>
    <cellStyle name="Normal 22" xfId="12760"/>
    <cellStyle name="Normal 22 2" xfId="12761"/>
    <cellStyle name="Normal 22 2 2" xfId="12762"/>
    <cellStyle name="Normal 22 2 3" xfId="12763"/>
    <cellStyle name="Normal 22 3" xfId="12764"/>
    <cellStyle name="Normal 22 3 2" xfId="12765"/>
    <cellStyle name="Normal 22 3 2 2" xfId="12766"/>
    <cellStyle name="Normal 22 3 2 2 2" xfId="12767"/>
    <cellStyle name="Normal 22 3 2 2 3" xfId="12768"/>
    <cellStyle name="Normal 22 3 2 3" xfId="12769"/>
    <cellStyle name="Normal 22 3 2 4" xfId="12770"/>
    <cellStyle name="Normal 22 3 3" xfId="12771"/>
    <cellStyle name="Normal 22 3 4" xfId="12772"/>
    <cellStyle name="Normal 22 4" xfId="12773"/>
    <cellStyle name="Normal 22 4 2" xfId="12774"/>
    <cellStyle name="Normal 22 4 3" xfId="12775"/>
    <cellStyle name="Normal 22 5" xfId="12776"/>
    <cellStyle name="Normal 22 5 2" xfId="12777"/>
    <cellStyle name="Normal 22 5 3" xfId="12778"/>
    <cellStyle name="Normal 22 6" xfId="12779"/>
    <cellStyle name="Normal 22 6 2" xfId="12780"/>
    <cellStyle name="Normal 22 6 3" xfId="12781"/>
    <cellStyle name="Normal 22 6 9" xfId="12782"/>
    <cellStyle name="Normal 22 6 9 2" xfId="12783"/>
    <cellStyle name="Normal 22 6 9 7" xfId="12784"/>
    <cellStyle name="Normal 22 6 9 7 2" xfId="12785"/>
    <cellStyle name="Normal 22 7" xfId="12786"/>
    <cellStyle name="Normal 22 8" xfId="12787"/>
    <cellStyle name="Normal 22 9" xfId="12788"/>
    <cellStyle name="Normal 23" xfId="12789"/>
    <cellStyle name="Normal 23 2" xfId="12790"/>
    <cellStyle name="Normal 23 3" xfId="12791"/>
    <cellStyle name="Normal 23 4" xfId="12792"/>
    <cellStyle name="Normal 24" xfId="12793"/>
    <cellStyle name="Normal 24 2" xfId="12794"/>
    <cellStyle name="Normal 24 2 2" xfId="12795"/>
    <cellStyle name="Normal 24 3" xfId="12796"/>
    <cellStyle name="Normal 25" xfId="12797"/>
    <cellStyle name="Normal 25 2" xfId="12798"/>
    <cellStyle name="Normal 25 2 2" xfId="12799"/>
    <cellStyle name="Normal 25 3" xfId="12800"/>
    <cellStyle name="Normal 25 3 2" xfId="12801"/>
    <cellStyle name="Normal 25 4" xfId="12802"/>
    <cellStyle name="Normal 26" xfId="12803"/>
    <cellStyle name="Normal 26 2" xfId="12804"/>
    <cellStyle name="Normal 26 2 2" xfId="12805"/>
    <cellStyle name="Normal 26 3" xfId="12806"/>
    <cellStyle name="Normal 27" xfId="12807"/>
    <cellStyle name="Normal 27 2" xfId="12808"/>
    <cellStyle name="Normal 27 2 2" xfId="12809"/>
    <cellStyle name="Normal 27 3" xfId="12810"/>
    <cellStyle name="Normal 27 4" xfId="12811"/>
    <cellStyle name="Normal 28" xfId="12812"/>
    <cellStyle name="Normal 28 2" xfId="12813"/>
    <cellStyle name="Normal 28 2 2" xfId="12814"/>
    <cellStyle name="Normal 28 3" xfId="12815"/>
    <cellStyle name="Normal 29" xfId="12816"/>
    <cellStyle name="Normal 29 2" xfId="12817"/>
    <cellStyle name="Normal 3" xfId="5"/>
    <cellStyle name="Normal 3 2" xfId="12818"/>
    <cellStyle name="Normal 3 2 2" xfId="12819"/>
    <cellStyle name="Normal 3 2 2 2" xfId="12820"/>
    <cellStyle name="Normal 3 2 2 2 2" xfId="12821"/>
    <cellStyle name="Normal 3 2 2 3" xfId="20686"/>
    <cellStyle name="Normal 3 2 3" xfId="12822"/>
    <cellStyle name="Normal 3 2 3 2" xfId="12823"/>
    <cellStyle name="Normal 3 2 3 3" xfId="20687"/>
    <cellStyle name="Normal 3 2 4" xfId="12824"/>
    <cellStyle name="Normal 3 2 4 2" xfId="12825"/>
    <cellStyle name="Normal 3 2 5" xfId="12826"/>
    <cellStyle name="Normal 3 2 6" xfId="12827"/>
    <cellStyle name="Normal 3 3" xfId="12828"/>
    <cellStyle name="Normal 3 3 2" xfId="12829"/>
    <cellStyle name="Normal 3 3 2 2" xfId="12830"/>
    <cellStyle name="Normal 3 3 2 2 2" xfId="12831"/>
    <cellStyle name="Normal 3 3 2 2 2 2" xfId="12832"/>
    <cellStyle name="Normal 3 3 2 2 2 2 2" xfId="12833"/>
    <cellStyle name="Normal 3 3 2 2 2 2 2 2" xfId="12834"/>
    <cellStyle name="Normal 3 3 2 2 2 2 3" xfId="12835"/>
    <cellStyle name="Normal 3 3 2 2 2 3" xfId="12836"/>
    <cellStyle name="Normal 3 3 2 2 3" xfId="12837"/>
    <cellStyle name="Normal 3 3 2 2 3 2" xfId="12838"/>
    <cellStyle name="Normal 3 3 2 2 3 2 2" xfId="12839"/>
    <cellStyle name="Normal 3 3 2 2 3 3" xfId="12840"/>
    <cellStyle name="Normal 3 3 2 2 4" xfId="12841"/>
    <cellStyle name="Normal 3 3 2 2 4 2" xfId="12842"/>
    <cellStyle name="Normal 3 3 2 2 5" xfId="12843"/>
    <cellStyle name="Normal 3 3 2 3" xfId="12844"/>
    <cellStyle name="Normal 3 3 2 3 2" xfId="12845"/>
    <cellStyle name="Normal 3 3 2 3 2 2" xfId="12846"/>
    <cellStyle name="Normal 3 3 2 3 2 2 2" xfId="12847"/>
    <cellStyle name="Normal 3 3 2 3 2 2 2 2" xfId="12848"/>
    <cellStyle name="Normal 3 3 2 3 2 2 3" xfId="12849"/>
    <cellStyle name="Normal 3 3 2 3 2 3" xfId="12850"/>
    <cellStyle name="Normal 3 3 2 3 3" xfId="12851"/>
    <cellStyle name="Normal 3 3 2 3 3 2" xfId="12852"/>
    <cellStyle name="Normal 3 3 2 3 4" xfId="12853"/>
    <cellStyle name="Normal 3 3 2 4" xfId="12854"/>
    <cellStyle name="Normal 3 3 2 4 2" xfId="12855"/>
    <cellStyle name="Normal 3 3 2 5" xfId="12856"/>
    <cellStyle name="Normal 3 3 2 5 2" xfId="12857"/>
    <cellStyle name="Normal 3 3 2 6" xfId="12858"/>
    <cellStyle name="Normal 3 3 2 6 2" xfId="12859"/>
    <cellStyle name="Normal 3 3 2 7" xfId="12860"/>
    <cellStyle name="Normal 3 3 3" xfId="12861"/>
    <cellStyle name="Normal 3 3 3 2" xfId="12862"/>
    <cellStyle name="Normal 3 3 3 2 2" xfId="12863"/>
    <cellStyle name="Normal 3 3 3 3" xfId="12864"/>
    <cellStyle name="Normal 3 3 4" xfId="12865"/>
    <cellStyle name="Normal 3 3 5" xfId="12866"/>
    <cellStyle name="Normal 3 3 6" xfId="20688"/>
    <cellStyle name="Normal 3 4" xfId="12867"/>
    <cellStyle name="Normal 3 4 2" xfId="12868"/>
    <cellStyle name="Normal 3 4 2 2" xfId="12869"/>
    <cellStyle name="Normal 3 4 2 2 2" xfId="12870"/>
    <cellStyle name="Normal 3 4 2 2 2 2" xfId="12871"/>
    <cellStyle name="Normal 3 4 2 2 2 2 2" xfId="12872"/>
    <cellStyle name="Normal 3 4 2 2 2 3" xfId="12873"/>
    <cellStyle name="Normal 3 4 2 2 3" xfId="12874"/>
    <cellStyle name="Normal 3 4 2 3" xfId="12875"/>
    <cellStyle name="Normal 3 4 3" xfId="12876"/>
    <cellStyle name="Normal 3 4 3 2" xfId="12877"/>
    <cellStyle name="Normal 3 4 3 2 2" xfId="12878"/>
    <cellStyle name="Normal 3 4 3 3" xfId="12879"/>
    <cellStyle name="Normal 3 4 4" xfId="12880"/>
    <cellStyle name="Normal 3 4 4 2" xfId="12881"/>
    <cellStyle name="Normal 3 4 5" xfId="12882"/>
    <cellStyle name="Normal 3 4 5 2" xfId="12883"/>
    <cellStyle name="Normal 3 4 5 2 2" xfId="12884"/>
    <cellStyle name="Normal 3 4 5 3" xfId="12885"/>
    <cellStyle name="Normal 3 4 5 3 2" xfId="12886"/>
    <cellStyle name="Normal 3 4 6" xfId="12887"/>
    <cellStyle name="Normal 3 5" xfId="12888"/>
    <cellStyle name="Normal 3 5 2" xfId="12889"/>
    <cellStyle name="Normal 3 5 3" xfId="12890"/>
    <cellStyle name="Normal 3 6" xfId="12891"/>
    <cellStyle name="Normal 3 6 2" xfId="12892"/>
    <cellStyle name="Normal 3 7" xfId="12893"/>
    <cellStyle name="Normal 3 8" xfId="12894"/>
    <cellStyle name="Normal 30" xfId="12895"/>
    <cellStyle name="Normal 30 2" xfId="12896"/>
    <cellStyle name="Normal 31" xfId="12897"/>
    <cellStyle name="Normal 31 2" xfId="12898"/>
    <cellStyle name="Normal 31 3" xfId="12899"/>
    <cellStyle name="Normal 32" xfId="12900"/>
    <cellStyle name="Normal 32 2" xfId="12901"/>
    <cellStyle name="Normal 33" xfId="12902"/>
    <cellStyle name="Normal 33 2" xfId="12903"/>
    <cellStyle name="Normal 34" xfId="12904"/>
    <cellStyle name="Normal 34 2" xfId="12905"/>
    <cellStyle name="Normal 35" xfId="12906"/>
    <cellStyle name="Normal 35 2" xfId="12907"/>
    <cellStyle name="Normal 36" xfId="12908"/>
    <cellStyle name="Normal 36 2" xfId="12909"/>
    <cellStyle name="Normal 37" xfId="12910"/>
    <cellStyle name="Normal 37 2" xfId="12911"/>
    <cellStyle name="Normal 38" xfId="12912"/>
    <cellStyle name="Normal 38 2" xfId="12913"/>
    <cellStyle name="Normal 39" xfId="12914"/>
    <cellStyle name="Normal 4" xfId="12915"/>
    <cellStyle name="Normal 4 2" xfId="12916"/>
    <cellStyle name="Normal 4 2 2" xfId="12917"/>
    <cellStyle name="Normal 4 2 2 2" xfId="12918"/>
    <cellStyle name="Normal 4 2 3" xfId="12919"/>
    <cellStyle name="Normal 4 2 3 2" xfId="12920"/>
    <cellStyle name="Normal 4 2 4" xfId="12921"/>
    <cellStyle name="Normal 4 2 4 2" xfId="12922"/>
    <cellStyle name="Normal 4 2 5" xfId="12923"/>
    <cellStyle name="Normal 4 2 6" xfId="12924"/>
    <cellStyle name="Normal 4 3" xfId="12925"/>
    <cellStyle name="Normal 4 3 2" xfId="12926"/>
    <cellStyle name="Normal 4 3 2 2" xfId="12927"/>
    <cellStyle name="Normal 4 3 3" xfId="12928"/>
    <cellStyle name="Normal 4 3 3 2" xfId="12929"/>
    <cellStyle name="Normal 4 3 4" xfId="12930"/>
    <cellStyle name="Normal 4 3 5" xfId="12931"/>
    <cellStyle name="Normal 4 4" xfId="12932"/>
    <cellStyle name="Normal 4 4 2" xfId="12933"/>
    <cellStyle name="Normal 4 4 2 2" xfId="12934"/>
    <cellStyle name="Normal 4 4 3" xfId="12935"/>
    <cellStyle name="Normal 4 4 4" xfId="12936"/>
    <cellStyle name="Normal 4 5" xfId="12937"/>
    <cellStyle name="Normal 4 5 2" xfId="12938"/>
    <cellStyle name="Normal 4 5 3" xfId="12939"/>
    <cellStyle name="Normal 4 5 4" xfId="12940"/>
    <cellStyle name="Normal 4 6" xfId="12941"/>
    <cellStyle name="Normal 4 6 2" xfId="12942"/>
    <cellStyle name="Normal 4 7" xfId="12943"/>
    <cellStyle name="Normal 4 8" xfId="12944"/>
    <cellStyle name="Normal 4 9" xfId="20689"/>
    <cellStyle name="Normal 40" xfId="12945"/>
    <cellStyle name="Normal 41" xfId="12946"/>
    <cellStyle name="Normal 42" xfId="12947"/>
    <cellStyle name="Normal 43" xfId="12948"/>
    <cellStyle name="Normal 44" xfId="12949"/>
    <cellStyle name="Normal 45" xfId="12950"/>
    <cellStyle name="Normal 46" xfId="12951"/>
    <cellStyle name="Normal 46 2" xfId="12952"/>
    <cellStyle name="Normal 47" xfId="12953"/>
    <cellStyle name="Normal 47 2" xfId="12954"/>
    <cellStyle name="Normal 48" xfId="12955"/>
    <cellStyle name="Normal 48 2" xfId="12956"/>
    <cellStyle name="Normal 49" xfId="12957"/>
    <cellStyle name="Normal 5" xfId="12958"/>
    <cellStyle name="Normal 5 10" xfId="12959"/>
    <cellStyle name="Normal 5 10 2" xfId="12960"/>
    <cellStyle name="Normal 5 11" xfId="12961"/>
    <cellStyle name="Normal 5 11 2" xfId="12962"/>
    <cellStyle name="Normal 5 12" xfId="12963"/>
    <cellStyle name="Normal 5 13" xfId="12964"/>
    <cellStyle name="Normal 5 2" xfId="12965"/>
    <cellStyle name="Normal 5 2 2" xfId="12966"/>
    <cellStyle name="Normal 5 3" xfId="12967"/>
    <cellStyle name="Normal 5 3 2" xfId="12968"/>
    <cellStyle name="Normal 5 4" xfId="12969"/>
    <cellStyle name="Normal 5 4 2" xfId="12970"/>
    <cellStyle name="Normal 5 5" xfId="12971"/>
    <cellStyle name="Normal 5 5 2" xfId="12972"/>
    <cellStyle name="Normal 5 6" xfId="12973"/>
    <cellStyle name="Normal 5 6 2" xfId="12974"/>
    <cellStyle name="Normal 5 7" xfId="12975"/>
    <cellStyle name="Normal 5 7 2" xfId="12976"/>
    <cellStyle name="Normal 5 8" xfId="12977"/>
    <cellStyle name="Normal 5 8 2" xfId="12978"/>
    <cellStyle name="Normal 5 9" xfId="12979"/>
    <cellStyle name="Normal 5 9 2" xfId="12980"/>
    <cellStyle name="Normal 50" xfId="12981"/>
    <cellStyle name="Normal 51" xfId="12982"/>
    <cellStyle name="Normal 52" xfId="12983"/>
    <cellStyle name="Normal 53" xfId="12984"/>
    <cellStyle name="Normal 54" xfId="12985"/>
    <cellStyle name="Normal 55" xfId="12986"/>
    <cellStyle name="Normal 56" xfId="12987"/>
    <cellStyle name="Normal 57" xfId="12988"/>
    <cellStyle name="Normal 58" xfId="12989"/>
    <cellStyle name="Normal 59" xfId="12990"/>
    <cellStyle name="Normal 6" xfId="12991"/>
    <cellStyle name="Normal 6 10" xfId="12992"/>
    <cellStyle name="Normal 6 10 2" xfId="12993"/>
    <cellStyle name="Normal 6 11" xfId="12994"/>
    <cellStyle name="Normal 6 11 2" xfId="12995"/>
    <cellStyle name="Normal 6 12" xfId="12996"/>
    <cellStyle name="Normal 6 2" xfId="7"/>
    <cellStyle name="Normal 6 2 2" xfId="12997"/>
    <cellStyle name="Normal 6 3" xfId="12998"/>
    <cellStyle name="Normal 6 3 2" xfId="12999"/>
    <cellStyle name="Normal 6 4" xfId="13000"/>
    <cellStyle name="Normal 6 4 2" xfId="13001"/>
    <cellStyle name="Normal 6 5" xfId="13002"/>
    <cellStyle name="Normal 6 5 2" xfId="13003"/>
    <cellStyle name="Normal 6 6" xfId="13004"/>
    <cellStyle name="Normal 6 6 2" xfId="13005"/>
    <cellStyle name="Normal 6 7" xfId="13006"/>
    <cellStyle name="Normal 6 7 2" xfId="13007"/>
    <cellStyle name="Normal 6 8" xfId="13008"/>
    <cellStyle name="Normal 6 8 2" xfId="13009"/>
    <cellStyle name="Normal 6 9" xfId="13010"/>
    <cellStyle name="Normal 6 9 2" xfId="13011"/>
    <cellStyle name="Normal 60" xfId="13012"/>
    <cellStyle name="Normal 61" xfId="13013"/>
    <cellStyle name="Normal 62" xfId="13014"/>
    <cellStyle name="Normal 63" xfId="13015"/>
    <cellStyle name="Normal 64" xfId="13016"/>
    <cellStyle name="Normal 65" xfId="13017"/>
    <cellStyle name="Normal 66" xfId="13018"/>
    <cellStyle name="Normal 67" xfId="13019"/>
    <cellStyle name="Normal 68" xfId="13020"/>
    <cellStyle name="Normal 69" xfId="13021"/>
    <cellStyle name="Normal 7" xfId="13022"/>
    <cellStyle name="Normal 7 10" xfId="13023"/>
    <cellStyle name="Normal 7 10 2" xfId="13024"/>
    <cellStyle name="Normal 7 11" xfId="13025"/>
    <cellStyle name="Normal 7 11 2" xfId="13026"/>
    <cellStyle name="Normal 7 12" xfId="13027"/>
    <cellStyle name="Normal 7 13" xfId="13028"/>
    <cellStyle name="Normal 7 2" xfId="13029"/>
    <cellStyle name="Normal 7 2 2" xfId="13030"/>
    <cellStyle name="Normal 7 3" xfId="13031"/>
    <cellStyle name="Normal 7 3 2" xfId="13032"/>
    <cellStyle name="Normal 7 4" xfId="13033"/>
    <cellStyle name="Normal 7 4 2" xfId="13034"/>
    <cellStyle name="Normal 7 5" xfId="13035"/>
    <cellStyle name="Normal 7 5 2" xfId="13036"/>
    <cellStyle name="Normal 7 6" xfId="13037"/>
    <cellStyle name="Normal 7 6 2" xfId="13038"/>
    <cellStyle name="Normal 7 7" xfId="13039"/>
    <cellStyle name="Normal 7 7 2" xfId="13040"/>
    <cellStyle name="Normal 7 8" xfId="13041"/>
    <cellStyle name="Normal 7 8 2" xfId="13042"/>
    <cellStyle name="Normal 7 9" xfId="13043"/>
    <cellStyle name="Normal 7 9 2" xfId="13044"/>
    <cellStyle name="Normal 70" xfId="13045"/>
    <cellStyle name="Normal 71" xfId="13046"/>
    <cellStyle name="Normal 72" xfId="13047"/>
    <cellStyle name="Normal 73" xfId="13048"/>
    <cellStyle name="Normal 74" xfId="13049"/>
    <cellStyle name="Normal 75" xfId="13050"/>
    <cellStyle name="Normal 76" xfId="13051"/>
    <cellStyle name="Normal 77" xfId="13052"/>
    <cellStyle name="Normal 8" xfId="13053"/>
    <cellStyle name="Normal 8 10" xfId="13054"/>
    <cellStyle name="Normal 8 10 2" xfId="13055"/>
    <cellStyle name="Normal 8 11" xfId="13056"/>
    <cellStyle name="Normal 8 11 2" xfId="13057"/>
    <cellStyle name="Normal 8 12" xfId="13058"/>
    <cellStyle name="Normal 8 12 2" xfId="13059"/>
    <cellStyle name="Normal 8 13" xfId="13060"/>
    <cellStyle name="Normal 8 13 2" xfId="13061"/>
    <cellStyle name="Normal 8 14" xfId="13062"/>
    <cellStyle name="Normal 8 14 2" xfId="13063"/>
    <cellStyle name="Normal 8 15" xfId="13064"/>
    <cellStyle name="Normal 8 15 2" xfId="13065"/>
    <cellStyle name="Normal 8 16" xfId="13066"/>
    <cellStyle name="Normal 8 16 2" xfId="13067"/>
    <cellStyle name="Normal 8 17" xfId="13068"/>
    <cellStyle name="Normal 8 17 2" xfId="13069"/>
    <cellStyle name="Normal 8 18" xfId="13070"/>
    <cellStyle name="Normal 8 18 2" xfId="13071"/>
    <cellStyle name="Normal 8 19" xfId="13072"/>
    <cellStyle name="Normal 8 19 2" xfId="13073"/>
    <cellStyle name="Normal 8 2" xfId="13074"/>
    <cellStyle name="Normal 8 2 2" xfId="13075"/>
    <cellStyle name="Normal 8 20" xfId="13076"/>
    <cellStyle name="Normal 8 20 2" xfId="13077"/>
    <cellStyle name="Normal 8 21" xfId="13078"/>
    <cellStyle name="Normal 8 21 2" xfId="13079"/>
    <cellStyle name="Normal 8 22" xfId="13080"/>
    <cellStyle name="Normal 8 22 2" xfId="13081"/>
    <cellStyle name="Normal 8 23" xfId="13082"/>
    <cellStyle name="Normal 8 23 2" xfId="13083"/>
    <cellStyle name="Normal 8 24" xfId="13084"/>
    <cellStyle name="Normal 8 24 2" xfId="13085"/>
    <cellStyle name="Normal 8 25" xfId="13086"/>
    <cellStyle name="Normal 8 25 2" xfId="13087"/>
    <cellStyle name="Normal 8 26" xfId="13088"/>
    <cellStyle name="Normal 8 27" xfId="13089"/>
    <cellStyle name="Normal 8 3" xfId="13090"/>
    <cellStyle name="Normal 8 3 2" xfId="13091"/>
    <cellStyle name="Normal 8 4" xfId="13092"/>
    <cellStyle name="Normal 8 4 2" xfId="13093"/>
    <cellStyle name="Normal 8 5" xfId="13094"/>
    <cellStyle name="Normal 8 5 2" xfId="13095"/>
    <cellStyle name="Normal 8 6" xfId="13096"/>
    <cellStyle name="Normal 8 6 2" xfId="13097"/>
    <cellStyle name="Normal 8 7" xfId="13098"/>
    <cellStyle name="Normal 8 7 2" xfId="13099"/>
    <cellStyle name="Normal 8 8" xfId="13100"/>
    <cellStyle name="Normal 8 8 2" xfId="13101"/>
    <cellStyle name="Normal 8 9" xfId="13102"/>
    <cellStyle name="Normal 8 9 2" xfId="13103"/>
    <cellStyle name="Normal 9" xfId="13104"/>
    <cellStyle name="Normal 9 2" xfId="13105"/>
    <cellStyle name="Normal 9 2 2" xfId="13106"/>
    <cellStyle name="Normal 9 3" xfId="13107"/>
    <cellStyle name="Normal 9 4" xfId="13108"/>
    <cellStyle name="Normal 9 5" xfId="13109"/>
    <cellStyle name="Normal Bold" xfId="13110"/>
    <cellStyle name="Normal Bold 2" xfId="13111"/>
    <cellStyle name="Normal Bold 3" xfId="20929"/>
    <cellStyle name="Normal Bold 4" xfId="20930"/>
    <cellStyle name="Normal Bold_1x1" xfId="20931"/>
    <cellStyle name="Normal Pct" xfId="13112"/>
    <cellStyle name="Normal Pct 2" xfId="13113"/>
    <cellStyle name="Normal Pct 3" xfId="20932"/>
    <cellStyle name="Normal Pct 4" xfId="20933"/>
    <cellStyle name="Normal Pct 5" xfId="20934"/>
    <cellStyle name="Normal Pct_PKS" xfId="20935"/>
    <cellStyle name="Normal_Tetap" xfId="21010"/>
    <cellStyle name="Note 10" xfId="13114"/>
    <cellStyle name="Note 10 10" xfId="13115"/>
    <cellStyle name="Note 10 10 2" xfId="13116"/>
    <cellStyle name="Note 10 10 3" xfId="13117"/>
    <cellStyle name="Note 10 10 4" xfId="13118"/>
    <cellStyle name="Note 10 10 5" xfId="13119"/>
    <cellStyle name="Note 10 11" xfId="13120"/>
    <cellStyle name="Note 10 11 2" xfId="13121"/>
    <cellStyle name="Note 10 11 3" xfId="13122"/>
    <cellStyle name="Note 10 11 4" xfId="13123"/>
    <cellStyle name="Note 10 11 5" xfId="13124"/>
    <cellStyle name="Note 10 12" xfId="13125"/>
    <cellStyle name="Note 10 12 2" xfId="13126"/>
    <cellStyle name="Note 10 12 3" xfId="13127"/>
    <cellStyle name="Note 10 12 4" xfId="13128"/>
    <cellStyle name="Note 10 12 5" xfId="13129"/>
    <cellStyle name="Note 10 13" xfId="13130"/>
    <cellStyle name="Note 10 13 2" xfId="13131"/>
    <cellStyle name="Note 10 13 3" xfId="13132"/>
    <cellStyle name="Note 10 13 4" xfId="13133"/>
    <cellStyle name="Note 10 13 5" xfId="13134"/>
    <cellStyle name="Note 10 14" xfId="13135"/>
    <cellStyle name="Note 10 14 2" xfId="13136"/>
    <cellStyle name="Note 10 14 3" xfId="13137"/>
    <cellStyle name="Note 10 14 4" xfId="13138"/>
    <cellStyle name="Note 10 14 5" xfId="13139"/>
    <cellStyle name="Note 10 15" xfId="13140"/>
    <cellStyle name="Note 10 15 2" xfId="13141"/>
    <cellStyle name="Note 10 15 3" xfId="13142"/>
    <cellStyle name="Note 10 15 4" xfId="13143"/>
    <cellStyle name="Note 10 15 5" xfId="13144"/>
    <cellStyle name="Note 10 16" xfId="13145"/>
    <cellStyle name="Note 10 16 2" xfId="13146"/>
    <cellStyle name="Note 10 16 3" xfId="13147"/>
    <cellStyle name="Note 10 16 4" xfId="13148"/>
    <cellStyle name="Note 10 16 5" xfId="13149"/>
    <cellStyle name="Note 10 17" xfId="13150"/>
    <cellStyle name="Note 10 17 2" xfId="13151"/>
    <cellStyle name="Note 10 17 3" xfId="13152"/>
    <cellStyle name="Note 10 17 4" xfId="13153"/>
    <cellStyle name="Note 10 17 5" xfId="13154"/>
    <cellStyle name="Note 10 18" xfId="13155"/>
    <cellStyle name="Note 10 18 2" xfId="13156"/>
    <cellStyle name="Note 10 18 3" xfId="13157"/>
    <cellStyle name="Note 10 18 4" xfId="13158"/>
    <cellStyle name="Note 10 18 5" xfId="13159"/>
    <cellStyle name="Note 10 19" xfId="13160"/>
    <cellStyle name="Note 10 19 2" xfId="13161"/>
    <cellStyle name="Note 10 19 3" xfId="13162"/>
    <cellStyle name="Note 10 19 4" xfId="13163"/>
    <cellStyle name="Note 10 19 5" xfId="13164"/>
    <cellStyle name="Note 10 2" xfId="13165"/>
    <cellStyle name="Note 10 2 2" xfId="13166"/>
    <cellStyle name="Note 10 2 2 2" xfId="13167"/>
    <cellStyle name="Note 10 2 2 3" xfId="13168"/>
    <cellStyle name="Note 10 2 2 4" xfId="13169"/>
    <cellStyle name="Note 10 2 2 5" xfId="13170"/>
    <cellStyle name="Note 10 2 3" xfId="13171"/>
    <cellStyle name="Note 10 2 3 2" xfId="13172"/>
    <cellStyle name="Note 10 2 3 3" xfId="13173"/>
    <cellStyle name="Note 10 2 3 4" xfId="13174"/>
    <cellStyle name="Note 10 2 3 5" xfId="13175"/>
    <cellStyle name="Note 10 2 4" xfId="13176"/>
    <cellStyle name="Note 10 2 4 2" xfId="13177"/>
    <cellStyle name="Note 10 2 4 3" xfId="13178"/>
    <cellStyle name="Note 10 2 4 4" xfId="13179"/>
    <cellStyle name="Note 10 2 4 5" xfId="13180"/>
    <cellStyle name="Note 10 2 5" xfId="13181"/>
    <cellStyle name="Note 10 2 5 2" xfId="13182"/>
    <cellStyle name="Note 10 2 5 3" xfId="13183"/>
    <cellStyle name="Note 10 2 5 4" xfId="13184"/>
    <cellStyle name="Note 10 2 5 5" xfId="13185"/>
    <cellStyle name="Note 10 2 6" xfId="13186"/>
    <cellStyle name="Note 10 2 7" xfId="13187"/>
    <cellStyle name="Note 10 2 8" xfId="13188"/>
    <cellStyle name="Note 10 2 9" xfId="13189"/>
    <cellStyle name="Note 10 20" xfId="13190"/>
    <cellStyle name="Note 10 20 2" xfId="13191"/>
    <cellStyle name="Note 10 20 3" xfId="13192"/>
    <cellStyle name="Note 10 20 4" xfId="13193"/>
    <cellStyle name="Note 10 20 5" xfId="13194"/>
    <cellStyle name="Note 10 21" xfId="13195"/>
    <cellStyle name="Note 10 21 2" xfId="13196"/>
    <cellStyle name="Note 10 21 3" xfId="13197"/>
    <cellStyle name="Note 10 21 4" xfId="13198"/>
    <cellStyle name="Note 10 21 5" xfId="13199"/>
    <cellStyle name="Note 10 22" xfId="13200"/>
    <cellStyle name="Note 10 22 2" xfId="13201"/>
    <cellStyle name="Note 10 22 3" xfId="13202"/>
    <cellStyle name="Note 10 22 4" xfId="13203"/>
    <cellStyle name="Note 10 22 5" xfId="13204"/>
    <cellStyle name="Note 10 23" xfId="13205"/>
    <cellStyle name="Note 10 23 2" xfId="13206"/>
    <cellStyle name="Note 10 23 3" xfId="13207"/>
    <cellStyle name="Note 10 23 4" xfId="13208"/>
    <cellStyle name="Note 10 23 5" xfId="13209"/>
    <cellStyle name="Note 10 24" xfId="13210"/>
    <cellStyle name="Note 10 24 2" xfId="13211"/>
    <cellStyle name="Note 10 24 3" xfId="13212"/>
    <cellStyle name="Note 10 24 4" xfId="13213"/>
    <cellStyle name="Note 10 24 5" xfId="13214"/>
    <cellStyle name="Note 10 25" xfId="13215"/>
    <cellStyle name="Note 10 25 2" xfId="13216"/>
    <cellStyle name="Note 10 25 3" xfId="13217"/>
    <cellStyle name="Note 10 25 4" xfId="13218"/>
    <cellStyle name="Note 10 25 5" xfId="13219"/>
    <cellStyle name="Note 10 26" xfId="13220"/>
    <cellStyle name="Note 10 26 2" xfId="13221"/>
    <cellStyle name="Note 10 26 3" xfId="13222"/>
    <cellStyle name="Note 10 26 4" xfId="13223"/>
    <cellStyle name="Note 10 26 5" xfId="13224"/>
    <cellStyle name="Note 10 27" xfId="13225"/>
    <cellStyle name="Note 10 27 2" xfId="13226"/>
    <cellStyle name="Note 10 27 3" xfId="13227"/>
    <cellStyle name="Note 10 27 4" xfId="13228"/>
    <cellStyle name="Note 10 27 5" xfId="13229"/>
    <cellStyle name="Note 10 28" xfId="13230"/>
    <cellStyle name="Note 10 28 2" xfId="13231"/>
    <cellStyle name="Note 10 28 3" xfId="13232"/>
    <cellStyle name="Note 10 28 4" xfId="13233"/>
    <cellStyle name="Note 10 28 5" xfId="13234"/>
    <cellStyle name="Note 10 29" xfId="13235"/>
    <cellStyle name="Note 10 29 2" xfId="13236"/>
    <cellStyle name="Note 10 29 3" xfId="13237"/>
    <cellStyle name="Note 10 29 4" xfId="13238"/>
    <cellStyle name="Note 10 29 5" xfId="13239"/>
    <cellStyle name="Note 10 3" xfId="13240"/>
    <cellStyle name="Note 10 3 2" xfId="13241"/>
    <cellStyle name="Note 10 3 3" xfId="13242"/>
    <cellStyle name="Note 10 3 4" xfId="13243"/>
    <cellStyle name="Note 10 3 5" xfId="13244"/>
    <cellStyle name="Note 10 30" xfId="13245"/>
    <cellStyle name="Note 10 30 2" xfId="13246"/>
    <cellStyle name="Note 10 30 3" xfId="13247"/>
    <cellStyle name="Note 10 30 4" xfId="13248"/>
    <cellStyle name="Note 10 30 5" xfId="13249"/>
    <cellStyle name="Note 10 31" xfId="13250"/>
    <cellStyle name="Note 10 31 2" xfId="13251"/>
    <cellStyle name="Note 10 31 3" xfId="13252"/>
    <cellStyle name="Note 10 31 4" xfId="13253"/>
    <cellStyle name="Note 10 31 5" xfId="13254"/>
    <cellStyle name="Note 10 32" xfId="13255"/>
    <cellStyle name="Note 10 32 2" xfId="13256"/>
    <cellStyle name="Note 10 32 3" xfId="13257"/>
    <cellStyle name="Note 10 32 4" xfId="13258"/>
    <cellStyle name="Note 10 32 5" xfId="13259"/>
    <cellStyle name="Note 10 33" xfId="13260"/>
    <cellStyle name="Note 10 33 2" xfId="13261"/>
    <cellStyle name="Note 10 33 3" xfId="13262"/>
    <cellStyle name="Note 10 34" xfId="13263"/>
    <cellStyle name="Note 10 35" xfId="13264"/>
    <cellStyle name="Note 10 36" xfId="13265"/>
    <cellStyle name="Note 10 37" xfId="13266"/>
    <cellStyle name="Note 10 38" xfId="13267"/>
    <cellStyle name="Note 10 39" xfId="13268"/>
    <cellStyle name="Note 10 4" xfId="13269"/>
    <cellStyle name="Note 10 4 2" xfId="13270"/>
    <cellStyle name="Note 10 4 3" xfId="13271"/>
    <cellStyle name="Note 10 4 4" xfId="13272"/>
    <cellStyle name="Note 10 4 5" xfId="13273"/>
    <cellStyle name="Note 10 40" xfId="13274"/>
    <cellStyle name="Note 10 41" xfId="13275"/>
    <cellStyle name="Note 10 42" xfId="13276"/>
    <cellStyle name="Note 10 43" xfId="13277"/>
    <cellStyle name="Note 10 44" xfId="13278"/>
    <cellStyle name="Note 10 45" xfId="13279"/>
    <cellStyle name="Note 10 46" xfId="13280"/>
    <cellStyle name="Note 10 47" xfId="13281"/>
    <cellStyle name="Note 10 48" xfId="13282"/>
    <cellStyle name="Note 10 49" xfId="13283"/>
    <cellStyle name="Note 10 5" xfId="13284"/>
    <cellStyle name="Note 10 5 2" xfId="13285"/>
    <cellStyle name="Note 10 5 3" xfId="13286"/>
    <cellStyle name="Note 10 5 4" xfId="13287"/>
    <cellStyle name="Note 10 5 5" xfId="13288"/>
    <cellStyle name="Note 10 50" xfId="13289"/>
    <cellStyle name="Note 10 51" xfId="13290"/>
    <cellStyle name="Note 10 52" xfId="13291"/>
    <cellStyle name="Note 10 53" xfId="13292"/>
    <cellStyle name="Note 10 54" xfId="13293"/>
    <cellStyle name="Note 10 55" xfId="13294"/>
    <cellStyle name="Note 10 56" xfId="13295"/>
    <cellStyle name="Note 10 57" xfId="13296"/>
    <cellStyle name="Note 10 58" xfId="13297"/>
    <cellStyle name="Note 10 59" xfId="13298"/>
    <cellStyle name="Note 10 6" xfId="13299"/>
    <cellStyle name="Note 10 6 2" xfId="13300"/>
    <cellStyle name="Note 10 6 3" xfId="13301"/>
    <cellStyle name="Note 10 6 4" xfId="13302"/>
    <cellStyle name="Note 10 6 5" xfId="13303"/>
    <cellStyle name="Note 10 60" xfId="13304"/>
    <cellStyle name="Note 10 61" xfId="13305"/>
    <cellStyle name="Note 10 62" xfId="13306"/>
    <cellStyle name="Note 10 63" xfId="13307"/>
    <cellStyle name="Note 10 64" xfId="13308"/>
    <cellStyle name="Note 10 65" xfId="13309"/>
    <cellStyle name="Note 10 66" xfId="13310"/>
    <cellStyle name="Note 10 67" xfId="13311"/>
    <cellStyle name="Note 10 68" xfId="13312"/>
    <cellStyle name="Note 10 7" xfId="13313"/>
    <cellStyle name="Note 10 7 2" xfId="13314"/>
    <cellStyle name="Note 10 7 3" xfId="13315"/>
    <cellStyle name="Note 10 7 4" xfId="13316"/>
    <cellStyle name="Note 10 7 5" xfId="13317"/>
    <cellStyle name="Note 10 8" xfId="13318"/>
    <cellStyle name="Note 10 8 2" xfId="13319"/>
    <cellStyle name="Note 10 8 3" xfId="13320"/>
    <cellStyle name="Note 10 8 4" xfId="13321"/>
    <cellStyle name="Note 10 8 5" xfId="13322"/>
    <cellStyle name="Note 10 9" xfId="13323"/>
    <cellStyle name="Note 10 9 2" xfId="13324"/>
    <cellStyle name="Note 10 9 3" xfId="13325"/>
    <cellStyle name="Note 10 9 4" xfId="13326"/>
    <cellStyle name="Note 10 9 5" xfId="13327"/>
    <cellStyle name="Note 11" xfId="13328"/>
    <cellStyle name="Note 11 10" xfId="13329"/>
    <cellStyle name="Note 11 10 2" xfId="13330"/>
    <cellStyle name="Note 11 10 3" xfId="13331"/>
    <cellStyle name="Note 11 10 4" xfId="13332"/>
    <cellStyle name="Note 11 10 5" xfId="13333"/>
    <cellStyle name="Note 11 11" xfId="13334"/>
    <cellStyle name="Note 11 11 2" xfId="13335"/>
    <cellStyle name="Note 11 11 3" xfId="13336"/>
    <cellStyle name="Note 11 11 4" xfId="13337"/>
    <cellStyle name="Note 11 11 5" xfId="13338"/>
    <cellStyle name="Note 11 12" xfId="13339"/>
    <cellStyle name="Note 11 12 2" xfId="13340"/>
    <cellStyle name="Note 11 12 3" xfId="13341"/>
    <cellStyle name="Note 11 12 4" xfId="13342"/>
    <cellStyle name="Note 11 12 5" xfId="13343"/>
    <cellStyle name="Note 11 13" xfId="13344"/>
    <cellStyle name="Note 11 13 2" xfId="13345"/>
    <cellStyle name="Note 11 13 3" xfId="13346"/>
    <cellStyle name="Note 11 13 4" xfId="13347"/>
    <cellStyle name="Note 11 13 5" xfId="13348"/>
    <cellStyle name="Note 11 14" xfId="13349"/>
    <cellStyle name="Note 11 14 2" xfId="13350"/>
    <cellStyle name="Note 11 14 3" xfId="13351"/>
    <cellStyle name="Note 11 14 4" xfId="13352"/>
    <cellStyle name="Note 11 14 5" xfId="13353"/>
    <cellStyle name="Note 11 15" xfId="13354"/>
    <cellStyle name="Note 11 15 2" xfId="13355"/>
    <cellStyle name="Note 11 15 3" xfId="13356"/>
    <cellStyle name="Note 11 15 4" xfId="13357"/>
    <cellStyle name="Note 11 15 5" xfId="13358"/>
    <cellStyle name="Note 11 16" xfId="13359"/>
    <cellStyle name="Note 11 16 2" xfId="13360"/>
    <cellStyle name="Note 11 16 3" xfId="13361"/>
    <cellStyle name="Note 11 16 4" xfId="13362"/>
    <cellStyle name="Note 11 16 5" xfId="13363"/>
    <cellStyle name="Note 11 17" xfId="13364"/>
    <cellStyle name="Note 11 17 2" xfId="13365"/>
    <cellStyle name="Note 11 17 3" xfId="13366"/>
    <cellStyle name="Note 11 17 4" xfId="13367"/>
    <cellStyle name="Note 11 17 5" xfId="13368"/>
    <cellStyle name="Note 11 18" xfId="13369"/>
    <cellStyle name="Note 11 18 2" xfId="13370"/>
    <cellStyle name="Note 11 18 3" xfId="13371"/>
    <cellStyle name="Note 11 18 4" xfId="13372"/>
    <cellStyle name="Note 11 18 5" xfId="13373"/>
    <cellStyle name="Note 11 19" xfId="13374"/>
    <cellStyle name="Note 11 19 2" xfId="13375"/>
    <cellStyle name="Note 11 19 3" xfId="13376"/>
    <cellStyle name="Note 11 19 4" xfId="13377"/>
    <cellStyle name="Note 11 19 5" xfId="13378"/>
    <cellStyle name="Note 11 2" xfId="13379"/>
    <cellStyle name="Note 11 2 2" xfId="13380"/>
    <cellStyle name="Note 11 2 2 2" xfId="13381"/>
    <cellStyle name="Note 11 2 2 3" xfId="13382"/>
    <cellStyle name="Note 11 2 2 4" xfId="13383"/>
    <cellStyle name="Note 11 2 2 5" xfId="13384"/>
    <cellStyle name="Note 11 2 3" xfId="13385"/>
    <cellStyle name="Note 11 2 3 2" xfId="13386"/>
    <cellStyle name="Note 11 2 3 3" xfId="13387"/>
    <cellStyle name="Note 11 2 3 4" xfId="13388"/>
    <cellStyle name="Note 11 2 3 5" xfId="13389"/>
    <cellStyle name="Note 11 2 4" xfId="13390"/>
    <cellStyle name="Note 11 2 4 2" xfId="13391"/>
    <cellStyle name="Note 11 2 4 3" xfId="13392"/>
    <cellStyle name="Note 11 2 4 4" xfId="13393"/>
    <cellStyle name="Note 11 2 4 5" xfId="13394"/>
    <cellStyle name="Note 11 2 5" xfId="13395"/>
    <cellStyle name="Note 11 2 5 2" xfId="13396"/>
    <cellStyle name="Note 11 2 5 3" xfId="13397"/>
    <cellStyle name="Note 11 2 5 4" xfId="13398"/>
    <cellStyle name="Note 11 2 5 5" xfId="13399"/>
    <cellStyle name="Note 11 2 6" xfId="13400"/>
    <cellStyle name="Note 11 2 7" xfId="13401"/>
    <cellStyle name="Note 11 2 8" xfId="13402"/>
    <cellStyle name="Note 11 2 9" xfId="13403"/>
    <cellStyle name="Note 11 20" xfId="13404"/>
    <cellStyle name="Note 11 20 2" xfId="13405"/>
    <cellStyle name="Note 11 20 3" xfId="13406"/>
    <cellStyle name="Note 11 20 4" xfId="13407"/>
    <cellStyle name="Note 11 20 5" xfId="13408"/>
    <cellStyle name="Note 11 21" xfId="13409"/>
    <cellStyle name="Note 11 21 2" xfId="13410"/>
    <cellStyle name="Note 11 21 3" xfId="13411"/>
    <cellStyle name="Note 11 21 4" xfId="13412"/>
    <cellStyle name="Note 11 21 5" xfId="13413"/>
    <cellStyle name="Note 11 22" xfId="13414"/>
    <cellStyle name="Note 11 22 2" xfId="13415"/>
    <cellStyle name="Note 11 22 3" xfId="13416"/>
    <cellStyle name="Note 11 22 4" xfId="13417"/>
    <cellStyle name="Note 11 22 5" xfId="13418"/>
    <cellStyle name="Note 11 23" xfId="13419"/>
    <cellStyle name="Note 11 23 2" xfId="13420"/>
    <cellStyle name="Note 11 23 3" xfId="13421"/>
    <cellStyle name="Note 11 23 4" xfId="13422"/>
    <cellStyle name="Note 11 23 5" xfId="13423"/>
    <cellStyle name="Note 11 24" xfId="13424"/>
    <cellStyle name="Note 11 24 2" xfId="13425"/>
    <cellStyle name="Note 11 24 3" xfId="13426"/>
    <cellStyle name="Note 11 24 4" xfId="13427"/>
    <cellStyle name="Note 11 24 5" xfId="13428"/>
    <cellStyle name="Note 11 25" xfId="13429"/>
    <cellStyle name="Note 11 25 2" xfId="13430"/>
    <cellStyle name="Note 11 25 3" xfId="13431"/>
    <cellStyle name="Note 11 25 4" xfId="13432"/>
    <cellStyle name="Note 11 25 5" xfId="13433"/>
    <cellStyle name="Note 11 26" xfId="13434"/>
    <cellStyle name="Note 11 26 2" xfId="13435"/>
    <cellStyle name="Note 11 26 3" xfId="13436"/>
    <cellStyle name="Note 11 26 4" xfId="13437"/>
    <cellStyle name="Note 11 26 5" xfId="13438"/>
    <cellStyle name="Note 11 27" xfId="13439"/>
    <cellStyle name="Note 11 27 2" xfId="13440"/>
    <cellStyle name="Note 11 27 3" xfId="13441"/>
    <cellStyle name="Note 11 27 4" xfId="13442"/>
    <cellStyle name="Note 11 27 5" xfId="13443"/>
    <cellStyle name="Note 11 28" xfId="13444"/>
    <cellStyle name="Note 11 28 2" xfId="13445"/>
    <cellStyle name="Note 11 28 3" xfId="13446"/>
    <cellStyle name="Note 11 28 4" xfId="13447"/>
    <cellStyle name="Note 11 28 5" xfId="13448"/>
    <cellStyle name="Note 11 29" xfId="13449"/>
    <cellStyle name="Note 11 29 2" xfId="13450"/>
    <cellStyle name="Note 11 29 3" xfId="13451"/>
    <cellStyle name="Note 11 29 4" xfId="13452"/>
    <cellStyle name="Note 11 29 5" xfId="13453"/>
    <cellStyle name="Note 11 3" xfId="13454"/>
    <cellStyle name="Note 11 3 2" xfId="13455"/>
    <cellStyle name="Note 11 3 3" xfId="13456"/>
    <cellStyle name="Note 11 3 4" xfId="13457"/>
    <cellStyle name="Note 11 3 5" xfId="13458"/>
    <cellStyle name="Note 11 30" xfId="13459"/>
    <cellStyle name="Note 11 30 2" xfId="13460"/>
    <cellStyle name="Note 11 30 3" xfId="13461"/>
    <cellStyle name="Note 11 30 4" xfId="13462"/>
    <cellStyle name="Note 11 30 5" xfId="13463"/>
    <cellStyle name="Note 11 31" xfId="13464"/>
    <cellStyle name="Note 11 31 2" xfId="13465"/>
    <cellStyle name="Note 11 31 3" xfId="13466"/>
    <cellStyle name="Note 11 31 4" xfId="13467"/>
    <cellStyle name="Note 11 31 5" xfId="13468"/>
    <cellStyle name="Note 11 32" xfId="13469"/>
    <cellStyle name="Note 11 32 2" xfId="13470"/>
    <cellStyle name="Note 11 32 3" xfId="13471"/>
    <cellStyle name="Note 11 32 4" xfId="13472"/>
    <cellStyle name="Note 11 32 5" xfId="13473"/>
    <cellStyle name="Note 11 33" xfId="13474"/>
    <cellStyle name="Note 11 33 2" xfId="13475"/>
    <cellStyle name="Note 11 33 3" xfId="13476"/>
    <cellStyle name="Note 11 34" xfId="13477"/>
    <cellStyle name="Note 11 35" xfId="13478"/>
    <cellStyle name="Note 11 36" xfId="13479"/>
    <cellStyle name="Note 11 37" xfId="13480"/>
    <cellStyle name="Note 11 38" xfId="13481"/>
    <cellStyle name="Note 11 39" xfId="13482"/>
    <cellStyle name="Note 11 4" xfId="13483"/>
    <cellStyle name="Note 11 4 2" xfId="13484"/>
    <cellStyle name="Note 11 4 3" xfId="13485"/>
    <cellStyle name="Note 11 4 4" xfId="13486"/>
    <cellStyle name="Note 11 4 5" xfId="13487"/>
    <cellStyle name="Note 11 40" xfId="13488"/>
    <cellStyle name="Note 11 41" xfId="13489"/>
    <cellStyle name="Note 11 42" xfId="13490"/>
    <cellStyle name="Note 11 43" xfId="13491"/>
    <cellStyle name="Note 11 44" xfId="13492"/>
    <cellStyle name="Note 11 45" xfId="13493"/>
    <cellStyle name="Note 11 46" xfId="13494"/>
    <cellStyle name="Note 11 47" xfId="13495"/>
    <cellStyle name="Note 11 48" xfId="13496"/>
    <cellStyle name="Note 11 49" xfId="13497"/>
    <cellStyle name="Note 11 5" xfId="13498"/>
    <cellStyle name="Note 11 5 2" xfId="13499"/>
    <cellStyle name="Note 11 5 3" xfId="13500"/>
    <cellStyle name="Note 11 5 4" xfId="13501"/>
    <cellStyle name="Note 11 5 5" xfId="13502"/>
    <cellStyle name="Note 11 50" xfId="13503"/>
    <cellStyle name="Note 11 51" xfId="13504"/>
    <cellStyle name="Note 11 52" xfId="13505"/>
    <cellStyle name="Note 11 53" xfId="13506"/>
    <cellStyle name="Note 11 54" xfId="13507"/>
    <cellStyle name="Note 11 55" xfId="13508"/>
    <cellStyle name="Note 11 56" xfId="13509"/>
    <cellStyle name="Note 11 57" xfId="13510"/>
    <cellStyle name="Note 11 58" xfId="13511"/>
    <cellStyle name="Note 11 59" xfId="13512"/>
    <cellStyle name="Note 11 6" xfId="13513"/>
    <cellStyle name="Note 11 6 2" xfId="13514"/>
    <cellStyle name="Note 11 6 3" xfId="13515"/>
    <cellStyle name="Note 11 6 4" xfId="13516"/>
    <cellStyle name="Note 11 6 5" xfId="13517"/>
    <cellStyle name="Note 11 60" xfId="13518"/>
    <cellStyle name="Note 11 61" xfId="13519"/>
    <cellStyle name="Note 11 62" xfId="13520"/>
    <cellStyle name="Note 11 63" xfId="13521"/>
    <cellStyle name="Note 11 64" xfId="13522"/>
    <cellStyle name="Note 11 65" xfId="13523"/>
    <cellStyle name="Note 11 66" xfId="13524"/>
    <cellStyle name="Note 11 67" xfId="13525"/>
    <cellStyle name="Note 11 68" xfId="13526"/>
    <cellStyle name="Note 11 7" xfId="13527"/>
    <cellStyle name="Note 11 7 2" xfId="13528"/>
    <cellStyle name="Note 11 7 3" xfId="13529"/>
    <cellStyle name="Note 11 7 4" xfId="13530"/>
    <cellStyle name="Note 11 7 5" xfId="13531"/>
    <cellStyle name="Note 11 8" xfId="13532"/>
    <cellStyle name="Note 11 8 2" xfId="13533"/>
    <cellStyle name="Note 11 8 3" xfId="13534"/>
    <cellStyle name="Note 11 8 4" xfId="13535"/>
    <cellStyle name="Note 11 8 5" xfId="13536"/>
    <cellStyle name="Note 11 9" xfId="13537"/>
    <cellStyle name="Note 11 9 2" xfId="13538"/>
    <cellStyle name="Note 11 9 3" xfId="13539"/>
    <cellStyle name="Note 11 9 4" xfId="13540"/>
    <cellStyle name="Note 11 9 5" xfId="13541"/>
    <cellStyle name="Note 2" xfId="13542"/>
    <cellStyle name="Note 2 10" xfId="13543"/>
    <cellStyle name="Note 2 10 2" xfId="13544"/>
    <cellStyle name="Note 2 10 3" xfId="13545"/>
    <cellStyle name="Note 2 10 4" xfId="13546"/>
    <cellStyle name="Note 2 10 5" xfId="13547"/>
    <cellStyle name="Note 2 11" xfId="13548"/>
    <cellStyle name="Note 2 11 2" xfId="13549"/>
    <cellStyle name="Note 2 11 3" xfId="13550"/>
    <cellStyle name="Note 2 11 4" xfId="13551"/>
    <cellStyle name="Note 2 11 5" xfId="13552"/>
    <cellStyle name="Note 2 12" xfId="13553"/>
    <cellStyle name="Note 2 12 2" xfId="13554"/>
    <cellStyle name="Note 2 12 3" xfId="13555"/>
    <cellStyle name="Note 2 12 4" xfId="13556"/>
    <cellStyle name="Note 2 12 5" xfId="13557"/>
    <cellStyle name="Note 2 13" xfId="13558"/>
    <cellStyle name="Note 2 13 2" xfId="13559"/>
    <cellStyle name="Note 2 13 3" xfId="13560"/>
    <cellStyle name="Note 2 13 4" xfId="13561"/>
    <cellStyle name="Note 2 13 5" xfId="13562"/>
    <cellStyle name="Note 2 14" xfId="13563"/>
    <cellStyle name="Note 2 14 2" xfId="13564"/>
    <cellStyle name="Note 2 14 3" xfId="13565"/>
    <cellStyle name="Note 2 14 4" xfId="13566"/>
    <cellStyle name="Note 2 14 5" xfId="13567"/>
    <cellStyle name="Note 2 15" xfId="13568"/>
    <cellStyle name="Note 2 15 2" xfId="13569"/>
    <cellStyle name="Note 2 15 3" xfId="13570"/>
    <cellStyle name="Note 2 15 4" xfId="13571"/>
    <cellStyle name="Note 2 15 5" xfId="13572"/>
    <cellStyle name="Note 2 16" xfId="13573"/>
    <cellStyle name="Note 2 16 2" xfId="13574"/>
    <cellStyle name="Note 2 16 3" xfId="13575"/>
    <cellStyle name="Note 2 16 4" xfId="13576"/>
    <cellStyle name="Note 2 16 5" xfId="13577"/>
    <cellStyle name="Note 2 17" xfId="13578"/>
    <cellStyle name="Note 2 17 2" xfId="13579"/>
    <cellStyle name="Note 2 17 3" xfId="13580"/>
    <cellStyle name="Note 2 17 4" xfId="13581"/>
    <cellStyle name="Note 2 17 5" xfId="13582"/>
    <cellStyle name="Note 2 18" xfId="13583"/>
    <cellStyle name="Note 2 18 2" xfId="13584"/>
    <cellStyle name="Note 2 18 3" xfId="13585"/>
    <cellStyle name="Note 2 18 4" xfId="13586"/>
    <cellStyle name="Note 2 18 5" xfId="13587"/>
    <cellStyle name="Note 2 19" xfId="13588"/>
    <cellStyle name="Note 2 19 2" xfId="13589"/>
    <cellStyle name="Note 2 19 3" xfId="13590"/>
    <cellStyle name="Note 2 19 4" xfId="13591"/>
    <cellStyle name="Note 2 19 5" xfId="13592"/>
    <cellStyle name="Note 2 2" xfId="13593"/>
    <cellStyle name="Note 2 2 2" xfId="13594"/>
    <cellStyle name="Note 2 2 2 2" xfId="13595"/>
    <cellStyle name="Note 2 2 2 3" xfId="13596"/>
    <cellStyle name="Note 2 2 2 4" xfId="13597"/>
    <cellStyle name="Note 2 2 2 5" xfId="13598"/>
    <cellStyle name="Note 2 2 3" xfId="13599"/>
    <cellStyle name="Note 2 2 3 2" xfId="13600"/>
    <cellStyle name="Note 2 2 3 3" xfId="13601"/>
    <cellStyle name="Note 2 2 3 4" xfId="13602"/>
    <cellStyle name="Note 2 2 3 5" xfId="13603"/>
    <cellStyle name="Note 2 2 4" xfId="13604"/>
    <cellStyle name="Note 2 2 4 2" xfId="13605"/>
    <cellStyle name="Note 2 2 4 3" xfId="13606"/>
    <cellStyle name="Note 2 2 4 4" xfId="13607"/>
    <cellStyle name="Note 2 2 4 5" xfId="13608"/>
    <cellStyle name="Note 2 2 5" xfId="13609"/>
    <cellStyle name="Note 2 2 5 2" xfId="13610"/>
    <cellStyle name="Note 2 2 5 3" xfId="13611"/>
    <cellStyle name="Note 2 2 5 4" xfId="13612"/>
    <cellStyle name="Note 2 2 5 5" xfId="13613"/>
    <cellStyle name="Note 2 2 6" xfId="13614"/>
    <cellStyle name="Note 2 2 7" xfId="13615"/>
    <cellStyle name="Note 2 2 8" xfId="13616"/>
    <cellStyle name="Note 2 2 9" xfId="13617"/>
    <cellStyle name="Note 2 20" xfId="13618"/>
    <cellStyle name="Note 2 20 2" xfId="13619"/>
    <cellStyle name="Note 2 20 3" xfId="13620"/>
    <cellStyle name="Note 2 20 4" xfId="13621"/>
    <cellStyle name="Note 2 20 5" xfId="13622"/>
    <cellStyle name="Note 2 21" xfId="13623"/>
    <cellStyle name="Note 2 21 2" xfId="13624"/>
    <cellStyle name="Note 2 21 3" xfId="13625"/>
    <cellStyle name="Note 2 21 4" xfId="13626"/>
    <cellStyle name="Note 2 21 5" xfId="13627"/>
    <cellStyle name="Note 2 22" xfId="13628"/>
    <cellStyle name="Note 2 22 2" xfId="13629"/>
    <cellStyle name="Note 2 22 3" xfId="13630"/>
    <cellStyle name="Note 2 22 4" xfId="13631"/>
    <cellStyle name="Note 2 22 5" xfId="13632"/>
    <cellStyle name="Note 2 23" xfId="13633"/>
    <cellStyle name="Note 2 23 2" xfId="13634"/>
    <cellStyle name="Note 2 23 3" xfId="13635"/>
    <cellStyle name="Note 2 23 4" xfId="13636"/>
    <cellStyle name="Note 2 23 5" xfId="13637"/>
    <cellStyle name="Note 2 24" xfId="13638"/>
    <cellStyle name="Note 2 24 2" xfId="13639"/>
    <cellStyle name="Note 2 24 3" xfId="13640"/>
    <cellStyle name="Note 2 24 4" xfId="13641"/>
    <cellStyle name="Note 2 24 5" xfId="13642"/>
    <cellStyle name="Note 2 25" xfId="13643"/>
    <cellStyle name="Note 2 25 2" xfId="13644"/>
    <cellStyle name="Note 2 25 3" xfId="13645"/>
    <cellStyle name="Note 2 25 4" xfId="13646"/>
    <cellStyle name="Note 2 25 5" xfId="13647"/>
    <cellStyle name="Note 2 26" xfId="13648"/>
    <cellStyle name="Note 2 26 2" xfId="13649"/>
    <cellStyle name="Note 2 26 3" xfId="13650"/>
    <cellStyle name="Note 2 26 4" xfId="13651"/>
    <cellStyle name="Note 2 26 5" xfId="13652"/>
    <cellStyle name="Note 2 27" xfId="13653"/>
    <cellStyle name="Note 2 27 2" xfId="13654"/>
    <cellStyle name="Note 2 27 3" xfId="13655"/>
    <cellStyle name="Note 2 27 4" xfId="13656"/>
    <cellStyle name="Note 2 27 5" xfId="13657"/>
    <cellStyle name="Note 2 28" xfId="13658"/>
    <cellStyle name="Note 2 28 2" xfId="13659"/>
    <cellStyle name="Note 2 28 3" xfId="13660"/>
    <cellStyle name="Note 2 28 4" xfId="13661"/>
    <cellStyle name="Note 2 28 5" xfId="13662"/>
    <cellStyle name="Note 2 29" xfId="13663"/>
    <cellStyle name="Note 2 29 2" xfId="13664"/>
    <cellStyle name="Note 2 29 3" xfId="13665"/>
    <cellStyle name="Note 2 29 4" xfId="13666"/>
    <cellStyle name="Note 2 29 5" xfId="13667"/>
    <cellStyle name="Note 2 3" xfId="13668"/>
    <cellStyle name="Note 2 3 2" xfId="13669"/>
    <cellStyle name="Note 2 3 3" xfId="13670"/>
    <cellStyle name="Note 2 3 4" xfId="13671"/>
    <cellStyle name="Note 2 3 5" xfId="13672"/>
    <cellStyle name="Note 2 30" xfId="13673"/>
    <cellStyle name="Note 2 30 2" xfId="13674"/>
    <cellStyle name="Note 2 30 3" xfId="13675"/>
    <cellStyle name="Note 2 30 4" xfId="13676"/>
    <cellStyle name="Note 2 30 5" xfId="13677"/>
    <cellStyle name="Note 2 31" xfId="13678"/>
    <cellStyle name="Note 2 31 2" xfId="13679"/>
    <cellStyle name="Note 2 31 3" xfId="13680"/>
    <cellStyle name="Note 2 31 4" xfId="13681"/>
    <cellStyle name="Note 2 31 5" xfId="13682"/>
    <cellStyle name="Note 2 32" xfId="13683"/>
    <cellStyle name="Note 2 32 2" xfId="13684"/>
    <cellStyle name="Note 2 32 3" xfId="13685"/>
    <cellStyle name="Note 2 32 4" xfId="13686"/>
    <cellStyle name="Note 2 32 5" xfId="13687"/>
    <cellStyle name="Note 2 33" xfId="13688"/>
    <cellStyle name="Note 2 33 2" xfId="13689"/>
    <cellStyle name="Note 2 33 3" xfId="13690"/>
    <cellStyle name="Note 2 34" xfId="13691"/>
    <cellStyle name="Note 2 35" xfId="13692"/>
    <cellStyle name="Note 2 36" xfId="13693"/>
    <cellStyle name="Note 2 37" xfId="13694"/>
    <cellStyle name="Note 2 38" xfId="13695"/>
    <cellStyle name="Note 2 39" xfId="13696"/>
    <cellStyle name="Note 2 4" xfId="13697"/>
    <cellStyle name="Note 2 4 2" xfId="13698"/>
    <cellStyle name="Note 2 4 3" xfId="13699"/>
    <cellStyle name="Note 2 4 4" xfId="13700"/>
    <cellStyle name="Note 2 4 5" xfId="13701"/>
    <cellStyle name="Note 2 40" xfId="13702"/>
    <cellStyle name="Note 2 41" xfId="13703"/>
    <cellStyle name="Note 2 42" xfId="13704"/>
    <cellStyle name="Note 2 43" xfId="13705"/>
    <cellStyle name="Note 2 44" xfId="13706"/>
    <cellStyle name="Note 2 45" xfId="13707"/>
    <cellStyle name="Note 2 46" xfId="13708"/>
    <cellStyle name="Note 2 47" xfId="13709"/>
    <cellStyle name="Note 2 48" xfId="13710"/>
    <cellStyle name="Note 2 49" xfId="13711"/>
    <cellStyle name="Note 2 5" xfId="13712"/>
    <cellStyle name="Note 2 5 2" xfId="13713"/>
    <cellStyle name="Note 2 5 3" xfId="13714"/>
    <cellStyle name="Note 2 5 4" xfId="13715"/>
    <cellStyle name="Note 2 5 5" xfId="13716"/>
    <cellStyle name="Note 2 50" xfId="13717"/>
    <cellStyle name="Note 2 51" xfId="13718"/>
    <cellStyle name="Note 2 52" xfId="13719"/>
    <cellStyle name="Note 2 53" xfId="13720"/>
    <cellStyle name="Note 2 54" xfId="13721"/>
    <cellStyle name="Note 2 55" xfId="13722"/>
    <cellStyle name="Note 2 56" xfId="13723"/>
    <cellStyle name="Note 2 57" xfId="13724"/>
    <cellStyle name="Note 2 58" xfId="13725"/>
    <cellStyle name="Note 2 59" xfId="13726"/>
    <cellStyle name="Note 2 6" xfId="13727"/>
    <cellStyle name="Note 2 6 2" xfId="13728"/>
    <cellStyle name="Note 2 6 3" xfId="13729"/>
    <cellStyle name="Note 2 6 4" xfId="13730"/>
    <cellStyle name="Note 2 6 5" xfId="13731"/>
    <cellStyle name="Note 2 60" xfId="13732"/>
    <cellStyle name="Note 2 61" xfId="13733"/>
    <cellStyle name="Note 2 62" xfId="13734"/>
    <cellStyle name="Note 2 63" xfId="13735"/>
    <cellStyle name="Note 2 64" xfId="13736"/>
    <cellStyle name="Note 2 65" xfId="13737"/>
    <cellStyle name="Note 2 66" xfId="13738"/>
    <cellStyle name="Note 2 67" xfId="13739"/>
    <cellStyle name="Note 2 68" xfId="13740"/>
    <cellStyle name="Note 2 7" xfId="13741"/>
    <cellStyle name="Note 2 7 2" xfId="13742"/>
    <cellStyle name="Note 2 7 3" xfId="13743"/>
    <cellStyle name="Note 2 7 4" xfId="13744"/>
    <cellStyle name="Note 2 7 5" xfId="13745"/>
    <cellStyle name="Note 2 8" xfId="13746"/>
    <cellStyle name="Note 2 8 2" xfId="13747"/>
    <cellStyle name="Note 2 8 3" xfId="13748"/>
    <cellStyle name="Note 2 8 4" xfId="13749"/>
    <cellStyle name="Note 2 8 5" xfId="13750"/>
    <cellStyle name="Note 2 9" xfId="13751"/>
    <cellStyle name="Note 2 9 2" xfId="13752"/>
    <cellStyle name="Note 2 9 3" xfId="13753"/>
    <cellStyle name="Note 2 9 4" xfId="13754"/>
    <cellStyle name="Note 2 9 5" xfId="13755"/>
    <cellStyle name="Note 3" xfId="13756"/>
    <cellStyle name="Note 3 10" xfId="13757"/>
    <cellStyle name="Note 3 10 2" xfId="13758"/>
    <cellStyle name="Note 3 10 3" xfId="13759"/>
    <cellStyle name="Note 3 10 4" xfId="13760"/>
    <cellStyle name="Note 3 10 5" xfId="13761"/>
    <cellStyle name="Note 3 11" xfId="13762"/>
    <cellStyle name="Note 3 11 2" xfId="13763"/>
    <cellStyle name="Note 3 11 3" xfId="13764"/>
    <cellStyle name="Note 3 11 4" xfId="13765"/>
    <cellStyle name="Note 3 11 5" xfId="13766"/>
    <cellStyle name="Note 3 12" xfId="13767"/>
    <cellStyle name="Note 3 12 2" xfId="13768"/>
    <cellStyle name="Note 3 12 3" xfId="13769"/>
    <cellStyle name="Note 3 12 4" xfId="13770"/>
    <cellStyle name="Note 3 12 5" xfId="13771"/>
    <cellStyle name="Note 3 13" xfId="13772"/>
    <cellStyle name="Note 3 13 2" xfId="13773"/>
    <cellStyle name="Note 3 13 3" xfId="13774"/>
    <cellStyle name="Note 3 13 4" xfId="13775"/>
    <cellStyle name="Note 3 13 5" xfId="13776"/>
    <cellStyle name="Note 3 14" xfId="13777"/>
    <cellStyle name="Note 3 14 2" xfId="13778"/>
    <cellStyle name="Note 3 14 3" xfId="13779"/>
    <cellStyle name="Note 3 14 4" xfId="13780"/>
    <cellStyle name="Note 3 14 5" xfId="13781"/>
    <cellStyle name="Note 3 15" xfId="13782"/>
    <cellStyle name="Note 3 15 2" xfId="13783"/>
    <cellStyle name="Note 3 15 3" xfId="13784"/>
    <cellStyle name="Note 3 15 4" xfId="13785"/>
    <cellStyle name="Note 3 15 5" xfId="13786"/>
    <cellStyle name="Note 3 16" xfId="13787"/>
    <cellStyle name="Note 3 16 2" xfId="13788"/>
    <cellStyle name="Note 3 16 3" xfId="13789"/>
    <cellStyle name="Note 3 16 4" xfId="13790"/>
    <cellStyle name="Note 3 16 5" xfId="13791"/>
    <cellStyle name="Note 3 17" xfId="13792"/>
    <cellStyle name="Note 3 17 2" xfId="13793"/>
    <cellStyle name="Note 3 17 3" xfId="13794"/>
    <cellStyle name="Note 3 17 4" xfId="13795"/>
    <cellStyle name="Note 3 17 5" xfId="13796"/>
    <cellStyle name="Note 3 18" xfId="13797"/>
    <cellStyle name="Note 3 18 2" xfId="13798"/>
    <cellStyle name="Note 3 18 3" xfId="13799"/>
    <cellStyle name="Note 3 18 4" xfId="13800"/>
    <cellStyle name="Note 3 18 5" xfId="13801"/>
    <cellStyle name="Note 3 19" xfId="13802"/>
    <cellStyle name="Note 3 19 2" xfId="13803"/>
    <cellStyle name="Note 3 19 3" xfId="13804"/>
    <cellStyle name="Note 3 19 4" xfId="13805"/>
    <cellStyle name="Note 3 19 5" xfId="13806"/>
    <cellStyle name="Note 3 2" xfId="13807"/>
    <cellStyle name="Note 3 2 2" xfId="13808"/>
    <cellStyle name="Note 3 2 2 2" xfId="13809"/>
    <cellStyle name="Note 3 2 2 3" xfId="13810"/>
    <cellStyle name="Note 3 2 2 4" xfId="13811"/>
    <cellStyle name="Note 3 2 2 5" xfId="13812"/>
    <cellStyle name="Note 3 2 3" xfId="13813"/>
    <cellStyle name="Note 3 2 3 2" xfId="13814"/>
    <cellStyle name="Note 3 2 3 3" xfId="13815"/>
    <cellStyle name="Note 3 2 3 4" xfId="13816"/>
    <cellStyle name="Note 3 2 3 5" xfId="13817"/>
    <cellStyle name="Note 3 2 4" xfId="13818"/>
    <cellStyle name="Note 3 2 4 2" xfId="13819"/>
    <cellStyle name="Note 3 2 4 3" xfId="13820"/>
    <cellStyle name="Note 3 2 4 4" xfId="13821"/>
    <cellStyle name="Note 3 2 4 5" xfId="13822"/>
    <cellStyle name="Note 3 2 5" xfId="13823"/>
    <cellStyle name="Note 3 2 5 2" xfId="13824"/>
    <cellStyle name="Note 3 2 5 3" xfId="13825"/>
    <cellStyle name="Note 3 2 5 4" xfId="13826"/>
    <cellStyle name="Note 3 2 5 5" xfId="13827"/>
    <cellStyle name="Note 3 2 6" xfId="13828"/>
    <cellStyle name="Note 3 2 7" xfId="13829"/>
    <cellStyle name="Note 3 2 8" xfId="13830"/>
    <cellStyle name="Note 3 2 9" xfId="13831"/>
    <cellStyle name="Note 3 20" xfId="13832"/>
    <cellStyle name="Note 3 20 2" xfId="13833"/>
    <cellStyle name="Note 3 20 3" xfId="13834"/>
    <cellStyle name="Note 3 20 4" xfId="13835"/>
    <cellStyle name="Note 3 20 5" xfId="13836"/>
    <cellStyle name="Note 3 21" xfId="13837"/>
    <cellStyle name="Note 3 21 2" xfId="13838"/>
    <cellStyle name="Note 3 21 3" xfId="13839"/>
    <cellStyle name="Note 3 21 4" xfId="13840"/>
    <cellStyle name="Note 3 21 5" xfId="13841"/>
    <cellStyle name="Note 3 22" xfId="13842"/>
    <cellStyle name="Note 3 22 2" xfId="13843"/>
    <cellStyle name="Note 3 22 3" xfId="13844"/>
    <cellStyle name="Note 3 22 4" xfId="13845"/>
    <cellStyle name="Note 3 22 5" xfId="13846"/>
    <cellStyle name="Note 3 23" xfId="13847"/>
    <cellStyle name="Note 3 23 2" xfId="13848"/>
    <cellStyle name="Note 3 23 3" xfId="13849"/>
    <cellStyle name="Note 3 23 4" xfId="13850"/>
    <cellStyle name="Note 3 23 5" xfId="13851"/>
    <cellStyle name="Note 3 24" xfId="13852"/>
    <cellStyle name="Note 3 24 2" xfId="13853"/>
    <cellStyle name="Note 3 24 3" xfId="13854"/>
    <cellStyle name="Note 3 24 4" xfId="13855"/>
    <cellStyle name="Note 3 24 5" xfId="13856"/>
    <cellStyle name="Note 3 25" xfId="13857"/>
    <cellStyle name="Note 3 25 2" xfId="13858"/>
    <cellStyle name="Note 3 25 3" xfId="13859"/>
    <cellStyle name="Note 3 25 4" xfId="13860"/>
    <cellStyle name="Note 3 25 5" xfId="13861"/>
    <cellStyle name="Note 3 26" xfId="13862"/>
    <cellStyle name="Note 3 26 2" xfId="13863"/>
    <cellStyle name="Note 3 26 3" xfId="13864"/>
    <cellStyle name="Note 3 26 4" xfId="13865"/>
    <cellStyle name="Note 3 26 5" xfId="13866"/>
    <cellStyle name="Note 3 27" xfId="13867"/>
    <cellStyle name="Note 3 27 2" xfId="13868"/>
    <cellStyle name="Note 3 27 3" xfId="13869"/>
    <cellStyle name="Note 3 27 4" xfId="13870"/>
    <cellStyle name="Note 3 27 5" xfId="13871"/>
    <cellStyle name="Note 3 28" xfId="13872"/>
    <cellStyle name="Note 3 28 2" xfId="13873"/>
    <cellStyle name="Note 3 28 3" xfId="13874"/>
    <cellStyle name="Note 3 28 4" xfId="13875"/>
    <cellStyle name="Note 3 28 5" xfId="13876"/>
    <cellStyle name="Note 3 29" xfId="13877"/>
    <cellStyle name="Note 3 29 2" xfId="13878"/>
    <cellStyle name="Note 3 29 3" xfId="13879"/>
    <cellStyle name="Note 3 29 4" xfId="13880"/>
    <cellStyle name="Note 3 29 5" xfId="13881"/>
    <cellStyle name="Note 3 3" xfId="13882"/>
    <cellStyle name="Note 3 3 2" xfId="13883"/>
    <cellStyle name="Note 3 3 3" xfId="13884"/>
    <cellStyle name="Note 3 3 4" xfId="13885"/>
    <cellStyle name="Note 3 3 5" xfId="13886"/>
    <cellStyle name="Note 3 30" xfId="13887"/>
    <cellStyle name="Note 3 30 2" xfId="13888"/>
    <cellStyle name="Note 3 30 3" xfId="13889"/>
    <cellStyle name="Note 3 30 4" xfId="13890"/>
    <cellStyle name="Note 3 30 5" xfId="13891"/>
    <cellStyle name="Note 3 31" xfId="13892"/>
    <cellStyle name="Note 3 31 2" xfId="13893"/>
    <cellStyle name="Note 3 31 3" xfId="13894"/>
    <cellStyle name="Note 3 31 4" xfId="13895"/>
    <cellStyle name="Note 3 31 5" xfId="13896"/>
    <cellStyle name="Note 3 32" xfId="13897"/>
    <cellStyle name="Note 3 32 2" xfId="13898"/>
    <cellStyle name="Note 3 32 3" xfId="13899"/>
    <cellStyle name="Note 3 32 4" xfId="13900"/>
    <cellStyle name="Note 3 32 5" xfId="13901"/>
    <cellStyle name="Note 3 33" xfId="13902"/>
    <cellStyle name="Note 3 33 2" xfId="13903"/>
    <cellStyle name="Note 3 33 3" xfId="13904"/>
    <cellStyle name="Note 3 34" xfId="13905"/>
    <cellStyle name="Note 3 35" xfId="13906"/>
    <cellStyle name="Note 3 36" xfId="13907"/>
    <cellStyle name="Note 3 37" xfId="13908"/>
    <cellStyle name="Note 3 38" xfId="13909"/>
    <cellStyle name="Note 3 39" xfId="13910"/>
    <cellStyle name="Note 3 4" xfId="13911"/>
    <cellStyle name="Note 3 4 2" xfId="13912"/>
    <cellStyle name="Note 3 4 3" xfId="13913"/>
    <cellStyle name="Note 3 4 4" xfId="13914"/>
    <cellStyle name="Note 3 4 5" xfId="13915"/>
    <cellStyle name="Note 3 40" xfId="13916"/>
    <cellStyle name="Note 3 41" xfId="13917"/>
    <cellStyle name="Note 3 42" xfId="13918"/>
    <cellStyle name="Note 3 43" xfId="13919"/>
    <cellStyle name="Note 3 44" xfId="13920"/>
    <cellStyle name="Note 3 45" xfId="13921"/>
    <cellStyle name="Note 3 46" xfId="13922"/>
    <cellStyle name="Note 3 47" xfId="13923"/>
    <cellStyle name="Note 3 48" xfId="13924"/>
    <cellStyle name="Note 3 49" xfId="13925"/>
    <cellStyle name="Note 3 5" xfId="13926"/>
    <cellStyle name="Note 3 5 2" xfId="13927"/>
    <cellStyle name="Note 3 5 3" xfId="13928"/>
    <cellStyle name="Note 3 5 4" xfId="13929"/>
    <cellStyle name="Note 3 5 5" xfId="13930"/>
    <cellStyle name="Note 3 50" xfId="13931"/>
    <cellStyle name="Note 3 51" xfId="13932"/>
    <cellStyle name="Note 3 52" xfId="13933"/>
    <cellStyle name="Note 3 53" xfId="13934"/>
    <cellStyle name="Note 3 54" xfId="13935"/>
    <cellStyle name="Note 3 55" xfId="13936"/>
    <cellStyle name="Note 3 56" xfId="13937"/>
    <cellStyle name="Note 3 57" xfId="13938"/>
    <cellStyle name="Note 3 58" xfId="13939"/>
    <cellStyle name="Note 3 59" xfId="13940"/>
    <cellStyle name="Note 3 6" xfId="13941"/>
    <cellStyle name="Note 3 6 2" xfId="13942"/>
    <cellStyle name="Note 3 6 3" xfId="13943"/>
    <cellStyle name="Note 3 6 4" xfId="13944"/>
    <cellStyle name="Note 3 6 5" xfId="13945"/>
    <cellStyle name="Note 3 60" xfId="13946"/>
    <cellStyle name="Note 3 61" xfId="13947"/>
    <cellStyle name="Note 3 62" xfId="13948"/>
    <cellStyle name="Note 3 63" xfId="13949"/>
    <cellStyle name="Note 3 64" xfId="13950"/>
    <cellStyle name="Note 3 65" xfId="13951"/>
    <cellStyle name="Note 3 66" xfId="13952"/>
    <cellStyle name="Note 3 67" xfId="13953"/>
    <cellStyle name="Note 3 68" xfId="13954"/>
    <cellStyle name="Note 3 7" xfId="13955"/>
    <cellStyle name="Note 3 7 2" xfId="13956"/>
    <cellStyle name="Note 3 7 3" xfId="13957"/>
    <cellStyle name="Note 3 7 4" xfId="13958"/>
    <cellStyle name="Note 3 7 5" xfId="13959"/>
    <cellStyle name="Note 3 8" xfId="13960"/>
    <cellStyle name="Note 3 8 2" xfId="13961"/>
    <cellStyle name="Note 3 8 3" xfId="13962"/>
    <cellStyle name="Note 3 8 4" xfId="13963"/>
    <cellStyle name="Note 3 8 5" xfId="13964"/>
    <cellStyle name="Note 3 9" xfId="13965"/>
    <cellStyle name="Note 3 9 2" xfId="13966"/>
    <cellStyle name="Note 3 9 3" xfId="13967"/>
    <cellStyle name="Note 3 9 4" xfId="13968"/>
    <cellStyle name="Note 3 9 5" xfId="13969"/>
    <cellStyle name="Note 4" xfId="13970"/>
    <cellStyle name="Note 4 10" xfId="13971"/>
    <cellStyle name="Note 4 10 2" xfId="13972"/>
    <cellStyle name="Note 4 10 3" xfId="13973"/>
    <cellStyle name="Note 4 10 4" xfId="13974"/>
    <cellStyle name="Note 4 10 5" xfId="13975"/>
    <cellStyle name="Note 4 11" xfId="13976"/>
    <cellStyle name="Note 4 11 2" xfId="13977"/>
    <cellStyle name="Note 4 11 3" xfId="13978"/>
    <cellStyle name="Note 4 11 4" xfId="13979"/>
    <cellStyle name="Note 4 11 5" xfId="13980"/>
    <cellStyle name="Note 4 12" xfId="13981"/>
    <cellStyle name="Note 4 12 2" xfId="13982"/>
    <cellStyle name="Note 4 12 3" xfId="13983"/>
    <cellStyle name="Note 4 12 4" xfId="13984"/>
    <cellStyle name="Note 4 12 5" xfId="13985"/>
    <cellStyle name="Note 4 13" xfId="13986"/>
    <cellStyle name="Note 4 13 2" xfId="13987"/>
    <cellStyle name="Note 4 13 3" xfId="13988"/>
    <cellStyle name="Note 4 13 4" xfId="13989"/>
    <cellStyle name="Note 4 13 5" xfId="13990"/>
    <cellStyle name="Note 4 14" xfId="13991"/>
    <cellStyle name="Note 4 14 2" xfId="13992"/>
    <cellStyle name="Note 4 14 3" xfId="13993"/>
    <cellStyle name="Note 4 14 4" xfId="13994"/>
    <cellStyle name="Note 4 14 5" xfId="13995"/>
    <cellStyle name="Note 4 15" xfId="13996"/>
    <cellStyle name="Note 4 15 2" xfId="13997"/>
    <cellStyle name="Note 4 15 3" xfId="13998"/>
    <cellStyle name="Note 4 15 4" xfId="13999"/>
    <cellStyle name="Note 4 15 5" xfId="14000"/>
    <cellStyle name="Note 4 16" xfId="14001"/>
    <cellStyle name="Note 4 16 2" xfId="14002"/>
    <cellStyle name="Note 4 16 3" xfId="14003"/>
    <cellStyle name="Note 4 16 4" xfId="14004"/>
    <cellStyle name="Note 4 16 5" xfId="14005"/>
    <cellStyle name="Note 4 17" xfId="14006"/>
    <cellStyle name="Note 4 17 2" xfId="14007"/>
    <cellStyle name="Note 4 17 3" xfId="14008"/>
    <cellStyle name="Note 4 17 4" xfId="14009"/>
    <cellStyle name="Note 4 17 5" xfId="14010"/>
    <cellStyle name="Note 4 18" xfId="14011"/>
    <cellStyle name="Note 4 18 2" xfId="14012"/>
    <cellStyle name="Note 4 18 3" xfId="14013"/>
    <cellStyle name="Note 4 18 4" xfId="14014"/>
    <cellStyle name="Note 4 18 5" xfId="14015"/>
    <cellStyle name="Note 4 19" xfId="14016"/>
    <cellStyle name="Note 4 19 2" xfId="14017"/>
    <cellStyle name="Note 4 19 3" xfId="14018"/>
    <cellStyle name="Note 4 19 4" xfId="14019"/>
    <cellStyle name="Note 4 19 5" xfId="14020"/>
    <cellStyle name="Note 4 2" xfId="14021"/>
    <cellStyle name="Note 4 2 2" xfId="14022"/>
    <cellStyle name="Note 4 2 2 2" xfId="14023"/>
    <cellStyle name="Note 4 2 2 3" xfId="14024"/>
    <cellStyle name="Note 4 2 2 4" xfId="14025"/>
    <cellStyle name="Note 4 2 2 5" xfId="14026"/>
    <cellStyle name="Note 4 2 3" xfId="14027"/>
    <cellStyle name="Note 4 2 3 2" xfId="14028"/>
    <cellStyle name="Note 4 2 3 3" xfId="14029"/>
    <cellStyle name="Note 4 2 3 4" xfId="14030"/>
    <cellStyle name="Note 4 2 3 5" xfId="14031"/>
    <cellStyle name="Note 4 2 4" xfId="14032"/>
    <cellStyle name="Note 4 2 4 2" xfId="14033"/>
    <cellStyle name="Note 4 2 4 3" xfId="14034"/>
    <cellStyle name="Note 4 2 4 4" xfId="14035"/>
    <cellStyle name="Note 4 2 4 5" xfId="14036"/>
    <cellStyle name="Note 4 2 5" xfId="14037"/>
    <cellStyle name="Note 4 2 5 2" xfId="14038"/>
    <cellStyle name="Note 4 2 5 3" xfId="14039"/>
    <cellStyle name="Note 4 2 5 4" xfId="14040"/>
    <cellStyle name="Note 4 2 5 5" xfId="14041"/>
    <cellStyle name="Note 4 2 6" xfId="14042"/>
    <cellStyle name="Note 4 2 7" xfId="14043"/>
    <cellStyle name="Note 4 2 8" xfId="14044"/>
    <cellStyle name="Note 4 2 9" xfId="14045"/>
    <cellStyle name="Note 4 20" xfId="14046"/>
    <cellStyle name="Note 4 20 2" xfId="14047"/>
    <cellStyle name="Note 4 20 3" xfId="14048"/>
    <cellStyle name="Note 4 20 4" xfId="14049"/>
    <cellStyle name="Note 4 20 5" xfId="14050"/>
    <cellStyle name="Note 4 21" xfId="14051"/>
    <cellStyle name="Note 4 21 2" xfId="14052"/>
    <cellStyle name="Note 4 21 3" xfId="14053"/>
    <cellStyle name="Note 4 21 4" xfId="14054"/>
    <cellStyle name="Note 4 21 5" xfId="14055"/>
    <cellStyle name="Note 4 22" xfId="14056"/>
    <cellStyle name="Note 4 22 2" xfId="14057"/>
    <cellStyle name="Note 4 22 3" xfId="14058"/>
    <cellStyle name="Note 4 22 4" xfId="14059"/>
    <cellStyle name="Note 4 22 5" xfId="14060"/>
    <cellStyle name="Note 4 23" xfId="14061"/>
    <cellStyle name="Note 4 23 2" xfId="14062"/>
    <cellStyle name="Note 4 23 3" xfId="14063"/>
    <cellStyle name="Note 4 23 4" xfId="14064"/>
    <cellStyle name="Note 4 23 5" xfId="14065"/>
    <cellStyle name="Note 4 24" xfId="14066"/>
    <cellStyle name="Note 4 24 2" xfId="14067"/>
    <cellStyle name="Note 4 24 3" xfId="14068"/>
    <cellStyle name="Note 4 24 4" xfId="14069"/>
    <cellStyle name="Note 4 24 5" xfId="14070"/>
    <cellStyle name="Note 4 25" xfId="14071"/>
    <cellStyle name="Note 4 25 2" xfId="14072"/>
    <cellStyle name="Note 4 25 3" xfId="14073"/>
    <cellStyle name="Note 4 25 4" xfId="14074"/>
    <cellStyle name="Note 4 25 5" xfId="14075"/>
    <cellStyle name="Note 4 26" xfId="14076"/>
    <cellStyle name="Note 4 26 2" xfId="14077"/>
    <cellStyle name="Note 4 26 3" xfId="14078"/>
    <cellStyle name="Note 4 26 4" xfId="14079"/>
    <cellStyle name="Note 4 26 5" xfId="14080"/>
    <cellStyle name="Note 4 27" xfId="14081"/>
    <cellStyle name="Note 4 27 2" xfId="14082"/>
    <cellStyle name="Note 4 27 3" xfId="14083"/>
    <cellStyle name="Note 4 27 4" xfId="14084"/>
    <cellStyle name="Note 4 27 5" xfId="14085"/>
    <cellStyle name="Note 4 28" xfId="14086"/>
    <cellStyle name="Note 4 28 2" xfId="14087"/>
    <cellStyle name="Note 4 28 3" xfId="14088"/>
    <cellStyle name="Note 4 28 4" xfId="14089"/>
    <cellStyle name="Note 4 28 5" xfId="14090"/>
    <cellStyle name="Note 4 29" xfId="14091"/>
    <cellStyle name="Note 4 29 2" xfId="14092"/>
    <cellStyle name="Note 4 29 3" xfId="14093"/>
    <cellStyle name="Note 4 29 4" xfId="14094"/>
    <cellStyle name="Note 4 29 5" xfId="14095"/>
    <cellStyle name="Note 4 3" xfId="14096"/>
    <cellStyle name="Note 4 3 2" xfId="14097"/>
    <cellStyle name="Note 4 3 3" xfId="14098"/>
    <cellStyle name="Note 4 3 4" xfId="14099"/>
    <cellStyle name="Note 4 3 5" xfId="14100"/>
    <cellStyle name="Note 4 30" xfId="14101"/>
    <cellStyle name="Note 4 30 2" xfId="14102"/>
    <cellStyle name="Note 4 30 3" xfId="14103"/>
    <cellStyle name="Note 4 30 4" xfId="14104"/>
    <cellStyle name="Note 4 30 5" xfId="14105"/>
    <cellStyle name="Note 4 31" xfId="14106"/>
    <cellStyle name="Note 4 31 2" xfId="14107"/>
    <cellStyle name="Note 4 31 3" xfId="14108"/>
    <cellStyle name="Note 4 31 4" xfId="14109"/>
    <cellStyle name="Note 4 31 5" xfId="14110"/>
    <cellStyle name="Note 4 32" xfId="14111"/>
    <cellStyle name="Note 4 32 2" xfId="14112"/>
    <cellStyle name="Note 4 32 3" xfId="14113"/>
    <cellStyle name="Note 4 32 4" xfId="14114"/>
    <cellStyle name="Note 4 32 5" xfId="14115"/>
    <cellStyle name="Note 4 33" xfId="14116"/>
    <cellStyle name="Note 4 33 2" xfId="14117"/>
    <cellStyle name="Note 4 33 3" xfId="14118"/>
    <cellStyle name="Note 4 34" xfId="14119"/>
    <cellStyle name="Note 4 35" xfId="14120"/>
    <cellStyle name="Note 4 36" xfId="14121"/>
    <cellStyle name="Note 4 37" xfId="14122"/>
    <cellStyle name="Note 4 38" xfId="14123"/>
    <cellStyle name="Note 4 39" xfId="14124"/>
    <cellStyle name="Note 4 4" xfId="14125"/>
    <cellStyle name="Note 4 4 2" xfId="14126"/>
    <cellStyle name="Note 4 4 3" xfId="14127"/>
    <cellStyle name="Note 4 4 4" xfId="14128"/>
    <cellStyle name="Note 4 4 5" xfId="14129"/>
    <cellStyle name="Note 4 40" xfId="14130"/>
    <cellStyle name="Note 4 41" xfId="14131"/>
    <cellStyle name="Note 4 42" xfId="14132"/>
    <cellStyle name="Note 4 43" xfId="14133"/>
    <cellStyle name="Note 4 44" xfId="14134"/>
    <cellStyle name="Note 4 45" xfId="14135"/>
    <cellStyle name="Note 4 46" xfId="14136"/>
    <cellStyle name="Note 4 47" xfId="14137"/>
    <cellStyle name="Note 4 48" xfId="14138"/>
    <cellStyle name="Note 4 49" xfId="14139"/>
    <cellStyle name="Note 4 5" xfId="14140"/>
    <cellStyle name="Note 4 5 2" xfId="14141"/>
    <cellStyle name="Note 4 5 3" xfId="14142"/>
    <cellStyle name="Note 4 5 4" xfId="14143"/>
    <cellStyle name="Note 4 5 5" xfId="14144"/>
    <cellStyle name="Note 4 50" xfId="14145"/>
    <cellStyle name="Note 4 51" xfId="14146"/>
    <cellStyle name="Note 4 52" xfId="14147"/>
    <cellStyle name="Note 4 53" xfId="14148"/>
    <cellStyle name="Note 4 54" xfId="14149"/>
    <cellStyle name="Note 4 55" xfId="14150"/>
    <cellStyle name="Note 4 56" xfId="14151"/>
    <cellStyle name="Note 4 57" xfId="14152"/>
    <cellStyle name="Note 4 58" xfId="14153"/>
    <cellStyle name="Note 4 59" xfId="14154"/>
    <cellStyle name="Note 4 6" xfId="14155"/>
    <cellStyle name="Note 4 6 2" xfId="14156"/>
    <cellStyle name="Note 4 6 3" xfId="14157"/>
    <cellStyle name="Note 4 6 4" xfId="14158"/>
    <cellStyle name="Note 4 6 5" xfId="14159"/>
    <cellStyle name="Note 4 60" xfId="14160"/>
    <cellStyle name="Note 4 61" xfId="14161"/>
    <cellStyle name="Note 4 62" xfId="14162"/>
    <cellStyle name="Note 4 63" xfId="14163"/>
    <cellStyle name="Note 4 64" xfId="14164"/>
    <cellStyle name="Note 4 65" xfId="14165"/>
    <cellStyle name="Note 4 66" xfId="14166"/>
    <cellStyle name="Note 4 67" xfId="14167"/>
    <cellStyle name="Note 4 68" xfId="14168"/>
    <cellStyle name="Note 4 7" xfId="14169"/>
    <cellStyle name="Note 4 7 2" xfId="14170"/>
    <cellStyle name="Note 4 7 3" xfId="14171"/>
    <cellStyle name="Note 4 7 4" xfId="14172"/>
    <cellStyle name="Note 4 7 5" xfId="14173"/>
    <cellStyle name="Note 4 8" xfId="14174"/>
    <cellStyle name="Note 4 8 2" xfId="14175"/>
    <cellStyle name="Note 4 8 3" xfId="14176"/>
    <cellStyle name="Note 4 8 4" xfId="14177"/>
    <cellStyle name="Note 4 8 5" xfId="14178"/>
    <cellStyle name="Note 4 9" xfId="14179"/>
    <cellStyle name="Note 4 9 2" xfId="14180"/>
    <cellStyle name="Note 4 9 3" xfId="14181"/>
    <cellStyle name="Note 4 9 4" xfId="14182"/>
    <cellStyle name="Note 4 9 5" xfId="14183"/>
    <cellStyle name="Note 5" xfId="14184"/>
    <cellStyle name="Note 5 10" xfId="14185"/>
    <cellStyle name="Note 5 10 2" xfId="14186"/>
    <cellStyle name="Note 5 10 3" xfId="14187"/>
    <cellStyle name="Note 5 10 4" xfId="14188"/>
    <cellStyle name="Note 5 10 5" xfId="14189"/>
    <cellStyle name="Note 5 11" xfId="14190"/>
    <cellStyle name="Note 5 11 2" xfId="14191"/>
    <cellStyle name="Note 5 11 3" xfId="14192"/>
    <cellStyle name="Note 5 11 4" xfId="14193"/>
    <cellStyle name="Note 5 11 5" xfId="14194"/>
    <cellStyle name="Note 5 12" xfId="14195"/>
    <cellStyle name="Note 5 12 2" xfId="14196"/>
    <cellStyle name="Note 5 12 3" xfId="14197"/>
    <cellStyle name="Note 5 12 4" xfId="14198"/>
    <cellStyle name="Note 5 12 5" xfId="14199"/>
    <cellStyle name="Note 5 13" xfId="14200"/>
    <cellStyle name="Note 5 13 2" xfId="14201"/>
    <cellStyle name="Note 5 13 3" xfId="14202"/>
    <cellStyle name="Note 5 13 4" xfId="14203"/>
    <cellStyle name="Note 5 13 5" xfId="14204"/>
    <cellStyle name="Note 5 14" xfId="14205"/>
    <cellStyle name="Note 5 14 2" xfId="14206"/>
    <cellStyle name="Note 5 14 3" xfId="14207"/>
    <cellStyle name="Note 5 14 4" xfId="14208"/>
    <cellStyle name="Note 5 14 5" xfId="14209"/>
    <cellStyle name="Note 5 15" xfId="14210"/>
    <cellStyle name="Note 5 15 2" xfId="14211"/>
    <cellStyle name="Note 5 15 3" xfId="14212"/>
    <cellStyle name="Note 5 15 4" xfId="14213"/>
    <cellStyle name="Note 5 15 5" xfId="14214"/>
    <cellStyle name="Note 5 16" xfId="14215"/>
    <cellStyle name="Note 5 16 2" xfId="14216"/>
    <cellStyle name="Note 5 16 3" xfId="14217"/>
    <cellStyle name="Note 5 16 4" xfId="14218"/>
    <cellStyle name="Note 5 16 5" xfId="14219"/>
    <cellStyle name="Note 5 17" xfId="14220"/>
    <cellStyle name="Note 5 17 2" xfId="14221"/>
    <cellStyle name="Note 5 17 3" xfId="14222"/>
    <cellStyle name="Note 5 17 4" xfId="14223"/>
    <cellStyle name="Note 5 17 5" xfId="14224"/>
    <cellStyle name="Note 5 18" xfId="14225"/>
    <cellStyle name="Note 5 18 2" xfId="14226"/>
    <cellStyle name="Note 5 18 3" xfId="14227"/>
    <cellStyle name="Note 5 18 4" xfId="14228"/>
    <cellStyle name="Note 5 18 5" xfId="14229"/>
    <cellStyle name="Note 5 19" xfId="14230"/>
    <cellStyle name="Note 5 19 2" xfId="14231"/>
    <cellStyle name="Note 5 19 3" xfId="14232"/>
    <cellStyle name="Note 5 19 4" xfId="14233"/>
    <cellStyle name="Note 5 19 5" xfId="14234"/>
    <cellStyle name="Note 5 2" xfId="14235"/>
    <cellStyle name="Note 5 2 2" xfId="14236"/>
    <cellStyle name="Note 5 2 2 2" xfId="14237"/>
    <cellStyle name="Note 5 2 2 3" xfId="14238"/>
    <cellStyle name="Note 5 2 2 4" xfId="14239"/>
    <cellStyle name="Note 5 2 2 5" xfId="14240"/>
    <cellStyle name="Note 5 2 3" xfId="14241"/>
    <cellStyle name="Note 5 2 3 2" xfId="14242"/>
    <cellStyle name="Note 5 2 3 3" xfId="14243"/>
    <cellStyle name="Note 5 2 3 4" xfId="14244"/>
    <cellStyle name="Note 5 2 3 5" xfId="14245"/>
    <cellStyle name="Note 5 2 4" xfId="14246"/>
    <cellStyle name="Note 5 2 4 2" xfId="14247"/>
    <cellStyle name="Note 5 2 4 3" xfId="14248"/>
    <cellStyle name="Note 5 2 4 4" xfId="14249"/>
    <cellStyle name="Note 5 2 4 5" xfId="14250"/>
    <cellStyle name="Note 5 2 5" xfId="14251"/>
    <cellStyle name="Note 5 2 5 2" xfId="14252"/>
    <cellStyle name="Note 5 2 5 3" xfId="14253"/>
    <cellStyle name="Note 5 2 5 4" xfId="14254"/>
    <cellStyle name="Note 5 2 5 5" xfId="14255"/>
    <cellStyle name="Note 5 2 6" xfId="14256"/>
    <cellStyle name="Note 5 2 7" xfId="14257"/>
    <cellStyle name="Note 5 2 8" xfId="14258"/>
    <cellStyle name="Note 5 2 9" xfId="14259"/>
    <cellStyle name="Note 5 20" xfId="14260"/>
    <cellStyle name="Note 5 20 2" xfId="14261"/>
    <cellStyle name="Note 5 20 3" xfId="14262"/>
    <cellStyle name="Note 5 20 4" xfId="14263"/>
    <cellStyle name="Note 5 20 5" xfId="14264"/>
    <cellStyle name="Note 5 21" xfId="14265"/>
    <cellStyle name="Note 5 21 2" xfId="14266"/>
    <cellStyle name="Note 5 21 3" xfId="14267"/>
    <cellStyle name="Note 5 21 4" xfId="14268"/>
    <cellStyle name="Note 5 21 5" xfId="14269"/>
    <cellStyle name="Note 5 22" xfId="14270"/>
    <cellStyle name="Note 5 22 2" xfId="14271"/>
    <cellStyle name="Note 5 22 3" xfId="14272"/>
    <cellStyle name="Note 5 22 4" xfId="14273"/>
    <cellStyle name="Note 5 22 5" xfId="14274"/>
    <cellStyle name="Note 5 23" xfId="14275"/>
    <cellStyle name="Note 5 23 2" xfId="14276"/>
    <cellStyle name="Note 5 23 3" xfId="14277"/>
    <cellStyle name="Note 5 23 4" xfId="14278"/>
    <cellStyle name="Note 5 23 5" xfId="14279"/>
    <cellStyle name="Note 5 24" xfId="14280"/>
    <cellStyle name="Note 5 24 2" xfId="14281"/>
    <cellStyle name="Note 5 24 3" xfId="14282"/>
    <cellStyle name="Note 5 24 4" xfId="14283"/>
    <cellStyle name="Note 5 24 5" xfId="14284"/>
    <cellStyle name="Note 5 25" xfId="14285"/>
    <cellStyle name="Note 5 25 2" xfId="14286"/>
    <cellStyle name="Note 5 25 3" xfId="14287"/>
    <cellStyle name="Note 5 25 4" xfId="14288"/>
    <cellStyle name="Note 5 25 5" xfId="14289"/>
    <cellStyle name="Note 5 26" xfId="14290"/>
    <cellStyle name="Note 5 26 2" xfId="14291"/>
    <cellStyle name="Note 5 26 3" xfId="14292"/>
    <cellStyle name="Note 5 26 4" xfId="14293"/>
    <cellStyle name="Note 5 26 5" xfId="14294"/>
    <cellStyle name="Note 5 27" xfId="14295"/>
    <cellStyle name="Note 5 27 2" xfId="14296"/>
    <cellStyle name="Note 5 27 3" xfId="14297"/>
    <cellStyle name="Note 5 27 4" xfId="14298"/>
    <cellStyle name="Note 5 27 5" xfId="14299"/>
    <cellStyle name="Note 5 28" xfId="14300"/>
    <cellStyle name="Note 5 28 2" xfId="14301"/>
    <cellStyle name="Note 5 28 3" xfId="14302"/>
    <cellStyle name="Note 5 28 4" xfId="14303"/>
    <cellStyle name="Note 5 28 5" xfId="14304"/>
    <cellStyle name="Note 5 29" xfId="14305"/>
    <cellStyle name="Note 5 29 2" xfId="14306"/>
    <cellStyle name="Note 5 29 3" xfId="14307"/>
    <cellStyle name="Note 5 29 4" xfId="14308"/>
    <cellStyle name="Note 5 29 5" xfId="14309"/>
    <cellStyle name="Note 5 3" xfId="14310"/>
    <cellStyle name="Note 5 3 2" xfId="14311"/>
    <cellStyle name="Note 5 3 3" xfId="14312"/>
    <cellStyle name="Note 5 3 4" xfId="14313"/>
    <cellStyle name="Note 5 3 5" xfId="14314"/>
    <cellStyle name="Note 5 30" xfId="14315"/>
    <cellStyle name="Note 5 30 2" xfId="14316"/>
    <cellStyle name="Note 5 30 3" xfId="14317"/>
    <cellStyle name="Note 5 30 4" xfId="14318"/>
    <cellStyle name="Note 5 30 5" xfId="14319"/>
    <cellStyle name="Note 5 31" xfId="14320"/>
    <cellStyle name="Note 5 31 2" xfId="14321"/>
    <cellStyle name="Note 5 31 3" xfId="14322"/>
    <cellStyle name="Note 5 31 4" xfId="14323"/>
    <cellStyle name="Note 5 31 5" xfId="14324"/>
    <cellStyle name="Note 5 32" xfId="14325"/>
    <cellStyle name="Note 5 32 2" xfId="14326"/>
    <cellStyle name="Note 5 32 3" xfId="14327"/>
    <cellStyle name="Note 5 32 4" xfId="14328"/>
    <cellStyle name="Note 5 32 5" xfId="14329"/>
    <cellStyle name="Note 5 33" xfId="14330"/>
    <cellStyle name="Note 5 33 2" xfId="14331"/>
    <cellStyle name="Note 5 33 3" xfId="14332"/>
    <cellStyle name="Note 5 34" xfId="14333"/>
    <cellStyle name="Note 5 35" xfId="14334"/>
    <cellStyle name="Note 5 36" xfId="14335"/>
    <cellStyle name="Note 5 37" xfId="14336"/>
    <cellStyle name="Note 5 38" xfId="14337"/>
    <cellStyle name="Note 5 39" xfId="14338"/>
    <cellStyle name="Note 5 4" xfId="14339"/>
    <cellStyle name="Note 5 4 2" xfId="14340"/>
    <cellStyle name="Note 5 4 3" xfId="14341"/>
    <cellStyle name="Note 5 4 4" xfId="14342"/>
    <cellStyle name="Note 5 4 5" xfId="14343"/>
    <cellStyle name="Note 5 40" xfId="14344"/>
    <cellStyle name="Note 5 41" xfId="14345"/>
    <cellStyle name="Note 5 42" xfId="14346"/>
    <cellStyle name="Note 5 43" xfId="14347"/>
    <cellStyle name="Note 5 44" xfId="14348"/>
    <cellStyle name="Note 5 45" xfId="14349"/>
    <cellStyle name="Note 5 46" xfId="14350"/>
    <cellStyle name="Note 5 47" xfId="14351"/>
    <cellStyle name="Note 5 48" xfId="14352"/>
    <cellStyle name="Note 5 49" xfId="14353"/>
    <cellStyle name="Note 5 5" xfId="14354"/>
    <cellStyle name="Note 5 5 2" xfId="14355"/>
    <cellStyle name="Note 5 5 3" xfId="14356"/>
    <cellStyle name="Note 5 5 4" xfId="14357"/>
    <cellStyle name="Note 5 5 5" xfId="14358"/>
    <cellStyle name="Note 5 50" xfId="14359"/>
    <cellStyle name="Note 5 51" xfId="14360"/>
    <cellStyle name="Note 5 52" xfId="14361"/>
    <cellStyle name="Note 5 53" xfId="14362"/>
    <cellStyle name="Note 5 54" xfId="14363"/>
    <cellStyle name="Note 5 55" xfId="14364"/>
    <cellStyle name="Note 5 56" xfId="14365"/>
    <cellStyle name="Note 5 57" xfId="14366"/>
    <cellStyle name="Note 5 58" xfId="14367"/>
    <cellStyle name="Note 5 59" xfId="14368"/>
    <cellStyle name="Note 5 6" xfId="14369"/>
    <cellStyle name="Note 5 6 2" xfId="14370"/>
    <cellStyle name="Note 5 6 3" xfId="14371"/>
    <cellStyle name="Note 5 6 4" xfId="14372"/>
    <cellStyle name="Note 5 6 5" xfId="14373"/>
    <cellStyle name="Note 5 60" xfId="14374"/>
    <cellStyle name="Note 5 61" xfId="14375"/>
    <cellStyle name="Note 5 62" xfId="14376"/>
    <cellStyle name="Note 5 63" xfId="14377"/>
    <cellStyle name="Note 5 64" xfId="14378"/>
    <cellStyle name="Note 5 65" xfId="14379"/>
    <cellStyle name="Note 5 66" xfId="14380"/>
    <cellStyle name="Note 5 67" xfId="14381"/>
    <cellStyle name="Note 5 68" xfId="14382"/>
    <cellStyle name="Note 5 7" xfId="14383"/>
    <cellStyle name="Note 5 7 2" xfId="14384"/>
    <cellStyle name="Note 5 7 3" xfId="14385"/>
    <cellStyle name="Note 5 7 4" xfId="14386"/>
    <cellStyle name="Note 5 7 5" xfId="14387"/>
    <cellStyle name="Note 5 8" xfId="14388"/>
    <cellStyle name="Note 5 8 2" xfId="14389"/>
    <cellStyle name="Note 5 8 3" xfId="14390"/>
    <cellStyle name="Note 5 8 4" xfId="14391"/>
    <cellStyle name="Note 5 8 5" xfId="14392"/>
    <cellStyle name="Note 5 9" xfId="14393"/>
    <cellStyle name="Note 5 9 2" xfId="14394"/>
    <cellStyle name="Note 5 9 3" xfId="14395"/>
    <cellStyle name="Note 5 9 4" xfId="14396"/>
    <cellStyle name="Note 5 9 5" xfId="14397"/>
    <cellStyle name="Note 6" xfId="14398"/>
    <cellStyle name="Note 6 10" xfId="14399"/>
    <cellStyle name="Note 6 10 2" xfId="14400"/>
    <cellStyle name="Note 6 10 3" xfId="14401"/>
    <cellStyle name="Note 6 10 4" xfId="14402"/>
    <cellStyle name="Note 6 10 5" xfId="14403"/>
    <cellStyle name="Note 6 11" xfId="14404"/>
    <cellStyle name="Note 6 11 2" xfId="14405"/>
    <cellStyle name="Note 6 11 3" xfId="14406"/>
    <cellStyle name="Note 6 11 4" xfId="14407"/>
    <cellStyle name="Note 6 11 5" xfId="14408"/>
    <cellStyle name="Note 6 12" xfId="14409"/>
    <cellStyle name="Note 6 12 2" xfId="14410"/>
    <cellStyle name="Note 6 12 3" xfId="14411"/>
    <cellStyle name="Note 6 12 4" xfId="14412"/>
    <cellStyle name="Note 6 12 5" xfId="14413"/>
    <cellStyle name="Note 6 13" xfId="14414"/>
    <cellStyle name="Note 6 13 2" xfId="14415"/>
    <cellStyle name="Note 6 13 3" xfId="14416"/>
    <cellStyle name="Note 6 13 4" xfId="14417"/>
    <cellStyle name="Note 6 13 5" xfId="14418"/>
    <cellStyle name="Note 6 14" xfId="14419"/>
    <cellStyle name="Note 6 14 2" xfId="14420"/>
    <cellStyle name="Note 6 14 3" xfId="14421"/>
    <cellStyle name="Note 6 14 4" xfId="14422"/>
    <cellStyle name="Note 6 14 5" xfId="14423"/>
    <cellStyle name="Note 6 15" xfId="14424"/>
    <cellStyle name="Note 6 15 2" xfId="14425"/>
    <cellStyle name="Note 6 15 3" xfId="14426"/>
    <cellStyle name="Note 6 15 4" xfId="14427"/>
    <cellStyle name="Note 6 15 5" xfId="14428"/>
    <cellStyle name="Note 6 16" xfId="14429"/>
    <cellStyle name="Note 6 16 2" xfId="14430"/>
    <cellStyle name="Note 6 16 3" xfId="14431"/>
    <cellStyle name="Note 6 16 4" xfId="14432"/>
    <cellStyle name="Note 6 16 5" xfId="14433"/>
    <cellStyle name="Note 6 17" xfId="14434"/>
    <cellStyle name="Note 6 17 2" xfId="14435"/>
    <cellStyle name="Note 6 17 3" xfId="14436"/>
    <cellStyle name="Note 6 17 4" xfId="14437"/>
    <cellStyle name="Note 6 17 5" xfId="14438"/>
    <cellStyle name="Note 6 18" xfId="14439"/>
    <cellStyle name="Note 6 18 2" xfId="14440"/>
    <cellStyle name="Note 6 18 3" xfId="14441"/>
    <cellStyle name="Note 6 18 4" xfId="14442"/>
    <cellStyle name="Note 6 18 5" xfId="14443"/>
    <cellStyle name="Note 6 19" xfId="14444"/>
    <cellStyle name="Note 6 19 2" xfId="14445"/>
    <cellStyle name="Note 6 19 3" xfId="14446"/>
    <cellStyle name="Note 6 19 4" xfId="14447"/>
    <cellStyle name="Note 6 19 5" xfId="14448"/>
    <cellStyle name="Note 6 2" xfId="14449"/>
    <cellStyle name="Note 6 2 2" xfId="14450"/>
    <cellStyle name="Note 6 2 2 2" xfId="14451"/>
    <cellStyle name="Note 6 2 2 3" xfId="14452"/>
    <cellStyle name="Note 6 2 2 4" xfId="14453"/>
    <cellStyle name="Note 6 2 2 5" xfId="14454"/>
    <cellStyle name="Note 6 2 3" xfId="14455"/>
    <cellStyle name="Note 6 2 3 2" xfId="14456"/>
    <cellStyle name="Note 6 2 3 3" xfId="14457"/>
    <cellStyle name="Note 6 2 3 4" xfId="14458"/>
    <cellStyle name="Note 6 2 3 5" xfId="14459"/>
    <cellStyle name="Note 6 2 4" xfId="14460"/>
    <cellStyle name="Note 6 2 4 2" xfId="14461"/>
    <cellStyle name="Note 6 2 4 3" xfId="14462"/>
    <cellStyle name="Note 6 2 4 4" xfId="14463"/>
    <cellStyle name="Note 6 2 4 5" xfId="14464"/>
    <cellStyle name="Note 6 2 5" xfId="14465"/>
    <cellStyle name="Note 6 2 5 2" xfId="14466"/>
    <cellStyle name="Note 6 2 5 3" xfId="14467"/>
    <cellStyle name="Note 6 2 5 4" xfId="14468"/>
    <cellStyle name="Note 6 2 5 5" xfId="14469"/>
    <cellStyle name="Note 6 2 6" xfId="14470"/>
    <cellStyle name="Note 6 2 7" xfId="14471"/>
    <cellStyle name="Note 6 2 8" xfId="14472"/>
    <cellStyle name="Note 6 2 9" xfId="14473"/>
    <cellStyle name="Note 6 20" xfId="14474"/>
    <cellStyle name="Note 6 20 2" xfId="14475"/>
    <cellStyle name="Note 6 20 3" xfId="14476"/>
    <cellStyle name="Note 6 20 4" xfId="14477"/>
    <cellStyle name="Note 6 20 5" xfId="14478"/>
    <cellStyle name="Note 6 21" xfId="14479"/>
    <cellStyle name="Note 6 21 2" xfId="14480"/>
    <cellStyle name="Note 6 21 3" xfId="14481"/>
    <cellStyle name="Note 6 21 4" xfId="14482"/>
    <cellStyle name="Note 6 21 5" xfId="14483"/>
    <cellStyle name="Note 6 22" xfId="14484"/>
    <cellStyle name="Note 6 22 2" xfId="14485"/>
    <cellStyle name="Note 6 22 3" xfId="14486"/>
    <cellStyle name="Note 6 22 4" xfId="14487"/>
    <cellStyle name="Note 6 22 5" xfId="14488"/>
    <cellStyle name="Note 6 23" xfId="14489"/>
    <cellStyle name="Note 6 23 2" xfId="14490"/>
    <cellStyle name="Note 6 23 3" xfId="14491"/>
    <cellStyle name="Note 6 23 4" xfId="14492"/>
    <cellStyle name="Note 6 23 5" xfId="14493"/>
    <cellStyle name="Note 6 24" xfId="14494"/>
    <cellStyle name="Note 6 24 2" xfId="14495"/>
    <cellStyle name="Note 6 24 3" xfId="14496"/>
    <cellStyle name="Note 6 24 4" xfId="14497"/>
    <cellStyle name="Note 6 24 5" xfId="14498"/>
    <cellStyle name="Note 6 25" xfId="14499"/>
    <cellStyle name="Note 6 25 2" xfId="14500"/>
    <cellStyle name="Note 6 25 3" xfId="14501"/>
    <cellStyle name="Note 6 25 4" xfId="14502"/>
    <cellStyle name="Note 6 25 5" xfId="14503"/>
    <cellStyle name="Note 6 26" xfId="14504"/>
    <cellStyle name="Note 6 26 2" xfId="14505"/>
    <cellStyle name="Note 6 26 3" xfId="14506"/>
    <cellStyle name="Note 6 26 4" xfId="14507"/>
    <cellStyle name="Note 6 26 5" xfId="14508"/>
    <cellStyle name="Note 6 27" xfId="14509"/>
    <cellStyle name="Note 6 27 2" xfId="14510"/>
    <cellStyle name="Note 6 27 3" xfId="14511"/>
    <cellStyle name="Note 6 27 4" xfId="14512"/>
    <cellStyle name="Note 6 27 5" xfId="14513"/>
    <cellStyle name="Note 6 28" xfId="14514"/>
    <cellStyle name="Note 6 28 2" xfId="14515"/>
    <cellStyle name="Note 6 28 3" xfId="14516"/>
    <cellStyle name="Note 6 28 4" xfId="14517"/>
    <cellStyle name="Note 6 28 5" xfId="14518"/>
    <cellStyle name="Note 6 29" xfId="14519"/>
    <cellStyle name="Note 6 29 2" xfId="14520"/>
    <cellStyle name="Note 6 29 3" xfId="14521"/>
    <cellStyle name="Note 6 29 4" xfId="14522"/>
    <cellStyle name="Note 6 29 5" xfId="14523"/>
    <cellStyle name="Note 6 3" xfId="14524"/>
    <cellStyle name="Note 6 3 2" xfId="14525"/>
    <cellStyle name="Note 6 3 3" xfId="14526"/>
    <cellStyle name="Note 6 3 4" xfId="14527"/>
    <cellStyle name="Note 6 3 5" xfId="14528"/>
    <cellStyle name="Note 6 30" xfId="14529"/>
    <cellStyle name="Note 6 30 2" xfId="14530"/>
    <cellStyle name="Note 6 30 3" xfId="14531"/>
    <cellStyle name="Note 6 30 4" xfId="14532"/>
    <cellStyle name="Note 6 30 5" xfId="14533"/>
    <cellStyle name="Note 6 31" xfId="14534"/>
    <cellStyle name="Note 6 31 2" xfId="14535"/>
    <cellStyle name="Note 6 31 3" xfId="14536"/>
    <cellStyle name="Note 6 31 4" xfId="14537"/>
    <cellStyle name="Note 6 31 5" xfId="14538"/>
    <cellStyle name="Note 6 32" xfId="14539"/>
    <cellStyle name="Note 6 32 2" xfId="14540"/>
    <cellStyle name="Note 6 32 3" xfId="14541"/>
    <cellStyle name="Note 6 32 4" xfId="14542"/>
    <cellStyle name="Note 6 32 5" xfId="14543"/>
    <cellStyle name="Note 6 33" xfId="14544"/>
    <cellStyle name="Note 6 33 2" xfId="14545"/>
    <cellStyle name="Note 6 33 3" xfId="14546"/>
    <cellStyle name="Note 6 34" xfId="14547"/>
    <cellStyle name="Note 6 35" xfId="14548"/>
    <cellStyle name="Note 6 36" xfId="14549"/>
    <cellStyle name="Note 6 37" xfId="14550"/>
    <cellStyle name="Note 6 38" xfId="14551"/>
    <cellStyle name="Note 6 39" xfId="14552"/>
    <cellStyle name="Note 6 4" xfId="14553"/>
    <cellStyle name="Note 6 4 2" xfId="14554"/>
    <cellStyle name="Note 6 4 3" xfId="14555"/>
    <cellStyle name="Note 6 4 4" xfId="14556"/>
    <cellStyle name="Note 6 4 5" xfId="14557"/>
    <cellStyle name="Note 6 40" xfId="14558"/>
    <cellStyle name="Note 6 41" xfId="14559"/>
    <cellStyle name="Note 6 42" xfId="14560"/>
    <cellStyle name="Note 6 43" xfId="14561"/>
    <cellStyle name="Note 6 44" xfId="14562"/>
    <cellStyle name="Note 6 45" xfId="14563"/>
    <cellStyle name="Note 6 46" xfId="14564"/>
    <cellStyle name="Note 6 47" xfId="14565"/>
    <cellStyle name="Note 6 48" xfId="14566"/>
    <cellStyle name="Note 6 49" xfId="14567"/>
    <cellStyle name="Note 6 5" xfId="14568"/>
    <cellStyle name="Note 6 5 2" xfId="14569"/>
    <cellStyle name="Note 6 5 3" xfId="14570"/>
    <cellStyle name="Note 6 5 4" xfId="14571"/>
    <cellStyle name="Note 6 5 5" xfId="14572"/>
    <cellStyle name="Note 6 50" xfId="14573"/>
    <cellStyle name="Note 6 51" xfId="14574"/>
    <cellStyle name="Note 6 52" xfId="14575"/>
    <cellStyle name="Note 6 53" xfId="14576"/>
    <cellStyle name="Note 6 54" xfId="14577"/>
    <cellStyle name="Note 6 55" xfId="14578"/>
    <cellStyle name="Note 6 56" xfId="14579"/>
    <cellStyle name="Note 6 57" xfId="14580"/>
    <cellStyle name="Note 6 58" xfId="14581"/>
    <cellStyle name="Note 6 59" xfId="14582"/>
    <cellStyle name="Note 6 6" xfId="14583"/>
    <cellStyle name="Note 6 6 2" xfId="14584"/>
    <cellStyle name="Note 6 6 3" xfId="14585"/>
    <cellStyle name="Note 6 6 4" xfId="14586"/>
    <cellStyle name="Note 6 6 5" xfId="14587"/>
    <cellStyle name="Note 6 60" xfId="14588"/>
    <cellStyle name="Note 6 61" xfId="14589"/>
    <cellStyle name="Note 6 62" xfId="14590"/>
    <cellStyle name="Note 6 63" xfId="14591"/>
    <cellStyle name="Note 6 64" xfId="14592"/>
    <cellStyle name="Note 6 65" xfId="14593"/>
    <cellStyle name="Note 6 66" xfId="14594"/>
    <cellStyle name="Note 6 67" xfId="14595"/>
    <cellStyle name="Note 6 68" xfId="14596"/>
    <cellStyle name="Note 6 7" xfId="14597"/>
    <cellStyle name="Note 6 7 2" xfId="14598"/>
    <cellStyle name="Note 6 7 3" xfId="14599"/>
    <cellStyle name="Note 6 7 4" xfId="14600"/>
    <cellStyle name="Note 6 7 5" xfId="14601"/>
    <cellStyle name="Note 6 8" xfId="14602"/>
    <cellStyle name="Note 6 8 2" xfId="14603"/>
    <cellStyle name="Note 6 8 3" xfId="14604"/>
    <cellStyle name="Note 6 8 4" xfId="14605"/>
    <cellStyle name="Note 6 8 5" xfId="14606"/>
    <cellStyle name="Note 6 9" xfId="14607"/>
    <cellStyle name="Note 6 9 2" xfId="14608"/>
    <cellStyle name="Note 6 9 3" xfId="14609"/>
    <cellStyle name="Note 6 9 4" xfId="14610"/>
    <cellStyle name="Note 6 9 5" xfId="14611"/>
    <cellStyle name="Note 7" xfId="14612"/>
    <cellStyle name="Note 7 10" xfId="14613"/>
    <cellStyle name="Note 7 10 2" xfId="14614"/>
    <cellStyle name="Note 7 10 3" xfId="14615"/>
    <cellStyle name="Note 7 10 4" xfId="14616"/>
    <cellStyle name="Note 7 10 5" xfId="14617"/>
    <cellStyle name="Note 7 11" xfId="14618"/>
    <cellStyle name="Note 7 11 2" xfId="14619"/>
    <cellStyle name="Note 7 11 3" xfId="14620"/>
    <cellStyle name="Note 7 11 4" xfId="14621"/>
    <cellStyle name="Note 7 11 5" xfId="14622"/>
    <cellStyle name="Note 7 12" xfId="14623"/>
    <cellStyle name="Note 7 12 2" xfId="14624"/>
    <cellStyle name="Note 7 12 3" xfId="14625"/>
    <cellStyle name="Note 7 12 4" xfId="14626"/>
    <cellStyle name="Note 7 12 5" xfId="14627"/>
    <cellStyle name="Note 7 13" xfId="14628"/>
    <cellStyle name="Note 7 13 2" xfId="14629"/>
    <cellStyle name="Note 7 13 3" xfId="14630"/>
    <cellStyle name="Note 7 13 4" xfId="14631"/>
    <cellStyle name="Note 7 13 5" xfId="14632"/>
    <cellStyle name="Note 7 14" xfId="14633"/>
    <cellStyle name="Note 7 14 2" xfId="14634"/>
    <cellStyle name="Note 7 14 3" xfId="14635"/>
    <cellStyle name="Note 7 14 4" xfId="14636"/>
    <cellStyle name="Note 7 14 5" xfId="14637"/>
    <cellStyle name="Note 7 15" xfId="14638"/>
    <cellStyle name="Note 7 15 2" xfId="14639"/>
    <cellStyle name="Note 7 15 3" xfId="14640"/>
    <cellStyle name="Note 7 15 4" xfId="14641"/>
    <cellStyle name="Note 7 15 5" xfId="14642"/>
    <cellStyle name="Note 7 16" xfId="14643"/>
    <cellStyle name="Note 7 16 2" xfId="14644"/>
    <cellStyle name="Note 7 16 3" xfId="14645"/>
    <cellStyle name="Note 7 16 4" xfId="14646"/>
    <cellStyle name="Note 7 16 5" xfId="14647"/>
    <cellStyle name="Note 7 17" xfId="14648"/>
    <cellStyle name="Note 7 17 2" xfId="14649"/>
    <cellStyle name="Note 7 17 3" xfId="14650"/>
    <cellStyle name="Note 7 17 4" xfId="14651"/>
    <cellStyle name="Note 7 17 5" xfId="14652"/>
    <cellStyle name="Note 7 18" xfId="14653"/>
    <cellStyle name="Note 7 18 2" xfId="14654"/>
    <cellStyle name="Note 7 18 3" xfId="14655"/>
    <cellStyle name="Note 7 18 4" xfId="14656"/>
    <cellStyle name="Note 7 18 5" xfId="14657"/>
    <cellStyle name="Note 7 19" xfId="14658"/>
    <cellStyle name="Note 7 19 2" xfId="14659"/>
    <cellStyle name="Note 7 19 3" xfId="14660"/>
    <cellStyle name="Note 7 19 4" xfId="14661"/>
    <cellStyle name="Note 7 19 5" xfId="14662"/>
    <cellStyle name="Note 7 2" xfId="14663"/>
    <cellStyle name="Note 7 2 2" xfId="14664"/>
    <cellStyle name="Note 7 2 2 2" xfId="14665"/>
    <cellStyle name="Note 7 2 2 3" xfId="14666"/>
    <cellStyle name="Note 7 2 2 4" xfId="14667"/>
    <cellStyle name="Note 7 2 2 5" xfId="14668"/>
    <cellStyle name="Note 7 2 3" xfId="14669"/>
    <cellStyle name="Note 7 2 3 2" xfId="14670"/>
    <cellStyle name="Note 7 2 3 3" xfId="14671"/>
    <cellStyle name="Note 7 2 3 4" xfId="14672"/>
    <cellStyle name="Note 7 2 3 5" xfId="14673"/>
    <cellStyle name="Note 7 2 4" xfId="14674"/>
    <cellStyle name="Note 7 2 4 2" xfId="14675"/>
    <cellStyle name="Note 7 2 4 3" xfId="14676"/>
    <cellStyle name="Note 7 2 4 4" xfId="14677"/>
    <cellStyle name="Note 7 2 4 5" xfId="14678"/>
    <cellStyle name="Note 7 2 5" xfId="14679"/>
    <cellStyle name="Note 7 2 5 2" xfId="14680"/>
    <cellStyle name="Note 7 2 5 3" xfId="14681"/>
    <cellStyle name="Note 7 2 5 4" xfId="14682"/>
    <cellStyle name="Note 7 2 5 5" xfId="14683"/>
    <cellStyle name="Note 7 2 6" xfId="14684"/>
    <cellStyle name="Note 7 2 7" xfId="14685"/>
    <cellStyle name="Note 7 2 8" xfId="14686"/>
    <cellStyle name="Note 7 2 9" xfId="14687"/>
    <cellStyle name="Note 7 20" xfId="14688"/>
    <cellStyle name="Note 7 20 2" xfId="14689"/>
    <cellStyle name="Note 7 20 3" xfId="14690"/>
    <cellStyle name="Note 7 20 4" xfId="14691"/>
    <cellStyle name="Note 7 20 5" xfId="14692"/>
    <cellStyle name="Note 7 21" xfId="14693"/>
    <cellStyle name="Note 7 21 2" xfId="14694"/>
    <cellStyle name="Note 7 21 3" xfId="14695"/>
    <cellStyle name="Note 7 21 4" xfId="14696"/>
    <cellStyle name="Note 7 21 5" xfId="14697"/>
    <cellStyle name="Note 7 22" xfId="14698"/>
    <cellStyle name="Note 7 22 2" xfId="14699"/>
    <cellStyle name="Note 7 22 3" xfId="14700"/>
    <cellStyle name="Note 7 22 4" xfId="14701"/>
    <cellStyle name="Note 7 22 5" xfId="14702"/>
    <cellStyle name="Note 7 23" xfId="14703"/>
    <cellStyle name="Note 7 23 2" xfId="14704"/>
    <cellStyle name="Note 7 23 3" xfId="14705"/>
    <cellStyle name="Note 7 23 4" xfId="14706"/>
    <cellStyle name="Note 7 23 5" xfId="14707"/>
    <cellStyle name="Note 7 24" xfId="14708"/>
    <cellStyle name="Note 7 24 2" xfId="14709"/>
    <cellStyle name="Note 7 24 3" xfId="14710"/>
    <cellStyle name="Note 7 24 4" xfId="14711"/>
    <cellStyle name="Note 7 24 5" xfId="14712"/>
    <cellStyle name="Note 7 25" xfId="14713"/>
    <cellStyle name="Note 7 25 2" xfId="14714"/>
    <cellStyle name="Note 7 25 3" xfId="14715"/>
    <cellStyle name="Note 7 25 4" xfId="14716"/>
    <cellStyle name="Note 7 25 5" xfId="14717"/>
    <cellStyle name="Note 7 26" xfId="14718"/>
    <cellStyle name="Note 7 26 2" xfId="14719"/>
    <cellStyle name="Note 7 26 3" xfId="14720"/>
    <cellStyle name="Note 7 26 4" xfId="14721"/>
    <cellStyle name="Note 7 26 5" xfId="14722"/>
    <cellStyle name="Note 7 27" xfId="14723"/>
    <cellStyle name="Note 7 27 2" xfId="14724"/>
    <cellStyle name="Note 7 27 3" xfId="14725"/>
    <cellStyle name="Note 7 27 4" xfId="14726"/>
    <cellStyle name="Note 7 27 5" xfId="14727"/>
    <cellStyle name="Note 7 28" xfId="14728"/>
    <cellStyle name="Note 7 28 2" xfId="14729"/>
    <cellStyle name="Note 7 28 3" xfId="14730"/>
    <cellStyle name="Note 7 28 4" xfId="14731"/>
    <cellStyle name="Note 7 28 5" xfId="14732"/>
    <cellStyle name="Note 7 29" xfId="14733"/>
    <cellStyle name="Note 7 29 2" xfId="14734"/>
    <cellStyle name="Note 7 29 3" xfId="14735"/>
    <cellStyle name="Note 7 29 4" xfId="14736"/>
    <cellStyle name="Note 7 29 5" xfId="14737"/>
    <cellStyle name="Note 7 3" xfId="14738"/>
    <cellStyle name="Note 7 3 2" xfId="14739"/>
    <cellStyle name="Note 7 3 3" xfId="14740"/>
    <cellStyle name="Note 7 3 4" xfId="14741"/>
    <cellStyle name="Note 7 3 5" xfId="14742"/>
    <cellStyle name="Note 7 30" xfId="14743"/>
    <cellStyle name="Note 7 30 2" xfId="14744"/>
    <cellStyle name="Note 7 30 3" xfId="14745"/>
    <cellStyle name="Note 7 30 4" xfId="14746"/>
    <cellStyle name="Note 7 30 5" xfId="14747"/>
    <cellStyle name="Note 7 31" xfId="14748"/>
    <cellStyle name="Note 7 31 2" xfId="14749"/>
    <cellStyle name="Note 7 31 3" xfId="14750"/>
    <cellStyle name="Note 7 31 4" xfId="14751"/>
    <cellStyle name="Note 7 31 5" xfId="14752"/>
    <cellStyle name="Note 7 32" xfId="14753"/>
    <cellStyle name="Note 7 32 2" xfId="14754"/>
    <cellStyle name="Note 7 32 3" xfId="14755"/>
    <cellStyle name="Note 7 32 4" xfId="14756"/>
    <cellStyle name="Note 7 32 5" xfId="14757"/>
    <cellStyle name="Note 7 33" xfId="14758"/>
    <cellStyle name="Note 7 33 2" xfId="14759"/>
    <cellStyle name="Note 7 33 3" xfId="14760"/>
    <cellStyle name="Note 7 34" xfId="14761"/>
    <cellStyle name="Note 7 35" xfId="14762"/>
    <cellStyle name="Note 7 36" xfId="14763"/>
    <cellStyle name="Note 7 37" xfId="14764"/>
    <cellStyle name="Note 7 38" xfId="14765"/>
    <cellStyle name="Note 7 39" xfId="14766"/>
    <cellStyle name="Note 7 4" xfId="14767"/>
    <cellStyle name="Note 7 4 2" xfId="14768"/>
    <cellStyle name="Note 7 4 3" xfId="14769"/>
    <cellStyle name="Note 7 4 4" xfId="14770"/>
    <cellStyle name="Note 7 4 5" xfId="14771"/>
    <cellStyle name="Note 7 40" xfId="14772"/>
    <cellStyle name="Note 7 41" xfId="14773"/>
    <cellStyle name="Note 7 42" xfId="14774"/>
    <cellStyle name="Note 7 43" xfId="14775"/>
    <cellStyle name="Note 7 44" xfId="14776"/>
    <cellStyle name="Note 7 45" xfId="14777"/>
    <cellStyle name="Note 7 46" xfId="14778"/>
    <cellStyle name="Note 7 47" xfId="14779"/>
    <cellStyle name="Note 7 48" xfId="14780"/>
    <cellStyle name="Note 7 49" xfId="14781"/>
    <cellStyle name="Note 7 5" xfId="14782"/>
    <cellStyle name="Note 7 5 2" xfId="14783"/>
    <cellStyle name="Note 7 5 3" xfId="14784"/>
    <cellStyle name="Note 7 5 4" xfId="14785"/>
    <cellStyle name="Note 7 5 5" xfId="14786"/>
    <cellStyle name="Note 7 50" xfId="14787"/>
    <cellStyle name="Note 7 51" xfId="14788"/>
    <cellStyle name="Note 7 52" xfId="14789"/>
    <cellStyle name="Note 7 53" xfId="14790"/>
    <cellStyle name="Note 7 54" xfId="14791"/>
    <cellStyle name="Note 7 55" xfId="14792"/>
    <cellStyle name="Note 7 56" xfId="14793"/>
    <cellStyle name="Note 7 57" xfId="14794"/>
    <cellStyle name="Note 7 58" xfId="14795"/>
    <cellStyle name="Note 7 59" xfId="14796"/>
    <cellStyle name="Note 7 6" xfId="14797"/>
    <cellStyle name="Note 7 6 2" xfId="14798"/>
    <cellStyle name="Note 7 6 3" xfId="14799"/>
    <cellStyle name="Note 7 6 4" xfId="14800"/>
    <cellStyle name="Note 7 6 5" xfId="14801"/>
    <cellStyle name="Note 7 60" xfId="14802"/>
    <cellStyle name="Note 7 61" xfId="14803"/>
    <cellStyle name="Note 7 62" xfId="14804"/>
    <cellStyle name="Note 7 63" xfId="14805"/>
    <cellStyle name="Note 7 64" xfId="14806"/>
    <cellStyle name="Note 7 65" xfId="14807"/>
    <cellStyle name="Note 7 66" xfId="14808"/>
    <cellStyle name="Note 7 67" xfId="14809"/>
    <cellStyle name="Note 7 68" xfId="14810"/>
    <cellStyle name="Note 7 7" xfId="14811"/>
    <cellStyle name="Note 7 7 2" xfId="14812"/>
    <cellStyle name="Note 7 7 3" xfId="14813"/>
    <cellStyle name="Note 7 7 4" xfId="14814"/>
    <cellStyle name="Note 7 7 5" xfId="14815"/>
    <cellStyle name="Note 7 8" xfId="14816"/>
    <cellStyle name="Note 7 8 2" xfId="14817"/>
    <cellStyle name="Note 7 8 3" xfId="14818"/>
    <cellStyle name="Note 7 8 4" xfId="14819"/>
    <cellStyle name="Note 7 8 5" xfId="14820"/>
    <cellStyle name="Note 7 9" xfId="14821"/>
    <cellStyle name="Note 7 9 2" xfId="14822"/>
    <cellStyle name="Note 7 9 3" xfId="14823"/>
    <cellStyle name="Note 7 9 4" xfId="14824"/>
    <cellStyle name="Note 7 9 5" xfId="14825"/>
    <cellStyle name="Note 8" xfId="14826"/>
    <cellStyle name="Note 8 10" xfId="14827"/>
    <cellStyle name="Note 8 10 2" xfId="14828"/>
    <cellStyle name="Note 8 10 3" xfId="14829"/>
    <cellStyle name="Note 8 10 4" xfId="14830"/>
    <cellStyle name="Note 8 10 5" xfId="14831"/>
    <cellStyle name="Note 8 11" xfId="14832"/>
    <cellStyle name="Note 8 11 2" xfId="14833"/>
    <cellStyle name="Note 8 11 3" xfId="14834"/>
    <cellStyle name="Note 8 11 4" xfId="14835"/>
    <cellStyle name="Note 8 11 5" xfId="14836"/>
    <cellStyle name="Note 8 12" xfId="14837"/>
    <cellStyle name="Note 8 12 2" xfId="14838"/>
    <cellStyle name="Note 8 12 3" xfId="14839"/>
    <cellStyle name="Note 8 12 4" xfId="14840"/>
    <cellStyle name="Note 8 12 5" xfId="14841"/>
    <cellStyle name="Note 8 13" xfId="14842"/>
    <cellStyle name="Note 8 13 2" xfId="14843"/>
    <cellStyle name="Note 8 13 3" xfId="14844"/>
    <cellStyle name="Note 8 13 4" xfId="14845"/>
    <cellStyle name="Note 8 13 5" xfId="14846"/>
    <cellStyle name="Note 8 14" xfId="14847"/>
    <cellStyle name="Note 8 14 2" xfId="14848"/>
    <cellStyle name="Note 8 14 3" xfId="14849"/>
    <cellStyle name="Note 8 14 4" xfId="14850"/>
    <cellStyle name="Note 8 14 5" xfId="14851"/>
    <cellStyle name="Note 8 15" xfId="14852"/>
    <cellStyle name="Note 8 15 2" xfId="14853"/>
    <cellStyle name="Note 8 15 3" xfId="14854"/>
    <cellStyle name="Note 8 15 4" xfId="14855"/>
    <cellStyle name="Note 8 15 5" xfId="14856"/>
    <cellStyle name="Note 8 16" xfId="14857"/>
    <cellStyle name="Note 8 16 2" xfId="14858"/>
    <cellStyle name="Note 8 16 3" xfId="14859"/>
    <cellStyle name="Note 8 16 4" xfId="14860"/>
    <cellStyle name="Note 8 16 5" xfId="14861"/>
    <cellStyle name="Note 8 17" xfId="14862"/>
    <cellStyle name="Note 8 17 2" xfId="14863"/>
    <cellStyle name="Note 8 17 3" xfId="14864"/>
    <cellStyle name="Note 8 17 4" xfId="14865"/>
    <cellStyle name="Note 8 17 5" xfId="14866"/>
    <cellStyle name="Note 8 18" xfId="14867"/>
    <cellStyle name="Note 8 18 2" xfId="14868"/>
    <cellStyle name="Note 8 18 3" xfId="14869"/>
    <cellStyle name="Note 8 18 4" xfId="14870"/>
    <cellStyle name="Note 8 18 5" xfId="14871"/>
    <cellStyle name="Note 8 19" xfId="14872"/>
    <cellStyle name="Note 8 19 2" xfId="14873"/>
    <cellStyle name="Note 8 19 3" xfId="14874"/>
    <cellStyle name="Note 8 19 4" xfId="14875"/>
    <cellStyle name="Note 8 19 5" xfId="14876"/>
    <cellStyle name="Note 8 2" xfId="14877"/>
    <cellStyle name="Note 8 2 2" xfId="14878"/>
    <cellStyle name="Note 8 2 2 2" xfId="14879"/>
    <cellStyle name="Note 8 2 2 3" xfId="14880"/>
    <cellStyle name="Note 8 2 2 4" xfId="14881"/>
    <cellStyle name="Note 8 2 2 5" xfId="14882"/>
    <cellStyle name="Note 8 2 3" xfId="14883"/>
    <cellStyle name="Note 8 2 3 2" xfId="14884"/>
    <cellStyle name="Note 8 2 3 3" xfId="14885"/>
    <cellStyle name="Note 8 2 3 4" xfId="14886"/>
    <cellStyle name="Note 8 2 3 5" xfId="14887"/>
    <cellStyle name="Note 8 2 4" xfId="14888"/>
    <cellStyle name="Note 8 2 4 2" xfId="14889"/>
    <cellStyle name="Note 8 2 4 3" xfId="14890"/>
    <cellStyle name="Note 8 2 4 4" xfId="14891"/>
    <cellStyle name="Note 8 2 4 5" xfId="14892"/>
    <cellStyle name="Note 8 2 5" xfId="14893"/>
    <cellStyle name="Note 8 2 5 2" xfId="14894"/>
    <cellStyle name="Note 8 2 5 3" xfId="14895"/>
    <cellStyle name="Note 8 2 5 4" xfId="14896"/>
    <cellStyle name="Note 8 2 5 5" xfId="14897"/>
    <cellStyle name="Note 8 2 6" xfId="14898"/>
    <cellStyle name="Note 8 2 7" xfId="14899"/>
    <cellStyle name="Note 8 2 8" xfId="14900"/>
    <cellStyle name="Note 8 2 9" xfId="14901"/>
    <cellStyle name="Note 8 20" xfId="14902"/>
    <cellStyle name="Note 8 20 2" xfId="14903"/>
    <cellStyle name="Note 8 20 3" xfId="14904"/>
    <cellStyle name="Note 8 20 4" xfId="14905"/>
    <cellStyle name="Note 8 20 5" xfId="14906"/>
    <cellStyle name="Note 8 21" xfId="14907"/>
    <cellStyle name="Note 8 21 2" xfId="14908"/>
    <cellStyle name="Note 8 21 3" xfId="14909"/>
    <cellStyle name="Note 8 21 4" xfId="14910"/>
    <cellStyle name="Note 8 21 5" xfId="14911"/>
    <cellStyle name="Note 8 22" xfId="14912"/>
    <cellStyle name="Note 8 22 2" xfId="14913"/>
    <cellStyle name="Note 8 22 3" xfId="14914"/>
    <cellStyle name="Note 8 22 4" xfId="14915"/>
    <cellStyle name="Note 8 22 5" xfId="14916"/>
    <cellStyle name="Note 8 23" xfId="14917"/>
    <cellStyle name="Note 8 23 2" xfId="14918"/>
    <cellStyle name="Note 8 23 3" xfId="14919"/>
    <cellStyle name="Note 8 23 4" xfId="14920"/>
    <cellStyle name="Note 8 23 5" xfId="14921"/>
    <cellStyle name="Note 8 24" xfId="14922"/>
    <cellStyle name="Note 8 24 2" xfId="14923"/>
    <cellStyle name="Note 8 24 3" xfId="14924"/>
    <cellStyle name="Note 8 24 4" xfId="14925"/>
    <cellStyle name="Note 8 24 5" xfId="14926"/>
    <cellStyle name="Note 8 25" xfId="14927"/>
    <cellStyle name="Note 8 25 2" xfId="14928"/>
    <cellStyle name="Note 8 25 3" xfId="14929"/>
    <cellStyle name="Note 8 25 4" xfId="14930"/>
    <cellStyle name="Note 8 25 5" xfId="14931"/>
    <cellStyle name="Note 8 26" xfId="14932"/>
    <cellStyle name="Note 8 26 2" xfId="14933"/>
    <cellStyle name="Note 8 26 3" xfId="14934"/>
    <cellStyle name="Note 8 26 4" xfId="14935"/>
    <cellStyle name="Note 8 26 5" xfId="14936"/>
    <cellStyle name="Note 8 27" xfId="14937"/>
    <cellStyle name="Note 8 27 2" xfId="14938"/>
    <cellStyle name="Note 8 27 3" xfId="14939"/>
    <cellStyle name="Note 8 27 4" xfId="14940"/>
    <cellStyle name="Note 8 27 5" xfId="14941"/>
    <cellStyle name="Note 8 28" xfId="14942"/>
    <cellStyle name="Note 8 28 2" xfId="14943"/>
    <cellStyle name="Note 8 28 3" xfId="14944"/>
    <cellStyle name="Note 8 28 4" xfId="14945"/>
    <cellStyle name="Note 8 28 5" xfId="14946"/>
    <cellStyle name="Note 8 29" xfId="14947"/>
    <cellStyle name="Note 8 29 2" xfId="14948"/>
    <cellStyle name="Note 8 29 3" xfId="14949"/>
    <cellStyle name="Note 8 29 4" xfId="14950"/>
    <cellStyle name="Note 8 29 5" xfId="14951"/>
    <cellStyle name="Note 8 3" xfId="14952"/>
    <cellStyle name="Note 8 3 2" xfId="14953"/>
    <cellStyle name="Note 8 3 3" xfId="14954"/>
    <cellStyle name="Note 8 3 4" xfId="14955"/>
    <cellStyle name="Note 8 3 5" xfId="14956"/>
    <cellStyle name="Note 8 30" xfId="14957"/>
    <cellStyle name="Note 8 30 2" xfId="14958"/>
    <cellStyle name="Note 8 30 3" xfId="14959"/>
    <cellStyle name="Note 8 30 4" xfId="14960"/>
    <cellStyle name="Note 8 30 5" xfId="14961"/>
    <cellStyle name="Note 8 31" xfId="14962"/>
    <cellStyle name="Note 8 31 2" xfId="14963"/>
    <cellStyle name="Note 8 31 3" xfId="14964"/>
    <cellStyle name="Note 8 31 4" xfId="14965"/>
    <cellStyle name="Note 8 31 5" xfId="14966"/>
    <cellStyle name="Note 8 32" xfId="14967"/>
    <cellStyle name="Note 8 32 2" xfId="14968"/>
    <cellStyle name="Note 8 32 3" xfId="14969"/>
    <cellStyle name="Note 8 32 4" xfId="14970"/>
    <cellStyle name="Note 8 32 5" xfId="14971"/>
    <cellStyle name="Note 8 33" xfId="14972"/>
    <cellStyle name="Note 8 33 2" xfId="14973"/>
    <cellStyle name="Note 8 33 3" xfId="14974"/>
    <cellStyle name="Note 8 34" xfId="14975"/>
    <cellStyle name="Note 8 35" xfId="14976"/>
    <cellStyle name="Note 8 36" xfId="14977"/>
    <cellStyle name="Note 8 37" xfId="14978"/>
    <cellStyle name="Note 8 38" xfId="14979"/>
    <cellStyle name="Note 8 39" xfId="14980"/>
    <cellStyle name="Note 8 4" xfId="14981"/>
    <cellStyle name="Note 8 4 2" xfId="14982"/>
    <cellStyle name="Note 8 4 3" xfId="14983"/>
    <cellStyle name="Note 8 4 4" xfId="14984"/>
    <cellStyle name="Note 8 4 5" xfId="14985"/>
    <cellStyle name="Note 8 40" xfId="14986"/>
    <cellStyle name="Note 8 41" xfId="14987"/>
    <cellStyle name="Note 8 42" xfId="14988"/>
    <cellStyle name="Note 8 43" xfId="14989"/>
    <cellStyle name="Note 8 44" xfId="14990"/>
    <cellStyle name="Note 8 45" xfId="14991"/>
    <cellStyle name="Note 8 46" xfId="14992"/>
    <cellStyle name="Note 8 47" xfId="14993"/>
    <cellStyle name="Note 8 48" xfId="14994"/>
    <cellStyle name="Note 8 49" xfId="14995"/>
    <cellStyle name="Note 8 5" xfId="14996"/>
    <cellStyle name="Note 8 5 2" xfId="14997"/>
    <cellStyle name="Note 8 5 3" xfId="14998"/>
    <cellStyle name="Note 8 5 4" xfId="14999"/>
    <cellStyle name="Note 8 5 5" xfId="15000"/>
    <cellStyle name="Note 8 50" xfId="15001"/>
    <cellStyle name="Note 8 51" xfId="15002"/>
    <cellStyle name="Note 8 52" xfId="15003"/>
    <cellStyle name="Note 8 53" xfId="15004"/>
    <cellStyle name="Note 8 54" xfId="15005"/>
    <cellStyle name="Note 8 55" xfId="15006"/>
    <cellStyle name="Note 8 56" xfId="15007"/>
    <cellStyle name="Note 8 57" xfId="15008"/>
    <cellStyle name="Note 8 58" xfId="15009"/>
    <cellStyle name="Note 8 59" xfId="15010"/>
    <cellStyle name="Note 8 6" xfId="15011"/>
    <cellStyle name="Note 8 6 2" xfId="15012"/>
    <cellStyle name="Note 8 6 3" xfId="15013"/>
    <cellStyle name="Note 8 6 4" xfId="15014"/>
    <cellStyle name="Note 8 6 5" xfId="15015"/>
    <cellStyle name="Note 8 60" xfId="15016"/>
    <cellStyle name="Note 8 61" xfId="15017"/>
    <cellStyle name="Note 8 62" xfId="15018"/>
    <cellStyle name="Note 8 63" xfId="15019"/>
    <cellStyle name="Note 8 64" xfId="15020"/>
    <cellStyle name="Note 8 65" xfId="15021"/>
    <cellStyle name="Note 8 66" xfId="15022"/>
    <cellStyle name="Note 8 67" xfId="15023"/>
    <cellStyle name="Note 8 68" xfId="15024"/>
    <cellStyle name="Note 8 7" xfId="15025"/>
    <cellStyle name="Note 8 7 2" xfId="15026"/>
    <cellStyle name="Note 8 7 3" xfId="15027"/>
    <cellStyle name="Note 8 7 4" xfId="15028"/>
    <cellStyle name="Note 8 7 5" xfId="15029"/>
    <cellStyle name="Note 8 8" xfId="15030"/>
    <cellStyle name="Note 8 8 2" xfId="15031"/>
    <cellStyle name="Note 8 8 3" xfId="15032"/>
    <cellStyle name="Note 8 8 4" xfId="15033"/>
    <cellStyle name="Note 8 8 5" xfId="15034"/>
    <cellStyle name="Note 8 9" xfId="15035"/>
    <cellStyle name="Note 8 9 2" xfId="15036"/>
    <cellStyle name="Note 8 9 3" xfId="15037"/>
    <cellStyle name="Note 8 9 4" xfId="15038"/>
    <cellStyle name="Note 8 9 5" xfId="15039"/>
    <cellStyle name="Note 9" xfId="15040"/>
    <cellStyle name="Note 9 10" xfId="15041"/>
    <cellStyle name="Note 9 10 2" xfId="15042"/>
    <cellStyle name="Note 9 10 3" xfId="15043"/>
    <cellStyle name="Note 9 10 4" xfId="15044"/>
    <cellStyle name="Note 9 10 5" xfId="15045"/>
    <cellStyle name="Note 9 11" xfId="15046"/>
    <cellStyle name="Note 9 11 2" xfId="15047"/>
    <cellStyle name="Note 9 11 3" xfId="15048"/>
    <cellStyle name="Note 9 11 4" xfId="15049"/>
    <cellStyle name="Note 9 11 5" xfId="15050"/>
    <cellStyle name="Note 9 12" xfId="15051"/>
    <cellStyle name="Note 9 12 2" xfId="15052"/>
    <cellStyle name="Note 9 12 3" xfId="15053"/>
    <cellStyle name="Note 9 12 4" xfId="15054"/>
    <cellStyle name="Note 9 12 5" xfId="15055"/>
    <cellStyle name="Note 9 13" xfId="15056"/>
    <cellStyle name="Note 9 13 2" xfId="15057"/>
    <cellStyle name="Note 9 13 3" xfId="15058"/>
    <cellStyle name="Note 9 13 4" xfId="15059"/>
    <cellStyle name="Note 9 13 5" xfId="15060"/>
    <cellStyle name="Note 9 14" xfId="15061"/>
    <cellStyle name="Note 9 14 2" xfId="15062"/>
    <cellStyle name="Note 9 14 3" xfId="15063"/>
    <cellStyle name="Note 9 14 4" xfId="15064"/>
    <cellStyle name="Note 9 14 5" xfId="15065"/>
    <cellStyle name="Note 9 15" xfId="15066"/>
    <cellStyle name="Note 9 15 2" xfId="15067"/>
    <cellStyle name="Note 9 15 3" xfId="15068"/>
    <cellStyle name="Note 9 15 4" xfId="15069"/>
    <cellStyle name="Note 9 15 5" xfId="15070"/>
    <cellStyle name="Note 9 16" xfId="15071"/>
    <cellStyle name="Note 9 16 2" xfId="15072"/>
    <cellStyle name="Note 9 16 3" xfId="15073"/>
    <cellStyle name="Note 9 16 4" xfId="15074"/>
    <cellStyle name="Note 9 16 5" xfId="15075"/>
    <cellStyle name="Note 9 17" xfId="15076"/>
    <cellStyle name="Note 9 17 2" xfId="15077"/>
    <cellStyle name="Note 9 17 3" xfId="15078"/>
    <cellStyle name="Note 9 17 4" xfId="15079"/>
    <cellStyle name="Note 9 17 5" xfId="15080"/>
    <cellStyle name="Note 9 18" xfId="15081"/>
    <cellStyle name="Note 9 18 2" xfId="15082"/>
    <cellStyle name="Note 9 18 3" xfId="15083"/>
    <cellStyle name="Note 9 18 4" xfId="15084"/>
    <cellStyle name="Note 9 18 5" xfId="15085"/>
    <cellStyle name="Note 9 19" xfId="15086"/>
    <cellStyle name="Note 9 19 2" xfId="15087"/>
    <cellStyle name="Note 9 19 3" xfId="15088"/>
    <cellStyle name="Note 9 19 4" xfId="15089"/>
    <cellStyle name="Note 9 19 5" xfId="15090"/>
    <cellStyle name="Note 9 2" xfId="15091"/>
    <cellStyle name="Note 9 2 2" xfId="15092"/>
    <cellStyle name="Note 9 2 2 2" xfId="15093"/>
    <cellStyle name="Note 9 2 2 3" xfId="15094"/>
    <cellStyle name="Note 9 2 2 4" xfId="15095"/>
    <cellStyle name="Note 9 2 2 5" xfId="15096"/>
    <cellStyle name="Note 9 2 3" xfId="15097"/>
    <cellStyle name="Note 9 2 3 2" xfId="15098"/>
    <cellStyle name="Note 9 2 3 3" xfId="15099"/>
    <cellStyle name="Note 9 2 3 4" xfId="15100"/>
    <cellStyle name="Note 9 2 3 5" xfId="15101"/>
    <cellStyle name="Note 9 2 4" xfId="15102"/>
    <cellStyle name="Note 9 2 4 2" xfId="15103"/>
    <cellStyle name="Note 9 2 4 3" xfId="15104"/>
    <cellStyle name="Note 9 2 4 4" xfId="15105"/>
    <cellStyle name="Note 9 2 4 5" xfId="15106"/>
    <cellStyle name="Note 9 2 5" xfId="15107"/>
    <cellStyle name="Note 9 2 5 2" xfId="15108"/>
    <cellStyle name="Note 9 2 5 3" xfId="15109"/>
    <cellStyle name="Note 9 2 5 4" xfId="15110"/>
    <cellStyle name="Note 9 2 5 5" xfId="15111"/>
    <cellStyle name="Note 9 2 6" xfId="15112"/>
    <cellStyle name="Note 9 2 7" xfId="15113"/>
    <cellStyle name="Note 9 2 8" xfId="15114"/>
    <cellStyle name="Note 9 2 9" xfId="15115"/>
    <cellStyle name="Note 9 20" xfId="15116"/>
    <cellStyle name="Note 9 20 2" xfId="15117"/>
    <cellStyle name="Note 9 20 3" xfId="15118"/>
    <cellStyle name="Note 9 20 4" xfId="15119"/>
    <cellStyle name="Note 9 20 5" xfId="15120"/>
    <cellStyle name="Note 9 21" xfId="15121"/>
    <cellStyle name="Note 9 21 2" xfId="15122"/>
    <cellStyle name="Note 9 21 3" xfId="15123"/>
    <cellStyle name="Note 9 21 4" xfId="15124"/>
    <cellStyle name="Note 9 21 5" xfId="15125"/>
    <cellStyle name="Note 9 22" xfId="15126"/>
    <cellStyle name="Note 9 22 2" xfId="15127"/>
    <cellStyle name="Note 9 22 3" xfId="15128"/>
    <cellStyle name="Note 9 22 4" xfId="15129"/>
    <cellStyle name="Note 9 22 5" xfId="15130"/>
    <cellStyle name="Note 9 23" xfId="15131"/>
    <cellStyle name="Note 9 23 2" xfId="15132"/>
    <cellStyle name="Note 9 23 3" xfId="15133"/>
    <cellStyle name="Note 9 23 4" xfId="15134"/>
    <cellStyle name="Note 9 23 5" xfId="15135"/>
    <cellStyle name="Note 9 24" xfId="15136"/>
    <cellStyle name="Note 9 24 2" xfId="15137"/>
    <cellStyle name="Note 9 24 3" xfId="15138"/>
    <cellStyle name="Note 9 24 4" xfId="15139"/>
    <cellStyle name="Note 9 24 5" xfId="15140"/>
    <cellStyle name="Note 9 25" xfId="15141"/>
    <cellStyle name="Note 9 25 2" xfId="15142"/>
    <cellStyle name="Note 9 25 3" xfId="15143"/>
    <cellStyle name="Note 9 25 4" xfId="15144"/>
    <cellStyle name="Note 9 25 5" xfId="15145"/>
    <cellStyle name="Note 9 26" xfId="15146"/>
    <cellStyle name="Note 9 26 2" xfId="15147"/>
    <cellStyle name="Note 9 26 3" xfId="15148"/>
    <cellStyle name="Note 9 26 4" xfId="15149"/>
    <cellStyle name="Note 9 26 5" xfId="15150"/>
    <cellStyle name="Note 9 27" xfId="15151"/>
    <cellStyle name="Note 9 27 2" xfId="15152"/>
    <cellStyle name="Note 9 27 3" xfId="15153"/>
    <cellStyle name="Note 9 27 4" xfId="15154"/>
    <cellStyle name="Note 9 27 5" xfId="15155"/>
    <cellStyle name="Note 9 28" xfId="15156"/>
    <cellStyle name="Note 9 28 2" xfId="15157"/>
    <cellStyle name="Note 9 28 3" xfId="15158"/>
    <cellStyle name="Note 9 28 4" xfId="15159"/>
    <cellStyle name="Note 9 28 5" xfId="15160"/>
    <cellStyle name="Note 9 29" xfId="15161"/>
    <cellStyle name="Note 9 29 2" xfId="15162"/>
    <cellStyle name="Note 9 29 3" xfId="15163"/>
    <cellStyle name="Note 9 29 4" xfId="15164"/>
    <cellStyle name="Note 9 29 5" xfId="15165"/>
    <cellStyle name="Note 9 3" xfId="15166"/>
    <cellStyle name="Note 9 3 2" xfId="15167"/>
    <cellStyle name="Note 9 3 3" xfId="15168"/>
    <cellStyle name="Note 9 3 4" xfId="15169"/>
    <cellStyle name="Note 9 3 5" xfId="15170"/>
    <cellStyle name="Note 9 30" xfId="15171"/>
    <cellStyle name="Note 9 30 2" xfId="15172"/>
    <cellStyle name="Note 9 30 3" xfId="15173"/>
    <cellStyle name="Note 9 30 4" xfId="15174"/>
    <cellStyle name="Note 9 30 5" xfId="15175"/>
    <cellStyle name="Note 9 31" xfId="15176"/>
    <cellStyle name="Note 9 31 2" xfId="15177"/>
    <cellStyle name="Note 9 31 3" xfId="15178"/>
    <cellStyle name="Note 9 31 4" xfId="15179"/>
    <cellStyle name="Note 9 31 5" xfId="15180"/>
    <cellStyle name="Note 9 32" xfId="15181"/>
    <cellStyle name="Note 9 32 2" xfId="15182"/>
    <cellStyle name="Note 9 32 3" xfId="15183"/>
    <cellStyle name="Note 9 32 4" xfId="15184"/>
    <cellStyle name="Note 9 32 5" xfId="15185"/>
    <cellStyle name="Note 9 33" xfId="15186"/>
    <cellStyle name="Note 9 33 2" xfId="15187"/>
    <cellStyle name="Note 9 33 3" xfId="15188"/>
    <cellStyle name="Note 9 34" xfId="15189"/>
    <cellStyle name="Note 9 35" xfId="15190"/>
    <cellStyle name="Note 9 36" xfId="15191"/>
    <cellStyle name="Note 9 37" xfId="15192"/>
    <cellStyle name="Note 9 38" xfId="15193"/>
    <cellStyle name="Note 9 39" xfId="15194"/>
    <cellStyle name="Note 9 4" xfId="15195"/>
    <cellStyle name="Note 9 4 2" xfId="15196"/>
    <cellStyle name="Note 9 4 3" xfId="15197"/>
    <cellStyle name="Note 9 4 4" xfId="15198"/>
    <cellStyle name="Note 9 4 5" xfId="15199"/>
    <cellStyle name="Note 9 40" xfId="15200"/>
    <cellStyle name="Note 9 41" xfId="15201"/>
    <cellStyle name="Note 9 42" xfId="15202"/>
    <cellStyle name="Note 9 43" xfId="15203"/>
    <cellStyle name="Note 9 44" xfId="15204"/>
    <cellStyle name="Note 9 45" xfId="15205"/>
    <cellStyle name="Note 9 46" xfId="15206"/>
    <cellStyle name="Note 9 47" xfId="15207"/>
    <cellStyle name="Note 9 48" xfId="15208"/>
    <cellStyle name="Note 9 49" xfId="15209"/>
    <cellStyle name="Note 9 5" xfId="15210"/>
    <cellStyle name="Note 9 5 2" xfId="15211"/>
    <cellStyle name="Note 9 5 3" xfId="15212"/>
    <cellStyle name="Note 9 5 4" xfId="15213"/>
    <cellStyle name="Note 9 5 5" xfId="15214"/>
    <cellStyle name="Note 9 50" xfId="15215"/>
    <cellStyle name="Note 9 51" xfId="15216"/>
    <cellStyle name="Note 9 52" xfId="15217"/>
    <cellStyle name="Note 9 53" xfId="15218"/>
    <cellStyle name="Note 9 54" xfId="15219"/>
    <cellStyle name="Note 9 55" xfId="15220"/>
    <cellStyle name="Note 9 56" xfId="15221"/>
    <cellStyle name="Note 9 57" xfId="15222"/>
    <cellStyle name="Note 9 58" xfId="15223"/>
    <cellStyle name="Note 9 59" xfId="15224"/>
    <cellStyle name="Note 9 6" xfId="15225"/>
    <cellStyle name="Note 9 6 2" xfId="15226"/>
    <cellStyle name="Note 9 6 3" xfId="15227"/>
    <cellStyle name="Note 9 6 4" xfId="15228"/>
    <cellStyle name="Note 9 6 5" xfId="15229"/>
    <cellStyle name="Note 9 60" xfId="15230"/>
    <cellStyle name="Note 9 61" xfId="15231"/>
    <cellStyle name="Note 9 62" xfId="15232"/>
    <cellStyle name="Note 9 63" xfId="15233"/>
    <cellStyle name="Note 9 64" xfId="15234"/>
    <cellStyle name="Note 9 65" xfId="15235"/>
    <cellStyle name="Note 9 66" xfId="15236"/>
    <cellStyle name="Note 9 67" xfId="15237"/>
    <cellStyle name="Note 9 68" xfId="15238"/>
    <cellStyle name="Note 9 7" xfId="15239"/>
    <cellStyle name="Note 9 7 2" xfId="15240"/>
    <cellStyle name="Note 9 7 3" xfId="15241"/>
    <cellStyle name="Note 9 7 4" xfId="15242"/>
    <cellStyle name="Note 9 7 5" xfId="15243"/>
    <cellStyle name="Note 9 8" xfId="15244"/>
    <cellStyle name="Note 9 8 2" xfId="15245"/>
    <cellStyle name="Note 9 8 3" xfId="15246"/>
    <cellStyle name="Note 9 8 4" xfId="15247"/>
    <cellStyle name="Note 9 8 5" xfId="15248"/>
    <cellStyle name="Note 9 9" xfId="15249"/>
    <cellStyle name="Note 9 9 2" xfId="15250"/>
    <cellStyle name="Note 9 9 3" xfId="15251"/>
    <cellStyle name="Note 9 9 4" xfId="15252"/>
    <cellStyle name="Note 9 9 5" xfId="15253"/>
    <cellStyle name="NPPESalesPct" xfId="15254"/>
    <cellStyle name="NPPESalesPct 2" xfId="15255"/>
    <cellStyle name="NPPESalesPct 3" xfId="20936"/>
    <cellStyle name="NPPESalesPct 4" xfId="20937"/>
    <cellStyle name="NPPESalesPct_PKS" xfId="20938"/>
    <cellStyle name="NWI%S" xfId="15256"/>
    <cellStyle name="NWI%S 2" xfId="15257"/>
    <cellStyle name="NWI%S 3" xfId="20939"/>
    <cellStyle name="NWI%S 4" xfId="20940"/>
    <cellStyle name="NWI%S_PKS" xfId="20941"/>
    <cellStyle name="Output 10" xfId="15258"/>
    <cellStyle name="Output 10 10" xfId="15259"/>
    <cellStyle name="Output 10 10 2" xfId="15260"/>
    <cellStyle name="Output 10 10 3" xfId="15261"/>
    <cellStyle name="Output 10 10 4" xfId="15262"/>
    <cellStyle name="Output 10 10 5" xfId="15263"/>
    <cellStyle name="Output 10 11" xfId="15264"/>
    <cellStyle name="Output 10 11 2" xfId="15265"/>
    <cellStyle name="Output 10 11 3" xfId="15266"/>
    <cellStyle name="Output 10 11 4" xfId="15267"/>
    <cellStyle name="Output 10 11 5" xfId="15268"/>
    <cellStyle name="Output 10 12" xfId="15269"/>
    <cellStyle name="Output 10 12 2" xfId="15270"/>
    <cellStyle name="Output 10 12 3" xfId="15271"/>
    <cellStyle name="Output 10 12 4" xfId="15272"/>
    <cellStyle name="Output 10 12 5" xfId="15273"/>
    <cellStyle name="Output 10 13" xfId="15274"/>
    <cellStyle name="Output 10 13 2" xfId="15275"/>
    <cellStyle name="Output 10 13 3" xfId="15276"/>
    <cellStyle name="Output 10 13 4" xfId="15277"/>
    <cellStyle name="Output 10 13 5" xfId="15278"/>
    <cellStyle name="Output 10 14" xfId="15279"/>
    <cellStyle name="Output 10 14 2" xfId="15280"/>
    <cellStyle name="Output 10 14 3" xfId="15281"/>
    <cellStyle name="Output 10 14 4" xfId="15282"/>
    <cellStyle name="Output 10 14 5" xfId="15283"/>
    <cellStyle name="Output 10 15" xfId="15284"/>
    <cellStyle name="Output 10 15 2" xfId="15285"/>
    <cellStyle name="Output 10 15 3" xfId="15286"/>
    <cellStyle name="Output 10 15 4" xfId="15287"/>
    <cellStyle name="Output 10 15 5" xfId="15288"/>
    <cellStyle name="Output 10 16" xfId="15289"/>
    <cellStyle name="Output 10 16 2" xfId="15290"/>
    <cellStyle name="Output 10 16 3" xfId="15291"/>
    <cellStyle name="Output 10 16 4" xfId="15292"/>
    <cellStyle name="Output 10 16 5" xfId="15293"/>
    <cellStyle name="Output 10 17" xfId="15294"/>
    <cellStyle name="Output 10 17 2" xfId="15295"/>
    <cellStyle name="Output 10 17 3" xfId="15296"/>
    <cellStyle name="Output 10 17 4" xfId="15297"/>
    <cellStyle name="Output 10 17 5" xfId="15298"/>
    <cellStyle name="Output 10 18" xfId="15299"/>
    <cellStyle name="Output 10 18 2" xfId="15300"/>
    <cellStyle name="Output 10 18 3" xfId="15301"/>
    <cellStyle name="Output 10 18 4" xfId="15302"/>
    <cellStyle name="Output 10 18 5" xfId="15303"/>
    <cellStyle name="Output 10 19" xfId="15304"/>
    <cellStyle name="Output 10 19 2" xfId="15305"/>
    <cellStyle name="Output 10 19 3" xfId="15306"/>
    <cellStyle name="Output 10 19 4" xfId="15307"/>
    <cellStyle name="Output 10 19 5" xfId="15308"/>
    <cellStyle name="Output 10 2" xfId="15309"/>
    <cellStyle name="Output 10 2 2" xfId="15310"/>
    <cellStyle name="Output 10 2 2 2" xfId="15311"/>
    <cellStyle name="Output 10 2 2 3" xfId="15312"/>
    <cellStyle name="Output 10 2 2 4" xfId="15313"/>
    <cellStyle name="Output 10 2 2 5" xfId="15314"/>
    <cellStyle name="Output 10 2 3" xfId="15315"/>
    <cellStyle name="Output 10 2 3 2" xfId="15316"/>
    <cellStyle name="Output 10 2 3 3" xfId="15317"/>
    <cellStyle name="Output 10 2 3 4" xfId="15318"/>
    <cellStyle name="Output 10 2 3 5" xfId="15319"/>
    <cellStyle name="Output 10 2 4" xfId="15320"/>
    <cellStyle name="Output 10 2 4 2" xfId="15321"/>
    <cellStyle name="Output 10 2 4 3" xfId="15322"/>
    <cellStyle name="Output 10 2 4 4" xfId="15323"/>
    <cellStyle name="Output 10 2 4 5" xfId="15324"/>
    <cellStyle name="Output 10 2 5" xfId="15325"/>
    <cellStyle name="Output 10 2 5 2" xfId="15326"/>
    <cellStyle name="Output 10 2 5 3" xfId="15327"/>
    <cellStyle name="Output 10 2 5 4" xfId="15328"/>
    <cellStyle name="Output 10 2 5 5" xfId="15329"/>
    <cellStyle name="Output 10 2 6" xfId="15330"/>
    <cellStyle name="Output 10 2 7" xfId="15331"/>
    <cellStyle name="Output 10 2 8" xfId="15332"/>
    <cellStyle name="Output 10 2 9" xfId="15333"/>
    <cellStyle name="Output 10 20" xfId="15334"/>
    <cellStyle name="Output 10 20 2" xfId="15335"/>
    <cellStyle name="Output 10 20 3" xfId="15336"/>
    <cellStyle name="Output 10 20 4" xfId="15337"/>
    <cellStyle name="Output 10 20 5" xfId="15338"/>
    <cellStyle name="Output 10 21" xfId="15339"/>
    <cellStyle name="Output 10 21 2" xfId="15340"/>
    <cellStyle name="Output 10 21 3" xfId="15341"/>
    <cellStyle name="Output 10 21 4" xfId="15342"/>
    <cellStyle name="Output 10 21 5" xfId="15343"/>
    <cellStyle name="Output 10 22" xfId="15344"/>
    <cellStyle name="Output 10 22 2" xfId="15345"/>
    <cellStyle name="Output 10 22 3" xfId="15346"/>
    <cellStyle name="Output 10 22 4" xfId="15347"/>
    <cellStyle name="Output 10 22 5" xfId="15348"/>
    <cellStyle name="Output 10 23" xfId="15349"/>
    <cellStyle name="Output 10 23 2" xfId="15350"/>
    <cellStyle name="Output 10 23 3" xfId="15351"/>
    <cellStyle name="Output 10 23 4" xfId="15352"/>
    <cellStyle name="Output 10 23 5" xfId="15353"/>
    <cellStyle name="Output 10 24" xfId="15354"/>
    <cellStyle name="Output 10 24 2" xfId="15355"/>
    <cellStyle name="Output 10 24 3" xfId="15356"/>
    <cellStyle name="Output 10 24 4" xfId="15357"/>
    <cellStyle name="Output 10 24 5" xfId="15358"/>
    <cellStyle name="Output 10 25" xfId="15359"/>
    <cellStyle name="Output 10 25 2" xfId="15360"/>
    <cellStyle name="Output 10 25 3" xfId="15361"/>
    <cellStyle name="Output 10 25 4" xfId="15362"/>
    <cellStyle name="Output 10 25 5" xfId="15363"/>
    <cellStyle name="Output 10 26" xfId="15364"/>
    <cellStyle name="Output 10 26 2" xfId="15365"/>
    <cellStyle name="Output 10 26 3" xfId="15366"/>
    <cellStyle name="Output 10 26 4" xfId="15367"/>
    <cellStyle name="Output 10 26 5" xfId="15368"/>
    <cellStyle name="Output 10 27" xfId="15369"/>
    <cellStyle name="Output 10 27 2" xfId="15370"/>
    <cellStyle name="Output 10 27 3" xfId="15371"/>
    <cellStyle name="Output 10 27 4" xfId="15372"/>
    <cellStyle name="Output 10 27 5" xfId="15373"/>
    <cellStyle name="Output 10 28" xfId="15374"/>
    <cellStyle name="Output 10 28 2" xfId="15375"/>
    <cellStyle name="Output 10 28 3" xfId="15376"/>
    <cellStyle name="Output 10 28 4" xfId="15377"/>
    <cellStyle name="Output 10 28 5" xfId="15378"/>
    <cellStyle name="Output 10 29" xfId="15379"/>
    <cellStyle name="Output 10 29 2" xfId="15380"/>
    <cellStyle name="Output 10 29 3" xfId="15381"/>
    <cellStyle name="Output 10 29 4" xfId="15382"/>
    <cellStyle name="Output 10 29 5" xfId="15383"/>
    <cellStyle name="Output 10 3" xfId="15384"/>
    <cellStyle name="Output 10 3 2" xfId="15385"/>
    <cellStyle name="Output 10 3 3" xfId="15386"/>
    <cellStyle name="Output 10 3 4" xfId="15387"/>
    <cellStyle name="Output 10 3 5" xfId="15388"/>
    <cellStyle name="Output 10 30" xfId="15389"/>
    <cellStyle name="Output 10 30 2" xfId="15390"/>
    <cellStyle name="Output 10 30 3" xfId="15391"/>
    <cellStyle name="Output 10 30 4" xfId="15392"/>
    <cellStyle name="Output 10 30 5" xfId="15393"/>
    <cellStyle name="Output 10 31" xfId="15394"/>
    <cellStyle name="Output 10 31 2" xfId="15395"/>
    <cellStyle name="Output 10 31 3" xfId="15396"/>
    <cellStyle name="Output 10 31 4" xfId="15397"/>
    <cellStyle name="Output 10 31 5" xfId="15398"/>
    <cellStyle name="Output 10 32" xfId="15399"/>
    <cellStyle name="Output 10 32 2" xfId="15400"/>
    <cellStyle name="Output 10 32 3" xfId="15401"/>
    <cellStyle name="Output 10 32 4" xfId="15402"/>
    <cellStyle name="Output 10 32 5" xfId="15403"/>
    <cellStyle name="Output 10 33" xfId="15404"/>
    <cellStyle name="Output 10 33 2" xfId="15405"/>
    <cellStyle name="Output 10 33 3" xfId="15406"/>
    <cellStyle name="Output 10 33 4" xfId="15407"/>
    <cellStyle name="Output 10 33 5" xfId="15408"/>
    <cellStyle name="Output 10 34" xfId="15409"/>
    <cellStyle name="Output 10 34 2" xfId="15410"/>
    <cellStyle name="Output 10 34 3" xfId="15411"/>
    <cellStyle name="Output 10 34 4" xfId="15412"/>
    <cellStyle name="Output 10 34 5" xfId="15413"/>
    <cellStyle name="Output 10 35" xfId="15414"/>
    <cellStyle name="Output 10 35 2" xfId="15415"/>
    <cellStyle name="Output 10 35 3" xfId="15416"/>
    <cellStyle name="Output 10 36" xfId="15417"/>
    <cellStyle name="Output 10 37" xfId="15418"/>
    <cellStyle name="Output 10 38" xfId="15419"/>
    <cellStyle name="Output 10 39" xfId="15420"/>
    <cellStyle name="Output 10 4" xfId="15421"/>
    <cellStyle name="Output 10 4 2" xfId="15422"/>
    <cellStyle name="Output 10 4 3" xfId="15423"/>
    <cellStyle name="Output 10 4 4" xfId="15424"/>
    <cellStyle name="Output 10 4 5" xfId="15425"/>
    <cellStyle name="Output 10 40" xfId="15426"/>
    <cellStyle name="Output 10 41" xfId="15427"/>
    <cellStyle name="Output 10 42" xfId="15428"/>
    <cellStyle name="Output 10 43" xfId="15429"/>
    <cellStyle name="Output 10 44" xfId="15430"/>
    <cellStyle name="Output 10 45" xfId="15431"/>
    <cellStyle name="Output 10 46" xfId="15432"/>
    <cellStyle name="Output 10 47" xfId="15433"/>
    <cellStyle name="Output 10 48" xfId="15434"/>
    <cellStyle name="Output 10 49" xfId="15435"/>
    <cellStyle name="Output 10 5" xfId="15436"/>
    <cellStyle name="Output 10 5 2" xfId="15437"/>
    <cellStyle name="Output 10 5 3" xfId="15438"/>
    <cellStyle name="Output 10 5 4" xfId="15439"/>
    <cellStyle name="Output 10 5 5" xfId="15440"/>
    <cellStyle name="Output 10 50" xfId="15441"/>
    <cellStyle name="Output 10 51" xfId="15442"/>
    <cellStyle name="Output 10 52" xfId="15443"/>
    <cellStyle name="Output 10 53" xfId="15444"/>
    <cellStyle name="Output 10 54" xfId="15445"/>
    <cellStyle name="Output 10 55" xfId="15446"/>
    <cellStyle name="Output 10 56" xfId="15447"/>
    <cellStyle name="Output 10 57" xfId="15448"/>
    <cellStyle name="Output 10 58" xfId="15449"/>
    <cellStyle name="Output 10 59" xfId="15450"/>
    <cellStyle name="Output 10 6" xfId="15451"/>
    <cellStyle name="Output 10 6 2" xfId="15452"/>
    <cellStyle name="Output 10 6 3" xfId="15453"/>
    <cellStyle name="Output 10 6 4" xfId="15454"/>
    <cellStyle name="Output 10 6 5" xfId="15455"/>
    <cellStyle name="Output 10 60" xfId="15456"/>
    <cellStyle name="Output 10 61" xfId="15457"/>
    <cellStyle name="Output 10 62" xfId="15458"/>
    <cellStyle name="Output 10 63" xfId="15459"/>
    <cellStyle name="Output 10 64" xfId="15460"/>
    <cellStyle name="Output 10 65" xfId="15461"/>
    <cellStyle name="Output 10 66" xfId="15462"/>
    <cellStyle name="Output 10 67" xfId="15463"/>
    <cellStyle name="Output 10 68" xfId="15464"/>
    <cellStyle name="Output 10 7" xfId="15465"/>
    <cellStyle name="Output 10 7 2" xfId="15466"/>
    <cellStyle name="Output 10 7 3" xfId="15467"/>
    <cellStyle name="Output 10 7 4" xfId="15468"/>
    <cellStyle name="Output 10 7 5" xfId="15469"/>
    <cellStyle name="Output 10 8" xfId="15470"/>
    <cellStyle name="Output 10 8 2" xfId="15471"/>
    <cellStyle name="Output 10 8 3" xfId="15472"/>
    <cellStyle name="Output 10 8 4" xfId="15473"/>
    <cellStyle name="Output 10 8 5" xfId="15474"/>
    <cellStyle name="Output 10 9" xfId="15475"/>
    <cellStyle name="Output 10 9 2" xfId="15476"/>
    <cellStyle name="Output 10 9 3" xfId="15477"/>
    <cellStyle name="Output 10 9 4" xfId="15478"/>
    <cellStyle name="Output 10 9 5" xfId="15479"/>
    <cellStyle name="Output 11" xfId="15480"/>
    <cellStyle name="Output 11 10" xfId="15481"/>
    <cellStyle name="Output 11 10 2" xfId="15482"/>
    <cellStyle name="Output 11 10 3" xfId="15483"/>
    <cellStyle name="Output 11 10 4" xfId="15484"/>
    <cellStyle name="Output 11 10 5" xfId="15485"/>
    <cellStyle name="Output 11 11" xfId="15486"/>
    <cellStyle name="Output 11 11 2" xfId="15487"/>
    <cellStyle name="Output 11 11 3" xfId="15488"/>
    <cellStyle name="Output 11 11 4" xfId="15489"/>
    <cellStyle name="Output 11 11 5" xfId="15490"/>
    <cellStyle name="Output 11 12" xfId="15491"/>
    <cellStyle name="Output 11 12 2" xfId="15492"/>
    <cellStyle name="Output 11 12 3" xfId="15493"/>
    <cellStyle name="Output 11 12 4" xfId="15494"/>
    <cellStyle name="Output 11 12 5" xfId="15495"/>
    <cellStyle name="Output 11 13" xfId="15496"/>
    <cellStyle name="Output 11 13 2" xfId="15497"/>
    <cellStyle name="Output 11 13 3" xfId="15498"/>
    <cellStyle name="Output 11 13 4" xfId="15499"/>
    <cellStyle name="Output 11 13 5" xfId="15500"/>
    <cellStyle name="Output 11 14" xfId="15501"/>
    <cellStyle name="Output 11 14 2" xfId="15502"/>
    <cellStyle name="Output 11 14 3" xfId="15503"/>
    <cellStyle name="Output 11 14 4" xfId="15504"/>
    <cellStyle name="Output 11 14 5" xfId="15505"/>
    <cellStyle name="Output 11 15" xfId="15506"/>
    <cellStyle name="Output 11 15 2" xfId="15507"/>
    <cellStyle name="Output 11 15 3" xfId="15508"/>
    <cellStyle name="Output 11 15 4" xfId="15509"/>
    <cellStyle name="Output 11 15 5" xfId="15510"/>
    <cellStyle name="Output 11 16" xfId="15511"/>
    <cellStyle name="Output 11 16 2" xfId="15512"/>
    <cellStyle name="Output 11 16 3" xfId="15513"/>
    <cellStyle name="Output 11 16 4" xfId="15514"/>
    <cellStyle name="Output 11 16 5" xfId="15515"/>
    <cellStyle name="Output 11 17" xfId="15516"/>
    <cellStyle name="Output 11 17 2" xfId="15517"/>
    <cellStyle name="Output 11 17 3" xfId="15518"/>
    <cellStyle name="Output 11 17 4" xfId="15519"/>
    <cellStyle name="Output 11 17 5" xfId="15520"/>
    <cellStyle name="Output 11 18" xfId="15521"/>
    <cellStyle name="Output 11 18 2" xfId="15522"/>
    <cellStyle name="Output 11 18 3" xfId="15523"/>
    <cellStyle name="Output 11 18 4" xfId="15524"/>
    <cellStyle name="Output 11 18 5" xfId="15525"/>
    <cellStyle name="Output 11 19" xfId="15526"/>
    <cellStyle name="Output 11 19 2" xfId="15527"/>
    <cellStyle name="Output 11 19 3" xfId="15528"/>
    <cellStyle name="Output 11 19 4" xfId="15529"/>
    <cellStyle name="Output 11 19 5" xfId="15530"/>
    <cellStyle name="Output 11 2" xfId="15531"/>
    <cellStyle name="Output 11 2 2" xfId="15532"/>
    <cellStyle name="Output 11 2 2 2" xfId="15533"/>
    <cellStyle name="Output 11 2 2 3" xfId="15534"/>
    <cellStyle name="Output 11 2 2 4" xfId="15535"/>
    <cellStyle name="Output 11 2 2 5" xfId="15536"/>
    <cellStyle name="Output 11 2 3" xfId="15537"/>
    <cellStyle name="Output 11 2 3 2" xfId="15538"/>
    <cellStyle name="Output 11 2 3 3" xfId="15539"/>
    <cellStyle name="Output 11 2 3 4" xfId="15540"/>
    <cellStyle name="Output 11 2 3 5" xfId="15541"/>
    <cellStyle name="Output 11 2 4" xfId="15542"/>
    <cellStyle name="Output 11 2 4 2" xfId="15543"/>
    <cellStyle name="Output 11 2 4 3" xfId="15544"/>
    <cellStyle name="Output 11 2 4 4" xfId="15545"/>
    <cellStyle name="Output 11 2 4 5" xfId="15546"/>
    <cellStyle name="Output 11 2 5" xfId="15547"/>
    <cellStyle name="Output 11 2 5 2" xfId="15548"/>
    <cellStyle name="Output 11 2 5 3" xfId="15549"/>
    <cellStyle name="Output 11 2 5 4" xfId="15550"/>
    <cellStyle name="Output 11 2 5 5" xfId="15551"/>
    <cellStyle name="Output 11 2 6" xfId="15552"/>
    <cellStyle name="Output 11 2 7" xfId="15553"/>
    <cellStyle name="Output 11 2 8" xfId="15554"/>
    <cellStyle name="Output 11 2 9" xfId="15555"/>
    <cellStyle name="Output 11 20" xfId="15556"/>
    <cellStyle name="Output 11 20 2" xfId="15557"/>
    <cellStyle name="Output 11 20 3" xfId="15558"/>
    <cellStyle name="Output 11 20 4" xfId="15559"/>
    <cellStyle name="Output 11 20 5" xfId="15560"/>
    <cellStyle name="Output 11 21" xfId="15561"/>
    <cellStyle name="Output 11 21 2" xfId="15562"/>
    <cellStyle name="Output 11 21 3" xfId="15563"/>
    <cellStyle name="Output 11 21 4" xfId="15564"/>
    <cellStyle name="Output 11 21 5" xfId="15565"/>
    <cellStyle name="Output 11 22" xfId="15566"/>
    <cellStyle name="Output 11 22 2" xfId="15567"/>
    <cellStyle name="Output 11 22 3" xfId="15568"/>
    <cellStyle name="Output 11 22 4" xfId="15569"/>
    <cellStyle name="Output 11 22 5" xfId="15570"/>
    <cellStyle name="Output 11 23" xfId="15571"/>
    <cellStyle name="Output 11 23 2" xfId="15572"/>
    <cellStyle name="Output 11 23 3" xfId="15573"/>
    <cellStyle name="Output 11 23 4" xfId="15574"/>
    <cellStyle name="Output 11 23 5" xfId="15575"/>
    <cellStyle name="Output 11 24" xfId="15576"/>
    <cellStyle name="Output 11 24 2" xfId="15577"/>
    <cellStyle name="Output 11 24 3" xfId="15578"/>
    <cellStyle name="Output 11 24 4" xfId="15579"/>
    <cellStyle name="Output 11 24 5" xfId="15580"/>
    <cellStyle name="Output 11 25" xfId="15581"/>
    <cellStyle name="Output 11 25 2" xfId="15582"/>
    <cellStyle name="Output 11 25 3" xfId="15583"/>
    <cellStyle name="Output 11 25 4" xfId="15584"/>
    <cellStyle name="Output 11 25 5" xfId="15585"/>
    <cellStyle name="Output 11 26" xfId="15586"/>
    <cellStyle name="Output 11 26 2" xfId="15587"/>
    <cellStyle name="Output 11 26 3" xfId="15588"/>
    <cellStyle name="Output 11 26 4" xfId="15589"/>
    <cellStyle name="Output 11 26 5" xfId="15590"/>
    <cellStyle name="Output 11 27" xfId="15591"/>
    <cellStyle name="Output 11 27 2" xfId="15592"/>
    <cellStyle name="Output 11 27 3" xfId="15593"/>
    <cellStyle name="Output 11 27 4" xfId="15594"/>
    <cellStyle name="Output 11 27 5" xfId="15595"/>
    <cellStyle name="Output 11 28" xfId="15596"/>
    <cellStyle name="Output 11 28 2" xfId="15597"/>
    <cellStyle name="Output 11 28 3" xfId="15598"/>
    <cellStyle name="Output 11 28 4" xfId="15599"/>
    <cellStyle name="Output 11 28 5" xfId="15600"/>
    <cellStyle name="Output 11 29" xfId="15601"/>
    <cellStyle name="Output 11 29 2" xfId="15602"/>
    <cellStyle name="Output 11 29 3" xfId="15603"/>
    <cellStyle name="Output 11 29 4" xfId="15604"/>
    <cellStyle name="Output 11 29 5" xfId="15605"/>
    <cellStyle name="Output 11 3" xfId="15606"/>
    <cellStyle name="Output 11 3 2" xfId="15607"/>
    <cellStyle name="Output 11 3 3" xfId="15608"/>
    <cellStyle name="Output 11 3 4" xfId="15609"/>
    <cellStyle name="Output 11 3 5" xfId="15610"/>
    <cellStyle name="Output 11 30" xfId="15611"/>
    <cellStyle name="Output 11 30 2" xfId="15612"/>
    <cellStyle name="Output 11 30 3" xfId="15613"/>
    <cellStyle name="Output 11 30 4" xfId="15614"/>
    <cellStyle name="Output 11 30 5" xfId="15615"/>
    <cellStyle name="Output 11 31" xfId="15616"/>
    <cellStyle name="Output 11 31 2" xfId="15617"/>
    <cellStyle name="Output 11 31 3" xfId="15618"/>
    <cellStyle name="Output 11 31 4" xfId="15619"/>
    <cellStyle name="Output 11 31 5" xfId="15620"/>
    <cellStyle name="Output 11 32" xfId="15621"/>
    <cellStyle name="Output 11 32 2" xfId="15622"/>
    <cellStyle name="Output 11 32 3" xfId="15623"/>
    <cellStyle name="Output 11 32 4" xfId="15624"/>
    <cellStyle name="Output 11 32 5" xfId="15625"/>
    <cellStyle name="Output 11 33" xfId="15626"/>
    <cellStyle name="Output 11 33 2" xfId="15627"/>
    <cellStyle name="Output 11 33 3" xfId="15628"/>
    <cellStyle name="Output 11 33 4" xfId="15629"/>
    <cellStyle name="Output 11 33 5" xfId="15630"/>
    <cellStyle name="Output 11 34" xfId="15631"/>
    <cellStyle name="Output 11 34 2" xfId="15632"/>
    <cellStyle name="Output 11 34 3" xfId="15633"/>
    <cellStyle name="Output 11 34 4" xfId="15634"/>
    <cellStyle name="Output 11 34 5" xfId="15635"/>
    <cellStyle name="Output 11 35" xfId="15636"/>
    <cellStyle name="Output 11 35 2" xfId="15637"/>
    <cellStyle name="Output 11 35 3" xfId="15638"/>
    <cellStyle name="Output 11 36" xfId="15639"/>
    <cellStyle name="Output 11 37" xfId="15640"/>
    <cellStyle name="Output 11 38" xfId="15641"/>
    <cellStyle name="Output 11 39" xfId="15642"/>
    <cellStyle name="Output 11 4" xfId="15643"/>
    <cellStyle name="Output 11 4 2" xfId="15644"/>
    <cellStyle name="Output 11 4 3" xfId="15645"/>
    <cellStyle name="Output 11 4 4" xfId="15646"/>
    <cellStyle name="Output 11 4 5" xfId="15647"/>
    <cellStyle name="Output 11 40" xfId="15648"/>
    <cellStyle name="Output 11 41" xfId="15649"/>
    <cellStyle name="Output 11 42" xfId="15650"/>
    <cellStyle name="Output 11 43" xfId="15651"/>
    <cellStyle name="Output 11 44" xfId="15652"/>
    <cellStyle name="Output 11 45" xfId="15653"/>
    <cellStyle name="Output 11 46" xfId="15654"/>
    <cellStyle name="Output 11 47" xfId="15655"/>
    <cellStyle name="Output 11 48" xfId="15656"/>
    <cellStyle name="Output 11 49" xfId="15657"/>
    <cellStyle name="Output 11 5" xfId="15658"/>
    <cellStyle name="Output 11 5 2" xfId="15659"/>
    <cellStyle name="Output 11 5 3" xfId="15660"/>
    <cellStyle name="Output 11 5 4" xfId="15661"/>
    <cellStyle name="Output 11 5 5" xfId="15662"/>
    <cellStyle name="Output 11 50" xfId="15663"/>
    <cellStyle name="Output 11 51" xfId="15664"/>
    <cellStyle name="Output 11 52" xfId="15665"/>
    <cellStyle name="Output 11 53" xfId="15666"/>
    <cellStyle name="Output 11 54" xfId="15667"/>
    <cellStyle name="Output 11 55" xfId="15668"/>
    <cellStyle name="Output 11 56" xfId="15669"/>
    <cellStyle name="Output 11 57" xfId="15670"/>
    <cellStyle name="Output 11 58" xfId="15671"/>
    <cellStyle name="Output 11 59" xfId="15672"/>
    <cellStyle name="Output 11 6" xfId="15673"/>
    <cellStyle name="Output 11 6 2" xfId="15674"/>
    <cellStyle name="Output 11 6 3" xfId="15675"/>
    <cellStyle name="Output 11 6 4" xfId="15676"/>
    <cellStyle name="Output 11 6 5" xfId="15677"/>
    <cellStyle name="Output 11 60" xfId="15678"/>
    <cellStyle name="Output 11 61" xfId="15679"/>
    <cellStyle name="Output 11 62" xfId="15680"/>
    <cellStyle name="Output 11 63" xfId="15681"/>
    <cellStyle name="Output 11 64" xfId="15682"/>
    <cellStyle name="Output 11 65" xfId="15683"/>
    <cellStyle name="Output 11 66" xfId="15684"/>
    <cellStyle name="Output 11 67" xfId="15685"/>
    <cellStyle name="Output 11 68" xfId="15686"/>
    <cellStyle name="Output 11 7" xfId="15687"/>
    <cellStyle name="Output 11 7 2" xfId="15688"/>
    <cellStyle name="Output 11 7 3" xfId="15689"/>
    <cellStyle name="Output 11 7 4" xfId="15690"/>
    <cellStyle name="Output 11 7 5" xfId="15691"/>
    <cellStyle name="Output 11 8" xfId="15692"/>
    <cellStyle name="Output 11 8 2" xfId="15693"/>
    <cellStyle name="Output 11 8 3" xfId="15694"/>
    <cellStyle name="Output 11 8 4" xfId="15695"/>
    <cellStyle name="Output 11 8 5" xfId="15696"/>
    <cellStyle name="Output 11 9" xfId="15697"/>
    <cellStyle name="Output 11 9 2" xfId="15698"/>
    <cellStyle name="Output 11 9 3" xfId="15699"/>
    <cellStyle name="Output 11 9 4" xfId="15700"/>
    <cellStyle name="Output 11 9 5" xfId="15701"/>
    <cellStyle name="Output 12" xfId="15702"/>
    <cellStyle name="Output 12 10" xfId="15703"/>
    <cellStyle name="Output 12 10 2" xfId="15704"/>
    <cellStyle name="Output 12 10 3" xfId="15705"/>
    <cellStyle name="Output 12 10 4" xfId="15706"/>
    <cellStyle name="Output 12 10 5" xfId="15707"/>
    <cellStyle name="Output 12 11" xfId="15708"/>
    <cellStyle name="Output 12 11 2" xfId="15709"/>
    <cellStyle name="Output 12 11 3" xfId="15710"/>
    <cellStyle name="Output 12 11 4" xfId="15711"/>
    <cellStyle name="Output 12 11 5" xfId="15712"/>
    <cellStyle name="Output 12 12" xfId="15713"/>
    <cellStyle name="Output 12 12 2" xfId="15714"/>
    <cellStyle name="Output 12 12 3" xfId="15715"/>
    <cellStyle name="Output 12 12 4" xfId="15716"/>
    <cellStyle name="Output 12 12 5" xfId="15717"/>
    <cellStyle name="Output 12 13" xfId="15718"/>
    <cellStyle name="Output 12 13 2" xfId="15719"/>
    <cellStyle name="Output 12 13 3" xfId="15720"/>
    <cellStyle name="Output 12 13 4" xfId="15721"/>
    <cellStyle name="Output 12 13 5" xfId="15722"/>
    <cellStyle name="Output 12 14" xfId="15723"/>
    <cellStyle name="Output 12 14 2" xfId="15724"/>
    <cellStyle name="Output 12 14 3" xfId="15725"/>
    <cellStyle name="Output 12 14 4" xfId="15726"/>
    <cellStyle name="Output 12 14 5" xfId="15727"/>
    <cellStyle name="Output 12 15" xfId="15728"/>
    <cellStyle name="Output 12 15 2" xfId="15729"/>
    <cellStyle name="Output 12 15 3" xfId="15730"/>
    <cellStyle name="Output 12 15 4" xfId="15731"/>
    <cellStyle name="Output 12 15 5" xfId="15732"/>
    <cellStyle name="Output 12 16" xfId="15733"/>
    <cellStyle name="Output 12 16 2" xfId="15734"/>
    <cellStyle name="Output 12 16 3" xfId="15735"/>
    <cellStyle name="Output 12 16 4" xfId="15736"/>
    <cellStyle name="Output 12 16 5" xfId="15737"/>
    <cellStyle name="Output 12 17" xfId="15738"/>
    <cellStyle name="Output 12 17 2" xfId="15739"/>
    <cellStyle name="Output 12 17 3" xfId="15740"/>
    <cellStyle name="Output 12 17 4" xfId="15741"/>
    <cellStyle name="Output 12 17 5" xfId="15742"/>
    <cellStyle name="Output 12 18" xfId="15743"/>
    <cellStyle name="Output 12 18 2" xfId="15744"/>
    <cellStyle name="Output 12 18 3" xfId="15745"/>
    <cellStyle name="Output 12 18 4" xfId="15746"/>
    <cellStyle name="Output 12 18 5" xfId="15747"/>
    <cellStyle name="Output 12 19" xfId="15748"/>
    <cellStyle name="Output 12 19 2" xfId="15749"/>
    <cellStyle name="Output 12 19 3" xfId="15750"/>
    <cellStyle name="Output 12 19 4" xfId="15751"/>
    <cellStyle name="Output 12 19 5" xfId="15752"/>
    <cellStyle name="Output 12 2" xfId="15753"/>
    <cellStyle name="Output 12 2 2" xfId="15754"/>
    <cellStyle name="Output 12 2 2 2" xfId="15755"/>
    <cellStyle name="Output 12 2 2 3" xfId="15756"/>
    <cellStyle name="Output 12 2 2 4" xfId="15757"/>
    <cellStyle name="Output 12 2 2 5" xfId="15758"/>
    <cellStyle name="Output 12 2 3" xfId="15759"/>
    <cellStyle name="Output 12 2 3 2" xfId="15760"/>
    <cellStyle name="Output 12 2 3 3" xfId="15761"/>
    <cellStyle name="Output 12 2 3 4" xfId="15762"/>
    <cellStyle name="Output 12 2 3 5" xfId="15763"/>
    <cellStyle name="Output 12 2 4" xfId="15764"/>
    <cellStyle name="Output 12 2 4 2" xfId="15765"/>
    <cellStyle name="Output 12 2 4 3" xfId="15766"/>
    <cellStyle name="Output 12 2 4 4" xfId="15767"/>
    <cellStyle name="Output 12 2 4 5" xfId="15768"/>
    <cellStyle name="Output 12 2 5" xfId="15769"/>
    <cellStyle name="Output 12 2 5 2" xfId="15770"/>
    <cellStyle name="Output 12 2 5 3" xfId="15771"/>
    <cellStyle name="Output 12 2 5 4" xfId="15772"/>
    <cellStyle name="Output 12 2 5 5" xfId="15773"/>
    <cellStyle name="Output 12 2 6" xfId="15774"/>
    <cellStyle name="Output 12 2 7" xfId="15775"/>
    <cellStyle name="Output 12 2 8" xfId="15776"/>
    <cellStyle name="Output 12 2 9" xfId="15777"/>
    <cellStyle name="Output 12 20" xfId="15778"/>
    <cellStyle name="Output 12 20 2" xfId="15779"/>
    <cellStyle name="Output 12 20 3" xfId="15780"/>
    <cellStyle name="Output 12 20 4" xfId="15781"/>
    <cellStyle name="Output 12 20 5" xfId="15782"/>
    <cellStyle name="Output 12 21" xfId="15783"/>
    <cellStyle name="Output 12 21 2" xfId="15784"/>
    <cellStyle name="Output 12 21 3" xfId="15785"/>
    <cellStyle name="Output 12 21 4" xfId="15786"/>
    <cellStyle name="Output 12 21 5" xfId="15787"/>
    <cellStyle name="Output 12 22" xfId="15788"/>
    <cellStyle name="Output 12 22 2" xfId="15789"/>
    <cellStyle name="Output 12 22 3" xfId="15790"/>
    <cellStyle name="Output 12 22 4" xfId="15791"/>
    <cellStyle name="Output 12 22 5" xfId="15792"/>
    <cellStyle name="Output 12 23" xfId="15793"/>
    <cellStyle name="Output 12 23 2" xfId="15794"/>
    <cellStyle name="Output 12 23 3" xfId="15795"/>
    <cellStyle name="Output 12 23 4" xfId="15796"/>
    <cellStyle name="Output 12 23 5" xfId="15797"/>
    <cellStyle name="Output 12 24" xfId="15798"/>
    <cellStyle name="Output 12 24 2" xfId="15799"/>
    <cellStyle name="Output 12 24 3" xfId="15800"/>
    <cellStyle name="Output 12 24 4" xfId="15801"/>
    <cellStyle name="Output 12 24 5" xfId="15802"/>
    <cellStyle name="Output 12 25" xfId="15803"/>
    <cellStyle name="Output 12 25 2" xfId="15804"/>
    <cellStyle name="Output 12 25 3" xfId="15805"/>
    <cellStyle name="Output 12 25 4" xfId="15806"/>
    <cellStyle name="Output 12 25 5" xfId="15807"/>
    <cellStyle name="Output 12 26" xfId="15808"/>
    <cellStyle name="Output 12 26 2" xfId="15809"/>
    <cellStyle name="Output 12 26 3" xfId="15810"/>
    <cellStyle name="Output 12 26 4" xfId="15811"/>
    <cellStyle name="Output 12 26 5" xfId="15812"/>
    <cellStyle name="Output 12 27" xfId="15813"/>
    <cellStyle name="Output 12 27 2" xfId="15814"/>
    <cellStyle name="Output 12 27 3" xfId="15815"/>
    <cellStyle name="Output 12 27 4" xfId="15816"/>
    <cellStyle name="Output 12 27 5" xfId="15817"/>
    <cellStyle name="Output 12 28" xfId="15818"/>
    <cellStyle name="Output 12 28 2" xfId="15819"/>
    <cellStyle name="Output 12 28 3" xfId="15820"/>
    <cellStyle name="Output 12 28 4" xfId="15821"/>
    <cellStyle name="Output 12 28 5" xfId="15822"/>
    <cellStyle name="Output 12 29" xfId="15823"/>
    <cellStyle name="Output 12 29 2" xfId="15824"/>
    <cellStyle name="Output 12 29 3" xfId="15825"/>
    <cellStyle name="Output 12 29 4" xfId="15826"/>
    <cellStyle name="Output 12 29 5" xfId="15827"/>
    <cellStyle name="Output 12 3" xfId="15828"/>
    <cellStyle name="Output 12 3 2" xfId="15829"/>
    <cellStyle name="Output 12 3 3" xfId="15830"/>
    <cellStyle name="Output 12 3 4" xfId="15831"/>
    <cellStyle name="Output 12 3 5" xfId="15832"/>
    <cellStyle name="Output 12 30" xfId="15833"/>
    <cellStyle name="Output 12 30 2" xfId="15834"/>
    <cellStyle name="Output 12 30 3" xfId="15835"/>
    <cellStyle name="Output 12 30 4" xfId="15836"/>
    <cellStyle name="Output 12 30 5" xfId="15837"/>
    <cellStyle name="Output 12 31" xfId="15838"/>
    <cellStyle name="Output 12 31 2" xfId="15839"/>
    <cellStyle name="Output 12 31 3" xfId="15840"/>
    <cellStyle name="Output 12 31 4" xfId="15841"/>
    <cellStyle name="Output 12 31 5" xfId="15842"/>
    <cellStyle name="Output 12 32" xfId="15843"/>
    <cellStyle name="Output 12 32 2" xfId="15844"/>
    <cellStyle name="Output 12 32 3" xfId="15845"/>
    <cellStyle name="Output 12 32 4" xfId="15846"/>
    <cellStyle name="Output 12 32 5" xfId="15847"/>
    <cellStyle name="Output 12 33" xfId="15848"/>
    <cellStyle name="Output 12 33 2" xfId="15849"/>
    <cellStyle name="Output 12 33 3" xfId="15850"/>
    <cellStyle name="Output 12 33 4" xfId="15851"/>
    <cellStyle name="Output 12 33 5" xfId="15852"/>
    <cellStyle name="Output 12 34" xfId="15853"/>
    <cellStyle name="Output 12 34 2" xfId="15854"/>
    <cellStyle name="Output 12 34 3" xfId="15855"/>
    <cellStyle name="Output 12 34 4" xfId="15856"/>
    <cellStyle name="Output 12 34 5" xfId="15857"/>
    <cellStyle name="Output 12 35" xfId="15858"/>
    <cellStyle name="Output 12 35 2" xfId="15859"/>
    <cellStyle name="Output 12 35 3" xfId="15860"/>
    <cellStyle name="Output 12 36" xfId="15861"/>
    <cellStyle name="Output 12 37" xfId="15862"/>
    <cellStyle name="Output 12 38" xfId="15863"/>
    <cellStyle name="Output 12 39" xfId="15864"/>
    <cellStyle name="Output 12 4" xfId="15865"/>
    <cellStyle name="Output 12 4 2" xfId="15866"/>
    <cellStyle name="Output 12 4 3" xfId="15867"/>
    <cellStyle name="Output 12 4 4" xfId="15868"/>
    <cellStyle name="Output 12 4 5" xfId="15869"/>
    <cellStyle name="Output 12 40" xfId="15870"/>
    <cellStyle name="Output 12 41" xfId="15871"/>
    <cellStyle name="Output 12 42" xfId="15872"/>
    <cellStyle name="Output 12 43" xfId="15873"/>
    <cellStyle name="Output 12 44" xfId="15874"/>
    <cellStyle name="Output 12 45" xfId="15875"/>
    <cellStyle name="Output 12 46" xfId="15876"/>
    <cellStyle name="Output 12 47" xfId="15877"/>
    <cellStyle name="Output 12 48" xfId="15878"/>
    <cellStyle name="Output 12 49" xfId="15879"/>
    <cellStyle name="Output 12 5" xfId="15880"/>
    <cellStyle name="Output 12 5 2" xfId="15881"/>
    <cellStyle name="Output 12 5 3" xfId="15882"/>
    <cellStyle name="Output 12 5 4" xfId="15883"/>
    <cellStyle name="Output 12 5 5" xfId="15884"/>
    <cellStyle name="Output 12 50" xfId="15885"/>
    <cellStyle name="Output 12 51" xfId="15886"/>
    <cellStyle name="Output 12 52" xfId="15887"/>
    <cellStyle name="Output 12 53" xfId="15888"/>
    <cellStyle name="Output 12 54" xfId="15889"/>
    <cellStyle name="Output 12 55" xfId="15890"/>
    <cellStyle name="Output 12 56" xfId="15891"/>
    <cellStyle name="Output 12 57" xfId="15892"/>
    <cellStyle name="Output 12 58" xfId="15893"/>
    <cellStyle name="Output 12 59" xfId="15894"/>
    <cellStyle name="Output 12 6" xfId="15895"/>
    <cellStyle name="Output 12 6 2" xfId="15896"/>
    <cellStyle name="Output 12 6 3" xfId="15897"/>
    <cellStyle name="Output 12 6 4" xfId="15898"/>
    <cellStyle name="Output 12 6 5" xfId="15899"/>
    <cellStyle name="Output 12 60" xfId="15900"/>
    <cellStyle name="Output 12 61" xfId="15901"/>
    <cellStyle name="Output 12 62" xfId="15902"/>
    <cellStyle name="Output 12 63" xfId="15903"/>
    <cellStyle name="Output 12 64" xfId="15904"/>
    <cellStyle name="Output 12 65" xfId="15905"/>
    <cellStyle name="Output 12 66" xfId="15906"/>
    <cellStyle name="Output 12 67" xfId="15907"/>
    <cellStyle name="Output 12 68" xfId="15908"/>
    <cellStyle name="Output 12 7" xfId="15909"/>
    <cellStyle name="Output 12 7 2" xfId="15910"/>
    <cellStyle name="Output 12 7 3" xfId="15911"/>
    <cellStyle name="Output 12 7 4" xfId="15912"/>
    <cellStyle name="Output 12 7 5" xfId="15913"/>
    <cellStyle name="Output 12 8" xfId="15914"/>
    <cellStyle name="Output 12 8 2" xfId="15915"/>
    <cellStyle name="Output 12 8 3" xfId="15916"/>
    <cellStyle name="Output 12 8 4" xfId="15917"/>
    <cellStyle name="Output 12 8 5" xfId="15918"/>
    <cellStyle name="Output 12 9" xfId="15919"/>
    <cellStyle name="Output 12 9 2" xfId="15920"/>
    <cellStyle name="Output 12 9 3" xfId="15921"/>
    <cellStyle name="Output 12 9 4" xfId="15922"/>
    <cellStyle name="Output 12 9 5" xfId="15923"/>
    <cellStyle name="Output 2" xfId="15924"/>
    <cellStyle name="Output 2 10" xfId="15925"/>
    <cellStyle name="Output 2 10 2" xfId="15926"/>
    <cellStyle name="Output 2 10 3" xfId="15927"/>
    <cellStyle name="Output 2 10 4" xfId="15928"/>
    <cellStyle name="Output 2 10 5" xfId="15929"/>
    <cellStyle name="Output 2 11" xfId="15930"/>
    <cellStyle name="Output 2 11 2" xfId="15931"/>
    <cellStyle name="Output 2 11 3" xfId="15932"/>
    <cellStyle name="Output 2 11 4" xfId="15933"/>
    <cellStyle name="Output 2 11 5" xfId="15934"/>
    <cellStyle name="Output 2 12" xfId="15935"/>
    <cellStyle name="Output 2 12 2" xfId="15936"/>
    <cellStyle name="Output 2 12 3" xfId="15937"/>
    <cellStyle name="Output 2 12 4" xfId="15938"/>
    <cellStyle name="Output 2 12 5" xfId="15939"/>
    <cellStyle name="Output 2 13" xfId="15940"/>
    <cellStyle name="Output 2 13 2" xfId="15941"/>
    <cellStyle name="Output 2 13 3" xfId="15942"/>
    <cellStyle name="Output 2 13 4" xfId="15943"/>
    <cellStyle name="Output 2 13 5" xfId="15944"/>
    <cellStyle name="Output 2 14" xfId="15945"/>
    <cellStyle name="Output 2 14 2" xfId="15946"/>
    <cellStyle name="Output 2 14 3" xfId="15947"/>
    <cellStyle name="Output 2 14 4" xfId="15948"/>
    <cellStyle name="Output 2 14 5" xfId="15949"/>
    <cellStyle name="Output 2 15" xfId="15950"/>
    <cellStyle name="Output 2 15 2" xfId="15951"/>
    <cellStyle name="Output 2 15 3" xfId="15952"/>
    <cellStyle name="Output 2 15 4" xfId="15953"/>
    <cellStyle name="Output 2 15 5" xfId="15954"/>
    <cellStyle name="Output 2 16" xfId="15955"/>
    <cellStyle name="Output 2 16 2" xfId="15956"/>
    <cellStyle name="Output 2 16 3" xfId="15957"/>
    <cellStyle name="Output 2 16 4" xfId="15958"/>
    <cellStyle name="Output 2 16 5" xfId="15959"/>
    <cellStyle name="Output 2 17" xfId="15960"/>
    <cellStyle name="Output 2 17 2" xfId="15961"/>
    <cellStyle name="Output 2 17 3" xfId="15962"/>
    <cellStyle name="Output 2 17 4" xfId="15963"/>
    <cellStyle name="Output 2 17 5" xfId="15964"/>
    <cellStyle name="Output 2 18" xfId="15965"/>
    <cellStyle name="Output 2 18 2" xfId="15966"/>
    <cellStyle name="Output 2 18 3" xfId="15967"/>
    <cellStyle name="Output 2 18 4" xfId="15968"/>
    <cellStyle name="Output 2 18 5" xfId="15969"/>
    <cellStyle name="Output 2 19" xfId="15970"/>
    <cellStyle name="Output 2 19 2" xfId="15971"/>
    <cellStyle name="Output 2 19 3" xfId="15972"/>
    <cellStyle name="Output 2 19 4" xfId="15973"/>
    <cellStyle name="Output 2 19 5" xfId="15974"/>
    <cellStyle name="Output 2 2" xfId="15975"/>
    <cellStyle name="Output 2 2 2" xfId="15976"/>
    <cellStyle name="Output 2 2 2 2" xfId="15977"/>
    <cellStyle name="Output 2 2 2 3" xfId="15978"/>
    <cellStyle name="Output 2 2 2 4" xfId="15979"/>
    <cellStyle name="Output 2 2 2 5" xfId="15980"/>
    <cellStyle name="Output 2 2 3" xfId="15981"/>
    <cellStyle name="Output 2 2 3 2" xfId="15982"/>
    <cellStyle name="Output 2 2 3 3" xfId="15983"/>
    <cellStyle name="Output 2 2 3 4" xfId="15984"/>
    <cellStyle name="Output 2 2 3 5" xfId="15985"/>
    <cellStyle name="Output 2 2 4" xfId="15986"/>
    <cellStyle name="Output 2 2 4 2" xfId="15987"/>
    <cellStyle name="Output 2 2 4 3" xfId="15988"/>
    <cellStyle name="Output 2 2 4 4" xfId="15989"/>
    <cellStyle name="Output 2 2 4 5" xfId="15990"/>
    <cellStyle name="Output 2 2 5" xfId="15991"/>
    <cellStyle name="Output 2 2 5 2" xfId="15992"/>
    <cellStyle name="Output 2 2 5 3" xfId="15993"/>
    <cellStyle name="Output 2 2 5 4" xfId="15994"/>
    <cellStyle name="Output 2 2 5 5" xfId="15995"/>
    <cellStyle name="Output 2 2 6" xfId="15996"/>
    <cellStyle name="Output 2 2 7" xfId="15997"/>
    <cellStyle name="Output 2 2 8" xfId="15998"/>
    <cellStyle name="Output 2 2 9" xfId="15999"/>
    <cellStyle name="Output 2 20" xfId="16000"/>
    <cellStyle name="Output 2 20 2" xfId="16001"/>
    <cellStyle name="Output 2 20 3" xfId="16002"/>
    <cellStyle name="Output 2 20 4" xfId="16003"/>
    <cellStyle name="Output 2 20 5" xfId="16004"/>
    <cellStyle name="Output 2 21" xfId="16005"/>
    <cellStyle name="Output 2 21 2" xfId="16006"/>
    <cellStyle name="Output 2 21 3" xfId="16007"/>
    <cellStyle name="Output 2 21 4" xfId="16008"/>
    <cellStyle name="Output 2 21 5" xfId="16009"/>
    <cellStyle name="Output 2 22" xfId="16010"/>
    <cellStyle name="Output 2 22 2" xfId="16011"/>
    <cellStyle name="Output 2 22 3" xfId="16012"/>
    <cellStyle name="Output 2 22 4" xfId="16013"/>
    <cellStyle name="Output 2 22 5" xfId="16014"/>
    <cellStyle name="Output 2 23" xfId="16015"/>
    <cellStyle name="Output 2 23 2" xfId="16016"/>
    <cellStyle name="Output 2 23 3" xfId="16017"/>
    <cellStyle name="Output 2 23 4" xfId="16018"/>
    <cellStyle name="Output 2 23 5" xfId="16019"/>
    <cellStyle name="Output 2 24" xfId="16020"/>
    <cellStyle name="Output 2 24 2" xfId="16021"/>
    <cellStyle name="Output 2 24 3" xfId="16022"/>
    <cellStyle name="Output 2 24 4" xfId="16023"/>
    <cellStyle name="Output 2 24 5" xfId="16024"/>
    <cellStyle name="Output 2 25" xfId="16025"/>
    <cellStyle name="Output 2 25 2" xfId="16026"/>
    <cellStyle name="Output 2 25 3" xfId="16027"/>
    <cellStyle name="Output 2 25 4" xfId="16028"/>
    <cellStyle name="Output 2 25 5" xfId="16029"/>
    <cellStyle name="Output 2 26" xfId="16030"/>
    <cellStyle name="Output 2 26 2" xfId="16031"/>
    <cellStyle name="Output 2 26 3" xfId="16032"/>
    <cellStyle name="Output 2 26 4" xfId="16033"/>
    <cellStyle name="Output 2 26 5" xfId="16034"/>
    <cellStyle name="Output 2 27" xfId="16035"/>
    <cellStyle name="Output 2 27 2" xfId="16036"/>
    <cellStyle name="Output 2 27 3" xfId="16037"/>
    <cellStyle name="Output 2 27 4" xfId="16038"/>
    <cellStyle name="Output 2 27 5" xfId="16039"/>
    <cellStyle name="Output 2 28" xfId="16040"/>
    <cellStyle name="Output 2 28 2" xfId="16041"/>
    <cellStyle name="Output 2 28 3" xfId="16042"/>
    <cellStyle name="Output 2 28 4" xfId="16043"/>
    <cellStyle name="Output 2 28 5" xfId="16044"/>
    <cellStyle name="Output 2 29" xfId="16045"/>
    <cellStyle name="Output 2 29 2" xfId="16046"/>
    <cellStyle name="Output 2 29 3" xfId="16047"/>
    <cellStyle name="Output 2 29 4" xfId="16048"/>
    <cellStyle name="Output 2 29 5" xfId="16049"/>
    <cellStyle name="Output 2 3" xfId="16050"/>
    <cellStyle name="Output 2 3 2" xfId="16051"/>
    <cellStyle name="Output 2 3 3" xfId="16052"/>
    <cellStyle name="Output 2 3 4" xfId="16053"/>
    <cellStyle name="Output 2 3 5" xfId="16054"/>
    <cellStyle name="Output 2 30" xfId="16055"/>
    <cellStyle name="Output 2 30 2" xfId="16056"/>
    <cellStyle name="Output 2 30 3" xfId="16057"/>
    <cellStyle name="Output 2 30 4" xfId="16058"/>
    <cellStyle name="Output 2 30 5" xfId="16059"/>
    <cellStyle name="Output 2 31" xfId="16060"/>
    <cellStyle name="Output 2 31 2" xfId="16061"/>
    <cellStyle name="Output 2 31 3" xfId="16062"/>
    <cellStyle name="Output 2 31 4" xfId="16063"/>
    <cellStyle name="Output 2 31 5" xfId="16064"/>
    <cellStyle name="Output 2 32" xfId="16065"/>
    <cellStyle name="Output 2 32 2" xfId="16066"/>
    <cellStyle name="Output 2 32 3" xfId="16067"/>
    <cellStyle name="Output 2 32 4" xfId="16068"/>
    <cellStyle name="Output 2 32 5" xfId="16069"/>
    <cellStyle name="Output 2 33" xfId="16070"/>
    <cellStyle name="Output 2 33 2" xfId="16071"/>
    <cellStyle name="Output 2 33 3" xfId="16072"/>
    <cellStyle name="Output 2 33 4" xfId="16073"/>
    <cellStyle name="Output 2 33 5" xfId="16074"/>
    <cellStyle name="Output 2 34" xfId="16075"/>
    <cellStyle name="Output 2 34 2" xfId="16076"/>
    <cellStyle name="Output 2 34 3" xfId="16077"/>
    <cellStyle name="Output 2 34 4" xfId="16078"/>
    <cellStyle name="Output 2 34 5" xfId="16079"/>
    <cellStyle name="Output 2 35" xfId="16080"/>
    <cellStyle name="Output 2 35 2" xfId="16081"/>
    <cellStyle name="Output 2 35 3" xfId="16082"/>
    <cellStyle name="Output 2 36" xfId="16083"/>
    <cellStyle name="Output 2 37" xfId="16084"/>
    <cellStyle name="Output 2 38" xfId="16085"/>
    <cellStyle name="Output 2 39" xfId="16086"/>
    <cellStyle name="Output 2 4" xfId="16087"/>
    <cellStyle name="Output 2 4 2" xfId="16088"/>
    <cellStyle name="Output 2 4 3" xfId="16089"/>
    <cellStyle name="Output 2 4 4" xfId="16090"/>
    <cellStyle name="Output 2 4 5" xfId="16091"/>
    <cellStyle name="Output 2 40" xfId="16092"/>
    <cellStyle name="Output 2 41" xfId="16093"/>
    <cellStyle name="Output 2 42" xfId="16094"/>
    <cellStyle name="Output 2 43" xfId="16095"/>
    <cellStyle name="Output 2 44" xfId="16096"/>
    <cellStyle name="Output 2 45" xfId="16097"/>
    <cellStyle name="Output 2 46" xfId="16098"/>
    <cellStyle name="Output 2 47" xfId="16099"/>
    <cellStyle name="Output 2 48" xfId="16100"/>
    <cellStyle name="Output 2 49" xfId="16101"/>
    <cellStyle name="Output 2 5" xfId="16102"/>
    <cellStyle name="Output 2 5 2" xfId="16103"/>
    <cellStyle name="Output 2 5 3" xfId="16104"/>
    <cellStyle name="Output 2 5 4" xfId="16105"/>
    <cellStyle name="Output 2 5 5" xfId="16106"/>
    <cellStyle name="Output 2 50" xfId="16107"/>
    <cellStyle name="Output 2 51" xfId="16108"/>
    <cellStyle name="Output 2 52" xfId="16109"/>
    <cellStyle name="Output 2 53" xfId="16110"/>
    <cellStyle name="Output 2 54" xfId="16111"/>
    <cellStyle name="Output 2 55" xfId="16112"/>
    <cellStyle name="Output 2 56" xfId="16113"/>
    <cellStyle name="Output 2 57" xfId="16114"/>
    <cellStyle name="Output 2 58" xfId="16115"/>
    <cellStyle name="Output 2 59" xfId="16116"/>
    <cellStyle name="Output 2 6" xfId="16117"/>
    <cellStyle name="Output 2 6 2" xfId="16118"/>
    <cellStyle name="Output 2 6 3" xfId="16119"/>
    <cellStyle name="Output 2 6 4" xfId="16120"/>
    <cellStyle name="Output 2 6 5" xfId="16121"/>
    <cellStyle name="Output 2 60" xfId="16122"/>
    <cellStyle name="Output 2 61" xfId="16123"/>
    <cellStyle name="Output 2 62" xfId="16124"/>
    <cellStyle name="Output 2 63" xfId="16125"/>
    <cellStyle name="Output 2 64" xfId="16126"/>
    <cellStyle name="Output 2 65" xfId="16127"/>
    <cellStyle name="Output 2 66" xfId="16128"/>
    <cellStyle name="Output 2 67" xfId="16129"/>
    <cellStyle name="Output 2 68" xfId="16130"/>
    <cellStyle name="Output 2 7" xfId="16131"/>
    <cellStyle name="Output 2 7 2" xfId="16132"/>
    <cellStyle name="Output 2 7 3" xfId="16133"/>
    <cellStyle name="Output 2 7 4" xfId="16134"/>
    <cellStyle name="Output 2 7 5" xfId="16135"/>
    <cellStyle name="Output 2 8" xfId="16136"/>
    <cellStyle name="Output 2 8 2" xfId="16137"/>
    <cellStyle name="Output 2 8 3" xfId="16138"/>
    <cellStyle name="Output 2 8 4" xfId="16139"/>
    <cellStyle name="Output 2 8 5" xfId="16140"/>
    <cellStyle name="Output 2 9" xfId="16141"/>
    <cellStyle name="Output 2 9 2" xfId="16142"/>
    <cellStyle name="Output 2 9 3" xfId="16143"/>
    <cellStyle name="Output 2 9 4" xfId="16144"/>
    <cellStyle name="Output 2 9 5" xfId="16145"/>
    <cellStyle name="Output 3" xfId="16146"/>
    <cellStyle name="Output 3 10" xfId="16147"/>
    <cellStyle name="Output 3 10 2" xfId="16148"/>
    <cellStyle name="Output 3 10 3" xfId="16149"/>
    <cellStyle name="Output 3 10 4" xfId="16150"/>
    <cellStyle name="Output 3 10 5" xfId="16151"/>
    <cellStyle name="Output 3 11" xfId="16152"/>
    <cellStyle name="Output 3 11 2" xfId="16153"/>
    <cellStyle name="Output 3 11 3" xfId="16154"/>
    <cellStyle name="Output 3 11 4" xfId="16155"/>
    <cellStyle name="Output 3 11 5" xfId="16156"/>
    <cellStyle name="Output 3 12" xfId="16157"/>
    <cellStyle name="Output 3 12 2" xfId="16158"/>
    <cellStyle name="Output 3 12 3" xfId="16159"/>
    <cellStyle name="Output 3 12 4" xfId="16160"/>
    <cellStyle name="Output 3 12 5" xfId="16161"/>
    <cellStyle name="Output 3 13" xfId="16162"/>
    <cellStyle name="Output 3 13 2" xfId="16163"/>
    <cellStyle name="Output 3 13 3" xfId="16164"/>
    <cellStyle name="Output 3 13 4" xfId="16165"/>
    <cellStyle name="Output 3 13 5" xfId="16166"/>
    <cellStyle name="Output 3 14" xfId="16167"/>
    <cellStyle name="Output 3 14 2" xfId="16168"/>
    <cellStyle name="Output 3 14 3" xfId="16169"/>
    <cellStyle name="Output 3 14 4" xfId="16170"/>
    <cellStyle name="Output 3 14 5" xfId="16171"/>
    <cellStyle name="Output 3 15" xfId="16172"/>
    <cellStyle name="Output 3 15 2" xfId="16173"/>
    <cellStyle name="Output 3 15 3" xfId="16174"/>
    <cellStyle name="Output 3 15 4" xfId="16175"/>
    <cellStyle name="Output 3 15 5" xfId="16176"/>
    <cellStyle name="Output 3 16" xfId="16177"/>
    <cellStyle name="Output 3 16 2" xfId="16178"/>
    <cellStyle name="Output 3 16 3" xfId="16179"/>
    <cellStyle name="Output 3 16 4" xfId="16180"/>
    <cellStyle name="Output 3 16 5" xfId="16181"/>
    <cellStyle name="Output 3 17" xfId="16182"/>
    <cellStyle name="Output 3 17 2" xfId="16183"/>
    <cellStyle name="Output 3 17 3" xfId="16184"/>
    <cellStyle name="Output 3 17 4" xfId="16185"/>
    <cellStyle name="Output 3 17 5" xfId="16186"/>
    <cellStyle name="Output 3 18" xfId="16187"/>
    <cellStyle name="Output 3 18 2" xfId="16188"/>
    <cellStyle name="Output 3 18 3" xfId="16189"/>
    <cellStyle name="Output 3 18 4" xfId="16190"/>
    <cellStyle name="Output 3 18 5" xfId="16191"/>
    <cellStyle name="Output 3 19" xfId="16192"/>
    <cellStyle name="Output 3 19 2" xfId="16193"/>
    <cellStyle name="Output 3 19 3" xfId="16194"/>
    <cellStyle name="Output 3 19 4" xfId="16195"/>
    <cellStyle name="Output 3 19 5" xfId="16196"/>
    <cellStyle name="Output 3 2" xfId="16197"/>
    <cellStyle name="Output 3 2 2" xfId="16198"/>
    <cellStyle name="Output 3 2 2 2" xfId="16199"/>
    <cellStyle name="Output 3 2 2 3" xfId="16200"/>
    <cellStyle name="Output 3 2 2 4" xfId="16201"/>
    <cellStyle name="Output 3 2 2 5" xfId="16202"/>
    <cellStyle name="Output 3 2 3" xfId="16203"/>
    <cellStyle name="Output 3 2 3 2" xfId="16204"/>
    <cellStyle name="Output 3 2 3 3" xfId="16205"/>
    <cellStyle name="Output 3 2 3 4" xfId="16206"/>
    <cellStyle name="Output 3 2 3 5" xfId="16207"/>
    <cellStyle name="Output 3 2 4" xfId="16208"/>
    <cellStyle name="Output 3 2 4 2" xfId="16209"/>
    <cellStyle name="Output 3 2 4 3" xfId="16210"/>
    <cellStyle name="Output 3 2 4 4" xfId="16211"/>
    <cellStyle name="Output 3 2 4 5" xfId="16212"/>
    <cellStyle name="Output 3 2 5" xfId="16213"/>
    <cellStyle name="Output 3 2 5 2" xfId="16214"/>
    <cellStyle name="Output 3 2 5 3" xfId="16215"/>
    <cellStyle name="Output 3 2 5 4" xfId="16216"/>
    <cellStyle name="Output 3 2 5 5" xfId="16217"/>
    <cellStyle name="Output 3 2 6" xfId="16218"/>
    <cellStyle name="Output 3 2 7" xfId="16219"/>
    <cellStyle name="Output 3 2 8" xfId="16220"/>
    <cellStyle name="Output 3 2 9" xfId="16221"/>
    <cellStyle name="Output 3 20" xfId="16222"/>
    <cellStyle name="Output 3 20 2" xfId="16223"/>
    <cellStyle name="Output 3 20 3" xfId="16224"/>
    <cellStyle name="Output 3 20 4" xfId="16225"/>
    <cellStyle name="Output 3 20 5" xfId="16226"/>
    <cellStyle name="Output 3 21" xfId="16227"/>
    <cellStyle name="Output 3 21 2" xfId="16228"/>
    <cellStyle name="Output 3 21 3" xfId="16229"/>
    <cellStyle name="Output 3 21 4" xfId="16230"/>
    <cellStyle name="Output 3 21 5" xfId="16231"/>
    <cellStyle name="Output 3 22" xfId="16232"/>
    <cellStyle name="Output 3 22 2" xfId="16233"/>
    <cellStyle name="Output 3 22 3" xfId="16234"/>
    <cellStyle name="Output 3 22 4" xfId="16235"/>
    <cellStyle name="Output 3 22 5" xfId="16236"/>
    <cellStyle name="Output 3 23" xfId="16237"/>
    <cellStyle name="Output 3 23 2" xfId="16238"/>
    <cellStyle name="Output 3 23 3" xfId="16239"/>
    <cellStyle name="Output 3 23 4" xfId="16240"/>
    <cellStyle name="Output 3 23 5" xfId="16241"/>
    <cellStyle name="Output 3 24" xfId="16242"/>
    <cellStyle name="Output 3 24 2" xfId="16243"/>
    <cellStyle name="Output 3 24 3" xfId="16244"/>
    <cellStyle name="Output 3 24 4" xfId="16245"/>
    <cellStyle name="Output 3 24 5" xfId="16246"/>
    <cellStyle name="Output 3 25" xfId="16247"/>
    <cellStyle name="Output 3 25 2" xfId="16248"/>
    <cellStyle name="Output 3 25 3" xfId="16249"/>
    <cellStyle name="Output 3 25 4" xfId="16250"/>
    <cellStyle name="Output 3 25 5" xfId="16251"/>
    <cellStyle name="Output 3 26" xfId="16252"/>
    <cellStyle name="Output 3 26 2" xfId="16253"/>
    <cellStyle name="Output 3 26 3" xfId="16254"/>
    <cellStyle name="Output 3 26 4" xfId="16255"/>
    <cellStyle name="Output 3 26 5" xfId="16256"/>
    <cellStyle name="Output 3 27" xfId="16257"/>
    <cellStyle name="Output 3 27 2" xfId="16258"/>
    <cellStyle name="Output 3 27 3" xfId="16259"/>
    <cellStyle name="Output 3 27 4" xfId="16260"/>
    <cellStyle name="Output 3 27 5" xfId="16261"/>
    <cellStyle name="Output 3 28" xfId="16262"/>
    <cellStyle name="Output 3 28 2" xfId="16263"/>
    <cellStyle name="Output 3 28 3" xfId="16264"/>
    <cellStyle name="Output 3 28 4" xfId="16265"/>
    <cellStyle name="Output 3 28 5" xfId="16266"/>
    <cellStyle name="Output 3 29" xfId="16267"/>
    <cellStyle name="Output 3 29 2" xfId="16268"/>
    <cellStyle name="Output 3 29 3" xfId="16269"/>
    <cellStyle name="Output 3 29 4" xfId="16270"/>
    <cellStyle name="Output 3 29 5" xfId="16271"/>
    <cellStyle name="Output 3 3" xfId="16272"/>
    <cellStyle name="Output 3 3 2" xfId="16273"/>
    <cellStyle name="Output 3 3 3" xfId="16274"/>
    <cellStyle name="Output 3 3 4" xfId="16275"/>
    <cellStyle name="Output 3 3 5" xfId="16276"/>
    <cellStyle name="Output 3 30" xfId="16277"/>
    <cellStyle name="Output 3 30 2" xfId="16278"/>
    <cellStyle name="Output 3 30 3" xfId="16279"/>
    <cellStyle name="Output 3 30 4" xfId="16280"/>
    <cellStyle name="Output 3 30 5" xfId="16281"/>
    <cellStyle name="Output 3 31" xfId="16282"/>
    <cellStyle name="Output 3 31 2" xfId="16283"/>
    <cellStyle name="Output 3 31 3" xfId="16284"/>
    <cellStyle name="Output 3 31 4" xfId="16285"/>
    <cellStyle name="Output 3 31 5" xfId="16286"/>
    <cellStyle name="Output 3 32" xfId="16287"/>
    <cellStyle name="Output 3 32 2" xfId="16288"/>
    <cellStyle name="Output 3 32 3" xfId="16289"/>
    <cellStyle name="Output 3 32 4" xfId="16290"/>
    <cellStyle name="Output 3 32 5" xfId="16291"/>
    <cellStyle name="Output 3 33" xfId="16292"/>
    <cellStyle name="Output 3 33 2" xfId="16293"/>
    <cellStyle name="Output 3 33 3" xfId="16294"/>
    <cellStyle name="Output 3 33 4" xfId="16295"/>
    <cellStyle name="Output 3 33 5" xfId="16296"/>
    <cellStyle name="Output 3 34" xfId="16297"/>
    <cellStyle name="Output 3 34 2" xfId="16298"/>
    <cellStyle name="Output 3 34 3" xfId="16299"/>
    <cellStyle name="Output 3 34 4" xfId="16300"/>
    <cellStyle name="Output 3 34 5" xfId="16301"/>
    <cellStyle name="Output 3 35" xfId="16302"/>
    <cellStyle name="Output 3 35 2" xfId="16303"/>
    <cellStyle name="Output 3 35 3" xfId="16304"/>
    <cellStyle name="Output 3 36" xfId="16305"/>
    <cellStyle name="Output 3 37" xfId="16306"/>
    <cellStyle name="Output 3 38" xfId="16307"/>
    <cellStyle name="Output 3 39" xfId="16308"/>
    <cellStyle name="Output 3 4" xfId="16309"/>
    <cellStyle name="Output 3 4 2" xfId="16310"/>
    <cellStyle name="Output 3 4 3" xfId="16311"/>
    <cellStyle name="Output 3 4 4" xfId="16312"/>
    <cellStyle name="Output 3 4 5" xfId="16313"/>
    <cellStyle name="Output 3 40" xfId="16314"/>
    <cellStyle name="Output 3 41" xfId="16315"/>
    <cellStyle name="Output 3 42" xfId="16316"/>
    <cellStyle name="Output 3 43" xfId="16317"/>
    <cellStyle name="Output 3 44" xfId="16318"/>
    <cellStyle name="Output 3 45" xfId="16319"/>
    <cellStyle name="Output 3 46" xfId="16320"/>
    <cellStyle name="Output 3 47" xfId="16321"/>
    <cellStyle name="Output 3 48" xfId="16322"/>
    <cellStyle name="Output 3 49" xfId="16323"/>
    <cellStyle name="Output 3 5" xfId="16324"/>
    <cellStyle name="Output 3 5 2" xfId="16325"/>
    <cellStyle name="Output 3 5 3" xfId="16326"/>
    <cellStyle name="Output 3 5 4" xfId="16327"/>
    <cellStyle name="Output 3 5 5" xfId="16328"/>
    <cellStyle name="Output 3 50" xfId="16329"/>
    <cellStyle name="Output 3 51" xfId="16330"/>
    <cellStyle name="Output 3 52" xfId="16331"/>
    <cellStyle name="Output 3 53" xfId="16332"/>
    <cellStyle name="Output 3 54" xfId="16333"/>
    <cellStyle name="Output 3 55" xfId="16334"/>
    <cellStyle name="Output 3 56" xfId="16335"/>
    <cellStyle name="Output 3 57" xfId="16336"/>
    <cellStyle name="Output 3 58" xfId="16337"/>
    <cellStyle name="Output 3 59" xfId="16338"/>
    <cellStyle name="Output 3 6" xfId="16339"/>
    <cellStyle name="Output 3 6 2" xfId="16340"/>
    <cellStyle name="Output 3 6 3" xfId="16341"/>
    <cellStyle name="Output 3 6 4" xfId="16342"/>
    <cellStyle name="Output 3 6 5" xfId="16343"/>
    <cellStyle name="Output 3 60" xfId="16344"/>
    <cellStyle name="Output 3 61" xfId="16345"/>
    <cellStyle name="Output 3 62" xfId="16346"/>
    <cellStyle name="Output 3 63" xfId="16347"/>
    <cellStyle name="Output 3 64" xfId="16348"/>
    <cellStyle name="Output 3 65" xfId="16349"/>
    <cellStyle name="Output 3 66" xfId="16350"/>
    <cellStyle name="Output 3 67" xfId="16351"/>
    <cellStyle name="Output 3 68" xfId="16352"/>
    <cellStyle name="Output 3 7" xfId="16353"/>
    <cellStyle name="Output 3 7 2" xfId="16354"/>
    <cellStyle name="Output 3 7 3" xfId="16355"/>
    <cellStyle name="Output 3 7 4" xfId="16356"/>
    <cellStyle name="Output 3 7 5" xfId="16357"/>
    <cellStyle name="Output 3 8" xfId="16358"/>
    <cellStyle name="Output 3 8 2" xfId="16359"/>
    <cellStyle name="Output 3 8 3" xfId="16360"/>
    <cellStyle name="Output 3 8 4" xfId="16361"/>
    <cellStyle name="Output 3 8 5" xfId="16362"/>
    <cellStyle name="Output 3 9" xfId="16363"/>
    <cellStyle name="Output 3 9 2" xfId="16364"/>
    <cellStyle name="Output 3 9 3" xfId="16365"/>
    <cellStyle name="Output 3 9 4" xfId="16366"/>
    <cellStyle name="Output 3 9 5" xfId="16367"/>
    <cellStyle name="Output 4" xfId="16368"/>
    <cellStyle name="Output 4 10" xfId="16369"/>
    <cellStyle name="Output 4 10 2" xfId="16370"/>
    <cellStyle name="Output 4 10 3" xfId="16371"/>
    <cellStyle name="Output 4 10 4" xfId="16372"/>
    <cellStyle name="Output 4 10 5" xfId="16373"/>
    <cellStyle name="Output 4 11" xfId="16374"/>
    <cellStyle name="Output 4 11 2" xfId="16375"/>
    <cellStyle name="Output 4 11 3" xfId="16376"/>
    <cellStyle name="Output 4 11 4" xfId="16377"/>
    <cellStyle name="Output 4 11 5" xfId="16378"/>
    <cellStyle name="Output 4 12" xfId="16379"/>
    <cellStyle name="Output 4 12 2" xfId="16380"/>
    <cellStyle name="Output 4 12 3" xfId="16381"/>
    <cellStyle name="Output 4 12 4" xfId="16382"/>
    <cellStyle name="Output 4 12 5" xfId="16383"/>
    <cellStyle name="Output 4 13" xfId="16384"/>
    <cellStyle name="Output 4 13 2" xfId="16385"/>
    <cellStyle name="Output 4 13 3" xfId="16386"/>
    <cellStyle name="Output 4 13 4" xfId="16387"/>
    <cellStyle name="Output 4 13 5" xfId="16388"/>
    <cellStyle name="Output 4 14" xfId="16389"/>
    <cellStyle name="Output 4 14 2" xfId="16390"/>
    <cellStyle name="Output 4 14 3" xfId="16391"/>
    <cellStyle name="Output 4 14 4" xfId="16392"/>
    <cellStyle name="Output 4 14 5" xfId="16393"/>
    <cellStyle name="Output 4 15" xfId="16394"/>
    <cellStyle name="Output 4 15 2" xfId="16395"/>
    <cellStyle name="Output 4 15 3" xfId="16396"/>
    <cellStyle name="Output 4 15 4" xfId="16397"/>
    <cellStyle name="Output 4 15 5" xfId="16398"/>
    <cellStyle name="Output 4 16" xfId="16399"/>
    <cellStyle name="Output 4 16 2" xfId="16400"/>
    <cellStyle name="Output 4 16 3" xfId="16401"/>
    <cellStyle name="Output 4 16 4" xfId="16402"/>
    <cellStyle name="Output 4 16 5" xfId="16403"/>
    <cellStyle name="Output 4 17" xfId="16404"/>
    <cellStyle name="Output 4 17 2" xfId="16405"/>
    <cellStyle name="Output 4 17 3" xfId="16406"/>
    <cellStyle name="Output 4 17 4" xfId="16407"/>
    <cellStyle name="Output 4 17 5" xfId="16408"/>
    <cellStyle name="Output 4 18" xfId="16409"/>
    <cellStyle name="Output 4 18 2" xfId="16410"/>
    <cellStyle name="Output 4 18 3" xfId="16411"/>
    <cellStyle name="Output 4 18 4" xfId="16412"/>
    <cellStyle name="Output 4 18 5" xfId="16413"/>
    <cellStyle name="Output 4 19" xfId="16414"/>
    <cellStyle name="Output 4 19 2" xfId="16415"/>
    <cellStyle name="Output 4 19 3" xfId="16416"/>
    <cellStyle name="Output 4 19 4" xfId="16417"/>
    <cellStyle name="Output 4 19 5" xfId="16418"/>
    <cellStyle name="Output 4 2" xfId="16419"/>
    <cellStyle name="Output 4 2 2" xfId="16420"/>
    <cellStyle name="Output 4 2 2 2" xfId="16421"/>
    <cellStyle name="Output 4 2 2 3" xfId="16422"/>
    <cellStyle name="Output 4 2 2 4" xfId="16423"/>
    <cellStyle name="Output 4 2 2 5" xfId="16424"/>
    <cellStyle name="Output 4 2 3" xfId="16425"/>
    <cellStyle name="Output 4 2 3 2" xfId="16426"/>
    <cellStyle name="Output 4 2 3 3" xfId="16427"/>
    <cellStyle name="Output 4 2 3 4" xfId="16428"/>
    <cellStyle name="Output 4 2 3 5" xfId="16429"/>
    <cellStyle name="Output 4 2 4" xfId="16430"/>
    <cellStyle name="Output 4 2 4 2" xfId="16431"/>
    <cellStyle name="Output 4 2 4 3" xfId="16432"/>
    <cellStyle name="Output 4 2 4 4" xfId="16433"/>
    <cellStyle name="Output 4 2 4 5" xfId="16434"/>
    <cellStyle name="Output 4 2 5" xfId="16435"/>
    <cellStyle name="Output 4 2 5 2" xfId="16436"/>
    <cellStyle name="Output 4 2 5 3" xfId="16437"/>
    <cellStyle name="Output 4 2 5 4" xfId="16438"/>
    <cellStyle name="Output 4 2 5 5" xfId="16439"/>
    <cellStyle name="Output 4 2 6" xfId="16440"/>
    <cellStyle name="Output 4 2 7" xfId="16441"/>
    <cellStyle name="Output 4 2 8" xfId="16442"/>
    <cellStyle name="Output 4 2 9" xfId="16443"/>
    <cellStyle name="Output 4 20" xfId="16444"/>
    <cellStyle name="Output 4 20 2" xfId="16445"/>
    <cellStyle name="Output 4 20 3" xfId="16446"/>
    <cellStyle name="Output 4 20 4" xfId="16447"/>
    <cellStyle name="Output 4 20 5" xfId="16448"/>
    <cellStyle name="Output 4 21" xfId="16449"/>
    <cellStyle name="Output 4 21 2" xfId="16450"/>
    <cellStyle name="Output 4 21 3" xfId="16451"/>
    <cellStyle name="Output 4 21 4" xfId="16452"/>
    <cellStyle name="Output 4 21 5" xfId="16453"/>
    <cellStyle name="Output 4 22" xfId="16454"/>
    <cellStyle name="Output 4 22 2" xfId="16455"/>
    <cellStyle name="Output 4 22 3" xfId="16456"/>
    <cellStyle name="Output 4 22 4" xfId="16457"/>
    <cellStyle name="Output 4 22 5" xfId="16458"/>
    <cellStyle name="Output 4 23" xfId="16459"/>
    <cellStyle name="Output 4 23 2" xfId="16460"/>
    <cellStyle name="Output 4 23 3" xfId="16461"/>
    <cellStyle name="Output 4 23 4" xfId="16462"/>
    <cellStyle name="Output 4 23 5" xfId="16463"/>
    <cellStyle name="Output 4 24" xfId="16464"/>
    <cellStyle name="Output 4 24 2" xfId="16465"/>
    <cellStyle name="Output 4 24 3" xfId="16466"/>
    <cellStyle name="Output 4 24 4" xfId="16467"/>
    <cellStyle name="Output 4 24 5" xfId="16468"/>
    <cellStyle name="Output 4 25" xfId="16469"/>
    <cellStyle name="Output 4 25 2" xfId="16470"/>
    <cellStyle name="Output 4 25 3" xfId="16471"/>
    <cellStyle name="Output 4 25 4" xfId="16472"/>
    <cellStyle name="Output 4 25 5" xfId="16473"/>
    <cellStyle name="Output 4 26" xfId="16474"/>
    <cellStyle name="Output 4 26 2" xfId="16475"/>
    <cellStyle name="Output 4 26 3" xfId="16476"/>
    <cellStyle name="Output 4 26 4" xfId="16477"/>
    <cellStyle name="Output 4 26 5" xfId="16478"/>
    <cellStyle name="Output 4 27" xfId="16479"/>
    <cellStyle name="Output 4 27 2" xfId="16480"/>
    <cellStyle name="Output 4 27 3" xfId="16481"/>
    <cellStyle name="Output 4 27 4" xfId="16482"/>
    <cellStyle name="Output 4 27 5" xfId="16483"/>
    <cellStyle name="Output 4 28" xfId="16484"/>
    <cellStyle name="Output 4 28 2" xfId="16485"/>
    <cellStyle name="Output 4 28 3" xfId="16486"/>
    <cellStyle name="Output 4 28 4" xfId="16487"/>
    <cellStyle name="Output 4 28 5" xfId="16488"/>
    <cellStyle name="Output 4 29" xfId="16489"/>
    <cellStyle name="Output 4 29 2" xfId="16490"/>
    <cellStyle name="Output 4 29 3" xfId="16491"/>
    <cellStyle name="Output 4 29 4" xfId="16492"/>
    <cellStyle name="Output 4 29 5" xfId="16493"/>
    <cellStyle name="Output 4 3" xfId="16494"/>
    <cellStyle name="Output 4 3 2" xfId="16495"/>
    <cellStyle name="Output 4 3 3" xfId="16496"/>
    <cellStyle name="Output 4 3 4" xfId="16497"/>
    <cellStyle name="Output 4 3 5" xfId="16498"/>
    <cellStyle name="Output 4 30" xfId="16499"/>
    <cellStyle name="Output 4 30 2" xfId="16500"/>
    <cellStyle name="Output 4 30 3" xfId="16501"/>
    <cellStyle name="Output 4 30 4" xfId="16502"/>
    <cellStyle name="Output 4 30 5" xfId="16503"/>
    <cellStyle name="Output 4 31" xfId="16504"/>
    <cellStyle name="Output 4 31 2" xfId="16505"/>
    <cellStyle name="Output 4 31 3" xfId="16506"/>
    <cellStyle name="Output 4 31 4" xfId="16507"/>
    <cellStyle name="Output 4 31 5" xfId="16508"/>
    <cellStyle name="Output 4 32" xfId="16509"/>
    <cellStyle name="Output 4 32 2" xfId="16510"/>
    <cellStyle name="Output 4 32 3" xfId="16511"/>
    <cellStyle name="Output 4 32 4" xfId="16512"/>
    <cellStyle name="Output 4 32 5" xfId="16513"/>
    <cellStyle name="Output 4 33" xfId="16514"/>
    <cellStyle name="Output 4 33 2" xfId="16515"/>
    <cellStyle name="Output 4 33 3" xfId="16516"/>
    <cellStyle name="Output 4 33 4" xfId="16517"/>
    <cellStyle name="Output 4 33 5" xfId="16518"/>
    <cellStyle name="Output 4 34" xfId="16519"/>
    <cellStyle name="Output 4 34 2" xfId="16520"/>
    <cellStyle name="Output 4 34 3" xfId="16521"/>
    <cellStyle name="Output 4 34 4" xfId="16522"/>
    <cellStyle name="Output 4 34 5" xfId="16523"/>
    <cellStyle name="Output 4 35" xfId="16524"/>
    <cellStyle name="Output 4 35 2" xfId="16525"/>
    <cellStyle name="Output 4 35 3" xfId="16526"/>
    <cellStyle name="Output 4 36" xfId="16527"/>
    <cellStyle name="Output 4 37" xfId="16528"/>
    <cellStyle name="Output 4 38" xfId="16529"/>
    <cellStyle name="Output 4 39" xfId="16530"/>
    <cellStyle name="Output 4 4" xfId="16531"/>
    <cellStyle name="Output 4 4 2" xfId="16532"/>
    <cellStyle name="Output 4 4 3" xfId="16533"/>
    <cellStyle name="Output 4 4 4" xfId="16534"/>
    <cellStyle name="Output 4 4 5" xfId="16535"/>
    <cellStyle name="Output 4 40" xfId="16536"/>
    <cellStyle name="Output 4 41" xfId="16537"/>
    <cellStyle name="Output 4 42" xfId="16538"/>
    <cellStyle name="Output 4 43" xfId="16539"/>
    <cellStyle name="Output 4 44" xfId="16540"/>
    <cellStyle name="Output 4 45" xfId="16541"/>
    <cellStyle name="Output 4 46" xfId="16542"/>
    <cellStyle name="Output 4 47" xfId="16543"/>
    <cellStyle name="Output 4 48" xfId="16544"/>
    <cellStyle name="Output 4 49" xfId="16545"/>
    <cellStyle name="Output 4 5" xfId="16546"/>
    <cellStyle name="Output 4 5 2" xfId="16547"/>
    <cellStyle name="Output 4 5 3" xfId="16548"/>
    <cellStyle name="Output 4 5 4" xfId="16549"/>
    <cellStyle name="Output 4 5 5" xfId="16550"/>
    <cellStyle name="Output 4 50" xfId="16551"/>
    <cellStyle name="Output 4 51" xfId="16552"/>
    <cellStyle name="Output 4 52" xfId="16553"/>
    <cellStyle name="Output 4 53" xfId="16554"/>
    <cellStyle name="Output 4 54" xfId="16555"/>
    <cellStyle name="Output 4 55" xfId="16556"/>
    <cellStyle name="Output 4 56" xfId="16557"/>
    <cellStyle name="Output 4 57" xfId="16558"/>
    <cellStyle name="Output 4 58" xfId="16559"/>
    <cellStyle name="Output 4 59" xfId="16560"/>
    <cellStyle name="Output 4 6" xfId="16561"/>
    <cellStyle name="Output 4 6 2" xfId="16562"/>
    <cellStyle name="Output 4 6 3" xfId="16563"/>
    <cellStyle name="Output 4 6 4" xfId="16564"/>
    <cellStyle name="Output 4 6 5" xfId="16565"/>
    <cellStyle name="Output 4 60" xfId="16566"/>
    <cellStyle name="Output 4 61" xfId="16567"/>
    <cellStyle name="Output 4 62" xfId="16568"/>
    <cellStyle name="Output 4 63" xfId="16569"/>
    <cellStyle name="Output 4 64" xfId="16570"/>
    <cellStyle name="Output 4 65" xfId="16571"/>
    <cellStyle name="Output 4 66" xfId="16572"/>
    <cellStyle name="Output 4 67" xfId="16573"/>
    <cellStyle name="Output 4 68" xfId="16574"/>
    <cellStyle name="Output 4 7" xfId="16575"/>
    <cellStyle name="Output 4 7 2" xfId="16576"/>
    <cellStyle name="Output 4 7 3" xfId="16577"/>
    <cellStyle name="Output 4 7 4" xfId="16578"/>
    <cellStyle name="Output 4 7 5" xfId="16579"/>
    <cellStyle name="Output 4 8" xfId="16580"/>
    <cellStyle name="Output 4 8 2" xfId="16581"/>
    <cellStyle name="Output 4 8 3" xfId="16582"/>
    <cellStyle name="Output 4 8 4" xfId="16583"/>
    <cellStyle name="Output 4 8 5" xfId="16584"/>
    <cellStyle name="Output 4 9" xfId="16585"/>
    <cellStyle name="Output 4 9 2" xfId="16586"/>
    <cellStyle name="Output 4 9 3" xfId="16587"/>
    <cellStyle name="Output 4 9 4" xfId="16588"/>
    <cellStyle name="Output 4 9 5" xfId="16589"/>
    <cellStyle name="Output 5" xfId="16590"/>
    <cellStyle name="Output 5 10" xfId="16591"/>
    <cellStyle name="Output 5 10 2" xfId="16592"/>
    <cellStyle name="Output 5 10 3" xfId="16593"/>
    <cellStyle name="Output 5 10 4" xfId="16594"/>
    <cellStyle name="Output 5 10 5" xfId="16595"/>
    <cellStyle name="Output 5 11" xfId="16596"/>
    <cellStyle name="Output 5 11 2" xfId="16597"/>
    <cellStyle name="Output 5 11 3" xfId="16598"/>
    <cellStyle name="Output 5 11 4" xfId="16599"/>
    <cellStyle name="Output 5 11 5" xfId="16600"/>
    <cellStyle name="Output 5 12" xfId="16601"/>
    <cellStyle name="Output 5 12 2" xfId="16602"/>
    <cellStyle name="Output 5 12 3" xfId="16603"/>
    <cellStyle name="Output 5 12 4" xfId="16604"/>
    <cellStyle name="Output 5 12 5" xfId="16605"/>
    <cellStyle name="Output 5 13" xfId="16606"/>
    <cellStyle name="Output 5 13 2" xfId="16607"/>
    <cellStyle name="Output 5 13 3" xfId="16608"/>
    <cellStyle name="Output 5 13 4" xfId="16609"/>
    <cellStyle name="Output 5 13 5" xfId="16610"/>
    <cellStyle name="Output 5 14" xfId="16611"/>
    <cellStyle name="Output 5 14 2" xfId="16612"/>
    <cellStyle name="Output 5 14 3" xfId="16613"/>
    <cellStyle name="Output 5 14 4" xfId="16614"/>
    <cellStyle name="Output 5 14 5" xfId="16615"/>
    <cellStyle name="Output 5 15" xfId="16616"/>
    <cellStyle name="Output 5 15 2" xfId="16617"/>
    <cellStyle name="Output 5 15 3" xfId="16618"/>
    <cellStyle name="Output 5 15 4" xfId="16619"/>
    <cellStyle name="Output 5 15 5" xfId="16620"/>
    <cellStyle name="Output 5 16" xfId="16621"/>
    <cellStyle name="Output 5 16 2" xfId="16622"/>
    <cellStyle name="Output 5 16 3" xfId="16623"/>
    <cellStyle name="Output 5 16 4" xfId="16624"/>
    <cellStyle name="Output 5 16 5" xfId="16625"/>
    <cellStyle name="Output 5 17" xfId="16626"/>
    <cellStyle name="Output 5 17 2" xfId="16627"/>
    <cellStyle name="Output 5 17 3" xfId="16628"/>
    <cellStyle name="Output 5 17 4" xfId="16629"/>
    <cellStyle name="Output 5 17 5" xfId="16630"/>
    <cellStyle name="Output 5 18" xfId="16631"/>
    <cellStyle name="Output 5 18 2" xfId="16632"/>
    <cellStyle name="Output 5 18 3" xfId="16633"/>
    <cellStyle name="Output 5 18 4" xfId="16634"/>
    <cellStyle name="Output 5 18 5" xfId="16635"/>
    <cellStyle name="Output 5 19" xfId="16636"/>
    <cellStyle name="Output 5 19 2" xfId="16637"/>
    <cellStyle name="Output 5 19 3" xfId="16638"/>
    <cellStyle name="Output 5 19 4" xfId="16639"/>
    <cellStyle name="Output 5 19 5" xfId="16640"/>
    <cellStyle name="Output 5 2" xfId="16641"/>
    <cellStyle name="Output 5 2 2" xfId="16642"/>
    <cellStyle name="Output 5 2 2 2" xfId="16643"/>
    <cellStyle name="Output 5 2 2 3" xfId="16644"/>
    <cellStyle name="Output 5 2 2 4" xfId="16645"/>
    <cellStyle name="Output 5 2 2 5" xfId="16646"/>
    <cellStyle name="Output 5 2 3" xfId="16647"/>
    <cellStyle name="Output 5 2 3 2" xfId="16648"/>
    <cellStyle name="Output 5 2 3 3" xfId="16649"/>
    <cellStyle name="Output 5 2 3 4" xfId="16650"/>
    <cellStyle name="Output 5 2 3 5" xfId="16651"/>
    <cellStyle name="Output 5 2 4" xfId="16652"/>
    <cellStyle name="Output 5 2 4 2" xfId="16653"/>
    <cellStyle name="Output 5 2 4 3" xfId="16654"/>
    <cellStyle name="Output 5 2 4 4" xfId="16655"/>
    <cellStyle name="Output 5 2 4 5" xfId="16656"/>
    <cellStyle name="Output 5 2 5" xfId="16657"/>
    <cellStyle name="Output 5 2 5 2" xfId="16658"/>
    <cellStyle name="Output 5 2 5 3" xfId="16659"/>
    <cellStyle name="Output 5 2 5 4" xfId="16660"/>
    <cellStyle name="Output 5 2 5 5" xfId="16661"/>
    <cellStyle name="Output 5 2 6" xfId="16662"/>
    <cellStyle name="Output 5 2 7" xfId="16663"/>
    <cellStyle name="Output 5 2 8" xfId="16664"/>
    <cellStyle name="Output 5 2 9" xfId="16665"/>
    <cellStyle name="Output 5 20" xfId="16666"/>
    <cellStyle name="Output 5 20 2" xfId="16667"/>
    <cellStyle name="Output 5 20 3" xfId="16668"/>
    <cellStyle name="Output 5 20 4" xfId="16669"/>
    <cellStyle name="Output 5 20 5" xfId="16670"/>
    <cellStyle name="Output 5 21" xfId="16671"/>
    <cellStyle name="Output 5 21 2" xfId="16672"/>
    <cellStyle name="Output 5 21 3" xfId="16673"/>
    <cellStyle name="Output 5 21 4" xfId="16674"/>
    <cellStyle name="Output 5 21 5" xfId="16675"/>
    <cellStyle name="Output 5 22" xfId="16676"/>
    <cellStyle name="Output 5 22 2" xfId="16677"/>
    <cellStyle name="Output 5 22 3" xfId="16678"/>
    <cellStyle name="Output 5 22 4" xfId="16679"/>
    <cellStyle name="Output 5 22 5" xfId="16680"/>
    <cellStyle name="Output 5 23" xfId="16681"/>
    <cellStyle name="Output 5 23 2" xfId="16682"/>
    <cellStyle name="Output 5 23 3" xfId="16683"/>
    <cellStyle name="Output 5 23 4" xfId="16684"/>
    <cellStyle name="Output 5 23 5" xfId="16685"/>
    <cellStyle name="Output 5 24" xfId="16686"/>
    <cellStyle name="Output 5 24 2" xfId="16687"/>
    <cellStyle name="Output 5 24 3" xfId="16688"/>
    <cellStyle name="Output 5 24 4" xfId="16689"/>
    <cellStyle name="Output 5 24 5" xfId="16690"/>
    <cellStyle name="Output 5 25" xfId="16691"/>
    <cellStyle name="Output 5 25 2" xfId="16692"/>
    <cellStyle name="Output 5 25 3" xfId="16693"/>
    <cellStyle name="Output 5 25 4" xfId="16694"/>
    <cellStyle name="Output 5 25 5" xfId="16695"/>
    <cellStyle name="Output 5 26" xfId="16696"/>
    <cellStyle name="Output 5 26 2" xfId="16697"/>
    <cellStyle name="Output 5 26 3" xfId="16698"/>
    <cellStyle name="Output 5 26 4" xfId="16699"/>
    <cellStyle name="Output 5 26 5" xfId="16700"/>
    <cellStyle name="Output 5 27" xfId="16701"/>
    <cellStyle name="Output 5 27 2" xfId="16702"/>
    <cellStyle name="Output 5 27 3" xfId="16703"/>
    <cellStyle name="Output 5 27 4" xfId="16704"/>
    <cellStyle name="Output 5 27 5" xfId="16705"/>
    <cellStyle name="Output 5 28" xfId="16706"/>
    <cellStyle name="Output 5 28 2" xfId="16707"/>
    <cellStyle name="Output 5 28 3" xfId="16708"/>
    <cellStyle name="Output 5 28 4" xfId="16709"/>
    <cellStyle name="Output 5 28 5" xfId="16710"/>
    <cellStyle name="Output 5 29" xfId="16711"/>
    <cellStyle name="Output 5 29 2" xfId="16712"/>
    <cellStyle name="Output 5 29 3" xfId="16713"/>
    <cellStyle name="Output 5 29 4" xfId="16714"/>
    <cellStyle name="Output 5 29 5" xfId="16715"/>
    <cellStyle name="Output 5 3" xfId="16716"/>
    <cellStyle name="Output 5 3 2" xfId="16717"/>
    <cellStyle name="Output 5 3 3" xfId="16718"/>
    <cellStyle name="Output 5 3 4" xfId="16719"/>
    <cellStyle name="Output 5 3 5" xfId="16720"/>
    <cellStyle name="Output 5 30" xfId="16721"/>
    <cellStyle name="Output 5 30 2" xfId="16722"/>
    <cellStyle name="Output 5 30 3" xfId="16723"/>
    <cellStyle name="Output 5 30 4" xfId="16724"/>
    <cellStyle name="Output 5 30 5" xfId="16725"/>
    <cellStyle name="Output 5 31" xfId="16726"/>
    <cellStyle name="Output 5 31 2" xfId="16727"/>
    <cellStyle name="Output 5 31 3" xfId="16728"/>
    <cellStyle name="Output 5 31 4" xfId="16729"/>
    <cellStyle name="Output 5 31 5" xfId="16730"/>
    <cellStyle name="Output 5 32" xfId="16731"/>
    <cellStyle name="Output 5 32 2" xfId="16732"/>
    <cellStyle name="Output 5 32 3" xfId="16733"/>
    <cellStyle name="Output 5 32 4" xfId="16734"/>
    <cellStyle name="Output 5 32 5" xfId="16735"/>
    <cellStyle name="Output 5 33" xfId="16736"/>
    <cellStyle name="Output 5 33 2" xfId="16737"/>
    <cellStyle name="Output 5 33 3" xfId="16738"/>
    <cellStyle name="Output 5 33 4" xfId="16739"/>
    <cellStyle name="Output 5 33 5" xfId="16740"/>
    <cellStyle name="Output 5 34" xfId="16741"/>
    <cellStyle name="Output 5 34 2" xfId="16742"/>
    <cellStyle name="Output 5 34 3" xfId="16743"/>
    <cellStyle name="Output 5 34 4" xfId="16744"/>
    <cellStyle name="Output 5 34 5" xfId="16745"/>
    <cellStyle name="Output 5 35" xfId="16746"/>
    <cellStyle name="Output 5 35 2" xfId="16747"/>
    <cellStyle name="Output 5 35 3" xfId="16748"/>
    <cellStyle name="Output 5 36" xfId="16749"/>
    <cellStyle name="Output 5 37" xfId="16750"/>
    <cellStyle name="Output 5 38" xfId="16751"/>
    <cellStyle name="Output 5 39" xfId="16752"/>
    <cellStyle name="Output 5 4" xfId="16753"/>
    <cellStyle name="Output 5 4 2" xfId="16754"/>
    <cellStyle name="Output 5 4 3" xfId="16755"/>
    <cellStyle name="Output 5 4 4" xfId="16756"/>
    <cellStyle name="Output 5 4 5" xfId="16757"/>
    <cellStyle name="Output 5 40" xfId="16758"/>
    <cellStyle name="Output 5 41" xfId="16759"/>
    <cellStyle name="Output 5 42" xfId="16760"/>
    <cellStyle name="Output 5 43" xfId="16761"/>
    <cellStyle name="Output 5 44" xfId="16762"/>
    <cellStyle name="Output 5 45" xfId="16763"/>
    <cellStyle name="Output 5 46" xfId="16764"/>
    <cellStyle name="Output 5 47" xfId="16765"/>
    <cellStyle name="Output 5 48" xfId="16766"/>
    <cellStyle name="Output 5 49" xfId="16767"/>
    <cellStyle name="Output 5 5" xfId="16768"/>
    <cellStyle name="Output 5 5 2" xfId="16769"/>
    <cellStyle name="Output 5 5 3" xfId="16770"/>
    <cellStyle name="Output 5 5 4" xfId="16771"/>
    <cellStyle name="Output 5 5 5" xfId="16772"/>
    <cellStyle name="Output 5 50" xfId="16773"/>
    <cellStyle name="Output 5 51" xfId="16774"/>
    <cellStyle name="Output 5 52" xfId="16775"/>
    <cellStyle name="Output 5 53" xfId="16776"/>
    <cellStyle name="Output 5 54" xfId="16777"/>
    <cellStyle name="Output 5 55" xfId="16778"/>
    <cellStyle name="Output 5 56" xfId="16779"/>
    <cellStyle name="Output 5 57" xfId="16780"/>
    <cellStyle name="Output 5 58" xfId="16781"/>
    <cellStyle name="Output 5 59" xfId="16782"/>
    <cellStyle name="Output 5 6" xfId="16783"/>
    <cellStyle name="Output 5 6 2" xfId="16784"/>
    <cellStyle name="Output 5 6 3" xfId="16785"/>
    <cellStyle name="Output 5 6 4" xfId="16786"/>
    <cellStyle name="Output 5 6 5" xfId="16787"/>
    <cellStyle name="Output 5 60" xfId="16788"/>
    <cellStyle name="Output 5 61" xfId="16789"/>
    <cellStyle name="Output 5 62" xfId="16790"/>
    <cellStyle name="Output 5 63" xfId="16791"/>
    <cellStyle name="Output 5 64" xfId="16792"/>
    <cellStyle name="Output 5 65" xfId="16793"/>
    <cellStyle name="Output 5 66" xfId="16794"/>
    <cellStyle name="Output 5 67" xfId="16795"/>
    <cellStyle name="Output 5 68" xfId="16796"/>
    <cellStyle name="Output 5 7" xfId="16797"/>
    <cellStyle name="Output 5 7 2" xfId="16798"/>
    <cellStyle name="Output 5 7 3" xfId="16799"/>
    <cellStyle name="Output 5 7 4" xfId="16800"/>
    <cellStyle name="Output 5 7 5" xfId="16801"/>
    <cellStyle name="Output 5 8" xfId="16802"/>
    <cellStyle name="Output 5 8 2" xfId="16803"/>
    <cellStyle name="Output 5 8 3" xfId="16804"/>
    <cellStyle name="Output 5 8 4" xfId="16805"/>
    <cellStyle name="Output 5 8 5" xfId="16806"/>
    <cellStyle name="Output 5 9" xfId="16807"/>
    <cellStyle name="Output 5 9 2" xfId="16808"/>
    <cellStyle name="Output 5 9 3" xfId="16809"/>
    <cellStyle name="Output 5 9 4" xfId="16810"/>
    <cellStyle name="Output 5 9 5" xfId="16811"/>
    <cellStyle name="Output 6" xfId="16812"/>
    <cellStyle name="Output 6 10" xfId="16813"/>
    <cellStyle name="Output 6 10 2" xfId="16814"/>
    <cellStyle name="Output 6 10 3" xfId="16815"/>
    <cellStyle name="Output 6 10 4" xfId="16816"/>
    <cellStyle name="Output 6 10 5" xfId="16817"/>
    <cellStyle name="Output 6 11" xfId="16818"/>
    <cellStyle name="Output 6 11 2" xfId="16819"/>
    <cellStyle name="Output 6 11 3" xfId="16820"/>
    <cellStyle name="Output 6 11 4" xfId="16821"/>
    <cellStyle name="Output 6 11 5" xfId="16822"/>
    <cellStyle name="Output 6 12" xfId="16823"/>
    <cellStyle name="Output 6 12 2" xfId="16824"/>
    <cellStyle name="Output 6 12 3" xfId="16825"/>
    <cellStyle name="Output 6 12 4" xfId="16826"/>
    <cellStyle name="Output 6 12 5" xfId="16827"/>
    <cellStyle name="Output 6 13" xfId="16828"/>
    <cellStyle name="Output 6 13 2" xfId="16829"/>
    <cellStyle name="Output 6 13 3" xfId="16830"/>
    <cellStyle name="Output 6 13 4" xfId="16831"/>
    <cellStyle name="Output 6 13 5" xfId="16832"/>
    <cellStyle name="Output 6 14" xfId="16833"/>
    <cellStyle name="Output 6 14 2" xfId="16834"/>
    <cellStyle name="Output 6 14 3" xfId="16835"/>
    <cellStyle name="Output 6 14 4" xfId="16836"/>
    <cellStyle name="Output 6 14 5" xfId="16837"/>
    <cellStyle name="Output 6 15" xfId="16838"/>
    <cellStyle name="Output 6 15 2" xfId="16839"/>
    <cellStyle name="Output 6 15 3" xfId="16840"/>
    <cellStyle name="Output 6 15 4" xfId="16841"/>
    <cellStyle name="Output 6 15 5" xfId="16842"/>
    <cellStyle name="Output 6 16" xfId="16843"/>
    <cellStyle name="Output 6 16 2" xfId="16844"/>
    <cellStyle name="Output 6 16 3" xfId="16845"/>
    <cellStyle name="Output 6 16 4" xfId="16846"/>
    <cellStyle name="Output 6 16 5" xfId="16847"/>
    <cellStyle name="Output 6 17" xfId="16848"/>
    <cellStyle name="Output 6 17 2" xfId="16849"/>
    <cellStyle name="Output 6 17 3" xfId="16850"/>
    <cellStyle name="Output 6 17 4" xfId="16851"/>
    <cellStyle name="Output 6 17 5" xfId="16852"/>
    <cellStyle name="Output 6 18" xfId="16853"/>
    <cellStyle name="Output 6 18 2" xfId="16854"/>
    <cellStyle name="Output 6 18 3" xfId="16855"/>
    <cellStyle name="Output 6 18 4" xfId="16856"/>
    <cellStyle name="Output 6 18 5" xfId="16857"/>
    <cellStyle name="Output 6 19" xfId="16858"/>
    <cellStyle name="Output 6 19 2" xfId="16859"/>
    <cellStyle name="Output 6 19 3" xfId="16860"/>
    <cellStyle name="Output 6 19 4" xfId="16861"/>
    <cellStyle name="Output 6 19 5" xfId="16862"/>
    <cellStyle name="Output 6 2" xfId="16863"/>
    <cellStyle name="Output 6 2 2" xfId="16864"/>
    <cellStyle name="Output 6 2 2 2" xfId="16865"/>
    <cellStyle name="Output 6 2 2 3" xfId="16866"/>
    <cellStyle name="Output 6 2 2 4" xfId="16867"/>
    <cellStyle name="Output 6 2 2 5" xfId="16868"/>
    <cellStyle name="Output 6 2 3" xfId="16869"/>
    <cellStyle name="Output 6 2 3 2" xfId="16870"/>
    <cellStyle name="Output 6 2 3 3" xfId="16871"/>
    <cellStyle name="Output 6 2 3 4" xfId="16872"/>
    <cellStyle name="Output 6 2 3 5" xfId="16873"/>
    <cellStyle name="Output 6 2 4" xfId="16874"/>
    <cellStyle name="Output 6 2 4 2" xfId="16875"/>
    <cellStyle name="Output 6 2 4 3" xfId="16876"/>
    <cellStyle name="Output 6 2 4 4" xfId="16877"/>
    <cellStyle name="Output 6 2 4 5" xfId="16878"/>
    <cellStyle name="Output 6 2 5" xfId="16879"/>
    <cellStyle name="Output 6 2 5 2" xfId="16880"/>
    <cellStyle name="Output 6 2 5 3" xfId="16881"/>
    <cellStyle name="Output 6 2 5 4" xfId="16882"/>
    <cellStyle name="Output 6 2 5 5" xfId="16883"/>
    <cellStyle name="Output 6 2 6" xfId="16884"/>
    <cellStyle name="Output 6 2 7" xfId="16885"/>
    <cellStyle name="Output 6 2 8" xfId="16886"/>
    <cellStyle name="Output 6 2 9" xfId="16887"/>
    <cellStyle name="Output 6 20" xfId="16888"/>
    <cellStyle name="Output 6 20 2" xfId="16889"/>
    <cellStyle name="Output 6 20 3" xfId="16890"/>
    <cellStyle name="Output 6 20 4" xfId="16891"/>
    <cellStyle name="Output 6 20 5" xfId="16892"/>
    <cellStyle name="Output 6 21" xfId="16893"/>
    <cellStyle name="Output 6 21 2" xfId="16894"/>
    <cellStyle name="Output 6 21 3" xfId="16895"/>
    <cellStyle name="Output 6 21 4" xfId="16896"/>
    <cellStyle name="Output 6 21 5" xfId="16897"/>
    <cellStyle name="Output 6 22" xfId="16898"/>
    <cellStyle name="Output 6 22 2" xfId="16899"/>
    <cellStyle name="Output 6 22 3" xfId="16900"/>
    <cellStyle name="Output 6 22 4" xfId="16901"/>
    <cellStyle name="Output 6 22 5" xfId="16902"/>
    <cellStyle name="Output 6 23" xfId="16903"/>
    <cellStyle name="Output 6 23 2" xfId="16904"/>
    <cellStyle name="Output 6 23 3" xfId="16905"/>
    <cellStyle name="Output 6 23 4" xfId="16906"/>
    <cellStyle name="Output 6 23 5" xfId="16907"/>
    <cellStyle name="Output 6 24" xfId="16908"/>
    <cellStyle name="Output 6 24 2" xfId="16909"/>
    <cellStyle name="Output 6 24 3" xfId="16910"/>
    <cellStyle name="Output 6 24 4" xfId="16911"/>
    <cellStyle name="Output 6 24 5" xfId="16912"/>
    <cellStyle name="Output 6 25" xfId="16913"/>
    <cellStyle name="Output 6 25 2" xfId="16914"/>
    <cellStyle name="Output 6 25 3" xfId="16915"/>
    <cellStyle name="Output 6 25 4" xfId="16916"/>
    <cellStyle name="Output 6 25 5" xfId="16917"/>
    <cellStyle name="Output 6 26" xfId="16918"/>
    <cellStyle name="Output 6 26 2" xfId="16919"/>
    <cellStyle name="Output 6 26 3" xfId="16920"/>
    <cellStyle name="Output 6 26 4" xfId="16921"/>
    <cellStyle name="Output 6 26 5" xfId="16922"/>
    <cellStyle name="Output 6 27" xfId="16923"/>
    <cellStyle name="Output 6 27 2" xfId="16924"/>
    <cellStyle name="Output 6 27 3" xfId="16925"/>
    <cellStyle name="Output 6 27 4" xfId="16926"/>
    <cellStyle name="Output 6 27 5" xfId="16927"/>
    <cellStyle name="Output 6 28" xfId="16928"/>
    <cellStyle name="Output 6 28 2" xfId="16929"/>
    <cellStyle name="Output 6 28 3" xfId="16930"/>
    <cellStyle name="Output 6 28 4" xfId="16931"/>
    <cellStyle name="Output 6 28 5" xfId="16932"/>
    <cellStyle name="Output 6 29" xfId="16933"/>
    <cellStyle name="Output 6 29 2" xfId="16934"/>
    <cellStyle name="Output 6 29 3" xfId="16935"/>
    <cellStyle name="Output 6 29 4" xfId="16936"/>
    <cellStyle name="Output 6 29 5" xfId="16937"/>
    <cellStyle name="Output 6 3" xfId="16938"/>
    <cellStyle name="Output 6 3 2" xfId="16939"/>
    <cellStyle name="Output 6 3 3" xfId="16940"/>
    <cellStyle name="Output 6 3 4" xfId="16941"/>
    <cellStyle name="Output 6 3 5" xfId="16942"/>
    <cellStyle name="Output 6 30" xfId="16943"/>
    <cellStyle name="Output 6 30 2" xfId="16944"/>
    <cellStyle name="Output 6 30 3" xfId="16945"/>
    <cellStyle name="Output 6 30 4" xfId="16946"/>
    <cellStyle name="Output 6 30 5" xfId="16947"/>
    <cellStyle name="Output 6 31" xfId="16948"/>
    <cellStyle name="Output 6 31 2" xfId="16949"/>
    <cellStyle name="Output 6 31 3" xfId="16950"/>
    <cellStyle name="Output 6 31 4" xfId="16951"/>
    <cellStyle name="Output 6 31 5" xfId="16952"/>
    <cellStyle name="Output 6 32" xfId="16953"/>
    <cellStyle name="Output 6 32 2" xfId="16954"/>
    <cellStyle name="Output 6 32 3" xfId="16955"/>
    <cellStyle name="Output 6 32 4" xfId="16956"/>
    <cellStyle name="Output 6 32 5" xfId="16957"/>
    <cellStyle name="Output 6 33" xfId="16958"/>
    <cellStyle name="Output 6 33 2" xfId="16959"/>
    <cellStyle name="Output 6 33 3" xfId="16960"/>
    <cellStyle name="Output 6 33 4" xfId="16961"/>
    <cellStyle name="Output 6 33 5" xfId="16962"/>
    <cellStyle name="Output 6 34" xfId="16963"/>
    <cellStyle name="Output 6 34 2" xfId="16964"/>
    <cellStyle name="Output 6 34 3" xfId="16965"/>
    <cellStyle name="Output 6 34 4" xfId="16966"/>
    <cellStyle name="Output 6 34 5" xfId="16967"/>
    <cellStyle name="Output 6 35" xfId="16968"/>
    <cellStyle name="Output 6 35 2" xfId="16969"/>
    <cellStyle name="Output 6 35 3" xfId="16970"/>
    <cellStyle name="Output 6 36" xfId="16971"/>
    <cellStyle name="Output 6 37" xfId="16972"/>
    <cellStyle name="Output 6 38" xfId="16973"/>
    <cellStyle name="Output 6 39" xfId="16974"/>
    <cellStyle name="Output 6 4" xfId="16975"/>
    <cellStyle name="Output 6 4 2" xfId="16976"/>
    <cellStyle name="Output 6 4 3" xfId="16977"/>
    <cellStyle name="Output 6 4 4" xfId="16978"/>
    <cellStyle name="Output 6 4 5" xfId="16979"/>
    <cellStyle name="Output 6 40" xfId="16980"/>
    <cellStyle name="Output 6 41" xfId="16981"/>
    <cellStyle name="Output 6 42" xfId="16982"/>
    <cellStyle name="Output 6 43" xfId="16983"/>
    <cellStyle name="Output 6 44" xfId="16984"/>
    <cellStyle name="Output 6 45" xfId="16985"/>
    <cellStyle name="Output 6 46" xfId="16986"/>
    <cellStyle name="Output 6 47" xfId="16987"/>
    <cellStyle name="Output 6 48" xfId="16988"/>
    <cellStyle name="Output 6 49" xfId="16989"/>
    <cellStyle name="Output 6 5" xfId="16990"/>
    <cellStyle name="Output 6 5 2" xfId="16991"/>
    <cellStyle name="Output 6 5 3" xfId="16992"/>
    <cellStyle name="Output 6 5 4" xfId="16993"/>
    <cellStyle name="Output 6 5 5" xfId="16994"/>
    <cellStyle name="Output 6 50" xfId="16995"/>
    <cellStyle name="Output 6 51" xfId="16996"/>
    <cellStyle name="Output 6 52" xfId="16997"/>
    <cellStyle name="Output 6 53" xfId="16998"/>
    <cellStyle name="Output 6 54" xfId="16999"/>
    <cellStyle name="Output 6 55" xfId="17000"/>
    <cellStyle name="Output 6 56" xfId="17001"/>
    <cellStyle name="Output 6 57" xfId="17002"/>
    <cellStyle name="Output 6 58" xfId="17003"/>
    <cellStyle name="Output 6 59" xfId="17004"/>
    <cellStyle name="Output 6 6" xfId="17005"/>
    <cellStyle name="Output 6 6 2" xfId="17006"/>
    <cellStyle name="Output 6 6 3" xfId="17007"/>
    <cellStyle name="Output 6 6 4" xfId="17008"/>
    <cellStyle name="Output 6 6 5" xfId="17009"/>
    <cellStyle name="Output 6 60" xfId="17010"/>
    <cellStyle name="Output 6 61" xfId="17011"/>
    <cellStyle name="Output 6 62" xfId="17012"/>
    <cellStyle name="Output 6 63" xfId="17013"/>
    <cellStyle name="Output 6 64" xfId="17014"/>
    <cellStyle name="Output 6 65" xfId="17015"/>
    <cellStyle name="Output 6 66" xfId="17016"/>
    <cellStyle name="Output 6 67" xfId="17017"/>
    <cellStyle name="Output 6 68" xfId="17018"/>
    <cellStyle name="Output 6 7" xfId="17019"/>
    <cellStyle name="Output 6 7 2" xfId="17020"/>
    <cellStyle name="Output 6 7 3" xfId="17021"/>
    <cellStyle name="Output 6 7 4" xfId="17022"/>
    <cellStyle name="Output 6 7 5" xfId="17023"/>
    <cellStyle name="Output 6 8" xfId="17024"/>
    <cellStyle name="Output 6 8 2" xfId="17025"/>
    <cellStyle name="Output 6 8 3" xfId="17026"/>
    <cellStyle name="Output 6 8 4" xfId="17027"/>
    <cellStyle name="Output 6 8 5" xfId="17028"/>
    <cellStyle name="Output 6 9" xfId="17029"/>
    <cellStyle name="Output 6 9 2" xfId="17030"/>
    <cellStyle name="Output 6 9 3" xfId="17031"/>
    <cellStyle name="Output 6 9 4" xfId="17032"/>
    <cellStyle name="Output 6 9 5" xfId="17033"/>
    <cellStyle name="Output 7" xfId="17034"/>
    <cellStyle name="Output 7 10" xfId="17035"/>
    <cellStyle name="Output 7 10 2" xfId="17036"/>
    <cellStyle name="Output 7 10 3" xfId="17037"/>
    <cellStyle name="Output 7 10 4" xfId="17038"/>
    <cellStyle name="Output 7 10 5" xfId="17039"/>
    <cellStyle name="Output 7 11" xfId="17040"/>
    <cellStyle name="Output 7 11 2" xfId="17041"/>
    <cellStyle name="Output 7 11 3" xfId="17042"/>
    <cellStyle name="Output 7 11 4" xfId="17043"/>
    <cellStyle name="Output 7 11 5" xfId="17044"/>
    <cellStyle name="Output 7 12" xfId="17045"/>
    <cellStyle name="Output 7 12 2" xfId="17046"/>
    <cellStyle name="Output 7 12 3" xfId="17047"/>
    <cellStyle name="Output 7 12 4" xfId="17048"/>
    <cellStyle name="Output 7 12 5" xfId="17049"/>
    <cellStyle name="Output 7 13" xfId="17050"/>
    <cellStyle name="Output 7 13 2" xfId="17051"/>
    <cellStyle name="Output 7 13 3" xfId="17052"/>
    <cellStyle name="Output 7 13 4" xfId="17053"/>
    <cellStyle name="Output 7 13 5" xfId="17054"/>
    <cellStyle name="Output 7 14" xfId="17055"/>
    <cellStyle name="Output 7 14 2" xfId="17056"/>
    <cellStyle name="Output 7 14 3" xfId="17057"/>
    <cellStyle name="Output 7 14 4" xfId="17058"/>
    <cellStyle name="Output 7 14 5" xfId="17059"/>
    <cellStyle name="Output 7 15" xfId="17060"/>
    <cellStyle name="Output 7 15 2" xfId="17061"/>
    <cellStyle name="Output 7 15 3" xfId="17062"/>
    <cellStyle name="Output 7 15 4" xfId="17063"/>
    <cellStyle name="Output 7 15 5" xfId="17064"/>
    <cellStyle name="Output 7 16" xfId="17065"/>
    <cellStyle name="Output 7 16 2" xfId="17066"/>
    <cellStyle name="Output 7 16 3" xfId="17067"/>
    <cellStyle name="Output 7 16 4" xfId="17068"/>
    <cellStyle name="Output 7 16 5" xfId="17069"/>
    <cellStyle name="Output 7 17" xfId="17070"/>
    <cellStyle name="Output 7 17 2" xfId="17071"/>
    <cellStyle name="Output 7 17 3" xfId="17072"/>
    <cellStyle name="Output 7 17 4" xfId="17073"/>
    <cellStyle name="Output 7 17 5" xfId="17074"/>
    <cellStyle name="Output 7 18" xfId="17075"/>
    <cellStyle name="Output 7 18 2" xfId="17076"/>
    <cellStyle name="Output 7 18 3" xfId="17077"/>
    <cellStyle name="Output 7 18 4" xfId="17078"/>
    <cellStyle name="Output 7 18 5" xfId="17079"/>
    <cellStyle name="Output 7 19" xfId="17080"/>
    <cellStyle name="Output 7 19 2" xfId="17081"/>
    <cellStyle name="Output 7 19 3" xfId="17082"/>
    <cellStyle name="Output 7 19 4" xfId="17083"/>
    <cellStyle name="Output 7 19 5" xfId="17084"/>
    <cellStyle name="Output 7 2" xfId="17085"/>
    <cellStyle name="Output 7 2 2" xfId="17086"/>
    <cellStyle name="Output 7 2 2 2" xfId="17087"/>
    <cellStyle name="Output 7 2 2 3" xfId="17088"/>
    <cellStyle name="Output 7 2 2 4" xfId="17089"/>
    <cellStyle name="Output 7 2 2 5" xfId="17090"/>
    <cellStyle name="Output 7 2 3" xfId="17091"/>
    <cellStyle name="Output 7 2 3 2" xfId="17092"/>
    <cellStyle name="Output 7 2 3 3" xfId="17093"/>
    <cellStyle name="Output 7 2 3 4" xfId="17094"/>
    <cellStyle name="Output 7 2 3 5" xfId="17095"/>
    <cellStyle name="Output 7 2 4" xfId="17096"/>
    <cellStyle name="Output 7 2 4 2" xfId="17097"/>
    <cellStyle name="Output 7 2 4 3" xfId="17098"/>
    <cellStyle name="Output 7 2 4 4" xfId="17099"/>
    <cellStyle name="Output 7 2 4 5" xfId="17100"/>
    <cellStyle name="Output 7 2 5" xfId="17101"/>
    <cellStyle name="Output 7 2 5 2" xfId="17102"/>
    <cellStyle name="Output 7 2 5 3" xfId="17103"/>
    <cellStyle name="Output 7 2 5 4" xfId="17104"/>
    <cellStyle name="Output 7 2 5 5" xfId="17105"/>
    <cellStyle name="Output 7 2 6" xfId="17106"/>
    <cellStyle name="Output 7 2 7" xfId="17107"/>
    <cellStyle name="Output 7 2 8" xfId="17108"/>
    <cellStyle name="Output 7 2 9" xfId="17109"/>
    <cellStyle name="Output 7 20" xfId="17110"/>
    <cellStyle name="Output 7 20 2" xfId="17111"/>
    <cellStyle name="Output 7 20 3" xfId="17112"/>
    <cellStyle name="Output 7 20 4" xfId="17113"/>
    <cellStyle name="Output 7 20 5" xfId="17114"/>
    <cellStyle name="Output 7 21" xfId="17115"/>
    <cellStyle name="Output 7 21 2" xfId="17116"/>
    <cellStyle name="Output 7 21 3" xfId="17117"/>
    <cellStyle name="Output 7 21 4" xfId="17118"/>
    <cellStyle name="Output 7 21 5" xfId="17119"/>
    <cellStyle name="Output 7 22" xfId="17120"/>
    <cellStyle name="Output 7 22 2" xfId="17121"/>
    <cellStyle name="Output 7 22 3" xfId="17122"/>
    <cellStyle name="Output 7 22 4" xfId="17123"/>
    <cellStyle name="Output 7 22 5" xfId="17124"/>
    <cellStyle name="Output 7 23" xfId="17125"/>
    <cellStyle name="Output 7 23 2" xfId="17126"/>
    <cellStyle name="Output 7 23 3" xfId="17127"/>
    <cellStyle name="Output 7 23 4" xfId="17128"/>
    <cellStyle name="Output 7 23 5" xfId="17129"/>
    <cellStyle name="Output 7 24" xfId="17130"/>
    <cellStyle name="Output 7 24 2" xfId="17131"/>
    <cellStyle name="Output 7 24 3" xfId="17132"/>
    <cellStyle name="Output 7 24 4" xfId="17133"/>
    <cellStyle name="Output 7 24 5" xfId="17134"/>
    <cellStyle name="Output 7 25" xfId="17135"/>
    <cellStyle name="Output 7 25 2" xfId="17136"/>
    <cellStyle name="Output 7 25 3" xfId="17137"/>
    <cellStyle name="Output 7 25 4" xfId="17138"/>
    <cellStyle name="Output 7 25 5" xfId="17139"/>
    <cellStyle name="Output 7 26" xfId="17140"/>
    <cellStyle name="Output 7 26 2" xfId="17141"/>
    <cellStyle name="Output 7 26 3" xfId="17142"/>
    <cellStyle name="Output 7 26 4" xfId="17143"/>
    <cellStyle name="Output 7 26 5" xfId="17144"/>
    <cellStyle name="Output 7 27" xfId="17145"/>
    <cellStyle name="Output 7 27 2" xfId="17146"/>
    <cellStyle name="Output 7 27 3" xfId="17147"/>
    <cellStyle name="Output 7 27 4" xfId="17148"/>
    <cellStyle name="Output 7 27 5" xfId="17149"/>
    <cellStyle name="Output 7 28" xfId="17150"/>
    <cellStyle name="Output 7 28 2" xfId="17151"/>
    <cellStyle name="Output 7 28 3" xfId="17152"/>
    <cellStyle name="Output 7 28 4" xfId="17153"/>
    <cellStyle name="Output 7 28 5" xfId="17154"/>
    <cellStyle name="Output 7 29" xfId="17155"/>
    <cellStyle name="Output 7 29 2" xfId="17156"/>
    <cellStyle name="Output 7 29 3" xfId="17157"/>
    <cellStyle name="Output 7 29 4" xfId="17158"/>
    <cellStyle name="Output 7 29 5" xfId="17159"/>
    <cellStyle name="Output 7 3" xfId="17160"/>
    <cellStyle name="Output 7 3 2" xfId="17161"/>
    <cellStyle name="Output 7 3 3" xfId="17162"/>
    <cellStyle name="Output 7 3 4" xfId="17163"/>
    <cellStyle name="Output 7 3 5" xfId="17164"/>
    <cellStyle name="Output 7 30" xfId="17165"/>
    <cellStyle name="Output 7 30 2" xfId="17166"/>
    <cellStyle name="Output 7 30 3" xfId="17167"/>
    <cellStyle name="Output 7 30 4" xfId="17168"/>
    <cellStyle name="Output 7 30 5" xfId="17169"/>
    <cellStyle name="Output 7 31" xfId="17170"/>
    <cellStyle name="Output 7 31 2" xfId="17171"/>
    <cellStyle name="Output 7 31 3" xfId="17172"/>
    <cellStyle name="Output 7 31 4" xfId="17173"/>
    <cellStyle name="Output 7 31 5" xfId="17174"/>
    <cellStyle name="Output 7 32" xfId="17175"/>
    <cellStyle name="Output 7 32 2" xfId="17176"/>
    <cellStyle name="Output 7 32 3" xfId="17177"/>
    <cellStyle name="Output 7 32 4" xfId="17178"/>
    <cellStyle name="Output 7 32 5" xfId="17179"/>
    <cellStyle name="Output 7 33" xfId="17180"/>
    <cellStyle name="Output 7 33 2" xfId="17181"/>
    <cellStyle name="Output 7 33 3" xfId="17182"/>
    <cellStyle name="Output 7 33 4" xfId="17183"/>
    <cellStyle name="Output 7 33 5" xfId="17184"/>
    <cellStyle name="Output 7 34" xfId="17185"/>
    <cellStyle name="Output 7 34 2" xfId="17186"/>
    <cellStyle name="Output 7 34 3" xfId="17187"/>
    <cellStyle name="Output 7 34 4" xfId="17188"/>
    <cellStyle name="Output 7 34 5" xfId="17189"/>
    <cellStyle name="Output 7 35" xfId="17190"/>
    <cellStyle name="Output 7 35 2" xfId="17191"/>
    <cellStyle name="Output 7 35 3" xfId="17192"/>
    <cellStyle name="Output 7 36" xfId="17193"/>
    <cellStyle name="Output 7 37" xfId="17194"/>
    <cellStyle name="Output 7 38" xfId="17195"/>
    <cellStyle name="Output 7 39" xfId="17196"/>
    <cellStyle name="Output 7 4" xfId="17197"/>
    <cellStyle name="Output 7 4 2" xfId="17198"/>
    <cellStyle name="Output 7 4 3" xfId="17199"/>
    <cellStyle name="Output 7 4 4" xfId="17200"/>
    <cellStyle name="Output 7 4 5" xfId="17201"/>
    <cellStyle name="Output 7 40" xfId="17202"/>
    <cellStyle name="Output 7 41" xfId="17203"/>
    <cellStyle name="Output 7 42" xfId="17204"/>
    <cellStyle name="Output 7 43" xfId="17205"/>
    <cellStyle name="Output 7 44" xfId="17206"/>
    <cellStyle name="Output 7 45" xfId="17207"/>
    <cellStyle name="Output 7 46" xfId="17208"/>
    <cellStyle name="Output 7 47" xfId="17209"/>
    <cellStyle name="Output 7 48" xfId="17210"/>
    <cellStyle name="Output 7 49" xfId="17211"/>
    <cellStyle name="Output 7 5" xfId="17212"/>
    <cellStyle name="Output 7 5 2" xfId="17213"/>
    <cellStyle name="Output 7 5 3" xfId="17214"/>
    <cellStyle name="Output 7 5 4" xfId="17215"/>
    <cellStyle name="Output 7 5 5" xfId="17216"/>
    <cellStyle name="Output 7 50" xfId="17217"/>
    <cellStyle name="Output 7 51" xfId="17218"/>
    <cellStyle name="Output 7 52" xfId="17219"/>
    <cellStyle name="Output 7 53" xfId="17220"/>
    <cellStyle name="Output 7 54" xfId="17221"/>
    <cellStyle name="Output 7 55" xfId="17222"/>
    <cellStyle name="Output 7 56" xfId="17223"/>
    <cellStyle name="Output 7 57" xfId="17224"/>
    <cellStyle name="Output 7 58" xfId="17225"/>
    <cellStyle name="Output 7 59" xfId="17226"/>
    <cellStyle name="Output 7 6" xfId="17227"/>
    <cellStyle name="Output 7 6 2" xfId="17228"/>
    <cellStyle name="Output 7 6 3" xfId="17229"/>
    <cellStyle name="Output 7 6 4" xfId="17230"/>
    <cellStyle name="Output 7 6 5" xfId="17231"/>
    <cellStyle name="Output 7 60" xfId="17232"/>
    <cellStyle name="Output 7 61" xfId="17233"/>
    <cellStyle name="Output 7 62" xfId="17234"/>
    <cellStyle name="Output 7 63" xfId="17235"/>
    <cellStyle name="Output 7 64" xfId="17236"/>
    <cellStyle name="Output 7 65" xfId="17237"/>
    <cellStyle name="Output 7 66" xfId="17238"/>
    <cellStyle name="Output 7 67" xfId="17239"/>
    <cellStyle name="Output 7 68" xfId="17240"/>
    <cellStyle name="Output 7 7" xfId="17241"/>
    <cellStyle name="Output 7 7 2" xfId="17242"/>
    <cellStyle name="Output 7 7 3" xfId="17243"/>
    <cellStyle name="Output 7 7 4" xfId="17244"/>
    <cellStyle name="Output 7 7 5" xfId="17245"/>
    <cellStyle name="Output 7 8" xfId="17246"/>
    <cellStyle name="Output 7 8 2" xfId="17247"/>
    <cellStyle name="Output 7 8 3" xfId="17248"/>
    <cellStyle name="Output 7 8 4" xfId="17249"/>
    <cellStyle name="Output 7 8 5" xfId="17250"/>
    <cellStyle name="Output 7 9" xfId="17251"/>
    <cellStyle name="Output 7 9 2" xfId="17252"/>
    <cellStyle name="Output 7 9 3" xfId="17253"/>
    <cellStyle name="Output 7 9 4" xfId="17254"/>
    <cellStyle name="Output 7 9 5" xfId="17255"/>
    <cellStyle name="Output 8" xfId="17256"/>
    <cellStyle name="Output 8 10" xfId="17257"/>
    <cellStyle name="Output 8 10 2" xfId="17258"/>
    <cellStyle name="Output 8 10 3" xfId="17259"/>
    <cellStyle name="Output 8 10 4" xfId="17260"/>
    <cellStyle name="Output 8 10 5" xfId="17261"/>
    <cellStyle name="Output 8 11" xfId="17262"/>
    <cellStyle name="Output 8 11 2" xfId="17263"/>
    <cellStyle name="Output 8 11 3" xfId="17264"/>
    <cellStyle name="Output 8 11 4" xfId="17265"/>
    <cellStyle name="Output 8 11 5" xfId="17266"/>
    <cellStyle name="Output 8 12" xfId="17267"/>
    <cellStyle name="Output 8 12 2" xfId="17268"/>
    <cellStyle name="Output 8 12 3" xfId="17269"/>
    <cellStyle name="Output 8 12 4" xfId="17270"/>
    <cellStyle name="Output 8 12 5" xfId="17271"/>
    <cellStyle name="Output 8 13" xfId="17272"/>
    <cellStyle name="Output 8 13 2" xfId="17273"/>
    <cellStyle name="Output 8 13 3" xfId="17274"/>
    <cellStyle name="Output 8 13 4" xfId="17275"/>
    <cellStyle name="Output 8 13 5" xfId="17276"/>
    <cellStyle name="Output 8 14" xfId="17277"/>
    <cellStyle name="Output 8 14 2" xfId="17278"/>
    <cellStyle name="Output 8 14 3" xfId="17279"/>
    <cellStyle name="Output 8 14 4" xfId="17280"/>
    <cellStyle name="Output 8 14 5" xfId="17281"/>
    <cellStyle name="Output 8 15" xfId="17282"/>
    <cellStyle name="Output 8 15 2" xfId="17283"/>
    <cellStyle name="Output 8 15 3" xfId="17284"/>
    <cellStyle name="Output 8 15 4" xfId="17285"/>
    <cellStyle name="Output 8 15 5" xfId="17286"/>
    <cellStyle name="Output 8 16" xfId="17287"/>
    <cellStyle name="Output 8 16 2" xfId="17288"/>
    <cellStyle name="Output 8 16 3" xfId="17289"/>
    <cellStyle name="Output 8 16 4" xfId="17290"/>
    <cellStyle name="Output 8 16 5" xfId="17291"/>
    <cellStyle name="Output 8 17" xfId="17292"/>
    <cellStyle name="Output 8 17 2" xfId="17293"/>
    <cellStyle name="Output 8 17 3" xfId="17294"/>
    <cellStyle name="Output 8 17 4" xfId="17295"/>
    <cellStyle name="Output 8 17 5" xfId="17296"/>
    <cellStyle name="Output 8 18" xfId="17297"/>
    <cellStyle name="Output 8 18 2" xfId="17298"/>
    <cellStyle name="Output 8 18 3" xfId="17299"/>
    <cellStyle name="Output 8 18 4" xfId="17300"/>
    <cellStyle name="Output 8 18 5" xfId="17301"/>
    <cellStyle name="Output 8 19" xfId="17302"/>
    <cellStyle name="Output 8 19 2" xfId="17303"/>
    <cellStyle name="Output 8 19 3" xfId="17304"/>
    <cellStyle name="Output 8 19 4" xfId="17305"/>
    <cellStyle name="Output 8 19 5" xfId="17306"/>
    <cellStyle name="Output 8 2" xfId="17307"/>
    <cellStyle name="Output 8 2 2" xfId="17308"/>
    <cellStyle name="Output 8 2 2 2" xfId="17309"/>
    <cellStyle name="Output 8 2 2 3" xfId="17310"/>
    <cellStyle name="Output 8 2 2 4" xfId="17311"/>
    <cellStyle name="Output 8 2 2 5" xfId="17312"/>
    <cellStyle name="Output 8 2 3" xfId="17313"/>
    <cellStyle name="Output 8 2 3 2" xfId="17314"/>
    <cellStyle name="Output 8 2 3 3" xfId="17315"/>
    <cellStyle name="Output 8 2 3 4" xfId="17316"/>
    <cellStyle name="Output 8 2 3 5" xfId="17317"/>
    <cellStyle name="Output 8 2 4" xfId="17318"/>
    <cellStyle name="Output 8 2 4 2" xfId="17319"/>
    <cellStyle name="Output 8 2 4 3" xfId="17320"/>
    <cellStyle name="Output 8 2 4 4" xfId="17321"/>
    <cellStyle name="Output 8 2 4 5" xfId="17322"/>
    <cellStyle name="Output 8 2 5" xfId="17323"/>
    <cellStyle name="Output 8 2 5 2" xfId="17324"/>
    <cellStyle name="Output 8 2 5 3" xfId="17325"/>
    <cellStyle name="Output 8 2 5 4" xfId="17326"/>
    <cellStyle name="Output 8 2 5 5" xfId="17327"/>
    <cellStyle name="Output 8 2 6" xfId="17328"/>
    <cellStyle name="Output 8 2 7" xfId="17329"/>
    <cellStyle name="Output 8 2 8" xfId="17330"/>
    <cellStyle name="Output 8 2 9" xfId="17331"/>
    <cellStyle name="Output 8 20" xfId="17332"/>
    <cellStyle name="Output 8 20 2" xfId="17333"/>
    <cellStyle name="Output 8 20 3" xfId="17334"/>
    <cellStyle name="Output 8 20 4" xfId="17335"/>
    <cellStyle name="Output 8 20 5" xfId="17336"/>
    <cellStyle name="Output 8 21" xfId="17337"/>
    <cellStyle name="Output 8 21 2" xfId="17338"/>
    <cellStyle name="Output 8 21 3" xfId="17339"/>
    <cellStyle name="Output 8 21 4" xfId="17340"/>
    <cellStyle name="Output 8 21 5" xfId="17341"/>
    <cellStyle name="Output 8 22" xfId="17342"/>
    <cellStyle name="Output 8 22 2" xfId="17343"/>
    <cellStyle name="Output 8 22 3" xfId="17344"/>
    <cellStyle name="Output 8 22 4" xfId="17345"/>
    <cellStyle name="Output 8 22 5" xfId="17346"/>
    <cellStyle name="Output 8 23" xfId="17347"/>
    <cellStyle name="Output 8 23 2" xfId="17348"/>
    <cellStyle name="Output 8 23 3" xfId="17349"/>
    <cellStyle name="Output 8 23 4" xfId="17350"/>
    <cellStyle name="Output 8 23 5" xfId="17351"/>
    <cellStyle name="Output 8 24" xfId="17352"/>
    <cellStyle name="Output 8 24 2" xfId="17353"/>
    <cellStyle name="Output 8 24 3" xfId="17354"/>
    <cellStyle name="Output 8 24 4" xfId="17355"/>
    <cellStyle name="Output 8 24 5" xfId="17356"/>
    <cellStyle name="Output 8 25" xfId="17357"/>
    <cellStyle name="Output 8 25 2" xfId="17358"/>
    <cellStyle name="Output 8 25 3" xfId="17359"/>
    <cellStyle name="Output 8 25 4" xfId="17360"/>
    <cellStyle name="Output 8 25 5" xfId="17361"/>
    <cellStyle name="Output 8 26" xfId="17362"/>
    <cellStyle name="Output 8 26 2" xfId="17363"/>
    <cellStyle name="Output 8 26 3" xfId="17364"/>
    <cellStyle name="Output 8 26 4" xfId="17365"/>
    <cellStyle name="Output 8 26 5" xfId="17366"/>
    <cellStyle name="Output 8 27" xfId="17367"/>
    <cellStyle name="Output 8 27 2" xfId="17368"/>
    <cellStyle name="Output 8 27 3" xfId="17369"/>
    <cellStyle name="Output 8 27 4" xfId="17370"/>
    <cellStyle name="Output 8 27 5" xfId="17371"/>
    <cellStyle name="Output 8 28" xfId="17372"/>
    <cellStyle name="Output 8 28 2" xfId="17373"/>
    <cellStyle name="Output 8 28 3" xfId="17374"/>
    <cellStyle name="Output 8 28 4" xfId="17375"/>
    <cellStyle name="Output 8 28 5" xfId="17376"/>
    <cellStyle name="Output 8 29" xfId="17377"/>
    <cellStyle name="Output 8 29 2" xfId="17378"/>
    <cellStyle name="Output 8 29 3" xfId="17379"/>
    <cellStyle name="Output 8 29 4" xfId="17380"/>
    <cellStyle name="Output 8 29 5" xfId="17381"/>
    <cellStyle name="Output 8 3" xfId="17382"/>
    <cellStyle name="Output 8 3 2" xfId="17383"/>
    <cellStyle name="Output 8 3 3" xfId="17384"/>
    <cellStyle name="Output 8 3 4" xfId="17385"/>
    <cellStyle name="Output 8 3 5" xfId="17386"/>
    <cellStyle name="Output 8 30" xfId="17387"/>
    <cellStyle name="Output 8 30 2" xfId="17388"/>
    <cellStyle name="Output 8 30 3" xfId="17389"/>
    <cellStyle name="Output 8 30 4" xfId="17390"/>
    <cellStyle name="Output 8 30 5" xfId="17391"/>
    <cellStyle name="Output 8 31" xfId="17392"/>
    <cellStyle name="Output 8 31 2" xfId="17393"/>
    <cellStyle name="Output 8 31 3" xfId="17394"/>
    <cellStyle name="Output 8 31 4" xfId="17395"/>
    <cellStyle name="Output 8 31 5" xfId="17396"/>
    <cellStyle name="Output 8 32" xfId="17397"/>
    <cellStyle name="Output 8 32 2" xfId="17398"/>
    <cellStyle name="Output 8 32 3" xfId="17399"/>
    <cellStyle name="Output 8 32 4" xfId="17400"/>
    <cellStyle name="Output 8 32 5" xfId="17401"/>
    <cellStyle name="Output 8 33" xfId="17402"/>
    <cellStyle name="Output 8 33 2" xfId="17403"/>
    <cellStyle name="Output 8 33 3" xfId="17404"/>
    <cellStyle name="Output 8 33 4" xfId="17405"/>
    <cellStyle name="Output 8 33 5" xfId="17406"/>
    <cellStyle name="Output 8 34" xfId="17407"/>
    <cellStyle name="Output 8 34 2" xfId="17408"/>
    <cellStyle name="Output 8 34 3" xfId="17409"/>
    <cellStyle name="Output 8 34 4" xfId="17410"/>
    <cellStyle name="Output 8 34 5" xfId="17411"/>
    <cellStyle name="Output 8 35" xfId="17412"/>
    <cellStyle name="Output 8 35 2" xfId="17413"/>
    <cellStyle name="Output 8 35 3" xfId="17414"/>
    <cellStyle name="Output 8 36" xfId="17415"/>
    <cellStyle name="Output 8 37" xfId="17416"/>
    <cellStyle name="Output 8 38" xfId="17417"/>
    <cellStyle name="Output 8 39" xfId="17418"/>
    <cellStyle name="Output 8 4" xfId="17419"/>
    <cellStyle name="Output 8 4 2" xfId="17420"/>
    <cellStyle name="Output 8 4 3" xfId="17421"/>
    <cellStyle name="Output 8 4 4" xfId="17422"/>
    <cellStyle name="Output 8 4 5" xfId="17423"/>
    <cellStyle name="Output 8 40" xfId="17424"/>
    <cellStyle name="Output 8 41" xfId="17425"/>
    <cellStyle name="Output 8 42" xfId="17426"/>
    <cellStyle name="Output 8 43" xfId="17427"/>
    <cellStyle name="Output 8 44" xfId="17428"/>
    <cellStyle name="Output 8 45" xfId="17429"/>
    <cellStyle name="Output 8 46" xfId="17430"/>
    <cellStyle name="Output 8 47" xfId="17431"/>
    <cellStyle name="Output 8 48" xfId="17432"/>
    <cellStyle name="Output 8 49" xfId="17433"/>
    <cellStyle name="Output 8 5" xfId="17434"/>
    <cellStyle name="Output 8 5 2" xfId="17435"/>
    <cellStyle name="Output 8 5 3" xfId="17436"/>
    <cellStyle name="Output 8 5 4" xfId="17437"/>
    <cellStyle name="Output 8 5 5" xfId="17438"/>
    <cellStyle name="Output 8 50" xfId="17439"/>
    <cellStyle name="Output 8 51" xfId="17440"/>
    <cellStyle name="Output 8 52" xfId="17441"/>
    <cellStyle name="Output 8 53" xfId="17442"/>
    <cellStyle name="Output 8 54" xfId="17443"/>
    <cellStyle name="Output 8 55" xfId="17444"/>
    <cellStyle name="Output 8 56" xfId="17445"/>
    <cellStyle name="Output 8 57" xfId="17446"/>
    <cellStyle name="Output 8 58" xfId="17447"/>
    <cellStyle name="Output 8 59" xfId="17448"/>
    <cellStyle name="Output 8 6" xfId="17449"/>
    <cellStyle name="Output 8 6 2" xfId="17450"/>
    <cellStyle name="Output 8 6 3" xfId="17451"/>
    <cellStyle name="Output 8 6 4" xfId="17452"/>
    <cellStyle name="Output 8 6 5" xfId="17453"/>
    <cellStyle name="Output 8 60" xfId="17454"/>
    <cellStyle name="Output 8 61" xfId="17455"/>
    <cellStyle name="Output 8 62" xfId="17456"/>
    <cellStyle name="Output 8 63" xfId="17457"/>
    <cellStyle name="Output 8 64" xfId="17458"/>
    <cellStyle name="Output 8 65" xfId="17459"/>
    <cellStyle name="Output 8 66" xfId="17460"/>
    <cellStyle name="Output 8 67" xfId="17461"/>
    <cellStyle name="Output 8 68" xfId="17462"/>
    <cellStyle name="Output 8 7" xfId="17463"/>
    <cellStyle name="Output 8 7 2" xfId="17464"/>
    <cellStyle name="Output 8 7 3" xfId="17465"/>
    <cellStyle name="Output 8 7 4" xfId="17466"/>
    <cellStyle name="Output 8 7 5" xfId="17467"/>
    <cellStyle name="Output 8 8" xfId="17468"/>
    <cellStyle name="Output 8 8 2" xfId="17469"/>
    <cellStyle name="Output 8 8 3" xfId="17470"/>
    <cellStyle name="Output 8 8 4" xfId="17471"/>
    <cellStyle name="Output 8 8 5" xfId="17472"/>
    <cellStyle name="Output 8 9" xfId="17473"/>
    <cellStyle name="Output 8 9 2" xfId="17474"/>
    <cellStyle name="Output 8 9 3" xfId="17475"/>
    <cellStyle name="Output 8 9 4" xfId="17476"/>
    <cellStyle name="Output 8 9 5" xfId="17477"/>
    <cellStyle name="Output 9" xfId="17478"/>
    <cellStyle name="Output 9 10" xfId="17479"/>
    <cellStyle name="Output 9 10 2" xfId="17480"/>
    <cellStyle name="Output 9 10 3" xfId="17481"/>
    <cellStyle name="Output 9 10 4" xfId="17482"/>
    <cellStyle name="Output 9 10 5" xfId="17483"/>
    <cellStyle name="Output 9 11" xfId="17484"/>
    <cellStyle name="Output 9 11 2" xfId="17485"/>
    <cellStyle name="Output 9 11 3" xfId="17486"/>
    <cellStyle name="Output 9 11 4" xfId="17487"/>
    <cellStyle name="Output 9 11 5" xfId="17488"/>
    <cellStyle name="Output 9 12" xfId="17489"/>
    <cellStyle name="Output 9 12 2" xfId="17490"/>
    <cellStyle name="Output 9 12 3" xfId="17491"/>
    <cellStyle name="Output 9 12 4" xfId="17492"/>
    <cellStyle name="Output 9 12 5" xfId="17493"/>
    <cellStyle name="Output 9 13" xfId="17494"/>
    <cellStyle name="Output 9 13 2" xfId="17495"/>
    <cellStyle name="Output 9 13 3" xfId="17496"/>
    <cellStyle name="Output 9 13 4" xfId="17497"/>
    <cellStyle name="Output 9 13 5" xfId="17498"/>
    <cellStyle name="Output 9 14" xfId="17499"/>
    <cellStyle name="Output 9 14 2" xfId="17500"/>
    <cellStyle name="Output 9 14 3" xfId="17501"/>
    <cellStyle name="Output 9 14 4" xfId="17502"/>
    <cellStyle name="Output 9 14 5" xfId="17503"/>
    <cellStyle name="Output 9 15" xfId="17504"/>
    <cellStyle name="Output 9 15 2" xfId="17505"/>
    <cellStyle name="Output 9 15 3" xfId="17506"/>
    <cellStyle name="Output 9 15 4" xfId="17507"/>
    <cellStyle name="Output 9 15 5" xfId="17508"/>
    <cellStyle name="Output 9 16" xfId="17509"/>
    <cellStyle name="Output 9 16 2" xfId="17510"/>
    <cellStyle name="Output 9 16 3" xfId="17511"/>
    <cellStyle name="Output 9 16 4" xfId="17512"/>
    <cellStyle name="Output 9 16 5" xfId="17513"/>
    <cellStyle name="Output 9 17" xfId="17514"/>
    <cellStyle name="Output 9 17 2" xfId="17515"/>
    <cellStyle name="Output 9 17 3" xfId="17516"/>
    <cellStyle name="Output 9 17 4" xfId="17517"/>
    <cellStyle name="Output 9 17 5" xfId="17518"/>
    <cellStyle name="Output 9 18" xfId="17519"/>
    <cellStyle name="Output 9 18 2" xfId="17520"/>
    <cellStyle name="Output 9 18 3" xfId="17521"/>
    <cellStyle name="Output 9 18 4" xfId="17522"/>
    <cellStyle name="Output 9 18 5" xfId="17523"/>
    <cellStyle name="Output 9 19" xfId="17524"/>
    <cellStyle name="Output 9 19 2" xfId="17525"/>
    <cellStyle name="Output 9 19 3" xfId="17526"/>
    <cellStyle name="Output 9 19 4" xfId="17527"/>
    <cellStyle name="Output 9 19 5" xfId="17528"/>
    <cellStyle name="Output 9 2" xfId="17529"/>
    <cellStyle name="Output 9 2 2" xfId="17530"/>
    <cellStyle name="Output 9 2 2 2" xfId="17531"/>
    <cellStyle name="Output 9 2 2 3" xfId="17532"/>
    <cellStyle name="Output 9 2 2 4" xfId="17533"/>
    <cellStyle name="Output 9 2 2 5" xfId="17534"/>
    <cellStyle name="Output 9 2 3" xfId="17535"/>
    <cellStyle name="Output 9 2 3 2" xfId="17536"/>
    <cellStyle name="Output 9 2 3 3" xfId="17537"/>
    <cellStyle name="Output 9 2 3 4" xfId="17538"/>
    <cellStyle name="Output 9 2 3 5" xfId="17539"/>
    <cellStyle name="Output 9 2 4" xfId="17540"/>
    <cellStyle name="Output 9 2 4 2" xfId="17541"/>
    <cellStyle name="Output 9 2 4 3" xfId="17542"/>
    <cellStyle name="Output 9 2 4 4" xfId="17543"/>
    <cellStyle name="Output 9 2 4 5" xfId="17544"/>
    <cellStyle name="Output 9 2 5" xfId="17545"/>
    <cellStyle name="Output 9 2 5 2" xfId="17546"/>
    <cellStyle name="Output 9 2 5 3" xfId="17547"/>
    <cellStyle name="Output 9 2 5 4" xfId="17548"/>
    <cellStyle name="Output 9 2 5 5" xfId="17549"/>
    <cellStyle name="Output 9 2 6" xfId="17550"/>
    <cellStyle name="Output 9 2 7" xfId="17551"/>
    <cellStyle name="Output 9 2 8" xfId="17552"/>
    <cellStyle name="Output 9 2 9" xfId="17553"/>
    <cellStyle name="Output 9 20" xfId="17554"/>
    <cellStyle name="Output 9 20 2" xfId="17555"/>
    <cellStyle name="Output 9 20 3" xfId="17556"/>
    <cellStyle name="Output 9 20 4" xfId="17557"/>
    <cellStyle name="Output 9 20 5" xfId="17558"/>
    <cellStyle name="Output 9 21" xfId="17559"/>
    <cellStyle name="Output 9 21 2" xfId="17560"/>
    <cellStyle name="Output 9 21 3" xfId="17561"/>
    <cellStyle name="Output 9 21 4" xfId="17562"/>
    <cellStyle name="Output 9 21 5" xfId="17563"/>
    <cellStyle name="Output 9 22" xfId="17564"/>
    <cellStyle name="Output 9 22 2" xfId="17565"/>
    <cellStyle name="Output 9 22 3" xfId="17566"/>
    <cellStyle name="Output 9 22 4" xfId="17567"/>
    <cellStyle name="Output 9 22 5" xfId="17568"/>
    <cellStyle name="Output 9 23" xfId="17569"/>
    <cellStyle name="Output 9 23 2" xfId="17570"/>
    <cellStyle name="Output 9 23 3" xfId="17571"/>
    <cellStyle name="Output 9 23 4" xfId="17572"/>
    <cellStyle name="Output 9 23 5" xfId="17573"/>
    <cellStyle name="Output 9 24" xfId="17574"/>
    <cellStyle name="Output 9 24 2" xfId="17575"/>
    <cellStyle name="Output 9 24 3" xfId="17576"/>
    <cellStyle name="Output 9 24 4" xfId="17577"/>
    <cellStyle name="Output 9 24 5" xfId="17578"/>
    <cellStyle name="Output 9 25" xfId="17579"/>
    <cellStyle name="Output 9 25 2" xfId="17580"/>
    <cellStyle name="Output 9 25 3" xfId="17581"/>
    <cellStyle name="Output 9 25 4" xfId="17582"/>
    <cellStyle name="Output 9 25 5" xfId="17583"/>
    <cellStyle name="Output 9 26" xfId="17584"/>
    <cellStyle name="Output 9 26 2" xfId="17585"/>
    <cellStyle name="Output 9 26 3" xfId="17586"/>
    <cellStyle name="Output 9 26 4" xfId="17587"/>
    <cellStyle name="Output 9 26 5" xfId="17588"/>
    <cellStyle name="Output 9 27" xfId="17589"/>
    <cellStyle name="Output 9 27 2" xfId="17590"/>
    <cellStyle name="Output 9 27 3" xfId="17591"/>
    <cellStyle name="Output 9 27 4" xfId="17592"/>
    <cellStyle name="Output 9 27 5" xfId="17593"/>
    <cellStyle name="Output 9 28" xfId="17594"/>
    <cellStyle name="Output 9 28 2" xfId="17595"/>
    <cellStyle name="Output 9 28 3" xfId="17596"/>
    <cellStyle name="Output 9 28 4" xfId="17597"/>
    <cellStyle name="Output 9 28 5" xfId="17598"/>
    <cellStyle name="Output 9 29" xfId="17599"/>
    <cellStyle name="Output 9 29 2" xfId="17600"/>
    <cellStyle name="Output 9 29 3" xfId="17601"/>
    <cellStyle name="Output 9 29 4" xfId="17602"/>
    <cellStyle name="Output 9 29 5" xfId="17603"/>
    <cellStyle name="Output 9 3" xfId="17604"/>
    <cellStyle name="Output 9 3 2" xfId="17605"/>
    <cellStyle name="Output 9 3 3" xfId="17606"/>
    <cellStyle name="Output 9 3 4" xfId="17607"/>
    <cellStyle name="Output 9 3 5" xfId="17608"/>
    <cellStyle name="Output 9 30" xfId="17609"/>
    <cellStyle name="Output 9 30 2" xfId="17610"/>
    <cellStyle name="Output 9 30 3" xfId="17611"/>
    <cellStyle name="Output 9 30 4" xfId="17612"/>
    <cellStyle name="Output 9 30 5" xfId="17613"/>
    <cellStyle name="Output 9 31" xfId="17614"/>
    <cellStyle name="Output 9 31 2" xfId="17615"/>
    <cellStyle name="Output 9 31 3" xfId="17616"/>
    <cellStyle name="Output 9 31 4" xfId="17617"/>
    <cellStyle name="Output 9 31 5" xfId="17618"/>
    <cellStyle name="Output 9 32" xfId="17619"/>
    <cellStyle name="Output 9 32 2" xfId="17620"/>
    <cellStyle name="Output 9 32 3" xfId="17621"/>
    <cellStyle name="Output 9 32 4" xfId="17622"/>
    <cellStyle name="Output 9 32 5" xfId="17623"/>
    <cellStyle name="Output 9 33" xfId="17624"/>
    <cellStyle name="Output 9 33 2" xfId="17625"/>
    <cellStyle name="Output 9 33 3" xfId="17626"/>
    <cellStyle name="Output 9 33 4" xfId="17627"/>
    <cellStyle name="Output 9 33 5" xfId="17628"/>
    <cellStyle name="Output 9 34" xfId="17629"/>
    <cellStyle name="Output 9 34 2" xfId="17630"/>
    <cellStyle name="Output 9 34 3" xfId="17631"/>
    <cellStyle name="Output 9 34 4" xfId="17632"/>
    <cellStyle name="Output 9 34 5" xfId="17633"/>
    <cellStyle name="Output 9 35" xfId="17634"/>
    <cellStyle name="Output 9 35 2" xfId="17635"/>
    <cellStyle name="Output 9 35 3" xfId="17636"/>
    <cellStyle name="Output 9 36" xfId="17637"/>
    <cellStyle name="Output 9 37" xfId="17638"/>
    <cellStyle name="Output 9 38" xfId="17639"/>
    <cellStyle name="Output 9 39" xfId="17640"/>
    <cellStyle name="Output 9 4" xfId="17641"/>
    <cellStyle name="Output 9 4 2" xfId="17642"/>
    <cellStyle name="Output 9 4 3" xfId="17643"/>
    <cellStyle name="Output 9 4 4" xfId="17644"/>
    <cellStyle name="Output 9 4 5" xfId="17645"/>
    <cellStyle name="Output 9 40" xfId="17646"/>
    <cellStyle name="Output 9 41" xfId="17647"/>
    <cellStyle name="Output 9 42" xfId="17648"/>
    <cellStyle name="Output 9 43" xfId="17649"/>
    <cellStyle name="Output 9 44" xfId="17650"/>
    <cellStyle name="Output 9 45" xfId="17651"/>
    <cellStyle name="Output 9 46" xfId="17652"/>
    <cellStyle name="Output 9 47" xfId="17653"/>
    <cellStyle name="Output 9 48" xfId="17654"/>
    <cellStyle name="Output 9 49" xfId="17655"/>
    <cellStyle name="Output 9 5" xfId="17656"/>
    <cellStyle name="Output 9 5 2" xfId="17657"/>
    <cellStyle name="Output 9 5 3" xfId="17658"/>
    <cellStyle name="Output 9 5 4" xfId="17659"/>
    <cellStyle name="Output 9 5 5" xfId="17660"/>
    <cellStyle name="Output 9 50" xfId="17661"/>
    <cellStyle name="Output 9 51" xfId="17662"/>
    <cellStyle name="Output 9 52" xfId="17663"/>
    <cellStyle name="Output 9 53" xfId="17664"/>
    <cellStyle name="Output 9 54" xfId="17665"/>
    <cellStyle name="Output 9 55" xfId="17666"/>
    <cellStyle name="Output 9 56" xfId="17667"/>
    <cellStyle name="Output 9 57" xfId="17668"/>
    <cellStyle name="Output 9 58" xfId="17669"/>
    <cellStyle name="Output 9 59" xfId="17670"/>
    <cellStyle name="Output 9 6" xfId="17671"/>
    <cellStyle name="Output 9 6 2" xfId="17672"/>
    <cellStyle name="Output 9 6 3" xfId="17673"/>
    <cellStyle name="Output 9 6 4" xfId="17674"/>
    <cellStyle name="Output 9 6 5" xfId="17675"/>
    <cellStyle name="Output 9 60" xfId="17676"/>
    <cellStyle name="Output 9 61" xfId="17677"/>
    <cellStyle name="Output 9 62" xfId="17678"/>
    <cellStyle name="Output 9 63" xfId="17679"/>
    <cellStyle name="Output 9 64" xfId="17680"/>
    <cellStyle name="Output 9 65" xfId="17681"/>
    <cellStyle name="Output 9 66" xfId="17682"/>
    <cellStyle name="Output 9 67" xfId="17683"/>
    <cellStyle name="Output 9 68" xfId="17684"/>
    <cellStyle name="Output 9 7" xfId="17685"/>
    <cellStyle name="Output 9 7 2" xfId="17686"/>
    <cellStyle name="Output 9 7 3" xfId="17687"/>
    <cellStyle name="Output 9 7 4" xfId="17688"/>
    <cellStyle name="Output 9 7 5" xfId="17689"/>
    <cellStyle name="Output 9 8" xfId="17690"/>
    <cellStyle name="Output 9 8 2" xfId="17691"/>
    <cellStyle name="Output 9 8 3" xfId="17692"/>
    <cellStyle name="Output 9 8 4" xfId="17693"/>
    <cellStyle name="Output 9 8 5" xfId="17694"/>
    <cellStyle name="Output 9 9" xfId="17695"/>
    <cellStyle name="Output 9 9 2" xfId="17696"/>
    <cellStyle name="Output 9 9 3" xfId="17697"/>
    <cellStyle name="Output 9 9 4" xfId="17698"/>
    <cellStyle name="Output 9 9 5" xfId="17699"/>
    <cellStyle name="pc1" xfId="17700"/>
    <cellStyle name="pc1 2" xfId="17701"/>
    <cellStyle name="per.style" xfId="17702"/>
    <cellStyle name="per.style 2" xfId="17703"/>
    <cellStyle name="Percent [0]" xfId="17704"/>
    <cellStyle name="Percent [0] 2" xfId="17705"/>
    <cellStyle name="Percent [0] 3" xfId="20942"/>
    <cellStyle name="Percent [0] 4" xfId="20943"/>
    <cellStyle name="Percent [0]_PKS" xfId="20944"/>
    <cellStyle name="Percent [00]" xfId="17706"/>
    <cellStyle name="Percent [00] 2" xfId="17707"/>
    <cellStyle name="Percent [1]" xfId="17708"/>
    <cellStyle name="Percent [1] 2" xfId="17709"/>
    <cellStyle name="Percent [1] 3" xfId="20945"/>
    <cellStyle name="Percent [1] 4" xfId="20946"/>
    <cellStyle name="Percent [1]_PKS" xfId="20947"/>
    <cellStyle name="Percent [2]" xfId="17710"/>
    <cellStyle name="Percent [2] 2" xfId="17711"/>
    <cellStyle name="Percent [2] 3" xfId="20948"/>
    <cellStyle name="Percent [2] 4" xfId="20949"/>
    <cellStyle name="Percent [2]_PKS" xfId="20950"/>
    <cellStyle name="Percent 2" xfId="8"/>
    <cellStyle name="Percent 2 2" xfId="17712"/>
    <cellStyle name="Percent 2 2 2" xfId="17713"/>
    <cellStyle name="Percent 2 2 2 2" xfId="17714"/>
    <cellStyle name="Percent 2 2 3" xfId="20690"/>
    <cellStyle name="Percent 2 3" xfId="17715"/>
    <cellStyle name="Percent 2 5" xfId="20951"/>
    <cellStyle name="Percent 23" xfId="20952"/>
    <cellStyle name="Percent 3" xfId="17716"/>
    <cellStyle name="Percent 3 2" xfId="17717"/>
    <cellStyle name="Percent 3 2 2" xfId="17718"/>
    <cellStyle name="Percent 3 3" xfId="17719"/>
    <cellStyle name="Percent 3 3 2" xfId="17720"/>
    <cellStyle name="Percent 3 4" xfId="17721"/>
    <cellStyle name="Percent 3 4 2" xfId="17722"/>
    <cellStyle name="Percent 3 5" xfId="17723"/>
    <cellStyle name="Percent 3 5 2" xfId="17724"/>
    <cellStyle name="Percent 3 6" xfId="17725"/>
    <cellStyle name="Percent 3 7" xfId="17726"/>
    <cellStyle name="Percent 4" xfId="17727"/>
    <cellStyle name="Percent 4 2" xfId="17728"/>
    <cellStyle name="Percent 4 2 2" xfId="17729"/>
    <cellStyle name="Percent 4 2 3" xfId="17730"/>
    <cellStyle name="Percent 4 3" xfId="17731"/>
    <cellStyle name="Percent 4 3 2" xfId="17732"/>
    <cellStyle name="Percent 4 4" xfId="17733"/>
    <cellStyle name="Percent 4 4 2" xfId="17734"/>
    <cellStyle name="Percent 4 5" xfId="17735"/>
    <cellStyle name="Percent 4 5 2" xfId="17736"/>
    <cellStyle name="Percent 4 6" xfId="17737"/>
    <cellStyle name="Percent 5" xfId="17738"/>
    <cellStyle name="Percent 5 2" xfId="17739"/>
    <cellStyle name="Percent 5 3" xfId="17740"/>
    <cellStyle name="Percent 5 4" xfId="17741"/>
    <cellStyle name="Percent 5 5" xfId="17742"/>
    <cellStyle name="Percent 5 5 2" xfId="17743"/>
    <cellStyle name="Percent 5 6" xfId="17744"/>
    <cellStyle name="Percent 5 7" xfId="17745"/>
    <cellStyle name="Percent 6" xfId="17746"/>
    <cellStyle name="Percent 6 2" xfId="20953"/>
    <cellStyle name="Percent 7" xfId="20954"/>
    <cellStyle name="PercentSales" xfId="17747"/>
    <cellStyle name="PercentSales 2" xfId="17748"/>
    <cellStyle name="PercentSales 3" xfId="20955"/>
    <cellStyle name="PercentSales 4" xfId="20956"/>
    <cellStyle name="PercentSales_PKS" xfId="20957"/>
    <cellStyle name="Perhitungan" xfId="20958"/>
    <cellStyle name="Perhitungan 2" xfId="20959"/>
    <cellStyle name="Perhitungan 3" xfId="20960"/>
    <cellStyle name="PrePop Currency (0)" xfId="17749"/>
    <cellStyle name="PrePop Currency (0) 2" xfId="17750"/>
    <cellStyle name="PrePop Currency (0) 3" xfId="20961"/>
    <cellStyle name="PrePop Currency (0) 4" xfId="20962"/>
    <cellStyle name="PrePop Currency (0)_1x1" xfId="20963"/>
    <cellStyle name="PrePop Currency (2)" xfId="17751"/>
    <cellStyle name="PrePop Currency (2) 2" xfId="17752"/>
    <cellStyle name="PrePop Currency (2) 3" xfId="20964"/>
    <cellStyle name="PrePop Currency (2) 4" xfId="20965"/>
    <cellStyle name="PrePop Currency (2)_1x1" xfId="20966"/>
    <cellStyle name="PrePop Units (0)" xfId="17753"/>
    <cellStyle name="PrePop Units (0) 2" xfId="17754"/>
    <cellStyle name="PrePop Units (0) 3" xfId="20967"/>
    <cellStyle name="PrePop Units (0) 4" xfId="20968"/>
    <cellStyle name="PrePop Units (0)_1x1" xfId="20969"/>
    <cellStyle name="PrePop Units (1)" xfId="17755"/>
    <cellStyle name="PrePop Units (1) 2" xfId="17756"/>
    <cellStyle name="PrePop Units (1) 3" xfId="20970"/>
    <cellStyle name="PrePop Units (1) 4" xfId="20971"/>
    <cellStyle name="PrePop Units (1)_1x1" xfId="20972"/>
    <cellStyle name="PrePop Units (2)" xfId="17757"/>
    <cellStyle name="PrePop Units (2) 2" xfId="17758"/>
    <cellStyle name="PrePop Units (2) 3" xfId="20973"/>
    <cellStyle name="PrePop Units (2) 4" xfId="20974"/>
    <cellStyle name="PrePop Units (2)_1x1" xfId="20975"/>
    <cellStyle name="Red font" xfId="17759"/>
    <cellStyle name="Red font 2" xfId="17760"/>
    <cellStyle name="Red font 3" xfId="20976"/>
    <cellStyle name="Red font 4" xfId="20977"/>
    <cellStyle name="Red font_1x1" xfId="20978"/>
    <cellStyle name="regstoresfromspecstores" xfId="17761"/>
    <cellStyle name="regstoresfromspecstores 2" xfId="17762"/>
    <cellStyle name="RevList" xfId="17763"/>
    <cellStyle name="RevList 2" xfId="17764"/>
    <cellStyle name="S0" xfId="17765"/>
    <cellStyle name="S0 2" xfId="17766"/>
    <cellStyle name="S0 3" xfId="17767"/>
    <cellStyle name="S1" xfId="17768"/>
    <cellStyle name="S1 2" xfId="17769"/>
    <cellStyle name="S1 3" xfId="17770"/>
    <cellStyle name="S10" xfId="17771"/>
    <cellStyle name="S10 2" xfId="17772"/>
    <cellStyle name="S10 3" xfId="17773"/>
    <cellStyle name="S11" xfId="17774"/>
    <cellStyle name="S11 2" xfId="17775"/>
    <cellStyle name="S11 3" xfId="17776"/>
    <cellStyle name="S12" xfId="17777"/>
    <cellStyle name="S12 2" xfId="17778"/>
    <cellStyle name="S12 3" xfId="17779"/>
    <cellStyle name="S13" xfId="17780"/>
    <cellStyle name="S14" xfId="17781"/>
    <cellStyle name="S15" xfId="17782"/>
    <cellStyle name="S16" xfId="17783"/>
    <cellStyle name="S17" xfId="17784"/>
    <cellStyle name="S18" xfId="17785"/>
    <cellStyle name="S19" xfId="17786"/>
    <cellStyle name="S2" xfId="17787"/>
    <cellStyle name="S2 2" xfId="17788"/>
    <cellStyle name="S2 3" xfId="17789"/>
    <cellStyle name="S20" xfId="17790"/>
    <cellStyle name="S21" xfId="17791"/>
    <cellStyle name="S22" xfId="17792"/>
    <cellStyle name="S23" xfId="17793"/>
    <cellStyle name="S3" xfId="17794"/>
    <cellStyle name="S3 2" xfId="17795"/>
    <cellStyle name="S3 3" xfId="17796"/>
    <cellStyle name="S4" xfId="17797"/>
    <cellStyle name="S4 2" xfId="17798"/>
    <cellStyle name="S4 3" xfId="17799"/>
    <cellStyle name="S5" xfId="17800"/>
    <cellStyle name="S5 2" xfId="17801"/>
    <cellStyle name="S5 3" xfId="17802"/>
    <cellStyle name="S6" xfId="17803"/>
    <cellStyle name="S6 2" xfId="17804"/>
    <cellStyle name="S6 3" xfId="17805"/>
    <cellStyle name="S7" xfId="17806"/>
    <cellStyle name="S7 2" xfId="17807"/>
    <cellStyle name="S7 3" xfId="17808"/>
    <cellStyle name="S8" xfId="17809"/>
    <cellStyle name="S8 2" xfId="17810"/>
    <cellStyle name="S8 3" xfId="17811"/>
    <cellStyle name="S9" xfId="17812"/>
    <cellStyle name="S9 2" xfId="17813"/>
    <cellStyle name="S9 3" xfId="17814"/>
    <cellStyle name="sbt2" xfId="17815"/>
    <cellStyle name="sbt2 10" xfId="17816"/>
    <cellStyle name="sbt2 10 2" xfId="17817"/>
    <cellStyle name="sbt2 10 3" xfId="17818"/>
    <cellStyle name="sbt2 10 4" xfId="17819"/>
    <cellStyle name="sbt2 10 5" xfId="17820"/>
    <cellStyle name="sbt2 11" xfId="17821"/>
    <cellStyle name="sbt2 11 2" xfId="17822"/>
    <cellStyle name="sbt2 11 3" xfId="17823"/>
    <cellStyle name="sbt2 11 4" xfId="17824"/>
    <cellStyle name="sbt2 11 5" xfId="17825"/>
    <cellStyle name="sbt2 12" xfId="17826"/>
    <cellStyle name="sbt2 12 2" xfId="17827"/>
    <cellStyle name="sbt2 12 3" xfId="17828"/>
    <cellStyle name="sbt2 12 4" xfId="17829"/>
    <cellStyle name="sbt2 12 5" xfId="17830"/>
    <cellStyle name="sbt2 13" xfId="17831"/>
    <cellStyle name="sbt2 13 2" xfId="17832"/>
    <cellStyle name="sbt2 13 3" xfId="17833"/>
    <cellStyle name="sbt2 13 4" xfId="17834"/>
    <cellStyle name="sbt2 13 5" xfId="17835"/>
    <cellStyle name="sbt2 14" xfId="17836"/>
    <cellStyle name="sbt2 14 2" xfId="17837"/>
    <cellStyle name="sbt2 14 3" xfId="17838"/>
    <cellStyle name="sbt2 14 4" xfId="17839"/>
    <cellStyle name="sbt2 14 5" xfId="17840"/>
    <cellStyle name="sbt2 15" xfId="17841"/>
    <cellStyle name="sbt2 15 2" xfId="17842"/>
    <cellStyle name="sbt2 15 3" xfId="17843"/>
    <cellStyle name="sbt2 15 4" xfId="17844"/>
    <cellStyle name="sbt2 15 5" xfId="17845"/>
    <cellStyle name="sbt2 16" xfId="17846"/>
    <cellStyle name="sbt2 16 2" xfId="17847"/>
    <cellStyle name="sbt2 16 3" xfId="17848"/>
    <cellStyle name="sbt2 16 4" xfId="17849"/>
    <cellStyle name="sbt2 16 5" xfId="17850"/>
    <cellStyle name="sbt2 17" xfId="17851"/>
    <cellStyle name="sbt2 17 2" xfId="17852"/>
    <cellStyle name="sbt2 17 3" xfId="17853"/>
    <cellStyle name="sbt2 17 4" xfId="17854"/>
    <cellStyle name="sbt2 17 5" xfId="17855"/>
    <cellStyle name="sbt2 18" xfId="17856"/>
    <cellStyle name="sbt2 18 2" xfId="17857"/>
    <cellStyle name="sbt2 18 3" xfId="17858"/>
    <cellStyle name="sbt2 18 4" xfId="17859"/>
    <cellStyle name="sbt2 18 5" xfId="17860"/>
    <cellStyle name="sbt2 19" xfId="17861"/>
    <cellStyle name="sbt2 19 2" xfId="17862"/>
    <cellStyle name="sbt2 19 3" xfId="17863"/>
    <cellStyle name="sbt2 19 4" xfId="17864"/>
    <cellStyle name="sbt2 19 5" xfId="17865"/>
    <cellStyle name="sbt2 2" xfId="17866"/>
    <cellStyle name="sbt2 2 2" xfId="17867"/>
    <cellStyle name="sbt2 2 3" xfId="17868"/>
    <cellStyle name="sbt2 2 4" xfId="17869"/>
    <cellStyle name="sbt2 2 5" xfId="17870"/>
    <cellStyle name="sbt2 20" xfId="17871"/>
    <cellStyle name="sbt2 20 2" xfId="17872"/>
    <cellStyle name="sbt2 20 3" xfId="17873"/>
    <cellStyle name="sbt2 20 4" xfId="17874"/>
    <cellStyle name="sbt2 20 5" xfId="17875"/>
    <cellStyle name="sbt2 21" xfId="17876"/>
    <cellStyle name="sbt2 21 2" xfId="17877"/>
    <cellStyle name="sbt2 21 3" xfId="17878"/>
    <cellStyle name="sbt2 21 4" xfId="17879"/>
    <cellStyle name="sbt2 21 5" xfId="17880"/>
    <cellStyle name="sbt2 22" xfId="17881"/>
    <cellStyle name="sbt2 22 2" xfId="17882"/>
    <cellStyle name="sbt2 22 3" xfId="17883"/>
    <cellStyle name="sbt2 22 4" xfId="17884"/>
    <cellStyle name="sbt2 22 5" xfId="17885"/>
    <cellStyle name="sbt2 23" xfId="17886"/>
    <cellStyle name="sbt2 23 2" xfId="17887"/>
    <cellStyle name="sbt2 23 3" xfId="17888"/>
    <cellStyle name="sbt2 23 4" xfId="17889"/>
    <cellStyle name="sbt2 23 5" xfId="17890"/>
    <cellStyle name="sbt2 24" xfId="17891"/>
    <cellStyle name="sbt2 24 2" xfId="17892"/>
    <cellStyle name="sbt2 24 3" xfId="17893"/>
    <cellStyle name="sbt2 24 4" xfId="17894"/>
    <cellStyle name="sbt2 24 5" xfId="17895"/>
    <cellStyle name="sbt2 25" xfId="17896"/>
    <cellStyle name="sbt2 25 2" xfId="17897"/>
    <cellStyle name="sbt2 25 3" xfId="17898"/>
    <cellStyle name="sbt2 25 4" xfId="17899"/>
    <cellStyle name="sbt2 25 5" xfId="17900"/>
    <cellStyle name="sbt2 26" xfId="17901"/>
    <cellStyle name="sbt2 26 2" xfId="17902"/>
    <cellStyle name="sbt2 26 3" xfId="17903"/>
    <cellStyle name="sbt2 26 4" xfId="17904"/>
    <cellStyle name="sbt2 26 5" xfId="17905"/>
    <cellStyle name="sbt2 27" xfId="17906"/>
    <cellStyle name="sbt2 27 2" xfId="17907"/>
    <cellStyle name="sbt2 27 3" xfId="17908"/>
    <cellStyle name="sbt2 27 4" xfId="17909"/>
    <cellStyle name="sbt2 27 5" xfId="17910"/>
    <cellStyle name="sbt2 28" xfId="17911"/>
    <cellStyle name="sbt2 28 2" xfId="17912"/>
    <cellStyle name="sbt2 28 3" xfId="17913"/>
    <cellStyle name="sbt2 28 4" xfId="17914"/>
    <cellStyle name="sbt2 28 5" xfId="17915"/>
    <cellStyle name="sbt2 29" xfId="17916"/>
    <cellStyle name="sbt2 29 2" xfId="17917"/>
    <cellStyle name="sbt2 29 3" xfId="17918"/>
    <cellStyle name="sbt2 29 4" xfId="17919"/>
    <cellStyle name="sbt2 29 5" xfId="17920"/>
    <cellStyle name="sbt2 3" xfId="17921"/>
    <cellStyle name="sbt2 3 2" xfId="17922"/>
    <cellStyle name="sbt2 3 3" xfId="17923"/>
    <cellStyle name="sbt2 3 4" xfId="17924"/>
    <cellStyle name="sbt2 3 5" xfId="17925"/>
    <cellStyle name="sbt2 30" xfId="17926"/>
    <cellStyle name="sbt2 30 2" xfId="17927"/>
    <cellStyle name="sbt2 30 3" xfId="17928"/>
    <cellStyle name="sbt2 30 4" xfId="17929"/>
    <cellStyle name="sbt2 30 5" xfId="17930"/>
    <cellStyle name="sbt2 31" xfId="17931"/>
    <cellStyle name="sbt2 31 2" xfId="17932"/>
    <cellStyle name="sbt2 31 3" xfId="17933"/>
    <cellStyle name="sbt2 31 4" xfId="17934"/>
    <cellStyle name="sbt2 31 5" xfId="17935"/>
    <cellStyle name="sbt2 32" xfId="17936"/>
    <cellStyle name="sbt2 32 2" xfId="17937"/>
    <cellStyle name="sbt2 32 3" xfId="17938"/>
    <cellStyle name="sbt2 33" xfId="17939"/>
    <cellStyle name="sbt2 34" xfId="17940"/>
    <cellStyle name="sbt2 35" xfId="17941"/>
    <cellStyle name="sbt2 36" xfId="17942"/>
    <cellStyle name="sbt2 37" xfId="17943"/>
    <cellStyle name="sbt2 38" xfId="17944"/>
    <cellStyle name="sbt2 39" xfId="17945"/>
    <cellStyle name="sbt2 4" xfId="17946"/>
    <cellStyle name="sbt2 4 2" xfId="17947"/>
    <cellStyle name="sbt2 4 3" xfId="17948"/>
    <cellStyle name="sbt2 4 4" xfId="17949"/>
    <cellStyle name="sbt2 4 5" xfId="17950"/>
    <cellStyle name="sbt2 40" xfId="17951"/>
    <cellStyle name="sbt2 41" xfId="17952"/>
    <cellStyle name="sbt2 42" xfId="17953"/>
    <cellStyle name="sbt2 43" xfId="17954"/>
    <cellStyle name="sbt2 44" xfId="17955"/>
    <cellStyle name="sbt2 45" xfId="17956"/>
    <cellStyle name="sbt2 46" xfId="17957"/>
    <cellStyle name="sbt2 47" xfId="17958"/>
    <cellStyle name="sbt2 48" xfId="17959"/>
    <cellStyle name="sbt2 49" xfId="17960"/>
    <cellStyle name="sbt2 5" xfId="17961"/>
    <cellStyle name="sbt2 5 2" xfId="17962"/>
    <cellStyle name="sbt2 5 3" xfId="17963"/>
    <cellStyle name="sbt2 5 4" xfId="17964"/>
    <cellStyle name="sbt2 5 5" xfId="17965"/>
    <cellStyle name="sbt2 50" xfId="17966"/>
    <cellStyle name="sbt2 51" xfId="17967"/>
    <cellStyle name="sbt2 52" xfId="17968"/>
    <cellStyle name="sbt2 53" xfId="17969"/>
    <cellStyle name="sbt2 54" xfId="17970"/>
    <cellStyle name="sbt2 55" xfId="17971"/>
    <cellStyle name="sbt2 56" xfId="17972"/>
    <cellStyle name="sbt2 57" xfId="17973"/>
    <cellStyle name="sbt2 58" xfId="17974"/>
    <cellStyle name="sbt2 59" xfId="17975"/>
    <cellStyle name="sbt2 6" xfId="17976"/>
    <cellStyle name="sbt2 6 2" xfId="17977"/>
    <cellStyle name="sbt2 6 3" xfId="17978"/>
    <cellStyle name="sbt2 6 4" xfId="17979"/>
    <cellStyle name="sbt2 6 5" xfId="17980"/>
    <cellStyle name="sbt2 60" xfId="17981"/>
    <cellStyle name="sbt2 7" xfId="17982"/>
    <cellStyle name="sbt2 7 2" xfId="17983"/>
    <cellStyle name="sbt2 7 3" xfId="17984"/>
    <cellStyle name="sbt2 7 4" xfId="17985"/>
    <cellStyle name="sbt2 7 5" xfId="17986"/>
    <cellStyle name="sbt2 8" xfId="17987"/>
    <cellStyle name="sbt2 8 2" xfId="17988"/>
    <cellStyle name="sbt2 8 3" xfId="17989"/>
    <cellStyle name="sbt2 8 4" xfId="17990"/>
    <cellStyle name="sbt2 8 5" xfId="17991"/>
    <cellStyle name="sbt2 9" xfId="17992"/>
    <cellStyle name="sbt2 9 2" xfId="17993"/>
    <cellStyle name="sbt2 9 3" xfId="17994"/>
    <cellStyle name="sbt2 9 4" xfId="17995"/>
    <cellStyle name="sbt2 9 5" xfId="17996"/>
    <cellStyle name="Sel Tertaut" xfId="20979"/>
    <cellStyle name="Sel Tertaut 2" xfId="20980"/>
    <cellStyle name="SHADEDSTORES" xfId="17997"/>
    <cellStyle name="SHADEDSTORES 10" xfId="17998"/>
    <cellStyle name="SHADEDSTORES 10 2" xfId="17999"/>
    <cellStyle name="SHADEDSTORES 10 3" xfId="18000"/>
    <cellStyle name="SHADEDSTORES 10 4" xfId="18001"/>
    <cellStyle name="SHADEDSTORES 10 5" xfId="18002"/>
    <cellStyle name="SHADEDSTORES 11" xfId="18003"/>
    <cellStyle name="SHADEDSTORES 11 2" xfId="18004"/>
    <cellStyle name="SHADEDSTORES 11 3" xfId="18005"/>
    <cellStyle name="SHADEDSTORES 11 4" xfId="18006"/>
    <cellStyle name="SHADEDSTORES 11 5" xfId="18007"/>
    <cellStyle name="SHADEDSTORES 12" xfId="18008"/>
    <cellStyle name="SHADEDSTORES 12 2" xfId="18009"/>
    <cellStyle name="SHADEDSTORES 12 3" xfId="18010"/>
    <cellStyle name="SHADEDSTORES 12 4" xfId="18011"/>
    <cellStyle name="SHADEDSTORES 12 5" xfId="18012"/>
    <cellStyle name="SHADEDSTORES 13" xfId="18013"/>
    <cellStyle name="SHADEDSTORES 13 2" xfId="18014"/>
    <cellStyle name="SHADEDSTORES 13 3" xfId="18015"/>
    <cellStyle name="SHADEDSTORES 13 4" xfId="18016"/>
    <cellStyle name="SHADEDSTORES 13 5" xfId="18017"/>
    <cellStyle name="SHADEDSTORES 14" xfId="18018"/>
    <cellStyle name="SHADEDSTORES 14 2" xfId="18019"/>
    <cellStyle name="SHADEDSTORES 14 3" xfId="18020"/>
    <cellStyle name="SHADEDSTORES 14 4" xfId="18021"/>
    <cellStyle name="SHADEDSTORES 14 5" xfId="18022"/>
    <cellStyle name="SHADEDSTORES 15" xfId="18023"/>
    <cellStyle name="SHADEDSTORES 15 2" xfId="18024"/>
    <cellStyle name="SHADEDSTORES 15 3" xfId="18025"/>
    <cellStyle name="SHADEDSTORES 15 4" xfId="18026"/>
    <cellStyle name="SHADEDSTORES 15 5" xfId="18027"/>
    <cellStyle name="SHADEDSTORES 16" xfId="18028"/>
    <cellStyle name="SHADEDSTORES 16 2" xfId="18029"/>
    <cellStyle name="SHADEDSTORES 16 3" xfId="18030"/>
    <cellStyle name="SHADEDSTORES 16 4" xfId="18031"/>
    <cellStyle name="SHADEDSTORES 16 5" xfId="18032"/>
    <cellStyle name="SHADEDSTORES 17" xfId="18033"/>
    <cellStyle name="SHADEDSTORES 17 2" xfId="18034"/>
    <cellStyle name="SHADEDSTORES 17 3" xfId="18035"/>
    <cellStyle name="SHADEDSTORES 17 4" xfId="18036"/>
    <cellStyle name="SHADEDSTORES 17 5" xfId="18037"/>
    <cellStyle name="SHADEDSTORES 18" xfId="18038"/>
    <cellStyle name="SHADEDSTORES 18 2" xfId="18039"/>
    <cellStyle name="SHADEDSTORES 18 3" xfId="18040"/>
    <cellStyle name="SHADEDSTORES 18 4" xfId="18041"/>
    <cellStyle name="SHADEDSTORES 18 5" xfId="18042"/>
    <cellStyle name="SHADEDSTORES 19" xfId="18043"/>
    <cellStyle name="SHADEDSTORES 19 2" xfId="18044"/>
    <cellStyle name="SHADEDSTORES 19 3" xfId="18045"/>
    <cellStyle name="SHADEDSTORES 19 4" xfId="18046"/>
    <cellStyle name="SHADEDSTORES 19 5" xfId="18047"/>
    <cellStyle name="SHADEDSTORES 2" xfId="18048"/>
    <cellStyle name="SHADEDSTORES 2 2" xfId="18049"/>
    <cellStyle name="SHADEDSTORES 2 3" xfId="18050"/>
    <cellStyle name="SHADEDSTORES 2 4" xfId="18051"/>
    <cellStyle name="SHADEDSTORES 2 5" xfId="18052"/>
    <cellStyle name="SHADEDSTORES 20" xfId="18053"/>
    <cellStyle name="SHADEDSTORES 20 2" xfId="18054"/>
    <cellStyle name="SHADEDSTORES 20 3" xfId="18055"/>
    <cellStyle name="SHADEDSTORES 20 4" xfId="18056"/>
    <cellStyle name="SHADEDSTORES 20 5" xfId="18057"/>
    <cellStyle name="SHADEDSTORES 21" xfId="18058"/>
    <cellStyle name="SHADEDSTORES 21 2" xfId="18059"/>
    <cellStyle name="SHADEDSTORES 21 3" xfId="18060"/>
    <cellStyle name="SHADEDSTORES 21 4" xfId="18061"/>
    <cellStyle name="SHADEDSTORES 21 5" xfId="18062"/>
    <cellStyle name="SHADEDSTORES 22" xfId="18063"/>
    <cellStyle name="SHADEDSTORES 22 2" xfId="18064"/>
    <cellStyle name="SHADEDSTORES 22 3" xfId="18065"/>
    <cellStyle name="SHADEDSTORES 22 4" xfId="18066"/>
    <cellStyle name="SHADEDSTORES 22 5" xfId="18067"/>
    <cellStyle name="SHADEDSTORES 23" xfId="18068"/>
    <cellStyle name="SHADEDSTORES 23 2" xfId="18069"/>
    <cellStyle name="SHADEDSTORES 23 3" xfId="18070"/>
    <cellStyle name="SHADEDSTORES 23 4" xfId="18071"/>
    <cellStyle name="SHADEDSTORES 23 5" xfId="18072"/>
    <cellStyle name="SHADEDSTORES 24" xfId="18073"/>
    <cellStyle name="SHADEDSTORES 24 2" xfId="18074"/>
    <cellStyle name="SHADEDSTORES 24 3" xfId="18075"/>
    <cellStyle name="SHADEDSTORES 24 4" xfId="18076"/>
    <cellStyle name="SHADEDSTORES 24 5" xfId="18077"/>
    <cellStyle name="SHADEDSTORES 25" xfId="18078"/>
    <cellStyle name="SHADEDSTORES 25 2" xfId="18079"/>
    <cellStyle name="SHADEDSTORES 25 3" xfId="18080"/>
    <cellStyle name="SHADEDSTORES 25 4" xfId="18081"/>
    <cellStyle name="SHADEDSTORES 25 5" xfId="18082"/>
    <cellStyle name="SHADEDSTORES 26" xfId="18083"/>
    <cellStyle name="SHADEDSTORES 26 2" xfId="18084"/>
    <cellStyle name="SHADEDSTORES 26 3" xfId="18085"/>
    <cellStyle name="SHADEDSTORES 27" xfId="18086"/>
    <cellStyle name="SHADEDSTORES 28" xfId="18087"/>
    <cellStyle name="SHADEDSTORES 29" xfId="18088"/>
    <cellStyle name="SHADEDSTORES 3" xfId="18089"/>
    <cellStyle name="SHADEDSTORES 3 2" xfId="18090"/>
    <cellStyle name="SHADEDSTORES 3 3" xfId="18091"/>
    <cellStyle name="SHADEDSTORES 3 4" xfId="18092"/>
    <cellStyle name="SHADEDSTORES 3 5" xfId="18093"/>
    <cellStyle name="SHADEDSTORES 30" xfId="18094"/>
    <cellStyle name="SHADEDSTORES 31" xfId="18095"/>
    <cellStyle name="SHADEDSTORES 32" xfId="18096"/>
    <cellStyle name="SHADEDSTORES 33" xfId="18097"/>
    <cellStyle name="SHADEDSTORES 34" xfId="18098"/>
    <cellStyle name="SHADEDSTORES 35" xfId="18099"/>
    <cellStyle name="SHADEDSTORES 36" xfId="18100"/>
    <cellStyle name="SHADEDSTORES 37" xfId="18101"/>
    <cellStyle name="SHADEDSTORES 38" xfId="18102"/>
    <cellStyle name="SHADEDSTORES 39" xfId="18103"/>
    <cellStyle name="SHADEDSTORES 4" xfId="18104"/>
    <cellStyle name="SHADEDSTORES 4 2" xfId="18105"/>
    <cellStyle name="SHADEDSTORES 4 3" xfId="18106"/>
    <cellStyle name="SHADEDSTORES 4 4" xfId="18107"/>
    <cellStyle name="SHADEDSTORES 4 5" xfId="18108"/>
    <cellStyle name="SHADEDSTORES 40" xfId="18109"/>
    <cellStyle name="SHADEDSTORES 41" xfId="18110"/>
    <cellStyle name="SHADEDSTORES 42" xfId="18111"/>
    <cellStyle name="SHADEDSTORES 43" xfId="18112"/>
    <cellStyle name="SHADEDSTORES 44" xfId="18113"/>
    <cellStyle name="SHADEDSTORES 45" xfId="18114"/>
    <cellStyle name="SHADEDSTORES 46" xfId="18115"/>
    <cellStyle name="SHADEDSTORES 47" xfId="18116"/>
    <cellStyle name="SHADEDSTORES 48" xfId="18117"/>
    <cellStyle name="SHADEDSTORES 49" xfId="18118"/>
    <cellStyle name="SHADEDSTORES 5" xfId="18119"/>
    <cellStyle name="SHADEDSTORES 5 2" xfId="18120"/>
    <cellStyle name="SHADEDSTORES 5 3" xfId="18121"/>
    <cellStyle name="SHADEDSTORES 5 4" xfId="18122"/>
    <cellStyle name="SHADEDSTORES 5 5" xfId="18123"/>
    <cellStyle name="SHADEDSTORES 50" xfId="18124"/>
    <cellStyle name="SHADEDSTORES 51" xfId="18125"/>
    <cellStyle name="SHADEDSTORES 52" xfId="18126"/>
    <cellStyle name="SHADEDSTORES 53" xfId="18127"/>
    <cellStyle name="SHADEDSTORES 54" xfId="18128"/>
    <cellStyle name="SHADEDSTORES 55" xfId="18129"/>
    <cellStyle name="SHADEDSTORES 56" xfId="18130"/>
    <cellStyle name="SHADEDSTORES 6" xfId="18131"/>
    <cellStyle name="SHADEDSTORES 6 2" xfId="18132"/>
    <cellStyle name="SHADEDSTORES 6 3" xfId="18133"/>
    <cellStyle name="SHADEDSTORES 6 4" xfId="18134"/>
    <cellStyle name="SHADEDSTORES 6 5" xfId="18135"/>
    <cellStyle name="SHADEDSTORES 7" xfId="18136"/>
    <cellStyle name="SHADEDSTORES 7 2" xfId="18137"/>
    <cellStyle name="SHADEDSTORES 7 3" xfId="18138"/>
    <cellStyle name="SHADEDSTORES 7 4" xfId="18139"/>
    <cellStyle name="SHADEDSTORES 7 5" xfId="18140"/>
    <cellStyle name="SHADEDSTORES 8" xfId="18141"/>
    <cellStyle name="SHADEDSTORES 8 2" xfId="18142"/>
    <cellStyle name="SHADEDSTORES 8 3" xfId="18143"/>
    <cellStyle name="SHADEDSTORES 8 4" xfId="18144"/>
    <cellStyle name="SHADEDSTORES 8 5" xfId="18145"/>
    <cellStyle name="SHADEDSTORES 9" xfId="18146"/>
    <cellStyle name="SHADEDSTORES 9 2" xfId="18147"/>
    <cellStyle name="SHADEDSTORES 9 3" xfId="18148"/>
    <cellStyle name="SHADEDSTORES 9 4" xfId="18149"/>
    <cellStyle name="SHADEDSTORES 9 5" xfId="18150"/>
    <cellStyle name="specstores" xfId="18151"/>
    <cellStyle name="specstores 2" xfId="18152"/>
    <cellStyle name="Strange" xfId="18153"/>
    <cellStyle name="Strange 2" xfId="18154"/>
    <cellStyle name="Strange 3" xfId="20981"/>
    <cellStyle name="Strange 4" xfId="20982"/>
    <cellStyle name="Strange_PKS" xfId="20983"/>
    <cellStyle name="Style 1" xfId="20984"/>
    <cellStyle name="subt1" xfId="18155"/>
    <cellStyle name="subt1 2" xfId="18156"/>
    <cellStyle name="subt1 2 2" xfId="18157"/>
    <cellStyle name="subt1 3" xfId="18158"/>
    <cellStyle name="subt1 3 2" xfId="18159"/>
    <cellStyle name="subt1 4" xfId="18160"/>
    <cellStyle name="subt1 5" xfId="18161"/>
    <cellStyle name="Subtotal" xfId="18162"/>
    <cellStyle name="Subtotal 2" xfId="18163"/>
    <cellStyle name="Tajuk 1" xfId="20985"/>
    <cellStyle name="Tajuk 2" xfId="20986"/>
    <cellStyle name="Tajuk 3" xfId="20987"/>
    <cellStyle name="Tajuk 3 2" xfId="20988"/>
    <cellStyle name="Tajuk 3 3" xfId="20989"/>
    <cellStyle name="Tajuk 3 4" xfId="20990"/>
    <cellStyle name="Tajuk 3 5" xfId="20991"/>
    <cellStyle name="Tajuk 4" xfId="20992"/>
    <cellStyle name="Teks Penjelasan" xfId="20993"/>
    <cellStyle name="Teks Peringatan" xfId="20994"/>
    <cellStyle name="Test [green]" xfId="18164"/>
    <cellStyle name="Test [green] 2" xfId="18165"/>
    <cellStyle name="Test [green] 3" xfId="20995"/>
    <cellStyle name="Test [green] 4" xfId="20996"/>
    <cellStyle name="Test [green]_PKS" xfId="20997"/>
    <cellStyle name="Text Indent A" xfId="18166"/>
    <cellStyle name="Text Indent A 2" xfId="18167"/>
    <cellStyle name="Text Indent B" xfId="18168"/>
    <cellStyle name="Text Indent B 2" xfId="18169"/>
    <cellStyle name="Text Indent B 3" xfId="20998"/>
    <cellStyle name="Text Indent B 4" xfId="20999"/>
    <cellStyle name="Text Indent B_1x1" xfId="21000"/>
    <cellStyle name="Text Indent C" xfId="18170"/>
    <cellStyle name="Text Indent C 2" xfId="18171"/>
    <cellStyle name="Text Indent C 3" xfId="21001"/>
    <cellStyle name="Text Indent C 4" xfId="21002"/>
    <cellStyle name="Text Indent C_1x1" xfId="21003"/>
    <cellStyle name="TFCF" xfId="18172"/>
    <cellStyle name="TFCF 2" xfId="18173"/>
    <cellStyle name="TFCF 3" xfId="21004"/>
    <cellStyle name="TFCF 4" xfId="21005"/>
    <cellStyle name="TFCF_1x1" xfId="21006"/>
    <cellStyle name="Title 10" xfId="18174"/>
    <cellStyle name="Title 10 2" xfId="18175"/>
    <cellStyle name="Title 11" xfId="18176"/>
    <cellStyle name="Title 11 2" xfId="18177"/>
    <cellStyle name="Title 12" xfId="18178"/>
    <cellStyle name="Title 12 2" xfId="18179"/>
    <cellStyle name="Title 2" xfId="18180"/>
    <cellStyle name="Title 2 2" xfId="18181"/>
    <cellStyle name="Title 3" xfId="18182"/>
    <cellStyle name="Title 3 2" xfId="18183"/>
    <cellStyle name="Title 4" xfId="18184"/>
    <cellStyle name="Title 4 2" xfId="18185"/>
    <cellStyle name="Title 5" xfId="18186"/>
    <cellStyle name="Title 5 2" xfId="18187"/>
    <cellStyle name="Title 6" xfId="18188"/>
    <cellStyle name="Title 6 2" xfId="18189"/>
    <cellStyle name="Title 7" xfId="18190"/>
    <cellStyle name="Title 7 2" xfId="18191"/>
    <cellStyle name="Title 8" xfId="18192"/>
    <cellStyle name="Title 8 2" xfId="18193"/>
    <cellStyle name="Title 9" xfId="18194"/>
    <cellStyle name="Title 9 2" xfId="18195"/>
    <cellStyle name="Total 10" xfId="18196"/>
    <cellStyle name="Total 10 10" xfId="18197"/>
    <cellStyle name="Total 10 10 2" xfId="18198"/>
    <cellStyle name="Total 10 10 3" xfId="18199"/>
    <cellStyle name="Total 10 10 4" xfId="18200"/>
    <cellStyle name="Total 10 10 5" xfId="18201"/>
    <cellStyle name="Total 10 11" xfId="18202"/>
    <cellStyle name="Total 10 11 2" xfId="18203"/>
    <cellStyle name="Total 10 11 3" xfId="18204"/>
    <cellStyle name="Total 10 11 4" xfId="18205"/>
    <cellStyle name="Total 10 11 5" xfId="18206"/>
    <cellStyle name="Total 10 12" xfId="18207"/>
    <cellStyle name="Total 10 12 2" xfId="18208"/>
    <cellStyle name="Total 10 12 3" xfId="18209"/>
    <cellStyle name="Total 10 12 4" xfId="18210"/>
    <cellStyle name="Total 10 12 5" xfId="18211"/>
    <cellStyle name="Total 10 13" xfId="18212"/>
    <cellStyle name="Total 10 13 2" xfId="18213"/>
    <cellStyle name="Total 10 13 3" xfId="18214"/>
    <cellStyle name="Total 10 13 4" xfId="18215"/>
    <cellStyle name="Total 10 13 5" xfId="18216"/>
    <cellStyle name="Total 10 14" xfId="18217"/>
    <cellStyle name="Total 10 14 2" xfId="18218"/>
    <cellStyle name="Total 10 14 3" xfId="18219"/>
    <cellStyle name="Total 10 14 4" xfId="18220"/>
    <cellStyle name="Total 10 14 5" xfId="18221"/>
    <cellStyle name="Total 10 15" xfId="18222"/>
    <cellStyle name="Total 10 15 2" xfId="18223"/>
    <cellStyle name="Total 10 15 3" xfId="18224"/>
    <cellStyle name="Total 10 15 4" xfId="18225"/>
    <cellStyle name="Total 10 15 5" xfId="18226"/>
    <cellStyle name="Total 10 16" xfId="18227"/>
    <cellStyle name="Total 10 16 2" xfId="18228"/>
    <cellStyle name="Total 10 16 3" xfId="18229"/>
    <cellStyle name="Total 10 16 4" xfId="18230"/>
    <cellStyle name="Total 10 16 5" xfId="18231"/>
    <cellStyle name="Total 10 17" xfId="18232"/>
    <cellStyle name="Total 10 17 2" xfId="18233"/>
    <cellStyle name="Total 10 17 3" xfId="18234"/>
    <cellStyle name="Total 10 17 4" xfId="18235"/>
    <cellStyle name="Total 10 17 5" xfId="18236"/>
    <cellStyle name="Total 10 18" xfId="18237"/>
    <cellStyle name="Total 10 18 2" xfId="18238"/>
    <cellStyle name="Total 10 18 3" xfId="18239"/>
    <cellStyle name="Total 10 18 4" xfId="18240"/>
    <cellStyle name="Total 10 18 5" xfId="18241"/>
    <cellStyle name="Total 10 19" xfId="18242"/>
    <cellStyle name="Total 10 19 2" xfId="18243"/>
    <cellStyle name="Total 10 19 3" xfId="18244"/>
    <cellStyle name="Total 10 19 4" xfId="18245"/>
    <cellStyle name="Total 10 19 5" xfId="18246"/>
    <cellStyle name="Total 10 2" xfId="18247"/>
    <cellStyle name="Total 10 2 2" xfId="18248"/>
    <cellStyle name="Total 10 2 2 2" xfId="18249"/>
    <cellStyle name="Total 10 2 2 3" xfId="18250"/>
    <cellStyle name="Total 10 2 2 4" xfId="18251"/>
    <cellStyle name="Total 10 2 2 5" xfId="18252"/>
    <cellStyle name="Total 10 2 3" xfId="18253"/>
    <cellStyle name="Total 10 2 3 2" xfId="18254"/>
    <cellStyle name="Total 10 2 3 3" xfId="18255"/>
    <cellStyle name="Total 10 2 3 4" xfId="18256"/>
    <cellStyle name="Total 10 2 3 5" xfId="18257"/>
    <cellStyle name="Total 10 2 4" xfId="18258"/>
    <cellStyle name="Total 10 2 4 2" xfId="18259"/>
    <cellStyle name="Total 10 2 4 3" xfId="18260"/>
    <cellStyle name="Total 10 2 4 4" xfId="18261"/>
    <cellStyle name="Total 10 2 4 5" xfId="18262"/>
    <cellStyle name="Total 10 2 5" xfId="18263"/>
    <cellStyle name="Total 10 2 5 2" xfId="18264"/>
    <cellStyle name="Total 10 2 5 3" xfId="18265"/>
    <cellStyle name="Total 10 2 5 4" xfId="18266"/>
    <cellStyle name="Total 10 2 5 5" xfId="18267"/>
    <cellStyle name="Total 10 2 6" xfId="18268"/>
    <cellStyle name="Total 10 2 7" xfId="18269"/>
    <cellStyle name="Total 10 2 8" xfId="18270"/>
    <cellStyle name="Total 10 2 9" xfId="18271"/>
    <cellStyle name="Total 10 20" xfId="18272"/>
    <cellStyle name="Total 10 20 2" xfId="18273"/>
    <cellStyle name="Total 10 20 3" xfId="18274"/>
    <cellStyle name="Total 10 20 4" xfId="18275"/>
    <cellStyle name="Total 10 20 5" xfId="18276"/>
    <cellStyle name="Total 10 21" xfId="18277"/>
    <cellStyle name="Total 10 21 2" xfId="18278"/>
    <cellStyle name="Total 10 21 3" xfId="18279"/>
    <cellStyle name="Total 10 21 4" xfId="18280"/>
    <cellStyle name="Total 10 21 5" xfId="18281"/>
    <cellStyle name="Total 10 22" xfId="18282"/>
    <cellStyle name="Total 10 22 2" xfId="18283"/>
    <cellStyle name="Total 10 22 3" xfId="18284"/>
    <cellStyle name="Total 10 22 4" xfId="18285"/>
    <cellStyle name="Total 10 22 5" xfId="18286"/>
    <cellStyle name="Total 10 23" xfId="18287"/>
    <cellStyle name="Total 10 23 2" xfId="18288"/>
    <cellStyle name="Total 10 23 3" xfId="18289"/>
    <cellStyle name="Total 10 23 4" xfId="18290"/>
    <cellStyle name="Total 10 23 5" xfId="18291"/>
    <cellStyle name="Total 10 24" xfId="18292"/>
    <cellStyle name="Total 10 24 2" xfId="18293"/>
    <cellStyle name="Total 10 24 3" xfId="18294"/>
    <cellStyle name="Total 10 24 4" xfId="18295"/>
    <cellStyle name="Total 10 24 5" xfId="18296"/>
    <cellStyle name="Total 10 25" xfId="18297"/>
    <cellStyle name="Total 10 25 2" xfId="18298"/>
    <cellStyle name="Total 10 25 3" xfId="18299"/>
    <cellStyle name="Total 10 25 4" xfId="18300"/>
    <cellStyle name="Total 10 25 5" xfId="18301"/>
    <cellStyle name="Total 10 26" xfId="18302"/>
    <cellStyle name="Total 10 26 2" xfId="18303"/>
    <cellStyle name="Total 10 26 3" xfId="18304"/>
    <cellStyle name="Total 10 26 4" xfId="18305"/>
    <cellStyle name="Total 10 26 5" xfId="18306"/>
    <cellStyle name="Total 10 27" xfId="18307"/>
    <cellStyle name="Total 10 27 2" xfId="18308"/>
    <cellStyle name="Total 10 27 3" xfId="18309"/>
    <cellStyle name="Total 10 27 4" xfId="18310"/>
    <cellStyle name="Total 10 27 5" xfId="18311"/>
    <cellStyle name="Total 10 28" xfId="18312"/>
    <cellStyle name="Total 10 28 2" xfId="18313"/>
    <cellStyle name="Total 10 28 3" xfId="18314"/>
    <cellStyle name="Total 10 28 4" xfId="18315"/>
    <cellStyle name="Total 10 28 5" xfId="18316"/>
    <cellStyle name="Total 10 29" xfId="18317"/>
    <cellStyle name="Total 10 29 2" xfId="18318"/>
    <cellStyle name="Total 10 29 3" xfId="18319"/>
    <cellStyle name="Total 10 29 4" xfId="18320"/>
    <cellStyle name="Total 10 29 5" xfId="18321"/>
    <cellStyle name="Total 10 3" xfId="18322"/>
    <cellStyle name="Total 10 3 2" xfId="18323"/>
    <cellStyle name="Total 10 3 3" xfId="18324"/>
    <cellStyle name="Total 10 3 4" xfId="18325"/>
    <cellStyle name="Total 10 3 5" xfId="18326"/>
    <cellStyle name="Total 10 30" xfId="18327"/>
    <cellStyle name="Total 10 30 2" xfId="18328"/>
    <cellStyle name="Total 10 30 3" xfId="18329"/>
    <cellStyle name="Total 10 30 4" xfId="18330"/>
    <cellStyle name="Total 10 30 5" xfId="18331"/>
    <cellStyle name="Total 10 31" xfId="18332"/>
    <cellStyle name="Total 10 31 2" xfId="18333"/>
    <cellStyle name="Total 10 31 3" xfId="18334"/>
    <cellStyle name="Total 10 31 4" xfId="18335"/>
    <cellStyle name="Total 10 31 5" xfId="18336"/>
    <cellStyle name="Total 10 32" xfId="18337"/>
    <cellStyle name="Total 10 32 2" xfId="18338"/>
    <cellStyle name="Total 10 32 3" xfId="18339"/>
    <cellStyle name="Total 10 32 4" xfId="18340"/>
    <cellStyle name="Total 10 32 5" xfId="18341"/>
    <cellStyle name="Total 10 33" xfId="18342"/>
    <cellStyle name="Total 10 33 2" xfId="18343"/>
    <cellStyle name="Total 10 33 3" xfId="18344"/>
    <cellStyle name="Total 10 33 4" xfId="18345"/>
    <cellStyle name="Total 10 33 5" xfId="18346"/>
    <cellStyle name="Total 10 34" xfId="18347"/>
    <cellStyle name="Total 10 34 2" xfId="18348"/>
    <cellStyle name="Total 10 34 3" xfId="18349"/>
    <cellStyle name="Total 10 34 4" xfId="18350"/>
    <cellStyle name="Total 10 34 5" xfId="18351"/>
    <cellStyle name="Total 10 35" xfId="18352"/>
    <cellStyle name="Total 10 35 2" xfId="18353"/>
    <cellStyle name="Total 10 35 3" xfId="18354"/>
    <cellStyle name="Total 10 36" xfId="18355"/>
    <cellStyle name="Total 10 37" xfId="18356"/>
    <cellStyle name="Total 10 38" xfId="18357"/>
    <cellStyle name="Total 10 39" xfId="18358"/>
    <cellStyle name="Total 10 4" xfId="18359"/>
    <cellStyle name="Total 10 4 2" xfId="18360"/>
    <cellStyle name="Total 10 4 3" xfId="18361"/>
    <cellStyle name="Total 10 4 4" xfId="18362"/>
    <cellStyle name="Total 10 4 5" xfId="18363"/>
    <cellStyle name="Total 10 40" xfId="18364"/>
    <cellStyle name="Total 10 41" xfId="18365"/>
    <cellStyle name="Total 10 42" xfId="18366"/>
    <cellStyle name="Total 10 43" xfId="18367"/>
    <cellStyle name="Total 10 44" xfId="18368"/>
    <cellStyle name="Total 10 45" xfId="18369"/>
    <cellStyle name="Total 10 46" xfId="18370"/>
    <cellStyle name="Total 10 47" xfId="18371"/>
    <cellStyle name="Total 10 48" xfId="18372"/>
    <cellStyle name="Total 10 49" xfId="18373"/>
    <cellStyle name="Total 10 5" xfId="18374"/>
    <cellStyle name="Total 10 5 2" xfId="18375"/>
    <cellStyle name="Total 10 5 3" xfId="18376"/>
    <cellStyle name="Total 10 5 4" xfId="18377"/>
    <cellStyle name="Total 10 5 5" xfId="18378"/>
    <cellStyle name="Total 10 50" xfId="18379"/>
    <cellStyle name="Total 10 51" xfId="18380"/>
    <cellStyle name="Total 10 52" xfId="18381"/>
    <cellStyle name="Total 10 53" xfId="18382"/>
    <cellStyle name="Total 10 54" xfId="18383"/>
    <cellStyle name="Total 10 55" xfId="18384"/>
    <cellStyle name="Total 10 56" xfId="18385"/>
    <cellStyle name="Total 10 57" xfId="18386"/>
    <cellStyle name="Total 10 58" xfId="18387"/>
    <cellStyle name="Total 10 59" xfId="18388"/>
    <cellStyle name="Total 10 6" xfId="18389"/>
    <cellStyle name="Total 10 6 2" xfId="18390"/>
    <cellStyle name="Total 10 6 3" xfId="18391"/>
    <cellStyle name="Total 10 6 4" xfId="18392"/>
    <cellStyle name="Total 10 6 5" xfId="18393"/>
    <cellStyle name="Total 10 60" xfId="18394"/>
    <cellStyle name="Total 10 61" xfId="18395"/>
    <cellStyle name="Total 10 62" xfId="18396"/>
    <cellStyle name="Total 10 63" xfId="18397"/>
    <cellStyle name="Total 10 64" xfId="18398"/>
    <cellStyle name="Total 10 65" xfId="18399"/>
    <cellStyle name="Total 10 66" xfId="18400"/>
    <cellStyle name="Total 10 67" xfId="18401"/>
    <cellStyle name="Total 10 68" xfId="18402"/>
    <cellStyle name="Total 10 7" xfId="18403"/>
    <cellStyle name="Total 10 7 2" xfId="18404"/>
    <cellStyle name="Total 10 7 3" xfId="18405"/>
    <cellStyle name="Total 10 7 4" xfId="18406"/>
    <cellStyle name="Total 10 7 5" xfId="18407"/>
    <cellStyle name="Total 10 8" xfId="18408"/>
    <cellStyle name="Total 10 8 2" xfId="18409"/>
    <cellStyle name="Total 10 8 3" xfId="18410"/>
    <cellStyle name="Total 10 8 4" xfId="18411"/>
    <cellStyle name="Total 10 8 5" xfId="18412"/>
    <cellStyle name="Total 10 9" xfId="18413"/>
    <cellStyle name="Total 10 9 2" xfId="18414"/>
    <cellStyle name="Total 10 9 3" xfId="18415"/>
    <cellStyle name="Total 10 9 4" xfId="18416"/>
    <cellStyle name="Total 10 9 5" xfId="18417"/>
    <cellStyle name="Total 11" xfId="18418"/>
    <cellStyle name="Total 11 10" xfId="18419"/>
    <cellStyle name="Total 11 10 2" xfId="18420"/>
    <cellStyle name="Total 11 10 3" xfId="18421"/>
    <cellStyle name="Total 11 10 4" xfId="18422"/>
    <cellStyle name="Total 11 10 5" xfId="18423"/>
    <cellStyle name="Total 11 11" xfId="18424"/>
    <cellStyle name="Total 11 11 2" xfId="18425"/>
    <cellStyle name="Total 11 11 3" xfId="18426"/>
    <cellStyle name="Total 11 11 4" xfId="18427"/>
    <cellStyle name="Total 11 11 5" xfId="18428"/>
    <cellStyle name="Total 11 12" xfId="18429"/>
    <cellStyle name="Total 11 12 2" xfId="18430"/>
    <cellStyle name="Total 11 12 3" xfId="18431"/>
    <cellStyle name="Total 11 12 4" xfId="18432"/>
    <cellStyle name="Total 11 12 5" xfId="18433"/>
    <cellStyle name="Total 11 13" xfId="18434"/>
    <cellStyle name="Total 11 13 2" xfId="18435"/>
    <cellStyle name="Total 11 13 3" xfId="18436"/>
    <cellStyle name="Total 11 13 4" xfId="18437"/>
    <cellStyle name="Total 11 13 5" xfId="18438"/>
    <cellStyle name="Total 11 14" xfId="18439"/>
    <cellStyle name="Total 11 14 2" xfId="18440"/>
    <cellStyle name="Total 11 14 3" xfId="18441"/>
    <cellStyle name="Total 11 14 4" xfId="18442"/>
    <cellStyle name="Total 11 14 5" xfId="18443"/>
    <cellStyle name="Total 11 15" xfId="18444"/>
    <cellStyle name="Total 11 15 2" xfId="18445"/>
    <cellStyle name="Total 11 15 3" xfId="18446"/>
    <cellStyle name="Total 11 15 4" xfId="18447"/>
    <cellStyle name="Total 11 15 5" xfId="18448"/>
    <cellStyle name="Total 11 16" xfId="18449"/>
    <cellStyle name="Total 11 16 2" xfId="18450"/>
    <cellStyle name="Total 11 16 3" xfId="18451"/>
    <cellStyle name="Total 11 16 4" xfId="18452"/>
    <cellStyle name="Total 11 16 5" xfId="18453"/>
    <cellStyle name="Total 11 17" xfId="18454"/>
    <cellStyle name="Total 11 17 2" xfId="18455"/>
    <cellStyle name="Total 11 17 3" xfId="18456"/>
    <cellStyle name="Total 11 17 4" xfId="18457"/>
    <cellStyle name="Total 11 17 5" xfId="18458"/>
    <cellStyle name="Total 11 18" xfId="18459"/>
    <cellStyle name="Total 11 18 2" xfId="18460"/>
    <cellStyle name="Total 11 18 3" xfId="18461"/>
    <cellStyle name="Total 11 18 4" xfId="18462"/>
    <cellStyle name="Total 11 18 5" xfId="18463"/>
    <cellStyle name="Total 11 19" xfId="18464"/>
    <cellStyle name="Total 11 19 2" xfId="18465"/>
    <cellStyle name="Total 11 19 3" xfId="18466"/>
    <cellStyle name="Total 11 19 4" xfId="18467"/>
    <cellStyle name="Total 11 19 5" xfId="18468"/>
    <cellStyle name="Total 11 2" xfId="18469"/>
    <cellStyle name="Total 11 2 2" xfId="18470"/>
    <cellStyle name="Total 11 2 2 2" xfId="18471"/>
    <cellStyle name="Total 11 2 2 3" xfId="18472"/>
    <cellStyle name="Total 11 2 2 4" xfId="18473"/>
    <cellStyle name="Total 11 2 2 5" xfId="18474"/>
    <cellStyle name="Total 11 2 3" xfId="18475"/>
    <cellStyle name="Total 11 2 3 2" xfId="18476"/>
    <cellStyle name="Total 11 2 3 3" xfId="18477"/>
    <cellStyle name="Total 11 2 3 4" xfId="18478"/>
    <cellStyle name="Total 11 2 3 5" xfId="18479"/>
    <cellStyle name="Total 11 2 4" xfId="18480"/>
    <cellStyle name="Total 11 2 4 2" xfId="18481"/>
    <cellStyle name="Total 11 2 4 3" xfId="18482"/>
    <cellStyle name="Total 11 2 4 4" xfId="18483"/>
    <cellStyle name="Total 11 2 4 5" xfId="18484"/>
    <cellStyle name="Total 11 2 5" xfId="18485"/>
    <cellStyle name="Total 11 2 5 2" xfId="18486"/>
    <cellStyle name="Total 11 2 5 3" xfId="18487"/>
    <cellStyle name="Total 11 2 5 4" xfId="18488"/>
    <cellStyle name="Total 11 2 5 5" xfId="18489"/>
    <cellStyle name="Total 11 2 6" xfId="18490"/>
    <cellStyle name="Total 11 2 7" xfId="18491"/>
    <cellStyle name="Total 11 2 8" xfId="18492"/>
    <cellStyle name="Total 11 2 9" xfId="18493"/>
    <cellStyle name="Total 11 20" xfId="18494"/>
    <cellStyle name="Total 11 20 2" xfId="18495"/>
    <cellStyle name="Total 11 20 3" xfId="18496"/>
    <cellStyle name="Total 11 20 4" xfId="18497"/>
    <cellStyle name="Total 11 20 5" xfId="18498"/>
    <cellStyle name="Total 11 21" xfId="18499"/>
    <cellStyle name="Total 11 21 2" xfId="18500"/>
    <cellStyle name="Total 11 21 3" xfId="18501"/>
    <cellStyle name="Total 11 21 4" xfId="18502"/>
    <cellStyle name="Total 11 21 5" xfId="18503"/>
    <cellStyle name="Total 11 22" xfId="18504"/>
    <cellStyle name="Total 11 22 2" xfId="18505"/>
    <cellStyle name="Total 11 22 3" xfId="18506"/>
    <cellStyle name="Total 11 22 4" xfId="18507"/>
    <cellStyle name="Total 11 22 5" xfId="18508"/>
    <cellStyle name="Total 11 23" xfId="18509"/>
    <cellStyle name="Total 11 23 2" xfId="18510"/>
    <cellStyle name="Total 11 23 3" xfId="18511"/>
    <cellStyle name="Total 11 23 4" xfId="18512"/>
    <cellStyle name="Total 11 23 5" xfId="18513"/>
    <cellStyle name="Total 11 24" xfId="18514"/>
    <cellStyle name="Total 11 24 2" xfId="18515"/>
    <cellStyle name="Total 11 24 3" xfId="18516"/>
    <cellStyle name="Total 11 24 4" xfId="18517"/>
    <cellStyle name="Total 11 24 5" xfId="18518"/>
    <cellStyle name="Total 11 25" xfId="18519"/>
    <cellStyle name="Total 11 25 2" xfId="18520"/>
    <cellStyle name="Total 11 25 3" xfId="18521"/>
    <cellStyle name="Total 11 25 4" xfId="18522"/>
    <cellStyle name="Total 11 25 5" xfId="18523"/>
    <cellStyle name="Total 11 26" xfId="18524"/>
    <cellStyle name="Total 11 26 2" xfId="18525"/>
    <cellStyle name="Total 11 26 3" xfId="18526"/>
    <cellStyle name="Total 11 26 4" xfId="18527"/>
    <cellStyle name="Total 11 26 5" xfId="18528"/>
    <cellStyle name="Total 11 27" xfId="18529"/>
    <cellStyle name="Total 11 27 2" xfId="18530"/>
    <cellStyle name="Total 11 27 3" xfId="18531"/>
    <cellStyle name="Total 11 27 4" xfId="18532"/>
    <cellStyle name="Total 11 27 5" xfId="18533"/>
    <cellStyle name="Total 11 28" xfId="18534"/>
    <cellStyle name="Total 11 28 2" xfId="18535"/>
    <cellStyle name="Total 11 28 3" xfId="18536"/>
    <cellStyle name="Total 11 28 4" xfId="18537"/>
    <cellStyle name="Total 11 28 5" xfId="18538"/>
    <cellStyle name="Total 11 29" xfId="18539"/>
    <cellStyle name="Total 11 29 2" xfId="18540"/>
    <cellStyle name="Total 11 29 3" xfId="18541"/>
    <cellStyle name="Total 11 29 4" xfId="18542"/>
    <cellStyle name="Total 11 29 5" xfId="18543"/>
    <cellStyle name="Total 11 3" xfId="18544"/>
    <cellStyle name="Total 11 3 2" xfId="18545"/>
    <cellStyle name="Total 11 3 3" xfId="18546"/>
    <cellStyle name="Total 11 3 4" xfId="18547"/>
    <cellStyle name="Total 11 3 5" xfId="18548"/>
    <cellStyle name="Total 11 30" xfId="18549"/>
    <cellStyle name="Total 11 30 2" xfId="18550"/>
    <cellStyle name="Total 11 30 3" xfId="18551"/>
    <cellStyle name="Total 11 30 4" xfId="18552"/>
    <cellStyle name="Total 11 30 5" xfId="18553"/>
    <cellStyle name="Total 11 31" xfId="18554"/>
    <cellStyle name="Total 11 31 2" xfId="18555"/>
    <cellStyle name="Total 11 31 3" xfId="18556"/>
    <cellStyle name="Total 11 31 4" xfId="18557"/>
    <cellStyle name="Total 11 31 5" xfId="18558"/>
    <cellStyle name="Total 11 32" xfId="18559"/>
    <cellStyle name="Total 11 32 2" xfId="18560"/>
    <cellStyle name="Total 11 32 3" xfId="18561"/>
    <cellStyle name="Total 11 32 4" xfId="18562"/>
    <cellStyle name="Total 11 32 5" xfId="18563"/>
    <cellStyle name="Total 11 33" xfId="18564"/>
    <cellStyle name="Total 11 33 2" xfId="18565"/>
    <cellStyle name="Total 11 33 3" xfId="18566"/>
    <cellStyle name="Total 11 33 4" xfId="18567"/>
    <cellStyle name="Total 11 33 5" xfId="18568"/>
    <cellStyle name="Total 11 34" xfId="18569"/>
    <cellStyle name="Total 11 34 2" xfId="18570"/>
    <cellStyle name="Total 11 34 3" xfId="18571"/>
    <cellStyle name="Total 11 34 4" xfId="18572"/>
    <cellStyle name="Total 11 34 5" xfId="18573"/>
    <cellStyle name="Total 11 35" xfId="18574"/>
    <cellStyle name="Total 11 35 2" xfId="18575"/>
    <cellStyle name="Total 11 35 3" xfId="18576"/>
    <cellStyle name="Total 11 36" xfId="18577"/>
    <cellStyle name="Total 11 37" xfId="18578"/>
    <cellStyle name="Total 11 38" xfId="18579"/>
    <cellStyle name="Total 11 39" xfId="18580"/>
    <cellStyle name="Total 11 4" xfId="18581"/>
    <cellStyle name="Total 11 4 2" xfId="18582"/>
    <cellStyle name="Total 11 4 3" xfId="18583"/>
    <cellStyle name="Total 11 4 4" xfId="18584"/>
    <cellStyle name="Total 11 4 5" xfId="18585"/>
    <cellStyle name="Total 11 40" xfId="18586"/>
    <cellStyle name="Total 11 41" xfId="18587"/>
    <cellStyle name="Total 11 42" xfId="18588"/>
    <cellStyle name="Total 11 43" xfId="18589"/>
    <cellStyle name="Total 11 44" xfId="18590"/>
    <cellStyle name="Total 11 45" xfId="18591"/>
    <cellStyle name="Total 11 46" xfId="18592"/>
    <cellStyle name="Total 11 47" xfId="18593"/>
    <cellStyle name="Total 11 48" xfId="18594"/>
    <cellStyle name="Total 11 49" xfId="18595"/>
    <cellStyle name="Total 11 5" xfId="18596"/>
    <cellStyle name="Total 11 5 2" xfId="18597"/>
    <cellStyle name="Total 11 5 3" xfId="18598"/>
    <cellStyle name="Total 11 5 4" xfId="18599"/>
    <cellStyle name="Total 11 5 5" xfId="18600"/>
    <cellStyle name="Total 11 50" xfId="18601"/>
    <cellStyle name="Total 11 51" xfId="18602"/>
    <cellStyle name="Total 11 52" xfId="18603"/>
    <cellStyle name="Total 11 53" xfId="18604"/>
    <cellStyle name="Total 11 54" xfId="18605"/>
    <cellStyle name="Total 11 55" xfId="18606"/>
    <cellStyle name="Total 11 56" xfId="18607"/>
    <cellStyle name="Total 11 57" xfId="18608"/>
    <cellStyle name="Total 11 58" xfId="18609"/>
    <cellStyle name="Total 11 59" xfId="18610"/>
    <cellStyle name="Total 11 6" xfId="18611"/>
    <cellStyle name="Total 11 6 2" xfId="18612"/>
    <cellStyle name="Total 11 6 3" xfId="18613"/>
    <cellStyle name="Total 11 6 4" xfId="18614"/>
    <cellStyle name="Total 11 6 5" xfId="18615"/>
    <cellStyle name="Total 11 60" xfId="18616"/>
    <cellStyle name="Total 11 61" xfId="18617"/>
    <cellStyle name="Total 11 62" xfId="18618"/>
    <cellStyle name="Total 11 63" xfId="18619"/>
    <cellStyle name="Total 11 64" xfId="18620"/>
    <cellStyle name="Total 11 65" xfId="18621"/>
    <cellStyle name="Total 11 66" xfId="18622"/>
    <cellStyle name="Total 11 67" xfId="18623"/>
    <cellStyle name="Total 11 68" xfId="18624"/>
    <cellStyle name="Total 11 7" xfId="18625"/>
    <cellStyle name="Total 11 7 2" xfId="18626"/>
    <cellStyle name="Total 11 7 3" xfId="18627"/>
    <cellStyle name="Total 11 7 4" xfId="18628"/>
    <cellStyle name="Total 11 7 5" xfId="18629"/>
    <cellStyle name="Total 11 8" xfId="18630"/>
    <cellStyle name="Total 11 8 2" xfId="18631"/>
    <cellStyle name="Total 11 8 3" xfId="18632"/>
    <cellStyle name="Total 11 8 4" xfId="18633"/>
    <cellStyle name="Total 11 8 5" xfId="18634"/>
    <cellStyle name="Total 11 9" xfId="18635"/>
    <cellStyle name="Total 11 9 2" xfId="18636"/>
    <cellStyle name="Total 11 9 3" xfId="18637"/>
    <cellStyle name="Total 11 9 4" xfId="18638"/>
    <cellStyle name="Total 11 9 5" xfId="18639"/>
    <cellStyle name="Total 12" xfId="18640"/>
    <cellStyle name="Total 12 10" xfId="18641"/>
    <cellStyle name="Total 12 10 2" xfId="18642"/>
    <cellStyle name="Total 12 10 3" xfId="18643"/>
    <cellStyle name="Total 12 10 4" xfId="18644"/>
    <cellStyle name="Total 12 10 5" xfId="18645"/>
    <cellStyle name="Total 12 11" xfId="18646"/>
    <cellStyle name="Total 12 11 2" xfId="18647"/>
    <cellStyle name="Total 12 11 3" xfId="18648"/>
    <cellStyle name="Total 12 11 4" xfId="18649"/>
    <cellStyle name="Total 12 11 5" xfId="18650"/>
    <cellStyle name="Total 12 12" xfId="18651"/>
    <cellStyle name="Total 12 12 2" xfId="18652"/>
    <cellStyle name="Total 12 12 3" xfId="18653"/>
    <cellStyle name="Total 12 12 4" xfId="18654"/>
    <cellStyle name="Total 12 12 5" xfId="18655"/>
    <cellStyle name="Total 12 13" xfId="18656"/>
    <cellStyle name="Total 12 13 2" xfId="18657"/>
    <cellStyle name="Total 12 13 3" xfId="18658"/>
    <cellStyle name="Total 12 13 4" xfId="18659"/>
    <cellStyle name="Total 12 13 5" xfId="18660"/>
    <cellStyle name="Total 12 14" xfId="18661"/>
    <cellStyle name="Total 12 14 2" xfId="18662"/>
    <cellStyle name="Total 12 14 3" xfId="18663"/>
    <cellStyle name="Total 12 14 4" xfId="18664"/>
    <cellStyle name="Total 12 14 5" xfId="18665"/>
    <cellStyle name="Total 12 15" xfId="18666"/>
    <cellStyle name="Total 12 15 2" xfId="18667"/>
    <cellStyle name="Total 12 15 3" xfId="18668"/>
    <cellStyle name="Total 12 15 4" xfId="18669"/>
    <cellStyle name="Total 12 15 5" xfId="18670"/>
    <cellStyle name="Total 12 16" xfId="18671"/>
    <cellStyle name="Total 12 16 2" xfId="18672"/>
    <cellStyle name="Total 12 16 3" xfId="18673"/>
    <cellStyle name="Total 12 16 4" xfId="18674"/>
    <cellStyle name="Total 12 16 5" xfId="18675"/>
    <cellStyle name="Total 12 17" xfId="18676"/>
    <cellStyle name="Total 12 17 2" xfId="18677"/>
    <cellStyle name="Total 12 17 3" xfId="18678"/>
    <cellStyle name="Total 12 17 4" xfId="18679"/>
    <cellStyle name="Total 12 17 5" xfId="18680"/>
    <cellStyle name="Total 12 18" xfId="18681"/>
    <cellStyle name="Total 12 18 2" xfId="18682"/>
    <cellStyle name="Total 12 18 3" xfId="18683"/>
    <cellStyle name="Total 12 18 4" xfId="18684"/>
    <cellStyle name="Total 12 18 5" xfId="18685"/>
    <cellStyle name="Total 12 19" xfId="18686"/>
    <cellStyle name="Total 12 19 2" xfId="18687"/>
    <cellStyle name="Total 12 19 3" xfId="18688"/>
    <cellStyle name="Total 12 19 4" xfId="18689"/>
    <cellStyle name="Total 12 19 5" xfId="18690"/>
    <cellStyle name="Total 12 2" xfId="18691"/>
    <cellStyle name="Total 12 2 2" xfId="18692"/>
    <cellStyle name="Total 12 2 2 2" xfId="18693"/>
    <cellStyle name="Total 12 2 2 3" xfId="18694"/>
    <cellStyle name="Total 12 2 2 4" xfId="18695"/>
    <cellStyle name="Total 12 2 2 5" xfId="18696"/>
    <cellStyle name="Total 12 2 3" xfId="18697"/>
    <cellStyle name="Total 12 2 3 2" xfId="18698"/>
    <cellStyle name="Total 12 2 3 3" xfId="18699"/>
    <cellStyle name="Total 12 2 3 4" xfId="18700"/>
    <cellStyle name="Total 12 2 3 5" xfId="18701"/>
    <cellStyle name="Total 12 2 4" xfId="18702"/>
    <cellStyle name="Total 12 2 4 2" xfId="18703"/>
    <cellStyle name="Total 12 2 4 3" xfId="18704"/>
    <cellStyle name="Total 12 2 4 4" xfId="18705"/>
    <cellStyle name="Total 12 2 4 5" xfId="18706"/>
    <cellStyle name="Total 12 2 5" xfId="18707"/>
    <cellStyle name="Total 12 2 5 2" xfId="18708"/>
    <cellStyle name="Total 12 2 5 3" xfId="18709"/>
    <cellStyle name="Total 12 2 5 4" xfId="18710"/>
    <cellStyle name="Total 12 2 5 5" xfId="18711"/>
    <cellStyle name="Total 12 2 6" xfId="18712"/>
    <cellStyle name="Total 12 2 7" xfId="18713"/>
    <cellStyle name="Total 12 2 8" xfId="18714"/>
    <cellStyle name="Total 12 2 9" xfId="18715"/>
    <cellStyle name="Total 12 20" xfId="18716"/>
    <cellStyle name="Total 12 20 2" xfId="18717"/>
    <cellStyle name="Total 12 20 3" xfId="18718"/>
    <cellStyle name="Total 12 20 4" xfId="18719"/>
    <cellStyle name="Total 12 20 5" xfId="18720"/>
    <cellStyle name="Total 12 21" xfId="18721"/>
    <cellStyle name="Total 12 21 2" xfId="18722"/>
    <cellStyle name="Total 12 21 3" xfId="18723"/>
    <cellStyle name="Total 12 21 4" xfId="18724"/>
    <cellStyle name="Total 12 21 5" xfId="18725"/>
    <cellStyle name="Total 12 22" xfId="18726"/>
    <cellStyle name="Total 12 22 2" xfId="18727"/>
    <cellStyle name="Total 12 22 3" xfId="18728"/>
    <cellStyle name="Total 12 22 4" xfId="18729"/>
    <cellStyle name="Total 12 22 5" xfId="18730"/>
    <cellStyle name="Total 12 23" xfId="18731"/>
    <cellStyle name="Total 12 23 2" xfId="18732"/>
    <cellStyle name="Total 12 23 3" xfId="18733"/>
    <cellStyle name="Total 12 23 4" xfId="18734"/>
    <cellStyle name="Total 12 23 5" xfId="18735"/>
    <cellStyle name="Total 12 24" xfId="18736"/>
    <cellStyle name="Total 12 24 2" xfId="18737"/>
    <cellStyle name="Total 12 24 3" xfId="18738"/>
    <cellStyle name="Total 12 24 4" xfId="18739"/>
    <cellStyle name="Total 12 24 5" xfId="18740"/>
    <cellStyle name="Total 12 25" xfId="18741"/>
    <cellStyle name="Total 12 25 2" xfId="18742"/>
    <cellStyle name="Total 12 25 3" xfId="18743"/>
    <cellStyle name="Total 12 25 4" xfId="18744"/>
    <cellStyle name="Total 12 25 5" xfId="18745"/>
    <cellStyle name="Total 12 26" xfId="18746"/>
    <cellStyle name="Total 12 26 2" xfId="18747"/>
    <cellStyle name="Total 12 26 3" xfId="18748"/>
    <cellStyle name="Total 12 26 4" xfId="18749"/>
    <cellStyle name="Total 12 26 5" xfId="18750"/>
    <cellStyle name="Total 12 27" xfId="18751"/>
    <cellStyle name="Total 12 27 2" xfId="18752"/>
    <cellStyle name="Total 12 27 3" xfId="18753"/>
    <cellStyle name="Total 12 27 4" xfId="18754"/>
    <cellStyle name="Total 12 27 5" xfId="18755"/>
    <cellStyle name="Total 12 28" xfId="18756"/>
    <cellStyle name="Total 12 28 2" xfId="18757"/>
    <cellStyle name="Total 12 28 3" xfId="18758"/>
    <cellStyle name="Total 12 28 4" xfId="18759"/>
    <cellStyle name="Total 12 28 5" xfId="18760"/>
    <cellStyle name="Total 12 29" xfId="18761"/>
    <cellStyle name="Total 12 29 2" xfId="18762"/>
    <cellStyle name="Total 12 29 3" xfId="18763"/>
    <cellStyle name="Total 12 29 4" xfId="18764"/>
    <cellStyle name="Total 12 29 5" xfId="18765"/>
    <cellStyle name="Total 12 3" xfId="18766"/>
    <cellStyle name="Total 12 3 2" xfId="18767"/>
    <cellStyle name="Total 12 3 3" xfId="18768"/>
    <cellStyle name="Total 12 3 4" xfId="18769"/>
    <cellStyle name="Total 12 3 5" xfId="18770"/>
    <cellStyle name="Total 12 30" xfId="18771"/>
    <cellStyle name="Total 12 30 2" xfId="18772"/>
    <cellStyle name="Total 12 30 3" xfId="18773"/>
    <cellStyle name="Total 12 30 4" xfId="18774"/>
    <cellStyle name="Total 12 30 5" xfId="18775"/>
    <cellStyle name="Total 12 31" xfId="18776"/>
    <cellStyle name="Total 12 31 2" xfId="18777"/>
    <cellStyle name="Total 12 31 3" xfId="18778"/>
    <cellStyle name="Total 12 31 4" xfId="18779"/>
    <cellStyle name="Total 12 31 5" xfId="18780"/>
    <cellStyle name="Total 12 32" xfId="18781"/>
    <cellStyle name="Total 12 32 2" xfId="18782"/>
    <cellStyle name="Total 12 32 3" xfId="18783"/>
    <cellStyle name="Total 12 32 4" xfId="18784"/>
    <cellStyle name="Total 12 32 5" xfId="18785"/>
    <cellStyle name="Total 12 33" xfId="18786"/>
    <cellStyle name="Total 12 33 2" xfId="18787"/>
    <cellStyle name="Total 12 33 3" xfId="18788"/>
    <cellStyle name="Total 12 33 4" xfId="18789"/>
    <cellStyle name="Total 12 33 5" xfId="18790"/>
    <cellStyle name="Total 12 34" xfId="18791"/>
    <cellStyle name="Total 12 34 2" xfId="18792"/>
    <cellStyle name="Total 12 34 3" xfId="18793"/>
    <cellStyle name="Total 12 34 4" xfId="18794"/>
    <cellStyle name="Total 12 34 5" xfId="18795"/>
    <cellStyle name="Total 12 35" xfId="18796"/>
    <cellStyle name="Total 12 35 2" xfId="18797"/>
    <cellStyle name="Total 12 35 3" xfId="18798"/>
    <cellStyle name="Total 12 36" xfId="18799"/>
    <cellStyle name="Total 12 37" xfId="18800"/>
    <cellStyle name="Total 12 38" xfId="18801"/>
    <cellStyle name="Total 12 39" xfId="18802"/>
    <cellStyle name="Total 12 4" xfId="18803"/>
    <cellStyle name="Total 12 4 2" xfId="18804"/>
    <cellStyle name="Total 12 4 3" xfId="18805"/>
    <cellStyle name="Total 12 4 4" xfId="18806"/>
    <cellStyle name="Total 12 4 5" xfId="18807"/>
    <cellStyle name="Total 12 40" xfId="18808"/>
    <cellStyle name="Total 12 41" xfId="18809"/>
    <cellStyle name="Total 12 42" xfId="18810"/>
    <cellStyle name="Total 12 43" xfId="18811"/>
    <cellStyle name="Total 12 44" xfId="18812"/>
    <cellStyle name="Total 12 45" xfId="18813"/>
    <cellStyle name="Total 12 46" xfId="18814"/>
    <cellStyle name="Total 12 47" xfId="18815"/>
    <cellStyle name="Total 12 48" xfId="18816"/>
    <cellStyle name="Total 12 49" xfId="18817"/>
    <cellStyle name="Total 12 5" xfId="18818"/>
    <cellStyle name="Total 12 5 2" xfId="18819"/>
    <cellStyle name="Total 12 5 3" xfId="18820"/>
    <cellStyle name="Total 12 5 4" xfId="18821"/>
    <cellStyle name="Total 12 5 5" xfId="18822"/>
    <cellStyle name="Total 12 50" xfId="18823"/>
    <cellStyle name="Total 12 51" xfId="18824"/>
    <cellStyle name="Total 12 52" xfId="18825"/>
    <cellStyle name="Total 12 53" xfId="18826"/>
    <cellStyle name="Total 12 54" xfId="18827"/>
    <cellStyle name="Total 12 55" xfId="18828"/>
    <cellStyle name="Total 12 56" xfId="18829"/>
    <cellStyle name="Total 12 57" xfId="18830"/>
    <cellStyle name="Total 12 58" xfId="18831"/>
    <cellStyle name="Total 12 59" xfId="18832"/>
    <cellStyle name="Total 12 6" xfId="18833"/>
    <cellStyle name="Total 12 6 2" xfId="18834"/>
    <cellStyle name="Total 12 6 3" xfId="18835"/>
    <cellStyle name="Total 12 6 4" xfId="18836"/>
    <cellStyle name="Total 12 6 5" xfId="18837"/>
    <cellStyle name="Total 12 60" xfId="18838"/>
    <cellStyle name="Total 12 61" xfId="18839"/>
    <cellStyle name="Total 12 62" xfId="18840"/>
    <cellStyle name="Total 12 63" xfId="18841"/>
    <cellStyle name="Total 12 64" xfId="18842"/>
    <cellStyle name="Total 12 65" xfId="18843"/>
    <cellStyle name="Total 12 66" xfId="18844"/>
    <cellStyle name="Total 12 67" xfId="18845"/>
    <cellStyle name="Total 12 68" xfId="18846"/>
    <cellStyle name="Total 12 7" xfId="18847"/>
    <cellStyle name="Total 12 7 2" xfId="18848"/>
    <cellStyle name="Total 12 7 3" xfId="18849"/>
    <cellStyle name="Total 12 7 4" xfId="18850"/>
    <cellStyle name="Total 12 7 5" xfId="18851"/>
    <cellStyle name="Total 12 8" xfId="18852"/>
    <cellStyle name="Total 12 8 2" xfId="18853"/>
    <cellStyle name="Total 12 8 3" xfId="18854"/>
    <cellStyle name="Total 12 8 4" xfId="18855"/>
    <cellStyle name="Total 12 8 5" xfId="18856"/>
    <cellStyle name="Total 12 9" xfId="18857"/>
    <cellStyle name="Total 12 9 2" xfId="18858"/>
    <cellStyle name="Total 12 9 3" xfId="18859"/>
    <cellStyle name="Total 12 9 4" xfId="18860"/>
    <cellStyle name="Total 12 9 5" xfId="18861"/>
    <cellStyle name="Total 2" xfId="18862"/>
    <cellStyle name="Total 2 10" xfId="18863"/>
    <cellStyle name="Total 2 10 2" xfId="18864"/>
    <cellStyle name="Total 2 10 3" xfId="18865"/>
    <cellStyle name="Total 2 10 4" xfId="18866"/>
    <cellStyle name="Total 2 10 5" xfId="18867"/>
    <cellStyle name="Total 2 11" xfId="18868"/>
    <cellStyle name="Total 2 11 2" xfId="18869"/>
    <cellStyle name="Total 2 11 3" xfId="18870"/>
    <cellStyle name="Total 2 11 4" xfId="18871"/>
    <cellStyle name="Total 2 11 5" xfId="18872"/>
    <cellStyle name="Total 2 12" xfId="18873"/>
    <cellStyle name="Total 2 12 2" xfId="18874"/>
    <cellStyle name="Total 2 12 3" xfId="18875"/>
    <cellStyle name="Total 2 12 4" xfId="18876"/>
    <cellStyle name="Total 2 12 5" xfId="18877"/>
    <cellStyle name="Total 2 13" xfId="18878"/>
    <cellStyle name="Total 2 13 2" xfId="18879"/>
    <cellStyle name="Total 2 13 3" xfId="18880"/>
    <cellStyle name="Total 2 13 4" xfId="18881"/>
    <cellStyle name="Total 2 13 5" xfId="18882"/>
    <cellStyle name="Total 2 14" xfId="18883"/>
    <cellStyle name="Total 2 14 2" xfId="18884"/>
    <cellStyle name="Total 2 14 3" xfId="18885"/>
    <cellStyle name="Total 2 14 4" xfId="18886"/>
    <cellStyle name="Total 2 14 5" xfId="18887"/>
    <cellStyle name="Total 2 15" xfId="18888"/>
    <cellStyle name="Total 2 15 2" xfId="18889"/>
    <cellStyle name="Total 2 15 3" xfId="18890"/>
    <cellStyle name="Total 2 15 4" xfId="18891"/>
    <cellStyle name="Total 2 15 5" xfId="18892"/>
    <cellStyle name="Total 2 16" xfId="18893"/>
    <cellStyle name="Total 2 16 2" xfId="18894"/>
    <cellStyle name="Total 2 16 3" xfId="18895"/>
    <cellStyle name="Total 2 16 4" xfId="18896"/>
    <cellStyle name="Total 2 16 5" xfId="18897"/>
    <cellStyle name="Total 2 17" xfId="18898"/>
    <cellStyle name="Total 2 17 2" xfId="18899"/>
    <cellStyle name="Total 2 17 3" xfId="18900"/>
    <cellStyle name="Total 2 17 4" xfId="18901"/>
    <cellStyle name="Total 2 17 5" xfId="18902"/>
    <cellStyle name="Total 2 18" xfId="18903"/>
    <cellStyle name="Total 2 18 2" xfId="18904"/>
    <cellStyle name="Total 2 18 3" xfId="18905"/>
    <cellStyle name="Total 2 18 4" xfId="18906"/>
    <cellStyle name="Total 2 18 5" xfId="18907"/>
    <cellStyle name="Total 2 19" xfId="18908"/>
    <cellStyle name="Total 2 19 2" xfId="18909"/>
    <cellStyle name="Total 2 19 3" xfId="18910"/>
    <cellStyle name="Total 2 19 4" xfId="18911"/>
    <cellStyle name="Total 2 19 5" xfId="18912"/>
    <cellStyle name="Total 2 2" xfId="18913"/>
    <cellStyle name="Total 2 2 2" xfId="18914"/>
    <cellStyle name="Total 2 2 2 2" xfId="18915"/>
    <cellStyle name="Total 2 2 2 3" xfId="18916"/>
    <cellStyle name="Total 2 2 2 4" xfId="18917"/>
    <cellStyle name="Total 2 2 2 5" xfId="18918"/>
    <cellStyle name="Total 2 2 3" xfId="18919"/>
    <cellStyle name="Total 2 2 3 2" xfId="18920"/>
    <cellStyle name="Total 2 2 3 3" xfId="18921"/>
    <cellStyle name="Total 2 2 3 4" xfId="18922"/>
    <cellStyle name="Total 2 2 3 5" xfId="18923"/>
    <cellStyle name="Total 2 2 4" xfId="18924"/>
    <cellStyle name="Total 2 2 4 2" xfId="18925"/>
    <cellStyle name="Total 2 2 4 3" xfId="18926"/>
    <cellStyle name="Total 2 2 4 4" xfId="18927"/>
    <cellStyle name="Total 2 2 4 5" xfId="18928"/>
    <cellStyle name="Total 2 2 5" xfId="18929"/>
    <cellStyle name="Total 2 2 5 2" xfId="18930"/>
    <cellStyle name="Total 2 2 5 3" xfId="18931"/>
    <cellStyle name="Total 2 2 5 4" xfId="18932"/>
    <cellStyle name="Total 2 2 5 5" xfId="18933"/>
    <cellStyle name="Total 2 2 6" xfId="18934"/>
    <cellStyle name="Total 2 2 7" xfId="18935"/>
    <cellStyle name="Total 2 2 8" xfId="18936"/>
    <cellStyle name="Total 2 2 9" xfId="18937"/>
    <cellStyle name="Total 2 20" xfId="18938"/>
    <cellStyle name="Total 2 20 2" xfId="18939"/>
    <cellStyle name="Total 2 20 3" xfId="18940"/>
    <cellStyle name="Total 2 20 4" xfId="18941"/>
    <cellStyle name="Total 2 20 5" xfId="18942"/>
    <cellStyle name="Total 2 21" xfId="18943"/>
    <cellStyle name="Total 2 21 2" xfId="18944"/>
    <cellStyle name="Total 2 21 3" xfId="18945"/>
    <cellStyle name="Total 2 21 4" xfId="18946"/>
    <cellStyle name="Total 2 21 5" xfId="18947"/>
    <cellStyle name="Total 2 22" xfId="18948"/>
    <cellStyle name="Total 2 22 2" xfId="18949"/>
    <cellStyle name="Total 2 22 3" xfId="18950"/>
    <cellStyle name="Total 2 22 4" xfId="18951"/>
    <cellStyle name="Total 2 22 5" xfId="18952"/>
    <cellStyle name="Total 2 23" xfId="18953"/>
    <cellStyle name="Total 2 23 2" xfId="18954"/>
    <cellStyle name="Total 2 23 3" xfId="18955"/>
    <cellStyle name="Total 2 23 4" xfId="18956"/>
    <cellStyle name="Total 2 23 5" xfId="18957"/>
    <cellStyle name="Total 2 24" xfId="18958"/>
    <cellStyle name="Total 2 24 2" xfId="18959"/>
    <cellStyle name="Total 2 24 3" xfId="18960"/>
    <cellStyle name="Total 2 24 4" xfId="18961"/>
    <cellStyle name="Total 2 24 5" xfId="18962"/>
    <cellStyle name="Total 2 25" xfId="18963"/>
    <cellStyle name="Total 2 25 2" xfId="18964"/>
    <cellStyle name="Total 2 25 3" xfId="18965"/>
    <cellStyle name="Total 2 25 4" xfId="18966"/>
    <cellStyle name="Total 2 25 5" xfId="18967"/>
    <cellStyle name="Total 2 26" xfId="18968"/>
    <cellStyle name="Total 2 26 2" xfId="18969"/>
    <cellStyle name="Total 2 26 3" xfId="18970"/>
    <cellStyle name="Total 2 26 4" xfId="18971"/>
    <cellStyle name="Total 2 26 5" xfId="18972"/>
    <cellStyle name="Total 2 27" xfId="18973"/>
    <cellStyle name="Total 2 27 2" xfId="18974"/>
    <cellStyle name="Total 2 27 3" xfId="18975"/>
    <cellStyle name="Total 2 27 4" xfId="18976"/>
    <cellStyle name="Total 2 27 5" xfId="18977"/>
    <cellStyle name="Total 2 28" xfId="18978"/>
    <cellStyle name="Total 2 28 2" xfId="18979"/>
    <cellStyle name="Total 2 28 3" xfId="18980"/>
    <cellStyle name="Total 2 28 4" xfId="18981"/>
    <cellStyle name="Total 2 28 5" xfId="18982"/>
    <cellStyle name="Total 2 29" xfId="18983"/>
    <cellStyle name="Total 2 29 2" xfId="18984"/>
    <cellStyle name="Total 2 29 3" xfId="18985"/>
    <cellStyle name="Total 2 29 4" xfId="18986"/>
    <cellStyle name="Total 2 29 5" xfId="18987"/>
    <cellStyle name="Total 2 3" xfId="18988"/>
    <cellStyle name="Total 2 3 2" xfId="18989"/>
    <cellStyle name="Total 2 3 3" xfId="18990"/>
    <cellStyle name="Total 2 3 4" xfId="18991"/>
    <cellStyle name="Total 2 3 5" xfId="18992"/>
    <cellStyle name="Total 2 30" xfId="18993"/>
    <cellStyle name="Total 2 30 2" xfId="18994"/>
    <cellStyle name="Total 2 30 3" xfId="18995"/>
    <cellStyle name="Total 2 30 4" xfId="18996"/>
    <cellStyle name="Total 2 30 5" xfId="18997"/>
    <cellStyle name="Total 2 31" xfId="18998"/>
    <cellStyle name="Total 2 31 2" xfId="18999"/>
    <cellStyle name="Total 2 31 3" xfId="19000"/>
    <cellStyle name="Total 2 31 4" xfId="19001"/>
    <cellStyle name="Total 2 31 5" xfId="19002"/>
    <cellStyle name="Total 2 32" xfId="19003"/>
    <cellStyle name="Total 2 32 2" xfId="19004"/>
    <cellStyle name="Total 2 32 3" xfId="19005"/>
    <cellStyle name="Total 2 32 4" xfId="19006"/>
    <cellStyle name="Total 2 32 5" xfId="19007"/>
    <cellStyle name="Total 2 33" xfId="19008"/>
    <cellStyle name="Total 2 33 2" xfId="19009"/>
    <cellStyle name="Total 2 33 3" xfId="19010"/>
    <cellStyle name="Total 2 33 4" xfId="19011"/>
    <cellStyle name="Total 2 33 5" xfId="19012"/>
    <cellStyle name="Total 2 34" xfId="19013"/>
    <cellStyle name="Total 2 34 2" xfId="19014"/>
    <cellStyle name="Total 2 34 3" xfId="19015"/>
    <cellStyle name="Total 2 34 4" xfId="19016"/>
    <cellStyle name="Total 2 34 5" xfId="19017"/>
    <cellStyle name="Total 2 35" xfId="19018"/>
    <cellStyle name="Total 2 35 2" xfId="19019"/>
    <cellStyle name="Total 2 35 3" xfId="19020"/>
    <cellStyle name="Total 2 36" xfId="19021"/>
    <cellStyle name="Total 2 37" xfId="19022"/>
    <cellStyle name="Total 2 38" xfId="19023"/>
    <cellStyle name="Total 2 39" xfId="19024"/>
    <cellStyle name="Total 2 4" xfId="19025"/>
    <cellStyle name="Total 2 4 2" xfId="19026"/>
    <cellStyle name="Total 2 4 3" xfId="19027"/>
    <cellStyle name="Total 2 4 4" xfId="19028"/>
    <cellStyle name="Total 2 4 5" xfId="19029"/>
    <cellStyle name="Total 2 40" xfId="19030"/>
    <cellStyle name="Total 2 41" xfId="19031"/>
    <cellStyle name="Total 2 42" xfId="19032"/>
    <cellStyle name="Total 2 43" xfId="19033"/>
    <cellStyle name="Total 2 44" xfId="19034"/>
    <cellStyle name="Total 2 45" xfId="19035"/>
    <cellStyle name="Total 2 46" xfId="19036"/>
    <cellStyle name="Total 2 47" xfId="19037"/>
    <cellStyle name="Total 2 48" xfId="19038"/>
    <cellStyle name="Total 2 49" xfId="19039"/>
    <cellStyle name="Total 2 5" xfId="19040"/>
    <cellStyle name="Total 2 5 2" xfId="19041"/>
    <cellStyle name="Total 2 5 3" xfId="19042"/>
    <cellStyle name="Total 2 5 4" xfId="19043"/>
    <cellStyle name="Total 2 5 5" xfId="19044"/>
    <cellStyle name="Total 2 50" xfId="19045"/>
    <cellStyle name="Total 2 51" xfId="19046"/>
    <cellStyle name="Total 2 52" xfId="19047"/>
    <cellStyle name="Total 2 53" xfId="19048"/>
    <cellStyle name="Total 2 54" xfId="19049"/>
    <cellStyle name="Total 2 55" xfId="19050"/>
    <cellStyle name="Total 2 56" xfId="19051"/>
    <cellStyle name="Total 2 57" xfId="19052"/>
    <cellStyle name="Total 2 58" xfId="19053"/>
    <cellStyle name="Total 2 59" xfId="19054"/>
    <cellStyle name="Total 2 6" xfId="19055"/>
    <cellStyle name="Total 2 6 2" xfId="19056"/>
    <cellStyle name="Total 2 6 3" xfId="19057"/>
    <cellStyle name="Total 2 6 4" xfId="19058"/>
    <cellStyle name="Total 2 6 5" xfId="19059"/>
    <cellStyle name="Total 2 60" xfId="19060"/>
    <cellStyle name="Total 2 61" xfId="19061"/>
    <cellStyle name="Total 2 62" xfId="19062"/>
    <cellStyle name="Total 2 63" xfId="19063"/>
    <cellStyle name="Total 2 64" xfId="19064"/>
    <cellStyle name="Total 2 65" xfId="19065"/>
    <cellStyle name="Total 2 66" xfId="19066"/>
    <cellStyle name="Total 2 67" xfId="19067"/>
    <cellStyle name="Total 2 68" xfId="19068"/>
    <cellStyle name="Total 2 7" xfId="19069"/>
    <cellStyle name="Total 2 7 2" xfId="19070"/>
    <cellStyle name="Total 2 7 3" xfId="19071"/>
    <cellStyle name="Total 2 7 4" xfId="19072"/>
    <cellStyle name="Total 2 7 5" xfId="19073"/>
    <cellStyle name="Total 2 8" xfId="19074"/>
    <cellStyle name="Total 2 8 2" xfId="19075"/>
    <cellStyle name="Total 2 8 3" xfId="19076"/>
    <cellStyle name="Total 2 8 4" xfId="19077"/>
    <cellStyle name="Total 2 8 5" xfId="19078"/>
    <cellStyle name="Total 2 9" xfId="19079"/>
    <cellStyle name="Total 2 9 2" xfId="19080"/>
    <cellStyle name="Total 2 9 3" xfId="19081"/>
    <cellStyle name="Total 2 9 4" xfId="19082"/>
    <cellStyle name="Total 2 9 5" xfId="19083"/>
    <cellStyle name="Total 3" xfId="19084"/>
    <cellStyle name="Total 3 10" xfId="19085"/>
    <cellStyle name="Total 3 10 2" xfId="19086"/>
    <cellStyle name="Total 3 10 3" xfId="19087"/>
    <cellStyle name="Total 3 10 4" xfId="19088"/>
    <cellStyle name="Total 3 10 5" xfId="19089"/>
    <cellStyle name="Total 3 11" xfId="19090"/>
    <cellStyle name="Total 3 11 2" xfId="19091"/>
    <cellStyle name="Total 3 11 3" xfId="19092"/>
    <cellStyle name="Total 3 11 4" xfId="19093"/>
    <cellStyle name="Total 3 11 5" xfId="19094"/>
    <cellStyle name="Total 3 12" xfId="19095"/>
    <cellStyle name="Total 3 12 2" xfId="19096"/>
    <cellStyle name="Total 3 12 3" xfId="19097"/>
    <cellStyle name="Total 3 12 4" xfId="19098"/>
    <cellStyle name="Total 3 12 5" xfId="19099"/>
    <cellStyle name="Total 3 13" xfId="19100"/>
    <cellStyle name="Total 3 13 2" xfId="19101"/>
    <cellStyle name="Total 3 13 3" xfId="19102"/>
    <cellStyle name="Total 3 13 4" xfId="19103"/>
    <cellStyle name="Total 3 13 5" xfId="19104"/>
    <cellStyle name="Total 3 14" xfId="19105"/>
    <cellStyle name="Total 3 14 2" xfId="19106"/>
    <cellStyle name="Total 3 14 3" xfId="19107"/>
    <cellStyle name="Total 3 14 4" xfId="19108"/>
    <cellStyle name="Total 3 14 5" xfId="19109"/>
    <cellStyle name="Total 3 15" xfId="19110"/>
    <cellStyle name="Total 3 15 2" xfId="19111"/>
    <cellStyle name="Total 3 15 3" xfId="19112"/>
    <cellStyle name="Total 3 15 4" xfId="19113"/>
    <cellStyle name="Total 3 15 5" xfId="19114"/>
    <cellStyle name="Total 3 16" xfId="19115"/>
    <cellStyle name="Total 3 16 2" xfId="19116"/>
    <cellStyle name="Total 3 16 3" xfId="19117"/>
    <cellStyle name="Total 3 16 4" xfId="19118"/>
    <cellStyle name="Total 3 16 5" xfId="19119"/>
    <cellStyle name="Total 3 17" xfId="19120"/>
    <cellStyle name="Total 3 17 2" xfId="19121"/>
    <cellStyle name="Total 3 17 3" xfId="19122"/>
    <cellStyle name="Total 3 17 4" xfId="19123"/>
    <cellStyle name="Total 3 17 5" xfId="19124"/>
    <cellStyle name="Total 3 18" xfId="19125"/>
    <cellStyle name="Total 3 18 2" xfId="19126"/>
    <cellStyle name="Total 3 18 3" xfId="19127"/>
    <cellStyle name="Total 3 18 4" xfId="19128"/>
    <cellStyle name="Total 3 18 5" xfId="19129"/>
    <cellStyle name="Total 3 19" xfId="19130"/>
    <cellStyle name="Total 3 19 2" xfId="19131"/>
    <cellStyle name="Total 3 19 3" xfId="19132"/>
    <cellStyle name="Total 3 19 4" xfId="19133"/>
    <cellStyle name="Total 3 19 5" xfId="19134"/>
    <cellStyle name="Total 3 2" xfId="19135"/>
    <cellStyle name="Total 3 2 2" xfId="19136"/>
    <cellStyle name="Total 3 2 2 2" xfId="19137"/>
    <cellStyle name="Total 3 2 2 3" xfId="19138"/>
    <cellStyle name="Total 3 2 2 4" xfId="19139"/>
    <cellStyle name="Total 3 2 2 5" xfId="19140"/>
    <cellStyle name="Total 3 2 3" xfId="19141"/>
    <cellStyle name="Total 3 2 3 2" xfId="19142"/>
    <cellStyle name="Total 3 2 3 3" xfId="19143"/>
    <cellStyle name="Total 3 2 3 4" xfId="19144"/>
    <cellStyle name="Total 3 2 3 5" xfId="19145"/>
    <cellStyle name="Total 3 2 4" xfId="19146"/>
    <cellStyle name="Total 3 2 4 2" xfId="19147"/>
    <cellStyle name="Total 3 2 4 3" xfId="19148"/>
    <cellStyle name="Total 3 2 4 4" xfId="19149"/>
    <cellStyle name="Total 3 2 4 5" xfId="19150"/>
    <cellStyle name="Total 3 2 5" xfId="19151"/>
    <cellStyle name="Total 3 2 5 2" xfId="19152"/>
    <cellStyle name="Total 3 2 5 3" xfId="19153"/>
    <cellStyle name="Total 3 2 5 4" xfId="19154"/>
    <cellStyle name="Total 3 2 5 5" xfId="19155"/>
    <cellStyle name="Total 3 2 6" xfId="19156"/>
    <cellStyle name="Total 3 2 7" xfId="19157"/>
    <cellStyle name="Total 3 2 8" xfId="19158"/>
    <cellStyle name="Total 3 2 9" xfId="19159"/>
    <cellStyle name="Total 3 20" xfId="19160"/>
    <cellStyle name="Total 3 20 2" xfId="19161"/>
    <cellStyle name="Total 3 20 3" xfId="19162"/>
    <cellStyle name="Total 3 20 4" xfId="19163"/>
    <cellStyle name="Total 3 20 5" xfId="19164"/>
    <cellStyle name="Total 3 21" xfId="19165"/>
    <cellStyle name="Total 3 21 2" xfId="19166"/>
    <cellStyle name="Total 3 21 3" xfId="19167"/>
    <cellStyle name="Total 3 21 4" xfId="19168"/>
    <cellStyle name="Total 3 21 5" xfId="19169"/>
    <cellStyle name="Total 3 22" xfId="19170"/>
    <cellStyle name="Total 3 22 2" xfId="19171"/>
    <cellStyle name="Total 3 22 3" xfId="19172"/>
    <cellStyle name="Total 3 22 4" xfId="19173"/>
    <cellStyle name="Total 3 22 5" xfId="19174"/>
    <cellStyle name="Total 3 23" xfId="19175"/>
    <cellStyle name="Total 3 23 2" xfId="19176"/>
    <cellStyle name="Total 3 23 3" xfId="19177"/>
    <cellStyle name="Total 3 23 4" xfId="19178"/>
    <cellStyle name="Total 3 23 5" xfId="19179"/>
    <cellStyle name="Total 3 24" xfId="19180"/>
    <cellStyle name="Total 3 24 2" xfId="19181"/>
    <cellStyle name="Total 3 24 3" xfId="19182"/>
    <cellStyle name="Total 3 24 4" xfId="19183"/>
    <cellStyle name="Total 3 24 5" xfId="19184"/>
    <cellStyle name="Total 3 25" xfId="19185"/>
    <cellStyle name="Total 3 25 2" xfId="19186"/>
    <cellStyle name="Total 3 25 3" xfId="19187"/>
    <cellStyle name="Total 3 25 4" xfId="19188"/>
    <cellStyle name="Total 3 25 5" xfId="19189"/>
    <cellStyle name="Total 3 26" xfId="19190"/>
    <cellStyle name="Total 3 26 2" xfId="19191"/>
    <cellStyle name="Total 3 26 3" xfId="19192"/>
    <cellStyle name="Total 3 26 4" xfId="19193"/>
    <cellStyle name="Total 3 26 5" xfId="19194"/>
    <cellStyle name="Total 3 27" xfId="19195"/>
    <cellStyle name="Total 3 27 2" xfId="19196"/>
    <cellStyle name="Total 3 27 3" xfId="19197"/>
    <cellStyle name="Total 3 27 4" xfId="19198"/>
    <cellStyle name="Total 3 27 5" xfId="19199"/>
    <cellStyle name="Total 3 28" xfId="19200"/>
    <cellStyle name="Total 3 28 2" xfId="19201"/>
    <cellStyle name="Total 3 28 3" xfId="19202"/>
    <cellStyle name="Total 3 28 4" xfId="19203"/>
    <cellStyle name="Total 3 28 5" xfId="19204"/>
    <cellStyle name="Total 3 29" xfId="19205"/>
    <cellStyle name="Total 3 29 2" xfId="19206"/>
    <cellStyle name="Total 3 29 3" xfId="19207"/>
    <cellStyle name="Total 3 29 4" xfId="19208"/>
    <cellStyle name="Total 3 29 5" xfId="19209"/>
    <cellStyle name="Total 3 3" xfId="19210"/>
    <cellStyle name="Total 3 3 2" xfId="19211"/>
    <cellStyle name="Total 3 3 3" xfId="19212"/>
    <cellStyle name="Total 3 3 4" xfId="19213"/>
    <cellStyle name="Total 3 3 5" xfId="19214"/>
    <cellStyle name="Total 3 30" xfId="19215"/>
    <cellStyle name="Total 3 30 2" xfId="19216"/>
    <cellStyle name="Total 3 30 3" xfId="19217"/>
    <cellStyle name="Total 3 30 4" xfId="19218"/>
    <cellStyle name="Total 3 30 5" xfId="19219"/>
    <cellStyle name="Total 3 31" xfId="19220"/>
    <cellStyle name="Total 3 31 2" xfId="19221"/>
    <cellStyle name="Total 3 31 3" xfId="19222"/>
    <cellStyle name="Total 3 31 4" xfId="19223"/>
    <cellStyle name="Total 3 31 5" xfId="19224"/>
    <cellStyle name="Total 3 32" xfId="19225"/>
    <cellStyle name="Total 3 32 2" xfId="19226"/>
    <cellStyle name="Total 3 32 3" xfId="19227"/>
    <cellStyle name="Total 3 32 4" xfId="19228"/>
    <cellStyle name="Total 3 32 5" xfId="19229"/>
    <cellStyle name="Total 3 33" xfId="19230"/>
    <cellStyle name="Total 3 33 2" xfId="19231"/>
    <cellStyle name="Total 3 33 3" xfId="19232"/>
    <cellStyle name="Total 3 33 4" xfId="19233"/>
    <cellStyle name="Total 3 33 5" xfId="19234"/>
    <cellStyle name="Total 3 34" xfId="19235"/>
    <cellStyle name="Total 3 34 2" xfId="19236"/>
    <cellStyle name="Total 3 34 3" xfId="19237"/>
    <cellStyle name="Total 3 34 4" xfId="19238"/>
    <cellStyle name="Total 3 34 5" xfId="19239"/>
    <cellStyle name="Total 3 35" xfId="19240"/>
    <cellStyle name="Total 3 35 2" xfId="19241"/>
    <cellStyle name="Total 3 35 3" xfId="19242"/>
    <cellStyle name="Total 3 36" xfId="19243"/>
    <cellStyle name="Total 3 37" xfId="19244"/>
    <cellStyle name="Total 3 38" xfId="19245"/>
    <cellStyle name="Total 3 39" xfId="19246"/>
    <cellStyle name="Total 3 4" xfId="19247"/>
    <cellStyle name="Total 3 4 2" xfId="19248"/>
    <cellStyle name="Total 3 4 3" xfId="19249"/>
    <cellStyle name="Total 3 4 4" xfId="19250"/>
    <cellStyle name="Total 3 4 5" xfId="19251"/>
    <cellStyle name="Total 3 40" xfId="19252"/>
    <cellStyle name="Total 3 41" xfId="19253"/>
    <cellStyle name="Total 3 42" xfId="19254"/>
    <cellStyle name="Total 3 43" xfId="19255"/>
    <cellStyle name="Total 3 44" xfId="19256"/>
    <cellStyle name="Total 3 45" xfId="19257"/>
    <cellStyle name="Total 3 46" xfId="19258"/>
    <cellStyle name="Total 3 47" xfId="19259"/>
    <cellStyle name="Total 3 48" xfId="19260"/>
    <cellStyle name="Total 3 49" xfId="19261"/>
    <cellStyle name="Total 3 5" xfId="19262"/>
    <cellStyle name="Total 3 5 2" xfId="19263"/>
    <cellStyle name="Total 3 5 3" xfId="19264"/>
    <cellStyle name="Total 3 5 4" xfId="19265"/>
    <cellStyle name="Total 3 5 5" xfId="19266"/>
    <cellStyle name="Total 3 50" xfId="19267"/>
    <cellStyle name="Total 3 51" xfId="19268"/>
    <cellStyle name="Total 3 52" xfId="19269"/>
    <cellStyle name="Total 3 53" xfId="19270"/>
    <cellStyle name="Total 3 54" xfId="19271"/>
    <cellStyle name="Total 3 55" xfId="19272"/>
    <cellStyle name="Total 3 56" xfId="19273"/>
    <cellStyle name="Total 3 57" xfId="19274"/>
    <cellStyle name="Total 3 58" xfId="19275"/>
    <cellStyle name="Total 3 59" xfId="19276"/>
    <cellStyle name="Total 3 6" xfId="19277"/>
    <cellStyle name="Total 3 6 2" xfId="19278"/>
    <cellStyle name="Total 3 6 3" xfId="19279"/>
    <cellStyle name="Total 3 6 4" xfId="19280"/>
    <cellStyle name="Total 3 6 5" xfId="19281"/>
    <cellStyle name="Total 3 60" xfId="19282"/>
    <cellStyle name="Total 3 61" xfId="19283"/>
    <cellStyle name="Total 3 62" xfId="19284"/>
    <cellStyle name="Total 3 63" xfId="19285"/>
    <cellStyle name="Total 3 64" xfId="19286"/>
    <cellStyle name="Total 3 65" xfId="19287"/>
    <cellStyle name="Total 3 66" xfId="19288"/>
    <cellStyle name="Total 3 67" xfId="19289"/>
    <cellStyle name="Total 3 68" xfId="19290"/>
    <cellStyle name="Total 3 7" xfId="19291"/>
    <cellStyle name="Total 3 7 2" xfId="19292"/>
    <cellStyle name="Total 3 7 3" xfId="19293"/>
    <cellStyle name="Total 3 7 4" xfId="19294"/>
    <cellStyle name="Total 3 7 5" xfId="19295"/>
    <cellStyle name="Total 3 8" xfId="19296"/>
    <cellStyle name="Total 3 8 2" xfId="19297"/>
    <cellStyle name="Total 3 8 3" xfId="19298"/>
    <cellStyle name="Total 3 8 4" xfId="19299"/>
    <cellStyle name="Total 3 8 5" xfId="19300"/>
    <cellStyle name="Total 3 9" xfId="19301"/>
    <cellStyle name="Total 3 9 2" xfId="19302"/>
    <cellStyle name="Total 3 9 3" xfId="19303"/>
    <cellStyle name="Total 3 9 4" xfId="19304"/>
    <cellStyle name="Total 3 9 5" xfId="19305"/>
    <cellStyle name="Total 4" xfId="19306"/>
    <cellStyle name="Total 4 10" xfId="19307"/>
    <cellStyle name="Total 4 10 2" xfId="19308"/>
    <cellStyle name="Total 4 10 3" xfId="19309"/>
    <cellStyle name="Total 4 10 4" xfId="19310"/>
    <cellStyle name="Total 4 10 5" xfId="19311"/>
    <cellStyle name="Total 4 11" xfId="19312"/>
    <cellStyle name="Total 4 11 2" xfId="19313"/>
    <cellStyle name="Total 4 11 3" xfId="19314"/>
    <cellStyle name="Total 4 11 4" xfId="19315"/>
    <cellStyle name="Total 4 11 5" xfId="19316"/>
    <cellStyle name="Total 4 12" xfId="19317"/>
    <cellStyle name="Total 4 12 2" xfId="19318"/>
    <cellStyle name="Total 4 12 3" xfId="19319"/>
    <cellStyle name="Total 4 12 4" xfId="19320"/>
    <cellStyle name="Total 4 12 5" xfId="19321"/>
    <cellStyle name="Total 4 13" xfId="19322"/>
    <cellStyle name="Total 4 13 2" xfId="19323"/>
    <cellStyle name="Total 4 13 3" xfId="19324"/>
    <cellStyle name="Total 4 13 4" xfId="19325"/>
    <cellStyle name="Total 4 13 5" xfId="19326"/>
    <cellStyle name="Total 4 14" xfId="19327"/>
    <cellStyle name="Total 4 14 2" xfId="19328"/>
    <cellStyle name="Total 4 14 3" xfId="19329"/>
    <cellStyle name="Total 4 14 4" xfId="19330"/>
    <cellStyle name="Total 4 14 5" xfId="19331"/>
    <cellStyle name="Total 4 15" xfId="19332"/>
    <cellStyle name="Total 4 15 2" xfId="19333"/>
    <cellStyle name="Total 4 15 3" xfId="19334"/>
    <cellStyle name="Total 4 15 4" xfId="19335"/>
    <cellStyle name="Total 4 15 5" xfId="19336"/>
    <cellStyle name="Total 4 16" xfId="19337"/>
    <cellStyle name="Total 4 16 2" xfId="19338"/>
    <cellStyle name="Total 4 16 3" xfId="19339"/>
    <cellStyle name="Total 4 16 4" xfId="19340"/>
    <cellStyle name="Total 4 16 5" xfId="19341"/>
    <cellStyle name="Total 4 17" xfId="19342"/>
    <cellStyle name="Total 4 17 2" xfId="19343"/>
    <cellStyle name="Total 4 17 3" xfId="19344"/>
    <cellStyle name="Total 4 17 4" xfId="19345"/>
    <cellStyle name="Total 4 17 5" xfId="19346"/>
    <cellStyle name="Total 4 18" xfId="19347"/>
    <cellStyle name="Total 4 18 2" xfId="19348"/>
    <cellStyle name="Total 4 18 3" xfId="19349"/>
    <cellStyle name="Total 4 18 4" xfId="19350"/>
    <cellStyle name="Total 4 18 5" xfId="19351"/>
    <cellStyle name="Total 4 19" xfId="19352"/>
    <cellStyle name="Total 4 19 2" xfId="19353"/>
    <cellStyle name="Total 4 19 3" xfId="19354"/>
    <cellStyle name="Total 4 19 4" xfId="19355"/>
    <cellStyle name="Total 4 19 5" xfId="19356"/>
    <cellStyle name="Total 4 2" xfId="19357"/>
    <cellStyle name="Total 4 2 2" xfId="19358"/>
    <cellStyle name="Total 4 2 2 2" xfId="19359"/>
    <cellStyle name="Total 4 2 2 3" xfId="19360"/>
    <cellStyle name="Total 4 2 2 4" xfId="19361"/>
    <cellStyle name="Total 4 2 2 5" xfId="19362"/>
    <cellStyle name="Total 4 2 3" xfId="19363"/>
    <cellStyle name="Total 4 2 3 2" xfId="19364"/>
    <cellStyle name="Total 4 2 3 3" xfId="19365"/>
    <cellStyle name="Total 4 2 3 4" xfId="19366"/>
    <cellStyle name="Total 4 2 3 5" xfId="19367"/>
    <cellStyle name="Total 4 2 4" xfId="19368"/>
    <cellStyle name="Total 4 2 4 2" xfId="19369"/>
    <cellStyle name="Total 4 2 4 3" xfId="19370"/>
    <cellStyle name="Total 4 2 4 4" xfId="19371"/>
    <cellStyle name="Total 4 2 4 5" xfId="19372"/>
    <cellStyle name="Total 4 2 5" xfId="19373"/>
    <cellStyle name="Total 4 2 5 2" xfId="19374"/>
    <cellStyle name="Total 4 2 5 3" xfId="19375"/>
    <cellStyle name="Total 4 2 5 4" xfId="19376"/>
    <cellStyle name="Total 4 2 5 5" xfId="19377"/>
    <cellStyle name="Total 4 2 6" xfId="19378"/>
    <cellStyle name="Total 4 2 7" xfId="19379"/>
    <cellStyle name="Total 4 2 8" xfId="19380"/>
    <cellStyle name="Total 4 2 9" xfId="19381"/>
    <cellStyle name="Total 4 20" xfId="19382"/>
    <cellStyle name="Total 4 20 2" xfId="19383"/>
    <cellStyle name="Total 4 20 3" xfId="19384"/>
    <cellStyle name="Total 4 20 4" xfId="19385"/>
    <cellStyle name="Total 4 20 5" xfId="19386"/>
    <cellStyle name="Total 4 21" xfId="19387"/>
    <cellStyle name="Total 4 21 2" xfId="19388"/>
    <cellStyle name="Total 4 21 3" xfId="19389"/>
    <cellStyle name="Total 4 21 4" xfId="19390"/>
    <cellStyle name="Total 4 21 5" xfId="19391"/>
    <cellStyle name="Total 4 22" xfId="19392"/>
    <cellStyle name="Total 4 22 2" xfId="19393"/>
    <cellStyle name="Total 4 22 3" xfId="19394"/>
    <cellStyle name="Total 4 22 4" xfId="19395"/>
    <cellStyle name="Total 4 22 5" xfId="19396"/>
    <cellStyle name="Total 4 23" xfId="19397"/>
    <cellStyle name="Total 4 23 2" xfId="19398"/>
    <cellStyle name="Total 4 23 3" xfId="19399"/>
    <cellStyle name="Total 4 23 4" xfId="19400"/>
    <cellStyle name="Total 4 23 5" xfId="19401"/>
    <cellStyle name="Total 4 24" xfId="19402"/>
    <cellStyle name="Total 4 24 2" xfId="19403"/>
    <cellStyle name="Total 4 24 3" xfId="19404"/>
    <cellStyle name="Total 4 24 4" xfId="19405"/>
    <cellStyle name="Total 4 24 5" xfId="19406"/>
    <cellStyle name="Total 4 25" xfId="19407"/>
    <cellStyle name="Total 4 25 2" xfId="19408"/>
    <cellStyle name="Total 4 25 3" xfId="19409"/>
    <cellStyle name="Total 4 25 4" xfId="19410"/>
    <cellStyle name="Total 4 25 5" xfId="19411"/>
    <cellStyle name="Total 4 26" xfId="19412"/>
    <cellStyle name="Total 4 26 2" xfId="19413"/>
    <cellStyle name="Total 4 26 3" xfId="19414"/>
    <cellStyle name="Total 4 26 4" xfId="19415"/>
    <cellStyle name="Total 4 26 5" xfId="19416"/>
    <cellStyle name="Total 4 27" xfId="19417"/>
    <cellStyle name="Total 4 27 2" xfId="19418"/>
    <cellStyle name="Total 4 27 3" xfId="19419"/>
    <cellStyle name="Total 4 27 4" xfId="19420"/>
    <cellStyle name="Total 4 27 5" xfId="19421"/>
    <cellStyle name="Total 4 28" xfId="19422"/>
    <cellStyle name="Total 4 28 2" xfId="19423"/>
    <cellStyle name="Total 4 28 3" xfId="19424"/>
    <cellStyle name="Total 4 28 4" xfId="19425"/>
    <cellStyle name="Total 4 28 5" xfId="19426"/>
    <cellStyle name="Total 4 29" xfId="19427"/>
    <cellStyle name="Total 4 29 2" xfId="19428"/>
    <cellStyle name="Total 4 29 3" xfId="19429"/>
    <cellStyle name="Total 4 29 4" xfId="19430"/>
    <cellStyle name="Total 4 29 5" xfId="19431"/>
    <cellStyle name="Total 4 3" xfId="19432"/>
    <cellStyle name="Total 4 3 2" xfId="19433"/>
    <cellStyle name="Total 4 3 3" xfId="19434"/>
    <cellStyle name="Total 4 3 4" xfId="19435"/>
    <cellStyle name="Total 4 3 5" xfId="19436"/>
    <cellStyle name="Total 4 30" xfId="19437"/>
    <cellStyle name="Total 4 30 2" xfId="19438"/>
    <cellStyle name="Total 4 30 3" xfId="19439"/>
    <cellStyle name="Total 4 30 4" xfId="19440"/>
    <cellStyle name="Total 4 30 5" xfId="19441"/>
    <cellStyle name="Total 4 31" xfId="19442"/>
    <cellStyle name="Total 4 31 2" xfId="19443"/>
    <cellStyle name="Total 4 31 3" xfId="19444"/>
    <cellStyle name="Total 4 31 4" xfId="19445"/>
    <cellStyle name="Total 4 31 5" xfId="19446"/>
    <cellStyle name="Total 4 32" xfId="19447"/>
    <cellStyle name="Total 4 32 2" xfId="19448"/>
    <cellStyle name="Total 4 32 3" xfId="19449"/>
    <cellStyle name="Total 4 32 4" xfId="19450"/>
    <cellStyle name="Total 4 32 5" xfId="19451"/>
    <cellStyle name="Total 4 33" xfId="19452"/>
    <cellStyle name="Total 4 33 2" xfId="19453"/>
    <cellStyle name="Total 4 33 3" xfId="19454"/>
    <cellStyle name="Total 4 33 4" xfId="19455"/>
    <cellStyle name="Total 4 33 5" xfId="19456"/>
    <cellStyle name="Total 4 34" xfId="19457"/>
    <cellStyle name="Total 4 34 2" xfId="19458"/>
    <cellStyle name="Total 4 34 3" xfId="19459"/>
    <cellStyle name="Total 4 34 4" xfId="19460"/>
    <cellStyle name="Total 4 34 5" xfId="19461"/>
    <cellStyle name="Total 4 35" xfId="19462"/>
    <cellStyle name="Total 4 35 2" xfId="19463"/>
    <cellStyle name="Total 4 35 3" xfId="19464"/>
    <cellStyle name="Total 4 36" xfId="19465"/>
    <cellStyle name="Total 4 37" xfId="19466"/>
    <cellStyle name="Total 4 38" xfId="19467"/>
    <cellStyle name="Total 4 39" xfId="19468"/>
    <cellStyle name="Total 4 4" xfId="19469"/>
    <cellStyle name="Total 4 4 2" xfId="19470"/>
    <cellStyle name="Total 4 4 3" xfId="19471"/>
    <cellStyle name="Total 4 4 4" xfId="19472"/>
    <cellStyle name="Total 4 4 5" xfId="19473"/>
    <cellStyle name="Total 4 40" xfId="19474"/>
    <cellStyle name="Total 4 41" xfId="19475"/>
    <cellStyle name="Total 4 42" xfId="19476"/>
    <cellStyle name="Total 4 43" xfId="19477"/>
    <cellStyle name="Total 4 44" xfId="19478"/>
    <cellStyle name="Total 4 45" xfId="19479"/>
    <cellStyle name="Total 4 46" xfId="19480"/>
    <cellStyle name="Total 4 47" xfId="19481"/>
    <cellStyle name="Total 4 48" xfId="19482"/>
    <cellStyle name="Total 4 49" xfId="19483"/>
    <cellStyle name="Total 4 5" xfId="19484"/>
    <cellStyle name="Total 4 5 2" xfId="19485"/>
    <cellStyle name="Total 4 5 3" xfId="19486"/>
    <cellStyle name="Total 4 5 4" xfId="19487"/>
    <cellStyle name="Total 4 5 5" xfId="19488"/>
    <cellStyle name="Total 4 50" xfId="19489"/>
    <cellStyle name="Total 4 51" xfId="19490"/>
    <cellStyle name="Total 4 52" xfId="19491"/>
    <cellStyle name="Total 4 53" xfId="19492"/>
    <cellStyle name="Total 4 54" xfId="19493"/>
    <cellStyle name="Total 4 55" xfId="19494"/>
    <cellStyle name="Total 4 56" xfId="19495"/>
    <cellStyle name="Total 4 57" xfId="19496"/>
    <cellStyle name="Total 4 58" xfId="19497"/>
    <cellStyle name="Total 4 59" xfId="19498"/>
    <cellStyle name="Total 4 6" xfId="19499"/>
    <cellStyle name="Total 4 6 2" xfId="19500"/>
    <cellStyle name="Total 4 6 3" xfId="19501"/>
    <cellStyle name="Total 4 6 4" xfId="19502"/>
    <cellStyle name="Total 4 6 5" xfId="19503"/>
    <cellStyle name="Total 4 60" xfId="19504"/>
    <cellStyle name="Total 4 61" xfId="19505"/>
    <cellStyle name="Total 4 62" xfId="19506"/>
    <cellStyle name="Total 4 63" xfId="19507"/>
    <cellStyle name="Total 4 64" xfId="19508"/>
    <cellStyle name="Total 4 65" xfId="19509"/>
    <cellStyle name="Total 4 66" xfId="19510"/>
    <cellStyle name="Total 4 67" xfId="19511"/>
    <cellStyle name="Total 4 68" xfId="19512"/>
    <cellStyle name="Total 4 7" xfId="19513"/>
    <cellStyle name="Total 4 7 2" xfId="19514"/>
    <cellStyle name="Total 4 7 3" xfId="19515"/>
    <cellStyle name="Total 4 7 4" xfId="19516"/>
    <cellStyle name="Total 4 7 5" xfId="19517"/>
    <cellStyle name="Total 4 8" xfId="19518"/>
    <cellStyle name="Total 4 8 2" xfId="19519"/>
    <cellStyle name="Total 4 8 3" xfId="19520"/>
    <cellStyle name="Total 4 8 4" xfId="19521"/>
    <cellStyle name="Total 4 8 5" xfId="19522"/>
    <cellStyle name="Total 4 9" xfId="19523"/>
    <cellStyle name="Total 4 9 2" xfId="19524"/>
    <cellStyle name="Total 4 9 3" xfId="19525"/>
    <cellStyle name="Total 4 9 4" xfId="19526"/>
    <cellStyle name="Total 4 9 5" xfId="19527"/>
    <cellStyle name="Total 5" xfId="19528"/>
    <cellStyle name="Total 5 10" xfId="19529"/>
    <cellStyle name="Total 5 10 2" xfId="19530"/>
    <cellStyle name="Total 5 10 3" xfId="19531"/>
    <cellStyle name="Total 5 10 4" xfId="19532"/>
    <cellStyle name="Total 5 10 5" xfId="19533"/>
    <cellStyle name="Total 5 11" xfId="19534"/>
    <cellStyle name="Total 5 11 2" xfId="19535"/>
    <cellStyle name="Total 5 11 3" xfId="19536"/>
    <cellStyle name="Total 5 11 4" xfId="19537"/>
    <cellStyle name="Total 5 11 5" xfId="19538"/>
    <cellStyle name="Total 5 12" xfId="19539"/>
    <cellStyle name="Total 5 12 2" xfId="19540"/>
    <cellStyle name="Total 5 12 3" xfId="19541"/>
    <cellStyle name="Total 5 12 4" xfId="19542"/>
    <cellStyle name="Total 5 12 5" xfId="19543"/>
    <cellStyle name="Total 5 13" xfId="19544"/>
    <cellStyle name="Total 5 13 2" xfId="19545"/>
    <cellStyle name="Total 5 13 3" xfId="19546"/>
    <cellStyle name="Total 5 13 4" xfId="19547"/>
    <cellStyle name="Total 5 13 5" xfId="19548"/>
    <cellStyle name="Total 5 14" xfId="19549"/>
    <cellStyle name="Total 5 14 2" xfId="19550"/>
    <cellStyle name="Total 5 14 3" xfId="19551"/>
    <cellStyle name="Total 5 14 4" xfId="19552"/>
    <cellStyle name="Total 5 14 5" xfId="19553"/>
    <cellStyle name="Total 5 15" xfId="19554"/>
    <cellStyle name="Total 5 15 2" xfId="19555"/>
    <cellStyle name="Total 5 15 3" xfId="19556"/>
    <cellStyle name="Total 5 15 4" xfId="19557"/>
    <cellStyle name="Total 5 15 5" xfId="19558"/>
    <cellStyle name="Total 5 16" xfId="19559"/>
    <cellStyle name="Total 5 16 2" xfId="19560"/>
    <cellStyle name="Total 5 16 3" xfId="19561"/>
    <cellStyle name="Total 5 16 4" xfId="19562"/>
    <cellStyle name="Total 5 16 5" xfId="19563"/>
    <cellStyle name="Total 5 17" xfId="19564"/>
    <cellStyle name="Total 5 17 2" xfId="19565"/>
    <cellStyle name="Total 5 17 3" xfId="19566"/>
    <cellStyle name="Total 5 17 4" xfId="19567"/>
    <cellStyle name="Total 5 17 5" xfId="19568"/>
    <cellStyle name="Total 5 18" xfId="19569"/>
    <cellStyle name="Total 5 18 2" xfId="19570"/>
    <cellStyle name="Total 5 18 3" xfId="19571"/>
    <cellStyle name="Total 5 18 4" xfId="19572"/>
    <cellStyle name="Total 5 18 5" xfId="19573"/>
    <cellStyle name="Total 5 19" xfId="19574"/>
    <cellStyle name="Total 5 19 2" xfId="19575"/>
    <cellStyle name="Total 5 19 3" xfId="19576"/>
    <cellStyle name="Total 5 19 4" xfId="19577"/>
    <cellStyle name="Total 5 19 5" xfId="19578"/>
    <cellStyle name="Total 5 2" xfId="19579"/>
    <cellStyle name="Total 5 2 2" xfId="19580"/>
    <cellStyle name="Total 5 2 2 2" xfId="19581"/>
    <cellStyle name="Total 5 2 2 3" xfId="19582"/>
    <cellStyle name="Total 5 2 2 4" xfId="19583"/>
    <cellStyle name="Total 5 2 2 5" xfId="19584"/>
    <cellStyle name="Total 5 2 3" xfId="19585"/>
    <cellStyle name="Total 5 2 3 2" xfId="19586"/>
    <cellStyle name="Total 5 2 3 3" xfId="19587"/>
    <cellStyle name="Total 5 2 3 4" xfId="19588"/>
    <cellStyle name="Total 5 2 3 5" xfId="19589"/>
    <cellStyle name="Total 5 2 4" xfId="19590"/>
    <cellStyle name="Total 5 2 4 2" xfId="19591"/>
    <cellStyle name="Total 5 2 4 3" xfId="19592"/>
    <cellStyle name="Total 5 2 4 4" xfId="19593"/>
    <cellStyle name="Total 5 2 4 5" xfId="19594"/>
    <cellStyle name="Total 5 2 5" xfId="19595"/>
    <cellStyle name="Total 5 2 5 2" xfId="19596"/>
    <cellStyle name="Total 5 2 5 3" xfId="19597"/>
    <cellStyle name="Total 5 2 5 4" xfId="19598"/>
    <cellStyle name="Total 5 2 5 5" xfId="19599"/>
    <cellStyle name="Total 5 2 6" xfId="19600"/>
    <cellStyle name="Total 5 2 7" xfId="19601"/>
    <cellStyle name="Total 5 2 8" xfId="19602"/>
    <cellStyle name="Total 5 2 9" xfId="19603"/>
    <cellStyle name="Total 5 20" xfId="19604"/>
    <cellStyle name="Total 5 20 2" xfId="19605"/>
    <cellStyle name="Total 5 20 3" xfId="19606"/>
    <cellStyle name="Total 5 20 4" xfId="19607"/>
    <cellStyle name="Total 5 20 5" xfId="19608"/>
    <cellStyle name="Total 5 21" xfId="19609"/>
    <cellStyle name="Total 5 21 2" xfId="19610"/>
    <cellStyle name="Total 5 21 3" xfId="19611"/>
    <cellStyle name="Total 5 21 4" xfId="19612"/>
    <cellStyle name="Total 5 21 5" xfId="19613"/>
    <cellStyle name="Total 5 22" xfId="19614"/>
    <cellStyle name="Total 5 22 2" xfId="19615"/>
    <cellStyle name="Total 5 22 3" xfId="19616"/>
    <cellStyle name="Total 5 22 4" xfId="19617"/>
    <cellStyle name="Total 5 22 5" xfId="19618"/>
    <cellStyle name="Total 5 23" xfId="19619"/>
    <cellStyle name="Total 5 23 2" xfId="19620"/>
    <cellStyle name="Total 5 23 3" xfId="19621"/>
    <cellStyle name="Total 5 23 4" xfId="19622"/>
    <cellStyle name="Total 5 23 5" xfId="19623"/>
    <cellStyle name="Total 5 24" xfId="19624"/>
    <cellStyle name="Total 5 24 2" xfId="19625"/>
    <cellStyle name="Total 5 24 3" xfId="19626"/>
    <cellStyle name="Total 5 24 4" xfId="19627"/>
    <cellStyle name="Total 5 24 5" xfId="19628"/>
    <cellStyle name="Total 5 25" xfId="19629"/>
    <cellStyle name="Total 5 25 2" xfId="19630"/>
    <cellStyle name="Total 5 25 3" xfId="19631"/>
    <cellStyle name="Total 5 25 4" xfId="19632"/>
    <cellStyle name="Total 5 25 5" xfId="19633"/>
    <cellStyle name="Total 5 26" xfId="19634"/>
    <cellStyle name="Total 5 26 2" xfId="19635"/>
    <cellStyle name="Total 5 26 3" xfId="19636"/>
    <cellStyle name="Total 5 26 4" xfId="19637"/>
    <cellStyle name="Total 5 26 5" xfId="19638"/>
    <cellStyle name="Total 5 27" xfId="19639"/>
    <cellStyle name="Total 5 27 2" xfId="19640"/>
    <cellStyle name="Total 5 27 3" xfId="19641"/>
    <cellStyle name="Total 5 27 4" xfId="19642"/>
    <cellStyle name="Total 5 27 5" xfId="19643"/>
    <cellStyle name="Total 5 28" xfId="19644"/>
    <cellStyle name="Total 5 28 2" xfId="19645"/>
    <cellStyle name="Total 5 28 3" xfId="19646"/>
    <cellStyle name="Total 5 28 4" xfId="19647"/>
    <cellStyle name="Total 5 28 5" xfId="19648"/>
    <cellStyle name="Total 5 29" xfId="19649"/>
    <cellStyle name="Total 5 29 2" xfId="19650"/>
    <cellStyle name="Total 5 29 3" xfId="19651"/>
    <cellStyle name="Total 5 29 4" xfId="19652"/>
    <cellStyle name="Total 5 29 5" xfId="19653"/>
    <cellStyle name="Total 5 3" xfId="19654"/>
    <cellStyle name="Total 5 3 2" xfId="19655"/>
    <cellStyle name="Total 5 3 3" xfId="19656"/>
    <cellStyle name="Total 5 3 4" xfId="19657"/>
    <cellStyle name="Total 5 3 5" xfId="19658"/>
    <cellStyle name="Total 5 30" xfId="19659"/>
    <cellStyle name="Total 5 30 2" xfId="19660"/>
    <cellStyle name="Total 5 30 3" xfId="19661"/>
    <cellStyle name="Total 5 30 4" xfId="19662"/>
    <cellStyle name="Total 5 30 5" xfId="19663"/>
    <cellStyle name="Total 5 31" xfId="19664"/>
    <cellStyle name="Total 5 31 2" xfId="19665"/>
    <cellStyle name="Total 5 31 3" xfId="19666"/>
    <cellStyle name="Total 5 31 4" xfId="19667"/>
    <cellStyle name="Total 5 31 5" xfId="19668"/>
    <cellStyle name="Total 5 32" xfId="19669"/>
    <cellStyle name="Total 5 32 2" xfId="19670"/>
    <cellStyle name="Total 5 32 3" xfId="19671"/>
    <cellStyle name="Total 5 32 4" xfId="19672"/>
    <cellStyle name="Total 5 32 5" xfId="19673"/>
    <cellStyle name="Total 5 33" xfId="19674"/>
    <cellStyle name="Total 5 33 2" xfId="19675"/>
    <cellStyle name="Total 5 33 3" xfId="19676"/>
    <cellStyle name="Total 5 33 4" xfId="19677"/>
    <cellStyle name="Total 5 33 5" xfId="19678"/>
    <cellStyle name="Total 5 34" xfId="19679"/>
    <cellStyle name="Total 5 34 2" xfId="19680"/>
    <cellStyle name="Total 5 34 3" xfId="19681"/>
    <cellStyle name="Total 5 34 4" xfId="19682"/>
    <cellStyle name="Total 5 34 5" xfId="19683"/>
    <cellStyle name="Total 5 35" xfId="19684"/>
    <cellStyle name="Total 5 35 2" xfId="19685"/>
    <cellStyle name="Total 5 35 3" xfId="19686"/>
    <cellStyle name="Total 5 36" xfId="19687"/>
    <cellStyle name="Total 5 37" xfId="19688"/>
    <cellStyle name="Total 5 38" xfId="19689"/>
    <cellStyle name="Total 5 39" xfId="19690"/>
    <cellStyle name="Total 5 4" xfId="19691"/>
    <cellStyle name="Total 5 4 2" xfId="19692"/>
    <cellStyle name="Total 5 4 3" xfId="19693"/>
    <cellStyle name="Total 5 4 4" xfId="19694"/>
    <cellStyle name="Total 5 4 5" xfId="19695"/>
    <cellStyle name="Total 5 40" xfId="19696"/>
    <cellStyle name="Total 5 41" xfId="19697"/>
    <cellStyle name="Total 5 42" xfId="19698"/>
    <cellStyle name="Total 5 43" xfId="19699"/>
    <cellStyle name="Total 5 44" xfId="19700"/>
    <cellStyle name="Total 5 45" xfId="19701"/>
    <cellStyle name="Total 5 46" xfId="19702"/>
    <cellStyle name="Total 5 47" xfId="19703"/>
    <cellStyle name="Total 5 48" xfId="19704"/>
    <cellStyle name="Total 5 49" xfId="19705"/>
    <cellStyle name="Total 5 5" xfId="19706"/>
    <cellStyle name="Total 5 5 2" xfId="19707"/>
    <cellStyle name="Total 5 5 3" xfId="19708"/>
    <cellStyle name="Total 5 5 4" xfId="19709"/>
    <cellStyle name="Total 5 5 5" xfId="19710"/>
    <cellStyle name="Total 5 50" xfId="19711"/>
    <cellStyle name="Total 5 51" xfId="19712"/>
    <cellStyle name="Total 5 52" xfId="19713"/>
    <cellStyle name="Total 5 53" xfId="19714"/>
    <cellStyle name="Total 5 54" xfId="19715"/>
    <cellStyle name="Total 5 55" xfId="19716"/>
    <cellStyle name="Total 5 56" xfId="19717"/>
    <cellStyle name="Total 5 57" xfId="19718"/>
    <cellStyle name="Total 5 58" xfId="19719"/>
    <cellStyle name="Total 5 59" xfId="19720"/>
    <cellStyle name="Total 5 6" xfId="19721"/>
    <cellStyle name="Total 5 6 2" xfId="19722"/>
    <cellStyle name="Total 5 6 3" xfId="19723"/>
    <cellStyle name="Total 5 6 4" xfId="19724"/>
    <cellStyle name="Total 5 6 5" xfId="19725"/>
    <cellStyle name="Total 5 60" xfId="19726"/>
    <cellStyle name="Total 5 61" xfId="19727"/>
    <cellStyle name="Total 5 62" xfId="19728"/>
    <cellStyle name="Total 5 63" xfId="19729"/>
    <cellStyle name="Total 5 64" xfId="19730"/>
    <cellStyle name="Total 5 65" xfId="19731"/>
    <cellStyle name="Total 5 66" xfId="19732"/>
    <cellStyle name="Total 5 67" xfId="19733"/>
    <cellStyle name="Total 5 68" xfId="19734"/>
    <cellStyle name="Total 5 7" xfId="19735"/>
    <cellStyle name="Total 5 7 2" xfId="19736"/>
    <cellStyle name="Total 5 7 3" xfId="19737"/>
    <cellStyle name="Total 5 7 4" xfId="19738"/>
    <cellStyle name="Total 5 7 5" xfId="19739"/>
    <cellStyle name="Total 5 8" xfId="19740"/>
    <cellStyle name="Total 5 8 2" xfId="19741"/>
    <cellStyle name="Total 5 8 3" xfId="19742"/>
    <cellStyle name="Total 5 8 4" xfId="19743"/>
    <cellStyle name="Total 5 8 5" xfId="19744"/>
    <cellStyle name="Total 5 9" xfId="19745"/>
    <cellStyle name="Total 5 9 2" xfId="19746"/>
    <cellStyle name="Total 5 9 3" xfId="19747"/>
    <cellStyle name="Total 5 9 4" xfId="19748"/>
    <cellStyle name="Total 5 9 5" xfId="19749"/>
    <cellStyle name="Total 6" xfId="19750"/>
    <cellStyle name="Total 6 10" xfId="19751"/>
    <cellStyle name="Total 6 10 2" xfId="19752"/>
    <cellStyle name="Total 6 10 3" xfId="19753"/>
    <cellStyle name="Total 6 10 4" xfId="19754"/>
    <cellStyle name="Total 6 10 5" xfId="19755"/>
    <cellStyle name="Total 6 11" xfId="19756"/>
    <cellStyle name="Total 6 11 2" xfId="19757"/>
    <cellStyle name="Total 6 11 3" xfId="19758"/>
    <cellStyle name="Total 6 11 4" xfId="19759"/>
    <cellStyle name="Total 6 11 5" xfId="19760"/>
    <cellStyle name="Total 6 12" xfId="19761"/>
    <cellStyle name="Total 6 12 2" xfId="19762"/>
    <cellStyle name="Total 6 12 3" xfId="19763"/>
    <cellStyle name="Total 6 12 4" xfId="19764"/>
    <cellStyle name="Total 6 12 5" xfId="19765"/>
    <cellStyle name="Total 6 13" xfId="19766"/>
    <cellStyle name="Total 6 13 2" xfId="19767"/>
    <cellStyle name="Total 6 13 3" xfId="19768"/>
    <cellStyle name="Total 6 13 4" xfId="19769"/>
    <cellStyle name="Total 6 13 5" xfId="19770"/>
    <cellStyle name="Total 6 14" xfId="19771"/>
    <cellStyle name="Total 6 14 2" xfId="19772"/>
    <cellStyle name="Total 6 14 3" xfId="19773"/>
    <cellStyle name="Total 6 14 4" xfId="19774"/>
    <cellStyle name="Total 6 14 5" xfId="19775"/>
    <cellStyle name="Total 6 15" xfId="19776"/>
    <cellStyle name="Total 6 15 2" xfId="19777"/>
    <cellStyle name="Total 6 15 3" xfId="19778"/>
    <cellStyle name="Total 6 15 4" xfId="19779"/>
    <cellStyle name="Total 6 15 5" xfId="19780"/>
    <cellStyle name="Total 6 16" xfId="19781"/>
    <cellStyle name="Total 6 16 2" xfId="19782"/>
    <cellStyle name="Total 6 16 3" xfId="19783"/>
    <cellStyle name="Total 6 16 4" xfId="19784"/>
    <cellStyle name="Total 6 16 5" xfId="19785"/>
    <cellStyle name="Total 6 17" xfId="19786"/>
    <cellStyle name="Total 6 17 2" xfId="19787"/>
    <cellStyle name="Total 6 17 3" xfId="19788"/>
    <cellStyle name="Total 6 17 4" xfId="19789"/>
    <cellStyle name="Total 6 17 5" xfId="19790"/>
    <cellStyle name="Total 6 18" xfId="19791"/>
    <cellStyle name="Total 6 18 2" xfId="19792"/>
    <cellStyle name="Total 6 18 3" xfId="19793"/>
    <cellStyle name="Total 6 18 4" xfId="19794"/>
    <cellStyle name="Total 6 18 5" xfId="19795"/>
    <cellStyle name="Total 6 19" xfId="19796"/>
    <cellStyle name="Total 6 19 2" xfId="19797"/>
    <cellStyle name="Total 6 19 3" xfId="19798"/>
    <cellStyle name="Total 6 19 4" xfId="19799"/>
    <cellStyle name="Total 6 19 5" xfId="19800"/>
    <cellStyle name="Total 6 2" xfId="19801"/>
    <cellStyle name="Total 6 2 2" xfId="19802"/>
    <cellStyle name="Total 6 2 2 2" xfId="19803"/>
    <cellStyle name="Total 6 2 2 3" xfId="19804"/>
    <cellStyle name="Total 6 2 2 4" xfId="19805"/>
    <cellStyle name="Total 6 2 2 5" xfId="19806"/>
    <cellStyle name="Total 6 2 3" xfId="19807"/>
    <cellStyle name="Total 6 2 3 2" xfId="19808"/>
    <cellStyle name="Total 6 2 3 3" xfId="19809"/>
    <cellStyle name="Total 6 2 3 4" xfId="19810"/>
    <cellStyle name="Total 6 2 3 5" xfId="19811"/>
    <cellStyle name="Total 6 2 4" xfId="19812"/>
    <cellStyle name="Total 6 2 4 2" xfId="19813"/>
    <cellStyle name="Total 6 2 4 3" xfId="19814"/>
    <cellStyle name="Total 6 2 4 4" xfId="19815"/>
    <cellStyle name="Total 6 2 4 5" xfId="19816"/>
    <cellStyle name="Total 6 2 5" xfId="19817"/>
    <cellStyle name="Total 6 2 5 2" xfId="19818"/>
    <cellStyle name="Total 6 2 5 3" xfId="19819"/>
    <cellStyle name="Total 6 2 5 4" xfId="19820"/>
    <cellStyle name="Total 6 2 5 5" xfId="19821"/>
    <cellStyle name="Total 6 2 6" xfId="19822"/>
    <cellStyle name="Total 6 2 7" xfId="19823"/>
    <cellStyle name="Total 6 2 8" xfId="19824"/>
    <cellStyle name="Total 6 2 9" xfId="19825"/>
    <cellStyle name="Total 6 20" xfId="19826"/>
    <cellStyle name="Total 6 20 2" xfId="19827"/>
    <cellStyle name="Total 6 20 3" xfId="19828"/>
    <cellStyle name="Total 6 20 4" xfId="19829"/>
    <cellStyle name="Total 6 20 5" xfId="19830"/>
    <cellStyle name="Total 6 21" xfId="19831"/>
    <cellStyle name="Total 6 21 2" xfId="19832"/>
    <cellStyle name="Total 6 21 3" xfId="19833"/>
    <cellStyle name="Total 6 21 4" xfId="19834"/>
    <cellStyle name="Total 6 21 5" xfId="19835"/>
    <cellStyle name="Total 6 22" xfId="19836"/>
    <cellStyle name="Total 6 22 2" xfId="19837"/>
    <cellStyle name="Total 6 22 3" xfId="19838"/>
    <cellStyle name="Total 6 22 4" xfId="19839"/>
    <cellStyle name="Total 6 22 5" xfId="19840"/>
    <cellStyle name="Total 6 23" xfId="19841"/>
    <cellStyle name="Total 6 23 2" xfId="19842"/>
    <cellStyle name="Total 6 23 3" xfId="19843"/>
    <cellStyle name="Total 6 23 4" xfId="19844"/>
    <cellStyle name="Total 6 23 5" xfId="19845"/>
    <cellStyle name="Total 6 24" xfId="19846"/>
    <cellStyle name="Total 6 24 2" xfId="19847"/>
    <cellStyle name="Total 6 24 3" xfId="19848"/>
    <cellStyle name="Total 6 24 4" xfId="19849"/>
    <cellStyle name="Total 6 24 5" xfId="19850"/>
    <cellStyle name="Total 6 25" xfId="19851"/>
    <cellStyle name="Total 6 25 2" xfId="19852"/>
    <cellStyle name="Total 6 25 3" xfId="19853"/>
    <cellStyle name="Total 6 25 4" xfId="19854"/>
    <cellStyle name="Total 6 25 5" xfId="19855"/>
    <cellStyle name="Total 6 26" xfId="19856"/>
    <cellStyle name="Total 6 26 2" xfId="19857"/>
    <cellStyle name="Total 6 26 3" xfId="19858"/>
    <cellStyle name="Total 6 26 4" xfId="19859"/>
    <cellStyle name="Total 6 26 5" xfId="19860"/>
    <cellStyle name="Total 6 27" xfId="19861"/>
    <cellStyle name="Total 6 27 2" xfId="19862"/>
    <cellStyle name="Total 6 27 3" xfId="19863"/>
    <cellStyle name="Total 6 27 4" xfId="19864"/>
    <cellStyle name="Total 6 27 5" xfId="19865"/>
    <cellStyle name="Total 6 28" xfId="19866"/>
    <cellStyle name="Total 6 28 2" xfId="19867"/>
    <cellStyle name="Total 6 28 3" xfId="19868"/>
    <cellStyle name="Total 6 28 4" xfId="19869"/>
    <cellStyle name="Total 6 28 5" xfId="19870"/>
    <cellStyle name="Total 6 29" xfId="19871"/>
    <cellStyle name="Total 6 29 2" xfId="19872"/>
    <cellStyle name="Total 6 29 3" xfId="19873"/>
    <cellStyle name="Total 6 29 4" xfId="19874"/>
    <cellStyle name="Total 6 29 5" xfId="19875"/>
    <cellStyle name="Total 6 3" xfId="19876"/>
    <cellStyle name="Total 6 3 2" xfId="19877"/>
    <cellStyle name="Total 6 3 3" xfId="19878"/>
    <cellStyle name="Total 6 3 4" xfId="19879"/>
    <cellStyle name="Total 6 3 5" xfId="19880"/>
    <cellStyle name="Total 6 30" xfId="19881"/>
    <cellStyle name="Total 6 30 2" xfId="19882"/>
    <cellStyle name="Total 6 30 3" xfId="19883"/>
    <cellStyle name="Total 6 30 4" xfId="19884"/>
    <cellStyle name="Total 6 30 5" xfId="19885"/>
    <cellStyle name="Total 6 31" xfId="19886"/>
    <cellStyle name="Total 6 31 2" xfId="19887"/>
    <cellStyle name="Total 6 31 3" xfId="19888"/>
    <cellStyle name="Total 6 31 4" xfId="19889"/>
    <cellStyle name="Total 6 31 5" xfId="19890"/>
    <cellStyle name="Total 6 32" xfId="19891"/>
    <cellStyle name="Total 6 32 2" xfId="19892"/>
    <cellStyle name="Total 6 32 3" xfId="19893"/>
    <cellStyle name="Total 6 32 4" xfId="19894"/>
    <cellStyle name="Total 6 32 5" xfId="19895"/>
    <cellStyle name="Total 6 33" xfId="19896"/>
    <cellStyle name="Total 6 33 2" xfId="19897"/>
    <cellStyle name="Total 6 33 3" xfId="19898"/>
    <cellStyle name="Total 6 33 4" xfId="19899"/>
    <cellStyle name="Total 6 33 5" xfId="19900"/>
    <cellStyle name="Total 6 34" xfId="19901"/>
    <cellStyle name="Total 6 34 2" xfId="19902"/>
    <cellStyle name="Total 6 34 3" xfId="19903"/>
    <cellStyle name="Total 6 34 4" xfId="19904"/>
    <cellStyle name="Total 6 34 5" xfId="19905"/>
    <cellStyle name="Total 6 35" xfId="19906"/>
    <cellStyle name="Total 6 35 2" xfId="19907"/>
    <cellStyle name="Total 6 35 3" xfId="19908"/>
    <cellStyle name="Total 6 36" xfId="19909"/>
    <cellStyle name="Total 6 37" xfId="19910"/>
    <cellStyle name="Total 6 38" xfId="19911"/>
    <cellStyle name="Total 6 39" xfId="19912"/>
    <cellStyle name="Total 6 4" xfId="19913"/>
    <cellStyle name="Total 6 4 2" xfId="19914"/>
    <cellStyle name="Total 6 4 3" xfId="19915"/>
    <cellStyle name="Total 6 4 4" xfId="19916"/>
    <cellStyle name="Total 6 4 5" xfId="19917"/>
    <cellStyle name="Total 6 40" xfId="19918"/>
    <cellStyle name="Total 6 41" xfId="19919"/>
    <cellStyle name="Total 6 42" xfId="19920"/>
    <cellStyle name="Total 6 43" xfId="19921"/>
    <cellStyle name="Total 6 44" xfId="19922"/>
    <cellStyle name="Total 6 45" xfId="19923"/>
    <cellStyle name="Total 6 46" xfId="19924"/>
    <cellStyle name="Total 6 47" xfId="19925"/>
    <cellStyle name="Total 6 48" xfId="19926"/>
    <cellStyle name="Total 6 49" xfId="19927"/>
    <cellStyle name="Total 6 5" xfId="19928"/>
    <cellStyle name="Total 6 5 2" xfId="19929"/>
    <cellStyle name="Total 6 5 3" xfId="19930"/>
    <cellStyle name="Total 6 5 4" xfId="19931"/>
    <cellStyle name="Total 6 5 5" xfId="19932"/>
    <cellStyle name="Total 6 50" xfId="19933"/>
    <cellStyle name="Total 6 51" xfId="19934"/>
    <cellStyle name="Total 6 52" xfId="19935"/>
    <cellStyle name="Total 6 53" xfId="19936"/>
    <cellStyle name="Total 6 54" xfId="19937"/>
    <cellStyle name="Total 6 55" xfId="19938"/>
    <cellStyle name="Total 6 56" xfId="19939"/>
    <cellStyle name="Total 6 57" xfId="19940"/>
    <cellStyle name="Total 6 58" xfId="19941"/>
    <cellStyle name="Total 6 59" xfId="19942"/>
    <cellStyle name="Total 6 6" xfId="19943"/>
    <cellStyle name="Total 6 6 2" xfId="19944"/>
    <cellStyle name="Total 6 6 3" xfId="19945"/>
    <cellStyle name="Total 6 6 4" xfId="19946"/>
    <cellStyle name="Total 6 6 5" xfId="19947"/>
    <cellStyle name="Total 6 60" xfId="19948"/>
    <cellStyle name="Total 6 61" xfId="19949"/>
    <cellStyle name="Total 6 62" xfId="19950"/>
    <cellStyle name="Total 6 63" xfId="19951"/>
    <cellStyle name="Total 6 64" xfId="19952"/>
    <cellStyle name="Total 6 65" xfId="19953"/>
    <cellStyle name="Total 6 66" xfId="19954"/>
    <cellStyle name="Total 6 67" xfId="19955"/>
    <cellStyle name="Total 6 68" xfId="19956"/>
    <cellStyle name="Total 6 7" xfId="19957"/>
    <cellStyle name="Total 6 7 2" xfId="19958"/>
    <cellStyle name="Total 6 7 3" xfId="19959"/>
    <cellStyle name="Total 6 7 4" xfId="19960"/>
    <cellStyle name="Total 6 7 5" xfId="19961"/>
    <cellStyle name="Total 6 8" xfId="19962"/>
    <cellStyle name="Total 6 8 2" xfId="19963"/>
    <cellStyle name="Total 6 8 3" xfId="19964"/>
    <cellStyle name="Total 6 8 4" xfId="19965"/>
    <cellStyle name="Total 6 8 5" xfId="19966"/>
    <cellStyle name="Total 6 9" xfId="19967"/>
    <cellStyle name="Total 6 9 2" xfId="19968"/>
    <cellStyle name="Total 6 9 3" xfId="19969"/>
    <cellStyle name="Total 6 9 4" xfId="19970"/>
    <cellStyle name="Total 6 9 5" xfId="19971"/>
    <cellStyle name="Total 7" xfId="19972"/>
    <cellStyle name="Total 7 10" xfId="19973"/>
    <cellStyle name="Total 7 10 2" xfId="19974"/>
    <cellStyle name="Total 7 10 3" xfId="19975"/>
    <cellStyle name="Total 7 10 4" xfId="19976"/>
    <cellStyle name="Total 7 10 5" xfId="19977"/>
    <cellStyle name="Total 7 11" xfId="19978"/>
    <cellStyle name="Total 7 11 2" xfId="19979"/>
    <cellStyle name="Total 7 11 3" xfId="19980"/>
    <cellStyle name="Total 7 11 4" xfId="19981"/>
    <cellStyle name="Total 7 11 5" xfId="19982"/>
    <cellStyle name="Total 7 12" xfId="19983"/>
    <cellStyle name="Total 7 12 2" xfId="19984"/>
    <cellStyle name="Total 7 12 3" xfId="19985"/>
    <cellStyle name="Total 7 12 4" xfId="19986"/>
    <cellStyle name="Total 7 12 5" xfId="19987"/>
    <cellStyle name="Total 7 13" xfId="19988"/>
    <cellStyle name="Total 7 13 2" xfId="19989"/>
    <cellStyle name="Total 7 13 3" xfId="19990"/>
    <cellStyle name="Total 7 13 4" xfId="19991"/>
    <cellStyle name="Total 7 13 5" xfId="19992"/>
    <cellStyle name="Total 7 14" xfId="19993"/>
    <cellStyle name="Total 7 14 2" xfId="19994"/>
    <cellStyle name="Total 7 14 3" xfId="19995"/>
    <cellStyle name="Total 7 14 4" xfId="19996"/>
    <cellStyle name="Total 7 14 5" xfId="19997"/>
    <cellStyle name="Total 7 15" xfId="19998"/>
    <cellStyle name="Total 7 15 2" xfId="19999"/>
    <cellStyle name="Total 7 15 3" xfId="20000"/>
    <cellStyle name="Total 7 15 4" xfId="20001"/>
    <cellStyle name="Total 7 15 5" xfId="20002"/>
    <cellStyle name="Total 7 16" xfId="20003"/>
    <cellStyle name="Total 7 16 2" xfId="20004"/>
    <cellStyle name="Total 7 16 3" xfId="20005"/>
    <cellStyle name="Total 7 16 4" xfId="20006"/>
    <cellStyle name="Total 7 16 5" xfId="20007"/>
    <cellStyle name="Total 7 17" xfId="20008"/>
    <cellStyle name="Total 7 17 2" xfId="20009"/>
    <cellStyle name="Total 7 17 3" xfId="20010"/>
    <cellStyle name="Total 7 17 4" xfId="20011"/>
    <cellStyle name="Total 7 17 5" xfId="20012"/>
    <cellStyle name="Total 7 18" xfId="20013"/>
    <cellStyle name="Total 7 18 2" xfId="20014"/>
    <cellStyle name="Total 7 18 3" xfId="20015"/>
    <cellStyle name="Total 7 18 4" xfId="20016"/>
    <cellStyle name="Total 7 18 5" xfId="20017"/>
    <cellStyle name="Total 7 19" xfId="20018"/>
    <cellStyle name="Total 7 19 2" xfId="20019"/>
    <cellStyle name="Total 7 19 3" xfId="20020"/>
    <cellStyle name="Total 7 19 4" xfId="20021"/>
    <cellStyle name="Total 7 19 5" xfId="20022"/>
    <cellStyle name="Total 7 2" xfId="20023"/>
    <cellStyle name="Total 7 2 2" xfId="20024"/>
    <cellStyle name="Total 7 2 2 2" xfId="20025"/>
    <cellStyle name="Total 7 2 2 3" xfId="20026"/>
    <cellStyle name="Total 7 2 2 4" xfId="20027"/>
    <cellStyle name="Total 7 2 2 5" xfId="20028"/>
    <cellStyle name="Total 7 2 3" xfId="20029"/>
    <cellStyle name="Total 7 2 3 2" xfId="20030"/>
    <cellStyle name="Total 7 2 3 3" xfId="20031"/>
    <cellStyle name="Total 7 2 3 4" xfId="20032"/>
    <cellStyle name="Total 7 2 3 5" xfId="20033"/>
    <cellStyle name="Total 7 2 4" xfId="20034"/>
    <cellStyle name="Total 7 2 4 2" xfId="20035"/>
    <cellStyle name="Total 7 2 4 3" xfId="20036"/>
    <cellStyle name="Total 7 2 4 4" xfId="20037"/>
    <cellStyle name="Total 7 2 4 5" xfId="20038"/>
    <cellStyle name="Total 7 2 5" xfId="20039"/>
    <cellStyle name="Total 7 2 5 2" xfId="20040"/>
    <cellStyle name="Total 7 2 5 3" xfId="20041"/>
    <cellStyle name="Total 7 2 5 4" xfId="20042"/>
    <cellStyle name="Total 7 2 5 5" xfId="20043"/>
    <cellStyle name="Total 7 2 6" xfId="20044"/>
    <cellStyle name="Total 7 2 7" xfId="20045"/>
    <cellStyle name="Total 7 2 8" xfId="20046"/>
    <cellStyle name="Total 7 2 9" xfId="20047"/>
    <cellStyle name="Total 7 20" xfId="20048"/>
    <cellStyle name="Total 7 20 2" xfId="20049"/>
    <cellStyle name="Total 7 20 3" xfId="20050"/>
    <cellStyle name="Total 7 20 4" xfId="20051"/>
    <cellStyle name="Total 7 20 5" xfId="20052"/>
    <cellStyle name="Total 7 21" xfId="20053"/>
    <cellStyle name="Total 7 21 2" xfId="20054"/>
    <cellStyle name="Total 7 21 3" xfId="20055"/>
    <cellStyle name="Total 7 21 4" xfId="20056"/>
    <cellStyle name="Total 7 21 5" xfId="20057"/>
    <cellStyle name="Total 7 22" xfId="20058"/>
    <cellStyle name="Total 7 22 2" xfId="20059"/>
    <cellStyle name="Total 7 22 3" xfId="20060"/>
    <cellStyle name="Total 7 22 4" xfId="20061"/>
    <cellStyle name="Total 7 22 5" xfId="20062"/>
    <cellStyle name="Total 7 23" xfId="20063"/>
    <cellStyle name="Total 7 23 2" xfId="20064"/>
    <cellStyle name="Total 7 23 3" xfId="20065"/>
    <cellStyle name="Total 7 23 4" xfId="20066"/>
    <cellStyle name="Total 7 23 5" xfId="20067"/>
    <cellStyle name="Total 7 24" xfId="20068"/>
    <cellStyle name="Total 7 24 2" xfId="20069"/>
    <cellStyle name="Total 7 24 3" xfId="20070"/>
    <cellStyle name="Total 7 24 4" xfId="20071"/>
    <cellStyle name="Total 7 24 5" xfId="20072"/>
    <cellStyle name="Total 7 25" xfId="20073"/>
    <cellStyle name="Total 7 25 2" xfId="20074"/>
    <cellStyle name="Total 7 25 3" xfId="20075"/>
    <cellStyle name="Total 7 25 4" xfId="20076"/>
    <cellStyle name="Total 7 25 5" xfId="20077"/>
    <cellStyle name="Total 7 26" xfId="20078"/>
    <cellStyle name="Total 7 26 2" xfId="20079"/>
    <cellStyle name="Total 7 26 3" xfId="20080"/>
    <cellStyle name="Total 7 26 4" xfId="20081"/>
    <cellStyle name="Total 7 26 5" xfId="20082"/>
    <cellStyle name="Total 7 27" xfId="20083"/>
    <cellStyle name="Total 7 27 2" xfId="20084"/>
    <cellStyle name="Total 7 27 3" xfId="20085"/>
    <cellStyle name="Total 7 27 4" xfId="20086"/>
    <cellStyle name="Total 7 27 5" xfId="20087"/>
    <cellStyle name="Total 7 28" xfId="20088"/>
    <cellStyle name="Total 7 28 2" xfId="20089"/>
    <cellStyle name="Total 7 28 3" xfId="20090"/>
    <cellStyle name="Total 7 28 4" xfId="20091"/>
    <cellStyle name="Total 7 28 5" xfId="20092"/>
    <cellStyle name="Total 7 29" xfId="20093"/>
    <cellStyle name="Total 7 29 2" xfId="20094"/>
    <cellStyle name="Total 7 29 3" xfId="20095"/>
    <cellStyle name="Total 7 29 4" xfId="20096"/>
    <cellStyle name="Total 7 29 5" xfId="20097"/>
    <cellStyle name="Total 7 3" xfId="20098"/>
    <cellStyle name="Total 7 3 2" xfId="20099"/>
    <cellStyle name="Total 7 3 3" xfId="20100"/>
    <cellStyle name="Total 7 3 4" xfId="20101"/>
    <cellStyle name="Total 7 3 5" xfId="20102"/>
    <cellStyle name="Total 7 30" xfId="20103"/>
    <cellStyle name="Total 7 30 2" xfId="20104"/>
    <cellStyle name="Total 7 30 3" xfId="20105"/>
    <cellStyle name="Total 7 30 4" xfId="20106"/>
    <cellStyle name="Total 7 30 5" xfId="20107"/>
    <cellStyle name="Total 7 31" xfId="20108"/>
    <cellStyle name="Total 7 31 2" xfId="20109"/>
    <cellStyle name="Total 7 31 3" xfId="20110"/>
    <cellStyle name="Total 7 31 4" xfId="20111"/>
    <cellStyle name="Total 7 31 5" xfId="20112"/>
    <cellStyle name="Total 7 32" xfId="20113"/>
    <cellStyle name="Total 7 32 2" xfId="20114"/>
    <cellStyle name="Total 7 32 3" xfId="20115"/>
    <cellStyle name="Total 7 32 4" xfId="20116"/>
    <cellStyle name="Total 7 32 5" xfId="20117"/>
    <cellStyle name="Total 7 33" xfId="20118"/>
    <cellStyle name="Total 7 33 2" xfId="20119"/>
    <cellStyle name="Total 7 33 3" xfId="20120"/>
    <cellStyle name="Total 7 33 4" xfId="20121"/>
    <cellStyle name="Total 7 33 5" xfId="20122"/>
    <cellStyle name="Total 7 34" xfId="20123"/>
    <cellStyle name="Total 7 34 2" xfId="20124"/>
    <cellStyle name="Total 7 34 3" xfId="20125"/>
    <cellStyle name="Total 7 34 4" xfId="20126"/>
    <cellStyle name="Total 7 34 5" xfId="20127"/>
    <cellStyle name="Total 7 35" xfId="20128"/>
    <cellStyle name="Total 7 35 2" xfId="20129"/>
    <cellStyle name="Total 7 35 3" xfId="20130"/>
    <cellStyle name="Total 7 36" xfId="20131"/>
    <cellStyle name="Total 7 37" xfId="20132"/>
    <cellStyle name="Total 7 38" xfId="20133"/>
    <cellStyle name="Total 7 39" xfId="20134"/>
    <cellStyle name="Total 7 4" xfId="20135"/>
    <cellStyle name="Total 7 4 2" xfId="20136"/>
    <cellStyle name="Total 7 4 3" xfId="20137"/>
    <cellStyle name="Total 7 4 4" xfId="20138"/>
    <cellStyle name="Total 7 4 5" xfId="20139"/>
    <cellStyle name="Total 7 40" xfId="20140"/>
    <cellStyle name="Total 7 41" xfId="20141"/>
    <cellStyle name="Total 7 42" xfId="20142"/>
    <cellStyle name="Total 7 43" xfId="20143"/>
    <cellStyle name="Total 7 44" xfId="20144"/>
    <cellStyle name="Total 7 45" xfId="20145"/>
    <cellStyle name="Total 7 46" xfId="20146"/>
    <cellStyle name="Total 7 47" xfId="20147"/>
    <cellStyle name="Total 7 48" xfId="20148"/>
    <cellStyle name="Total 7 49" xfId="20149"/>
    <cellStyle name="Total 7 5" xfId="20150"/>
    <cellStyle name="Total 7 5 2" xfId="20151"/>
    <cellStyle name="Total 7 5 3" xfId="20152"/>
    <cellStyle name="Total 7 5 4" xfId="20153"/>
    <cellStyle name="Total 7 5 5" xfId="20154"/>
    <cellStyle name="Total 7 50" xfId="20155"/>
    <cellStyle name="Total 7 51" xfId="20156"/>
    <cellStyle name="Total 7 52" xfId="20157"/>
    <cellStyle name="Total 7 53" xfId="20158"/>
    <cellStyle name="Total 7 54" xfId="20159"/>
    <cellStyle name="Total 7 55" xfId="20160"/>
    <cellStyle name="Total 7 56" xfId="20161"/>
    <cellStyle name="Total 7 57" xfId="20162"/>
    <cellStyle name="Total 7 58" xfId="20163"/>
    <cellStyle name="Total 7 59" xfId="20164"/>
    <cellStyle name="Total 7 6" xfId="20165"/>
    <cellStyle name="Total 7 6 2" xfId="20166"/>
    <cellStyle name="Total 7 6 3" xfId="20167"/>
    <cellStyle name="Total 7 6 4" xfId="20168"/>
    <cellStyle name="Total 7 6 5" xfId="20169"/>
    <cellStyle name="Total 7 60" xfId="20170"/>
    <cellStyle name="Total 7 61" xfId="20171"/>
    <cellStyle name="Total 7 62" xfId="20172"/>
    <cellStyle name="Total 7 63" xfId="20173"/>
    <cellStyle name="Total 7 64" xfId="20174"/>
    <cellStyle name="Total 7 65" xfId="20175"/>
    <cellStyle name="Total 7 66" xfId="20176"/>
    <cellStyle name="Total 7 67" xfId="20177"/>
    <cellStyle name="Total 7 68" xfId="20178"/>
    <cellStyle name="Total 7 7" xfId="20179"/>
    <cellStyle name="Total 7 7 2" xfId="20180"/>
    <cellStyle name="Total 7 7 3" xfId="20181"/>
    <cellStyle name="Total 7 7 4" xfId="20182"/>
    <cellStyle name="Total 7 7 5" xfId="20183"/>
    <cellStyle name="Total 7 8" xfId="20184"/>
    <cellStyle name="Total 7 8 2" xfId="20185"/>
    <cellStyle name="Total 7 8 3" xfId="20186"/>
    <cellStyle name="Total 7 8 4" xfId="20187"/>
    <cellStyle name="Total 7 8 5" xfId="20188"/>
    <cellStyle name="Total 7 9" xfId="20189"/>
    <cellStyle name="Total 7 9 2" xfId="20190"/>
    <cellStyle name="Total 7 9 3" xfId="20191"/>
    <cellStyle name="Total 7 9 4" xfId="20192"/>
    <cellStyle name="Total 7 9 5" xfId="20193"/>
    <cellStyle name="Total 8" xfId="20194"/>
    <cellStyle name="Total 8 10" xfId="20195"/>
    <cellStyle name="Total 8 10 2" xfId="20196"/>
    <cellStyle name="Total 8 10 3" xfId="20197"/>
    <cellStyle name="Total 8 10 4" xfId="20198"/>
    <cellStyle name="Total 8 10 5" xfId="20199"/>
    <cellStyle name="Total 8 11" xfId="20200"/>
    <cellStyle name="Total 8 11 2" xfId="20201"/>
    <cellStyle name="Total 8 11 3" xfId="20202"/>
    <cellStyle name="Total 8 11 4" xfId="20203"/>
    <cellStyle name="Total 8 11 5" xfId="20204"/>
    <cellStyle name="Total 8 12" xfId="20205"/>
    <cellStyle name="Total 8 12 2" xfId="20206"/>
    <cellStyle name="Total 8 12 3" xfId="20207"/>
    <cellStyle name="Total 8 12 4" xfId="20208"/>
    <cellStyle name="Total 8 12 5" xfId="20209"/>
    <cellStyle name="Total 8 13" xfId="20210"/>
    <cellStyle name="Total 8 13 2" xfId="20211"/>
    <cellStyle name="Total 8 13 3" xfId="20212"/>
    <cellStyle name="Total 8 13 4" xfId="20213"/>
    <cellStyle name="Total 8 13 5" xfId="20214"/>
    <cellStyle name="Total 8 14" xfId="20215"/>
    <cellStyle name="Total 8 14 2" xfId="20216"/>
    <cellStyle name="Total 8 14 3" xfId="20217"/>
    <cellStyle name="Total 8 14 4" xfId="20218"/>
    <cellStyle name="Total 8 14 5" xfId="20219"/>
    <cellStyle name="Total 8 15" xfId="20220"/>
    <cellStyle name="Total 8 15 2" xfId="20221"/>
    <cellStyle name="Total 8 15 3" xfId="20222"/>
    <cellStyle name="Total 8 15 4" xfId="20223"/>
    <cellStyle name="Total 8 15 5" xfId="20224"/>
    <cellStyle name="Total 8 16" xfId="20225"/>
    <cellStyle name="Total 8 16 2" xfId="20226"/>
    <cellStyle name="Total 8 16 3" xfId="20227"/>
    <cellStyle name="Total 8 16 4" xfId="20228"/>
    <cellStyle name="Total 8 16 5" xfId="20229"/>
    <cellStyle name="Total 8 17" xfId="20230"/>
    <cellStyle name="Total 8 17 2" xfId="20231"/>
    <cellStyle name="Total 8 17 3" xfId="20232"/>
    <cellStyle name="Total 8 17 4" xfId="20233"/>
    <cellStyle name="Total 8 17 5" xfId="20234"/>
    <cellStyle name="Total 8 18" xfId="20235"/>
    <cellStyle name="Total 8 18 2" xfId="20236"/>
    <cellStyle name="Total 8 18 3" xfId="20237"/>
    <cellStyle name="Total 8 18 4" xfId="20238"/>
    <cellStyle name="Total 8 18 5" xfId="20239"/>
    <cellStyle name="Total 8 19" xfId="20240"/>
    <cellStyle name="Total 8 19 2" xfId="20241"/>
    <cellStyle name="Total 8 19 3" xfId="20242"/>
    <cellStyle name="Total 8 19 4" xfId="20243"/>
    <cellStyle name="Total 8 19 5" xfId="20244"/>
    <cellStyle name="Total 8 2" xfId="20245"/>
    <cellStyle name="Total 8 2 2" xfId="20246"/>
    <cellStyle name="Total 8 2 2 2" xfId="20247"/>
    <cellStyle name="Total 8 2 2 3" xfId="20248"/>
    <cellStyle name="Total 8 2 2 4" xfId="20249"/>
    <cellStyle name="Total 8 2 2 5" xfId="20250"/>
    <cellStyle name="Total 8 2 3" xfId="20251"/>
    <cellStyle name="Total 8 2 3 2" xfId="20252"/>
    <cellStyle name="Total 8 2 3 3" xfId="20253"/>
    <cellStyle name="Total 8 2 3 4" xfId="20254"/>
    <cellStyle name="Total 8 2 3 5" xfId="20255"/>
    <cellStyle name="Total 8 2 4" xfId="20256"/>
    <cellStyle name="Total 8 2 4 2" xfId="20257"/>
    <cellStyle name="Total 8 2 4 3" xfId="20258"/>
    <cellStyle name="Total 8 2 4 4" xfId="20259"/>
    <cellStyle name="Total 8 2 4 5" xfId="20260"/>
    <cellStyle name="Total 8 2 5" xfId="20261"/>
    <cellStyle name="Total 8 2 5 2" xfId="20262"/>
    <cellStyle name="Total 8 2 5 3" xfId="20263"/>
    <cellStyle name="Total 8 2 5 4" xfId="20264"/>
    <cellStyle name="Total 8 2 5 5" xfId="20265"/>
    <cellStyle name="Total 8 2 6" xfId="20266"/>
    <cellStyle name="Total 8 2 7" xfId="20267"/>
    <cellStyle name="Total 8 2 8" xfId="20268"/>
    <cellStyle name="Total 8 2 9" xfId="20269"/>
    <cellStyle name="Total 8 20" xfId="20270"/>
    <cellStyle name="Total 8 20 2" xfId="20271"/>
    <cellStyle name="Total 8 20 3" xfId="20272"/>
    <cellStyle name="Total 8 20 4" xfId="20273"/>
    <cellStyle name="Total 8 20 5" xfId="20274"/>
    <cellStyle name="Total 8 21" xfId="20275"/>
    <cellStyle name="Total 8 21 2" xfId="20276"/>
    <cellStyle name="Total 8 21 3" xfId="20277"/>
    <cellStyle name="Total 8 21 4" xfId="20278"/>
    <cellStyle name="Total 8 21 5" xfId="20279"/>
    <cellStyle name="Total 8 22" xfId="20280"/>
    <cellStyle name="Total 8 22 2" xfId="20281"/>
    <cellStyle name="Total 8 22 3" xfId="20282"/>
    <cellStyle name="Total 8 22 4" xfId="20283"/>
    <cellStyle name="Total 8 22 5" xfId="20284"/>
    <cellStyle name="Total 8 23" xfId="20285"/>
    <cellStyle name="Total 8 23 2" xfId="20286"/>
    <cellStyle name="Total 8 23 3" xfId="20287"/>
    <cellStyle name="Total 8 23 4" xfId="20288"/>
    <cellStyle name="Total 8 23 5" xfId="20289"/>
    <cellStyle name="Total 8 24" xfId="20290"/>
    <cellStyle name="Total 8 24 2" xfId="20291"/>
    <cellStyle name="Total 8 24 3" xfId="20292"/>
    <cellStyle name="Total 8 24 4" xfId="20293"/>
    <cellStyle name="Total 8 24 5" xfId="20294"/>
    <cellStyle name="Total 8 25" xfId="20295"/>
    <cellStyle name="Total 8 25 2" xfId="20296"/>
    <cellStyle name="Total 8 25 3" xfId="20297"/>
    <cellStyle name="Total 8 25 4" xfId="20298"/>
    <cellStyle name="Total 8 25 5" xfId="20299"/>
    <cellStyle name="Total 8 26" xfId="20300"/>
    <cellStyle name="Total 8 26 2" xfId="20301"/>
    <cellStyle name="Total 8 26 3" xfId="20302"/>
    <cellStyle name="Total 8 26 4" xfId="20303"/>
    <cellStyle name="Total 8 26 5" xfId="20304"/>
    <cellStyle name="Total 8 27" xfId="20305"/>
    <cellStyle name="Total 8 27 2" xfId="20306"/>
    <cellStyle name="Total 8 27 3" xfId="20307"/>
    <cellStyle name="Total 8 27 4" xfId="20308"/>
    <cellStyle name="Total 8 27 5" xfId="20309"/>
    <cellStyle name="Total 8 28" xfId="20310"/>
    <cellStyle name="Total 8 28 2" xfId="20311"/>
    <cellStyle name="Total 8 28 3" xfId="20312"/>
    <cellStyle name="Total 8 28 4" xfId="20313"/>
    <cellStyle name="Total 8 28 5" xfId="20314"/>
    <cellStyle name="Total 8 29" xfId="20315"/>
    <cellStyle name="Total 8 29 2" xfId="20316"/>
    <cellStyle name="Total 8 29 3" xfId="20317"/>
    <cellStyle name="Total 8 29 4" xfId="20318"/>
    <cellStyle name="Total 8 29 5" xfId="20319"/>
    <cellStyle name="Total 8 3" xfId="20320"/>
    <cellStyle name="Total 8 3 2" xfId="20321"/>
    <cellStyle name="Total 8 3 3" xfId="20322"/>
    <cellStyle name="Total 8 3 4" xfId="20323"/>
    <cellStyle name="Total 8 3 5" xfId="20324"/>
    <cellStyle name="Total 8 30" xfId="20325"/>
    <cellStyle name="Total 8 30 2" xfId="20326"/>
    <cellStyle name="Total 8 30 3" xfId="20327"/>
    <cellStyle name="Total 8 30 4" xfId="20328"/>
    <cellStyle name="Total 8 30 5" xfId="20329"/>
    <cellStyle name="Total 8 31" xfId="20330"/>
    <cellStyle name="Total 8 31 2" xfId="20331"/>
    <cellStyle name="Total 8 31 3" xfId="20332"/>
    <cellStyle name="Total 8 31 4" xfId="20333"/>
    <cellStyle name="Total 8 31 5" xfId="20334"/>
    <cellStyle name="Total 8 32" xfId="20335"/>
    <cellStyle name="Total 8 32 2" xfId="20336"/>
    <cellStyle name="Total 8 32 3" xfId="20337"/>
    <cellStyle name="Total 8 32 4" xfId="20338"/>
    <cellStyle name="Total 8 32 5" xfId="20339"/>
    <cellStyle name="Total 8 33" xfId="20340"/>
    <cellStyle name="Total 8 33 2" xfId="20341"/>
    <cellStyle name="Total 8 33 3" xfId="20342"/>
    <cellStyle name="Total 8 33 4" xfId="20343"/>
    <cellStyle name="Total 8 33 5" xfId="20344"/>
    <cellStyle name="Total 8 34" xfId="20345"/>
    <cellStyle name="Total 8 34 2" xfId="20346"/>
    <cellStyle name="Total 8 34 3" xfId="20347"/>
    <cellStyle name="Total 8 34 4" xfId="20348"/>
    <cellStyle name="Total 8 34 5" xfId="20349"/>
    <cellStyle name="Total 8 35" xfId="20350"/>
    <cellStyle name="Total 8 35 2" xfId="20351"/>
    <cellStyle name="Total 8 35 3" xfId="20352"/>
    <cellStyle name="Total 8 36" xfId="20353"/>
    <cellStyle name="Total 8 37" xfId="20354"/>
    <cellStyle name="Total 8 38" xfId="20355"/>
    <cellStyle name="Total 8 39" xfId="20356"/>
    <cellStyle name="Total 8 4" xfId="20357"/>
    <cellStyle name="Total 8 4 2" xfId="20358"/>
    <cellStyle name="Total 8 4 3" xfId="20359"/>
    <cellStyle name="Total 8 4 4" xfId="20360"/>
    <cellStyle name="Total 8 4 5" xfId="20361"/>
    <cellStyle name="Total 8 40" xfId="20362"/>
    <cellStyle name="Total 8 41" xfId="20363"/>
    <cellStyle name="Total 8 42" xfId="20364"/>
    <cellStyle name="Total 8 43" xfId="20365"/>
    <cellStyle name="Total 8 44" xfId="20366"/>
    <cellStyle name="Total 8 45" xfId="20367"/>
    <cellStyle name="Total 8 46" xfId="20368"/>
    <cellStyle name="Total 8 47" xfId="20369"/>
    <cellStyle name="Total 8 48" xfId="20370"/>
    <cellStyle name="Total 8 49" xfId="20371"/>
    <cellStyle name="Total 8 5" xfId="20372"/>
    <cellStyle name="Total 8 5 2" xfId="20373"/>
    <cellStyle name="Total 8 5 3" xfId="20374"/>
    <cellStyle name="Total 8 5 4" xfId="20375"/>
    <cellStyle name="Total 8 5 5" xfId="20376"/>
    <cellStyle name="Total 8 50" xfId="20377"/>
    <cellStyle name="Total 8 51" xfId="20378"/>
    <cellStyle name="Total 8 52" xfId="20379"/>
    <cellStyle name="Total 8 53" xfId="20380"/>
    <cellStyle name="Total 8 54" xfId="20381"/>
    <cellStyle name="Total 8 55" xfId="20382"/>
    <cellStyle name="Total 8 56" xfId="20383"/>
    <cellStyle name="Total 8 57" xfId="20384"/>
    <cellStyle name="Total 8 58" xfId="20385"/>
    <cellStyle name="Total 8 59" xfId="20386"/>
    <cellStyle name="Total 8 6" xfId="20387"/>
    <cellStyle name="Total 8 6 2" xfId="20388"/>
    <cellStyle name="Total 8 6 3" xfId="20389"/>
    <cellStyle name="Total 8 6 4" xfId="20390"/>
    <cellStyle name="Total 8 6 5" xfId="20391"/>
    <cellStyle name="Total 8 60" xfId="20392"/>
    <cellStyle name="Total 8 61" xfId="20393"/>
    <cellStyle name="Total 8 62" xfId="20394"/>
    <cellStyle name="Total 8 63" xfId="20395"/>
    <cellStyle name="Total 8 64" xfId="20396"/>
    <cellStyle name="Total 8 65" xfId="20397"/>
    <cellStyle name="Total 8 66" xfId="20398"/>
    <cellStyle name="Total 8 67" xfId="20399"/>
    <cellStyle name="Total 8 68" xfId="20400"/>
    <cellStyle name="Total 8 7" xfId="20401"/>
    <cellStyle name="Total 8 7 2" xfId="20402"/>
    <cellStyle name="Total 8 7 3" xfId="20403"/>
    <cellStyle name="Total 8 7 4" xfId="20404"/>
    <cellStyle name="Total 8 7 5" xfId="20405"/>
    <cellStyle name="Total 8 8" xfId="20406"/>
    <cellStyle name="Total 8 8 2" xfId="20407"/>
    <cellStyle name="Total 8 8 3" xfId="20408"/>
    <cellStyle name="Total 8 8 4" xfId="20409"/>
    <cellStyle name="Total 8 8 5" xfId="20410"/>
    <cellStyle name="Total 8 9" xfId="20411"/>
    <cellStyle name="Total 8 9 2" xfId="20412"/>
    <cellStyle name="Total 8 9 3" xfId="20413"/>
    <cellStyle name="Total 8 9 4" xfId="20414"/>
    <cellStyle name="Total 8 9 5" xfId="20415"/>
    <cellStyle name="Total 9" xfId="20416"/>
    <cellStyle name="Total 9 10" xfId="20417"/>
    <cellStyle name="Total 9 10 2" xfId="20418"/>
    <cellStyle name="Total 9 10 3" xfId="20419"/>
    <cellStyle name="Total 9 10 4" xfId="20420"/>
    <cellStyle name="Total 9 10 5" xfId="20421"/>
    <cellStyle name="Total 9 11" xfId="20422"/>
    <cellStyle name="Total 9 11 2" xfId="20423"/>
    <cellStyle name="Total 9 11 3" xfId="20424"/>
    <cellStyle name="Total 9 11 4" xfId="20425"/>
    <cellStyle name="Total 9 11 5" xfId="20426"/>
    <cellStyle name="Total 9 12" xfId="20427"/>
    <cellStyle name="Total 9 12 2" xfId="20428"/>
    <cellStyle name="Total 9 12 3" xfId="20429"/>
    <cellStyle name="Total 9 12 4" xfId="20430"/>
    <cellStyle name="Total 9 12 5" xfId="20431"/>
    <cellStyle name="Total 9 13" xfId="20432"/>
    <cellStyle name="Total 9 13 2" xfId="20433"/>
    <cellStyle name="Total 9 13 3" xfId="20434"/>
    <cellStyle name="Total 9 13 4" xfId="20435"/>
    <cellStyle name="Total 9 13 5" xfId="20436"/>
    <cellStyle name="Total 9 14" xfId="20437"/>
    <cellStyle name="Total 9 14 2" xfId="20438"/>
    <cellStyle name="Total 9 14 3" xfId="20439"/>
    <cellStyle name="Total 9 14 4" xfId="20440"/>
    <cellStyle name="Total 9 14 5" xfId="20441"/>
    <cellStyle name="Total 9 15" xfId="20442"/>
    <cellStyle name="Total 9 15 2" xfId="20443"/>
    <cellStyle name="Total 9 15 3" xfId="20444"/>
    <cellStyle name="Total 9 15 4" xfId="20445"/>
    <cellStyle name="Total 9 15 5" xfId="20446"/>
    <cellStyle name="Total 9 16" xfId="20447"/>
    <cellStyle name="Total 9 16 2" xfId="20448"/>
    <cellStyle name="Total 9 16 3" xfId="20449"/>
    <cellStyle name="Total 9 16 4" xfId="20450"/>
    <cellStyle name="Total 9 16 5" xfId="20451"/>
    <cellStyle name="Total 9 17" xfId="20452"/>
    <cellStyle name="Total 9 17 2" xfId="20453"/>
    <cellStyle name="Total 9 17 3" xfId="20454"/>
    <cellStyle name="Total 9 17 4" xfId="20455"/>
    <cellStyle name="Total 9 17 5" xfId="20456"/>
    <cellStyle name="Total 9 18" xfId="20457"/>
    <cellStyle name="Total 9 18 2" xfId="20458"/>
    <cellStyle name="Total 9 18 3" xfId="20459"/>
    <cellStyle name="Total 9 18 4" xfId="20460"/>
    <cellStyle name="Total 9 18 5" xfId="20461"/>
    <cellStyle name="Total 9 19" xfId="20462"/>
    <cellStyle name="Total 9 19 2" xfId="20463"/>
    <cellStyle name="Total 9 19 3" xfId="20464"/>
    <cellStyle name="Total 9 19 4" xfId="20465"/>
    <cellStyle name="Total 9 19 5" xfId="20466"/>
    <cellStyle name="Total 9 2" xfId="20467"/>
    <cellStyle name="Total 9 2 2" xfId="20468"/>
    <cellStyle name="Total 9 2 2 2" xfId="20469"/>
    <cellStyle name="Total 9 2 2 3" xfId="20470"/>
    <cellStyle name="Total 9 2 2 4" xfId="20471"/>
    <cellStyle name="Total 9 2 2 5" xfId="20472"/>
    <cellStyle name="Total 9 2 3" xfId="20473"/>
    <cellStyle name="Total 9 2 3 2" xfId="20474"/>
    <cellStyle name="Total 9 2 3 3" xfId="20475"/>
    <cellStyle name="Total 9 2 3 4" xfId="20476"/>
    <cellStyle name="Total 9 2 3 5" xfId="20477"/>
    <cellStyle name="Total 9 2 4" xfId="20478"/>
    <cellStyle name="Total 9 2 4 2" xfId="20479"/>
    <cellStyle name="Total 9 2 4 3" xfId="20480"/>
    <cellStyle name="Total 9 2 4 4" xfId="20481"/>
    <cellStyle name="Total 9 2 4 5" xfId="20482"/>
    <cellStyle name="Total 9 2 5" xfId="20483"/>
    <cellStyle name="Total 9 2 5 2" xfId="20484"/>
    <cellStyle name="Total 9 2 5 3" xfId="20485"/>
    <cellStyle name="Total 9 2 5 4" xfId="20486"/>
    <cellStyle name="Total 9 2 5 5" xfId="20487"/>
    <cellStyle name="Total 9 2 6" xfId="20488"/>
    <cellStyle name="Total 9 2 7" xfId="20489"/>
    <cellStyle name="Total 9 2 8" xfId="20490"/>
    <cellStyle name="Total 9 2 9" xfId="20491"/>
    <cellStyle name="Total 9 20" xfId="20492"/>
    <cellStyle name="Total 9 20 2" xfId="20493"/>
    <cellStyle name="Total 9 20 3" xfId="20494"/>
    <cellStyle name="Total 9 20 4" xfId="20495"/>
    <cellStyle name="Total 9 20 5" xfId="20496"/>
    <cellStyle name="Total 9 21" xfId="20497"/>
    <cellStyle name="Total 9 21 2" xfId="20498"/>
    <cellStyle name="Total 9 21 3" xfId="20499"/>
    <cellStyle name="Total 9 21 4" xfId="20500"/>
    <cellStyle name="Total 9 21 5" xfId="20501"/>
    <cellStyle name="Total 9 22" xfId="20502"/>
    <cellStyle name="Total 9 22 2" xfId="20503"/>
    <cellStyle name="Total 9 22 3" xfId="20504"/>
    <cellStyle name="Total 9 22 4" xfId="20505"/>
    <cellStyle name="Total 9 22 5" xfId="20506"/>
    <cellStyle name="Total 9 23" xfId="20507"/>
    <cellStyle name="Total 9 23 2" xfId="20508"/>
    <cellStyle name="Total 9 23 3" xfId="20509"/>
    <cellStyle name="Total 9 23 4" xfId="20510"/>
    <cellStyle name="Total 9 23 5" xfId="20511"/>
    <cellStyle name="Total 9 24" xfId="20512"/>
    <cellStyle name="Total 9 24 2" xfId="20513"/>
    <cellStyle name="Total 9 24 3" xfId="20514"/>
    <cellStyle name="Total 9 24 4" xfId="20515"/>
    <cellStyle name="Total 9 24 5" xfId="20516"/>
    <cellStyle name="Total 9 25" xfId="20517"/>
    <cellStyle name="Total 9 25 2" xfId="20518"/>
    <cellStyle name="Total 9 25 3" xfId="20519"/>
    <cellStyle name="Total 9 25 4" xfId="20520"/>
    <cellStyle name="Total 9 25 5" xfId="20521"/>
    <cellStyle name="Total 9 26" xfId="20522"/>
    <cellStyle name="Total 9 26 2" xfId="20523"/>
    <cellStyle name="Total 9 26 3" xfId="20524"/>
    <cellStyle name="Total 9 26 4" xfId="20525"/>
    <cellStyle name="Total 9 26 5" xfId="20526"/>
    <cellStyle name="Total 9 27" xfId="20527"/>
    <cellStyle name="Total 9 27 2" xfId="20528"/>
    <cellStyle name="Total 9 27 3" xfId="20529"/>
    <cellStyle name="Total 9 27 4" xfId="20530"/>
    <cellStyle name="Total 9 27 5" xfId="20531"/>
    <cellStyle name="Total 9 28" xfId="20532"/>
    <cellStyle name="Total 9 28 2" xfId="20533"/>
    <cellStyle name="Total 9 28 3" xfId="20534"/>
    <cellStyle name="Total 9 28 4" xfId="20535"/>
    <cellStyle name="Total 9 28 5" xfId="20536"/>
    <cellStyle name="Total 9 29" xfId="20537"/>
    <cellStyle name="Total 9 29 2" xfId="20538"/>
    <cellStyle name="Total 9 29 3" xfId="20539"/>
    <cellStyle name="Total 9 29 4" xfId="20540"/>
    <cellStyle name="Total 9 29 5" xfId="20541"/>
    <cellStyle name="Total 9 3" xfId="20542"/>
    <cellStyle name="Total 9 3 2" xfId="20543"/>
    <cellStyle name="Total 9 3 3" xfId="20544"/>
    <cellStyle name="Total 9 3 4" xfId="20545"/>
    <cellStyle name="Total 9 3 5" xfId="20546"/>
    <cellStyle name="Total 9 30" xfId="20547"/>
    <cellStyle name="Total 9 30 2" xfId="20548"/>
    <cellStyle name="Total 9 30 3" xfId="20549"/>
    <cellStyle name="Total 9 30 4" xfId="20550"/>
    <cellStyle name="Total 9 30 5" xfId="20551"/>
    <cellStyle name="Total 9 31" xfId="20552"/>
    <cellStyle name="Total 9 31 2" xfId="20553"/>
    <cellStyle name="Total 9 31 3" xfId="20554"/>
    <cellStyle name="Total 9 31 4" xfId="20555"/>
    <cellStyle name="Total 9 31 5" xfId="20556"/>
    <cellStyle name="Total 9 32" xfId="20557"/>
    <cellStyle name="Total 9 32 2" xfId="20558"/>
    <cellStyle name="Total 9 32 3" xfId="20559"/>
    <cellStyle name="Total 9 32 4" xfId="20560"/>
    <cellStyle name="Total 9 32 5" xfId="20561"/>
    <cellStyle name="Total 9 33" xfId="20562"/>
    <cellStyle name="Total 9 33 2" xfId="20563"/>
    <cellStyle name="Total 9 33 3" xfId="20564"/>
    <cellStyle name="Total 9 33 4" xfId="20565"/>
    <cellStyle name="Total 9 33 5" xfId="20566"/>
    <cellStyle name="Total 9 34" xfId="20567"/>
    <cellStyle name="Total 9 34 2" xfId="20568"/>
    <cellStyle name="Total 9 34 3" xfId="20569"/>
    <cellStyle name="Total 9 34 4" xfId="20570"/>
    <cellStyle name="Total 9 34 5" xfId="20571"/>
    <cellStyle name="Total 9 35" xfId="20572"/>
    <cellStyle name="Total 9 35 2" xfId="20573"/>
    <cellStyle name="Total 9 35 3" xfId="20574"/>
    <cellStyle name="Total 9 36" xfId="20575"/>
    <cellStyle name="Total 9 37" xfId="20576"/>
    <cellStyle name="Total 9 38" xfId="20577"/>
    <cellStyle name="Total 9 39" xfId="20578"/>
    <cellStyle name="Total 9 4" xfId="20579"/>
    <cellStyle name="Total 9 4 2" xfId="20580"/>
    <cellStyle name="Total 9 4 3" xfId="20581"/>
    <cellStyle name="Total 9 4 4" xfId="20582"/>
    <cellStyle name="Total 9 4 5" xfId="20583"/>
    <cellStyle name="Total 9 40" xfId="20584"/>
    <cellStyle name="Total 9 41" xfId="20585"/>
    <cellStyle name="Total 9 42" xfId="20586"/>
    <cellStyle name="Total 9 43" xfId="20587"/>
    <cellStyle name="Total 9 44" xfId="20588"/>
    <cellStyle name="Total 9 45" xfId="20589"/>
    <cellStyle name="Total 9 46" xfId="20590"/>
    <cellStyle name="Total 9 47" xfId="20591"/>
    <cellStyle name="Total 9 48" xfId="20592"/>
    <cellStyle name="Total 9 49" xfId="20593"/>
    <cellStyle name="Total 9 5" xfId="20594"/>
    <cellStyle name="Total 9 5 2" xfId="20595"/>
    <cellStyle name="Total 9 5 3" xfId="20596"/>
    <cellStyle name="Total 9 5 4" xfId="20597"/>
    <cellStyle name="Total 9 5 5" xfId="20598"/>
    <cellStyle name="Total 9 50" xfId="20599"/>
    <cellStyle name="Total 9 51" xfId="20600"/>
    <cellStyle name="Total 9 52" xfId="20601"/>
    <cellStyle name="Total 9 53" xfId="20602"/>
    <cellStyle name="Total 9 54" xfId="20603"/>
    <cellStyle name="Total 9 55" xfId="20604"/>
    <cellStyle name="Total 9 56" xfId="20605"/>
    <cellStyle name="Total 9 57" xfId="20606"/>
    <cellStyle name="Total 9 58" xfId="20607"/>
    <cellStyle name="Total 9 59" xfId="20608"/>
    <cellStyle name="Total 9 6" xfId="20609"/>
    <cellStyle name="Total 9 6 2" xfId="20610"/>
    <cellStyle name="Total 9 6 3" xfId="20611"/>
    <cellStyle name="Total 9 6 4" xfId="20612"/>
    <cellStyle name="Total 9 6 5" xfId="20613"/>
    <cellStyle name="Total 9 60" xfId="20614"/>
    <cellStyle name="Total 9 61" xfId="20615"/>
    <cellStyle name="Total 9 62" xfId="20616"/>
    <cellStyle name="Total 9 63" xfId="20617"/>
    <cellStyle name="Total 9 64" xfId="20618"/>
    <cellStyle name="Total 9 65" xfId="20619"/>
    <cellStyle name="Total 9 66" xfId="20620"/>
    <cellStyle name="Total 9 67" xfId="20621"/>
    <cellStyle name="Total 9 68" xfId="20622"/>
    <cellStyle name="Total 9 7" xfId="20623"/>
    <cellStyle name="Total 9 7 2" xfId="20624"/>
    <cellStyle name="Total 9 7 3" xfId="20625"/>
    <cellStyle name="Total 9 7 4" xfId="20626"/>
    <cellStyle name="Total 9 7 5" xfId="20627"/>
    <cellStyle name="Total 9 8" xfId="20628"/>
    <cellStyle name="Total 9 8 2" xfId="20629"/>
    <cellStyle name="Total 9 8 3" xfId="20630"/>
    <cellStyle name="Total 9 8 4" xfId="20631"/>
    <cellStyle name="Total 9 8 5" xfId="20632"/>
    <cellStyle name="Total 9 9" xfId="20633"/>
    <cellStyle name="Total 9 9 2" xfId="20634"/>
    <cellStyle name="Total 9 9 3" xfId="20635"/>
    <cellStyle name="Total 9 9 4" xfId="20636"/>
    <cellStyle name="Total 9 9 5" xfId="20637"/>
    <cellStyle name="Warning Text 10" xfId="20638"/>
    <cellStyle name="Warning Text 10 2" xfId="20639"/>
    <cellStyle name="Warning Text 11" xfId="20640"/>
    <cellStyle name="Warning Text 11 2" xfId="20641"/>
    <cellStyle name="Warning Text 2" xfId="20642"/>
    <cellStyle name="Warning Text 2 2" xfId="20643"/>
    <cellStyle name="Warning Text 3" xfId="20644"/>
    <cellStyle name="Warning Text 3 2" xfId="20645"/>
    <cellStyle name="Warning Text 4" xfId="20646"/>
    <cellStyle name="Warning Text 4 2" xfId="20647"/>
    <cellStyle name="Warning Text 5" xfId="20648"/>
    <cellStyle name="Warning Text 5 2" xfId="20649"/>
    <cellStyle name="Warning Text 6" xfId="20650"/>
    <cellStyle name="Warning Text 6 2" xfId="20651"/>
    <cellStyle name="Warning Text 7" xfId="20652"/>
    <cellStyle name="Warning Text 7 2" xfId="20653"/>
    <cellStyle name="Warning Text 8" xfId="20654"/>
    <cellStyle name="Warning Text 8 2" xfId="20655"/>
    <cellStyle name="Warning Text 9" xfId="20656"/>
    <cellStyle name="Warning Text 9 2" xfId="20657"/>
    <cellStyle name="White" xfId="20658"/>
    <cellStyle name="White 2" xfId="20659"/>
    <cellStyle name="White 3" xfId="21007"/>
    <cellStyle name="White 4" xfId="21008"/>
    <cellStyle name="White_1x1" xfId="21009"/>
  </cellStyles>
  <dxfs count="0"/>
  <tableStyles count="1" defaultTableStyle="TableStyleMedium9" defaultPivotStyle="PivotStyleLight16">
    <tableStyle name="PivotTable Style 1" table="0" count="0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G2A/OneDrive/Desktop/DAFTAR%20UPAH%202025/GAJI%20AJ%20JANUARI%20%20%202025-%20-/PERHITUNGAN%20PPH%2021%202025%20AIR%20JANGKA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RIF"/>
      <sheetName val="Des"/>
      <sheetName val="JANUARI'25"/>
      <sheetName val="Sheet1"/>
    </sheetNames>
    <sheetDataSet>
      <sheetData sheetId="0">
        <row r="3">
          <cell r="B3">
            <v>0</v>
          </cell>
          <cell r="C3" t="str">
            <v>s.d</v>
          </cell>
          <cell r="D3">
            <v>5400000</v>
          </cell>
          <cell r="E3">
            <v>0</v>
          </cell>
          <cell r="H3">
            <v>0</v>
          </cell>
          <cell r="I3" t="str">
            <v>s.d</v>
          </cell>
          <cell r="J3">
            <v>6200000</v>
          </cell>
          <cell r="K3">
            <v>0</v>
          </cell>
          <cell r="N3">
            <v>0</v>
          </cell>
          <cell r="O3" t="str">
            <v>s.d</v>
          </cell>
          <cell r="P3">
            <v>6600000</v>
          </cell>
          <cell r="Q3">
            <v>0</v>
          </cell>
        </row>
        <row r="4">
          <cell r="B4">
            <v>5400001</v>
          </cell>
          <cell r="C4" t="str">
            <v>s.d</v>
          </cell>
          <cell r="D4">
            <v>5650000</v>
          </cell>
          <cell r="E4">
            <v>2.5000000000000001E-3</v>
          </cell>
          <cell r="H4">
            <v>6200001</v>
          </cell>
          <cell r="I4" t="str">
            <v>s.d</v>
          </cell>
          <cell r="J4">
            <v>6500000</v>
          </cell>
          <cell r="K4">
            <v>2.5000000000000001E-3</v>
          </cell>
          <cell r="N4">
            <v>6600001</v>
          </cell>
          <cell r="O4" t="str">
            <v>s.d</v>
          </cell>
          <cell r="P4">
            <v>6950000</v>
          </cell>
          <cell r="Q4">
            <v>2.5000000000000001E-3</v>
          </cell>
        </row>
        <row r="5">
          <cell r="B5">
            <v>5650001</v>
          </cell>
          <cell r="C5" t="str">
            <v>s.d</v>
          </cell>
          <cell r="D5">
            <v>5950000</v>
          </cell>
          <cell r="E5">
            <v>5.0000000000000001E-3</v>
          </cell>
          <cell r="H5">
            <v>6500001</v>
          </cell>
          <cell r="I5" t="str">
            <v>s.d</v>
          </cell>
          <cell r="J5">
            <v>6850000</v>
          </cell>
          <cell r="K5">
            <v>5.0000000000000001E-3</v>
          </cell>
          <cell r="N5">
            <v>6950001</v>
          </cell>
          <cell r="O5" t="str">
            <v>s.d</v>
          </cell>
          <cell r="P5">
            <v>7350000</v>
          </cell>
          <cell r="Q5">
            <v>5.0000000000000001E-3</v>
          </cell>
        </row>
        <row r="6">
          <cell r="B6">
            <v>5950001</v>
          </cell>
          <cell r="C6" t="str">
            <v>s.d</v>
          </cell>
          <cell r="D6">
            <v>6300000</v>
          </cell>
          <cell r="E6">
            <v>7.4999999999999997E-3</v>
          </cell>
          <cell r="H6">
            <v>6850001</v>
          </cell>
          <cell r="I6" t="str">
            <v>s.d</v>
          </cell>
          <cell r="J6">
            <v>7300000</v>
          </cell>
          <cell r="K6">
            <v>7.4999999999999997E-3</v>
          </cell>
          <cell r="N6">
            <v>7350001</v>
          </cell>
          <cell r="O6" t="str">
            <v>s.d</v>
          </cell>
          <cell r="P6">
            <v>7800000</v>
          </cell>
          <cell r="Q6">
            <v>7.4999999999999997E-3</v>
          </cell>
        </row>
        <row r="7">
          <cell r="B7">
            <v>6300001</v>
          </cell>
          <cell r="C7" t="str">
            <v>s.d</v>
          </cell>
          <cell r="D7">
            <v>6750000</v>
          </cell>
          <cell r="E7">
            <v>0.01</v>
          </cell>
          <cell r="H7">
            <v>7300001</v>
          </cell>
          <cell r="I7" t="str">
            <v>s.d</v>
          </cell>
          <cell r="J7">
            <v>9200000</v>
          </cell>
          <cell r="K7">
            <v>0.01</v>
          </cell>
          <cell r="N7">
            <v>7800001</v>
          </cell>
          <cell r="O7" t="str">
            <v>s.d</v>
          </cell>
          <cell r="P7">
            <v>8850000</v>
          </cell>
          <cell r="Q7">
            <v>0.01</v>
          </cell>
        </row>
        <row r="8">
          <cell r="B8">
            <v>6750001</v>
          </cell>
          <cell r="C8" t="str">
            <v>s.d</v>
          </cell>
          <cell r="D8">
            <v>7500000</v>
          </cell>
          <cell r="E8">
            <v>1.2500000000000001E-2</v>
          </cell>
          <cell r="H8">
            <v>9200001</v>
          </cell>
          <cell r="I8" t="str">
            <v>s.d</v>
          </cell>
          <cell r="J8">
            <v>10750000</v>
          </cell>
          <cell r="K8">
            <v>1.4999999999999999E-2</v>
          </cell>
          <cell r="N8">
            <v>8850001</v>
          </cell>
          <cell r="O8" t="str">
            <v>s.d</v>
          </cell>
          <cell r="P8">
            <v>9800000</v>
          </cell>
          <cell r="Q8">
            <v>1.2500000000000001E-2</v>
          </cell>
        </row>
        <row r="9">
          <cell r="B9">
            <v>7500001</v>
          </cell>
          <cell r="C9" t="str">
            <v>s.d</v>
          </cell>
          <cell r="D9">
            <v>8550000</v>
          </cell>
          <cell r="E9">
            <v>1.5000000000000001E-2</v>
          </cell>
          <cell r="H9">
            <v>10750001</v>
          </cell>
          <cell r="I9" t="str">
            <v>s.d</v>
          </cell>
          <cell r="J9">
            <v>11250000</v>
          </cell>
          <cell r="K9">
            <v>0.02</v>
          </cell>
          <cell r="N9">
            <v>9800001</v>
          </cell>
          <cell r="O9" t="str">
            <v>s.d</v>
          </cell>
          <cell r="P9">
            <v>10950000</v>
          </cell>
          <cell r="Q9">
            <v>1.5000000000000001E-2</v>
          </cell>
        </row>
        <row r="10">
          <cell r="B10">
            <v>8550001</v>
          </cell>
          <cell r="C10" t="str">
            <v>s.d</v>
          </cell>
          <cell r="D10">
            <v>9650000</v>
          </cell>
          <cell r="E10">
            <v>1.7500000000000002E-2</v>
          </cell>
          <cell r="H10">
            <v>11250001</v>
          </cell>
          <cell r="I10" t="str">
            <v>s.d</v>
          </cell>
          <cell r="J10">
            <v>11600000</v>
          </cell>
          <cell r="K10">
            <v>2.5000000000000001E-2</v>
          </cell>
          <cell r="N10">
            <v>10950001</v>
          </cell>
          <cell r="O10" t="str">
            <v>s.d</v>
          </cell>
          <cell r="P10">
            <v>11200000</v>
          </cell>
          <cell r="Q10">
            <v>1.7500000000000002E-2</v>
          </cell>
        </row>
        <row r="11">
          <cell r="B11">
            <v>9650001</v>
          </cell>
          <cell r="C11" t="str">
            <v>s.d</v>
          </cell>
          <cell r="D11">
            <v>10050000</v>
          </cell>
          <cell r="E11">
            <v>0.02</v>
          </cell>
          <cell r="H11">
            <v>11600001</v>
          </cell>
          <cell r="I11" t="str">
            <v>s.d</v>
          </cell>
          <cell r="J11">
            <v>12600000</v>
          </cell>
          <cell r="K11">
            <v>3.0000000000000002E-2</v>
          </cell>
          <cell r="N11">
            <v>11200001</v>
          </cell>
          <cell r="O11" t="str">
            <v>s.d</v>
          </cell>
          <cell r="P11">
            <v>12050000</v>
          </cell>
          <cell r="Q11">
            <v>0.02</v>
          </cell>
        </row>
        <row r="12">
          <cell r="B12">
            <v>10050001</v>
          </cell>
          <cell r="C12" t="str">
            <v>s.d</v>
          </cell>
          <cell r="D12">
            <v>10350000</v>
          </cell>
          <cell r="E12">
            <v>2.2499999999999999E-2</v>
          </cell>
          <cell r="H12">
            <v>12600001</v>
          </cell>
          <cell r="I12" t="str">
            <v>s.d</v>
          </cell>
          <cell r="J12">
            <v>13600000</v>
          </cell>
          <cell r="K12">
            <v>0.04</v>
          </cell>
          <cell r="N12">
            <v>12050001</v>
          </cell>
          <cell r="O12" t="str">
            <v>s.d</v>
          </cell>
          <cell r="P12">
            <v>12950000</v>
          </cell>
          <cell r="Q12">
            <v>0.03</v>
          </cell>
        </row>
        <row r="13">
          <cell r="B13">
            <v>10350001</v>
          </cell>
          <cell r="C13" t="str">
            <v>s.d</v>
          </cell>
          <cell r="D13">
            <v>10700000</v>
          </cell>
          <cell r="E13">
            <v>2.4999999999999998E-2</v>
          </cell>
          <cell r="H13">
            <v>13600001</v>
          </cell>
          <cell r="I13" t="str">
            <v>s.d</v>
          </cell>
          <cell r="J13">
            <v>14950000</v>
          </cell>
          <cell r="K13">
            <v>0.05</v>
          </cell>
          <cell r="N13">
            <v>12950001</v>
          </cell>
          <cell r="O13" t="str">
            <v>s.d</v>
          </cell>
          <cell r="P13">
            <v>14150000</v>
          </cell>
          <cell r="Q13">
            <v>0.04</v>
          </cell>
        </row>
        <row r="14">
          <cell r="B14">
            <v>10700001</v>
          </cell>
          <cell r="C14" t="str">
            <v>s.d</v>
          </cell>
          <cell r="D14">
            <v>11050000</v>
          </cell>
          <cell r="E14">
            <v>0.03</v>
          </cell>
          <cell r="H14">
            <v>14950001</v>
          </cell>
          <cell r="I14" t="str">
            <v>s.d</v>
          </cell>
          <cell r="J14">
            <v>16400000</v>
          </cell>
          <cell r="K14">
            <v>6.0000000000000005E-2</v>
          </cell>
          <cell r="N14">
            <v>14150001</v>
          </cell>
          <cell r="O14" t="str">
            <v>s.d</v>
          </cell>
          <cell r="P14">
            <v>1550000</v>
          </cell>
          <cell r="Q14">
            <v>0.05</v>
          </cell>
        </row>
        <row r="15">
          <cell r="B15">
            <v>11050001</v>
          </cell>
          <cell r="C15" t="str">
            <v>s.d</v>
          </cell>
          <cell r="D15">
            <v>11600000</v>
          </cell>
          <cell r="E15">
            <v>3.5000000000000003E-2</v>
          </cell>
          <cell r="H15">
            <v>16400001</v>
          </cell>
          <cell r="I15" t="str">
            <v>s.d</v>
          </cell>
          <cell r="J15">
            <v>18450000</v>
          </cell>
          <cell r="K15">
            <v>7.0000000000000007E-2</v>
          </cell>
          <cell r="N15">
            <v>1550001</v>
          </cell>
          <cell r="O15" t="str">
            <v>s.d</v>
          </cell>
          <cell r="P15">
            <v>17050000</v>
          </cell>
          <cell r="Q15">
            <v>6.0000000000000005E-2</v>
          </cell>
        </row>
        <row r="16">
          <cell r="B16">
            <v>11600001</v>
          </cell>
          <cell r="C16" t="str">
            <v>s.d</v>
          </cell>
          <cell r="D16">
            <v>12500000</v>
          </cell>
          <cell r="E16">
            <v>0.04</v>
          </cell>
          <cell r="H16">
            <v>18450001</v>
          </cell>
          <cell r="I16" t="str">
            <v>s.d</v>
          </cell>
          <cell r="J16">
            <v>21850000</v>
          </cell>
          <cell r="K16">
            <v>0.08</v>
          </cell>
          <cell r="N16">
            <v>17050001</v>
          </cell>
          <cell r="O16" t="str">
            <v>s.d</v>
          </cell>
          <cell r="P16">
            <v>19500000</v>
          </cell>
          <cell r="Q16">
            <v>7.0000000000000007E-2</v>
          </cell>
        </row>
        <row r="17">
          <cell r="B17">
            <v>12500001</v>
          </cell>
          <cell r="C17" t="str">
            <v>s.d</v>
          </cell>
          <cell r="D17">
            <v>13750000</v>
          </cell>
          <cell r="E17">
            <v>0.05</v>
          </cell>
          <cell r="H17">
            <v>21850001</v>
          </cell>
          <cell r="I17" t="str">
            <v>s.d</v>
          </cell>
          <cell r="J17">
            <v>26000000</v>
          </cell>
          <cell r="K17">
            <v>0.09</v>
          </cell>
          <cell r="N17">
            <v>19500001</v>
          </cell>
          <cell r="O17" t="str">
            <v>s.d</v>
          </cell>
          <cell r="P17">
            <v>22700000</v>
          </cell>
          <cell r="Q17">
            <v>0.08</v>
          </cell>
        </row>
        <row r="18">
          <cell r="B18">
            <v>13750001</v>
          </cell>
          <cell r="C18" t="str">
            <v>s.d</v>
          </cell>
          <cell r="D18">
            <v>15100000</v>
          </cell>
          <cell r="E18">
            <v>6.0000000000000005E-2</v>
          </cell>
          <cell r="H18">
            <v>26000001</v>
          </cell>
          <cell r="I18" t="str">
            <v>s.d</v>
          </cell>
          <cell r="J18">
            <v>27700000</v>
          </cell>
          <cell r="K18">
            <v>9.9999999999999992E-2</v>
          </cell>
          <cell r="N18">
            <v>22700001</v>
          </cell>
          <cell r="O18" t="str">
            <v>s.d</v>
          </cell>
          <cell r="P18">
            <v>26600000</v>
          </cell>
          <cell r="Q18">
            <v>0.09</v>
          </cell>
        </row>
        <row r="19">
          <cell r="B19">
            <v>15100001</v>
          </cell>
          <cell r="C19" t="str">
            <v>s.d</v>
          </cell>
          <cell r="D19">
            <v>16950000</v>
          </cell>
          <cell r="E19">
            <v>7.0000000000000007E-2</v>
          </cell>
          <cell r="H19">
            <v>27700001</v>
          </cell>
          <cell r="I19" t="str">
            <v>s.d</v>
          </cell>
          <cell r="J19">
            <v>29350000</v>
          </cell>
          <cell r="K19">
            <v>0.10999999999999999</v>
          </cell>
          <cell r="N19">
            <v>26600001</v>
          </cell>
          <cell r="O19" t="str">
            <v>s.d</v>
          </cell>
          <cell r="P19">
            <v>28100000</v>
          </cell>
          <cell r="Q19">
            <v>9.9999999999999992E-2</v>
          </cell>
        </row>
        <row r="20">
          <cell r="B20">
            <v>16950001</v>
          </cell>
          <cell r="C20" t="str">
            <v>s.d</v>
          </cell>
          <cell r="D20">
            <v>19750000</v>
          </cell>
          <cell r="E20">
            <v>0.08</v>
          </cell>
          <cell r="H20">
            <v>29350001</v>
          </cell>
          <cell r="I20" t="str">
            <v>s.d</v>
          </cell>
          <cell r="J20">
            <v>31450000</v>
          </cell>
          <cell r="K20">
            <v>0.11999999999999998</v>
          </cell>
          <cell r="N20">
            <v>28100001</v>
          </cell>
          <cell r="O20" t="str">
            <v>s.d</v>
          </cell>
          <cell r="P20">
            <v>30100000</v>
          </cell>
          <cell r="Q20">
            <v>0.10999999999999999</v>
          </cell>
        </row>
        <row r="21">
          <cell r="B21">
            <v>19750001</v>
          </cell>
          <cell r="C21" t="str">
            <v>s.d</v>
          </cell>
          <cell r="D21">
            <v>24150000</v>
          </cell>
          <cell r="E21">
            <v>0.09</v>
          </cell>
          <cell r="H21">
            <v>31450001</v>
          </cell>
          <cell r="I21" t="str">
            <v>s.d</v>
          </cell>
          <cell r="J21">
            <v>33950000</v>
          </cell>
          <cell r="K21">
            <v>0.12999999999999998</v>
          </cell>
          <cell r="N21">
            <v>30100001</v>
          </cell>
          <cell r="O21" t="str">
            <v>s.d</v>
          </cell>
          <cell r="P21">
            <v>32600000</v>
          </cell>
          <cell r="Q21">
            <v>0.11999999999999998</v>
          </cell>
        </row>
        <row r="22">
          <cell r="B22">
            <v>24150001</v>
          </cell>
          <cell r="C22" t="str">
            <v>s.d</v>
          </cell>
          <cell r="D22">
            <v>26450000</v>
          </cell>
          <cell r="E22">
            <v>9.9999999999999992E-2</v>
          </cell>
          <cell r="H22">
            <v>33950001</v>
          </cell>
          <cell r="I22" t="str">
            <v>s.d</v>
          </cell>
          <cell r="J22">
            <v>37100000</v>
          </cell>
          <cell r="K22">
            <v>0.13999999999999999</v>
          </cell>
          <cell r="N22">
            <v>32600001</v>
          </cell>
          <cell r="O22" t="str">
            <v>s.d</v>
          </cell>
          <cell r="P22">
            <v>35400000</v>
          </cell>
          <cell r="Q22">
            <v>0.12999999999999998</v>
          </cell>
        </row>
        <row r="23">
          <cell r="B23">
            <v>26450001</v>
          </cell>
          <cell r="C23" t="str">
            <v>s.d</v>
          </cell>
          <cell r="D23">
            <v>28000000</v>
          </cell>
          <cell r="E23">
            <v>0.10999999999999999</v>
          </cell>
          <cell r="H23">
            <v>37100001</v>
          </cell>
          <cell r="I23" t="str">
            <v>s.d</v>
          </cell>
          <cell r="J23">
            <v>41100000</v>
          </cell>
          <cell r="K23">
            <v>0.15</v>
          </cell>
          <cell r="N23">
            <v>35400001</v>
          </cell>
          <cell r="O23" t="str">
            <v>s.d</v>
          </cell>
          <cell r="P23">
            <v>38900000</v>
          </cell>
          <cell r="Q23">
            <v>0.13999999999999999</v>
          </cell>
        </row>
        <row r="24">
          <cell r="B24">
            <v>28000001</v>
          </cell>
          <cell r="C24" t="str">
            <v>s.d</v>
          </cell>
          <cell r="D24">
            <v>30050000</v>
          </cell>
          <cell r="E24">
            <v>0.11999999999999998</v>
          </cell>
          <cell r="H24">
            <v>41100001</v>
          </cell>
          <cell r="I24" t="str">
            <v>s.d</v>
          </cell>
          <cell r="J24">
            <v>45800000</v>
          </cell>
          <cell r="K24">
            <v>0.16</v>
          </cell>
          <cell r="N24">
            <v>38900001</v>
          </cell>
          <cell r="O24" t="str">
            <v>s.d</v>
          </cell>
          <cell r="P24">
            <v>43000000</v>
          </cell>
          <cell r="Q24">
            <v>0.15</v>
          </cell>
        </row>
        <row r="25">
          <cell r="B25">
            <v>30050001</v>
          </cell>
          <cell r="C25" t="str">
            <v>s.d</v>
          </cell>
          <cell r="D25">
            <v>32400000</v>
          </cell>
          <cell r="E25">
            <v>0.12999999999999998</v>
          </cell>
          <cell r="H25">
            <v>45800001</v>
          </cell>
          <cell r="I25" t="str">
            <v>s.d</v>
          </cell>
          <cell r="J25">
            <v>49500000</v>
          </cell>
          <cell r="K25">
            <v>0.17</v>
          </cell>
          <cell r="N25">
            <v>43000001</v>
          </cell>
          <cell r="O25" t="str">
            <v>s.d</v>
          </cell>
          <cell r="P25">
            <v>47400000</v>
          </cell>
          <cell r="Q25">
            <v>0.16</v>
          </cell>
        </row>
        <row r="26">
          <cell r="B26">
            <v>32400001</v>
          </cell>
          <cell r="C26" t="str">
            <v>s.d</v>
          </cell>
          <cell r="D26">
            <v>35400000</v>
          </cell>
          <cell r="E26">
            <v>0.13999999999999999</v>
          </cell>
          <cell r="H26">
            <v>49500001</v>
          </cell>
          <cell r="I26" t="str">
            <v>s.d</v>
          </cell>
          <cell r="J26">
            <v>53800000</v>
          </cell>
          <cell r="K26">
            <v>0.18000000000000002</v>
          </cell>
          <cell r="N26">
            <v>47400001</v>
          </cell>
          <cell r="O26" t="str">
            <v>s.d</v>
          </cell>
          <cell r="P26">
            <v>51200000</v>
          </cell>
          <cell r="Q26">
            <v>0.17</v>
          </cell>
        </row>
        <row r="27">
          <cell r="B27">
            <v>35400001</v>
          </cell>
          <cell r="C27" t="str">
            <v>s.d</v>
          </cell>
          <cell r="D27">
            <v>39100000</v>
          </cell>
          <cell r="E27">
            <v>0.15</v>
          </cell>
          <cell r="H27">
            <v>53800001</v>
          </cell>
          <cell r="I27" t="str">
            <v>s.d</v>
          </cell>
          <cell r="J27">
            <v>58500000</v>
          </cell>
          <cell r="K27">
            <v>0.19000000000000003</v>
          </cell>
          <cell r="N27">
            <v>51200001</v>
          </cell>
          <cell r="O27" t="str">
            <v>s.d</v>
          </cell>
          <cell r="P27">
            <v>55800000</v>
          </cell>
          <cell r="Q27">
            <v>0.18000000000000002</v>
          </cell>
        </row>
        <row r="28">
          <cell r="B28">
            <v>39100001</v>
          </cell>
          <cell r="C28" t="str">
            <v>s.d</v>
          </cell>
          <cell r="D28">
            <v>43850000</v>
          </cell>
          <cell r="E28">
            <v>0.16</v>
          </cell>
          <cell r="H28">
            <v>58500001</v>
          </cell>
          <cell r="I28" t="str">
            <v>s.d</v>
          </cell>
          <cell r="J28">
            <v>64000000</v>
          </cell>
          <cell r="K28">
            <v>0.20000000000000004</v>
          </cell>
          <cell r="N28">
            <v>55800001</v>
          </cell>
          <cell r="O28" t="str">
            <v>s.d</v>
          </cell>
          <cell r="P28">
            <v>60400000</v>
          </cell>
          <cell r="Q28">
            <v>0.19000000000000003</v>
          </cell>
        </row>
        <row r="29">
          <cell r="B29">
            <v>43850001</v>
          </cell>
          <cell r="C29" t="str">
            <v>s.d</v>
          </cell>
          <cell r="D29">
            <v>47800000</v>
          </cell>
          <cell r="E29">
            <v>0.17</v>
          </cell>
          <cell r="H29">
            <v>64000001</v>
          </cell>
          <cell r="I29" t="str">
            <v>s.d</v>
          </cell>
          <cell r="J29">
            <v>71000000</v>
          </cell>
          <cell r="K29">
            <v>0.21000000000000005</v>
          </cell>
          <cell r="N29">
            <v>60400001</v>
          </cell>
          <cell r="O29" t="str">
            <v>s.d</v>
          </cell>
          <cell r="P29">
            <v>66700000</v>
          </cell>
          <cell r="Q29">
            <v>0.20000000000000004</v>
          </cell>
        </row>
        <row r="30">
          <cell r="B30">
            <v>47800001</v>
          </cell>
          <cell r="C30" t="str">
            <v>s.d</v>
          </cell>
          <cell r="D30">
            <v>51400000</v>
          </cell>
          <cell r="E30">
            <v>0.18000000000000002</v>
          </cell>
          <cell r="H30">
            <v>71000001</v>
          </cell>
          <cell r="I30" t="str">
            <v>s.d</v>
          </cell>
          <cell r="J30">
            <v>80000000</v>
          </cell>
          <cell r="K30">
            <v>0.22000000000000006</v>
          </cell>
          <cell r="N30">
            <v>66700001</v>
          </cell>
          <cell r="O30" t="str">
            <v>s.d</v>
          </cell>
          <cell r="P30">
            <v>74500000</v>
          </cell>
          <cell r="Q30">
            <v>0.21000000000000005</v>
          </cell>
        </row>
        <row r="31">
          <cell r="B31">
            <v>51400001</v>
          </cell>
          <cell r="C31" t="str">
            <v>s.d</v>
          </cell>
          <cell r="D31">
            <v>56300000</v>
          </cell>
          <cell r="E31">
            <v>0.19000000000000003</v>
          </cell>
          <cell r="H31">
            <v>80000001</v>
          </cell>
          <cell r="I31" t="str">
            <v>s.d</v>
          </cell>
          <cell r="J31">
            <v>93000000</v>
          </cell>
          <cell r="K31">
            <v>0.23000000000000007</v>
          </cell>
          <cell r="N31">
            <v>74500001</v>
          </cell>
          <cell r="O31" t="str">
            <v>s.d</v>
          </cell>
          <cell r="P31">
            <v>83200000</v>
          </cell>
          <cell r="Q31">
            <v>0.22000000000000006</v>
          </cell>
        </row>
        <row r="32">
          <cell r="B32">
            <v>56300001</v>
          </cell>
          <cell r="C32" t="str">
            <v>s.d</v>
          </cell>
          <cell r="D32">
            <v>62200000</v>
          </cell>
          <cell r="E32">
            <v>0.20000000000000004</v>
          </cell>
          <cell r="H32">
            <v>93000001</v>
          </cell>
          <cell r="I32" t="str">
            <v>s.d</v>
          </cell>
          <cell r="J32">
            <v>109000000</v>
          </cell>
          <cell r="K32">
            <v>0.24000000000000007</v>
          </cell>
          <cell r="N32">
            <v>83200001</v>
          </cell>
          <cell r="O32" t="str">
            <v>s.d</v>
          </cell>
          <cell r="P32">
            <v>95600000</v>
          </cell>
          <cell r="Q32">
            <v>0.23000000000000007</v>
          </cell>
        </row>
        <row r="33">
          <cell r="B33">
            <v>62200001</v>
          </cell>
          <cell r="C33" t="str">
            <v>s.d</v>
          </cell>
          <cell r="D33">
            <v>68600000</v>
          </cell>
          <cell r="E33">
            <v>0.21000000000000005</v>
          </cell>
          <cell r="H33">
            <v>109000001</v>
          </cell>
          <cell r="I33" t="str">
            <v>s.d</v>
          </cell>
          <cell r="J33">
            <v>129000000</v>
          </cell>
          <cell r="K33">
            <v>0.25000000000000006</v>
          </cell>
          <cell r="N33">
            <v>95600001</v>
          </cell>
          <cell r="O33" t="str">
            <v>s.d</v>
          </cell>
          <cell r="P33">
            <v>110000000</v>
          </cell>
          <cell r="Q33">
            <v>0.24000000000000007</v>
          </cell>
        </row>
        <row r="34">
          <cell r="B34">
            <v>68600001</v>
          </cell>
          <cell r="C34" t="str">
            <v>s.d</v>
          </cell>
          <cell r="D34">
            <v>77500000</v>
          </cell>
          <cell r="E34">
            <v>0.22000000000000006</v>
          </cell>
          <cell r="H34">
            <v>129000001</v>
          </cell>
          <cell r="I34" t="str">
            <v>s.d</v>
          </cell>
          <cell r="J34">
            <v>163000000</v>
          </cell>
          <cell r="K34">
            <v>0.26000000000000006</v>
          </cell>
          <cell r="N34">
            <v>110000001</v>
          </cell>
          <cell r="O34" t="str">
            <v>s.d</v>
          </cell>
          <cell r="P34">
            <v>134000000</v>
          </cell>
          <cell r="Q34">
            <v>0.25000000000000006</v>
          </cell>
        </row>
        <row r="35">
          <cell r="B35">
            <v>77500001</v>
          </cell>
          <cell r="C35" t="str">
            <v>s.d</v>
          </cell>
          <cell r="D35">
            <v>89000000</v>
          </cell>
          <cell r="E35">
            <v>0.23000000000000007</v>
          </cell>
          <cell r="H35">
            <v>163000001</v>
          </cell>
          <cell r="I35" t="str">
            <v>s.d</v>
          </cell>
          <cell r="J35">
            <v>211000000</v>
          </cell>
          <cell r="K35">
            <v>0.27000000000000007</v>
          </cell>
          <cell r="N35">
            <v>134000001</v>
          </cell>
          <cell r="O35" t="str">
            <v>s.d</v>
          </cell>
          <cell r="P35">
            <v>169000000</v>
          </cell>
          <cell r="Q35">
            <v>0.26000000000000006</v>
          </cell>
        </row>
        <row r="36">
          <cell r="B36">
            <v>89000001</v>
          </cell>
          <cell r="C36" t="str">
            <v>s.d</v>
          </cell>
          <cell r="D36">
            <v>103000000</v>
          </cell>
          <cell r="E36">
            <v>0.24000000000000007</v>
          </cell>
          <cell r="H36">
            <v>211000001</v>
          </cell>
          <cell r="I36" t="str">
            <v>s.d</v>
          </cell>
          <cell r="J36">
            <v>374000000</v>
          </cell>
          <cell r="K36">
            <v>0.28000000000000008</v>
          </cell>
          <cell r="N36">
            <v>169000001</v>
          </cell>
          <cell r="O36" t="str">
            <v>s.d</v>
          </cell>
          <cell r="P36">
            <v>221000000</v>
          </cell>
          <cell r="Q36">
            <v>0.27000000000000007</v>
          </cell>
        </row>
        <row r="37">
          <cell r="B37">
            <v>103000001</v>
          </cell>
          <cell r="C37" t="str">
            <v>s.d</v>
          </cell>
          <cell r="D37">
            <v>125000000</v>
          </cell>
          <cell r="E37">
            <v>0.25000000000000006</v>
          </cell>
          <cell r="H37">
            <v>374000001</v>
          </cell>
          <cell r="I37" t="str">
            <v>s.d</v>
          </cell>
          <cell r="J37">
            <v>459000000</v>
          </cell>
          <cell r="K37">
            <v>0.29000000000000009</v>
          </cell>
          <cell r="N37">
            <v>221000001</v>
          </cell>
          <cell r="O37" t="str">
            <v>s.d</v>
          </cell>
          <cell r="P37">
            <v>390000000</v>
          </cell>
          <cell r="Q37">
            <v>0.28000000000000008</v>
          </cell>
        </row>
        <row r="38">
          <cell r="B38">
            <v>125000001</v>
          </cell>
          <cell r="C38" t="str">
            <v>s.d</v>
          </cell>
          <cell r="D38">
            <v>157000000</v>
          </cell>
          <cell r="E38">
            <v>0.26000000000000006</v>
          </cell>
          <cell r="H38">
            <v>459000001</v>
          </cell>
          <cell r="I38" t="str">
            <v>s.d</v>
          </cell>
          <cell r="J38">
            <v>555000000</v>
          </cell>
          <cell r="K38">
            <v>0.3000000000000001</v>
          </cell>
          <cell r="N38">
            <v>390000001</v>
          </cell>
          <cell r="O38" t="str">
            <v>s.d</v>
          </cell>
          <cell r="P38">
            <v>463000000</v>
          </cell>
          <cell r="Q38">
            <v>0.29000000000000009</v>
          </cell>
        </row>
        <row r="39">
          <cell r="B39">
            <v>157000001</v>
          </cell>
          <cell r="C39" t="str">
            <v>s.d</v>
          </cell>
          <cell r="D39">
            <v>206000000</v>
          </cell>
          <cell r="E39">
            <v>0.27000000000000007</v>
          </cell>
          <cell r="H39">
            <v>555000001</v>
          </cell>
          <cell r="I39" t="str">
            <v>s.d</v>
          </cell>
          <cell r="J39">
            <v>704000000</v>
          </cell>
          <cell r="K39">
            <v>0.31000000000000011</v>
          </cell>
          <cell r="N39">
            <v>463000001</v>
          </cell>
          <cell r="O39" t="str">
            <v>s.d</v>
          </cell>
          <cell r="P39">
            <v>561000000</v>
          </cell>
          <cell r="Q39">
            <v>0.3000000000000001</v>
          </cell>
        </row>
        <row r="40">
          <cell r="B40">
            <v>206000001</v>
          </cell>
          <cell r="C40" t="str">
            <v>s.d</v>
          </cell>
          <cell r="D40">
            <v>337000000</v>
          </cell>
          <cell r="E40">
            <v>0.28000000000000008</v>
          </cell>
          <cell r="H40">
            <v>704000001</v>
          </cell>
          <cell r="I40" t="str">
            <v>s.d</v>
          </cell>
          <cell r="J40">
            <v>957000000</v>
          </cell>
          <cell r="K40">
            <v>0.32000000000000012</v>
          </cell>
          <cell r="N40">
            <v>561000001</v>
          </cell>
          <cell r="O40" t="str">
            <v>s.d</v>
          </cell>
          <cell r="P40">
            <v>709000000</v>
          </cell>
          <cell r="Q40">
            <v>0.31000000000000011</v>
          </cell>
        </row>
        <row r="41">
          <cell r="B41">
            <v>337000001</v>
          </cell>
          <cell r="C41" t="str">
            <v>s.d</v>
          </cell>
          <cell r="D41">
            <v>454000000</v>
          </cell>
          <cell r="E41">
            <v>0.29000000000000009</v>
          </cell>
          <cell r="H41">
            <v>957000001</v>
          </cell>
          <cell r="I41" t="str">
            <v>s.d</v>
          </cell>
          <cell r="J41">
            <v>1405000000</v>
          </cell>
          <cell r="K41">
            <v>0.33000000000000013</v>
          </cell>
          <cell r="N41">
            <v>709000001</v>
          </cell>
          <cell r="O41" t="str">
            <v>s.d</v>
          </cell>
          <cell r="P41">
            <v>965000000</v>
          </cell>
          <cell r="Q41">
            <v>0.32000000000000012</v>
          </cell>
        </row>
        <row r="42">
          <cell r="B42">
            <v>454000001</v>
          </cell>
          <cell r="C42" t="str">
            <v>s.d</v>
          </cell>
          <cell r="D42">
            <v>550000000</v>
          </cell>
          <cell r="E42">
            <v>0.3000000000000001</v>
          </cell>
          <cell r="H42">
            <v>1405000001</v>
          </cell>
          <cell r="I42" t="str">
            <v>s.d</v>
          </cell>
          <cell r="J42" t="str">
            <v>~~</v>
          </cell>
          <cell r="K42">
            <v>0.34000000000000014</v>
          </cell>
          <cell r="N42">
            <v>965000001</v>
          </cell>
          <cell r="O42" t="str">
            <v>s.d</v>
          </cell>
          <cell r="P42">
            <v>1419000000</v>
          </cell>
          <cell r="Q42">
            <v>0.33000000000000013</v>
          </cell>
        </row>
        <row r="43">
          <cell r="B43">
            <v>550000001</v>
          </cell>
          <cell r="C43" t="str">
            <v>s.d</v>
          </cell>
          <cell r="D43">
            <v>695000000</v>
          </cell>
          <cell r="E43">
            <v>0.31000000000000011</v>
          </cell>
          <cell r="N43">
            <v>1419000001</v>
          </cell>
          <cell r="O43" t="str">
            <v>s.d</v>
          </cell>
          <cell r="P43" t="str">
            <v>~~</v>
          </cell>
          <cell r="Q43">
            <v>0.34000000000000014</v>
          </cell>
        </row>
        <row r="44">
          <cell r="B44">
            <v>695000001</v>
          </cell>
          <cell r="C44" t="str">
            <v>s.d</v>
          </cell>
          <cell r="D44">
            <v>910000000</v>
          </cell>
          <cell r="E44">
            <v>0.32000000000000012</v>
          </cell>
        </row>
        <row r="45">
          <cell r="B45">
            <v>910000001</v>
          </cell>
          <cell r="C45" t="str">
            <v>s.d</v>
          </cell>
          <cell r="D45">
            <v>1400000000</v>
          </cell>
          <cell r="E45">
            <v>0.33000000000000013</v>
          </cell>
        </row>
        <row r="46">
          <cell r="B46">
            <v>1400000001</v>
          </cell>
          <cell r="C46" t="str">
            <v>s.d</v>
          </cell>
          <cell r="D46" t="str">
            <v>~~</v>
          </cell>
          <cell r="E46">
            <v>0.34000000000000014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780"/>
  <sheetViews>
    <sheetView zoomScaleNormal="100" workbookViewId="0">
      <pane xSplit="2" ySplit="4" topLeftCell="K128" activePane="bottomRight" state="frozen"/>
      <selection pane="topRight" activeCell="C1" sqref="C1"/>
      <selection pane="bottomLeft" activeCell="A5" sqref="A5"/>
      <selection pane="bottomRight" activeCell="O246" sqref="O246:AD248"/>
    </sheetView>
  </sheetViews>
  <sheetFormatPr defaultRowHeight="15"/>
  <cols>
    <col min="1" max="1" width="3.42578125" customWidth="1"/>
    <col min="2" max="2" width="18.42578125" customWidth="1"/>
    <col min="3" max="3" width="6.28515625" style="911" customWidth="1"/>
    <col min="4" max="4" width="6.28515625" style="29" customWidth="1"/>
    <col min="5" max="5" width="6.28515625" style="1249" customWidth="1"/>
    <col min="6" max="6" width="7.42578125" style="911" customWidth="1"/>
    <col min="7" max="7" width="6.28515625" style="1011" customWidth="1"/>
    <col min="8" max="8" width="6.28515625" style="1012" customWidth="1"/>
    <col min="9" max="9" width="6.28515625" style="34" customWidth="1"/>
    <col min="10" max="10" width="6.28515625" style="1271" customWidth="1"/>
    <col min="11" max="11" width="6.28515625" style="29" customWidth="1"/>
    <col min="12" max="12" width="7.7109375" style="1011" customWidth="1"/>
    <col min="13" max="13" width="6.28515625" style="911" customWidth="1"/>
    <col min="14" max="14" width="7" style="1011" customWidth="1"/>
    <col min="15" max="15" width="6.28515625" style="1011" customWidth="1"/>
    <col min="16" max="16" width="6.28515625" style="1012" customWidth="1"/>
    <col min="17" max="17" width="6.7109375" style="1012" customWidth="1"/>
    <col min="18" max="18" width="6.28515625" style="38" customWidth="1"/>
    <col min="19" max="19" width="6.85546875" style="1011" customWidth="1"/>
    <col min="20" max="20" width="8" style="38" customWidth="1"/>
    <col min="21" max="21" width="6.85546875" style="1012" customWidth="1"/>
    <col min="22" max="22" width="6.28515625" style="1012" customWidth="1"/>
    <col min="23" max="23" width="8.5703125" style="1011" customWidth="1"/>
    <col min="24" max="24" width="6.7109375" style="1011" customWidth="1"/>
    <col min="25" max="25" width="6.28515625" style="1011" customWidth="1"/>
    <col min="26" max="26" width="6.7109375" style="1011" customWidth="1"/>
    <col min="27" max="27" width="6.28515625" style="38" customWidth="1"/>
    <col min="28" max="28" width="8.42578125" style="1011" customWidth="1"/>
    <col min="29" max="29" width="7.42578125" style="1012" customWidth="1"/>
    <col min="30" max="30" width="6.28515625" style="1012" customWidth="1"/>
    <col min="31" max="31" width="6.85546875" style="1011" customWidth="1"/>
    <col min="32" max="33" width="6.28515625" style="1011" customWidth="1"/>
    <col min="34" max="34" width="10.85546875" style="43" customWidth="1"/>
    <col min="35" max="35" width="9" customWidth="1"/>
    <col min="36" max="36" width="16" style="55" customWidth="1"/>
    <col min="37" max="37" width="6.28515625" style="82" customWidth="1"/>
    <col min="38" max="38" width="10.5703125" style="82" customWidth="1"/>
    <col min="39" max="39" width="6.85546875" style="82" customWidth="1"/>
    <col min="40" max="40" width="7.140625" style="82" customWidth="1"/>
    <col min="41" max="41" width="4.140625" style="82" customWidth="1"/>
    <col min="42" max="42" width="7.85546875" style="82" customWidth="1"/>
    <col min="43" max="44" width="4.7109375" style="82" customWidth="1"/>
    <col min="45" max="45" width="15.28515625" bestFit="1" customWidth="1"/>
  </cols>
  <sheetData>
    <row r="1" spans="1:44" ht="4.5" customHeight="1">
      <c r="A1" s="1298" t="s">
        <v>0</v>
      </c>
      <c r="B1" s="1298"/>
      <c r="C1" s="1298"/>
      <c r="D1" s="1298"/>
      <c r="E1" s="1298"/>
      <c r="F1" s="1298"/>
      <c r="G1" s="1298"/>
      <c r="H1" s="1298"/>
      <c r="I1" s="1298"/>
      <c r="J1" s="1298"/>
      <c r="K1" s="1298"/>
      <c r="L1" s="1298"/>
      <c r="M1" s="1298"/>
      <c r="N1" s="1298"/>
      <c r="O1" s="1298"/>
      <c r="P1" s="1298"/>
      <c r="Q1" s="1298"/>
      <c r="R1" s="1298"/>
      <c r="S1" s="1298"/>
      <c r="T1" s="1298"/>
      <c r="U1" s="1298"/>
      <c r="V1" s="1298"/>
      <c r="W1" s="1298"/>
      <c r="X1" s="1299"/>
      <c r="Y1" s="1298"/>
      <c r="Z1" s="1298"/>
      <c r="AA1" s="1298"/>
      <c r="AB1" s="1298"/>
      <c r="AC1" s="1298"/>
      <c r="AD1" s="1298"/>
      <c r="AE1" s="1298"/>
      <c r="AF1" s="1298"/>
      <c r="AG1" s="1298"/>
      <c r="AH1" s="1298"/>
    </row>
    <row r="2" spans="1:44">
      <c r="A2" s="1300" t="s">
        <v>1</v>
      </c>
      <c r="B2" s="1300"/>
      <c r="C2" s="1300"/>
      <c r="D2" s="1301"/>
      <c r="E2" s="1300"/>
      <c r="F2" s="1302"/>
      <c r="G2" s="1300"/>
      <c r="H2" s="1300"/>
      <c r="I2" s="1300"/>
      <c r="J2" s="1300"/>
      <c r="K2" s="1301"/>
      <c r="L2" s="1300"/>
      <c r="M2" s="1302"/>
      <c r="N2" s="1300"/>
      <c r="O2" s="1300"/>
      <c r="P2" s="1300"/>
      <c r="Q2" s="1300"/>
      <c r="R2" s="1301"/>
      <c r="S2" s="1302"/>
      <c r="T2" s="1302"/>
      <c r="U2" s="1300"/>
      <c r="V2" s="1300"/>
      <c r="W2" s="1300"/>
      <c r="X2" s="1303"/>
      <c r="Y2" s="1301"/>
      <c r="Z2" s="1300"/>
      <c r="AA2" s="1301"/>
      <c r="AB2" s="1300"/>
      <c r="AC2" s="1300"/>
      <c r="AD2" s="1300"/>
      <c r="AE2" s="1300"/>
      <c r="AF2" s="1304"/>
      <c r="AG2" s="1304"/>
      <c r="AH2" s="1300"/>
    </row>
    <row r="3" spans="1:44" s="53" customFormat="1">
      <c r="A3" s="100" t="s">
        <v>2</v>
      </c>
      <c r="B3" s="100" t="s">
        <v>3</v>
      </c>
      <c r="C3" s="1305" t="s">
        <v>4</v>
      </c>
      <c r="D3" s="1306"/>
      <c r="E3" s="1306"/>
      <c r="F3" s="1306"/>
      <c r="G3" s="1306"/>
      <c r="H3" s="1306"/>
      <c r="I3" s="1306"/>
      <c r="J3" s="1306"/>
      <c r="K3" s="1306"/>
      <c r="L3" s="1306"/>
      <c r="M3" s="1306"/>
      <c r="N3" s="1306"/>
      <c r="O3" s="1306"/>
      <c r="P3" s="1306"/>
      <c r="Q3" s="1306"/>
      <c r="R3" s="1306"/>
      <c r="S3" s="1306"/>
      <c r="T3" s="1306"/>
      <c r="U3" s="1306"/>
      <c r="V3" s="1306"/>
      <c r="W3" s="1306"/>
      <c r="X3" s="1306"/>
      <c r="Y3" s="1306"/>
      <c r="Z3" s="1306"/>
      <c r="AA3" s="1306"/>
      <c r="AB3" s="1306"/>
      <c r="AC3" s="1306"/>
      <c r="AD3" s="1306"/>
      <c r="AE3" s="1306"/>
      <c r="AF3" s="1306"/>
      <c r="AG3" s="1307"/>
      <c r="AH3" s="100" t="s">
        <v>5</v>
      </c>
      <c r="AI3" s="209" t="s">
        <v>22</v>
      </c>
      <c r="AJ3" s="1296" t="s">
        <v>23</v>
      </c>
      <c r="AK3" s="1294" t="s">
        <v>18</v>
      </c>
      <c r="AL3" s="1294" t="s">
        <v>17</v>
      </c>
      <c r="AM3" s="1294" t="s">
        <v>24</v>
      </c>
      <c r="AN3" s="1294" t="s">
        <v>25</v>
      </c>
      <c r="AO3" s="1294" t="s">
        <v>20</v>
      </c>
      <c r="AP3" s="200" t="s">
        <v>11</v>
      </c>
      <c r="AQ3" s="1294" t="s">
        <v>19</v>
      </c>
      <c r="AR3" s="1294" t="s">
        <v>15</v>
      </c>
    </row>
    <row r="4" spans="1:44" s="1" customFormat="1" ht="15.75" thickBot="1">
      <c r="A4" s="138"/>
      <c r="B4" s="138"/>
      <c r="C4" s="1031">
        <v>1</v>
      </c>
      <c r="D4" s="59">
        <v>2</v>
      </c>
      <c r="E4" s="1219">
        <v>3</v>
      </c>
      <c r="F4" s="60">
        <v>4</v>
      </c>
      <c r="G4" s="932">
        <v>5</v>
      </c>
      <c r="H4" s="932">
        <v>6</v>
      </c>
      <c r="I4" s="59">
        <v>7</v>
      </c>
      <c r="J4" s="1219">
        <v>8</v>
      </c>
      <c r="K4" s="59">
        <v>9</v>
      </c>
      <c r="L4" s="932">
        <v>10</v>
      </c>
      <c r="M4" s="60">
        <v>11</v>
      </c>
      <c r="N4" s="932">
        <v>12</v>
      </c>
      <c r="O4" s="932">
        <v>13</v>
      </c>
      <c r="P4" s="932">
        <v>14</v>
      </c>
      <c r="Q4" s="932">
        <v>15</v>
      </c>
      <c r="R4" s="60">
        <v>16</v>
      </c>
      <c r="S4" s="932">
        <v>17</v>
      </c>
      <c r="T4" s="60">
        <v>18</v>
      </c>
      <c r="U4" s="932">
        <v>19</v>
      </c>
      <c r="V4" s="932">
        <v>20</v>
      </c>
      <c r="W4" s="932">
        <v>21</v>
      </c>
      <c r="X4" s="932">
        <v>22</v>
      </c>
      <c r="Y4" s="932">
        <v>23</v>
      </c>
      <c r="Z4" s="932">
        <v>24</v>
      </c>
      <c r="AA4" s="60">
        <v>25</v>
      </c>
      <c r="AB4" s="932">
        <v>26</v>
      </c>
      <c r="AC4" s="932">
        <v>27</v>
      </c>
      <c r="AD4" s="932">
        <v>28</v>
      </c>
      <c r="AE4" s="932">
        <v>29</v>
      </c>
      <c r="AF4" s="932">
        <v>30</v>
      </c>
      <c r="AG4" s="932">
        <v>31</v>
      </c>
      <c r="AH4" s="139"/>
      <c r="AI4" s="73" t="s">
        <v>23</v>
      </c>
      <c r="AJ4" s="1297"/>
      <c r="AK4" s="1295"/>
      <c r="AL4" s="1295"/>
      <c r="AM4" s="1295"/>
      <c r="AN4" s="1295"/>
      <c r="AO4" s="1295"/>
      <c r="AP4" s="137" t="s">
        <v>26</v>
      </c>
      <c r="AQ4" s="1295"/>
      <c r="AR4" s="1295"/>
    </row>
    <row r="5" spans="1:44" s="1" customFormat="1" ht="18" customHeight="1" thickBot="1">
      <c r="A5" s="144">
        <v>1</v>
      </c>
      <c r="B5" s="145" t="s">
        <v>80</v>
      </c>
      <c r="C5" s="647"/>
      <c r="D5" s="66" t="s">
        <v>17</v>
      </c>
      <c r="E5" s="1220" t="s">
        <v>17</v>
      </c>
      <c r="F5" s="68"/>
      <c r="G5" s="933" t="s">
        <v>17</v>
      </c>
      <c r="H5" s="933" t="s">
        <v>17</v>
      </c>
      <c r="I5" s="66" t="s">
        <v>17</v>
      </c>
      <c r="J5" s="1220" t="s">
        <v>17</v>
      </c>
      <c r="K5" s="66" t="s">
        <v>17</v>
      </c>
      <c r="L5" s="933" t="s">
        <v>17</v>
      </c>
      <c r="M5" s="68"/>
      <c r="N5" s="934" t="s">
        <v>17</v>
      </c>
      <c r="O5" s="933" t="s">
        <v>17</v>
      </c>
      <c r="P5" s="933" t="s">
        <v>17</v>
      </c>
      <c r="Q5" s="933" t="s">
        <v>17</v>
      </c>
      <c r="R5" s="68"/>
      <c r="S5" s="933" t="s">
        <v>17</v>
      </c>
      <c r="T5" s="68"/>
      <c r="U5" s="933">
        <v>1</v>
      </c>
      <c r="V5" s="933">
        <v>1</v>
      </c>
      <c r="W5" s="933">
        <v>1</v>
      </c>
      <c r="X5" s="933">
        <v>1</v>
      </c>
      <c r="Y5" s="933">
        <v>1</v>
      </c>
      <c r="Z5" s="933">
        <v>1</v>
      </c>
      <c r="AA5" s="68"/>
      <c r="AB5" s="933">
        <v>1</v>
      </c>
      <c r="AC5" s="933">
        <v>1</v>
      </c>
      <c r="AD5" s="933">
        <v>1</v>
      </c>
      <c r="AE5" s="934">
        <v>1</v>
      </c>
      <c r="AF5" s="933">
        <v>1</v>
      </c>
      <c r="AG5" s="933">
        <v>1</v>
      </c>
      <c r="AH5" s="146">
        <f>SUM(C5:AG5)</f>
        <v>12</v>
      </c>
      <c r="AI5" s="148"/>
      <c r="AJ5" s="149"/>
      <c r="AK5" s="215">
        <f>COUNTIF(C5:AG5,"CT")</f>
        <v>0</v>
      </c>
      <c r="AL5" s="215">
        <f>COUNTIF(C5:AG5,"CS")</f>
        <v>13</v>
      </c>
      <c r="AM5" s="215">
        <v>4</v>
      </c>
      <c r="AN5" s="215">
        <v>2</v>
      </c>
      <c r="AO5" s="215">
        <f>COUNTIF(C5:AG5,"CI")</f>
        <v>0</v>
      </c>
      <c r="AP5" s="149">
        <f>AH5+AK5+AL5+AM5+AN5+AO5</f>
        <v>31</v>
      </c>
      <c r="AQ5" s="215">
        <f>COUNTIF(C5:AG5,"CTH")</f>
        <v>0</v>
      </c>
      <c r="AR5" s="215">
        <f>COUNTIF(C5:AG5,"A")</f>
        <v>0</v>
      </c>
    </row>
    <row r="6" spans="1:44" s="1" customFormat="1" ht="18" customHeight="1">
      <c r="A6" s="142"/>
      <c r="B6" s="166" t="s">
        <v>74</v>
      </c>
      <c r="C6" s="179"/>
      <c r="D6" s="153"/>
      <c r="E6" s="1221"/>
      <c r="F6" s="179"/>
      <c r="G6" s="935"/>
      <c r="H6" s="935"/>
      <c r="I6" s="153"/>
      <c r="J6" s="1221"/>
      <c r="K6" s="153"/>
      <c r="L6" s="935"/>
      <c r="M6" s="179"/>
      <c r="N6" s="935"/>
      <c r="O6" s="935"/>
      <c r="P6" s="935"/>
      <c r="Q6" s="935"/>
      <c r="R6" s="179"/>
      <c r="S6" s="935"/>
      <c r="T6" s="1043"/>
      <c r="U6" s="935"/>
      <c r="V6" s="935"/>
      <c r="W6" s="935"/>
      <c r="X6" s="935"/>
      <c r="Y6" s="935"/>
      <c r="Z6" s="935"/>
      <c r="AA6" s="179"/>
      <c r="AB6" s="935"/>
      <c r="AC6" s="935"/>
      <c r="AD6" s="935"/>
      <c r="AE6" s="935"/>
      <c r="AF6" s="935"/>
      <c r="AG6" s="935"/>
      <c r="AH6" s="143">
        <f>SUM(C6:AG6)</f>
        <v>0</v>
      </c>
      <c r="AI6" s="157">
        <v>33612.14</v>
      </c>
      <c r="AJ6" s="159">
        <f>AH6*AI6</f>
        <v>0</v>
      </c>
      <c r="AK6" s="187"/>
      <c r="AL6" s="187"/>
      <c r="AM6" s="187"/>
      <c r="AN6" s="187"/>
      <c r="AO6" s="187"/>
      <c r="AP6" s="187"/>
      <c r="AQ6" s="187"/>
      <c r="AR6" s="187"/>
    </row>
    <row r="7" spans="1:44" s="1" customFormat="1" ht="18" customHeight="1">
      <c r="A7" s="140"/>
      <c r="B7" s="167">
        <v>2</v>
      </c>
      <c r="C7" s="180"/>
      <c r="D7" s="199"/>
      <c r="E7" s="1222"/>
      <c r="F7" s="180"/>
      <c r="G7" s="936"/>
      <c r="H7" s="936"/>
      <c r="I7" s="199"/>
      <c r="J7" s="1222"/>
      <c r="K7" s="199"/>
      <c r="L7" s="936"/>
      <c r="M7" s="180"/>
      <c r="N7" s="937"/>
      <c r="O7" s="937"/>
      <c r="P7" s="936"/>
      <c r="Q7" s="936"/>
      <c r="R7" s="180"/>
      <c r="S7" s="936"/>
      <c r="T7" s="182"/>
      <c r="U7" s="936"/>
      <c r="V7" s="936"/>
      <c r="W7" s="936"/>
      <c r="X7" s="936"/>
      <c r="Y7" s="937"/>
      <c r="Z7" s="936"/>
      <c r="AA7" s="180"/>
      <c r="AB7" s="936"/>
      <c r="AC7" s="936"/>
      <c r="AD7" s="936"/>
      <c r="AE7" s="936"/>
      <c r="AF7" s="936"/>
      <c r="AG7" s="936"/>
      <c r="AH7" s="143">
        <f>SUM(C7:AG7)</f>
        <v>0</v>
      </c>
      <c r="AI7" s="158">
        <v>44816.18</v>
      </c>
      <c r="AJ7" s="159">
        <f>AH7*AI7</f>
        <v>0</v>
      </c>
      <c r="AK7" s="185"/>
      <c r="AL7" s="185"/>
      <c r="AN7" s="185"/>
      <c r="AO7" s="185"/>
      <c r="AP7" s="185"/>
      <c r="AQ7" s="185"/>
      <c r="AR7" s="185"/>
    </row>
    <row r="8" spans="1:44" s="1" customFormat="1" ht="18" customHeight="1" thickBot="1">
      <c r="A8" s="98"/>
      <c r="B8" s="163"/>
      <c r="C8" s="1031"/>
      <c r="D8" s="154"/>
      <c r="E8" s="1223"/>
      <c r="F8" s="337"/>
      <c r="G8" s="938"/>
      <c r="H8" s="938"/>
      <c r="I8" s="154"/>
      <c r="J8" s="1223"/>
      <c r="K8" s="154"/>
      <c r="L8" s="938"/>
      <c r="M8" s="337"/>
      <c r="N8" s="932"/>
      <c r="O8" s="938"/>
      <c r="P8" s="938"/>
      <c r="Q8" s="938"/>
      <c r="R8" s="337"/>
      <c r="S8" s="938"/>
      <c r="T8" s="60"/>
      <c r="U8" s="938"/>
      <c r="V8" s="938"/>
      <c r="W8" s="938"/>
      <c r="X8" s="938"/>
      <c r="Y8" s="938"/>
      <c r="Z8" s="938"/>
      <c r="AA8" s="337"/>
      <c r="AB8" s="938"/>
      <c r="AC8" s="938"/>
      <c r="AD8" s="938"/>
      <c r="AE8" s="938"/>
      <c r="AF8" s="938"/>
      <c r="AG8" s="938"/>
      <c r="AH8" s="100"/>
      <c r="AI8" s="50"/>
      <c r="AJ8" s="160">
        <f>SUM(AJ6:AJ7)</f>
        <v>0</v>
      </c>
      <c r="AK8" s="186"/>
      <c r="AL8" s="186"/>
      <c r="AM8" s="186"/>
      <c r="AN8" s="186"/>
      <c r="AO8" s="186"/>
      <c r="AP8" s="186"/>
      <c r="AQ8" s="186"/>
      <c r="AR8" s="186"/>
    </row>
    <row r="9" spans="1:44" s="1" customFormat="1" ht="18" customHeight="1" thickBot="1">
      <c r="A9" s="147">
        <v>2</v>
      </c>
      <c r="B9" s="147" t="s">
        <v>325</v>
      </c>
      <c r="C9" s="647"/>
      <c r="D9" s="66">
        <v>1</v>
      </c>
      <c r="E9" s="1220">
        <v>1</v>
      </c>
      <c r="F9" s="68"/>
      <c r="G9" s="933">
        <v>1</v>
      </c>
      <c r="H9" s="933">
        <v>1</v>
      </c>
      <c r="I9" s="66">
        <v>1</v>
      </c>
      <c r="J9" s="1220">
        <v>1</v>
      </c>
      <c r="K9" s="66">
        <v>1</v>
      </c>
      <c r="L9" s="933">
        <v>1</v>
      </c>
      <c r="M9" s="68"/>
      <c r="N9" s="934">
        <v>1</v>
      </c>
      <c r="O9" s="933">
        <v>1</v>
      </c>
      <c r="P9" s="933">
        <v>1</v>
      </c>
      <c r="Q9" s="933">
        <v>1</v>
      </c>
      <c r="R9" s="68"/>
      <c r="S9" s="933">
        <v>1</v>
      </c>
      <c r="T9" s="68"/>
      <c r="U9" s="933" t="s">
        <v>18</v>
      </c>
      <c r="V9" s="933" t="s">
        <v>18</v>
      </c>
      <c r="W9" s="933" t="s">
        <v>18</v>
      </c>
      <c r="X9" s="933" t="s">
        <v>18</v>
      </c>
      <c r="Y9" s="933" t="s">
        <v>18</v>
      </c>
      <c r="Z9" s="933" t="s">
        <v>18</v>
      </c>
      <c r="AA9" s="68"/>
      <c r="AB9" s="933">
        <v>1</v>
      </c>
      <c r="AC9" s="933">
        <v>1</v>
      </c>
      <c r="AD9" s="939">
        <v>1</v>
      </c>
      <c r="AE9" s="940">
        <v>1</v>
      </c>
      <c r="AF9" s="933">
        <v>1</v>
      </c>
      <c r="AG9" s="933">
        <v>1</v>
      </c>
      <c r="AH9" s="146">
        <f>SUM(C9:AG9)</f>
        <v>19</v>
      </c>
      <c r="AI9" s="148"/>
      <c r="AJ9" s="652"/>
      <c r="AK9" s="215">
        <f>COUNTIF(C9:AG9,"CT")</f>
        <v>6</v>
      </c>
      <c r="AL9" s="215">
        <f>COUNTIF(C9:AG9,"CS")</f>
        <v>0</v>
      </c>
      <c r="AM9" s="215">
        <v>4</v>
      </c>
      <c r="AN9" s="215">
        <v>2</v>
      </c>
      <c r="AO9" s="215">
        <f>COUNTIF(C9:AG9,"CI")</f>
        <v>0</v>
      </c>
      <c r="AP9" s="149">
        <f>AH9+AK9+AL9+AM9+AN9+AO9</f>
        <v>31</v>
      </c>
      <c r="AQ9" s="215">
        <f>COUNTIF(C9:AG9,"CTH")</f>
        <v>0</v>
      </c>
      <c r="AR9" s="215">
        <f>COUNTIF(C9:AG9,"A")</f>
        <v>0</v>
      </c>
    </row>
    <row r="10" spans="1:44" s="1" customFormat="1" ht="18" customHeight="1">
      <c r="A10" s="649"/>
      <c r="B10" s="166" t="s">
        <v>74</v>
      </c>
      <c r="C10" s="1032"/>
      <c r="D10" s="174"/>
      <c r="E10" s="1224"/>
      <c r="F10" s="338"/>
      <c r="G10" s="941"/>
      <c r="H10" s="941"/>
      <c r="I10" s="1209"/>
      <c r="J10" s="1258"/>
      <c r="K10" s="1209"/>
      <c r="L10" s="941"/>
      <c r="M10" s="338"/>
      <c r="N10" s="941"/>
      <c r="O10" s="941"/>
      <c r="P10" s="941"/>
      <c r="Q10" s="941"/>
      <c r="R10" s="338"/>
      <c r="S10" s="941"/>
      <c r="T10" s="338"/>
      <c r="U10" s="941"/>
      <c r="V10" s="941"/>
      <c r="W10" s="941"/>
      <c r="X10" s="941"/>
      <c r="Y10" s="941"/>
      <c r="Z10" s="941"/>
      <c r="AA10" s="338"/>
      <c r="AB10" s="941"/>
      <c r="AC10" s="941"/>
      <c r="AD10" s="942"/>
      <c r="AE10" s="941"/>
      <c r="AF10" s="941"/>
      <c r="AG10" s="941"/>
      <c r="AH10" s="143">
        <f>SUM(C10:AG10)</f>
        <v>0</v>
      </c>
      <c r="AI10" s="157">
        <v>33612.14</v>
      </c>
      <c r="AJ10" s="159">
        <f>AH10*AI10</f>
        <v>0</v>
      </c>
      <c r="AK10" s="137"/>
      <c r="AL10" s="137"/>
      <c r="AM10" s="137"/>
      <c r="AN10" s="137"/>
      <c r="AO10" s="137"/>
      <c r="AP10" s="137"/>
      <c r="AQ10" s="137"/>
      <c r="AR10" s="137"/>
    </row>
    <row r="11" spans="1:44" s="1" customFormat="1" ht="18" customHeight="1">
      <c r="A11" s="650"/>
      <c r="B11" s="167">
        <v>2</v>
      </c>
      <c r="C11" s="1033"/>
      <c r="D11" s="654"/>
      <c r="E11" s="1225"/>
      <c r="F11" s="651"/>
      <c r="G11" s="943"/>
      <c r="H11" s="943"/>
      <c r="I11" s="1210"/>
      <c r="J11" s="1259"/>
      <c r="K11" s="1210"/>
      <c r="L11" s="943"/>
      <c r="M11" s="651"/>
      <c r="N11" s="943"/>
      <c r="O11" s="943"/>
      <c r="P11" s="943"/>
      <c r="Q11" s="943"/>
      <c r="R11" s="651"/>
      <c r="S11" s="943"/>
      <c r="T11" s="651"/>
      <c r="U11" s="943"/>
      <c r="V11" s="943"/>
      <c r="W11" s="943"/>
      <c r="X11" s="943"/>
      <c r="Y11" s="943"/>
      <c r="Z11" s="943"/>
      <c r="AA11" s="651"/>
      <c r="AB11" s="943"/>
      <c r="AC11" s="943"/>
      <c r="AD11" s="944"/>
      <c r="AE11" s="943"/>
      <c r="AF11" s="943"/>
      <c r="AG11" s="943"/>
      <c r="AH11" s="330">
        <f>SUM(C11:AG11)</f>
        <v>0</v>
      </c>
      <c r="AI11" s="158">
        <v>44816.18</v>
      </c>
      <c r="AJ11" s="159">
        <f>AH11*AI11</f>
        <v>0</v>
      </c>
      <c r="AK11" s="594"/>
      <c r="AL11" s="594"/>
      <c r="AM11" s="594"/>
      <c r="AN11" s="594"/>
      <c r="AO11" s="594"/>
      <c r="AP11" s="594"/>
      <c r="AQ11" s="594"/>
      <c r="AR11" s="594"/>
    </row>
    <row r="12" spans="1:44" s="1" customFormat="1" ht="18" customHeight="1" thickBot="1">
      <c r="A12" s="99"/>
      <c r="B12" s="99"/>
      <c r="C12" s="1032"/>
      <c r="D12" s="174"/>
      <c r="E12" s="1224"/>
      <c r="F12" s="338"/>
      <c r="G12" s="941"/>
      <c r="H12" s="941"/>
      <c r="I12" s="1209"/>
      <c r="J12" s="1258"/>
      <c r="K12" s="1209"/>
      <c r="L12" s="941"/>
      <c r="M12" s="338"/>
      <c r="N12" s="941"/>
      <c r="O12" s="941"/>
      <c r="P12" s="941"/>
      <c r="Q12" s="941"/>
      <c r="R12" s="338"/>
      <c r="S12" s="941"/>
      <c r="T12" s="338"/>
      <c r="U12" s="941"/>
      <c r="V12" s="941"/>
      <c r="W12" s="941"/>
      <c r="X12" s="941"/>
      <c r="Y12" s="941"/>
      <c r="Z12" s="941"/>
      <c r="AA12" s="338"/>
      <c r="AB12" s="941"/>
      <c r="AC12" s="941"/>
      <c r="AD12" s="942"/>
      <c r="AE12" s="941"/>
      <c r="AF12" s="941"/>
      <c r="AG12" s="941"/>
      <c r="AH12" s="139"/>
      <c r="AI12" s="73"/>
      <c r="AJ12" s="161">
        <f>SUM(AJ10:AJ11)</f>
        <v>0</v>
      </c>
      <c r="AK12" s="137"/>
      <c r="AL12" s="137"/>
      <c r="AM12" s="137"/>
      <c r="AN12" s="137"/>
      <c r="AO12" s="137"/>
      <c r="AP12" s="137"/>
      <c r="AQ12" s="137"/>
      <c r="AR12" s="137"/>
    </row>
    <row r="13" spans="1:44" s="53" customFormat="1" ht="18" customHeight="1" thickBot="1">
      <c r="A13" s="64">
        <v>3</v>
      </c>
      <c r="B13" s="65" t="s">
        <v>13</v>
      </c>
      <c r="C13" s="647"/>
      <c r="D13" s="66">
        <v>1</v>
      </c>
      <c r="E13" s="1220">
        <v>1</v>
      </c>
      <c r="F13" s="68"/>
      <c r="G13" s="934">
        <v>1</v>
      </c>
      <c r="H13" s="933">
        <v>1</v>
      </c>
      <c r="I13" s="1211">
        <v>1</v>
      </c>
      <c r="J13" s="1260">
        <v>1</v>
      </c>
      <c r="K13" s="1211">
        <v>1</v>
      </c>
      <c r="L13" s="934">
        <v>1</v>
      </c>
      <c r="M13" s="68"/>
      <c r="N13" s="934">
        <v>1</v>
      </c>
      <c r="O13" s="933">
        <v>1</v>
      </c>
      <c r="P13" s="945">
        <v>1</v>
      </c>
      <c r="Q13" s="921" t="s">
        <v>18</v>
      </c>
      <c r="R13" s="68"/>
      <c r="S13" s="934">
        <v>1</v>
      </c>
      <c r="T13" s="68"/>
      <c r="U13" s="945">
        <v>1</v>
      </c>
      <c r="V13" s="933">
        <v>1</v>
      </c>
      <c r="W13" s="934">
        <v>1</v>
      </c>
      <c r="X13" s="945">
        <v>1</v>
      </c>
      <c r="Y13" s="933">
        <v>1</v>
      </c>
      <c r="Z13" s="934">
        <v>1</v>
      </c>
      <c r="AA13" s="918"/>
      <c r="AB13" s="934">
        <v>1</v>
      </c>
      <c r="AC13" s="933">
        <v>1</v>
      </c>
      <c r="AD13" s="933">
        <v>1</v>
      </c>
      <c r="AE13" s="940">
        <v>1</v>
      </c>
      <c r="AF13" s="933">
        <v>1</v>
      </c>
      <c r="AG13" s="933">
        <v>1</v>
      </c>
      <c r="AH13" s="87">
        <f>SUM(C13:AG13)</f>
        <v>24</v>
      </c>
      <c r="AI13" s="65"/>
      <c r="AJ13" s="74"/>
      <c r="AK13" s="215">
        <f>COUNTIF(C13:AG13,"CT")</f>
        <v>1</v>
      </c>
      <c r="AL13" s="215">
        <f>COUNTIF(C13:AG13,"CS")</f>
        <v>0</v>
      </c>
      <c r="AM13" s="215">
        <v>4</v>
      </c>
      <c r="AN13" s="215">
        <v>2</v>
      </c>
      <c r="AO13" s="215">
        <f>COUNTIF(C13:AG13,"CI")</f>
        <v>0</v>
      </c>
      <c r="AP13" s="316">
        <f>AH13+AK13+AL13+AM13+AN13+AO13</f>
        <v>31</v>
      </c>
      <c r="AQ13" s="215">
        <f>COUNTIF(C13:AG13,"CTH")</f>
        <v>0</v>
      </c>
      <c r="AR13" s="215">
        <f>COUNTIF(C13:AG13,"A")</f>
        <v>0</v>
      </c>
    </row>
    <row r="14" spans="1:44" s="53" customFormat="1" ht="18" customHeight="1">
      <c r="A14" s="61"/>
      <c r="B14" s="62" t="s">
        <v>27</v>
      </c>
      <c r="C14" s="181"/>
      <c r="D14" s="152" t="s">
        <v>404</v>
      </c>
      <c r="E14" s="1226" t="s">
        <v>405</v>
      </c>
      <c r="F14" s="181"/>
      <c r="G14" s="946" t="s">
        <v>401</v>
      </c>
      <c r="H14" s="947" t="s">
        <v>411</v>
      </c>
      <c r="I14" s="94" t="s">
        <v>412</v>
      </c>
      <c r="J14" s="1234" t="s">
        <v>405</v>
      </c>
      <c r="K14" s="95" t="s">
        <v>413</v>
      </c>
      <c r="L14" s="948" t="s">
        <v>407</v>
      </c>
      <c r="M14" s="108"/>
      <c r="N14" s="947" t="s">
        <v>404</v>
      </c>
      <c r="O14" s="946" t="s">
        <v>415</v>
      </c>
      <c r="P14" s="948" t="s">
        <v>411</v>
      </c>
      <c r="Q14" s="948"/>
      <c r="R14" s="108"/>
      <c r="S14" s="948" t="s">
        <v>401</v>
      </c>
      <c r="T14" s="106"/>
      <c r="U14" s="949" t="s">
        <v>405</v>
      </c>
      <c r="V14" s="949" t="s">
        <v>413</v>
      </c>
      <c r="W14" s="947" t="s">
        <v>407</v>
      </c>
      <c r="X14" s="949" t="s">
        <v>404</v>
      </c>
      <c r="Y14" s="947" t="s">
        <v>411</v>
      </c>
      <c r="Z14" s="947" t="s">
        <v>412</v>
      </c>
      <c r="AA14" s="108"/>
      <c r="AB14" s="948" t="s">
        <v>401</v>
      </c>
      <c r="AC14" s="948" t="s">
        <v>603</v>
      </c>
      <c r="AD14" s="948" t="s">
        <v>401</v>
      </c>
      <c r="AE14" s="949" t="s">
        <v>405</v>
      </c>
      <c r="AF14" s="949" t="s">
        <v>413</v>
      </c>
      <c r="AG14" s="947" t="s">
        <v>407</v>
      </c>
      <c r="AH14" s="88"/>
      <c r="AI14" s="62"/>
      <c r="AJ14" s="63"/>
      <c r="AK14" s="165"/>
      <c r="AL14" s="165"/>
      <c r="AM14" s="165"/>
      <c r="AN14" s="165"/>
      <c r="AO14" s="165"/>
      <c r="AP14" s="165"/>
      <c r="AQ14" s="165"/>
      <c r="AR14" s="165"/>
    </row>
    <row r="15" spans="1:44" s="27" customFormat="1" ht="18" customHeight="1">
      <c r="A15" s="21"/>
      <c r="B15" s="22" t="s">
        <v>6</v>
      </c>
      <c r="C15" s="35"/>
      <c r="D15" s="26">
        <v>90</v>
      </c>
      <c r="E15" s="1227">
        <v>103</v>
      </c>
      <c r="F15" s="35"/>
      <c r="G15" s="950">
        <v>103</v>
      </c>
      <c r="H15" s="950">
        <v>90</v>
      </c>
      <c r="I15" s="26">
        <v>90</v>
      </c>
      <c r="J15" s="1227">
        <v>103</v>
      </c>
      <c r="K15" s="26">
        <v>90</v>
      </c>
      <c r="L15" s="950">
        <v>90</v>
      </c>
      <c r="M15" s="35"/>
      <c r="N15" s="950">
        <v>90</v>
      </c>
      <c r="O15" s="950">
        <v>90</v>
      </c>
      <c r="P15" s="951">
        <v>90</v>
      </c>
      <c r="Q15" s="950"/>
      <c r="R15" s="35"/>
      <c r="S15" s="950">
        <v>103</v>
      </c>
      <c r="T15" s="35"/>
      <c r="U15" s="950">
        <v>103</v>
      </c>
      <c r="V15" s="950">
        <v>90</v>
      </c>
      <c r="W15" s="950">
        <v>90</v>
      </c>
      <c r="X15" s="950">
        <v>90</v>
      </c>
      <c r="Y15" s="950">
        <v>90</v>
      </c>
      <c r="Z15" s="710">
        <v>90</v>
      </c>
      <c r="AA15" s="35"/>
      <c r="AB15" s="950">
        <v>103</v>
      </c>
      <c r="AC15" s="950">
        <v>90</v>
      </c>
      <c r="AD15" s="950">
        <v>103</v>
      </c>
      <c r="AE15" s="950">
        <v>103</v>
      </c>
      <c r="AF15" s="950">
        <v>90</v>
      </c>
      <c r="AG15" s="950">
        <v>90</v>
      </c>
      <c r="AH15" s="40"/>
      <c r="AI15" s="21"/>
      <c r="AJ15" s="6"/>
      <c r="AK15" s="5"/>
      <c r="AL15" s="5"/>
      <c r="AM15" s="5"/>
      <c r="AN15" s="5"/>
      <c r="AO15" s="5"/>
      <c r="AP15" s="5"/>
      <c r="AQ15" s="5"/>
      <c r="AR15" s="5"/>
    </row>
    <row r="16" spans="1:44" ht="18" customHeight="1">
      <c r="A16" s="3"/>
      <c r="B16" s="4" t="s">
        <v>7</v>
      </c>
      <c r="C16" s="1034"/>
      <c r="D16" s="5">
        <v>42</v>
      </c>
      <c r="E16" s="1228">
        <v>48</v>
      </c>
      <c r="F16" s="35"/>
      <c r="G16" s="710">
        <v>61</v>
      </c>
      <c r="H16" s="950">
        <v>39</v>
      </c>
      <c r="I16" s="5">
        <v>54</v>
      </c>
      <c r="J16" s="1228">
        <v>64</v>
      </c>
      <c r="K16" s="5">
        <v>49</v>
      </c>
      <c r="L16" s="950">
        <v>31</v>
      </c>
      <c r="M16" s="31"/>
      <c r="N16" s="950">
        <v>55</v>
      </c>
      <c r="O16" s="950">
        <v>57</v>
      </c>
      <c r="P16" s="710">
        <v>31</v>
      </c>
      <c r="Q16" s="710"/>
      <c r="R16" s="35"/>
      <c r="S16" s="950">
        <v>50</v>
      </c>
      <c r="T16" s="35"/>
      <c r="U16" s="710">
        <v>27</v>
      </c>
      <c r="V16" s="710">
        <v>50</v>
      </c>
      <c r="W16" s="950">
        <v>23</v>
      </c>
      <c r="X16" s="950">
        <v>23</v>
      </c>
      <c r="Y16" s="950">
        <v>28</v>
      </c>
      <c r="Z16" s="950">
        <v>16</v>
      </c>
      <c r="AA16" s="35"/>
      <c r="AB16" s="950">
        <v>54</v>
      </c>
      <c r="AC16" s="710">
        <v>20</v>
      </c>
      <c r="AD16" s="710">
        <v>31</v>
      </c>
      <c r="AE16" s="950">
        <v>36</v>
      </c>
      <c r="AF16" s="950">
        <v>27</v>
      </c>
      <c r="AG16" s="950">
        <v>32</v>
      </c>
      <c r="AH16" s="40">
        <f>SUM(C16:AG16)</f>
        <v>948</v>
      </c>
      <c r="AI16" s="3"/>
      <c r="AJ16" s="56"/>
      <c r="AK16" s="123"/>
      <c r="AL16" s="123"/>
      <c r="AM16" s="123"/>
      <c r="AN16" s="123"/>
      <c r="AO16" s="123"/>
      <c r="AP16" s="123"/>
      <c r="AQ16" s="123"/>
      <c r="AR16" s="123"/>
    </row>
    <row r="17" spans="1:44" s="10" customFormat="1" ht="18" customHeight="1">
      <c r="A17" s="7"/>
      <c r="B17" s="8" t="s">
        <v>99</v>
      </c>
      <c r="C17" s="32"/>
      <c r="D17" s="9"/>
      <c r="E17" s="1229"/>
      <c r="F17" s="32"/>
      <c r="G17" s="952"/>
      <c r="H17" s="952"/>
      <c r="I17" s="9"/>
      <c r="J17" s="1229"/>
      <c r="K17" s="9"/>
      <c r="L17" s="952"/>
      <c r="M17" s="32"/>
      <c r="N17" s="952"/>
      <c r="O17" s="952"/>
      <c r="P17" s="952"/>
      <c r="Q17" s="952"/>
      <c r="R17" s="32"/>
      <c r="S17" s="952"/>
      <c r="T17" s="35"/>
      <c r="U17" s="952"/>
      <c r="V17" s="952"/>
      <c r="W17" s="952"/>
      <c r="X17" s="952"/>
      <c r="Y17" s="952"/>
      <c r="Z17" s="952"/>
      <c r="AA17" s="32"/>
      <c r="AB17" s="952"/>
      <c r="AC17" s="952"/>
      <c r="AD17" s="952"/>
      <c r="AE17" s="952"/>
      <c r="AF17" s="952"/>
      <c r="AG17" s="950"/>
      <c r="AH17" s="41">
        <f t="shared" ref="AH17:AH19" si="0">SUM(C17:AG17)</f>
        <v>0</v>
      </c>
      <c r="AI17" s="7">
        <v>1409</v>
      </c>
      <c r="AJ17" s="57">
        <f t="shared" ref="AJ17:AJ19" si="1">AH17*AI17</f>
        <v>0</v>
      </c>
      <c r="AK17" s="84"/>
      <c r="AL17" s="84"/>
      <c r="AM17" s="84"/>
      <c r="AN17" s="84"/>
      <c r="AO17" s="84"/>
      <c r="AP17" s="84"/>
      <c r="AQ17" s="84"/>
      <c r="AR17" s="84"/>
    </row>
    <row r="18" spans="1:44" s="10" customFormat="1" ht="18" customHeight="1">
      <c r="A18" s="7"/>
      <c r="B18" s="8" t="s">
        <v>118</v>
      </c>
      <c r="C18" s="32"/>
      <c r="D18" s="9"/>
      <c r="E18" s="1229">
        <v>48</v>
      </c>
      <c r="F18" s="32"/>
      <c r="G18" s="952"/>
      <c r="H18" s="952"/>
      <c r="I18" s="9"/>
      <c r="J18" s="1229">
        <v>64</v>
      </c>
      <c r="K18" s="9"/>
      <c r="L18" s="952"/>
      <c r="M18" s="32"/>
      <c r="N18" s="950"/>
      <c r="O18" s="952"/>
      <c r="P18" s="952"/>
      <c r="Q18" s="952"/>
      <c r="R18" s="32"/>
      <c r="S18" s="952"/>
      <c r="T18" s="35"/>
      <c r="U18" s="952"/>
      <c r="V18" s="952"/>
      <c r="W18" s="952"/>
      <c r="X18" s="952"/>
      <c r="Y18" s="952"/>
      <c r="Z18" s="952"/>
      <c r="AA18" s="32"/>
      <c r="AB18" s="952"/>
      <c r="AC18" s="952"/>
      <c r="AD18" s="952"/>
      <c r="AE18" s="953"/>
      <c r="AF18" s="952"/>
      <c r="AG18" s="950"/>
      <c r="AH18" s="41">
        <f t="shared" si="0"/>
        <v>112</v>
      </c>
      <c r="AI18" s="7">
        <v>1322</v>
      </c>
      <c r="AJ18" s="57">
        <f t="shared" si="1"/>
        <v>148064</v>
      </c>
      <c r="AK18" s="84"/>
      <c r="AL18" s="84"/>
      <c r="AM18" s="84"/>
      <c r="AN18" s="84"/>
      <c r="AO18" s="84"/>
      <c r="AP18" s="84"/>
      <c r="AQ18" s="84"/>
      <c r="AR18" s="84"/>
    </row>
    <row r="19" spans="1:44" s="10" customFormat="1" ht="18" customHeight="1">
      <c r="A19" s="7"/>
      <c r="B19" s="8" t="s">
        <v>396</v>
      </c>
      <c r="C19" s="32"/>
      <c r="D19" s="9"/>
      <c r="E19" s="1229"/>
      <c r="F19" s="32"/>
      <c r="G19" s="952"/>
      <c r="H19" s="952"/>
      <c r="I19" s="9"/>
      <c r="J19" s="1229"/>
      <c r="K19" s="9"/>
      <c r="L19" s="952"/>
      <c r="M19" s="32"/>
      <c r="N19" s="950"/>
      <c r="O19" s="952"/>
      <c r="P19" s="952"/>
      <c r="Q19" s="952"/>
      <c r="R19" s="32"/>
      <c r="S19" s="952"/>
      <c r="T19" s="35"/>
      <c r="U19" s="952"/>
      <c r="V19" s="952"/>
      <c r="W19" s="952"/>
      <c r="X19" s="952"/>
      <c r="Y19" s="952"/>
      <c r="Z19" s="952"/>
      <c r="AA19" s="32"/>
      <c r="AB19" s="952"/>
      <c r="AC19" s="952"/>
      <c r="AD19" s="952"/>
      <c r="AE19" s="952"/>
      <c r="AF19" s="952"/>
      <c r="AG19" s="950"/>
      <c r="AH19" s="41">
        <f t="shared" si="0"/>
        <v>0</v>
      </c>
      <c r="AI19" s="7">
        <v>1233</v>
      </c>
      <c r="AJ19" s="57">
        <f t="shared" si="1"/>
        <v>0</v>
      </c>
      <c r="AK19" s="84"/>
      <c r="AL19" s="84"/>
      <c r="AM19" s="84"/>
      <c r="AN19" s="84"/>
      <c r="AO19" s="84"/>
      <c r="AP19" s="84"/>
      <c r="AQ19" s="84"/>
      <c r="AR19" s="84"/>
    </row>
    <row r="20" spans="1:44" s="10" customFormat="1" ht="18" customHeight="1">
      <c r="A20" s="7"/>
      <c r="B20" s="7"/>
      <c r="C20" s="35"/>
      <c r="D20" s="26"/>
      <c r="E20" s="1227"/>
      <c r="F20" s="35"/>
      <c r="G20" s="952"/>
      <c r="H20" s="950"/>
      <c r="I20" s="9"/>
      <c r="J20" s="1229"/>
      <c r="K20" s="9"/>
      <c r="L20" s="950"/>
      <c r="M20" s="32"/>
      <c r="N20" s="950"/>
      <c r="O20" s="950"/>
      <c r="P20" s="952"/>
      <c r="Q20" s="952"/>
      <c r="R20" s="35"/>
      <c r="S20" s="950"/>
      <c r="T20" s="35"/>
      <c r="U20" s="952"/>
      <c r="V20" s="952"/>
      <c r="W20" s="952"/>
      <c r="X20" s="950"/>
      <c r="Y20" s="950"/>
      <c r="Z20" s="950"/>
      <c r="AA20" s="35"/>
      <c r="AB20" s="950"/>
      <c r="AC20" s="952"/>
      <c r="AD20" s="952"/>
      <c r="AE20" s="950"/>
      <c r="AF20" s="950"/>
      <c r="AG20" s="950"/>
      <c r="AH20" s="1292" t="s">
        <v>70</v>
      </c>
      <c r="AI20" s="1293"/>
      <c r="AJ20" s="121">
        <f>SUM(AJ17:AJ19)</f>
        <v>148064</v>
      </c>
      <c r="AK20" s="122"/>
      <c r="AL20" s="84"/>
      <c r="AM20" s="84"/>
      <c r="AN20" s="84"/>
      <c r="AO20" s="84"/>
      <c r="AP20" s="84"/>
      <c r="AQ20" s="84"/>
      <c r="AR20" s="84"/>
    </row>
    <row r="21" spans="1:44" ht="18" customHeight="1">
      <c r="A21" s="3"/>
      <c r="B21" s="4" t="s">
        <v>8</v>
      </c>
      <c r="C21" s="31"/>
      <c r="D21" s="5">
        <v>11</v>
      </c>
      <c r="E21" s="1228">
        <v>15</v>
      </c>
      <c r="F21" s="35"/>
      <c r="G21" s="710">
        <v>12</v>
      </c>
      <c r="H21" s="950">
        <v>7</v>
      </c>
      <c r="I21" s="5">
        <v>27</v>
      </c>
      <c r="J21" s="1228">
        <v>13</v>
      </c>
      <c r="K21" s="5">
        <v>15</v>
      </c>
      <c r="L21" s="950">
        <v>17</v>
      </c>
      <c r="M21" s="31"/>
      <c r="N21" s="950">
        <v>12</v>
      </c>
      <c r="O21" s="950">
        <v>8</v>
      </c>
      <c r="P21" s="950">
        <v>10</v>
      </c>
      <c r="Q21" s="950"/>
      <c r="R21" s="35"/>
      <c r="S21" s="950">
        <v>6</v>
      </c>
      <c r="T21" s="35"/>
      <c r="U21" s="950">
        <v>2</v>
      </c>
      <c r="V21" s="950">
        <v>12</v>
      </c>
      <c r="W21" s="950">
        <v>6</v>
      </c>
      <c r="X21" s="950">
        <v>3</v>
      </c>
      <c r="Y21" s="950">
        <v>3</v>
      </c>
      <c r="Z21" s="950">
        <v>4</v>
      </c>
      <c r="AA21" s="35"/>
      <c r="AB21" s="950">
        <v>6</v>
      </c>
      <c r="AC21" s="950">
        <v>2</v>
      </c>
      <c r="AD21" s="950">
        <v>2</v>
      </c>
      <c r="AE21" s="950">
        <v>2</v>
      </c>
      <c r="AF21" s="950">
        <v>4</v>
      </c>
      <c r="AG21" s="950">
        <v>4</v>
      </c>
      <c r="AH21" s="40">
        <f>SUM(C21:AG21)</f>
        <v>203</v>
      </c>
      <c r="AI21" s="51">
        <v>1750</v>
      </c>
      <c r="AJ21" s="57">
        <f t="shared" ref="AJ21" si="2">AH21*AI21</f>
        <v>355250</v>
      </c>
      <c r="AK21" s="123"/>
      <c r="AL21" s="123"/>
      <c r="AM21" s="123"/>
      <c r="AN21" s="123"/>
      <c r="AO21" s="123"/>
      <c r="AP21" s="123"/>
      <c r="AQ21" s="123"/>
      <c r="AR21" s="123"/>
    </row>
    <row r="22" spans="1:44" s="16" customFormat="1" ht="18" customHeight="1">
      <c r="A22" s="11"/>
      <c r="B22" s="12" t="s">
        <v>9</v>
      </c>
      <c r="C22" s="72"/>
      <c r="D22" s="71"/>
      <c r="E22" s="1230"/>
      <c r="F22" s="72"/>
      <c r="G22" s="954"/>
      <c r="H22" s="955"/>
      <c r="I22" s="1212"/>
      <c r="J22" s="1261"/>
      <c r="K22" s="1212"/>
      <c r="L22" s="954"/>
      <c r="M22" s="339"/>
      <c r="N22" s="955"/>
      <c r="O22" s="955"/>
      <c r="P22" s="957"/>
      <c r="Q22" s="957"/>
      <c r="R22" s="72"/>
      <c r="S22" s="955"/>
      <c r="T22" s="72"/>
      <c r="U22" s="954"/>
      <c r="V22" s="958"/>
      <c r="W22" s="956">
        <f>134500/W15*W16-134500</f>
        <v>-100127.77777777778</v>
      </c>
      <c r="X22" s="959"/>
      <c r="Y22" s="960"/>
      <c r="Z22" s="950"/>
      <c r="AA22" s="894"/>
      <c r="AB22" s="958"/>
      <c r="AC22" s="954"/>
      <c r="AD22" s="954"/>
      <c r="AE22" s="955"/>
      <c r="AF22" s="955"/>
      <c r="AG22" s="955"/>
      <c r="AH22" s="89">
        <f>SUM(C22:AG22)</f>
        <v>-100127.77777777778</v>
      </c>
      <c r="AI22" s="11"/>
      <c r="AJ22" s="58"/>
      <c r="AK22" s="85"/>
      <c r="AL22" s="85"/>
      <c r="AM22" s="85"/>
      <c r="AN22" s="85"/>
      <c r="AO22" s="85"/>
      <c r="AP22" s="85"/>
      <c r="AQ22" s="85"/>
      <c r="AR22" s="85"/>
    </row>
    <row r="23" spans="1:44" s="16" customFormat="1" ht="18" customHeight="1" thickBot="1">
      <c r="A23" s="69"/>
      <c r="B23" s="70"/>
      <c r="C23" s="1035"/>
      <c r="D23" s="175"/>
      <c r="E23" s="1231"/>
      <c r="F23" s="1035"/>
      <c r="G23" s="961"/>
      <c r="H23" s="962"/>
      <c r="I23" s="1213"/>
      <c r="J23" s="1262"/>
      <c r="K23" s="1213"/>
      <c r="L23" s="962"/>
      <c r="M23" s="917"/>
      <c r="N23" s="962"/>
      <c r="O23" s="962"/>
      <c r="P23" s="963"/>
      <c r="Q23" s="963"/>
      <c r="R23" s="1035"/>
      <c r="S23" s="962"/>
      <c r="T23" s="1035"/>
      <c r="U23" s="961"/>
      <c r="V23" s="964"/>
      <c r="W23" s="965"/>
      <c r="X23" s="965"/>
      <c r="Y23" s="965"/>
      <c r="Z23" s="964"/>
      <c r="AA23" s="910"/>
      <c r="AB23" s="964"/>
      <c r="AC23" s="961"/>
      <c r="AD23" s="961"/>
      <c r="AE23" s="962"/>
      <c r="AF23" s="962"/>
      <c r="AG23" s="962"/>
      <c r="AH23" s="125"/>
      <c r="AI23" s="69"/>
      <c r="AJ23" s="75"/>
      <c r="AK23" s="86"/>
      <c r="AL23" s="86"/>
      <c r="AM23" s="86"/>
      <c r="AN23" s="86"/>
      <c r="AO23" s="86"/>
      <c r="AP23" s="86"/>
      <c r="AQ23" s="86"/>
      <c r="AR23" s="86"/>
    </row>
    <row r="24" spans="1:44" s="53" customFormat="1" ht="18" customHeight="1" thickBot="1">
      <c r="A24" s="64">
        <v>4</v>
      </c>
      <c r="B24" s="65" t="s">
        <v>69</v>
      </c>
      <c r="C24" s="647"/>
      <c r="D24" s="66">
        <v>1</v>
      </c>
      <c r="E24" s="1220">
        <v>1</v>
      </c>
      <c r="F24" s="68"/>
      <c r="G24" s="934">
        <v>1</v>
      </c>
      <c r="H24" s="933">
        <v>1</v>
      </c>
      <c r="I24" s="66">
        <v>1</v>
      </c>
      <c r="J24" s="1238">
        <v>1</v>
      </c>
      <c r="K24" s="67">
        <v>1</v>
      </c>
      <c r="L24" s="934">
        <v>1</v>
      </c>
      <c r="M24" s="647"/>
      <c r="N24" s="933">
        <v>1</v>
      </c>
      <c r="O24" s="933">
        <v>1</v>
      </c>
      <c r="P24" s="934">
        <v>1</v>
      </c>
      <c r="Q24" s="934">
        <v>1</v>
      </c>
      <c r="R24" s="68"/>
      <c r="S24" s="934">
        <v>1</v>
      </c>
      <c r="T24" s="68"/>
      <c r="U24" s="945">
        <v>1</v>
      </c>
      <c r="V24" s="933">
        <v>1</v>
      </c>
      <c r="W24" s="934">
        <v>1</v>
      </c>
      <c r="X24" s="945">
        <v>1</v>
      </c>
      <c r="Y24" s="933">
        <v>1</v>
      </c>
      <c r="Z24" s="934">
        <v>1</v>
      </c>
      <c r="AA24" s="68"/>
      <c r="AB24" s="934">
        <v>1</v>
      </c>
      <c r="AC24" s="933">
        <v>1</v>
      </c>
      <c r="AD24" s="933">
        <v>1</v>
      </c>
      <c r="AE24" s="940">
        <v>1</v>
      </c>
      <c r="AF24" s="933">
        <v>1</v>
      </c>
      <c r="AG24" s="933">
        <v>1</v>
      </c>
      <c r="AH24" s="87">
        <f>SUM(C24:AG24)</f>
        <v>25</v>
      </c>
      <c r="AI24" s="65"/>
      <c r="AJ24" s="74"/>
      <c r="AK24" s="215">
        <f>COUNTIF(C24:AG24,"CT")</f>
        <v>0</v>
      </c>
      <c r="AL24" s="215">
        <f>COUNTIF(C24:AG24,"CS")</f>
        <v>0</v>
      </c>
      <c r="AM24" s="215">
        <v>4</v>
      </c>
      <c r="AN24" s="215">
        <v>2</v>
      </c>
      <c r="AO24" s="215">
        <f>COUNTIF(C24:AG24,"CI")</f>
        <v>0</v>
      </c>
      <c r="AP24" s="316">
        <f>AH24+AK24+AL24+AM24+AN24+AO24</f>
        <v>31</v>
      </c>
      <c r="AQ24" s="215">
        <f>COUNTIF(C24:AG24,"CTH")</f>
        <v>0</v>
      </c>
      <c r="AR24" s="215">
        <f>COUNTIF(C24:AG24,"A")</f>
        <v>0</v>
      </c>
    </row>
    <row r="25" spans="1:44" s="53" customFormat="1" ht="18" customHeight="1">
      <c r="A25" s="61"/>
      <c r="B25" s="62" t="s">
        <v>27</v>
      </c>
      <c r="C25" s="181"/>
      <c r="D25" s="152" t="s">
        <v>404</v>
      </c>
      <c r="E25" s="1232" t="s">
        <v>404</v>
      </c>
      <c r="F25" s="897"/>
      <c r="G25" s="948" t="s">
        <v>401</v>
      </c>
      <c r="H25" s="947" t="s">
        <v>411</v>
      </c>
      <c r="I25" s="1052" t="s">
        <v>412</v>
      </c>
      <c r="J25" s="1232" t="s">
        <v>405</v>
      </c>
      <c r="K25" s="94" t="s">
        <v>413</v>
      </c>
      <c r="L25" s="946" t="s">
        <v>407</v>
      </c>
      <c r="M25" s="181"/>
      <c r="N25" s="946" t="s">
        <v>404</v>
      </c>
      <c r="O25" s="948" t="s">
        <v>415</v>
      </c>
      <c r="P25" s="946" t="s">
        <v>411</v>
      </c>
      <c r="Q25" s="946" t="s">
        <v>401</v>
      </c>
      <c r="R25" s="909"/>
      <c r="S25" s="948" t="s">
        <v>401</v>
      </c>
      <c r="T25" s="593"/>
      <c r="U25" s="949" t="s">
        <v>405</v>
      </c>
      <c r="V25" s="949" t="s">
        <v>413</v>
      </c>
      <c r="W25" s="948" t="s">
        <v>407</v>
      </c>
      <c r="X25" s="949" t="s">
        <v>407</v>
      </c>
      <c r="Y25" s="948" t="s">
        <v>411</v>
      </c>
      <c r="Z25" s="947" t="s">
        <v>412</v>
      </c>
      <c r="AA25" s="909"/>
      <c r="AB25" s="948" t="s">
        <v>401</v>
      </c>
      <c r="AC25" s="967" t="s">
        <v>603</v>
      </c>
      <c r="AD25" s="946" t="s">
        <v>401</v>
      </c>
      <c r="AE25" s="949" t="s">
        <v>405</v>
      </c>
      <c r="AF25" s="949" t="s">
        <v>413</v>
      </c>
      <c r="AG25" s="949" t="s">
        <v>407</v>
      </c>
      <c r="AH25" s="88"/>
      <c r="AI25" s="62"/>
      <c r="AJ25" s="63"/>
      <c r="AK25" s="165"/>
      <c r="AL25" s="165"/>
      <c r="AM25" s="165"/>
      <c r="AN25" s="165"/>
      <c r="AO25" s="165"/>
      <c r="AP25" s="165"/>
      <c r="AQ25" s="165"/>
      <c r="AR25" s="165"/>
    </row>
    <row r="26" spans="1:44" ht="18" customHeight="1">
      <c r="A26" s="3"/>
      <c r="B26" s="4" t="s">
        <v>6</v>
      </c>
      <c r="C26" s="35"/>
      <c r="D26" s="26">
        <v>90</v>
      </c>
      <c r="E26" s="1227">
        <v>90</v>
      </c>
      <c r="F26" s="35"/>
      <c r="G26" s="950">
        <v>103</v>
      </c>
      <c r="H26" s="950">
        <v>90</v>
      </c>
      <c r="I26" s="26">
        <v>90</v>
      </c>
      <c r="J26" s="1227">
        <v>103</v>
      </c>
      <c r="K26" s="26">
        <v>90</v>
      </c>
      <c r="L26" s="950">
        <v>90</v>
      </c>
      <c r="M26" s="31"/>
      <c r="N26" s="710">
        <v>90</v>
      </c>
      <c r="O26" s="950">
        <v>90</v>
      </c>
      <c r="P26" s="950">
        <v>90</v>
      </c>
      <c r="Q26" s="950">
        <v>103</v>
      </c>
      <c r="R26" s="35"/>
      <c r="S26" s="950">
        <v>103</v>
      </c>
      <c r="T26" s="35"/>
      <c r="U26" s="950">
        <v>103</v>
      </c>
      <c r="V26" s="950">
        <v>90</v>
      </c>
      <c r="W26" s="710">
        <v>90</v>
      </c>
      <c r="X26" s="950">
        <v>90</v>
      </c>
      <c r="Y26" s="710">
        <v>90</v>
      </c>
      <c r="Z26" s="950">
        <v>90</v>
      </c>
      <c r="AA26" s="35"/>
      <c r="AB26" s="950">
        <v>103</v>
      </c>
      <c r="AC26" s="950">
        <v>90</v>
      </c>
      <c r="AD26" s="950">
        <v>103</v>
      </c>
      <c r="AE26" s="950">
        <v>103</v>
      </c>
      <c r="AF26" s="950">
        <v>90</v>
      </c>
      <c r="AG26" s="950">
        <v>90</v>
      </c>
      <c r="AH26" s="40"/>
      <c r="AI26" s="3"/>
      <c r="AJ26" s="56"/>
      <c r="AK26" s="123"/>
      <c r="AL26" s="123"/>
      <c r="AM26" s="123"/>
      <c r="AN26" s="123"/>
      <c r="AO26" s="123"/>
      <c r="AP26" s="123"/>
      <c r="AQ26" s="123"/>
      <c r="AR26" s="123"/>
    </row>
    <row r="27" spans="1:44" ht="18" customHeight="1">
      <c r="A27" s="3"/>
      <c r="B27" s="4" t="s">
        <v>7</v>
      </c>
      <c r="C27" s="31"/>
      <c r="D27" s="5">
        <v>50</v>
      </c>
      <c r="E27" s="1228">
        <v>49</v>
      </c>
      <c r="F27" s="35"/>
      <c r="G27" s="710">
        <v>87</v>
      </c>
      <c r="H27" s="951">
        <v>43</v>
      </c>
      <c r="I27" s="5">
        <v>48</v>
      </c>
      <c r="J27" s="1228">
        <v>53</v>
      </c>
      <c r="K27" s="5">
        <v>50</v>
      </c>
      <c r="L27" s="950">
        <v>30</v>
      </c>
      <c r="M27" s="31"/>
      <c r="N27" s="710">
        <v>50</v>
      </c>
      <c r="O27" s="950">
        <v>54</v>
      </c>
      <c r="P27" s="710">
        <v>39</v>
      </c>
      <c r="Q27" s="710">
        <v>35</v>
      </c>
      <c r="R27" s="35"/>
      <c r="S27" s="950">
        <v>51</v>
      </c>
      <c r="T27" s="35"/>
      <c r="U27" s="710">
        <v>46</v>
      </c>
      <c r="V27" s="710">
        <v>41</v>
      </c>
      <c r="W27" s="950">
        <v>29</v>
      </c>
      <c r="X27" s="950">
        <v>26</v>
      </c>
      <c r="Y27" s="950">
        <v>22</v>
      </c>
      <c r="Z27" s="950">
        <v>21</v>
      </c>
      <c r="AA27" s="35"/>
      <c r="AB27" s="950">
        <v>55</v>
      </c>
      <c r="AC27" s="710">
        <v>22</v>
      </c>
      <c r="AD27" s="710">
        <v>46</v>
      </c>
      <c r="AE27" s="950">
        <v>43</v>
      </c>
      <c r="AF27" s="950">
        <v>24</v>
      </c>
      <c r="AG27" s="950">
        <v>23</v>
      </c>
      <c r="AH27" s="40">
        <f>SUM(C27:AG27)</f>
        <v>1037</v>
      </c>
      <c r="AI27" s="3"/>
      <c r="AJ27" s="56"/>
      <c r="AK27" s="123"/>
      <c r="AL27" s="123"/>
      <c r="AM27" s="123"/>
      <c r="AN27" s="123"/>
      <c r="AO27" s="123"/>
      <c r="AP27" s="123"/>
      <c r="AQ27" s="123"/>
      <c r="AR27" s="123"/>
    </row>
    <row r="28" spans="1:44" s="10" customFormat="1" ht="18" customHeight="1">
      <c r="A28" s="7"/>
      <c r="B28" s="8" t="s">
        <v>99</v>
      </c>
      <c r="C28" s="32"/>
      <c r="D28" s="9"/>
      <c r="E28" s="1229">
        <v>49</v>
      </c>
      <c r="F28" s="32"/>
      <c r="G28" s="952"/>
      <c r="H28" s="952"/>
      <c r="I28" s="9"/>
      <c r="J28" s="1228"/>
      <c r="K28" s="5"/>
      <c r="L28" s="952"/>
      <c r="M28" s="32"/>
      <c r="N28" s="952"/>
      <c r="O28" s="952"/>
      <c r="P28" s="952"/>
      <c r="Q28" s="952"/>
      <c r="R28" s="32"/>
      <c r="S28" s="952"/>
      <c r="T28" s="35"/>
      <c r="U28" s="952"/>
      <c r="V28" s="952"/>
      <c r="W28" s="952"/>
      <c r="X28" s="952"/>
      <c r="Y28" s="952"/>
      <c r="Z28" s="952"/>
      <c r="AA28" s="32"/>
      <c r="AB28" s="952"/>
      <c r="AC28" s="952"/>
      <c r="AD28" s="952"/>
      <c r="AE28" s="952"/>
      <c r="AF28" s="952"/>
      <c r="AG28" s="950"/>
      <c r="AH28" s="41">
        <f t="shared" ref="AH28:AH30" si="3">SUM(C28:AG28)</f>
        <v>49</v>
      </c>
      <c r="AI28" s="7">
        <v>1409</v>
      </c>
      <c r="AJ28" s="57">
        <f t="shared" ref="AJ28:AJ30" si="4">AH28*AI28</f>
        <v>69041</v>
      </c>
      <c r="AK28" s="84"/>
      <c r="AL28" s="84"/>
      <c r="AM28" s="84"/>
      <c r="AN28" s="84"/>
      <c r="AO28" s="84"/>
      <c r="AP28" s="84"/>
      <c r="AQ28" s="84"/>
      <c r="AR28" s="84"/>
    </row>
    <row r="29" spans="1:44" s="10" customFormat="1" ht="18" customHeight="1">
      <c r="A29" s="7"/>
      <c r="B29" s="8" t="s">
        <v>118</v>
      </c>
      <c r="C29" s="32"/>
      <c r="D29" s="9"/>
      <c r="E29" s="1229"/>
      <c r="F29" s="32"/>
      <c r="G29" s="952"/>
      <c r="H29" s="952"/>
      <c r="I29" s="9"/>
      <c r="J29" s="1229">
        <v>53</v>
      </c>
      <c r="K29" s="9"/>
      <c r="L29" s="952"/>
      <c r="M29" s="32"/>
      <c r="N29" s="950"/>
      <c r="O29" s="952"/>
      <c r="P29" s="952"/>
      <c r="Q29" s="952"/>
      <c r="R29" s="32"/>
      <c r="S29" s="952"/>
      <c r="T29" s="35"/>
      <c r="U29" s="952"/>
      <c r="V29" s="952"/>
      <c r="W29" s="952"/>
      <c r="X29" s="952"/>
      <c r="Y29" s="952"/>
      <c r="Z29" s="952"/>
      <c r="AA29" s="32"/>
      <c r="AB29" s="952"/>
      <c r="AC29" s="952"/>
      <c r="AD29" s="952"/>
      <c r="AE29" s="953"/>
      <c r="AF29" s="952"/>
      <c r="AG29" s="950"/>
      <c r="AH29" s="41">
        <f t="shared" si="3"/>
        <v>53</v>
      </c>
      <c r="AI29" s="7">
        <v>1322</v>
      </c>
      <c r="AJ29" s="57">
        <f t="shared" si="4"/>
        <v>70066</v>
      </c>
      <c r="AK29" s="84"/>
      <c r="AL29" s="84"/>
      <c r="AM29" s="84"/>
      <c r="AN29" s="84"/>
      <c r="AO29" s="84"/>
      <c r="AP29" s="84"/>
      <c r="AQ29" s="84"/>
      <c r="AR29" s="84"/>
    </row>
    <row r="30" spans="1:44" s="10" customFormat="1" ht="18" customHeight="1">
      <c r="A30" s="7"/>
      <c r="B30" s="8" t="s">
        <v>396</v>
      </c>
      <c r="C30" s="32"/>
      <c r="D30" s="9"/>
      <c r="E30" s="1229"/>
      <c r="F30" s="32"/>
      <c r="G30" s="952"/>
      <c r="H30" s="952"/>
      <c r="I30" s="9"/>
      <c r="J30" s="1229"/>
      <c r="K30" s="9"/>
      <c r="L30" s="952"/>
      <c r="M30" s="32"/>
      <c r="N30" s="950"/>
      <c r="O30" s="952"/>
      <c r="P30" s="952"/>
      <c r="Q30" s="952"/>
      <c r="R30" s="32"/>
      <c r="S30" s="952"/>
      <c r="T30" s="35"/>
      <c r="U30" s="952"/>
      <c r="V30" s="952"/>
      <c r="W30" s="952"/>
      <c r="X30" s="952"/>
      <c r="Y30" s="952"/>
      <c r="Z30" s="952"/>
      <c r="AA30" s="32"/>
      <c r="AB30" s="952"/>
      <c r="AC30" s="952"/>
      <c r="AD30" s="952"/>
      <c r="AE30" s="952"/>
      <c r="AF30" s="952"/>
      <c r="AG30" s="950"/>
      <c r="AH30" s="41">
        <f t="shared" si="3"/>
        <v>0</v>
      </c>
      <c r="AI30" s="7">
        <v>1233</v>
      </c>
      <c r="AJ30" s="57">
        <f t="shared" si="4"/>
        <v>0</v>
      </c>
      <c r="AK30" s="84"/>
      <c r="AL30" s="84"/>
      <c r="AM30" s="84"/>
      <c r="AN30" s="84"/>
      <c r="AO30" s="84"/>
      <c r="AP30" s="84"/>
      <c r="AQ30" s="84"/>
      <c r="AR30" s="84"/>
    </row>
    <row r="31" spans="1:44" s="10" customFormat="1" ht="18" customHeight="1">
      <c r="A31" s="7"/>
      <c r="B31" s="7"/>
      <c r="C31" s="35"/>
      <c r="D31" s="9"/>
      <c r="E31" s="1229"/>
      <c r="F31" s="32"/>
      <c r="G31" s="952"/>
      <c r="H31" s="952"/>
      <c r="I31" s="9"/>
      <c r="J31" s="1229"/>
      <c r="K31" s="9"/>
      <c r="L31" s="952"/>
      <c r="M31" s="32"/>
      <c r="N31" s="950"/>
      <c r="O31" s="952"/>
      <c r="P31" s="952"/>
      <c r="Q31" s="952"/>
      <c r="R31" s="32"/>
      <c r="S31" s="952"/>
      <c r="T31" s="35"/>
      <c r="U31" s="952"/>
      <c r="V31" s="952"/>
      <c r="W31" s="950"/>
      <c r="X31" s="950"/>
      <c r="Y31" s="950"/>
      <c r="Z31" s="950"/>
      <c r="AA31" s="35"/>
      <c r="AB31" s="950"/>
      <c r="AC31" s="952"/>
      <c r="AD31" s="952"/>
      <c r="AE31" s="950"/>
      <c r="AF31" s="950"/>
      <c r="AG31" s="950"/>
      <c r="AH31" s="1292" t="s">
        <v>70</v>
      </c>
      <c r="AI31" s="1293"/>
      <c r="AJ31" s="121">
        <f>SUM(AJ28:AJ30)</f>
        <v>139107</v>
      </c>
      <c r="AK31" s="84"/>
      <c r="AL31" s="84"/>
      <c r="AM31" s="84"/>
      <c r="AN31" s="84"/>
      <c r="AO31" s="84"/>
      <c r="AP31" s="84"/>
      <c r="AQ31" s="84"/>
      <c r="AR31" s="84"/>
    </row>
    <row r="32" spans="1:44" s="111" customFormat="1" ht="18" customHeight="1">
      <c r="A32" s="150"/>
      <c r="B32" s="151" t="s">
        <v>8</v>
      </c>
      <c r="C32" s="31"/>
      <c r="D32" s="26">
        <v>9</v>
      </c>
      <c r="E32" s="1227">
        <v>15</v>
      </c>
      <c r="F32" s="35"/>
      <c r="G32" s="950">
        <v>19</v>
      </c>
      <c r="H32" s="950">
        <v>13</v>
      </c>
      <c r="I32" s="26">
        <v>20</v>
      </c>
      <c r="J32" s="1227">
        <v>6</v>
      </c>
      <c r="K32" s="26">
        <v>13</v>
      </c>
      <c r="L32" s="950">
        <v>5</v>
      </c>
      <c r="M32" s="35"/>
      <c r="N32" s="950">
        <v>10</v>
      </c>
      <c r="O32" s="950">
        <v>14</v>
      </c>
      <c r="P32" s="950">
        <v>13</v>
      </c>
      <c r="Q32" s="950">
        <v>14</v>
      </c>
      <c r="R32" s="35"/>
      <c r="S32" s="950">
        <v>6</v>
      </c>
      <c r="T32" s="35"/>
      <c r="U32" s="950">
        <v>4</v>
      </c>
      <c r="V32" s="950">
        <v>8</v>
      </c>
      <c r="W32" s="950">
        <v>3</v>
      </c>
      <c r="X32" s="950">
        <v>3</v>
      </c>
      <c r="Y32" s="950">
        <v>8</v>
      </c>
      <c r="Z32" s="950">
        <v>6</v>
      </c>
      <c r="AA32" s="35"/>
      <c r="AB32" s="950">
        <v>4</v>
      </c>
      <c r="AC32" s="950">
        <v>3</v>
      </c>
      <c r="AD32" s="950">
        <v>6</v>
      </c>
      <c r="AE32" s="950">
        <v>4</v>
      </c>
      <c r="AF32" s="950">
        <v>7</v>
      </c>
      <c r="AG32" s="950">
        <v>5</v>
      </c>
      <c r="AH32" s="128">
        <f t="shared" ref="AH32:AH33" si="5">SUM(C32:AG32)</f>
        <v>218</v>
      </c>
      <c r="AI32" s="51">
        <v>1750</v>
      </c>
      <c r="AJ32" s="121">
        <f>AH32*AI32</f>
        <v>381500</v>
      </c>
      <c r="AK32" s="122"/>
      <c r="AL32" s="122"/>
      <c r="AM32" s="122"/>
      <c r="AN32" s="122"/>
      <c r="AO32" s="122"/>
      <c r="AP32" s="122"/>
      <c r="AQ32" s="122"/>
      <c r="AR32" s="122"/>
    </row>
    <row r="33" spans="1:44" s="16" customFormat="1" ht="18" customHeight="1">
      <c r="A33" s="11"/>
      <c r="B33" s="12" t="s">
        <v>9</v>
      </c>
      <c r="C33" s="35"/>
      <c r="D33" s="36"/>
      <c r="E33" s="1233"/>
      <c r="F33" s="35"/>
      <c r="G33" s="968"/>
      <c r="H33" s="950"/>
      <c r="I33" s="14"/>
      <c r="J33" s="1235"/>
      <c r="K33" s="13"/>
      <c r="L33" s="954"/>
      <c r="M33" s="339"/>
      <c r="N33" s="956">
        <f>134500/N26*N27-134500</f>
        <v>-59777.777777777781</v>
      </c>
      <c r="O33" s="950"/>
      <c r="P33" s="969"/>
      <c r="Q33" s="969"/>
      <c r="R33" s="339"/>
      <c r="S33" s="956"/>
      <c r="T33" s="35"/>
      <c r="U33" s="968"/>
      <c r="V33" s="958"/>
      <c r="W33" s="950"/>
      <c r="X33" s="950"/>
      <c r="Y33" s="970"/>
      <c r="Z33" s="970"/>
      <c r="AA33" s="35"/>
      <c r="AB33" s="970"/>
      <c r="AC33" s="968"/>
      <c r="AD33" s="968"/>
      <c r="AE33" s="950"/>
      <c r="AF33" s="950"/>
      <c r="AG33" s="950"/>
      <c r="AH33" s="42">
        <f t="shared" si="5"/>
        <v>-59777.777777777781</v>
      </c>
      <c r="AI33" s="11"/>
      <c r="AJ33" s="58"/>
      <c r="AK33" s="85"/>
      <c r="AL33" s="85"/>
      <c r="AM33" s="85"/>
      <c r="AN33" s="85"/>
      <c r="AO33" s="85"/>
      <c r="AP33" s="85"/>
      <c r="AQ33" s="85"/>
      <c r="AR33" s="85"/>
    </row>
    <row r="34" spans="1:44" s="16" customFormat="1" ht="18" customHeight="1" thickBot="1">
      <c r="A34" s="69"/>
      <c r="B34" s="70"/>
      <c r="C34" s="72"/>
      <c r="D34" s="71"/>
      <c r="E34" s="1230"/>
      <c r="F34" s="72"/>
      <c r="G34" s="954"/>
      <c r="H34" s="955"/>
      <c r="I34" s="1212"/>
      <c r="J34" s="1261"/>
      <c r="K34" s="1212"/>
      <c r="L34" s="955"/>
      <c r="M34" s="178"/>
      <c r="N34" s="955"/>
      <c r="O34" s="955"/>
      <c r="P34" s="954"/>
      <c r="Q34" s="954"/>
      <c r="R34" s="178"/>
      <c r="S34" s="954"/>
      <c r="T34" s="72"/>
      <c r="U34" s="954"/>
      <c r="V34" s="954"/>
      <c r="W34" s="955"/>
      <c r="X34" s="955"/>
      <c r="Y34" s="958"/>
      <c r="Z34" s="958"/>
      <c r="AA34" s="72"/>
      <c r="AB34" s="958"/>
      <c r="AC34" s="954"/>
      <c r="AD34" s="954"/>
      <c r="AE34" s="955"/>
      <c r="AF34" s="955"/>
      <c r="AG34" s="955"/>
      <c r="AH34" s="89"/>
      <c r="AI34" s="69"/>
      <c r="AJ34" s="75"/>
      <c r="AK34" s="86"/>
      <c r="AL34" s="86"/>
      <c r="AM34" s="86"/>
      <c r="AN34" s="86"/>
      <c r="AO34" s="86"/>
      <c r="AP34" s="86"/>
      <c r="AQ34" s="86"/>
      <c r="AR34" s="86"/>
    </row>
    <row r="35" spans="1:44" s="53" customFormat="1" ht="18" customHeight="1" thickBot="1">
      <c r="A35" s="64">
        <v>5</v>
      </c>
      <c r="B35" s="65" t="s">
        <v>14</v>
      </c>
      <c r="C35" s="647"/>
      <c r="D35" s="66">
        <v>1</v>
      </c>
      <c r="E35" s="1220">
        <v>1</v>
      </c>
      <c r="F35" s="68"/>
      <c r="G35" s="945">
        <v>1</v>
      </c>
      <c r="H35" s="933">
        <v>1</v>
      </c>
      <c r="I35" s="67">
        <v>1</v>
      </c>
      <c r="J35" s="1238">
        <v>1</v>
      </c>
      <c r="K35" s="67">
        <v>1</v>
      </c>
      <c r="L35" s="1053" t="s">
        <v>18</v>
      </c>
      <c r="M35" s="647"/>
      <c r="N35" s="933">
        <v>1</v>
      </c>
      <c r="O35" s="933">
        <v>1</v>
      </c>
      <c r="P35" s="921" t="s">
        <v>18</v>
      </c>
      <c r="Q35" s="921" t="s">
        <v>18</v>
      </c>
      <c r="R35" s="68"/>
      <c r="S35" s="934">
        <v>1</v>
      </c>
      <c r="T35" s="68"/>
      <c r="U35" s="945">
        <v>1</v>
      </c>
      <c r="V35" s="933">
        <v>1</v>
      </c>
      <c r="W35" s="934">
        <v>1</v>
      </c>
      <c r="X35" s="945">
        <v>1</v>
      </c>
      <c r="Y35" s="933">
        <v>1</v>
      </c>
      <c r="Z35" s="934">
        <v>1</v>
      </c>
      <c r="AA35" s="68"/>
      <c r="AB35" s="945">
        <v>1</v>
      </c>
      <c r="AC35" s="933">
        <v>1</v>
      </c>
      <c r="AD35" s="933">
        <v>1</v>
      </c>
      <c r="AE35" s="940">
        <v>1</v>
      </c>
      <c r="AF35" s="933">
        <v>1</v>
      </c>
      <c r="AG35" s="933">
        <v>1</v>
      </c>
      <c r="AH35" s="87">
        <f>SUM(C35:AG35)</f>
        <v>22</v>
      </c>
      <c r="AI35" s="65"/>
      <c r="AJ35" s="74"/>
      <c r="AK35" s="215">
        <f>COUNTIF(C35:AG35,"CT")</f>
        <v>3</v>
      </c>
      <c r="AL35" s="215">
        <f>COUNTIF(C35:AG35,"CS")</f>
        <v>0</v>
      </c>
      <c r="AM35" s="215">
        <v>4</v>
      </c>
      <c r="AN35" s="215">
        <v>2</v>
      </c>
      <c r="AO35" s="215">
        <f>COUNTIF(C35:AG35,"CI")</f>
        <v>0</v>
      </c>
      <c r="AP35" s="316">
        <f>AH35+AK35+AL35+AM35+AN35+AO35</f>
        <v>31</v>
      </c>
      <c r="AQ35" s="215">
        <f>COUNTIF(C35:AG35,"CTH")</f>
        <v>0</v>
      </c>
      <c r="AR35" s="215">
        <f>COUNTIF(C35:AG35,"A")</f>
        <v>0</v>
      </c>
    </row>
    <row r="36" spans="1:44" s="53" customFormat="1" ht="18" customHeight="1">
      <c r="A36" s="61"/>
      <c r="B36" s="62" t="s">
        <v>27</v>
      </c>
      <c r="C36" s="108"/>
      <c r="D36" s="152" t="s">
        <v>404</v>
      </c>
      <c r="E36" s="1234" t="s">
        <v>405</v>
      </c>
      <c r="F36" s="108"/>
      <c r="G36" s="948" t="s">
        <v>401</v>
      </c>
      <c r="H36" s="947" t="s">
        <v>411</v>
      </c>
      <c r="I36" s="95" t="s">
        <v>412</v>
      </c>
      <c r="J36" s="1234" t="s">
        <v>413</v>
      </c>
      <c r="K36" s="95" t="s">
        <v>413</v>
      </c>
      <c r="L36" s="948"/>
      <c r="M36" s="108"/>
      <c r="N36" s="946" t="s">
        <v>404</v>
      </c>
      <c r="O36" s="948" t="s">
        <v>415</v>
      </c>
      <c r="P36" s="948"/>
      <c r="Q36" s="948"/>
      <c r="R36" s="108"/>
      <c r="S36" s="948" t="s">
        <v>401</v>
      </c>
      <c r="T36" s="106"/>
      <c r="U36" s="949" t="s">
        <v>405</v>
      </c>
      <c r="V36" s="949" t="s">
        <v>413</v>
      </c>
      <c r="W36" s="948" t="s">
        <v>407</v>
      </c>
      <c r="X36" s="949" t="s">
        <v>404</v>
      </c>
      <c r="Y36" s="948" t="s">
        <v>411</v>
      </c>
      <c r="Z36" s="947" t="s">
        <v>412</v>
      </c>
      <c r="AA36" s="108"/>
      <c r="AB36" s="948" t="s">
        <v>401</v>
      </c>
      <c r="AC36" s="948" t="s">
        <v>603</v>
      </c>
      <c r="AD36" s="948" t="s">
        <v>401</v>
      </c>
      <c r="AE36" s="949" t="s">
        <v>405</v>
      </c>
      <c r="AF36" s="949" t="s">
        <v>413</v>
      </c>
      <c r="AG36" s="947" t="s">
        <v>407</v>
      </c>
      <c r="AH36" s="88">
        <v>91</v>
      </c>
      <c r="AI36" s="62"/>
      <c r="AJ36" s="63"/>
      <c r="AK36" s="165"/>
      <c r="AL36" s="165"/>
      <c r="AM36" s="165"/>
      <c r="AN36" s="165"/>
      <c r="AO36" s="165"/>
      <c r="AP36" s="165"/>
      <c r="AQ36" s="165"/>
      <c r="AR36" s="165"/>
    </row>
    <row r="37" spans="1:44" ht="18" customHeight="1">
      <c r="A37" s="3"/>
      <c r="B37" s="4" t="s">
        <v>6</v>
      </c>
      <c r="C37" s="35"/>
      <c r="D37" s="26">
        <v>90</v>
      </c>
      <c r="E37" s="1227">
        <v>103</v>
      </c>
      <c r="F37" s="35"/>
      <c r="G37" s="950">
        <v>103</v>
      </c>
      <c r="H37" s="950">
        <v>90</v>
      </c>
      <c r="I37" s="26">
        <v>90</v>
      </c>
      <c r="J37" s="1227">
        <v>90</v>
      </c>
      <c r="K37" s="26">
        <v>90</v>
      </c>
      <c r="L37" s="950"/>
      <c r="M37" s="35"/>
      <c r="N37" s="950">
        <v>90</v>
      </c>
      <c r="O37" s="950">
        <v>90</v>
      </c>
      <c r="P37" s="950"/>
      <c r="Q37" s="950"/>
      <c r="R37" s="35"/>
      <c r="S37" s="950">
        <v>103</v>
      </c>
      <c r="T37" s="35"/>
      <c r="U37" s="950">
        <v>103</v>
      </c>
      <c r="V37" s="951">
        <v>90</v>
      </c>
      <c r="W37" s="710">
        <v>90</v>
      </c>
      <c r="X37" s="950">
        <v>90</v>
      </c>
      <c r="Y37" s="710">
        <v>90</v>
      </c>
      <c r="Z37" s="710">
        <v>90</v>
      </c>
      <c r="AA37" s="35"/>
      <c r="AB37" s="710">
        <v>103</v>
      </c>
      <c r="AC37" s="950">
        <v>90</v>
      </c>
      <c r="AD37" s="950">
        <v>103</v>
      </c>
      <c r="AE37" s="950">
        <v>103</v>
      </c>
      <c r="AF37" s="950">
        <v>90</v>
      </c>
      <c r="AG37" s="950">
        <v>90</v>
      </c>
      <c r="AH37" s="40"/>
      <c r="AI37" s="3"/>
      <c r="AJ37" s="56"/>
      <c r="AK37" s="123"/>
      <c r="AL37" s="123"/>
      <c r="AM37" s="123"/>
      <c r="AN37" s="123"/>
      <c r="AO37" s="123"/>
      <c r="AP37" s="123"/>
      <c r="AQ37" s="123"/>
      <c r="AR37" s="123"/>
    </row>
    <row r="38" spans="1:44" ht="18" customHeight="1">
      <c r="A38" s="3"/>
      <c r="B38" s="4" t="s">
        <v>7</v>
      </c>
      <c r="C38" s="31"/>
      <c r="D38" s="5">
        <v>83</v>
      </c>
      <c r="E38" s="1228">
        <v>74</v>
      </c>
      <c r="F38" s="908"/>
      <c r="G38" s="710">
        <v>90</v>
      </c>
      <c r="H38" s="950">
        <v>51</v>
      </c>
      <c r="I38" s="5">
        <v>65</v>
      </c>
      <c r="J38" s="1228">
        <v>67</v>
      </c>
      <c r="K38" s="5">
        <v>59</v>
      </c>
      <c r="L38" s="950"/>
      <c r="M38" s="31"/>
      <c r="N38" s="710">
        <v>37</v>
      </c>
      <c r="O38" s="950">
        <v>22</v>
      </c>
      <c r="P38" s="710"/>
      <c r="Q38" s="710"/>
      <c r="R38" s="35"/>
      <c r="S38" s="950">
        <v>60</v>
      </c>
      <c r="T38" s="35"/>
      <c r="U38" s="710">
        <v>46</v>
      </c>
      <c r="V38" s="710">
        <v>34</v>
      </c>
      <c r="W38" s="950">
        <v>21</v>
      </c>
      <c r="X38" s="950">
        <v>30</v>
      </c>
      <c r="Y38" s="950">
        <v>41</v>
      </c>
      <c r="Z38" s="950">
        <v>35</v>
      </c>
      <c r="AA38" s="35"/>
      <c r="AB38" s="950">
        <v>110</v>
      </c>
      <c r="AC38" s="710">
        <v>20</v>
      </c>
      <c r="AD38" s="710">
        <v>19</v>
      </c>
      <c r="AE38" s="950">
        <v>30</v>
      </c>
      <c r="AF38" s="950">
        <v>41</v>
      </c>
      <c r="AG38" s="950">
        <v>28</v>
      </c>
      <c r="AH38" s="40">
        <f>SUM(C38:AG38)</f>
        <v>1063</v>
      </c>
      <c r="AI38" s="3"/>
      <c r="AJ38" s="56"/>
      <c r="AK38" s="123"/>
      <c r="AL38" s="123"/>
      <c r="AM38" s="123"/>
      <c r="AN38" s="123"/>
      <c r="AO38" s="123"/>
      <c r="AP38" s="123"/>
      <c r="AQ38" s="123"/>
      <c r="AR38" s="123"/>
    </row>
    <row r="39" spans="1:44" s="10" customFormat="1" ht="18" customHeight="1">
      <c r="A39" s="7"/>
      <c r="B39" s="8" t="s">
        <v>99</v>
      </c>
      <c r="C39" s="32"/>
      <c r="D39" s="9"/>
      <c r="E39" s="1229"/>
      <c r="F39" s="32"/>
      <c r="G39" s="952"/>
      <c r="H39" s="952"/>
      <c r="I39" s="9"/>
      <c r="J39" s="1229">
        <v>67</v>
      </c>
      <c r="K39" s="9"/>
      <c r="L39" s="952"/>
      <c r="M39" s="32"/>
      <c r="N39" s="952"/>
      <c r="O39" s="952"/>
      <c r="P39" s="952"/>
      <c r="Q39" s="952"/>
      <c r="R39" s="32"/>
      <c r="S39" s="952"/>
      <c r="T39" s="35"/>
      <c r="U39" s="952"/>
      <c r="V39" s="952"/>
      <c r="W39" s="952"/>
      <c r="X39" s="952"/>
      <c r="Y39" s="952"/>
      <c r="Z39" s="952"/>
      <c r="AA39" s="32"/>
      <c r="AB39" s="952"/>
      <c r="AC39" s="952"/>
      <c r="AD39" s="952"/>
      <c r="AE39" s="952"/>
      <c r="AF39" s="952"/>
      <c r="AG39" s="950"/>
      <c r="AH39" s="41">
        <f t="shared" ref="AH39:AH41" si="6">SUM(C39:AG39)</f>
        <v>67</v>
      </c>
      <c r="AI39" s="7">
        <v>1409</v>
      </c>
      <c r="AJ39" s="57">
        <f t="shared" ref="AJ39:AJ41" si="7">AH39*AI39</f>
        <v>94403</v>
      </c>
      <c r="AK39" s="84"/>
      <c r="AL39" s="84"/>
      <c r="AM39" s="84"/>
      <c r="AN39" s="84"/>
      <c r="AO39" s="84"/>
      <c r="AP39" s="84"/>
      <c r="AQ39" s="84"/>
      <c r="AR39" s="84"/>
    </row>
    <row r="40" spans="1:44" s="10" customFormat="1" ht="18" customHeight="1">
      <c r="A40" s="7"/>
      <c r="B40" s="8" t="s">
        <v>118</v>
      </c>
      <c r="C40" s="32"/>
      <c r="D40" s="9"/>
      <c r="E40" s="1229">
        <v>74</v>
      </c>
      <c r="F40" s="32"/>
      <c r="G40" s="952"/>
      <c r="H40" s="952"/>
      <c r="I40" s="9"/>
      <c r="J40" s="1229"/>
      <c r="K40" s="9"/>
      <c r="L40" s="952"/>
      <c r="M40" s="32"/>
      <c r="N40" s="950"/>
      <c r="O40" s="952"/>
      <c r="P40" s="952"/>
      <c r="Q40" s="952"/>
      <c r="R40" s="32"/>
      <c r="S40" s="952"/>
      <c r="T40" s="35"/>
      <c r="U40" s="952"/>
      <c r="V40" s="952"/>
      <c r="W40" s="952"/>
      <c r="X40" s="952"/>
      <c r="Y40" s="952"/>
      <c r="Z40" s="952"/>
      <c r="AA40" s="32"/>
      <c r="AB40" s="952">
        <v>7</v>
      </c>
      <c r="AC40" s="952"/>
      <c r="AD40" s="952"/>
      <c r="AE40" s="953"/>
      <c r="AF40" s="952"/>
      <c r="AG40" s="950"/>
      <c r="AH40" s="41">
        <f t="shared" si="6"/>
        <v>81</v>
      </c>
      <c r="AI40" s="7">
        <v>1322</v>
      </c>
      <c r="AJ40" s="57">
        <f t="shared" si="7"/>
        <v>107082</v>
      </c>
      <c r="AK40" s="84"/>
      <c r="AL40" s="84"/>
      <c r="AM40" s="84"/>
      <c r="AN40" s="84"/>
      <c r="AO40" s="84"/>
      <c r="AP40" s="84"/>
      <c r="AQ40" s="84"/>
      <c r="AR40" s="84"/>
    </row>
    <row r="41" spans="1:44" s="10" customFormat="1" ht="18" customHeight="1">
      <c r="A41" s="7"/>
      <c r="B41" s="8" t="s">
        <v>396</v>
      </c>
      <c r="C41" s="32"/>
      <c r="D41" s="9"/>
      <c r="E41" s="1229"/>
      <c r="F41" s="32"/>
      <c r="G41" s="952"/>
      <c r="H41" s="952"/>
      <c r="I41" s="9"/>
      <c r="J41" s="1229"/>
      <c r="K41" s="9"/>
      <c r="L41" s="952"/>
      <c r="M41" s="32"/>
      <c r="N41" s="950"/>
      <c r="O41" s="952"/>
      <c r="P41" s="952"/>
      <c r="Q41" s="952"/>
      <c r="R41" s="32"/>
      <c r="S41" s="952"/>
      <c r="T41" s="35"/>
      <c r="U41" s="952"/>
      <c r="V41" s="952"/>
      <c r="W41" s="952"/>
      <c r="X41" s="952"/>
      <c r="Y41" s="952"/>
      <c r="Z41" s="952"/>
      <c r="AA41" s="32"/>
      <c r="AB41" s="952"/>
      <c r="AC41" s="952"/>
      <c r="AD41" s="952"/>
      <c r="AE41" s="952"/>
      <c r="AF41" s="952"/>
      <c r="AG41" s="950"/>
      <c r="AH41" s="41">
        <f t="shared" si="6"/>
        <v>0</v>
      </c>
      <c r="AI41" s="7">
        <v>1233</v>
      </c>
      <c r="AJ41" s="57">
        <f t="shared" si="7"/>
        <v>0</v>
      </c>
      <c r="AK41" s="84"/>
      <c r="AL41" s="84"/>
      <c r="AM41" s="84"/>
      <c r="AN41" s="84"/>
      <c r="AO41" s="84"/>
      <c r="AP41" s="84"/>
      <c r="AQ41" s="84"/>
      <c r="AR41" s="84"/>
    </row>
    <row r="42" spans="1:44" s="10" customFormat="1" ht="18" customHeight="1">
      <c r="A42" s="7"/>
      <c r="B42" s="7"/>
      <c r="C42" s="32"/>
      <c r="D42" s="26"/>
      <c r="E42" s="1227"/>
      <c r="F42" s="35"/>
      <c r="G42" s="952"/>
      <c r="H42" s="952"/>
      <c r="I42" s="9"/>
      <c r="J42" s="1229"/>
      <c r="K42" s="9"/>
      <c r="L42" s="950"/>
      <c r="M42" s="32"/>
      <c r="N42" s="950"/>
      <c r="O42" s="950"/>
      <c r="P42" s="952"/>
      <c r="Q42" s="952"/>
      <c r="R42" s="32"/>
      <c r="S42" s="952"/>
      <c r="T42" s="35"/>
      <c r="U42" s="952"/>
      <c r="V42" s="952"/>
      <c r="W42" s="950"/>
      <c r="X42" s="950"/>
      <c r="Y42" s="950"/>
      <c r="Z42" s="950"/>
      <c r="AA42" s="35"/>
      <c r="AB42" s="950"/>
      <c r="AC42" s="952"/>
      <c r="AD42" s="952"/>
      <c r="AE42" s="950"/>
      <c r="AF42" s="950"/>
      <c r="AG42" s="950"/>
      <c r="AH42" s="1292" t="s">
        <v>70</v>
      </c>
      <c r="AI42" s="1293"/>
      <c r="AJ42" s="121">
        <f>SUM(AJ39:AJ41)</f>
        <v>201485</v>
      </c>
      <c r="AK42" s="84"/>
      <c r="AL42" s="84"/>
      <c r="AM42" s="84"/>
      <c r="AN42" s="84"/>
      <c r="AO42" s="84"/>
      <c r="AP42" s="84"/>
      <c r="AQ42" s="84"/>
      <c r="AR42" s="84"/>
    </row>
    <row r="43" spans="1:44" ht="18" customHeight="1">
      <c r="A43" s="3"/>
      <c r="B43" s="4" t="s">
        <v>8</v>
      </c>
      <c r="C43" s="31"/>
      <c r="D43" s="5">
        <v>16</v>
      </c>
      <c r="E43" s="1228">
        <v>12</v>
      </c>
      <c r="F43" s="35"/>
      <c r="G43" s="710">
        <v>14</v>
      </c>
      <c r="H43" s="950">
        <v>28</v>
      </c>
      <c r="I43" s="5">
        <v>25</v>
      </c>
      <c r="J43" s="1228">
        <v>32</v>
      </c>
      <c r="K43" s="5">
        <v>18</v>
      </c>
      <c r="L43" s="950"/>
      <c r="M43" s="31"/>
      <c r="N43" s="950">
        <v>10</v>
      </c>
      <c r="O43" s="950">
        <v>7</v>
      </c>
      <c r="P43" s="950"/>
      <c r="Q43" s="950"/>
      <c r="R43" s="35"/>
      <c r="S43" s="950">
        <v>14</v>
      </c>
      <c r="T43" s="35"/>
      <c r="U43" s="950">
        <v>14</v>
      </c>
      <c r="V43" s="950">
        <v>10</v>
      </c>
      <c r="W43" s="950">
        <v>2</v>
      </c>
      <c r="X43" s="950">
        <v>7</v>
      </c>
      <c r="Y43" s="950">
        <v>15</v>
      </c>
      <c r="Z43" s="950">
        <v>6</v>
      </c>
      <c r="AA43" s="35"/>
      <c r="AB43" s="950">
        <v>25</v>
      </c>
      <c r="AC43" s="950">
        <v>2</v>
      </c>
      <c r="AD43" s="950">
        <v>0</v>
      </c>
      <c r="AE43" s="950">
        <v>4</v>
      </c>
      <c r="AF43" s="950">
        <v>15</v>
      </c>
      <c r="AG43" s="950">
        <v>4</v>
      </c>
      <c r="AH43" s="40">
        <f t="shared" ref="AH43" si="8">SUM(C43:AG43)</f>
        <v>280</v>
      </c>
      <c r="AI43" s="51">
        <v>1750</v>
      </c>
      <c r="AJ43" s="57">
        <f>AH43*AI43</f>
        <v>490000</v>
      </c>
      <c r="AK43" s="123"/>
      <c r="AL43" s="123"/>
      <c r="AM43" s="123"/>
      <c r="AN43" s="123"/>
      <c r="AO43" s="123"/>
      <c r="AP43" s="123"/>
      <c r="AQ43" s="123"/>
      <c r="AR43" s="123"/>
    </row>
    <row r="44" spans="1:44" s="16" customFormat="1" ht="18" customHeight="1">
      <c r="A44" s="11"/>
      <c r="B44" s="12" t="s">
        <v>9</v>
      </c>
      <c r="C44" s="35"/>
      <c r="D44" s="36"/>
      <c r="E44" s="1235"/>
      <c r="F44" s="1039"/>
      <c r="G44" s="959"/>
      <c r="H44" s="969"/>
      <c r="I44" s="14"/>
      <c r="J44" s="1235"/>
      <c r="K44" s="956">
        <f>134500/K37*K38-134500</f>
        <v>-46327.777777777781</v>
      </c>
      <c r="L44" s="950"/>
      <c r="M44" s="339"/>
      <c r="N44" s="950"/>
      <c r="O44" s="969"/>
      <c r="P44" s="968"/>
      <c r="Q44" s="968"/>
      <c r="R44" s="33"/>
      <c r="S44" s="968"/>
      <c r="T44" s="35"/>
      <c r="U44" s="968"/>
      <c r="V44" s="968"/>
      <c r="W44" s="959"/>
      <c r="X44" s="956"/>
      <c r="Y44" s="970"/>
      <c r="Z44" s="970"/>
      <c r="AA44" s="896"/>
      <c r="AB44" s="950"/>
      <c r="AC44" s="968"/>
      <c r="AD44" s="968"/>
      <c r="AE44" s="969"/>
      <c r="AF44" s="950"/>
      <c r="AG44" s="950"/>
      <c r="AH44" s="42">
        <f>SUM(C44:AG44)</f>
        <v>-46327.777777777781</v>
      </c>
      <c r="AI44" s="11"/>
      <c r="AJ44" s="58"/>
      <c r="AK44" s="85"/>
      <c r="AL44" s="85"/>
      <c r="AM44" s="85"/>
      <c r="AN44" s="85"/>
      <c r="AO44" s="85"/>
      <c r="AP44" s="85"/>
      <c r="AQ44" s="85"/>
      <c r="AR44" s="85"/>
    </row>
    <row r="45" spans="1:44" s="16" customFormat="1" ht="18" customHeight="1" thickBot="1">
      <c r="A45" s="69"/>
      <c r="B45" s="70"/>
      <c r="C45" s="72"/>
      <c r="D45" s="71"/>
      <c r="E45" s="1230"/>
      <c r="F45" s="1040"/>
      <c r="G45" s="954"/>
      <c r="H45" s="955"/>
      <c r="I45" s="1212"/>
      <c r="J45" s="1261"/>
      <c r="K45" s="1212"/>
      <c r="L45" s="955"/>
      <c r="M45" s="178"/>
      <c r="N45" s="955"/>
      <c r="O45" s="954"/>
      <c r="P45" s="954"/>
      <c r="Q45" s="954"/>
      <c r="R45" s="178"/>
      <c r="S45" s="954"/>
      <c r="T45" s="72"/>
      <c r="U45" s="954"/>
      <c r="V45" s="954"/>
      <c r="W45" s="955"/>
      <c r="X45" s="958"/>
      <c r="Y45" s="958"/>
      <c r="Z45" s="958"/>
      <c r="AA45" s="341"/>
      <c r="AB45" s="958"/>
      <c r="AC45" s="954"/>
      <c r="AD45" s="954"/>
      <c r="AE45" s="955"/>
      <c r="AF45" s="955"/>
      <c r="AG45" s="955"/>
      <c r="AH45" s="89"/>
      <c r="AI45" s="69"/>
      <c r="AJ45" s="75"/>
      <c r="AK45" s="86"/>
      <c r="AL45" s="86"/>
      <c r="AM45" s="86"/>
      <c r="AN45" s="86"/>
      <c r="AO45" s="86"/>
      <c r="AP45" s="86"/>
      <c r="AQ45" s="86"/>
      <c r="AR45" s="86"/>
    </row>
    <row r="46" spans="1:44" s="53" customFormat="1" ht="18" customHeight="1" thickBot="1">
      <c r="A46" s="64">
        <v>6</v>
      </c>
      <c r="B46" s="65" t="s">
        <v>72</v>
      </c>
      <c r="C46" s="647"/>
      <c r="D46" s="66">
        <v>1</v>
      </c>
      <c r="E46" s="1220">
        <v>1</v>
      </c>
      <c r="F46" s="68"/>
      <c r="G46" s="945">
        <v>1</v>
      </c>
      <c r="H46" s="933">
        <v>1</v>
      </c>
      <c r="I46" s="66">
        <v>1</v>
      </c>
      <c r="J46" s="1238">
        <v>1</v>
      </c>
      <c r="K46" s="67">
        <v>1</v>
      </c>
      <c r="L46" s="934">
        <v>1</v>
      </c>
      <c r="M46" s="647"/>
      <c r="N46" s="933">
        <v>1</v>
      </c>
      <c r="O46" s="933">
        <v>1</v>
      </c>
      <c r="P46" s="934">
        <v>1</v>
      </c>
      <c r="Q46" s="934">
        <v>1</v>
      </c>
      <c r="R46" s="68"/>
      <c r="S46" s="945">
        <v>1</v>
      </c>
      <c r="T46" s="68"/>
      <c r="U46" s="945">
        <v>1</v>
      </c>
      <c r="V46" s="933">
        <v>1</v>
      </c>
      <c r="W46" s="934">
        <v>1</v>
      </c>
      <c r="X46" s="934">
        <v>1</v>
      </c>
      <c r="Y46" s="933">
        <v>1</v>
      </c>
      <c r="Z46" s="934">
        <v>1</v>
      </c>
      <c r="AA46" s="68"/>
      <c r="AB46" s="934">
        <v>1</v>
      </c>
      <c r="AC46" s="933">
        <v>1</v>
      </c>
      <c r="AD46" s="933">
        <v>1</v>
      </c>
      <c r="AE46" s="940">
        <v>1</v>
      </c>
      <c r="AF46" s="933">
        <v>1</v>
      </c>
      <c r="AG46" s="933">
        <v>1</v>
      </c>
      <c r="AH46" s="87">
        <f>SUM(C46:AG46)</f>
        <v>25</v>
      </c>
      <c r="AI46" s="65"/>
      <c r="AJ46" s="74"/>
      <c r="AK46" s="215">
        <f>COUNTIF(C46:AG46,"CT")</f>
        <v>0</v>
      </c>
      <c r="AL46" s="215">
        <f>COUNTIF(C46:AG46,"CS")</f>
        <v>0</v>
      </c>
      <c r="AM46" s="215">
        <v>4</v>
      </c>
      <c r="AN46" s="215">
        <v>2</v>
      </c>
      <c r="AO46" s="215">
        <f>COUNTIF(C46:AG46,"CI")</f>
        <v>0</v>
      </c>
      <c r="AP46" s="316">
        <f>AH46+AK46+AL46+AM46+AN46+AO46</f>
        <v>31</v>
      </c>
      <c r="AQ46" s="215">
        <f>COUNTIF(C46:AG46,"CTH")</f>
        <v>0</v>
      </c>
      <c r="AR46" s="215">
        <f>COUNTIF(C46:AG46,"A")</f>
        <v>0</v>
      </c>
    </row>
    <row r="47" spans="1:44" s="53" customFormat="1" ht="18" customHeight="1">
      <c r="A47" s="61"/>
      <c r="B47" s="62" t="s">
        <v>27</v>
      </c>
      <c r="C47" s="108"/>
      <c r="D47" s="152" t="s">
        <v>404</v>
      </c>
      <c r="E47" s="1232" t="s">
        <v>405</v>
      </c>
      <c r="F47" s="897"/>
      <c r="G47" s="948" t="s">
        <v>401</v>
      </c>
      <c r="H47" s="947" t="s">
        <v>411</v>
      </c>
      <c r="I47" s="1052" t="s">
        <v>412</v>
      </c>
      <c r="J47" s="1234" t="s">
        <v>405</v>
      </c>
      <c r="K47" s="95" t="s">
        <v>413</v>
      </c>
      <c r="L47" s="946" t="s">
        <v>407</v>
      </c>
      <c r="M47" s="181"/>
      <c r="N47" s="946" t="s">
        <v>404</v>
      </c>
      <c r="O47" s="946" t="s">
        <v>415</v>
      </c>
      <c r="P47" s="948" t="s">
        <v>411</v>
      </c>
      <c r="Q47" s="948" t="s">
        <v>412</v>
      </c>
      <c r="R47" s="108"/>
      <c r="S47" s="948" t="s">
        <v>401</v>
      </c>
      <c r="T47" s="106"/>
      <c r="U47" s="949" t="s">
        <v>405</v>
      </c>
      <c r="V47" s="949" t="s">
        <v>413</v>
      </c>
      <c r="W47" s="946" t="s">
        <v>407</v>
      </c>
      <c r="X47" s="946" t="s">
        <v>407</v>
      </c>
      <c r="Y47" s="971" t="s">
        <v>411</v>
      </c>
      <c r="Z47" s="948" t="s">
        <v>412</v>
      </c>
      <c r="AA47" s="108"/>
      <c r="AB47" s="972" t="s">
        <v>401</v>
      </c>
      <c r="AC47" s="948" t="s">
        <v>603</v>
      </c>
      <c r="AD47" s="948" t="s">
        <v>401</v>
      </c>
      <c r="AE47" s="949" t="s">
        <v>405</v>
      </c>
      <c r="AF47" s="949" t="s">
        <v>413</v>
      </c>
      <c r="AG47" s="947" t="s">
        <v>407</v>
      </c>
      <c r="AH47" s="88"/>
      <c r="AI47" s="62"/>
      <c r="AJ47" s="63"/>
      <c r="AK47" s="165"/>
      <c r="AL47" s="165"/>
      <c r="AM47" s="165"/>
      <c r="AN47" s="165"/>
      <c r="AO47" s="165"/>
      <c r="AP47" s="165"/>
      <c r="AQ47" s="165"/>
      <c r="AR47" s="165"/>
    </row>
    <row r="48" spans="1:44" ht="18" customHeight="1">
      <c r="A48" s="3"/>
      <c r="B48" s="4" t="s">
        <v>6</v>
      </c>
      <c r="C48" s="35"/>
      <c r="D48" s="26">
        <v>90</v>
      </c>
      <c r="E48" s="1227">
        <v>103</v>
      </c>
      <c r="F48" s="35"/>
      <c r="G48" s="950">
        <v>103</v>
      </c>
      <c r="H48" s="950">
        <v>90</v>
      </c>
      <c r="I48" s="26">
        <v>90</v>
      </c>
      <c r="J48" s="1228">
        <v>103</v>
      </c>
      <c r="K48" s="5">
        <v>90</v>
      </c>
      <c r="L48" s="950">
        <v>90</v>
      </c>
      <c r="M48" s="35"/>
      <c r="N48" s="950">
        <v>90</v>
      </c>
      <c r="O48" s="950">
        <v>90</v>
      </c>
      <c r="P48" s="950">
        <v>90</v>
      </c>
      <c r="Q48" s="950">
        <v>90</v>
      </c>
      <c r="R48" s="35"/>
      <c r="S48" s="950">
        <v>103</v>
      </c>
      <c r="T48" s="35"/>
      <c r="U48" s="950">
        <v>103</v>
      </c>
      <c r="V48" s="950">
        <v>90</v>
      </c>
      <c r="W48" s="950">
        <v>90</v>
      </c>
      <c r="X48" s="950">
        <v>90</v>
      </c>
      <c r="Y48" s="710">
        <v>90</v>
      </c>
      <c r="Z48" s="950">
        <v>90</v>
      </c>
      <c r="AA48" s="35"/>
      <c r="AB48" s="950">
        <v>103</v>
      </c>
      <c r="AC48" s="950">
        <v>90</v>
      </c>
      <c r="AD48" s="950">
        <v>103</v>
      </c>
      <c r="AE48" s="950">
        <v>103</v>
      </c>
      <c r="AF48" s="950">
        <v>90</v>
      </c>
      <c r="AG48" s="950">
        <v>90</v>
      </c>
      <c r="AH48" s="40"/>
      <c r="AI48" s="3"/>
      <c r="AJ48" s="56"/>
      <c r="AK48" s="123"/>
      <c r="AL48" s="123"/>
      <c r="AM48" s="123"/>
      <c r="AN48" s="123"/>
      <c r="AO48" s="123"/>
      <c r="AP48" s="123"/>
      <c r="AQ48" s="123"/>
      <c r="AR48" s="123"/>
    </row>
    <row r="49" spans="1:44" ht="18" customHeight="1">
      <c r="A49" s="3"/>
      <c r="B49" s="4" t="s">
        <v>7</v>
      </c>
      <c r="C49" s="31"/>
      <c r="D49" s="5">
        <v>54</v>
      </c>
      <c r="E49" s="1228">
        <v>69</v>
      </c>
      <c r="F49" s="35"/>
      <c r="G49" s="710">
        <v>87</v>
      </c>
      <c r="H49" s="951">
        <v>42</v>
      </c>
      <c r="I49" s="5">
        <v>49</v>
      </c>
      <c r="J49" s="1228">
        <v>60</v>
      </c>
      <c r="K49" s="26">
        <v>43</v>
      </c>
      <c r="L49" s="950">
        <v>44</v>
      </c>
      <c r="M49" s="31"/>
      <c r="N49" s="710">
        <v>60</v>
      </c>
      <c r="O49" s="950">
        <v>68</v>
      </c>
      <c r="P49" s="710">
        <v>37</v>
      </c>
      <c r="Q49" s="710">
        <v>34</v>
      </c>
      <c r="R49" s="35"/>
      <c r="S49" s="950">
        <v>51</v>
      </c>
      <c r="T49" s="35"/>
      <c r="U49" s="710">
        <v>53</v>
      </c>
      <c r="V49" s="710">
        <v>39</v>
      </c>
      <c r="W49" s="950">
        <v>28</v>
      </c>
      <c r="X49" s="950">
        <v>29</v>
      </c>
      <c r="Y49" s="950">
        <v>22</v>
      </c>
      <c r="Z49" s="950">
        <v>20</v>
      </c>
      <c r="AA49" s="35"/>
      <c r="AB49" s="950">
        <v>58</v>
      </c>
      <c r="AC49" s="710">
        <v>20</v>
      </c>
      <c r="AD49" s="710">
        <v>27</v>
      </c>
      <c r="AE49" s="950">
        <v>43</v>
      </c>
      <c r="AF49" s="950">
        <v>43</v>
      </c>
      <c r="AG49" s="950">
        <v>20</v>
      </c>
      <c r="AH49" s="40">
        <f>SUM(C49:AG49)</f>
        <v>1100</v>
      </c>
      <c r="AI49" s="3"/>
      <c r="AJ49" s="56"/>
      <c r="AK49" s="123"/>
      <c r="AL49" s="123"/>
      <c r="AM49" s="123"/>
      <c r="AN49" s="123"/>
      <c r="AO49" s="123"/>
      <c r="AP49" s="123"/>
      <c r="AQ49" s="123"/>
      <c r="AR49" s="123"/>
    </row>
    <row r="50" spans="1:44" s="10" customFormat="1" ht="18" customHeight="1">
      <c r="A50" s="7"/>
      <c r="B50" s="8" t="s">
        <v>99</v>
      </c>
      <c r="C50" s="32"/>
      <c r="D50" s="9"/>
      <c r="E50" s="1229"/>
      <c r="F50" s="32"/>
      <c r="G50" s="952"/>
      <c r="H50" s="952"/>
      <c r="I50" s="9"/>
      <c r="J50" s="1229"/>
      <c r="K50" s="9"/>
      <c r="L50" s="952"/>
      <c r="M50" s="32"/>
      <c r="N50" s="952"/>
      <c r="O50" s="952"/>
      <c r="P50" s="952"/>
      <c r="Q50" s="952"/>
      <c r="R50" s="32"/>
      <c r="S50" s="952"/>
      <c r="T50" s="35"/>
      <c r="U50" s="952"/>
      <c r="V50" s="952"/>
      <c r="W50" s="952"/>
      <c r="X50" s="952"/>
      <c r="Y50" s="952"/>
      <c r="Z50" s="952"/>
      <c r="AA50" s="32"/>
      <c r="AB50" s="952"/>
      <c r="AC50" s="952"/>
      <c r="AD50" s="952"/>
      <c r="AE50" s="952"/>
      <c r="AF50" s="952"/>
      <c r="AG50" s="950"/>
      <c r="AH50" s="41">
        <f t="shared" ref="AH50:AH52" si="9">SUM(C50:AG50)</f>
        <v>0</v>
      </c>
      <c r="AI50" s="7">
        <v>1409</v>
      </c>
      <c r="AJ50" s="57">
        <f t="shared" ref="AJ50:AJ52" si="10">AH50*AI50</f>
        <v>0</v>
      </c>
      <c r="AK50" s="84"/>
      <c r="AL50" s="84"/>
      <c r="AM50" s="84"/>
      <c r="AN50" s="84"/>
      <c r="AO50" s="84"/>
      <c r="AP50" s="84"/>
      <c r="AQ50" s="84"/>
      <c r="AR50" s="84"/>
    </row>
    <row r="51" spans="1:44" s="10" customFormat="1" ht="18" customHeight="1">
      <c r="A51" s="7"/>
      <c r="B51" s="8" t="s">
        <v>118</v>
      </c>
      <c r="C51" s="32"/>
      <c r="D51" s="9"/>
      <c r="E51" s="1229">
        <v>69</v>
      </c>
      <c r="F51" s="32"/>
      <c r="G51" s="952"/>
      <c r="H51" s="952"/>
      <c r="I51" s="9"/>
      <c r="J51" s="1229">
        <v>60</v>
      </c>
      <c r="K51" s="9"/>
      <c r="L51" s="952"/>
      <c r="M51" s="32"/>
      <c r="N51" s="950"/>
      <c r="O51" s="952"/>
      <c r="P51" s="952"/>
      <c r="Q51" s="952"/>
      <c r="R51" s="32"/>
      <c r="S51" s="952"/>
      <c r="T51" s="35"/>
      <c r="U51" s="952"/>
      <c r="V51" s="952"/>
      <c r="W51" s="952"/>
      <c r="X51" s="952"/>
      <c r="Y51" s="952"/>
      <c r="Z51" s="952"/>
      <c r="AA51" s="32"/>
      <c r="AB51" s="952"/>
      <c r="AC51" s="952"/>
      <c r="AD51" s="952"/>
      <c r="AE51" s="953"/>
      <c r="AF51" s="952"/>
      <c r="AG51" s="950"/>
      <c r="AH51" s="41">
        <f t="shared" si="9"/>
        <v>129</v>
      </c>
      <c r="AI51" s="7">
        <v>1322</v>
      </c>
      <c r="AJ51" s="57">
        <f t="shared" si="10"/>
        <v>170538</v>
      </c>
      <c r="AK51" s="84"/>
      <c r="AL51" s="84"/>
      <c r="AM51" s="84"/>
      <c r="AN51" s="84"/>
      <c r="AO51" s="84"/>
      <c r="AP51" s="84"/>
      <c r="AQ51" s="84"/>
      <c r="AR51" s="84"/>
    </row>
    <row r="52" spans="1:44" s="10" customFormat="1" ht="18" customHeight="1">
      <c r="A52" s="7"/>
      <c r="B52" s="8" t="s">
        <v>396</v>
      </c>
      <c r="C52" s="32"/>
      <c r="D52" s="9"/>
      <c r="E52" s="1229"/>
      <c r="F52" s="32"/>
      <c r="G52" s="952"/>
      <c r="H52" s="952"/>
      <c r="I52" s="9"/>
      <c r="J52" s="1229"/>
      <c r="K52" s="9"/>
      <c r="L52" s="952"/>
      <c r="M52" s="32"/>
      <c r="N52" s="950"/>
      <c r="O52" s="952"/>
      <c r="P52" s="952"/>
      <c r="Q52" s="952"/>
      <c r="R52" s="32"/>
      <c r="S52" s="952"/>
      <c r="T52" s="35"/>
      <c r="U52" s="952"/>
      <c r="V52" s="952"/>
      <c r="W52" s="952"/>
      <c r="X52" s="952"/>
      <c r="Y52" s="952"/>
      <c r="Z52" s="952"/>
      <c r="AA52" s="32"/>
      <c r="AB52" s="952"/>
      <c r="AC52" s="952"/>
      <c r="AD52" s="952"/>
      <c r="AE52" s="952"/>
      <c r="AF52" s="952"/>
      <c r="AG52" s="950"/>
      <c r="AH52" s="41">
        <f t="shared" si="9"/>
        <v>0</v>
      </c>
      <c r="AI52" s="7">
        <v>1233</v>
      </c>
      <c r="AJ52" s="57">
        <f t="shared" si="10"/>
        <v>0</v>
      </c>
      <c r="AK52" s="84"/>
      <c r="AL52" s="84"/>
      <c r="AM52" s="84"/>
      <c r="AN52" s="84"/>
      <c r="AO52" s="84"/>
      <c r="AP52" s="84"/>
      <c r="AQ52" s="84"/>
      <c r="AR52" s="84"/>
    </row>
    <row r="53" spans="1:44" s="10" customFormat="1" ht="18" customHeight="1">
      <c r="A53" s="7"/>
      <c r="B53" s="7"/>
      <c r="C53" s="35"/>
      <c r="D53" s="26"/>
      <c r="E53" s="1227"/>
      <c r="F53" s="35"/>
      <c r="G53" s="952"/>
      <c r="H53" s="950"/>
      <c r="I53" s="9"/>
      <c r="J53" s="1229"/>
      <c r="K53" s="26"/>
      <c r="L53" s="950"/>
      <c r="M53" s="32"/>
      <c r="N53" s="950"/>
      <c r="O53" s="950"/>
      <c r="P53" s="952"/>
      <c r="Q53" s="952"/>
      <c r="R53" s="32"/>
      <c r="S53" s="952"/>
      <c r="T53" s="35"/>
      <c r="U53" s="952"/>
      <c r="V53" s="952"/>
      <c r="W53" s="950"/>
      <c r="X53" s="950"/>
      <c r="Y53" s="950"/>
      <c r="Z53" s="950"/>
      <c r="AA53" s="35"/>
      <c r="AB53" s="950"/>
      <c r="AC53" s="952"/>
      <c r="AD53" s="952"/>
      <c r="AE53" s="950"/>
      <c r="AF53" s="950"/>
      <c r="AG53" s="950"/>
      <c r="AH53" s="1292" t="s">
        <v>70</v>
      </c>
      <c r="AI53" s="1293"/>
      <c r="AJ53" s="121">
        <f>SUM(AJ50:AJ52)</f>
        <v>170538</v>
      </c>
      <c r="AK53" s="84"/>
      <c r="AL53" s="84"/>
      <c r="AM53" s="84"/>
      <c r="AN53" s="84"/>
      <c r="AO53" s="84"/>
      <c r="AP53" s="84"/>
      <c r="AQ53" s="84"/>
      <c r="AR53" s="84"/>
    </row>
    <row r="54" spans="1:44" ht="18" customHeight="1">
      <c r="A54" s="3"/>
      <c r="B54" s="4" t="s">
        <v>8</v>
      </c>
      <c r="C54" s="31"/>
      <c r="D54" s="5">
        <v>18</v>
      </c>
      <c r="E54" s="1228">
        <v>33</v>
      </c>
      <c r="F54" s="35"/>
      <c r="G54" s="710">
        <v>16</v>
      </c>
      <c r="H54" s="950">
        <v>12</v>
      </c>
      <c r="I54" s="5">
        <v>17</v>
      </c>
      <c r="J54" s="1228">
        <v>12</v>
      </c>
      <c r="K54" s="26">
        <v>7</v>
      </c>
      <c r="L54" s="950">
        <v>20</v>
      </c>
      <c r="M54" s="31"/>
      <c r="N54" s="950">
        <v>16</v>
      </c>
      <c r="O54" s="950">
        <v>15</v>
      </c>
      <c r="P54" s="950">
        <v>13</v>
      </c>
      <c r="Q54" s="950">
        <v>14</v>
      </c>
      <c r="R54" s="35"/>
      <c r="S54" s="950">
        <v>6</v>
      </c>
      <c r="T54" s="35"/>
      <c r="U54" s="950">
        <v>5</v>
      </c>
      <c r="V54" s="950">
        <v>6</v>
      </c>
      <c r="W54" s="950">
        <v>2</v>
      </c>
      <c r="X54" s="950">
        <v>6</v>
      </c>
      <c r="Y54" s="950">
        <v>8</v>
      </c>
      <c r="Z54" s="950">
        <v>6</v>
      </c>
      <c r="AA54" s="35"/>
      <c r="AB54" s="950">
        <v>5</v>
      </c>
      <c r="AC54" s="950">
        <v>2</v>
      </c>
      <c r="AD54" s="950">
        <v>2</v>
      </c>
      <c r="AE54" s="950">
        <v>4</v>
      </c>
      <c r="AF54" s="950">
        <v>7</v>
      </c>
      <c r="AG54" s="950">
        <v>2</v>
      </c>
      <c r="AH54" s="40">
        <f t="shared" ref="AH54" si="11">SUM(C54:AG54)</f>
        <v>254</v>
      </c>
      <c r="AI54" s="51">
        <v>1750</v>
      </c>
      <c r="AJ54" s="57">
        <f>AH54*AI54</f>
        <v>444500</v>
      </c>
      <c r="AK54" s="123"/>
      <c r="AL54" s="123"/>
      <c r="AM54" s="123"/>
      <c r="AN54" s="123"/>
      <c r="AO54" s="123"/>
      <c r="AP54" s="123"/>
      <c r="AQ54" s="123"/>
      <c r="AR54" s="123"/>
    </row>
    <row r="55" spans="1:44" s="16" customFormat="1" ht="18" customHeight="1">
      <c r="A55" s="11"/>
      <c r="B55" s="12" t="s">
        <v>9</v>
      </c>
      <c r="C55" s="35"/>
      <c r="D55" s="36"/>
      <c r="E55" s="1236"/>
      <c r="F55" s="1039"/>
      <c r="G55" s="968"/>
      <c r="H55" s="950"/>
      <c r="I55" s="14"/>
      <c r="J55" s="1241"/>
      <c r="K55" s="26"/>
      <c r="L55" s="954"/>
      <c r="M55" s="339"/>
      <c r="N55" s="956">
        <f>134500/N48*N49-134500</f>
        <v>-44833.333333333343</v>
      </c>
      <c r="O55" s="950"/>
      <c r="P55" s="968"/>
      <c r="Q55" s="968"/>
      <c r="R55" s="33"/>
      <c r="S55" s="968"/>
      <c r="T55" s="35"/>
      <c r="U55" s="968"/>
      <c r="V55" s="970"/>
      <c r="W55" s="950"/>
      <c r="X55" s="970"/>
      <c r="Y55" s="973"/>
      <c r="Z55" s="950"/>
      <c r="AA55" s="35"/>
      <c r="AB55" s="970"/>
      <c r="AC55" s="968"/>
      <c r="AD55" s="968"/>
      <c r="AE55" s="950"/>
      <c r="AF55" s="950"/>
      <c r="AG55" s="950"/>
      <c r="AH55" s="42">
        <f>SUM(C55:AG55)</f>
        <v>-44833.333333333343</v>
      </c>
      <c r="AI55" s="11"/>
      <c r="AJ55" s="58"/>
      <c r="AK55" s="85"/>
      <c r="AL55" s="85"/>
      <c r="AM55" s="85"/>
      <c r="AN55" s="85"/>
      <c r="AO55" s="85"/>
      <c r="AP55" s="85"/>
      <c r="AQ55" s="85"/>
      <c r="AR55" s="85"/>
    </row>
    <row r="56" spans="1:44" s="16" customFormat="1" ht="18" customHeight="1" thickBot="1">
      <c r="A56" s="69"/>
      <c r="B56" s="70"/>
      <c r="C56" s="72"/>
      <c r="D56" s="71"/>
      <c r="E56" s="1230"/>
      <c r="F56" s="1040"/>
      <c r="G56" s="954"/>
      <c r="H56" s="955"/>
      <c r="I56" s="1212"/>
      <c r="J56" s="1261"/>
      <c r="K56" s="1214"/>
      <c r="L56" s="955"/>
      <c r="M56" s="178"/>
      <c r="N56" s="955"/>
      <c r="O56" s="955"/>
      <c r="P56" s="954"/>
      <c r="Q56" s="954"/>
      <c r="R56" s="178"/>
      <c r="S56" s="954"/>
      <c r="T56" s="72"/>
      <c r="U56" s="954"/>
      <c r="V56" s="958"/>
      <c r="W56" s="955"/>
      <c r="X56" s="958"/>
      <c r="Y56" s="955"/>
      <c r="Z56" s="955"/>
      <c r="AA56" s="72"/>
      <c r="AB56" s="958"/>
      <c r="AC56" s="954"/>
      <c r="AD56" s="954"/>
      <c r="AE56" s="955"/>
      <c r="AF56" s="974"/>
      <c r="AG56" s="955"/>
      <c r="AH56" s="89"/>
      <c r="AI56" s="69"/>
      <c r="AJ56" s="75"/>
      <c r="AK56" s="86"/>
      <c r="AL56" s="86"/>
      <c r="AM56" s="86"/>
      <c r="AN56" s="86"/>
      <c r="AO56" s="86"/>
      <c r="AP56" s="86"/>
      <c r="AQ56" s="86"/>
      <c r="AR56" s="86"/>
    </row>
    <row r="57" spans="1:44" s="53" customFormat="1" ht="18" customHeight="1" thickBot="1">
      <c r="A57" s="64">
        <v>7</v>
      </c>
      <c r="B57" s="65" t="s">
        <v>78</v>
      </c>
      <c r="C57" s="647"/>
      <c r="D57" s="66">
        <v>1</v>
      </c>
      <c r="E57" s="1220">
        <v>1</v>
      </c>
      <c r="F57" s="68"/>
      <c r="G57" s="945">
        <v>1</v>
      </c>
      <c r="H57" s="933">
        <v>1</v>
      </c>
      <c r="I57" s="66">
        <v>1</v>
      </c>
      <c r="J57" s="1238">
        <v>1</v>
      </c>
      <c r="K57" s="66" t="s">
        <v>18</v>
      </c>
      <c r="L57" s="934">
        <v>1</v>
      </c>
      <c r="M57" s="647"/>
      <c r="N57" s="933">
        <v>1</v>
      </c>
      <c r="O57" s="933">
        <v>1</v>
      </c>
      <c r="P57" s="934">
        <v>1</v>
      </c>
      <c r="Q57" s="934">
        <v>1</v>
      </c>
      <c r="R57" s="68"/>
      <c r="S57" s="934">
        <v>1</v>
      </c>
      <c r="T57" s="68"/>
      <c r="U57" s="945">
        <v>1</v>
      </c>
      <c r="V57" s="933">
        <v>1</v>
      </c>
      <c r="W57" s="934">
        <v>1</v>
      </c>
      <c r="X57" s="945">
        <v>1</v>
      </c>
      <c r="Y57" s="933">
        <v>1</v>
      </c>
      <c r="Z57" s="934">
        <v>1</v>
      </c>
      <c r="AA57" s="68"/>
      <c r="AB57" s="934">
        <v>1</v>
      </c>
      <c r="AC57" s="933">
        <v>1</v>
      </c>
      <c r="AD57" s="933">
        <v>1</v>
      </c>
      <c r="AE57" s="940">
        <v>1</v>
      </c>
      <c r="AF57" s="933" t="s">
        <v>18</v>
      </c>
      <c r="AG57" s="933">
        <v>1</v>
      </c>
      <c r="AH57" s="87">
        <f>SUM(C57:AG57)</f>
        <v>23</v>
      </c>
      <c r="AI57" s="65"/>
      <c r="AJ57" s="74"/>
      <c r="AK57" s="215">
        <f>COUNTIF(C57:AG57,"CT")</f>
        <v>2</v>
      </c>
      <c r="AL57" s="215">
        <f>COUNTIF(C57:AG57,"CS")</f>
        <v>0</v>
      </c>
      <c r="AM57" s="215">
        <v>4</v>
      </c>
      <c r="AN57" s="215">
        <v>2</v>
      </c>
      <c r="AO57" s="215">
        <f>COUNTIF(C57:AG57,"CI")</f>
        <v>0</v>
      </c>
      <c r="AP57" s="316">
        <f>AH57+AK57+AL57+AM57+AN57+AO57</f>
        <v>31</v>
      </c>
      <c r="AQ57" s="215">
        <f>COUNTIF(C57:AG57,"CTH")</f>
        <v>0</v>
      </c>
      <c r="AR57" s="215">
        <f>COUNTIF(C57:AG57,"A")</f>
        <v>0</v>
      </c>
    </row>
    <row r="58" spans="1:44" s="53" customFormat="1" ht="18" customHeight="1">
      <c r="A58" s="61"/>
      <c r="B58" s="62" t="s">
        <v>27</v>
      </c>
      <c r="C58" s="108"/>
      <c r="D58" s="152" t="s">
        <v>404</v>
      </c>
      <c r="E58" s="1234" t="s">
        <v>404</v>
      </c>
      <c r="F58" s="1041"/>
      <c r="G58" s="948" t="s">
        <v>401</v>
      </c>
      <c r="H58" s="947" t="s">
        <v>411</v>
      </c>
      <c r="I58" s="1215" t="s">
        <v>401</v>
      </c>
      <c r="J58" s="1234" t="s">
        <v>405</v>
      </c>
      <c r="K58" s="95"/>
      <c r="L58" s="948" t="s">
        <v>407</v>
      </c>
      <c r="M58" s="181"/>
      <c r="N58" s="947" t="s">
        <v>404</v>
      </c>
      <c r="O58" s="948" t="s">
        <v>415</v>
      </c>
      <c r="P58" s="948" t="s">
        <v>411</v>
      </c>
      <c r="Q58" s="948" t="s">
        <v>412</v>
      </c>
      <c r="R58" s="108"/>
      <c r="S58" s="948" t="s">
        <v>401</v>
      </c>
      <c r="T58" s="1044"/>
      <c r="U58" s="949" t="s">
        <v>405</v>
      </c>
      <c r="V58" s="949" t="s">
        <v>413</v>
      </c>
      <c r="W58" s="946" t="s">
        <v>407</v>
      </c>
      <c r="X58" s="949" t="s">
        <v>404</v>
      </c>
      <c r="Y58" s="971" t="s">
        <v>411</v>
      </c>
      <c r="Z58" s="947" t="s">
        <v>412</v>
      </c>
      <c r="AA58" s="108"/>
      <c r="AB58" s="948" t="s">
        <v>401</v>
      </c>
      <c r="AC58" s="976" t="s">
        <v>603</v>
      </c>
      <c r="AD58" s="946" t="s">
        <v>401</v>
      </c>
      <c r="AE58" s="949" t="s">
        <v>405</v>
      </c>
      <c r="AF58" s="949"/>
      <c r="AG58" s="947" t="s">
        <v>407</v>
      </c>
      <c r="AH58" s="88"/>
      <c r="AI58" s="62"/>
      <c r="AJ58" s="63"/>
      <c r="AK58" s="165"/>
      <c r="AL58" s="165"/>
      <c r="AM58" s="165"/>
      <c r="AN58" s="165"/>
      <c r="AO58" s="165"/>
      <c r="AP58" s="165"/>
      <c r="AQ58" s="165"/>
      <c r="AR58" s="165"/>
    </row>
    <row r="59" spans="1:44" ht="18" customHeight="1">
      <c r="A59" s="3"/>
      <c r="B59" s="4" t="s">
        <v>6</v>
      </c>
      <c r="C59" s="35"/>
      <c r="D59" s="26">
        <v>90</v>
      </c>
      <c r="E59" s="1227">
        <v>90</v>
      </c>
      <c r="F59" s="35"/>
      <c r="G59" s="950">
        <v>103</v>
      </c>
      <c r="H59" s="950">
        <v>90</v>
      </c>
      <c r="I59" s="26">
        <v>103</v>
      </c>
      <c r="J59" s="1227">
        <v>103</v>
      </c>
      <c r="K59" s="26"/>
      <c r="L59" s="950">
        <v>90</v>
      </c>
      <c r="M59" s="35"/>
      <c r="N59" s="950">
        <v>90</v>
      </c>
      <c r="O59" s="950">
        <v>90</v>
      </c>
      <c r="P59" s="950">
        <v>90</v>
      </c>
      <c r="Q59" s="950">
        <v>90</v>
      </c>
      <c r="R59" s="35"/>
      <c r="S59" s="950">
        <v>103</v>
      </c>
      <c r="T59" s="35"/>
      <c r="U59" s="950">
        <v>103</v>
      </c>
      <c r="V59" s="950">
        <v>90</v>
      </c>
      <c r="W59" s="710">
        <v>90</v>
      </c>
      <c r="X59" s="950">
        <v>90</v>
      </c>
      <c r="Y59" s="710">
        <v>90</v>
      </c>
      <c r="Z59" s="710">
        <v>90</v>
      </c>
      <c r="AA59" s="35"/>
      <c r="AB59" s="950">
        <v>103</v>
      </c>
      <c r="AC59" s="950">
        <v>90</v>
      </c>
      <c r="AD59" s="950">
        <v>103</v>
      </c>
      <c r="AE59" s="950">
        <v>103</v>
      </c>
      <c r="AF59" s="950"/>
      <c r="AG59" s="950">
        <v>90</v>
      </c>
      <c r="AH59" s="40"/>
      <c r="AI59" s="3"/>
      <c r="AJ59" s="56"/>
      <c r="AK59" s="123"/>
      <c r="AL59" s="123"/>
      <c r="AM59" s="123"/>
      <c r="AN59" s="123"/>
      <c r="AO59" s="123"/>
      <c r="AP59" s="123"/>
      <c r="AQ59" s="123"/>
      <c r="AR59" s="123"/>
    </row>
    <row r="60" spans="1:44" ht="18" customHeight="1">
      <c r="A60" s="3"/>
      <c r="B60" s="4" t="s">
        <v>7</v>
      </c>
      <c r="C60" s="31"/>
      <c r="D60" s="5">
        <v>75</v>
      </c>
      <c r="E60" s="1228">
        <v>140</v>
      </c>
      <c r="F60" s="35"/>
      <c r="G60" s="710">
        <v>74</v>
      </c>
      <c r="H60" s="950">
        <v>53</v>
      </c>
      <c r="I60" s="5">
        <v>90</v>
      </c>
      <c r="J60" s="1228">
        <v>56</v>
      </c>
      <c r="K60" s="26"/>
      <c r="L60" s="950">
        <v>55</v>
      </c>
      <c r="M60" s="31"/>
      <c r="N60" s="950">
        <v>71</v>
      </c>
      <c r="O60" s="950">
        <v>36</v>
      </c>
      <c r="P60" s="710">
        <v>38</v>
      </c>
      <c r="Q60" s="710">
        <v>79</v>
      </c>
      <c r="R60" s="35"/>
      <c r="S60" s="950">
        <v>76</v>
      </c>
      <c r="T60" s="35"/>
      <c r="U60" s="710">
        <v>43</v>
      </c>
      <c r="V60" s="710">
        <v>43</v>
      </c>
      <c r="W60" s="950">
        <v>42</v>
      </c>
      <c r="X60" s="950">
        <v>31</v>
      </c>
      <c r="Y60" s="950">
        <v>35</v>
      </c>
      <c r="Z60" s="950">
        <v>29</v>
      </c>
      <c r="AA60" s="35"/>
      <c r="AB60" s="950">
        <v>40</v>
      </c>
      <c r="AC60" s="710">
        <v>25</v>
      </c>
      <c r="AD60" s="710">
        <v>36</v>
      </c>
      <c r="AE60" s="950">
        <v>31</v>
      </c>
      <c r="AF60" s="950"/>
      <c r="AG60" s="950">
        <v>36</v>
      </c>
      <c r="AH60" s="40">
        <f>SUM(C60:AG60)</f>
        <v>1234</v>
      </c>
      <c r="AI60" s="3"/>
      <c r="AJ60" s="56"/>
      <c r="AK60" s="123"/>
      <c r="AL60" s="123"/>
      <c r="AM60" s="123"/>
      <c r="AN60" s="123"/>
      <c r="AO60" s="123"/>
      <c r="AP60" s="123"/>
      <c r="AQ60" s="123"/>
      <c r="AR60" s="123"/>
    </row>
    <row r="61" spans="1:44" s="10" customFormat="1" ht="18" customHeight="1">
      <c r="A61" s="7"/>
      <c r="B61" s="8" t="s">
        <v>99</v>
      </c>
      <c r="C61" s="32"/>
      <c r="D61" s="9"/>
      <c r="E61" s="1229">
        <v>140</v>
      </c>
      <c r="F61" s="32"/>
      <c r="G61" s="952"/>
      <c r="H61" s="952"/>
      <c r="I61" s="9"/>
      <c r="J61" s="1229"/>
      <c r="K61" s="9"/>
      <c r="L61" s="952"/>
      <c r="M61" s="32"/>
      <c r="N61" s="952"/>
      <c r="O61" s="952"/>
      <c r="P61" s="952"/>
      <c r="Q61" s="952"/>
      <c r="R61" s="32"/>
      <c r="S61" s="952"/>
      <c r="T61" s="35"/>
      <c r="U61" s="952"/>
      <c r="V61" s="952"/>
      <c r="W61" s="952"/>
      <c r="X61" s="952"/>
      <c r="Y61" s="952"/>
      <c r="Z61" s="952"/>
      <c r="AA61" s="32"/>
      <c r="AB61" s="952"/>
      <c r="AC61" s="952"/>
      <c r="AD61" s="952"/>
      <c r="AE61" s="952"/>
      <c r="AF61" s="952"/>
      <c r="AG61" s="950"/>
      <c r="AH61" s="41">
        <f t="shared" ref="AH61:AH63" si="12">SUM(C61:AG61)</f>
        <v>140</v>
      </c>
      <c r="AI61" s="7">
        <v>1409</v>
      </c>
      <c r="AJ61" s="57">
        <f t="shared" ref="AJ61:AJ63" si="13">AH61*AI61</f>
        <v>197260</v>
      </c>
      <c r="AK61" s="84"/>
      <c r="AL61" s="84"/>
      <c r="AM61" s="84"/>
      <c r="AN61" s="84"/>
      <c r="AO61" s="84"/>
      <c r="AP61" s="84"/>
      <c r="AQ61" s="84"/>
      <c r="AR61" s="84"/>
    </row>
    <row r="62" spans="1:44" s="10" customFormat="1" ht="18" customHeight="1">
      <c r="A62" s="7"/>
      <c r="B62" s="8" t="s">
        <v>118</v>
      </c>
      <c r="C62" s="32"/>
      <c r="D62" s="9"/>
      <c r="E62" s="1229"/>
      <c r="F62" s="32"/>
      <c r="G62" s="952"/>
      <c r="H62" s="952"/>
      <c r="I62" s="9"/>
      <c r="J62" s="1229">
        <v>56</v>
      </c>
      <c r="K62" s="9"/>
      <c r="L62" s="952"/>
      <c r="M62" s="32"/>
      <c r="N62" s="950"/>
      <c r="O62" s="952"/>
      <c r="P62" s="952"/>
      <c r="Q62" s="952"/>
      <c r="R62" s="32"/>
      <c r="S62" s="952"/>
      <c r="T62" s="35"/>
      <c r="U62" s="952"/>
      <c r="V62" s="952"/>
      <c r="W62" s="952"/>
      <c r="X62" s="952"/>
      <c r="Y62" s="952"/>
      <c r="Z62" s="952"/>
      <c r="AA62" s="32"/>
      <c r="AB62" s="952"/>
      <c r="AC62" s="952"/>
      <c r="AD62" s="952"/>
      <c r="AE62" s="953"/>
      <c r="AF62" s="952"/>
      <c r="AG62" s="950"/>
      <c r="AH62" s="41">
        <f t="shared" si="12"/>
        <v>56</v>
      </c>
      <c r="AI62" s="7">
        <v>1322</v>
      </c>
      <c r="AJ62" s="57">
        <f t="shared" si="13"/>
        <v>74032</v>
      </c>
      <c r="AK62" s="84"/>
      <c r="AL62" s="84"/>
      <c r="AM62" s="84"/>
      <c r="AN62" s="84"/>
      <c r="AO62" s="84"/>
      <c r="AP62" s="84"/>
      <c r="AQ62" s="84"/>
      <c r="AR62" s="84"/>
    </row>
    <row r="63" spans="1:44" s="10" customFormat="1" ht="18" customHeight="1">
      <c r="A63" s="7"/>
      <c r="B63" s="8" t="s">
        <v>396</v>
      </c>
      <c r="C63" s="32"/>
      <c r="D63" s="9"/>
      <c r="E63" s="1229"/>
      <c r="F63" s="32"/>
      <c r="G63" s="952"/>
      <c r="H63" s="952"/>
      <c r="I63" s="9"/>
      <c r="J63" s="1229"/>
      <c r="K63" s="9"/>
      <c r="L63" s="952"/>
      <c r="M63" s="32"/>
      <c r="N63" s="950"/>
      <c r="O63" s="952"/>
      <c r="P63" s="952"/>
      <c r="Q63" s="952"/>
      <c r="R63" s="32"/>
      <c r="S63" s="952"/>
      <c r="T63" s="35"/>
      <c r="U63" s="952"/>
      <c r="V63" s="952"/>
      <c r="W63" s="952"/>
      <c r="X63" s="952"/>
      <c r="Y63" s="952"/>
      <c r="Z63" s="952"/>
      <c r="AA63" s="32"/>
      <c r="AB63" s="952"/>
      <c r="AC63" s="952"/>
      <c r="AD63" s="952"/>
      <c r="AE63" s="952"/>
      <c r="AF63" s="952"/>
      <c r="AG63" s="950"/>
      <c r="AH63" s="41">
        <f t="shared" si="12"/>
        <v>0</v>
      </c>
      <c r="AI63" s="7">
        <v>1233</v>
      </c>
      <c r="AJ63" s="57">
        <f t="shared" si="13"/>
        <v>0</v>
      </c>
      <c r="AK63" s="84"/>
      <c r="AL63" s="84"/>
      <c r="AM63" s="84"/>
      <c r="AN63" s="84"/>
      <c r="AO63" s="84"/>
      <c r="AP63" s="84"/>
      <c r="AQ63" s="84"/>
      <c r="AR63" s="84"/>
    </row>
    <row r="64" spans="1:44" s="10" customFormat="1" ht="18" customHeight="1">
      <c r="A64" s="7"/>
      <c r="B64" s="7"/>
      <c r="C64" s="35"/>
      <c r="D64" s="9"/>
      <c r="E64" s="1229"/>
      <c r="F64" s="32"/>
      <c r="G64" s="952"/>
      <c r="H64" s="950"/>
      <c r="I64" s="9"/>
      <c r="J64" s="1229"/>
      <c r="K64" s="26"/>
      <c r="L64" s="950"/>
      <c r="M64" s="32"/>
      <c r="N64" s="950"/>
      <c r="O64" s="950"/>
      <c r="P64" s="952"/>
      <c r="Q64" s="952"/>
      <c r="R64" s="32"/>
      <c r="S64" s="952"/>
      <c r="T64" s="35"/>
      <c r="U64" s="952"/>
      <c r="V64" s="952"/>
      <c r="W64" s="950"/>
      <c r="X64" s="950"/>
      <c r="Y64" s="950"/>
      <c r="Z64" s="950"/>
      <c r="AA64" s="35"/>
      <c r="AB64" s="950"/>
      <c r="AC64" s="952"/>
      <c r="AD64" s="952"/>
      <c r="AE64" s="950"/>
      <c r="AF64" s="950"/>
      <c r="AG64" s="950"/>
      <c r="AH64" s="1292" t="s">
        <v>70</v>
      </c>
      <c r="AI64" s="1293"/>
      <c r="AJ64" s="121">
        <f>SUM(AJ61:AJ63)</f>
        <v>271292</v>
      </c>
      <c r="AK64" s="84"/>
      <c r="AL64" s="84"/>
      <c r="AM64" s="84"/>
      <c r="AN64" s="84"/>
      <c r="AO64" s="84"/>
      <c r="AP64" s="84"/>
      <c r="AQ64" s="84"/>
      <c r="AR64" s="84"/>
    </row>
    <row r="65" spans="1:44" ht="18" customHeight="1">
      <c r="A65" s="3"/>
      <c r="B65" s="4" t="s">
        <v>8</v>
      </c>
      <c r="C65" s="31"/>
      <c r="D65" s="5">
        <v>24</v>
      </c>
      <c r="E65" s="1228">
        <v>32</v>
      </c>
      <c r="F65" s="35"/>
      <c r="G65" s="710">
        <v>15</v>
      </c>
      <c r="H65" s="950">
        <v>23</v>
      </c>
      <c r="I65" s="5">
        <v>18</v>
      </c>
      <c r="J65" s="1228">
        <v>11</v>
      </c>
      <c r="K65" s="26"/>
      <c r="L65" s="950">
        <v>40</v>
      </c>
      <c r="M65" s="31"/>
      <c r="N65" s="950">
        <v>21</v>
      </c>
      <c r="O65" s="950">
        <v>5</v>
      </c>
      <c r="P65" s="950">
        <v>17</v>
      </c>
      <c r="Q65" s="950">
        <v>40</v>
      </c>
      <c r="R65" s="35"/>
      <c r="S65" s="950">
        <v>11</v>
      </c>
      <c r="T65" s="35"/>
      <c r="U65" s="950">
        <v>3</v>
      </c>
      <c r="V65" s="950">
        <v>11</v>
      </c>
      <c r="W65" s="950">
        <v>11</v>
      </c>
      <c r="X65" s="950">
        <v>7</v>
      </c>
      <c r="Y65" s="950">
        <v>3</v>
      </c>
      <c r="Z65" s="950">
        <v>6</v>
      </c>
      <c r="AA65" s="35"/>
      <c r="AB65" s="950">
        <v>4</v>
      </c>
      <c r="AC65" s="950">
        <v>4</v>
      </c>
      <c r="AD65" s="950">
        <v>2</v>
      </c>
      <c r="AE65" s="950">
        <v>3</v>
      </c>
      <c r="AF65" s="950"/>
      <c r="AG65" s="950">
        <v>6</v>
      </c>
      <c r="AH65" s="40">
        <f>SUM(C65:AG65)</f>
        <v>317</v>
      </c>
      <c r="AI65" s="51">
        <v>1750</v>
      </c>
      <c r="AJ65" s="57">
        <f t="shared" ref="AJ65" si="14">AH65*AI65</f>
        <v>554750</v>
      </c>
      <c r="AK65" s="123"/>
      <c r="AL65" s="123"/>
      <c r="AM65" s="123"/>
      <c r="AN65" s="123"/>
      <c r="AO65" s="123"/>
      <c r="AP65" s="123"/>
      <c r="AQ65" s="123"/>
      <c r="AR65" s="123"/>
    </row>
    <row r="66" spans="1:44" s="16" customFormat="1" ht="18" customHeight="1">
      <c r="A66" s="11"/>
      <c r="B66" s="12" t="s">
        <v>9</v>
      </c>
      <c r="C66" s="35"/>
      <c r="D66" s="36"/>
      <c r="E66" s="1233"/>
      <c r="F66" s="1039"/>
      <c r="G66" s="968"/>
      <c r="H66" s="950"/>
      <c r="I66" s="14"/>
      <c r="J66" s="1241"/>
      <c r="K66" s="26"/>
      <c r="L66" s="950"/>
      <c r="M66" s="339"/>
      <c r="N66" s="950"/>
      <c r="O66" s="968"/>
      <c r="P66" s="969"/>
      <c r="Q66" s="956"/>
      <c r="R66" s="341"/>
      <c r="S66" s="958"/>
      <c r="T66" s="35"/>
      <c r="U66" s="956"/>
      <c r="V66" s="970"/>
      <c r="W66" s="977"/>
      <c r="X66" s="950"/>
      <c r="Y66" s="970"/>
      <c r="Z66" s="970"/>
      <c r="AA66" s="35"/>
      <c r="AB66" s="950"/>
      <c r="AC66" s="968"/>
      <c r="AD66" s="968"/>
      <c r="AE66" s="970"/>
      <c r="AF66" s="950"/>
      <c r="AG66" s="950"/>
      <c r="AH66" s="42">
        <f>SUM(C66:AG66)</f>
        <v>0</v>
      </c>
      <c r="AI66" s="11"/>
      <c r="AJ66" s="58"/>
      <c r="AK66" s="85"/>
      <c r="AL66" s="85"/>
      <c r="AM66" s="85"/>
      <c r="AN66" s="85"/>
      <c r="AO66" s="85"/>
      <c r="AP66" s="85"/>
      <c r="AQ66" s="85"/>
      <c r="AR66" s="85"/>
    </row>
    <row r="67" spans="1:44" s="16" customFormat="1" ht="18" customHeight="1" thickBot="1">
      <c r="A67" s="69"/>
      <c r="B67" s="70"/>
      <c r="C67" s="72"/>
      <c r="D67" s="71"/>
      <c r="E67" s="1230"/>
      <c r="F67" s="1040"/>
      <c r="G67" s="978"/>
      <c r="H67" s="955"/>
      <c r="I67" s="1216"/>
      <c r="J67" s="1263"/>
      <c r="K67" s="71"/>
      <c r="L67" s="955"/>
      <c r="M67" s="178"/>
      <c r="N67" s="955"/>
      <c r="O67" s="954"/>
      <c r="P67" s="954"/>
      <c r="Q67" s="954"/>
      <c r="R67" s="178"/>
      <c r="S67" s="954"/>
      <c r="T67" s="72"/>
      <c r="U67" s="954"/>
      <c r="V67" s="954"/>
      <c r="W67" s="955"/>
      <c r="X67" s="955"/>
      <c r="Y67" s="958"/>
      <c r="Z67" s="958"/>
      <c r="AA67" s="341"/>
      <c r="AB67" s="955"/>
      <c r="AC67" s="954"/>
      <c r="AD67" s="954"/>
      <c r="AE67" s="955"/>
      <c r="AF67" s="955"/>
      <c r="AG67" s="950"/>
      <c r="AH67" s="89"/>
      <c r="AI67" s="69"/>
      <c r="AJ67" s="75"/>
      <c r="AK67" s="86"/>
      <c r="AL67" s="86"/>
      <c r="AM67" s="86"/>
      <c r="AN67" s="86"/>
      <c r="AO67" s="86"/>
      <c r="AP67" s="86"/>
      <c r="AQ67" s="86"/>
      <c r="AR67" s="86"/>
    </row>
    <row r="68" spans="1:44" s="53" customFormat="1" ht="18" customHeight="1" thickBot="1">
      <c r="A68" s="64">
        <v>8</v>
      </c>
      <c r="B68" s="65" t="s">
        <v>91</v>
      </c>
      <c r="C68" s="647"/>
      <c r="D68" s="66">
        <v>1</v>
      </c>
      <c r="E68" s="1220">
        <v>1</v>
      </c>
      <c r="F68" s="68"/>
      <c r="G68" s="945">
        <v>1</v>
      </c>
      <c r="H68" s="933">
        <v>1</v>
      </c>
      <c r="I68" s="67">
        <v>1</v>
      </c>
      <c r="J68" s="1238">
        <v>1</v>
      </c>
      <c r="K68" s="66">
        <v>1</v>
      </c>
      <c r="L68" s="921" t="s">
        <v>18</v>
      </c>
      <c r="M68" s="647"/>
      <c r="N68" s="933">
        <v>1</v>
      </c>
      <c r="O68" s="933">
        <v>1</v>
      </c>
      <c r="P68" s="934">
        <v>1</v>
      </c>
      <c r="Q68" s="934">
        <v>1</v>
      </c>
      <c r="R68" s="68"/>
      <c r="S68" s="933">
        <v>1</v>
      </c>
      <c r="T68" s="68"/>
      <c r="U68" s="945">
        <v>1</v>
      </c>
      <c r="V68" s="933">
        <v>1</v>
      </c>
      <c r="W68" s="934">
        <v>1</v>
      </c>
      <c r="X68" s="945">
        <v>1</v>
      </c>
      <c r="Y68" s="933">
        <v>1</v>
      </c>
      <c r="Z68" s="934">
        <v>1</v>
      </c>
      <c r="AA68" s="68"/>
      <c r="AB68" s="934">
        <v>1</v>
      </c>
      <c r="AC68" s="933">
        <v>1</v>
      </c>
      <c r="AD68" s="933">
        <v>1</v>
      </c>
      <c r="AE68" s="940">
        <v>1</v>
      </c>
      <c r="AF68" s="933">
        <v>1</v>
      </c>
      <c r="AG68" s="933">
        <v>1</v>
      </c>
      <c r="AH68" s="87">
        <f>SUM(C68:AG68)</f>
        <v>24</v>
      </c>
      <c r="AI68" s="65"/>
      <c r="AJ68" s="74"/>
      <c r="AK68" s="215">
        <f>COUNTIF(C68:AG68,"CT")</f>
        <v>1</v>
      </c>
      <c r="AL68" s="215">
        <f>COUNTIF(C68:AG68,"CS")</f>
        <v>0</v>
      </c>
      <c r="AM68" s="215">
        <v>4</v>
      </c>
      <c r="AN68" s="215">
        <v>2</v>
      </c>
      <c r="AO68" s="215">
        <f>COUNTIF(C68:AG68,"CI")</f>
        <v>0</v>
      </c>
      <c r="AP68" s="316">
        <f>AH68+AK68+AL68+AM68+AN68+AO68</f>
        <v>31</v>
      </c>
      <c r="AQ68" s="215">
        <f>COUNTIF(C68:AG68,"CTH")</f>
        <v>0</v>
      </c>
      <c r="AR68" s="215">
        <f>COUNTIF(C68:AG68,"A")</f>
        <v>0</v>
      </c>
    </row>
    <row r="69" spans="1:44" s="53" customFormat="1" ht="18" customHeight="1">
      <c r="A69" s="61"/>
      <c r="B69" s="62" t="s">
        <v>27</v>
      </c>
      <c r="C69" s="106"/>
      <c r="D69" s="152" t="s">
        <v>404</v>
      </c>
      <c r="E69" s="1226" t="s">
        <v>405</v>
      </c>
      <c r="F69" s="181"/>
      <c r="G69" s="948" t="s">
        <v>405</v>
      </c>
      <c r="H69" s="946" t="s">
        <v>411</v>
      </c>
      <c r="I69" s="94" t="s">
        <v>401</v>
      </c>
      <c r="J69" s="1234" t="s">
        <v>413</v>
      </c>
      <c r="K69" s="95" t="s">
        <v>407</v>
      </c>
      <c r="L69" s="948"/>
      <c r="M69" s="181"/>
      <c r="N69" s="946" t="s">
        <v>404</v>
      </c>
      <c r="O69" s="947" t="s">
        <v>415</v>
      </c>
      <c r="P69" s="948" t="s">
        <v>411</v>
      </c>
      <c r="Q69" s="948" t="s">
        <v>412</v>
      </c>
      <c r="R69" s="108"/>
      <c r="S69" s="948" t="s">
        <v>401</v>
      </c>
      <c r="T69" s="593"/>
      <c r="U69" s="949" t="s">
        <v>405</v>
      </c>
      <c r="V69" s="949" t="s">
        <v>413</v>
      </c>
      <c r="W69" s="946" t="s">
        <v>407</v>
      </c>
      <c r="X69" s="946" t="s">
        <v>404</v>
      </c>
      <c r="Y69" s="979" t="s">
        <v>411</v>
      </c>
      <c r="Z69" s="947" t="s">
        <v>411</v>
      </c>
      <c r="AA69" s="108"/>
      <c r="AB69" s="948" t="s">
        <v>401</v>
      </c>
      <c r="AC69" s="948" t="s">
        <v>603</v>
      </c>
      <c r="AD69" s="948" t="s">
        <v>603</v>
      </c>
      <c r="AE69" s="949" t="s">
        <v>405</v>
      </c>
      <c r="AF69" s="949" t="s">
        <v>413</v>
      </c>
      <c r="AG69" s="947" t="s">
        <v>407</v>
      </c>
      <c r="AH69" s="88"/>
      <c r="AI69" s="62"/>
      <c r="AJ69" s="63"/>
      <c r="AK69" s="165"/>
      <c r="AL69" s="165"/>
      <c r="AM69" s="165"/>
      <c r="AN69" s="165"/>
      <c r="AO69" s="165"/>
      <c r="AP69" s="165"/>
      <c r="AQ69" s="165"/>
      <c r="AR69" s="165"/>
    </row>
    <row r="70" spans="1:44" ht="18" customHeight="1">
      <c r="A70" s="3"/>
      <c r="B70" s="4" t="s">
        <v>6</v>
      </c>
      <c r="C70" s="31"/>
      <c r="D70" s="26">
        <v>90</v>
      </c>
      <c r="E70" s="1227">
        <v>103</v>
      </c>
      <c r="F70" s="908"/>
      <c r="G70" s="950">
        <v>103</v>
      </c>
      <c r="H70" s="950">
        <v>90</v>
      </c>
      <c r="I70" s="26">
        <v>103</v>
      </c>
      <c r="J70" s="1227">
        <v>90</v>
      </c>
      <c r="K70" s="5">
        <v>90</v>
      </c>
      <c r="L70" s="950"/>
      <c r="M70" s="35"/>
      <c r="N70" s="950">
        <v>90</v>
      </c>
      <c r="O70" s="710">
        <v>90</v>
      </c>
      <c r="P70" s="710">
        <v>90</v>
      </c>
      <c r="Q70" s="950">
        <v>90</v>
      </c>
      <c r="R70" s="35"/>
      <c r="S70" s="950">
        <v>103</v>
      </c>
      <c r="T70" s="35"/>
      <c r="U70" s="950">
        <v>103</v>
      </c>
      <c r="V70" s="950">
        <v>90</v>
      </c>
      <c r="W70" s="710">
        <v>90</v>
      </c>
      <c r="X70" s="980">
        <v>90</v>
      </c>
      <c r="Y70" s="710">
        <v>90</v>
      </c>
      <c r="Z70" s="710">
        <v>90</v>
      </c>
      <c r="AA70" s="35"/>
      <c r="AB70" s="710">
        <v>103</v>
      </c>
      <c r="AC70" s="710">
        <v>90</v>
      </c>
      <c r="AD70" s="710">
        <v>90</v>
      </c>
      <c r="AE70" s="951">
        <v>103</v>
      </c>
      <c r="AF70" s="950">
        <v>90</v>
      </c>
      <c r="AG70" s="950">
        <v>90</v>
      </c>
      <c r="AH70" s="40"/>
      <c r="AI70" s="3"/>
      <c r="AJ70" s="56"/>
      <c r="AK70" s="123"/>
      <c r="AL70" s="123"/>
      <c r="AM70" s="123"/>
      <c r="AN70" s="123"/>
      <c r="AO70" s="123"/>
      <c r="AP70" s="123"/>
      <c r="AQ70" s="123"/>
      <c r="AR70" s="123"/>
    </row>
    <row r="71" spans="1:44" ht="18" customHeight="1">
      <c r="A71" s="3"/>
      <c r="B71" s="4" t="s">
        <v>7</v>
      </c>
      <c r="C71" s="31"/>
      <c r="D71" s="5">
        <v>46</v>
      </c>
      <c r="E71" s="1228">
        <v>50</v>
      </c>
      <c r="F71" s="35"/>
      <c r="G71" s="710">
        <v>208</v>
      </c>
      <c r="H71" s="950">
        <v>27</v>
      </c>
      <c r="I71" s="5">
        <v>57</v>
      </c>
      <c r="J71" s="1228">
        <v>50</v>
      </c>
      <c r="K71" s="26">
        <v>53</v>
      </c>
      <c r="L71" s="950"/>
      <c r="M71" s="31"/>
      <c r="N71" s="950">
        <v>56</v>
      </c>
      <c r="O71" s="950">
        <v>29</v>
      </c>
      <c r="P71" s="710">
        <v>16</v>
      </c>
      <c r="Q71" s="710">
        <v>36</v>
      </c>
      <c r="R71" s="35"/>
      <c r="S71" s="950">
        <v>58</v>
      </c>
      <c r="T71" s="35"/>
      <c r="U71" s="710">
        <v>63</v>
      </c>
      <c r="V71" s="710">
        <v>43</v>
      </c>
      <c r="W71" s="950">
        <v>48</v>
      </c>
      <c r="X71" s="950">
        <v>23</v>
      </c>
      <c r="Y71" s="950">
        <v>14</v>
      </c>
      <c r="Z71" s="950">
        <v>25</v>
      </c>
      <c r="AA71" s="35"/>
      <c r="AB71" s="950">
        <v>51</v>
      </c>
      <c r="AC71" s="710">
        <v>20</v>
      </c>
      <c r="AD71" s="710">
        <v>17</v>
      </c>
      <c r="AE71" s="950">
        <v>40</v>
      </c>
      <c r="AF71" s="950">
        <v>30</v>
      </c>
      <c r="AG71" s="950">
        <v>22</v>
      </c>
      <c r="AH71" s="40">
        <f>SUM(C71:AG71)</f>
        <v>1082</v>
      </c>
      <c r="AI71" s="3"/>
      <c r="AJ71" s="56"/>
      <c r="AK71" s="123"/>
      <c r="AL71" s="123"/>
      <c r="AM71" s="123"/>
      <c r="AN71" s="123"/>
      <c r="AO71" s="123"/>
      <c r="AP71" s="123"/>
      <c r="AQ71" s="123"/>
      <c r="AR71" s="123"/>
    </row>
    <row r="72" spans="1:44" s="10" customFormat="1" ht="18" customHeight="1">
      <c r="A72" s="7"/>
      <c r="B72" s="8" t="s">
        <v>99</v>
      </c>
      <c r="C72" s="32"/>
      <c r="D72" s="9"/>
      <c r="E72" s="1229"/>
      <c r="F72" s="32"/>
      <c r="G72" s="952"/>
      <c r="H72" s="952"/>
      <c r="I72" s="9"/>
      <c r="J72" s="1229">
        <v>50</v>
      </c>
      <c r="K72" s="9"/>
      <c r="L72" s="952"/>
      <c r="M72" s="32"/>
      <c r="N72" s="952"/>
      <c r="O72" s="952"/>
      <c r="P72" s="952"/>
      <c r="Q72" s="952"/>
      <c r="R72" s="32"/>
      <c r="S72" s="952"/>
      <c r="T72" s="35"/>
      <c r="U72" s="952"/>
      <c r="V72" s="952"/>
      <c r="W72" s="952"/>
      <c r="X72" s="952"/>
      <c r="Y72" s="952"/>
      <c r="Z72" s="952"/>
      <c r="AA72" s="32"/>
      <c r="AB72" s="952"/>
      <c r="AC72" s="952"/>
      <c r="AD72" s="952"/>
      <c r="AE72" s="952"/>
      <c r="AF72" s="952"/>
      <c r="AG72" s="950"/>
      <c r="AH72" s="41">
        <f t="shared" ref="AH72:AH74" si="15">SUM(C72:AG72)</f>
        <v>50</v>
      </c>
      <c r="AI72" s="7">
        <v>1409</v>
      </c>
      <c r="AJ72" s="57">
        <f t="shared" ref="AJ72:AJ73" si="16">AH72*AI72</f>
        <v>70450</v>
      </c>
      <c r="AK72" s="84"/>
      <c r="AL72" s="84"/>
      <c r="AM72" s="84"/>
      <c r="AN72" s="84"/>
      <c r="AO72" s="84"/>
      <c r="AP72" s="84"/>
      <c r="AQ72" s="84"/>
      <c r="AR72" s="84"/>
    </row>
    <row r="73" spans="1:44" s="10" customFormat="1" ht="18" customHeight="1">
      <c r="A73" s="7"/>
      <c r="B73" s="8" t="s">
        <v>118</v>
      </c>
      <c r="C73" s="32"/>
      <c r="D73" s="9"/>
      <c r="E73" s="1229">
        <v>50</v>
      </c>
      <c r="F73" s="32"/>
      <c r="G73" s="952">
        <v>105</v>
      </c>
      <c r="H73" s="952"/>
      <c r="I73" s="9"/>
      <c r="J73" s="1229"/>
      <c r="K73" s="9"/>
      <c r="L73" s="952"/>
      <c r="M73" s="32"/>
      <c r="N73" s="950"/>
      <c r="O73" s="952"/>
      <c r="P73" s="952"/>
      <c r="Q73" s="952"/>
      <c r="R73" s="32"/>
      <c r="S73" s="952"/>
      <c r="T73" s="35"/>
      <c r="U73" s="952"/>
      <c r="V73" s="952"/>
      <c r="W73" s="952"/>
      <c r="X73" s="952"/>
      <c r="Y73" s="952"/>
      <c r="Z73" s="952"/>
      <c r="AA73" s="32"/>
      <c r="AB73" s="952"/>
      <c r="AC73" s="952"/>
      <c r="AD73" s="952"/>
      <c r="AE73" s="953"/>
      <c r="AF73" s="952"/>
      <c r="AG73" s="950"/>
      <c r="AH73" s="41">
        <f t="shared" si="15"/>
        <v>155</v>
      </c>
      <c r="AI73" s="7">
        <v>1322</v>
      </c>
      <c r="AJ73" s="57">
        <f t="shared" si="16"/>
        <v>204910</v>
      </c>
      <c r="AK73" s="84"/>
      <c r="AL73" s="84"/>
      <c r="AM73" s="84"/>
      <c r="AN73" s="84"/>
      <c r="AO73" s="84"/>
      <c r="AP73" s="84"/>
      <c r="AQ73" s="84"/>
      <c r="AR73" s="84"/>
    </row>
    <row r="74" spans="1:44" s="10" customFormat="1" ht="18" customHeight="1">
      <c r="A74" s="7"/>
      <c r="B74" s="8" t="s">
        <v>396</v>
      </c>
      <c r="C74" s="32"/>
      <c r="D74" s="9"/>
      <c r="E74" s="1229"/>
      <c r="F74" s="32"/>
      <c r="G74" s="952"/>
      <c r="H74" s="952"/>
      <c r="I74" s="9"/>
      <c r="J74" s="1229"/>
      <c r="K74" s="9"/>
      <c r="L74" s="952"/>
      <c r="M74" s="32"/>
      <c r="N74" s="950"/>
      <c r="O74" s="952"/>
      <c r="P74" s="952"/>
      <c r="Q74" s="952"/>
      <c r="R74" s="32"/>
      <c r="S74" s="952"/>
      <c r="T74" s="35"/>
      <c r="U74" s="952"/>
      <c r="V74" s="952"/>
      <c r="W74" s="952"/>
      <c r="X74" s="952"/>
      <c r="Y74" s="952"/>
      <c r="Z74" s="952"/>
      <c r="AA74" s="32"/>
      <c r="AB74" s="952"/>
      <c r="AC74" s="952"/>
      <c r="AD74" s="952"/>
      <c r="AE74" s="952"/>
      <c r="AF74" s="952"/>
      <c r="AG74" s="950"/>
      <c r="AH74" s="41">
        <f t="shared" si="15"/>
        <v>0</v>
      </c>
      <c r="AI74" s="7">
        <v>1233</v>
      </c>
      <c r="AJ74" s="57">
        <f t="shared" ref="AJ74" si="17">AH74*AI74</f>
        <v>0</v>
      </c>
      <c r="AK74" s="84"/>
      <c r="AL74" s="84"/>
      <c r="AM74" s="84"/>
      <c r="AN74" s="84"/>
      <c r="AO74" s="84"/>
      <c r="AP74" s="84"/>
      <c r="AQ74" s="84"/>
      <c r="AR74" s="84"/>
    </row>
    <row r="75" spans="1:44" s="10" customFormat="1" ht="18" customHeight="1">
      <c r="A75" s="7"/>
      <c r="B75" s="7"/>
      <c r="C75" s="35"/>
      <c r="D75" s="9"/>
      <c r="E75" s="1229"/>
      <c r="F75" s="32"/>
      <c r="G75" s="952"/>
      <c r="H75" s="950"/>
      <c r="I75" s="9"/>
      <c r="J75" s="1229"/>
      <c r="K75" s="26"/>
      <c r="L75" s="950"/>
      <c r="M75" s="32"/>
      <c r="N75" s="950"/>
      <c r="O75" s="950"/>
      <c r="P75" s="952"/>
      <c r="Q75" s="952"/>
      <c r="R75" s="32"/>
      <c r="S75" s="952"/>
      <c r="T75" s="35"/>
      <c r="U75" s="952"/>
      <c r="V75" s="952"/>
      <c r="W75" s="950"/>
      <c r="X75" s="950"/>
      <c r="Y75" s="950"/>
      <c r="Z75" s="950"/>
      <c r="AA75" s="35"/>
      <c r="AB75" s="950"/>
      <c r="AC75" s="952"/>
      <c r="AD75" s="952"/>
      <c r="AE75" s="950"/>
      <c r="AF75" s="950"/>
      <c r="AG75" s="950"/>
      <c r="AH75" s="1292" t="s">
        <v>70</v>
      </c>
      <c r="AI75" s="1293"/>
      <c r="AJ75" s="121">
        <f>SUM(AJ72:AJ74)</f>
        <v>275360</v>
      </c>
      <c r="AK75" s="84"/>
      <c r="AL75" s="84"/>
      <c r="AM75" s="84"/>
      <c r="AN75" s="84"/>
      <c r="AO75" s="84"/>
      <c r="AP75" s="84"/>
      <c r="AQ75" s="84"/>
      <c r="AR75" s="84"/>
    </row>
    <row r="76" spans="1:44" s="10" customFormat="1" ht="18" customHeight="1">
      <c r="A76" s="7"/>
      <c r="B76" s="4" t="s">
        <v>8</v>
      </c>
      <c r="C76" s="31"/>
      <c r="D76" s="5">
        <v>13</v>
      </c>
      <c r="E76" s="1228">
        <v>9</v>
      </c>
      <c r="F76" s="35"/>
      <c r="G76" s="710">
        <v>55</v>
      </c>
      <c r="H76" s="950">
        <v>14</v>
      </c>
      <c r="I76" s="5">
        <v>6</v>
      </c>
      <c r="J76" s="1228">
        <v>6</v>
      </c>
      <c r="K76" s="26">
        <v>19</v>
      </c>
      <c r="L76" s="950"/>
      <c r="M76" s="31"/>
      <c r="N76" s="950">
        <v>23</v>
      </c>
      <c r="O76" s="950">
        <v>6</v>
      </c>
      <c r="P76" s="950">
        <v>2</v>
      </c>
      <c r="Q76" s="950">
        <v>18</v>
      </c>
      <c r="R76" s="35"/>
      <c r="S76" s="950">
        <v>4</v>
      </c>
      <c r="T76" s="35"/>
      <c r="U76" s="950">
        <v>6</v>
      </c>
      <c r="V76" s="950">
        <v>9</v>
      </c>
      <c r="W76" s="950">
        <v>6</v>
      </c>
      <c r="X76" s="950">
        <v>3</v>
      </c>
      <c r="Y76" s="950">
        <v>1</v>
      </c>
      <c r="Z76" s="950">
        <v>10</v>
      </c>
      <c r="AA76" s="35"/>
      <c r="AB76" s="950">
        <v>2</v>
      </c>
      <c r="AC76" s="950">
        <v>2</v>
      </c>
      <c r="AD76" s="950">
        <v>1</v>
      </c>
      <c r="AE76" s="950">
        <v>3</v>
      </c>
      <c r="AF76" s="950">
        <v>5</v>
      </c>
      <c r="AG76" s="950">
        <v>2</v>
      </c>
      <c r="AH76" s="40">
        <f>SUM(C76:AG76)</f>
        <v>225</v>
      </c>
      <c r="AI76" s="51">
        <v>1750</v>
      </c>
      <c r="AJ76" s="57">
        <f t="shared" ref="AJ76" si="18">AH76*AI76</f>
        <v>393750</v>
      </c>
      <c r="AK76" s="84"/>
      <c r="AL76" s="84"/>
      <c r="AM76" s="84"/>
      <c r="AN76" s="84"/>
      <c r="AO76" s="84"/>
      <c r="AP76" s="84"/>
      <c r="AQ76" s="84"/>
      <c r="AR76" s="84"/>
    </row>
    <row r="77" spans="1:44" s="10" customFormat="1" ht="18" customHeight="1">
      <c r="A77" s="7"/>
      <c r="B77" s="12" t="s">
        <v>9</v>
      </c>
      <c r="C77" s="35"/>
      <c r="D77" s="136"/>
      <c r="E77" s="1236"/>
      <c r="F77" s="341"/>
      <c r="G77" s="968"/>
      <c r="H77" s="950"/>
      <c r="I77" s="14"/>
      <c r="J77" s="1235"/>
      <c r="K77" s="136"/>
      <c r="L77" s="954"/>
      <c r="M77" s="339"/>
      <c r="N77" s="950"/>
      <c r="O77" s="968"/>
      <c r="P77" s="958"/>
      <c r="Q77" s="958"/>
      <c r="R77" s="341"/>
      <c r="S77" s="958"/>
      <c r="T77" s="894"/>
      <c r="U77" s="958"/>
      <c r="V77" s="958"/>
      <c r="W77" s="956"/>
      <c r="X77" s="958"/>
      <c r="Y77" s="956">
        <f>134500/Y70*Y71-134500</f>
        <v>-113577.77777777778</v>
      </c>
      <c r="Z77" s="956"/>
      <c r="AA77" s="339"/>
      <c r="AB77" s="968"/>
      <c r="AC77" s="950"/>
      <c r="AD77" s="956"/>
      <c r="AE77" s="956"/>
      <c r="AF77" s="950"/>
      <c r="AG77" s="950"/>
      <c r="AH77" s="42">
        <f>SUM(C77:AG77)</f>
        <v>-113577.77777777778</v>
      </c>
      <c r="AI77" s="11"/>
      <c r="AJ77" s="58"/>
      <c r="AK77" s="84"/>
      <c r="AL77" s="84"/>
      <c r="AM77" s="84"/>
      <c r="AN77" s="84"/>
      <c r="AO77" s="84"/>
      <c r="AP77" s="84"/>
      <c r="AQ77" s="84"/>
      <c r="AR77" s="84"/>
    </row>
    <row r="78" spans="1:44" s="16" customFormat="1" ht="18" customHeight="1" thickBot="1">
      <c r="A78" s="69"/>
      <c r="B78" s="70"/>
      <c r="C78" s="72"/>
      <c r="D78" s="71"/>
      <c r="E78" s="1230"/>
      <c r="F78" s="1040"/>
      <c r="G78" s="978"/>
      <c r="H78" s="955"/>
      <c r="I78" s="1216"/>
      <c r="J78" s="1263"/>
      <c r="K78" s="71"/>
      <c r="L78" s="955"/>
      <c r="M78" s="178"/>
      <c r="N78" s="955"/>
      <c r="O78" s="954"/>
      <c r="P78" s="954"/>
      <c r="Q78" s="954"/>
      <c r="R78" s="178"/>
      <c r="S78" s="954"/>
      <c r="T78" s="72"/>
      <c r="U78" s="954"/>
      <c r="V78" s="954"/>
      <c r="W78" s="955"/>
      <c r="X78" s="955"/>
      <c r="Y78" s="955"/>
      <c r="Z78" s="958"/>
      <c r="AA78" s="341"/>
      <c r="AB78" s="958"/>
      <c r="AC78" s="954"/>
      <c r="AD78" s="954"/>
      <c r="AE78" s="955"/>
      <c r="AF78" s="955"/>
      <c r="AG78" s="955"/>
      <c r="AH78" s="89"/>
      <c r="AI78" s="69"/>
      <c r="AJ78" s="75"/>
      <c r="AK78" s="86"/>
      <c r="AL78" s="86"/>
      <c r="AM78" s="86"/>
      <c r="AN78" s="86"/>
      <c r="AO78" s="86"/>
      <c r="AP78" s="86"/>
      <c r="AQ78" s="86"/>
      <c r="AR78" s="86"/>
    </row>
    <row r="79" spans="1:44" s="53" customFormat="1" ht="18" customHeight="1" thickBot="1">
      <c r="A79" s="64">
        <v>9</v>
      </c>
      <c r="B79" s="65" t="s">
        <v>92</v>
      </c>
      <c r="C79" s="647"/>
      <c r="D79" s="66">
        <v>1</v>
      </c>
      <c r="E79" s="1220">
        <v>1</v>
      </c>
      <c r="F79" s="68"/>
      <c r="G79" s="945">
        <v>1</v>
      </c>
      <c r="H79" s="933">
        <v>1</v>
      </c>
      <c r="I79" s="67">
        <v>1</v>
      </c>
      <c r="J79" s="1220">
        <v>1</v>
      </c>
      <c r="K79" s="66">
        <v>1</v>
      </c>
      <c r="L79" s="934">
        <v>1</v>
      </c>
      <c r="M79" s="647"/>
      <c r="N79" s="933">
        <v>1</v>
      </c>
      <c r="O79" s="933">
        <v>1</v>
      </c>
      <c r="P79" s="933">
        <v>1</v>
      </c>
      <c r="Q79" s="940">
        <v>1</v>
      </c>
      <c r="R79" s="68"/>
      <c r="S79" s="934">
        <v>1</v>
      </c>
      <c r="T79" s="68"/>
      <c r="U79" s="940">
        <v>1</v>
      </c>
      <c r="V79" s="933">
        <v>1</v>
      </c>
      <c r="W79" s="934">
        <v>1</v>
      </c>
      <c r="X79" s="945">
        <v>1</v>
      </c>
      <c r="Y79" s="933">
        <v>1</v>
      </c>
      <c r="Z79" s="934">
        <v>1</v>
      </c>
      <c r="AA79" s="68"/>
      <c r="AB79" s="934">
        <v>1</v>
      </c>
      <c r="AC79" s="933">
        <v>1</v>
      </c>
      <c r="AD79" s="933">
        <v>1</v>
      </c>
      <c r="AE79" s="940">
        <v>1</v>
      </c>
      <c r="AF79" s="933">
        <v>1</v>
      </c>
      <c r="AG79" s="933">
        <v>1</v>
      </c>
      <c r="AH79" s="87">
        <f>SUM(C79:AG79)</f>
        <v>25</v>
      </c>
      <c r="AI79" s="65"/>
      <c r="AJ79" s="74"/>
      <c r="AK79" s="215">
        <f>COUNTIF(C79:AG79,"CT")</f>
        <v>0</v>
      </c>
      <c r="AL79" s="215">
        <f>COUNTIF(C79:AG79,"CS")</f>
        <v>0</v>
      </c>
      <c r="AM79" s="215">
        <v>4</v>
      </c>
      <c r="AN79" s="215">
        <v>2</v>
      </c>
      <c r="AO79" s="215">
        <f>COUNTIF(C79:AG79,"CI")</f>
        <v>0</v>
      </c>
      <c r="AP79" s="316">
        <f>AH79+AK79+AL79+AM79+AN79+AO79</f>
        <v>31</v>
      </c>
      <c r="AQ79" s="215">
        <f>COUNTIF(C79:AG79,"CTH")</f>
        <v>0</v>
      </c>
      <c r="AR79" s="215">
        <f>COUNTIF(C79:AG79,"A")</f>
        <v>0</v>
      </c>
    </row>
    <row r="80" spans="1:44" s="53" customFormat="1" ht="18" customHeight="1">
      <c r="A80" s="61"/>
      <c r="B80" s="62" t="s">
        <v>27</v>
      </c>
      <c r="C80" s="108"/>
      <c r="D80" s="152" t="s">
        <v>404</v>
      </c>
      <c r="E80" s="1232" t="s">
        <v>405</v>
      </c>
      <c r="F80" s="108"/>
      <c r="G80" s="948" t="s">
        <v>401</v>
      </c>
      <c r="H80" s="976" t="s">
        <v>401</v>
      </c>
      <c r="I80" s="95" t="s">
        <v>411</v>
      </c>
      <c r="J80" s="1264" t="s">
        <v>413</v>
      </c>
      <c r="K80" s="95" t="s">
        <v>413</v>
      </c>
      <c r="L80" s="948" t="s">
        <v>407</v>
      </c>
      <c r="M80" s="181"/>
      <c r="N80" s="946" t="s">
        <v>404</v>
      </c>
      <c r="O80" s="946" t="s">
        <v>415</v>
      </c>
      <c r="P80" s="947" t="s">
        <v>411</v>
      </c>
      <c r="Q80" s="947" t="s">
        <v>412</v>
      </c>
      <c r="R80" s="108"/>
      <c r="S80" s="948" t="s">
        <v>401</v>
      </c>
      <c r="T80" s="106"/>
      <c r="U80" s="947" t="s">
        <v>413</v>
      </c>
      <c r="V80" s="947" t="s">
        <v>413</v>
      </c>
      <c r="W80" s="949" t="s">
        <v>407</v>
      </c>
      <c r="X80" s="949" t="s">
        <v>404</v>
      </c>
      <c r="Y80" s="971" t="s">
        <v>411</v>
      </c>
      <c r="Z80" s="947" t="s">
        <v>401</v>
      </c>
      <c r="AA80" s="108"/>
      <c r="AB80" s="948" t="s">
        <v>401</v>
      </c>
      <c r="AC80" s="948" t="s">
        <v>603</v>
      </c>
      <c r="AD80" s="946" t="s">
        <v>603</v>
      </c>
      <c r="AE80" s="949" t="s">
        <v>413</v>
      </c>
      <c r="AF80" s="949" t="s">
        <v>407</v>
      </c>
      <c r="AG80" s="947" t="s">
        <v>407</v>
      </c>
      <c r="AH80" s="88"/>
      <c r="AI80" s="62"/>
      <c r="AJ80" s="63"/>
      <c r="AK80" s="165"/>
      <c r="AL80" s="165"/>
      <c r="AM80" s="165"/>
      <c r="AN80" s="165"/>
      <c r="AO80" s="165"/>
      <c r="AP80" s="165"/>
      <c r="AQ80" s="165"/>
      <c r="AR80" s="165"/>
    </row>
    <row r="81" spans="1:44" ht="18" customHeight="1">
      <c r="A81" s="3"/>
      <c r="B81" s="4" t="s">
        <v>6</v>
      </c>
      <c r="C81" s="31"/>
      <c r="D81" s="26">
        <v>90</v>
      </c>
      <c r="E81" s="1227">
        <v>103</v>
      </c>
      <c r="F81" s="35"/>
      <c r="G81" s="950">
        <v>103</v>
      </c>
      <c r="H81" s="950">
        <v>103</v>
      </c>
      <c r="I81" s="26">
        <v>90</v>
      </c>
      <c r="J81" s="1227">
        <v>90</v>
      </c>
      <c r="K81" s="5">
        <v>90</v>
      </c>
      <c r="L81" s="950">
        <v>90</v>
      </c>
      <c r="M81" s="35"/>
      <c r="N81" s="710">
        <v>90</v>
      </c>
      <c r="O81" s="710">
        <v>90</v>
      </c>
      <c r="P81" s="950">
        <v>90</v>
      </c>
      <c r="Q81" s="951">
        <v>90</v>
      </c>
      <c r="R81" s="35"/>
      <c r="S81" s="950">
        <v>103</v>
      </c>
      <c r="T81" s="35"/>
      <c r="U81" s="950">
        <v>90</v>
      </c>
      <c r="V81" s="710">
        <v>90</v>
      </c>
      <c r="W81" s="950">
        <v>90</v>
      </c>
      <c r="X81" s="950">
        <v>90</v>
      </c>
      <c r="Y81" s="710">
        <v>90</v>
      </c>
      <c r="Z81" s="950">
        <v>103</v>
      </c>
      <c r="AA81" s="35"/>
      <c r="AB81" s="710">
        <v>103</v>
      </c>
      <c r="AC81" s="710">
        <v>90</v>
      </c>
      <c r="AD81" s="710">
        <v>90</v>
      </c>
      <c r="AE81" s="950">
        <v>90</v>
      </c>
      <c r="AF81" s="950">
        <v>90</v>
      </c>
      <c r="AG81" s="950">
        <v>90</v>
      </c>
      <c r="AH81" s="40"/>
      <c r="AI81" s="3"/>
      <c r="AJ81" s="56"/>
      <c r="AK81" s="123"/>
      <c r="AL81" s="123"/>
      <c r="AM81" s="123"/>
      <c r="AN81" s="123"/>
      <c r="AO81" s="123"/>
      <c r="AP81" s="123"/>
      <c r="AQ81" s="123"/>
      <c r="AR81" s="123"/>
    </row>
    <row r="82" spans="1:44" ht="18" customHeight="1">
      <c r="A82" s="3"/>
      <c r="B82" s="4" t="s">
        <v>7</v>
      </c>
      <c r="C82" s="31"/>
      <c r="D82" s="5">
        <v>81</v>
      </c>
      <c r="E82" s="1228">
        <v>60</v>
      </c>
      <c r="F82" s="35"/>
      <c r="G82" s="710">
        <v>50</v>
      </c>
      <c r="H82" s="950">
        <v>223</v>
      </c>
      <c r="I82" s="5">
        <v>36</v>
      </c>
      <c r="J82" s="1228">
        <v>20</v>
      </c>
      <c r="K82" s="26">
        <v>46</v>
      </c>
      <c r="L82" s="950">
        <v>23</v>
      </c>
      <c r="M82" s="31"/>
      <c r="N82" s="710">
        <v>61</v>
      </c>
      <c r="O82" s="950">
        <v>36</v>
      </c>
      <c r="P82" s="710">
        <v>27</v>
      </c>
      <c r="Q82" s="710">
        <v>37</v>
      </c>
      <c r="R82" s="35"/>
      <c r="S82" s="950">
        <v>318</v>
      </c>
      <c r="T82" s="35"/>
      <c r="U82" s="710">
        <v>30</v>
      </c>
      <c r="V82" s="710">
        <v>45</v>
      </c>
      <c r="W82" s="950">
        <v>41</v>
      </c>
      <c r="X82" s="950">
        <v>42</v>
      </c>
      <c r="Y82" s="950">
        <v>25</v>
      </c>
      <c r="Z82" s="950">
        <v>25</v>
      </c>
      <c r="AA82" s="35"/>
      <c r="AB82" s="950">
        <v>300</v>
      </c>
      <c r="AC82" s="710">
        <v>26</v>
      </c>
      <c r="AD82" s="710">
        <v>17</v>
      </c>
      <c r="AE82" s="950">
        <v>27</v>
      </c>
      <c r="AF82" s="950">
        <v>38</v>
      </c>
      <c r="AG82" s="950">
        <v>29</v>
      </c>
      <c r="AH82" s="40">
        <f>SUM(C82:AG82)</f>
        <v>1663</v>
      </c>
      <c r="AI82" s="3"/>
      <c r="AJ82" s="56"/>
      <c r="AK82" s="123"/>
      <c r="AL82" s="123"/>
      <c r="AM82" s="123"/>
      <c r="AN82" s="123"/>
      <c r="AO82" s="123"/>
      <c r="AP82" s="123"/>
      <c r="AQ82" s="123"/>
      <c r="AR82" s="123"/>
    </row>
    <row r="83" spans="1:44" s="10" customFormat="1" ht="18" customHeight="1">
      <c r="A83" s="7"/>
      <c r="B83" s="8" t="s">
        <v>99</v>
      </c>
      <c r="C83" s="32"/>
      <c r="D83" s="9"/>
      <c r="E83" s="1229"/>
      <c r="F83" s="32"/>
      <c r="G83" s="952"/>
      <c r="H83" s="952"/>
      <c r="I83" s="9"/>
      <c r="J83" s="1229">
        <v>20</v>
      </c>
      <c r="K83" s="9"/>
      <c r="L83" s="952"/>
      <c r="M83" s="32"/>
      <c r="N83" s="952"/>
      <c r="O83" s="952"/>
      <c r="P83" s="952"/>
      <c r="Q83" s="952"/>
      <c r="R83" s="32"/>
      <c r="S83" s="952"/>
      <c r="T83" s="35"/>
      <c r="U83" s="952"/>
      <c r="V83" s="952"/>
      <c r="W83" s="952"/>
      <c r="X83" s="952"/>
      <c r="Y83" s="952"/>
      <c r="Z83" s="952"/>
      <c r="AA83" s="32"/>
      <c r="AB83" s="952"/>
      <c r="AC83" s="952"/>
      <c r="AD83" s="952"/>
      <c r="AE83" s="952"/>
      <c r="AF83" s="952"/>
      <c r="AG83" s="950"/>
      <c r="AH83" s="41">
        <f t="shared" ref="AH83:AH85" si="19">SUM(C83:AG83)</f>
        <v>20</v>
      </c>
      <c r="AI83" s="7">
        <v>1409</v>
      </c>
      <c r="AJ83" s="57">
        <f t="shared" ref="AJ83:AJ84" si="20">AH83*AI83</f>
        <v>28180</v>
      </c>
      <c r="AK83" s="84"/>
      <c r="AL83" s="84"/>
      <c r="AM83" s="84"/>
      <c r="AN83" s="84"/>
      <c r="AO83" s="84"/>
      <c r="AP83" s="84"/>
      <c r="AQ83" s="84"/>
      <c r="AR83" s="84"/>
    </row>
    <row r="84" spans="1:44" s="10" customFormat="1" ht="18" customHeight="1">
      <c r="A84" s="7"/>
      <c r="B84" s="8" t="s">
        <v>118</v>
      </c>
      <c r="C84" s="32"/>
      <c r="D84" s="9"/>
      <c r="E84" s="1229">
        <v>60</v>
      </c>
      <c r="F84" s="32"/>
      <c r="G84" s="952"/>
      <c r="H84" s="952">
        <v>120</v>
      </c>
      <c r="I84" s="9"/>
      <c r="J84" s="1229"/>
      <c r="K84" s="9"/>
      <c r="L84" s="952"/>
      <c r="M84" s="32"/>
      <c r="N84" s="950"/>
      <c r="O84" s="952"/>
      <c r="P84" s="952"/>
      <c r="Q84" s="952"/>
      <c r="R84" s="32"/>
      <c r="S84" s="952">
        <v>215</v>
      </c>
      <c r="T84" s="35"/>
      <c r="U84" s="952"/>
      <c r="V84" s="952"/>
      <c r="W84" s="952"/>
      <c r="X84" s="952"/>
      <c r="Y84" s="952"/>
      <c r="Z84" s="952"/>
      <c r="AA84" s="32"/>
      <c r="AB84" s="952">
        <v>197</v>
      </c>
      <c r="AC84" s="952"/>
      <c r="AD84" s="952"/>
      <c r="AE84" s="953"/>
      <c r="AF84" s="952"/>
      <c r="AG84" s="950"/>
      <c r="AH84" s="41">
        <f t="shared" si="19"/>
        <v>592</v>
      </c>
      <c r="AI84" s="7">
        <v>1322</v>
      </c>
      <c r="AJ84" s="57">
        <f t="shared" si="20"/>
        <v>782624</v>
      </c>
      <c r="AK84" s="84"/>
      <c r="AL84" s="84"/>
      <c r="AM84" s="84"/>
      <c r="AN84" s="84"/>
      <c r="AO84" s="84"/>
      <c r="AP84" s="84"/>
      <c r="AQ84" s="84"/>
      <c r="AR84" s="84"/>
    </row>
    <row r="85" spans="1:44" s="10" customFormat="1" ht="18" customHeight="1">
      <c r="A85" s="7"/>
      <c r="B85" s="8" t="s">
        <v>396</v>
      </c>
      <c r="C85" s="32"/>
      <c r="D85" s="9"/>
      <c r="E85" s="1229"/>
      <c r="F85" s="32"/>
      <c r="G85" s="952"/>
      <c r="H85" s="952"/>
      <c r="I85" s="9"/>
      <c r="J85" s="1229"/>
      <c r="K85" s="9"/>
      <c r="L85" s="952"/>
      <c r="M85" s="32"/>
      <c r="N85" s="950"/>
      <c r="O85" s="952"/>
      <c r="P85" s="952"/>
      <c r="Q85" s="952"/>
      <c r="R85" s="32"/>
      <c r="S85" s="952"/>
      <c r="T85" s="35"/>
      <c r="U85" s="952"/>
      <c r="V85" s="952"/>
      <c r="W85" s="952"/>
      <c r="X85" s="952"/>
      <c r="Y85" s="952"/>
      <c r="Z85" s="952"/>
      <c r="AA85" s="32"/>
      <c r="AB85" s="952"/>
      <c r="AC85" s="952"/>
      <c r="AD85" s="952"/>
      <c r="AE85" s="952"/>
      <c r="AF85" s="952"/>
      <c r="AG85" s="950"/>
      <c r="AH85" s="41">
        <f t="shared" si="19"/>
        <v>0</v>
      </c>
      <c r="AI85" s="7">
        <v>1233</v>
      </c>
      <c r="AJ85" s="57">
        <f t="shared" ref="AJ85" si="21">AH85*AI85</f>
        <v>0</v>
      </c>
      <c r="AK85" s="84"/>
      <c r="AL85" s="84"/>
      <c r="AM85" s="84"/>
      <c r="AN85" s="84"/>
      <c r="AO85" s="84"/>
      <c r="AP85" s="84"/>
      <c r="AQ85" s="84"/>
      <c r="AR85" s="84"/>
    </row>
    <row r="86" spans="1:44" s="10" customFormat="1" ht="18" customHeight="1">
      <c r="A86" s="7"/>
      <c r="B86" s="7"/>
      <c r="C86" s="35"/>
      <c r="D86" s="9"/>
      <c r="E86" s="1229"/>
      <c r="F86" s="32"/>
      <c r="G86" s="952"/>
      <c r="H86" s="950"/>
      <c r="I86" s="9"/>
      <c r="J86" s="1229"/>
      <c r="K86" s="26"/>
      <c r="L86" s="950"/>
      <c r="M86" s="32"/>
      <c r="N86" s="950"/>
      <c r="O86" s="950"/>
      <c r="P86" s="952"/>
      <c r="Q86" s="952"/>
      <c r="R86" s="32"/>
      <c r="S86" s="952"/>
      <c r="T86" s="35"/>
      <c r="U86" s="952"/>
      <c r="V86" s="952"/>
      <c r="W86" s="950"/>
      <c r="X86" s="950"/>
      <c r="Y86" s="950"/>
      <c r="Z86" s="950"/>
      <c r="AA86" s="35"/>
      <c r="AB86" s="950"/>
      <c r="AC86" s="952"/>
      <c r="AD86" s="952"/>
      <c r="AE86" s="950"/>
      <c r="AF86" s="950"/>
      <c r="AG86" s="950"/>
      <c r="AH86" s="1292" t="s">
        <v>70</v>
      </c>
      <c r="AI86" s="1293"/>
      <c r="AJ86" s="121">
        <f>SUM(AJ83:AJ85)</f>
        <v>810804</v>
      </c>
      <c r="AK86" s="84"/>
      <c r="AL86" s="84"/>
      <c r="AM86" s="84"/>
      <c r="AN86" s="84"/>
      <c r="AO86" s="84"/>
      <c r="AP86" s="84"/>
      <c r="AQ86" s="84"/>
      <c r="AR86" s="84"/>
    </row>
    <row r="87" spans="1:44" s="10" customFormat="1" ht="18" customHeight="1">
      <c r="A87" s="7"/>
      <c r="B87" s="4" t="s">
        <v>8</v>
      </c>
      <c r="C87" s="31"/>
      <c r="D87" s="5">
        <v>15</v>
      </c>
      <c r="E87" s="1228">
        <v>10</v>
      </c>
      <c r="F87" s="35"/>
      <c r="G87" s="710">
        <v>8</v>
      </c>
      <c r="H87" s="950">
        <v>19</v>
      </c>
      <c r="I87" s="5">
        <v>25</v>
      </c>
      <c r="J87" s="1228">
        <v>4</v>
      </c>
      <c r="K87" s="26">
        <v>23</v>
      </c>
      <c r="L87" s="950">
        <v>3</v>
      </c>
      <c r="M87" s="31"/>
      <c r="N87" s="950">
        <v>15</v>
      </c>
      <c r="O87" s="950">
        <v>4</v>
      </c>
      <c r="P87" s="950">
        <v>5</v>
      </c>
      <c r="Q87" s="950">
        <v>18</v>
      </c>
      <c r="R87" s="35"/>
      <c r="S87" s="950">
        <v>26</v>
      </c>
      <c r="T87" s="35"/>
      <c r="U87" s="950">
        <v>2</v>
      </c>
      <c r="V87" s="950">
        <v>24</v>
      </c>
      <c r="W87" s="950">
        <v>7</v>
      </c>
      <c r="X87" s="950">
        <v>22</v>
      </c>
      <c r="Y87" s="950">
        <v>33</v>
      </c>
      <c r="Z87" s="950">
        <v>25</v>
      </c>
      <c r="AA87" s="35"/>
      <c r="AB87" s="950">
        <v>13</v>
      </c>
      <c r="AC87" s="950">
        <v>2</v>
      </c>
      <c r="AD87" s="950">
        <v>1</v>
      </c>
      <c r="AE87" s="950">
        <v>2</v>
      </c>
      <c r="AF87" s="950">
        <v>15</v>
      </c>
      <c r="AG87" s="950">
        <v>15</v>
      </c>
      <c r="AH87" s="40">
        <f>SUM(C87:AG87)</f>
        <v>336</v>
      </c>
      <c r="AI87" s="51">
        <v>1750</v>
      </c>
      <c r="AJ87" s="57">
        <f t="shared" ref="AJ87" si="22">AH87*AI87</f>
        <v>588000</v>
      </c>
      <c r="AK87" s="84"/>
      <c r="AL87" s="84"/>
      <c r="AM87" s="84"/>
      <c r="AN87" s="84"/>
      <c r="AO87" s="84"/>
      <c r="AP87" s="84"/>
      <c r="AQ87" s="84"/>
      <c r="AR87" s="84"/>
    </row>
    <row r="88" spans="1:44" s="10" customFormat="1" ht="18" customHeight="1">
      <c r="A88" s="7"/>
      <c r="B88" s="12" t="s">
        <v>9</v>
      </c>
      <c r="C88" s="35"/>
      <c r="D88" s="155"/>
      <c r="E88" s="1237"/>
      <c r="F88" s="907"/>
      <c r="G88" s="959"/>
      <c r="H88" s="973"/>
      <c r="I88" s="13"/>
      <c r="J88" s="1241"/>
      <c r="K88" s="155"/>
      <c r="L88" s="956"/>
      <c r="M88" s="33"/>
      <c r="N88" s="950"/>
      <c r="O88" s="968"/>
      <c r="P88" s="968"/>
      <c r="Q88" s="968"/>
      <c r="R88" s="339"/>
      <c r="S88" s="956"/>
      <c r="T88" s="894"/>
      <c r="U88" s="950"/>
      <c r="V88" s="956"/>
      <c r="W88" s="968"/>
      <c r="X88" s="981"/>
      <c r="Y88" s="956"/>
      <c r="Z88" s="981"/>
      <c r="AA88" s="753"/>
      <c r="AB88" s="950"/>
      <c r="AC88" s="982"/>
      <c r="AD88" s="969"/>
      <c r="AE88" s="981"/>
      <c r="AF88" s="950"/>
      <c r="AG88" s="950"/>
      <c r="AH88" s="42">
        <f>SUM(C88:AG88)</f>
        <v>0</v>
      </c>
      <c r="AI88" s="11"/>
      <c r="AJ88" s="58"/>
      <c r="AK88" s="84"/>
      <c r="AL88" s="84"/>
      <c r="AM88" s="84"/>
      <c r="AN88" s="84"/>
      <c r="AO88" s="84"/>
      <c r="AP88" s="84"/>
      <c r="AQ88" s="84"/>
      <c r="AR88" s="84"/>
    </row>
    <row r="89" spans="1:44" s="16" customFormat="1" ht="18" customHeight="1" thickBot="1">
      <c r="A89" s="69"/>
      <c r="B89" s="70"/>
      <c r="C89" s="72"/>
      <c r="D89" s="71"/>
      <c r="E89" s="1230"/>
      <c r="F89" s="1040"/>
      <c r="G89" s="978"/>
      <c r="H89" s="955"/>
      <c r="I89" s="1216"/>
      <c r="J89" s="1263"/>
      <c r="K89" s="71"/>
      <c r="L89" s="955"/>
      <c r="M89" s="178"/>
      <c r="N89" s="955"/>
      <c r="O89" s="978"/>
      <c r="P89" s="954"/>
      <c r="Q89" s="954"/>
      <c r="R89" s="178"/>
      <c r="S89" s="954"/>
      <c r="T89" s="72"/>
      <c r="U89" s="954"/>
      <c r="V89" s="954"/>
      <c r="W89" s="955"/>
      <c r="X89" s="955"/>
      <c r="Y89" s="955"/>
      <c r="Z89" s="958"/>
      <c r="AA89" s="341"/>
      <c r="AB89" s="958"/>
      <c r="AC89" s="954"/>
      <c r="AD89" s="954"/>
      <c r="AE89" s="955"/>
      <c r="AF89" s="955"/>
      <c r="AG89" s="955"/>
      <c r="AH89" s="89"/>
      <c r="AI89" s="69"/>
      <c r="AJ89" s="75"/>
      <c r="AK89" s="86"/>
      <c r="AL89" s="86"/>
      <c r="AM89" s="86"/>
      <c r="AN89" s="86"/>
      <c r="AO89" s="86"/>
      <c r="AP89" s="86"/>
      <c r="AQ89" s="86"/>
      <c r="AR89" s="86"/>
    </row>
    <row r="90" spans="1:44" s="53" customFormat="1" ht="18" customHeight="1" thickBot="1">
      <c r="A90" s="64">
        <v>10</v>
      </c>
      <c r="B90" s="65" t="s">
        <v>93</v>
      </c>
      <c r="C90" s="647"/>
      <c r="D90" s="66">
        <v>1</v>
      </c>
      <c r="E90" s="1238">
        <v>1</v>
      </c>
      <c r="F90" s="68"/>
      <c r="G90" s="945">
        <v>1</v>
      </c>
      <c r="H90" s="933">
        <v>1</v>
      </c>
      <c r="I90" s="1211">
        <v>1</v>
      </c>
      <c r="J90" s="1220">
        <v>1</v>
      </c>
      <c r="K90" s="66">
        <v>1</v>
      </c>
      <c r="L90" s="933">
        <v>1</v>
      </c>
      <c r="M90" s="647"/>
      <c r="N90" s="933">
        <v>1</v>
      </c>
      <c r="O90" s="933">
        <v>1</v>
      </c>
      <c r="P90" s="933">
        <v>1</v>
      </c>
      <c r="Q90" s="933">
        <v>1</v>
      </c>
      <c r="R90" s="68"/>
      <c r="S90" s="934">
        <v>1</v>
      </c>
      <c r="T90" s="68"/>
      <c r="U90" s="934">
        <v>1</v>
      </c>
      <c r="V90" s="933">
        <v>1</v>
      </c>
      <c r="W90" s="934">
        <v>1</v>
      </c>
      <c r="X90" s="945">
        <v>1</v>
      </c>
      <c r="Y90" s="933">
        <v>1</v>
      </c>
      <c r="Z90" s="934">
        <v>1</v>
      </c>
      <c r="AA90" s="68"/>
      <c r="AB90" s="934">
        <v>1</v>
      </c>
      <c r="AC90" s="933">
        <v>1</v>
      </c>
      <c r="AD90" s="1051" t="s">
        <v>18</v>
      </c>
      <c r="AE90" s="940">
        <v>1</v>
      </c>
      <c r="AF90" s="933">
        <v>1</v>
      </c>
      <c r="AG90" s="933">
        <v>1</v>
      </c>
      <c r="AH90" s="87">
        <f>SUM(C90:AG90)</f>
        <v>24</v>
      </c>
      <c r="AI90" s="65"/>
      <c r="AJ90" s="74"/>
      <c r="AK90" s="215">
        <f>COUNTIF(C90:AG90,"CT")</f>
        <v>1</v>
      </c>
      <c r="AL90" s="215">
        <f>COUNTIF(C90:AG90,"CS")</f>
        <v>0</v>
      </c>
      <c r="AM90" s="215">
        <v>4</v>
      </c>
      <c r="AN90" s="215">
        <v>2</v>
      </c>
      <c r="AO90" s="215">
        <f>COUNTIF(C90:AG90,"CI")</f>
        <v>0</v>
      </c>
      <c r="AP90" s="316">
        <f>AH90+AK90+AL90+AM90+AN90+AO90</f>
        <v>31</v>
      </c>
      <c r="AQ90" s="215">
        <f>COUNTIF(C90:AG90,"CTH")</f>
        <v>0</v>
      </c>
      <c r="AR90" s="215">
        <f>COUNTIF(C90:AG90,"A")</f>
        <v>0</v>
      </c>
    </row>
    <row r="91" spans="1:44" s="53" customFormat="1" ht="18" customHeight="1">
      <c r="A91" s="61"/>
      <c r="B91" s="62" t="s">
        <v>27</v>
      </c>
      <c r="C91" s="108"/>
      <c r="D91" s="152" t="s">
        <v>404</v>
      </c>
      <c r="E91" s="1232" t="s">
        <v>405</v>
      </c>
      <c r="F91" s="181"/>
      <c r="G91" s="948" t="s">
        <v>401</v>
      </c>
      <c r="H91" s="948" t="s">
        <v>401</v>
      </c>
      <c r="I91" s="95" t="s">
        <v>411</v>
      </c>
      <c r="J91" s="1264" t="s">
        <v>405</v>
      </c>
      <c r="K91" s="95" t="s">
        <v>413</v>
      </c>
      <c r="L91" s="948" t="s">
        <v>407</v>
      </c>
      <c r="M91" s="106"/>
      <c r="N91" s="946" t="s">
        <v>404</v>
      </c>
      <c r="O91" s="947" t="s">
        <v>415</v>
      </c>
      <c r="P91" s="947" t="s">
        <v>411</v>
      </c>
      <c r="Q91" s="947" t="s">
        <v>412</v>
      </c>
      <c r="R91" s="108"/>
      <c r="S91" s="948" t="s">
        <v>401</v>
      </c>
      <c r="T91" s="593"/>
      <c r="U91" s="948" t="s">
        <v>405</v>
      </c>
      <c r="V91" s="948" t="s">
        <v>413</v>
      </c>
      <c r="W91" s="948" t="s">
        <v>407</v>
      </c>
      <c r="X91" s="949" t="s">
        <v>404</v>
      </c>
      <c r="Y91" s="971" t="s">
        <v>411</v>
      </c>
      <c r="Z91" s="947" t="s">
        <v>412</v>
      </c>
      <c r="AA91" s="108"/>
      <c r="AB91" s="948" t="s">
        <v>401</v>
      </c>
      <c r="AC91" s="948" t="s">
        <v>603</v>
      </c>
      <c r="AD91" s="948"/>
      <c r="AE91" s="949" t="s">
        <v>405</v>
      </c>
      <c r="AF91" s="949" t="s">
        <v>413</v>
      </c>
      <c r="AG91" s="949" t="s">
        <v>407</v>
      </c>
      <c r="AH91" s="88"/>
      <c r="AI91" s="62"/>
      <c r="AJ91" s="63"/>
      <c r="AK91" s="165"/>
      <c r="AL91" s="165"/>
      <c r="AM91" s="165"/>
      <c r="AN91" s="165"/>
      <c r="AO91" s="165"/>
      <c r="AP91" s="165"/>
      <c r="AQ91" s="165"/>
      <c r="AR91" s="165"/>
    </row>
    <row r="92" spans="1:44" ht="18" customHeight="1">
      <c r="A92" s="3"/>
      <c r="B92" s="4" t="s">
        <v>6</v>
      </c>
      <c r="C92" s="31"/>
      <c r="D92" s="26">
        <v>90</v>
      </c>
      <c r="E92" s="1227">
        <v>103</v>
      </c>
      <c r="F92" s="35"/>
      <c r="G92" s="950">
        <v>103</v>
      </c>
      <c r="H92" s="950">
        <v>103</v>
      </c>
      <c r="I92" s="26">
        <v>90</v>
      </c>
      <c r="J92" s="1228">
        <v>103</v>
      </c>
      <c r="K92" s="5">
        <v>90</v>
      </c>
      <c r="L92" s="710">
        <v>90</v>
      </c>
      <c r="M92" s="31"/>
      <c r="N92" s="710">
        <v>90</v>
      </c>
      <c r="O92" s="950">
        <v>90</v>
      </c>
      <c r="P92" s="950">
        <v>90</v>
      </c>
      <c r="Q92" s="950">
        <v>90</v>
      </c>
      <c r="R92" s="35"/>
      <c r="S92" s="950">
        <v>103</v>
      </c>
      <c r="T92" s="35"/>
      <c r="U92" s="710">
        <v>103</v>
      </c>
      <c r="V92" s="950">
        <v>90</v>
      </c>
      <c r="W92" s="950">
        <v>90</v>
      </c>
      <c r="X92" s="950">
        <v>90</v>
      </c>
      <c r="Y92" s="710">
        <v>90</v>
      </c>
      <c r="Z92" s="950">
        <v>90</v>
      </c>
      <c r="AA92" s="35"/>
      <c r="AB92" s="950">
        <v>103</v>
      </c>
      <c r="AC92" s="710">
        <v>90</v>
      </c>
      <c r="AD92" s="950"/>
      <c r="AE92" s="950">
        <v>103</v>
      </c>
      <c r="AF92" s="950">
        <v>90</v>
      </c>
      <c r="AG92" s="950">
        <v>90</v>
      </c>
      <c r="AH92" s="40"/>
      <c r="AI92" s="3"/>
      <c r="AJ92" s="56"/>
      <c r="AK92" s="123"/>
      <c r="AL92" s="123"/>
      <c r="AM92" s="123"/>
      <c r="AN92" s="123"/>
      <c r="AO92" s="123"/>
      <c r="AP92" s="123"/>
      <c r="AQ92" s="123"/>
      <c r="AR92" s="123"/>
    </row>
    <row r="93" spans="1:44" ht="18" customHeight="1">
      <c r="A93" s="3"/>
      <c r="B93" s="4" t="s">
        <v>7</v>
      </c>
      <c r="C93" s="31"/>
      <c r="D93" s="5">
        <v>75</v>
      </c>
      <c r="E93" s="1228">
        <v>41</v>
      </c>
      <c r="F93" s="35"/>
      <c r="G93" s="710">
        <v>23</v>
      </c>
      <c r="H93" s="950">
        <v>54</v>
      </c>
      <c r="I93" s="5">
        <v>55</v>
      </c>
      <c r="J93" s="1228">
        <v>63</v>
      </c>
      <c r="K93" s="26">
        <v>81</v>
      </c>
      <c r="L93" s="950">
        <v>57</v>
      </c>
      <c r="M93" s="31"/>
      <c r="N93" s="710">
        <v>130</v>
      </c>
      <c r="O93" s="950">
        <v>35</v>
      </c>
      <c r="P93" s="710">
        <v>26</v>
      </c>
      <c r="Q93" s="710">
        <v>60</v>
      </c>
      <c r="R93" s="35"/>
      <c r="S93" s="950">
        <v>323</v>
      </c>
      <c r="T93" s="35"/>
      <c r="U93" s="710">
        <v>45</v>
      </c>
      <c r="V93" s="710">
        <v>51</v>
      </c>
      <c r="W93" s="950">
        <v>26</v>
      </c>
      <c r="X93" s="950">
        <v>29</v>
      </c>
      <c r="Y93" s="950">
        <v>15</v>
      </c>
      <c r="Z93" s="950">
        <v>20</v>
      </c>
      <c r="AA93" s="35"/>
      <c r="AB93" s="950">
        <v>25</v>
      </c>
      <c r="AC93" s="710">
        <v>20</v>
      </c>
      <c r="AD93" s="710"/>
      <c r="AE93" s="950">
        <v>19</v>
      </c>
      <c r="AF93" s="950">
        <v>21</v>
      </c>
      <c r="AG93" s="950">
        <v>28</v>
      </c>
      <c r="AH93" s="40">
        <f>SUM(C93:AG93)</f>
        <v>1322</v>
      </c>
      <c r="AI93" s="3"/>
      <c r="AJ93" s="56"/>
      <c r="AK93" s="123"/>
      <c r="AL93" s="123"/>
      <c r="AM93" s="123"/>
      <c r="AN93" s="123"/>
      <c r="AO93" s="123"/>
      <c r="AP93" s="123"/>
      <c r="AQ93" s="123"/>
      <c r="AR93" s="123"/>
    </row>
    <row r="94" spans="1:44" s="10" customFormat="1" ht="18" customHeight="1">
      <c r="A94" s="7"/>
      <c r="B94" s="8" t="s">
        <v>99</v>
      </c>
      <c r="C94" s="32"/>
      <c r="D94" s="9"/>
      <c r="E94" s="1229"/>
      <c r="F94" s="32"/>
      <c r="G94" s="952"/>
      <c r="H94" s="952"/>
      <c r="I94" s="9"/>
      <c r="J94" s="1229"/>
      <c r="K94" s="9"/>
      <c r="L94" s="952"/>
      <c r="M94" s="32"/>
      <c r="N94" s="952">
        <v>40</v>
      </c>
      <c r="O94" s="952"/>
      <c r="P94" s="952"/>
      <c r="Q94" s="952"/>
      <c r="R94" s="32"/>
      <c r="S94" s="952"/>
      <c r="T94" s="35"/>
      <c r="U94" s="952"/>
      <c r="V94" s="952"/>
      <c r="W94" s="952"/>
      <c r="X94" s="952"/>
      <c r="Y94" s="952"/>
      <c r="Z94" s="952"/>
      <c r="AA94" s="32"/>
      <c r="AB94" s="952"/>
      <c r="AC94" s="952"/>
      <c r="AD94" s="952"/>
      <c r="AE94" s="952"/>
      <c r="AF94" s="952"/>
      <c r="AG94" s="950"/>
      <c r="AH94" s="41">
        <f t="shared" ref="AH94:AH96" si="23">SUM(C94:AG94)</f>
        <v>40</v>
      </c>
      <c r="AI94" s="7">
        <v>1409</v>
      </c>
      <c r="AJ94" s="57">
        <f t="shared" ref="AJ94:AJ95" si="24">AH94*AI94</f>
        <v>56360</v>
      </c>
      <c r="AK94" s="84"/>
      <c r="AL94" s="84"/>
      <c r="AM94" s="84"/>
      <c r="AN94" s="84"/>
      <c r="AO94" s="84"/>
      <c r="AP94" s="84"/>
      <c r="AQ94" s="84"/>
      <c r="AR94" s="84"/>
    </row>
    <row r="95" spans="1:44" s="10" customFormat="1" ht="18" customHeight="1">
      <c r="A95" s="7"/>
      <c r="B95" s="8" t="s">
        <v>118</v>
      </c>
      <c r="C95" s="32"/>
      <c r="D95" s="9"/>
      <c r="E95" s="1229">
        <v>41</v>
      </c>
      <c r="F95" s="32"/>
      <c r="G95" s="952"/>
      <c r="H95" s="952"/>
      <c r="I95" s="9"/>
      <c r="J95" s="1229">
        <v>63</v>
      </c>
      <c r="K95" s="9"/>
      <c r="L95" s="952"/>
      <c r="M95" s="32"/>
      <c r="N95" s="950"/>
      <c r="O95" s="952"/>
      <c r="P95" s="952"/>
      <c r="Q95" s="952"/>
      <c r="R95" s="32"/>
      <c r="S95" s="952">
        <v>220</v>
      </c>
      <c r="T95" s="35"/>
      <c r="U95" s="952"/>
      <c r="V95" s="952"/>
      <c r="W95" s="952"/>
      <c r="X95" s="952"/>
      <c r="Y95" s="952"/>
      <c r="Z95" s="952"/>
      <c r="AA95" s="32"/>
      <c r="AB95" s="952"/>
      <c r="AC95" s="952"/>
      <c r="AD95" s="952"/>
      <c r="AE95" s="953"/>
      <c r="AF95" s="952"/>
      <c r="AG95" s="950"/>
      <c r="AH95" s="41">
        <f t="shared" si="23"/>
        <v>324</v>
      </c>
      <c r="AI95" s="7">
        <v>1322</v>
      </c>
      <c r="AJ95" s="57">
        <f t="shared" si="24"/>
        <v>428328</v>
      </c>
      <c r="AK95" s="84"/>
      <c r="AL95" s="84"/>
      <c r="AM95" s="84"/>
      <c r="AN95" s="84"/>
      <c r="AO95" s="84"/>
      <c r="AP95" s="84"/>
      <c r="AQ95" s="84"/>
      <c r="AR95" s="84"/>
    </row>
    <row r="96" spans="1:44" s="10" customFormat="1" ht="18" customHeight="1">
      <c r="A96" s="7"/>
      <c r="B96" s="8" t="s">
        <v>396</v>
      </c>
      <c r="C96" s="32"/>
      <c r="D96" s="9"/>
      <c r="E96" s="1229"/>
      <c r="F96" s="32"/>
      <c r="G96" s="952"/>
      <c r="H96" s="952"/>
      <c r="I96" s="9"/>
      <c r="J96" s="1229"/>
      <c r="K96" s="9"/>
      <c r="L96" s="952"/>
      <c r="M96" s="32"/>
      <c r="N96" s="950"/>
      <c r="O96" s="952"/>
      <c r="P96" s="952"/>
      <c r="Q96" s="952"/>
      <c r="R96" s="32"/>
      <c r="S96" s="952"/>
      <c r="T96" s="35"/>
      <c r="U96" s="952"/>
      <c r="V96" s="952"/>
      <c r="W96" s="952"/>
      <c r="X96" s="952"/>
      <c r="Y96" s="952"/>
      <c r="Z96" s="952"/>
      <c r="AA96" s="32"/>
      <c r="AB96" s="952"/>
      <c r="AC96" s="952"/>
      <c r="AD96" s="952"/>
      <c r="AE96" s="952"/>
      <c r="AF96" s="952"/>
      <c r="AG96" s="950"/>
      <c r="AH96" s="41">
        <f t="shared" si="23"/>
        <v>0</v>
      </c>
      <c r="AI96" s="7">
        <v>1233</v>
      </c>
      <c r="AJ96" s="57">
        <f t="shared" ref="AJ96" si="25">AH96*AI96</f>
        <v>0</v>
      </c>
      <c r="AK96" s="84"/>
      <c r="AL96" s="84"/>
      <c r="AM96" s="84"/>
      <c r="AN96" s="84"/>
      <c r="AO96" s="84"/>
      <c r="AP96" s="84"/>
      <c r="AQ96" s="84"/>
      <c r="AR96" s="84"/>
    </row>
    <row r="97" spans="1:44" s="10" customFormat="1" ht="18" customHeight="1">
      <c r="A97" s="7"/>
      <c r="B97" s="8"/>
      <c r="C97" s="35"/>
      <c r="D97" s="9"/>
      <c r="E97" s="1229"/>
      <c r="F97" s="32"/>
      <c r="G97" s="952"/>
      <c r="H97" s="950"/>
      <c r="I97" s="9"/>
      <c r="J97" s="1229"/>
      <c r="K97" s="26"/>
      <c r="L97" s="950"/>
      <c r="M97" s="32"/>
      <c r="N97" s="950"/>
      <c r="O97" s="952"/>
      <c r="P97" s="952"/>
      <c r="Q97" s="952"/>
      <c r="R97" s="32"/>
      <c r="S97" s="952"/>
      <c r="T97" s="35"/>
      <c r="U97" s="952"/>
      <c r="V97" s="952"/>
      <c r="W97" s="952"/>
      <c r="X97" s="952"/>
      <c r="Y97" s="950"/>
      <c r="Z97" s="950"/>
      <c r="AA97" s="35"/>
      <c r="AB97" s="952"/>
      <c r="AC97" s="952"/>
      <c r="AD97" s="952"/>
      <c r="AE97" s="952"/>
      <c r="AF97" s="950"/>
      <c r="AG97" s="950"/>
      <c r="AH97" s="1292" t="s">
        <v>70</v>
      </c>
      <c r="AI97" s="1293"/>
      <c r="AJ97" s="121">
        <f>SUM(AJ94:AJ96)</f>
        <v>484688</v>
      </c>
      <c r="AK97" s="84"/>
      <c r="AL97" s="84"/>
      <c r="AM97" s="84"/>
      <c r="AN97" s="84"/>
      <c r="AO97" s="84"/>
      <c r="AP97" s="84"/>
      <c r="AQ97" s="84"/>
      <c r="AR97" s="84"/>
    </row>
    <row r="98" spans="1:44" ht="18" customHeight="1">
      <c r="A98" s="3"/>
      <c r="B98" s="4" t="s">
        <v>8</v>
      </c>
      <c r="C98" s="31"/>
      <c r="D98" s="5">
        <v>17</v>
      </c>
      <c r="E98" s="1228">
        <v>10</v>
      </c>
      <c r="F98" s="35"/>
      <c r="G98" s="710">
        <v>5</v>
      </c>
      <c r="H98" s="950">
        <v>19</v>
      </c>
      <c r="I98" s="5">
        <v>24</v>
      </c>
      <c r="J98" s="1228">
        <v>7</v>
      </c>
      <c r="K98" s="26">
        <v>17</v>
      </c>
      <c r="L98" s="950">
        <v>20</v>
      </c>
      <c r="M98" s="31"/>
      <c r="N98" s="950">
        <v>36</v>
      </c>
      <c r="O98" s="950">
        <v>4</v>
      </c>
      <c r="P98" s="950">
        <v>8</v>
      </c>
      <c r="Q98" s="950">
        <v>12</v>
      </c>
      <c r="R98" s="35"/>
      <c r="S98" s="950">
        <v>65</v>
      </c>
      <c r="T98" s="35"/>
      <c r="U98" s="950">
        <v>4</v>
      </c>
      <c r="V98" s="950">
        <v>7</v>
      </c>
      <c r="W98" s="950">
        <v>4</v>
      </c>
      <c r="X98" s="983">
        <v>4</v>
      </c>
      <c r="Y98" s="950">
        <v>9</v>
      </c>
      <c r="Z98" s="950">
        <v>4</v>
      </c>
      <c r="AA98" s="35"/>
      <c r="AB98" s="950">
        <v>6</v>
      </c>
      <c r="AC98" s="950">
        <v>2</v>
      </c>
      <c r="AD98" s="950"/>
      <c r="AE98" s="950">
        <v>1</v>
      </c>
      <c r="AF98" s="950">
        <v>3</v>
      </c>
      <c r="AG98" s="950">
        <v>6</v>
      </c>
      <c r="AH98" s="40">
        <f t="shared" ref="AH98" si="26">SUM(C98:AG98)</f>
        <v>294</v>
      </c>
      <c r="AI98" s="51">
        <v>1750</v>
      </c>
      <c r="AJ98" s="57">
        <f t="shared" ref="AJ98" si="27">AH98*AI98</f>
        <v>514500</v>
      </c>
      <c r="AK98" s="123"/>
      <c r="AL98" s="123"/>
      <c r="AM98" s="123"/>
      <c r="AN98" s="123"/>
      <c r="AO98" s="123"/>
      <c r="AP98" s="123"/>
      <c r="AQ98" s="123"/>
      <c r="AR98" s="123"/>
    </row>
    <row r="99" spans="1:44" s="16" customFormat="1" ht="18" customHeight="1">
      <c r="A99" s="11"/>
      <c r="B99" s="12" t="s">
        <v>9</v>
      </c>
      <c r="C99" s="35"/>
      <c r="D99" s="155"/>
      <c r="E99" s="1237"/>
      <c r="F99" s="339"/>
      <c r="G99" s="969"/>
      <c r="H99" s="956"/>
      <c r="I99" s="96"/>
      <c r="J99" s="1241"/>
      <c r="K99" s="14"/>
      <c r="L99" s="968"/>
      <c r="M99" s="339"/>
      <c r="N99" s="984"/>
      <c r="O99" s="956"/>
      <c r="P99" s="956"/>
      <c r="Q99" s="956"/>
      <c r="R99" s="753"/>
      <c r="S99" s="981"/>
      <c r="T99" s="182"/>
      <c r="U99" s="968"/>
      <c r="V99" s="969"/>
      <c r="W99" s="968"/>
      <c r="X99" s="985"/>
      <c r="Y99" s="956"/>
      <c r="Z99" s="969"/>
      <c r="AA99" s="753"/>
      <c r="AB99" s="968"/>
      <c r="AC99" s="956"/>
      <c r="AD99" s="968"/>
      <c r="AE99" s="968"/>
      <c r="AF99" s="981"/>
      <c r="AG99" s="968"/>
      <c r="AH99" s="42">
        <f>SUM(C99:AG99)</f>
        <v>0</v>
      </c>
      <c r="AI99" s="11"/>
      <c r="AJ99" s="58"/>
      <c r="AK99" s="85"/>
      <c r="AL99" s="85"/>
      <c r="AM99" s="85"/>
      <c r="AN99" s="85"/>
      <c r="AO99" s="85"/>
      <c r="AP99" s="85"/>
      <c r="AQ99" s="85"/>
      <c r="AR99" s="85"/>
    </row>
    <row r="100" spans="1:44" s="16" customFormat="1" ht="18" customHeight="1" thickBot="1">
      <c r="A100" s="69"/>
      <c r="B100" s="70"/>
      <c r="C100" s="72"/>
      <c r="D100" s="71"/>
      <c r="E100" s="1230"/>
      <c r="F100" s="1040"/>
      <c r="G100" s="978"/>
      <c r="H100" s="955"/>
      <c r="I100" s="1216"/>
      <c r="J100" s="1263"/>
      <c r="K100" s="71"/>
      <c r="L100" s="955"/>
      <c r="M100" s="178"/>
      <c r="N100" s="955"/>
      <c r="O100" s="954"/>
      <c r="P100" s="954"/>
      <c r="Q100" s="954"/>
      <c r="R100" s="178"/>
      <c r="S100" s="954"/>
      <c r="T100" s="60"/>
      <c r="U100" s="986"/>
      <c r="V100" s="954"/>
      <c r="W100" s="955"/>
      <c r="X100" s="955"/>
      <c r="Y100" s="955"/>
      <c r="Z100" s="958"/>
      <c r="AA100" s="341"/>
      <c r="AB100" s="958"/>
      <c r="AC100" s="954"/>
      <c r="AD100" s="954"/>
      <c r="AE100" s="955"/>
      <c r="AF100" s="955"/>
      <c r="AG100" s="955"/>
      <c r="AH100" s="89"/>
      <c r="AI100" s="69"/>
      <c r="AJ100" s="75"/>
      <c r="AK100" s="86"/>
      <c r="AL100" s="86"/>
      <c r="AM100" s="86"/>
      <c r="AN100" s="86"/>
      <c r="AO100" s="86"/>
      <c r="AP100" s="86"/>
      <c r="AQ100" s="86"/>
      <c r="AR100" s="86"/>
    </row>
    <row r="101" spans="1:44" s="53" customFormat="1" ht="18" customHeight="1" thickBot="1">
      <c r="A101" s="64">
        <v>11</v>
      </c>
      <c r="B101" s="65" t="s">
        <v>94</v>
      </c>
      <c r="C101" s="647"/>
      <c r="D101" s="921" t="s">
        <v>18</v>
      </c>
      <c r="E101" s="1238">
        <v>1</v>
      </c>
      <c r="F101" s="68"/>
      <c r="G101" s="945">
        <v>1</v>
      </c>
      <c r="H101" s="933">
        <v>1</v>
      </c>
      <c r="I101" s="1211">
        <v>1</v>
      </c>
      <c r="J101" s="1260">
        <v>1</v>
      </c>
      <c r="K101" s="66">
        <v>1</v>
      </c>
      <c r="L101" s="934">
        <v>1</v>
      </c>
      <c r="M101" s="647"/>
      <c r="N101" s="933">
        <v>1</v>
      </c>
      <c r="O101" s="933">
        <v>1</v>
      </c>
      <c r="P101" s="933">
        <v>1</v>
      </c>
      <c r="Q101" s="933">
        <v>1</v>
      </c>
      <c r="R101" s="68"/>
      <c r="S101" s="933" t="s">
        <v>18</v>
      </c>
      <c r="T101" s="68"/>
      <c r="U101" s="945">
        <v>1</v>
      </c>
      <c r="V101" s="933">
        <v>1</v>
      </c>
      <c r="W101" s="934">
        <v>1</v>
      </c>
      <c r="X101" s="945">
        <v>1</v>
      </c>
      <c r="Y101" s="933">
        <v>1</v>
      </c>
      <c r="Z101" s="934">
        <v>1</v>
      </c>
      <c r="AA101" s="68"/>
      <c r="AB101" s="934">
        <v>1</v>
      </c>
      <c r="AC101" s="933">
        <v>1</v>
      </c>
      <c r="AD101" s="933">
        <v>1</v>
      </c>
      <c r="AE101" s="940">
        <v>1</v>
      </c>
      <c r="AF101" s="933">
        <v>1</v>
      </c>
      <c r="AG101" s="933">
        <v>1</v>
      </c>
      <c r="AH101" s="87">
        <f>SUM(C101:AG101)</f>
        <v>23</v>
      </c>
      <c r="AI101" s="65"/>
      <c r="AJ101" s="74"/>
      <c r="AK101" s="215">
        <f>COUNTIF(C101:AG101,"CT")</f>
        <v>2</v>
      </c>
      <c r="AL101" s="215">
        <f>COUNTIF(C101:AG101,"CS")</f>
        <v>0</v>
      </c>
      <c r="AM101" s="215">
        <v>4</v>
      </c>
      <c r="AN101" s="215">
        <v>2</v>
      </c>
      <c r="AO101" s="215">
        <f>COUNTIF(C101:AG101,"CI")</f>
        <v>0</v>
      </c>
      <c r="AP101" s="316">
        <f>AH101+AK101+AL101+AM101+AN101+AO101</f>
        <v>31</v>
      </c>
      <c r="AQ101" s="215">
        <f>COUNTIF(C101:AG101,"CTH")</f>
        <v>0</v>
      </c>
      <c r="AR101" s="215">
        <f>COUNTIF(C101:AG101,"A")</f>
        <v>0</v>
      </c>
    </row>
    <row r="102" spans="1:44" s="53" customFormat="1" ht="18" customHeight="1">
      <c r="A102" s="61"/>
      <c r="B102" s="62" t="s">
        <v>27</v>
      </c>
      <c r="C102" s="181"/>
      <c r="D102" s="152"/>
      <c r="E102" s="1232" t="s">
        <v>405</v>
      </c>
      <c r="F102" s="106"/>
      <c r="G102" s="948" t="s">
        <v>401</v>
      </c>
      <c r="H102" s="949" t="s">
        <v>411</v>
      </c>
      <c r="I102" s="95" t="s">
        <v>401</v>
      </c>
      <c r="J102" s="1234" t="s">
        <v>405</v>
      </c>
      <c r="K102" s="1052" t="s">
        <v>413</v>
      </c>
      <c r="L102" s="948" t="s">
        <v>407</v>
      </c>
      <c r="M102" s="106"/>
      <c r="N102" s="947" t="s">
        <v>404</v>
      </c>
      <c r="O102" s="948" t="s">
        <v>415</v>
      </c>
      <c r="P102" s="949" t="s">
        <v>411</v>
      </c>
      <c r="Q102" s="949" t="s">
        <v>412</v>
      </c>
      <c r="R102" s="108"/>
      <c r="S102" s="948"/>
      <c r="T102" s="106"/>
      <c r="U102" s="949" t="s">
        <v>405</v>
      </c>
      <c r="V102" s="949" t="s">
        <v>413</v>
      </c>
      <c r="W102" s="948" t="s">
        <v>407</v>
      </c>
      <c r="X102" s="949" t="s">
        <v>404</v>
      </c>
      <c r="Y102" s="971" t="s">
        <v>411</v>
      </c>
      <c r="Z102" s="947" t="s">
        <v>412</v>
      </c>
      <c r="AA102" s="108"/>
      <c r="AB102" s="948" t="s">
        <v>401</v>
      </c>
      <c r="AC102" s="948" t="s">
        <v>603</v>
      </c>
      <c r="AD102" s="948" t="s">
        <v>401</v>
      </c>
      <c r="AE102" s="949" t="s">
        <v>405</v>
      </c>
      <c r="AF102" s="949" t="s">
        <v>413</v>
      </c>
      <c r="AG102" s="949" t="s">
        <v>407</v>
      </c>
      <c r="AH102" s="88"/>
      <c r="AI102" s="62"/>
      <c r="AJ102" s="63"/>
      <c r="AK102" s="165"/>
      <c r="AL102" s="165"/>
      <c r="AM102" s="346"/>
      <c r="AN102" s="346"/>
      <c r="AO102" s="165"/>
      <c r="AP102" s="165"/>
      <c r="AQ102" s="165"/>
      <c r="AR102" s="165"/>
    </row>
    <row r="103" spans="1:44" ht="18" customHeight="1">
      <c r="A103" s="3"/>
      <c r="B103" s="4" t="s">
        <v>6</v>
      </c>
      <c r="C103" s="35"/>
      <c r="D103" s="26"/>
      <c r="E103" s="1227">
        <v>103</v>
      </c>
      <c r="F103" s="35"/>
      <c r="G103" s="950">
        <v>103</v>
      </c>
      <c r="H103" s="950">
        <v>90</v>
      </c>
      <c r="I103" s="26">
        <v>103</v>
      </c>
      <c r="J103" s="1227">
        <v>103</v>
      </c>
      <c r="K103" s="26">
        <v>90</v>
      </c>
      <c r="L103" s="950">
        <v>90</v>
      </c>
      <c r="M103" s="35"/>
      <c r="N103" s="950">
        <v>90</v>
      </c>
      <c r="O103" s="710">
        <v>90</v>
      </c>
      <c r="P103" s="950">
        <v>90</v>
      </c>
      <c r="Q103" s="950">
        <v>90</v>
      </c>
      <c r="R103" s="35"/>
      <c r="S103" s="950"/>
      <c r="T103" s="35"/>
      <c r="U103" s="950">
        <v>103</v>
      </c>
      <c r="V103" s="950">
        <v>90</v>
      </c>
      <c r="W103" s="950">
        <v>90</v>
      </c>
      <c r="X103" s="950">
        <v>90</v>
      </c>
      <c r="Y103" s="710">
        <v>90</v>
      </c>
      <c r="Z103" s="950">
        <v>90</v>
      </c>
      <c r="AA103" s="35"/>
      <c r="AB103" s="950">
        <v>103</v>
      </c>
      <c r="AC103" s="950">
        <v>90</v>
      </c>
      <c r="AD103" s="710">
        <v>103</v>
      </c>
      <c r="AE103" s="950">
        <v>103</v>
      </c>
      <c r="AF103" s="950">
        <v>90</v>
      </c>
      <c r="AG103" s="950">
        <v>90</v>
      </c>
      <c r="AH103" s="40"/>
      <c r="AI103" s="3"/>
      <c r="AJ103" s="56"/>
      <c r="AK103" s="123"/>
      <c r="AL103" s="123"/>
      <c r="AM103" s="123"/>
      <c r="AN103" s="123"/>
      <c r="AO103" s="123"/>
      <c r="AP103" s="123"/>
      <c r="AQ103" s="123"/>
      <c r="AR103" s="123"/>
    </row>
    <row r="104" spans="1:44" ht="18" customHeight="1">
      <c r="A104" s="3"/>
      <c r="B104" s="4" t="s">
        <v>7</v>
      </c>
      <c r="C104" s="31"/>
      <c r="D104" s="5"/>
      <c r="E104" s="1228">
        <v>56</v>
      </c>
      <c r="F104" s="35"/>
      <c r="G104" s="710">
        <v>40</v>
      </c>
      <c r="H104" s="950">
        <v>50</v>
      </c>
      <c r="I104" s="5">
        <v>64</v>
      </c>
      <c r="J104" s="1228">
        <v>55</v>
      </c>
      <c r="K104" s="26">
        <v>46</v>
      </c>
      <c r="L104" s="950">
        <v>48</v>
      </c>
      <c r="M104" s="31"/>
      <c r="N104" s="950">
        <v>50</v>
      </c>
      <c r="O104" s="950">
        <v>29</v>
      </c>
      <c r="P104" s="710">
        <v>61</v>
      </c>
      <c r="Q104" s="710">
        <v>63</v>
      </c>
      <c r="R104" s="35"/>
      <c r="S104" s="950"/>
      <c r="T104" s="35"/>
      <c r="U104" s="710">
        <v>21</v>
      </c>
      <c r="V104" s="710">
        <v>34</v>
      </c>
      <c r="W104" s="950">
        <v>40</v>
      </c>
      <c r="X104" s="950">
        <v>31</v>
      </c>
      <c r="Y104" s="950">
        <v>37</v>
      </c>
      <c r="Z104" s="950">
        <v>36</v>
      </c>
      <c r="AA104" s="35"/>
      <c r="AB104" s="950">
        <v>30</v>
      </c>
      <c r="AC104" s="950">
        <v>20</v>
      </c>
      <c r="AD104" s="710">
        <v>28</v>
      </c>
      <c r="AE104" s="950">
        <v>16</v>
      </c>
      <c r="AF104" s="950">
        <v>6</v>
      </c>
      <c r="AG104" s="950">
        <v>26</v>
      </c>
      <c r="AH104" s="40">
        <f>SUM(C104:AG104)</f>
        <v>887</v>
      </c>
      <c r="AI104" s="3"/>
      <c r="AJ104" s="56"/>
      <c r="AK104" s="123"/>
      <c r="AL104" s="123"/>
      <c r="AM104" s="123"/>
      <c r="AN104" s="123"/>
      <c r="AO104" s="123"/>
      <c r="AP104" s="123"/>
      <c r="AQ104" s="123"/>
      <c r="AR104" s="123"/>
    </row>
    <row r="105" spans="1:44" s="10" customFormat="1" ht="18" customHeight="1">
      <c r="A105" s="7"/>
      <c r="B105" s="8" t="s">
        <v>99</v>
      </c>
      <c r="C105" s="32"/>
      <c r="D105" s="9"/>
      <c r="E105" s="1229"/>
      <c r="F105" s="32"/>
      <c r="G105" s="952"/>
      <c r="H105" s="952"/>
      <c r="I105" s="9"/>
      <c r="J105" s="1229"/>
      <c r="K105" s="9"/>
      <c r="L105" s="952"/>
      <c r="M105" s="32"/>
      <c r="N105" s="952"/>
      <c r="O105" s="952"/>
      <c r="P105" s="952"/>
      <c r="Q105" s="952"/>
      <c r="R105" s="32"/>
      <c r="S105" s="952"/>
      <c r="T105" s="35"/>
      <c r="U105" s="952"/>
      <c r="V105" s="952"/>
      <c r="W105" s="952"/>
      <c r="X105" s="952"/>
      <c r="Y105" s="952"/>
      <c r="Z105" s="952"/>
      <c r="AA105" s="32"/>
      <c r="AB105" s="952"/>
      <c r="AC105" s="952"/>
      <c r="AD105" s="952"/>
      <c r="AE105" s="952"/>
      <c r="AF105" s="952"/>
      <c r="AG105" s="950"/>
      <c r="AH105" s="41">
        <f t="shared" ref="AH105:AH107" si="28">SUM(C105:AG105)</f>
        <v>0</v>
      </c>
      <c r="AI105" s="7">
        <v>1409</v>
      </c>
      <c r="AJ105" s="57">
        <f t="shared" ref="AJ105:AJ107" si="29">AH105*AI105</f>
        <v>0</v>
      </c>
      <c r="AK105" s="84"/>
      <c r="AL105" s="84"/>
      <c r="AM105" s="84"/>
      <c r="AN105" s="84"/>
      <c r="AO105" s="84"/>
      <c r="AP105" s="84"/>
      <c r="AQ105" s="84"/>
      <c r="AR105" s="84"/>
    </row>
    <row r="106" spans="1:44" s="10" customFormat="1" ht="18" customHeight="1">
      <c r="A106" s="7"/>
      <c r="B106" s="8" t="s">
        <v>118</v>
      </c>
      <c r="C106" s="32"/>
      <c r="D106" s="9"/>
      <c r="E106" s="1229">
        <v>56</v>
      </c>
      <c r="F106" s="32"/>
      <c r="G106" s="952"/>
      <c r="H106" s="952"/>
      <c r="I106" s="9"/>
      <c r="J106" s="1229">
        <v>55</v>
      </c>
      <c r="K106" s="9"/>
      <c r="L106" s="952"/>
      <c r="M106" s="32"/>
      <c r="N106" s="950"/>
      <c r="O106" s="952"/>
      <c r="P106" s="952"/>
      <c r="Q106" s="952"/>
      <c r="R106" s="32"/>
      <c r="S106" s="952"/>
      <c r="T106" s="35"/>
      <c r="U106" s="952"/>
      <c r="V106" s="952"/>
      <c r="W106" s="952"/>
      <c r="X106" s="952"/>
      <c r="Y106" s="952"/>
      <c r="Z106" s="952"/>
      <c r="AA106" s="32"/>
      <c r="AB106" s="952"/>
      <c r="AC106" s="952"/>
      <c r="AD106" s="952"/>
      <c r="AE106" s="953"/>
      <c r="AF106" s="952"/>
      <c r="AG106" s="950"/>
      <c r="AH106" s="41">
        <f t="shared" si="28"/>
        <v>111</v>
      </c>
      <c r="AI106" s="7">
        <v>1322</v>
      </c>
      <c r="AJ106" s="57">
        <f t="shared" si="29"/>
        <v>146742</v>
      </c>
      <c r="AK106" s="84"/>
      <c r="AL106" s="84"/>
      <c r="AM106" s="84"/>
      <c r="AN106" s="84"/>
      <c r="AO106" s="84"/>
      <c r="AP106" s="84"/>
      <c r="AQ106" s="84"/>
      <c r="AR106" s="84"/>
    </row>
    <row r="107" spans="1:44" s="10" customFormat="1" ht="18" customHeight="1">
      <c r="A107" s="7"/>
      <c r="B107" s="8" t="s">
        <v>396</v>
      </c>
      <c r="C107" s="32"/>
      <c r="D107" s="9"/>
      <c r="E107" s="1229"/>
      <c r="F107" s="32"/>
      <c r="G107" s="952"/>
      <c r="H107" s="952"/>
      <c r="I107" s="9"/>
      <c r="J107" s="1229"/>
      <c r="K107" s="9"/>
      <c r="L107" s="952"/>
      <c r="M107" s="32"/>
      <c r="N107" s="950"/>
      <c r="O107" s="952"/>
      <c r="P107" s="952"/>
      <c r="Q107" s="952"/>
      <c r="R107" s="32"/>
      <c r="S107" s="952"/>
      <c r="T107" s="35"/>
      <c r="U107" s="952"/>
      <c r="V107" s="952"/>
      <c r="W107" s="952"/>
      <c r="X107" s="952"/>
      <c r="Y107" s="952"/>
      <c r="Z107" s="952"/>
      <c r="AA107" s="32"/>
      <c r="AB107" s="952"/>
      <c r="AC107" s="952"/>
      <c r="AD107" s="952"/>
      <c r="AE107" s="952"/>
      <c r="AF107" s="952"/>
      <c r="AG107" s="950"/>
      <c r="AH107" s="41">
        <f t="shared" si="28"/>
        <v>0</v>
      </c>
      <c r="AI107" s="7">
        <v>1233</v>
      </c>
      <c r="AJ107" s="57">
        <f t="shared" si="29"/>
        <v>0</v>
      </c>
      <c r="AK107" s="84"/>
      <c r="AL107" s="84"/>
      <c r="AM107" s="84"/>
      <c r="AN107" s="84"/>
      <c r="AO107" s="84"/>
      <c r="AP107" s="84"/>
      <c r="AQ107" s="84"/>
      <c r="AR107" s="84"/>
    </row>
    <row r="108" spans="1:44" s="10" customFormat="1" ht="18" customHeight="1">
      <c r="A108" s="7"/>
      <c r="B108" s="8"/>
      <c r="C108" s="35"/>
      <c r="D108" s="9"/>
      <c r="E108" s="1229"/>
      <c r="F108" s="32"/>
      <c r="G108" s="952"/>
      <c r="H108" s="950"/>
      <c r="I108" s="9"/>
      <c r="J108" s="1229"/>
      <c r="K108" s="26"/>
      <c r="L108" s="950"/>
      <c r="M108" s="32"/>
      <c r="N108" s="950"/>
      <c r="O108" s="952"/>
      <c r="P108" s="952"/>
      <c r="Q108" s="952"/>
      <c r="R108" s="32"/>
      <c r="S108" s="952"/>
      <c r="T108" s="35"/>
      <c r="U108" s="952"/>
      <c r="V108" s="952"/>
      <c r="W108" s="952"/>
      <c r="X108" s="952"/>
      <c r="Y108" s="950"/>
      <c r="Z108" s="950"/>
      <c r="AA108" s="35"/>
      <c r="AB108" s="952"/>
      <c r="AC108" s="952"/>
      <c r="AD108" s="952"/>
      <c r="AE108" s="952"/>
      <c r="AF108" s="950"/>
      <c r="AG108" s="950"/>
      <c r="AH108" s="1292" t="s">
        <v>70</v>
      </c>
      <c r="AI108" s="1293"/>
      <c r="AJ108" s="121">
        <f>SUM(AJ105:AJ107)</f>
        <v>146742</v>
      </c>
      <c r="AK108" s="84"/>
      <c r="AL108" s="84"/>
      <c r="AM108" s="84"/>
      <c r="AN108" s="84"/>
      <c r="AO108" s="84"/>
      <c r="AP108" s="84"/>
      <c r="AQ108" s="84"/>
      <c r="AR108" s="84"/>
    </row>
    <row r="109" spans="1:44" ht="18" customHeight="1">
      <c r="A109" s="3"/>
      <c r="B109" s="4" t="s">
        <v>8</v>
      </c>
      <c r="C109" s="31"/>
      <c r="D109" s="5"/>
      <c r="E109" s="1228">
        <v>13</v>
      </c>
      <c r="F109" s="35"/>
      <c r="G109" s="710">
        <v>7</v>
      </c>
      <c r="H109" s="950">
        <v>17</v>
      </c>
      <c r="I109" s="5">
        <v>13</v>
      </c>
      <c r="J109" s="1228">
        <v>7</v>
      </c>
      <c r="K109" s="26">
        <v>8</v>
      </c>
      <c r="L109" s="950">
        <v>12</v>
      </c>
      <c r="M109" s="31"/>
      <c r="N109" s="950">
        <v>12</v>
      </c>
      <c r="O109" s="950">
        <v>6</v>
      </c>
      <c r="P109" s="950">
        <v>13</v>
      </c>
      <c r="Q109" s="950">
        <v>18</v>
      </c>
      <c r="R109" s="35"/>
      <c r="S109" s="950"/>
      <c r="T109" s="35"/>
      <c r="U109" s="950">
        <v>0</v>
      </c>
      <c r="V109" s="950">
        <v>5</v>
      </c>
      <c r="W109" s="950">
        <v>6</v>
      </c>
      <c r="X109" s="950">
        <v>3</v>
      </c>
      <c r="Y109" s="950">
        <v>8</v>
      </c>
      <c r="Z109" s="950">
        <v>4</v>
      </c>
      <c r="AA109" s="35"/>
      <c r="AB109" s="950">
        <v>3</v>
      </c>
      <c r="AC109" s="950">
        <v>3</v>
      </c>
      <c r="AD109" s="950">
        <v>3</v>
      </c>
      <c r="AE109" s="950">
        <v>1</v>
      </c>
      <c r="AF109" s="950">
        <v>1</v>
      </c>
      <c r="AG109" s="950">
        <v>4</v>
      </c>
      <c r="AH109" s="40">
        <f t="shared" ref="AH109" si="30">SUM(C109:AG109)</f>
        <v>167</v>
      </c>
      <c r="AI109" s="51">
        <v>1750</v>
      </c>
      <c r="AJ109" s="57">
        <f t="shared" ref="AJ109" si="31">AH109*AI109</f>
        <v>292250</v>
      </c>
      <c r="AK109" s="123"/>
      <c r="AL109" s="123"/>
      <c r="AM109" s="123"/>
      <c r="AN109" s="123"/>
      <c r="AO109" s="123"/>
      <c r="AP109" s="123"/>
      <c r="AQ109" s="123"/>
      <c r="AR109" s="123"/>
    </row>
    <row r="110" spans="1:44" s="16" customFormat="1" ht="18" customHeight="1">
      <c r="A110" s="11"/>
      <c r="B110" s="12" t="s">
        <v>9</v>
      </c>
      <c r="C110" s="35"/>
      <c r="D110" s="36"/>
      <c r="E110" s="1233"/>
      <c r="F110" s="341"/>
      <c r="G110" s="981"/>
      <c r="H110" s="956"/>
      <c r="I110" s="155"/>
      <c r="J110" s="1241"/>
      <c r="K110" s="14"/>
      <c r="L110" s="950"/>
      <c r="M110" s="753"/>
      <c r="N110" s="950"/>
      <c r="O110" s="982"/>
      <c r="P110" s="956"/>
      <c r="Q110" s="956"/>
      <c r="R110" s="341"/>
      <c r="S110" s="958"/>
      <c r="T110" s="35"/>
      <c r="U110" s="956">
        <f>134500/U103*U104-134500</f>
        <v>-107077.66990291262</v>
      </c>
      <c r="V110" s="968"/>
      <c r="W110" s="950"/>
      <c r="X110" s="987"/>
      <c r="Y110" s="959"/>
      <c r="Z110" s="968"/>
      <c r="AA110" s="33"/>
      <c r="AB110" s="981"/>
      <c r="AC110" s="959"/>
      <c r="AD110" s="968"/>
      <c r="AE110" s="950"/>
      <c r="AF110" s="968"/>
      <c r="AG110" s="968"/>
      <c r="AH110" s="42">
        <f>SUM(C110:AG110)</f>
        <v>-107077.66990291262</v>
      </c>
      <c r="AI110" s="11"/>
      <c r="AJ110" s="58"/>
      <c r="AK110" s="85"/>
      <c r="AL110" s="85"/>
      <c r="AM110" s="85"/>
      <c r="AN110" s="85"/>
      <c r="AO110" s="85"/>
      <c r="AP110" s="85"/>
      <c r="AQ110" s="85"/>
      <c r="AR110" s="85"/>
    </row>
    <row r="111" spans="1:44" s="16" customFormat="1" ht="18" customHeight="1" thickBot="1">
      <c r="A111" s="69"/>
      <c r="B111" s="70"/>
      <c r="C111" s="72"/>
      <c r="D111" s="71"/>
      <c r="E111" s="1230"/>
      <c r="F111" s="1040"/>
      <c r="G111" s="978"/>
      <c r="H111" s="955"/>
      <c r="I111" s="1216"/>
      <c r="J111" s="1265"/>
      <c r="K111" s="71"/>
      <c r="L111" s="955"/>
      <c r="M111" s="178"/>
      <c r="N111" s="988"/>
      <c r="O111" s="954"/>
      <c r="P111" s="954"/>
      <c r="Q111" s="954"/>
      <c r="R111" s="178"/>
      <c r="S111" s="954"/>
      <c r="T111" s="72"/>
      <c r="U111" s="954"/>
      <c r="V111" s="954"/>
      <c r="W111" s="955"/>
      <c r="X111" s="955"/>
      <c r="Y111" s="955"/>
      <c r="Z111" s="958"/>
      <c r="AA111" s="341"/>
      <c r="AB111" s="958"/>
      <c r="AC111" s="954"/>
      <c r="AD111" s="954"/>
      <c r="AE111" s="955"/>
      <c r="AF111" s="955"/>
      <c r="AG111" s="957"/>
      <c r="AH111" s="89"/>
      <c r="AI111" s="69"/>
      <c r="AJ111" s="75"/>
      <c r="AK111" s="86"/>
      <c r="AL111" s="86"/>
      <c r="AM111" s="86"/>
      <c r="AN111" s="86"/>
      <c r="AO111" s="86"/>
      <c r="AP111" s="86"/>
      <c r="AQ111" s="86"/>
      <c r="AR111" s="86"/>
    </row>
    <row r="112" spans="1:44" s="53" customFormat="1" ht="18" customHeight="1" thickBot="1">
      <c r="A112" s="64">
        <v>12</v>
      </c>
      <c r="B112" s="65" t="s">
        <v>107</v>
      </c>
      <c r="C112" s="647"/>
      <c r="D112" s="67">
        <v>1</v>
      </c>
      <c r="E112" s="1238">
        <v>1</v>
      </c>
      <c r="F112" s="68"/>
      <c r="G112" s="945">
        <v>1</v>
      </c>
      <c r="H112" s="933">
        <v>1</v>
      </c>
      <c r="I112" s="67">
        <v>1</v>
      </c>
      <c r="J112" s="1238">
        <v>1</v>
      </c>
      <c r="K112" s="66">
        <v>1</v>
      </c>
      <c r="L112" s="934">
        <v>1</v>
      </c>
      <c r="M112" s="647"/>
      <c r="N112" s="933">
        <v>1</v>
      </c>
      <c r="O112" s="933">
        <v>1</v>
      </c>
      <c r="P112" s="934">
        <v>1</v>
      </c>
      <c r="Q112" s="934">
        <v>1</v>
      </c>
      <c r="R112" s="68"/>
      <c r="S112" s="934">
        <v>1</v>
      </c>
      <c r="T112" s="68"/>
      <c r="U112" s="945">
        <v>1</v>
      </c>
      <c r="V112" s="933">
        <v>1</v>
      </c>
      <c r="W112" s="934">
        <v>1</v>
      </c>
      <c r="X112" s="945">
        <v>1</v>
      </c>
      <c r="Y112" s="933">
        <v>1</v>
      </c>
      <c r="Z112" s="934">
        <v>1</v>
      </c>
      <c r="AA112" s="68"/>
      <c r="AB112" s="934">
        <v>1</v>
      </c>
      <c r="AC112" s="1051" t="s">
        <v>18</v>
      </c>
      <c r="AD112" s="933">
        <v>1</v>
      </c>
      <c r="AE112" s="940">
        <v>1</v>
      </c>
      <c r="AF112" s="933">
        <v>1</v>
      </c>
      <c r="AG112" s="933">
        <v>1</v>
      </c>
      <c r="AH112" s="87">
        <f>SUM(C112:AG112)</f>
        <v>24</v>
      </c>
      <c r="AI112" s="65"/>
      <c r="AJ112" s="74"/>
      <c r="AK112" s="215">
        <f>COUNTIF(C112:AG112,"CT")</f>
        <v>1</v>
      </c>
      <c r="AL112" s="215">
        <f>COUNTIF(C112:AG112,"CS")</f>
        <v>0</v>
      </c>
      <c r="AM112" s="215">
        <v>4</v>
      </c>
      <c r="AN112" s="215">
        <v>2</v>
      </c>
      <c r="AO112" s="215">
        <f>COUNTIF(C112:AG112,"CI")</f>
        <v>0</v>
      </c>
      <c r="AP112" s="316">
        <f>AH112+AK112+AL112+AM112+AN112+AO112</f>
        <v>31</v>
      </c>
      <c r="AQ112" s="215">
        <f>COUNTIF(C112:AG112,"CTH")</f>
        <v>0</v>
      </c>
      <c r="AR112" s="215">
        <f>COUNTIF(C112:AG112,"A")</f>
        <v>0</v>
      </c>
    </row>
    <row r="113" spans="1:44" s="53" customFormat="1" ht="18" customHeight="1">
      <c r="A113" s="61"/>
      <c r="B113" s="62" t="s">
        <v>27</v>
      </c>
      <c r="C113" s="593"/>
      <c r="D113" s="152" t="s">
        <v>404</v>
      </c>
      <c r="E113" s="1232" t="s">
        <v>404</v>
      </c>
      <c r="F113" s="106"/>
      <c r="G113" s="948" t="s">
        <v>405</v>
      </c>
      <c r="H113" s="947" t="s">
        <v>411</v>
      </c>
      <c r="I113" s="95" t="s">
        <v>412</v>
      </c>
      <c r="J113" s="1234" t="s">
        <v>405</v>
      </c>
      <c r="K113" s="95" t="s">
        <v>413</v>
      </c>
      <c r="L113" s="946" t="s">
        <v>407</v>
      </c>
      <c r="M113" s="106"/>
      <c r="N113" s="947" t="s">
        <v>404</v>
      </c>
      <c r="O113" s="948" t="s">
        <v>415</v>
      </c>
      <c r="P113" s="948" t="s">
        <v>411</v>
      </c>
      <c r="Q113" s="948" t="s">
        <v>412</v>
      </c>
      <c r="R113" s="108"/>
      <c r="S113" s="948" t="s">
        <v>401</v>
      </c>
      <c r="T113" s="106"/>
      <c r="U113" s="949" t="s">
        <v>405</v>
      </c>
      <c r="V113" s="949" t="s">
        <v>413</v>
      </c>
      <c r="W113" s="948" t="s">
        <v>407</v>
      </c>
      <c r="X113" s="949" t="s">
        <v>404</v>
      </c>
      <c r="Y113" s="971" t="s">
        <v>411</v>
      </c>
      <c r="Z113" s="947" t="s">
        <v>412</v>
      </c>
      <c r="AA113" s="897"/>
      <c r="AB113" s="946" t="s">
        <v>401</v>
      </c>
      <c r="AC113" s="948"/>
      <c r="AD113" s="948" t="s">
        <v>603</v>
      </c>
      <c r="AE113" s="949" t="s">
        <v>405</v>
      </c>
      <c r="AF113" s="949" t="s">
        <v>413</v>
      </c>
      <c r="AG113" s="966" t="s">
        <v>407</v>
      </c>
      <c r="AH113" s="88"/>
      <c r="AI113" s="62"/>
      <c r="AJ113" s="63"/>
      <c r="AK113" s="165"/>
      <c r="AL113" s="165"/>
      <c r="AM113" s="165"/>
      <c r="AN113" s="165"/>
      <c r="AO113" s="165"/>
      <c r="AP113" s="165"/>
      <c r="AQ113" s="165"/>
      <c r="AR113" s="165"/>
    </row>
    <row r="114" spans="1:44" ht="18" customHeight="1">
      <c r="A114" s="3"/>
      <c r="B114" s="4" t="s">
        <v>6</v>
      </c>
      <c r="C114" s="35"/>
      <c r="D114" s="26">
        <v>90</v>
      </c>
      <c r="E114" s="1227">
        <v>90</v>
      </c>
      <c r="F114" s="35"/>
      <c r="G114" s="950">
        <v>103</v>
      </c>
      <c r="H114" s="950">
        <v>90</v>
      </c>
      <c r="I114" s="26">
        <v>90</v>
      </c>
      <c r="J114" s="1227">
        <v>103</v>
      </c>
      <c r="K114" s="26">
        <v>90</v>
      </c>
      <c r="L114" s="950">
        <v>90</v>
      </c>
      <c r="M114" s="31"/>
      <c r="N114" s="710">
        <v>90</v>
      </c>
      <c r="O114" s="710">
        <v>90</v>
      </c>
      <c r="P114" s="950">
        <v>90</v>
      </c>
      <c r="Q114" s="950">
        <v>90</v>
      </c>
      <c r="R114" s="35"/>
      <c r="S114" s="950">
        <v>103</v>
      </c>
      <c r="T114" s="35"/>
      <c r="U114" s="950">
        <v>103</v>
      </c>
      <c r="V114" s="710">
        <v>90</v>
      </c>
      <c r="W114" s="710">
        <v>90</v>
      </c>
      <c r="X114" s="950">
        <v>90</v>
      </c>
      <c r="Y114" s="710">
        <v>90</v>
      </c>
      <c r="Z114" s="710">
        <v>90</v>
      </c>
      <c r="AA114" s="35"/>
      <c r="AB114" s="710">
        <v>103</v>
      </c>
      <c r="AC114" s="710"/>
      <c r="AD114" s="710">
        <v>90</v>
      </c>
      <c r="AE114" s="950">
        <v>103</v>
      </c>
      <c r="AF114" s="950">
        <v>90</v>
      </c>
      <c r="AG114" s="950">
        <v>90</v>
      </c>
      <c r="AH114" s="40"/>
      <c r="AI114" s="3"/>
      <c r="AJ114" s="56"/>
      <c r="AK114" s="123"/>
      <c r="AL114" s="123"/>
      <c r="AM114" s="123"/>
      <c r="AN114" s="123"/>
      <c r="AO114" s="123"/>
      <c r="AP114" s="123"/>
      <c r="AQ114" s="123"/>
      <c r="AR114" s="123"/>
    </row>
    <row r="115" spans="1:44" ht="18" customHeight="1">
      <c r="A115" s="3"/>
      <c r="B115" s="4" t="s">
        <v>7</v>
      </c>
      <c r="C115" s="31"/>
      <c r="D115" s="5">
        <v>95</v>
      </c>
      <c r="E115" s="1228">
        <v>40</v>
      </c>
      <c r="F115" s="35"/>
      <c r="G115" s="710">
        <v>60</v>
      </c>
      <c r="H115" s="950">
        <v>60</v>
      </c>
      <c r="I115" s="5">
        <v>62</v>
      </c>
      <c r="J115" s="1228">
        <v>78</v>
      </c>
      <c r="K115" s="26">
        <v>45</v>
      </c>
      <c r="L115" s="950">
        <v>58</v>
      </c>
      <c r="M115" s="31"/>
      <c r="N115" s="950">
        <v>74</v>
      </c>
      <c r="O115" s="950">
        <v>27</v>
      </c>
      <c r="P115" s="710">
        <v>34</v>
      </c>
      <c r="Q115" s="710">
        <v>47</v>
      </c>
      <c r="R115" s="35"/>
      <c r="S115" s="950">
        <v>52</v>
      </c>
      <c r="T115" s="35"/>
      <c r="U115" s="710">
        <v>60</v>
      </c>
      <c r="V115" s="710">
        <v>40</v>
      </c>
      <c r="W115" s="710">
        <v>33</v>
      </c>
      <c r="X115" s="950">
        <v>27</v>
      </c>
      <c r="Y115" s="950">
        <v>27</v>
      </c>
      <c r="Z115" s="950">
        <v>38</v>
      </c>
      <c r="AA115" s="35"/>
      <c r="AB115" s="950">
        <v>291</v>
      </c>
      <c r="AC115" s="950"/>
      <c r="AD115" s="710">
        <v>17</v>
      </c>
      <c r="AE115" s="950">
        <v>60</v>
      </c>
      <c r="AF115" s="950">
        <v>18</v>
      </c>
      <c r="AG115" s="950">
        <v>56</v>
      </c>
      <c r="AH115" s="40">
        <f>SUM(C115:AG115)</f>
        <v>1399</v>
      </c>
      <c r="AI115" s="3"/>
      <c r="AJ115" s="56"/>
      <c r="AK115" s="123"/>
      <c r="AL115" s="123"/>
      <c r="AM115" s="123"/>
      <c r="AN115" s="123"/>
      <c r="AO115" s="123"/>
      <c r="AP115" s="123"/>
      <c r="AQ115" s="123"/>
      <c r="AR115" s="123"/>
    </row>
    <row r="116" spans="1:44" s="10" customFormat="1" ht="18" customHeight="1">
      <c r="A116" s="7"/>
      <c r="B116" s="8" t="s">
        <v>99</v>
      </c>
      <c r="C116" s="32"/>
      <c r="D116" s="9">
        <v>5</v>
      </c>
      <c r="E116" s="1229">
        <v>40</v>
      </c>
      <c r="F116" s="32"/>
      <c r="G116" s="952"/>
      <c r="H116" s="952"/>
      <c r="I116" s="9"/>
      <c r="J116" s="1229"/>
      <c r="K116" s="9"/>
      <c r="L116" s="952"/>
      <c r="M116" s="32"/>
      <c r="N116" s="952"/>
      <c r="O116" s="952"/>
      <c r="P116" s="952"/>
      <c r="Q116" s="952"/>
      <c r="R116" s="32"/>
      <c r="S116" s="952"/>
      <c r="T116" s="35"/>
      <c r="U116" s="952"/>
      <c r="V116" s="952"/>
      <c r="W116" s="952"/>
      <c r="X116" s="952"/>
      <c r="Y116" s="952"/>
      <c r="Z116" s="952"/>
      <c r="AA116" s="32"/>
      <c r="AB116" s="952"/>
      <c r="AC116" s="952"/>
      <c r="AD116" s="952"/>
      <c r="AE116" s="952"/>
      <c r="AF116" s="952"/>
      <c r="AG116" s="950"/>
      <c r="AH116" s="41">
        <f t="shared" ref="AH116:AH118" si="32">SUM(C116:AG116)</f>
        <v>45</v>
      </c>
      <c r="AI116" s="7">
        <v>1409</v>
      </c>
      <c r="AJ116" s="57">
        <f t="shared" ref="AJ116:AJ117" si="33">AH116*AI116</f>
        <v>63405</v>
      </c>
      <c r="AK116" s="84"/>
      <c r="AL116" s="84"/>
      <c r="AM116" s="84"/>
      <c r="AN116" s="84"/>
      <c r="AO116" s="84"/>
      <c r="AP116" s="84"/>
      <c r="AQ116" s="84"/>
      <c r="AR116" s="84"/>
    </row>
    <row r="117" spans="1:44" s="10" customFormat="1" ht="18" customHeight="1">
      <c r="A117" s="7"/>
      <c r="B117" s="8" t="s">
        <v>118</v>
      </c>
      <c r="C117" s="32"/>
      <c r="D117" s="9"/>
      <c r="E117" s="1229"/>
      <c r="F117" s="32"/>
      <c r="G117" s="952"/>
      <c r="H117" s="952"/>
      <c r="I117" s="9"/>
      <c r="J117" s="1229">
        <v>78</v>
      </c>
      <c r="K117" s="9"/>
      <c r="L117" s="952"/>
      <c r="M117" s="32"/>
      <c r="N117" s="950"/>
      <c r="O117" s="952"/>
      <c r="P117" s="952"/>
      <c r="Q117" s="952"/>
      <c r="R117" s="32"/>
      <c r="S117" s="952"/>
      <c r="T117" s="35"/>
      <c r="U117" s="952"/>
      <c r="V117" s="952"/>
      <c r="W117" s="952"/>
      <c r="X117" s="952"/>
      <c r="Y117" s="952"/>
      <c r="Z117" s="952"/>
      <c r="AA117" s="32"/>
      <c r="AB117" s="952">
        <v>188</v>
      </c>
      <c r="AC117" s="952"/>
      <c r="AD117" s="952"/>
      <c r="AE117" s="953"/>
      <c r="AF117" s="952"/>
      <c r="AG117" s="950"/>
      <c r="AH117" s="41">
        <f t="shared" si="32"/>
        <v>266</v>
      </c>
      <c r="AI117" s="7">
        <v>1322</v>
      </c>
      <c r="AJ117" s="57">
        <f t="shared" si="33"/>
        <v>351652</v>
      </c>
      <c r="AK117" s="84"/>
      <c r="AL117" s="84"/>
      <c r="AM117" s="84"/>
      <c r="AN117" s="84"/>
      <c r="AO117" s="84"/>
      <c r="AP117" s="84"/>
      <c r="AQ117" s="84"/>
      <c r="AR117" s="84"/>
    </row>
    <row r="118" spans="1:44" s="10" customFormat="1" ht="18" customHeight="1">
      <c r="A118" s="7"/>
      <c r="B118" s="8" t="s">
        <v>396</v>
      </c>
      <c r="C118" s="32"/>
      <c r="D118" s="9"/>
      <c r="E118" s="1229"/>
      <c r="F118" s="32"/>
      <c r="G118" s="952"/>
      <c r="H118" s="952"/>
      <c r="I118" s="9"/>
      <c r="J118" s="1229"/>
      <c r="K118" s="9"/>
      <c r="L118" s="952"/>
      <c r="M118" s="32"/>
      <c r="N118" s="950"/>
      <c r="O118" s="952"/>
      <c r="P118" s="952"/>
      <c r="Q118" s="952"/>
      <c r="R118" s="32"/>
      <c r="S118" s="952"/>
      <c r="T118" s="35"/>
      <c r="U118" s="952"/>
      <c r="V118" s="952"/>
      <c r="W118" s="952"/>
      <c r="X118" s="952"/>
      <c r="Y118" s="952"/>
      <c r="Z118" s="952"/>
      <c r="AA118" s="32"/>
      <c r="AB118" s="952"/>
      <c r="AC118" s="952"/>
      <c r="AD118" s="952"/>
      <c r="AE118" s="952"/>
      <c r="AF118" s="952"/>
      <c r="AG118" s="950"/>
      <c r="AH118" s="41">
        <f t="shared" si="32"/>
        <v>0</v>
      </c>
      <c r="AI118" s="7">
        <v>1233</v>
      </c>
      <c r="AJ118" s="57">
        <f t="shared" ref="AJ118" si="34">AH118*AI118</f>
        <v>0</v>
      </c>
      <c r="AK118" s="84"/>
      <c r="AL118" s="84"/>
      <c r="AM118" s="84"/>
      <c r="AN118" s="84"/>
      <c r="AO118" s="84"/>
      <c r="AP118" s="84"/>
      <c r="AQ118" s="84"/>
      <c r="AR118" s="84"/>
    </row>
    <row r="119" spans="1:44" s="10" customFormat="1" ht="18" customHeight="1">
      <c r="A119" s="7"/>
      <c r="B119" s="8"/>
      <c r="C119" s="35"/>
      <c r="D119" s="9"/>
      <c r="E119" s="1229"/>
      <c r="F119" s="32"/>
      <c r="G119" s="952"/>
      <c r="H119" s="950"/>
      <c r="I119" s="9"/>
      <c r="J119" s="1229"/>
      <c r="K119" s="26"/>
      <c r="L119" s="950"/>
      <c r="M119" s="32"/>
      <c r="N119" s="950"/>
      <c r="O119" s="952"/>
      <c r="P119" s="952"/>
      <c r="Q119" s="952"/>
      <c r="R119" s="32"/>
      <c r="S119" s="952"/>
      <c r="T119" s="35"/>
      <c r="U119" s="952"/>
      <c r="V119" s="952"/>
      <c r="W119" s="952"/>
      <c r="X119" s="952"/>
      <c r="Y119" s="950"/>
      <c r="Z119" s="950"/>
      <c r="AA119" s="35"/>
      <c r="AB119" s="952"/>
      <c r="AC119" s="952"/>
      <c r="AD119" s="952"/>
      <c r="AE119" s="952"/>
      <c r="AF119" s="950"/>
      <c r="AG119" s="950"/>
      <c r="AH119" s="1292" t="s">
        <v>70</v>
      </c>
      <c r="AI119" s="1293"/>
      <c r="AJ119" s="121">
        <f>SUM(AJ116:AJ118)</f>
        <v>415057</v>
      </c>
      <c r="AK119" s="84"/>
      <c r="AL119" s="84"/>
      <c r="AM119" s="84"/>
      <c r="AN119" s="84"/>
      <c r="AO119" s="84"/>
      <c r="AP119" s="84"/>
      <c r="AQ119" s="84"/>
      <c r="AR119" s="84"/>
    </row>
    <row r="120" spans="1:44" ht="18" customHeight="1">
      <c r="A120" s="3"/>
      <c r="B120" s="4" t="s">
        <v>8</v>
      </c>
      <c r="C120" s="31"/>
      <c r="D120" s="5">
        <v>22</v>
      </c>
      <c r="E120" s="1228">
        <v>9</v>
      </c>
      <c r="F120" s="35"/>
      <c r="G120" s="710">
        <v>30</v>
      </c>
      <c r="H120" s="950">
        <v>17</v>
      </c>
      <c r="I120" s="5">
        <v>21</v>
      </c>
      <c r="J120" s="1228">
        <v>14</v>
      </c>
      <c r="K120" s="26">
        <v>10</v>
      </c>
      <c r="L120" s="950">
        <v>18</v>
      </c>
      <c r="M120" s="31"/>
      <c r="N120" s="950">
        <v>19</v>
      </c>
      <c r="O120" s="950">
        <v>5</v>
      </c>
      <c r="P120" s="950">
        <v>10</v>
      </c>
      <c r="Q120" s="950">
        <v>12</v>
      </c>
      <c r="R120" s="35"/>
      <c r="S120" s="950">
        <v>6</v>
      </c>
      <c r="T120" s="35"/>
      <c r="U120" s="950">
        <v>10</v>
      </c>
      <c r="V120" s="950">
        <v>9</v>
      </c>
      <c r="W120" s="950">
        <v>5</v>
      </c>
      <c r="X120" s="950">
        <v>4</v>
      </c>
      <c r="Y120" s="950">
        <v>3</v>
      </c>
      <c r="Z120" s="950">
        <v>3</v>
      </c>
      <c r="AA120" s="35"/>
      <c r="AB120" s="950">
        <v>37</v>
      </c>
      <c r="AC120" s="950"/>
      <c r="AD120" s="950">
        <v>1</v>
      </c>
      <c r="AE120" s="950">
        <v>4</v>
      </c>
      <c r="AF120" s="950">
        <v>3</v>
      </c>
      <c r="AG120" s="950">
        <v>10</v>
      </c>
      <c r="AH120" s="40">
        <f t="shared" ref="AH120" si="35">SUM(C120:AG120)</f>
        <v>282</v>
      </c>
      <c r="AI120" s="51">
        <v>1750</v>
      </c>
      <c r="AJ120" s="57">
        <f t="shared" ref="AJ120" si="36">AH120*AI120</f>
        <v>493500</v>
      </c>
      <c r="AK120" s="123"/>
      <c r="AL120" s="123"/>
      <c r="AM120" s="123"/>
      <c r="AN120" s="123"/>
      <c r="AO120" s="123"/>
      <c r="AP120" s="123"/>
      <c r="AQ120" s="123"/>
      <c r="AR120" s="123"/>
    </row>
    <row r="121" spans="1:44" s="16" customFormat="1" ht="18" customHeight="1">
      <c r="A121" s="17"/>
      <c r="B121" s="18" t="s">
        <v>9</v>
      </c>
      <c r="C121" s="35"/>
      <c r="D121" s="36"/>
      <c r="E121" s="1236"/>
      <c r="F121" s="1039"/>
      <c r="G121" s="956"/>
      <c r="H121" s="956"/>
      <c r="I121" s="136"/>
      <c r="J121" s="1235"/>
      <c r="K121" s="36"/>
      <c r="L121" s="959"/>
      <c r="M121" s="183"/>
      <c r="N121" s="956"/>
      <c r="O121" s="969"/>
      <c r="P121" s="956"/>
      <c r="Q121" s="956"/>
      <c r="R121" s="341"/>
      <c r="S121" s="958"/>
      <c r="T121" s="1045"/>
      <c r="U121" s="968"/>
      <c r="V121" s="968"/>
      <c r="W121" s="968"/>
      <c r="X121" s="956"/>
      <c r="Y121" s="950"/>
      <c r="Z121" s="970"/>
      <c r="AA121" s="896"/>
      <c r="AB121" s="970"/>
      <c r="AC121" s="959"/>
      <c r="AD121" s="968"/>
      <c r="AE121" s="950"/>
      <c r="AF121" s="950"/>
      <c r="AG121" s="950"/>
      <c r="AH121" s="42">
        <f>SUM(C121:AG121)</f>
        <v>0</v>
      </c>
      <c r="AI121" s="11"/>
      <c r="AJ121" s="58"/>
      <c r="AK121" s="85"/>
      <c r="AL121" s="85"/>
      <c r="AM121" s="85"/>
      <c r="AN121" s="85"/>
      <c r="AO121" s="85"/>
      <c r="AP121" s="85"/>
      <c r="AQ121" s="85"/>
      <c r="AR121" s="85"/>
    </row>
    <row r="122" spans="1:44" s="16" customFormat="1" ht="18" customHeight="1" thickBot="1">
      <c r="A122" s="76"/>
      <c r="B122" s="77"/>
      <c r="C122" s="1036"/>
      <c r="D122" s="71"/>
      <c r="E122" s="1230"/>
      <c r="F122" s="1040"/>
      <c r="G122" s="978"/>
      <c r="H122" s="974"/>
      <c r="I122" s="1216"/>
      <c r="J122" s="1263"/>
      <c r="K122" s="71"/>
      <c r="L122" s="955"/>
      <c r="M122" s="178"/>
      <c r="N122" s="955"/>
      <c r="O122" s="954"/>
      <c r="P122" s="954"/>
      <c r="Q122" s="954"/>
      <c r="R122" s="178"/>
      <c r="S122" s="954"/>
      <c r="T122" s="72"/>
      <c r="U122" s="954"/>
      <c r="V122" s="954"/>
      <c r="W122" s="955"/>
      <c r="X122" s="955"/>
      <c r="Y122" s="955"/>
      <c r="Z122" s="958"/>
      <c r="AA122" s="341"/>
      <c r="AB122" s="958"/>
      <c r="AC122" s="954"/>
      <c r="AD122" s="954"/>
      <c r="AE122" s="955"/>
      <c r="AF122" s="955"/>
      <c r="AG122" s="955"/>
      <c r="AH122" s="89"/>
      <c r="AI122" s="69"/>
      <c r="AJ122" s="75"/>
      <c r="AK122" s="86"/>
      <c r="AL122" s="86"/>
      <c r="AM122" s="86"/>
      <c r="AN122" s="86"/>
      <c r="AO122" s="86"/>
      <c r="AP122" s="86"/>
      <c r="AQ122" s="86"/>
      <c r="AR122" s="86"/>
    </row>
    <row r="123" spans="1:44" s="53" customFormat="1" ht="18" customHeight="1" thickBot="1">
      <c r="A123" s="64">
        <v>13</v>
      </c>
      <c r="B123" s="65" t="s">
        <v>14</v>
      </c>
      <c r="C123" s="647"/>
      <c r="D123" s="67">
        <v>1</v>
      </c>
      <c r="E123" s="1238">
        <v>1</v>
      </c>
      <c r="F123" s="68"/>
      <c r="G123" s="945">
        <v>1</v>
      </c>
      <c r="H123" s="933">
        <v>1</v>
      </c>
      <c r="I123" s="67">
        <v>1</v>
      </c>
      <c r="J123" s="1238">
        <v>1</v>
      </c>
      <c r="K123" s="66">
        <v>1</v>
      </c>
      <c r="L123" s="934">
        <v>1</v>
      </c>
      <c r="M123" s="647"/>
      <c r="N123" s="933">
        <v>1</v>
      </c>
      <c r="O123" s="933">
        <v>1</v>
      </c>
      <c r="P123" s="934">
        <v>1</v>
      </c>
      <c r="Q123" s="934">
        <v>1</v>
      </c>
      <c r="R123" s="68"/>
      <c r="S123" s="934">
        <v>1</v>
      </c>
      <c r="T123" s="68"/>
      <c r="U123" s="945">
        <v>1</v>
      </c>
      <c r="V123" s="933">
        <v>1</v>
      </c>
      <c r="W123" s="934">
        <v>1</v>
      </c>
      <c r="X123" s="945">
        <v>1</v>
      </c>
      <c r="Y123" s="933">
        <v>1</v>
      </c>
      <c r="Z123" s="934">
        <v>1</v>
      </c>
      <c r="AA123" s="68"/>
      <c r="AB123" s="934">
        <v>1</v>
      </c>
      <c r="AC123" s="933">
        <v>1</v>
      </c>
      <c r="AD123" s="933">
        <v>1</v>
      </c>
      <c r="AE123" s="940">
        <v>1</v>
      </c>
      <c r="AF123" s="933">
        <v>1</v>
      </c>
      <c r="AG123" s="933">
        <v>1</v>
      </c>
      <c r="AH123" s="87">
        <f>SUM(C123:AG123)</f>
        <v>25</v>
      </c>
      <c r="AI123" s="65"/>
      <c r="AJ123" s="74"/>
      <c r="AK123" s="215">
        <f>COUNTIF(C123:AG123,"CT")</f>
        <v>0</v>
      </c>
      <c r="AL123" s="215">
        <f>COUNTIF(C123:AG123,"CS")</f>
        <v>0</v>
      </c>
      <c r="AM123" s="215">
        <v>4</v>
      </c>
      <c r="AN123" s="215">
        <v>2</v>
      </c>
      <c r="AO123" s="215">
        <f>COUNTIF(C123:AG123,"CI")</f>
        <v>0</v>
      </c>
      <c r="AP123" s="316">
        <f>AH123+AK123+AL123+AM123+AN123+AO123</f>
        <v>31</v>
      </c>
      <c r="AQ123" s="215">
        <f>COUNTIF(C123:AG123,"CTH")</f>
        <v>0</v>
      </c>
      <c r="AR123" s="215">
        <f>COUNTIF(C123:AG123,"A")</f>
        <v>0</v>
      </c>
    </row>
    <row r="124" spans="1:44" s="53" customFormat="1" ht="18" customHeight="1">
      <c r="A124" s="61"/>
      <c r="B124" s="62" t="s">
        <v>27</v>
      </c>
      <c r="C124" s="181"/>
      <c r="D124" s="152" t="s">
        <v>404</v>
      </c>
      <c r="E124" s="1239" t="s">
        <v>405</v>
      </c>
      <c r="F124" s="108"/>
      <c r="G124" s="948" t="s">
        <v>401</v>
      </c>
      <c r="H124" s="947" t="s">
        <v>411</v>
      </c>
      <c r="I124" s="95" t="s">
        <v>412</v>
      </c>
      <c r="J124" s="1234" t="s">
        <v>405</v>
      </c>
      <c r="K124" s="95" t="s">
        <v>407</v>
      </c>
      <c r="L124" s="948" t="s">
        <v>407</v>
      </c>
      <c r="M124" s="108"/>
      <c r="N124" s="948" t="s">
        <v>404</v>
      </c>
      <c r="O124" s="948" t="s">
        <v>415</v>
      </c>
      <c r="P124" s="948" t="s">
        <v>411</v>
      </c>
      <c r="Q124" s="948" t="s">
        <v>412</v>
      </c>
      <c r="R124" s="108"/>
      <c r="S124" s="948" t="s">
        <v>401</v>
      </c>
      <c r="T124" s="106"/>
      <c r="U124" s="949" t="s">
        <v>405</v>
      </c>
      <c r="V124" s="949" t="s">
        <v>413</v>
      </c>
      <c r="W124" s="947" t="s">
        <v>407</v>
      </c>
      <c r="X124" s="949" t="s">
        <v>404</v>
      </c>
      <c r="Y124" s="971" t="s">
        <v>411</v>
      </c>
      <c r="Z124" s="989" t="s">
        <v>412</v>
      </c>
      <c r="AA124" s="181"/>
      <c r="AB124" s="976" t="s">
        <v>401</v>
      </c>
      <c r="AC124" s="948" t="s">
        <v>603</v>
      </c>
      <c r="AD124" s="948" t="s">
        <v>401</v>
      </c>
      <c r="AE124" s="949" t="s">
        <v>405</v>
      </c>
      <c r="AF124" s="949" t="s">
        <v>413</v>
      </c>
      <c r="AG124" s="949" t="s">
        <v>407</v>
      </c>
      <c r="AH124" s="88"/>
      <c r="AI124" s="62"/>
      <c r="AJ124" s="63"/>
      <c r="AK124" s="165"/>
      <c r="AL124" s="165"/>
      <c r="AM124" s="165"/>
      <c r="AN124" s="165"/>
      <c r="AO124" s="165"/>
      <c r="AP124" s="165"/>
      <c r="AQ124" s="165"/>
      <c r="AR124" s="165"/>
    </row>
    <row r="125" spans="1:44" ht="18" customHeight="1">
      <c r="A125" s="21"/>
      <c r="B125" s="22" t="s">
        <v>6</v>
      </c>
      <c r="C125" s="35"/>
      <c r="D125" s="26">
        <v>90</v>
      </c>
      <c r="E125" s="1227">
        <v>103</v>
      </c>
      <c r="F125" s="35"/>
      <c r="G125" s="950">
        <v>103</v>
      </c>
      <c r="H125" s="950">
        <v>90</v>
      </c>
      <c r="I125" s="26">
        <v>90</v>
      </c>
      <c r="J125" s="1228">
        <v>103</v>
      </c>
      <c r="K125" s="26">
        <v>90</v>
      </c>
      <c r="L125" s="950">
        <v>90</v>
      </c>
      <c r="M125" s="35"/>
      <c r="N125" s="710">
        <v>90</v>
      </c>
      <c r="O125" s="710">
        <v>90</v>
      </c>
      <c r="P125" s="710">
        <v>90</v>
      </c>
      <c r="Q125" s="710">
        <v>90</v>
      </c>
      <c r="R125" s="35"/>
      <c r="S125" s="950">
        <v>103</v>
      </c>
      <c r="T125" s="35"/>
      <c r="U125" s="950">
        <v>103</v>
      </c>
      <c r="V125" s="710">
        <v>90</v>
      </c>
      <c r="W125" s="710">
        <v>90</v>
      </c>
      <c r="X125" s="950">
        <v>90</v>
      </c>
      <c r="Y125" s="710">
        <v>90</v>
      </c>
      <c r="Z125" s="710">
        <v>90</v>
      </c>
      <c r="AA125" s="31"/>
      <c r="AB125" s="710">
        <v>103</v>
      </c>
      <c r="AC125" s="710">
        <v>90</v>
      </c>
      <c r="AD125" s="710">
        <v>103</v>
      </c>
      <c r="AE125" s="950">
        <v>103</v>
      </c>
      <c r="AF125" s="950">
        <v>90</v>
      </c>
      <c r="AG125" s="950">
        <v>90</v>
      </c>
      <c r="AH125" s="40"/>
      <c r="AI125" s="3"/>
      <c r="AJ125" s="56"/>
      <c r="AK125" s="123"/>
      <c r="AL125" s="123"/>
      <c r="AM125" s="123"/>
      <c r="AN125" s="123"/>
      <c r="AO125" s="123"/>
      <c r="AP125" s="123"/>
      <c r="AQ125" s="123"/>
      <c r="AR125" s="123"/>
    </row>
    <row r="126" spans="1:44" ht="18" customHeight="1">
      <c r="A126" s="21"/>
      <c r="B126" s="22" t="s">
        <v>7</v>
      </c>
      <c r="C126" s="31"/>
      <c r="D126" s="5">
        <v>45</v>
      </c>
      <c r="E126" s="1228">
        <v>50</v>
      </c>
      <c r="F126" s="35"/>
      <c r="G126" s="710">
        <v>72</v>
      </c>
      <c r="H126" s="950">
        <v>58</v>
      </c>
      <c r="I126" s="5">
        <v>33</v>
      </c>
      <c r="J126" s="1228">
        <v>151</v>
      </c>
      <c r="K126" s="26">
        <v>46</v>
      </c>
      <c r="L126" s="950">
        <v>50</v>
      </c>
      <c r="M126" s="31"/>
      <c r="N126" s="950">
        <v>46</v>
      </c>
      <c r="O126" s="950">
        <v>25</v>
      </c>
      <c r="P126" s="710">
        <v>26</v>
      </c>
      <c r="Q126" s="710">
        <v>45</v>
      </c>
      <c r="R126" s="35"/>
      <c r="S126" s="950">
        <v>89</v>
      </c>
      <c r="T126" s="35"/>
      <c r="U126" s="710">
        <v>89</v>
      </c>
      <c r="V126" s="710">
        <v>31</v>
      </c>
      <c r="W126" s="950">
        <v>53</v>
      </c>
      <c r="X126" s="950">
        <v>30</v>
      </c>
      <c r="Y126" s="950">
        <v>20</v>
      </c>
      <c r="Z126" s="950">
        <v>40</v>
      </c>
      <c r="AA126" s="35"/>
      <c r="AB126" s="950">
        <v>150</v>
      </c>
      <c r="AC126" s="710">
        <v>20</v>
      </c>
      <c r="AD126" s="710">
        <v>21</v>
      </c>
      <c r="AE126" s="950">
        <v>65</v>
      </c>
      <c r="AF126" s="950">
        <v>39</v>
      </c>
      <c r="AG126" s="950">
        <v>28</v>
      </c>
      <c r="AH126" s="40">
        <f>SUM(C126:AG126)</f>
        <v>1322</v>
      </c>
      <c r="AI126" s="3"/>
      <c r="AJ126" s="56"/>
      <c r="AK126" s="123"/>
      <c r="AL126" s="123"/>
      <c r="AM126" s="123"/>
      <c r="AN126" s="123"/>
      <c r="AO126" s="123"/>
      <c r="AP126" s="123"/>
      <c r="AQ126" s="123"/>
      <c r="AR126" s="123"/>
    </row>
    <row r="127" spans="1:44" s="10" customFormat="1" ht="18" customHeight="1">
      <c r="A127" s="7"/>
      <c r="B127" s="8" t="s">
        <v>99</v>
      </c>
      <c r="C127" s="32"/>
      <c r="D127" s="9"/>
      <c r="E127" s="1229"/>
      <c r="F127" s="32"/>
      <c r="G127" s="952"/>
      <c r="H127" s="952"/>
      <c r="I127" s="9"/>
      <c r="J127" s="1229"/>
      <c r="K127" s="9"/>
      <c r="L127" s="952"/>
      <c r="M127" s="32"/>
      <c r="N127" s="952"/>
      <c r="O127" s="952"/>
      <c r="P127" s="952"/>
      <c r="Q127" s="952"/>
      <c r="R127" s="32"/>
      <c r="S127" s="952"/>
      <c r="T127" s="35"/>
      <c r="U127" s="952"/>
      <c r="V127" s="952"/>
      <c r="W127" s="952"/>
      <c r="X127" s="952"/>
      <c r="Y127" s="952"/>
      <c r="Z127" s="952"/>
      <c r="AA127" s="32"/>
      <c r="AB127" s="952"/>
      <c r="AC127" s="952"/>
      <c r="AD127" s="952"/>
      <c r="AE127" s="952"/>
      <c r="AF127" s="952"/>
      <c r="AG127" s="950"/>
      <c r="AH127" s="41">
        <f t="shared" ref="AH127:AH129" si="37">SUM(C127:AG127)</f>
        <v>0</v>
      </c>
      <c r="AI127" s="7">
        <v>1409</v>
      </c>
      <c r="AJ127" s="57">
        <f t="shared" ref="AJ127:AJ128" si="38">AH127*AI127</f>
        <v>0</v>
      </c>
      <c r="AK127" s="84"/>
      <c r="AL127" s="84"/>
      <c r="AM127" s="84"/>
      <c r="AN127" s="84"/>
      <c r="AO127" s="84"/>
      <c r="AP127" s="84"/>
      <c r="AQ127" s="84"/>
      <c r="AR127" s="84"/>
    </row>
    <row r="128" spans="1:44" s="10" customFormat="1" ht="18" customHeight="1">
      <c r="A128" s="7"/>
      <c r="B128" s="8" t="s">
        <v>118</v>
      </c>
      <c r="C128" s="32"/>
      <c r="D128" s="9"/>
      <c r="E128" s="1229">
        <v>50</v>
      </c>
      <c r="F128" s="32"/>
      <c r="G128" s="952"/>
      <c r="H128" s="952"/>
      <c r="I128" s="9"/>
      <c r="J128" s="1229">
        <v>151</v>
      </c>
      <c r="K128" s="9"/>
      <c r="L128" s="952"/>
      <c r="M128" s="32"/>
      <c r="N128" s="950"/>
      <c r="O128" s="952"/>
      <c r="P128" s="952"/>
      <c r="Q128" s="952"/>
      <c r="R128" s="32"/>
      <c r="S128" s="952"/>
      <c r="T128" s="35"/>
      <c r="U128" s="952"/>
      <c r="V128" s="952"/>
      <c r="W128" s="952"/>
      <c r="X128" s="952"/>
      <c r="Y128" s="952"/>
      <c r="Z128" s="952"/>
      <c r="AA128" s="32"/>
      <c r="AB128" s="952">
        <v>47</v>
      </c>
      <c r="AC128" s="952"/>
      <c r="AD128" s="952"/>
      <c r="AE128" s="953"/>
      <c r="AF128" s="952"/>
      <c r="AG128" s="950"/>
      <c r="AH128" s="41">
        <f t="shared" si="37"/>
        <v>248</v>
      </c>
      <c r="AI128" s="7">
        <v>1322</v>
      </c>
      <c r="AJ128" s="57">
        <f t="shared" si="38"/>
        <v>327856</v>
      </c>
      <c r="AK128" s="84"/>
      <c r="AL128" s="84"/>
      <c r="AM128" s="84"/>
      <c r="AN128" s="84"/>
      <c r="AO128" s="84"/>
      <c r="AP128" s="84"/>
      <c r="AQ128" s="84"/>
      <c r="AR128" s="84"/>
    </row>
    <row r="129" spans="1:44" s="10" customFormat="1" ht="18" customHeight="1">
      <c r="A129" s="7"/>
      <c r="B129" s="8" t="s">
        <v>396</v>
      </c>
      <c r="C129" s="32"/>
      <c r="D129" s="9"/>
      <c r="E129" s="1229"/>
      <c r="F129" s="32"/>
      <c r="G129" s="952"/>
      <c r="H129" s="952"/>
      <c r="I129" s="9"/>
      <c r="J129" s="1229"/>
      <c r="K129" s="9"/>
      <c r="L129" s="952"/>
      <c r="M129" s="32"/>
      <c r="N129" s="950"/>
      <c r="O129" s="952"/>
      <c r="P129" s="952"/>
      <c r="Q129" s="952"/>
      <c r="R129" s="32"/>
      <c r="S129" s="952"/>
      <c r="T129" s="35"/>
      <c r="U129" s="952"/>
      <c r="V129" s="952"/>
      <c r="W129" s="952"/>
      <c r="X129" s="952"/>
      <c r="Y129" s="952"/>
      <c r="Z129" s="952"/>
      <c r="AA129" s="32"/>
      <c r="AB129" s="952"/>
      <c r="AC129" s="952"/>
      <c r="AD129" s="952"/>
      <c r="AE129" s="952"/>
      <c r="AF129" s="952"/>
      <c r="AG129" s="950"/>
      <c r="AH129" s="41">
        <f t="shared" si="37"/>
        <v>0</v>
      </c>
      <c r="AI129" s="7">
        <v>1233</v>
      </c>
      <c r="AJ129" s="57">
        <f t="shared" ref="AJ129" si="39">AH129*AI129</f>
        <v>0</v>
      </c>
      <c r="AK129" s="84"/>
      <c r="AL129" s="84"/>
      <c r="AM129" s="84"/>
      <c r="AN129" s="84"/>
      <c r="AO129" s="84"/>
      <c r="AP129" s="84"/>
      <c r="AQ129" s="84"/>
      <c r="AR129" s="84"/>
    </row>
    <row r="130" spans="1:44" s="10" customFormat="1" ht="18" customHeight="1">
      <c r="A130" s="7"/>
      <c r="B130" s="8"/>
      <c r="C130" s="35"/>
      <c r="D130" s="9"/>
      <c r="E130" s="1229"/>
      <c r="F130" s="32"/>
      <c r="G130" s="952"/>
      <c r="H130" s="952"/>
      <c r="I130" s="9"/>
      <c r="J130" s="1229"/>
      <c r="K130" s="9"/>
      <c r="L130" s="952"/>
      <c r="M130" s="32"/>
      <c r="N130" s="950"/>
      <c r="O130" s="952"/>
      <c r="P130" s="952"/>
      <c r="Q130" s="952"/>
      <c r="R130" s="32"/>
      <c r="S130" s="952"/>
      <c r="T130" s="35"/>
      <c r="U130" s="952"/>
      <c r="V130" s="952"/>
      <c r="W130" s="952"/>
      <c r="X130" s="952"/>
      <c r="Y130" s="950"/>
      <c r="Z130" s="950"/>
      <c r="AA130" s="35"/>
      <c r="AB130" s="952"/>
      <c r="AC130" s="952"/>
      <c r="AD130" s="952"/>
      <c r="AE130" s="952"/>
      <c r="AF130" s="950"/>
      <c r="AG130" s="950"/>
      <c r="AH130" s="1292" t="s">
        <v>70</v>
      </c>
      <c r="AI130" s="1293"/>
      <c r="AJ130" s="121">
        <f>SUM(AJ127:AJ129)</f>
        <v>327856</v>
      </c>
      <c r="AK130" s="84"/>
      <c r="AL130" s="84"/>
      <c r="AM130" s="84"/>
      <c r="AN130" s="84"/>
      <c r="AO130" s="84"/>
      <c r="AP130" s="84"/>
      <c r="AQ130" s="84"/>
      <c r="AR130" s="84"/>
    </row>
    <row r="131" spans="1:44" ht="18" customHeight="1">
      <c r="A131" s="21"/>
      <c r="B131" s="4" t="s">
        <v>8</v>
      </c>
      <c r="C131" s="31"/>
      <c r="D131" s="5">
        <v>12</v>
      </c>
      <c r="E131" s="1228">
        <v>9</v>
      </c>
      <c r="F131" s="35"/>
      <c r="G131" s="710">
        <v>12</v>
      </c>
      <c r="H131" s="950">
        <v>25</v>
      </c>
      <c r="I131" s="5">
        <v>24</v>
      </c>
      <c r="J131" s="1228">
        <v>25</v>
      </c>
      <c r="K131" s="26">
        <v>5</v>
      </c>
      <c r="L131" s="950">
        <v>19</v>
      </c>
      <c r="M131" s="31"/>
      <c r="N131" s="950">
        <v>37</v>
      </c>
      <c r="O131" s="950">
        <v>7</v>
      </c>
      <c r="P131" s="950">
        <v>16</v>
      </c>
      <c r="Q131" s="950">
        <v>15</v>
      </c>
      <c r="R131" s="35"/>
      <c r="S131" s="950">
        <v>11</v>
      </c>
      <c r="T131" s="35"/>
      <c r="U131" s="950">
        <v>11</v>
      </c>
      <c r="V131" s="950">
        <v>3</v>
      </c>
      <c r="W131" s="950">
        <v>13</v>
      </c>
      <c r="X131" s="950">
        <v>3</v>
      </c>
      <c r="Y131" s="950">
        <v>9</v>
      </c>
      <c r="Z131" s="950">
        <v>7</v>
      </c>
      <c r="AA131" s="35"/>
      <c r="AB131" s="950">
        <v>19</v>
      </c>
      <c r="AC131" s="950">
        <v>2</v>
      </c>
      <c r="AD131" s="950">
        <v>1</v>
      </c>
      <c r="AE131" s="950">
        <v>5</v>
      </c>
      <c r="AF131" s="950">
        <v>3</v>
      </c>
      <c r="AG131" s="950">
        <v>3</v>
      </c>
      <c r="AH131" s="40">
        <f t="shared" ref="AH131" si="40">SUM(C131:AG131)</f>
        <v>296</v>
      </c>
      <c r="AI131" s="51">
        <v>1750</v>
      </c>
      <c r="AJ131" s="56">
        <f>AH131*AI131</f>
        <v>518000</v>
      </c>
      <c r="AK131" s="123"/>
      <c r="AL131" s="123"/>
      <c r="AM131" s="123"/>
      <c r="AN131" s="123"/>
      <c r="AO131" s="123"/>
      <c r="AP131" s="123"/>
      <c r="AQ131" s="123"/>
      <c r="AR131" s="123"/>
    </row>
    <row r="132" spans="1:44" s="16" customFormat="1" ht="18" customHeight="1">
      <c r="A132" s="17"/>
      <c r="B132" s="18" t="s">
        <v>9</v>
      </c>
      <c r="C132" s="35"/>
      <c r="D132" s="155"/>
      <c r="E132" s="1237"/>
      <c r="F132" s="753"/>
      <c r="G132" s="950"/>
      <c r="H132" s="950"/>
      <c r="I132" s="26"/>
      <c r="J132" s="1235"/>
      <c r="K132" s="36"/>
      <c r="L132" s="990"/>
      <c r="M132" s="33"/>
      <c r="N132" s="984"/>
      <c r="O132" s="977"/>
      <c r="P132" s="977"/>
      <c r="Q132" s="977"/>
      <c r="R132" s="341"/>
      <c r="S132" s="958"/>
      <c r="T132" s="35"/>
      <c r="U132" s="958"/>
      <c r="V132" s="968"/>
      <c r="W132" s="956"/>
      <c r="X132" s="950"/>
      <c r="Y132" s="950"/>
      <c r="Z132" s="950"/>
      <c r="AA132" s="35"/>
      <c r="AB132" s="970"/>
      <c r="AC132" s="968"/>
      <c r="AD132" s="956"/>
      <c r="AE132" s="950"/>
      <c r="AF132" s="991"/>
      <c r="AG132" s="977"/>
      <c r="AH132" s="42">
        <f>SUM(C132:AG132)</f>
        <v>0</v>
      </c>
      <c r="AI132" s="11"/>
      <c r="AJ132" s="58"/>
      <c r="AK132" s="85"/>
      <c r="AL132" s="85"/>
      <c r="AM132" s="85"/>
      <c r="AN132" s="85"/>
      <c r="AO132" s="85"/>
      <c r="AP132" s="85"/>
      <c r="AQ132" s="85"/>
      <c r="AR132" s="85"/>
    </row>
    <row r="133" spans="1:44" s="16" customFormat="1" ht="18" customHeight="1" thickBot="1">
      <c r="A133" s="76"/>
      <c r="B133" s="77"/>
      <c r="C133" s="72"/>
      <c r="D133" s="71"/>
      <c r="E133" s="1230"/>
      <c r="F133" s="1040"/>
      <c r="G133" s="978"/>
      <c r="H133" s="955"/>
      <c r="I133" s="1216"/>
      <c r="J133" s="1263"/>
      <c r="K133" s="71"/>
      <c r="L133" s="955"/>
      <c r="M133" s="178"/>
      <c r="N133" s="960"/>
      <c r="O133" s="957"/>
      <c r="P133" s="957"/>
      <c r="Q133" s="957"/>
      <c r="R133" s="178"/>
      <c r="S133" s="954"/>
      <c r="T133" s="72"/>
      <c r="U133" s="954"/>
      <c r="V133" s="954"/>
      <c r="W133" s="955"/>
      <c r="X133" s="955"/>
      <c r="Y133" s="955"/>
      <c r="Z133" s="955"/>
      <c r="AA133" s="341"/>
      <c r="AB133" s="958"/>
      <c r="AC133" s="954"/>
      <c r="AD133" s="954"/>
      <c r="AE133" s="955"/>
      <c r="AF133" s="960"/>
      <c r="AG133" s="957"/>
      <c r="AH133" s="89"/>
      <c r="AI133" s="69"/>
      <c r="AJ133" s="75"/>
      <c r="AK133" s="86"/>
      <c r="AL133" s="86"/>
      <c r="AM133" s="86"/>
      <c r="AN133" s="86"/>
      <c r="AO133" s="86"/>
      <c r="AP133" s="86"/>
      <c r="AQ133" s="86"/>
      <c r="AR133" s="86"/>
    </row>
    <row r="134" spans="1:44" s="53" customFormat="1" ht="18" customHeight="1" thickBot="1">
      <c r="A134" s="64">
        <v>14</v>
      </c>
      <c r="B134" s="127" t="s">
        <v>303</v>
      </c>
      <c r="C134" s="647"/>
      <c r="D134" s="67">
        <v>1</v>
      </c>
      <c r="E134" s="1238">
        <v>1</v>
      </c>
      <c r="F134" s="68"/>
      <c r="G134" s="945">
        <v>1</v>
      </c>
      <c r="H134" s="933">
        <v>1</v>
      </c>
      <c r="I134" s="66">
        <v>1</v>
      </c>
      <c r="J134" s="1260">
        <v>1</v>
      </c>
      <c r="K134" s="66">
        <v>1</v>
      </c>
      <c r="L134" s="934">
        <v>1</v>
      </c>
      <c r="M134" s="647"/>
      <c r="N134" s="933">
        <v>1</v>
      </c>
      <c r="O134" s="933">
        <v>1</v>
      </c>
      <c r="P134" s="933">
        <v>1</v>
      </c>
      <c r="Q134" s="933">
        <v>1</v>
      </c>
      <c r="R134" s="68"/>
      <c r="S134" s="934">
        <v>1</v>
      </c>
      <c r="T134" s="68"/>
      <c r="U134" s="933">
        <v>1</v>
      </c>
      <c r="V134" s="1051" t="s">
        <v>18</v>
      </c>
      <c r="W134" s="934">
        <v>1</v>
      </c>
      <c r="X134" s="945">
        <v>1</v>
      </c>
      <c r="Y134" s="933">
        <v>1</v>
      </c>
      <c r="Z134" s="934">
        <v>1</v>
      </c>
      <c r="AA134" s="68"/>
      <c r="AB134" s="934">
        <v>1</v>
      </c>
      <c r="AC134" s="933">
        <v>1</v>
      </c>
      <c r="AD134" s="933">
        <v>1</v>
      </c>
      <c r="AE134" s="940">
        <v>1</v>
      </c>
      <c r="AF134" s="933" t="s">
        <v>18</v>
      </c>
      <c r="AG134" s="933">
        <v>1</v>
      </c>
      <c r="AH134" s="87">
        <f>SUM(C134:AG134)</f>
        <v>23</v>
      </c>
      <c r="AI134" s="65"/>
      <c r="AJ134" s="74"/>
      <c r="AK134" s="215">
        <f>COUNTIF(C134:AG134,"CT")</f>
        <v>2</v>
      </c>
      <c r="AL134" s="215">
        <f>COUNTIF(C134:AG134,"CS")</f>
        <v>0</v>
      </c>
      <c r="AM134" s="215">
        <v>4</v>
      </c>
      <c r="AN134" s="215">
        <v>2</v>
      </c>
      <c r="AO134" s="215">
        <f>COUNTIF(C134:AG134,"CI")</f>
        <v>0</v>
      </c>
      <c r="AP134" s="316">
        <f>AH134+AK134+AL134+AM134+AN134+AO134</f>
        <v>31</v>
      </c>
      <c r="AQ134" s="215">
        <f>COUNTIF(C134:AG134,"CTH")</f>
        <v>0</v>
      </c>
      <c r="AR134" s="215">
        <f>COUNTIF(C134:AG134,"A")</f>
        <v>0</v>
      </c>
    </row>
    <row r="135" spans="1:44" s="53" customFormat="1" ht="18" customHeight="1">
      <c r="A135" s="61"/>
      <c r="B135" s="62" t="s">
        <v>27</v>
      </c>
      <c r="C135" s="108"/>
      <c r="D135" s="164" t="s">
        <v>404</v>
      </c>
      <c r="E135" s="1240" t="s">
        <v>405</v>
      </c>
      <c r="F135" s="106"/>
      <c r="G135" s="948" t="s">
        <v>405</v>
      </c>
      <c r="H135" s="947" t="s">
        <v>411</v>
      </c>
      <c r="I135" s="95" t="s">
        <v>401</v>
      </c>
      <c r="J135" s="1266" t="s">
        <v>405</v>
      </c>
      <c r="K135" s="1052" t="s">
        <v>413</v>
      </c>
      <c r="L135" s="947" t="s">
        <v>407</v>
      </c>
      <c r="M135" s="106"/>
      <c r="N135" s="949" t="s">
        <v>404</v>
      </c>
      <c r="O135" s="947" t="s">
        <v>415</v>
      </c>
      <c r="P135" s="947" t="s">
        <v>411</v>
      </c>
      <c r="Q135" s="947" t="s">
        <v>401</v>
      </c>
      <c r="R135" s="108"/>
      <c r="S135" s="948" t="s">
        <v>401</v>
      </c>
      <c r="T135" s="1046"/>
      <c r="U135" s="947" t="s">
        <v>405</v>
      </c>
      <c r="V135" s="992"/>
      <c r="W135" s="947" t="s">
        <v>407</v>
      </c>
      <c r="X135" s="949" t="s">
        <v>404</v>
      </c>
      <c r="Y135" s="971" t="s">
        <v>411</v>
      </c>
      <c r="Z135" s="975" t="s">
        <v>401</v>
      </c>
      <c r="AA135" s="897"/>
      <c r="AB135" s="976" t="s">
        <v>401</v>
      </c>
      <c r="AC135" s="976" t="s">
        <v>603</v>
      </c>
      <c r="AD135" s="946" t="s">
        <v>603</v>
      </c>
      <c r="AE135" s="949" t="s">
        <v>405</v>
      </c>
      <c r="AF135" s="949"/>
      <c r="AG135" s="949" t="s">
        <v>407</v>
      </c>
      <c r="AH135" s="88"/>
      <c r="AI135" s="62"/>
      <c r="AJ135" s="63"/>
      <c r="AK135" s="165"/>
      <c r="AL135" s="165"/>
      <c r="AM135" s="165"/>
      <c r="AN135" s="165"/>
      <c r="AO135" s="165"/>
      <c r="AP135" s="165"/>
      <c r="AQ135" s="165"/>
      <c r="AR135" s="165"/>
    </row>
    <row r="136" spans="1:44" ht="18" customHeight="1">
      <c r="A136" s="21"/>
      <c r="B136" s="22" t="s">
        <v>6</v>
      </c>
      <c r="C136" s="35"/>
      <c r="D136" s="26">
        <v>90</v>
      </c>
      <c r="E136" s="1227">
        <v>103</v>
      </c>
      <c r="F136" s="35"/>
      <c r="G136" s="950">
        <v>103</v>
      </c>
      <c r="H136" s="950">
        <v>90</v>
      </c>
      <c r="I136" s="26">
        <v>103</v>
      </c>
      <c r="J136" s="1227">
        <v>103</v>
      </c>
      <c r="K136" s="26">
        <v>90</v>
      </c>
      <c r="L136" s="950">
        <v>90</v>
      </c>
      <c r="M136" s="35"/>
      <c r="N136" s="950">
        <v>90</v>
      </c>
      <c r="O136" s="950">
        <v>90</v>
      </c>
      <c r="P136" s="950">
        <v>90</v>
      </c>
      <c r="Q136" s="950">
        <v>103</v>
      </c>
      <c r="R136" s="35"/>
      <c r="S136" s="950">
        <v>103</v>
      </c>
      <c r="T136" s="35"/>
      <c r="U136" s="950">
        <v>103</v>
      </c>
      <c r="V136" s="950"/>
      <c r="W136" s="710">
        <v>90</v>
      </c>
      <c r="X136" s="950">
        <v>90</v>
      </c>
      <c r="Y136" s="710">
        <v>90</v>
      </c>
      <c r="Z136" s="710">
        <v>103</v>
      </c>
      <c r="AA136" s="31"/>
      <c r="AB136" s="710">
        <v>103</v>
      </c>
      <c r="AC136" s="710">
        <v>90</v>
      </c>
      <c r="AD136" s="710">
        <v>90</v>
      </c>
      <c r="AE136" s="950">
        <v>103</v>
      </c>
      <c r="AF136" s="950"/>
      <c r="AG136" s="950">
        <v>90</v>
      </c>
      <c r="AH136" s="40"/>
      <c r="AI136" s="3"/>
      <c r="AJ136" s="56"/>
      <c r="AK136" s="123"/>
      <c r="AL136" s="123"/>
      <c r="AM136" s="123"/>
      <c r="AN136" s="123"/>
      <c r="AO136" s="123"/>
      <c r="AP136" s="123"/>
      <c r="AQ136" s="123"/>
      <c r="AR136" s="123"/>
    </row>
    <row r="137" spans="1:44" ht="18" customHeight="1">
      <c r="A137" s="21"/>
      <c r="B137" s="22" t="s">
        <v>7</v>
      </c>
      <c r="C137" s="31"/>
      <c r="D137" s="5">
        <v>79</v>
      </c>
      <c r="E137" s="1228">
        <v>119</v>
      </c>
      <c r="F137" s="35"/>
      <c r="G137" s="710">
        <v>949</v>
      </c>
      <c r="H137" s="950">
        <v>59</v>
      </c>
      <c r="I137" s="5">
        <v>80</v>
      </c>
      <c r="J137" s="1228">
        <v>51</v>
      </c>
      <c r="K137" s="26">
        <v>65</v>
      </c>
      <c r="L137" s="950">
        <v>28</v>
      </c>
      <c r="M137" s="31"/>
      <c r="N137" s="950">
        <v>89</v>
      </c>
      <c r="O137" s="950">
        <v>26</v>
      </c>
      <c r="P137" s="710">
        <v>44</v>
      </c>
      <c r="Q137" s="710">
        <v>43</v>
      </c>
      <c r="R137" s="35"/>
      <c r="S137" s="950">
        <v>55</v>
      </c>
      <c r="T137" s="35"/>
      <c r="U137" s="710">
        <v>294</v>
      </c>
      <c r="V137" s="710"/>
      <c r="W137" s="950">
        <v>49</v>
      </c>
      <c r="X137" s="950">
        <v>36</v>
      </c>
      <c r="Y137" s="950">
        <v>38</v>
      </c>
      <c r="Z137" s="950">
        <v>52</v>
      </c>
      <c r="AA137" s="35"/>
      <c r="AB137" s="950">
        <v>67</v>
      </c>
      <c r="AC137" s="710">
        <v>21</v>
      </c>
      <c r="AD137" s="710">
        <v>17</v>
      </c>
      <c r="AE137" s="950">
        <v>15</v>
      </c>
      <c r="AF137" s="950"/>
      <c r="AG137" s="950">
        <v>32</v>
      </c>
      <c r="AH137" s="40">
        <f>SUM(C137:AG137)</f>
        <v>2308</v>
      </c>
      <c r="AI137" s="7"/>
      <c r="AJ137" s="56"/>
      <c r="AK137" s="123"/>
      <c r="AL137" s="123"/>
      <c r="AM137" s="123"/>
      <c r="AN137" s="123"/>
      <c r="AO137" s="123"/>
      <c r="AP137" s="123"/>
      <c r="AQ137" s="123"/>
      <c r="AR137" s="123"/>
    </row>
    <row r="138" spans="1:44" s="10" customFormat="1" ht="18" customHeight="1">
      <c r="A138" s="7"/>
      <c r="B138" s="8" t="s">
        <v>99</v>
      </c>
      <c r="C138" s="32"/>
      <c r="D138" s="9"/>
      <c r="E138" s="1229"/>
      <c r="F138" s="32"/>
      <c r="G138" s="952"/>
      <c r="H138" s="952"/>
      <c r="I138" s="9"/>
      <c r="J138" s="1229"/>
      <c r="K138" s="9"/>
      <c r="L138" s="952"/>
      <c r="M138" s="32"/>
      <c r="N138" s="952"/>
      <c r="O138" s="952"/>
      <c r="P138" s="952"/>
      <c r="Q138" s="952"/>
      <c r="R138" s="32"/>
      <c r="S138" s="952"/>
      <c r="T138" s="35"/>
      <c r="U138" s="952"/>
      <c r="V138" s="952"/>
      <c r="W138" s="952"/>
      <c r="X138" s="952"/>
      <c r="Y138" s="952"/>
      <c r="Z138" s="952"/>
      <c r="AA138" s="32"/>
      <c r="AB138" s="952"/>
      <c r="AC138" s="952"/>
      <c r="AD138" s="952"/>
      <c r="AE138" s="952"/>
      <c r="AF138" s="952"/>
      <c r="AG138" s="950"/>
      <c r="AH138" s="41">
        <f t="shared" ref="AH138:AH140" si="41">SUM(C138:AG138)</f>
        <v>0</v>
      </c>
      <c r="AI138" s="7">
        <v>1409</v>
      </c>
      <c r="AJ138" s="57">
        <f t="shared" ref="AJ138:AJ139" si="42">AH138*AI138</f>
        <v>0</v>
      </c>
      <c r="AK138" s="84"/>
      <c r="AL138" s="84"/>
      <c r="AM138" s="84"/>
      <c r="AN138" s="84"/>
      <c r="AO138" s="84"/>
      <c r="AP138" s="84"/>
      <c r="AQ138" s="84"/>
      <c r="AR138" s="84"/>
    </row>
    <row r="139" spans="1:44" s="10" customFormat="1" ht="18" customHeight="1">
      <c r="A139" s="7"/>
      <c r="B139" s="8" t="s">
        <v>118</v>
      </c>
      <c r="C139" s="32"/>
      <c r="D139" s="9"/>
      <c r="E139" s="1229">
        <v>119</v>
      </c>
      <c r="F139" s="32"/>
      <c r="G139" s="952">
        <v>846</v>
      </c>
      <c r="H139" s="952"/>
      <c r="I139" s="9"/>
      <c r="J139" s="1229">
        <v>51</v>
      </c>
      <c r="K139" s="9"/>
      <c r="L139" s="952"/>
      <c r="M139" s="32"/>
      <c r="N139" s="950"/>
      <c r="O139" s="952"/>
      <c r="P139" s="952"/>
      <c r="Q139" s="952"/>
      <c r="R139" s="32"/>
      <c r="S139" s="952"/>
      <c r="T139" s="35"/>
      <c r="U139" s="952">
        <v>191</v>
      </c>
      <c r="V139" s="952"/>
      <c r="W139" s="952"/>
      <c r="X139" s="952"/>
      <c r="Y139" s="952"/>
      <c r="Z139" s="952"/>
      <c r="AA139" s="32"/>
      <c r="AB139" s="952"/>
      <c r="AC139" s="952"/>
      <c r="AD139" s="952"/>
      <c r="AE139" s="953"/>
      <c r="AF139" s="952"/>
      <c r="AG139" s="950"/>
      <c r="AH139" s="41">
        <f t="shared" si="41"/>
        <v>1207</v>
      </c>
      <c r="AI139" s="7">
        <v>1322</v>
      </c>
      <c r="AJ139" s="57">
        <f t="shared" si="42"/>
        <v>1595654</v>
      </c>
      <c r="AK139" s="84"/>
      <c r="AL139" s="84"/>
      <c r="AM139" s="84"/>
      <c r="AN139" s="84"/>
      <c r="AO139" s="84"/>
      <c r="AP139" s="84"/>
      <c r="AQ139" s="84"/>
      <c r="AR139" s="84"/>
    </row>
    <row r="140" spans="1:44" s="10" customFormat="1" ht="18" customHeight="1">
      <c r="A140" s="7"/>
      <c r="B140" s="8" t="s">
        <v>403</v>
      </c>
      <c r="C140" s="32"/>
      <c r="D140" s="9"/>
      <c r="E140" s="1229"/>
      <c r="F140" s="32"/>
      <c r="G140" s="952"/>
      <c r="H140" s="952"/>
      <c r="I140" s="9"/>
      <c r="J140" s="1229"/>
      <c r="K140" s="9"/>
      <c r="L140" s="952"/>
      <c r="M140" s="32"/>
      <c r="N140" s="950"/>
      <c r="O140" s="952"/>
      <c r="P140" s="952"/>
      <c r="Q140" s="952"/>
      <c r="R140" s="32"/>
      <c r="S140" s="952"/>
      <c r="T140" s="35"/>
      <c r="U140" s="952"/>
      <c r="V140" s="952"/>
      <c r="W140" s="952"/>
      <c r="X140" s="952"/>
      <c r="Y140" s="952"/>
      <c r="Z140" s="952"/>
      <c r="AA140" s="32"/>
      <c r="AB140" s="952"/>
      <c r="AC140" s="952"/>
      <c r="AD140" s="952"/>
      <c r="AE140" s="952"/>
      <c r="AF140" s="952"/>
      <c r="AG140" s="950"/>
      <c r="AH140" s="41">
        <f t="shared" si="41"/>
        <v>0</v>
      </c>
      <c r="AI140" s="7">
        <v>1097</v>
      </c>
      <c r="AJ140" s="57">
        <f t="shared" ref="AJ140" si="43">AH140*AI140</f>
        <v>0</v>
      </c>
      <c r="AK140" s="84"/>
      <c r="AL140" s="84"/>
      <c r="AM140" s="84"/>
      <c r="AN140" s="84"/>
      <c r="AO140" s="84"/>
      <c r="AP140" s="84"/>
      <c r="AQ140" s="84"/>
      <c r="AR140" s="84"/>
    </row>
    <row r="141" spans="1:44" s="10" customFormat="1" ht="18" customHeight="1">
      <c r="A141" s="7"/>
      <c r="B141" s="8"/>
      <c r="C141" s="35"/>
      <c r="D141" s="9"/>
      <c r="E141" s="1229"/>
      <c r="F141" s="32"/>
      <c r="G141" s="952"/>
      <c r="H141" s="950"/>
      <c r="I141" s="9"/>
      <c r="J141" s="1229"/>
      <c r="K141" s="26"/>
      <c r="L141" s="950"/>
      <c r="M141" s="32"/>
      <c r="N141" s="950"/>
      <c r="O141" s="952"/>
      <c r="P141" s="952"/>
      <c r="Q141" s="952"/>
      <c r="R141" s="32"/>
      <c r="S141" s="952"/>
      <c r="T141" s="35"/>
      <c r="U141" s="952"/>
      <c r="V141" s="952"/>
      <c r="W141" s="952"/>
      <c r="X141" s="952"/>
      <c r="Y141" s="950"/>
      <c r="Z141" s="950"/>
      <c r="AA141" s="35"/>
      <c r="AB141" s="952"/>
      <c r="AC141" s="952"/>
      <c r="AD141" s="952"/>
      <c r="AE141" s="952"/>
      <c r="AF141" s="950"/>
      <c r="AG141" s="950"/>
      <c r="AH141" s="1292" t="s">
        <v>70</v>
      </c>
      <c r="AI141" s="1293"/>
      <c r="AJ141" s="121">
        <f>SUM(AJ138:AJ140)</f>
        <v>1595654</v>
      </c>
      <c r="AK141" s="84"/>
      <c r="AL141" s="84"/>
      <c r="AM141" s="84"/>
      <c r="AN141" s="84"/>
      <c r="AO141" s="84"/>
      <c r="AP141" s="84"/>
      <c r="AQ141" s="84"/>
      <c r="AR141" s="84"/>
    </row>
    <row r="142" spans="1:44" ht="18" customHeight="1">
      <c r="A142" s="21"/>
      <c r="B142" s="4" t="s">
        <v>8</v>
      </c>
      <c r="C142" s="31"/>
      <c r="D142" s="5">
        <v>14</v>
      </c>
      <c r="E142" s="1228">
        <v>12</v>
      </c>
      <c r="F142" s="35"/>
      <c r="G142" s="710">
        <v>142</v>
      </c>
      <c r="H142" s="950">
        <v>22</v>
      </c>
      <c r="I142" s="5">
        <v>10</v>
      </c>
      <c r="J142" s="1228">
        <v>9</v>
      </c>
      <c r="K142" s="26">
        <v>15</v>
      </c>
      <c r="L142" s="950">
        <v>7</v>
      </c>
      <c r="M142" s="31"/>
      <c r="N142" s="950">
        <v>22</v>
      </c>
      <c r="O142" s="950">
        <v>8</v>
      </c>
      <c r="P142" s="950">
        <v>18</v>
      </c>
      <c r="Q142" s="950">
        <v>8</v>
      </c>
      <c r="R142" s="35"/>
      <c r="S142" s="950">
        <v>6</v>
      </c>
      <c r="T142" s="35"/>
      <c r="U142" s="950">
        <v>30</v>
      </c>
      <c r="V142" s="950"/>
      <c r="W142" s="950">
        <v>6</v>
      </c>
      <c r="X142" s="950">
        <v>6</v>
      </c>
      <c r="Y142" s="950">
        <v>15</v>
      </c>
      <c r="Z142" s="950">
        <v>5</v>
      </c>
      <c r="AA142" s="35"/>
      <c r="AB142" s="950">
        <v>4</v>
      </c>
      <c r="AC142" s="950">
        <v>2</v>
      </c>
      <c r="AD142" s="950">
        <v>1</v>
      </c>
      <c r="AE142" s="950">
        <v>1</v>
      </c>
      <c r="AF142" s="950"/>
      <c r="AG142" s="950">
        <v>9</v>
      </c>
      <c r="AH142" s="40">
        <f t="shared" ref="AH142" si="44">SUM(C142:AG142)</f>
        <v>372</v>
      </c>
      <c r="AI142" s="51">
        <v>1750</v>
      </c>
      <c r="AJ142" s="56">
        <f>AH142*AI142</f>
        <v>651000</v>
      </c>
      <c r="AK142" s="123"/>
      <c r="AL142" s="123"/>
      <c r="AM142" s="123"/>
      <c r="AN142" s="123"/>
      <c r="AO142" s="123"/>
      <c r="AP142" s="123"/>
      <c r="AQ142" s="123"/>
      <c r="AR142" s="123"/>
    </row>
    <row r="143" spans="1:44" s="16" customFormat="1" ht="18" customHeight="1">
      <c r="A143" s="17"/>
      <c r="B143" s="18" t="s">
        <v>9</v>
      </c>
      <c r="C143" s="35"/>
      <c r="D143" s="155"/>
      <c r="E143" s="1241"/>
      <c r="F143" s="753"/>
      <c r="G143" s="981"/>
      <c r="H143" s="950"/>
      <c r="I143" s="14"/>
      <c r="J143" s="1235"/>
      <c r="K143" s="14"/>
      <c r="L143" s="956"/>
      <c r="M143" s="33"/>
      <c r="N143" s="985"/>
      <c r="O143" s="970"/>
      <c r="P143" s="977"/>
      <c r="Q143" s="977"/>
      <c r="R143" s="33"/>
      <c r="S143" s="993"/>
      <c r="T143" s="1045"/>
      <c r="U143" s="968"/>
      <c r="V143" s="968"/>
      <c r="W143" s="993"/>
      <c r="X143" s="950"/>
      <c r="Y143" s="950"/>
      <c r="Z143" s="959"/>
      <c r="AA143" s="35"/>
      <c r="AB143" s="970"/>
      <c r="AC143" s="968"/>
      <c r="AD143" s="968"/>
      <c r="AE143" s="987"/>
      <c r="AF143" s="987"/>
      <c r="AG143" s="977"/>
      <c r="AH143" s="42">
        <f>SUM(C143:AG143)</f>
        <v>0</v>
      </c>
      <c r="AI143" s="11"/>
      <c r="AJ143" s="58"/>
      <c r="AK143" s="85"/>
      <c r="AL143" s="85"/>
      <c r="AM143" s="85"/>
      <c r="AN143" s="85"/>
      <c r="AO143" s="85"/>
      <c r="AP143" s="85"/>
      <c r="AQ143" s="85"/>
      <c r="AR143" s="85"/>
    </row>
    <row r="144" spans="1:44" s="1" customFormat="1" ht="18" customHeight="1" thickBot="1">
      <c r="A144" s="19"/>
      <c r="B144" s="20"/>
      <c r="C144" s="182"/>
      <c r="D144" s="25"/>
      <c r="E144" s="1242"/>
      <c r="F144" s="182"/>
      <c r="G144" s="931"/>
      <c r="H144" s="937"/>
      <c r="I144" s="1204"/>
      <c r="J144" s="1267"/>
      <c r="K144" s="25"/>
      <c r="L144" s="937"/>
      <c r="M144" s="30"/>
      <c r="N144" s="937"/>
      <c r="O144" s="937"/>
      <c r="P144" s="931"/>
      <c r="Q144" s="931"/>
      <c r="R144" s="30"/>
      <c r="S144" s="931"/>
      <c r="T144" s="182"/>
      <c r="U144" s="931"/>
      <c r="V144" s="931"/>
      <c r="W144" s="937"/>
      <c r="X144" s="937"/>
      <c r="Y144" s="937"/>
      <c r="Z144" s="937"/>
      <c r="AA144" s="182"/>
      <c r="AB144" s="937"/>
      <c r="AC144" s="931"/>
      <c r="AD144" s="931"/>
      <c r="AE144" s="937"/>
      <c r="AF144" s="937"/>
      <c r="AG144" s="937"/>
      <c r="AH144" s="39">
        <f>SUM(C144:AG144)</f>
        <v>0</v>
      </c>
      <c r="AI144" s="2"/>
      <c r="AJ144" s="52"/>
      <c r="AK144" s="185"/>
      <c r="AL144" s="185"/>
      <c r="AM144" s="185"/>
      <c r="AN144" s="185"/>
      <c r="AO144" s="185"/>
      <c r="AP144" s="185"/>
      <c r="AQ144" s="185"/>
      <c r="AR144" s="185"/>
    </row>
    <row r="145" spans="1:44" s="53" customFormat="1" ht="18" customHeight="1" thickBot="1">
      <c r="A145" s="64">
        <v>15</v>
      </c>
      <c r="B145" s="127" t="s">
        <v>350</v>
      </c>
      <c r="C145" s="647"/>
      <c r="D145" s="67">
        <v>1</v>
      </c>
      <c r="E145" s="1238">
        <v>1</v>
      </c>
      <c r="F145" s="68"/>
      <c r="G145" s="945">
        <v>1</v>
      </c>
      <c r="H145" s="933">
        <v>1</v>
      </c>
      <c r="I145" s="67">
        <v>1</v>
      </c>
      <c r="J145" s="1220">
        <v>1</v>
      </c>
      <c r="K145" s="66">
        <v>1</v>
      </c>
      <c r="L145" s="933">
        <v>1</v>
      </c>
      <c r="M145" s="647"/>
      <c r="N145" s="940">
        <v>1</v>
      </c>
      <c r="O145" s="933">
        <v>1</v>
      </c>
      <c r="P145" s="933">
        <v>1</v>
      </c>
      <c r="Q145" s="933">
        <v>1</v>
      </c>
      <c r="R145" s="68"/>
      <c r="S145" s="934">
        <v>1</v>
      </c>
      <c r="T145" s="68"/>
      <c r="U145" s="933">
        <v>1</v>
      </c>
      <c r="V145" s="933">
        <v>1</v>
      </c>
      <c r="W145" s="921" t="s">
        <v>18</v>
      </c>
      <c r="X145" s="945">
        <v>1</v>
      </c>
      <c r="Y145" s="933">
        <v>1</v>
      </c>
      <c r="Z145" s="934">
        <v>1</v>
      </c>
      <c r="AA145" s="68"/>
      <c r="AB145" s="934">
        <v>1</v>
      </c>
      <c r="AC145" s="933">
        <v>1</v>
      </c>
      <c r="AD145" s="933">
        <v>1</v>
      </c>
      <c r="AE145" s="940">
        <v>1</v>
      </c>
      <c r="AF145" s="933">
        <v>1</v>
      </c>
      <c r="AG145" s="933">
        <v>1</v>
      </c>
      <c r="AH145" s="87">
        <f>SUM(C145:AG145)</f>
        <v>24</v>
      </c>
      <c r="AI145" s="65"/>
      <c r="AJ145" s="74"/>
      <c r="AK145" s="215">
        <f>COUNTIF(C145:AG145,"CT")</f>
        <v>1</v>
      </c>
      <c r="AL145" s="215">
        <f>COUNTIF(C145:AG145,"CS")</f>
        <v>0</v>
      </c>
      <c r="AM145" s="215">
        <v>4</v>
      </c>
      <c r="AN145" s="215">
        <v>2</v>
      </c>
      <c r="AO145" s="215">
        <f>COUNTIF(C145:AG145,"CI")</f>
        <v>0</v>
      </c>
      <c r="AP145" s="316">
        <f>AH145+AK145+AL145+AM145+AN145+AO145</f>
        <v>31</v>
      </c>
      <c r="AQ145" s="215">
        <f>COUNTIF(C145:AG145,"CTH")</f>
        <v>0</v>
      </c>
      <c r="AR145" s="215">
        <f>COUNTIF(C145:AG145,"A")</f>
        <v>0</v>
      </c>
    </row>
    <row r="146" spans="1:44" s="53" customFormat="1" ht="18" customHeight="1">
      <c r="A146" s="61"/>
      <c r="B146" s="62" t="s">
        <v>27</v>
      </c>
      <c r="C146" s="1037"/>
      <c r="D146" s="164" t="s">
        <v>404</v>
      </c>
      <c r="E146" s="1240" t="s">
        <v>404</v>
      </c>
      <c r="F146" s="108"/>
      <c r="G146" s="948" t="s">
        <v>405</v>
      </c>
      <c r="H146" s="947" t="s">
        <v>411</v>
      </c>
      <c r="I146" s="95" t="s">
        <v>412</v>
      </c>
      <c r="J146" s="1268" t="s">
        <v>413</v>
      </c>
      <c r="K146" s="1052" t="s">
        <v>407</v>
      </c>
      <c r="L146" s="949" t="s">
        <v>407</v>
      </c>
      <c r="M146" s="106"/>
      <c r="N146" s="994" t="s">
        <v>404</v>
      </c>
      <c r="O146" s="947" t="s">
        <v>415</v>
      </c>
      <c r="P146" s="947" t="s">
        <v>411</v>
      </c>
      <c r="Q146" s="947" t="s">
        <v>412</v>
      </c>
      <c r="R146" s="108"/>
      <c r="S146" s="948" t="s">
        <v>401</v>
      </c>
      <c r="T146" s="1044"/>
      <c r="U146" s="947" t="s">
        <v>405</v>
      </c>
      <c r="V146" s="947" t="s">
        <v>413</v>
      </c>
      <c r="W146" s="995"/>
      <c r="X146" s="949" t="s">
        <v>404</v>
      </c>
      <c r="Y146" s="971" t="s">
        <v>411</v>
      </c>
      <c r="Z146" s="975" t="s">
        <v>412</v>
      </c>
      <c r="AA146" s="108"/>
      <c r="AB146" s="948" t="s">
        <v>401</v>
      </c>
      <c r="AC146" s="946" t="s">
        <v>603</v>
      </c>
      <c r="AD146" s="948" t="s">
        <v>401</v>
      </c>
      <c r="AE146" s="949" t="s">
        <v>405</v>
      </c>
      <c r="AF146" s="949" t="s">
        <v>413</v>
      </c>
      <c r="AG146" s="949" t="s">
        <v>407</v>
      </c>
      <c r="AH146" s="88"/>
      <c r="AI146" s="62"/>
      <c r="AJ146" s="63"/>
      <c r="AK146" s="165"/>
      <c r="AL146" s="165"/>
      <c r="AM146" s="165"/>
      <c r="AN146" s="165"/>
      <c r="AO146" s="165"/>
      <c r="AP146" s="165"/>
      <c r="AQ146" s="165"/>
      <c r="AR146" s="165"/>
    </row>
    <row r="147" spans="1:44" ht="18" customHeight="1">
      <c r="A147" s="21"/>
      <c r="B147" s="22" t="s">
        <v>6</v>
      </c>
      <c r="C147" s="35"/>
      <c r="D147" s="26">
        <v>90</v>
      </c>
      <c r="E147" s="1227">
        <v>90</v>
      </c>
      <c r="F147" s="35"/>
      <c r="G147" s="950">
        <v>103</v>
      </c>
      <c r="H147" s="950">
        <v>90</v>
      </c>
      <c r="I147" s="26">
        <v>90</v>
      </c>
      <c r="J147" s="1227">
        <v>90</v>
      </c>
      <c r="K147" s="26">
        <v>90</v>
      </c>
      <c r="L147" s="950">
        <v>90</v>
      </c>
      <c r="M147" s="35"/>
      <c r="N147" s="950">
        <v>90</v>
      </c>
      <c r="O147" s="950">
        <v>90</v>
      </c>
      <c r="P147" s="950">
        <v>90</v>
      </c>
      <c r="Q147" s="950">
        <v>90</v>
      </c>
      <c r="R147" s="35"/>
      <c r="S147" s="950">
        <v>103</v>
      </c>
      <c r="T147" s="35"/>
      <c r="U147" s="950">
        <v>103</v>
      </c>
      <c r="V147" s="950">
        <v>90</v>
      </c>
      <c r="W147" s="710"/>
      <c r="X147" s="950">
        <v>90</v>
      </c>
      <c r="Y147" s="710">
        <v>90</v>
      </c>
      <c r="Z147" s="710">
        <v>90</v>
      </c>
      <c r="AA147" s="31"/>
      <c r="AB147" s="710">
        <v>103</v>
      </c>
      <c r="AC147" s="710">
        <v>90</v>
      </c>
      <c r="AD147" s="710">
        <v>103</v>
      </c>
      <c r="AE147" s="950">
        <v>103</v>
      </c>
      <c r="AF147" s="950">
        <v>90</v>
      </c>
      <c r="AG147" s="950">
        <v>90</v>
      </c>
      <c r="AH147" s="40"/>
      <c r="AI147" s="3"/>
      <c r="AJ147" s="56"/>
      <c r="AK147" s="123"/>
      <c r="AL147" s="123"/>
      <c r="AM147" s="123"/>
      <c r="AN147" s="123"/>
      <c r="AO147" s="123"/>
      <c r="AP147" s="123"/>
      <c r="AQ147" s="123"/>
      <c r="AR147" s="123"/>
    </row>
    <row r="148" spans="1:44" ht="18" customHeight="1">
      <c r="A148" s="21"/>
      <c r="B148" s="22" t="s">
        <v>7</v>
      </c>
      <c r="C148" s="31"/>
      <c r="D148" s="5">
        <v>72</v>
      </c>
      <c r="E148" s="1228">
        <v>40</v>
      </c>
      <c r="F148" s="35"/>
      <c r="G148" s="950">
        <v>85</v>
      </c>
      <c r="H148" s="950">
        <v>53</v>
      </c>
      <c r="I148" s="26">
        <v>44</v>
      </c>
      <c r="J148" s="1228">
        <v>90</v>
      </c>
      <c r="K148" s="26">
        <v>56</v>
      </c>
      <c r="L148" s="951">
        <v>38</v>
      </c>
      <c r="M148" s="31"/>
      <c r="N148" s="950">
        <v>67</v>
      </c>
      <c r="O148" s="950">
        <v>36</v>
      </c>
      <c r="P148" s="710">
        <v>44</v>
      </c>
      <c r="Q148" s="710">
        <v>59</v>
      </c>
      <c r="R148" s="35"/>
      <c r="S148" s="950">
        <v>49</v>
      </c>
      <c r="T148" s="35"/>
      <c r="U148" s="710">
        <v>45</v>
      </c>
      <c r="V148" s="710">
        <v>40</v>
      </c>
      <c r="W148" s="950"/>
      <c r="X148" s="950">
        <v>30</v>
      </c>
      <c r="Y148" s="950">
        <v>34</v>
      </c>
      <c r="Z148" s="950">
        <v>44</v>
      </c>
      <c r="AA148" s="35"/>
      <c r="AB148" s="950">
        <v>10</v>
      </c>
      <c r="AC148" s="710">
        <v>20</v>
      </c>
      <c r="AD148" s="710">
        <v>36</v>
      </c>
      <c r="AE148" s="950">
        <v>40</v>
      </c>
      <c r="AF148" s="950">
        <v>55</v>
      </c>
      <c r="AG148" s="950">
        <v>25</v>
      </c>
      <c r="AH148" s="40">
        <f>SUM(C148:AG148)</f>
        <v>1112</v>
      </c>
      <c r="AI148" s="7"/>
      <c r="AJ148" s="56"/>
      <c r="AK148" s="123"/>
      <c r="AL148" s="123"/>
      <c r="AM148" s="123"/>
      <c r="AN148" s="123"/>
      <c r="AO148" s="123"/>
      <c r="AP148" s="123"/>
      <c r="AQ148" s="123"/>
      <c r="AR148" s="123"/>
    </row>
    <row r="149" spans="1:44" s="10" customFormat="1" ht="18" customHeight="1">
      <c r="A149" s="7"/>
      <c r="B149" s="8" t="s">
        <v>99</v>
      </c>
      <c r="C149" s="32"/>
      <c r="D149" s="9"/>
      <c r="E149" s="1229">
        <v>40</v>
      </c>
      <c r="F149" s="32"/>
      <c r="G149" s="952"/>
      <c r="H149" s="952"/>
      <c r="I149" s="9"/>
      <c r="J149" s="1229">
        <v>90</v>
      </c>
      <c r="K149" s="9"/>
      <c r="L149" s="952"/>
      <c r="M149" s="32"/>
      <c r="N149" s="952"/>
      <c r="O149" s="952"/>
      <c r="P149" s="952"/>
      <c r="Q149" s="952"/>
      <c r="R149" s="32"/>
      <c r="S149" s="952"/>
      <c r="T149" s="35"/>
      <c r="U149" s="952"/>
      <c r="V149" s="952"/>
      <c r="W149" s="952"/>
      <c r="X149" s="952"/>
      <c r="Y149" s="952"/>
      <c r="Z149" s="952"/>
      <c r="AA149" s="32"/>
      <c r="AB149" s="952"/>
      <c r="AC149" s="952"/>
      <c r="AD149" s="952"/>
      <c r="AE149" s="952"/>
      <c r="AF149" s="952"/>
      <c r="AG149" s="950"/>
      <c r="AH149" s="41">
        <f t="shared" ref="AH149:AH151" si="45">SUM(C149:AG149)</f>
        <v>130</v>
      </c>
      <c r="AI149" s="7">
        <v>1409</v>
      </c>
      <c r="AJ149" s="57">
        <f t="shared" ref="AJ149:AJ150" si="46">AH149*AI149</f>
        <v>183170</v>
      </c>
      <c r="AK149" s="84"/>
      <c r="AL149" s="84"/>
      <c r="AM149" s="84"/>
      <c r="AN149" s="84"/>
      <c r="AO149" s="84"/>
      <c r="AP149" s="84"/>
      <c r="AQ149" s="84"/>
      <c r="AR149" s="84"/>
    </row>
    <row r="150" spans="1:44" s="10" customFormat="1" ht="18" customHeight="1">
      <c r="A150" s="7"/>
      <c r="B150" s="8" t="s">
        <v>118</v>
      </c>
      <c r="C150" s="32"/>
      <c r="D150" s="9"/>
      <c r="E150" s="1229"/>
      <c r="F150" s="32"/>
      <c r="G150" s="952"/>
      <c r="H150" s="952"/>
      <c r="I150" s="9"/>
      <c r="J150" s="1229"/>
      <c r="K150" s="9"/>
      <c r="L150" s="952"/>
      <c r="M150" s="32"/>
      <c r="N150" s="950"/>
      <c r="O150" s="952"/>
      <c r="P150" s="952"/>
      <c r="Q150" s="952"/>
      <c r="R150" s="32"/>
      <c r="S150" s="952"/>
      <c r="T150" s="35"/>
      <c r="U150" s="952"/>
      <c r="V150" s="952"/>
      <c r="W150" s="952"/>
      <c r="X150" s="952"/>
      <c r="Y150" s="952"/>
      <c r="Z150" s="952"/>
      <c r="AA150" s="32"/>
      <c r="AB150" s="952"/>
      <c r="AC150" s="952"/>
      <c r="AD150" s="952"/>
      <c r="AE150" s="953"/>
      <c r="AF150" s="952"/>
      <c r="AG150" s="950"/>
      <c r="AH150" s="41">
        <f t="shared" si="45"/>
        <v>0</v>
      </c>
      <c r="AI150" s="7">
        <v>1322</v>
      </c>
      <c r="AJ150" s="57">
        <f t="shared" si="46"/>
        <v>0</v>
      </c>
      <c r="AK150" s="84"/>
      <c r="AL150" s="84"/>
      <c r="AM150" s="84"/>
      <c r="AN150" s="84"/>
      <c r="AO150" s="84"/>
      <c r="AP150" s="84"/>
      <c r="AQ150" s="84"/>
      <c r="AR150" s="84"/>
    </row>
    <row r="151" spans="1:44" s="10" customFormat="1" ht="18" customHeight="1">
      <c r="A151" s="7"/>
      <c r="B151" s="8" t="s">
        <v>396</v>
      </c>
      <c r="C151" s="32"/>
      <c r="D151" s="9"/>
      <c r="E151" s="1229"/>
      <c r="F151" s="32"/>
      <c r="G151" s="952"/>
      <c r="H151" s="952"/>
      <c r="I151" s="9"/>
      <c r="J151" s="1229"/>
      <c r="K151" s="9"/>
      <c r="L151" s="952"/>
      <c r="M151" s="32"/>
      <c r="N151" s="950"/>
      <c r="O151" s="952"/>
      <c r="P151" s="952"/>
      <c r="Q151" s="952"/>
      <c r="R151" s="32"/>
      <c r="S151" s="952"/>
      <c r="T151" s="35"/>
      <c r="U151" s="952"/>
      <c r="V151" s="952"/>
      <c r="W151" s="952"/>
      <c r="X151" s="952"/>
      <c r="Y151" s="952"/>
      <c r="Z151" s="952"/>
      <c r="AA151" s="32"/>
      <c r="AB151" s="952"/>
      <c r="AC151" s="952"/>
      <c r="AD151" s="952"/>
      <c r="AE151" s="952"/>
      <c r="AF151" s="952"/>
      <c r="AG151" s="950"/>
      <c r="AH151" s="41">
        <f t="shared" si="45"/>
        <v>0</v>
      </c>
      <c r="AI151" s="7">
        <v>1233</v>
      </c>
      <c r="AJ151" s="57">
        <f t="shared" ref="AJ151" si="47">AH151*AI151</f>
        <v>0</v>
      </c>
      <c r="AK151" s="84"/>
      <c r="AL151" s="84"/>
      <c r="AM151" s="84"/>
      <c r="AN151" s="84"/>
      <c r="AO151" s="84"/>
      <c r="AP151" s="84"/>
      <c r="AQ151" s="84"/>
      <c r="AR151" s="84"/>
    </row>
    <row r="152" spans="1:44" s="10" customFormat="1" ht="18" customHeight="1">
      <c r="A152" s="7"/>
      <c r="B152" s="8"/>
      <c r="C152" s="35"/>
      <c r="D152" s="9"/>
      <c r="E152" s="1229"/>
      <c r="F152" s="32"/>
      <c r="G152" s="952"/>
      <c r="H152" s="952"/>
      <c r="I152" s="9"/>
      <c r="J152" s="1229"/>
      <c r="K152" s="9"/>
      <c r="L152" s="952"/>
      <c r="M152" s="32"/>
      <c r="N152" s="950"/>
      <c r="O152" s="952"/>
      <c r="P152" s="952"/>
      <c r="Q152" s="952"/>
      <c r="R152" s="32"/>
      <c r="S152" s="952"/>
      <c r="T152" s="35"/>
      <c r="U152" s="952"/>
      <c r="V152" s="952"/>
      <c r="W152" s="952"/>
      <c r="X152" s="952"/>
      <c r="Y152" s="950"/>
      <c r="Z152" s="950"/>
      <c r="AA152" s="35"/>
      <c r="AB152" s="952"/>
      <c r="AC152" s="952"/>
      <c r="AD152" s="952"/>
      <c r="AE152" s="952"/>
      <c r="AF152" s="950"/>
      <c r="AG152" s="950"/>
      <c r="AH152" s="1292" t="s">
        <v>70</v>
      </c>
      <c r="AI152" s="1293"/>
      <c r="AJ152" s="121">
        <f>SUM(AJ149:AJ151)</f>
        <v>183170</v>
      </c>
      <c r="AK152" s="84"/>
      <c r="AL152" s="84"/>
      <c r="AM152" s="84"/>
      <c r="AN152" s="84"/>
      <c r="AO152" s="84"/>
      <c r="AP152" s="84"/>
      <c r="AQ152" s="84"/>
      <c r="AR152" s="84"/>
    </row>
    <row r="153" spans="1:44" ht="18" customHeight="1">
      <c r="A153" s="21"/>
      <c r="B153" s="4" t="s">
        <v>8</v>
      </c>
      <c r="C153" s="31"/>
      <c r="D153" s="5">
        <v>13</v>
      </c>
      <c r="E153" s="1228">
        <v>9</v>
      </c>
      <c r="F153" s="35"/>
      <c r="G153" s="950">
        <v>25</v>
      </c>
      <c r="H153" s="950">
        <v>19</v>
      </c>
      <c r="I153" s="26">
        <v>14</v>
      </c>
      <c r="J153" s="1228">
        <v>16</v>
      </c>
      <c r="K153" s="26">
        <v>13</v>
      </c>
      <c r="L153" s="950">
        <v>7</v>
      </c>
      <c r="M153" s="31"/>
      <c r="N153" s="950">
        <v>25</v>
      </c>
      <c r="O153" s="950">
        <v>6</v>
      </c>
      <c r="P153" s="950">
        <v>20</v>
      </c>
      <c r="Q153" s="950">
        <v>21</v>
      </c>
      <c r="R153" s="35"/>
      <c r="S153" s="950">
        <v>7</v>
      </c>
      <c r="T153" s="35"/>
      <c r="U153" s="950">
        <v>4</v>
      </c>
      <c r="V153" s="950">
        <v>6</v>
      </c>
      <c r="W153" s="950"/>
      <c r="X153" s="950">
        <v>7</v>
      </c>
      <c r="Y153" s="950">
        <v>10</v>
      </c>
      <c r="Z153" s="950">
        <v>8</v>
      </c>
      <c r="AA153" s="35"/>
      <c r="AB153" s="950">
        <v>1</v>
      </c>
      <c r="AC153" s="950">
        <v>3</v>
      </c>
      <c r="AD153" s="950">
        <v>2</v>
      </c>
      <c r="AE153" s="950">
        <v>4</v>
      </c>
      <c r="AF153" s="950">
        <v>9</v>
      </c>
      <c r="AG153" s="950">
        <v>6</v>
      </c>
      <c r="AH153" s="40">
        <f t="shared" ref="AH153" si="48">SUM(C153:AG153)</f>
        <v>255</v>
      </c>
      <c r="AI153" s="51">
        <v>1750</v>
      </c>
      <c r="AJ153" s="56">
        <f>AH153*AI153</f>
        <v>446250</v>
      </c>
      <c r="AK153" s="123"/>
      <c r="AL153" s="123"/>
      <c r="AM153" s="123"/>
      <c r="AN153" s="123"/>
      <c r="AO153" s="123"/>
      <c r="AP153" s="123"/>
      <c r="AQ153" s="123"/>
      <c r="AR153" s="123"/>
    </row>
    <row r="154" spans="1:44" s="16" customFormat="1" ht="18" customHeight="1">
      <c r="A154" s="17"/>
      <c r="B154" s="18" t="s">
        <v>9</v>
      </c>
      <c r="C154" s="35"/>
      <c r="D154" s="155"/>
      <c r="E154" s="1237"/>
      <c r="F154" s="753"/>
      <c r="G154" s="981"/>
      <c r="H154" s="950"/>
      <c r="I154" s="156"/>
      <c r="J154" s="1241"/>
      <c r="K154" s="14"/>
      <c r="L154" s="990"/>
      <c r="M154" s="33"/>
      <c r="N154" s="984"/>
      <c r="O154" s="977"/>
      <c r="P154" s="956"/>
      <c r="Q154" s="956"/>
      <c r="R154" s="339"/>
      <c r="S154" s="956"/>
      <c r="T154" s="35"/>
      <c r="U154" s="968"/>
      <c r="V154" s="968"/>
      <c r="W154" s="956"/>
      <c r="X154" s="968"/>
      <c r="Y154" s="950"/>
      <c r="Z154" s="950"/>
      <c r="AA154" s="896"/>
      <c r="AB154" s="956">
        <f>134500/AB147*AB148-134500</f>
        <v>-121441.74757281554</v>
      </c>
      <c r="AC154" s="968"/>
      <c r="AD154" s="950"/>
      <c r="AE154" s="950"/>
      <c r="AF154" s="991"/>
      <c r="AG154" s="977"/>
      <c r="AH154" s="42">
        <f>SUM(C154:AG154)</f>
        <v>-121441.74757281554</v>
      </c>
      <c r="AI154" s="11"/>
      <c r="AJ154" s="58"/>
      <c r="AK154" s="85"/>
      <c r="AL154" s="85"/>
      <c r="AM154" s="85"/>
      <c r="AN154" s="85"/>
      <c r="AO154" s="85"/>
      <c r="AP154" s="85"/>
      <c r="AQ154" s="85"/>
      <c r="AR154" s="85"/>
    </row>
    <row r="155" spans="1:44" s="16" customFormat="1" ht="18" customHeight="1" thickBot="1">
      <c r="A155" s="76"/>
      <c r="B155" s="77"/>
      <c r="C155" s="72"/>
      <c r="D155" s="71"/>
      <c r="E155" s="1230"/>
      <c r="F155" s="1040"/>
      <c r="G155" s="978"/>
      <c r="H155" s="996"/>
      <c r="I155" s="1216"/>
      <c r="J155" s="1263"/>
      <c r="K155" s="71"/>
      <c r="L155" s="955"/>
      <c r="M155" s="178"/>
      <c r="N155" s="955"/>
      <c r="O155" s="955"/>
      <c r="P155" s="954"/>
      <c r="Q155" s="954"/>
      <c r="R155" s="178"/>
      <c r="S155" s="954"/>
      <c r="T155" s="72"/>
      <c r="U155" s="954"/>
      <c r="V155" s="958"/>
      <c r="W155" s="955"/>
      <c r="X155" s="955"/>
      <c r="Y155" s="955"/>
      <c r="Z155" s="955"/>
      <c r="AA155" s="72"/>
      <c r="AB155" s="958"/>
      <c r="AC155" s="954"/>
      <c r="AD155" s="954"/>
      <c r="AE155" s="955"/>
      <c r="AF155" s="960"/>
      <c r="AG155" s="957"/>
      <c r="AH155" s="89"/>
      <c r="AI155" s="69"/>
      <c r="AJ155" s="75"/>
      <c r="AK155" s="86"/>
      <c r="AL155" s="86"/>
      <c r="AM155" s="86"/>
      <c r="AN155" s="86"/>
      <c r="AO155" s="86"/>
      <c r="AP155" s="86"/>
      <c r="AQ155" s="86"/>
      <c r="AR155" s="86"/>
    </row>
    <row r="156" spans="1:44" s="53" customFormat="1" ht="18" customHeight="1" thickBot="1">
      <c r="A156" s="64">
        <v>16</v>
      </c>
      <c r="B156" s="127" t="s">
        <v>71</v>
      </c>
      <c r="C156" s="647"/>
      <c r="D156" s="67">
        <v>1</v>
      </c>
      <c r="E156" s="1238">
        <v>1</v>
      </c>
      <c r="F156" s="68"/>
      <c r="G156" s="934">
        <v>1</v>
      </c>
      <c r="H156" s="933">
        <v>1</v>
      </c>
      <c r="I156" s="67">
        <v>1</v>
      </c>
      <c r="J156" s="1220">
        <v>1</v>
      </c>
      <c r="K156" s="66">
        <v>1</v>
      </c>
      <c r="L156" s="934">
        <v>1</v>
      </c>
      <c r="M156" s="647"/>
      <c r="N156" s="933">
        <v>1</v>
      </c>
      <c r="O156" s="933">
        <v>1</v>
      </c>
      <c r="P156" s="940">
        <v>1</v>
      </c>
      <c r="Q156" s="940">
        <v>1</v>
      </c>
      <c r="R156" s="68"/>
      <c r="S156" s="934">
        <v>1</v>
      </c>
      <c r="T156" s="68"/>
      <c r="U156" s="933">
        <v>1</v>
      </c>
      <c r="V156" s="933">
        <v>1</v>
      </c>
      <c r="W156" s="934">
        <v>1</v>
      </c>
      <c r="X156" s="945">
        <v>1</v>
      </c>
      <c r="Y156" s="933">
        <v>1</v>
      </c>
      <c r="Z156" s="934">
        <v>1</v>
      </c>
      <c r="AA156" s="68"/>
      <c r="AB156" s="934">
        <v>1</v>
      </c>
      <c r="AC156" s="933">
        <v>1</v>
      </c>
      <c r="AD156" s="933">
        <v>1</v>
      </c>
      <c r="AE156" s="940">
        <v>1</v>
      </c>
      <c r="AF156" s="933">
        <v>1</v>
      </c>
      <c r="AG156" s="933">
        <v>1</v>
      </c>
      <c r="AH156" s="87">
        <f>SUM(C156:AG156)</f>
        <v>25</v>
      </c>
      <c r="AI156" s="65"/>
      <c r="AJ156" s="74"/>
      <c r="AK156" s="215">
        <f>COUNTIF(C156:AG156,"CT")</f>
        <v>0</v>
      </c>
      <c r="AL156" s="215">
        <f>COUNTIF(C156:AG156,"CS")</f>
        <v>0</v>
      </c>
      <c r="AM156" s="215">
        <v>4</v>
      </c>
      <c r="AN156" s="215">
        <v>2</v>
      </c>
      <c r="AO156" s="215">
        <f>COUNTIF(C156:AG156,"CI")</f>
        <v>0</v>
      </c>
      <c r="AP156" s="316">
        <f>AH156+AK156+AL156+AM156+AN156+AO156</f>
        <v>31</v>
      </c>
      <c r="AQ156" s="215">
        <f>COUNTIF(C156:AG156,"CTH")</f>
        <v>0</v>
      </c>
      <c r="AR156" s="215">
        <f>COUNTIF(C156:AG156,"A")</f>
        <v>0</v>
      </c>
    </row>
    <row r="157" spans="1:44" s="53" customFormat="1" ht="18" customHeight="1">
      <c r="A157" s="61"/>
      <c r="B157" s="62" t="s">
        <v>27</v>
      </c>
      <c r="C157" s="181"/>
      <c r="D157" s="152" t="s">
        <v>407</v>
      </c>
      <c r="E157" s="1234" t="s">
        <v>405</v>
      </c>
      <c r="F157" s="108"/>
      <c r="G157" s="948" t="s">
        <v>401</v>
      </c>
      <c r="H157" s="947" t="s">
        <v>411</v>
      </c>
      <c r="I157" s="95" t="s">
        <v>412</v>
      </c>
      <c r="J157" s="1264" t="s">
        <v>413</v>
      </c>
      <c r="K157" s="1052" t="s">
        <v>413</v>
      </c>
      <c r="L157" s="947" t="s">
        <v>407</v>
      </c>
      <c r="M157" s="106"/>
      <c r="N157" s="947" t="s">
        <v>411</v>
      </c>
      <c r="O157" s="947" t="s">
        <v>415</v>
      </c>
      <c r="P157" s="947" t="s">
        <v>411</v>
      </c>
      <c r="Q157" s="947" t="s">
        <v>401</v>
      </c>
      <c r="R157" s="181"/>
      <c r="S157" s="946" t="s">
        <v>401</v>
      </c>
      <c r="T157" s="106"/>
      <c r="U157" s="947" t="s">
        <v>405</v>
      </c>
      <c r="V157" s="947" t="s">
        <v>413</v>
      </c>
      <c r="W157" s="947" t="s">
        <v>407</v>
      </c>
      <c r="X157" s="949" t="s">
        <v>407</v>
      </c>
      <c r="Y157" s="971" t="s">
        <v>411</v>
      </c>
      <c r="Z157" s="947" t="s">
        <v>412</v>
      </c>
      <c r="AA157" s="108"/>
      <c r="AB157" s="948" t="s">
        <v>401</v>
      </c>
      <c r="AC157" s="997" t="s">
        <v>603</v>
      </c>
      <c r="AD157" s="948" t="s">
        <v>603</v>
      </c>
      <c r="AE157" s="949" t="s">
        <v>405</v>
      </c>
      <c r="AF157" s="949" t="s">
        <v>413</v>
      </c>
      <c r="AG157" s="949" t="s">
        <v>407</v>
      </c>
      <c r="AH157" s="88"/>
      <c r="AI157" s="62"/>
      <c r="AJ157" s="63"/>
      <c r="AK157" s="165"/>
      <c r="AL157" s="165"/>
      <c r="AM157" s="165"/>
      <c r="AN157" s="165"/>
      <c r="AO157" s="165"/>
      <c r="AP157" s="165"/>
      <c r="AQ157" s="165"/>
      <c r="AR157" s="165"/>
    </row>
    <row r="158" spans="1:44" ht="18" customHeight="1">
      <c r="A158" s="21"/>
      <c r="B158" s="22" t="s">
        <v>6</v>
      </c>
      <c r="C158" s="35"/>
      <c r="D158" s="26">
        <v>90</v>
      </c>
      <c r="E158" s="1227">
        <v>103</v>
      </c>
      <c r="F158" s="35"/>
      <c r="G158" s="950">
        <v>103</v>
      </c>
      <c r="H158" s="950">
        <v>90</v>
      </c>
      <c r="I158" s="26">
        <v>90</v>
      </c>
      <c r="J158" s="1227">
        <v>90</v>
      </c>
      <c r="K158" s="26">
        <v>90</v>
      </c>
      <c r="L158" s="950">
        <v>90</v>
      </c>
      <c r="M158" s="35"/>
      <c r="N158" s="950">
        <v>90</v>
      </c>
      <c r="O158" s="950">
        <v>90</v>
      </c>
      <c r="P158" s="950">
        <v>90</v>
      </c>
      <c r="Q158" s="950">
        <v>103</v>
      </c>
      <c r="R158" s="35"/>
      <c r="S158" s="950">
        <v>103</v>
      </c>
      <c r="T158" s="35"/>
      <c r="U158" s="950">
        <v>103</v>
      </c>
      <c r="V158" s="950">
        <v>90</v>
      </c>
      <c r="W158" s="710">
        <v>90</v>
      </c>
      <c r="X158" s="950">
        <v>90</v>
      </c>
      <c r="Y158" s="710">
        <v>90</v>
      </c>
      <c r="Z158" s="710">
        <v>90</v>
      </c>
      <c r="AA158" s="31"/>
      <c r="AB158" s="710">
        <v>103</v>
      </c>
      <c r="AC158" s="710">
        <v>90</v>
      </c>
      <c r="AD158" s="710">
        <v>90</v>
      </c>
      <c r="AE158" s="950">
        <v>103</v>
      </c>
      <c r="AF158" s="950">
        <v>90</v>
      </c>
      <c r="AG158" s="950">
        <v>90</v>
      </c>
      <c r="AH158" s="40"/>
      <c r="AI158" s="3"/>
      <c r="AJ158" s="56"/>
      <c r="AK158" s="123"/>
      <c r="AL158" s="123"/>
      <c r="AM158" s="123"/>
      <c r="AN158" s="123"/>
      <c r="AO158" s="123"/>
      <c r="AP158" s="123"/>
      <c r="AQ158" s="123"/>
      <c r="AR158" s="123"/>
    </row>
    <row r="159" spans="1:44" ht="18" customHeight="1">
      <c r="A159" s="21"/>
      <c r="B159" s="22" t="s">
        <v>7</v>
      </c>
      <c r="C159" s="31"/>
      <c r="D159" s="5">
        <v>37</v>
      </c>
      <c r="E159" s="1228">
        <v>35</v>
      </c>
      <c r="F159" s="35"/>
      <c r="G159" s="710">
        <v>29</v>
      </c>
      <c r="H159" s="950">
        <v>21</v>
      </c>
      <c r="I159" s="5">
        <v>43</v>
      </c>
      <c r="J159" s="1228">
        <v>52</v>
      </c>
      <c r="K159" s="26">
        <v>26</v>
      </c>
      <c r="L159" s="950">
        <v>35</v>
      </c>
      <c r="M159" s="31"/>
      <c r="N159" s="950">
        <v>56</v>
      </c>
      <c r="O159" s="950">
        <v>18</v>
      </c>
      <c r="P159" s="710">
        <v>25</v>
      </c>
      <c r="Q159" s="710">
        <v>31</v>
      </c>
      <c r="R159" s="35"/>
      <c r="S159" s="950">
        <v>47</v>
      </c>
      <c r="T159" s="35"/>
      <c r="U159" s="710">
        <v>52</v>
      </c>
      <c r="V159" s="710">
        <v>30</v>
      </c>
      <c r="W159" s="950">
        <v>53</v>
      </c>
      <c r="X159" s="950">
        <v>31</v>
      </c>
      <c r="Y159" s="950">
        <v>21</v>
      </c>
      <c r="Z159" s="950">
        <v>25</v>
      </c>
      <c r="AA159" s="35"/>
      <c r="AB159" s="950">
        <v>27</v>
      </c>
      <c r="AC159" s="710">
        <v>20</v>
      </c>
      <c r="AD159" s="710">
        <v>17</v>
      </c>
      <c r="AE159" s="950">
        <v>35</v>
      </c>
      <c r="AF159" s="950">
        <v>47</v>
      </c>
      <c r="AG159" s="950">
        <v>25</v>
      </c>
      <c r="AH159" s="40">
        <f>SUM(C159:AG159)</f>
        <v>838</v>
      </c>
      <c r="AI159" s="7"/>
      <c r="AJ159" s="56"/>
      <c r="AK159" s="123"/>
      <c r="AL159" s="123"/>
      <c r="AM159" s="123"/>
      <c r="AN159" s="123"/>
      <c r="AO159" s="123"/>
      <c r="AP159" s="123"/>
      <c r="AQ159" s="123"/>
      <c r="AR159" s="123"/>
    </row>
    <row r="160" spans="1:44" s="10" customFormat="1" ht="18" customHeight="1">
      <c r="A160" s="7"/>
      <c r="B160" s="8" t="s">
        <v>99</v>
      </c>
      <c r="C160" s="32"/>
      <c r="D160" s="9"/>
      <c r="E160" s="1229"/>
      <c r="F160" s="32"/>
      <c r="G160" s="952"/>
      <c r="H160" s="952"/>
      <c r="I160" s="9"/>
      <c r="J160" s="1229">
        <v>52</v>
      </c>
      <c r="K160" s="9"/>
      <c r="L160" s="952"/>
      <c r="M160" s="32"/>
      <c r="N160" s="952"/>
      <c r="O160" s="952"/>
      <c r="P160" s="952"/>
      <c r="Q160" s="952"/>
      <c r="R160" s="32"/>
      <c r="S160" s="952"/>
      <c r="T160" s="35"/>
      <c r="U160" s="952"/>
      <c r="V160" s="952"/>
      <c r="W160" s="952"/>
      <c r="X160" s="952"/>
      <c r="Y160" s="952"/>
      <c r="Z160" s="952"/>
      <c r="AA160" s="32"/>
      <c r="AB160" s="952"/>
      <c r="AC160" s="952"/>
      <c r="AD160" s="952"/>
      <c r="AE160" s="952"/>
      <c r="AF160" s="952"/>
      <c r="AG160" s="950"/>
      <c r="AH160" s="41">
        <f t="shared" ref="AH160:AH162" si="49">SUM(C160:AG160)</f>
        <v>52</v>
      </c>
      <c r="AI160" s="7">
        <v>1409</v>
      </c>
      <c r="AJ160" s="57">
        <f t="shared" ref="AJ160:AJ161" si="50">AH160*AI160</f>
        <v>73268</v>
      </c>
      <c r="AK160" s="84"/>
      <c r="AL160" s="84"/>
      <c r="AM160" s="84"/>
      <c r="AN160" s="84"/>
      <c r="AO160" s="84"/>
      <c r="AP160" s="84"/>
      <c r="AQ160" s="84"/>
      <c r="AR160" s="84"/>
    </row>
    <row r="161" spans="1:44" s="10" customFormat="1" ht="18" customHeight="1">
      <c r="A161" s="7"/>
      <c r="B161" s="8" t="s">
        <v>118</v>
      </c>
      <c r="C161" s="32"/>
      <c r="D161" s="9"/>
      <c r="E161" s="1229">
        <v>35</v>
      </c>
      <c r="F161" s="32"/>
      <c r="G161" s="952"/>
      <c r="H161" s="952"/>
      <c r="I161" s="9"/>
      <c r="J161" s="1229"/>
      <c r="K161" s="9"/>
      <c r="L161" s="952"/>
      <c r="M161" s="32"/>
      <c r="N161" s="950"/>
      <c r="O161" s="952"/>
      <c r="P161" s="952"/>
      <c r="Q161" s="952"/>
      <c r="R161" s="32"/>
      <c r="S161" s="952"/>
      <c r="T161" s="35"/>
      <c r="U161" s="952"/>
      <c r="V161" s="952"/>
      <c r="W161" s="952"/>
      <c r="X161" s="952"/>
      <c r="Y161" s="952"/>
      <c r="Z161" s="952"/>
      <c r="AA161" s="32"/>
      <c r="AB161" s="952"/>
      <c r="AC161" s="952"/>
      <c r="AD161" s="952"/>
      <c r="AE161" s="953"/>
      <c r="AF161" s="952"/>
      <c r="AG161" s="950"/>
      <c r="AH161" s="41">
        <f t="shared" si="49"/>
        <v>35</v>
      </c>
      <c r="AI161" s="7">
        <v>1322</v>
      </c>
      <c r="AJ161" s="57">
        <f t="shared" si="50"/>
        <v>46270</v>
      </c>
      <c r="AK161" s="84"/>
      <c r="AL161" s="84"/>
      <c r="AM161" s="84"/>
      <c r="AN161" s="84"/>
      <c r="AO161" s="84"/>
      <c r="AP161" s="84"/>
      <c r="AQ161" s="84"/>
      <c r="AR161" s="84"/>
    </row>
    <row r="162" spans="1:44" s="10" customFormat="1" ht="18" customHeight="1">
      <c r="A162" s="7"/>
      <c r="B162" s="8" t="s">
        <v>396</v>
      </c>
      <c r="C162" s="32"/>
      <c r="D162" s="9"/>
      <c r="E162" s="1229"/>
      <c r="F162" s="32"/>
      <c r="G162" s="952"/>
      <c r="H162" s="952"/>
      <c r="I162" s="9"/>
      <c r="J162" s="1229"/>
      <c r="K162" s="9"/>
      <c r="L162" s="952"/>
      <c r="M162" s="32"/>
      <c r="N162" s="950"/>
      <c r="O162" s="952"/>
      <c r="P162" s="952"/>
      <c r="Q162" s="952"/>
      <c r="R162" s="32"/>
      <c r="S162" s="952"/>
      <c r="T162" s="35"/>
      <c r="U162" s="952"/>
      <c r="V162" s="952"/>
      <c r="W162" s="952"/>
      <c r="X162" s="952"/>
      <c r="Y162" s="952"/>
      <c r="Z162" s="952"/>
      <c r="AA162" s="32"/>
      <c r="AB162" s="952"/>
      <c r="AC162" s="952"/>
      <c r="AD162" s="952"/>
      <c r="AE162" s="952"/>
      <c r="AF162" s="952"/>
      <c r="AG162" s="950"/>
      <c r="AH162" s="41">
        <f t="shared" si="49"/>
        <v>0</v>
      </c>
      <c r="AI162" s="7">
        <v>1233</v>
      </c>
      <c r="AJ162" s="57">
        <f t="shared" ref="AJ162" si="51">AH162*AI162</f>
        <v>0</v>
      </c>
      <c r="AK162" s="84"/>
      <c r="AL162" s="84"/>
      <c r="AM162" s="84"/>
      <c r="AN162" s="84"/>
      <c r="AO162" s="84"/>
      <c r="AP162" s="84"/>
      <c r="AQ162" s="84"/>
      <c r="AR162" s="84"/>
    </row>
    <row r="163" spans="1:44" s="10" customFormat="1" ht="18" customHeight="1">
      <c r="A163" s="7"/>
      <c r="B163" s="8"/>
      <c r="C163" s="35"/>
      <c r="D163" s="9"/>
      <c r="E163" s="1229"/>
      <c r="F163" s="32"/>
      <c r="G163" s="952"/>
      <c r="H163" s="950"/>
      <c r="I163" s="9"/>
      <c r="J163" s="1229"/>
      <c r="K163" s="26"/>
      <c r="L163" s="950"/>
      <c r="M163" s="32"/>
      <c r="N163" s="950"/>
      <c r="O163" s="952"/>
      <c r="P163" s="952"/>
      <c r="Q163" s="952"/>
      <c r="R163" s="32"/>
      <c r="S163" s="952"/>
      <c r="T163" s="35"/>
      <c r="U163" s="952"/>
      <c r="V163" s="952"/>
      <c r="W163" s="952"/>
      <c r="X163" s="952"/>
      <c r="Y163" s="950"/>
      <c r="Z163" s="950"/>
      <c r="AA163" s="35"/>
      <c r="AB163" s="952"/>
      <c r="AC163" s="952"/>
      <c r="AD163" s="952"/>
      <c r="AE163" s="952"/>
      <c r="AF163" s="950"/>
      <c r="AG163" s="950"/>
      <c r="AH163" s="1292" t="s">
        <v>70</v>
      </c>
      <c r="AI163" s="1293"/>
      <c r="AJ163" s="121">
        <f>SUM(AJ160:AJ162)</f>
        <v>119538</v>
      </c>
      <c r="AK163" s="84"/>
      <c r="AL163" s="84"/>
      <c r="AM163" s="84"/>
      <c r="AN163" s="84"/>
      <c r="AO163" s="84"/>
      <c r="AP163" s="84"/>
      <c r="AQ163" s="84"/>
      <c r="AR163" s="84"/>
    </row>
    <row r="164" spans="1:44" ht="18" customHeight="1">
      <c r="A164" s="21"/>
      <c r="B164" s="4" t="s">
        <v>8</v>
      </c>
      <c r="C164" s="31"/>
      <c r="D164" s="5">
        <v>11</v>
      </c>
      <c r="E164" s="1228">
        <v>5</v>
      </c>
      <c r="F164" s="35"/>
      <c r="G164" s="710">
        <v>4</v>
      </c>
      <c r="H164" s="950">
        <v>9</v>
      </c>
      <c r="I164" s="5">
        <v>15</v>
      </c>
      <c r="J164" s="1228">
        <v>11</v>
      </c>
      <c r="K164" s="26">
        <v>9</v>
      </c>
      <c r="L164" s="950">
        <v>6</v>
      </c>
      <c r="M164" s="31"/>
      <c r="N164" s="950">
        <v>17</v>
      </c>
      <c r="O164" s="950">
        <v>5</v>
      </c>
      <c r="P164" s="950">
        <v>12</v>
      </c>
      <c r="Q164" s="950">
        <v>8</v>
      </c>
      <c r="R164" s="35"/>
      <c r="S164" s="950">
        <v>10</v>
      </c>
      <c r="T164" s="35"/>
      <c r="U164" s="950">
        <v>4</v>
      </c>
      <c r="V164" s="950">
        <v>8</v>
      </c>
      <c r="W164" s="950">
        <v>13</v>
      </c>
      <c r="X164" s="950">
        <v>4</v>
      </c>
      <c r="Y164" s="950">
        <v>14</v>
      </c>
      <c r="Z164" s="950">
        <v>8</v>
      </c>
      <c r="AA164" s="35"/>
      <c r="AB164" s="950">
        <v>6</v>
      </c>
      <c r="AC164" s="950">
        <v>2</v>
      </c>
      <c r="AD164" s="950">
        <v>1</v>
      </c>
      <c r="AE164" s="950">
        <v>4</v>
      </c>
      <c r="AF164" s="950">
        <v>6</v>
      </c>
      <c r="AG164" s="950">
        <v>5</v>
      </c>
      <c r="AH164" s="40">
        <f t="shared" ref="AH164" si="52">SUM(C164:AG164)</f>
        <v>197</v>
      </c>
      <c r="AI164" s="51">
        <v>1750</v>
      </c>
      <c r="AJ164" s="56">
        <f>AH164*AI164</f>
        <v>344750</v>
      </c>
      <c r="AK164" s="123"/>
      <c r="AL164" s="123"/>
      <c r="AM164" s="123"/>
      <c r="AN164" s="123"/>
      <c r="AO164" s="123"/>
      <c r="AP164" s="123"/>
      <c r="AQ164" s="123"/>
      <c r="AR164" s="123"/>
    </row>
    <row r="165" spans="1:44" s="16" customFormat="1" ht="18" customHeight="1">
      <c r="A165" s="17"/>
      <c r="B165" s="18" t="s">
        <v>9</v>
      </c>
      <c r="C165" s="35"/>
      <c r="D165" s="156"/>
      <c r="E165" s="1243"/>
      <c r="F165" s="33"/>
      <c r="G165" s="968"/>
      <c r="H165" s="968"/>
      <c r="I165" s="14"/>
      <c r="J165" s="1235"/>
      <c r="K165" s="36"/>
      <c r="L165" s="998"/>
      <c r="M165" s="33"/>
      <c r="N165" s="983"/>
      <c r="O165" s="982"/>
      <c r="P165" s="977"/>
      <c r="Q165" s="977"/>
      <c r="R165" s="33"/>
      <c r="S165" s="968"/>
      <c r="T165" s="35"/>
      <c r="U165" s="968"/>
      <c r="V165" s="970"/>
      <c r="W165" s="968"/>
      <c r="X165" s="968"/>
      <c r="Y165" s="956">
        <f>134500/Y158*Y159-134500</f>
        <v>-103116.66666666667</v>
      </c>
      <c r="Z165" s="968"/>
      <c r="AA165" s="896"/>
      <c r="AB165" s="970"/>
      <c r="AC165" s="950"/>
      <c r="AD165" s="968"/>
      <c r="AE165" s="950"/>
      <c r="AF165" s="991"/>
      <c r="AG165" s="977"/>
      <c r="AH165" s="42">
        <f>SUM(C165:AG165)</f>
        <v>-103116.66666666667</v>
      </c>
      <c r="AI165" s="11"/>
      <c r="AJ165" s="58"/>
      <c r="AK165" s="754"/>
      <c r="AL165" s="754"/>
      <c r="AM165" s="754"/>
      <c r="AN165" s="754"/>
      <c r="AO165" s="754"/>
      <c r="AP165" s="754"/>
      <c r="AQ165" s="754"/>
      <c r="AR165" s="754"/>
    </row>
    <row r="166" spans="1:44" s="16" customFormat="1" ht="18" customHeight="1" thickBot="1">
      <c r="A166" s="116"/>
      <c r="B166" s="117"/>
      <c r="C166" s="1038"/>
      <c r="D166" s="162"/>
      <c r="E166" s="1244"/>
      <c r="F166" s="340"/>
      <c r="G166" s="999"/>
      <c r="H166" s="1000"/>
      <c r="I166" s="1217"/>
      <c r="J166" s="1269"/>
      <c r="K166" s="1218"/>
      <c r="L166" s="1000"/>
      <c r="M166" s="920"/>
      <c r="N166" s="1002"/>
      <c r="O166" s="1002"/>
      <c r="P166" s="1002"/>
      <c r="Q166" s="999"/>
      <c r="R166" s="1038"/>
      <c r="S166" s="1003"/>
      <c r="T166" s="1038"/>
      <c r="U166" s="1002"/>
      <c r="V166" s="1002"/>
      <c r="W166" s="1001"/>
      <c r="X166" s="1002"/>
      <c r="Y166" s="1003"/>
      <c r="Z166" s="1001"/>
      <c r="AA166" s="920"/>
      <c r="AB166" s="1002"/>
      <c r="AC166" s="1002"/>
      <c r="AD166" s="1000"/>
      <c r="AE166" s="1000"/>
      <c r="AF166" s="1004"/>
      <c r="AG166" s="1030"/>
      <c r="AH166" s="118"/>
      <c r="AI166" s="168"/>
      <c r="AJ166" s="119"/>
      <c r="AK166" s="755"/>
      <c r="AL166" s="755"/>
      <c r="AM166" s="755"/>
      <c r="AN166" s="755"/>
      <c r="AO166" s="755"/>
      <c r="AP166" s="755"/>
      <c r="AQ166" s="755"/>
      <c r="AR166" s="755"/>
    </row>
    <row r="167" spans="1:44" s="53" customFormat="1" ht="18" customHeight="1" thickBot="1">
      <c r="A167" s="64">
        <v>17</v>
      </c>
      <c r="B167" s="127" t="s">
        <v>356</v>
      </c>
      <c r="C167" s="647"/>
      <c r="D167" s="67">
        <v>1</v>
      </c>
      <c r="E167" s="1238" t="s">
        <v>15</v>
      </c>
      <c r="F167" s="68"/>
      <c r="G167" s="934">
        <v>1</v>
      </c>
      <c r="H167" s="933">
        <v>1</v>
      </c>
      <c r="I167" s="67">
        <v>1</v>
      </c>
      <c r="J167" s="1220" t="s">
        <v>18</v>
      </c>
      <c r="K167" s="66" t="s">
        <v>15</v>
      </c>
      <c r="L167" s="934">
        <v>1</v>
      </c>
      <c r="M167" s="647"/>
      <c r="N167" s="933">
        <v>1</v>
      </c>
      <c r="O167" s="933">
        <v>1</v>
      </c>
      <c r="P167" s="940">
        <v>1</v>
      </c>
      <c r="Q167" s="940">
        <v>1</v>
      </c>
      <c r="R167" s="68"/>
      <c r="S167" s="934">
        <v>1</v>
      </c>
      <c r="T167" s="68"/>
      <c r="U167" s="933">
        <v>1</v>
      </c>
      <c r="V167" s="933">
        <v>1</v>
      </c>
      <c r="W167" s="921" t="s">
        <v>17</v>
      </c>
      <c r="X167" s="945">
        <v>1</v>
      </c>
      <c r="Y167" s="933">
        <v>1</v>
      </c>
      <c r="Z167" s="934" t="s">
        <v>19</v>
      </c>
      <c r="AA167" s="68"/>
      <c r="AB167" s="934">
        <v>1</v>
      </c>
      <c r="AC167" s="1051" t="s">
        <v>18</v>
      </c>
      <c r="AD167" s="1051" t="s">
        <v>15</v>
      </c>
      <c r="AE167" s="940">
        <v>1</v>
      </c>
      <c r="AF167" s="1051" t="s">
        <v>15</v>
      </c>
      <c r="AG167" s="1051" t="s">
        <v>15</v>
      </c>
      <c r="AH167" s="87">
        <f>SUM(C167:AG167)</f>
        <v>16</v>
      </c>
      <c r="AI167" s="65"/>
      <c r="AJ167" s="74"/>
      <c r="AK167" s="215">
        <f>COUNTIF(C167:AG167,"CT")</f>
        <v>2</v>
      </c>
      <c r="AL167" s="215">
        <f>COUNTIF(C167:AG167,"CS")</f>
        <v>1</v>
      </c>
      <c r="AM167" s="215">
        <v>4</v>
      </c>
      <c r="AN167" s="215">
        <v>2</v>
      </c>
      <c r="AO167" s="215">
        <f>COUNTIF(C167:AG167,"CI")</f>
        <v>0</v>
      </c>
      <c r="AP167" s="316">
        <f>AH167+AK167+AL167+AM167+AN167+AO167</f>
        <v>25</v>
      </c>
      <c r="AQ167" s="215">
        <f>COUNTIF(C167:AG167,"CTH")</f>
        <v>1</v>
      </c>
      <c r="AR167" s="215">
        <f>COUNTIF(C167:AG167,"A")</f>
        <v>5</v>
      </c>
    </row>
    <row r="168" spans="1:44" s="53" customFormat="1" ht="18" customHeight="1">
      <c r="A168" s="61"/>
      <c r="B168" s="62" t="s">
        <v>27</v>
      </c>
      <c r="C168" s="181"/>
      <c r="D168" s="152" t="s">
        <v>407</v>
      </c>
      <c r="E168" s="1234"/>
      <c r="F168" s="108"/>
      <c r="G168" s="948" t="s">
        <v>405</v>
      </c>
      <c r="H168" s="947" t="s">
        <v>411</v>
      </c>
      <c r="I168" s="95" t="s">
        <v>412</v>
      </c>
      <c r="J168" s="1264"/>
      <c r="K168" s="1052"/>
      <c r="L168" s="947" t="s">
        <v>407</v>
      </c>
      <c r="M168" s="106"/>
      <c r="N168" s="947" t="s">
        <v>411</v>
      </c>
      <c r="O168" s="947" t="s">
        <v>415</v>
      </c>
      <c r="P168" s="947" t="s">
        <v>411</v>
      </c>
      <c r="Q168" s="947" t="s">
        <v>401</v>
      </c>
      <c r="R168" s="181"/>
      <c r="S168" s="946" t="s">
        <v>401</v>
      </c>
      <c r="T168" s="106"/>
      <c r="U168" s="947" t="s">
        <v>405</v>
      </c>
      <c r="V168" s="947" t="s">
        <v>413</v>
      </c>
      <c r="W168" s="947"/>
      <c r="X168" s="949" t="s">
        <v>407</v>
      </c>
      <c r="Y168" s="971" t="s">
        <v>411</v>
      </c>
      <c r="Z168" s="947"/>
      <c r="AA168" s="108"/>
      <c r="AB168" s="948" t="s">
        <v>401</v>
      </c>
      <c r="AC168" s="948"/>
      <c r="AD168" s="948"/>
      <c r="AE168" s="949" t="s">
        <v>405</v>
      </c>
      <c r="AF168" s="949"/>
      <c r="AG168" s="949"/>
      <c r="AH168" s="88"/>
      <c r="AI168" s="62"/>
      <c r="AJ168" s="63"/>
      <c r="AK168" s="346"/>
      <c r="AL168" s="346"/>
      <c r="AM168" s="346"/>
      <c r="AN168" s="346"/>
      <c r="AO168" s="346"/>
      <c r="AP168" s="346"/>
      <c r="AQ168" s="346"/>
      <c r="AR168" s="346"/>
    </row>
    <row r="169" spans="1:44" ht="18" customHeight="1">
      <c r="A169" s="21"/>
      <c r="B169" s="22" t="s">
        <v>6</v>
      </c>
      <c r="C169" s="35"/>
      <c r="D169" s="26">
        <v>90</v>
      </c>
      <c r="E169" s="1227"/>
      <c r="F169" s="35"/>
      <c r="G169" s="950">
        <v>103</v>
      </c>
      <c r="H169" s="950">
        <v>90</v>
      </c>
      <c r="I169" s="26">
        <v>90</v>
      </c>
      <c r="J169" s="1227"/>
      <c r="K169" s="26"/>
      <c r="L169" s="950">
        <v>90</v>
      </c>
      <c r="M169" s="35"/>
      <c r="N169" s="950">
        <v>90</v>
      </c>
      <c r="O169" s="950">
        <v>90</v>
      </c>
      <c r="P169" s="950">
        <v>90</v>
      </c>
      <c r="Q169" s="950">
        <v>103</v>
      </c>
      <c r="R169" s="35"/>
      <c r="S169" s="950">
        <v>103</v>
      </c>
      <c r="T169" s="35"/>
      <c r="U169" s="950">
        <v>103</v>
      </c>
      <c r="V169" s="950">
        <v>90</v>
      </c>
      <c r="W169" s="710"/>
      <c r="X169" s="950">
        <v>90</v>
      </c>
      <c r="Y169" s="710">
        <v>90</v>
      </c>
      <c r="Z169" s="710"/>
      <c r="AA169" s="31"/>
      <c r="AB169" s="710">
        <v>103</v>
      </c>
      <c r="AC169" s="710"/>
      <c r="AD169" s="710"/>
      <c r="AE169" s="950">
        <v>103</v>
      </c>
      <c r="AF169" s="950"/>
      <c r="AG169" s="950"/>
      <c r="AH169" s="40"/>
      <c r="AI169" s="3"/>
      <c r="AJ169" s="56"/>
      <c r="AK169" s="213"/>
      <c r="AL169" s="213"/>
      <c r="AM169" s="213"/>
      <c r="AN169" s="213"/>
      <c r="AO169" s="213"/>
      <c r="AP169" s="213"/>
      <c r="AQ169" s="213"/>
      <c r="AR169" s="213"/>
    </row>
    <row r="170" spans="1:44" ht="18" customHeight="1">
      <c r="A170" s="21"/>
      <c r="B170" s="22" t="s">
        <v>7</v>
      </c>
      <c r="C170" s="31"/>
      <c r="D170" s="5">
        <v>39</v>
      </c>
      <c r="E170" s="1228"/>
      <c r="F170" s="35"/>
      <c r="G170" s="710">
        <v>31</v>
      </c>
      <c r="H170" s="950">
        <v>28</v>
      </c>
      <c r="I170" s="5">
        <v>44</v>
      </c>
      <c r="J170" s="1228"/>
      <c r="K170" s="26"/>
      <c r="L170" s="950">
        <v>10</v>
      </c>
      <c r="M170" s="31"/>
      <c r="N170" s="950">
        <v>30</v>
      </c>
      <c r="O170" s="950">
        <v>36</v>
      </c>
      <c r="P170" s="710">
        <v>26</v>
      </c>
      <c r="Q170" s="710">
        <v>43</v>
      </c>
      <c r="R170" s="35"/>
      <c r="S170" s="950">
        <v>43</v>
      </c>
      <c r="T170" s="35"/>
      <c r="U170" s="710">
        <v>20</v>
      </c>
      <c r="V170" s="710">
        <v>38</v>
      </c>
      <c r="W170" s="950"/>
      <c r="X170" s="950">
        <v>30</v>
      </c>
      <c r="Y170" s="950">
        <v>17</v>
      </c>
      <c r="Z170" s="950"/>
      <c r="AA170" s="35"/>
      <c r="AB170" s="950">
        <v>12</v>
      </c>
      <c r="AC170" s="710"/>
      <c r="AD170" s="710"/>
      <c r="AE170" s="950">
        <v>12</v>
      </c>
      <c r="AF170" s="950"/>
      <c r="AG170" s="950"/>
      <c r="AH170" s="40">
        <f>SUM(C170:AG170)</f>
        <v>459</v>
      </c>
      <c r="AI170" s="7"/>
      <c r="AJ170" s="56"/>
      <c r="AK170" s="213"/>
      <c r="AL170" s="213"/>
      <c r="AM170" s="213"/>
      <c r="AN170" s="213"/>
      <c r="AO170" s="213"/>
      <c r="AP170" s="213"/>
      <c r="AQ170" s="213"/>
      <c r="AR170" s="213"/>
    </row>
    <row r="171" spans="1:44" s="10" customFormat="1" ht="18" customHeight="1">
      <c r="A171" s="7"/>
      <c r="B171" s="8" t="s">
        <v>99</v>
      </c>
      <c r="C171" s="32"/>
      <c r="D171" s="9"/>
      <c r="E171" s="1229"/>
      <c r="F171" s="32"/>
      <c r="G171" s="952"/>
      <c r="H171" s="952"/>
      <c r="I171" s="9"/>
      <c r="J171" s="1229"/>
      <c r="K171" s="9"/>
      <c r="L171" s="952"/>
      <c r="M171" s="32"/>
      <c r="N171" s="952"/>
      <c r="O171" s="952"/>
      <c r="P171" s="952"/>
      <c r="Q171" s="952"/>
      <c r="R171" s="32"/>
      <c r="S171" s="952"/>
      <c r="T171" s="35"/>
      <c r="U171" s="952"/>
      <c r="V171" s="952"/>
      <c r="W171" s="952"/>
      <c r="X171" s="952"/>
      <c r="Y171" s="952"/>
      <c r="Z171" s="952"/>
      <c r="AA171" s="32"/>
      <c r="AB171" s="952"/>
      <c r="AC171" s="952"/>
      <c r="AD171" s="952"/>
      <c r="AE171" s="952"/>
      <c r="AF171" s="952"/>
      <c r="AG171" s="950"/>
      <c r="AH171" s="41">
        <f t="shared" ref="AH171:AH173" si="53">SUM(C171:AG171)</f>
        <v>0</v>
      </c>
      <c r="AI171" s="7">
        <v>1409</v>
      </c>
      <c r="AJ171" s="57">
        <f t="shared" ref="AJ171:AJ173" si="54">AH171*AI171</f>
        <v>0</v>
      </c>
      <c r="AK171" s="84"/>
      <c r="AL171" s="84"/>
      <c r="AM171" s="84"/>
      <c r="AN171" s="84"/>
      <c r="AO171" s="84"/>
      <c r="AP171" s="84"/>
      <c r="AQ171" s="84"/>
      <c r="AR171" s="84"/>
    </row>
    <row r="172" spans="1:44" s="10" customFormat="1" ht="18" customHeight="1">
      <c r="A172" s="7"/>
      <c r="B172" s="8" t="s">
        <v>118</v>
      </c>
      <c r="C172" s="32"/>
      <c r="D172" s="9"/>
      <c r="E172" s="1229"/>
      <c r="F172" s="32"/>
      <c r="G172" s="952"/>
      <c r="H172" s="952"/>
      <c r="I172" s="9"/>
      <c r="J172" s="1229"/>
      <c r="K172" s="9"/>
      <c r="L172" s="952"/>
      <c r="M172" s="32"/>
      <c r="N172" s="950"/>
      <c r="O172" s="952"/>
      <c r="P172" s="952"/>
      <c r="Q172" s="952"/>
      <c r="R172" s="32"/>
      <c r="S172" s="952"/>
      <c r="T172" s="35"/>
      <c r="U172" s="952"/>
      <c r="V172" s="952"/>
      <c r="W172" s="952"/>
      <c r="X172" s="952"/>
      <c r="Y172" s="952"/>
      <c r="Z172" s="952"/>
      <c r="AA172" s="32"/>
      <c r="AB172" s="952"/>
      <c r="AC172" s="952"/>
      <c r="AD172" s="952"/>
      <c r="AE172" s="953"/>
      <c r="AF172" s="952"/>
      <c r="AG172" s="950"/>
      <c r="AH172" s="41">
        <f t="shared" si="53"/>
        <v>0</v>
      </c>
      <c r="AI172" s="7">
        <v>1322</v>
      </c>
      <c r="AJ172" s="57">
        <f t="shared" si="54"/>
        <v>0</v>
      </c>
      <c r="AK172" s="84"/>
      <c r="AL172" s="84"/>
      <c r="AM172" s="84"/>
      <c r="AN172" s="84"/>
      <c r="AO172" s="84"/>
      <c r="AP172" s="84"/>
      <c r="AQ172" s="84"/>
      <c r="AR172" s="84"/>
    </row>
    <row r="173" spans="1:44" s="10" customFormat="1" ht="18" customHeight="1">
      <c r="A173" s="7"/>
      <c r="B173" s="8" t="s">
        <v>396</v>
      </c>
      <c r="C173" s="32"/>
      <c r="D173" s="9"/>
      <c r="E173" s="1229"/>
      <c r="F173" s="32"/>
      <c r="G173" s="952"/>
      <c r="H173" s="952"/>
      <c r="I173" s="9"/>
      <c r="J173" s="1229"/>
      <c r="K173" s="9"/>
      <c r="L173" s="952"/>
      <c r="M173" s="32"/>
      <c r="N173" s="950"/>
      <c r="O173" s="952"/>
      <c r="P173" s="952"/>
      <c r="Q173" s="952"/>
      <c r="R173" s="32"/>
      <c r="S173" s="952"/>
      <c r="T173" s="35"/>
      <c r="U173" s="952"/>
      <c r="V173" s="952"/>
      <c r="W173" s="952"/>
      <c r="X173" s="952"/>
      <c r="Y173" s="952"/>
      <c r="Z173" s="952"/>
      <c r="AA173" s="32"/>
      <c r="AB173" s="952"/>
      <c r="AC173" s="952"/>
      <c r="AD173" s="952"/>
      <c r="AE173" s="952"/>
      <c r="AF173" s="952"/>
      <c r="AG173" s="950"/>
      <c r="AH173" s="41">
        <f t="shared" si="53"/>
        <v>0</v>
      </c>
      <c r="AI173" s="7">
        <v>1233</v>
      </c>
      <c r="AJ173" s="57">
        <f t="shared" si="54"/>
        <v>0</v>
      </c>
      <c r="AK173" s="84"/>
      <c r="AL173" s="84"/>
      <c r="AM173" s="84"/>
      <c r="AN173" s="84"/>
      <c r="AO173" s="84"/>
      <c r="AP173" s="84"/>
      <c r="AQ173" s="84"/>
      <c r="AR173" s="84"/>
    </row>
    <row r="174" spans="1:44" s="10" customFormat="1" ht="18" customHeight="1">
      <c r="A174" s="7"/>
      <c r="B174" s="8"/>
      <c r="C174" s="35"/>
      <c r="D174" s="9"/>
      <c r="E174" s="1229"/>
      <c r="F174" s="32"/>
      <c r="G174" s="952"/>
      <c r="H174" s="950"/>
      <c r="I174" s="9"/>
      <c r="J174" s="1229"/>
      <c r="K174" s="26"/>
      <c r="L174" s="950"/>
      <c r="M174" s="32"/>
      <c r="N174" s="950"/>
      <c r="O174" s="952"/>
      <c r="P174" s="952"/>
      <c r="Q174" s="952"/>
      <c r="R174" s="32"/>
      <c r="S174" s="952"/>
      <c r="T174" s="35"/>
      <c r="U174" s="952"/>
      <c r="V174" s="952"/>
      <c r="W174" s="952"/>
      <c r="X174" s="952"/>
      <c r="Y174" s="950"/>
      <c r="Z174" s="950"/>
      <c r="AA174" s="35"/>
      <c r="AB174" s="952"/>
      <c r="AC174" s="952"/>
      <c r="AD174" s="952"/>
      <c r="AE174" s="952"/>
      <c r="AF174" s="950"/>
      <c r="AG174" s="950"/>
      <c r="AH174" s="1292" t="s">
        <v>70</v>
      </c>
      <c r="AI174" s="1293"/>
      <c r="AJ174" s="121">
        <f>SUM(AJ171:AJ173)</f>
        <v>0</v>
      </c>
      <c r="AK174" s="84"/>
      <c r="AL174" s="84"/>
      <c r="AM174" s="84"/>
      <c r="AN174" s="84"/>
      <c r="AO174" s="84"/>
      <c r="AP174" s="84"/>
      <c r="AQ174" s="84"/>
      <c r="AR174" s="84"/>
    </row>
    <row r="175" spans="1:44" ht="18" customHeight="1">
      <c r="A175" s="21"/>
      <c r="B175" s="4" t="s">
        <v>8</v>
      </c>
      <c r="C175" s="31"/>
      <c r="D175" s="5">
        <v>14</v>
      </c>
      <c r="E175" s="1228"/>
      <c r="F175" s="35"/>
      <c r="G175" s="710">
        <v>5</v>
      </c>
      <c r="H175" s="950">
        <v>6</v>
      </c>
      <c r="I175" s="5">
        <v>15</v>
      </c>
      <c r="J175" s="1228"/>
      <c r="K175" s="26"/>
      <c r="L175" s="950">
        <v>2</v>
      </c>
      <c r="M175" s="31"/>
      <c r="N175" s="950">
        <v>6</v>
      </c>
      <c r="O175" s="950">
        <v>7</v>
      </c>
      <c r="P175" s="950">
        <v>13</v>
      </c>
      <c r="Q175" s="950">
        <v>12</v>
      </c>
      <c r="R175" s="35"/>
      <c r="S175" s="950">
        <v>6</v>
      </c>
      <c r="T175" s="35"/>
      <c r="U175" s="950">
        <v>2</v>
      </c>
      <c r="V175" s="950">
        <v>4</v>
      </c>
      <c r="W175" s="950"/>
      <c r="X175" s="950">
        <v>4</v>
      </c>
      <c r="Y175" s="950">
        <v>2</v>
      </c>
      <c r="Z175" s="950"/>
      <c r="AA175" s="35"/>
      <c r="AB175" s="950">
        <v>1</v>
      </c>
      <c r="AC175" s="950"/>
      <c r="AD175" s="950"/>
      <c r="AE175" s="950">
        <v>1</v>
      </c>
      <c r="AF175" s="950"/>
      <c r="AG175" s="950"/>
      <c r="AH175" s="40">
        <f t="shared" ref="AH175" si="55">SUM(C175:AG175)</f>
        <v>100</v>
      </c>
      <c r="AI175" s="51">
        <v>1750</v>
      </c>
      <c r="AJ175" s="56">
        <f>AH175*AI175</f>
        <v>175000</v>
      </c>
      <c r="AK175" s="213"/>
      <c r="AL175" s="213"/>
      <c r="AM175" s="213"/>
      <c r="AN175" s="213"/>
      <c r="AO175" s="213"/>
      <c r="AP175" s="213"/>
      <c r="AQ175" s="213"/>
      <c r="AR175" s="213"/>
    </row>
    <row r="176" spans="1:44" s="16" customFormat="1" ht="18" customHeight="1">
      <c r="A176" s="17"/>
      <c r="B176" s="18" t="s">
        <v>9</v>
      </c>
      <c r="C176" s="35"/>
      <c r="D176" s="156"/>
      <c r="E176" s="1243"/>
      <c r="F176" s="33"/>
      <c r="G176" s="968"/>
      <c r="H176" s="968"/>
      <c r="I176" s="14"/>
      <c r="J176" s="1235"/>
      <c r="K176" s="36"/>
      <c r="L176" s="956">
        <f>134500/L169*L170-134500</f>
        <v>-119555.55555555556</v>
      </c>
      <c r="M176" s="33"/>
      <c r="N176" s="983"/>
      <c r="O176" s="982"/>
      <c r="P176" s="977"/>
      <c r="Q176" s="977"/>
      <c r="R176" s="33"/>
      <c r="S176" s="950"/>
      <c r="T176" s="35"/>
      <c r="U176" s="968"/>
      <c r="V176" s="950"/>
      <c r="W176" s="968"/>
      <c r="X176" s="968"/>
      <c r="Y176" s="1280">
        <f>134500/Y169*Y170-134500</f>
        <v>-109094.44444444444</v>
      </c>
      <c r="Z176" s="1281"/>
      <c r="AA176" s="1282"/>
      <c r="AB176" s="1280">
        <f>134500/AB169*AB170-134500</f>
        <v>-118830.09708737864</v>
      </c>
      <c r="AC176" s="1281"/>
      <c r="AD176" s="968"/>
      <c r="AE176" s="950"/>
      <c r="AF176" s="991"/>
      <c r="AG176" s="977"/>
      <c r="AH176" s="42">
        <f>SUM(C176:AG176)</f>
        <v>-347480.09708737861</v>
      </c>
      <c r="AI176" s="11"/>
      <c r="AJ176" s="58"/>
      <c r="AK176" s="754"/>
      <c r="AL176" s="754"/>
      <c r="AM176" s="754"/>
      <c r="AN176" s="754"/>
      <c r="AO176" s="754"/>
      <c r="AP176" s="754"/>
      <c r="AQ176" s="754"/>
      <c r="AR176" s="754"/>
    </row>
    <row r="177" spans="1:44" s="16" customFormat="1" ht="18" customHeight="1" thickBot="1">
      <c r="A177" s="116"/>
      <c r="B177" s="117"/>
      <c r="C177" s="1038"/>
      <c r="D177" s="162"/>
      <c r="E177" s="1244"/>
      <c r="F177" s="340"/>
      <c r="G177" s="999"/>
      <c r="H177" s="1000"/>
      <c r="I177" s="1217"/>
      <c r="J177" s="1269"/>
      <c r="K177" s="1218"/>
      <c r="L177" s="1000"/>
      <c r="M177" s="920"/>
      <c r="N177" s="1002"/>
      <c r="O177" s="1002"/>
      <c r="P177" s="1002"/>
      <c r="Q177" s="999"/>
      <c r="R177" s="1038"/>
      <c r="S177" s="1003"/>
      <c r="T177" s="1038"/>
      <c r="U177" s="1002"/>
      <c r="V177" s="1002"/>
      <c r="W177" s="1001"/>
      <c r="X177" s="1002"/>
      <c r="Y177" s="1003"/>
      <c r="Z177" s="1001"/>
      <c r="AA177" s="920"/>
      <c r="AB177" s="1002"/>
      <c r="AC177" s="1002"/>
      <c r="AD177" s="1000"/>
      <c r="AE177" s="1000"/>
      <c r="AF177" s="1004"/>
      <c r="AG177" s="1030"/>
      <c r="AH177" s="118"/>
      <c r="AI177" s="168"/>
      <c r="AJ177" s="119"/>
      <c r="AK177" s="788"/>
      <c r="AL177" s="788"/>
      <c r="AM177" s="788"/>
      <c r="AN177" s="788"/>
      <c r="AO177" s="788"/>
      <c r="AP177" s="788"/>
      <c r="AQ177" s="788"/>
      <c r="AR177" s="788"/>
    </row>
    <row r="178" spans="1:44" s="53" customFormat="1" ht="18" customHeight="1" thickBot="1">
      <c r="A178" s="64">
        <v>18</v>
      </c>
      <c r="B178" s="127" t="s">
        <v>327</v>
      </c>
      <c r="C178" s="647"/>
      <c r="D178" s="67">
        <v>1</v>
      </c>
      <c r="E178" s="1238">
        <v>1</v>
      </c>
      <c r="F178" s="68"/>
      <c r="G178" s="934">
        <v>1</v>
      </c>
      <c r="H178" s="933">
        <v>1</v>
      </c>
      <c r="I178" s="67">
        <v>1</v>
      </c>
      <c r="J178" s="1220">
        <v>1</v>
      </c>
      <c r="K178" s="66">
        <v>1</v>
      </c>
      <c r="L178" s="934">
        <v>1</v>
      </c>
      <c r="M178" s="647"/>
      <c r="N178" s="1051" t="s">
        <v>18</v>
      </c>
      <c r="O178" s="933">
        <v>1</v>
      </c>
      <c r="P178" s="940">
        <v>1</v>
      </c>
      <c r="Q178" s="940">
        <v>1</v>
      </c>
      <c r="R178" s="68"/>
      <c r="S178" s="934">
        <v>1</v>
      </c>
      <c r="T178" s="68"/>
      <c r="U178" s="933">
        <v>1</v>
      </c>
      <c r="V178" s="1051" t="s">
        <v>15</v>
      </c>
      <c r="W178" s="934">
        <v>1</v>
      </c>
      <c r="X178" s="1053" t="s">
        <v>17</v>
      </c>
      <c r="Y178" s="933">
        <v>1</v>
      </c>
      <c r="Z178" s="934">
        <v>1</v>
      </c>
      <c r="AA178" s="68"/>
      <c r="AB178" s="934">
        <v>1</v>
      </c>
      <c r="AC178" s="933">
        <v>1</v>
      </c>
      <c r="AD178" s="933">
        <v>1</v>
      </c>
      <c r="AE178" s="940">
        <v>1</v>
      </c>
      <c r="AF178" s="933">
        <v>1</v>
      </c>
      <c r="AG178" s="933">
        <v>1</v>
      </c>
      <c r="AH178" s="87">
        <f>SUM(C178:AG178)</f>
        <v>22</v>
      </c>
      <c r="AI178" s="65"/>
      <c r="AJ178" s="74"/>
      <c r="AK178" s="215">
        <f>COUNTIF(C178:AG178,"CT")</f>
        <v>1</v>
      </c>
      <c r="AL178" s="215">
        <f>COUNTIF(C178:AG178,"CS")</f>
        <v>1</v>
      </c>
      <c r="AM178" s="215">
        <v>4</v>
      </c>
      <c r="AN178" s="215">
        <v>2</v>
      </c>
      <c r="AO178" s="215">
        <f>COUNTIF(C178:AG178,"CI")</f>
        <v>0</v>
      </c>
      <c r="AP178" s="316">
        <f>AH178+AK178+AL178+AM178+AN178+AO178</f>
        <v>30</v>
      </c>
      <c r="AQ178" s="215">
        <f>COUNTIF(C178:AG178,"CTH")</f>
        <v>0</v>
      </c>
      <c r="AR178" s="215">
        <f>COUNTIF(C178:AG178,"A")</f>
        <v>1</v>
      </c>
    </row>
    <row r="179" spans="1:44" s="53" customFormat="1" ht="18" customHeight="1">
      <c r="A179" s="61"/>
      <c r="B179" s="62" t="s">
        <v>27</v>
      </c>
      <c r="C179" s="181"/>
      <c r="D179" s="152" t="s">
        <v>407</v>
      </c>
      <c r="E179" s="1234" t="s">
        <v>405</v>
      </c>
      <c r="F179" s="108"/>
      <c r="G179" s="948" t="s">
        <v>405</v>
      </c>
      <c r="H179" s="947" t="s">
        <v>411</v>
      </c>
      <c r="I179" s="95" t="s">
        <v>412</v>
      </c>
      <c r="J179" s="1264" t="s">
        <v>413</v>
      </c>
      <c r="K179" s="1052" t="s">
        <v>413</v>
      </c>
      <c r="L179" s="947" t="s">
        <v>407</v>
      </c>
      <c r="M179" s="106"/>
      <c r="N179" s="947"/>
      <c r="O179" s="947" t="s">
        <v>415</v>
      </c>
      <c r="P179" s="947" t="s">
        <v>411</v>
      </c>
      <c r="Q179" s="947" t="s">
        <v>401</v>
      </c>
      <c r="R179" s="181"/>
      <c r="S179" s="946" t="s">
        <v>401</v>
      </c>
      <c r="T179" s="106"/>
      <c r="U179" s="947" t="s">
        <v>405</v>
      </c>
      <c r="V179" s="947"/>
      <c r="W179" s="947" t="s">
        <v>413</v>
      </c>
      <c r="X179" s="949"/>
      <c r="Y179" s="971" t="s">
        <v>411</v>
      </c>
      <c r="Z179" s="994" t="s">
        <v>412</v>
      </c>
      <c r="AA179" s="108"/>
      <c r="AB179" s="948" t="s">
        <v>401</v>
      </c>
      <c r="AC179" s="948" t="s">
        <v>603</v>
      </c>
      <c r="AD179" s="948" t="s">
        <v>603</v>
      </c>
      <c r="AE179" s="949" t="s">
        <v>405</v>
      </c>
      <c r="AF179" s="949" t="s">
        <v>413</v>
      </c>
      <c r="AG179" s="949" t="s">
        <v>407</v>
      </c>
      <c r="AH179" s="88"/>
      <c r="AI179" s="62"/>
      <c r="AJ179" s="63"/>
      <c r="AK179" s="346"/>
      <c r="AL179" s="346"/>
      <c r="AM179" s="346"/>
      <c r="AN179" s="346"/>
      <c r="AO179" s="346"/>
      <c r="AP179" s="346"/>
      <c r="AQ179" s="346"/>
      <c r="AR179" s="346"/>
    </row>
    <row r="180" spans="1:44" ht="18" customHeight="1">
      <c r="A180" s="21"/>
      <c r="B180" s="22" t="s">
        <v>6</v>
      </c>
      <c r="C180" s="35"/>
      <c r="D180" s="26">
        <v>90</v>
      </c>
      <c r="E180" s="1227">
        <v>103</v>
      </c>
      <c r="F180" s="35"/>
      <c r="G180" s="950">
        <v>103</v>
      </c>
      <c r="H180" s="950">
        <v>90</v>
      </c>
      <c r="I180" s="26">
        <v>90</v>
      </c>
      <c r="J180" s="1227">
        <v>90</v>
      </c>
      <c r="K180" s="26">
        <v>90</v>
      </c>
      <c r="L180" s="950">
        <v>90</v>
      </c>
      <c r="M180" s="35"/>
      <c r="N180" s="950"/>
      <c r="O180" s="950">
        <v>90</v>
      </c>
      <c r="P180" s="950">
        <v>90</v>
      </c>
      <c r="Q180" s="950">
        <v>103</v>
      </c>
      <c r="R180" s="35"/>
      <c r="S180" s="950">
        <v>103</v>
      </c>
      <c r="T180" s="35"/>
      <c r="U180" s="950">
        <v>103</v>
      </c>
      <c r="V180" s="950"/>
      <c r="W180" s="710">
        <v>90</v>
      </c>
      <c r="X180" s="950"/>
      <c r="Y180" s="710">
        <v>90</v>
      </c>
      <c r="Z180" s="710">
        <v>90</v>
      </c>
      <c r="AA180" s="31"/>
      <c r="AB180" s="710">
        <v>103</v>
      </c>
      <c r="AC180" s="710">
        <v>90</v>
      </c>
      <c r="AD180" s="710">
        <v>90</v>
      </c>
      <c r="AE180" s="950">
        <v>103</v>
      </c>
      <c r="AF180" s="950">
        <v>90</v>
      </c>
      <c r="AG180" s="950">
        <v>90</v>
      </c>
      <c r="AH180" s="40"/>
      <c r="AI180" s="3"/>
      <c r="AJ180" s="56"/>
      <c r="AK180" s="213"/>
      <c r="AL180" s="213"/>
      <c r="AM180" s="213"/>
      <c r="AN180" s="213"/>
      <c r="AO180" s="213"/>
      <c r="AP180" s="213"/>
      <c r="AQ180" s="213"/>
      <c r="AR180" s="213"/>
    </row>
    <row r="181" spans="1:44" ht="18" customHeight="1">
      <c r="A181" s="21"/>
      <c r="B181" s="22" t="s">
        <v>7</v>
      </c>
      <c r="C181" s="31"/>
      <c r="D181" s="5">
        <v>50</v>
      </c>
      <c r="E181" s="1228">
        <v>57</v>
      </c>
      <c r="F181" s="35"/>
      <c r="G181" s="710">
        <v>51</v>
      </c>
      <c r="H181" s="950">
        <v>25</v>
      </c>
      <c r="I181" s="5">
        <v>57</v>
      </c>
      <c r="J181" s="1228">
        <v>62</v>
      </c>
      <c r="K181" s="26">
        <v>40</v>
      </c>
      <c r="L181" s="950">
        <v>39</v>
      </c>
      <c r="M181" s="31"/>
      <c r="N181" s="950"/>
      <c r="O181" s="950">
        <v>19</v>
      </c>
      <c r="P181" s="710">
        <v>25</v>
      </c>
      <c r="Q181" s="710">
        <v>31</v>
      </c>
      <c r="R181" s="35"/>
      <c r="S181" s="950">
        <v>36</v>
      </c>
      <c r="T181" s="35"/>
      <c r="U181" s="710">
        <v>52</v>
      </c>
      <c r="V181" s="710"/>
      <c r="W181" s="950">
        <v>25</v>
      </c>
      <c r="X181" s="950"/>
      <c r="Y181" s="950">
        <v>22</v>
      </c>
      <c r="Z181" s="950">
        <v>24</v>
      </c>
      <c r="AA181" s="35"/>
      <c r="AB181" s="950">
        <v>27</v>
      </c>
      <c r="AC181" s="710">
        <v>20</v>
      </c>
      <c r="AD181" s="710">
        <v>17</v>
      </c>
      <c r="AE181" s="950">
        <v>35</v>
      </c>
      <c r="AF181" s="950">
        <v>36</v>
      </c>
      <c r="AG181" s="950">
        <v>20</v>
      </c>
      <c r="AH181" s="40">
        <f>SUM(C181:AG181)</f>
        <v>770</v>
      </c>
      <c r="AI181" s="7"/>
      <c r="AJ181" s="56"/>
      <c r="AK181" s="213"/>
      <c r="AL181" s="213"/>
      <c r="AM181" s="213"/>
      <c r="AN181" s="213"/>
      <c r="AO181" s="213"/>
      <c r="AP181" s="213"/>
      <c r="AQ181" s="213"/>
      <c r="AR181" s="213"/>
    </row>
    <row r="182" spans="1:44" s="10" customFormat="1" ht="18" customHeight="1">
      <c r="A182" s="7"/>
      <c r="B182" s="8" t="s">
        <v>99</v>
      </c>
      <c r="C182" s="32"/>
      <c r="D182" s="9"/>
      <c r="E182" s="1229"/>
      <c r="F182" s="32"/>
      <c r="G182" s="952"/>
      <c r="H182" s="952"/>
      <c r="I182" s="9"/>
      <c r="J182" s="1229">
        <v>62</v>
      </c>
      <c r="K182" s="9"/>
      <c r="L182" s="952"/>
      <c r="M182" s="32"/>
      <c r="N182" s="952"/>
      <c r="O182" s="952"/>
      <c r="P182" s="952"/>
      <c r="Q182" s="952"/>
      <c r="R182" s="32"/>
      <c r="S182" s="952"/>
      <c r="T182" s="35"/>
      <c r="U182" s="952"/>
      <c r="V182" s="952"/>
      <c r="W182" s="952"/>
      <c r="X182" s="952"/>
      <c r="Y182" s="952"/>
      <c r="Z182" s="952"/>
      <c r="AA182" s="32"/>
      <c r="AB182" s="952"/>
      <c r="AC182" s="952"/>
      <c r="AD182" s="952"/>
      <c r="AE182" s="952"/>
      <c r="AF182" s="952"/>
      <c r="AG182" s="950"/>
      <c r="AH182" s="41">
        <f t="shared" ref="AH182:AH184" si="56">SUM(C182:AG182)</f>
        <v>62</v>
      </c>
      <c r="AI182" s="7">
        <v>1409</v>
      </c>
      <c r="AJ182" s="57">
        <f t="shared" ref="AJ182:AJ184" si="57">AH182*AI182</f>
        <v>87358</v>
      </c>
      <c r="AK182" s="84"/>
      <c r="AL182" s="84"/>
      <c r="AM182" s="84"/>
      <c r="AN182" s="84"/>
      <c r="AO182" s="84"/>
      <c r="AP182" s="84"/>
      <c r="AQ182" s="84"/>
      <c r="AR182" s="84"/>
    </row>
    <row r="183" spans="1:44" s="10" customFormat="1" ht="18" customHeight="1">
      <c r="A183" s="7"/>
      <c r="B183" s="8" t="s">
        <v>118</v>
      </c>
      <c r="C183" s="32"/>
      <c r="D183" s="9"/>
      <c r="E183" s="1229">
        <v>57</v>
      </c>
      <c r="F183" s="32"/>
      <c r="G183" s="952"/>
      <c r="H183" s="952"/>
      <c r="I183" s="9"/>
      <c r="J183" s="1229"/>
      <c r="K183" s="9"/>
      <c r="L183" s="952"/>
      <c r="M183" s="32"/>
      <c r="N183" s="950"/>
      <c r="O183" s="952"/>
      <c r="P183" s="952"/>
      <c r="Q183" s="952"/>
      <c r="R183" s="32"/>
      <c r="S183" s="952"/>
      <c r="T183" s="35"/>
      <c r="U183" s="952"/>
      <c r="V183" s="952"/>
      <c r="W183" s="952"/>
      <c r="X183" s="952"/>
      <c r="Y183" s="952"/>
      <c r="Z183" s="952"/>
      <c r="AA183" s="32"/>
      <c r="AB183" s="952"/>
      <c r="AC183" s="952"/>
      <c r="AD183" s="952"/>
      <c r="AE183" s="953"/>
      <c r="AF183" s="952"/>
      <c r="AG183" s="950"/>
      <c r="AH183" s="41">
        <f t="shared" si="56"/>
        <v>57</v>
      </c>
      <c r="AI183" s="7">
        <v>1322</v>
      </c>
      <c r="AJ183" s="57">
        <f t="shared" si="57"/>
        <v>75354</v>
      </c>
      <c r="AK183" s="84"/>
      <c r="AL183" s="84"/>
      <c r="AM183" s="84"/>
      <c r="AN183" s="84"/>
      <c r="AO183" s="84"/>
      <c r="AP183" s="84"/>
      <c r="AQ183" s="84"/>
      <c r="AR183" s="84"/>
    </row>
    <row r="184" spans="1:44" s="10" customFormat="1" ht="18" customHeight="1">
      <c r="A184" s="7"/>
      <c r="B184" s="8" t="s">
        <v>396</v>
      </c>
      <c r="C184" s="32"/>
      <c r="D184" s="9"/>
      <c r="E184" s="1229"/>
      <c r="F184" s="32"/>
      <c r="G184" s="952"/>
      <c r="H184" s="952"/>
      <c r="I184" s="9"/>
      <c r="J184" s="1229"/>
      <c r="K184" s="9"/>
      <c r="L184" s="952"/>
      <c r="M184" s="32"/>
      <c r="N184" s="950"/>
      <c r="O184" s="952"/>
      <c r="P184" s="952"/>
      <c r="Q184" s="952"/>
      <c r="R184" s="32"/>
      <c r="S184" s="952"/>
      <c r="T184" s="35"/>
      <c r="U184" s="952"/>
      <c r="V184" s="952"/>
      <c r="W184" s="952"/>
      <c r="X184" s="952"/>
      <c r="Y184" s="952"/>
      <c r="Z184" s="952"/>
      <c r="AA184" s="32"/>
      <c r="AB184" s="952"/>
      <c r="AC184" s="952"/>
      <c r="AD184" s="952"/>
      <c r="AE184" s="952"/>
      <c r="AF184" s="952"/>
      <c r="AG184" s="950"/>
      <c r="AH184" s="41">
        <f t="shared" si="56"/>
        <v>0</v>
      </c>
      <c r="AI184" s="7">
        <v>1233</v>
      </c>
      <c r="AJ184" s="57">
        <f t="shared" si="57"/>
        <v>0</v>
      </c>
      <c r="AK184" s="84"/>
      <c r="AL184" s="84"/>
      <c r="AM184" s="84"/>
      <c r="AN184" s="84"/>
      <c r="AO184" s="84"/>
      <c r="AP184" s="84"/>
      <c r="AQ184" s="84"/>
      <c r="AR184" s="84"/>
    </row>
    <row r="185" spans="1:44" s="10" customFormat="1" ht="18" customHeight="1">
      <c r="A185" s="7"/>
      <c r="B185" s="8"/>
      <c r="C185" s="35"/>
      <c r="D185" s="9"/>
      <c r="E185" s="1229"/>
      <c r="F185" s="32"/>
      <c r="G185" s="952"/>
      <c r="H185" s="950"/>
      <c r="I185" s="9"/>
      <c r="J185" s="1229"/>
      <c r="K185" s="26"/>
      <c r="L185" s="950"/>
      <c r="M185" s="32"/>
      <c r="N185" s="950"/>
      <c r="O185" s="952"/>
      <c r="P185" s="952"/>
      <c r="Q185" s="952"/>
      <c r="R185" s="32"/>
      <c r="S185" s="952"/>
      <c r="T185" s="35"/>
      <c r="U185" s="952"/>
      <c r="V185" s="952"/>
      <c r="W185" s="952"/>
      <c r="X185" s="952"/>
      <c r="Y185" s="950"/>
      <c r="Z185" s="950"/>
      <c r="AA185" s="35"/>
      <c r="AB185" s="952"/>
      <c r="AC185" s="952"/>
      <c r="AD185" s="952"/>
      <c r="AE185" s="952"/>
      <c r="AF185" s="950"/>
      <c r="AG185" s="950"/>
      <c r="AH185" s="1292" t="s">
        <v>70</v>
      </c>
      <c r="AI185" s="1293"/>
      <c r="AJ185" s="121">
        <f>SUM(AJ182:AJ184)</f>
        <v>162712</v>
      </c>
      <c r="AK185" s="84"/>
      <c r="AL185" s="84"/>
      <c r="AM185" s="84"/>
      <c r="AN185" s="84"/>
      <c r="AO185" s="84"/>
      <c r="AP185" s="84"/>
      <c r="AQ185" s="84"/>
      <c r="AR185" s="84"/>
    </row>
    <row r="186" spans="1:44" ht="18" customHeight="1">
      <c r="A186" s="21"/>
      <c r="B186" s="4" t="s">
        <v>8</v>
      </c>
      <c r="C186" s="31"/>
      <c r="D186" s="5">
        <v>9</v>
      </c>
      <c r="E186" s="1228">
        <v>13</v>
      </c>
      <c r="F186" s="35"/>
      <c r="G186" s="710">
        <v>15</v>
      </c>
      <c r="H186" s="950">
        <v>10</v>
      </c>
      <c r="I186" s="5">
        <v>10</v>
      </c>
      <c r="J186" s="1228">
        <v>12</v>
      </c>
      <c r="K186" s="26">
        <v>12</v>
      </c>
      <c r="L186" s="950">
        <v>6</v>
      </c>
      <c r="M186" s="31"/>
      <c r="N186" s="950"/>
      <c r="O186" s="950">
        <v>3</v>
      </c>
      <c r="P186" s="950">
        <v>11</v>
      </c>
      <c r="Q186" s="950">
        <v>8</v>
      </c>
      <c r="R186" s="35"/>
      <c r="S186" s="950">
        <v>10</v>
      </c>
      <c r="T186" s="35"/>
      <c r="U186" s="950">
        <v>4</v>
      </c>
      <c r="V186" s="950"/>
      <c r="W186" s="950">
        <v>10</v>
      </c>
      <c r="X186" s="950"/>
      <c r="Y186" s="950">
        <v>14</v>
      </c>
      <c r="Z186" s="950">
        <v>8</v>
      </c>
      <c r="AA186" s="35"/>
      <c r="AB186" s="950">
        <v>6</v>
      </c>
      <c r="AC186" s="950">
        <v>3</v>
      </c>
      <c r="AD186" s="950">
        <v>1</v>
      </c>
      <c r="AE186" s="950">
        <v>3</v>
      </c>
      <c r="AF186" s="950">
        <v>5</v>
      </c>
      <c r="AG186" s="950">
        <v>6</v>
      </c>
      <c r="AH186" s="40">
        <f t="shared" ref="AH186" si="58">SUM(C186:AG186)</f>
        <v>179</v>
      </c>
      <c r="AI186" s="51">
        <v>1750</v>
      </c>
      <c r="AJ186" s="56">
        <f>AH186*AI186</f>
        <v>313250</v>
      </c>
      <c r="AK186" s="213"/>
      <c r="AL186" s="213"/>
      <c r="AM186" s="213"/>
      <c r="AN186" s="213"/>
      <c r="AO186" s="213"/>
      <c r="AP186" s="213"/>
      <c r="AQ186" s="213"/>
      <c r="AR186" s="213"/>
    </row>
    <row r="187" spans="1:44" s="16" customFormat="1" ht="18" customHeight="1">
      <c r="A187" s="17"/>
      <c r="B187" s="18" t="s">
        <v>9</v>
      </c>
      <c r="C187" s="35"/>
      <c r="D187" s="156"/>
      <c r="E187" s="1243"/>
      <c r="F187" s="1042"/>
      <c r="G187" s="968"/>
      <c r="H187" s="968"/>
      <c r="I187" s="14"/>
      <c r="J187" s="1235"/>
      <c r="K187" s="36"/>
      <c r="L187" s="998"/>
      <c r="M187" s="33"/>
      <c r="N187" s="983"/>
      <c r="O187" s="982"/>
      <c r="P187" s="977"/>
      <c r="Q187" s="977"/>
      <c r="R187" s="33"/>
      <c r="S187" s="968"/>
      <c r="T187" s="35"/>
      <c r="U187" s="950"/>
      <c r="V187" s="970"/>
      <c r="W187" s="968"/>
      <c r="X187" s="968"/>
      <c r="Y187" s="956">
        <f>134500/Y180*Y181-134500</f>
        <v>-101622.22222222222</v>
      </c>
      <c r="Z187" s="950"/>
      <c r="AA187" s="896"/>
      <c r="AB187" s="970"/>
      <c r="AC187" s="968"/>
      <c r="AD187" s="968"/>
      <c r="AE187" s="950"/>
      <c r="AF187" s="991"/>
      <c r="AG187" s="977"/>
      <c r="AH187" s="42">
        <f>SUM(C187:AG187)</f>
        <v>-101622.22222222222</v>
      </c>
      <c r="AI187" s="11"/>
      <c r="AJ187" s="58"/>
      <c r="AK187" s="754"/>
      <c r="AL187" s="754"/>
      <c r="AM187" s="754"/>
      <c r="AN187" s="754"/>
      <c r="AO187" s="754"/>
      <c r="AP187" s="754"/>
      <c r="AQ187" s="754"/>
      <c r="AR187" s="754"/>
    </row>
    <row r="188" spans="1:44" s="16" customFormat="1" ht="18" customHeight="1" thickBot="1">
      <c r="A188" s="116"/>
      <c r="B188" s="117"/>
      <c r="C188" s="1038"/>
      <c r="D188" s="162"/>
      <c r="E188" s="1244"/>
      <c r="F188" s="340"/>
      <c r="G188" s="999"/>
      <c r="H188" s="1000"/>
      <c r="I188" s="1217"/>
      <c r="J188" s="1269"/>
      <c r="K188" s="1218"/>
      <c r="L188" s="1000"/>
      <c r="M188" s="920"/>
      <c r="N188" s="1002"/>
      <c r="O188" s="1002"/>
      <c r="P188" s="1002"/>
      <c r="Q188" s="999"/>
      <c r="R188" s="1038"/>
      <c r="S188" s="1003"/>
      <c r="T188" s="1038"/>
      <c r="U188" s="1002"/>
      <c r="V188" s="1002"/>
      <c r="W188" s="1001"/>
      <c r="X188" s="1002"/>
      <c r="Y188" s="1003"/>
      <c r="Z188" s="1001"/>
      <c r="AA188" s="920"/>
      <c r="AB188" s="1002"/>
      <c r="AC188" s="1002"/>
      <c r="AD188" s="1000"/>
      <c r="AE188" s="1000"/>
      <c r="AF188" s="1004"/>
      <c r="AG188" s="1030"/>
      <c r="AH188" s="118"/>
      <c r="AI188" s="168"/>
      <c r="AJ188" s="119"/>
      <c r="AK188" s="788"/>
      <c r="AL188" s="788"/>
      <c r="AM188" s="788"/>
      <c r="AN188" s="788"/>
      <c r="AO188" s="788"/>
      <c r="AP188" s="788"/>
      <c r="AQ188" s="788"/>
      <c r="AR188" s="788"/>
    </row>
    <row r="189" spans="1:44" s="53" customFormat="1" ht="18" customHeight="1" thickBot="1">
      <c r="A189" s="64">
        <v>19</v>
      </c>
      <c r="B189" s="127" t="s">
        <v>357</v>
      </c>
      <c r="C189" s="647"/>
      <c r="D189" s="67">
        <v>1</v>
      </c>
      <c r="E189" s="1238">
        <v>1</v>
      </c>
      <c r="F189" s="68"/>
      <c r="G189" s="934">
        <v>1</v>
      </c>
      <c r="H189" s="1051" t="s">
        <v>15</v>
      </c>
      <c r="I189" s="67">
        <v>1</v>
      </c>
      <c r="J189" s="1220">
        <v>1</v>
      </c>
      <c r="K189" s="66">
        <v>1</v>
      </c>
      <c r="L189" s="934">
        <v>1</v>
      </c>
      <c r="M189" s="647"/>
      <c r="N189" s="933">
        <v>1</v>
      </c>
      <c r="O189" s="933">
        <v>1</v>
      </c>
      <c r="P189" s="940">
        <v>1</v>
      </c>
      <c r="Q189" s="940">
        <v>1</v>
      </c>
      <c r="R189" s="68"/>
      <c r="S189" s="934" t="s">
        <v>18</v>
      </c>
      <c r="T189" s="68"/>
      <c r="U189" s="933">
        <v>1</v>
      </c>
      <c r="V189" s="933">
        <v>1</v>
      </c>
      <c r="W189" s="934">
        <v>1</v>
      </c>
      <c r="X189" s="945">
        <v>1</v>
      </c>
      <c r="Y189" s="1051" t="s">
        <v>15</v>
      </c>
      <c r="Z189" s="934">
        <v>1</v>
      </c>
      <c r="AA189" s="68"/>
      <c r="AB189" s="934">
        <v>1</v>
      </c>
      <c r="AC189" s="1051" t="s">
        <v>18</v>
      </c>
      <c r="AD189" s="933">
        <v>1</v>
      </c>
      <c r="AE189" s="940">
        <v>1</v>
      </c>
      <c r="AF189" s="933">
        <v>1</v>
      </c>
      <c r="AG189" s="933">
        <v>1</v>
      </c>
      <c r="AH189" s="87">
        <f>SUM(C189:AG189)</f>
        <v>21</v>
      </c>
      <c r="AI189" s="65"/>
      <c r="AJ189" s="74"/>
      <c r="AK189" s="215">
        <f>COUNTIF(C189:AG189,"CT")</f>
        <v>2</v>
      </c>
      <c r="AL189" s="215">
        <f>COUNTIF(C189:AG189,"CS")</f>
        <v>0</v>
      </c>
      <c r="AM189" s="215">
        <v>4</v>
      </c>
      <c r="AN189" s="215">
        <v>2</v>
      </c>
      <c r="AO189" s="215">
        <f>COUNTIF(C189:AG189,"CI")</f>
        <v>0</v>
      </c>
      <c r="AP189" s="316">
        <f>AH189+AK189+AL189+AM189+AN189+AO189</f>
        <v>29</v>
      </c>
      <c r="AQ189" s="215">
        <f>COUNTIF(C189:AG189,"CTH")</f>
        <v>0</v>
      </c>
      <c r="AR189" s="215">
        <f>COUNTIF(C189:AG189,"A")</f>
        <v>2</v>
      </c>
    </row>
    <row r="190" spans="1:44" s="53" customFormat="1" ht="18" customHeight="1">
      <c r="A190" s="61"/>
      <c r="B190" s="62" t="s">
        <v>27</v>
      </c>
      <c r="C190" s="181"/>
      <c r="D190" s="152" t="s">
        <v>407</v>
      </c>
      <c r="E190" s="1234" t="s">
        <v>404</v>
      </c>
      <c r="F190" s="108"/>
      <c r="G190" s="948" t="s">
        <v>405</v>
      </c>
      <c r="H190" s="947"/>
      <c r="I190" s="95" t="s">
        <v>411</v>
      </c>
      <c r="J190" s="1264" t="s">
        <v>405</v>
      </c>
      <c r="K190" s="1052" t="s">
        <v>413</v>
      </c>
      <c r="L190" s="947" t="s">
        <v>407</v>
      </c>
      <c r="M190" s="106"/>
      <c r="N190" s="947" t="s">
        <v>411</v>
      </c>
      <c r="O190" s="947" t="s">
        <v>415</v>
      </c>
      <c r="P190" s="947" t="s">
        <v>411</v>
      </c>
      <c r="Q190" s="947" t="s">
        <v>401</v>
      </c>
      <c r="R190" s="181"/>
      <c r="S190" s="946"/>
      <c r="T190" s="106"/>
      <c r="U190" s="947" t="s">
        <v>405</v>
      </c>
      <c r="V190" s="947" t="s">
        <v>413</v>
      </c>
      <c r="W190" s="947" t="s">
        <v>407</v>
      </c>
      <c r="X190" s="949" t="s">
        <v>404</v>
      </c>
      <c r="Y190" s="971"/>
      <c r="Z190" s="947" t="s">
        <v>411</v>
      </c>
      <c r="AA190" s="108"/>
      <c r="AB190" s="948" t="s">
        <v>401</v>
      </c>
      <c r="AC190" s="948"/>
      <c r="AD190" s="948" t="s">
        <v>603</v>
      </c>
      <c r="AE190" s="949" t="s">
        <v>405</v>
      </c>
      <c r="AF190" s="949" t="s">
        <v>413</v>
      </c>
      <c r="AG190" s="949" t="s">
        <v>407</v>
      </c>
      <c r="AH190" s="88"/>
      <c r="AI190" s="62"/>
      <c r="AJ190" s="63"/>
      <c r="AK190" s="346"/>
      <c r="AL190" s="346"/>
      <c r="AM190" s="346"/>
      <c r="AN190" s="346"/>
      <c r="AO190" s="346"/>
      <c r="AP190" s="346"/>
      <c r="AQ190" s="346"/>
      <c r="AR190" s="346"/>
    </row>
    <row r="191" spans="1:44" ht="18" customHeight="1">
      <c r="A191" s="21"/>
      <c r="B191" s="22" t="s">
        <v>6</v>
      </c>
      <c r="C191" s="35"/>
      <c r="D191" s="26">
        <v>90</v>
      </c>
      <c r="E191" s="1227">
        <v>90</v>
      </c>
      <c r="F191" s="35"/>
      <c r="G191" s="950">
        <v>103</v>
      </c>
      <c r="H191" s="950"/>
      <c r="I191" s="26">
        <v>90</v>
      </c>
      <c r="J191" s="1227">
        <v>103</v>
      </c>
      <c r="K191" s="26">
        <v>90</v>
      </c>
      <c r="L191" s="950">
        <v>90</v>
      </c>
      <c r="M191" s="35"/>
      <c r="N191" s="950">
        <v>90</v>
      </c>
      <c r="O191" s="950">
        <v>90</v>
      </c>
      <c r="P191" s="950">
        <v>90</v>
      </c>
      <c r="Q191" s="950">
        <v>103</v>
      </c>
      <c r="R191" s="35"/>
      <c r="S191" s="950"/>
      <c r="T191" s="35"/>
      <c r="U191" s="950">
        <v>103</v>
      </c>
      <c r="V191" s="950">
        <v>90</v>
      </c>
      <c r="W191" s="710">
        <v>90</v>
      </c>
      <c r="X191" s="950">
        <v>90</v>
      </c>
      <c r="Y191" s="710"/>
      <c r="Z191" s="710">
        <v>90</v>
      </c>
      <c r="AA191" s="31"/>
      <c r="AB191" s="710">
        <v>103</v>
      </c>
      <c r="AC191" s="710"/>
      <c r="AD191" s="710">
        <v>90</v>
      </c>
      <c r="AE191" s="950">
        <v>103</v>
      </c>
      <c r="AF191" s="950">
        <v>90</v>
      </c>
      <c r="AG191" s="950">
        <v>90</v>
      </c>
      <c r="AH191" s="40"/>
      <c r="AI191" s="3"/>
      <c r="AJ191" s="56"/>
      <c r="AK191" s="213"/>
      <c r="AL191" s="213"/>
      <c r="AM191" s="213"/>
      <c r="AN191" s="213"/>
      <c r="AO191" s="213"/>
      <c r="AP191" s="213"/>
      <c r="AQ191" s="213"/>
      <c r="AR191" s="213"/>
    </row>
    <row r="192" spans="1:44" ht="18" customHeight="1">
      <c r="A192" s="21"/>
      <c r="B192" s="22" t="s">
        <v>7</v>
      </c>
      <c r="C192" s="31"/>
      <c r="D192" s="5">
        <v>79</v>
      </c>
      <c r="E192" s="1228">
        <v>44</v>
      </c>
      <c r="F192" s="35"/>
      <c r="G192" s="710">
        <v>30</v>
      </c>
      <c r="H192" s="950"/>
      <c r="I192" s="5">
        <v>45</v>
      </c>
      <c r="J192" s="1228">
        <v>56</v>
      </c>
      <c r="K192" s="26">
        <v>46</v>
      </c>
      <c r="L192" s="950">
        <v>25</v>
      </c>
      <c r="M192" s="31"/>
      <c r="N192" s="950">
        <v>52</v>
      </c>
      <c r="O192" s="950">
        <v>24</v>
      </c>
      <c r="P192" s="710">
        <v>41</v>
      </c>
      <c r="Q192" s="710">
        <v>52</v>
      </c>
      <c r="R192" s="35"/>
      <c r="S192" s="950"/>
      <c r="T192" s="35"/>
      <c r="U192" s="710">
        <v>40</v>
      </c>
      <c r="V192" s="710">
        <v>51</v>
      </c>
      <c r="W192" s="950">
        <v>67</v>
      </c>
      <c r="X192" s="950">
        <v>35</v>
      </c>
      <c r="Y192" s="950"/>
      <c r="Z192" s="950">
        <v>13</v>
      </c>
      <c r="AA192" s="35"/>
      <c r="AB192" s="950">
        <v>20</v>
      </c>
      <c r="AC192" s="710"/>
      <c r="AD192" s="710">
        <v>17</v>
      </c>
      <c r="AE192" s="950">
        <v>40</v>
      </c>
      <c r="AF192" s="950">
        <v>28</v>
      </c>
      <c r="AG192" s="950">
        <v>23</v>
      </c>
      <c r="AH192" s="40">
        <f>SUM(C192:AG192)</f>
        <v>828</v>
      </c>
      <c r="AI192" s="7"/>
      <c r="AJ192" s="56"/>
      <c r="AK192" s="213"/>
      <c r="AL192" s="213"/>
      <c r="AM192" s="213"/>
      <c r="AN192" s="213"/>
      <c r="AO192" s="213"/>
      <c r="AP192" s="213"/>
      <c r="AQ192" s="213"/>
      <c r="AR192" s="213"/>
    </row>
    <row r="193" spans="1:44" s="10" customFormat="1" ht="18" customHeight="1">
      <c r="A193" s="7"/>
      <c r="B193" s="8" t="s">
        <v>99</v>
      </c>
      <c r="C193" s="32"/>
      <c r="D193" s="9"/>
      <c r="E193" s="1229">
        <v>44</v>
      </c>
      <c r="F193" s="32"/>
      <c r="G193" s="952"/>
      <c r="H193" s="952"/>
      <c r="I193" s="9"/>
      <c r="J193" s="1229"/>
      <c r="K193" s="9"/>
      <c r="L193" s="952"/>
      <c r="M193" s="32"/>
      <c r="N193" s="952"/>
      <c r="O193" s="952"/>
      <c r="P193" s="952"/>
      <c r="Q193" s="952"/>
      <c r="R193" s="32"/>
      <c r="S193" s="952"/>
      <c r="T193" s="35"/>
      <c r="U193" s="952"/>
      <c r="V193" s="952"/>
      <c r="W193" s="952"/>
      <c r="X193" s="952"/>
      <c r="Y193" s="952"/>
      <c r="Z193" s="952"/>
      <c r="AA193" s="32"/>
      <c r="AB193" s="952"/>
      <c r="AC193" s="952"/>
      <c r="AD193" s="952"/>
      <c r="AE193" s="952"/>
      <c r="AF193" s="952"/>
      <c r="AG193" s="950"/>
      <c r="AH193" s="41">
        <f t="shared" ref="AH193:AH195" si="59">SUM(C193:AG193)</f>
        <v>44</v>
      </c>
      <c r="AI193" s="7">
        <v>1409</v>
      </c>
      <c r="AJ193" s="57">
        <f t="shared" ref="AJ193:AJ195" si="60">AH193*AI193</f>
        <v>61996</v>
      </c>
      <c r="AK193" s="84"/>
      <c r="AL193" s="84"/>
      <c r="AM193" s="84"/>
      <c r="AN193" s="84"/>
      <c r="AO193" s="84"/>
      <c r="AP193" s="84"/>
      <c r="AQ193" s="84"/>
      <c r="AR193" s="84"/>
    </row>
    <row r="194" spans="1:44" s="10" customFormat="1" ht="18" customHeight="1">
      <c r="A194" s="7"/>
      <c r="B194" s="8" t="s">
        <v>118</v>
      </c>
      <c r="C194" s="32"/>
      <c r="D194" s="9"/>
      <c r="E194" s="1229"/>
      <c r="F194" s="32"/>
      <c r="G194" s="952"/>
      <c r="H194" s="952"/>
      <c r="I194" s="9"/>
      <c r="J194" s="1229">
        <v>56</v>
      </c>
      <c r="K194" s="9"/>
      <c r="L194" s="952"/>
      <c r="M194" s="32"/>
      <c r="N194" s="950"/>
      <c r="O194" s="952"/>
      <c r="P194" s="952"/>
      <c r="Q194" s="952"/>
      <c r="R194" s="32"/>
      <c r="S194" s="952"/>
      <c r="T194" s="35"/>
      <c r="U194" s="952"/>
      <c r="V194" s="952"/>
      <c r="W194" s="952"/>
      <c r="X194" s="952"/>
      <c r="Y194" s="952"/>
      <c r="Z194" s="952"/>
      <c r="AA194" s="32"/>
      <c r="AB194" s="952"/>
      <c r="AC194" s="952"/>
      <c r="AD194" s="952"/>
      <c r="AE194" s="953"/>
      <c r="AF194" s="952"/>
      <c r="AG194" s="950"/>
      <c r="AH194" s="41">
        <f t="shared" si="59"/>
        <v>56</v>
      </c>
      <c r="AI194" s="7">
        <v>1322</v>
      </c>
      <c r="AJ194" s="57">
        <f t="shared" si="60"/>
        <v>74032</v>
      </c>
      <c r="AK194" s="84"/>
      <c r="AL194" s="84"/>
      <c r="AM194" s="84"/>
      <c r="AN194" s="84"/>
      <c r="AO194" s="84"/>
      <c r="AP194" s="84"/>
      <c r="AQ194" s="84"/>
      <c r="AR194" s="84"/>
    </row>
    <row r="195" spans="1:44" s="10" customFormat="1" ht="18" customHeight="1">
      <c r="A195" s="7"/>
      <c r="B195" s="8" t="s">
        <v>396</v>
      </c>
      <c r="C195" s="32"/>
      <c r="D195" s="9"/>
      <c r="E195" s="1229"/>
      <c r="F195" s="32"/>
      <c r="G195" s="952"/>
      <c r="H195" s="952"/>
      <c r="I195" s="9"/>
      <c r="J195" s="1229"/>
      <c r="K195" s="9"/>
      <c r="L195" s="952"/>
      <c r="M195" s="32"/>
      <c r="N195" s="950"/>
      <c r="O195" s="952"/>
      <c r="P195" s="952"/>
      <c r="Q195" s="952"/>
      <c r="R195" s="32"/>
      <c r="S195" s="952"/>
      <c r="T195" s="35"/>
      <c r="U195" s="952"/>
      <c r="V195" s="952"/>
      <c r="W195" s="952"/>
      <c r="X195" s="952"/>
      <c r="Y195" s="952"/>
      <c r="Z195" s="952"/>
      <c r="AA195" s="32"/>
      <c r="AB195" s="952"/>
      <c r="AC195" s="952"/>
      <c r="AD195" s="952"/>
      <c r="AE195" s="952"/>
      <c r="AF195" s="952"/>
      <c r="AG195" s="950"/>
      <c r="AH195" s="41">
        <f t="shared" si="59"/>
        <v>0</v>
      </c>
      <c r="AI195" s="7">
        <v>1233</v>
      </c>
      <c r="AJ195" s="57">
        <f t="shared" si="60"/>
        <v>0</v>
      </c>
      <c r="AK195" s="84"/>
      <c r="AL195" s="84"/>
      <c r="AM195" s="84"/>
      <c r="AN195" s="84"/>
      <c r="AO195" s="84"/>
      <c r="AP195" s="84"/>
      <c r="AQ195" s="84"/>
      <c r="AR195" s="84"/>
    </row>
    <row r="196" spans="1:44" s="10" customFormat="1" ht="18" customHeight="1">
      <c r="A196" s="7"/>
      <c r="B196" s="8"/>
      <c r="C196" s="35"/>
      <c r="D196" s="9"/>
      <c r="E196" s="1229"/>
      <c r="F196" s="32"/>
      <c r="G196" s="952"/>
      <c r="H196" s="950"/>
      <c r="I196" s="9"/>
      <c r="J196" s="1229"/>
      <c r="K196" s="26"/>
      <c r="L196" s="950"/>
      <c r="M196" s="32"/>
      <c r="N196" s="950"/>
      <c r="O196" s="952"/>
      <c r="P196" s="952"/>
      <c r="Q196" s="952"/>
      <c r="R196" s="32"/>
      <c r="S196" s="952"/>
      <c r="T196" s="35"/>
      <c r="U196" s="952"/>
      <c r="V196" s="952"/>
      <c r="W196" s="952"/>
      <c r="X196" s="952"/>
      <c r="Y196" s="950"/>
      <c r="Z196" s="950"/>
      <c r="AA196" s="35"/>
      <c r="AB196" s="952"/>
      <c r="AC196" s="952"/>
      <c r="AD196" s="952"/>
      <c r="AE196" s="952"/>
      <c r="AF196" s="950"/>
      <c r="AG196" s="950"/>
      <c r="AH196" s="1292" t="s">
        <v>70</v>
      </c>
      <c r="AI196" s="1293"/>
      <c r="AJ196" s="121">
        <f>SUM(AJ193:AJ195)</f>
        <v>136028</v>
      </c>
      <c r="AK196" s="84"/>
      <c r="AL196" s="84"/>
      <c r="AM196" s="84"/>
      <c r="AN196" s="84"/>
      <c r="AO196" s="84"/>
      <c r="AP196" s="84"/>
      <c r="AQ196" s="84"/>
      <c r="AR196" s="84"/>
    </row>
    <row r="197" spans="1:44" ht="18" customHeight="1">
      <c r="A197" s="21"/>
      <c r="B197" s="4" t="s">
        <v>8</v>
      </c>
      <c r="C197" s="31"/>
      <c r="D197" s="5">
        <v>20</v>
      </c>
      <c r="E197" s="1228">
        <v>10</v>
      </c>
      <c r="F197" s="35"/>
      <c r="G197" s="710">
        <v>3</v>
      </c>
      <c r="H197" s="950"/>
      <c r="I197" s="5">
        <v>19</v>
      </c>
      <c r="J197" s="1228">
        <v>6</v>
      </c>
      <c r="K197" s="26">
        <v>12</v>
      </c>
      <c r="L197" s="950">
        <v>12</v>
      </c>
      <c r="M197" s="31"/>
      <c r="N197" s="950">
        <v>21</v>
      </c>
      <c r="O197" s="950">
        <v>7</v>
      </c>
      <c r="P197" s="950">
        <v>14</v>
      </c>
      <c r="Q197" s="950">
        <v>20</v>
      </c>
      <c r="R197" s="35"/>
      <c r="S197" s="950"/>
      <c r="T197" s="35"/>
      <c r="U197" s="950">
        <v>2</v>
      </c>
      <c r="V197" s="950">
        <v>8</v>
      </c>
      <c r="W197" s="950">
        <v>12</v>
      </c>
      <c r="X197" s="950">
        <v>9</v>
      </c>
      <c r="Y197" s="950"/>
      <c r="Z197" s="950">
        <v>4</v>
      </c>
      <c r="AA197" s="35"/>
      <c r="AB197" s="950">
        <v>1</v>
      </c>
      <c r="AC197" s="950"/>
      <c r="AD197" s="950">
        <v>1</v>
      </c>
      <c r="AE197" s="950">
        <v>2</v>
      </c>
      <c r="AF197" s="950">
        <v>4</v>
      </c>
      <c r="AG197" s="950">
        <v>6</v>
      </c>
      <c r="AH197" s="40">
        <f t="shared" ref="AH197" si="61">SUM(C197:AG197)</f>
        <v>193</v>
      </c>
      <c r="AI197" s="51">
        <v>1750</v>
      </c>
      <c r="AJ197" s="56">
        <f>AH197*AI197</f>
        <v>337750</v>
      </c>
      <c r="AK197" s="213"/>
      <c r="AL197" s="213"/>
      <c r="AM197" s="213"/>
      <c r="AN197" s="213"/>
      <c r="AO197" s="213"/>
      <c r="AP197" s="213"/>
      <c r="AQ197" s="213"/>
      <c r="AR197" s="213"/>
    </row>
    <row r="198" spans="1:44" s="16" customFormat="1" ht="18" customHeight="1">
      <c r="A198" s="17"/>
      <c r="B198" s="18" t="s">
        <v>9</v>
      </c>
      <c r="C198" s="35"/>
      <c r="D198" s="156"/>
      <c r="E198" s="1243"/>
      <c r="F198" s="33"/>
      <c r="G198" s="968"/>
      <c r="H198" s="968"/>
      <c r="I198" s="14"/>
      <c r="J198" s="1235"/>
      <c r="K198" s="36"/>
      <c r="L198" s="956">
        <f>134500/L191*L192-134500</f>
        <v>-97138.888888888891</v>
      </c>
      <c r="M198" s="33"/>
      <c r="N198" s="983"/>
      <c r="O198" s="956">
        <f>134500/O191*O192-134500</f>
        <v>-98633.333333333343</v>
      </c>
      <c r="P198" s="977"/>
      <c r="Q198" s="950"/>
      <c r="R198" s="33"/>
      <c r="S198" s="1005"/>
      <c r="T198" s="35"/>
      <c r="U198" s="968"/>
      <c r="V198" s="970"/>
      <c r="W198" s="968"/>
      <c r="X198" s="956">
        <f>134500/X191*X192-134500</f>
        <v>-82194.444444444438</v>
      </c>
      <c r="Y198" s="968"/>
      <c r="Z198" s="956">
        <f>134500/Z191*Z192-134500</f>
        <v>-115072.22222222222</v>
      </c>
      <c r="AA198" s="896"/>
      <c r="AB198" s="970"/>
      <c r="AC198" s="968"/>
      <c r="AD198" s="968"/>
      <c r="AE198" s="950"/>
      <c r="AF198" s="991"/>
      <c r="AG198" s="977"/>
      <c r="AH198" s="42">
        <f>SUM(C198:AG198)</f>
        <v>-393038.88888888888</v>
      </c>
      <c r="AI198" s="11"/>
      <c r="AJ198" s="58"/>
      <c r="AK198" s="754"/>
      <c r="AL198" s="754"/>
      <c r="AM198" s="754"/>
      <c r="AN198" s="754"/>
      <c r="AO198" s="754"/>
      <c r="AP198" s="754"/>
      <c r="AQ198" s="754"/>
      <c r="AR198" s="754"/>
    </row>
    <row r="199" spans="1:44" s="16" customFormat="1" ht="18" customHeight="1" thickBot="1">
      <c r="A199" s="116"/>
      <c r="B199" s="117"/>
      <c r="C199" s="1038"/>
      <c r="D199" s="162"/>
      <c r="E199" s="1244"/>
      <c r="F199" s="340"/>
      <c r="G199" s="999"/>
      <c r="H199" s="1000"/>
      <c r="I199" s="1217"/>
      <c r="J199" s="1269"/>
      <c r="K199" s="1218"/>
      <c r="L199" s="1000"/>
      <c r="M199" s="920"/>
      <c r="N199" s="1002"/>
      <c r="O199" s="1002"/>
      <c r="P199" s="1002"/>
      <c r="Q199" s="999"/>
      <c r="R199" s="1038"/>
      <c r="S199" s="1003"/>
      <c r="T199" s="1038"/>
      <c r="U199" s="1002"/>
      <c r="V199" s="1002"/>
      <c r="W199" s="1001"/>
      <c r="X199" s="1002"/>
      <c r="Y199" s="1003"/>
      <c r="Z199" s="1001"/>
      <c r="AA199" s="920"/>
      <c r="AB199" s="1002"/>
      <c r="AC199" s="1002"/>
      <c r="AD199" s="1000"/>
      <c r="AE199" s="1000"/>
      <c r="AF199" s="1004"/>
      <c r="AG199" s="1030"/>
      <c r="AH199" s="118"/>
      <c r="AI199" s="168"/>
      <c r="AJ199" s="119"/>
      <c r="AK199" s="788"/>
      <c r="AL199" s="788"/>
      <c r="AM199" s="788"/>
      <c r="AN199" s="788"/>
      <c r="AO199" s="788"/>
      <c r="AP199" s="788"/>
      <c r="AQ199" s="788"/>
      <c r="AR199" s="788"/>
    </row>
    <row r="200" spans="1:44" s="53" customFormat="1" ht="18" customHeight="1" thickBot="1">
      <c r="A200" s="64">
        <v>20</v>
      </c>
      <c r="B200" s="127" t="s">
        <v>395</v>
      </c>
      <c r="C200" s="647"/>
      <c r="D200" s="67">
        <v>1</v>
      </c>
      <c r="E200" s="1238">
        <v>1</v>
      </c>
      <c r="F200" s="68"/>
      <c r="G200" s="934">
        <v>1</v>
      </c>
      <c r="H200" s="933">
        <v>1</v>
      </c>
      <c r="I200" s="67">
        <v>1</v>
      </c>
      <c r="J200" s="1220">
        <v>1</v>
      </c>
      <c r="K200" s="66">
        <v>1</v>
      </c>
      <c r="L200" s="934">
        <v>1</v>
      </c>
      <c r="M200" s="647"/>
      <c r="N200" s="933">
        <v>1</v>
      </c>
      <c r="O200" s="933">
        <v>1</v>
      </c>
      <c r="P200" s="940">
        <v>1</v>
      </c>
      <c r="Q200" s="940">
        <v>1</v>
      </c>
      <c r="R200" s="68"/>
      <c r="S200" s="934">
        <v>1</v>
      </c>
      <c r="T200" s="68"/>
      <c r="U200" s="933">
        <v>1</v>
      </c>
      <c r="V200" s="933">
        <v>1</v>
      </c>
      <c r="W200" s="934">
        <v>1</v>
      </c>
      <c r="X200" s="945">
        <v>1</v>
      </c>
      <c r="Y200" s="933">
        <v>1</v>
      </c>
      <c r="Z200" s="934">
        <v>1</v>
      </c>
      <c r="AA200" s="68"/>
      <c r="AB200" s="934">
        <v>1</v>
      </c>
      <c r="AC200" s="933">
        <v>1</v>
      </c>
      <c r="AD200" s="933">
        <v>1</v>
      </c>
      <c r="AE200" s="940">
        <v>1</v>
      </c>
      <c r="AF200" s="933">
        <v>1</v>
      </c>
      <c r="AG200" s="933">
        <v>1</v>
      </c>
      <c r="AH200" s="87">
        <f>SUM(C200:AG200)</f>
        <v>25</v>
      </c>
      <c r="AI200" s="65"/>
      <c r="AJ200" s="74"/>
      <c r="AK200" s="215">
        <f>COUNTIF(C200:AG200,"CT")</f>
        <v>0</v>
      </c>
      <c r="AL200" s="215">
        <f>COUNTIF(C200:AG200,"CS")</f>
        <v>0</v>
      </c>
      <c r="AM200" s="215">
        <v>4</v>
      </c>
      <c r="AN200" s="215">
        <v>2</v>
      </c>
      <c r="AO200" s="215">
        <f>COUNTIF(C200:AG200,"CI")</f>
        <v>0</v>
      </c>
      <c r="AP200" s="316">
        <f>AH200+AK200+AL200+AM200+AN200+AO200</f>
        <v>31</v>
      </c>
      <c r="AQ200" s="215">
        <f>COUNTIF(C200:AG200,"CTH")</f>
        <v>0</v>
      </c>
      <c r="AR200" s="215">
        <f>COUNTIF(C200:AG200,"A")</f>
        <v>0</v>
      </c>
    </row>
    <row r="201" spans="1:44" s="53" customFormat="1" ht="18" customHeight="1">
      <c r="A201" s="61"/>
      <c r="B201" s="62" t="s">
        <v>27</v>
      </c>
      <c r="C201" s="181"/>
      <c r="D201" s="152" t="s">
        <v>404</v>
      </c>
      <c r="E201" s="1234" t="s">
        <v>405</v>
      </c>
      <c r="F201" s="108"/>
      <c r="G201" s="948" t="s">
        <v>405</v>
      </c>
      <c r="H201" s="947" t="s">
        <v>411</v>
      </c>
      <c r="I201" s="95" t="s">
        <v>412</v>
      </c>
      <c r="J201" s="1264" t="s">
        <v>405</v>
      </c>
      <c r="K201" s="1052" t="s">
        <v>413</v>
      </c>
      <c r="L201" s="947" t="s">
        <v>407</v>
      </c>
      <c r="M201" s="106"/>
      <c r="N201" s="947" t="s">
        <v>404</v>
      </c>
      <c r="O201" s="947" t="s">
        <v>415</v>
      </c>
      <c r="P201" s="947" t="s">
        <v>411</v>
      </c>
      <c r="Q201" s="947" t="s">
        <v>412</v>
      </c>
      <c r="R201" s="181"/>
      <c r="S201" s="946" t="s">
        <v>401</v>
      </c>
      <c r="T201" s="106"/>
      <c r="U201" s="947" t="s">
        <v>405</v>
      </c>
      <c r="V201" s="947" t="s">
        <v>413</v>
      </c>
      <c r="W201" s="947" t="s">
        <v>407</v>
      </c>
      <c r="X201" s="949" t="s">
        <v>404</v>
      </c>
      <c r="Y201" s="971" t="s">
        <v>411</v>
      </c>
      <c r="Z201" s="947" t="s">
        <v>401</v>
      </c>
      <c r="AA201" s="108"/>
      <c r="AB201" s="948" t="s">
        <v>401</v>
      </c>
      <c r="AC201" s="948" t="s">
        <v>603</v>
      </c>
      <c r="AD201" s="948" t="s">
        <v>603</v>
      </c>
      <c r="AE201" s="949" t="s">
        <v>405</v>
      </c>
      <c r="AF201" s="949" t="s">
        <v>413</v>
      </c>
      <c r="AG201" s="949" t="s">
        <v>407</v>
      </c>
      <c r="AH201" s="88"/>
      <c r="AI201" s="62"/>
      <c r="AJ201" s="63"/>
      <c r="AK201" s="346"/>
      <c r="AL201" s="346"/>
      <c r="AM201" s="346"/>
      <c r="AN201" s="346"/>
      <c r="AO201" s="346"/>
      <c r="AP201" s="346"/>
      <c r="AQ201" s="346"/>
      <c r="AR201" s="346"/>
    </row>
    <row r="202" spans="1:44" ht="18" customHeight="1">
      <c r="A202" s="21"/>
      <c r="B202" s="22" t="s">
        <v>6</v>
      </c>
      <c r="C202" s="35"/>
      <c r="D202" s="26">
        <v>90</v>
      </c>
      <c r="E202" s="1227">
        <v>103</v>
      </c>
      <c r="F202" s="35"/>
      <c r="G202" s="950">
        <v>103</v>
      </c>
      <c r="H202" s="950">
        <v>90</v>
      </c>
      <c r="I202" s="26">
        <v>90</v>
      </c>
      <c r="J202" s="1227">
        <v>103</v>
      </c>
      <c r="K202" s="26">
        <v>90</v>
      </c>
      <c r="L202" s="950">
        <v>90</v>
      </c>
      <c r="M202" s="35"/>
      <c r="N202" s="950">
        <v>90</v>
      </c>
      <c r="O202" s="950">
        <v>90</v>
      </c>
      <c r="P202" s="950">
        <v>90</v>
      </c>
      <c r="Q202" s="950">
        <v>90</v>
      </c>
      <c r="R202" s="35"/>
      <c r="S202" s="950">
        <v>103</v>
      </c>
      <c r="T202" s="35"/>
      <c r="U202" s="950">
        <v>103</v>
      </c>
      <c r="V202" s="950">
        <v>90</v>
      </c>
      <c r="W202" s="710">
        <v>90</v>
      </c>
      <c r="X202" s="950">
        <v>90</v>
      </c>
      <c r="Y202" s="710">
        <v>90</v>
      </c>
      <c r="Z202" s="710">
        <v>103</v>
      </c>
      <c r="AA202" s="31"/>
      <c r="AB202" s="710">
        <v>103</v>
      </c>
      <c r="AC202" s="710">
        <v>90</v>
      </c>
      <c r="AD202" s="710">
        <v>90</v>
      </c>
      <c r="AE202" s="950">
        <v>103</v>
      </c>
      <c r="AF202" s="950">
        <v>90</v>
      </c>
      <c r="AG202" s="950">
        <v>90</v>
      </c>
      <c r="AH202" s="40"/>
      <c r="AI202" s="3"/>
      <c r="AJ202" s="56"/>
      <c r="AK202" s="213"/>
      <c r="AL202" s="213"/>
      <c r="AM202" s="213"/>
      <c r="AN202" s="213"/>
      <c r="AO202" s="213"/>
      <c r="AP202" s="213"/>
      <c r="AQ202" s="213"/>
      <c r="AR202" s="213"/>
    </row>
    <row r="203" spans="1:44" ht="18" customHeight="1">
      <c r="A203" s="21"/>
      <c r="B203" s="22" t="s">
        <v>7</v>
      </c>
      <c r="C203" s="31"/>
      <c r="D203" s="5">
        <v>61</v>
      </c>
      <c r="E203" s="1228">
        <v>53</v>
      </c>
      <c r="F203" s="35"/>
      <c r="G203" s="710">
        <v>50</v>
      </c>
      <c r="H203" s="950">
        <v>39</v>
      </c>
      <c r="I203" s="5">
        <v>56</v>
      </c>
      <c r="J203" s="1228">
        <v>60</v>
      </c>
      <c r="K203" s="26">
        <v>41</v>
      </c>
      <c r="L203" s="950">
        <v>42</v>
      </c>
      <c r="M203" s="31"/>
      <c r="N203" s="950">
        <v>63</v>
      </c>
      <c r="O203" s="950">
        <v>57</v>
      </c>
      <c r="P203" s="710">
        <v>43</v>
      </c>
      <c r="Q203" s="710">
        <v>38</v>
      </c>
      <c r="R203" s="35"/>
      <c r="S203" s="950">
        <v>50</v>
      </c>
      <c r="T203" s="35"/>
      <c r="U203" s="710">
        <v>28</v>
      </c>
      <c r="V203" s="710">
        <v>38</v>
      </c>
      <c r="W203" s="950">
        <v>27</v>
      </c>
      <c r="X203" s="950">
        <v>26</v>
      </c>
      <c r="Y203" s="950">
        <v>27</v>
      </c>
      <c r="Z203" s="950">
        <v>21</v>
      </c>
      <c r="AA203" s="35"/>
      <c r="AB203" s="950">
        <v>15</v>
      </c>
      <c r="AC203" s="710">
        <v>20</v>
      </c>
      <c r="AD203" s="710">
        <v>17</v>
      </c>
      <c r="AE203" s="950">
        <v>40</v>
      </c>
      <c r="AF203" s="950">
        <v>35</v>
      </c>
      <c r="AG203" s="950">
        <v>33</v>
      </c>
      <c r="AH203" s="40">
        <f>SUM(C203:AG203)</f>
        <v>980</v>
      </c>
      <c r="AI203" s="7"/>
      <c r="AJ203" s="56"/>
      <c r="AK203" s="213"/>
      <c r="AL203" s="213"/>
      <c r="AM203" s="213"/>
      <c r="AN203" s="213"/>
      <c r="AO203" s="213"/>
      <c r="AP203" s="213"/>
      <c r="AQ203" s="213"/>
      <c r="AR203" s="213"/>
    </row>
    <row r="204" spans="1:44" s="10" customFormat="1" ht="18" customHeight="1">
      <c r="A204" s="7"/>
      <c r="B204" s="8" t="s">
        <v>99</v>
      </c>
      <c r="C204" s="32"/>
      <c r="D204" s="9"/>
      <c r="E204" s="1229"/>
      <c r="F204" s="32"/>
      <c r="G204" s="952"/>
      <c r="H204" s="952"/>
      <c r="I204" s="9"/>
      <c r="J204" s="1229"/>
      <c r="K204" s="9"/>
      <c r="L204" s="952"/>
      <c r="M204" s="32"/>
      <c r="N204" s="952"/>
      <c r="O204" s="952"/>
      <c r="P204" s="952"/>
      <c r="Q204" s="952"/>
      <c r="R204" s="32"/>
      <c r="S204" s="952"/>
      <c r="T204" s="35"/>
      <c r="U204" s="952"/>
      <c r="V204" s="952"/>
      <c r="W204" s="952"/>
      <c r="X204" s="952"/>
      <c r="Y204" s="952"/>
      <c r="Z204" s="952"/>
      <c r="AA204" s="32"/>
      <c r="AB204" s="952"/>
      <c r="AC204" s="952"/>
      <c r="AD204" s="952"/>
      <c r="AE204" s="952"/>
      <c r="AF204" s="952"/>
      <c r="AG204" s="950"/>
      <c r="AH204" s="41">
        <f t="shared" ref="AH204:AH206" si="62">SUM(C204:AG204)</f>
        <v>0</v>
      </c>
      <c r="AI204" s="7">
        <v>1409</v>
      </c>
      <c r="AJ204" s="57">
        <f t="shared" ref="AJ204:AJ206" si="63">AH204*AI204</f>
        <v>0</v>
      </c>
      <c r="AK204" s="84"/>
      <c r="AL204" s="84"/>
      <c r="AM204" s="84"/>
      <c r="AN204" s="84"/>
      <c r="AO204" s="84"/>
      <c r="AP204" s="84"/>
      <c r="AQ204" s="84"/>
      <c r="AR204" s="84"/>
    </row>
    <row r="205" spans="1:44" s="10" customFormat="1" ht="18" customHeight="1">
      <c r="A205" s="7"/>
      <c r="B205" s="8" t="s">
        <v>118</v>
      </c>
      <c r="C205" s="32"/>
      <c r="D205" s="9"/>
      <c r="E205" s="1229">
        <v>53</v>
      </c>
      <c r="F205" s="32"/>
      <c r="G205" s="952"/>
      <c r="H205" s="952"/>
      <c r="I205" s="9"/>
      <c r="J205" s="1229">
        <v>60</v>
      </c>
      <c r="K205" s="9"/>
      <c r="L205" s="952"/>
      <c r="M205" s="32"/>
      <c r="N205" s="950"/>
      <c r="O205" s="952"/>
      <c r="P205" s="952"/>
      <c r="Q205" s="952"/>
      <c r="R205" s="32"/>
      <c r="S205" s="952"/>
      <c r="T205" s="35"/>
      <c r="U205" s="952"/>
      <c r="V205" s="952"/>
      <c r="W205" s="952"/>
      <c r="X205" s="952"/>
      <c r="Y205" s="952"/>
      <c r="Z205" s="952"/>
      <c r="AA205" s="32"/>
      <c r="AB205" s="952"/>
      <c r="AC205" s="952"/>
      <c r="AD205" s="952"/>
      <c r="AE205" s="953"/>
      <c r="AF205" s="952"/>
      <c r="AG205" s="950"/>
      <c r="AH205" s="41">
        <f t="shared" si="62"/>
        <v>113</v>
      </c>
      <c r="AI205" s="7">
        <v>1322</v>
      </c>
      <c r="AJ205" s="57">
        <f t="shared" si="63"/>
        <v>149386</v>
      </c>
      <c r="AK205" s="84"/>
      <c r="AL205" s="84"/>
      <c r="AM205" s="84"/>
      <c r="AN205" s="84"/>
      <c r="AO205" s="84"/>
      <c r="AP205" s="84"/>
      <c r="AQ205" s="84"/>
      <c r="AR205" s="84"/>
    </row>
    <row r="206" spans="1:44" s="10" customFormat="1" ht="18" customHeight="1">
      <c r="A206" s="7"/>
      <c r="B206" s="8" t="s">
        <v>396</v>
      </c>
      <c r="C206" s="32"/>
      <c r="D206" s="9"/>
      <c r="E206" s="1229"/>
      <c r="F206" s="32"/>
      <c r="G206" s="952"/>
      <c r="H206" s="952"/>
      <c r="I206" s="9"/>
      <c r="J206" s="1229"/>
      <c r="K206" s="9"/>
      <c r="L206" s="952"/>
      <c r="M206" s="32"/>
      <c r="N206" s="950"/>
      <c r="O206" s="952"/>
      <c r="P206" s="952"/>
      <c r="Q206" s="952"/>
      <c r="R206" s="32"/>
      <c r="S206" s="952"/>
      <c r="T206" s="35"/>
      <c r="U206" s="952"/>
      <c r="V206" s="952"/>
      <c r="W206" s="952"/>
      <c r="X206" s="952"/>
      <c r="Y206" s="952"/>
      <c r="Z206" s="952"/>
      <c r="AA206" s="32"/>
      <c r="AB206" s="952"/>
      <c r="AC206" s="952"/>
      <c r="AD206" s="952"/>
      <c r="AE206" s="952"/>
      <c r="AF206" s="952"/>
      <c r="AG206" s="950"/>
      <c r="AH206" s="41">
        <f t="shared" si="62"/>
        <v>0</v>
      </c>
      <c r="AI206" s="7">
        <v>1233</v>
      </c>
      <c r="AJ206" s="57">
        <f t="shared" si="63"/>
        <v>0</v>
      </c>
      <c r="AK206" s="84"/>
      <c r="AL206" s="84"/>
      <c r="AM206" s="84"/>
      <c r="AN206" s="84"/>
      <c r="AO206" s="84"/>
      <c r="AP206" s="84"/>
      <c r="AQ206" s="84"/>
      <c r="AR206" s="84"/>
    </row>
    <row r="207" spans="1:44" s="10" customFormat="1" ht="18" customHeight="1">
      <c r="A207" s="7"/>
      <c r="B207" s="8"/>
      <c r="C207" s="35"/>
      <c r="D207" s="9"/>
      <c r="E207" s="1229"/>
      <c r="F207" s="32"/>
      <c r="G207" s="952"/>
      <c r="H207" s="950"/>
      <c r="I207" s="9"/>
      <c r="J207" s="1229"/>
      <c r="K207" s="26"/>
      <c r="L207" s="950"/>
      <c r="M207" s="32"/>
      <c r="N207" s="950"/>
      <c r="O207" s="952"/>
      <c r="P207" s="952"/>
      <c r="Q207" s="952"/>
      <c r="R207" s="32"/>
      <c r="S207" s="952"/>
      <c r="T207" s="35"/>
      <c r="U207" s="952"/>
      <c r="V207" s="952"/>
      <c r="W207" s="952"/>
      <c r="X207" s="952"/>
      <c r="Y207" s="950"/>
      <c r="Z207" s="950"/>
      <c r="AA207" s="35"/>
      <c r="AB207" s="952"/>
      <c r="AC207" s="952"/>
      <c r="AD207" s="952"/>
      <c r="AE207" s="952"/>
      <c r="AF207" s="950"/>
      <c r="AG207" s="950"/>
      <c r="AH207" s="1292" t="s">
        <v>70</v>
      </c>
      <c r="AI207" s="1293"/>
      <c r="AJ207" s="121">
        <f>SUM(AJ204:AJ206)</f>
        <v>149386</v>
      </c>
      <c r="AK207" s="84"/>
      <c r="AL207" s="84"/>
      <c r="AM207" s="84"/>
      <c r="AN207" s="84"/>
      <c r="AO207" s="84"/>
      <c r="AP207" s="84"/>
      <c r="AQ207" s="84"/>
      <c r="AR207" s="84"/>
    </row>
    <row r="208" spans="1:44" ht="18" customHeight="1">
      <c r="A208" s="21"/>
      <c r="B208" s="4" t="s">
        <v>8</v>
      </c>
      <c r="C208" s="31"/>
      <c r="D208" s="5">
        <v>16</v>
      </c>
      <c r="E208" s="1228">
        <v>15</v>
      </c>
      <c r="F208" s="35"/>
      <c r="G208" s="710">
        <v>6</v>
      </c>
      <c r="H208" s="950">
        <v>9</v>
      </c>
      <c r="I208" s="5">
        <v>27</v>
      </c>
      <c r="J208" s="1228">
        <v>12</v>
      </c>
      <c r="K208" s="26">
        <v>9</v>
      </c>
      <c r="L208" s="950">
        <v>20</v>
      </c>
      <c r="M208" s="31"/>
      <c r="N208" s="950">
        <v>48</v>
      </c>
      <c r="O208" s="950">
        <v>8</v>
      </c>
      <c r="P208" s="950">
        <v>18</v>
      </c>
      <c r="Q208" s="950">
        <v>15</v>
      </c>
      <c r="R208" s="35"/>
      <c r="S208" s="950">
        <v>5</v>
      </c>
      <c r="T208" s="35"/>
      <c r="U208" s="950">
        <v>2</v>
      </c>
      <c r="V208" s="950">
        <v>7</v>
      </c>
      <c r="W208" s="950">
        <v>2</v>
      </c>
      <c r="X208" s="950">
        <v>4</v>
      </c>
      <c r="Y208" s="950">
        <v>11</v>
      </c>
      <c r="Z208" s="950">
        <v>2</v>
      </c>
      <c r="AA208" s="35"/>
      <c r="AB208" s="950">
        <v>1</v>
      </c>
      <c r="AC208" s="950">
        <v>3</v>
      </c>
      <c r="AD208" s="950">
        <v>1</v>
      </c>
      <c r="AE208" s="950">
        <v>4</v>
      </c>
      <c r="AF208" s="950">
        <v>11</v>
      </c>
      <c r="AG208" s="950">
        <v>4</v>
      </c>
      <c r="AH208" s="40">
        <f t="shared" ref="AH208" si="64">SUM(C208:AG208)</f>
        <v>260</v>
      </c>
      <c r="AI208" s="51">
        <v>1750</v>
      </c>
      <c r="AJ208" s="56">
        <f>AH208*AI208</f>
        <v>455000</v>
      </c>
      <c r="AK208" s="213"/>
      <c r="AL208" s="213"/>
      <c r="AM208" s="213"/>
      <c r="AN208" s="213"/>
      <c r="AO208" s="213"/>
      <c r="AP208" s="213"/>
      <c r="AQ208" s="213"/>
      <c r="AR208" s="213"/>
    </row>
    <row r="209" spans="1:45" s="16" customFormat="1" ht="18" customHeight="1">
      <c r="A209" s="17"/>
      <c r="B209" s="18" t="s">
        <v>9</v>
      </c>
      <c r="C209" s="35"/>
      <c r="D209" s="156"/>
      <c r="E209" s="1243"/>
      <c r="F209" s="33"/>
      <c r="G209" s="968"/>
      <c r="H209" s="968"/>
      <c r="I209" s="14"/>
      <c r="J209" s="1235"/>
      <c r="K209" s="36"/>
      <c r="L209" s="998"/>
      <c r="M209" s="33"/>
      <c r="N209" s="983"/>
      <c r="O209" s="982"/>
      <c r="P209" s="977"/>
      <c r="Q209" s="977"/>
      <c r="R209" s="33"/>
      <c r="S209" s="968"/>
      <c r="T209" s="35"/>
      <c r="U209" s="968"/>
      <c r="V209" s="970"/>
      <c r="W209" s="968"/>
      <c r="X209" s="968"/>
      <c r="Y209" s="968"/>
      <c r="Z209" s="968"/>
      <c r="AA209" s="896"/>
      <c r="AB209" s="956">
        <f>134500/AB202*AB203-134500</f>
        <v>-114912.6213592233</v>
      </c>
      <c r="AC209" s="968"/>
      <c r="AD209" s="968"/>
      <c r="AE209" s="1005"/>
      <c r="AF209" s="991"/>
      <c r="AG209" s="977"/>
      <c r="AH209" s="42">
        <f>SUM(C209:AG209)</f>
        <v>-114912.6213592233</v>
      </c>
      <c r="AI209" s="11"/>
      <c r="AJ209" s="58"/>
      <c r="AK209" s="754"/>
      <c r="AL209" s="754"/>
      <c r="AM209" s="754"/>
      <c r="AN209" s="754"/>
      <c r="AO209" s="754"/>
      <c r="AP209" s="754"/>
      <c r="AQ209" s="754"/>
      <c r="AR209" s="754"/>
    </row>
    <row r="210" spans="1:45" s="16" customFormat="1" ht="18" customHeight="1" thickBot="1">
      <c r="A210" s="116"/>
      <c r="B210" s="117"/>
      <c r="C210" s="1038"/>
      <c r="D210" s="162"/>
      <c r="E210" s="1244"/>
      <c r="F210" s="1054"/>
      <c r="G210" s="1000"/>
      <c r="H210" s="1000"/>
      <c r="I210" s="1217"/>
      <c r="J210" s="1269"/>
      <c r="K210" s="1218"/>
      <c r="L210" s="1055"/>
      <c r="M210" s="1054"/>
      <c r="N210" s="1056"/>
      <c r="O210" s="1057"/>
      <c r="P210" s="1030"/>
      <c r="Q210" s="1030"/>
      <c r="R210" s="1054"/>
      <c r="S210" s="1000"/>
      <c r="T210" s="1038"/>
      <c r="U210" s="1000"/>
      <c r="V210" s="1058"/>
      <c r="W210" s="1000"/>
      <c r="X210" s="1000"/>
      <c r="Y210" s="1000"/>
      <c r="Z210" s="1000"/>
      <c r="AA210" s="1059"/>
      <c r="AB210" s="1058"/>
      <c r="AC210" s="1000"/>
      <c r="AD210" s="1000"/>
      <c r="AE210" s="1060"/>
      <c r="AF210" s="1004"/>
      <c r="AG210" s="1030"/>
      <c r="AH210" s="118"/>
      <c r="AI210" s="1061"/>
      <c r="AJ210" s="119"/>
      <c r="AK210" s="1062"/>
      <c r="AL210" s="1062"/>
      <c r="AM210" s="1062"/>
      <c r="AN210" s="1062"/>
      <c r="AO210" s="1062"/>
      <c r="AP210" s="1062"/>
      <c r="AQ210" s="1062"/>
      <c r="AR210" s="1062"/>
    </row>
    <row r="211" spans="1:45" s="53" customFormat="1" ht="18" customHeight="1" thickBot="1">
      <c r="A211" s="64">
        <v>21</v>
      </c>
      <c r="B211" s="127" t="s">
        <v>414</v>
      </c>
      <c r="C211" s="647"/>
      <c r="D211" s="67"/>
      <c r="E211" s="1238"/>
      <c r="F211" s="68"/>
      <c r="G211" s="934"/>
      <c r="H211" s="933"/>
      <c r="I211" s="67"/>
      <c r="J211" s="1220"/>
      <c r="K211" s="66"/>
      <c r="L211" s="934">
        <v>1</v>
      </c>
      <c r="M211" s="647"/>
      <c r="N211" s="933">
        <v>1</v>
      </c>
      <c r="O211" s="933">
        <v>1</v>
      </c>
      <c r="P211" s="940">
        <v>1</v>
      </c>
      <c r="Q211" s="940">
        <v>1</v>
      </c>
      <c r="R211" s="68"/>
      <c r="S211" s="934">
        <v>1</v>
      </c>
      <c r="T211" s="68"/>
      <c r="U211" s="933">
        <v>1</v>
      </c>
      <c r="V211" s="933">
        <v>1</v>
      </c>
      <c r="W211" s="934">
        <v>1</v>
      </c>
      <c r="X211" s="945">
        <v>1</v>
      </c>
      <c r="Y211" s="933">
        <v>1</v>
      </c>
      <c r="Z211" s="934">
        <v>1</v>
      </c>
      <c r="AA211" s="68"/>
      <c r="AB211" s="934">
        <v>1</v>
      </c>
      <c r="AC211" s="933">
        <v>1</v>
      </c>
      <c r="AD211" s="933">
        <v>1</v>
      </c>
      <c r="AE211" s="940">
        <v>1</v>
      </c>
      <c r="AF211" s="933">
        <v>1</v>
      </c>
      <c r="AG211" s="933">
        <v>1</v>
      </c>
      <c r="AH211" s="87">
        <f>SUM(C211:AG211)</f>
        <v>18</v>
      </c>
      <c r="AI211" s="65"/>
      <c r="AJ211" s="74"/>
      <c r="AK211" s="215">
        <f>COUNTIF(C211:AG211,"CT")</f>
        <v>0</v>
      </c>
      <c r="AL211" s="215">
        <f>COUNTIF(C211:AG211,"CS")</f>
        <v>0</v>
      </c>
      <c r="AM211" s="215">
        <v>3</v>
      </c>
      <c r="AN211" s="215">
        <v>2</v>
      </c>
      <c r="AO211" s="215">
        <f>COUNTIF(C211:AG211,"CI")</f>
        <v>0</v>
      </c>
      <c r="AP211" s="316">
        <f>AH211+AK211+AL211+AM211+AN211+AO211</f>
        <v>23</v>
      </c>
      <c r="AQ211" s="215">
        <f>COUNTIF(C211:AG211,"CTH")</f>
        <v>0</v>
      </c>
      <c r="AR211" s="215">
        <f>COUNTIF(C211:AG211,"A")</f>
        <v>0</v>
      </c>
    </row>
    <row r="212" spans="1:45" s="53" customFormat="1" ht="18" customHeight="1">
      <c r="A212" s="61"/>
      <c r="B212" s="62" t="s">
        <v>27</v>
      </c>
      <c r="C212" s="181"/>
      <c r="D212" s="152"/>
      <c r="E212" s="1234"/>
      <c r="F212" s="108"/>
      <c r="G212" s="948"/>
      <c r="H212" s="947"/>
      <c r="I212" s="95"/>
      <c r="J212" s="1264"/>
      <c r="K212" s="1052"/>
      <c r="L212" s="947" t="s">
        <v>407</v>
      </c>
      <c r="M212" s="106"/>
      <c r="N212" s="947" t="s">
        <v>411</v>
      </c>
      <c r="O212" s="947" t="s">
        <v>415</v>
      </c>
      <c r="P212" s="947" t="s">
        <v>411</v>
      </c>
      <c r="Q212" s="947" t="s">
        <v>411</v>
      </c>
      <c r="R212" s="181"/>
      <c r="S212" s="946" t="s">
        <v>401</v>
      </c>
      <c r="T212" s="106"/>
      <c r="U212" s="947" t="s">
        <v>405</v>
      </c>
      <c r="V212" s="947" t="s">
        <v>413</v>
      </c>
      <c r="W212" s="947" t="s">
        <v>407</v>
      </c>
      <c r="X212" s="949" t="s">
        <v>407</v>
      </c>
      <c r="Y212" s="971" t="s">
        <v>411</v>
      </c>
      <c r="Z212" s="947" t="s">
        <v>411</v>
      </c>
      <c r="AA212" s="108"/>
      <c r="AB212" s="948" t="s">
        <v>401</v>
      </c>
      <c r="AC212" s="948" t="s">
        <v>603</v>
      </c>
      <c r="AD212" s="948" t="s">
        <v>401</v>
      </c>
      <c r="AE212" s="949" t="s">
        <v>405</v>
      </c>
      <c r="AF212" s="949" t="s">
        <v>413</v>
      </c>
      <c r="AG212" s="949" t="s">
        <v>407</v>
      </c>
      <c r="AH212" s="88"/>
      <c r="AI212" s="62"/>
      <c r="AJ212" s="63"/>
      <c r="AK212" s="346"/>
      <c r="AL212" s="346"/>
      <c r="AM212" s="346"/>
      <c r="AN212" s="346"/>
      <c r="AO212" s="346"/>
      <c r="AP212" s="346"/>
      <c r="AQ212" s="346"/>
      <c r="AR212" s="346"/>
    </row>
    <row r="213" spans="1:45" ht="18" customHeight="1">
      <c r="A213" s="21"/>
      <c r="B213" s="22" t="s">
        <v>6</v>
      </c>
      <c r="C213" s="35"/>
      <c r="D213" s="26"/>
      <c r="E213" s="1227"/>
      <c r="F213" s="35"/>
      <c r="G213" s="950"/>
      <c r="H213" s="950"/>
      <c r="I213" s="26"/>
      <c r="J213" s="1227"/>
      <c r="K213" s="26"/>
      <c r="L213" s="950">
        <v>90</v>
      </c>
      <c r="M213" s="35"/>
      <c r="N213" s="950">
        <v>90</v>
      </c>
      <c r="O213" s="950">
        <v>90</v>
      </c>
      <c r="P213" s="950">
        <v>90</v>
      </c>
      <c r="Q213" s="950">
        <v>90</v>
      </c>
      <c r="R213" s="35"/>
      <c r="S213" s="950">
        <v>103</v>
      </c>
      <c r="T213" s="35"/>
      <c r="U213" s="950">
        <v>103</v>
      </c>
      <c r="V213" s="950">
        <v>90</v>
      </c>
      <c r="W213" s="710">
        <v>90</v>
      </c>
      <c r="X213" s="950">
        <v>90</v>
      </c>
      <c r="Y213" s="710">
        <v>90</v>
      </c>
      <c r="Z213" s="710">
        <v>90</v>
      </c>
      <c r="AA213" s="31"/>
      <c r="AB213" s="710">
        <v>103</v>
      </c>
      <c r="AC213" s="710">
        <v>90</v>
      </c>
      <c r="AD213" s="710">
        <v>103</v>
      </c>
      <c r="AE213" s="950">
        <v>103</v>
      </c>
      <c r="AF213" s="950">
        <v>90</v>
      </c>
      <c r="AG213" s="950">
        <v>90</v>
      </c>
      <c r="AH213" s="40"/>
      <c r="AI213" s="3"/>
      <c r="AJ213" s="56"/>
      <c r="AK213" s="213"/>
      <c r="AL213" s="213"/>
      <c r="AM213" s="213"/>
      <c r="AN213" s="213"/>
      <c r="AO213" s="213"/>
      <c r="AP213" s="213"/>
      <c r="AQ213" s="213"/>
      <c r="AR213" s="213"/>
    </row>
    <row r="214" spans="1:45" ht="18" customHeight="1">
      <c r="A214" s="21"/>
      <c r="B214" s="22" t="s">
        <v>7</v>
      </c>
      <c r="C214" s="31"/>
      <c r="D214" s="5"/>
      <c r="E214" s="1228"/>
      <c r="F214" s="35"/>
      <c r="G214" s="710"/>
      <c r="H214" s="950"/>
      <c r="I214" s="5"/>
      <c r="J214" s="1228"/>
      <c r="K214" s="26"/>
      <c r="L214" s="950">
        <v>28</v>
      </c>
      <c r="M214" s="31"/>
      <c r="N214" s="950">
        <v>74</v>
      </c>
      <c r="O214" s="950">
        <v>27</v>
      </c>
      <c r="P214" s="710">
        <v>69</v>
      </c>
      <c r="Q214" s="710">
        <v>20</v>
      </c>
      <c r="R214" s="35"/>
      <c r="S214" s="950">
        <v>88</v>
      </c>
      <c r="T214" s="35"/>
      <c r="U214" s="710">
        <v>40</v>
      </c>
      <c r="V214" s="710">
        <v>31</v>
      </c>
      <c r="W214" s="950">
        <v>64</v>
      </c>
      <c r="X214" s="950">
        <v>30</v>
      </c>
      <c r="Y214" s="950">
        <v>35</v>
      </c>
      <c r="Z214" s="950">
        <v>10</v>
      </c>
      <c r="AA214" s="35"/>
      <c r="AB214" s="950">
        <v>71</v>
      </c>
      <c r="AC214" s="710">
        <v>20</v>
      </c>
      <c r="AD214" s="710">
        <v>28</v>
      </c>
      <c r="AE214" s="950">
        <v>22</v>
      </c>
      <c r="AF214" s="950">
        <v>35</v>
      </c>
      <c r="AG214" s="950">
        <v>59</v>
      </c>
      <c r="AH214" s="40">
        <f>SUM(C214:AG214)</f>
        <v>751</v>
      </c>
      <c r="AI214" s="7"/>
      <c r="AJ214" s="56"/>
      <c r="AK214" s="213"/>
      <c r="AL214" s="213"/>
      <c r="AM214" s="213"/>
      <c r="AN214" s="213"/>
      <c r="AO214" s="213"/>
      <c r="AP214" s="213"/>
      <c r="AQ214" s="213"/>
      <c r="AR214" s="213"/>
    </row>
    <row r="215" spans="1:45" s="10" customFormat="1" ht="18" customHeight="1">
      <c r="A215" s="7"/>
      <c r="B215" s="8" t="s">
        <v>99</v>
      </c>
      <c r="C215" s="32"/>
      <c r="D215" s="9"/>
      <c r="E215" s="1229"/>
      <c r="F215" s="32"/>
      <c r="G215" s="952"/>
      <c r="H215" s="952"/>
      <c r="I215" s="9"/>
      <c r="J215" s="1229"/>
      <c r="K215" s="9"/>
      <c r="L215" s="952"/>
      <c r="M215" s="32"/>
      <c r="N215" s="952"/>
      <c r="O215" s="952"/>
      <c r="P215" s="952"/>
      <c r="Q215" s="952"/>
      <c r="R215" s="32"/>
      <c r="S215" s="952"/>
      <c r="T215" s="35"/>
      <c r="U215" s="952"/>
      <c r="V215" s="952"/>
      <c r="W215" s="952"/>
      <c r="X215" s="952"/>
      <c r="Y215" s="952"/>
      <c r="Z215" s="952"/>
      <c r="AA215" s="32"/>
      <c r="AB215" s="952"/>
      <c r="AC215" s="952"/>
      <c r="AD215" s="952"/>
      <c r="AE215" s="952"/>
      <c r="AF215" s="952"/>
      <c r="AG215" s="950"/>
      <c r="AH215" s="41">
        <f t="shared" ref="AH215:AH217" si="65">SUM(C215:AG215)</f>
        <v>0</v>
      </c>
      <c r="AI215" s="7">
        <v>1409</v>
      </c>
      <c r="AJ215" s="57">
        <f t="shared" ref="AJ215:AJ217" si="66">AH215*AI215</f>
        <v>0</v>
      </c>
      <c r="AK215" s="84"/>
      <c r="AL215" s="84"/>
      <c r="AM215" s="84"/>
      <c r="AN215" s="84"/>
      <c r="AO215" s="84"/>
      <c r="AP215" s="84"/>
      <c r="AQ215" s="84"/>
      <c r="AR215" s="84"/>
    </row>
    <row r="216" spans="1:45" s="10" customFormat="1" ht="18" customHeight="1">
      <c r="A216" s="7"/>
      <c r="B216" s="8" t="s">
        <v>118</v>
      </c>
      <c r="C216" s="32"/>
      <c r="D216" s="9"/>
      <c r="E216" s="1229"/>
      <c r="F216" s="32"/>
      <c r="G216" s="952"/>
      <c r="H216" s="952"/>
      <c r="I216" s="9"/>
      <c r="J216" s="1229"/>
      <c r="K216" s="9"/>
      <c r="L216" s="952"/>
      <c r="M216" s="32"/>
      <c r="N216" s="950"/>
      <c r="O216" s="952"/>
      <c r="P216" s="952"/>
      <c r="Q216" s="952"/>
      <c r="R216" s="32"/>
      <c r="S216" s="952"/>
      <c r="T216" s="35"/>
      <c r="U216" s="952"/>
      <c r="V216" s="952"/>
      <c r="W216" s="952"/>
      <c r="X216" s="952"/>
      <c r="Y216" s="952"/>
      <c r="Z216" s="952"/>
      <c r="AA216" s="32"/>
      <c r="AB216" s="952"/>
      <c r="AC216" s="952"/>
      <c r="AD216" s="952"/>
      <c r="AE216" s="953"/>
      <c r="AF216" s="952"/>
      <c r="AG216" s="950"/>
      <c r="AH216" s="41">
        <f t="shared" si="65"/>
        <v>0</v>
      </c>
      <c r="AI216" s="7">
        <v>1322</v>
      </c>
      <c r="AJ216" s="57">
        <f t="shared" si="66"/>
        <v>0</v>
      </c>
      <c r="AK216" s="84"/>
      <c r="AL216" s="84"/>
      <c r="AM216" s="84"/>
      <c r="AN216" s="84"/>
      <c r="AO216" s="84"/>
      <c r="AP216" s="84"/>
      <c r="AQ216" s="84"/>
      <c r="AR216" s="84"/>
    </row>
    <row r="217" spans="1:45" s="10" customFormat="1" ht="18" customHeight="1">
      <c r="A217" s="7"/>
      <c r="B217" s="8" t="s">
        <v>396</v>
      </c>
      <c r="C217" s="32"/>
      <c r="D217" s="9"/>
      <c r="E217" s="1229"/>
      <c r="F217" s="32"/>
      <c r="G217" s="952"/>
      <c r="H217" s="952"/>
      <c r="I217" s="9"/>
      <c r="J217" s="1229"/>
      <c r="K217" s="9"/>
      <c r="L217" s="952"/>
      <c r="M217" s="32"/>
      <c r="N217" s="950"/>
      <c r="O217" s="952"/>
      <c r="P217" s="952"/>
      <c r="Q217" s="952"/>
      <c r="R217" s="32"/>
      <c r="S217" s="952"/>
      <c r="T217" s="35"/>
      <c r="U217" s="952"/>
      <c r="V217" s="952"/>
      <c r="W217" s="952"/>
      <c r="X217" s="952"/>
      <c r="Y217" s="952"/>
      <c r="Z217" s="952"/>
      <c r="AA217" s="32"/>
      <c r="AB217" s="952"/>
      <c r="AC217" s="952"/>
      <c r="AD217" s="952"/>
      <c r="AE217" s="952"/>
      <c r="AF217" s="952"/>
      <c r="AG217" s="950"/>
      <c r="AH217" s="41">
        <f t="shared" si="65"/>
        <v>0</v>
      </c>
      <c r="AI217" s="7">
        <v>1233</v>
      </c>
      <c r="AJ217" s="57">
        <f t="shared" si="66"/>
        <v>0</v>
      </c>
      <c r="AK217" s="84"/>
      <c r="AL217" s="84"/>
      <c r="AM217" s="84"/>
      <c r="AN217" s="84"/>
      <c r="AO217" s="84"/>
      <c r="AP217" s="84"/>
      <c r="AQ217" s="84"/>
      <c r="AR217" s="84"/>
    </row>
    <row r="218" spans="1:45" s="10" customFormat="1" ht="18" customHeight="1">
      <c r="A218" s="7"/>
      <c r="B218" s="8"/>
      <c r="C218" s="35"/>
      <c r="D218" s="9"/>
      <c r="E218" s="1229"/>
      <c r="F218" s="32"/>
      <c r="G218" s="952"/>
      <c r="H218" s="950"/>
      <c r="I218" s="9"/>
      <c r="J218" s="1229"/>
      <c r="K218" s="26"/>
      <c r="L218" s="950"/>
      <c r="M218" s="32"/>
      <c r="N218" s="950"/>
      <c r="O218" s="952"/>
      <c r="P218" s="952"/>
      <c r="Q218" s="952"/>
      <c r="R218" s="32"/>
      <c r="S218" s="952"/>
      <c r="T218" s="35"/>
      <c r="U218" s="952"/>
      <c r="V218" s="952"/>
      <c r="W218" s="952"/>
      <c r="X218" s="952"/>
      <c r="Y218" s="950"/>
      <c r="Z218" s="950"/>
      <c r="AA218" s="35"/>
      <c r="AB218" s="952"/>
      <c r="AC218" s="952"/>
      <c r="AD218" s="952"/>
      <c r="AE218" s="952"/>
      <c r="AF218" s="950"/>
      <c r="AG218" s="950"/>
      <c r="AH218" s="1292" t="s">
        <v>70</v>
      </c>
      <c r="AI218" s="1293"/>
      <c r="AJ218" s="121">
        <f>SUM(AJ215:AJ217)</f>
        <v>0</v>
      </c>
      <c r="AK218" s="84"/>
      <c r="AL218" s="84"/>
      <c r="AM218" s="84"/>
      <c r="AN218" s="84"/>
      <c r="AO218" s="84"/>
      <c r="AP218" s="84"/>
      <c r="AQ218" s="84"/>
      <c r="AR218" s="84"/>
    </row>
    <row r="219" spans="1:45" ht="18" customHeight="1">
      <c r="A219" s="21"/>
      <c r="B219" s="4" t="s">
        <v>8</v>
      </c>
      <c r="C219" s="31"/>
      <c r="D219" s="5"/>
      <c r="E219" s="1228"/>
      <c r="F219" s="35"/>
      <c r="G219" s="710"/>
      <c r="H219" s="950"/>
      <c r="I219" s="5"/>
      <c r="J219" s="1228"/>
      <c r="K219" s="26"/>
      <c r="L219" s="950">
        <v>7</v>
      </c>
      <c r="M219" s="31"/>
      <c r="N219" s="950">
        <v>19</v>
      </c>
      <c r="O219" s="950">
        <v>4</v>
      </c>
      <c r="P219" s="950">
        <v>26</v>
      </c>
      <c r="Q219" s="950">
        <v>9</v>
      </c>
      <c r="R219" s="35"/>
      <c r="S219" s="950">
        <v>8</v>
      </c>
      <c r="T219" s="35"/>
      <c r="U219" s="950">
        <v>2</v>
      </c>
      <c r="V219" s="950">
        <v>2</v>
      </c>
      <c r="W219" s="950">
        <v>9</v>
      </c>
      <c r="X219" s="950">
        <v>3</v>
      </c>
      <c r="Y219" s="950">
        <v>16</v>
      </c>
      <c r="Z219" s="950">
        <v>3</v>
      </c>
      <c r="AA219" s="35"/>
      <c r="AB219" s="950">
        <v>6</v>
      </c>
      <c r="AC219" s="950">
        <v>4</v>
      </c>
      <c r="AD219" s="950">
        <v>1</v>
      </c>
      <c r="AE219" s="950">
        <v>2</v>
      </c>
      <c r="AF219" s="950">
        <v>3</v>
      </c>
      <c r="AG219" s="950">
        <v>12</v>
      </c>
      <c r="AH219" s="40">
        <f t="shared" ref="AH219" si="67">SUM(C219:AG219)</f>
        <v>136</v>
      </c>
      <c r="AI219" s="51">
        <v>1750</v>
      </c>
      <c r="AJ219" s="56">
        <f>AH219*AI219</f>
        <v>238000</v>
      </c>
      <c r="AK219" s="213"/>
      <c r="AL219" s="213"/>
      <c r="AM219" s="213"/>
      <c r="AN219" s="213"/>
      <c r="AO219" s="213"/>
      <c r="AP219" s="213"/>
      <c r="AQ219" s="213"/>
      <c r="AR219" s="213"/>
    </row>
    <row r="220" spans="1:45" s="16" customFormat="1" ht="18" customHeight="1" thickBot="1">
      <c r="A220" s="17"/>
      <c r="B220" s="18" t="s">
        <v>9</v>
      </c>
      <c r="C220" s="35"/>
      <c r="D220" s="156"/>
      <c r="E220" s="1243"/>
      <c r="F220" s="33"/>
      <c r="G220" s="968"/>
      <c r="H220" s="968"/>
      <c r="I220" s="14"/>
      <c r="J220" s="1235"/>
      <c r="K220" s="36"/>
      <c r="L220" s="998"/>
      <c r="M220" s="33"/>
      <c r="N220" s="983"/>
      <c r="O220" s="982"/>
      <c r="P220" s="977"/>
      <c r="Q220" s="977"/>
      <c r="R220" s="33"/>
      <c r="S220" s="968"/>
      <c r="T220" s="35"/>
      <c r="U220" s="968"/>
      <c r="V220" s="970"/>
      <c r="W220" s="968"/>
      <c r="X220" s="968"/>
      <c r="Y220" s="968"/>
      <c r="Z220" s="968"/>
      <c r="AA220" s="896"/>
      <c r="AB220" s="970"/>
      <c r="AC220" s="968"/>
      <c r="AD220" s="968"/>
      <c r="AE220" s="1005"/>
      <c r="AF220" s="991"/>
      <c r="AG220" s="977"/>
      <c r="AH220" s="42">
        <f>SUM(C220:AG220)</f>
        <v>0</v>
      </c>
      <c r="AI220" s="11"/>
      <c r="AJ220" s="58"/>
      <c r="AK220" s="754"/>
      <c r="AL220" s="754"/>
      <c r="AM220" s="754"/>
      <c r="AN220" s="754"/>
      <c r="AO220" s="754"/>
      <c r="AP220" s="754"/>
      <c r="AQ220" s="754"/>
      <c r="AR220" s="754"/>
    </row>
    <row r="221" spans="1:45" s="16" customFormat="1" ht="18" customHeight="1" thickBot="1">
      <c r="A221" s="78"/>
      <c r="B221" s="79" t="s">
        <v>26</v>
      </c>
      <c r="C221" s="109">
        <f>C5+C9+C13+C24+C35+C46+C57+C68+C79+C90+C101+C112+C123+C134+C145+C156+C167+C178+C189+C200+C211</f>
        <v>0</v>
      </c>
      <c r="D221" s="80" t="e">
        <f>D5+D9+D13+D24+D35+D46+D57+D68+D79+D90+D101+D112+D123+D134+D145+D156+D167+D178+D189+D200+D211</f>
        <v>#VALUE!</v>
      </c>
      <c r="E221" s="1245" t="e">
        <f t="shared" ref="E221:AH221" si="68">E5+E9+E13+E24+E35+E46+E57+E68+E79+E90+E101+E112+E123+E134+E145+E156+E167+E178+E189+E200+E211</f>
        <v>#VALUE!</v>
      </c>
      <c r="F221" s="109">
        <f t="shared" si="68"/>
        <v>0</v>
      </c>
      <c r="G221" s="80" t="e">
        <f t="shared" si="68"/>
        <v>#VALUE!</v>
      </c>
      <c r="H221" s="80" t="e">
        <f t="shared" si="68"/>
        <v>#VALUE!</v>
      </c>
      <c r="I221" s="80" t="e">
        <f t="shared" si="68"/>
        <v>#VALUE!</v>
      </c>
      <c r="J221" s="1245" t="e">
        <f t="shared" si="68"/>
        <v>#VALUE!</v>
      </c>
      <c r="K221" s="80" t="e">
        <f t="shared" si="68"/>
        <v>#VALUE!</v>
      </c>
      <c r="L221" s="80" t="e">
        <f t="shared" si="68"/>
        <v>#VALUE!</v>
      </c>
      <c r="M221" s="109">
        <f t="shared" si="68"/>
        <v>0</v>
      </c>
      <c r="N221" s="80" t="e">
        <f t="shared" si="68"/>
        <v>#VALUE!</v>
      </c>
      <c r="O221" s="80" t="e">
        <f t="shared" si="68"/>
        <v>#VALUE!</v>
      </c>
      <c r="P221" s="80" t="e">
        <f t="shared" si="68"/>
        <v>#VALUE!</v>
      </c>
      <c r="Q221" s="80" t="e">
        <f t="shared" si="68"/>
        <v>#VALUE!</v>
      </c>
      <c r="R221" s="109">
        <f t="shared" si="68"/>
        <v>0</v>
      </c>
      <c r="S221" s="80" t="e">
        <f t="shared" si="68"/>
        <v>#VALUE!</v>
      </c>
      <c r="T221" s="109">
        <f t="shared" si="68"/>
        <v>0</v>
      </c>
      <c r="U221" s="80" t="e">
        <f t="shared" si="68"/>
        <v>#VALUE!</v>
      </c>
      <c r="V221" s="80" t="e">
        <f t="shared" si="68"/>
        <v>#VALUE!</v>
      </c>
      <c r="W221" s="80" t="e">
        <f t="shared" si="68"/>
        <v>#VALUE!</v>
      </c>
      <c r="X221" s="80" t="e">
        <f t="shared" si="68"/>
        <v>#VALUE!</v>
      </c>
      <c r="Y221" s="80" t="e">
        <f t="shared" si="68"/>
        <v>#VALUE!</v>
      </c>
      <c r="Z221" s="80" t="e">
        <f t="shared" si="68"/>
        <v>#VALUE!</v>
      </c>
      <c r="AA221" s="109">
        <f t="shared" si="68"/>
        <v>0</v>
      </c>
      <c r="AB221" s="80">
        <f t="shared" si="68"/>
        <v>21</v>
      </c>
      <c r="AC221" s="80" t="e">
        <f t="shared" si="68"/>
        <v>#VALUE!</v>
      </c>
      <c r="AD221" s="80" t="e">
        <f t="shared" si="68"/>
        <v>#VALUE!</v>
      </c>
      <c r="AE221" s="80">
        <f t="shared" si="68"/>
        <v>21</v>
      </c>
      <c r="AF221" s="80" t="e">
        <f t="shared" si="68"/>
        <v>#VALUE!</v>
      </c>
      <c r="AG221" s="80" t="e">
        <f t="shared" si="68"/>
        <v>#VALUE!</v>
      </c>
      <c r="AH221" s="80">
        <f t="shared" si="68"/>
        <v>469</v>
      </c>
      <c r="AI221" s="80">
        <f t="shared" ref="AI221:AJ221" si="69">AI5+AI9+AI13+AI24+AI35+AI46+AI57+AI68+AI79+AI90+AI101+AI112+AI123+AI134+AI145+AI156+AI167+AI178+AI189+AI200</f>
        <v>0</v>
      </c>
      <c r="AJ221" s="80">
        <f t="shared" si="69"/>
        <v>0</v>
      </c>
      <c r="AK221" s="80">
        <f>AK5+AK9+AK13+AK24+AK35+AK46+AK57+AK68+AK79+AK90+AK101+AK112+AK123+AK134+AK145+AK156+AK167+AK178+AK189+AK200+AK211</f>
        <v>25</v>
      </c>
      <c r="AL221" s="80">
        <f t="shared" ref="AL221:AR221" si="70">AL5+AL9+AL13+AL24+AL35+AL46+AL57+AL68+AL79+AL90+AL101+AL112+AL123+AL134+AL145+AL156+AL167+AL178+AL189+AL200+AL211</f>
        <v>15</v>
      </c>
      <c r="AM221" s="80">
        <f t="shared" si="70"/>
        <v>83</v>
      </c>
      <c r="AN221" s="80">
        <f t="shared" si="70"/>
        <v>42</v>
      </c>
      <c r="AO221" s="80">
        <f t="shared" si="70"/>
        <v>0</v>
      </c>
      <c r="AP221" s="80">
        <f t="shared" si="70"/>
        <v>634</v>
      </c>
      <c r="AQ221" s="80">
        <f t="shared" si="70"/>
        <v>1</v>
      </c>
      <c r="AR221" s="80">
        <f t="shared" si="70"/>
        <v>8</v>
      </c>
      <c r="AS221" s="216"/>
    </row>
    <row r="222" spans="1:45" s="27" customFormat="1" ht="18" customHeight="1">
      <c r="A222" s="21"/>
      <c r="B222" s="19"/>
      <c r="C222" s="1031"/>
      <c r="D222" s="26"/>
      <c r="E222" s="1246"/>
      <c r="F222" s="31"/>
      <c r="G222" s="950"/>
      <c r="H222" s="710"/>
      <c r="I222" s="5"/>
      <c r="J222" s="1228"/>
      <c r="K222" s="26"/>
      <c r="L222" s="950"/>
      <c r="M222" s="31"/>
      <c r="N222" s="950"/>
      <c r="O222" s="950"/>
      <c r="P222" s="710"/>
      <c r="Q222" s="710"/>
      <c r="R222" s="35"/>
      <c r="S222" s="950"/>
      <c r="T222" s="35"/>
      <c r="U222" s="710"/>
      <c r="V222" s="710"/>
      <c r="W222" s="950"/>
      <c r="X222" s="950"/>
      <c r="Y222" s="991"/>
      <c r="Z222" s="950"/>
      <c r="AA222" s="35"/>
      <c r="AB222" s="950"/>
      <c r="AC222" s="710"/>
      <c r="AD222" s="710"/>
      <c r="AE222" s="950"/>
      <c r="AF222" s="950"/>
      <c r="AG222" s="950"/>
      <c r="AH222" s="39"/>
      <c r="AI222" s="21"/>
      <c r="AJ222" s="6"/>
      <c r="AK222" s="5"/>
      <c r="AL222" s="5"/>
      <c r="AM222" s="5"/>
      <c r="AN222" s="5"/>
      <c r="AO222" s="5"/>
      <c r="AP222" s="5"/>
      <c r="AQ222" s="5"/>
      <c r="AR222" s="5"/>
    </row>
    <row r="223" spans="1:45" s="48" customFormat="1" ht="18" customHeight="1">
      <c r="A223" s="46"/>
      <c r="B223" s="47" t="s">
        <v>7</v>
      </c>
      <c r="C223" s="208">
        <f>C16+C27+C38+C49+C60+C71+C82+C93+C104+C115+C126+C137+C148+C159+C170+C181+C192+C203+C214</f>
        <v>0</v>
      </c>
      <c r="D223" s="120">
        <f t="shared" ref="D223:AH226" si="71">D16+D27+D38+D49+D60+D71+D82+D93+D104+D115+D126+D137+D148+D159+D170+D181+D192+D203+D214</f>
        <v>1063</v>
      </c>
      <c r="E223" s="1247">
        <f t="shared" si="71"/>
        <v>1025</v>
      </c>
      <c r="F223" s="208">
        <f t="shared" si="71"/>
        <v>0</v>
      </c>
      <c r="G223" s="120">
        <f t="shared" si="71"/>
        <v>2077</v>
      </c>
      <c r="H223" s="120">
        <f t="shared" si="71"/>
        <v>925</v>
      </c>
      <c r="I223" s="120">
        <f t="shared" si="71"/>
        <v>982</v>
      </c>
      <c r="J223" s="1247">
        <f t="shared" si="71"/>
        <v>1088</v>
      </c>
      <c r="K223" s="120">
        <f t="shared" si="71"/>
        <v>792</v>
      </c>
      <c r="L223" s="120">
        <f t="shared" si="71"/>
        <v>641</v>
      </c>
      <c r="M223" s="208">
        <f t="shared" si="71"/>
        <v>0</v>
      </c>
      <c r="N223" s="120">
        <f t="shared" si="71"/>
        <v>1121</v>
      </c>
      <c r="O223" s="120">
        <f t="shared" si="71"/>
        <v>661</v>
      </c>
      <c r="P223" s="120">
        <f t="shared" si="71"/>
        <v>652</v>
      </c>
      <c r="Q223" s="120">
        <f t="shared" si="71"/>
        <v>753</v>
      </c>
      <c r="R223" s="208">
        <f t="shared" si="71"/>
        <v>0</v>
      </c>
      <c r="S223" s="120">
        <f t="shared" si="71"/>
        <v>1496</v>
      </c>
      <c r="T223" s="208">
        <f t="shared" si="71"/>
        <v>0</v>
      </c>
      <c r="U223" s="120">
        <f t="shared" si="71"/>
        <v>1094</v>
      </c>
      <c r="V223" s="120">
        <f t="shared" si="71"/>
        <v>679</v>
      </c>
      <c r="W223" s="120">
        <f t="shared" si="71"/>
        <v>669</v>
      </c>
      <c r="X223" s="120">
        <f t="shared" si="71"/>
        <v>539</v>
      </c>
      <c r="Y223" s="120">
        <f t="shared" si="71"/>
        <v>480</v>
      </c>
      <c r="Z223" s="120">
        <f t="shared" si="71"/>
        <v>494</v>
      </c>
      <c r="AA223" s="208">
        <f t="shared" si="71"/>
        <v>0</v>
      </c>
      <c r="AB223" s="120">
        <f t="shared" si="71"/>
        <v>1413</v>
      </c>
      <c r="AC223" s="120">
        <f t="shared" si="71"/>
        <v>334</v>
      </c>
      <c r="AD223" s="120">
        <f t="shared" si="71"/>
        <v>408</v>
      </c>
      <c r="AE223" s="120">
        <f t="shared" si="71"/>
        <v>649</v>
      </c>
      <c r="AF223" s="120">
        <f t="shared" si="71"/>
        <v>523</v>
      </c>
      <c r="AG223" s="120">
        <f t="shared" si="71"/>
        <v>545</v>
      </c>
      <c r="AH223" s="120">
        <f t="shared" si="71"/>
        <v>21103</v>
      </c>
      <c r="AI223" s="90"/>
      <c r="AJ223" s="90"/>
      <c r="AK223" s="91"/>
      <c r="AL223" s="91"/>
      <c r="AM223" s="91"/>
      <c r="AN223" s="91"/>
      <c r="AO223" s="91"/>
      <c r="AP223" s="91"/>
      <c r="AQ223" s="91"/>
      <c r="AR223" s="91"/>
    </row>
    <row r="224" spans="1:45" s="10" customFormat="1" ht="18" customHeight="1">
      <c r="A224" s="7"/>
      <c r="B224" s="8" t="s">
        <v>99</v>
      </c>
      <c r="C224" s="208">
        <f t="shared" ref="C224:R226" si="72">C17+C28+C39+C50+C61+C72+C83+C94+C105+C116+C127+C138+C149+C160+C171+C182+C193+C204+C215</f>
        <v>0</v>
      </c>
      <c r="D224" s="120">
        <f t="shared" si="72"/>
        <v>5</v>
      </c>
      <c r="E224" s="1247">
        <f t="shared" si="72"/>
        <v>313</v>
      </c>
      <c r="F224" s="208">
        <f t="shared" si="72"/>
        <v>0</v>
      </c>
      <c r="G224" s="120">
        <f t="shared" si="72"/>
        <v>0</v>
      </c>
      <c r="H224" s="120">
        <f t="shared" si="72"/>
        <v>0</v>
      </c>
      <c r="I224" s="120">
        <f t="shared" si="72"/>
        <v>0</v>
      </c>
      <c r="J224" s="1247">
        <f t="shared" si="72"/>
        <v>341</v>
      </c>
      <c r="K224" s="120">
        <f t="shared" si="72"/>
        <v>0</v>
      </c>
      <c r="L224" s="120">
        <f t="shared" si="72"/>
        <v>0</v>
      </c>
      <c r="M224" s="208">
        <f t="shared" si="72"/>
        <v>0</v>
      </c>
      <c r="N224" s="120">
        <f t="shared" si="72"/>
        <v>40</v>
      </c>
      <c r="O224" s="120">
        <f t="shared" si="72"/>
        <v>0</v>
      </c>
      <c r="P224" s="120">
        <f t="shared" si="72"/>
        <v>0</v>
      </c>
      <c r="Q224" s="120">
        <f t="shared" si="72"/>
        <v>0</v>
      </c>
      <c r="R224" s="208">
        <f t="shared" si="72"/>
        <v>0</v>
      </c>
      <c r="S224" s="120">
        <f t="shared" si="71"/>
        <v>0</v>
      </c>
      <c r="T224" s="208">
        <f t="shared" si="71"/>
        <v>0</v>
      </c>
      <c r="U224" s="120">
        <f t="shared" si="71"/>
        <v>0</v>
      </c>
      <c r="V224" s="120">
        <f t="shared" si="71"/>
        <v>0</v>
      </c>
      <c r="W224" s="120">
        <f t="shared" si="71"/>
        <v>0</v>
      </c>
      <c r="X224" s="120">
        <f t="shared" si="71"/>
        <v>0</v>
      </c>
      <c r="Y224" s="120">
        <f t="shared" si="71"/>
        <v>0</v>
      </c>
      <c r="Z224" s="120">
        <f t="shared" si="71"/>
        <v>0</v>
      </c>
      <c r="AA224" s="208">
        <f t="shared" si="71"/>
        <v>0</v>
      </c>
      <c r="AB224" s="120">
        <f t="shared" si="71"/>
        <v>0</v>
      </c>
      <c r="AC224" s="120">
        <f t="shared" si="71"/>
        <v>0</v>
      </c>
      <c r="AD224" s="120">
        <f t="shared" si="71"/>
        <v>0</v>
      </c>
      <c r="AE224" s="120">
        <f t="shared" si="71"/>
        <v>0</v>
      </c>
      <c r="AF224" s="120">
        <f t="shared" si="71"/>
        <v>0</v>
      </c>
      <c r="AG224" s="120">
        <f t="shared" si="71"/>
        <v>0</v>
      </c>
      <c r="AH224" s="41">
        <f t="shared" ref="AH224:AH226" si="73">SUM(C224:AG224)</f>
        <v>699</v>
      </c>
      <c r="AI224" s="7">
        <v>1409</v>
      </c>
      <c r="AJ224" s="120">
        <f>AJ17+AJ28+AJ39+AJ50+AJ61+AJ72+AJ83+AJ94+AJ105+AJ116+AJ127+AJ138+AJ149+AJ160+AJ171+AJ182+AJ193+AJ204</f>
        <v>984891</v>
      </c>
      <c r="AK224" s="84"/>
      <c r="AL224" s="84"/>
      <c r="AM224" s="84"/>
      <c r="AN224" s="84"/>
      <c r="AO224" s="84"/>
      <c r="AP224" s="84"/>
      <c r="AQ224" s="84"/>
      <c r="AR224" s="84"/>
    </row>
    <row r="225" spans="1:44" s="10" customFormat="1" ht="18" customHeight="1">
      <c r="A225" s="7"/>
      <c r="B225" s="8" t="s">
        <v>118</v>
      </c>
      <c r="C225" s="208">
        <f t="shared" si="72"/>
        <v>0</v>
      </c>
      <c r="D225" s="120">
        <f t="shared" si="72"/>
        <v>0</v>
      </c>
      <c r="E225" s="1247">
        <f t="shared" si="72"/>
        <v>712</v>
      </c>
      <c r="F225" s="208">
        <f t="shared" si="72"/>
        <v>0</v>
      </c>
      <c r="G225" s="120">
        <f t="shared" si="72"/>
        <v>951</v>
      </c>
      <c r="H225" s="120">
        <f t="shared" si="72"/>
        <v>120</v>
      </c>
      <c r="I225" s="120">
        <f t="shared" si="72"/>
        <v>0</v>
      </c>
      <c r="J225" s="1247">
        <f t="shared" si="72"/>
        <v>747</v>
      </c>
      <c r="K225" s="120">
        <f t="shared" si="72"/>
        <v>0</v>
      </c>
      <c r="L225" s="120">
        <f t="shared" si="72"/>
        <v>0</v>
      </c>
      <c r="M225" s="208">
        <f t="shared" si="72"/>
        <v>0</v>
      </c>
      <c r="N225" s="120">
        <f t="shared" si="72"/>
        <v>0</v>
      </c>
      <c r="O225" s="120">
        <f t="shared" si="72"/>
        <v>0</v>
      </c>
      <c r="P225" s="120">
        <f t="shared" si="72"/>
        <v>0</v>
      </c>
      <c r="Q225" s="120">
        <f t="shared" si="72"/>
        <v>0</v>
      </c>
      <c r="R225" s="208">
        <f t="shared" si="72"/>
        <v>0</v>
      </c>
      <c r="S225" s="120">
        <f t="shared" si="71"/>
        <v>435</v>
      </c>
      <c r="T225" s="208">
        <f t="shared" si="71"/>
        <v>0</v>
      </c>
      <c r="U225" s="120">
        <f t="shared" si="71"/>
        <v>191</v>
      </c>
      <c r="V225" s="120">
        <f t="shared" si="71"/>
        <v>0</v>
      </c>
      <c r="W225" s="120">
        <f t="shared" si="71"/>
        <v>0</v>
      </c>
      <c r="X225" s="120">
        <f t="shared" si="71"/>
        <v>0</v>
      </c>
      <c r="Y225" s="120">
        <f t="shared" si="71"/>
        <v>0</v>
      </c>
      <c r="Z225" s="120">
        <f t="shared" si="71"/>
        <v>0</v>
      </c>
      <c r="AA225" s="208">
        <f t="shared" si="71"/>
        <v>0</v>
      </c>
      <c r="AB225" s="120">
        <f t="shared" si="71"/>
        <v>439</v>
      </c>
      <c r="AC225" s="120">
        <f t="shared" si="71"/>
        <v>0</v>
      </c>
      <c r="AD225" s="120">
        <f t="shared" si="71"/>
        <v>0</v>
      </c>
      <c r="AE225" s="120">
        <f t="shared" si="71"/>
        <v>0</v>
      </c>
      <c r="AF225" s="120">
        <f t="shared" si="71"/>
        <v>0</v>
      </c>
      <c r="AG225" s="120">
        <f t="shared" si="71"/>
        <v>0</v>
      </c>
      <c r="AH225" s="41">
        <f t="shared" si="73"/>
        <v>3595</v>
      </c>
      <c r="AI225" s="7">
        <v>1322</v>
      </c>
      <c r="AJ225" s="120">
        <f>AJ18+AJ29+AJ40+AJ51+AJ62+AJ73+AJ84+AJ95+AJ106+AJ117+AJ128+AJ139+AJ150+AJ161+AJ172+AJ183+AJ194+AJ205</f>
        <v>4752590</v>
      </c>
      <c r="AK225" s="84"/>
      <c r="AL225" s="84"/>
      <c r="AM225" s="84"/>
      <c r="AN225" s="84"/>
      <c r="AO225" s="84"/>
      <c r="AP225" s="84"/>
      <c r="AQ225" s="84"/>
      <c r="AR225" s="84"/>
    </row>
    <row r="226" spans="1:44" s="10" customFormat="1" ht="18" customHeight="1">
      <c r="A226" s="7"/>
      <c r="B226" s="8" t="s">
        <v>396</v>
      </c>
      <c r="C226" s="208">
        <f t="shared" si="72"/>
        <v>0</v>
      </c>
      <c r="D226" s="120">
        <f t="shared" si="72"/>
        <v>0</v>
      </c>
      <c r="E226" s="1247">
        <f t="shared" si="72"/>
        <v>0</v>
      </c>
      <c r="F226" s="208">
        <f t="shared" si="72"/>
        <v>0</v>
      </c>
      <c r="G226" s="120">
        <f t="shared" si="72"/>
        <v>0</v>
      </c>
      <c r="H226" s="120">
        <f t="shared" si="72"/>
        <v>0</v>
      </c>
      <c r="I226" s="120">
        <f t="shared" si="72"/>
        <v>0</v>
      </c>
      <c r="J226" s="1247">
        <f t="shared" si="72"/>
        <v>0</v>
      </c>
      <c r="K226" s="120">
        <f t="shared" si="72"/>
        <v>0</v>
      </c>
      <c r="L226" s="120">
        <f t="shared" si="72"/>
        <v>0</v>
      </c>
      <c r="M226" s="208">
        <f t="shared" si="72"/>
        <v>0</v>
      </c>
      <c r="N226" s="120">
        <f t="shared" si="72"/>
        <v>0</v>
      </c>
      <c r="O226" s="120">
        <f t="shared" si="72"/>
        <v>0</v>
      </c>
      <c r="P226" s="120">
        <f t="shared" si="72"/>
        <v>0</v>
      </c>
      <c r="Q226" s="120">
        <f t="shared" si="72"/>
        <v>0</v>
      </c>
      <c r="R226" s="208">
        <f t="shared" si="72"/>
        <v>0</v>
      </c>
      <c r="S226" s="120">
        <f t="shared" si="71"/>
        <v>0</v>
      </c>
      <c r="T226" s="208">
        <f t="shared" si="71"/>
        <v>0</v>
      </c>
      <c r="U226" s="120">
        <f t="shared" si="71"/>
        <v>0</v>
      </c>
      <c r="V226" s="120">
        <f t="shared" si="71"/>
        <v>0</v>
      </c>
      <c r="W226" s="120">
        <f t="shared" si="71"/>
        <v>0</v>
      </c>
      <c r="X226" s="120">
        <f t="shared" si="71"/>
        <v>0</v>
      </c>
      <c r="Y226" s="120">
        <f t="shared" si="71"/>
        <v>0</v>
      </c>
      <c r="Z226" s="120">
        <f t="shared" si="71"/>
        <v>0</v>
      </c>
      <c r="AA226" s="208">
        <f t="shared" si="71"/>
        <v>0</v>
      </c>
      <c r="AB226" s="120">
        <f t="shared" si="71"/>
        <v>0</v>
      </c>
      <c r="AC226" s="120">
        <f t="shared" si="71"/>
        <v>0</v>
      </c>
      <c r="AD226" s="120">
        <f t="shared" si="71"/>
        <v>0</v>
      </c>
      <c r="AE226" s="120">
        <f t="shared" si="71"/>
        <v>0</v>
      </c>
      <c r="AF226" s="120">
        <f t="shared" si="71"/>
        <v>0</v>
      </c>
      <c r="AG226" s="120">
        <f t="shared" si="71"/>
        <v>0</v>
      </c>
      <c r="AH226" s="41">
        <f t="shared" si="73"/>
        <v>0</v>
      </c>
      <c r="AI226" s="7">
        <v>1233</v>
      </c>
      <c r="AJ226" s="120">
        <f>AJ19+AJ30+AJ41+AJ52+AJ63+AJ74+AJ85+AJ96+AJ107+AJ118+AJ129+AJ140+AJ151+AJ162+AJ173+AJ184+AJ195+AJ206</f>
        <v>0</v>
      </c>
      <c r="AK226" s="84"/>
      <c r="AL226" s="84"/>
      <c r="AM226" s="84"/>
      <c r="AN226" s="84"/>
      <c r="AO226" s="84"/>
      <c r="AP226" s="84"/>
      <c r="AQ226" s="84"/>
      <c r="AR226" s="84"/>
    </row>
    <row r="227" spans="1:44" s="189" customFormat="1" ht="18" customHeight="1">
      <c r="A227" s="203"/>
      <c r="B227" s="204"/>
      <c r="C227" s="208"/>
      <c r="D227" s="45"/>
      <c r="E227" s="1248"/>
      <c r="F227" s="49"/>
      <c r="G227" s="1006"/>
      <c r="H227" s="1006"/>
      <c r="I227" s="45"/>
      <c r="J227" s="1270"/>
      <c r="K227" s="45"/>
      <c r="L227" s="1007"/>
      <c r="M227" s="49"/>
      <c r="N227" s="1008"/>
      <c r="O227" s="1006"/>
      <c r="P227" s="1006"/>
      <c r="Q227" s="1006"/>
      <c r="R227" s="49"/>
      <c r="S227" s="1006"/>
      <c r="T227" s="1047"/>
      <c r="U227" s="1006"/>
      <c r="V227" s="1006"/>
      <c r="W227" s="1006"/>
      <c r="X227" s="1006"/>
      <c r="Y227" s="1006"/>
      <c r="Z227" s="1006"/>
      <c r="AA227" s="49"/>
      <c r="AB227" s="1006"/>
      <c r="AC227" s="1006"/>
      <c r="AD227" s="1006"/>
      <c r="AE227" s="1006"/>
      <c r="AF227" s="1009"/>
      <c r="AG227" s="1006"/>
      <c r="AH227" s="1292" t="s">
        <v>70</v>
      </c>
      <c r="AI227" s="1293"/>
      <c r="AJ227" s="92">
        <f>SUM(AJ224:AJ226)</f>
        <v>5737481</v>
      </c>
      <c r="AK227" s="9"/>
      <c r="AL227" s="9"/>
      <c r="AM227" s="9"/>
      <c r="AN227" s="9"/>
      <c r="AO227" s="9"/>
      <c r="AP227" s="9"/>
      <c r="AQ227" s="9"/>
      <c r="AR227" s="9"/>
    </row>
    <row r="228" spans="1:44" s="23" customFormat="1" ht="18" customHeight="1">
      <c r="A228" s="21"/>
      <c r="B228" s="19" t="s">
        <v>8</v>
      </c>
      <c r="C228" s="208">
        <f>C21+C32+C43+C54+C65+C76+C87+C98+C109+C120+C131+C142+C153+C164+C175+C186+C197+C208+C219</f>
        <v>0</v>
      </c>
      <c r="D228" s="120">
        <f t="shared" ref="D228:AH228" si="74">D21+D32+D43+D54+D65+D76+D87+D98+D109+D120+D131+D142+D153+D164+D175+D186+D197+D208+D219</f>
        <v>254</v>
      </c>
      <c r="E228" s="1247">
        <f t="shared" si="74"/>
        <v>231</v>
      </c>
      <c r="F228" s="208">
        <f t="shared" si="74"/>
        <v>0</v>
      </c>
      <c r="G228" s="120">
        <f t="shared" si="74"/>
        <v>393</v>
      </c>
      <c r="H228" s="120">
        <f t="shared" si="74"/>
        <v>269</v>
      </c>
      <c r="I228" s="120">
        <f t="shared" si="74"/>
        <v>330</v>
      </c>
      <c r="J228" s="1247">
        <f t="shared" si="74"/>
        <v>203</v>
      </c>
      <c r="K228" s="120">
        <f t="shared" si="74"/>
        <v>205</v>
      </c>
      <c r="L228" s="120">
        <f t="shared" si="74"/>
        <v>221</v>
      </c>
      <c r="M228" s="208">
        <f t="shared" si="74"/>
        <v>0</v>
      </c>
      <c r="N228" s="120">
        <f t="shared" si="74"/>
        <v>369</v>
      </c>
      <c r="O228" s="120">
        <f t="shared" si="74"/>
        <v>129</v>
      </c>
      <c r="P228" s="120">
        <f t="shared" si="74"/>
        <v>239</v>
      </c>
      <c r="Q228" s="120">
        <f t="shared" si="74"/>
        <v>262</v>
      </c>
      <c r="R228" s="208">
        <f t="shared" si="74"/>
        <v>0</v>
      </c>
      <c r="S228" s="120">
        <f t="shared" si="74"/>
        <v>207</v>
      </c>
      <c r="T228" s="208">
        <f t="shared" si="74"/>
        <v>0</v>
      </c>
      <c r="U228" s="120">
        <f t="shared" si="74"/>
        <v>111</v>
      </c>
      <c r="V228" s="120">
        <f t="shared" si="74"/>
        <v>139</v>
      </c>
      <c r="W228" s="120">
        <f t="shared" si="74"/>
        <v>117</v>
      </c>
      <c r="X228" s="120">
        <f t="shared" si="74"/>
        <v>102</v>
      </c>
      <c r="Y228" s="120">
        <f t="shared" si="74"/>
        <v>182</v>
      </c>
      <c r="Z228" s="120">
        <f t="shared" si="74"/>
        <v>119</v>
      </c>
      <c r="AA228" s="208">
        <f t="shared" si="74"/>
        <v>0</v>
      </c>
      <c r="AB228" s="120">
        <f t="shared" si="74"/>
        <v>150</v>
      </c>
      <c r="AC228" s="120">
        <f t="shared" si="74"/>
        <v>41</v>
      </c>
      <c r="AD228" s="120">
        <f t="shared" si="74"/>
        <v>27</v>
      </c>
      <c r="AE228" s="120">
        <f t="shared" si="74"/>
        <v>54</v>
      </c>
      <c r="AF228" s="120">
        <f t="shared" si="74"/>
        <v>101</v>
      </c>
      <c r="AG228" s="120">
        <f t="shared" si="74"/>
        <v>109</v>
      </c>
      <c r="AH228" s="120">
        <f t="shared" si="74"/>
        <v>4564</v>
      </c>
      <c r="AI228" s="120">
        <v>1750</v>
      </c>
      <c r="AJ228" s="120">
        <f>AJ21+AJ32+AJ43+AJ54+AJ65+AJ76+AJ87+AJ98+AJ109+AJ120+AJ131+AJ142+AJ153+AJ164+AJ175+AJ186+AJ197+AJ208</f>
        <v>7749000</v>
      </c>
      <c r="AK228" s="5"/>
      <c r="AL228" s="5"/>
      <c r="AM228" s="5"/>
      <c r="AN228" s="5"/>
      <c r="AO228" s="5"/>
      <c r="AP228" s="5"/>
      <c r="AQ228" s="5"/>
      <c r="AR228" s="5"/>
    </row>
    <row r="229" spans="1:44" s="24" customFormat="1" ht="18" customHeight="1">
      <c r="A229" s="17"/>
      <c r="B229" s="28" t="s">
        <v>9</v>
      </c>
      <c r="C229" s="208">
        <f>C22+C33+C44+C55+C66+C77+C88+C99+C110+C121+C132+C143+C154+C165+C176+C187+C198+C209+C220</f>
        <v>0</v>
      </c>
      <c r="D229" s="120">
        <f t="shared" ref="D229:AG229" si="75">D22+D33+D44+D55+D66+D77+D88+D99+D110+D121+D132+D143+D154+D165+D176+D187+D198+D209+D220</f>
        <v>0</v>
      </c>
      <c r="E229" s="1247">
        <f t="shared" si="75"/>
        <v>0</v>
      </c>
      <c r="F229" s="208">
        <f t="shared" si="75"/>
        <v>0</v>
      </c>
      <c r="G229" s="120">
        <f t="shared" si="75"/>
        <v>0</v>
      </c>
      <c r="H229" s="120">
        <f t="shared" si="75"/>
        <v>0</v>
      </c>
      <c r="I229" s="120">
        <f t="shared" si="75"/>
        <v>0</v>
      </c>
      <c r="J229" s="1247">
        <f t="shared" si="75"/>
        <v>0</v>
      </c>
      <c r="K229" s="120">
        <f t="shared" si="75"/>
        <v>-46327.777777777781</v>
      </c>
      <c r="L229" s="120">
        <f t="shared" si="75"/>
        <v>-216694.44444444444</v>
      </c>
      <c r="M229" s="208">
        <f t="shared" si="75"/>
        <v>0</v>
      </c>
      <c r="N229" s="120">
        <f t="shared" si="75"/>
        <v>-104611.11111111112</v>
      </c>
      <c r="O229" s="120">
        <f t="shared" si="75"/>
        <v>-98633.333333333343</v>
      </c>
      <c r="P229" s="120">
        <f t="shared" si="75"/>
        <v>0</v>
      </c>
      <c r="Q229" s="120">
        <f t="shared" si="75"/>
        <v>0</v>
      </c>
      <c r="R229" s="208">
        <f t="shared" si="75"/>
        <v>0</v>
      </c>
      <c r="S229" s="120">
        <f t="shared" si="75"/>
        <v>0</v>
      </c>
      <c r="T229" s="208">
        <f t="shared" si="75"/>
        <v>0</v>
      </c>
      <c r="U229" s="120">
        <f t="shared" si="75"/>
        <v>-107077.66990291262</v>
      </c>
      <c r="V229" s="120">
        <f t="shared" si="75"/>
        <v>0</v>
      </c>
      <c r="W229" s="120">
        <f t="shared" si="75"/>
        <v>-100127.77777777778</v>
      </c>
      <c r="X229" s="120">
        <f t="shared" si="75"/>
        <v>-82194.444444444438</v>
      </c>
      <c r="Y229" s="120">
        <f t="shared" si="75"/>
        <v>-427411.11111111112</v>
      </c>
      <c r="Z229" s="120">
        <f t="shared" si="75"/>
        <v>-115072.22222222222</v>
      </c>
      <c r="AA229" s="208">
        <f t="shared" si="75"/>
        <v>0</v>
      </c>
      <c r="AB229" s="120">
        <f t="shared" si="75"/>
        <v>-355184.46601941751</v>
      </c>
      <c r="AC229" s="120">
        <f t="shared" si="75"/>
        <v>0</v>
      </c>
      <c r="AD229" s="120">
        <f t="shared" si="75"/>
        <v>0</v>
      </c>
      <c r="AE229" s="120">
        <f t="shared" si="75"/>
        <v>0</v>
      </c>
      <c r="AF229" s="120">
        <f t="shared" si="75"/>
        <v>0</v>
      </c>
      <c r="AG229" s="120">
        <f t="shared" si="75"/>
        <v>0</v>
      </c>
      <c r="AH229" s="120">
        <f>AH22+AH33+AH44+AH55+AH66+AH77+AH88+AH99+AH110+AH121+AH132+AH143+AH154+AH165+AH176+AH187+AH198+AH209+AH220</f>
        <v>-1653334.3581445522</v>
      </c>
      <c r="AI229" s="120"/>
      <c r="AJ229" s="15"/>
      <c r="AK229" s="14"/>
      <c r="AL229" s="14"/>
      <c r="AM229" s="14"/>
      <c r="AN229" s="14"/>
      <c r="AO229" s="14"/>
      <c r="AP229" s="14"/>
      <c r="AQ229" s="14"/>
      <c r="AR229" s="14"/>
    </row>
    <row r="230" spans="1:44" s="202" customFormat="1" ht="18" customHeight="1">
      <c r="A230" s="17"/>
      <c r="B230" s="18"/>
      <c r="C230" s="183"/>
      <c r="D230" s="36"/>
      <c r="E230" s="1233"/>
      <c r="F230" s="183"/>
      <c r="G230" s="1010"/>
      <c r="H230" s="968"/>
      <c r="I230" s="13"/>
      <c r="J230" s="1235"/>
      <c r="K230" s="36"/>
      <c r="L230" s="950"/>
      <c r="M230" s="33"/>
      <c r="N230" s="950"/>
      <c r="O230" s="950"/>
      <c r="P230" s="968"/>
      <c r="Q230" s="968"/>
      <c r="R230" s="35"/>
      <c r="S230" s="950"/>
      <c r="T230" s="35"/>
      <c r="U230" s="968"/>
      <c r="V230" s="968"/>
      <c r="W230" s="950"/>
      <c r="X230" s="950"/>
      <c r="Y230" s="950"/>
      <c r="Z230" s="950"/>
      <c r="AA230" s="35"/>
      <c r="AB230" s="950"/>
      <c r="AC230" s="968"/>
      <c r="AD230" s="968"/>
      <c r="AE230" s="950"/>
      <c r="AF230" s="950"/>
      <c r="AG230" s="950"/>
      <c r="AH230" s="42"/>
      <c r="AI230" s="17"/>
      <c r="AJ230" s="15"/>
      <c r="AK230" s="14"/>
      <c r="AL230" s="14"/>
      <c r="AM230" s="14"/>
      <c r="AN230" s="14"/>
      <c r="AO230" s="14"/>
      <c r="AP230" s="14"/>
      <c r="AQ230" s="14"/>
      <c r="AR230" s="14"/>
    </row>
    <row r="231" spans="1:44" s="27" customFormat="1">
      <c r="C231" s="911"/>
      <c r="D231" s="29"/>
      <c r="E231" s="1249"/>
      <c r="F231" s="911"/>
      <c r="G231" s="1011"/>
      <c r="H231" s="1012"/>
      <c r="I231" s="34"/>
      <c r="J231" s="1271"/>
      <c r="K231" s="29"/>
      <c r="L231" s="1011"/>
      <c r="M231" s="911"/>
      <c r="N231" s="1011"/>
      <c r="O231" s="1011"/>
      <c r="P231" s="1012"/>
      <c r="Q231" s="1012"/>
      <c r="R231" s="38"/>
      <c r="S231" s="1011"/>
      <c r="T231" s="38"/>
      <c r="U231" s="1012"/>
      <c r="V231" s="1012"/>
      <c r="W231" s="1011"/>
      <c r="X231" s="1011"/>
      <c r="Y231" s="1011"/>
      <c r="Z231" s="1011"/>
      <c r="AA231" s="38"/>
      <c r="AB231" s="1011"/>
      <c r="AC231" s="1012"/>
      <c r="AD231" s="1012"/>
      <c r="AE231" s="1011"/>
      <c r="AF231" s="1011"/>
      <c r="AG231" s="1011"/>
      <c r="AH231" s="43"/>
      <c r="AJ231" s="110"/>
      <c r="AK231" s="34"/>
      <c r="AL231" s="37"/>
      <c r="AM231" s="44"/>
      <c r="AN231" s="592"/>
      <c r="AO231" s="34"/>
      <c r="AP231" s="34"/>
      <c r="AQ231" s="34"/>
      <c r="AR231" s="34"/>
    </row>
    <row r="232" spans="1:44" s="27" customFormat="1">
      <c r="C232" s="648">
        <f>C223</f>
        <v>0</v>
      </c>
      <c r="D232" s="37">
        <f t="shared" ref="D232:AG232" si="76">D223</f>
        <v>1063</v>
      </c>
      <c r="E232" s="1250">
        <f t="shared" si="76"/>
        <v>1025</v>
      </c>
      <c r="F232" s="648">
        <f t="shared" si="76"/>
        <v>0</v>
      </c>
      <c r="G232" s="1013">
        <f t="shared" si="76"/>
        <v>2077</v>
      </c>
      <c r="H232" s="1013">
        <f t="shared" si="76"/>
        <v>925</v>
      </c>
      <c r="I232" s="37">
        <f t="shared" si="76"/>
        <v>982</v>
      </c>
      <c r="J232" s="1250">
        <f t="shared" si="76"/>
        <v>1088</v>
      </c>
      <c r="K232" s="37">
        <f t="shared" si="76"/>
        <v>792</v>
      </c>
      <c r="L232" s="1013">
        <f t="shared" si="76"/>
        <v>641</v>
      </c>
      <c r="M232" s="648">
        <f t="shared" si="76"/>
        <v>0</v>
      </c>
      <c r="N232" s="1013">
        <f t="shared" si="76"/>
        <v>1121</v>
      </c>
      <c r="O232" s="1013">
        <f t="shared" si="76"/>
        <v>661</v>
      </c>
      <c r="P232" s="1013">
        <f>P223</f>
        <v>652</v>
      </c>
      <c r="Q232" s="1013">
        <f t="shared" si="76"/>
        <v>753</v>
      </c>
      <c r="R232" s="648">
        <f t="shared" si="76"/>
        <v>0</v>
      </c>
      <c r="S232" s="1013">
        <f t="shared" si="76"/>
        <v>1496</v>
      </c>
      <c r="T232" s="919">
        <f t="shared" si="76"/>
        <v>0</v>
      </c>
      <c r="U232" s="1013">
        <f t="shared" si="76"/>
        <v>1094</v>
      </c>
      <c r="V232" s="1013">
        <f>V223</f>
        <v>679</v>
      </c>
      <c r="W232" s="1013">
        <f>W223</f>
        <v>669</v>
      </c>
      <c r="X232" s="1013">
        <f>X223</f>
        <v>539</v>
      </c>
      <c r="Y232" s="1013">
        <f t="shared" si="76"/>
        <v>480</v>
      </c>
      <c r="Z232" s="1013">
        <f t="shared" si="76"/>
        <v>494</v>
      </c>
      <c r="AA232" s="648">
        <f t="shared" si="76"/>
        <v>0</v>
      </c>
      <c r="AB232" s="1013">
        <f t="shared" si="76"/>
        <v>1413</v>
      </c>
      <c r="AC232" s="1013">
        <f t="shared" si="76"/>
        <v>334</v>
      </c>
      <c r="AD232" s="1013">
        <f t="shared" si="76"/>
        <v>408</v>
      </c>
      <c r="AE232" s="1013">
        <f t="shared" si="76"/>
        <v>649</v>
      </c>
      <c r="AF232" s="1013">
        <f t="shared" si="76"/>
        <v>523</v>
      </c>
      <c r="AG232" s="1013">
        <f t="shared" si="76"/>
        <v>545</v>
      </c>
      <c r="AH232" s="37">
        <f>SUM(C232:AG232)</f>
        <v>21103</v>
      </c>
      <c r="AJ232" s="110"/>
      <c r="AK232" s="34"/>
      <c r="AL232" s="37"/>
      <c r="AM232" s="34"/>
      <c r="AN232" s="37"/>
      <c r="AO232" s="34"/>
      <c r="AP232" s="34"/>
    </row>
    <row r="233" spans="1:44" s="27" customFormat="1">
      <c r="B233" s="53" t="s">
        <v>79</v>
      </c>
      <c r="C233" s="648">
        <f>C228</f>
        <v>0</v>
      </c>
      <c r="D233" s="37">
        <f t="shared" ref="D233:AG233" si="77">D228</f>
        <v>254</v>
      </c>
      <c r="E233" s="1250">
        <f t="shared" si="77"/>
        <v>231</v>
      </c>
      <c r="F233" s="648">
        <f t="shared" si="77"/>
        <v>0</v>
      </c>
      <c r="G233" s="1013">
        <f t="shared" si="77"/>
        <v>393</v>
      </c>
      <c r="H233" s="1013">
        <f t="shared" si="77"/>
        <v>269</v>
      </c>
      <c r="I233" s="37">
        <f t="shared" si="77"/>
        <v>330</v>
      </c>
      <c r="J233" s="1250">
        <f t="shared" si="77"/>
        <v>203</v>
      </c>
      <c r="K233" s="37">
        <f t="shared" si="77"/>
        <v>205</v>
      </c>
      <c r="L233" s="1013">
        <f t="shared" si="77"/>
        <v>221</v>
      </c>
      <c r="M233" s="648">
        <f t="shared" si="77"/>
        <v>0</v>
      </c>
      <c r="N233" s="1013">
        <f t="shared" si="77"/>
        <v>369</v>
      </c>
      <c r="O233" s="1013">
        <f t="shared" si="77"/>
        <v>129</v>
      </c>
      <c r="P233" s="1013">
        <f t="shared" si="77"/>
        <v>239</v>
      </c>
      <c r="Q233" s="1013">
        <f t="shared" si="77"/>
        <v>262</v>
      </c>
      <c r="R233" s="648">
        <f>R228</f>
        <v>0</v>
      </c>
      <c r="S233" s="1013">
        <f t="shared" si="77"/>
        <v>207</v>
      </c>
      <c r="T233" s="919">
        <f t="shared" si="77"/>
        <v>0</v>
      </c>
      <c r="U233" s="1013">
        <f t="shared" si="77"/>
        <v>111</v>
      </c>
      <c r="V233" s="1013">
        <f t="shared" si="77"/>
        <v>139</v>
      </c>
      <c r="W233" s="1013">
        <f t="shared" si="77"/>
        <v>117</v>
      </c>
      <c r="X233" s="1013">
        <f t="shared" si="77"/>
        <v>102</v>
      </c>
      <c r="Y233" s="1013">
        <f>Y228</f>
        <v>182</v>
      </c>
      <c r="Z233" s="1013">
        <f t="shared" si="77"/>
        <v>119</v>
      </c>
      <c r="AA233" s="648">
        <f t="shared" si="77"/>
        <v>0</v>
      </c>
      <c r="AB233" s="1013">
        <f t="shared" si="77"/>
        <v>150</v>
      </c>
      <c r="AC233" s="1013">
        <f t="shared" si="77"/>
        <v>41</v>
      </c>
      <c r="AD233" s="1013">
        <f t="shared" si="77"/>
        <v>27</v>
      </c>
      <c r="AE233" s="1013">
        <f t="shared" si="77"/>
        <v>54</v>
      </c>
      <c r="AF233" s="1013">
        <f t="shared" si="77"/>
        <v>101</v>
      </c>
      <c r="AG233" s="1013">
        <f t="shared" si="77"/>
        <v>109</v>
      </c>
      <c r="AH233" s="37">
        <f t="shared" ref="AH233:AH235" si="78">SUM(C233:AG233)</f>
        <v>4564</v>
      </c>
      <c r="AI233" s="110">
        <f>AH232+AH234</f>
        <v>21103</v>
      </c>
      <c r="AJ233" s="110"/>
      <c r="AK233" s="34"/>
      <c r="AL233" s="37"/>
      <c r="AM233" s="37"/>
      <c r="AN233" s="34"/>
      <c r="AO233" s="34"/>
      <c r="AP233" s="34"/>
    </row>
    <row r="234" spans="1:44" s="27" customFormat="1">
      <c r="B234" s="53"/>
      <c r="C234" s="648"/>
      <c r="D234" s="37"/>
      <c r="E234" s="1250"/>
      <c r="F234" s="648"/>
      <c r="G234" s="1013"/>
      <c r="H234" s="1013"/>
      <c r="I234" s="37"/>
      <c r="J234" s="1250"/>
      <c r="K234" s="37"/>
      <c r="L234" s="1013"/>
      <c r="M234" s="648"/>
      <c r="N234" s="1013"/>
      <c r="O234" s="1013"/>
      <c r="P234" s="1013"/>
      <c r="Q234" s="1013"/>
      <c r="R234" s="648"/>
      <c r="S234" s="1013"/>
      <c r="T234" s="919"/>
      <c r="U234" s="1013"/>
      <c r="V234" s="1013"/>
      <c r="W234" s="1013"/>
      <c r="X234" s="1013"/>
      <c r="Y234" s="1013"/>
      <c r="Z234" s="1013"/>
      <c r="AA234" s="648"/>
      <c r="AB234" s="1013"/>
      <c r="AC234" s="1013"/>
      <c r="AD234" s="1013"/>
      <c r="AE234" s="1013"/>
      <c r="AF234" s="1013"/>
      <c r="AG234" s="1013"/>
      <c r="AH234" s="37">
        <f>SUM(C234:AG234)</f>
        <v>0</v>
      </c>
      <c r="AI234" s="110">
        <f>AH233+AH235</f>
        <v>4564</v>
      </c>
      <c r="AJ234" s="110"/>
      <c r="AK234" s="34"/>
      <c r="AL234" s="34"/>
      <c r="AM234" s="34"/>
      <c r="AN234" s="34"/>
      <c r="AO234" s="34"/>
      <c r="AP234" s="37"/>
    </row>
    <row r="235" spans="1:44" s="27" customFormat="1">
      <c r="B235" s="53"/>
      <c r="C235" s="648"/>
      <c r="D235" s="37"/>
      <c r="E235" s="1250"/>
      <c r="F235" s="648"/>
      <c r="G235" s="1013"/>
      <c r="H235" s="1013"/>
      <c r="I235" s="37"/>
      <c r="J235" s="1250"/>
      <c r="K235" s="37"/>
      <c r="L235" s="1013"/>
      <c r="M235" s="648"/>
      <c r="N235" s="1013"/>
      <c r="O235" s="1013"/>
      <c r="P235" s="1013"/>
      <c r="Q235" s="1013"/>
      <c r="R235" s="648"/>
      <c r="S235" s="1013"/>
      <c r="T235" s="919"/>
      <c r="U235" s="1013"/>
      <c r="V235" s="1013"/>
      <c r="W235" s="1013"/>
      <c r="X235" s="1013"/>
      <c r="Y235" s="1013"/>
      <c r="Z235" s="1013"/>
      <c r="AA235" s="648"/>
      <c r="AB235" s="1013"/>
      <c r="AC235" s="1013"/>
      <c r="AD235" s="1013"/>
      <c r="AE235" s="1013"/>
      <c r="AF235" s="1013"/>
      <c r="AG235" s="1013"/>
      <c r="AH235" s="37">
        <f t="shared" si="78"/>
        <v>0</v>
      </c>
      <c r="AI235" s="110"/>
      <c r="AJ235" s="110"/>
      <c r="AK235" s="34"/>
      <c r="AL235" s="34"/>
      <c r="AM235" s="34"/>
      <c r="AN235" s="34"/>
      <c r="AO235" s="34"/>
      <c r="AP235" s="34"/>
    </row>
    <row r="236" spans="1:44" s="27" customFormat="1">
      <c r="C236" s="911"/>
      <c r="D236" s="29"/>
      <c r="E236" s="1249"/>
      <c r="F236" s="911"/>
      <c r="G236" s="1014"/>
      <c r="H236" s="1013"/>
      <c r="I236" s="37"/>
      <c r="J236" s="1250"/>
      <c r="K236" s="29"/>
      <c r="L236" s="1014">
        <f>613-641</f>
        <v>-28</v>
      </c>
      <c r="M236" s="911"/>
      <c r="N236" s="1011"/>
      <c r="O236" s="1011"/>
      <c r="P236" s="1012"/>
      <c r="Q236" s="1013"/>
      <c r="R236" s="38"/>
      <c r="S236" s="1011"/>
      <c r="T236" s="38"/>
      <c r="U236" s="1012"/>
      <c r="V236" s="1012"/>
      <c r="W236" s="1014"/>
      <c r="X236" s="1011"/>
      <c r="Y236" s="1011"/>
      <c r="Z236" s="1011"/>
      <c r="AA236" s="919"/>
      <c r="AB236" s="1011"/>
      <c r="AC236" s="1012"/>
      <c r="AD236" s="1012"/>
      <c r="AE236" s="1011"/>
      <c r="AF236" s="1011"/>
      <c r="AG236" s="1011"/>
      <c r="AH236" s="43"/>
      <c r="AI236" s="54"/>
      <c r="AJ236" s="110"/>
      <c r="AK236" s="34"/>
      <c r="AL236" s="34"/>
      <c r="AM236" s="34"/>
      <c r="AN236" s="34"/>
      <c r="AO236" s="34"/>
      <c r="AP236" s="34"/>
    </row>
    <row r="237" spans="1:44">
      <c r="B237" s="141" t="s">
        <v>73</v>
      </c>
      <c r="C237" s="31"/>
      <c r="D237" s="26"/>
      <c r="E237" s="1227"/>
      <c r="F237" s="31"/>
      <c r="G237" s="950"/>
      <c r="H237" s="710"/>
      <c r="I237" s="5"/>
      <c r="J237" s="1228"/>
      <c r="K237" s="26"/>
      <c r="L237" s="950"/>
      <c r="M237" s="31"/>
      <c r="N237" s="950"/>
      <c r="O237" s="950"/>
      <c r="P237" s="710"/>
      <c r="Q237" s="710"/>
      <c r="R237" s="35"/>
      <c r="S237" s="950"/>
      <c r="T237" s="35"/>
      <c r="U237" s="710">
        <v>1</v>
      </c>
      <c r="V237" s="710">
        <v>1</v>
      </c>
      <c r="W237" s="950">
        <v>1</v>
      </c>
      <c r="X237" s="950">
        <v>1</v>
      </c>
      <c r="Y237" s="950">
        <v>1</v>
      </c>
      <c r="Z237" s="950">
        <v>1</v>
      </c>
      <c r="AA237" s="35"/>
      <c r="AB237" s="950">
        <v>1</v>
      </c>
      <c r="AC237" s="710">
        <v>1</v>
      </c>
      <c r="AD237" s="710">
        <v>1</v>
      </c>
      <c r="AE237" s="950">
        <v>1</v>
      </c>
      <c r="AF237" s="950">
        <v>1</v>
      </c>
      <c r="AG237" s="950">
        <v>1</v>
      </c>
      <c r="AH237" s="22">
        <f>SUM(C237:AG237)</f>
        <v>12</v>
      </c>
      <c r="AI237" s="27"/>
      <c r="AL237" s="105"/>
      <c r="AQ237"/>
      <c r="AR237"/>
    </row>
    <row r="238" spans="1:44">
      <c r="B238" s="141" t="s">
        <v>37</v>
      </c>
      <c r="C238" s="31"/>
      <c r="D238" s="26">
        <v>1</v>
      </c>
      <c r="E238" s="1227">
        <v>1</v>
      </c>
      <c r="F238" s="31"/>
      <c r="G238" s="950">
        <v>1</v>
      </c>
      <c r="H238" s="710">
        <v>1</v>
      </c>
      <c r="I238" s="5">
        <v>1</v>
      </c>
      <c r="J238" s="1228">
        <v>1</v>
      </c>
      <c r="K238" s="26">
        <v>1</v>
      </c>
      <c r="L238" s="950">
        <v>1</v>
      </c>
      <c r="M238" s="31"/>
      <c r="N238" s="950">
        <v>1</v>
      </c>
      <c r="O238" s="950">
        <v>1</v>
      </c>
      <c r="P238" s="710">
        <v>1</v>
      </c>
      <c r="Q238" s="710">
        <v>1</v>
      </c>
      <c r="R238" s="35"/>
      <c r="S238" s="950">
        <v>1</v>
      </c>
      <c r="T238" s="35"/>
      <c r="U238" s="710"/>
      <c r="V238" s="710"/>
      <c r="W238" s="950"/>
      <c r="X238" s="950"/>
      <c r="Y238" s="991"/>
      <c r="Z238" s="991"/>
      <c r="AA238" s="898"/>
      <c r="AB238" s="991">
        <v>1</v>
      </c>
      <c r="AC238" s="710">
        <v>1</v>
      </c>
      <c r="AD238" s="710">
        <v>1</v>
      </c>
      <c r="AE238" s="950">
        <v>1</v>
      </c>
      <c r="AF238" s="950">
        <v>1</v>
      </c>
      <c r="AG238" s="950">
        <v>1</v>
      </c>
      <c r="AH238" s="22">
        <f t="shared" ref="AH238:AH250" si="79">SUM(C238:AG238)</f>
        <v>19</v>
      </c>
      <c r="AI238" s="27"/>
      <c r="AL238" s="105"/>
      <c r="AQ238"/>
      <c r="AR238"/>
    </row>
    <row r="239" spans="1:44">
      <c r="B239" s="185" t="s">
        <v>28</v>
      </c>
      <c r="C239" s="126"/>
      <c r="D239" s="124">
        <v>13</v>
      </c>
      <c r="E239" s="1251">
        <v>5</v>
      </c>
      <c r="F239" s="126"/>
      <c r="G239" s="1015"/>
      <c r="H239" s="711"/>
      <c r="I239" s="22"/>
      <c r="J239" s="1252"/>
      <c r="K239" s="124"/>
      <c r="L239" s="1015"/>
      <c r="M239" s="126"/>
      <c r="N239" s="1015">
        <v>14</v>
      </c>
      <c r="O239" s="1015"/>
      <c r="P239" s="711"/>
      <c r="Q239" s="711"/>
      <c r="R239" s="184"/>
      <c r="S239" s="1015"/>
      <c r="T239" s="184"/>
      <c r="U239" s="711"/>
      <c r="V239" s="711"/>
      <c r="W239" s="1015"/>
      <c r="X239" s="1015">
        <v>13</v>
      </c>
      <c r="Y239" s="1015"/>
      <c r="Z239" s="1015"/>
      <c r="AA239" s="184"/>
      <c r="AB239" s="1015"/>
      <c r="AC239" s="711"/>
      <c r="AD239" s="711"/>
      <c r="AE239" s="1015"/>
      <c r="AF239" s="1015"/>
      <c r="AG239" s="1015"/>
      <c r="AH239" s="22">
        <f t="shared" si="79"/>
        <v>45</v>
      </c>
      <c r="AI239" s="134"/>
      <c r="AJ239" s="133"/>
      <c r="AL239" s="105"/>
      <c r="AP239" s="105"/>
      <c r="AQ239"/>
      <c r="AR239"/>
    </row>
    <row r="240" spans="1:44">
      <c r="B240" s="185" t="s">
        <v>29</v>
      </c>
      <c r="C240" s="126"/>
      <c r="D240" s="124">
        <v>4</v>
      </c>
      <c r="E240" s="1251"/>
      <c r="F240" s="126"/>
      <c r="G240" s="1015"/>
      <c r="H240" s="711"/>
      <c r="I240" s="22"/>
      <c r="J240" s="1252"/>
      <c r="K240" s="124">
        <v>3</v>
      </c>
      <c r="L240" s="1015">
        <v>17</v>
      </c>
      <c r="M240" s="126"/>
      <c r="N240" s="1015"/>
      <c r="O240" s="1015"/>
      <c r="P240" s="711"/>
      <c r="Q240" s="711"/>
      <c r="R240" s="184"/>
      <c r="S240" s="1015"/>
      <c r="T240" s="184"/>
      <c r="U240" s="711"/>
      <c r="V240" s="711"/>
      <c r="W240" s="1015">
        <v>16</v>
      </c>
      <c r="X240" s="1015">
        <v>5</v>
      </c>
      <c r="Y240" s="1015"/>
      <c r="Z240" s="1015"/>
      <c r="AA240" s="184"/>
      <c r="AB240" s="1015"/>
      <c r="AC240" s="711"/>
      <c r="AD240" s="711"/>
      <c r="AE240" s="1015"/>
      <c r="AF240" s="1015">
        <v>1</v>
      </c>
      <c r="AG240" s="1015">
        <v>18</v>
      </c>
      <c r="AH240" s="22">
        <f t="shared" si="79"/>
        <v>64</v>
      </c>
      <c r="AI240" s="134"/>
      <c r="AJ240" s="133"/>
      <c r="AL240" s="105"/>
      <c r="AP240" s="105"/>
      <c r="AQ240"/>
      <c r="AR240"/>
    </row>
    <row r="241" spans="2:44" s="27" customFormat="1">
      <c r="B241" s="707" t="s">
        <v>30</v>
      </c>
      <c r="C241" s="126"/>
      <c r="D241" s="22"/>
      <c r="E241" s="1252"/>
      <c r="F241" s="126"/>
      <c r="G241" s="1015"/>
      <c r="H241" s="711"/>
      <c r="I241" s="124">
        <v>11</v>
      </c>
      <c r="J241" s="1252"/>
      <c r="K241" s="22"/>
      <c r="L241" s="1016"/>
      <c r="M241" s="126"/>
      <c r="N241" s="1015"/>
      <c r="O241" s="711"/>
      <c r="P241" s="1015"/>
      <c r="Q241" s="711">
        <v>10</v>
      </c>
      <c r="R241" s="126"/>
      <c r="S241" s="711"/>
      <c r="T241" s="184"/>
      <c r="U241" s="711"/>
      <c r="V241" s="711"/>
      <c r="W241" s="1015"/>
      <c r="X241" s="1015"/>
      <c r="Y241" s="1017"/>
      <c r="Z241" s="1017">
        <v>12</v>
      </c>
      <c r="AA241" s="899"/>
      <c r="AB241" s="1017"/>
      <c r="AC241" s="711"/>
      <c r="AD241" s="1015"/>
      <c r="AE241" s="711"/>
      <c r="AF241" s="1015"/>
      <c r="AG241" s="711"/>
      <c r="AH241" s="22">
        <f t="shared" si="79"/>
        <v>33</v>
      </c>
      <c r="AI241" s="134"/>
      <c r="AJ241" s="133"/>
      <c r="AK241" s="34"/>
      <c r="AL241" s="37"/>
      <c r="AM241" s="34"/>
      <c r="AN241" s="34"/>
      <c r="AO241" s="34"/>
      <c r="AP241" s="37"/>
    </row>
    <row r="242" spans="2:44" s="27" customFormat="1">
      <c r="B242" s="707" t="s">
        <v>31</v>
      </c>
      <c r="C242" s="126"/>
      <c r="D242" s="22"/>
      <c r="E242" s="1252"/>
      <c r="F242" s="126"/>
      <c r="G242" s="1015"/>
      <c r="H242" s="711">
        <v>15</v>
      </c>
      <c r="I242" s="124">
        <v>3</v>
      </c>
      <c r="J242" s="1252"/>
      <c r="K242" s="22"/>
      <c r="L242" s="1016"/>
      <c r="M242" s="126"/>
      <c r="N242" s="1015">
        <v>4</v>
      </c>
      <c r="O242" s="711"/>
      <c r="P242" s="1015">
        <v>18</v>
      </c>
      <c r="Q242" s="711">
        <v>1</v>
      </c>
      <c r="R242" s="126"/>
      <c r="S242" s="711"/>
      <c r="T242" s="184"/>
      <c r="U242" s="711"/>
      <c r="V242" s="711"/>
      <c r="W242" s="1015"/>
      <c r="X242" s="1015"/>
      <c r="Y242" s="1015">
        <v>18</v>
      </c>
      <c r="Z242" s="1015">
        <v>3</v>
      </c>
      <c r="AA242" s="184"/>
      <c r="AB242" s="1015"/>
      <c r="AC242" s="711"/>
      <c r="AD242" s="1015"/>
      <c r="AE242" s="711"/>
      <c r="AF242" s="1015"/>
      <c r="AG242" s="711"/>
      <c r="AH242" s="22">
        <f t="shared" si="79"/>
        <v>62</v>
      </c>
      <c r="AI242" s="134"/>
      <c r="AJ242" s="133"/>
      <c r="AK242" s="34"/>
      <c r="AL242" s="37"/>
      <c r="AM242" s="34"/>
      <c r="AN242" s="34"/>
      <c r="AO242" s="34"/>
      <c r="AP242" s="37"/>
    </row>
    <row r="243" spans="2:44" s="27" customFormat="1">
      <c r="B243" s="707" t="s">
        <v>32</v>
      </c>
      <c r="C243" s="126"/>
      <c r="D243" s="22"/>
      <c r="E243" s="1252"/>
      <c r="F243" s="126"/>
      <c r="G243" s="1015"/>
      <c r="H243" s="711"/>
      <c r="I243" s="124"/>
      <c r="J243" s="1252">
        <v>6</v>
      </c>
      <c r="K243" s="22">
        <v>13</v>
      </c>
      <c r="L243" s="1016"/>
      <c r="M243" s="126"/>
      <c r="N243" s="1015"/>
      <c r="O243" s="711"/>
      <c r="P243" s="1015"/>
      <c r="Q243" s="711"/>
      <c r="R243" s="126"/>
      <c r="S243" s="711"/>
      <c r="T243" s="184"/>
      <c r="U243" s="711">
        <v>1</v>
      </c>
      <c r="V243" s="711">
        <v>17</v>
      </c>
      <c r="W243" s="1015">
        <v>1</v>
      </c>
      <c r="X243" s="1015"/>
      <c r="Y243" s="1015"/>
      <c r="Z243" s="1015"/>
      <c r="AA243" s="184"/>
      <c r="AB243" s="1015"/>
      <c r="AC243" s="711"/>
      <c r="AD243" s="1015"/>
      <c r="AE243" s="711">
        <v>1</v>
      </c>
      <c r="AF243" s="1015">
        <v>15</v>
      </c>
      <c r="AG243" s="711"/>
      <c r="AH243" s="22">
        <f t="shared" si="79"/>
        <v>54</v>
      </c>
      <c r="AI243" s="134"/>
      <c r="AJ243" s="133"/>
      <c r="AK243" s="34"/>
      <c r="AL243" s="37"/>
      <c r="AM243" s="34"/>
      <c r="AN243" s="34"/>
      <c r="AO243" s="34"/>
      <c r="AP243" s="37"/>
    </row>
    <row r="244" spans="2:44">
      <c r="B244" s="185" t="s">
        <v>33</v>
      </c>
      <c r="C244" s="126"/>
      <c r="D244" s="22"/>
      <c r="E244" s="1252"/>
      <c r="F244" s="126"/>
      <c r="G244" s="1015">
        <v>10</v>
      </c>
      <c r="H244" s="711">
        <v>2</v>
      </c>
      <c r="I244" s="124">
        <v>4</v>
      </c>
      <c r="J244" s="1252"/>
      <c r="K244" s="22"/>
      <c r="L244" s="1016"/>
      <c r="M244" s="126"/>
      <c r="N244" s="1015"/>
      <c r="O244" s="711"/>
      <c r="P244" s="711"/>
      <c r="Q244" s="711">
        <v>6</v>
      </c>
      <c r="R244" s="126"/>
      <c r="S244" s="711">
        <v>17</v>
      </c>
      <c r="T244" s="184"/>
      <c r="U244" s="711"/>
      <c r="V244" s="711"/>
      <c r="W244" s="1015"/>
      <c r="X244" s="1015"/>
      <c r="Y244" s="1015"/>
      <c r="Z244" s="1015">
        <v>3</v>
      </c>
      <c r="AA244" s="184"/>
      <c r="AB244" s="1015">
        <v>19</v>
      </c>
      <c r="AC244" s="711"/>
      <c r="AD244" s="1015">
        <v>10</v>
      </c>
      <c r="AE244" s="711"/>
      <c r="AF244" s="1015"/>
      <c r="AG244" s="711"/>
      <c r="AH244" s="22">
        <f t="shared" si="79"/>
        <v>71</v>
      </c>
      <c r="AI244" s="134"/>
      <c r="AJ244" s="133"/>
      <c r="AL244" s="105"/>
      <c r="AP244" s="105"/>
      <c r="AQ244"/>
      <c r="AR244"/>
    </row>
    <row r="245" spans="2:44">
      <c r="B245" s="185" t="s">
        <v>34</v>
      </c>
      <c r="C245" s="126"/>
      <c r="D245" s="22"/>
      <c r="E245" s="1252">
        <v>12</v>
      </c>
      <c r="F245" s="126"/>
      <c r="G245" s="711">
        <v>8</v>
      </c>
      <c r="H245" s="711"/>
      <c r="I245" s="22"/>
      <c r="J245" s="1252">
        <v>11</v>
      </c>
      <c r="K245" s="22"/>
      <c r="L245" s="1016"/>
      <c r="M245" s="126"/>
      <c r="N245" s="1015"/>
      <c r="O245" s="711"/>
      <c r="P245" s="711"/>
      <c r="Q245" s="711"/>
      <c r="R245" s="126"/>
      <c r="S245" s="711"/>
      <c r="T245" s="184"/>
      <c r="U245" s="711">
        <v>18</v>
      </c>
      <c r="V245" s="711"/>
      <c r="W245" s="711"/>
      <c r="X245" s="1015"/>
      <c r="Y245" s="1015"/>
      <c r="Z245" s="1015"/>
      <c r="AA245" s="184"/>
      <c r="AB245" s="1015"/>
      <c r="AC245" s="711"/>
      <c r="AD245" s="1015"/>
      <c r="AE245" s="711">
        <v>18</v>
      </c>
      <c r="AF245" s="1015"/>
      <c r="AG245" s="711"/>
      <c r="AH245" s="22">
        <f t="shared" si="79"/>
        <v>67</v>
      </c>
      <c r="AI245" s="134"/>
      <c r="AJ245" s="133"/>
      <c r="AL245" s="105"/>
      <c r="AP245" s="105"/>
      <c r="AQ245"/>
      <c r="AR245"/>
    </row>
    <row r="246" spans="2:44">
      <c r="B246" s="176" t="s">
        <v>355</v>
      </c>
      <c r="C246" s="126"/>
      <c r="D246" s="22"/>
      <c r="E246" s="1252"/>
      <c r="F246" s="126"/>
      <c r="G246" s="711"/>
      <c r="H246" s="711"/>
      <c r="I246" s="22"/>
      <c r="J246" s="1252"/>
      <c r="K246" s="22"/>
      <c r="L246" s="1016"/>
      <c r="M246" s="126"/>
      <c r="N246" s="1015"/>
      <c r="O246" s="711">
        <v>19</v>
      </c>
      <c r="P246" s="711"/>
      <c r="Q246" s="711"/>
      <c r="R246" s="126"/>
      <c r="S246" s="711"/>
      <c r="T246" s="184"/>
      <c r="U246" s="711"/>
      <c r="V246" s="711"/>
      <c r="W246" s="711"/>
      <c r="X246" s="1015"/>
      <c r="Y246" s="1015"/>
      <c r="Z246" s="1015"/>
      <c r="AA246" s="184"/>
      <c r="AB246" s="1015"/>
      <c r="AC246" s="711"/>
      <c r="AD246" s="711"/>
      <c r="AE246" s="711"/>
      <c r="AF246" s="1015"/>
      <c r="AG246" s="711"/>
      <c r="AH246" s="22">
        <f t="shared" si="79"/>
        <v>19</v>
      </c>
      <c r="AI246" s="134"/>
      <c r="AJ246" s="133"/>
      <c r="AL246" s="105"/>
      <c r="AP246" s="105"/>
      <c r="AQ246"/>
      <c r="AR246"/>
    </row>
    <row r="247" spans="2:44">
      <c r="B247" s="176" t="s">
        <v>604</v>
      </c>
      <c r="C247" s="126"/>
      <c r="D247" s="22"/>
      <c r="E247" s="1252"/>
      <c r="F247" s="126"/>
      <c r="G247" s="711"/>
      <c r="H247" s="711"/>
      <c r="I247" s="22"/>
      <c r="J247" s="1252"/>
      <c r="K247" s="22"/>
      <c r="L247" s="1016"/>
      <c r="M247" s="126"/>
      <c r="N247" s="1015"/>
      <c r="O247" s="711"/>
      <c r="P247" s="711"/>
      <c r="Q247" s="711"/>
      <c r="R247" s="126"/>
      <c r="S247" s="711"/>
      <c r="T247" s="184"/>
      <c r="U247" s="711"/>
      <c r="V247" s="711"/>
      <c r="W247" s="711"/>
      <c r="X247" s="1015"/>
      <c r="Y247" s="1015"/>
      <c r="Z247" s="1015"/>
      <c r="AA247" s="184"/>
      <c r="AB247" s="1015"/>
      <c r="AC247" s="711">
        <v>16</v>
      </c>
      <c r="AD247" s="711">
        <v>7</v>
      </c>
      <c r="AE247" s="711"/>
      <c r="AF247" s="1015"/>
      <c r="AG247" s="711"/>
      <c r="AH247" s="22">
        <f t="shared" si="79"/>
        <v>23</v>
      </c>
      <c r="AI247" s="134"/>
      <c r="AJ247" s="133"/>
      <c r="AL247" s="105"/>
      <c r="AP247" s="105"/>
      <c r="AQ247"/>
      <c r="AR247"/>
    </row>
    <row r="248" spans="2:44" s="27" customFormat="1">
      <c r="B248" s="211"/>
      <c r="C248" s="126"/>
      <c r="D248" s="22"/>
      <c r="E248" s="1252"/>
      <c r="F248" s="126"/>
      <c r="G248" s="711"/>
      <c r="H248" s="711"/>
      <c r="I248" s="22"/>
      <c r="J248" s="1252"/>
      <c r="K248" s="22"/>
      <c r="L248" s="1016"/>
      <c r="M248" s="126"/>
      <c r="N248" s="1015"/>
      <c r="O248" s="711"/>
      <c r="P248" s="711"/>
      <c r="Q248" s="711"/>
      <c r="R248" s="126"/>
      <c r="S248" s="711"/>
      <c r="T248" s="184"/>
      <c r="U248" s="711"/>
      <c r="V248" s="711"/>
      <c r="W248" s="711"/>
      <c r="X248" s="1015"/>
      <c r="Y248" s="1015"/>
      <c r="Z248" s="1015"/>
      <c r="AA248" s="184"/>
      <c r="AB248" s="1015"/>
      <c r="AC248" s="711"/>
      <c r="AD248" s="711"/>
      <c r="AE248" s="711"/>
      <c r="AF248" s="1015"/>
      <c r="AG248" s="711"/>
      <c r="AH248" s="22">
        <f t="shared" si="79"/>
        <v>0</v>
      </c>
      <c r="AI248" s="134"/>
      <c r="AJ248" s="212"/>
      <c r="AK248" s="34"/>
      <c r="AL248" s="37"/>
      <c r="AM248" s="34"/>
      <c r="AN248" s="34"/>
      <c r="AO248" s="34"/>
      <c r="AP248" s="37"/>
    </row>
    <row r="249" spans="2:44" s="27" customFormat="1">
      <c r="B249" s="211"/>
      <c r="C249" s="126"/>
      <c r="D249" s="22"/>
      <c r="E249" s="1252"/>
      <c r="F249" s="126"/>
      <c r="G249" s="711"/>
      <c r="H249" s="711"/>
      <c r="I249" s="22"/>
      <c r="J249" s="1252"/>
      <c r="K249" s="22"/>
      <c r="L249" s="1016"/>
      <c r="M249" s="126"/>
      <c r="N249" s="1015"/>
      <c r="O249" s="711"/>
      <c r="P249" s="711"/>
      <c r="Q249" s="711"/>
      <c r="R249" s="126"/>
      <c r="S249" s="711"/>
      <c r="T249" s="184"/>
      <c r="U249" s="711"/>
      <c r="V249" s="711"/>
      <c r="W249" s="711"/>
      <c r="X249" s="1015"/>
      <c r="Y249" s="1015"/>
      <c r="Z249" s="1015"/>
      <c r="AA249" s="184"/>
      <c r="AB249" s="1015"/>
      <c r="AC249" s="711"/>
      <c r="AD249" s="711"/>
      <c r="AE249" s="711"/>
      <c r="AF249" s="1015"/>
      <c r="AG249" s="711"/>
      <c r="AH249" s="22">
        <f t="shared" si="79"/>
        <v>0</v>
      </c>
      <c r="AI249" s="133"/>
      <c r="AJ249" s="212"/>
      <c r="AK249" s="34"/>
      <c r="AL249" s="37"/>
      <c r="AM249" s="34"/>
      <c r="AN249" s="34"/>
      <c r="AO249" s="34"/>
      <c r="AP249" s="37"/>
    </row>
    <row r="250" spans="2:44" s="27" customFormat="1">
      <c r="B250" s="596" t="s">
        <v>302</v>
      </c>
      <c r="C250" s="597"/>
      <c r="D250" s="589"/>
      <c r="E250" s="1253"/>
      <c r="F250" s="597"/>
      <c r="G250" s="713"/>
      <c r="H250" s="713"/>
      <c r="I250" s="589"/>
      <c r="J250" s="1253"/>
      <c r="K250" s="589"/>
      <c r="L250" s="1018"/>
      <c r="M250" s="597"/>
      <c r="N250" s="1019"/>
      <c r="O250" s="713"/>
      <c r="P250" s="713"/>
      <c r="Q250" s="713"/>
      <c r="R250" s="597"/>
      <c r="S250" s="713"/>
      <c r="T250" s="895"/>
      <c r="U250" s="713"/>
      <c r="V250" s="713"/>
      <c r="W250" s="713"/>
      <c r="X250" s="1019"/>
      <c r="Y250" s="1019"/>
      <c r="Z250" s="1019"/>
      <c r="AA250" s="895"/>
      <c r="AB250" s="1019"/>
      <c r="AC250" s="713"/>
      <c r="AD250" s="713"/>
      <c r="AE250" s="713"/>
      <c r="AF250" s="1019"/>
      <c r="AG250" s="713"/>
      <c r="AH250" s="22">
        <f t="shared" si="79"/>
        <v>0</v>
      </c>
      <c r="AI250" s="133"/>
      <c r="AJ250" s="212"/>
      <c r="AK250" s="34"/>
      <c r="AL250" s="37"/>
      <c r="AM250" s="34"/>
      <c r="AN250" s="34"/>
      <c r="AO250" s="34"/>
      <c r="AP250" s="37"/>
    </row>
    <row r="251" spans="2:44" s="188" customFormat="1">
      <c r="B251" s="129" t="s">
        <v>35</v>
      </c>
      <c r="C251" s="130">
        <f t="shared" ref="C251:L251" si="80">SUM(C237:C250)</f>
        <v>0</v>
      </c>
      <c r="D251" s="19">
        <f t="shared" si="80"/>
        <v>18</v>
      </c>
      <c r="E251" s="1254">
        <f t="shared" si="80"/>
        <v>18</v>
      </c>
      <c r="F251" s="130">
        <f t="shared" si="80"/>
        <v>0</v>
      </c>
      <c r="G251" s="129">
        <f t="shared" si="80"/>
        <v>19</v>
      </c>
      <c r="H251" s="129">
        <f t="shared" si="80"/>
        <v>18</v>
      </c>
      <c r="I251" s="19">
        <f t="shared" si="80"/>
        <v>19</v>
      </c>
      <c r="J251" s="1254">
        <f t="shared" si="80"/>
        <v>18</v>
      </c>
      <c r="K251" s="19">
        <f t="shared" si="80"/>
        <v>17</v>
      </c>
      <c r="L251" s="129">
        <f t="shared" si="80"/>
        <v>18</v>
      </c>
      <c r="M251" s="130">
        <f>SUM(M237:M249)</f>
        <v>0</v>
      </c>
      <c r="N251" s="1020">
        <f>SUM(N237:N249)</f>
        <v>19</v>
      </c>
      <c r="O251" s="129">
        <f>SUM(O237:O248)</f>
        <v>20</v>
      </c>
      <c r="P251" s="129">
        <f>SUM(P237:P248)</f>
        <v>19</v>
      </c>
      <c r="Q251" s="129">
        <f>SUM(Q237:Q248)</f>
        <v>18</v>
      </c>
      <c r="R251" s="130">
        <f>SUM(R237:R249)</f>
        <v>0</v>
      </c>
      <c r="S251" s="129">
        <f>SUM(S237:S248)</f>
        <v>18</v>
      </c>
      <c r="T251" s="1048">
        <f>SUM(T237:T248)</f>
        <v>0</v>
      </c>
      <c r="U251" s="129">
        <f t="shared" ref="U251:Z251" si="81">SUM(U237:U249)</f>
        <v>20</v>
      </c>
      <c r="V251" s="129">
        <f t="shared" si="81"/>
        <v>18</v>
      </c>
      <c r="W251" s="129">
        <f t="shared" si="81"/>
        <v>18</v>
      </c>
      <c r="X251" s="129">
        <f t="shared" si="81"/>
        <v>19</v>
      </c>
      <c r="Y251" s="129">
        <f t="shared" si="81"/>
        <v>19</v>
      </c>
      <c r="Z251" s="129">
        <f t="shared" si="81"/>
        <v>19</v>
      </c>
      <c r="AA251" s="130">
        <f>SUM(AA237:AA249)+AA252</f>
        <v>0</v>
      </c>
      <c r="AB251" s="129">
        <f>SUM(AB237:AB248)</f>
        <v>21</v>
      </c>
      <c r="AC251" s="129">
        <f>SUM(AC237:AC248)+AC252</f>
        <v>18</v>
      </c>
      <c r="AD251" s="129">
        <f>SUM(AD237:AD248)</f>
        <v>19</v>
      </c>
      <c r="AE251" s="129">
        <f>SUM(AE237:AE248)</f>
        <v>21</v>
      </c>
      <c r="AF251" s="129">
        <f>SUM(AF237:AF248)</f>
        <v>18</v>
      </c>
      <c r="AG251" s="129">
        <f>SUM(AG237:AG248)</f>
        <v>20</v>
      </c>
      <c r="AH251" s="130">
        <f>SUM(AH237:AH250)+AH252</f>
        <v>469</v>
      </c>
      <c r="AI251" s="131"/>
      <c r="AJ251" s="131"/>
      <c r="AL251" s="132"/>
    </row>
    <row r="252" spans="2:44" s="27" customFormat="1">
      <c r="B252" s="201"/>
      <c r="C252" s="107"/>
      <c r="E252" s="1255"/>
      <c r="F252" s="107"/>
      <c r="G252" s="488"/>
      <c r="H252" s="488"/>
      <c r="J252" s="1272"/>
      <c r="L252" s="550"/>
      <c r="M252" s="107"/>
      <c r="N252" s="1021"/>
      <c r="O252" s="488"/>
      <c r="P252" s="488"/>
      <c r="Q252" s="488"/>
      <c r="R252" s="107"/>
      <c r="S252" s="488"/>
      <c r="T252" s="734"/>
      <c r="U252" s="488"/>
      <c r="V252" s="488"/>
      <c r="W252" s="488"/>
      <c r="X252" s="1011"/>
      <c r="Y252" s="1011"/>
      <c r="Z252" s="1011"/>
      <c r="AA252" s="38"/>
      <c r="AB252" s="1011"/>
      <c r="AC252" s="488"/>
      <c r="AD252" s="488"/>
      <c r="AE252" s="488"/>
      <c r="AF252" s="1021"/>
      <c r="AG252" s="488"/>
      <c r="AH252" s="43">
        <f>SUM(O252:AG252)</f>
        <v>0</v>
      </c>
      <c r="AJ252" s="110"/>
      <c r="AK252" s="34"/>
      <c r="AL252" s="34"/>
      <c r="AM252" s="34"/>
      <c r="AN252" s="34"/>
      <c r="AO252" s="34"/>
      <c r="AP252" s="34"/>
      <c r="AQ252" s="34"/>
      <c r="AR252" s="34"/>
    </row>
    <row r="253" spans="2:44">
      <c r="B253" s="3" t="s">
        <v>17</v>
      </c>
      <c r="C253" s="93"/>
      <c r="D253" s="21">
        <v>1</v>
      </c>
      <c r="E253" s="1252">
        <v>1</v>
      </c>
      <c r="F253" s="93"/>
      <c r="G253" s="1022">
        <v>1</v>
      </c>
      <c r="H253" s="1022">
        <v>1</v>
      </c>
      <c r="I253" s="21">
        <v>1</v>
      </c>
      <c r="J253" s="1273">
        <v>1</v>
      </c>
      <c r="K253" s="21">
        <v>1</v>
      </c>
      <c r="L253" s="1023">
        <v>1</v>
      </c>
      <c r="M253" s="93"/>
      <c r="N253" s="1024">
        <v>1</v>
      </c>
      <c r="O253" s="1022">
        <v>1</v>
      </c>
      <c r="P253" s="1022">
        <v>1</v>
      </c>
      <c r="Q253" s="1022">
        <v>1</v>
      </c>
      <c r="R253" s="93"/>
      <c r="S253" s="1022">
        <v>1</v>
      </c>
      <c r="T253" s="732"/>
      <c r="U253" s="1022"/>
      <c r="V253" s="710"/>
      <c r="W253" s="710">
        <v>1</v>
      </c>
      <c r="X253" s="950">
        <v>1</v>
      </c>
      <c r="Y253" s="950"/>
      <c r="Z253" s="950"/>
      <c r="AA253" s="35"/>
      <c r="AB253" s="950"/>
      <c r="AC253" s="710"/>
      <c r="AD253" s="710"/>
      <c r="AE253" s="710"/>
      <c r="AF253" s="950"/>
      <c r="AG253" s="710"/>
      <c r="AH253" s="4">
        <f>SUBTOTAL(9,C253:AG253)</f>
        <v>15</v>
      </c>
      <c r="AL253" s="105"/>
    </row>
    <row r="254" spans="2:44">
      <c r="B254" s="3" t="s">
        <v>18</v>
      </c>
      <c r="C254" s="31"/>
      <c r="D254" s="26">
        <v>1</v>
      </c>
      <c r="E254" s="1227"/>
      <c r="F254" s="31"/>
      <c r="G254" s="950"/>
      <c r="H254" s="710"/>
      <c r="I254" s="5"/>
      <c r="J254" s="1228">
        <v>1</v>
      </c>
      <c r="K254" s="26">
        <v>1</v>
      </c>
      <c r="L254" s="950">
        <v>2</v>
      </c>
      <c r="M254" s="31"/>
      <c r="N254" s="950">
        <v>1</v>
      </c>
      <c r="O254" s="950"/>
      <c r="P254" s="710">
        <v>1</v>
      </c>
      <c r="Q254" s="710">
        <v>2</v>
      </c>
      <c r="R254" s="35"/>
      <c r="S254" s="950">
        <v>2</v>
      </c>
      <c r="T254" s="35"/>
      <c r="U254" s="710">
        <v>1</v>
      </c>
      <c r="V254" s="710">
        <v>2</v>
      </c>
      <c r="W254" s="950">
        <v>2</v>
      </c>
      <c r="X254" s="950">
        <v>1</v>
      </c>
      <c r="Y254" s="950">
        <v>1</v>
      </c>
      <c r="Z254" s="950">
        <v>1</v>
      </c>
      <c r="AA254" s="35"/>
      <c r="AB254" s="950"/>
      <c r="AC254" s="710">
        <v>3</v>
      </c>
      <c r="AD254" s="710">
        <v>1</v>
      </c>
      <c r="AE254" s="950"/>
      <c r="AF254" s="950">
        <v>2</v>
      </c>
      <c r="AG254" s="950"/>
      <c r="AH254" s="4">
        <f>SUBTOTAL(9,C254:AG254)</f>
        <v>25</v>
      </c>
      <c r="AL254" s="105"/>
    </row>
    <row r="255" spans="2:44">
      <c r="B255" s="3" t="s">
        <v>20</v>
      </c>
      <c r="C255" s="31"/>
      <c r="D255" s="26"/>
      <c r="E255" s="1227"/>
      <c r="F255" s="31"/>
      <c r="G255" s="950"/>
      <c r="H255" s="710"/>
      <c r="I255" s="5"/>
      <c r="J255" s="1228"/>
      <c r="K255" s="26"/>
      <c r="L255" s="950"/>
      <c r="M255" s="31"/>
      <c r="N255" s="950"/>
      <c r="O255" s="950"/>
      <c r="P255" s="710"/>
      <c r="Q255" s="710"/>
      <c r="R255" s="35"/>
      <c r="S255" s="950"/>
      <c r="T255" s="35"/>
      <c r="U255" s="710"/>
      <c r="V255" s="710"/>
      <c r="W255" s="710"/>
      <c r="X255" s="710"/>
      <c r="Y255" s="950"/>
      <c r="Z255" s="950"/>
      <c r="AA255" s="35"/>
      <c r="AB255" s="950"/>
      <c r="AC255" s="710"/>
      <c r="AD255" s="710"/>
      <c r="AE255" s="950"/>
      <c r="AF255" s="950"/>
      <c r="AG255" s="950"/>
      <c r="AH255" s="4">
        <f>SUBTOTAL(9,C255:AG255)</f>
        <v>0</v>
      </c>
    </row>
    <row r="256" spans="2:44">
      <c r="B256" s="3" t="s">
        <v>19</v>
      </c>
      <c r="C256" s="93"/>
      <c r="D256" s="21"/>
      <c r="E256" s="1252"/>
      <c r="F256" s="93"/>
      <c r="G256" s="1022"/>
      <c r="H256" s="1022"/>
      <c r="I256" s="21"/>
      <c r="J256" s="1273"/>
      <c r="K256" s="21"/>
      <c r="L256" s="1023"/>
      <c r="M256" s="93"/>
      <c r="N256" s="950"/>
      <c r="O256" s="710"/>
      <c r="P256" s="1022"/>
      <c r="Q256" s="1022"/>
      <c r="R256" s="93"/>
      <c r="S256" s="1022"/>
      <c r="T256" s="732"/>
      <c r="U256" s="1022"/>
      <c r="V256" s="710"/>
      <c r="W256" s="710"/>
      <c r="X256" s="950"/>
      <c r="Y256" s="950"/>
      <c r="Z256" s="950">
        <v>1</v>
      </c>
      <c r="AA256" s="35"/>
      <c r="AB256" s="950"/>
      <c r="AC256" s="710"/>
      <c r="AD256" s="710"/>
      <c r="AE256" s="710"/>
      <c r="AF256" s="950"/>
      <c r="AG256" s="710"/>
      <c r="AH256" s="4">
        <f t="shared" ref="AH256" si="82">SUBTOTAL(9,C256:AG256)</f>
        <v>1</v>
      </c>
      <c r="AJ256" s="55">
        <f>AH251+AH253+AH254+AH255</f>
        <v>509</v>
      </c>
      <c r="AK256"/>
      <c r="AL256"/>
      <c r="AM256"/>
      <c r="AN256"/>
      <c r="AO256"/>
      <c r="AP256"/>
      <c r="AQ256"/>
      <c r="AR256"/>
    </row>
    <row r="257" spans="1:44">
      <c r="B257" s="3" t="s">
        <v>15</v>
      </c>
      <c r="C257" s="31"/>
      <c r="D257" s="26"/>
      <c r="E257" s="1227">
        <v>1</v>
      </c>
      <c r="F257" s="31"/>
      <c r="G257" s="950"/>
      <c r="H257" s="710">
        <v>1</v>
      </c>
      <c r="I257" s="5"/>
      <c r="J257" s="1228"/>
      <c r="K257" s="26">
        <v>1</v>
      </c>
      <c r="L257" s="950"/>
      <c r="M257" s="31"/>
      <c r="N257" s="950"/>
      <c r="O257" s="950"/>
      <c r="P257" s="710"/>
      <c r="Q257" s="710"/>
      <c r="R257" s="35"/>
      <c r="S257" s="950"/>
      <c r="T257" s="35"/>
      <c r="U257" s="710"/>
      <c r="V257" s="710">
        <v>1</v>
      </c>
      <c r="W257" s="950"/>
      <c r="X257" s="950"/>
      <c r="Y257" s="950">
        <v>1</v>
      </c>
      <c r="Z257" s="950"/>
      <c r="AA257" s="35"/>
      <c r="AB257" s="950"/>
      <c r="AC257" s="710"/>
      <c r="AD257" s="710">
        <v>1</v>
      </c>
      <c r="AE257" s="950"/>
      <c r="AF257" s="950">
        <v>1</v>
      </c>
      <c r="AG257" s="950">
        <v>1</v>
      </c>
      <c r="AH257" s="4">
        <f>SUBTOTAL(9,C257:AG257)</f>
        <v>8</v>
      </c>
      <c r="AJ257">
        <f>132+26</f>
        <v>158</v>
      </c>
      <c r="AK257"/>
      <c r="AL257"/>
      <c r="AM257"/>
      <c r="AN257"/>
      <c r="AO257"/>
      <c r="AP257"/>
      <c r="AQ257"/>
      <c r="AR257"/>
    </row>
    <row r="258" spans="1:44">
      <c r="B258" s="101" t="s">
        <v>10</v>
      </c>
      <c r="C258" s="31">
        <f>SUBTOTAL(9,C253:C257)</f>
        <v>0</v>
      </c>
      <c r="D258" s="5">
        <f>SUBTOTAL(9,D253:D257)</f>
        <v>2</v>
      </c>
      <c r="E258" s="1228">
        <f t="shared" ref="E258:J258" si="83">SUBTOTAL(9,E253:E257)</f>
        <v>2</v>
      </c>
      <c r="F258" s="31">
        <f t="shared" si="83"/>
        <v>0</v>
      </c>
      <c r="G258" s="710">
        <f t="shared" si="83"/>
        <v>1</v>
      </c>
      <c r="H258" s="710">
        <f t="shared" si="83"/>
        <v>2</v>
      </c>
      <c r="I258" s="5">
        <f t="shared" si="83"/>
        <v>1</v>
      </c>
      <c r="J258" s="1228">
        <f t="shared" si="83"/>
        <v>2</v>
      </c>
      <c r="K258" s="5">
        <f t="shared" ref="K258" si="84">SUBTOTAL(9,K253:K257)</f>
        <v>3</v>
      </c>
      <c r="L258" s="710">
        <f t="shared" ref="L258" si="85">SUBTOTAL(9,L253:L257)</f>
        <v>3</v>
      </c>
      <c r="M258" s="31">
        <f t="shared" ref="M258" si="86">SUBTOTAL(9,M253:M257)</f>
        <v>0</v>
      </c>
      <c r="N258" s="710">
        <f t="shared" ref="N258" si="87">SUBTOTAL(9,N253:N257)</f>
        <v>2</v>
      </c>
      <c r="O258" s="710">
        <f t="shared" ref="O258" si="88">SUBTOTAL(9,O253:O257)</f>
        <v>1</v>
      </c>
      <c r="P258" s="710">
        <f t="shared" ref="P258" si="89">SUBTOTAL(9,P253:P257)</f>
        <v>2</v>
      </c>
      <c r="Q258" s="710">
        <f t="shared" ref="Q258" si="90">SUBTOTAL(9,Q253:Q257)</f>
        <v>3</v>
      </c>
      <c r="R258" s="31">
        <f t="shared" ref="R258" si="91">SUBTOTAL(9,R253:R257)</f>
        <v>0</v>
      </c>
      <c r="S258" s="710">
        <f t="shared" ref="S258" si="92">SUBTOTAL(9,S253:S257)</f>
        <v>3</v>
      </c>
      <c r="T258" s="35">
        <f t="shared" ref="T258" si="93">SUBTOTAL(9,T253:T257)</f>
        <v>0</v>
      </c>
      <c r="U258" s="710">
        <f t="shared" ref="U258" si="94">SUBTOTAL(9,U253:U257)</f>
        <v>1</v>
      </c>
      <c r="V258" s="710">
        <f t="shared" ref="V258" si="95">SUBTOTAL(9,V253:V257)</f>
        <v>3</v>
      </c>
      <c r="W258" s="710">
        <f t="shared" ref="W258" si="96">SUBTOTAL(9,W253:W257)</f>
        <v>3</v>
      </c>
      <c r="X258" s="710">
        <f t="shared" ref="X258" si="97">SUBTOTAL(9,X253:X257)</f>
        <v>2</v>
      </c>
      <c r="Y258" s="710">
        <f t="shared" ref="Y258" si="98">SUBTOTAL(9,Y253:Y257)</f>
        <v>2</v>
      </c>
      <c r="Z258" s="710">
        <f t="shared" ref="Z258" si="99">SUBTOTAL(9,Z253:Z257)</f>
        <v>2</v>
      </c>
      <c r="AA258" s="31">
        <f t="shared" ref="AA258" si="100">SUBTOTAL(9,AA253:AA257)</f>
        <v>0</v>
      </c>
      <c r="AB258" s="710">
        <f t="shared" ref="AB258" si="101">SUBTOTAL(9,AB253:AB257)</f>
        <v>0</v>
      </c>
      <c r="AC258" s="710">
        <f t="shared" ref="AC258" si="102">SUBTOTAL(9,AC253:AC257)</f>
        <v>3</v>
      </c>
      <c r="AD258" s="710">
        <f t="shared" ref="AD258" si="103">SUBTOTAL(9,AD253:AD257)</f>
        <v>2</v>
      </c>
      <c r="AE258" s="710">
        <f t="shared" ref="AE258" si="104">SUBTOTAL(9,AE253:AE257)</f>
        <v>0</v>
      </c>
      <c r="AF258" s="710">
        <f t="shared" ref="AF258" si="105">SUBTOTAL(9,AF253:AF257)</f>
        <v>3</v>
      </c>
      <c r="AG258" s="710">
        <f t="shared" ref="AG258" si="106">SUBTOTAL(9,AG253:AG257)</f>
        <v>1</v>
      </c>
      <c r="AH258" s="102">
        <f>SUM(AH253:AH257)</f>
        <v>49</v>
      </c>
      <c r="AJ258"/>
      <c r="AK258"/>
      <c r="AL258"/>
      <c r="AM258"/>
      <c r="AN258"/>
      <c r="AO258"/>
      <c r="AP258"/>
      <c r="AQ258"/>
      <c r="AR258"/>
    </row>
    <row r="259" spans="1:44">
      <c r="B259" s="103" t="s">
        <v>38</v>
      </c>
      <c r="C259" s="30">
        <f t="shared" ref="C259:H259" si="107">C251+C258</f>
        <v>0</v>
      </c>
      <c r="D259" s="25">
        <f t="shared" si="107"/>
        <v>20</v>
      </c>
      <c r="E259" s="1242">
        <f t="shared" si="107"/>
        <v>20</v>
      </c>
      <c r="F259" s="30">
        <f t="shared" si="107"/>
        <v>0</v>
      </c>
      <c r="G259" s="931">
        <f t="shared" si="107"/>
        <v>20</v>
      </c>
      <c r="H259" s="931">
        <f t="shared" si="107"/>
        <v>20</v>
      </c>
      <c r="I259" s="1204">
        <f t="shared" ref="I259:AG259" si="108">I251+I258</f>
        <v>20</v>
      </c>
      <c r="J259" s="1267">
        <f t="shared" si="108"/>
        <v>20</v>
      </c>
      <c r="K259" s="1204">
        <f t="shared" si="108"/>
        <v>20</v>
      </c>
      <c r="L259" s="931">
        <f t="shared" si="108"/>
        <v>21</v>
      </c>
      <c r="M259" s="30">
        <f t="shared" si="108"/>
        <v>0</v>
      </c>
      <c r="N259" s="937">
        <f t="shared" si="108"/>
        <v>21</v>
      </c>
      <c r="O259" s="931">
        <f t="shared" si="108"/>
        <v>21</v>
      </c>
      <c r="P259" s="931">
        <f t="shared" si="108"/>
        <v>21</v>
      </c>
      <c r="Q259" s="931">
        <f t="shared" si="108"/>
        <v>21</v>
      </c>
      <c r="R259" s="30">
        <f t="shared" si="108"/>
        <v>0</v>
      </c>
      <c r="S259" s="931">
        <f t="shared" si="108"/>
        <v>21</v>
      </c>
      <c r="T259" s="182">
        <f t="shared" si="108"/>
        <v>0</v>
      </c>
      <c r="U259" s="931">
        <f t="shared" si="108"/>
        <v>21</v>
      </c>
      <c r="V259" s="931">
        <f t="shared" si="108"/>
        <v>21</v>
      </c>
      <c r="W259" s="931">
        <f t="shared" si="108"/>
        <v>21</v>
      </c>
      <c r="X259" s="931">
        <f t="shared" si="108"/>
        <v>21</v>
      </c>
      <c r="Y259" s="931">
        <f t="shared" si="108"/>
        <v>21</v>
      </c>
      <c r="Z259" s="931">
        <f t="shared" si="108"/>
        <v>21</v>
      </c>
      <c r="AA259" s="30">
        <f>AA251+AA258</f>
        <v>0</v>
      </c>
      <c r="AB259" s="931">
        <f t="shared" ref="AB259" si="109">AB251+AB258+AB252</f>
        <v>21</v>
      </c>
      <c r="AC259" s="931">
        <f>AC251+AC258</f>
        <v>21</v>
      </c>
      <c r="AD259" s="931">
        <f t="shared" si="108"/>
        <v>21</v>
      </c>
      <c r="AE259" s="931">
        <f t="shared" si="108"/>
        <v>21</v>
      </c>
      <c r="AF259" s="937">
        <f t="shared" si="108"/>
        <v>21</v>
      </c>
      <c r="AG259" s="931">
        <f t="shared" si="108"/>
        <v>21</v>
      </c>
      <c r="AH259" s="104">
        <f>AH251+AH258</f>
        <v>518</v>
      </c>
      <c r="AI259">
        <v>112</v>
      </c>
      <c r="AJ259"/>
      <c r="AK259"/>
      <c r="AL259"/>
      <c r="AM259"/>
      <c r="AN259"/>
      <c r="AO259"/>
      <c r="AP259"/>
      <c r="AQ259"/>
      <c r="AR259"/>
    </row>
    <row r="260" spans="1:44" s="27" customFormat="1">
      <c r="C260" s="107"/>
      <c r="E260" s="1255"/>
      <c r="F260" s="107"/>
      <c r="G260" s="488"/>
      <c r="H260" s="488"/>
      <c r="J260" s="1272"/>
      <c r="L260" s="550"/>
      <c r="M260" s="107"/>
      <c r="N260" s="1021"/>
      <c r="O260" s="488"/>
      <c r="P260" s="488"/>
      <c r="Q260" s="488"/>
      <c r="R260" s="107"/>
      <c r="S260" s="488"/>
      <c r="T260" s="734"/>
      <c r="U260" s="488"/>
      <c r="V260" s="488"/>
      <c r="W260" s="488"/>
      <c r="X260" s="488"/>
      <c r="Y260" s="488"/>
      <c r="Z260" s="488"/>
      <c r="AA260" s="107"/>
      <c r="AB260" s="488"/>
      <c r="AC260" s="488"/>
      <c r="AD260" s="488"/>
      <c r="AE260" s="488"/>
      <c r="AF260" s="488"/>
      <c r="AG260" s="488"/>
      <c r="AH260" s="110">
        <f>C260+J260+Q260+X260+AE260</f>
        <v>0</v>
      </c>
    </row>
    <row r="261" spans="1:44" s="27" customFormat="1">
      <c r="C261" s="107"/>
      <c r="E261" s="1255"/>
      <c r="F261" s="107"/>
      <c r="G261" s="488"/>
      <c r="H261" s="488"/>
      <c r="J261" s="1272"/>
      <c r="L261" s="550"/>
      <c r="M261" s="107"/>
      <c r="N261" s="1021"/>
      <c r="O261" s="488"/>
      <c r="P261" s="488"/>
      <c r="Q261" s="488"/>
      <c r="R261" s="107"/>
      <c r="S261" s="488"/>
      <c r="T261" s="734"/>
      <c r="U261" s="488"/>
      <c r="V261" s="488"/>
      <c r="W261" s="488"/>
      <c r="X261" s="488"/>
      <c r="Y261" s="488"/>
      <c r="Z261" s="557"/>
      <c r="AA261" s="107"/>
      <c r="AB261" s="488"/>
      <c r="AC261" s="1012"/>
      <c r="AD261" s="1012"/>
      <c r="AE261" s="1011"/>
      <c r="AF261" s="1011"/>
      <c r="AG261" s="1011"/>
      <c r="AH261" s="110"/>
    </row>
    <row r="262" spans="1:44" s="27" customFormat="1">
      <c r="A262" s="563" t="s">
        <v>40</v>
      </c>
      <c r="B262" s="563" t="s">
        <v>81</v>
      </c>
      <c r="C262" s="561">
        <v>1</v>
      </c>
      <c r="D262" s="560">
        <v>2</v>
      </c>
      <c r="E262" s="1256">
        <v>3</v>
      </c>
      <c r="F262" s="561">
        <v>4</v>
      </c>
      <c r="G262" s="712">
        <v>5</v>
      </c>
      <c r="H262" s="1025">
        <v>6</v>
      </c>
      <c r="I262" s="562">
        <v>7</v>
      </c>
      <c r="J262" s="1274">
        <v>8</v>
      </c>
      <c r="K262" s="560">
        <v>9</v>
      </c>
      <c r="L262" s="1026">
        <v>10</v>
      </c>
      <c r="M262" s="561">
        <v>11</v>
      </c>
      <c r="N262" s="1026">
        <v>12</v>
      </c>
      <c r="O262" s="1025">
        <v>13</v>
      </c>
      <c r="P262" s="1026">
        <v>14</v>
      </c>
      <c r="Q262" s="1025">
        <v>15</v>
      </c>
      <c r="R262" s="561">
        <v>16</v>
      </c>
      <c r="S262" s="1025">
        <v>17</v>
      </c>
      <c r="T262" s="738">
        <v>18</v>
      </c>
      <c r="U262" s="1025">
        <v>19</v>
      </c>
      <c r="V262" s="1025">
        <v>20</v>
      </c>
      <c r="W262" s="1025">
        <v>21</v>
      </c>
      <c r="X262" s="1025">
        <v>22</v>
      </c>
      <c r="Y262" s="1025">
        <v>23</v>
      </c>
      <c r="Z262" s="1025">
        <v>24</v>
      </c>
      <c r="AA262" s="561">
        <v>25</v>
      </c>
      <c r="AB262" s="1025">
        <v>26</v>
      </c>
      <c r="AC262" s="1025">
        <v>27</v>
      </c>
      <c r="AD262" s="1025">
        <v>28</v>
      </c>
      <c r="AE262" s="1025">
        <v>29</v>
      </c>
      <c r="AF262" s="1025">
        <v>30</v>
      </c>
      <c r="AG262" s="1025">
        <v>31</v>
      </c>
      <c r="AH262" s="563" t="s">
        <v>10</v>
      </c>
      <c r="AI262" s="564" t="s">
        <v>22</v>
      </c>
      <c r="AJ262" s="564" t="s">
        <v>10</v>
      </c>
    </row>
    <row r="263" spans="1:44" s="27" customFormat="1">
      <c r="A263" s="560">
        <v>1</v>
      </c>
      <c r="B263" s="567" t="s">
        <v>92</v>
      </c>
      <c r="C263" s="566"/>
      <c r="D263" s="565"/>
      <c r="E263" s="1257"/>
      <c r="F263" s="566"/>
      <c r="G263" s="1027"/>
      <c r="H263" s="1027"/>
      <c r="I263" s="565"/>
      <c r="J263" s="1257"/>
      <c r="K263" s="565"/>
      <c r="L263" s="1028"/>
      <c r="M263" s="566"/>
      <c r="N263" s="1029"/>
      <c r="O263" s="1027"/>
      <c r="P263" s="1027"/>
      <c r="Q263" s="1027"/>
      <c r="R263" s="566"/>
      <c r="S263" s="1027"/>
      <c r="T263" s="1049"/>
      <c r="U263" s="1027"/>
      <c r="V263" s="1027"/>
      <c r="W263" s="1027"/>
      <c r="X263" s="1027"/>
      <c r="Y263" s="1027"/>
      <c r="Z263" s="1027"/>
      <c r="AA263" s="566"/>
      <c r="AB263" s="1027"/>
      <c r="AC263" s="1027"/>
      <c r="AD263" s="1027"/>
      <c r="AE263" s="1027"/>
      <c r="AF263" s="1029">
        <v>1</v>
      </c>
      <c r="AG263" s="1027">
        <v>1</v>
      </c>
      <c r="AH263" s="565">
        <f>SUM(C263:AG263)</f>
        <v>2</v>
      </c>
      <c r="AI263" s="560">
        <v>34985.550000000003</v>
      </c>
      <c r="AJ263" s="568">
        <f>AH263*AI263</f>
        <v>69971.100000000006</v>
      </c>
    </row>
    <row r="264" spans="1:44" s="27" customFormat="1">
      <c r="A264" s="560"/>
      <c r="B264" s="567"/>
      <c r="C264" s="566"/>
      <c r="D264" s="565"/>
      <c r="E264" s="1257"/>
      <c r="F264" s="566"/>
      <c r="G264" s="1027"/>
      <c r="H264" s="1027"/>
      <c r="I264" s="565"/>
      <c r="J264" s="1257"/>
      <c r="K264" s="565"/>
      <c r="L264" s="1028"/>
      <c r="M264" s="566"/>
      <c r="N264" s="1029"/>
      <c r="O264" s="1027"/>
      <c r="P264" s="1027"/>
      <c r="Q264" s="1027"/>
      <c r="R264" s="566"/>
      <c r="S264" s="1027"/>
      <c r="T264" s="1049"/>
      <c r="U264" s="1027"/>
      <c r="V264" s="1027"/>
      <c r="W264" s="1027"/>
      <c r="X264" s="1027"/>
      <c r="Y264" s="1027"/>
      <c r="Z264" s="1027"/>
      <c r="AA264" s="566"/>
      <c r="AB264" s="1027"/>
      <c r="AC264" s="1027"/>
      <c r="AD264" s="1027"/>
      <c r="AE264" s="1027"/>
      <c r="AF264" s="1029">
        <v>2</v>
      </c>
      <c r="AG264" s="1027">
        <v>1</v>
      </c>
      <c r="AH264" s="565">
        <f>SUM(C264:AG264)</f>
        <v>3</v>
      </c>
      <c r="AI264" s="560">
        <v>46647.4</v>
      </c>
      <c r="AJ264" s="568">
        <f>AH264*AI264</f>
        <v>139942.20000000001</v>
      </c>
    </row>
    <row r="265" spans="1:44" s="27" customFormat="1">
      <c r="A265" s="560"/>
      <c r="B265" s="565"/>
      <c r="C265" s="566"/>
      <c r="D265" s="565"/>
      <c r="E265" s="1257"/>
      <c r="F265" s="566"/>
      <c r="G265" s="1027"/>
      <c r="H265" s="1027"/>
      <c r="I265" s="565"/>
      <c r="J265" s="1257"/>
      <c r="K265" s="565"/>
      <c r="L265" s="1028"/>
      <c r="M265" s="566"/>
      <c r="N265" s="1029"/>
      <c r="O265" s="1027"/>
      <c r="P265" s="1027"/>
      <c r="Q265" s="1027"/>
      <c r="R265" s="566"/>
      <c r="S265" s="1027"/>
      <c r="T265" s="1049"/>
      <c r="U265" s="1027"/>
      <c r="V265" s="1027"/>
      <c r="W265" s="1027"/>
      <c r="X265" s="1027"/>
      <c r="Y265" s="1027"/>
      <c r="Z265" s="1027"/>
      <c r="AA265" s="566"/>
      <c r="AB265" s="1027"/>
      <c r="AC265" s="1027"/>
      <c r="AD265" s="1027"/>
      <c r="AE265" s="1027"/>
      <c r="AF265" s="1029"/>
      <c r="AG265" s="1027"/>
      <c r="AH265" s="565"/>
      <c r="AI265" s="560"/>
      <c r="AJ265" s="569">
        <f>SUM(AJ263:AJ264)</f>
        <v>209913.30000000002</v>
      </c>
    </row>
    <row r="266" spans="1:44" s="27" customFormat="1">
      <c r="A266" s="560">
        <v>2</v>
      </c>
      <c r="B266" s="567" t="s">
        <v>107</v>
      </c>
      <c r="C266" s="566"/>
      <c r="D266" s="565"/>
      <c r="E266" s="1257"/>
      <c r="F266" s="566"/>
      <c r="G266" s="1027"/>
      <c r="H266" s="1027"/>
      <c r="I266" s="565"/>
      <c r="J266" s="1257"/>
      <c r="K266" s="565"/>
      <c r="L266" s="1028"/>
      <c r="M266" s="566"/>
      <c r="N266" s="1029"/>
      <c r="O266" s="1027"/>
      <c r="P266" s="1027"/>
      <c r="Q266" s="1027"/>
      <c r="R266" s="566"/>
      <c r="S266" s="1027"/>
      <c r="T266" s="1049"/>
      <c r="U266" s="1027"/>
      <c r="V266" s="1027"/>
      <c r="W266" s="1027"/>
      <c r="X266" s="1027"/>
      <c r="Y266" s="1027"/>
      <c r="Z266" s="1027">
        <v>1</v>
      </c>
      <c r="AA266" s="566"/>
      <c r="AB266" s="1027"/>
      <c r="AC266" s="1027"/>
      <c r="AD266" s="1027"/>
      <c r="AE266" s="1027"/>
      <c r="AF266" s="1029">
        <v>1</v>
      </c>
      <c r="AG266" s="1027">
        <v>1</v>
      </c>
      <c r="AH266" s="565">
        <f t="shared" ref="AH266:AH267" si="110">SUM(C266:AG266)</f>
        <v>3</v>
      </c>
      <c r="AI266" s="560">
        <v>34985.550000000003</v>
      </c>
      <c r="AJ266" s="568">
        <f t="shared" ref="AJ266:AJ267" si="111">AH266*AI266</f>
        <v>104956.65000000001</v>
      </c>
    </row>
    <row r="267" spans="1:44" s="27" customFormat="1">
      <c r="A267" s="560"/>
      <c r="B267" s="565"/>
      <c r="C267" s="566"/>
      <c r="D267" s="565"/>
      <c r="E267" s="1257"/>
      <c r="F267" s="566"/>
      <c r="G267" s="1027"/>
      <c r="H267" s="1027"/>
      <c r="I267" s="565"/>
      <c r="J267" s="1257"/>
      <c r="K267" s="565"/>
      <c r="L267" s="1028"/>
      <c r="M267" s="566"/>
      <c r="N267" s="1029"/>
      <c r="O267" s="1027"/>
      <c r="P267" s="1027"/>
      <c r="Q267" s="1027"/>
      <c r="R267" s="566"/>
      <c r="S267" s="1027"/>
      <c r="T267" s="1049"/>
      <c r="U267" s="1027"/>
      <c r="V267" s="1027"/>
      <c r="W267" s="1027"/>
      <c r="X267" s="1027"/>
      <c r="Y267" s="1027"/>
      <c r="Z267" s="1027">
        <v>2</v>
      </c>
      <c r="AA267" s="566"/>
      <c r="AB267" s="1027"/>
      <c r="AC267" s="1027"/>
      <c r="AD267" s="1027"/>
      <c r="AE267" s="1027"/>
      <c r="AF267" s="1029">
        <v>2</v>
      </c>
      <c r="AG267" s="1027">
        <v>1</v>
      </c>
      <c r="AH267" s="565">
        <f t="shared" si="110"/>
        <v>5</v>
      </c>
      <c r="AI267" s="560">
        <v>46647.4</v>
      </c>
      <c r="AJ267" s="568">
        <f t="shared" si="111"/>
        <v>233237</v>
      </c>
    </row>
    <row r="268" spans="1:44" s="27" customFormat="1">
      <c r="A268" s="560"/>
      <c r="B268" s="565"/>
      <c r="C268" s="566"/>
      <c r="D268" s="565"/>
      <c r="E268" s="1257"/>
      <c r="F268" s="566"/>
      <c r="G268" s="1027"/>
      <c r="H268" s="1027"/>
      <c r="I268" s="565"/>
      <c r="J268" s="1257"/>
      <c r="K268" s="565"/>
      <c r="L268" s="1028"/>
      <c r="M268" s="566"/>
      <c r="N268" s="1029"/>
      <c r="O268" s="1027"/>
      <c r="P268" s="1027"/>
      <c r="Q268" s="1027"/>
      <c r="R268" s="566"/>
      <c r="S268" s="1027"/>
      <c r="T268" s="1049"/>
      <c r="U268" s="1027"/>
      <c r="V268" s="1027"/>
      <c r="W268" s="1027"/>
      <c r="X268" s="1027"/>
      <c r="Y268" s="1027"/>
      <c r="Z268" s="1027"/>
      <c r="AA268" s="566"/>
      <c r="AB268" s="1027"/>
      <c r="AC268" s="1027"/>
      <c r="AD268" s="1027"/>
      <c r="AE268" s="1027"/>
      <c r="AF268" s="1029"/>
      <c r="AG268" s="1027"/>
      <c r="AH268" s="565"/>
      <c r="AI268" s="560"/>
      <c r="AJ268" s="569">
        <f>SUM(AJ266:AJ267)</f>
        <v>338193.65</v>
      </c>
    </row>
    <row r="269" spans="1:44" s="27" customFormat="1">
      <c r="A269" s="560">
        <v>3</v>
      </c>
      <c r="B269" s="567"/>
      <c r="C269" s="566"/>
      <c r="D269" s="565"/>
      <c r="E269" s="1257"/>
      <c r="F269" s="566"/>
      <c r="G269" s="1027"/>
      <c r="H269" s="1027"/>
      <c r="I269" s="565"/>
      <c r="J269" s="1257"/>
      <c r="K269" s="565"/>
      <c r="L269" s="1028"/>
      <c r="M269" s="566"/>
      <c r="N269" s="1029"/>
      <c r="O269" s="1027"/>
      <c r="P269" s="1027"/>
      <c r="Q269" s="1027"/>
      <c r="R269" s="566"/>
      <c r="S269" s="1027"/>
      <c r="T269" s="1049"/>
      <c r="U269" s="1027"/>
      <c r="V269" s="1027"/>
      <c r="W269" s="1027"/>
      <c r="X269" s="1027"/>
      <c r="Y269" s="1027"/>
      <c r="Z269" s="1027"/>
      <c r="AA269" s="566"/>
      <c r="AB269" s="1027"/>
      <c r="AC269" s="1027"/>
      <c r="AD269" s="1027"/>
      <c r="AE269" s="1027"/>
      <c r="AF269" s="1029"/>
      <c r="AG269" s="1027"/>
      <c r="AH269" s="565">
        <f t="shared" ref="AH269:AH270" si="112">SUM(C269:AG269)</f>
        <v>0</v>
      </c>
      <c r="AI269" s="560">
        <v>34985.550000000003</v>
      </c>
      <c r="AJ269" s="568">
        <f t="shared" ref="AJ269:AJ270" si="113">AH269*AI269</f>
        <v>0</v>
      </c>
    </row>
    <row r="270" spans="1:44" s="27" customFormat="1">
      <c r="A270" s="560"/>
      <c r="B270" s="565"/>
      <c r="C270" s="566"/>
      <c r="D270" s="565"/>
      <c r="E270" s="1257"/>
      <c r="F270" s="566"/>
      <c r="G270" s="1027"/>
      <c r="H270" s="1027"/>
      <c r="I270" s="565"/>
      <c r="J270" s="1257"/>
      <c r="K270" s="565"/>
      <c r="L270" s="1028"/>
      <c r="M270" s="566"/>
      <c r="N270" s="1029"/>
      <c r="O270" s="1027"/>
      <c r="P270" s="1027"/>
      <c r="Q270" s="1027"/>
      <c r="R270" s="566"/>
      <c r="S270" s="1027"/>
      <c r="T270" s="1049"/>
      <c r="U270" s="1027"/>
      <c r="V270" s="1027"/>
      <c r="W270" s="1027"/>
      <c r="X270" s="1027"/>
      <c r="Y270" s="1027"/>
      <c r="Z270" s="1027"/>
      <c r="AA270" s="566"/>
      <c r="AB270" s="1027"/>
      <c r="AC270" s="1027"/>
      <c r="AD270" s="1027"/>
      <c r="AE270" s="1027"/>
      <c r="AF270" s="1029"/>
      <c r="AG270" s="1027"/>
      <c r="AH270" s="565">
        <f t="shared" si="112"/>
        <v>0</v>
      </c>
      <c r="AI270" s="560">
        <v>46647.4</v>
      </c>
      <c r="AJ270" s="568">
        <f t="shared" si="113"/>
        <v>0</v>
      </c>
    </row>
    <row r="271" spans="1:44" s="27" customFormat="1">
      <c r="A271" s="560"/>
      <c r="B271" s="565"/>
      <c r="C271" s="566"/>
      <c r="D271" s="565"/>
      <c r="E271" s="1257"/>
      <c r="F271" s="566"/>
      <c r="G271" s="1027"/>
      <c r="H271" s="1027"/>
      <c r="I271" s="565"/>
      <c r="J271" s="1257"/>
      <c r="K271" s="565"/>
      <c r="L271" s="1028"/>
      <c r="M271" s="566"/>
      <c r="N271" s="1029"/>
      <c r="O271" s="1027"/>
      <c r="P271" s="1027"/>
      <c r="Q271" s="1027"/>
      <c r="R271" s="566"/>
      <c r="S271" s="1027"/>
      <c r="T271" s="1049"/>
      <c r="U271" s="1027"/>
      <c r="V271" s="1027"/>
      <c r="W271" s="1027"/>
      <c r="X271" s="1027"/>
      <c r="Y271" s="1027"/>
      <c r="Z271" s="1027"/>
      <c r="AA271" s="566"/>
      <c r="AB271" s="1027"/>
      <c r="AC271" s="1027"/>
      <c r="AD271" s="1027"/>
      <c r="AE271" s="1027"/>
      <c r="AF271" s="1029"/>
      <c r="AG271" s="1027"/>
      <c r="AH271" s="565"/>
      <c r="AI271" s="560"/>
      <c r="AJ271" s="569">
        <f>SUM(AJ269:AJ270)</f>
        <v>0</v>
      </c>
    </row>
    <row r="272" spans="1:44" s="27" customFormat="1">
      <c r="A272" s="560">
        <v>4</v>
      </c>
      <c r="B272" s="567"/>
      <c r="C272" s="566"/>
      <c r="D272" s="565"/>
      <c r="E272" s="1257"/>
      <c r="F272" s="566"/>
      <c r="G272" s="1027"/>
      <c r="H272" s="1027"/>
      <c r="I272" s="565"/>
      <c r="J272" s="1257"/>
      <c r="K272" s="565"/>
      <c r="L272" s="1028"/>
      <c r="M272" s="566"/>
      <c r="N272" s="1029"/>
      <c r="O272" s="1027"/>
      <c r="P272" s="1027"/>
      <c r="Q272" s="1027"/>
      <c r="R272" s="566"/>
      <c r="S272" s="1027"/>
      <c r="T272" s="1049"/>
      <c r="U272" s="1027"/>
      <c r="V272" s="1027"/>
      <c r="W272" s="1027"/>
      <c r="X272" s="1027"/>
      <c r="Y272" s="1027"/>
      <c r="Z272" s="1027"/>
      <c r="AA272" s="566"/>
      <c r="AB272" s="1027"/>
      <c r="AC272" s="1027"/>
      <c r="AD272" s="1027"/>
      <c r="AE272" s="1027"/>
      <c r="AF272" s="1029"/>
      <c r="AG272" s="1027"/>
      <c r="AH272" s="565">
        <f t="shared" ref="AH272:AH273" si="114">SUM(C272:AG272)</f>
        <v>0</v>
      </c>
      <c r="AI272" s="560">
        <v>34985.550000000003</v>
      </c>
      <c r="AJ272" s="568">
        <f t="shared" ref="AJ272:AJ273" si="115">AH272*AI272</f>
        <v>0</v>
      </c>
    </row>
    <row r="273" spans="1:36" s="27" customFormat="1">
      <c r="A273" s="560"/>
      <c r="B273" s="565"/>
      <c r="C273" s="566"/>
      <c r="D273" s="565"/>
      <c r="E273" s="1257"/>
      <c r="F273" s="566"/>
      <c r="G273" s="1027"/>
      <c r="H273" s="1027"/>
      <c r="I273" s="565"/>
      <c r="J273" s="1257"/>
      <c r="K273" s="565"/>
      <c r="L273" s="1028"/>
      <c r="M273" s="566"/>
      <c r="N273" s="1029"/>
      <c r="O273" s="1027"/>
      <c r="P273" s="1027"/>
      <c r="Q273" s="1027"/>
      <c r="R273" s="566"/>
      <c r="S273" s="1027"/>
      <c r="T273" s="1049"/>
      <c r="U273" s="1027"/>
      <c r="V273" s="1027"/>
      <c r="W273" s="1027"/>
      <c r="X273" s="1027"/>
      <c r="Y273" s="1027"/>
      <c r="Z273" s="1027"/>
      <c r="AA273" s="566"/>
      <c r="AB273" s="1027"/>
      <c r="AC273" s="1027"/>
      <c r="AD273" s="1027"/>
      <c r="AE273" s="1027"/>
      <c r="AF273" s="1029"/>
      <c r="AG273" s="1027"/>
      <c r="AH273" s="565">
        <f t="shared" si="114"/>
        <v>0</v>
      </c>
      <c r="AI273" s="560">
        <v>46647.4</v>
      </c>
      <c r="AJ273" s="568">
        <f t="shared" si="115"/>
        <v>0</v>
      </c>
    </row>
    <row r="274" spans="1:36" s="27" customFormat="1">
      <c r="A274" s="560"/>
      <c r="B274" s="565"/>
      <c r="C274" s="566"/>
      <c r="D274" s="565"/>
      <c r="E274" s="1257"/>
      <c r="F274" s="566"/>
      <c r="G274" s="1027"/>
      <c r="H274" s="1027"/>
      <c r="I274" s="565"/>
      <c r="J274" s="1257"/>
      <c r="K274" s="565"/>
      <c r="L274" s="1028"/>
      <c r="M274" s="566"/>
      <c r="N274" s="1029"/>
      <c r="O274" s="1027"/>
      <c r="P274" s="1027"/>
      <c r="Q274" s="1027"/>
      <c r="R274" s="566"/>
      <c r="S274" s="1027"/>
      <c r="T274" s="1049"/>
      <c r="U274" s="1027"/>
      <c r="V274" s="1027"/>
      <c r="W274" s="1027"/>
      <c r="X274" s="1027"/>
      <c r="Y274" s="1027"/>
      <c r="Z274" s="1027"/>
      <c r="AA274" s="566"/>
      <c r="AB274" s="1027"/>
      <c r="AC274" s="1027"/>
      <c r="AD274" s="1027"/>
      <c r="AE274" s="1027"/>
      <c r="AF274" s="1029"/>
      <c r="AG274" s="1027"/>
      <c r="AH274" s="565"/>
      <c r="AI274" s="560"/>
      <c r="AJ274" s="569">
        <f>SUM(AJ272:AJ273)</f>
        <v>0</v>
      </c>
    </row>
    <row r="275" spans="1:36" s="27" customFormat="1">
      <c r="A275" s="560">
        <v>5</v>
      </c>
      <c r="B275" s="565"/>
      <c r="C275" s="566"/>
      <c r="D275" s="565"/>
      <c r="E275" s="1257"/>
      <c r="F275" s="566"/>
      <c r="G275" s="1027"/>
      <c r="H275" s="1027"/>
      <c r="I275" s="565"/>
      <c r="J275" s="1257"/>
      <c r="K275" s="565"/>
      <c r="L275" s="1028"/>
      <c r="M275" s="566"/>
      <c r="N275" s="1029"/>
      <c r="O275" s="1027"/>
      <c r="P275" s="1027"/>
      <c r="Q275" s="1027"/>
      <c r="R275" s="566"/>
      <c r="S275" s="1027"/>
      <c r="T275" s="1049"/>
      <c r="U275" s="1027"/>
      <c r="V275" s="1027"/>
      <c r="W275" s="1027"/>
      <c r="X275" s="1027"/>
      <c r="Y275" s="1027"/>
      <c r="Z275" s="1027"/>
      <c r="AA275" s="566"/>
      <c r="AB275" s="1027"/>
      <c r="AC275" s="1027"/>
      <c r="AD275" s="1027"/>
      <c r="AE275" s="1027"/>
      <c r="AF275" s="1029"/>
      <c r="AG275" s="1027"/>
      <c r="AH275" s="565">
        <f t="shared" ref="AH275:AH276" si="116">SUM(C275:AG275)</f>
        <v>0</v>
      </c>
      <c r="AI275" s="560">
        <v>34985.550000000003</v>
      </c>
      <c r="AJ275" s="568">
        <f t="shared" ref="AJ275:AJ276" si="117">AH275*AI275</f>
        <v>0</v>
      </c>
    </row>
    <row r="276" spans="1:36" s="27" customFormat="1">
      <c r="A276" s="560"/>
      <c r="B276" s="565"/>
      <c r="C276" s="566"/>
      <c r="D276" s="565"/>
      <c r="E276" s="1257"/>
      <c r="F276" s="566"/>
      <c r="G276" s="1027"/>
      <c r="H276" s="1027"/>
      <c r="I276" s="565"/>
      <c r="J276" s="1257"/>
      <c r="K276" s="565"/>
      <c r="L276" s="1028"/>
      <c r="M276" s="566"/>
      <c r="N276" s="1029"/>
      <c r="O276" s="1027"/>
      <c r="P276" s="1027"/>
      <c r="Q276" s="1027"/>
      <c r="R276" s="566"/>
      <c r="S276" s="1027"/>
      <c r="T276" s="1049"/>
      <c r="U276" s="1027"/>
      <c r="V276" s="1027"/>
      <c r="W276" s="1027"/>
      <c r="X276" s="1027"/>
      <c r="Y276" s="1027"/>
      <c r="Z276" s="1027"/>
      <c r="AA276" s="566"/>
      <c r="AB276" s="1027"/>
      <c r="AC276" s="1027"/>
      <c r="AD276" s="1027"/>
      <c r="AE276" s="1027"/>
      <c r="AF276" s="1029"/>
      <c r="AG276" s="1027"/>
      <c r="AH276" s="565">
        <f t="shared" si="116"/>
        <v>0</v>
      </c>
      <c r="AI276" s="560">
        <v>46647.4</v>
      </c>
      <c r="AJ276" s="568">
        <f t="shared" si="117"/>
        <v>0</v>
      </c>
    </row>
    <row r="277" spans="1:36" s="27" customFormat="1">
      <c r="A277" s="560"/>
      <c r="B277" s="565"/>
      <c r="C277" s="566"/>
      <c r="D277" s="565"/>
      <c r="E277" s="1257"/>
      <c r="F277" s="566"/>
      <c r="G277" s="1027"/>
      <c r="H277" s="1027"/>
      <c r="I277" s="565"/>
      <c r="J277" s="1257"/>
      <c r="K277" s="565"/>
      <c r="L277" s="1028"/>
      <c r="M277" s="566"/>
      <c r="N277" s="1029"/>
      <c r="O277" s="1027"/>
      <c r="P277" s="1027"/>
      <c r="Q277" s="1027"/>
      <c r="R277" s="566"/>
      <c r="S277" s="1027"/>
      <c r="T277" s="1049"/>
      <c r="U277" s="1027"/>
      <c r="V277" s="1027"/>
      <c r="W277" s="1027"/>
      <c r="X277" s="1027"/>
      <c r="Y277" s="1027"/>
      <c r="Z277" s="1027"/>
      <c r="AA277" s="566"/>
      <c r="AB277" s="1027"/>
      <c r="AC277" s="1027"/>
      <c r="AD277" s="1027"/>
      <c r="AE277" s="1027"/>
      <c r="AF277" s="1029"/>
      <c r="AG277" s="1027"/>
      <c r="AH277" s="565"/>
      <c r="AI277" s="560"/>
      <c r="AJ277" s="569">
        <f>SUM(AJ275:AJ276)</f>
        <v>0</v>
      </c>
    </row>
    <row r="278" spans="1:36" s="27" customFormat="1">
      <c r="A278" s="560">
        <v>6</v>
      </c>
      <c r="B278" s="565"/>
      <c r="C278" s="566"/>
      <c r="D278" s="565"/>
      <c r="E278" s="1257"/>
      <c r="F278" s="566"/>
      <c r="G278" s="1027"/>
      <c r="H278" s="1027"/>
      <c r="I278" s="565"/>
      <c r="J278" s="1257"/>
      <c r="K278" s="565"/>
      <c r="L278" s="1028"/>
      <c r="M278" s="566"/>
      <c r="N278" s="1029"/>
      <c r="O278" s="1027"/>
      <c r="P278" s="1027"/>
      <c r="Q278" s="1027"/>
      <c r="R278" s="566"/>
      <c r="S278" s="1027"/>
      <c r="T278" s="1049"/>
      <c r="U278" s="1027"/>
      <c r="V278" s="1027"/>
      <c r="W278" s="1027"/>
      <c r="X278" s="1027"/>
      <c r="Y278" s="1027"/>
      <c r="Z278" s="1027"/>
      <c r="AA278" s="566"/>
      <c r="AB278" s="1027"/>
      <c r="AC278" s="1027"/>
      <c r="AD278" s="1027"/>
      <c r="AE278" s="1027"/>
      <c r="AF278" s="1029"/>
      <c r="AG278" s="1027"/>
      <c r="AH278" s="565">
        <f t="shared" ref="AH278:AH279" si="118">SUM(C278:AD278)</f>
        <v>0</v>
      </c>
      <c r="AI278" s="560">
        <v>34985.550000000003</v>
      </c>
      <c r="AJ278" s="568">
        <f t="shared" ref="AJ278:AJ279" si="119">AH278*AI278</f>
        <v>0</v>
      </c>
    </row>
    <row r="279" spans="1:36" s="27" customFormat="1">
      <c r="A279" s="560"/>
      <c r="B279" s="565"/>
      <c r="C279" s="566"/>
      <c r="D279" s="565"/>
      <c r="E279" s="1257"/>
      <c r="F279" s="566"/>
      <c r="G279" s="1027"/>
      <c r="H279" s="1027"/>
      <c r="I279" s="565"/>
      <c r="J279" s="1257"/>
      <c r="K279" s="565"/>
      <c r="L279" s="1028"/>
      <c r="M279" s="566"/>
      <c r="N279" s="1029"/>
      <c r="O279" s="1027"/>
      <c r="P279" s="1027"/>
      <c r="Q279" s="1027"/>
      <c r="R279" s="566"/>
      <c r="S279" s="1027"/>
      <c r="T279" s="1049"/>
      <c r="U279" s="1027"/>
      <c r="V279" s="1027"/>
      <c r="W279" s="1027"/>
      <c r="X279" s="1027"/>
      <c r="Y279" s="1027"/>
      <c r="Z279" s="1027"/>
      <c r="AA279" s="566"/>
      <c r="AB279" s="1027"/>
      <c r="AC279" s="1027"/>
      <c r="AD279" s="1027"/>
      <c r="AE279" s="1027"/>
      <c r="AF279" s="1029"/>
      <c r="AG279" s="1027"/>
      <c r="AH279" s="565">
        <f t="shared" si="118"/>
        <v>0</v>
      </c>
      <c r="AI279" s="560">
        <v>46647.4</v>
      </c>
      <c r="AJ279" s="568">
        <f t="shared" si="119"/>
        <v>0</v>
      </c>
    </row>
    <row r="280" spans="1:36" s="27" customFormat="1">
      <c r="C280" s="107"/>
      <c r="E280" s="1255"/>
      <c r="F280" s="107"/>
      <c r="G280" s="488"/>
      <c r="H280" s="488"/>
      <c r="J280" s="1272"/>
      <c r="L280" s="550"/>
      <c r="M280" s="107"/>
      <c r="N280" s="1021"/>
      <c r="O280" s="488"/>
      <c r="P280" s="488"/>
      <c r="Q280" s="488"/>
      <c r="R280" s="107"/>
      <c r="S280" s="488"/>
      <c r="T280" s="734"/>
      <c r="U280" s="488"/>
      <c r="V280" s="488"/>
      <c r="W280" s="488"/>
      <c r="X280" s="488"/>
      <c r="Y280" s="488"/>
      <c r="Z280" s="488"/>
      <c r="AA280" s="107"/>
      <c r="AB280" s="488"/>
      <c r="AC280" s="488"/>
      <c r="AD280" s="488"/>
      <c r="AE280" s="488"/>
      <c r="AF280" s="1021"/>
      <c r="AG280" s="488"/>
    </row>
    <row r="281" spans="1:36" s="27" customFormat="1">
      <c r="C281" s="107"/>
      <c r="E281" s="1255"/>
      <c r="F281" s="107"/>
      <c r="G281" s="488"/>
      <c r="H281" s="488"/>
      <c r="J281" s="1272"/>
      <c r="L281" s="550"/>
      <c r="M281" s="107"/>
      <c r="N281" s="1021"/>
      <c r="O281" s="488"/>
      <c r="P281" s="488"/>
      <c r="Q281" s="488"/>
      <c r="R281" s="107"/>
      <c r="S281" s="488"/>
      <c r="T281" s="734"/>
      <c r="U281" s="488"/>
      <c r="V281" s="488"/>
      <c r="W281" s="488"/>
      <c r="X281" s="488"/>
      <c r="Y281" s="488"/>
      <c r="Z281" s="488"/>
      <c r="AA281" s="107"/>
      <c r="AB281" s="488"/>
      <c r="AC281" s="488"/>
      <c r="AD281" s="488"/>
      <c r="AE281" s="488"/>
      <c r="AF281" s="1021"/>
      <c r="AG281" s="488"/>
    </row>
    <row r="282" spans="1:36" s="27" customFormat="1">
      <c r="C282" s="107"/>
      <c r="E282" s="1255"/>
      <c r="F282" s="107"/>
      <c r="G282" s="488"/>
      <c r="H282" s="488"/>
      <c r="J282" s="1272"/>
      <c r="L282" s="550"/>
      <c r="M282" s="107"/>
      <c r="N282" s="1021"/>
      <c r="O282" s="488"/>
      <c r="P282" s="488"/>
      <c r="Q282" s="488"/>
      <c r="R282" s="107"/>
      <c r="S282" s="488"/>
      <c r="T282" s="734"/>
      <c r="U282" s="488"/>
      <c r="V282" s="488"/>
      <c r="W282" s="488"/>
      <c r="X282" s="488"/>
      <c r="Y282" s="488"/>
      <c r="Z282" s="488"/>
      <c r="AA282" s="107"/>
      <c r="AB282" s="488"/>
      <c r="AC282" s="488"/>
      <c r="AD282" s="488"/>
      <c r="AE282" s="488"/>
      <c r="AF282" s="1021"/>
      <c r="AG282" s="488"/>
    </row>
    <row r="283" spans="1:36" s="27" customFormat="1">
      <c r="C283" s="107"/>
      <c r="E283" s="1255"/>
      <c r="F283" s="107"/>
      <c r="G283" s="488"/>
      <c r="H283" s="488"/>
      <c r="J283" s="1272"/>
      <c r="L283" s="550"/>
      <c r="M283" s="107"/>
      <c r="N283" s="1021"/>
      <c r="O283" s="488"/>
      <c r="P283" s="488"/>
      <c r="Q283" s="488"/>
      <c r="R283" s="107"/>
      <c r="S283" s="488"/>
      <c r="T283" s="734"/>
      <c r="U283" s="488"/>
      <c r="V283" s="488"/>
      <c r="W283" s="488">
        <f>312+54</f>
        <v>366</v>
      </c>
      <c r="X283" s="488"/>
      <c r="Y283" s="488"/>
      <c r="Z283" s="488"/>
      <c r="AA283" s="107"/>
      <c r="AB283" s="488"/>
      <c r="AC283" s="488"/>
      <c r="AD283" s="488"/>
      <c r="AE283" s="488"/>
      <c r="AF283" s="1021"/>
      <c r="AG283" s="488"/>
    </row>
    <row r="284" spans="1:36" s="27" customFormat="1">
      <c r="C284" s="107"/>
      <c r="E284" s="1255"/>
      <c r="F284" s="107"/>
      <c r="G284" s="488"/>
      <c r="H284" s="488"/>
      <c r="J284" s="1272"/>
      <c r="L284" s="550"/>
      <c r="M284" s="107"/>
      <c r="N284" s="1021"/>
      <c r="O284" s="488"/>
      <c r="P284" s="488"/>
      <c r="Q284" s="488"/>
      <c r="R284" s="107"/>
      <c r="S284" s="488"/>
      <c r="T284" s="734"/>
      <c r="U284" s="488"/>
      <c r="V284" s="488"/>
      <c r="W284" s="488"/>
      <c r="X284" s="488"/>
      <c r="Y284" s="488"/>
      <c r="Z284" s="488"/>
      <c r="AA284" s="107"/>
      <c r="AB284" s="488"/>
      <c r="AC284" s="488"/>
      <c r="AD284" s="488"/>
      <c r="AE284" s="488"/>
      <c r="AF284" s="1021"/>
      <c r="AG284" s="488"/>
    </row>
    <row r="285" spans="1:36" s="27" customFormat="1">
      <c r="C285" s="107"/>
      <c r="E285" s="1255"/>
      <c r="F285" s="107"/>
      <c r="G285" s="488"/>
      <c r="H285" s="488"/>
      <c r="J285" s="1272"/>
      <c r="L285" s="550"/>
      <c r="M285" s="107"/>
      <c r="N285" s="1021"/>
      <c r="O285" s="488"/>
      <c r="P285" s="488"/>
      <c r="Q285" s="488"/>
      <c r="R285" s="107"/>
      <c r="S285" s="488"/>
      <c r="T285" s="734"/>
      <c r="U285" s="488"/>
      <c r="V285" s="488"/>
      <c r="W285" s="488"/>
      <c r="X285" s="488"/>
      <c r="Y285" s="488"/>
      <c r="Z285" s="488"/>
      <c r="AA285" s="107"/>
      <c r="AB285" s="488"/>
      <c r="AC285" s="488"/>
      <c r="AD285" s="488"/>
      <c r="AE285" s="488"/>
      <c r="AF285" s="1021"/>
      <c r="AG285" s="488"/>
    </row>
    <row r="286" spans="1:36" s="27" customFormat="1">
      <c r="C286" s="107"/>
      <c r="E286" s="1255"/>
      <c r="F286" s="107"/>
      <c r="G286" s="488"/>
      <c r="H286" s="488"/>
      <c r="J286" s="1272"/>
      <c r="L286" s="550"/>
      <c r="M286" s="107"/>
      <c r="N286" s="1021"/>
      <c r="O286" s="488"/>
      <c r="P286" s="488"/>
      <c r="Q286" s="488"/>
      <c r="R286" s="107"/>
      <c r="S286" s="488"/>
      <c r="T286" s="734"/>
      <c r="U286" s="488"/>
      <c r="V286" s="488"/>
      <c r="W286" s="488"/>
      <c r="X286" s="488"/>
      <c r="Y286" s="488"/>
      <c r="Z286" s="488"/>
      <c r="AA286" s="107"/>
      <c r="AB286" s="488"/>
      <c r="AC286" s="488"/>
      <c r="AD286" s="488"/>
      <c r="AE286" s="488"/>
      <c r="AF286" s="1021"/>
      <c r="AG286" s="488"/>
    </row>
    <row r="287" spans="1:36" s="27" customFormat="1">
      <c r="C287" s="107"/>
      <c r="E287" s="1255"/>
      <c r="F287" s="107"/>
      <c r="G287" s="488"/>
      <c r="H287" s="488"/>
      <c r="J287" s="1272"/>
      <c r="L287" s="550"/>
      <c r="M287" s="107"/>
      <c r="N287" s="1021"/>
      <c r="O287" s="488"/>
      <c r="P287" s="488"/>
      <c r="Q287" s="488"/>
      <c r="R287" s="107"/>
      <c r="S287" s="488"/>
      <c r="T287" s="734"/>
      <c r="U287" s="488"/>
      <c r="V287" s="488"/>
      <c r="W287" s="488"/>
      <c r="X287" s="488"/>
      <c r="Y287" s="488"/>
      <c r="Z287" s="488"/>
      <c r="AA287" s="107"/>
      <c r="AB287" s="488"/>
      <c r="AC287" s="488"/>
      <c r="AD287" s="488"/>
      <c r="AE287" s="488"/>
      <c r="AF287" s="1021"/>
      <c r="AG287" s="488"/>
    </row>
    <row r="288" spans="1:36" s="27" customFormat="1">
      <c r="C288" s="107"/>
      <c r="E288" s="1255"/>
      <c r="F288" s="107"/>
      <c r="G288" s="488"/>
      <c r="H288" s="488"/>
      <c r="J288" s="1272"/>
      <c r="L288" s="550"/>
      <c r="M288" s="107"/>
      <c r="N288" s="1021"/>
      <c r="O288" s="488"/>
      <c r="P288" s="488"/>
      <c r="Q288" s="488"/>
      <c r="R288" s="107"/>
      <c r="S288" s="488"/>
      <c r="T288" s="734"/>
      <c r="U288" s="488"/>
      <c r="V288" s="488"/>
      <c r="W288" s="488"/>
      <c r="X288" s="488"/>
      <c r="Y288" s="488"/>
      <c r="Z288" s="488"/>
      <c r="AA288" s="107"/>
      <c r="AB288" s="488"/>
      <c r="AC288" s="488"/>
      <c r="AD288" s="488"/>
      <c r="AE288" s="488"/>
      <c r="AF288" s="1021"/>
      <c r="AG288" s="488"/>
    </row>
    <row r="289" spans="3:33" s="27" customFormat="1">
      <c r="C289" s="107"/>
      <c r="E289" s="1255"/>
      <c r="F289" s="107"/>
      <c r="G289" s="488"/>
      <c r="H289" s="488"/>
      <c r="J289" s="1272"/>
      <c r="L289" s="550"/>
      <c r="M289" s="107"/>
      <c r="N289" s="1021"/>
      <c r="O289" s="488"/>
      <c r="P289" s="488"/>
      <c r="Q289" s="488"/>
      <c r="R289" s="107"/>
      <c r="S289" s="488"/>
      <c r="T289" s="734"/>
      <c r="U289" s="488"/>
      <c r="V289" s="488"/>
      <c r="W289" s="488"/>
      <c r="X289" s="488"/>
      <c r="Y289" s="488"/>
      <c r="Z289" s="488"/>
      <c r="AA289" s="107"/>
      <c r="AB289" s="488"/>
      <c r="AC289" s="488"/>
      <c r="AD289" s="488"/>
      <c r="AE289" s="488"/>
      <c r="AF289" s="1021"/>
      <c r="AG289" s="488"/>
    </row>
    <row r="290" spans="3:33" s="27" customFormat="1">
      <c r="C290" s="107"/>
      <c r="E290" s="1255"/>
      <c r="F290" s="107"/>
      <c r="G290" s="488"/>
      <c r="H290" s="488"/>
      <c r="J290" s="1272"/>
      <c r="L290" s="550"/>
      <c r="M290" s="107"/>
      <c r="N290" s="1021"/>
      <c r="O290" s="488"/>
      <c r="P290" s="488"/>
      <c r="Q290" s="488"/>
      <c r="R290" s="107"/>
      <c r="S290" s="488"/>
      <c r="T290" s="734"/>
      <c r="U290" s="488"/>
      <c r="V290" s="488"/>
      <c r="W290" s="488"/>
      <c r="X290" s="488"/>
      <c r="Y290" s="488"/>
      <c r="Z290" s="488"/>
      <c r="AA290" s="107"/>
      <c r="AB290" s="488"/>
      <c r="AC290" s="488"/>
      <c r="AD290" s="488"/>
      <c r="AE290" s="488"/>
      <c r="AF290" s="1021"/>
      <c r="AG290" s="488"/>
    </row>
    <row r="291" spans="3:33" s="27" customFormat="1">
      <c r="C291" s="107"/>
      <c r="E291" s="1255"/>
      <c r="F291" s="107"/>
      <c r="G291" s="488"/>
      <c r="H291" s="488"/>
      <c r="J291" s="1272"/>
      <c r="L291" s="550"/>
      <c r="M291" s="107"/>
      <c r="N291" s="1021"/>
      <c r="O291" s="488"/>
      <c r="P291" s="488"/>
      <c r="Q291" s="488"/>
      <c r="R291" s="107"/>
      <c r="S291" s="488"/>
      <c r="T291" s="734"/>
      <c r="U291" s="488"/>
      <c r="V291" s="488"/>
      <c r="W291" s="488"/>
      <c r="X291" s="488"/>
      <c r="Y291" s="488"/>
      <c r="Z291" s="488"/>
      <c r="AA291" s="107"/>
      <c r="AB291" s="488"/>
      <c r="AC291" s="488"/>
      <c r="AD291" s="488"/>
      <c r="AE291" s="488"/>
      <c r="AF291" s="1021"/>
      <c r="AG291" s="488"/>
    </row>
    <row r="292" spans="3:33" s="27" customFormat="1">
      <c r="C292" s="107"/>
      <c r="E292" s="1255"/>
      <c r="F292" s="107"/>
      <c r="G292" s="488"/>
      <c r="H292" s="488"/>
      <c r="J292" s="1272"/>
      <c r="L292" s="550"/>
      <c r="M292" s="107"/>
      <c r="N292" s="1021"/>
      <c r="O292" s="488"/>
      <c r="P292" s="488"/>
      <c r="Q292" s="488"/>
      <c r="R292" s="107"/>
      <c r="S292" s="488"/>
      <c r="T292" s="734"/>
      <c r="U292" s="488"/>
      <c r="V292" s="488"/>
      <c r="W292" s="488"/>
      <c r="X292" s="488"/>
      <c r="Y292" s="488"/>
      <c r="Z292" s="488"/>
      <c r="AA292" s="107"/>
      <c r="AB292" s="488"/>
      <c r="AC292" s="488"/>
      <c r="AD292" s="488"/>
      <c r="AE292" s="488"/>
      <c r="AF292" s="1021"/>
      <c r="AG292" s="488"/>
    </row>
    <row r="293" spans="3:33" s="27" customFormat="1">
      <c r="C293" s="107"/>
      <c r="E293" s="1255"/>
      <c r="F293" s="107"/>
      <c r="G293" s="488"/>
      <c r="H293" s="488"/>
      <c r="J293" s="1272"/>
      <c r="L293" s="550"/>
      <c r="M293" s="107"/>
      <c r="N293" s="1021"/>
      <c r="O293" s="488"/>
      <c r="P293" s="488"/>
      <c r="Q293" s="488"/>
      <c r="R293" s="107"/>
      <c r="S293" s="488"/>
      <c r="T293" s="734"/>
      <c r="U293" s="488"/>
      <c r="V293" s="488"/>
      <c r="W293" s="488"/>
      <c r="X293" s="488"/>
      <c r="Y293" s="488"/>
      <c r="Z293" s="488"/>
      <c r="AA293" s="107"/>
      <c r="AB293" s="488"/>
      <c r="AC293" s="488"/>
      <c r="AD293" s="488"/>
      <c r="AE293" s="488"/>
      <c r="AF293" s="1021"/>
      <c r="AG293" s="488"/>
    </row>
    <row r="294" spans="3:33" s="27" customFormat="1">
      <c r="C294" s="107"/>
      <c r="E294" s="1255"/>
      <c r="F294" s="107"/>
      <c r="G294" s="488"/>
      <c r="H294" s="488"/>
      <c r="J294" s="1272"/>
      <c r="L294" s="550"/>
      <c r="M294" s="107"/>
      <c r="N294" s="1021"/>
      <c r="O294" s="488"/>
      <c r="P294" s="488"/>
      <c r="Q294" s="488"/>
      <c r="R294" s="107"/>
      <c r="S294" s="488"/>
      <c r="T294" s="734"/>
      <c r="U294" s="488"/>
      <c r="V294" s="488"/>
      <c r="W294" s="488"/>
      <c r="X294" s="488"/>
      <c r="Y294" s="488"/>
      <c r="Z294" s="488"/>
      <c r="AA294" s="107"/>
      <c r="AB294" s="488"/>
      <c r="AC294" s="488"/>
      <c r="AD294" s="488"/>
      <c r="AE294" s="488"/>
      <c r="AF294" s="1021"/>
      <c r="AG294" s="488"/>
    </row>
    <row r="295" spans="3:33" s="27" customFormat="1">
      <c r="C295" s="107"/>
      <c r="E295" s="1255"/>
      <c r="F295" s="107"/>
      <c r="G295" s="488"/>
      <c r="H295" s="488"/>
      <c r="J295" s="1272"/>
      <c r="L295" s="550"/>
      <c r="M295" s="107"/>
      <c r="N295" s="1021"/>
      <c r="O295" s="488"/>
      <c r="P295" s="488"/>
      <c r="Q295" s="488"/>
      <c r="R295" s="107"/>
      <c r="S295" s="488"/>
      <c r="T295" s="734"/>
      <c r="U295" s="488"/>
      <c r="V295" s="488"/>
      <c r="W295" s="488"/>
      <c r="X295" s="488"/>
      <c r="Y295" s="488"/>
      <c r="Z295" s="488"/>
      <c r="AA295" s="107"/>
      <c r="AB295" s="488"/>
      <c r="AC295" s="488"/>
      <c r="AD295" s="488"/>
      <c r="AE295" s="488"/>
      <c r="AF295" s="1021"/>
      <c r="AG295" s="488"/>
    </row>
    <row r="296" spans="3:33" s="27" customFormat="1">
      <c r="C296" s="107"/>
      <c r="E296" s="1255"/>
      <c r="F296" s="107"/>
      <c r="G296" s="488"/>
      <c r="H296" s="488"/>
      <c r="J296" s="1272"/>
      <c r="L296" s="550"/>
      <c r="M296" s="107"/>
      <c r="N296" s="1021"/>
      <c r="O296" s="488"/>
      <c r="P296" s="488"/>
      <c r="Q296" s="488"/>
      <c r="R296" s="107"/>
      <c r="S296" s="488"/>
      <c r="T296" s="734"/>
      <c r="U296" s="488"/>
      <c r="V296" s="488"/>
      <c r="W296" s="488"/>
      <c r="X296" s="488"/>
      <c r="Y296" s="488"/>
      <c r="Z296" s="488"/>
      <c r="AA296" s="107"/>
      <c r="AB296" s="488"/>
      <c r="AC296" s="488"/>
      <c r="AD296" s="488"/>
      <c r="AE296" s="488"/>
      <c r="AF296" s="1021"/>
      <c r="AG296" s="488"/>
    </row>
    <row r="297" spans="3:33" s="27" customFormat="1">
      <c r="C297" s="107"/>
      <c r="E297" s="1255"/>
      <c r="F297" s="107"/>
      <c r="G297" s="488"/>
      <c r="H297" s="488"/>
      <c r="J297" s="1272"/>
      <c r="L297" s="550"/>
      <c r="M297" s="107"/>
      <c r="N297" s="1021"/>
      <c r="O297" s="488"/>
      <c r="P297" s="488"/>
      <c r="Q297" s="488"/>
      <c r="R297" s="107"/>
      <c r="S297" s="488"/>
      <c r="T297" s="734"/>
      <c r="U297" s="488"/>
      <c r="V297" s="488"/>
      <c r="W297" s="488"/>
      <c r="X297" s="488"/>
      <c r="Y297" s="488"/>
      <c r="Z297" s="488"/>
      <c r="AA297" s="107"/>
      <c r="AB297" s="488"/>
      <c r="AC297" s="488"/>
      <c r="AD297" s="488"/>
      <c r="AE297" s="488"/>
      <c r="AF297" s="1021"/>
      <c r="AG297" s="488"/>
    </row>
    <row r="298" spans="3:33" s="27" customFormat="1">
      <c r="C298" s="107"/>
      <c r="E298" s="1255"/>
      <c r="F298" s="107"/>
      <c r="G298" s="488"/>
      <c r="H298" s="488"/>
      <c r="J298" s="1272"/>
      <c r="L298" s="550"/>
      <c r="M298" s="107"/>
      <c r="N298" s="1021"/>
      <c r="O298" s="488"/>
      <c r="P298" s="488"/>
      <c r="Q298" s="488"/>
      <c r="R298" s="107"/>
      <c r="S298" s="488"/>
      <c r="T298" s="734"/>
      <c r="U298" s="488"/>
      <c r="V298" s="488"/>
      <c r="W298" s="488"/>
      <c r="X298" s="488"/>
      <c r="Y298" s="488"/>
      <c r="Z298" s="488"/>
      <c r="AA298" s="107"/>
      <c r="AB298" s="488"/>
      <c r="AC298" s="488"/>
      <c r="AD298" s="488"/>
      <c r="AE298" s="488"/>
      <c r="AF298" s="1021"/>
      <c r="AG298" s="488"/>
    </row>
    <row r="299" spans="3:33" s="27" customFormat="1">
      <c r="C299" s="107"/>
      <c r="E299" s="1255"/>
      <c r="F299" s="107"/>
      <c r="G299" s="488"/>
      <c r="H299" s="488"/>
      <c r="J299" s="1272"/>
      <c r="L299" s="550"/>
      <c r="M299" s="107"/>
      <c r="N299" s="1021"/>
      <c r="O299" s="488"/>
      <c r="P299" s="488"/>
      <c r="Q299" s="488"/>
      <c r="R299" s="107"/>
      <c r="S299" s="488"/>
      <c r="T299" s="734"/>
      <c r="U299" s="488"/>
      <c r="V299" s="488"/>
      <c r="W299" s="488"/>
      <c r="X299" s="488"/>
      <c r="Y299" s="488"/>
      <c r="Z299" s="488"/>
      <c r="AA299" s="107"/>
      <c r="AB299" s="488"/>
      <c r="AC299" s="488"/>
      <c r="AD299" s="488"/>
      <c r="AE299" s="488"/>
      <c r="AF299" s="1021"/>
      <c r="AG299" s="488"/>
    </row>
    <row r="300" spans="3:33" s="27" customFormat="1">
      <c r="C300" s="107"/>
      <c r="E300" s="1255"/>
      <c r="F300" s="107"/>
      <c r="G300" s="488"/>
      <c r="H300" s="488"/>
      <c r="J300" s="1272"/>
      <c r="L300" s="550"/>
      <c r="M300" s="107"/>
      <c r="N300" s="1021"/>
      <c r="O300" s="488"/>
      <c r="P300" s="488"/>
      <c r="Q300" s="488"/>
      <c r="R300" s="107"/>
      <c r="S300" s="488"/>
      <c r="T300" s="734"/>
      <c r="U300" s="488"/>
      <c r="V300" s="488"/>
      <c r="W300" s="488"/>
      <c r="X300" s="488"/>
      <c r="Y300" s="488"/>
      <c r="Z300" s="488"/>
      <c r="AA300" s="107"/>
      <c r="AB300" s="488"/>
      <c r="AC300" s="488"/>
      <c r="AD300" s="488"/>
      <c r="AE300" s="488"/>
      <c r="AF300" s="1021"/>
      <c r="AG300" s="488"/>
    </row>
    <row r="301" spans="3:33" s="27" customFormat="1">
      <c r="C301" s="107"/>
      <c r="E301" s="1255"/>
      <c r="F301" s="107"/>
      <c r="G301" s="488"/>
      <c r="H301" s="488"/>
      <c r="J301" s="1272"/>
      <c r="L301" s="550"/>
      <c r="M301" s="107"/>
      <c r="N301" s="1021"/>
      <c r="O301" s="488"/>
      <c r="P301" s="488"/>
      <c r="Q301" s="488"/>
      <c r="R301" s="107"/>
      <c r="S301" s="488"/>
      <c r="T301" s="734"/>
      <c r="U301" s="488"/>
      <c r="V301" s="488"/>
      <c r="W301" s="488"/>
      <c r="X301" s="488"/>
      <c r="Y301" s="488"/>
      <c r="Z301" s="488"/>
      <c r="AA301" s="107"/>
      <c r="AB301" s="488"/>
      <c r="AC301" s="488"/>
      <c r="AD301" s="488"/>
      <c r="AE301" s="488"/>
      <c r="AF301" s="1021"/>
      <c r="AG301" s="488"/>
    </row>
    <row r="302" spans="3:33" s="27" customFormat="1">
      <c r="C302" s="107"/>
      <c r="E302" s="1255"/>
      <c r="F302" s="107"/>
      <c r="G302" s="488"/>
      <c r="H302" s="488"/>
      <c r="J302" s="1272"/>
      <c r="L302" s="550"/>
      <c r="M302" s="107"/>
      <c r="N302" s="1021"/>
      <c r="O302" s="488"/>
      <c r="P302" s="488"/>
      <c r="Q302" s="488"/>
      <c r="R302" s="107"/>
      <c r="S302" s="488"/>
      <c r="T302" s="734"/>
      <c r="U302" s="488"/>
      <c r="V302" s="488"/>
      <c r="W302" s="488"/>
      <c r="X302" s="488"/>
      <c r="Y302" s="488"/>
      <c r="Z302" s="488"/>
      <c r="AA302" s="107"/>
      <c r="AB302" s="488"/>
      <c r="AC302" s="488"/>
      <c r="AD302" s="488"/>
      <c r="AE302" s="488"/>
      <c r="AF302" s="1021"/>
      <c r="AG302" s="488"/>
    </row>
    <row r="303" spans="3:33" s="27" customFormat="1">
      <c r="C303" s="107"/>
      <c r="E303" s="1255"/>
      <c r="F303" s="107"/>
      <c r="G303" s="488"/>
      <c r="H303" s="488"/>
      <c r="J303" s="1272"/>
      <c r="L303" s="550"/>
      <c r="M303" s="107"/>
      <c r="N303" s="1021"/>
      <c r="O303" s="488"/>
      <c r="P303" s="488"/>
      <c r="Q303" s="488"/>
      <c r="R303" s="107"/>
      <c r="S303" s="488"/>
      <c r="T303" s="734"/>
      <c r="U303" s="488"/>
      <c r="V303" s="488"/>
      <c r="W303" s="488"/>
      <c r="X303" s="488"/>
      <c r="Y303" s="488"/>
      <c r="Z303" s="488"/>
      <c r="AA303" s="107"/>
      <c r="AB303" s="488"/>
      <c r="AC303" s="488"/>
      <c r="AD303" s="488"/>
      <c r="AE303" s="488"/>
      <c r="AF303" s="1021"/>
      <c r="AG303" s="488"/>
    </row>
    <row r="304" spans="3:33" s="27" customFormat="1">
      <c r="C304" s="107"/>
      <c r="E304" s="1255"/>
      <c r="F304" s="107"/>
      <c r="G304" s="488"/>
      <c r="H304" s="488"/>
      <c r="J304" s="1272"/>
      <c r="L304" s="550"/>
      <c r="M304" s="107"/>
      <c r="N304" s="1021"/>
      <c r="O304" s="488"/>
      <c r="P304" s="488"/>
      <c r="Q304" s="488"/>
      <c r="R304" s="107"/>
      <c r="S304" s="488"/>
      <c r="T304" s="734"/>
      <c r="U304" s="488"/>
      <c r="V304" s="488"/>
      <c r="W304" s="488"/>
      <c r="X304" s="488"/>
      <c r="Y304" s="488"/>
      <c r="Z304" s="488"/>
      <c r="AA304" s="107"/>
      <c r="AB304" s="488"/>
      <c r="AC304" s="488"/>
      <c r="AD304" s="488"/>
      <c r="AE304" s="488"/>
      <c r="AF304" s="1021"/>
      <c r="AG304" s="488"/>
    </row>
    <row r="305" spans="3:33" s="27" customFormat="1">
      <c r="C305" s="107"/>
      <c r="E305" s="1255"/>
      <c r="F305" s="107"/>
      <c r="G305" s="488"/>
      <c r="H305" s="488"/>
      <c r="J305" s="1272"/>
      <c r="L305" s="550"/>
      <c r="M305" s="107"/>
      <c r="N305" s="1021"/>
      <c r="O305" s="488"/>
      <c r="P305" s="488"/>
      <c r="Q305" s="488"/>
      <c r="R305" s="107"/>
      <c r="S305" s="488"/>
      <c r="T305" s="734"/>
      <c r="U305" s="488"/>
      <c r="V305" s="488"/>
      <c r="W305" s="488"/>
      <c r="X305" s="488"/>
      <c r="Y305" s="488"/>
      <c r="Z305" s="488"/>
      <c r="AA305" s="107"/>
      <c r="AB305" s="488"/>
      <c r="AC305" s="488"/>
      <c r="AD305" s="488"/>
      <c r="AE305" s="488"/>
      <c r="AF305" s="1021"/>
      <c r="AG305" s="488"/>
    </row>
    <row r="306" spans="3:33" s="27" customFormat="1">
      <c r="C306" s="107"/>
      <c r="E306" s="1255"/>
      <c r="F306" s="107"/>
      <c r="G306" s="488"/>
      <c r="H306" s="488"/>
      <c r="J306" s="1272"/>
      <c r="L306" s="550"/>
      <c r="M306" s="107"/>
      <c r="N306" s="1021"/>
      <c r="O306" s="488"/>
      <c r="P306" s="488"/>
      <c r="Q306" s="488"/>
      <c r="R306" s="107"/>
      <c r="S306" s="488"/>
      <c r="T306" s="734"/>
      <c r="U306" s="488"/>
      <c r="V306" s="488"/>
      <c r="W306" s="488"/>
      <c r="X306" s="488"/>
      <c r="Y306" s="488"/>
      <c r="Z306" s="488"/>
      <c r="AA306" s="107"/>
      <c r="AB306" s="488"/>
      <c r="AC306" s="488"/>
      <c r="AD306" s="488"/>
      <c r="AE306" s="488"/>
      <c r="AF306" s="1021"/>
      <c r="AG306" s="488"/>
    </row>
    <row r="307" spans="3:33" s="27" customFormat="1">
      <c r="C307" s="107"/>
      <c r="E307" s="1255"/>
      <c r="F307" s="107"/>
      <c r="G307" s="488"/>
      <c r="H307" s="488"/>
      <c r="J307" s="1272"/>
      <c r="L307" s="550"/>
      <c r="M307" s="107"/>
      <c r="N307" s="1021"/>
      <c r="O307" s="488"/>
      <c r="P307" s="488"/>
      <c r="Q307" s="488"/>
      <c r="R307" s="107"/>
      <c r="S307" s="488"/>
      <c r="T307" s="734"/>
      <c r="U307" s="488"/>
      <c r="V307" s="488"/>
      <c r="W307" s="488"/>
      <c r="X307" s="488"/>
      <c r="Y307" s="488"/>
      <c r="Z307" s="488"/>
      <c r="AA307" s="107"/>
      <c r="AB307" s="488"/>
      <c r="AC307" s="488"/>
      <c r="AD307" s="488"/>
      <c r="AE307" s="488"/>
      <c r="AF307" s="1021"/>
      <c r="AG307" s="488"/>
    </row>
    <row r="308" spans="3:33" s="27" customFormat="1">
      <c r="C308" s="107"/>
      <c r="E308" s="1255"/>
      <c r="F308" s="107"/>
      <c r="G308" s="488"/>
      <c r="H308" s="488"/>
      <c r="J308" s="1272"/>
      <c r="L308" s="550"/>
      <c r="M308" s="107"/>
      <c r="N308" s="1021"/>
      <c r="O308" s="488"/>
      <c r="P308" s="488"/>
      <c r="Q308" s="488"/>
      <c r="R308" s="107"/>
      <c r="S308" s="488"/>
      <c r="T308" s="734"/>
      <c r="U308" s="488"/>
      <c r="V308" s="488"/>
      <c r="W308" s="488"/>
      <c r="X308" s="488"/>
      <c r="Y308" s="488"/>
      <c r="Z308" s="488"/>
      <c r="AA308" s="107"/>
      <c r="AB308" s="488"/>
      <c r="AC308" s="488"/>
      <c r="AD308" s="488"/>
      <c r="AE308" s="488"/>
      <c r="AF308" s="1021"/>
      <c r="AG308" s="488"/>
    </row>
    <row r="309" spans="3:33" s="27" customFormat="1">
      <c r="C309" s="107"/>
      <c r="E309" s="1255"/>
      <c r="F309" s="107"/>
      <c r="G309" s="488"/>
      <c r="H309" s="488"/>
      <c r="J309" s="1272"/>
      <c r="L309" s="550"/>
      <c r="M309" s="107"/>
      <c r="N309" s="1021"/>
      <c r="O309" s="488"/>
      <c r="P309" s="488"/>
      <c r="Q309" s="488"/>
      <c r="R309" s="107"/>
      <c r="S309" s="488"/>
      <c r="T309" s="734"/>
      <c r="U309" s="488"/>
      <c r="V309" s="488"/>
      <c r="W309" s="488"/>
      <c r="X309" s="488"/>
      <c r="Y309" s="488"/>
      <c r="Z309" s="488"/>
      <c r="AA309" s="107"/>
      <c r="AB309" s="488"/>
      <c r="AC309" s="488"/>
      <c r="AD309" s="488"/>
      <c r="AE309" s="488"/>
      <c r="AF309" s="1021"/>
      <c r="AG309" s="488"/>
    </row>
    <row r="310" spans="3:33" s="27" customFormat="1">
      <c r="C310" s="107"/>
      <c r="E310" s="1255"/>
      <c r="F310" s="107"/>
      <c r="G310" s="488"/>
      <c r="H310" s="488"/>
      <c r="J310" s="1272"/>
      <c r="L310" s="550"/>
      <c r="M310" s="107"/>
      <c r="N310" s="1021"/>
      <c r="O310" s="488"/>
      <c r="P310" s="488"/>
      <c r="Q310" s="488"/>
      <c r="R310" s="107"/>
      <c r="S310" s="488"/>
      <c r="T310" s="734"/>
      <c r="U310" s="488"/>
      <c r="V310" s="488"/>
      <c r="W310" s="488"/>
      <c r="X310" s="488"/>
      <c r="Y310" s="488"/>
      <c r="Z310" s="488"/>
      <c r="AA310" s="107"/>
      <c r="AB310" s="488"/>
      <c r="AC310" s="488"/>
      <c r="AD310" s="488"/>
      <c r="AE310" s="488"/>
      <c r="AF310" s="1021"/>
      <c r="AG310" s="488"/>
    </row>
    <row r="311" spans="3:33" s="27" customFormat="1">
      <c r="C311" s="107"/>
      <c r="E311" s="1255"/>
      <c r="F311" s="107"/>
      <c r="G311" s="488"/>
      <c r="H311" s="488"/>
      <c r="J311" s="1272"/>
      <c r="L311" s="550"/>
      <c r="M311" s="107"/>
      <c r="N311" s="1021"/>
      <c r="O311" s="488"/>
      <c r="P311" s="488"/>
      <c r="Q311" s="488"/>
      <c r="R311" s="107"/>
      <c r="S311" s="488"/>
      <c r="T311" s="734"/>
      <c r="U311" s="488"/>
      <c r="V311" s="488"/>
      <c r="W311" s="488"/>
      <c r="X311" s="488"/>
      <c r="Y311" s="488"/>
      <c r="Z311" s="488"/>
      <c r="AA311" s="107"/>
      <c r="AB311" s="488"/>
      <c r="AC311" s="488"/>
      <c r="AD311" s="488"/>
      <c r="AE311" s="488"/>
      <c r="AF311" s="1021"/>
      <c r="AG311" s="488"/>
    </row>
    <row r="312" spans="3:33" s="27" customFormat="1">
      <c r="C312" s="107"/>
      <c r="E312" s="1255"/>
      <c r="F312" s="107"/>
      <c r="G312" s="488"/>
      <c r="H312" s="488"/>
      <c r="J312" s="1272"/>
      <c r="L312" s="550"/>
      <c r="M312" s="107"/>
      <c r="N312" s="1021"/>
      <c r="O312" s="488"/>
      <c r="P312" s="488"/>
      <c r="Q312" s="488"/>
      <c r="R312" s="107"/>
      <c r="S312" s="488"/>
      <c r="T312" s="734"/>
      <c r="U312" s="488"/>
      <c r="V312" s="488"/>
      <c r="W312" s="488"/>
      <c r="X312" s="488"/>
      <c r="Y312" s="488"/>
      <c r="Z312" s="488"/>
      <c r="AA312" s="107"/>
      <c r="AB312" s="488"/>
      <c r="AC312" s="488"/>
      <c r="AD312" s="488"/>
      <c r="AE312" s="488"/>
      <c r="AF312" s="1021"/>
      <c r="AG312" s="488"/>
    </row>
    <row r="313" spans="3:33" s="27" customFormat="1">
      <c r="C313" s="107"/>
      <c r="E313" s="1255"/>
      <c r="F313" s="107"/>
      <c r="G313" s="488"/>
      <c r="H313" s="488"/>
      <c r="J313" s="1272"/>
      <c r="L313" s="550"/>
      <c r="M313" s="107"/>
      <c r="N313" s="1021"/>
      <c r="O313" s="488"/>
      <c r="P313" s="488"/>
      <c r="Q313" s="488"/>
      <c r="R313" s="107"/>
      <c r="S313" s="488"/>
      <c r="T313" s="734"/>
      <c r="U313" s="488"/>
      <c r="V313" s="488"/>
      <c r="W313" s="488"/>
      <c r="X313" s="488"/>
      <c r="Y313" s="488"/>
      <c r="Z313" s="488"/>
      <c r="AA313" s="107"/>
      <c r="AB313" s="488"/>
      <c r="AC313" s="488"/>
      <c r="AD313" s="488"/>
      <c r="AE313" s="488"/>
      <c r="AF313" s="1021"/>
      <c r="AG313" s="488"/>
    </row>
    <row r="314" spans="3:33" s="27" customFormat="1">
      <c r="C314" s="107"/>
      <c r="E314" s="1255"/>
      <c r="F314" s="107"/>
      <c r="G314" s="488"/>
      <c r="H314" s="488"/>
      <c r="J314" s="1272"/>
      <c r="L314" s="550"/>
      <c r="M314" s="107"/>
      <c r="N314" s="1021"/>
      <c r="O314" s="488"/>
      <c r="P314" s="488"/>
      <c r="Q314" s="488"/>
      <c r="R314" s="107"/>
      <c r="S314" s="488"/>
      <c r="T314" s="734"/>
      <c r="U314" s="488"/>
      <c r="V314" s="488"/>
      <c r="W314" s="488"/>
      <c r="X314" s="488"/>
      <c r="Y314" s="488"/>
      <c r="Z314" s="488"/>
      <c r="AA314" s="107"/>
      <c r="AB314" s="488"/>
      <c r="AC314" s="488"/>
      <c r="AD314" s="488"/>
      <c r="AE314" s="488"/>
      <c r="AF314" s="1021"/>
      <c r="AG314" s="488"/>
    </row>
    <row r="315" spans="3:33" s="27" customFormat="1">
      <c r="C315" s="107"/>
      <c r="E315" s="1255"/>
      <c r="F315" s="107"/>
      <c r="G315" s="488"/>
      <c r="H315" s="488"/>
      <c r="J315" s="1272"/>
      <c r="L315" s="550"/>
      <c r="M315" s="107"/>
      <c r="N315" s="1021"/>
      <c r="O315" s="488"/>
      <c r="P315" s="488"/>
      <c r="Q315" s="488"/>
      <c r="R315" s="107"/>
      <c r="S315" s="488"/>
      <c r="T315" s="734"/>
      <c r="U315" s="488"/>
      <c r="V315" s="488"/>
      <c r="W315" s="488"/>
      <c r="X315" s="488"/>
      <c r="Y315" s="488"/>
      <c r="Z315" s="488"/>
      <c r="AA315" s="107"/>
      <c r="AB315" s="488"/>
      <c r="AC315" s="488"/>
      <c r="AD315" s="488"/>
      <c r="AE315" s="488"/>
      <c r="AF315" s="1021"/>
      <c r="AG315" s="488"/>
    </row>
    <row r="316" spans="3:33" s="27" customFormat="1">
      <c r="C316" s="107"/>
      <c r="E316" s="1255"/>
      <c r="F316" s="107"/>
      <c r="G316" s="488"/>
      <c r="H316" s="488"/>
      <c r="J316" s="1272"/>
      <c r="L316" s="550"/>
      <c r="M316" s="107"/>
      <c r="N316" s="1021"/>
      <c r="O316" s="488"/>
      <c r="P316" s="488"/>
      <c r="Q316" s="488"/>
      <c r="R316" s="107"/>
      <c r="S316" s="488"/>
      <c r="T316" s="734"/>
      <c r="U316" s="488"/>
      <c r="V316" s="488"/>
      <c r="W316" s="488"/>
      <c r="X316" s="488"/>
      <c r="Y316" s="488"/>
      <c r="Z316" s="488"/>
      <c r="AA316" s="107"/>
      <c r="AB316" s="488"/>
      <c r="AC316" s="488"/>
      <c r="AD316" s="488"/>
      <c r="AE316" s="488"/>
      <c r="AF316" s="1021"/>
      <c r="AG316" s="488"/>
    </row>
    <row r="317" spans="3:33" s="27" customFormat="1">
      <c r="C317" s="107"/>
      <c r="E317" s="1255"/>
      <c r="F317" s="107"/>
      <c r="G317" s="488"/>
      <c r="H317" s="488"/>
      <c r="J317" s="1272"/>
      <c r="L317" s="550"/>
      <c r="M317" s="107"/>
      <c r="N317" s="1021"/>
      <c r="O317" s="488"/>
      <c r="P317" s="488"/>
      <c r="Q317" s="488"/>
      <c r="R317" s="107"/>
      <c r="S317" s="488"/>
      <c r="T317" s="734"/>
      <c r="U317" s="488"/>
      <c r="V317" s="488"/>
      <c r="W317" s="488"/>
      <c r="X317" s="488"/>
      <c r="Y317" s="488"/>
      <c r="Z317" s="488"/>
      <c r="AA317" s="107"/>
      <c r="AB317" s="488"/>
      <c r="AC317" s="488"/>
      <c r="AD317" s="488"/>
      <c r="AE317" s="488"/>
      <c r="AF317" s="1021"/>
      <c r="AG317" s="488"/>
    </row>
    <row r="318" spans="3:33" s="27" customFormat="1">
      <c r="C318" s="107"/>
      <c r="E318" s="1255"/>
      <c r="F318" s="107"/>
      <c r="G318" s="488"/>
      <c r="H318" s="488"/>
      <c r="J318" s="1272"/>
      <c r="L318" s="550"/>
      <c r="M318" s="107"/>
      <c r="N318" s="1021"/>
      <c r="O318" s="488"/>
      <c r="P318" s="488"/>
      <c r="Q318" s="488"/>
      <c r="R318" s="107"/>
      <c r="S318" s="488"/>
      <c r="T318" s="734"/>
      <c r="U318" s="488"/>
      <c r="V318" s="488"/>
      <c r="W318" s="488"/>
      <c r="X318" s="488"/>
      <c r="Y318" s="488"/>
      <c r="Z318" s="488"/>
      <c r="AA318" s="107"/>
      <c r="AB318" s="488"/>
      <c r="AC318" s="488"/>
      <c r="AD318" s="488"/>
      <c r="AE318" s="488"/>
      <c r="AF318" s="1021"/>
      <c r="AG318" s="488"/>
    </row>
    <row r="319" spans="3:33" s="27" customFormat="1">
      <c r="C319" s="107"/>
      <c r="E319" s="1255"/>
      <c r="F319" s="107"/>
      <c r="G319" s="488"/>
      <c r="H319" s="488"/>
      <c r="J319" s="1272"/>
      <c r="L319" s="550"/>
      <c r="M319" s="107"/>
      <c r="N319" s="1021"/>
      <c r="O319" s="488"/>
      <c r="P319" s="488"/>
      <c r="Q319" s="488"/>
      <c r="R319" s="107"/>
      <c r="S319" s="488"/>
      <c r="T319" s="734"/>
      <c r="U319" s="488"/>
      <c r="V319" s="488"/>
      <c r="W319" s="488"/>
      <c r="X319" s="488"/>
      <c r="Y319" s="488"/>
      <c r="Z319" s="488"/>
      <c r="AA319" s="107"/>
      <c r="AB319" s="488"/>
      <c r="AC319" s="488"/>
      <c r="AD319" s="488"/>
      <c r="AE319" s="488"/>
      <c r="AF319" s="1021"/>
      <c r="AG319" s="488"/>
    </row>
    <row r="320" spans="3:33" s="27" customFormat="1">
      <c r="C320" s="107"/>
      <c r="E320" s="1255"/>
      <c r="F320" s="107"/>
      <c r="G320" s="488"/>
      <c r="H320" s="488"/>
      <c r="J320" s="1272"/>
      <c r="L320" s="550"/>
      <c r="M320" s="107"/>
      <c r="N320" s="1021"/>
      <c r="O320" s="488"/>
      <c r="P320" s="488"/>
      <c r="Q320" s="488"/>
      <c r="R320" s="107"/>
      <c r="S320" s="488"/>
      <c r="T320" s="734"/>
      <c r="U320" s="488"/>
      <c r="V320" s="488"/>
      <c r="W320" s="488"/>
      <c r="X320" s="488"/>
      <c r="Y320" s="488"/>
      <c r="Z320" s="488"/>
      <c r="AA320" s="107"/>
      <c r="AB320" s="488"/>
      <c r="AC320" s="488"/>
      <c r="AD320" s="488"/>
      <c r="AE320" s="488"/>
      <c r="AF320" s="1021"/>
      <c r="AG320" s="488"/>
    </row>
    <row r="321" spans="3:33" s="27" customFormat="1">
      <c r="C321" s="107"/>
      <c r="E321" s="1255"/>
      <c r="F321" s="107"/>
      <c r="G321" s="488"/>
      <c r="H321" s="488"/>
      <c r="J321" s="1272"/>
      <c r="L321" s="550"/>
      <c r="M321" s="107"/>
      <c r="N321" s="1021"/>
      <c r="O321" s="488"/>
      <c r="P321" s="488"/>
      <c r="Q321" s="488"/>
      <c r="R321" s="107"/>
      <c r="S321" s="488"/>
      <c r="T321" s="734"/>
      <c r="U321" s="488"/>
      <c r="V321" s="488"/>
      <c r="W321" s="488"/>
      <c r="X321" s="488"/>
      <c r="Y321" s="488"/>
      <c r="Z321" s="488"/>
      <c r="AA321" s="107"/>
      <c r="AB321" s="488"/>
      <c r="AC321" s="488"/>
      <c r="AD321" s="488"/>
      <c r="AE321" s="488"/>
      <c r="AF321" s="1021"/>
      <c r="AG321" s="488"/>
    </row>
    <row r="322" spans="3:33" s="27" customFormat="1">
      <c r="C322" s="107"/>
      <c r="E322" s="1255"/>
      <c r="F322" s="107"/>
      <c r="G322" s="488"/>
      <c r="H322" s="488"/>
      <c r="J322" s="1272"/>
      <c r="L322" s="550"/>
      <c r="M322" s="107"/>
      <c r="N322" s="1021"/>
      <c r="O322" s="488"/>
      <c r="P322" s="488"/>
      <c r="Q322" s="488"/>
      <c r="R322" s="107"/>
      <c r="S322" s="488"/>
      <c r="T322" s="734"/>
      <c r="U322" s="488"/>
      <c r="V322" s="488"/>
      <c r="W322" s="488"/>
      <c r="X322" s="488"/>
      <c r="Y322" s="488"/>
      <c r="Z322" s="488"/>
      <c r="AA322" s="107"/>
      <c r="AB322" s="488"/>
      <c r="AC322" s="488"/>
      <c r="AD322" s="488"/>
      <c r="AE322" s="488"/>
      <c r="AF322" s="1021"/>
      <c r="AG322" s="488"/>
    </row>
    <row r="323" spans="3:33" s="27" customFormat="1">
      <c r="C323" s="107"/>
      <c r="E323" s="1255"/>
      <c r="F323" s="107"/>
      <c r="G323" s="488"/>
      <c r="H323" s="488"/>
      <c r="J323" s="1272"/>
      <c r="L323" s="550"/>
      <c r="M323" s="107"/>
      <c r="N323" s="1021"/>
      <c r="O323" s="488"/>
      <c r="P323" s="488"/>
      <c r="Q323" s="488"/>
      <c r="R323" s="107"/>
      <c r="S323" s="488"/>
      <c r="T323" s="734"/>
      <c r="U323" s="488"/>
      <c r="V323" s="488"/>
      <c r="W323" s="488"/>
      <c r="X323" s="488"/>
      <c r="Y323" s="488"/>
      <c r="Z323" s="488"/>
      <c r="AA323" s="107"/>
      <c r="AB323" s="488"/>
      <c r="AC323" s="488"/>
      <c r="AD323" s="488"/>
      <c r="AE323" s="488"/>
      <c r="AF323" s="1021"/>
      <c r="AG323" s="488"/>
    </row>
    <row r="324" spans="3:33" s="27" customFormat="1">
      <c r="C324" s="107"/>
      <c r="E324" s="1255"/>
      <c r="F324" s="107"/>
      <c r="G324" s="488"/>
      <c r="H324" s="488"/>
      <c r="J324" s="1272"/>
      <c r="L324" s="550"/>
      <c r="M324" s="107"/>
      <c r="N324" s="1021"/>
      <c r="O324" s="488"/>
      <c r="P324" s="488"/>
      <c r="Q324" s="488"/>
      <c r="R324" s="107"/>
      <c r="S324" s="488"/>
      <c r="T324" s="734"/>
      <c r="U324" s="488"/>
      <c r="V324" s="488"/>
      <c r="W324" s="488"/>
      <c r="X324" s="488"/>
      <c r="Y324" s="488"/>
      <c r="Z324" s="488"/>
      <c r="AA324" s="107"/>
      <c r="AB324" s="488"/>
      <c r="AC324" s="488"/>
      <c r="AD324" s="488"/>
      <c r="AE324" s="488"/>
      <c r="AF324" s="1021"/>
      <c r="AG324" s="488"/>
    </row>
    <row r="325" spans="3:33" s="27" customFormat="1">
      <c r="C325" s="107"/>
      <c r="E325" s="1255"/>
      <c r="F325" s="107"/>
      <c r="G325" s="488"/>
      <c r="H325" s="488"/>
      <c r="J325" s="1272"/>
      <c r="L325" s="550"/>
      <c r="M325" s="107"/>
      <c r="N325" s="1021"/>
      <c r="O325" s="488"/>
      <c r="P325" s="488"/>
      <c r="Q325" s="488"/>
      <c r="R325" s="107"/>
      <c r="S325" s="488"/>
      <c r="T325" s="734"/>
      <c r="U325" s="488"/>
      <c r="V325" s="488"/>
      <c r="W325" s="488"/>
      <c r="X325" s="488"/>
      <c r="Y325" s="488"/>
      <c r="Z325" s="488"/>
      <c r="AA325" s="107"/>
      <c r="AB325" s="488"/>
      <c r="AC325" s="488"/>
      <c r="AD325" s="488"/>
      <c r="AE325" s="488"/>
      <c r="AF325" s="1021"/>
      <c r="AG325" s="488"/>
    </row>
    <row r="326" spans="3:33" s="27" customFormat="1">
      <c r="C326" s="107"/>
      <c r="E326" s="1255"/>
      <c r="F326" s="107"/>
      <c r="G326" s="488"/>
      <c r="H326" s="488"/>
      <c r="J326" s="1272"/>
      <c r="L326" s="550"/>
      <c r="M326" s="107"/>
      <c r="N326" s="1021"/>
      <c r="O326" s="488"/>
      <c r="P326" s="488"/>
      <c r="Q326" s="488"/>
      <c r="R326" s="107"/>
      <c r="S326" s="488"/>
      <c r="T326" s="734"/>
      <c r="U326" s="488"/>
      <c r="V326" s="488"/>
      <c r="W326" s="488"/>
      <c r="X326" s="488"/>
      <c r="Y326" s="488"/>
      <c r="Z326" s="488"/>
      <c r="AA326" s="107"/>
      <c r="AB326" s="488"/>
      <c r="AC326" s="488"/>
      <c r="AD326" s="488"/>
      <c r="AE326" s="488"/>
      <c r="AF326" s="1021"/>
      <c r="AG326" s="488"/>
    </row>
    <row r="327" spans="3:33" s="27" customFormat="1">
      <c r="C327" s="107"/>
      <c r="E327" s="1255"/>
      <c r="F327" s="107"/>
      <c r="G327" s="488"/>
      <c r="H327" s="488"/>
      <c r="J327" s="1272"/>
      <c r="L327" s="550"/>
      <c r="M327" s="107"/>
      <c r="N327" s="1021"/>
      <c r="O327" s="488"/>
      <c r="P327" s="488"/>
      <c r="Q327" s="488"/>
      <c r="R327" s="107"/>
      <c r="S327" s="488"/>
      <c r="T327" s="734"/>
      <c r="U327" s="488"/>
      <c r="V327" s="488"/>
      <c r="W327" s="488"/>
      <c r="X327" s="488"/>
      <c r="Y327" s="488"/>
      <c r="Z327" s="488"/>
      <c r="AA327" s="107"/>
      <c r="AB327" s="488"/>
      <c r="AC327" s="488"/>
      <c r="AD327" s="488"/>
      <c r="AE327" s="488"/>
      <c r="AF327" s="1021"/>
      <c r="AG327" s="488"/>
    </row>
    <row r="328" spans="3:33" s="27" customFormat="1">
      <c r="C328" s="107"/>
      <c r="E328" s="1255"/>
      <c r="F328" s="107"/>
      <c r="G328" s="488"/>
      <c r="H328" s="488"/>
      <c r="J328" s="1272"/>
      <c r="L328" s="550"/>
      <c r="M328" s="107"/>
      <c r="N328" s="1021"/>
      <c r="O328" s="488"/>
      <c r="P328" s="488"/>
      <c r="Q328" s="488"/>
      <c r="R328" s="107"/>
      <c r="S328" s="488"/>
      <c r="T328" s="734"/>
      <c r="U328" s="488"/>
      <c r="V328" s="488"/>
      <c r="W328" s="488"/>
      <c r="X328" s="488"/>
      <c r="Y328" s="488"/>
      <c r="Z328" s="488"/>
      <c r="AA328" s="107"/>
      <c r="AB328" s="488"/>
      <c r="AC328" s="488"/>
      <c r="AD328" s="488"/>
      <c r="AE328" s="488"/>
      <c r="AF328" s="1021"/>
      <c r="AG328" s="488"/>
    </row>
    <row r="329" spans="3:33" s="27" customFormat="1">
      <c r="C329" s="107"/>
      <c r="E329" s="1255"/>
      <c r="F329" s="107"/>
      <c r="G329" s="488"/>
      <c r="H329" s="488"/>
      <c r="J329" s="1272"/>
      <c r="L329" s="550"/>
      <c r="M329" s="107"/>
      <c r="N329" s="1021"/>
      <c r="O329" s="488"/>
      <c r="P329" s="488"/>
      <c r="Q329" s="488"/>
      <c r="R329" s="107"/>
      <c r="S329" s="488"/>
      <c r="T329" s="734"/>
      <c r="U329" s="488"/>
      <c r="V329" s="488"/>
      <c r="W329" s="488"/>
      <c r="X329" s="488"/>
      <c r="Y329" s="488"/>
      <c r="Z329" s="488"/>
      <c r="AA329" s="107"/>
      <c r="AB329" s="488"/>
      <c r="AC329" s="488"/>
      <c r="AD329" s="488"/>
      <c r="AE329" s="488"/>
      <c r="AF329" s="1021"/>
      <c r="AG329" s="488"/>
    </row>
    <row r="330" spans="3:33" s="27" customFormat="1">
      <c r="C330" s="107"/>
      <c r="E330" s="1255"/>
      <c r="F330" s="107"/>
      <c r="G330" s="488"/>
      <c r="H330" s="488"/>
      <c r="J330" s="1272"/>
      <c r="L330" s="550"/>
      <c r="M330" s="107"/>
      <c r="N330" s="1021"/>
      <c r="O330" s="488"/>
      <c r="P330" s="488"/>
      <c r="Q330" s="488"/>
      <c r="R330" s="107"/>
      <c r="S330" s="488"/>
      <c r="T330" s="734"/>
      <c r="U330" s="488"/>
      <c r="V330" s="488"/>
      <c r="W330" s="488"/>
      <c r="X330" s="488"/>
      <c r="Y330" s="488"/>
      <c r="Z330" s="488"/>
      <c r="AA330" s="107"/>
      <c r="AB330" s="488"/>
      <c r="AC330" s="488"/>
      <c r="AD330" s="488"/>
      <c r="AE330" s="488"/>
      <c r="AF330" s="1021"/>
      <c r="AG330" s="488"/>
    </row>
    <row r="331" spans="3:33" s="27" customFormat="1">
      <c r="C331" s="107"/>
      <c r="E331" s="1255"/>
      <c r="F331" s="107"/>
      <c r="G331" s="488"/>
      <c r="H331" s="488"/>
      <c r="J331" s="1272"/>
      <c r="L331" s="550"/>
      <c r="M331" s="107"/>
      <c r="N331" s="1021"/>
      <c r="O331" s="488"/>
      <c r="P331" s="488"/>
      <c r="Q331" s="488"/>
      <c r="R331" s="107"/>
      <c r="S331" s="488"/>
      <c r="T331" s="734"/>
      <c r="U331" s="488"/>
      <c r="V331" s="488"/>
      <c r="W331" s="488"/>
      <c r="X331" s="488"/>
      <c r="Y331" s="488"/>
      <c r="Z331" s="488"/>
      <c r="AA331" s="107"/>
      <c r="AB331" s="488"/>
      <c r="AC331" s="488"/>
      <c r="AD331" s="488"/>
      <c r="AE331" s="488"/>
      <c r="AF331" s="1021"/>
      <c r="AG331" s="488"/>
    </row>
    <row r="332" spans="3:33" s="27" customFormat="1">
      <c r="C332" s="107"/>
      <c r="E332" s="1255"/>
      <c r="F332" s="107"/>
      <c r="G332" s="488"/>
      <c r="H332" s="488"/>
      <c r="J332" s="1272"/>
      <c r="L332" s="550"/>
      <c r="M332" s="107"/>
      <c r="N332" s="1021"/>
      <c r="O332" s="488"/>
      <c r="P332" s="488"/>
      <c r="Q332" s="488"/>
      <c r="R332" s="107"/>
      <c r="S332" s="488"/>
      <c r="T332" s="734"/>
      <c r="U332" s="488"/>
      <c r="V332" s="488"/>
      <c r="W332" s="488"/>
      <c r="X332" s="488"/>
      <c r="Y332" s="488"/>
      <c r="Z332" s="488"/>
      <c r="AA332" s="107"/>
      <c r="AB332" s="488"/>
      <c r="AC332" s="488"/>
      <c r="AD332" s="488"/>
      <c r="AE332" s="488"/>
      <c r="AF332" s="1021"/>
      <c r="AG332" s="488"/>
    </row>
    <row r="333" spans="3:33" s="27" customFormat="1">
      <c r="C333" s="107"/>
      <c r="E333" s="1255"/>
      <c r="F333" s="107"/>
      <c r="G333" s="488"/>
      <c r="H333" s="488"/>
      <c r="J333" s="1272"/>
      <c r="L333" s="550"/>
      <c r="M333" s="107"/>
      <c r="N333" s="1021"/>
      <c r="O333" s="488"/>
      <c r="P333" s="488"/>
      <c r="Q333" s="488"/>
      <c r="R333" s="107"/>
      <c r="S333" s="488"/>
      <c r="T333" s="734"/>
      <c r="U333" s="488"/>
      <c r="V333" s="488"/>
      <c r="W333" s="488"/>
      <c r="X333" s="488"/>
      <c r="Y333" s="488"/>
      <c r="Z333" s="488"/>
      <c r="AA333" s="107"/>
      <c r="AB333" s="488"/>
      <c r="AC333" s="488"/>
      <c r="AD333" s="488"/>
      <c r="AE333" s="488"/>
      <c r="AF333" s="1021"/>
      <c r="AG333" s="488"/>
    </row>
    <row r="334" spans="3:33" s="27" customFormat="1">
      <c r="C334" s="107"/>
      <c r="E334" s="1255"/>
      <c r="F334" s="107"/>
      <c r="G334" s="488"/>
      <c r="H334" s="488"/>
      <c r="J334" s="1272"/>
      <c r="L334" s="550"/>
      <c r="M334" s="107"/>
      <c r="N334" s="1021"/>
      <c r="O334" s="488"/>
      <c r="P334" s="488"/>
      <c r="Q334" s="488"/>
      <c r="R334" s="107"/>
      <c r="S334" s="488"/>
      <c r="T334" s="734"/>
      <c r="U334" s="488"/>
      <c r="V334" s="488"/>
      <c r="W334" s="488"/>
      <c r="X334" s="488"/>
      <c r="Y334" s="488"/>
      <c r="Z334" s="488"/>
      <c r="AA334" s="107"/>
      <c r="AB334" s="488"/>
      <c r="AC334" s="488"/>
      <c r="AD334" s="488"/>
      <c r="AE334" s="488"/>
      <c r="AF334" s="1021"/>
      <c r="AG334" s="488"/>
    </row>
    <row r="335" spans="3:33" s="27" customFormat="1">
      <c r="C335" s="107"/>
      <c r="E335" s="1255"/>
      <c r="F335" s="107"/>
      <c r="G335" s="488"/>
      <c r="H335" s="488"/>
      <c r="J335" s="1272"/>
      <c r="L335" s="550"/>
      <c r="M335" s="107"/>
      <c r="N335" s="1021"/>
      <c r="O335" s="488"/>
      <c r="P335" s="488"/>
      <c r="Q335" s="488"/>
      <c r="R335" s="107"/>
      <c r="S335" s="488"/>
      <c r="T335" s="734"/>
      <c r="U335" s="488"/>
      <c r="V335" s="488"/>
      <c r="W335" s="488"/>
      <c r="X335" s="488"/>
      <c r="Y335" s="488"/>
      <c r="Z335" s="488"/>
      <c r="AA335" s="107"/>
      <c r="AB335" s="488"/>
      <c r="AC335" s="488"/>
      <c r="AD335" s="488"/>
      <c r="AE335" s="488"/>
      <c r="AF335" s="1021"/>
      <c r="AG335" s="488"/>
    </row>
    <row r="336" spans="3:33" s="27" customFormat="1">
      <c r="C336" s="107"/>
      <c r="E336" s="1255"/>
      <c r="F336" s="107"/>
      <c r="G336" s="488"/>
      <c r="H336" s="488"/>
      <c r="J336" s="1272"/>
      <c r="L336" s="550"/>
      <c r="M336" s="107"/>
      <c r="N336" s="1021"/>
      <c r="O336" s="488"/>
      <c r="P336" s="488"/>
      <c r="Q336" s="488"/>
      <c r="R336" s="107"/>
      <c r="S336" s="488"/>
      <c r="T336" s="734"/>
      <c r="U336" s="488"/>
      <c r="V336" s="488"/>
      <c r="W336" s="488"/>
      <c r="X336" s="488"/>
      <c r="Y336" s="488"/>
      <c r="Z336" s="488"/>
      <c r="AA336" s="107"/>
      <c r="AB336" s="488"/>
      <c r="AC336" s="488"/>
      <c r="AD336" s="488"/>
      <c r="AE336" s="488"/>
      <c r="AF336" s="1021"/>
      <c r="AG336" s="488"/>
    </row>
    <row r="337" spans="3:33" s="27" customFormat="1">
      <c r="C337" s="107"/>
      <c r="E337" s="1255"/>
      <c r="F337" s="107"/>
      <c r="G337" s="488"/>
      <c r="H337" s="488"/>
      <c r="J337" s="1272"/>
      <c r="L337" s="550"/>
      <c r="M337" s="107"/>
      <c r="N337" s="1021"/>
      <c r="O337" s="488"/>
      <c r="P337" s="488"/>
      <c r="Q337" s="488"/>
      <c r="R337" s="107"/>
      <c r="S337" s="488"/>
      <c r="T337" s="734"/>
      <c r="U337" s="488"/>
      <c r="V337" s="488"/>
      <c r="W337" s="488"/>
      <c r="X337" s="488"/>
      <c r="Y337" s="488"/>
      <c r="Z337" s="488"/>
      <c r="AA337" s="107"/>
      <c r="AB337" s="488"/>
      <c r="AC337" s="488"/>
      <c r="AD337" s="488"/>
      <c r="AE337" s="488"/>
      <c r="AF337" s="1021"/>
      <c r="AG337" s="488"/>
    </row>
    <row r="338" spans="3:33" s="27" customFormat="1">
      <c r="C338" s="107"/>
      <c r="E338" s="1255"/>
      <c r="F338" s="107"/>
      <c r="G338" s="488"/>
      <c r="H338" s="488"/>
      <c r="J338" s="1272"/>
      <c r="L338" s="550"/>
      <c r="M338" s="107"/>
      <c r="N338" s="1021"/>
      <c r="O338" s="488"/>
      <c r="P338" s="488"/>
      <c r="Q338" s="488"/>
      <c r="R338" s="107"/>
      <c r="S338" s="488"/>
      <c r="T338" s="734"/>
      <c r="U338" s="488"/>
      <c r="V338" s="488"/>
      <c r="W338" s="488"/>
      <c r="X338" s="488"/>
      <c r="Y338" s="488"/>
      <c r="Z338" s="488"/>
      <c r="AA338" s="107"/>
      <c r="AB338" s="488"/>
      <c r="AC338" s="488"/>
      <c r="AD338" s="488"/>
      <c r="AE338" s="488"/>
      <c r="AF338" s="1021"/>
      <c r="AG338" s="488"/>
    </row>
    <row r="339" spans="3:33" s="27" customFormat="1">
      <c r="C339" s="107"/>
      <c r="E339" s="1255"/>
      <c r="F339" s="107"/>
      <c r="G339" s="488"/>
      <c r="H339" s="488"/>
      <c r="J339" s="1272"/>
      <c r="L339" s="550"/>
      <c r="M339" s="107"/>
      <c r="N339" s="1021"/>
      <c r="O339" s="488"/>
      <c r="P339" s="488"/>
      <c r="Q339" s="488"/>
      <c r="R339" s="107"/>
      <c r="S339" s="488"/>
      <c r="T339" s="734"/>
      <c r="U339" s="488"/>
      <c r="V339" s="488"/>
      <c r="W339" s="488"/>
      <c r="X339" s="488"/>
      <c r="Y339" s="488"/>
      <c r="Z339" s="488"/>
      <c r="AA339" s="107"/>
      <c r="AB339" s="488"/>
      <c r="AC339" s="488"/>
      <c r="AD339" s="488"/>
      <c r="AE339" s="488"/>
      <c r="AF339" s="1021"/>
      <c r="AG339" s="488"/>
    </row>
    <row r="340" spans="3:33" s="27" customFormat="1">
      <c r="C340" s="107"/>
      <c r="E340" s="1255"/>
      <c r="F340" s="107"/>
      <c r="G340" s="488"/>
      <c r="H340" s="488"/>
      <c r="J340" s="1272"/>
      <c r="L340" s="550"/>
      <c r="M340" s="107"/>
      <c r="N340" s="1021"/>
      <c r="O340" s="488"/>
      <c r="P340" s="488"/>
      <c r="Q340" s="488"/>
      <c r="R340" s="107"/>
      <c r="S340" s="488"/>
      <c r="T340" s="734"/>
      <c r="U340" s="488"/>
      <c r="V340" s="488"/>
      <c r="W340" s="488"/>
      <c r="X340" s="488"/>
      <c r="Y340" s="488"/>
      <c r="Z340" s="488"/>
      <c r="AA340" s="107"/>
      <c r="AB340" s="488"/>
      <c r="AC340" s="488"/>
      <c r="AD340" s="488"/>
      <c r="AE340" s="488"/>
      <c r="AF340" s="1021"/>
      <c r="AG340" s="488"/>
    </row>
    <row r="341" spans="3:33" s="27" customFormat="1">
      <c r="C341" s="107"/>
      <c r="E341" s="1255"/>
      <c r="F341" s="107"/>
      <c r="G341" s="488"/>
      <c r="H341" s="488"/>
      <c r="J341" s="1272"/>
      <c r="L341" s="550"/>
      <c r="M341" s="107"/>
      <c r="N341" s="1021"/>
      <c r="O341" s="488"/>
      <c r="P341" s="488"/>
      <c r="Q341" s="488"/>
      <c r="R341" s="107"/>
      <c r="S341" s="488"/>
      <c r="T341" s="734"/>
      <c r="U341" s="488"/>
      <c r="V341" s="488"/>
      <c r="W341" s="488"/>
      <c r="X341" s="488"/>
      <c r="Y341" s="488"/>
      <c r="Z341" s="488"/>
      <c r="AA341" s="107"/>
      <c r="AB341" s="488"/>
      <c r="AC341" s="488"/>
      <c r="AD341" s="488"/>
      <c r="AE341" s="488"/>
      <c r="AF341" s="1021"/>
      <c r="AG341" s="488"/>
    </row>
    <row r="342" spans="3:33" s="27" customFormat="1">
      <c r="C342" s="107"/>
      <c r="E342" s="1255"/>
      <c r="F342" s="107"/>
      <c r="G342" s="488"/>
      <c r="H342" s="488"/>
      <c r="J342" s="1272"/>
      <c r="L342" s="550"/>
      <c r="M342" s="107"/>
      <c r="N342" s="1021"/>
      <c r="O342" s="488"/>
      <c r="P342" s="488"/>
      <c r="Q342" s="488"/>
      <c r="R342" s="107"/>
      <c r="S342" s="488"/>
      <c r="T342" s="734"/>
      <c r="U342" s="488"/>
      <c r="V342" s="488"/>
      <c r="W342" s="488"/>
      <c r="X342" s="488"/>
      <c r="Y342" s="488"/>
      <c r="Z342" s="488"/>
      <c r="AA342" s="107"/>
      <c r="AB342" s="488"/>
      <c r="AC342" s="488"/>
      <c r="AD342" s="488"/>
      <c r="AE342" s="488"/>
      <c r="AF342" s="1021"/>
      <c r="AG342" s="488"/>
    </row>
    <row r="343" spans="3:33" s="27" customFormat="1">
      <c r="C343" s="107"/>
      <c r="E343" s="1255"/>
      <c r="F343" s="107"/>
      <c r="G343" s="488"/>
      <c r="H343" s="488"/>
      <c r="J343" s="1272"/>
      <c r="L343" s="550"/>
      <c r="M343" s="107"/>
      <c r="N343" s="1021"/>
      <c r="O343" s="488"/>
      <c r="P343" s="488"/>
      <c r="Q343" s="488"/>
      <c r="R343" s="107"/>
      <c r="S343" s="488"/>
      <c r="T343" s="734"/>
      <c r="U343" s="488"/>
      <c r="V343" s="488"/>
      <c r="W343" s="488"/>
      <c r="X343" s="488"/>
      <c r="Y343" s="488"/>
      <c r="Z343" s="488"/>
      <c r="AA343" s="107"/>
      <c r="AB343" s="488"/>
      <c r="AC343" s="488"/>
      <c r="AD343" s="488"/>
      <c r="AE343" s="488"/>
      <c r="AF343" s="1021"/>
      <c r="AG343" s="488"/>
    </row>
    <row r="344" spans="3:33" s="27" customFormat="1">
      <c r="C344" s="107"/>
      <c r="E344" s="1255"/>
      <c r="F344" s="107"/>
      <c r="G344" s="488"/>
      <c r="H344" s="488"/>
      <c r="J344" s="1272"/>
      <c r="L344" s="550"/>
      <c r="M344" s="107"/>
      <c r="N344" s="1021"/>
      <c r="O344" s="488"/>
      <c r="P344" s="488"/>
      <c r="Q344" s="488"/>
      <c r="R344" s="107"/>
      <c r="S344" s="488"/>
      <c r="T344" s="734"/>
      <c r="U344" s="488"/>
      <c r="V344" s="488"/>
      <c r="W344" s="488"/>
      <c r="X344" s="488"/>
      <c r="Y344" s="488"/>
      <c r="Z344" s="488"/>
      <c r="AA344" s="107"/>
      <c r="AB344" s="488"/>
      <c r="AC344" s="488"/>
      <c r="AD344" s="488"/>
      <c r="AE344" s="488"/>
      <c r="AF344" s="1021"/>
      <c r="AG344" s="488"/>
    </row>
    <row r="345" spans="3:33" s="27" customFormat="1">
      <c r="C345" s="107"/>
      <c r="E345" s="1255"/>
      <c r="F345" s="107"/>
      <c r="G345" s="488"/>
      <c r="H345" s="488"/>
      <c r="J345" s="1272"/>
      <c r="L345" s="550"/>
      <c r="M345" s="107"/>
      <c r="N345" s="1021"/>
      <c r="O345" s="488"/>
      <c r="P345" s="488"/>
      <c r="Q345" s="488"/>
      <c r="R345" s="107"/>
      <c r="S345" s="488"/>
      <c r="T345" s="734"/>
      <c r="U345" s="488"/>
      <c r="V345" s="488"/>
      <c r="W345" s="488"/>
      <c r="X345" s="488"/>
      <c r="Y345" s="488"/>
      <c r="Z345" s="488"/>
      <c r="AA345" s="107"/>
      <c r="AB345" s="488"/>
      <c r="AC345" s="488"/>
      <c r="AD345" s="488"/>
      <c r="AE345" s="488"/>
      <c r="AF345" s="1021"/>
      <c r="AG345" s="488"/>
    </row>
    <row r="346" spans="3:33" s="27" customFormat="1">
      <c r="C346" s="107"/>
      <c r="E346" s="1255"/>
      <c r="F346" s="107"/>
      <c r="G346" s="488"/>
      <c r="H346" s="488"/>
      <c r="J346" s="1272"/>
      <c r="L346" s="550"/>
      <c r="M346" s="107"/>
      <c r="N346" s="1021"/>
      <c r="O346" s="488"/>
      <c r="P346" s="488"/>
      <c r="Q346" s="488"/>
      <c r="R346" s="107"/>
      <c r="S346" s="488"/>
      <c r="T346" s="734"/>
      <c r="U346" s="488"/>
      <c r="V346" s="488"/>
      <c r="W346" s="488"/>
      <c r="X346" s="488"/>
      <c r="Y346" s="488"/>
      <c r="Z346" s="488"/>
      <c r="AA346" s="107"/>
      <c r="AB346" s="488"/>
      <c r="AC346" s="488"/>
      <c r="AD346" s="488"/>
      <c r="AE346" s="488"/>
      <c r="AF346" s="1021"/>
      <c r="AG346" s="488"/>
    </row>
    <row r="347" spans="3:33" s="27" customFormat="1">
      <c r="C347" s="107"/>
      <c r="E347" s="1255"/>
      <c r="F347" s="107"/>
      <c r="G347" s="488"/>
      <c r="H347" s="488"/>
      <c r="J347" s="1272"/>
      <c r="L347" s="550"/>
      <c r="M347" s="107"/>
      <c r="N347" s="1021"/>
      <c r="O347" s="488"/>
      <c r="P347" s="488"/>
      <c r="Q347" s="488"/>
      <c r="R347" s="107"/>
      <c r="S347" s="488"/>
      <c r="T347" s="734"/>
      <c r="U347" s="488"/>
      <c r="V347" s="488"/>
      <c r="W347" s="488"/>
      <c r="X347" s="488"/>
      <c r="Y347" s="488"/>
      <c r="Z347" s="488"/>
      <c r="AA347" s="107"/>
      <c r="AB347" s="488"/>
      <c r="AC347" s="488"/>
      <c r="AD347" s="488"/>
      <c r="AE347" s="488"/>
      <c r="AF347" s="1021"/>
      <c r="AG347" s="488"/>
    </row>
    <row r="348" spans="3:33" s="27" customFormat="1">
      <c r="C348" s="107"/>
      <c r="E348" s="1255"/>
      <c r="F348" s="107"/>
      <c r="G348" s="488"/>
      <c r="H348" s="488"/>
      <c r="J348" s="1272"/>
      <c r="L348" s="550"/>
      <c r="M348" s="107"/>
      <c r="N348" s="1021"/>
      <c r="O348" s="488"/>
      <c r="P348" s="488"/>
      <c r="Q348" s="488"/>
      <c r="R348" s="107"/>
      <c r="S348" s="488"/>
      <c r="T348" s="734"/>
      <c r="U348" s="488"/>
      <c r="V348" s="488"/>
      <c r="W348" s="488"/>
      <c r="X348" s="488"/>
      <c r="Y348" s="488"/>
      <c r="Z348" s="488"/>
      <c r="AA348" s="107"/>
      <c r="AB348" s="488"/>
      <c r="AC348" s="488"/>
      <c r="AD348" s="488"/>
      <c r="AE348" s="488"/>
      <c r="AF348" s="1021"/>
      <c r="AG348" s="488"/>
    </row>
    <row r="349" spans="3:33" s="27" customFormat="1">
      <c r="C349" s="107"/>
      <c r="E349" s="1255"/>
      <c r="F349" s="107"/>
      <c r="G349" s="488"/>
      <c r="H349" s="488"/>
      <c r="J349" s="1272"/>
      <c r="L349" s="550"/>
      <c r="M349" s="107"/>
      <c r="N349" s="1021"/>
      <c r="O349" s="488"/>
      <c r="P349" s="488"/>
      <c r="Q349" s="488"/>
      <c r="R349" s="107"/>
      <c r="S349" s="488"/>
      <c r="T349" s="734"/>
      <c r="U349" s="488"/>
      <c r="V349" s="488"/>
      <c r="W349" s="488"/>
      <c r="X349" s="488"/>
      <c r="Y349" s="488"/>
      <c r="Z349" s="488"/>
      <c r="AA349" s="107"/>
      <c r="AB349" s="488"/>
      <c r="AC349" s="488"/>
      <c r="AD349" s="488"/>
      <c r="AE349" s="488"/>
      <c r="AF349" s="1021"/>
      <c r="AG349" s="488"/>
    </row>
    <row r="350" spans="3:33" s="27" customFormat="1">
      <c r="C350" s="107"/>
      <c r="E350" s="1255"/>
      <c r="F350" s="107"/>
      <c r="G350" s="488"/>
      <c r="H350" s="488"/>
      <c r="J350" s="1272"/>
      <c r="L350" s="550"/>
      <c r="M350" s="107"/>
      <c r="N350" s="1021"/>
      <c r="O350" s="488"/>
      <c r="P350" s="488"/>
      <c r="Q350" s="488"/>
      <c r="R350" s="107"/>
      <c r="S350" s="488"/>
      <c r="T350" s="734"/>
      <c r="U350" s="488"/>
      <c r="V350" s="488"/>
      <c r="W350" s="488"/>
      <c r="X350" s="488"/>
      <c r="Y350" s="488"/>
      <c r="Z350" s="488"/>
      <c r="AA350" s="107"/>
      <c r="AB350" s="488"/>
      <c r="AC350" s="488"/>
      <c r="AD350" s="488"/>
      <c r="AE350" s="488"/>
      <c r="AF350" s="1021"/>
      <c r="AG350" s="488"/>
    </row>
    <row r="351" spans="3:33" s="27" customFormat="1">
      <c r="C351" s="107"/>
      <c r="E351" s="1255"/>
      <c r="F351" s="107"/>
      <c r="G351" s="488"/>
      <c r="H351" s="488"/>
      <c r="J351" s="1272"/>
      <c r="L351" s="550"/>
      <c r="M351" s="107"/>
      <c r="N351" s="1021"/>
      <c r="O351" s="488"/>
      <c r="P351" s="488"/>
      <c r="Q351" s="488"/>
      <c r="R351" s="107"/>
      <c r="S351" s="488"/>
      <c r="T351" s="734"/>
      <c r="U351" s="488"/>
      <c r="V351" s="488"/>
      <c r="W351" s="488"/>
      <c r="X351" s="488"/>
      <c r="Y351" s="488"/>
      <c r="Z351" s="488"/>
      <c r="AA351" s="107"/>
      <c r="AB351" s="488"/>
      <c r="AC351" s="488"/>
      <c r="AD351" s="488"/>
      <c r="AE351" s="488"/>
      <c r="AF351" s="1021"/>
      <c r="AG351" s="488"/>
    </row>
    <row r="352" spans="3:33" s="27" customFormat="1">
      <c r="C352" s="107"/>
      <c r="E352" s="1255"/>
      <c r="F352" s="107"/>
      <c r="G352" s="488"/>
      <c r="H352" s="488"/>
      <c r="J352" s="1272"/>
      <c r="L352" s="550"/>
      <c r="M352" s="107"/>
      <c r="N352" s="1021"/>
      <c r="O352" s="488"/>
      <c r="P352" s="488"/>
      <c r="Q352" s="488"/>
      <c r="R352" s="107"/>
      <c r="S352" s="488"/>
      <c r="T352" s="734"/>
      <c r="U352" s="488"/>
      <c r="V352" s="488"/>
      <c r="W352" s="488"/>
      <c r="X352" s="488"/>
      <c r="Y352" s="488"/>
      <c r="Z352" s="488"/>
      <c r="AA352" s="107"/>
      <c r="AB352" s="488"/>
      <c r="AC352" s="488"/>
      <c r="AD352" s="488"/>
      <c r="AE352" s="488"/>
      <c r="AF352" s="1021"/>
      <c r="AG352" s="488"/>
    </row>
    <row r="353" spans="3:33" s="27" customFormat="1">
      <c r="C353" s="107"/>
      <c r="E353" s="1255"/>
      <c r="F353" s="107"/>
      <c r="G353" s="488"/>
      <c r="H353" s="488"/>
      <c r="J353" s="1272"/>
      <c r="L353" s="550"/>
      <c r="M353" s="107"/>
      <c r="N353" s="1021"/>
      <c r="O353" s="488"/>
      <c r="P353" s="488"/>
      <c r="Q353" s="488"/>
      <c r="R353" s="107"/>
      <c r="S353" s="488"/>
      <c r="T353" s="734"/>
      <c r="U353" s="488"/>
      <c r="V353" s="488"/>
      <c r="W353" s="488"/>
      <c r="X353" s="488"/>
      <c r="Y353" s="488"/>
      <c r="Z353" s="488"/>
      <c r="AA353" s="107"/>
      <c r="AB353" s="488"/>
      <c r="AC353" s="488"/>
      <c r="AD353" s="488"/>
      <c r="AE353" s="488"/>
      <c r="AF353" s="1021"/>
      <c r="AG353" s="488"/>
    </row>
    <row r="354" spans="3:33" s="27" customFormat="1">
      <c r="C354" s="107"/>
      <c r="E354" s="1255"/>
      <c r="F354" s="107"/>
      <c r="G354" s="488"/>
      <c r="H354" s="488"/>
      <c r="J354" s="1272"/>
      <c r="L354" s="550"/>
      <c r="M354" s="107"/>
      <c r="N354" s="1021"/>
      <c r="O354" s="488"/>
      <c r="P354" s="488"/>
      <c r="Q354" s="488"/>
      <c r="R354" s="107"/>
      <c r="S354" s="488"/>
      <c r="T354" s="734"/>
      <c r="U354" s="488"/>
      <c r="V354" s="488"/>
      <c r="W354" s="488"/>
      <c r="X354" s="488"/>
      <c r="Y354" s="488"/>
      <c r="Z354" s="488"/>
      <c r="AA354" s="107"/>
      <c r="AB354" s="488"/>
      <c r="AC354" s="488"/>
      <c r="AD354" s="488"/>
      <c r="AE354" s="488"/>
      <c r="AF354" s="1021"/>
      <c r="AG354" s="488"/>
    </row>
    <row r="355" spans="3:33" s="27" customFormat="1">
      <c r="C355" s="107"/>
      <c r="E355" s="1255"/>
      <c r="F355" s="107"/>
      <c r="G355" s="488"/>
      <c r="H355" s="488"/>
      <c r="J355" s="1272"/>
      <c r="L355" s="550"/>
      <c r="M355" s="107"/>
      <c r="N355" s="1021"/>
      <c r="O355" s="488"/>
      <c r="P355" s="488"/>
      <c r="Q355" s="488"/>
      <c r="R355" s="107"/>
      <c r="S355" s="488"/>
      <c r="T355" s="734"/>
      <c r="U355" s="488"/>
      <c r="V355" s="488"/>
      <c r="W355" s="488"/>
      <c r="X355" s="488"/>
      <c r="Y355" s="488"/>
      <c r="Z355" s="488"/>
      <c r="AA355" s="107"/>
      <c r="AB355" s="488"/>
      <c r="AC355" s="488"/>
      <c r="AD355" s="488"/>
      <c r="AE355" s="488"/>
      <c r="AF355" s="1021"/>
      <c r="AG355" s="488"/>
    </row>
    <row r="356" spans="3:33" s="27" customFormat="1">
      <c r="C356" s="107"/>
      <c r="E356" s="1255"/>
      <c r="F356" s="107"/>
      <c r="G356" s="488"/>
      <c r="H356" s="488"/>
      <c r="J356" s="1272"/>
      <c r="L356" s="550"/>
      <c r="M356" s="107"/>
      <c r="N356" s="1021"/>
      <c r="O356" s="488"/>
      <c r="P356" s="488"/>
      <c r="Q356" s="488"/>
      <c r="R356" s="107"/>
      <c r="S356" s="488"/>
      <c r="T356" s="734"/>
      <c r="U356" s="488"/>
      <c r="V356" s="488"/>
      <c r="W356" s="488"/>
      <c r="X356" s="488"/>
      <c r="Y356" s="488"/>
      <c r="Z356" s="488"/>
      <c r="AA356" s="107"/>
      <c r="AB356" s="488"/>
      <c r="AC356" s="488"/>
      <c r="AD356" s="488"/>
      <c r="AE356" s="488"/>
      <c r="AF356" s="1021"/>
      <c r="AG356" s="488"/>
    </row>
    <row r="357" spans="3:33" s="27" customFormat="1">
      <c r="C357" s="107"/>
      <c r="E357" s="1255"/>
      <c r="F357" s="107"/>
      <c r="G357" s="488"/>
      <c r="H357" s="488"/>
      <c r="J357" s="1272"/>
      <c r="L357" s="550"/>
      <c r="M357" s="107"/>
      <c r="N357" s="1021"/>
      <c r="O357" s="488"/>
      <c r="P357" s="488"/>
      <c r="Q357" s="488"/>
      <c r="R357" s="107"/>
      <c r="S357" s="488"/>
      <c r="T357" s="734"/>
      <c r="U357" s="488"/>
      <c r="V357" s="488"/>
      <c r="W357" s="488"/>
      <c r="X357" s="488"/>
      <c r="Y357" s="488"/>
      <c r="Z357" s="488"/>
      <c r="AA357" s="107"/>
      <c r="AB357" s="488"/>
      <c r="AC357" s="488"/>
      <c r="AD357" s="488"/>
      <c r="AE357" s="488"/>
      <c r="AF357" s="1021"/>
      <c r="AG357" s="488"/>
    </row>
    <row r="358" spans="3:33" s="27" customFormat="1">
      <c r="C358" s="107"/>
      <c r="E358" s="1255"/>
      <c r="F358" s="107"/>
      <c r="G358" s="488"/>
      <c r="H358" s="488"/>
      <c r="J358" s="1272"/>
      <c r="L358" s="550"/>
      <c r="M358" s="107"/>
      <c r="N358" s="1021"/>
      <c r="O358" s="488"/>
      <c r="P358" s="488"/>
      <c r="Q358" s="488"/>
      <c r="R358" s="107"/>
      <c r="S358" s="488"/>
      <c r="T358" s="734"/>
      <c r="U358" s="488"/>
      <c r="V358" s="488"/>
      <c r="W358" s="488"/>
      <c r="X358" s="488"/>
      <c r="Y358" s="488"/>
      <c r="Z358" s="488"/>
      <c r="AA358" s="107"/>
      <c r="AB358" s="488"/>
      <c r="AC358" s="488"/>
      <c r="AD358" s="488"/>
      <c r="AE358" s="488"/>
      <c r="AF358" s="1021"/>
      <c r="AG358" s="488"/>
    </row>
    <row r="359" spans="3:33" s="27" customFormat="1">
      <c r="C359" s="107"/>
      <c r="E359" s="1255"/>
      <c r="F359" s="107"/>
      <c r="G359" s="488"/>
      <c r="H359" s="488"/>
      <c r="J359" s="1272"/>
      <c r="L359" s="550"/>
      <c r="M359" s="107"/>
      <c r="N359" s="1021"/>
      <c r="O359" s="488"/>
      <c r="P359" s="488"/>
      <c r="Q359" s="488"/>
      <c r="R359" s="107"/>
      <c r="S359" s="488"/>
      <c r="T359" s="734"/>
      <c r="U359" s="488"/>
      <c r="V359" s="488"/>
      <c r="W359" s="488"/>
      <c r="X359" s="488"/>
      <c r="Y359" s="488"/>
      <c r="Z359" s="488"/>
      <c r="AA359" s="107"/>
      <c r="AB359" s="488"/>
      <c r="AC359" s="488"/>
      <c r="AD359" s="488"/>
      <c r="AE359" s="488"/>
      <c r="AF359" s="1021"/>
      <c r="AG359" s="488"/>
    </row>
    <row r="360" spans="3:33" s="27" customFormat="1">
      <c r="C360" s="107"/>
      <c r="E360" s="1255"/>
      <c r="F360" s="107"/>
      <c r="G360" s="488"/>
      <c r="H360" s="488"/>
      <c r="J360" s="1272"/>
      <c r="L360" s="550"/>
      <c r="M360" s="107"/>
      <c r="N360" s="1021"/>
      <c r="O360" s="488"/>
      <c r="P360" s="488"/>
      <c r="Q360" s="488"/>
      <c r="R360" s="107"/>
      <c r="S360" s="488"/>
      <c r="T360" s="734"/>
      <c r="U360" s="488"/>
      <c r="V360" s="488"/>
      <c r="W360" s="488"/>
      <c r="X360" s="488"/>
      <c r="Y360" s="488"/>
      <c r="Z360" s="488"/>
      <c r="AA360" s="107"/>
      <c r="AB360" s="488"/>
      <c r="AC360" s="488"/>
      <c r="AD360" s="488"/>
      <c r="AE360" s="488"/>
      <c r="AF360" s="1021"/>
      <c r="AG360" s="488"/>
    </row>
    <row r="361" spans="3:33" s="27" customFormat="1">
      <c r="C361" s="107"/>
      <c r="E361" s="1255"/>
      <c r="F361" s="107"/>
      <c r="G361" s="488"/>
      <c r="H361" s="488"/>
      <c r="J361" s="1272"/>
      <c r="L361" s="550"/>
      <c r="M361" s="107"/>
      <c r="N361" s="1021"/>
      <c r="O361" s="488"/>
      <c r="P361" s="488"/>
      <c r="Q361" s="488"/>
      <c r="R361" s="107"/>
      <c r="S361" s="488"/>
      <c r="T361" s="734"/>
      <c r="U361" s="488"/>
      <c r="V361" s="488"/>
      <c r="W361" s="488"/>
      <c r="X361" s="488"/>
      <c r="Y361" s="488"/>
      <c r="Z361" s="488"/>
      <c r="AA361" s="107"/>
      <c r="AB361" s="488"/>
      <c r="AC361" s="488"/>
      <c r="AD361" s="488"/>
      <c r="AE361" s="488"/>
      <c r="AF361" s="1021"/>
      <c r="AG361" s="488"/>
    </row>
    <row r="362" spans="3:33" s="27" customFormat="1">
      <c r="C362" s="107"/>
      <c r="E362" s="1255"/>
      <c r="F362" s="107"/>
      <c r="G362" s="488"/>
      <c r="H362" s="488"/>
      <c r="J362" s="1272"/>
      <c r="L362" s="550"/>
      <c r="M362" s="107"/>
      <c r="N362" s="1021"/>
      <c r="O362" s="488"/>
      <c r="P362" s="488"/>
      <c r="Q362" s="488"/>
      <c r="R362" s="107"/>
      <c r="S362" s="488"/>
      <c r="T362" s="734"/>
      <c r="U362" s="488"/>
      <c r="V362" s="488"/>
      <c r="W362" s="488"/>
      <c r="X362" s="488"/>
      <c r="Y362" s="488"/>
      <c r="Z362" s="488"/>
      <c r="AA362" s="107"/>
      <c r="AB362" s="488"/>
      <c r="AC362" s="488"/>
      <c r="AD362" s="488"/>
      <c r="AE362" s="488"/>
      <c r="AF362" s="1021"/>
      <c r="AG362" s="488"/>
    </row>
    <row r="363" spans="3:33" s="27" customFormat="1">
      <c r="C363" s="107"/>
      <c r="E363" s="1255"/>
      <c r="F363" s="107"/>
      <c r="G363" s="488"/>
      <c r="H363" s="488"/>
      <c r="J363" s="1272"/>
      <c r="L363" s="550"/>
      <c r="M363" s="107"/>
      <c r="N363" s="1021"/>
      <c r="O363" s="488"/>
      <c r="P363" s="488"/>
      <c r="Q363" s="488"/>
      <c r="R363" s="107"/>
      <c r="S363" s="488"/>
      <c r="T363" s="734"/>
      <c r="U363" s="488"/>
      <c r="V363" s="488"/>
      <c r="W363" s="488"/>
      <c r="X363" s="488"/>
      <c r="Y363" s="488"/>
      <c r="Z363" s="488"/>
      <c r="AA363" s="107"/>
      <c r="AB363" s="488"/>
      <c r="AC363" s="488"/>
      <c r="AD363" s="488"/>
      <c r="AE363" s="488"/>
      <c r="AF363" s="1021"/>
      <c r="AG363" s="488"/>
    </row>
    <row r="364" spans="3:33" s="27" customFormat="1">
      <c r="C364" s="911"/>
      <c r="D364" s="29"/>
      <c r="E364" s="1249"/>
      <c r="F364" s="911"/>
      <c r="G364" s="1011"/>
      <c r="H364" s="1012"/>
      <c r="I364" s="34"/>
      <c r="J364" s="1271"/>
      <c r="K364" s="29"/>
      <c r="L364" s="1011"/>
      <c r="M364" s="911"/>
      <c r="N364" s="1011"/>
      <c r="O364" s="1011"/>
      <c r="P364" s="1012"/>
      <c r="Q364" s="1012"/>
      <c r="R364" s="38"/>
      <c r="S364" s="1011"/>
      <c r="T364" s="38"/>
      <c r="U364" s="1012"/>
      <c r="V364" s="1012"/>
      <c r="W364" s="1011"/>
      <c r="X364" s="1011"/>
      <c r="Y364" s="1011"/>
      <c r="Z364" s="1011"/>
      <c r="AA364" s="38"/>
      <c r="AB364" s="1011"/>
      <c r="AC364" s="488"/>
      <c r="AD364" s="488"/>
      <c r="AE364" s="488"/>
      <c r="AF364" s="1021"/>
      <c r="AG364" s="488"/>
    </row>
    <row r="365" spans="3:33" s="27" customFormat="1">
      <c r="C365" s="911"/>
      <c r="D365" s="29"/>
      <c r="E365" s="1249"/>
      <c r="F365" s="911"/>
      <c r="G365" s="1011"/>
      <c r="H365" s="1012"/>
      <c r="I365" s="34"/>
      <c r="J365" s="1271"/>
      <c r="K365" s="29"/>
      <c r="L365" s="1011"/>
      <c r="M365" s="911"/>
      <c r="N365" s="1011"/>
      <c r="O365" s="1011"/>
      <c r="P365" s="1012"/>
      <c r="Q365" s="1012"/>
      <c r="R365" s="38"/>
      <c r="S365" s="1011"/>
      <c r="T365" s="38"/>
      <c r="U365" s="1012"/>
      <c r="V365" s="1012"/>
      <c r="W365" s="1011"/>
      <c r="X365" s="1011"/>
      <c r="Y365" s="1011"/>
      <c r="Z365" s="1011"/>
      <c r="AA365" s="38"/>
      <c r="AB365" s="1011"/>
      <c r="AC365" s="488"/>
      <c r="AD365" s="488"/>
      <c r="AE365" s="488"/>
      <c r="AF365" s="1021"/>
      <c r="AG365" s="488"/>
    </row>
    <row r="366" spans="3:33" s="27" customFormat="1">
      <c r="C366" s="911"/>
      <c r="D366" s="29"/>
      <c r="E366" s="1249"/>
      <c r="F366" s="911"/>
      <c r="G366" s="1011"/>
      <c r="H366" s="1012"/>
      <c r="I366" s="34"/>
      <c r="J366" s="1271"/>
      <c r="K366" s="29"/>
      <c r="L366" s="1011"/>
      <c r="M366" s="911"/>
      <c r="N366" s="1011"/>
      <c r="O366" s="1011"/>
      <c r="P366" s="1012"/>
      <c r="Q366" s="1012"/>
      <c r="R366" s="38"/>
      <c r="S366" s="1011"/>
      <c r="T366" s="38"/>
      <c r="U366" s="1012"/>
      <c r="V366" s="1012"/>
      <c r="W366" s="1011"/>
      <c r="X366" s="1011"/>
      <c r="Y366" s="1011"/>
      <c r="Z366" s="1011"/>
      <c r="AA366" s="38"/>
      <c r="AB366" s="1011"/>
      <c r="AC366" s="488"/>
      <c r="AD366" s="488"/>
      <c r="AE366" s="488"/>
      <c r="AF366" s="1021"/>
      <c r="AG366" s="488"/>
    </row>
    <row r="367" spans="3:33" s="27" customFormat="1">
      <c r="C367" s="911"/>
      <c r="D367" s="29"/>
      <c r="E367" s="1249"/>
      <c r="F367" s="911"/>
      <c r="G367" s="1011"/>
      <c r="H367" s="1012"/>
      <c r="I367" s="34"/>
      <c r="J367" s="1271"/>
      <c r="K367" s="29"/>
      <c r="L367" s="1011"/>
      <c r="M367" s="911"/>
      <c r="N367" s="1011"/>
      <c r="O367" s="1011"/>
      <c r="P367" s="1012"/>
      <c r="Q367" s="1012"/>
      <c r="R367" s="38"/>
      <c r="S367" s="1011"/>
      <c r="T367" s="38"/>
      <c r="U367" s="1012"/>
      <c r="V367" s="1012"/>
      <c r="W367" s="1011"/>
      <c r="X367" s="1011"/>
      <c r="Y367" s="1011"/>
      <c r="Z367" s="1011"/>
      <c r="AA367" s="38"/>
      <c r="AB367" s="1011"/>
      <c r="AC367" s="488"/>
      <c r="AD367" s="488"/>
      <c r="AE367" s="488"/>
      <c r="AF367" s="1021"/>
      <c r="AG367" s="488"/>
    </row>
    <row r="368" spans="3:33" s="27" customFormat="1">
      <c r="C368" s="911"/>
      <c r="D368" s="29"/>
      <c r="E368" s="1249"/>
      <c r="F368" s="911"/>
      <c r="G368" s="1011"/>
      <c r="H368" s="1012"/>
      <c r="I368" s="34"/>
      <c r="J368" s="1271"/>
      <c r="K368" s="29"/>
      <c r="L368" s="1011"/>
      <c r="M368" s="911"/>
      <c r="N368" s="1011"/>
      <c r="O368" s="1011"/>
      <c r="P368" s="1012"/>
      <c r="Q368" s="1012"/>
      <c r="R368" s="38"/>
      <c r="S368" s="1011"/>
      <c r="T368" s="38"/>
      <c r="U368" s="1012"/>
      <c r="V368" s="1012"/>
      <c r="W368" s="1011"/>
      <c r="X368" s="1011"/>
      <c r="Y368" s="1011"/>
      <c r="Z368" s="1011"/>
      <c r="AA368" s="38"/>
      <c r="AB368" s="1011"/>
      <c r="AC368" s="488"/>
      <c r="AD368" s="488"/>
      <c r="AE368" s="488"/>
      <c r="AF368" s="1021"/>
      <c r="AG368" s="488"/>
    </row>
    <row r="369" spans="3:44" s="27" customFormat="1">
      <c r="C369" s="911"/>
      <c r="D369" s="29"/>
      <c r="E369" s="1249"/>
      <c r="F369" s="911"/>
      <c r="G369" s="1011"/>
      <c r="H369" s="1012"/>
      <c r="I369" s="34"/>
      <c r="J369" s="1271"/>
      <c r="K369" s="29"/>
      <c r="L369" s="1011"/>
      <c r="M369" s="911"/>
      <c r="N369" s="1011"/>
      <c r="O369" s="1011"/>
      <c r="P369" s="1012"/>
      <c r="Q369" s="1012"/>
      <c r="R369" s="38"/>
      <c r="S369" s="1011"/>
      <c r="T369" s="38"/>
      <c r="U369" s="1012"/>
      <c r="V369" s="1012"/>
      <c r="W369" s="1011"/>
      <c r="X369" s="1011"/>
      <c r="Y369" s="1011"/>
      <c r="Z369" s="1011"/>
      <c r="AA369" s="38"/>
      <c r="AB369" s="1011"/>
      <c r="AC369" s="488"/>
      <c r="AD369" s="488"/>
      <c r="AE369" s="488"/>
      <c r="AF369" s="1021"/>
      <c r="AG369" s="488"/>
    </row>
    <row r="370" spans="3:44" s="27" customFormat="1">
      <c r="C370" s="911"/>
      <c r="D370" s="29"/>
      <c r="E370" s="1249"/>
      <c r="F370" s="911"/>
      <c r="G370" s="1011"/>
      <c r="H370" s="1012"/>
      <c r="I370" s="34"/>
      <c r="J370" s="1271"/>
      <c r="K370" s="29"/>
      <c r="L370" s="1011"/>
      <c r="M370" s="911"/>
      <c r="N370" s="1011"/>
      <c r="O370" s="1011"/>
      <c r="P370" s="1012"/>
      <c r="Q370" s="1012"/>
      <c r="R370" s="38"/>
      <c r="S370" s="1011"/>
      <c r="T370" s="38"/>
      <c r="U370" s="1012"/>
      <c r="V370" s="1012"/>
      <c r="W370" s="1011"/>
      <c r="X370" s="1011"/>
      <c r="Y370" s="1011"/>
      <c r="Z370" s="1011"/>
      <c r="AA370" s="38"/>
      <c r="AB370" s="1011"/>
      <c r="AC370" s="488"/>
      <c r="AD370" s="488"/>
      <c r="AE370" s="488"/>
      <c r="AF370" s="1021"/>
      <c r="AG370" s="488"/>
    </row>
    <row r="371" spans="3:44" s="27" customFormat="1">
      <c r="C371" s="107"/>
      <c r="E371" s="1255"/>
      <c r="F371" s="107"/>
      <c r="G371" s="488"/>
      <c r="H371" s="488"/>
      <c r="J371" s="1272"/>
      <c r="L371" s="550"/>
      <c r="M371" s="107"/>
      <c r="N371" s="1021"/>
      <c r="O371" s="488"/>
      <c r="P371" s="488"/>
      <c r="Q371" s="488"/>
      <c r="R371" s="107"/>
      <c r="S371" s="488"/>
      <c r="T371" s="734"/>
      <c r="U371" s="488"/>
      <c r="V371" s="488"/>
      <c r="W371" s="488"/>
      <c r="X371" s="488"/>
      <c r="Y371" s="488"/>
      <c r="Z371" s="488"/>
      <c r="AA371" s="107"/>
      <c r="AB371" s="488"/>
      <c r="AC371" s="488"/>
      <c r="AD371" s="488"/>
      <c r="AE371" s="488"/>
      <c r="AF371" s="1021"/>
      <c r="AG371" s="488"/>
    </row>
    <row r="372" spans="3:44" s="27" customFormat="1">
      <c r="C372" s="107"/>
      <c r="E372" s="1255"/>
      <c r="F372" s="107"/>
      <c r="G372" s="488"/>
      <c r="H372" s="488"/>
      <c r="J372" s="1272"/>
      <c r="L372" s="550"/>
      <c r="M372" s="107"/>
      <c r="N372" s="1021"/>
      <c r="O372" s="488"/>
      <c r="P372" s="488"/>
      <c r="Q372" s="488"/>
      <c r="R372" s="107"/>
      <c r="S372" s="488"/>
      <c r="T372" s="734"/>
      <c r="U372" s="488"/>
      <c r="V372" s="488"/>
      <c r="W372" s="488"/>
      <c r="X372" s="488"/>
      <c r="Y372" s="488"/>
      <c r="Z372" s="488"/>
      <c r="AA372" s="107"/>
      <c r="AB372" s="488"/>
      <c r="AC372" s="488"/>
      <c r="AD372" s="488"/>
      <c r="AE372" s="488"/>
      <c r="AF372" s="1021"/>
      <c r="AG372" s="488"/>
    </row>
    <row r="373" spans="3:44" s="27" customFormat="1">
      <c r="C373" s="107"/>
      <c r="E373" s="1255"/>
      <c r="F373" s="107"/>
      <c r="G373" s="488"/>
      <c r="H373" s="488"/>
      <c r="J373" s="1272"/>
      <c r="L373" s="550"/>
      <c r="M373" s="107"/>
      <c r="N373" s="1021"/>
      <c r="O373" s="488"/>
      <c r="P373" s="488"/>
      <c r="Q373" s="488"/>
      <c r="R373" s="107"/>
      <c r="S373" s="488"/>
      <c r="T373" s="734"/>
      <c r="U373" s="488"/>
      <c r="V373" s="488"/>
      <c r="W373" s="488"/>
      <c r="X373" s="488"/>
      <c r="Y373" s="488"/>
      <c r="Z373" s="488"/>
      <c r="AA373" s="107"/>
      <c r="AB373" s="488"/>
      <c r="AC373" s="488"/>
      <c r="AD373" s="488"/>
      <c r="AE373" s="488"/>
      <c r="AF373" s="1021"/>
      <c r="AG373" s="488"/>
    </row>
    <row r="374" spans="3:44" s="27" customFormat="1">
      <c r="C374" s="107"/>
      <c r="E374" s="1255"/>
      <c r="F374" s="107"/>
      <c r="G374" s="488"/>
      <c r="H374" s="488"/>
      <c r="J374" s="1272"/>
      <c r="L374" s="550"/>
      <c r="M374" s="107"/>
      <c r="N374" s="1021"/>
      <c r="O374" s="488"/>
      <c r="P374" s="488"/>
      <c r="Q374" s="488"/>
      <c r="R374" s="107"/>
      <c r="S374" s="488"/>
      <c r="T374" s="734"/>
      <c r="U374" s="488"/>
      <c r="V374" s="488"/>
      <c r="W374" s="488"/>
      <c r="X374" s="488"/>
      <c r="Y374" s="488"/>
      <c r="Z374" s="488"/>
      <c r="AA374" s="107"/>
      <c r="AB374" s="488"/>
      <c r="AC374" s="488"/>
      <c r="AD374" s="488"/>
      <c r="AE374" s="488"/>
      <c r="AF374" s="1021"/>
      <c r="AG374" s="488"/>
    </row>
    <row r="375" spans="3:44" s="27" customFormat="1">
      <c r="C375" s="107"/>
      <c r="E375" s="1255"/>
      <c r="F375" s="107"/>
      <c r="G375" s="488"/>
      <c r="H375" s="488"/>
      <c r="J375" s="1272"/>
      <c r="L375" s="550"/>
      <c r="M375" s="107"/>
      <c r="N375" s="1021"/>
      <c r="O375" s="488"/>
      <c r="P375" s="488"/>
      <c r="Q375" s="488"/>
      <c r="R375" s="107"/>
      <c r="S375" s="488"/>
      <c r="T375" s="734"/>
      <c r="U375" s="488"/>
      <c r="V375" s="488"/>
      <c r="W375" s="488"/>
      <c r="X375" s="488"/>
      <c r="Y375" s="488"/>
      <c r="Z375" s="488"/>
      <c r="AA375" s="107"/>
      <c r="AB375" s="488"/>
      <c r="AC375" s="488"/>
      <c r="AD375" s="488"/>
      <c r="AE375" s="488"/>
      <c r="AF375" s="1021"/>
      <c r="AG375" s="488"/>
    </row>
    <row r="376" spans="3:44" s="27" customFormat="1">
      <c r="C376" s="107"/>
      <c r="E376" s="1255"/>
      <c r="F376" s="107"/>
      <c r="G376" s="488"/>
      <c r="H376" s="488"/>
      <c r="J376" s="1272"/>
      <c r="L376" s="550"/>
      <c r="M376" s="107"/>
      <c r="N376" s="1021"/>
      <c r="O376" s="488"/>
      <c r="P376" s="488"/>
      <c r="Q376" s="488"/>
      <c r="R376" s="107"/>
      <c r="S376" s="488"/>
      <c r="T376" s="734"/>
      <c r="U376" s="488"/>
      <c r="V376" s="488"/>
      <c r="W376" s="488"/>
      <c r="X376" s="488"/>
      <c r="Y376" s="488"/>
      <c r="Z376" s="488"/>
      <c r="AA376" s="107"/>
      <c r="AB376" s="488"/>
      <c r="AC376" s="488"/>
      <c r="AD376" s="488"/>
      <c r="AE376" s="488"/>
      <c r="AF376" s="1021"/>
      <c r="AG376" s="488"/>
    </row>
    <row r="377" spans="3:44" s="27" customFormat="1">
      <c r="C377" s="107"/>
      <c r="E377" s="1255"/>
      <c r="F377" s="107"/>
      <c r="G377" s="488"/>
      <c r="H377" s="488"/>
      <c r="J377" s="1272"/>
      <c r="L377" s="550"/>
      <c r="M377" s="107"/>
      <c r="N377" s="1021"/>
      <c r="O377" s="488"/>
      <c r="P377" s="488"/>
      <c r="Q377" s="488"/>
      <c r="R377" s="107"/>
      <c r="S377" s="488"/>
      <c r="T377" s="734"/>
      <c r="U377" s="488"/>
      <c r="V377" s="488"/>
      <c r="W377" s="488"/>
      <c r="X377" s="488"/>
      <c r="Y377" s="488"/>
      <c r="Z377" s="488"/>
      <c r="AA377" s="107"/>
      <c r="AB377" s="488"/>
      <c r="AC377" s="488"/>
      <c r="AD377" s="488"/>
      <c r="AE377" s="488"/>
      <c r="AF377" s="1021"/>
      <c r="AG377" s="488"/>
    </row>
    <row r="378" spans="3:44" s="27" customFormat="1">
      <c r="C378" s="107"/>
      <c r="E378" s="1255"/>
      <c r="F378" s="107"/>
      <c r="G378" s="488"/>
      <c r="H378" s="488"/>
      <c r="J378" s="1272"/>
      <c r="L378" s="550"/>
      <c r="M378" s="107"/>
      <c r="N378" s="1021"/>
      <c r="O378" s="488"/>
      <c r="P378" s="488"/>
      <c r="Q378" s="488"/>
      <c r="R378" s="107"/>
      <c r="S378" s="488"/>
      <c r="T378" s="734"/>
      <c r="U378" s="488"/>
      <c r="V378" s="488"/>
      <c r="W378" s="488"/>
      <c r="X378" s="488"/>
      <c r="Y378" s="488"/>
      <c r="Z378" s="488"/>
      <c r="AA378" s="107"/>
      <c r="AB378" s="488"/>
      <c r="AC378" s="488"/>
      <c r="AD378" s="488"/>
      <c r="AE378" s="488"/>
      <c r="AF378" s="1021"/>
      <c r="AG378" s="488"/>
    </row>
    <row r="379" spans="3:44" s="27" customFormat="1">
      <c r="C379" s="107"/>
      <c r="E379" s="1255"/>
      <c r="F379" s="107"/>
      <c r="G379" s="488"/>
      <c r="H379" s="488"/>
      <c r="J379" s="1272"/>
      <c r="L379" s="550"/>
      <c r="M379" s="107"/>
      <c r="N379" s="1021"/>
      <c r="O379" s="488"/>
      <c r="P379" s="488"/>
      <c r="Q379" s="488"/>
      <c r="R379" s="107"/>
      <c r="S379" s="488"/>
      <c r="T379" s="734"/>
      <c r="U379" s="488"/>
      <c r="V379" s="488"/>
      <c r="W379" s="488"/>
      <c r="X379" s="488"/>
      <c r="Y379" s="488"/>
      <c r="Z379" s="488"/>
      <c r="AA379" s="107"/>
      <c r="AB379" s="488"/>
      <c r="AC379" s="488"/>
      <c r="AD379" s="488"/>
      <c r="AE379" s="488"/>
      <c r="AF379" s="1021"/>
      <c r="AG379" s="488"/>
    </row>
    <row r="380" spans="3:44" s="27" customFormat="1">
      <c r="C380" s="107"/>
      <c r="E380" s="1255"/>
      <c r="F380" s="107"/>
      <c r="G380" s="488"/>
      <c r="H380" s="488"/>
      <c r="J380" s="1272"/>
      <c r="L380" s="550"/>
      <c r="M380" s="107"/>
      <c r="N380" s="1021"/>
      <c r="O380" s="488"/>
      <c r="P380" s="488"/>
      <c r="Q380" s="488"/>
      <c r="R380" s="107"/>
      <c r="S380" s="488"/>
      <c r="T380" s="734"/>
      <c r="U380" s="488"/>
      <c r="V380" s="488"/>
      <c r="W380" s="488"/>
      <c r="X380" s="488"/>
      <c r="Y380" s="488"/>
      <c r="Z380" s="488"/>
      <c r="AA380" s="107"/>
      <c r="AB380" s="488"/>
      <c r="AC380" s="488"/>
      <c r="AD380" s="488"/>
      <c r="AE380" s="488"/>
      <c r="AF380" s="1021"/>
      <c r="AG380" s="488"/>
    </row>
    <row r="381" spans="3:44" s="27" customFormat="1">
      <c r="C381" s="107"/>
      <c r="E381" s="1255"/>
      <c r="F381" s="107"/>
      <c r="G381" s="488"/>
      <c r="H381" s="488"/>
      <c r="J381" s="1272"/>
      <c r="L381" s="550"/>
      <c r="M381" s="107"/>
      <c r="N381" s="1021"/>
      <c r="O381" s="488"/>
      <c r="P381" s="488"/>
      <c r="Q381" s="488"/>
      <c r="R381" s="107"/>
      <c r="S381" s="488"/>
      <c r="T381" s="734"/>
      <c r="U381" s="488"/>
      <c r="V381" s="488"/>
      <c r="W381" s="488"/>
      <c r="X381" s="488"/>
      <c r="Y381" s="488"/>
      <c r="Z381" s="488"/>
      <c r="AA381" s="107"/>
      <c r="AB381" s="488"/>
      <c r="AC381" s="488"/>
      <c r="AD381" s="488"/>
      <c r="AE381" s="488"/>
      <c r="AF381" s="1021"/>
      <c r="AG381" s="488"/>
    </row>
    <row r="382" spans="3:44" s="27" customFormat="1">
      <c r="C382" s="107"/>
      <c r="E382" s="1255"/>
      <c r="F382" s="107"/>
      <c r="G382" s="488"/>
      <c r="H382" s="488"/>
      <c r="J382" s="1272"/>
      <c r="L382" s="550"/>
      <c r="M382" s="107"/>
      <c r="N382" s="1021"/>
      <c r="O382" s="488"/>
      <c r="P382" s="488"/>
      <c r="Q382" s="488"/>
      <c r="R382" s="107"/>
      <c r="S382" s="488"/>
      <c r="T382" s="734"/>
      <c r="U382" s="488"/>
      <c r="V382" s="488"/>
      <c r="W382" s="488"/>
      <c r="X382" s="488"/>
      <c r="Y382" s="488"/>
      <c r="Z382" s="488"/>
      <c r="AA382" s="107"/>
      <c r="AB382" s="488"/>
      <c r="AC382" s="488"/>
      <c r="AD382" s="488"/>
      <c r="AE382" s="488"/>
      <c r="AF382" s="1021"/>
      <c r="AG382" s="488"/>
    </row>
    <row r="383" spans="3:44" s="27" customFormat="1">
      <c r="C383" s="911"/>
      <c r="D383" s="29"/>
      <c r="E383" s="1249"/>
      <c r="F383" s="911"/>
      <c r="G383" s="1011"/>
      <c r="H383" s="1012"/>
      <c r="I383" s="34"/>
      <c r="J383" s="1271"/>
      <c r="K383" s="29"/>
      <c r="L383" s="1011"/>
      <c r="M383" s="911"/>
      <c r="N383" s="1011"/>
      <c r="O383" s="1011"/>
      <c r="P383" s="1012"/>
      <c r="Q383" s="1012"/>
      <c r="R383" s="38"/>
      <c r="S383" s="1011"/>
      <c r="T383" s="38"/>
      <c r="U383" s="1012"/>
      <c r="V383" s="1012"/>
      <c r="W383" s="1011"/>
      <c r="X383" s="1011"/>
      <c r="Y383" s="1011"/>
      <c r="Z383" s="1011"/>
      <c r="AA383" s="38"/>
      <c r="AB383" s="1011"/>
      <c r="AC383" s="1012"/>
      <c r="AD383" s="1012"/>
      <c r="AE383" s="1011"/>
      <c r="AF383" s="1011"/>
      <c r="AG383" s="1011"/>
      <c r="AH383" s="43"/>
      <c r="AJ383" s="110"/>
      <c r="AK383" s="34"/>
      <c r="AL383" s="34"/>
      <c r="AM383" s="34"/>
      <c r="AN383" s="34"/>
      <c r="AO383" s="34"/>
      <c r="AP383" s="34"/>
      <c r="AQ383" s="34"/>
      <c r="AR383" s="34"/>
    </row>
    <row r="384" spans="3:44" s="27" customFormat="1">
      <c r="C384" s="107"/>
      <c r="E384" s="1255"/>
      <c r="F384" s="107"/>
      <c r="G384" s="488"/>
      <c r="H384" s="488"/>
      <c r="J384" s="1272"/>
      <c r="L384" s="550"/>
      <c r="M384" s="107"/>
      <c r="N384" s="1021"/>
      <c r="O384" s="488"/>
      <c r="P384" s="488"/>
      <c r="Q384" s="488"/>
      <c r="R384" s="107"/>
      <c r="S384" s="488"/>
      <c r="T384" s="734"/>
      <c r="U384" s="488"/>
      <c r="V384" s="488"/>
      <c r="W384" s="488"/>
      <c r="X384" s="488"/>
      <c r="Y384" s="488"/>
      <c r="Z384" s="488"/>
      <c r="AA384" s="107"/>
      <c r="AB384" s="488"/>
      <c r="AC384" s="488"/>
      <c r="AD384" s="488"/>
      <c r="AE384" s="488"/>
      <c r="AF384" s="1021"/>
      <c r="AG384" s="488"/>
    </row>
    <row r="385" spans="3:44" s="27" customFormat="1">
      <c r="C385" s="107"/>
      <c r="E385" s="1255"/>
      <c r="F385" s="107"/>
      <c r="G385" s="488"/>
      <c r="H385" s="488"/>
      <c r="J385" s="1272"/>
      <c r="L385" s="550"/>
      <c r="M385" s="107"/>
      <c r="N385" s="1021"/>
      <c r="O385" s="488"/>
      <c r="P385" s="488"/>
      <c r="Q385" s="488"/>
      <c r="R385" s="107"/>
      <c r="S385" s="488"/>
      <c r="T385" s="734"/>
      <c r="U385" s="488"/>
      <c r="V385" s="488"/>
      <c r="W385" s="488"/>
      <c r="X385" s="488"/>
      <c r="Y385" s="488"/>
      <c r="Z385" s="488"/>
      <c r="AA385" s="107"/>
      <c r="AB385" s="488"/>
      <c r="AC385" s="488"/>
      <c r="AD385" s="488"/>
      <c r="AE385" s="488"/>
      <c r="AF385" s="1021"/>
      <c r="AG385" s="488"/>
    </row>
    <row r="386" spans="3:44" s="27" customFormat="1">
      <c r="C386" s="107"/>
      <c r="E386" s="1255"/>
      <c r="F386" s="107"/>
      <c r="G386" s="488"/>
      <c r="H386" s="488"/>
      <c r="J386" s="1272"/>
      <c r="L386" s="550"/>
      <c r="M386" s="107"/>
      <c r="N386" s="1021"/>
      <c r="O386" s="488"/>
      <c r="P386" s="488"/>
      <c r="Q386" s="488"/>
      <c r="R386" s="107"/>
      <c r="S386" s="488"/>
      <c r="T386" s="734"/>
      <c r="U386" s="488"/>
      <c r="V386" s="488"/>
      <c r="W386" s="488"/>
      <c r="X386" s="488"/>
      <c r="Y386" s="488"/>
      <c r="Z386" s="488"/>
      <c r="AA386" s="107"/>
      <c r="AB386" s="488"/>
      <c r="AC386" s="488"/>
      <c r="AD386" s="488"/>
      <c r="AE386" s="488"/>
      <c r="AF386" s="1021"/>
      <c r="AG386" s="488"/>
    </row>
    <row r="387" spans="3:44" s="27" customFormat="1">
      <c r="C387" s="107"/>
      <c r="E387" s="1255"/>
      <c r="F387" s="107"/>
      <c r="G387" s="488"/>
      <c r="H387" s="488"/>
      <c r="J387" s="1272"/>
      <c r="L387" s="550"/>
      <c r="M387" s="107"/>
      <c r="N387" s="1021"/>
      <c r="O387" s="488"/>
      <c r="P387" s="488"/>
      <c r="Q387" s="488"/>
      <c r="R387" s="107"/>
      <c r="S387" s="488"/>
      <c r="T387" s="734"/>
      <c r="U387" s="488"/>
      <c r="V387" s="488"/>
      <c r="W387" s="488"/>
      <c r="X387" s="488"/>
      <c r="Y387" s="488"/>
      <c r="Z387" s="488"/>
      <c r="AA387" s="107"/>
      <c r="AB387" s="488"/>
      <c r="AC387" s="488"/>
      <c r="AD387" s="488"/>
      <c r="AE387" s="488"/>
      <c r="AF387" s="1021"/>
      <c r="AG387" s="488"/>
    </row>
    <row r="388" spans="3:44" s="27" customFormat="1">
      <c r="C388" s="107"/>
      <c r="E388" s="1255"/>
      <c r="F388" s="107"/>
      <c r="G388" s="488"/>
      <c r="H388" s="488"/>
      <c r="J388" s="1272"/>
      <c r="L388" s="550"/>
      <c r="M388" s="107"/>
      <c r="N388" s="1021"/>
      <c r="O388" s="488"/>
      <c r="P388" s="488"/>
      <c r="Q388" s="488"/>
      <c r="R388" s="107"/>
      <c r="S388" s="488"/>
      <c r="T388" s="734"/>
      <c r="U388" s="488"/>
      <c r="V388" s="488"/>
      <c r="W388" s="488"/>
      <c r="X388" s="488"/>
      <c r="Y388" s="488"/>
      <c r="Z388" s="488"/>
      <c r="AA388" s="107"/>
      <c r="AB388" s="488"/>
      <c r="AC388" s="488"/>
      <c r="AD388" s="488"/>
      <c r="AE388" s="488"/>
      <c r="AF388" s="1021"/>
      <c r="AG388" s="488"/>
    </row>
    <row r="389" spans="3:44" s="27" customFormat="1">
      <c r="C389" s="107"/>
      <c r="E389" s="1255"/>
      <c r="F389" s="107"/>
      <c r="G389" s="488"/>
      <c r="H389" s="488"/>
      <c r="J389" s="1272"/>
      <c r="L389" s="550"/>
      <c r="M389" s="107"/>
      <c r="N389" s="1021"/>
      <c r="O389" s="488"/>
      <c r="P389" s="488"/>
      <c r="Q389" s="488"/>
      <c r="R389" s="107"/>
      <c r="S389" s="488"/>
      <c r="T389" s="734"/>
      <c r="U389" s="488"/>
      <c r="V389" s="488"/>
      <c r="W389" s="488"/>
      <c r="X389" s="488"/>
      <c r="Y389" s="488"/>
      <c r="Z389" s="488"/>
      <c r="AA389" s="107"/>
      <c r="AB389" s="488"/>
      <c r="AC389" s="488"/>
      <c r="AD389" s="488"/>
      <c r="AE389" s="488"/>
      <c r="AF389" s="1021"/>
      <c r="AG389" s="488"/>
    </row>
    <row r="390" spans="3:44" s="27" customFormat="1">
      <c r="C390" s="107"/>
      <c r="E390" s="1255"/>
      <c r="F390" s="107"/>
      <c r="G390" s="488"/>
      <c r="H390" s="488"/>
      <c r="J390" s="1272"/>
      <c r="L390" s="550"/>
      <c r="M390" s="107"/>
      <c r="N390" s="1021"/>
      <c r="O390" s="488"/>
      <c r="P390" s="488"/>
      <c r="Q390" s="488"/>
      <c r="R390" s="107"/>
      <c r="S390" s="488"/>
      <c r="T390" s="734"/>
      <c r="U390" s="488"/>
      <c r="V390" s="488"/>
      <c r="W390" s="488"/>
      <c r="X390" s="488"/>
      <c r="Y390" s="488"/>
      <c r="Z390" s="488"/>
      <c r="AA390" s="107"/>
      <c r="AB390" s="488"/>
      <c r="AC390" s="488"/>
      <c r="AD390" s="488"/>
      <c r="AE390" s="488"/>
      <c r="AF390" s="1021"/>
      <c r="AG390" s="488"/>
    </row>
    <row r="391" spans="3:44" s="27" customFormat="1">
      <c r="C391" s="107"/>
      <c r="E391" s="1255"/>
      <c r="F391" s="107"/>
      <c r="G391" s="488"/>
      <c r="H391" s="488"/>
      <c r="J391" s="1272"/>
      <c r="L391" s="550"/>
      <c r="M391" s="107"/>
      <c r="N391" s="1021"/>
      <c r="O391" s="488"/>
      <c r="P391" s="488"/>
      <c r="Q391" s="488"/>
      <c r="R391" s="107"/>
      <c r="S391" s="488"/>
      <c r="T391" s="734"/>
      <c r="U391" s="488"/>
      <c r="V391" s="488"/>
      <c r="W391" s="488"/>
      <c r="X391" s="488"/>
      <c r="Y391" s="488"/>
      <c r="Z391" s="488"/>
      <c r="AA391" s="107"/>
      <c r="AB391" s="488"/>
      <c r="AC391" s="488"/>
      <c r="AD391" s="488"/>
      <c r="AE391" s="488"/>
      <c r="AF391" s="1021"/>
      <c r="AG391" s="488"/>
    </row>
    <row r="392" spans="3:44" s="27" customFormat="1">
      <c r="C392" s="107"/>
      <c r="E392" s="1255"/>
      <c r="F392" s="107"/>
      <c r="G392" s="488"/>
      <c r="H392" s="488"/>
      <c r="J392" s="1272"/>
      <c r="L392" s="550"/>
      <c r="M392" s="107"/>
      <c r="N392" s="1021"/>
      <c r="O392" s="488"/>
      <c r="P392" s="488"/>
      <c r="Q392" s="488"/>
      <c r="R392" s="107"/>
      <c r="S392" s="488"/>
      <c r="T392" s="734"/>
      <c r="U392" s="488"/>
      <c r="V392" s="488"/>
      <c r="W392" s="488"/>
      <c r="X392" s="488"/>
      <c r="Y392" s="488"/>
      <c r="Z392" s="488"/>
      <c r="AA392" s="107"/>
      <c r="AB392" s="488"/>
      <c r="AC392" s="488"/>
      <c r="AD392" s="488"/>
      <c r="AE392" s="488"/>
      <c r="AF392" s="1021"/>
      <c r="AG392" s="488"/>
    </row>
    <row r="393" spans="3:44" s="27" customFormat="1">
      <c r="C393" s="107"/>
      <c r="E393" s="1255"/>
      <c r="F393" s="107"/>
      <c r="G393" s="488"/>
      <c r="H393" s="488"/>
      <c r="J393" s="1272"/>
      <c r="L393" s="550"/>
      <c r="M393" s="107"/>
      <c r="N393" s="1021"/>
      <c r="O393" s="488"/>
      <c r="P393" s="488"/>
      <c r="Q393" s="488"/>
      <c r="R393" s="107"/>
      <c r="S393" s="488"/>
      <c r="T393" s="734"/>
      <c r="U393" s="488"/>
      <c r="V393" s="488"/>
      <c r="W393" s="488"/>
      <c r="X393" s="488"/>
      <c r="Y393" s="488"/>
      <c r="Z393" s="488"/>
      <c r="AA393" s="107"/>
      <c r="AB393" s="488"/>
      <c r="AC393" s="488"/>
      <c r="AD393" s="488"/>
      <c r="AE393" s="488"/>
      <c r="AF393" s="1021"/>
      <c r="AG393" s="488"/>
    </row>
    <row r="394" spans="3:44" s="27" customFormat="1">
      <c r="C394" s="107"/>
      <c r="E394" s="1255"/>
      <c r="F394" s="107"/>
      <c r="G394" s="488"/>
      <c r="H394" s="488"/>
      <c r="J394" s="1272"/>
      <c r="L394" s="550"/>
      <c r="M394" s="107"/>
      <c r="N394" s="1021"/>
      <c r="O394" s="488"/>
      <c r="P394" s="488"/>
      <c r="Q394" s="488"/>
      <c r="R394" s="107"/>
      <c r="S394" s="488"/>
      <c r="T394" s="734"/>
      <c r="U394" s="488"/>
      <c r="V394" s="488"/>
      <c r="W394" s="488"/>
      <c r="X394" s="488"/>
      <c r="Y394" s="488"/>
      <c r="Z394" s="488"/>
      <c r="AA394" s="107"/>
      <c r="AB394" s="488"/>
      <c r="AC394" s="488"/>
      <c r="AD394" s="488"/>
      <c r="AE394" s="488"/>
      <c r="AF394" s="1021"/>
      <c r="AG394" s="488"/>
    </row>
    <row r="395" spans="3:44" s="27" customFormat="1">
      <c r="C395" s="107"/>
      <c r="E395" s="1255"/>
      <c r="F395" s="107"/>
      <c r="G395" s="488"/>
      <c r="H395" s="488"/>
      <c r="J395" s="1272"/>
      <c r="L395" s="550"/>
      <c r="M395" s="107"/>
      <c r="N395" s="1021"/>
      <c r="O395" s="488"/>
      <c r="P395" s="488"/>
      <c r="Q395" s="488"/>
      <c r="R395" s="107"/>
      <c r="S395" s="488"/>
      <c r="T395" s="734"/>
      <c r="U395" s="488"/>
      <c r="V395" s="488"/>
      <c r="W395" s="488"/>
      <c r="X395" s="488"/>
      <c r="Y395" s="488"/>
      <c r="Z395" s="488"/>
      <c r="AA395" s="107"/>
      <c r="AB395" s="488"/>
      <c r="AC395" s="488"/>
      <c r="AD395" s="488"/>
      <c r="AE395" s="488"/>
      <c r="AF395" s="1021"/>
      <c r="AG395" s="488"/>
    </row>
    <row r="396" spans="3:44" s="27" customFormat="1">
      <c r="C396" s="107"/>
      <c r="E396" s="1255"/>
      <c r="F396" s="107"/>
      <c r="G396" s="488"/>
      <c r="H396" s="488"/>
      <c r="J396" s="1272"/>
      <c r="L396" s="550"/>
      <c r="M396" s="107"/>
      <c r="N396" s="1021"/>
      <c r="O396" s="488"/>
      <c r="P396" s="488"/>
      <c r="Q396" s="488"/>
      <c r="R396" s="107"/>
      <c r="S396" s="488"/>
      <c r="T396" s="734"/>
      <c r="U396" s="488"/>
      <c r="V396" s="488"/>
      <c r="W396" s="488"/>
      <c r="X396" s="488"/>
      <c r="Y396" s="488"/>
      <c r="Z396" s="488"/>
      <c r="AA396" s="107"/>
      <c r="AB396" s="488"/>
      <c r="AC396" s="488"/>
      <c r="AD396" s="488"/>
      <c r="AE396" s="488"/>
      <c r="AF396" s="1021"/>
      <c r="AG396" s="488"/>
    </row>
    <row r="397" spans="3:44" s="27" customFormat="1">
      <c r="C397" s="107"/>
      <c r="E397" s="1255"/>
      <c r="F397" s="107"/>
      <c r="G397" s="488"/>
      <c r="H397" s="488"/>
      <c r="J397" s="1272"/>
      <c r="L397" s="550"/>
      <c r="M397" s="107"/>
      <c r="N397" s="1021"/>
      <c r="O397" s="488"/>
      <c r="P397" s="488"/>
      <c r="Q397" s="488"/>
      <c r="R397" s="107"/>
      <c r="S397" s="488"/>
      <c r="T397" s="734"/>
      <c r="U397" s="488"/>
      <c r="V397" s="488"/>
      <c r="W397" s="488"/>
      <c r="X397" s="488"/>
      <c r="Y397" s="488"/>
      <c r="Z397" s="488"/>
      <c r="AA397" s="107"/>
      <c r="AB397" s="488"/>
      <c r="AC397" s="488"/>
      <c r="AD397" s="488"/>
      <c r="AE397" s="488"/>
      <c r="AF397" s="1021"/>
      <c r="AG397" s="488"/>
    </row>
    <row r="398" spans="3:44" s="27" customFormat="1">
      <c r="C398" s="911"/>
      <c r="D398" s="29"/>
      <c r="E398" s="1249"/>
      <c r="F398" s="911"/>
      <c r="G398" s="1011"/>
      <c r="H398" s="1012"/>
      <c r="I398" s="34"/>
      <c r="J398" s="1271"/>
      <c r="K398" s="29"/>
      <c r="L398" s="1011"/>
      <c r="M398" s="911"/>
      <c r="N398" s="1011"/>
      <c r="O398" s="1011"/>
      <c r="P398" s="1012"/>
      <c r="Q398" s="1012"/>
      <c r="R398" s="38"/>
      <c r="S398" s="1011"/>
      <c r="T398" s="38"/>
      <c r="U398" s="1012"/>
      <c r="V398" s="1012"/>
      <c r="W398" s="1011"/>
      <c r="X398" s="1011"/>
      <c r="Y398" s="1011"/>
      <c r="Z398" s="1011"/>
      <c r="AA398" s="38"/>
      <c r="AB398" s="1011"/>
      <c r="AC398" s="1012"/>
      <c r="AD398" s="1012"/>
      <c r="AE398" s="1011"/>
      <c r="AF398" s="1011"/>
      <c r="AG398" s="1011"/>
      <c r="AH398" s="43"/>
      <c r="AJ398" s="110"/>
      <c r="AK398" s="34"/>
      <c r="AL398" s="34"/>
      <c r="AM398" s="34"/>
      <c r="AN398" s="34"/>
      <c r="AO398" s="34"/>
      <c r="AP398" s="34"/>
      <c r="AQ398" s="34"/>
      <c r="AR398" s="34"/>
    </row>
    <row r="399" spans="3:44" s="27" customFormat="1">
      <c r="C399" s="107"/>
      <c r="E399" s="1255"/>
      <c r="F399" s="107"/>
      <c r="G399" s="488"/>
      <c r="H399" s="488"/>
      <c r="J399" s="1272"/>
      <c r="L399" s="550"/>
      <c r="M399" s="107"/>
      <c r="N399" s="1021"/>
      <c r="O399" s="488"/>
      <c r="P399" s="488"/>
      <c r="Q399" s="488"/>
      <c r="R399" s="107"/>
      <c r="S399" s="488"/>
      <c r="T399" s="734"/>
      <c r="U399" s="488"/>
      <c r="V399" s="488"/>
      <c r="W399" s="488"/>
      <c r="X399" s="488"/>
      <c r="Y399" s="488"/>
      <c r="Z399" s="488"/>
      <c r="AA399" s="107"/>
      <c r="AB399" s="488"/>
      <c r="AC399" s="488"/>
      <c r="AD399" s="488"/>
      <c r="AE399" s="488"/>
      <c r="AF399" s="1021"/>
      <c r="AG399" s="488"/>
    </row>
    <row r="400" spans="3:44" s="27" customFormat="1">
      <c r="C400" s="911"/>
      <c r="D400" s="29"/>
      <c r="E400" s="1249"/>
      <c r="F400" s="911"/>
      <c r="G400" s="1011"/>
      <c r="H400" s="1012"/>
      <c r="I400" s="34"/>
      <c r="J400" s="1271"/>
      <c r="K400" s="29"/>
      <c r="L400" s="1011"/>
      <c r="M400" s="911"/>
      <c r="N400" s="1011"/>
      <c r="O400" s="1011"/>
      <c r="P400" s="1012"/>
      <c r="Q400" s="1012"/>
      <c r="R400" s="38"/>
      <c r="S400" s="1011"/>
      <c r="T400" s="38"/>
      <c r="U400" s="1012"/>
      <c r="V400" s="1012"/>
      <c r="W400" s="1011"/>
      <c r="X400" s="1011"/>
      <c r="Y400" s="1011"/>
      <c r="Z400" s="1011"/>
      <c r="AA400" s="38"/>
      <c r="AB400" s="1011"/>
      <c r="AC400" s="1012"/>
      <c r="AD400" s="1012"/>
      <c r="AE400" s="1011"/>
      <c r="AF400" s="1011"/>
      <c r="AG400" s="1011"/>
      <c r="AH400" s="43"/>
      <c r="AJ400" s="110"/>
      <c r="AK400" s="34"/>
      <c r="AL400" s="34"/>
      <c r="AM400" s="34"/>
      <c r="AN400" s="34"/>
      <c r="AO400" s="34"/>
      <c r="AP400" s="34"/>
      <c r="AQ400" s="34"/>
      <c r="AR400" s="34"/>
    </row>
    <row r="401" spans="3:44" s="27" customFormat="1">
      <c r="C401" s="911"/>
      <c r="D401" s="29"/>
      <c r="E401" s="1249"/>
      <c r="F401" s="911"/>
      <c r="G401" s="1011"/>
      <c r="H401" s="1012"/>
      <c r="I401" s="34"/>
      <c r="J401" s="1271"/>
      <c r="K401" s="29"/>
      <c r="L401" s="1011"/>
      <c r="M401" s="911"/>
      <c r="N401" s="1011"/>
      <c r="O401" s="1011"/>
      <c r="P401" s="1012"/>
      <c r="Q401" s="1012"/>
      <c r="R401" s="38"/>
      <c r="S401" s="1011"/>
      <c r="T401" s="38"/>
      <c r="U401" s="1012"/>
      <c r="V401" s="1012"/>
      <c r="W401" s="1011"/>
      <c r="X401" s="1011"/>
      <c r="Y401" s="1011"/>
      <c r="Z401" s="1011"/>
      <c r="AA401" s="38"/>
      <c r="AB401" s="1011"/>
      <c r="AC401" s="1012"/>
      <c r="AD401" s="1012"/>
      <c r="AE401" s="1011"/>
      <c r="AF401" s="1011"/>
      <c r="AG401" s="1011"/>
      <c r="AH401" s="43"/>
      <c r="AJ401" s="110"/>
      <c r="AK401" s="34"/>
      <c r="AL401" s="34"/>
      <c r="AM401" s="34"/>
      <c r="AN401" s="34"/>
      <c r="AO401" s="34"/>
      <c r="AP401" s="34"/>
      <c r="AQ401" s="34"/>
      <c r="AR401" s="34"/>
    </row>
    <row r="402" spans="3:44" s="27" customFormat="1">
      <c r="C402" s="911"/>
      <c r="D402" s="29"/>
      <c r="E402" s="1249"/>
      <c r="F402" s="911"/>
      <c r="G402" s="1011"/>
      <c r="H402" s="1012"/>
      <c r="I402" s="34"/>
      <c r="J402" s="1271"/>
      <c r="K402" s="29"/>
      <c r="L402" s="1011"/>
      <c r="M402" s="911"/>
      <c r="N402" s="1011"/>
      <c r="O402" s="1011"/>
      <c r="P402" s="1012"/>
      <c r="Q402" s="1012"/>
      <c r="R402" s="38"/>
      <c r="S402" s="1011"/>
      <c r="T402" s="38"/>
      <c r="U402" s="1012"/>
      <c r="V402" s="1012"/>
      <c r="W402" s="1011"/>
      <c r="X402" s="1011"/>
      <c r="Y402" s="1011"/>
      <c r="Z402" s="1011"/>
      <c r="AA402" s="38"/>
      <c r="AB402" s="1011"/>
      <c r="AC402" s="1012"/>
      <c r="AD402" s="1012"/>
      <c r="AE402" s="1011"/>
      <c r="AF402" s="1011"/>
      <c r="AG402" s="1011"/>
      <c r="AH402" s="43"/>
      <c r="AJ402" s="110"/>
      <c r="AK402" s="34"/>
      <c r="AL402" s="34"/>
      <c r="AM402" s="34"/>
      <c r="AN402" s="34"/>
      <c r="AO402" s="34"/>
      <c r="AP402" s="34"/>
      <c r="AQ402" s="34"/>
      <c r="AR402" s="34"/>
    </row>
    <row r="403" spans="3:44" s="27" customFormat="1">
      <c r="C403" s="911"/>
      <c r="D403" s="29"/>
      <c r="E403" s="1249"/>
      <c r="F403" s="911"/>
      <c r="G403" s="1011"/>
      <c r="H403" s="1012"/>
      <c r="I403" s="34"/>
      <c r="J403" s="1271"/>
      <c r="K403" s="29"/>
      <c r="L403" s="1011"/>
      <c r="M403" s="911"/>
      <c r="N403" s="1011"/>
      <c r="O403" s="1011"/>
      <c r="P403" s="1012"/>
      <c r="Q403" s="1012"/>
      <c r="R403" s="38"/>
      <c r="S403" s="1011"/>
      <c r="T403" s="38"/>
      <c r="U403" s="1012"/>
      <c r="V403" s="1012"/>
      <c r="W403" s="1011"/>
      <c r="X403" s="1011"/>
      <c r="Y403" s="1011"/>
      <c r="Z403" s="1011"/>
      <c r="AA403" s="38"/>
      <c r="AB403" s="1011"/>
      <c r="AC403" s="1012"/>
      <c r="AD403" s="1012"/>
      <c r="AE403" s="1011"/>
      <c r="AF403" s="1011"/>
      <c r="AG403" s="1011"/>
      <c r="AH403" s="43"/>
      <c r="AJ403" s="110"/>
      <c r="AK403" s="34"/>
      <c r="AL403" s="34"/>
      <c r="AM403" s="34"/>
      <c r="AN403" s="34"/>
      <c r="AO403" s="34"/>
      <c r="AP403" s="34"/>
      <c r="AQ403" s="34"/>
      <c r="AR403" s="34"/>
    </row>
    <row r="404" spans="3:44" s="27" customFormat="1">
      <c r="C404" s="911"/>
      <c r="D404" s="29"/>
      <c r="E404" s="1249"/>
      <c r="F404" s="911"/>
      <c r="G404" s="1011"/>
      <c r="H404" s="1012"/>
      <c r="I404" s="34"/>
      <c r="J404" s="1271"/>
      <c r="K404" s="29"/>
      <c r="L404" s="1011"/>
      <c r="M404" s="911"/>
      <c r="N404" s="1011"/>
      <c r="O404" s="1011"/>
      <c r="P404" s="1012"/>
      <c r="Q404" s="1012"/>
      <c r="R404" s="38"/>
      <c r="S404" s="1011"/>
      <c r="T404" s="38"/>
      <c r="U404" s="1012"/>
      <c r="V404" s="1012"/>
      <c r="W404" s="1011"/>
      <c r="X404" s="1011"/>
      <c r="Y404" s="1011"/>
      <c r="Z404" s="1011"/>
      <c r="AA404" s="38"/>
      <c r="AB404" s="1011"/>
      <c r="AC404" s="1012"/>
      <c r="AD404" s="1012"/>
      <c r="AE404" s="1011"/>
      <c r="AF404" s="1011"/>
      <c r="AG404" s="1011"/>
      <c r="AH404" s="43"/>
      <c r="AJ404" s="110"/>
      <c r="AK404" s="34"/>
      <c r="AL404" s="34"/>
      <c r="AM404" s="34"/>
      <c r="AN404" s="34"/>
      <c r="AO404" s="34"/>
      <c r="AP404" s="34"/>
      <c r="AQ404" s="34"/>
      <c r="AR404" s="34"/>
    </row>
    <row r="405" spans="3:44" s="27" customFormat="1">
      <c r="C405" s="911"/>
      <c r="D405" s="29"/>
      <c r="E405" s="1249"/>
      <c r="F405" s="911"/>
      <c r="G405" s="1011"/>
      <c r="H405" s="1012"/>
      <c r="I405" s="34"/>
      <c r="J405" s="1271"/>
      <c r="K405" s="29"/>
      <c r="L405" s="1011"/>
      <c r="M405" s="911"/>
      <c r="N405" s="1011"/>
      <c r="O405" s="1011"/>
      <c r="P405" s="1012"/>
      <c r="Q405" s="1012"/>
      <c r="R405" s="38"/>
      <c r="S405" s="1011"/>
      <c r="T405" s="38"/>
      <c r="U405" s="1012"/>
      <c r="V405" s="1012"/>
      <c r="W405" s="1011"/>
      <c r="X405" s="1011"/>
      <c r="Y405" s="1011"/>
      <c r="Z405" s="1011"/>
      <c r="AA405" s="38"/>
      <c r="AB405" s="1011"/>
      <c r="AC405" s="1012"/>
      <c r="AD405" s="1012"/>
      <c r="AE405" s="1011"/>
      <c r="AF405" s="1011"/>
      <c r="AG405" s="1011"/>
      <c r="AH405" s="43"/>
      <c r="AJ405" s="110"/>
      <c r="AK405" s="34"/>
      <c r="AL405" s="34"/>
      <c r="AM405" s="34"/>
      <c r="AN405" s="34"/>
      <c r="AO405" s="34"/>
      <c r="AP405" s="34"/>
      <c r="AQ405" s="34"/>
      <c r="AR405" s="34"/>
    </row>
    <row r="406" spans="3:44" s="27" customFormat="1">
      <c r="C406" s="911"/>
      <c r="D406" s="29"/>
      <c r="E406" s="1249"/>
      <c r="F406" s="911"/>
      <c r="G406" s="1011"/>
      <c r="H406" s="1012"/>
      <c r="I406" s="34"/>
      <c r="J406" s="1271"/>
      <c r="K406" s="29"/>
      <c r="L406" s="1011"/>
      <c r="M406" s="911"/>
      <c r="N406" s="1011"/>
      <c r="O406" s="1011"/>
      <c r="P406" s="1012"/>
      <c r="Q406" s="1012"/>
      <c r="R406" s="38"/>
      <c r="S406" s="1011"/>
      <c r="T406" s="38"/>
      <c r="U406" s="1012"/>
      <c r="V406" s="1012"/>
      <c r="W406" s="1011"/>
      <c r="X406" s="1011"/>
      <c r="Y406" s="1011"/>
      <c r="Z406" s="1011"/>
      <c r="AA406" s="38"/>
      <c r="AB406" s="1011"/>
      <c r="AC406" s="1012"/>
      <c r="AD406" s="1012"/>
      <c r="AE406" s="1011"/>
      <c r="AF406" s="1011"/>
      <c r="AG406" s="1011"/>
      <c r="AH406" s="43"/>
      <c r="AJ406" s="110"/>
      <c r="AK406" s="34"/>
      <c r="AL406" s="34"/>
      <c r="AM406" s="34"/>
      <c r="AN406" s="34"/>
      <c r="AO406" s="34"/>
      <c r="AP406" s="34"/>
      <c r="AQ406" s="34"/>
      <c r="AR406" s="34"/>
    </row>
    <row r="407" spans="3:44" s="27" customFormat="1">
      <c r="C407" s="911"/>
      <c r="D407" s="29"/>
      <c r="E407" s="1249"/>
      <c r="F407" s="911"/>
      <c r="G407" s="1011"/>
      <c r="H407" s="1012"/>
      <c r="I407" s="34"/>
      <c r="J407" s="1271"/>
      <c r="K407" s="29"/>
      <c r="L407" s="1011"/>
      <c r="M407" s="911"/>
      <c r="N407" s="1011"/>
      <c r="O407" s="1011"/>
      <c r="P407" s="1012"/>
      <c r="Q407" s="1012"/>
      <c r="R407" s="38"/>
      <c r="S407" s="1011"/>
      <c r="T407" s="38"/>
      <c r="U407" s="1012"/>
      <c r="V407" s="1012"/>
      <c r="W407" s="1011"/>
      <c r="X407" s="1011"/>
      <c r="Y407" s="1011"/>
      <c r="Z407" s="1011"/>
      <c r="AA407" s="38"/>
      <c r="AB407" s="1011"/>
      <c r="AC407" s="1012"/>
      <c r="AD407" s="1012"/>
      <c r="AE407" s="1011"/>
      <c r="AF407" s="1011"/>
      <c r="AG407" s="1011"/>
      <c r="AH407" s="43"/>
      <c r="AJ407" s="110"/>
      <c r="AK407" s="34"/>
      <c r="AL407" s="34"/>
      <c r="AM407" s="34"/>
      <c r="AN407" s="34"/>
      <c r="AO407" s="34"/>
      <c r="AP407" s="34"/>
      <c r="AQ407" s="34"/>
      <c r="AR407" s="34"/>
    </row>
    <row r="408" spans="3:44" s="27" customFormat="1">
      <c r="C408" s="911"/>
      <c r="D408" s="29"/>
      <c r="E408" s="1249"/>
      <c r="F408" s="911"/>
      <c r="G408" s="1011"/>
      <c r="H408" s="1012"/>
      <c r="I408" s="34"/>
      <c r="J408" s="1271"/>
      <c r="K408" s="29"/>
      <c r="L408" s="1011"/>
      <c r="M408" s="911"/>
      <c r="N408" s="1011"/>
      <c r="O408" s="1011"/>
      <c r="P408" s="1012"/>
      <c r="Q408" s="1012"/>
      <c r="R408" s="38"/>
      <c r="S408" s="1011"/>
      <c r="T408" s="38"/>
      <c r="U408" s="1012"/>
      <c r="V408" s="1012"/>
      <c r="W408" s="1011"/>
      <c r="X408" s="1011"/>
      <c r="Y408" s="1011"/>
      <c r="Z408" s="1011"/>
      <c r="AA408" s="38"/>
      <c r="AB408" s="1011"/>
      <c r="AC408" s="1012"/>
      <c r="AD408" s="1012"/>
      <c r="AE408" s="1011"/>
      <c r="AF408" s="1011"/>
      <c r="AG408" s="1011"/>
      <c r="AH408" s="43"/>
      <c r="AJ408" s="110"/>
      <c r="AK408" s="34"/>
      <c r="AL408" s="34"/>
      <c r="AM408" s="34"/>
      <c r="AN408" s="34"/>
      <c r="AO408" s="34"/>
      <c r="AP408" s="34"/>
      <c r="AQ408" s="34"/>
      <c r="AR408" s="34"/>
    </row>
    <row r="409" spans="3:44" s="27" customFormat="1">
      <c r="C409" s="911"/>
      <c r="D409" s="29"/>
      <c r="E409" s="1249"/>
      <c r="F409" s="911"/>
      <c r="G409" s="1011"/>
      <c r="H409" s="1012"/>
      <c r="I409" s="34"/>
      <c r="J409" s="1271"/>
      <c r="K409" s="29"/>
      <c r="L409" s="1011"/>
      <c r="M409" s="911"/>
      <c r="N409" s="1011"/>
      <c r="O409" s="1011"/>
      <c r="P409" s="1012"/>
      <c r="Q409" s="1012"/>
      <c r="R409" s="38"/>
      <c r="S409" s="1011"/>
      <c r="T409" s="38"/>
      <c r="U409" s="1012"/>
      <c r="V409" s="1012"/>
      <c r="W409" s="1011"/>
      <c r="X409" s="1011"/>
      <c r="Y409" s="1011"/>
      <c r="Z409" s="1011"/>
      <c r="AA409" s="38"/>
      <c r="AB409" s="1011"/>
      <c r="AC409" s="1012"/>
      <c r="AD409" s="1012"/>
      <c r="AE409" s="1011"/>
      <c r="AF409" s="1011"/>
      <c r="AG409" s="1011"/>
      <c r="AH409" s="43"/>
      <c r="AJ409" s="110"/>
      <c r="AK409" s="34"/>
      <c r="AL409" s="34"/>
      <c r="AM409" s="34"/>
      <c r="AN409" s="34"/>
      <c r="AO409" s="34"/>
      <c r="AP409" s="34"/>
      <c r="AQ409" s="34"/>
      <c r="AR409" s="34"/>
    </row>
    <row r="410" spans="3:44" s="27" customFormat="1">
      <c r="C410" s="911"/>
      <c r="D410" s="29"/>
      <c r="E410" s="1249"/>
      <c r="F410" s="911"/>
      <c r="G410" s="1011"/>
      <c r="H410" s="1012"/>
      <c r="I410" s="34"/>
      <c r="J410" s="1271"/>
      <c r="K410" s="29"/>
      <c r="L410" s="1011"/>
      <c r="M410" s="911"/>
      <c r="N410" s="1011"/>
      <c r="O410" s="1011"/>
      <c r="P410" s="1012"/>
      <c r="Q410" s="1012"/>
      <c r="R410" s="38"/>
      <c r="S410" s="1011"/>
      <c r="T410" s="38"/>
      <c r="U410" s="1012"/>
      <c r="V410" s="1012"/>
      <c r="W410" s="1011"/>
      <c r="X410" s="1011"/>
      <c r="Y410" s="1011"/>
      <c r="Z410" s="1011"/>
      <c r="AA410" s="38"/>
      <c r="AB410" s="1011"/>
      <c r="AC410" s="1012"/>
      <c r="AD410" s="1012"/>
      <c r="AE410" s="1011"/>
      <c r="AF410" s="1011"/>
      <c r="AG410" s="1011"/>
      <c r="AH410" s="43"/>
      <c r="AJ410" s="110"/>
      <c r="AK410" s="34"/>
      <c r="AL410" s="34"/>
      <c r="AM410" s="34"/>
      <c r="AN410" s="34"/>
      <c r="AO410" s="34"/>
      <c r="AP410" s="34"/>
      <c r="AQ410" s="34"/>
      <c r="AR410" s="34"/>
    </row>
    <row r="411" spans="3:44" s="27" customFormat="1">
      <c r="C411" s="911"/>
      <c r="D411" s="29"/>
      <c r="E411" s="1249"/>
      <c r="F411" s="911"/>
      <c r="G411" s="1011"/>
      <c r="H411" s="1012"/>
      <c r="I411" s="34"/>
      <c r="J411" s="1271"/>
      <c r="K411" s="29"/>
      <c r="L411" s="1011"/>
      <c r="M411" s="911"/>
      <c r="N411" s="1011"/>
      <c r="O411" s="1011"/>
      <c r="P411" s="1012"/>
      <c r="Q411" s="1012"/>
      <c r="R411" s="38"/>
      <c r="S411" s="1011"/>
      <c r="T411" s="38"/>
      <c r="U411" s="1012"/>
      <c r="V411" s="1012"/>
      <c r="W411" s="1011"/>
      <c r="X411" s="1011"/>
      <c r="Y411" s="1011"/>
      <c r="Z411" s="1011"/>
      <c r="AA411" s="38"/>
      <c r="AB411" s="1011"/>
      <c r="AC411" s="1012"/>
      <c r="AD411" s="1012"/>
      <c r="AE411" s="1011"/>
      <c r="AF411" s="1011"/>
      <c r="AG411" s="1011"/>
      <c r="AH411" s="43"/>
      <c r="AJ411" s="110"/>
      <c r="AK411" s="34"/>
      <c r="AL411" s="34"/>
      <c r="AM411" s="34"/>
      <c r="AN411" s="34"/>
      <c r="AO411" s="34"/>
      <c r="AP411" s="34"/>
      <c r="AQ411" s="34"/>
      <c r="AR411" s="34"/>
    </row>
    <row r="412" spans="3:44" s="27" customFormat="1">
      <c r="C412" s="911"/>
      <c r="D412" s="29"/>
      <c r="E412" s="1249"/>
      <c r="F412" s="911"/>
      <c r="G412" s="1011"/>
      <c r="H412" s="1012"/>
      <c r="I412" s="34"/>
      <c r="J412" s="1271"/>
      <c r="K412" s="29"/>
      <c r="L412" s="1011"/>
      <c r="M412" s="911"/>
      <c r="N412" s="1011"/>
      <c r="O412" s="1011"/>
      <c r="P412" s="1012"/>
      <c r="Q412" s="1012"/>
      <c r="R412" s="38"/>
      <c r="S412" s="1011"/>
      <c r="T412" s="38"/>
      <c r="U412" s="1012"/>
      <c r="V412" s="1012"/>
      <c r="W412" s="1011"/>
      <c r="X412" s="1011"/>
      <c r="Y412" s="1011"/>
      <c r="Z412" s="1011"/>
      <c r="AA412" s="38"/>
      <c r="AB412" s="1011"/>
      <c r="AC412" s="1012"/>
      <c r="AD412" s="1012"/>
      <c r="AE412" s="1011"/>
      <c r="AF412" s="1011"/>
      <c r="AG412" s="1011"/>
      <c r="AH412" s="43"/>
      <c r="AJ412" s="110"/>
      <c r="AK412" s="34"/>
      <c r="AL412" s="34"/>
      <c r="AM412" s="34"/>
      <c r="AN412" s="34"/>
      <c r="AO412" s="34"/>
      <c r="AP412" s="34"/>
      <c r="AQ412" s="34"/>
      <c r="AR412" s="34"/>
    </row>
    <row r="413" spans="3:44" s="27" customFormat="1">
      <c r="C413" s="911"/>
      <c r="D413" s="29"/>
      <c r="E413" s="1249"/>
      <c r="F413" s="911"/>
      <c r="G413" s="1011"/>
      <c r="H413" s="1012"/>
      <c r="I413" s="34"/>
      <c r="J413" s="1271"/>
      <c r="K413" s="29"/>
      <c r="L413" s="1011"/>
      <c r="M413" s="911"/>
      <c r="N413" s="1011"/>
      <c r="O413" s="1011"/>
      <c r="P413" s="1012"/>
      <c r="Q413" s="1012"/>
      <c r="R413" s="38"/>
      <c r="S413" s="1011"/>
      <c r="T413" s="38"/>
      <c r="U413" s="1012"/>
      <c r="V413" s="1012"/>
      <c r="W413" s="1011"/>
      <c r="X413" s="1011"/>
      <c r="Y413" s="1011"/>
      <c r="Z413" s="1011"/>
      <c r="AA413" s="38"/>
      <c r="AB413" s="1011"/>
      <c r="AC413" s="1012"/>
      <c r="AD413" s="1012"/>
      <c r="AE413" s="1011"/>
      <c r="AF413" s="1011"/>
      <c r="AG413" s="1011"/>
      <c r="AH413" s="43"/>
      <c r="AJ413" s="110"/>
      <c r="AK413" s="34"/>
      <c r="AL413" s="34"/>
      <c r="AM413" s="34"/>
      <c r="AN413" s="34"/>
      <c r="AO413" s="34"/>
      <c r="AP413" s="34"/>
      <c r="AQ413" s="34"/>
      <c r="AR413" s="34"/>
    </row>
    <row r="414" spans="3:44" s="27" customFormat="1">
      <c r="C414" s="911"/>
      <c r="D414" s="29"/>
      <c r="E414" s="1249"/>
      <c r="F414" s="911"/>
      <c r="G414" s="1011"/>
      <c r="H414" s="1012"/>
      <c r="I414" s="34"/>
      <c r="J414" s="1271"/>
      <c r="K414" s="29"/>
      <c r="L414" s="1011"/>
      <c r="M414" s="911"/>
      <c r="N414" s="1011"/>
      <c r="O414" s="1011"/>
      <c r="P414" s="1012"/>
      <c r="Q414" s="1012"/>
      <c r="R414" s="38"/>
      <c r="S414" s="1011"/>
      <c r="T414" s="38"/>
      <c r="U414" s="1012"/>
      <c r="V414" s="1012"/>
      <c r="W414" s="1011"/>
      <c r="X414" s="1011"/>
      <c r="Y414" s="1011"/>
      <c r="Z414" s="1011"/>
      <c r="AA414" s="38"/>
      <c r="AB414" s="1011"/>
      <c r="AC414" s="1012"/>
      <c r="AD414" s="1012"/>
      <c r="AE414" s="1011"/>
      <c r="AF414" s="1011"/>
      <c r="AG414" s="1011"/>
      <c r="AH414" s="43"/>
      <c r="AJ414" s="110"/>
      <c r="AK414" s="34"/>
      <c r="AL414" s="34"/>
      <c r="AM414" s="34"/>
      <c r="AN414" s="34"/>
      <c r="AO414" s="34"/>
      <c r="AP414" s="34"/>
      <c r="AQ414" s="34"/>
      <c r="AR414" s="34"/>
    </row>
    <row r="415" spans="3:44" s="27" customFormat="1">
      <c r="C415" s="911"/>
      <c r="D415" s="29"/>
      <c r="E415" s="1249"/>
      <c r="F415" s="911"/>
      <c r="G415" s="1011"/>
      <c r="H415" s="1012"/>
      <c r="I415" s="34"/>
      <c r="J415" s="1271"/>
      <c r="K415" s="29"/>
      <c r="L415" s="1011"/>
      <c r="M415" s="911"/>
      <c r="N415" s="1011"/>
      <c r="O415" s="1011"/>
      <c r="P415" s="1012"/>
      <c r="Q415" s="1012"/>
      <c r="R415" s="38"/>
      <c r="S415" s="1011"/>
      <c r="T415" s="38"/>
      <c r="U415" s="1012"/>
      <c r="V415" s="1012"/>
      <c r="W415" s="1011"/>
      <c r="X415" s="1011"/>
      <c r="Y415" s="1011"/>
      <c r="Z415" s="1011"/>
      <c r="AA415" s="38"/>
      <c r="AB415" s="1011"/>
      <c r="AC415" s="1012"/>
      <c r="AD415" s="1012"/>
      <c r="AE415" s="1011"/>
      <c r="AF415" s="1011"/>
      <c r="AG415" s="1011"/>
      <c r="AH415" s="43"/>
      <c r="AJ415" s="110"/>
      <c r="AK415" s="34"/>
      <c r="AL415" s="34"/>
      <c r="AM415" s="34"/>
      <c r="AN415" s="34"/>
      <c r="AO415" s="34"/>
      <c r="AP415" s="34"/>
      <c r="AQ415" s="34"/>
      <c r="AR415" s="34"/>
    </row>
    <row r="416" spans="3:44" s="27" customFormat="1">
      <c r="C416" s="911"/>
      <c r="D416" s="29"/>
      <c r="E416" s="1249"/>
      <c r="F416" s="911"/>
      <c r="G416" s="1011"/>
      <c r="H416" s="1012"/>
      <c r="I416" s="34"/>
      <c r="J416" s="1271"/>
      <c r="K416" s="29"/>
      <c r="L416" s="1011"/>
      <c r="M416" s="911"/>
      <c r="N416" s="1011"/>
      <c r="O416" s="1011"/>
      <c r="P416" s="1012"/>
      <c r="Q416" s="1012"/>
      <c r="R416" s="38"/>
      <c r="S416" s="1011"/>
      <c r="T416" s="38"/>
      <c r="U416" s="1012"/>
      <c r="V416" s="1012"/>
      <c r="W416" s="1011"/>
      <c r="X416" s="1011"/>
      <c r="Y416" s="1011"/>
      <c r="Z416" s="1011"/>
      <c r="AA416" s="38"/>
      <c r="AB416" s="1011"/>
      <c r="AC416" s="1012"/>
      <c r="AD416" s="1012"/>
      <c r="AE416" s="1011"/>
      <c r="AF416" s="1011"/>
      <c r="AG416" s="1011"/>
      <c r="AH416" s="43"/>
      <c r="AJ416" s="110"/>
      <c r="AK416" s="34"/>
      <c r="AL416" s="34"/>
      <c r="AM416" s="34"/>
      <c r="AN416" s="34"/>
      <c r="AO416" s="34"/>
      <c r="AP416" s="34"/>
      <c r="AQ416" s="34"/>
      <c r="AR416" s="34"/>
    </row>
    <row r="417" spans="3:44" s="27" customFormat="1">
      <c r="C417" s="911"/>
      <c r="D417" s="29"/>
      <c r="E417" s="1249"/>
      <c r="F417" s="911"/>
      <c r="G417" s="1011"/>
      <c r="H417" s="1012"/>
      <c r="I417" s="34"/>
      <c r="J417" s="1271"/>
      <c r="K417" s="29"/>
      <c r="L417" s="1011"/>
      <c r="M417" s="911"/>
      <c r="N417" s="1011"/>
      <c r="O417" s="1011"/>
      <c r="P417" s="1012"/>
      <c r="Q417" s="1012"/>
      <c r="R417" s="38"/>
      <c r="S417" s="1011"/>
      <c r="T417" s="38"/>
      <c r="U417" s="1012"/>
      <c r="V417" s="1012"/>
      <c r="W417" s="1011"/>
      <c r="X417" s="1011"/>
      <c r="Y417" s="1011"/>
      <c r="Z417" s="1011"/>
      <c r="AA417" s="38"/>
      <c r="AB417" s="1011"/>
      <c r="AC417" s="1012"/>
      <c r="AD417" s="1012"/>
      <c r="AE417" s="1011"/>
      <c r="AF417" s="1011"/>
      <c r="AG417" s="1011"/>
      <c r="AH417" s="43"/>
      <c r="AJ417" s="110"/>
      <c r="AK417" s="34"/>
      <c r="AL417" s="34"/>
      <c r="AM417" s="34"/>
      <c r="AN417" s="34"/>
      <c r="AO417" s="34"/>
      <c r="AP417" s="34"/>
      <c r="AQ417" s="34"/>
      <c r="AR417" s="34"/>
    </row>
    <row r="418" spans="3:44" s="27" customFormat="1">
      <c r="C418" s="911"/>
      <c r="D418" s="29"/>
      <c r="E418" s="1249"/>
      <c r="F418" s="911"/>
      <c r="G418" s="1011"/>
      <c r="H418" s="1012"/>
      <c r="I418" s="34"/>
      <c r="J418" s="1271"/>
      <c r="K418" s="29"/>
      <c r="L418" s="1011"/>
      <c r="M418" s="911"/>
      <c r="N418" s="1011"/>
      <c r="O418" s="1011"/>
      <c r="P418" s="1012"/>
      <c r="Q418" s="1012"/>
      <c r="R418" s="38"/>
      <c r="S418" s="1011"/>
      <c r="T418" s="38"/>
      <c r="U418" s="1012"/>
      <c r="V418" s="1012"/>
      <c r="W418" s="1011"/>
      <c r="X418" s="1011"/>
      <c r="Y418" s="1011"/>
      <c r="Z418" s="1011"/>
      <c r="AA418" s="38"/>
      <c r="AB418" s="1011"/>
      <c r="AC418" s="1012"/>
      <c r="AD418" s="1012"/>
      <c r="AE418" s="1011"/>
      <c r="AF418" s="1011"/>
      <c r="AG418" s="1011"/>
      <c r="AH418" s="43"/>
      <c r="AJ418" s="110"/>
      <c r="AK418" s="34"/>
      <c r="AL418" s="34"/>
      <c r="AM418" s="34"/>
      <c r="AN418" s="34"/>
      <c r="AO418" s="34"/>
      <c r="AP418" s="34"/>
      <c r="AQ418" s="34"/>
      <c r="AR418" s="34"/>
    </row>
    <row r="419" spans="3:44" s="27" customFormat="1">
      <c r="C419" s="911"/>
      <c r="D419" s="29"/>
      <c r="E419" s="1249"/>
      <c r="F419" s="911"/>
      <c r="G419" s="1011"/>
      <c r="H419" s="1012"/>
      <c r="I419" s="34"/>
      <c r="J419" s="1271"/>
      <c r="K419" s="29"/>
      <c r="L419" s="1011"/>
      <c r="M419" s="911"/>
      <c r="N419" s="1011"/>
      <c r="O419" s="1011"/>
      <c r="P419" s="1012"/>
      <c r="Q419" s="1012"/>
      <c r="R419" s="38"/>
      <c r="S419" s="1011"/>
      <c r="T419" s="38"/>
      <c r="U419" s="1012"/>
      <c r="V419" s="1012"/>
      <c r="W419" s="1011"/>
      <c r="X419" s="1011"/>
      <c r="Y419" s="1011"/>
      <c r="Z419" s="1011"/>
      <c r="AA419" s="38"/>
      <c r="AB419" s="1011"/>
      <c r="AC419" s="1012"/>
      <c r="AD419" s="1012"/>
      <c r="AE419" s="1011"/>
      <c r="AF419" s="1011"/>
      <c r="AG419" s="1011"/>
      <c r="AH419" s="43"/>
      <c r="AJ419" s="110"/>
      <c r="AK419" s="34"/>
      <c r="AL419" s="34"/>
      <c r="AM419" s="34"/>
      <c r="AN419" s="34"/>
      <c r="AO419" s="34"/>
      <c r="AP419" s="34"/>
      <c r="AQ419" s="34"/>
      <c r="AR419" s="34"/>
    </row>
    <row r="420" spans="3:44" s="27" customFormat="1">
      <c r="C420" s="911"/>
      <c r="D420" s="29"/>
      <c r="E420" s="1249"/>
      <c r="F420" s="911"/>
      <c r="G420" s="1011"/>
      <c r="H420" s="1012"/>
      <c r="I420" s="34"/>
      <c r="J420" s="1271"/>
      <c r="K420" s="29"/>
      <c r="L420" s="1011"/>
      <c r="M420" s="911"/>
      <c r="N420" s="1011"/>
      <c r="O420" s="1011"/>
      <c r="P420" s="1012"/>
      <c r="Q420" s="1012"/>
      <c r="R420" s="38"/>
      <c r="S420" s="1011"/>
      <c r="T420" s="38"/>
      <c r="U420" s="1012"/>
      <c r="V420" s="1012"/>
      <c r="W420" s="1011"/>
      <c r="X420" s="1011"/>
      <c r="Y420" s="1011"/>
      <c r="Z420" s="1011"/>
      <c r="AA420" s="38"/>
      <c r="AB420" s="1011"/>
      <c r="AC420" s="1012"/>
      <c r="AD420" s="1012"/>
      <c r="AE420" s="1011"/>
      <c r="AF420" s="1011"/>
      <c r="AG420" s="1011"/>
      <c r="AH420" s="43"/>
      <c r="AJ420" s="110"/>
      <c r="AK420" s="34"/>
      <c r="AL420" s="34"/>
      <c r="AM420" s="34"/>
      <c r="AN420" s="34"/>
      <c r="AO420" s="34"/>
      <c r="AP420" s="34"/>
      <c r="AQ420" s="34"/>
      <c r="AR420" s="34"/>
    </row>
    <row r="421" spans="3:44" s="27" customFormat="1">
      <c r="C421" s="911"/>
      <c r="D421" s="29"/>
      <c r="E421" s="1249"/>
      <c r="F421" s="911"/>
      <c r="G421" s="1011"/>
      <c r="H421" s="1012"/>
      <c r="I421" s="34"/>
      <c r="J421" s="1271"/>
      <c r="K421" s="29"/>
      <c r="L421" s="1011"/>
      <c r="M421" s="911"/>
      <c r="N421" s="1011"/>
      <c r="O421" s="1011"/>
      <c r="P421" s="1012"/>
      <c r="Q421" s="1012"/>
      <c r="R421" s="38"/>
      <c r="S421" s="1011"/>
      <c r="T421" s="38"/>
      <c r="U421" s="1012"/>
      <c r="V421" s="1012"/>
      <c r="W421" s="1011"/>
      <c r="X421" s="1011"/>
      <c r="Y421" s="1011"/>
      <c r="Z421" s="1011"/>
      <c r="AA421" s="38"/>
      <c r="AB421" s="1011"/>
      <c r="AC421" s="1012"/>
      <c r="AD421" s="1012"/>
      <c r="AE421" s="1011"/>
      <c r="AF421" s="1011"/>
      <c r="AG421" s="1011"/>
      <c r="AH421" s="43"/>
      <c r="AJ421" s="110"/>
      <c r="AK421" s="34"/>
      <c r="AL421" s="34"/>
      <c r="AM421" s="34"/>
      <c r="AN421" s="34"/>
      <c r="AO421" s="34"/>
      <c r="AP421" s="34"/>
      <c r="AQ421" s="34"/>
      <c r="AR421" s="34"/>
    </row>
    <row r="422" spans="3:44" s="27" customFormat="1">
      <c r="C422" s="911"/>
      <c r="D422" s="29"/>
      <c r="E422" s="1249"/>
      <c r="F422" s="911"/>
      <c r="G422" s="1011"/>
      <c r="H422" s="1012"/>
      <c r="I422" s="34"/>
      <c r="J422" s="1271"/>
      <c r="K422" s="29"/>
      <c r="L422" s="1011"/>
      <c r="M422" s="911"/>
      <c r="N422" s="1011"/>
      <c r="O422" s="1011"/>
      <c r="P422" s="1012"/>
      <c r="Q422" s="1012"/>
      <c r="R422" s="38"/>
      <c r="S422" s="1011"/>
      <c r="T422" s="38"/>
      <c r="U422" s="1012"/>
      <c r="V422" s="1012"/>
      <c r="W422" s="1011"/>
      <c r="X422" s="1011"/>
      <c r="Y422" s="1011"/>
      <c r="Z422" s="1011"/>
      <c r="AA422" s="38"/>
      <c r="AB422" s="1011"/>
      <c r="AC422" s="1012"/>
      <c r="AD422" s="1012"/>
      <c r="AE422" s="1011"/>
      <c r="AF422" s="1011"/>
      <c r="AG422" s="1011"/>
      <c r="AH422" s="43"/>
      <c r="AJ422" s="110"/>
      <c r="AK422" s="34"/>
      <c r="AL422" s="34"/>
      <c r="AM422" s="34"/>
      <c r="AN422" s="34"/>
      <c r="AO422" s="34"/>
      <c r="AP422" s="34"/>
      <c r="AQ422" s="34"/>
      <c r="AR422" s="34"/>
    </row>
    <row r="423" spans="3:44" s="27" customFormat="1">
      <c r="C423" s="911"/>
      <c r="D423" s="29"/>
      <c r="E423" s="1249"/>
      <c r="F423" s="911"/>
      <c r="G423" s="1011"/>
      <c r="H423" s="1012"/>
      <c r="I423" s="34"/>
      <c r="J423" s="1271"/>
      <c r="K423" s="29"/>
      <c r="L423" s="1011"/>
      <c r="M423" s="911"/>
      <c r="N423" s="1011"/>
      <c r="O423" s="1011"/>
      <c r="P423" s="1012"/>
      <c r="Q423" s="1012"/>
      <c r="R423" s="38"/>
      <c r="S423" s="1011"/>
      <c r="T423" s="38"/>
      <c r="U423" s="1012"/>
      <c r="V423" s="1012"/>
      <c r="W423" s="1011"/>
      <c r="X423" s="1011"/>
      <c r="Y423" s="1011"/>
      <c r="Z423" s="1011"/>
      <c r="AA423" s="38"/>
      <c r="AB423" s="1011"/>
      <c r="AC423" s="1012"/>
      <c r="AD423" s="1012"/>
      <c r="AE423" s="1011"/>
      <c r="AF423" s="1011"/>
      <c r="AG423" s="1011"/>
      <c r="AH423" s="43"/>
      <c r="AJ423" s="110"/>
      <c r="AK423" s="34"/>
      <c r="AL423" s="34"/>
      <c r="AM423" s="34"/>
      <c r="AN423" s="34"/>
      <c r="AO423" s="34"/>
      <c r="AP423" s="34"/>
      <c r="AQ423" s="34"/>
      <c r="AR423" s="34"/>
    </row>
    <row r="424" spans="3:44" s="27" customFormat="1">
      <c r="C424" s="911"/>
      <c r="D424" s="29"/>
      <c r="E424" s="1249"/>
      <c r="F424" s="911"/>
      <c r="G424" s="1011"/>
      <c r="H424" s="1012"/>
      <c r="I424" s="34"/>
      <c r="J424" s="1271"/>
      <c r="K424" s="29"/>
      <c r="L424" s="1011"/>
      <c r="M424" s="911"/>
      <c r="N424" s="1011"/>
      <c r="O424" s="1011"/>
      <c r="P424" s="1012"/>
      <c r="Q424" s="1012"/>
      <c r="R424" s="38"/>
      <c r="S424" s="1011"/>
      <c r="T424" s="38"/>
      <c r="U424" s="1012"/>
      <c r="V424" s="1012"/>
      <c r="W424" s="1011"/>
      <c r="X424" s="1011"/>
      <c r="Y424" s="1011"/>
      <c r="Z424" s="1011"/>
      <c r="AA424" s="38"/>
      <c r="AB424" s="1011"/>
      <c r="AC424" s="1012"/>
      <c r="AD424" s="1012"/>
      <c r="AE424" s="1011"/>
      <c r="AF424" s="1011"/>
      <c r="AG424" s="1011"/>
      <c r="AH424" s="43"/>
      <c r="AJ424" s="110"/>
      <c r="AK424" s="34"/>
      <c r="AL424" s="34"/>
      <c r="AM424" s="34"/>
      <c r="AN424" s="34"/>
      <c r="AO424" s="34"/>
      <c r="AP424" s="34"/>
      <c r="AQ424" s="34"/>
      <c r="AR424" s="34"/>
    </row>
    <row r="425" spans="3:44" s="27" customFormat="1">
      <c r="C425" s="911"/>
      <c r="D425" s="29"/>
      <c r="E425" s="1249"/>
      <c r="F425" s="911"/>
      <c r="G425" s="1011"/>
      <c r="H425" s="1012"/>
      <c r="I425" s="34"/>
      <c r="J425" s="1271"/>
      <c r="K425" s="29"/>
      <c r="L425" s="1011"/>
      <c r="M425" s="911"/>
      <c r="N425" s="1011"/>
      <c r="O425" s="1011"/>
      <c r="P425" s="1012"/>
      <c r="Q425" s="1012"/>
      <c r="R425" s="38"/>
      <c r="S425" s="1011"/>
      <c r="T425" s="38"/>
      <c r="U425" s="1012"/>
      <c r="V425" s="1012"/>
      <c r="W425" s="1011"/>
      <c r="X425" s="1011"/>
      <c r="Y425" s="1011"/>
      <c r="Z425" s="1011"/>
      <c r="AA425" s="38"/>
      <c r="AB425" s="1011"/>
      <c r="AC425" s="1012"/>
      <c r="AD425" s="1012"/>
      <c r="AE425" s="1011"/>
      <c r="AF425" s="1011"/>
      <c r="AG425" s="1011"/>
      <c r="AH425" s="43"/>
      <c r="AJ425" s="110"/>
      <c r="AK425" s="34"/>
      <c r="AL425" s="34"/>
      <c r="AM425" s="34"/>
      <c r="AN425" s="34"/>
      <c r="AO425" s="34"/>
      <c r="AP425" s="34"/>
      <c r="AQ425" s="34"/>
      <c r="AR425" s="34"/>
    </row>
    <row r="426" spans="3:44" s="27" customFormat="1">
      <c r="C426" s="911"/>
      <c r="D426" s="29"/>
      <c r="E426" s="1249"/>
      <c r="F426" s="911"/>
      <c r="G426" s="1011"/>
      <c r="H426" s="1012"/>
      <c r="I426" s="34"/>
      <c r="J426" s="1271"/>
      <c r="K426" s="29"/>
      <c r="L426" s="1011"/>
      <c r="M426" s="911"/>
      <c r="N426" s="1011"/>
      <c r="O426" s="1011"/>
      <c r="P426" s="1012"/>
      <c r="Q426" s="1012"/>
      <c r="R426" s="38"/>
      <c r="S426" s="1011"/>
      <c r="T426" s="38"/>
      <c r="U426" s="1012"/>
      <c r="V426" s="1012"/>
      <c r="W426" s="1011"/>
      <c r="X426" s="1011"/>
      <c r="Y426" s="1011"/>
      <c r="Z426" s="1011"/>
      <c r="AA426" s="38"/>
      <c r="AB426" s="1011"/>
      <c r="AC426" s="1012"/>
      <c r="AD426" s="1012"/>
      <c r="AE426" s="1011"/>
      <c r="AF426" s="1011"/>
      <c r="AG426" s="1011"/>
      <c r="AH426" s="43"/>
      <c r="AJ426" s="110"/>
      <c r="AK426" s="34"/>
      <c r="AL426" s="34"/>
      <c r="AM426" s="34"/>
      <c r="AN426" s="34"/>
      <c r="AO426" s="34"/>
      <c r="AP426" s="34"/>
      <c r="AQ426" s="34"/>
      <c r="AR426" s="34"/>
    </row>
    <row r="427" spans="3:44" s="27" customFormat="1">
      <c r="C427" s="911"/>
      <c r="D427" s="29"/>
      <c r="E427" s="1249"/>
      <c r="F427" s="911"/>
      <c r="G427" s="1011"/>
      <c r="H427" s="1012"/>
      <c r="I427" s="34"/>
      <c r="J427" s="1271"/>
      <c r="K427" s="29"/>
      <c r="L427" s="1011"/>
      <c r="M427" s="911"/>
      <c r="N427" s="1011"/>
      <c r="O427" s="1011"/>
      <c r="P427" s="1012"/>
      <c r="Q427" s="1012"/>
      <c r="R427" s="38"/>
      <c r="S427" s="1011"/>
      <c r="T427" s="38"/>
      <c r="U427" s="1012"/>
      <c r="V427" s="1012"/>
      <c r="W427" s="1011"/>
      <c r="X427" s="1011"/>
      <c r="Y427" s="1011"/>
      <c r="Z427" s="1011"/>
      <c r="AA427" s="38"/>
      <c r="AB427" s="1011"/>
      <c r="AC427" s="1012"/>
      <c r="AD427" s="1012"/>
      <c r="AE427" s="1011"/>
      <c r="AF427" s="1011"/>
      <c r="AG427" s="1011"/>
      <c r="AH427" s="43"/>
      <c r="AJ427" s="110"/>
      <c r="AK427" s="34"/>
      <c r="AL427" s="34"/>
      <c r="AM427" s="34"/>
      <c r="AN427" s="34"/>
      <c r="AO427" s="34"/>
      <c r="AP427" s="34"/>
      <c r="AQ427" s="34"/>
      <c r="AR427" s="34"/>
    </row>
    <row r="428" spans="3:44" s="27" customFormat="1">
      <c r="C428" s="911"/>
      <c r="D428" s="29"/>
      <c r="E428" s="1249"/>
      <c r="F428" s="911"/>
      <c r="G428" s="1011"/>
      <c r="H428" s="1012"/>
      <c r="I428" s="34"/>
      <c r="J428" s="1271"/>
      <c r="K428" s="29"/>
      <c r="L428" s="1011"/>
      <c r="M428" s="911"/>
      <c r="N428" s="1011"/>
      <c r="O428" s="1011"/>
      <c r="P428" s="1012"/>
      <c r="Q428" s="1012"/>
      <c r="R428" s="38"/>
      <c r="S428" s="1011"/>
      <c r="T428" s="38"/>
      <c r="U428" s="1012"/>
      <c r="V428" s="1012"/>
      <c r="W428" s="1011"/>
      <c r="X428" s="1011"/>
      <c r="Y428" s="1011"/>
      <c r="Z428" s="1011"/>
      <c r="AA428" s="38"/>
      <c r="AB428" s="1011"/>
      <c r="AC428" s="1012"/>
      <c r="AD428" s="1012"/>
      <c r="AE428" s="1011"/>
      <c r="AF428" s="1011"/>
      <c r="AG428" s="1011"/>
      <c r="AH428" s="43"/>
      <c r="AJ428" s="110"/>
      <c r="AK428" s="34"/>
      <c r="AL428" s="34"/>
      <c r="AM428" s="34"/>
      <c r="AN428" s="34"/>
      <c r="AO428" s="34"/>
      <c r="AP428" s="34"/>
      <c r="AQ428" s="34"/>
      <c r="AR428" s="34"/>
    </row>
    <row r="429" spans="3:44" s="27" customFormat="1">
      <c r="C429" s="911"/>
      <c r="D429" s="29"/>
      <c r="E429" s="1249"/>
      <c r="F429" s="911"/>
      <c r="G429" s="1011"/>
      <c r="H429" s="1012"/>
      <c r="I429" s="34"/>
      <c r="J429" s="1271"/>
      <c r="K429" s="29"/>
      <c r="L429" s="1011"/>
      <c r="M429" s="911"/>
      <c r="N429" s="1011"/>
      <c r="O429" s="1011"/>
      <c r="P429" s="1012"/>
      <c r="Q429" s="1012"/>
      <c r="R429" s="38"/>
      <c r="S429" s="1011"/>
      <c r="T429" s="38"/>
      <c r="U429" s="1012"/>
      <c r="V429" s="1012"/>
      <c r="W429" s="1011"/>
      <c r="X429" s="1011"/>
      <c r="Y429" s="1011"/>
      <c r="Z429" s="1011"/>
      <c r="AA429" s="38"/>
      <c r="AB429" s="1011"/>
      <c r="AC429" s="1012"/>
      <c r="AD429" s="1012"/>
      <c r="AE429" s="1011"/>
      <c r="AF429" s="1011"/>
      <c r="AG429" s="1011"/>
      <c r="AH429" s="43"/>
      <c r="AJ429" s="110"/>
      <c r="AK429" s="34"/>
      <c r="AL429" s="34"/>
      <c r="AM429" s="34"/>
      <c r="AN429" s="34"/>
      <c r="AO429" s="34"/>
      <c r="AP429" s="34"/>
      <c r="AQ429" s="34"/>
      <c r="AR429" s="34"/>
    </row>
    <row r="430" spans="3:44" s="27" customFormat="1">
      <c r="C430" s="911"/>
      <c r="D430" s="29"/>
      <c r="E430" s="1249"/>
      <c r="F430" s="911"/>
      <c r="G430" s="1011"/>
      <c r="H430" s="1012"/>
      <c r="I430" s="34"/>
      <c r="J430" s="1271"/>
      <c r="K430" s="29"/>
      <c r="L430" s="1011"/>
      <c r="M430" s="911"/>
      <c r="N430" s="1011"/>
      <c r="O430" s="1011"/>
      <c r="P430" s="1012"/>
      <c r="Q430" s="1012"/>
      <c r="R430" s="38"/>
      <c r="S430" s="1011"/>
      <c r="T430" s="38"/>
      <c r="U430" s="1012"/>
      <c r="V430" s="1012"/>
      <c r="W430" s="1011"/>
      <c r="X430" s="1011"/>
      <c r="Y430" s="1011"/>
      <c r="Z430" s="1011"/>
      <c r="AA430" s="38"/>
      <c r="AB430" s="1011"/>
      <c r="AC430" s="1012"/>
      <c r="AD430" s="1012"/>
      <c r="AE430" s="1011"/>
      <c r="AF430" s="1011"/>
      <c r="AG430" s="1011"/>
      <c r="AH430" s="43"/>
      <c r="AJ430" s="110"/>
      <c r="AK430" s="34"/>
      <c r="AL430" s="34"/>
      <c r="AM430" s="34"/>
      <c r="AN430" s="34"/>
      <c r="AO430" s="34"/>
      <c r="AP430" s="34"/>
      <c r="AQ430" s="34"/>
      <c r="AR430" s="34"/>
    </row>
    <row r="431" spans="3:44" s="27" customFormat="1">
      <c r="C431" s="911"/>
      <c r="D431" s="29"/>
      <c r="E431" s="1249"/>
      <c r="F431" s="911"/>
      <c r="G431" s="1011"/>
      <c r="H431" s="1012"/>
      <c r="I431" s="34"/>
      <c r="J431" s="1271"/>
      <c r="K431" s="29"/>
      <c r="L431" s="1011"/>
      <c r="M431" s="911"/>
      <c r="N431" s="1011"/>
      <c r="O431" s="1011"/>
      <c r="P431" s="1012"/>
      <c r="Q431" s="1012"/>
      <c r="R431" s="38"/>
      <c r="S431" s="1011"/>
      <c r="T431" s="38"/>
      <c r="U431" s="1012"/>
      <c r="V431" s="1012"/>
      <c r="W431" s="1011"/>
      <c r="X431" s="1011"/>
      <c r="Y431" s="1011"/>
      <c r="Z431" s="1011"/>
      <c r="AA431" s="38"/>
      <c r="AB431" s="1011"/>
      <c r="AC431" s="1012"/>
      <c r="AD431" s="1012"/>
      <c r="AE431" s="1011"/>
      <c r="AF431" s="1011"/>
      <c r="AG431" s="1011"/>
      <c r="AH431" s="43"/>
      <c r="AJ431" s="110"/>
      <c r="AK431" s="34"/>
      <c r="AL431" s="34"/>
      <c r="AM431" s="34"/>
      <c r="AN431" s="34"/>
      <c r="AO431" s="34"/>
      <c r="AP431" s="34"/>
      <c r="AQ431" s="34"/>
      <c r="AR431" s="34"/>
    </row>
    <row r="432" spans="3:44" s="27" customFormat="1">
      <c r="C432" s="911"/>
      <c r="D432" s="29"/>
      <c r="E432" s="1249"/>
      <c r="F432" s="911"/>
      <c r="G432" s="1011"/>
      <c r="H432" s="1012"/>
      <c r="I432" s="34"/>
      <c r="J432" s="1271"/>
      <c r="K432" s="29"/>
      <c r="L432" s="1011"/>
      <c r="M432" s="911"/>
      <c r="N432" s="1011"/>
      <c r="O432" s="1011"/>
      <c r="P432" s="1012"/>
      <c r="Q432" s="1012"/>
      <c r="R432" s="38"/>
      <c r="S432" s="1011"/>
      <c r="T432" s="38"/>
      <c r="U432" s="1012"/>
      <c r="V432" s="1012"/>
      <c r="W432" s="1011"/>
      <c r="X432" s="1011"/>
      <c r="Y432" s="1011"/>
      <c r="Z432" s="1011"/>
      <c r="AA432" s="38"/>
      <c r="AB432" s="1011"/>
      <c r="AC432" s="1012"/>
      <c r="AD432" s="1012"/>
      <c r="AE432" s="1011"/>
      <c r="AF432" s="1011"/>
      <c r="AG432" s="1011"/>
      <c r="AH432" s="43"/>
      <c r="AJ432" s="110"/>
      <c r="AK432" s="34"/>
      <c r="AL432" s="34"/>
      <c r="AM432" s="34"/>
      <c r="AN432" s="34"/>
      <c r="AO432" s="34"/>
      <c r="AP432" s="34"/>
      <c r="AQ432" s="34"/>
      <c r="AR432" s="34"/>
    </row>
    <row r="433" spans="3:44" s="27" customFormat="1">
      <c r="C433" s="911"/>
      <c r="D433" s="29"/>
      <c r="E433" s="1249"/>
      <c r="F433" s="911"/>
      <c r="G433" s="1011"/>
      <c r="H433" s="1012"/>
      <c r="I433" s="34"/>
      <c r="J433" s="1271"/>
      <c r="K433" s="29"/>
      <c r="L433" s="1011"/>
      <c r="M433" s="911"/>
      <c r="N433" s="1011"/>
      <c r="O433" s="1011"/>
      <c r="P433" s="1012"/>
      <c r="Q433" s="1012"/>
      <c r="R433" s="38"/>
      <c r="S433" s="1011"/>
      <c r="T433" s="38"/>
      <c r="U433" s="1012"/>
      <c r="V433" s="1012"/>
      <c r="W433" s="1011"/>
      <c r="X433" s="1011"/>
      <c r="Y433" s="1011"/>
      <c r="Z433" s="1011"/>
      <c r="AA433" s="38"/>
      <c r="AB433" s="1011"/>
      <c r="AC433" s="1012"/>
      <c r="AD433" s="1012"/>
      <c r="AE433" s="1011"/>
      <c r="AF433" s="1011"/>
      <c r="AG433" s="1011"/>
      <c r="AH433" s="43"/>
      <c r="AJ433" s="110"/>
      <c r="AK433" s="34"/>
      <c r="AL433" s="34"/>
      <c r="AM433" s="34"/>
      <c r="AN433" s="34"/>
      <c r="AO433" s="34"/>
      <c r="AP433" s="34"/>
      <c r="AQ433" s="34"/>
      <c r="AR433" s="34"/>
    </row>
    <row r="434" spans="3:44" s="27" customFormat="1">
      <c r="C434" s="911"/>
      <c r="D434" s="29"/>
      <c r="E434" s="1249"/>
      <c r="F434" s="911"/>
      <c r="G434" s="1011"/>
      <c r="H434" s="1012"/>
      <c r="I434" s="34"/>
      <c r="J434" s="1271"/>
      <c r="K434" s="29"/>
      <c r="L434" s="1011"/>
      <c r="M434" s="911"/>
      <c r="N434" s="1011"/>
      <c r="O434" s="1011"/>
      <c r="P434" s="1012"/>
      <c r="Q434" s="1012"/>
      <c r="R434" s="38"/>
      <c r="S434" s="1011"/>
      <c r="T434" s="38"/>
      <c r="U434" s="1012"/>
      <c r="V434" s="1012"/>
      <c r="W434" s="1011"/>
      <c r="X434" s="1011"/>
      <c r="Y434" s="1011"/>
      <c r="Z434" s="1011"/>
      <c r="AA434" s="38"/>
      <c r="AB434" s="1011"/>
      <c r="AC434" s="1012"/>
      <c r="AD434" s="1012"/>
      <c r="AE434" s="1011"/>
      <c r="AF434" s="1011"/>
      <c r="AG434" s="1011"/>
      <c r="AH434" s="43"/>
      <c r="AJ434" s="110"/>
      <c r="AK434" s="34"/>
      <c r="AL434" s="34"/>
      <c r="AM434" s="34"/>
      <c r="AN434" s="34"/>
      <c r="AO434" s="34"/>
      <c r="AP434" s="34"/>
      <c r="AQ434" s="34"/>
      <c r="AR434" s="34"/>
    </row>
    <row r="435" spans="3:44" s="27" customFormat="1">
      <c r="C435" s="911"/>
      <c r="D435" s="29"/>
      <c r="E435" s="1249"/>
      <c r="F435" s="911"/>
      <c r="G435" s="1011"/>
      <c r="H435" s="1012"/>
      <c r="I435" s="34"/>
      <c r="J435" s="1271"/>
      <c r="K435" s="29"/>
      <c r="L435" s="1011"/>
      <c r="M435" s="911"/>
      <c r="N435" s="1011"/>
      <c r="O435" s="1011"/>
      <c r="P435" s="1012"/>
      <c r="Q435" s="1012"/>
      <c r="R435" s="38"/>
      <c r="S435" s="1011"/>
      <c r="T435" s="38"/>
      <c r="U435" s="1012"/>
      <c r="V435" s="1012"/>
      <c r="W435" s="1011"/>
      <c r="X435" s="1011"/>
      <c r="Y435" s="1011"/>
      <c r="Z435" s="1011"/>
      <c r="AA435" s="38"/>
      <c r="AB435" s="1011"/>
      <c r="AC435" s="1012"/>
      <c r="AD435" s="1012"/>
      <c r="AE435" s="1011"/>
      <c r="AF435" s="1011"/>
      <c r="AG435" s="1011"/>
      <c r="AH435" s="43"/>
      <c r="AJ435" s="110"/>
      <c r="AK435" s="34"/>
      <c r="AL435" s="34"/>
      <c r="AM435" s="34"/>
      <c r="AN435" s="34"/>
      <c r="AO435" s="34"/>
      <c r="AP435" s="34"/>
      <c r="AQ435" s="34"/>
      <c r="AR435" s="34"/>
    </row>
    <row r="436" spans="3:44" s="27" customFormat="1">
      <c r="C436" s="911"/>
      <c r="D436" s="29"/>
      <c r="E436" s="1249"/>
      <c r="F436" s="911"/>
      <c r="G436" s="1011"/>
      <c r="H436" s="1012"/>
      <c r="I436" s="34"/>
      <c r="J436" s="1271"/>
      <c r="K436" s="29"/>
      <c r="L436" s="1011"/>
      <c r="M436" s="911"/>
      <c r="N436" s="1011"/>
      <c r="O436" s="1011"/>
      <c r="P436" s="1012"/>
      <c r="Q436" s="1012"/>
      <c r="R436" s="38"/>
      <c r="S436" s="1011"/>
      <c r="T436" s="38"/>
      <c r="U436" s="1012"/>
      <c r="V436" s="1012"/>
      <c r="W436" s="1011"/>
      <c r="X436" s="1011"/>
      <c r="Y436" s="1011"/>
      <c r="Z436" s="1011"/>
      <c r="AA436" s="38"/>
      <c r="AB436" s="1011"/>
      <c r="AC436" s="1012"/>
      <c r="AD436" s="1012"/>
      <c r="AE436" s="1011"/>
      <c r="AF436" s="1011"/>
      <c r="AG436" s="1011"/>
      <c r="AH436" s="43"/>
      <c r="AJ436" s="110"/>
      <c r="AK436" s="34"/>
      <c r="AL436" s="34"/>
      <c r="AM436" s="34"/>
      <c r="AN436" s="34"/>
      <c r="AO436" s="34"/>
      <c r="AP436" s="34"/>
      <c r="AQ436" s="34"/>
      <c r="AR436" s="34"/>
    </row>
    <row r="437" spans="3:44" s="27" customFormat="1">
      <c r="C437" s="911"/>
      <c r="D437" s="29"/>
      <c r="E437" s="1249"/>
      <c r="F437" s="911"/>
      <c r="G437" s="1011"/>
      <c r="H437" s="1012"/>
      <c r="I437" s="34"/>
      <c r="J437" s="1271"/>
      <c r="K437" s="29"/>
      <c r="L437" s="1011"/>
      <c r="M437" s="911"/>
      <c r="N437" s="1011"/>
      <c r="O437" s="1011"/>
      <c r="P437" s="1012"/>
      <c r="Q437" s="1012"/>
      <c r="R437" s="38"/>
      <c r="S437" s="1011"/>
      <c r="T437" s="38"/>
      <c r="U437" s="1012"/>
      <c r="V437" s="1012"/>
      <c r="W437" s="1011"/>
      <c r="X437" s="1011"/>
      <c r="Y437" s="1011"/>
      <c r="Z437" s="1011"/>
      <c r="AA437" s="38"/>
      <c r="AB437" s="1011"/>
      <c r="AC437" s="1012"/>
      <c r="AD437" s="1012"/>
      <c r="AE437" s="1011"/>
      <c r="AF437" s="1011"/>
      <c r="AG437" s="1011"/>
      <c r="AH437" s="43"/>
      <c r="AJ437" s="110"/>
      <c r="AK437" s="34"/>
      <c r="AL437" s="34"/>
      <c r="AM437" s="34"/>
      <c r="AN437" s="34"/>
      <c r="AO437" s="34"/>
      <c r="AP437" s="34"/>
      <c r="AQ437" s="34"/>
      <c r="AR437" s="34"/>
    </row>
    <row r="438" spans="3:44" s="27" customFormat="1">
      <c r="C438" s="911"/>
      <c r="D438" s="29"/>
      <c r="E438" s="1249"/>
      <c r="F438" s="911"/>
      <c r="G438" s="1011"/>
      <c r="H438" s="1012"/>
      <c r="I438" s="34"/>
      <c r="J438" s="1271"/>
      <c r="K438" s="29"/>
      <c r="L438" s="1011"/>
      <c r="M438" s="911"/>
      <c r="N438" s="1011"/>
      <c r="O438" s="1011"/>
      <c r="P438" s="1012"/>
      <c r="Q438" s="1012"/>
      <c r="R438" s="38"/>
      <c r="S438" s="1011"/>
      <c r="T438" s="38"/>
      <c r="U438" s="1012"/>
      <c r="V438" s="1012"/>
      <c r="W438" s="1011"/>
      <c r="X438" s="1011"/>
      <c r="Y438" s="1011"/>
      <c r="Z438" s="1011"/>
      <c r="AA438" s="38"/>
      <c r="AB438" s="1011"/>
      <c r="AC438" s="1012"/>
      <c r="AD438" s="1012"/>
      <c r="AE438" s="1011"/>
      <c r="AF438" s="1011"/>
      <c r="AG438" s="1011"/>
      <c r="AH438" s="43"/>
      <c r="AJ438" s="110"/>
      <c r="AK438" s="34"/>
      <c r="AL438" s="34"/>
      <c r="AM438" s="34"/>
      <c r="AN438" s="34"/>
      <c r="AO438" s="34"/>
      <c r="AP438" s="34"/>
      <c r="AQ438" s="34"/>
      <c r="AR438" s="34"/>
    </row>
    <row r="439" spans="3:44" s="27" customFormat="1">
      <c r="C439" s="911"/>
      <c r="D439" s="29"/>
      <c r="E439" s="1249"/>
      <c r="F439" s="911"/>
      <c r="G439" s="1011"/>
      <c r="H439" s="1012"/>
      <c r="I439" s="34"/>
      <c r="J439" s="1271"/>
      <c r="K439" s="29"/>
      <c r="L439" s="1011"/>
      <c r="M439" s="911"/>
      <c r="N439" s="1011"/>
      <c r="O439" s="1011"/>
      <c r="P439" s="1012"/>
      <c r="Q439" s="1012"/>
      <c r="R439" s="38"/>
      <c r="S439" s="1011"/>
      <c r="T439" s="38"/>
      <c r="U439" s="1012"/>
      <c r="V439" s="1012"/>
      <c r="W439" s="1011"/>
      <c r="X439" s="1011"/>
      <c r="Y439" s="1011"/>
      <c r="Z439" s="1011"/>
      <c r="AA439" s="38"/>
      <c r="AB439" s="1011"/>
      <c r="AC439" s="1012"/>
      <c r="AD439" s="1012"/>
      <c r="AE439" s="1011"/>
      <c r="AF439" s="1011"/>
      <c r="AG439" s="1011"/>
      <c r="AH439" s="43"/>
      <c r="AJ439" s="110"/>
      <c r="AK439" s="34"/>
      <c r="AL439" s="34"/>
      <c r="AM439" s="34"/>
      <c r="AN439" s="34"/>
      <c r="AO439" s="34"/>
      <c r="AP439" s="34"/>
      <c r="AQ439" s="34"/>
      <c r="AR439" s="34"/>
    </row>
    <row r="440" spans="3:44" s="27" customFormat="1">
      <c r="C440" s="911"/>
      <c r="D440" s="29"/>
      <c r="E440" s="1249"/>
      <c r="F440" s="911"/>
      <c r="G440" s="1011"/>
      <c r="H440" s="1012"/>
      <c r="I440" s="34"/>
      <c r="J440" s="1271"/>
      <c r="K440" s="29"/>
      <c r="L440" s="1011"/>
      <c r="M440" s="911"/>
      <c r="N440" s="1011"/>
      <c r="O440" s="1011"/>
      <c r="P440" s="1012"/>
      <c r="Q440" s="1012"/>
      <c r="R440" s="38"/>
      <c r="S440" s="1011"/>
      <c r="T440" s="38"/>
      <c r="U440" s="1012"/>
      <c r="V440" s="1012"/>
      <c r="W440" s="1011"/>
      <c r="X440" s="1011"/>
      <c r="Y440" s="1011"/>
      <c r="Z440" s="1011"/>
      <c r="AA440" s="38"/>
      <c r="AB440" s="1011"/>
      <c r="AC440" s="1012"/>
      <c r="AD440" s="1012"/>
      <c r="AE440" s="1011"/>
      <c r="AF440" s="1011"/>
      <c r="AG440" s="1011"/>
      <c r="AH440" s="43"/>
      <c r="AJ440" s="110"/>
      <c r="AK440" s="34"/>
      <c r="AL440" s="34"/>
      <c r="AM440" s="34"/>
      <c r="AN440" s="34"/>
      <c r="AO440" s="34"/>
      <c r="AP440" s="34"/>
      <c r="AQ440" s="34"/>
      <c r="AR440" s="34"/>
    </row>
    <row r="441" spans="3:44" s="27" customFormat="1">
      <c r="C441" s="911"/>
      <c r="D441" s="29"/>
      <c r="E441" s="1249"/>
      <c r="F441" s="911"/>
      <c r="G441" s="1011"/>
      <c r="H441" s="1012"/>
      <c r="I441" s="34"/>
      <c r="J441" s="1271"/>
      <c r="K441" s="29"/>
      <c r="L441" s="1011"/>
      <c r="M441" s="911"/>
      <c r="N441" s="1011"/>
      <c r="O441" s="1011"/>
      <c r="P441" s="1012"/>
      <c r="Q441" s="1012"/>
      <c r="R441" s="38"/>
      <c r="S441" s="1011"/>
      <c r="T441" s="38"/>
      <c r="U441" s="1012"/>
      <c r="V441" s="1012"/>
      <c r="W441" s="1011"/>
      <c r="X441" s="1011"/>
      <c r="Y441" s="1011"/>
      <c r="Z441" s="1011"/>
      <c r="AA441" s="38"/>
      <c r="AB441" s="1011"/>
      <c r="AC441" s="1012"/>
      <c r="AD441" s="1012"/>
      <c r="AE441" s="1011"/>
      <c r="AF441" s="1011"/>
      <c r="AG441" s="1011"/>
      <c r="AH441" s="43"/>
      <c r="AJ441" s="110"/>
      <c r="AK441" s="34"/>
      <c r="AL441" s="34"/>
      <c r="AM441" s="34"/>
      <c r="AN441" s="34"/>
      <c r="AO441" s="34"/>
      <c r="AP441" s="34"/>
      <c r="AQ441" s="34"/>
      <c r="AR441" s="34"/>
    </row>
    <row r="442" spans="3:44" s="27" customFormat="1">
      <c r="C442" s="911"/>
      <c r="D442" s="29"/>
      <c r="E442" s="1249"/>
      <c r="F442" s="911"/>
      <c r="G442" s="1011"/>
      <c r="H442" s="1012"/>
      <c r="I442" s="34"/>
      <c r="J442" s="1271"/>
      <c r="K442" s="29"/>
      <c r="L442" s="1011"/>
      <c r="M442" s="911"/>
      <c r="N442" s="1011"/>
      <c r="O442" s="1011"/>
      <c r="P442" s="1012"/>
      <c r="Q442" s="1012"/>
      <c r="R442" s="38"/>
      <c r="S442" s="1011"/>
      <c r="T442" s="38"/>
      <c r="U442" s="1012"/>
      <c r="V442" s="1012"/>
      <c r="W442" s="1011"/>
      <c r="X442" s="1011"/>
      <c r="Y442" s="1011"/>
      <c r="Z442" s="1011"/>
      <c r="AA442" s="38"/>
      <c r="AB442" s="1011"/>
      <c r="AC442" s="1012"/>
      <c r="AD442" s="1012"/>
      <c r="AE442" s="1011"/>
      <c r="AF442" s="1011"/>
      <c r="AG442" s="1011"/>
      <c r="AH442" s="43"/>
      <c r="AJ442" s="110"/>
      <c r="AK442" s="34"/>
      <c r="AL442" s="34"/>
      <c r="AM442" s="34"/>
      <c r="AN442" s="34"/>
      <c r="AO442" s="34"/>
      <c r="AP442" s="34"/>
      <c r="AQ442" s="34"/>
      <c r="AR442" s="34"/>
    </row>
    <row r="443" spans="3:44" s="27" customFormat="1">
      <c r="C443" s="911"/>
      <c r="D443" s="29"/>
      <c r="E443" s="1249"/>
      <c r="F443" s="911"/>
      <c r="G443" s="1011"/>
      <c r="H443" s="1012"/>
      <c r="I443" s="34"/>
      <c r="J443" s="1271"/>
      <c r="K443" s="29"/>
      <c r="L443" s="1011"/>
      <c r="M443" s="911"/>
      <c r="N443" s="1011"/>
      <c r="O443" s="1011"/>
      <c r="P443" s="1012"/>
      <c r="Q443" s="1012"/>
      <c r="R443" s="38"/>
      <c r="S443" s="1011"/>
      <c r="T443" s="38"/>
      <c r="U443" s="1012"/>
      <c r="V443" s="1012"/>
      <c r="W443" s="1011"/>
      <c r="X443" s="1011"/>
      <c r="Y443" s="1011"/>
      <c r="Z443" s="1011"/>
      <c r="AA443" s="38"/>
      <c r="AB443" s="1011"/>
      <c r="AC443" s="1012"/>
      <c r="AD443" s="1012"/>
      <c r="AE443" s="1011"/>
      <c r="AF443" s="1011"/>
      <c r="AG443" s="1011"/>
      <c r="AH443" s="43"/>
      <c r="AJ443" s="110"/>
      <c r="AK443" s="34"/>
      <c r="AL443" s="34"/>
      <c r="AM443" s="34"/>
      <c r="AN443" s="34"/>
      <c r="AO443" s="34"/>
      <c r="AP443" s="34"/>
      <c r="AQ443" s="34"/>
      <c r="AR443" s="34"/>
    </row>
    <row r="444" spans="3:44" s="27" customFormat="1">
      <c r="C444" s="911"/>
      <c r="D444" s="29"/>
      <c r="E444" s="1249"/>
      <c r="F444" s="911"/>
      <c r="G444" s="1011"/>
      <c r="H444" s="1012"/>
      <c r="I444" s="34"/>
      <c r="J444" s="1271"/>
      <c r="K444" s="29"/>
      <c r="L444" s="1011"/>
      <c r="M444" s="911"/>
      <c r="N444" s="1011"/>
      <c r="O444" s="1011"/>
      <c r="P444" s="1012"/>
      <c r="Q444" s="1012"/>
      <c r="R444" s="38"/>
      <c r="S444" s="1011"/>
      <c r="T444" s="38"/>
      <c r="U444" s="1012"/>
      <c r="V444" s="1012"/>
      <c r="W444" s="1011"/>
      <c r="X444" s="1011"/>
      <c r="Y444" s="1011"/>
      <c r="Z444" s="1011"/>
      <c r="AA444" s="38"/>
      <c r="AB444" s="1011"/>
      <c r="AC444" s="1012"/>
      <c r="AD444" s="1012"/>
      <c r="AE444" s="1011"/>
      <c r="AF444" s="1011"/>
      <c r="AG444" s="1011"/>
      <c r="AH444" s="43"/>
      <c r="AJ444" s="110"/>
      <c r="AK444" s="34"/>
      <c r="AL444" s="34"/>
      <c r="AM444" s="34"/>
      <c r="AN444" s="34"/>
      <c r="AO444" s="34"/>
      <c r="AP444" s="34"/>
      <c r="AQ444" s="34"/>
      <c r="AR444" s="34"/>
    </row>
    <row r="445" spans="3:44" s="27" customFormat="1">
      <c r="C445" s="911"/>
      <c r="D445" s="29"/>
      <c r="E445" s="1249"/>
      <c r="F445" s="911"/>
      <c r="G445" s="1011"/>
      <c r="H445" s="1012"/>
      <c r="I445" s="34"/>
      <c r="J445" s="1271"/>
      <c r="K445" s="29"/>
      <c r="L445" s="1011"/>
      <c r="M445" s="911"/>
      <c r="N445" s="1011"/>
      <c r="O445" s="1011"/>
      <c r="P445" s="1012"/>
      <c r="Q445" s="1012"/>
      <c r="R445" s="38"/>
      <c r="S445" s="1011"/>
      <c r="T445" s="38"/>
      <c r="U445" s="1012"/>
      <c r="V445" s="1012"/>
      <c r="W445" s="1011"/>
      <c r="X445" s="1011"/>
      <c r="Y445" s="1011"/>
      <c r="Z445" s="1011"/>
      <c r="AA445" s="38"/>
      <c r="AB445" s="1011"/>
      <c r="AC445" s="1012"/>
      <c r="AD445" s="1012"/>
      <c r="AE445" s="1011"/>
      <c r="AF445" s="1011"/>
      <c r="AG445" s="1011"/>
      <c r="AH445" s="43"/>
      <c r="AJ445" s="110"/>
      <c r="AK445" s="34"/>
      <c r="AL445" s="34"/>
      <c r="AM445" s="34"/>
      <c r="AN445" s="34"/>
      <c r="AO445" s="34"/>
      <c r="AP445" s="34"/>
      <c r="AQ445" s="34"/>
      <c r="AR445" s="34"/>
    </row>
    <row r="446" spans="3:44" s="27" customFormat="1">
      <c r="C446" s="911"/>
      <c r="D446" s="29"/>
      <c r="E446" s="1249"/>
      <c r="F446" s="911"/>
      <c r="G446" s="1011"/>
      <c r="H446" s="1012"/>
      <c r="I446" s="34"/>
      <c r="J446" s="1271"/>
      <c r="K446" s="29"/>
      <c r="L446" s="1011"/>
      <c r="M446" s="911"/>
      <c r="N446" s="1011"/>
      <c r="O446" s="1011"/>
      <c r="P446" s="1012"/>
      <c r="Q446" s="1012"/>
      <c r="R446" s="38"/>
      <c r="S446" s="1011"/>
      <c r="T446" s="38"/>
      <c r="U446" s="1012"/>
      <c r="V446" s="1012"/>
      <c r="W446" s="1011"/>
      <c r="X446" s="1011"/>
      <c r="Y446" s="1011"/>
      <c r="Z446" s="1011"/>
      <c r="AA446" s="38"/>
      <c r="AB446" s="1011"/>
      <c r="AC446" s="1012"/>
      <c r="AD446" s="1012"/>
      <c r="AE446" s="1011"/>
      <c r="AF446" s="1011"/>
      <c r="AG446" s="1011"/>
      <c r="AH446" s="43"/>
      <c r="AJ446" s="110"/>
      <c r="AK446" s="34"/>
      <c r="AL446" s="34"/>
      <c r="AM446" s="34"/>
      <c r="AN446" s="34"/>
      <c r="AO446" s="34"/>
      <c r="AP446" s="34"/>
      <c r="AQ446" s="34"/>
      <c r="AR446" s="34"/>
    </row>
    <row r="447" spans="3:44" s="27" customFormat="1">
      <c r="C447" s="911"/>
      <c r="D447" s="29"/>
      <c r="E447" s="1249"/>
      <c r="F447" s="911"/>
      <c r="G447" s="1011"/>
      <c r="H447" s="1012"/>
      <c r="I447" s="34"/>
      <c r="J447" s="1271"/>
      <c r="K447" s="29"/>
      <c r="L447" s="1011"/>
      <c r="M447" s="911"/>
      <c r="N447" s="1011"/>
      <c r="O447" s="1011"/>
      <c r="P447" s="1012"/>
      <c r="Q447" s="1012"/>
      <c r="R447" s="38"/>
      <c r="S447" s="1011"/>
      <c r="T447" s="38"/>
      <c r="U447" s="1012"/>
      <c r="V447" s="1012"/>
      <c r="W447" s="1011"/>
      <c r="X447" s="1011"/>
      <c r="Y447" s="1011"/>
      <c r="Z447" s="1011"/>
      <c r="AA447" s="38"/>
      <c r="AB447" s="1011"/>
      <c r="AC447" s="1012"/>
      <c r="AD447" s="1012"/>
      <c r="AE447" s="1011"/>
      <c r="AF447" s="1011"/>
      <c r="AG447" s="1011"/>
      <c r="AH447" s="43"/>
      <c r="AJ447" s="110"/>
      <c r="AK447" s="34"/>
      <c r="AL447" s="34"/>
      <c r="AM447" s="34"/>
      <c r="AN447" s="34"/>
      <c r="AO447" s="34"/>
      <c r="AP447" s="34"/>
      <c r="AQ447" s="34"/>
      <c r="AR447" s="34"/>
    </row>
    <row r="448" spans="3:44" s="27" customFormat="1">
      <c r="C448" s="911"/>
      <c r="D448" s="29"/>
      <c r="E448" s="1249"/>
      <c r="F448" s="911"/>
      <c r="G448" s="1011"/>
      <c r="H448" s="1012"/>
      <c r="I448" s="34"/>
      <c r="J448" s="1271"/>
      <c r="K448" s="29"/>
      <c r="L448" s="1011"/>
      <c r="M448" s="911"/>
      <c r="N448" s="1011"/>
      <c r="O448" s="1011"/>
      <c r="P448" s="1012"/>
      <c r="Q448" s="1012"/>
      <c r="R448" s="38"/>
      <c r="S448" s="1011"/>
      <c r="T448" s="38"/>
      <c r="U448" s="1012"/>
      <c r="V448" s="1012"/>
      <c r="W448" s="1011"/>
      <c r="X448" s="1011"/>
      <c r="Y448" s="1011"/>
      <c r="Z448" s="1011"/>
      <c r="AA448" s="38"/>
      <c r="AB448" s="1011"/>
      <c r="AC448" s="1012"/>
      <c r="AD448" s="1012"/>
      <c r="AE448" s="1011"/>
      <c r="AF448" s="1011"/>
      <c r="AG448" s="1011"/>
      <c r="AH448" s="43"/>
      <c r="AJ448" s="110"/>
      <c r="AK448" s="34"/>
      <c r="AL448" s="34"/>
      <c r="AM448" s="34"/>
      <c r="AN448" s="34"/>
      <c r="AO448" s="34"/>
      <c r="AP448" s="34"/>
      <c r="AQ448" s="34"/>
      <c r="AR448" s="34"/>
    </row>
    <row r="449" spans="3:44" s="27" customFormat="1">
      <c r="C449" s="911"/>
      <c r="D449" s="29"/>
      <c r="E449" s="1249"/>
      <c r="F449" s="911"/>
      <c r="G449" s="1011"/>
      <c r="H449" s="1012"/>
      <c r="I449" s="34"/>
      <c r="J449" s="1271"/>
      <c r="K449" s="29"/>
      <c r="L449" s="1011"/>
      <c r="M449" s="911"/>
      <c r="N449" s="1011"/>
      <c r="O449" s="1011"/>
      <c r="P449" s="1012"/>
      <c r="Q449" s="1012"/>
      <c r="R449" s="38"/>
      <c r="S449" s="1011"/>
      <c r="T449" s="38"/>
      <c r="U449" s="1012"/>
      <c r="V449" s="1012"/>
      <c r="W449" s="1011"/>
      <c r="X449" s="1011"/>
      <c r="Y449" s="1011"/>
      <c r="Z449" s="1011"/>
      <c r="AA449" s="38"/>
      <c r="AB449" s="1011"/>
      <c r="AC449" s="1012"/>
      <c r="AD449" s="1012"/>
      <c r="AE449" s="1011"/>
      <c r="AF449" s="1011"/>
      <c r="AG449" s="1011"/>
      <c r="AH449" s="43"/>
      <c r="AJ449" s="110"/>
      <c r="AK449" s="34"/>
      <c r="AL449" s="34"/>
      <c r="AM449" s="34"/>
      <c r="AN449" s="34"/>
      <c r="AO449" s="34"/>
      <c r="AP449" s="34"/>
      <c r="AQ449" s="34"/>
      <c r="AR449" s="34"/>
    </row>
    <row r="450" spans="3:44" s="27" customFormat="1">
      <c r="C450" s="911"/>
      <c r="D450" s="29"/>
      <c r="E450" s="1249"/>
      <c r="F450" s="911"/>
      <c r="G450" s="1011"/>
      <c r="H450" s="1012"/>
      <c r="I450" s="34"/>
      <c r="J450" s="1271"/>
      <c r="K450" s="29"/>
      <c r="L450" s="1011"/>
      <c r="M450" s="911"/>
      <c r="N450" s="1011"/>
      <c r="O450" s="1011"/>
      <c r="P450" s="1012"/>
      <c r="Q450" s="1012"/>
      <c r="R450" s="38"/>
      <c r="S450" s="1011"/>
      <c r="T450" s="38"/>
      <c r="U450" s="1012"/>
      <c r="V450" s="1012"/>
      <c r="W450" s="1011"/>
      <c r="X450" s="1011"/>
      <c r="Y450" s="1011"/>
      <c r="Z450" s="1011"/>
      <c r="AA450" s="38"/>
      <c r="AB450" s="1011"/>
      <c r="AC450" s="1012"/>
      <c r="AD450" s="1012"/>
      <c r="AE450" s="1011"/>
      <c r="AF450" s="1011"/>
      <c r="AG450" s="1011"/>
      <c r="AH450" s="43"/>
      <c r="AJ450" s="110"/>
      <c r="AK450" s="34"/>
      <c r="AL450" s="34"/>
      <c r="AM450" s="34"/>
      <c r="AN450" s="34"/>
      <c r="AO450" s="34"/>
      <c r="AP450" s="34"/>
      <c r="AQ450" s="34"/>
      <c r="AR450" s="34"/>
    </row>
    <row r="451" spans="3:44" s="27" customFormat="1">
      <c r="C451" s="911"/>
      <c r="D451" s="29"/>
      <c r="E451" s="1249"/>
      <c r="F451" s="911"/>
      <c r="G451" s="1011"/>
      <c r="H451" s="1012"/>
      <c r="I451" s="34"/>
      <c r="J451" s="1271"/>
      <c r="K451" s="29"/>
      <c r="L451" s="1011"/>
      <c r="M451" s="911"/>
      <c r="N451" s="1011"/>
      <c r="O451" s="1011"/>
      <c r="P451" s="1012"/>
      <c r="Q451" s="1012"/>
      <c r="R451" s="38"/>
      <c r="S451" s="1011"/>
      <c r="T451" s="38"/>
      <c r="U451" s="1012"/>
      <c r="V451" s="1012"/>
      <c r="W451" s="1011"/>
      <c r="X451" s="1011"/>
      <c r="Y451" s="1011"/>
      <c r="Z451" s="1011"/>
      <c r="AA451" s="38"/>
      <c r="AB451" s="1011"/>
      <c r="AC451" s="1012"/>
      <c r="AD451" s="1012"/>
      <c r="AE451" s="1011"/>
      <c r="AF451" s="1011"/>
      <c r="AG451" s="1011"/>
      <c r="AH451" s="43"/>
      <c r="AJ451" s="110"/>
      <c r="AK451" s="34"/>
      <c r="AL451" s="34"/>
      <c r="AM451" s="34"/>
      <c r="AN451" s="34"/>
      <c r="AO451" s="34"/>
      <c r="AP451" s="34"/>
      <c r="AQ451" s="34"/>
      <c r="AR451" s="34"/>
    </row>
    <row r="452" spans="3:44" s="27" customFormat="1">
      <c r="C452" s="911"/>
      <c r="D452" s="29"/>
      <c r="E452" s="1249"/>
      <c r="F452" s="911"/>
      <c r="G452" s="1011"/>
      <c r="H452" s="1012"/>
      <c r="I452" s="34"/>
      <c r="J452" s="1271"/>
      <c r="K452" s="29"/>
      <c r="L452" s="1011"/>
      <c r="M452" s="911"/>
      <c r="N452" s="1011"/>
      <c r="O452" s="1011"/>
      <c r="P452" s="1012"/>
      <c r="Q452" s="1012"/>
      <c r="R452" s="38"/>
      <c r="S452" s="1011"/>
      <c r="T452" s="38"/>
      <c r="U452" s="1012"/>
      <c r="V452" s="1012"/>
      <c r="W452" s="1011"/>
      <c r="X452" s="1011"/>
      <c r="Y452" s="1011"/>
      <c r="Z452" s="1011"/>
      <c r="AA452" s="38"/>
      <c r="AB452" s="1011"/>
      <c r="AC452" s="1012"/>
      <c r="AD452" s="1012"/>
      <c r="AE452" s="1011"/>
      <c r="AF452" s="1011"/>
      <c r="AG452" s="1011"/>
      <c r="AH452" s="43"/>
      <c r="AJ452" s="110"/>
      <c r="AK452" s="34"/>
      <c r="AL452" s="34"/>
      <c r="AM452" s="34"/>
      <c r="AN452" s="34"/>
      <c r="AO452" s="34"/>
      <c r="AP452" s="34"/>
      <c r="AQ452" s="34"/>
      <c r="AR452" s="34"/>
    </row>
    <row r="453" spans="3:44" s="27" customFormat="1">
      <c r="C453" s="911"/>
      <c r="D453" s="29"/>
      <c r="E453" s="1249"/>
      <c r="F453" s="911"/>
      <c r="G453" s="1011"/>
      <c r="H453" s="1012"/>
      <c r="I453" s="34"/>
      <c r="J453" s="1271"/>
      <c r="K453" s="29"/>
      <c r="L453" s="1011"/>
      <c r="M453" s="911"/>
      <c r="N453" s="1011"/>
      <c r="O453" s="1011"/>
      <c r="P453" s="1012"/>
      <c r="Q453" s="1012"/>
      <c r="R453" s="38"/>
      <c r="S453" s="1011"/>
      <c r="T453" s="38"/>
      <c r="U453" s="1012"/>
      <c r="V453" s="1012"/>
      <c r="W453" s="1011"/>
      <c r="X453" s="1011"/>
      <c r="Y453" s="1011"/>
      <c r="Z453" s="1011"/>
      <c r="AA453" s="38"/>
      <c r="AB453" s="1011"/>
      <c r="AC453" s="1012"/>
      <c r="AD453" s="1012"/>
      <c r="AE453" s="1011"/>
      <c r="AF453" s="1011"/>
      <c r="AG453" s="1011"/>
      <c r="AH453" s="43"/>
      <c r="AJ453" s="110"/>
      <c r="AK453" s="34"/>
      <c r="AL453" s="34"/>
      <c r="AM453" s="34"/>
      <c r="AN453" s="34"/>
      <c r="AO453" s="34"/>
      <c r="AP453" s="34"/>
      <c r="AQ453" s="34"/>
      <c r="AR453" s="34"/>
    </row>
    <row r="454" spans="3:44" s="27" customFormat="1">
      <c r="C454" s="911"/>
      <c r="D454" s="29"/>
      <c r="E454" s="1249"/>
      <c r="F454" s="911"/>
      <c r="G454" s="1011"/>
      <c r="H454" s="1012"/>
      <c r="I454" s="34"/>
      <c r="J454" s="1271"/>
      <c r="K454" s="29"/>
      <c r="L454" s="1011"/>
      <c r="M454" s="911"/>
      <c r="N454" s="1011"/>
      <c r="O454" s="1011"/>
      <c r="P454" s="1012"/>
      <c r="Q454" s="1012"/>
      <c r="R454" s="38"/>
      <c r="S454" s="1011"/>
      <c r="T454" s="38"/>
      <c r="U454" s="1012"/>
      <c r="V454" s="1012"/>
      <c r="W454" s="1011"/>
      <c r="X454" s="1011"/>
      <c r="Y454" s="1011"/>
      <c r="Z454" s="1011"/>
      <c r="AA454" s="38"/>
      <c r="AB454" s="1011"/>
      <c r="AC454" s="1012"/>
      <c r="AD454" s="1012"/>
      <c r="AE454" s="1011"/>
      <c r="AF454" s="1011"/>
      <c r="AG454" s="1011"/>
      <c r="AH454" s="43"/>
      <c r="AJ454" s="110"/>
      <c r="AK454" s="34"/>
      <c r="AL454" s="34"/>
      <c r="AM454" s="34"/>
      <c r="AN454" s="34"/>
      <c r="AO454" s="34"/>
      <c r="AP454" s="34"/>
      <c r="AQ454" s="34"/>
      <c r="AR454" s="34"/>
    </row>
    <row r="455" spans="3:44" s="27" customFormat="1">
      <c r="C455" s="911"/>
      <c r="D455" s="29"/>
      <c r="E455" s="1249"/>
      <c r="F455" s="911"/>
      <c r="G455" s="1011"/>
      <c r="H455" s="1012"/>
      <c r="I455" s="34"/>
      <c r="J455" s="1271"/>
      <c r="K455" s="29"/>
      <c r="L455" s="1011"/>
      <c r="M455" s="911"/>
      <c r="N455" s="1011"/>
      <c r="O455" s="1011"/>
      <c r="P455" s="1012"/>
      <c r="Q455" s="1012"/>
      <c r="R455" s="38"/>
      <c r="S455" s="1011"/>
      <c r="T455" s="38"/>
      <c r="U455" s="1012"/>
      <c r="V455" s="1012"/>
      <c r="W455" s="1011"/>
      <c r="X455" s="1011"/>
      <c r="Y455" s="1011"/>
      <c r="Z455" s="1011"/>
      <c r="AA455" s="38"/>
      <c r="AB455" s="1011"/>
      <c r="AC455" s="1012"/>
      <c r="AD455" s="1012"/>
      <c r="AE455" s="1011"/>
      <c r="AF455" s="1011"/>
      <c r="AG455" s="1011"/>
      <c r="AH455" s="43"/>
      <c r="AJ455" s="110"/>
      <c r="AK455" s="34"/>
      <c r="AL455" s="34"/>
      <c r="AM455" s="34"/>
      <c r="AN455" s="34"/>
      <c r="AO455" s="34"/>
      <c r="AP455" s="34"/>
      <c r="AQ455" s="34"/>
      <c r="AR455" s="34"/>
    </row>
    <row r="456" spans="3:44" s="27" customFormat="1">
      <c r="C456" s="911"/>
      <c r="D456" s="29"/>
      <c r="E456" s="1249"/>
      <c r="F456" s="911"/>
      <c r="G456" s="1011"/>
      <c r="H456" s="1012"/>
      <c r="I456" s="34"/>
      <c r="J456" s="1271"/>
      <c r="K456" s="29"/>
      <c r="L456" s="1011"/>
      <c r="M456" s="911"/>
      <c r="N456" s="1011"/>
      <c r="O456" s="1011"/>
      <c r="P456" s="1012"/>
      <c r="Q456" s="1012"/>
      <c r="R456" s="38"/>
      <c r="S456" s="1011"/>
      <c r="T456" s="38"/>
      <c r="U456" s="1012"/>
      <c r="V456" s="1012"/>
      <c r="W456" s="1011"/>
      <c r="X456" s="1011"/>
      <c r="Y456" s="1011"/>
      <c r="Z456" s="1011"/>
      <c r="AA456" s="38"/>
      <c r="AB456" s="1011"/>
      <c r="AC456" s="1012"/>
      <c r="AD456" s="1012"/>
      <c r="AE456" s="1011"/>
      <c r="AF456" s="1011"/>
      <c r="AG456" s="1011"/>
      <c r="AH456" s="43"/>
      <c r="AJ456" s="110"/>
      <c r="AK456" s="34"/>
      <c r="AL456" s="34"/>
      <c r="AM456" s="34"/>
      <c r="AN456" s="34"/>
      <c r="AO456" s="34"/>
      <c r="AP456" s="34"/>
      <c r="AQ456" s="34"/>
      <c r="AR456" s="34"/>
    </row>
    <row r="457" spans="3:44" s="27" customFormat="1">
      <c r="C457" s="911"/>
      <c r="D457" s="29"/>
      <c r="E457" s="1249"/>
      <c r="F457" s="911"/>
      <c r="G457" s="1011"/>
      <c r="H457" s="1012"/>
      <c r="I457" s="34"/>
      <c r="J457" s="1271"/>
      <c r="K457" s="29"/>
      <c r="L457" s="1011"/>
      <c r="M457" s="911"/>
      <c r="N457" s="1011"/>
      <c r="O457" s="1011"/>
      <c r="P457" s="1012"/>
      <c r="Q457" s="1012"/>
      <c r="R457" s="38"/>
      <c r="S457" s="1011"/>
      <c r="T457" s="38"/>
      <c r="U457" s="1012"/>
      <c r="V457" s="1012"/>
      <c r="W457" s="1011"/>
      <c r="X457" s="1011"/>
      <c r="Y457" s="1011"/>
      <c r="Z457" s="1011"/>
      <c r="AA457" s="38"/>
      <c r="AB457" s="1011"/>
      <c r="AC457" s="1012"/>
      <c r="AD457" s="1012"/>
      <c r="AE457" s="1011"/>
      <c r="AF457" s="1011"/>
      <c r="AG457" s="1011"/>
      <c r="AH457" s="43"/>
      <c r="AJ457" s="110"/>
      <c r="AK457" s="34"/>
      <c r="AL457" s="34"/>
      <c r="AM457" s="34"/>
      <c r="AN457" s="34"/>
      <c r="AO457" s="34"/>
      <c r="AP457" s="34"/>
      <c r="AQ457" s="34"/>
      <c r="AR457" s="34"/>
    </row>
    <row r="458" spans="3:44" s="27" customFormat="1">
      <c r="C458" s="911"/>
      <c r="D458" s="29"/>
      <c r="E458" s="1249"/>
      <c r="F458" s="911"/>
      <c r="G458" s="1011"/>
      <c r="H458" s="1012"/>
      <c r="I458" s="34"/>
      <c r="J458" s="1271"/>
      <c r="K458" s="29"/>
      <c r="L458" s="1011"/>
      <c r="M458" s="911"/>
      <c r="N458" s="1011"/>
      <c r="O458" s="1011"/>
      <c r="P458" s="1012"/>
      <c r="Q458" s="1012"/>
      <c r="R458" s="38"/>
      <c r="S458" s="1011"/>
      <c r="T458" s="38"/>
      <c r="U458" s="1012"/>
      <c r="V458" s="1012"/>
      <c r="W458" s="1011"/>
      <c r="X458" s="1011"/>
      <c r="Y458" s="1011"/>
      <c r="Z458" s="1011"/>
      <c r="AA458" s="38"/>
      <c r="AB458" s="1011"/>
      <c r="AC458" s="1012"/>
      <c r="AD458" s="1012"/>
      <c r="AE458" s="1011"/>
      <c r="AF458" s="1011"/>
      <c r="AG458" s="1011"/>
      <c r="AH458" s="43"/>
      <c r="AJ458" s="110"/>
      <c r="AK458" s="34"/>
      <c r="AL458" s="34"/>
      <c r="AM458" s="34"/>
      <c r="AN458" s="34"/>
      <c r="AO458" s="34"/>
      <c r="AP458" s="34"/>
      <c r="AQ458" s="34"/>
      <c r="AR458" s="34"/>
    </row>
    <row r="459" spans="3:44" s="27" customFormat="1">
      <c r="C459" s="911"/>
      <c r="D459" s="29"/>
      <c r="E459" s="1249"/>
      <c r="F459" s="911"/>
      <c r="G459" s="1011"/>
      <c r="H459" s="1012"/>
      <c r="I459" s="34"/>
      <c r="J459" s="1271"/>
      <c r="K459" s="29"/>
      <c r="L459" s="1011"/>
      <c r="M459" s="911"/>
      <c r="N459" s="1011"/>
      <c r="O459" s="1011"/>
      <c r="P459" s="1012"/>
      <c r="Q459" s="1012"/>
      <c r="R459" s="38"/>
      <c r="S459" s="1011"/>
      <c r="T459" s="38"/>
      <c r="U459" s="1012"/>
      <c r="V459" s="1012"/>
      <c r="W459" s="1011"/>
      <c r="X459" s="1011"/>
      <c r="Y459" s="1011"/>
      <c r="Z459" s="1011"/>
      <c r="AA459" s="38"/>
      <c r="AB459" s="1011"/>
      <c r="AC459" s="1012"/>
      <c r="AD459" s="1012"/>
      <c r="AE459" s="1011"/>
      <c r="AF459" s="1011"/>
      <c r="AG459" s="1011"/>
      <c r="AH459" s="43"/>
      <c r="AJ459" s="110"/>
      <c r="AK459" s="34"/>
      <c r="AL459" s="34"/>
      <c r="AM459" s="34"/>
      <c r="AN459" s="34"/>
      <c r="AO459" s="34"/>
      <c r="AP459" s="34"/>
      <c r="AQ459" s="34"/>
      <c r="AR459" s="34"/>
    </row>
    <row r="460" spans="3:44" s="27" customFormat="1">
      <c r="C460" s="911"/>
      <c r="D460" s="29"/>
      <c r="E460" s="1249"/>
      <c r="F460" s="911"/>
      <c r="G460" s="1011"/>
      <c r="H460" s="1012"/>
      <c r="I460" s="34"/>
      <c r="J460" s="1271"/>
      <c r="K460" s="29"/>
      <c r="L460" s="1011"/>
      <c r="M460" s="911"/>
      <c r="N460" s="1011"/>
      <c r="O460" s="1011"/>
      <c r="P460" s="1012"/>
      <c r="Q460" s="1012"/>
      <c r="R460" s="38"/>
      <c r="S460" s="1011"/>
      <c r="T460" s="38"/>
      <c r="U460" s="1012"/>
      <c r="V460" s="1012"/>
      <c r="W460" s="1011"/>
      <c r="X460" s="1011"/>
      <c r="Y460" s="1011"/>
      <c r="Z460" s="1011"/>
      <c r="AA460" s="38"/>
      <c r="AB460" s="1011"/>
      <c r="AC460" s="1012"/>
      <c r="AD460" s="1012"/>
      <c r="AE460" s="1011"/>
      <c r="AF460" s="1011"/>
      <c r="AG460" s="1011"/>
      <c r="AH460" s="43"/>
      <c r="AJ460" s="110"/>
      <c r="AK460" s="34"/>
      <c r="AL460" s="34"/>
      <c r="AM460" s="34"/>
      <c r="AN460" s="34"/>
      <c r="AO460" s="34"/>
      <c r="AP460" s="34"/>
      <c r="AQ460" s="34"/>
      <c r="AR460" s="34"/>
    </row>
    <row r="461" spans="3:44" s="27" customFormat="1">
      <c r="C461" s="911"/>
      <c r="D461" s="29"/>
      <c r="E461" s="1249"/>
      <c r="F461" s="911"/>
      <c r="G461" s="1011"/>
      <c r="H461" s="1012"/>
      <c r="I461" s="34"/>
      <c r="J461" s="1271"/>
      <c r="K461" s="29"/>
      <c r="L461" s="1011"/>
      <c r="M461" s="911"/>
      <c r="N461" s="1011"/>
      <c r="O461" s="1011"/>
      <c r="P461" s="1012"/>
      <c r="Q461" s="1012"/>
      <c r="R461" s="38"/>
      <c r="S461" s="1011"/>
      <c r="T461" s="38"/>
      <c r="U461" s="1012"/>
      <c r="V461" s="1012"/>
      <c r="W461" s="1011"/>
      <c r="X461" s="1011"/>
      <c r="Y461" s="1011"/>
      <c r="Z461" s="1011"/>
      <c r="AA461" s="38"/>
      <c r="AB461" s="1011"/>
      <c r="AC461" s="1012"/>
      <c r="AD461" s="1012"/>
      <c r="AE461" s="1011"/>
      <c r="AF461" s="1011"/>
      <c r="AG461" s="1011"/>
      <c r="AH461" s="43"/>
      <c r="AJ461" s="110"/>
      <c r="AK461" s="34"/>
      <c r="AL461" s="34"/>
      <c r="AM461" s="34"/>
      <c r="AN461" s="34"/>
      <c r="AO461" s="34"/>
      <c r="AP461" s="34"/>
      <c r="AQ461" s="34"/>
      <c r="AR461" s="34"/>
    </row>
    <row r="462" spans="3:44" s="27" customFormat="1">
      <c r="C462" s="911"/>
      <c r="D462" s="29"/>
      <c r="E462" s="1249"/>
      <c r="F462" s="911"/>
      <c r="G462" s="1011"/>
      <c r="H462" s="1012"/>
      <c r="I462" s="34"/>
      <c r="J462" s="1271"/>
      <c r="K462" s="29"/>
      <c r="L462" s="1011"/>
      <c r="M462" s="911"/>
      <c r="N462" s="1011"/>
      <c r="O462" s="1011"/>
      <c r="P462" s="1012"/>
      <c r="Q462" s="1012"/>
      <c r="R462" s="38"/>
      <c r="S462" s="1011"/>
      <c r="T462" s="38"/>
      <c r="U462" s="1012"/>
      <c r="V462" s="1012"/>
      <c r="W462" s="1011"/>
      <c r="X462" s="1011"/>
      <c r="Y462" s="1011"/>
      <c r="Z462" s="1011"/>
      <c r="AA462" s="38"/>
      <c r="AB462" s="1011"/>
      <c r="AC462" s="1012"/>
      <c r="AD462" s="1012"/>
      <c r="AE462" s="1011"/>
      <c r="AF462" s="1011"/>
      <c r="AG462" s="1011"/>
      <c r="AH462" s="43"/>
      <c r="AJ462" s="110"/>
      <c r="AK462" s="34"/>
      <c r="AL462" s="34"/>
      <c r="AM462" s="34"/>
      <c r="AN462" s="34"/>
      <c r="AO462" s="34"/>
      <c r="AP462" s="34"/>
      <c r="AQ462" s="34"/>
      <c r="AR462" s="34"/>
    </row>
    <row r="463" spans="3:44" s="27" customFormat="1">
      <c r="C463" s="911"/>
      <c r="D463" s="29"/>
      <c r="E463" s="1249"/>
      <c r="F463" s="911"/>
      <c r="G463" s="1011"/>
      <c r="H463" s="1012"/>
      <c r="I463" s="34"/>
      <c r="J463" s="1271"/>
      <c r="K463" s="29"/>
      <c r="L463" s="1011"/>
      <c r="M463" s="911"/>
      <c r="N463" s="1011"/>
      <c r="O463" s="1011"/>
      <c r="P463" s="1012"/>
      <c r="Q463" s="1012"/>
      <c r="R463" s="38"/>
      <c r="S463" s="1011"/>
      <c r="T463" s="38"/>
      <c r="U463" s="1012"/>
      <c r="V463" s="1012"/>
      <c r="W463" s="1011"/>
      <c r="X463" s="1011"/>
      <c r="Y463" s="1011"/>
      <c r="Z463" s="1011"/>
      <c r="AA463" s="38"/>
      <c r="AB463" s="1011"/>
      <c r="AC463" s="1012"/>
      <c r="AD463" s="1012"/>
      <c r="AE463" s="1011"/>
      <c r="AF463" s="1011"/>
      <c r="AG463" s="1011"/>
      <c r="AH463" s="43"/>
      <c r="AJ463" s="110"/>
      <c r="AK463" s="34"/>
      <c r="AL463" s="34"/>
      <c r="AM463" s="34"/>
      <c r="AN463" s="34"/>
      <c r="AO463" s="34"/>
      <c r="AP463" s="34"/>
      <c r="AQ463" s="34"/>
      <c r="AR463" s="34"/>
    </row>
    <row r="464" spans="3:44" s="27" customFormat="1">
      <c r="C464" s="911"/>
      <c r="D464" s="29"/>
      <c r="E464" s="1249"/>
      <c r="F464" s="911"/>
      <c r="G464" s="1011"/>
      <c r="H464" s="1012"/>
      <c r="I464" s="34"/>
      <c r="J464" s="1271"/>
      <c r="K464" s="29"/>
      <c r="L464" s="1011"/>
      <c r="M464" s="911"/>
      <c r="N464" s="1011"/>
      <c r="O464" s="1011"/>
      <c r="P464" s="1012"/>
      <c r="Q464" s="1012"/>
      <c r="R464" s="38"/>
      <c r="S464" s="1011"/>
      <c r="T464" s="38"/>
      <c r="U464" s="1012"/>
      <c r="V464" s="1012"/>
      <c r="W464" s="1011"/>
      <c r="X464" s="1011"/>
      <c r="Y464" s="1011"/>
      <c r="Z464" s="1011"/>
      <c r="AA464" s="38"/>
      <c r="AB464" s="1011"/>
      <c r="AC464" s="1012"/>
      <c r="AD464" s="1012"/>
      <c r="AE464" s="1011"/>
      <c r="AF464" s="1011"/>
      <c r="AG464" s="1011"/>
      <c r="AH464" s="43"/>
      <c r="AJ464" s="110"/>
      <c r="AK464" s="34"/>
      <c r="AL464" s="34"/>
      <c r="AM464" s="34"/>
      <c r="AN464" s="34"/>
      <c r="AO464" s="34"/>
      <c r="AP464" s="34"/>
      <c r="AQ464" s="34"/>
      <c r="AR464" s="34"/>
    </row>
    <row r="465" spans="3:44" s="27" customFormat="1">
      <c r="C465" s="911"/>
      <c r="D465" s="29"/>
      <c r="E465" s="1249"/>
      <c r="F465" s="911"/>
      <c r="G465" s="1011"/>
      <c r="H465" s="1012"/>
      <c r="I465" s="34"/>
      <c r="J465" s="1271"/>
      <c r="K465" s="29"/>
      <c r="L465" s="1011"/>
      <c r="M465" s="911"/>
      <c r="N465" s="1011"/>
      <c r="O465" s="1011"/>
      <c r="P465" s="1012"/>
      <c r="Q465" s="1012"/>
      <c r="R465" s="38"/>
      <c r="S465" s="1011"/>
      <c r="T465" s="38"/>
      <c r="U465" s="1012"/>
      <c r="V465" s="1012"/>
      <c r="W465" s="1011"/>
      <c r="X465" s="1011"/>
      <c r="Y465" s="1011"/>
      <c r="Z465" s="1011"/>
      <c r="AA465" s="38"/>
      <c r="AB465" s="1011"/>
      <c r="AC465" s="1012"/>
      <c r="AD465" s="1012"/>
      <c r="AE465" s="1011"/>
      <c r="AF465" s="1011"/>
      <c r="AG465" s="1011"/>
      <c r="AH465" s="43"/>
      <c r="AJ465" s="110"/>
      <c r="AK465" s="34"/>
      <c r="AL465" s="34"/>
      <c r="AM465" s="34"/>
      <c r="AN465" s="34"/>
      <c r="AO465" s="34"/>
      <c r="AP465" s="34"/>
      <c r="AQ465" s="34"/>
      <c r="AR465" s="34"/>
    </row>
    <row r="466" spans="3:44" s="27" customFormat="1">
      <c r="C466" s="911"/>
      <c r="D466" s="29"/>
      <c r="E466" s="1249"/>
      <c r="F466" s="911"/>
      <c r="G466" s="1011"/>
      <c r="H466" s="1012"/>
      <c r="I466" s="34"/>
      <c r="J466" s="1271"/>
      <c r="K466" s="29"/>
      <c r="L466" s="1011"/>
      <c r="M466" s="911"/>
      <c r="N466" s="1011"/>
      <c r="O466" s="1011"/>
      <c r="P466" s="1012"/>
      <c r="Q466" s="1012"/>
      <c r="R466" s="38"/>
      <c r="S466" s="1011"/>
      <c r="T466" s="38"/>
      <c r="U466" s="1012"/>
      <c r="V466" s="1012"/>
      <c r="W466" s="1011"/>
      <c r="X466" s="1011"/>
      <c r="Y466" s="1011"/>
      <c r="Z466" s="1011"/>
      <c r="AA466" s="38"/>
      <c r="AB466" s="1011"/>
      <c r="AC466" s="1012"/>
      <c r="AD466" s="1012"/>
      <c r="AE466" s="1011"/>
      <c r="AF466" s="1011"/>
      <c r="AG466" s="1011"/>
      <c r="AH466" s="43"/>
      <c r="AJ466" s="110"/>
      <c r="AK466" s="34"/>
      <c r="AL466" s="34"/>
      <c r="AM466" s="34"/>
      <c r="AN466" s="34"/>
      <c r="AO466" s="34"/>
      <c r="AP466" s="34"/>
      <c r="AQ466" s="34"/>
      <c r="AR466" s="34"/>
    </row>
    <row r="467" spans="3:44" s="27" customFormat="1">
      <c r="C467" s="911"/>
      <c r="D467" s="29"/>
      <c r="E467" s="1249"/>
      <c r="F467" s="911"/>
      <c r="G467" s="1011"/>
      <c r="H467" s="1012"/>
      <c r="I467" s="34"/>
      <c r="J467" s="1271"/>
      <c r="K467" s="29"/>
      <c r="L467" s="1011"/>
      <c r="M467" s="911"/>
      <c r="N467" s="1011"/>
      <c r="O467" s="1011"/>
      <c r="P467" s="1012"/>
      <c r="Q467" s="1012"/>
      <c r="R467" s="38"/>
      <c r="S467" s="1011"/>
      <c r="T467" s="38"/>
      <c r="U467" s="1012"/>
      <c r="V467" s="1012"/>
      <c r="W467" s="1011"/>
      <c r="X467" s="1011"/>
      <c r="Y467" s="1011"/>
      <c r="Z467" s="1011"/>
      <c r="AA467" s="38"/>
      <c r="AB467" s="1011"/>
      <c r="AC467" s="1012"/>
      <c r="AD467" s="1012"/>
      <c r="AE467" s="1011"/>
      <c r="AF467" s="1011"/>
      <c r="AG467" s="1011"/>
      <c r="AH467" s="43"/>
      <c r="AJ467" s="110"/>
      <c r="AK467" s="34"/>
      <c r="AL467" s="34"/>
      <c r="AM467" s="34"/>
      <c r="AN467" s="34"/>
      <c r="AO467" s="34"/>
      <c r="AP467" s="34"/>
      <c r="AQ467" s="34"/>
      <c r="AR467" s="34"/>
    </row>
    <row r="468" spans="3:44" s="27" customFormat="1">
      <c r="C468" s="911"/>
      <c r="D468" s="29"/>
      <c r="E468" s="1249"/>
      <c r="F468" s="911"/>
      <c r="G468" s="1011"/>
      <c r="H468" s="1012"/>
      <c r="I468" s="34"/>
      <c r="J468" s="1271"/>
      <c r="K468" s="29"/>
      <c r="L468" s="1011"/>
      <c r="M468" s="911"/>
      <c r="N468" s="1011"/>
      <c r="O468" s="1011"/>
      <c r="P468" s="1012"/>
      <c r="Q468" s="1012"/>
      <c r="R468" s="38"/>
      <c r="S468" s="1011"/>
      <c r="T468" s="38"/>
      <c r="U468" s="1012"/>
      <c r="V468" s="1012"/>
      <c r="W468" s="1011"/>
      <c r="X468" s="1011"/>
      <c r="Y468" s="1011"/>
      <c r="Z468" s="1011"/>
      <c r="AA468" s="38"/>
      <c r="AB468" s="1011"/>
      <c r="AC468" s="1012"/>
      <c r="AD468" s="1012"/>
      <c r="AE468" s="1011"/>
      <c r="AF468" s="1011"/>
      <c r="AG468" s="1011"/>
      <c r="AH468" s="43"/>
      <c r="AJ468" s="110"/>
      <c r="AK468" s="34"/>
      <c r="AL468" s="34"/>
      <c r="AM468" s="34"/>
      <c r="AN468" s="34"/>
      <c r="AO468" s="34"/>
      <c r="AP468" s="34"/>
      <c r="AQ468" s="34"/>
      <c r="AR468" s="34"/>
    </row>
    <row r="469" spans="3:44" s="27" customFormat="1">
      <c r="C469" s="911"/>
      <c r="D469" s="29"/>
      <c r="E469" s="1249"/>
      <c r="F469" s="911"/>
      <c r="G469" s="1011"/>
      <c r="H469" s="1012"/>
      <c r="I469" s="34"/>
      <c r="J469" s="1271"/>
      <c r="K469" s="29"/>
      <c r="L469" s="1011"/>
      <c r="M469" s="911"/>
      <c r="N469" s="1011"/>
      <c r="O469" s="1011"/>
      <c r="P469" s="1012"/>
      <c r="Q469" s="1012"/>
      <c r="R469" s="38"/>
      <c r="S469" s="1011"/>
      <c r="T469" s="38"/>
      <c r="U469" s="1012"/>
      <c r="V469" s="1012"/>
      <c r="W469" s="1011"/>
      <c r="X469" s="1011"/>
      <c r="Y469" s="1011"/>
      <c r="Z469" s="1011"/>
      <c r="AA469" s="38"/>
      <c r="AB469" s="1011"/>
      <c r="AC469" s="1012"/>
      <c r="AD469" s="1012"/>
      <c r="AE469" s="1011"/>
      <c r="AF469" s="1011"/>
      <c r="AG469" s="1011"/>
      <c r="AH469" s="43"/>
      <c r="AJ469" s="110"/>
      <c r="AK469" s="34"/>
      <c r="AL469" s="34"/>
      <c r="AM469" s="34"/>
      <c r="AN469" s="34"/>
      <c r="AO469" s="34"/>
      <c r="AP469" s="34"/>
      <c r="AQ469" s="34"/>
      <c r="AR469" s="34"/>
    </row>
    <row r="470" spans="3:44" s="27" customFormat="1">
      <c r="C470" s="911"/>
      <c r="D470" s="29"/>
      <c r="E470" s="1249"/>
      <c r="F470" s="911"/>
      <c r="G470" s="1011"/>
      <c r="H470" s="1012"/>
      <c r="I470" s="34"/>
      <c r="J470" s="1271"/>
      <c r="K470" s="29"/>
      <c r="L470" s="1011"/>
      <c r="M470" s="911"/>
      <c r="N470" s="1011"/>
      <c r="O470" s="1011"/>
      <c r="P470" s="1012"/>
      <c r="Q470" s="1012"/>
      <c r="R470" s="38"/>
      <c r="S470" s="1011"/>
      <c r="T470" s="38"/>
      <c r="U470" s="1012"/>
      <c r="V470" s="1012"/>
      <c r="W470" s="1011"/>
      <c r="X470" s="1011"/>
      <c r="Y470" s="1011"/>
      <c r="Z470" s="1011"/>
      <c r="AA470" s="38"/>
      <c r="AB470" s="1011"/>
      <c r="AC470" s="1012"/>
      <c r="AD470" s="1012"/>
      <c r="AE470" s="1011"/>
      <c r="AF470" s="1011"/>
      <c r="AG470" s="1011"/>
      <c r="AH470" s="43"/>
      <c r="AJ470" s="110"/>
      <c r="AK470" s="34"/>
      <c r="AL470" s="34"/>
      <c r="AM470" s="34"/>
      <c r="AN470" s="34"/>
      <c r="AO470" s="34"/>
      <c r="AP470" s="34"/>
      <c r="AQ470" s="34"/>
      <c r="AR470" s="34"/>
    </row>
    <row r="471" spans="3:44" s="27" customFormat="1">
      <c r="C471" s="911"/>
      <c r="D471" s="29"/>
      <c r="E471" s="1249"/>
      <c r="F471" s="911"/>
      <c r="G471" s="1011"/>
      <c r="H471" s="1012"/>
      <c r="I471" s="34"/>
      <c r="J471" s="1271"/>
      <c r="K471" s="29"/>
      <c r="L471" s="1011"/>
      <c r="M471" s="911"/>
      <c r="N471" s="1011"/>
      <c r="O471" s="1011"/>
      <c r="P471" s="1012"/>
      <c r="Q471" s="1012"/>
      <c r="R471" s="38"/>
      <c r="S471" s="1011"/>
      <c r="T471" s="38"/>
      <c r="U471" s="1012"/>
      <c r="V471" s="1012"/>
      <c r="W471" s="1011"/>
      <c r="X471" s="1011"/>
      <c r="Y471" s="1011"/>
      <c r="Z471" s="1011"/>
      <c r="AA471" s="38"/>
      <c r="AB471" s="1011"/>
      <c r="AC471" s="1012"/>
      <c r="AD471" s="1012"/>
      <c r="AE471" s="1011"/>
      <c r="AF471" s="1011"/>
      <c r="AG471" s="1011"/>
      <c r="AH471" s="43"/>
      <c r="AJ471" s="110"/>
      <c r="AK471" s="34"/>
      <c r="AL471" s="34"/>
      <c r="AM471" s="34"/>
      <c r="AN471" s="34"/>
      <c r="AO471" s="34"/>
      <c r="AP471" s="34"/>
      <c r="AQ471" s="34"/>
      <c r="AR471" s="34"/>
    </row>
    <row r="472" spans="3:44" s="27" customFormat="1">
      <c r="C472" s="911"/>
      <c r="D472" s="29"/>
      <c r="E472" s="1249"/>
      <c r="F472" s="911"/>
      <c r="G472" s="1011"/>
      <c r="H472" s="1012"/>
      <c r="I472" s="34"/>
      <c r="J472" s="1271"/>
      <c r="K472" s="29"/>
      <c r="L472" s="1011"/>
      <c r="M472" s="911"/>
      <c r="N472" s="1011"/>
      <c r="O472" s="1011"/>
      <c r="P472" s="1012"/>
      <c r="Q472" s="1012"/>
      <c r="R472" s="38"/>
      <c r="S472" s="1011"/>
      <c r="T472" s="38"/>
      <c r="U472" s="1012"/>
      <c r="V472" s="1012"/>
      <c r="W472" s="1011"/>
      <c r="X472" s="1011"/>
      <c r="Y472" s="1011"/>
      <c r="Z472" s="1011"/>
      <c r="AA472" s="38"/>
      <c r="AB472" s="1011"/>
      <c r="AC472" s="1012"/>
      <c r="AD472" s="1012"/>
      <c r="AE472" s="1011"/>
      <c r="AF472" s="1011"/>
      <c r="AG472" s="1011"/>
      <c r="AH472" s="43"/>
      <c r="AJ472" s="110"/>
      <c r="AK472" s="34"/>
      <c r="AL472" s="34"/>
      <c r="AM472" s="34"/>
      <c r="AN472" s="34"/>
      <c r="AO472" s="34"/>
      <c r="AP472" s="34"/>
      <c r="AQ472" s="34"/>
      <c r="AR472" s="34"/>
    </row>
    <row r="473" spans="3:44" s="27" customFormat="1">
      <c r="C473" s="911"/>
      <c r="D473" s="29"/>
      <c r="E473" s="1249"/>
      <c r="F473" s="911"/>
      <c r="G473" s="1011"/>
      <c r="H473" s="1012"/>
      <c r="I473" s="34"/>
      <c r="J473" s="1271"/>
      <c r="K473" s="29"/>
      <c r="L473" s="1011"/>
      <c r="M473" s="911"/>
      <c r="N473" s="1011"/>
      <c r="O473" s="1011"/>
      <c r="P473" s="1012"/>
      <c r="Q473" s="1012"/>
      <c r="R473" s="38"/>
      <c r="S473" s="1011"/>
      <c r="T473" s="38"/>
      <c r="U473" s="1012"/>
      <c r="V473" s="1012"/>
      <c r="W473" s="1011"/>
      <c r="X473" s="1011"/>
      <c r="Y473" s="1011"/>
      <c r="Z473" s="1011"/>
      <c r="AA473" s="38"/>
      <c r="AB473" s="1011"/>
      <c r="AC473" s="1012"/>
      <c r="AD473" s="1012"/>
      <c r="AE473" s="1011"/>
      <c r="AF473" s="1011"/>
      <c r="AG473" s="1011"/>
      <c r="AH473" s="43"/>
      <c r="AJ473" s="110"/>
      <c r="AK473" s="34"/>
      <c r="AL473" s="34"/>
      <c r="AM473" s="34"/>
      <c r="AN473" s="34"/>
      <c r="AO473" s="34"/>
      <c r="AP473" s="34"/>
      <c r="AQ473" s="34"/>
      <c r="AR473" s="34"/>
    </row>
    <row r="474" spans="3:44" s="27" customFormat="1">
      <c r="C474" s="911"/>
      <c r="D474" s="29"/>
      <c r="E474" s="1249"/>
      <c r="F474" s="911"/>
      <c r="G474" s="1011"/>
      <c r="H474" s="1012"/>
      <c r="I474" s="34"/>
      <c r="J474" s="1271"/>
      <c r="K474" s="29"/>
      <c r="L474" s="1011"/>
      <c r="M474" s="911"/>
      <c r="N474" s="1011"/>
      <c r="O474" s="1011"/>
      <c r="P474" s="1012"/>
      <c r="Q474" s="1012"/>
      <c r="R474" s="38"/>
      <c r="S474" s="1011"/>
      <c r="T474" s="38"/>
      <c r="U474" s="1012"/>
      <c r="V474" s="1012"/>
      <c r="W474" s="1011"/>
      <c r="X474" s="1011"/>
      <c r="Y474" s="1011"/>
      <c r="Z474" s="1011"/>
      <c r="AA474" s="38"/>
      <c r="AB474" s="1011"/>
      <c r="AC474" s="1012"/>
      <c r="AD474" s="1012"/>
      <c r="AE474" s="1011"/>
      <c r="AF474" s="1011"/>
      <c r="AG474" s="1011"/>
      <c r="AH474" s="43"/>
      <c r="AJ474" s="110"/>
      <c r="AK474" s="34"/>
      <c r="AL474" s="34"/>
      <c r="AM474" s="34"/>
      <c r="AN474" s="34"/>
      <c r="AO474" s="34"/>
      <c r="AP474" s="34"/>
      <c r="AQ474" s="34"/>
      <c r="AR474" s="34"/>
    </row>
    <row r="475" spans="3:44" s="27" customFormat="1">
      <c r="C475" s="911"/>
      <c r="D475" s="29"/>
      <c r="E475" s="1249"/>
      <c r="F475" s="911"/>
      <c r="G475" s="1011"/>
      <c r="H475" s="1012"/>
      <c r="I475" s="34"/>
      <c r="J475" s="1271"/>
      <c r="K475" s="29"/>
      <c r="L475" s="1011"/>
      <c r="M475" s="911"/>
      <c r="N475" s="1011"/>
      <c r="O475" s="1011"/>
      <c r="P475" s="1012"/>
      <c r="Q475" s="1012"/>
      <c r="R475" s="38"/>
      <c r="S475" s="1011"/>
      <c r="T475" s="38"/>
      <c r="U475" s="1012"/>
      <c r="V475" s="1012"/>
      <c r="W475" s="1011"/>
      <c r="X475" s="1011"/>
      <c r="Y475" s="1011"/>
      <c r="Z475" s="1011"/>
      <c r="AA475" s="38"/>
      <c r="AB475" s="1011"/>
      <c r="AC475" s="1012"/>
      <c r="AD475" s="1012"/>
      <c r="AE475" s="1011"/>
      <c r="AF475" s="1011"/>
      <c r="AG475" s="1011"/>
      <c r="AH475" s="43"/>
      <c r="AJ475" s="110"/>
      <c r="AK475" s="34"/>
      <c r="AL475" s="34"/>
      <c r="AM475" s="34"/>
      <c r="AN475" s="34"/>
      <c r="AO475" s="34"/>
      <c r="AP475" s="34"/>
      <c r="AQ475" s="34"/>
      <c r="AR475" s="34"/>
    </row>
    <row r="476" spans="3:44" s="27" customFormat="1">
      <c r="C476" s="911"/>
      <c r="D476" s="29"/>
      <c r="E476" s="1249"/>
      <c r="F476" s="911"/>
      <c r="G476" s="1011"/>
      <c r="H476" s="1012"/>
      <c r="I476" s="34"/>
      <c r="J476" s="1271"/>
      <c r="K476" s="29"/>
      <c r="L476" s="1011"/>
      <c r="M476" s="911"/>
      <c r="N476" s="1011"/>
      <c r="O476" s="1011"/>
      <c r="P476" s="1012"/>
      <c r="Q476" s="1012"/>
      <c r="R476" s="38"/>
      <c r="S476" s="1011"/>
      <c r="T476" s="38"/>
      <c r="U476" s="1012"/>
      <c r="V476" s="1012"/>
      <c r="W476" s="1011"/>
      <c r="X476" s="1011"/>
      <c r="Y476" s="1011"/>
      <c r="Z476" s="1011"/>
      <c r="AA476" s="38"/>
      <c r="AB476" s="1011"/>
      <c r="AC476" s="1012"/>
      <c r="AD476" s="1012"/>
      <c r="AE476" s="1011"/>
      <c r="AF476" s="1011"/>
      <c r="AG476" s="1011"/>
      <c r="AH476" s="43"/>
      <c r="AJ476" s="110"/>
      <c r="AK476" s="34"/>
      <c r="AL476" s="34"/>
      <c r="AM476" s="34"/>
      <c r="AN476" s="34"/>
      <c r="AO476" s="34"/>
      <c r="AP476" s="34"/>
      <c r="AQ476" s="34"/>
      <c r="AR476" s="34"/>
    </row>
    <row r="477" spans="3:44" s="27" customFormat="1">
      <c r="C477" s="911"/>
      <c r="D477" s="29"/>
      <c r="E477" s="1249"/>
      <c r="F477" s="911"/>
      <c r="G477" s="1011"/>
      <c r="H477" s="1012"/>
      <c r="I477" s="34"/>
      <c r="J477" s="1271"/>
      <c r="K477" s="29"/>
      <c r="L477" s="1011"/>
      <c r="M477" s="911"/>
      <c r="N477" s="1011"/>
      <c r="O477" s="1011"/>
      <c r="P477" s="1012"/>
      <c r="Q477" s="1012"/>
      <c r="R477" s="38"/>
      <c r="S477" s="1011"/>
      <c r="T477" s="38"/>
      <c r="U477" s="1012"/>
      <c r="V477" s="1012"/>
      <c r="W477" s="1011"/>
      <c r="X477" s="1011"/>
      <c r="Y477" s="1011"/>
      <c r="Z477" s="1011"/>
      <c r="AA477" s="38"/>
      <c r="AB477" s="1011"/>
      <c r="AC477" s="1012"/>
      <c r="AD477" s="1012"/>
      <c r="AE477" s="1011"/>
      <c r="AF477" s="1011"/>
      <c r="AG477" s="1011"/>
      <c r="AH477" s="43"/>
      <c r="AJ477" s="110"/>
      <c r="AK477" s="34"/>
      <c r="AL477" s="34"/>
      <c r="AM477" s="34"/>
      <c r="AN477" s="34"/>
      <c r="AO477" s="34"/>
      <c r="AP477" s="34"/>
      <c r="AQ477" s="34"/>
      <c r="AR477" s="34"/>
    </row>
    <row r="478" spans="3:44" s="27" customFormat="1">
      <c r="C478" s="911"/>
      <c r="D478" s="29"/>
      <c r="E478" s="1249"/>
      <c r="F478" s="911"/>
      <c r="G478" s="1011"/>
      <c r="H478" s="1012"/>
      <c r="I478" s="34"/>
      <c r="J478" s="1271"/>
      <c r="K478" s="29"/>
      <c r="L478" s="1011"/>
      <c r="M478" s="911"/>
      <c r="N478" s="1011"/>
      <c r="O478" s="1011"/>
      <c r="P478" s="1012"/>
      <c r="Q478" s="1012"/>
      <c r="R478" s="38"/>
      <c r="S478" s="1011"/>
      <c r="T478" s="38"/>
      <c r="U478" s="1012"/>
      <c r="V478" s="1012"/>
      <c r="W478" s="1011"/>
      <c r="X478" s="1011"/>
      <c r="Y478" s="1011"/>
      <c r="Z478" s="1011"/>
      <c r="AA478" s="38"/>
      <c r="AB478" s="1011"/>
      <c r="AC478" s="1012"/>
      <c r="AD478" s="1012"/>
      <c r="AE478" s="1011"/>
      <c r="AF478" s="1011"/>
      <c r="AG478" s="1011"/>
      <c r="AH478" s="43"/>
      <c r="AJ478" s="110"/>
      <c r="AK478" s="34"/>
      <c r="AL478" s="34"/>
      <c r="AM478" s="34"/>
      <c r="AN478" s="34"/>
      <c r="AO478" s="34"/>
      <c r="AP478" s="34"/>
      <c r="AQ478" s="34"/>
      <c r="AR478" s="34"/>
    </row>
    <row r="479" spans="3:44" s="27" customFormat="1">
      <c r="C479" s="911"/>
      <c r="D479" s="29"/>
      <c r="E479" s="1249"/>
      <c r="F479" s="911"/>
      <c r="G479" s="1011"/>
      <c r="H479" s="1012"/>
      <c r="I479" s="34"/>
      <c r="J479" s="1271"/>
      <c r="K479" s="29"/>
      <c r="L479" s="1011"/>
      <c r="M479" s="911"/>
      <c r="N479" s="1011"/>
      <c r="O479" s="1011"/>
      <c r="P479" s="1012"/>
      <c r="Q479" s="1012"/>
      <c r="R479" s="38"/>
      <c r="S479" s="1011"/>
      <c r="T479" s="38"/>
      <c r="U479" s="1012"/>
      <c r="V479" s="1012"/>
      <c r="W479" s="1011"/>
      <c r="X479" s="1011"/>
      <c r="Y479" s="1011"/>
      <c r="Z479" s="1011"/>
      <c r="AA479" s="38"/>
      <c r="AB479" s="1011"/>
      <c r="AC479" s="1012"/>
      <c r="AD479" s="1012"/>
      <c r="AE479" s="1011"/>
      <c r="AF479" s="1011"/>
      <c r="AG479" s="1011"/>
      <c r="AH479" s="43"/>
      <c r="AJ479" s="110"/>
      <c r="AK479" s="34"/>
      <c r="AL479" s="34"/>
      <c r="AM479" s="34"/>
      <c r="AN479" s="34"/>
      <c r="AO479" s="34"/>
      <c r="AP479" s="34"/>
      <c r="AQ479" s="34"/>
      <c r="AR479" s="34"/>
    </row>
    <row r="480" spans="3:44" s="27" customFormat="1">
      <c r="C480" s="911"/>
      <c r="D480" s="29"/>
      <c r="E480" s="1249"/>
      <c r="F480" s="911"/>
      <c r="G480" s="1011"/>
      <c r="H480" s="1012"/>
      <c r="I480" s="34"/>
      <c r="J480" s="1271"/>
      <c r="K480" s="29"/>
      <c r="L480" s="1011"/>
      <c r="M480" s="911"/>
      <c r="N480" s="1011"/>
      <c r="O480" s="1011"/>
      <c r="P480" s="1012"/>
      <c r="Q480" s="1012"/>
      <c r="R480" s="38"/>
      <c r="S480" s="1011"/>
      <c r="T480" s="38"/>
      <c r="U480" s="1012"/>
      <c r="V480" s="1012"/>
      <c r="W480" s="1011"/>
      <c r="X480" s="1011"/>
      <c r="Y480" s="1011"/>
      <c r="Z480" s="1011"/>
      <c r="AA480" s="38"/>
      <c r="AB480" s="1011"/>
      <c r="AC480" s="1012"/>
      <c r="AD480" s="1012"/>
      <c r="AE480" s="1011"/>
      <c r="AF480" s="1011"/>
      <c r="AG480" s="1011"/>
      <c r="AH480" s="43"/>
      <c r="AJ480" s="110"/>
      <c r="AK480" s="34"/>
      <c r="AL480" s="34"/>
      <c r="AM480" s="34"/>
      <c r="AN480" s="34"/>
      <c r="AO480" s="34"/>
      <c r="AP480" s="34"/>
      <c r="AQ480" s="34"/>
      <c r="AR480" s="34"/>
    </row>
    <row r="481" spans="3:44" s="27" customFormat="1">
      <c r="C481" s="911"/>
      <c r="D481" s="29"/>
      <c r="E481" s="1249"/>
      <c r="F481" s="911"/>
      <c r="G481" s="1011"/>
      <c r="H481" s="1012"/>
      <c r="I481" s="34"/>
      <c r="J481" s="1271"/>
      <c r="K481" s="29"/>
      <c r="L481" s="1011"/>
      <c r="M481" s="911"/>
      <c r="N481" s="1011"/>
      <c r="O481" s="1011"/>
      <c r="P481" s="1012"/>
      <c r="Q481" s="1012"/>
      <c r="R481" s="38"/>
      <c r="S481" s="1011"/>
      <c r="T481" s="38"/>
      <c r="U481" s="1012"/>
      <c r="V481" s="1012"/>
      <c r="W481" s="1011"/>
      <c r="X481" s="1011"/>
      <c r="Y481" s="1011"/>
      <c r="Z481" s="1011"/>
      <c r="AA481" s="38"/>
      <c r="AB481" s="1011"/>
      <c r="AC481" s="1012"/>
      <c r="AD481" s="1012"/>
      <c r="AE481" s="1011"/>
      <c r="AF481" s="1011"/>
      <c r="AG481" s="1011"/>
      <c r="AH481" s="43"/>
      <c r="AJ481" s="110"/>
      <c r="AK481" s="34"/>
      <c r="AL481" s="34"/>
      <c r="AM481" s="34"/>
      <c r="AN481" s="34"/>
      <c r="AO481" s="34"/>
      <c r="AP481" s="34"/>
      <c r="AQ481" s="34"/>
      <c r="AR481" s="34"/>
    </row>
    <row r="482" spans="3:44" s="27" customFormat="1">
      <c r="C482" s="911"/>
      <c r="D482" s="29"/>
      <c r="E482" s="1249"/>
      <c r="F482" s="911"/>
      <c r="G482" s="1011"/>
      <c r="H482" s="1012"/>
      <c r="I482" s="34"/>
      <c r="J482" s="1271"/>
      <c r="K482" s="29"/>
      <c r="L482" s="1011"/>
      <c r="M482" s="911"/>
      <c r="N482" s="1011"/>
      <c r="O482" s="1011"/>
      <c r="P482" s="1012"/>
      <c r="Q482" s="1012"/>
      <c r="R482" s="38"/>
      <c r="S482" s="1011"/>
      <c r="T482" s="38"/>
      <c r="U482" s="1012"/>
      <c r="V482" s="1012"/>
      <c r="W482" s="1011"/>
      <c r="X482" s="1011"/>
      <c r="Y482" s="1011"/>
      <c r="Z482" s="1011"/>
      <c r="AA482" s="38"/>
      <c r="AB482" s="1011"/>
      <c r="AC482" s="1012"/>
      <c r="AD482" s="1012"/>
      <c r="AE482" s="1011"/>
      <c r="AF482" s="1011"/>
      <c r="AG482" s="1011"/>
      <c r="AH482" s="43"/>
      <c r="AJ482" s="110"/>
      <c r="AK482" s="34"/>
      <c r="AL482" s="34"/>
      <c r="AM482" s="34"/>
      <c r="AN482" s="34"/>
      <c r="AO482" s="34"/>
      <c r="AP482" s="34"/>
      <c r="AQ482" s="34"/>
      <c r="AR482" s="34"/>
    </row>
    <row r="483" spans="3:44" s="27" customFormat="1">
      <c r="C483" s="911"/>
      <c r="D483" s="29"/>
      <c r="E483" s="1249"/>
      <c r="F483" s="911"/>
      <c r="G483" s="1011"/>
      <c r="H483" s="1012"/>
      <c r="I483" s="34"/>
      <c r="J483" s="1271"/>
      <c r="K483" s="29"/>
      <c r="L483" s="1011"/>
      <c r="M483" s="911"/>
      <c r="N483" s="1011"/>
      <c r="O483" s="1011"/>
      <c r="P483" s="1012"/>
      <c r="Q483" s="1012"/>
      <c r="R483" s="38"/>
      <c r="S483" s="1011"/>
      <c r="T483" s="38"/>
      <c r="U483" s="1012"/>
      <c r="V483" s="1012"/>
      <c r="W483" s="1011"/>
      <c r="X483" s="1011"/>
      <c r="Y483" s="1011"/>
      <c r="Z483" s="1011"/>
      <c r="AA483" s="38"/>
      <c r="AB483" s="1011"/>
      <c r="AC483" s="1012"/>
      <c r="AD483" s="1012"/>
      <c r="AE483" s="1011"/>
      <c r="AF483" s="1011"/>
      <c r="AG483" s="1011"/>
      <c r="AH483" s="43"/>
      <c r="AJ483" s="110"/>
      <c r="AK483" s="34"/>
      <c r="AL483" s="34"/>
      <c r="AM483" s="34"/>
      <c r="AN483" s="34"/>
      <c r="AO483" s="34"/>
      <c r="AP483" s="34"/>
      <c r="AQ483" s="34"/>
      <c r="AR483" s="34"/>
    </row>
    <row r="484" spans="3:44" s="27" customFormat="1">
      <c r="C484" s="911"/>
      <c r="D484" s="29"/>
      <c r="E484" s="1249"/>
      <c r="F484" s="911"/>
      <c r="G484" s="1011"/>
      <c r="H484" s="1012"/>
      <c r="I484" s="34"/>
      <c r="J484" s="1271"/>
      <c r="K484" s="29"/>
      <c r="L484" s="1011"/>
      <c r="M484" s="911"/>
      <c r="N484" s="1011"/>
      <c r="O484" s="1011"/>
      <c r="P484" s="1012"/>
      <c r="Q484" s="1012"/>
      <c r="R484" s="38"/>
      <c r="S484" s="1011"/>
      <c r="T484" s="38"/>
      <c r="U484" s="1012"/>
      <c r="V484" s="1012"/>
      <c r="W484" s="1011"/>
      <c r="X484" s="1011"/>
      <c r="Y484" s="1011"/>
      <c r="Z484" s="1011"/>
      <c r="AA484" s="38"/>
      <c r="AB484" s="1011"/>
      <c r="AC484" s="1012"/>
      <c r="AD484" s="1012"/>
      <c r="AE484" s="1011"/>
      <c r="AF484" s="1011"/>
      <c r="AG484" s="1011"/>
      <c r="AH484" s="43"/>
      <c r="AJ484" s="110"/>
      <c r="AK484" s="34"/>
      <c r="AL484" s="34"/>
      <c r="AM484" s="34"/>
      <c r="AN484" s="34"/>
      <c r="AO484" s="34"/>
      <c r="AP484" s="34"/>
      <c r="AQ484" s="34"/>
      <c r="AR484" s="34"/>
    </row>
    <row r="485" spans="3:44" s="27" customFormat="1">
      <c r="C485" s="911"/>
      <c r="D485" s="29"/>
      <c r="E485" s="1249"/>
      <c r="F485" s="911"/>
      <c r="G485" s="1011"/>
      <c r="H485" s="1012"/>
      <c r="I485" s="34"/>
      <c r="J485" s="1271"/>
      <c r="K485" s="29"/>
      <c r="L485" s="1011"/>
      <c r="M485" s="911"/>
      <c r="N485" s="1011"/>
      <c r="O485" s="1011"/>
      <c r="P485" s="1012"/>
      <c r="Q485" s="1012"/>
      <c r="R485" s="38"/>
      <c r="S485" s="1011"/>
      <c r="T485" s="38"/>
      <c r="U485" s="1012"/>
      <c r="V485" s="1012"/>
      <c r="W485" s="1011"/>
      <c r="X485" s="1011"/>
      <c r="Y485" s="1011"/>
      <c r="Z485" s="1011"/>
      <c r="AA485" s="38"/>
      <c r="AB485" s="1011"/>
      <c r="AC485" s="1012"/>
      <c r="AD485" s="1012"/>
      <c r="AE485" s="1011"/>
      <c r="AF485" s="1011"/>
      <c r="AG485" s="1011"/>
      <c r="AH485" s="43"/>
      <c r="AJ485" s="110"/>
      <c r="AK485" s="34"/>
      <c r="AL485" s="34"/>
      <c r="AM485" s="34"/>
      <c r="AN485" s="34"/>
      <c r="AO485" s="34"/>
      <c r="AP485" s="34"/>
      <c r="AQ485" s="34"/>
      <c r="AR485" s="34"/>
    </row>
    <row r="486" spans="3:44" s="27" customFormat="1">
      <c r="C486" s="911"/>
      <c r="D486" s="29"/>
      <c r="E486" s="1249"/>
      <c r="F486" s="911"/>
      <c r="G486" s="1011"/>
      <c r="H486" s="1012"/>
      <c r="I486" s="34"/>
      <c r="J486" s="1271"/>
      <c r="K486" s="29"/>
      <c r="L486" s="1011"/>
      <c r="M486" s="911"/>
      <c r="N486" s="1011"/>
      <c r="O486" s="1011"/>
      <c r="P486" s="1012"/>
      <c r="Q486" s="1012"/>
      <c r="R486" s="38"/>
      <c r="S486" s="1011"/>
      <c r="T486" s="38"/>
      <c r="U486" s="1012"/>
      <c r="V486" s="1012"/>
      <c r="W486" s="1011"/>
      <c r="X486" s="1011"/>
      <c r="Y486" s="1011"/>
      <c r="Z486" s="1011"/>
      <c r="AA486" s="38"/>
      <c r="AB486" s="1011"/>
      <c r="AC486" s="1012"/>
      <c r="AD486" s="1012"/>
      <c r="AE486" s="1011"/>
      <c r="AF486" s="1011"/>
      <c r="AG486" s="1011"/>
      <c r="AH486" s="43"/>
      <c r="AJ486" s="110"/>
      <c r="AK486" s="34"/>
      <c r="AL486" s="34"/>
      <c r="AM486" s="34"/>
      <c r="AN486" s="34"/>
      <c r="AO486" s="34"/>
      <c r="AP486" s="34"/>
      <c r="AQ486" s="34"/>
      <c r="AR486" s="34"/>
    </row>
    <row r="487" spans="3:44" s="27" customFormat="1">
      <c r="C487" s="911"/>
      <c r="D487" s="29"/>
      <c r="E487" s="1249"/>
      <c r="F487" s="911"/>
      <c r="G487" s="1011"/>
      <c r="H487" s="1012"/>
      <c r="I487" s="34"/>
      <c r="J487" s="1271"/>
      <c r="K487" s="29"/>
      <c r="L487" s="1011"/>
      <c r="M487" s="911"/>
      <c r="N487" s="1011"/>
      <c r="O487" s="1011"/>
      <c r="P487" s="1012"/>
      <c r="Q487" s="1012"/>
      <c r="R487" s="38"/>
      <c r="S487" s="1011"/>
      <c r="T487" s="38"/>
      <c r="U487" s="1012"/>
      <c r="V487" s="1012"/>
      <c r="W487" s="1011"/>
      <c r="X487" s="1011"/>
      <c r="Y487" s="1011"/>
      <c r="Z487" s="1011"/>
      <c r="AA487" s="38"/>
      <c r="AB487" s="1011"/>
      <c r="AC487" s="1012"/>
      <c r="AD487" s="1012"/>
      <c r="AE487" s="1011"/>
      <c r="AF487" s="1011"/>
      <c r="AG487" s="1011"/>
      <c r="AH487" s="43"/>
      <c r="AJ487" s="110"/>
      <c r="AK487" s="34"/>
      <c r="AL487" s="34"/>
      <c r="AM487" s="34"/>
      <c r="AN487" s="34"/>
      <c r="AO487" s="34"/>
      <c r="AP487" s="34"/>
      <c r="AQ487" s="34"/>
      <c r="AR487" s="34"/>
    </row>
    <row r="488" spans="3:44" s="27" customFormat="1">
      <c r="C488" s="911"/>
      <c r="D488" s="29"/>
      <c r="E488" s="1249"/>
      <c r="F488" s="911"/>
      <c r="G488" s="1011"/>
      <c r="H488" s="1012"/>
      <c r="I488" s="34"/>
      <c r="J488" s="1271"/>
      <c r="K488" s="29"/>
      <c r="L488" s="1011"/>
      <c r="M488" s="911"/>
      <c r="N488" s="1011"/>
      <c r="O488" s="1011"/>
      <c r="P488" s="1012"/>
      <c r="Q488" s="1012"/>
      <c r="R488" s="38"/>
      <c r="S488" s="1011"/>
      <c r="T488" s="38"/>
      <c r="U488" s="1012"/>
      <c r="V488" s="1012"/>
      <c r="W488" s="1011"/>
      <c r="X488" s="1011"/>
      <c r="Y488" s="1011"/>
      <c r="Z488" s="1011"/>
      <c r="AA488" s="38"/>
      <c r="AB488" s="1011"/>
      <c r="AC488" s="1012"/>
      <c r="AD488" s="1012"/>
      <c r="AE488" s="1011"/>
      <c r="AF488" s="1011"/>
      <c r="AG488" s="1011"/>
      <c r="AH488" s="43"/>
      <c r="AJ488" s="110"/>
      <c r="AK488" s="34"/>
      <c r="AL488" s="34"/>
      <c r="AM488" s="34"/>
      <c r="AN488" s="34"/>
      <c r="AO488" s="34"/>
      <c r="AP488" s="34"/>
      <c r="AQ488" s="34"/>
      <c r="AR488" s="34"/>
    </row>
    <row r="489" spans="3:44" s="27" customFormat="1">
      <c r="C489" s="911"/>
      <c r="D489" s="29"/>
      <c r="E489" s="1249"/>
      <c r="F489" s="911"/>
      <c r="G489" s="1011"/>
      <c r="H489" s="1012"/>
      <c r="I489" s="34"/>
      <c r="J489" s="1271"/>
      <c r="K489" s="29"/>
      <c r="L489" s="1011"/>
      <c r="M489" s="911"/>
      <c r="N489" s="1011"/>
      <c r="O489" s="1011"/>
      <c r="P489" s="1012"/>
      <c r="Q489" s="1012"/>
      <c r="R489" s="38"/>
      <c r="S489" s="1011"/>
      <c r="T489" s="38"/>
      <c r="U489" s="1012"/>
      <c r="V489" s="1012"/>
      <c r="W489" s="1011"/>
      <c r="X489" s="1011"/>
      <c r="Y489" s="1011"/>
      <c r="Z489" s="1011"/>
      <c r="AA489" s="38"/>
      <c r="AB489" s="1011"/>
      <c r="AC489" s="1012"/>
      <c r="AD489" s="1012"/>
      <c r="AE489" s="1011"/>
      <c r="AF489" s="1011"/>
      <c r="AG489" s="1011"/>
      <c r="AH489" s="43"/>
      <c r="AJ489" s="110"/>
      <c r="AK489" s="34"/>
      <c r="AL489" s="34"/>
      <c r="AM489" s="34"/>
      <c r="AN489" s="34"/>
      <c r="AO489" s="34"/>
      <c r="AP489" s="34"/>
      <c r="AQ489" s="34"/>
      <c r="AR489" s="34"/>
    </row>
    <row r="490" spans="3:44" s="27" customFormat="1">
      <c r="C490" s="911"/>
      <c r="D490" s="29"/>
      <c r="E490" s="1249"/>
      <c r="F490" s="911"/>
      <c r="G490" s="1011"/>
      <c r="H490" s="1012"/>
      <c r="I490" s="34"/>
      <c r="J490" s="1271"/>
      <c r="K490" s="29"/>
      <c r="L490" s="1011"/>
      <c r="M490" s="911"/>
      <c r="N490" s="1011"/>
      <c r="O490" s="1011"/>
      <c r="P490" s="1012"/>
      <c r="Q490" s="1012"/>
      <c r="R490" s="38"/>
      <c r="S490" s="1011"/>
      <c r="T490" s="38"/>
      <c r="U490" s="1012"/>
      <c r="V490" s="1012"/>
      <c r="W490" s="1011"/>
      <c r="X490" s="1011"/>
      <c r="Y490" s="1011"/>
      <c r="Z490" s="1011"/>
      <c r="AA490" s="38"/>
      <c r="AB490" s="1011"/>
      <c r="AC490" s="1012"/>
      <c r="AD490" s="1012"/>
      <c r="AE490" s="1011"/>
      <c r="AF490" s="1011"/>
      <c r="AG490" s="1011"/>
      <c r="AH490" s="43"/>
      <c r="AJ490" s="110"/>
      <c r="AK490" s="34"/>
      <c r="AL490" s="34"/>
      <c r="AM490" s="34"/>
      <c r="AN490" s="34"/>
      <c r="AO490" s="34"/>
      <c r="AP490" s="34"/>
      <c r="AQ490" s="34"/>
      <c r="AR490" s="34"/>
    </row>
    <row r="491" spans="3:44" s="27" customFormat="1">
      <c r="C491" s="911"/>
      <c r="D491" s="29"/>
      <c r="E491" s="1249"/>
      <c r="F491" s="911"/>
      <c r="G491" s="1011"/>
      <c r="H491" s="1012"/>
      <c r="I491" s="34"/>
      <c r="J491" s="1271"/>
      <c r="K491" s="29"/>
      <c r="L491" s="1011"/>
      <c r="M491" s="911"/>
      <c r="N491" s="1011"/>
      <c r="O491" s="1011"/>
      <c r="P491" s="1012"/>
      <c r="Q491" s="1012"/>
      <c r="R491" s="38"/>
      <c r="S491" s="1011"/>
      <c r="T491" s="38"/>
      <c r="U491" s="1012"/>
      <c r="V491" s="1012"/>
      <c r="W491" s="1011"/>
      <c r="X491" s="1011"/>
      <c r="Y491" s="1011"/>
      <c r="Z491" s="1011"/>
      <c r="AA491" s="38"/>
      <c r="AB491" s="1011"/>
      <c r="AC491" s="1012"/>
      <c r="AD491" s="1012"/>
      <c r="AE491" s="1011"/>
      <c r="AF491" s="1011"/>
      <c r="AG491" s="1011"/>
      <c r="AH491" s="43"/>
      <c r="AJ491" s="110"/>
      <c r="AK491" s="34"/>
      <c r="AL491" s="34"/>
      <c r="AM491" s="34"/>
      <c r="AN491" s="34"/>
      <c r="AO491" s="34"/>
      <c r="AP491" s="34"/>
      <c r="AQ491" s="34"/>
      <c r="AR491" s="34"/>
    </row>
    <row r="492" spans="3:44" s="27" customFormat="1">
      <c r="C492" s="911"/>
      <c r="D492" s="29"/>
      <c r="E492" s="1249"/>
      <c r="F492" s="911"/>
      <c r="G492" s="1011"/>
      <c r="H492" s="1012"/>
      <c r="I492" s="34"/>
      <c r="J492" s="1271"/>
      <c r="K492" s="29"/>
      <c r="L492" s="1011"/>
      <c r="M492" s="911"/>
      <c r="N492" s="1011"/>
      <c r="O492" s="1011"/>
      <c r="P492" s="1012"/>
      <c r="Q492" s="1012"/>
      <c r="R492" s="38"/>
      <c r="S492" s="1011"/>
      <c r="T492" s="38"/>
      <c r="U492" s="1012"/>
      <c r="V492" s="1012"/>
      <c r="W492" s="1011"/>
      <c r="X492" s="1011"/>
      <c r="Y492" s="1011"/>
      <c r="Z492" s="1011"/>
      <c r="AA492" s="38"/>
      <c r="AB492" s="1011"/>
      <c r="AC492" s="1012"/>
      <c r="AD492" s="1012"/>
      <c r="AE492" s="1011"/>
      <c r="AF492" s="1011"/>
      <c r="AG492" s="1011"/>
      <c r="AH492" s="43"/>
      <c r="AJ492" s="110"/>
      <c r="AK492" s="34"/>
      <c r="AL492" s="34"/>
      <c r="AM492" s="34"/>
      <c r="AN492" s="34"/>
      <c r="AO492" s="34"/>
      <c r="AP492" s="34"/>
      <c r="AQ492" s="34"/>
      <c r="AR492" s="34"/>
    </row>
    <row r="493" spans="3:44" s="27" customFormat="1">
      <c r="C493" s="911"/>
      <c r="D493" s="29"/>
      <c r="E493" s="1249"/>
      <c r="F493" s="911"/>
      <c r="G493" s="1011"/>
      <c r="H493" s="1012"/>
      <c r="I493" s="34"/>
      <c r="J493" s="1271"/>
      <c r="K493" s="29"/>
      <c r="L493" s="1011"/>
      <c r="M493" s="911"/>
      <c r="N493" s="1011"/>
      <c r="O493" s="1011"/>
      <c r="P493" s="1012"/>
      <c r="Q493" s="1012"/>
      <c r="R493" s="38"/>
      <c r="S493" s="1011"/>
      <c r="T493" s="38"/>
      <c r="U493" s="1012"/>
      <c r="V493" s="1012"/>
      <c r="W493" s="1011"/>
      <c r="X493" s="1011"/>
      <c r="Y493" s="1011"/>
      <c r="Z493" s="1011"/>
      <c r="AA493" s="38"/>
      <c r="AB493" s="1011"/>
      <c r="AC493" s="1012"/>
      <c r="AD493" s="1012"/>
      <c r="AE493" s="1011"/>
      <c r="AF493" s="1011"/>
      <c r="AG493" s="1011"/>
      <c r="AH493" s="43"/>
      <c r="AJ493" s="110"/>
      <c r="AK493" s="34"/>
      <c r="AL493" s="34"/>
      <c r="AM493" s="34"/>
      <c r="AN493" s="34"/>
      <c r="AO493" s="34"/>
      <c r="AP493" s="34"/>
      <c r="AQ493" s="34"/>
      <c r="AR493" s="34"/>
    </row>
    <row r="494" spans="3:44" s="27" customFormat="1">
      <c r="C494" s="911"/>
      <c r="D494" s="29"/>
      <c r="E494" s="1249"/>
      <c r="F494" s="911"/>
      <c r="G494" s="1011"/>
      <c r="H494" s="1012"/>
      <c r="I494" s="34"/>
      <c r="J494" s="1271"/>
      <c r="K494" s="29"/>
      <c r="L494" s="1011"/>
      <c r="M494" s="911"/>
      <c r="N494" s="1011"/>
      <c r="O494" s="1011"/>
      <c r="P494" s="1012"/>
      <c r="Q494" s="1012"/>
      <c r="R494" s="38"/>
      <c r="S494" s="1011"/>
      <c r="T494" s="38"/>
      <c r="U494" s="1012"/>
      <c r="V494" s="1012"/>
      <c r="W494" s="1011"/>
      <c r="X494" s="1011"/>
      <c r="Y494" s="1011"/>
      <c r="Z494" s="1011"/>
      <c r="AA494" s="38"/>
      <c r="AB494" s="1011"/>
      <c r="AC494" s="1012"/>
      <c r="AD494" s="1012"/>
      <c r="AE494" s="1011"/>
      <c r="AF494" s="1011"/>
      <c r="AG494" s="1011"/>
      <c r="AH494" s="43"/>
      <c r="AJ494" s="110"/>
      <c r="AK494" s="34"/>
      <c r="AL494" s="34"/>
      <c r="AM494" s="34"/>
      <c r="AN494" s="34"/>
      <c r="AO494" s="34"/>
      <c r="AP494" s="34"/>
      <c r="AQ494" s="34"/>
      <c r="AR494" s="34"/>
    </row>
    <row r="495" spans="3:44" s="27" customFormat="1">
      <c r="C495" s="911"/>
      <c r="D495" s="29"/>
      <c r="E495" s="1249"/>
      <c r="F495" s="911"/>
      <c r="G495" s="1011"/>
      <c r="H495" s="1012"/>
      <c r="I495" s="34"/>
      <c r="J495" s="1271"/>
      <c r="K495" s="29"/>
      <c r="L495" s="1011"/>
      <c r="M495" s="911"/>
      <c r="N495" s="1011"/>
      <c r="O495" s="1011"/>
      <c r="P495" s="1012"/>
      <c r="Q495" s="1012"/>
      <c r="R495" s="38"/>
      <c r="S495" s="1011"/>
      <c r="T495" s="38"/>
      <c r="U495" s="1012"/>
      <c r="V495" s="1012"/>
      <c r="W495" s="1011"/>
      <c r="X495" s="1011"/>
      <c r="Y495" s="1011"/>
      <c r="Z495" s="1011"/>
      <c r="AA495" s="38"/>
      <c r="AB495" s="1011"/>
      <c r="AC495" s="1012"/>
      <c r="AD495" s="1012"/>
      <c r="AE495" s="1011"/>
      <c r="AF495" s="1011"/>
      <c r="AG495" s="1011"/>
      <c r="AH495" s="43"/>
      <c r="AJ495" s="110"/>
      <c r="AK495" s="34"/>
      <c r="AL495" s="34"/>
      <c r="AM495" s="34"/>
      <c r="AN495" s="34"/>
      <c r="AO495" s="34"/>
      <c r="AP495" s="34"/>
      <c r="AQ495" s="34"/>
      <c r="AR495" s="34"/>
    </row>
    <row r="496" spans="3:44" s="27" customFormat="1">
      <c r="C496" s="911"/>
      <c r="D496" s="29"/>
      <c r="E496" s="1249"/>
      <c r="F496" s="911"/>
      <c r="G496" s="1011"/>
      <c r="H496" s="1012"/>
      <c r="I496" s="34"/>
      <c r="J496" s="1271"/>
      <c r="K496" s="29"/>
      <c r="L496" s="1011"/>
      <c r="M496" s="911"/>
      <c r="N496" s="1011"/>
      <c r="O496" s="1011"/>
      <c r="P496" s="1012"/>
      <c r="Q496" s="1012"/>
      <c r="R496" s="38"/>
      <c r="S496" s="1011"/>
      <c r="T496" s="38"/>
      <c r="U496" s="1012"/>
      <c r="V496" s="1012"/>
      <c r="W496" s="1011"/>
      <c r="X496" s="1011"/>
      <c r="Y496" s="1011"/>
      <c r="Z496" s="1011"/>
      <c r="AA496" s="38"/>
      <c r="AB496" s="1011"/>
      <c r="AC496" s="1012"/>
      <c r="AD496" s="1012"/>
      <c r="AE496" s="1011"/>
      <c r="AF496" s="1011"/>
      <c r="AG496" s="1011"/>
      <c r="AH496" s="43"/>
      <c r="AJ496" s="110"/>
      <c r="AK496" s="34"/>
      <c r="AL496" s="34"/>
      <c r="AM496" s="34"/>
      <c r="AN496" s="34"/>
      <c r="AO496" s="34"/>
      <c r="AP496" s="34"/>
      <c r="AQ496" s="34"/>
      <c r="AR496" s="34"/>
    </row>
    <row r="497" spans="3:44" s="27" customFormat="1">
      <c r="C497" s="911"/>
      <c r="D497" s="29"/>
      <c r="E497" s="1249"/>
      <c r="F497" s="911"/>
      <c r="G497" s="1011"/>
      <c r="H497" s="1012"/>
      <c r="I497" s="34"/>
      <c r="J497" s="1271"/>
      <c r="K497" s="29"/>
      <c r="L497" s="1011"/>
      <c r="M497" s="911"/>
      <c r="N497" s="1011"/>
      <c r="O497" s="1011"/>
      <c r="P497" s="1012"/>
      <c r="Q497" s="1012"/>
      <c r="R497" s="38"/>
      <c r="S497" s="1011"/>
      <c r="T497" s="38"/>
      <c r="U497" s="1012"/>
      <c r="V497" s="1012"/>
      <c r="W497" s="1011"/>
      <c r="X497" s="1011"/>
      <c r="Y497" s="1011"/>
      <c r="Z497" s="1011"/>
      <c r="AA497" s="38"/>
      <c r="AB497" s="1011"/>
      <c r="AC497" s="1012"/>
      <c r="AD497" s="1012"/>
      <c r="AE497" s="1011"/>
      <c r="AF497" s="1011"/>
      <c r="AG497" s="1011"/>
      <c r="AH497" s="43"/>
      <c r="AJ497" s="110"/>
      <c r="AK497" s="34"/>
      <c r="AL497" s="34"/>
      <c r="AM497" s="34"/>
      <c r="AN497" s="34"/>
      <c r="AO497" s="34"/>
      <c r="AP497" s="34"/>
      <c r="AQ497" s="34"/>
      <c r="AR497" s="34"/>
    </row>
    <row r="498" spans="3:44" s="27" customFormat="1">
      <c r="C498" s="911"/>
      <c r="D498" s="29"/>
      <c r="E498" s="1249"/>
      <c r="F498" s="911"/>
      <c r="G498" s="1011"/>
      <c r="H498" s="1012"/>
      <c r="I498" s="34"/>
      <c r="J498" s="1271"/>
      <c r="K498" s="29"/>
      <c r="L498" s="1011"/>
      <c r="M498" s="911"/>
      <c r="N498" s="1011"/>
      <c r="O498" s="1011"/>
      <c r="P498" s="1012"/>
      <c r="Q498" s="1012"/>
      <c r="R498" s="38"/>
      <c r="S498" s="1011"/>
      <c r="T498" s="38"/>
      <c r="U498" s="1012"/>
      <c r="V498" s="1012"/>
      <c r="W498" s="1011"/>
      <c r="X498" s="1011"/>
      <c r="Y498" s="1011"/>
      <c r="Z498" s="1011"/>
      <c r="AA498" s="38"/>
      <c r="AB498" s="1011"/>
      <c r="AC498" s="1012"/>
      <c r="AD498" s="1012"/>
      <c r="AE498" s="1011"/>
      <c r="AF498" s="1011"/>
      <c r="AG498" s="1011"/>
      <c r="AH498" s="43"/>
      <c r="AJ498" s="110"/>
      <c r="AK498" s="34"/>
      <c r="AL498" s="34"/>
      <c r="AM498" s="34"/>
      <c r="AN498" s="34"/>
      <c r="AO498" s="34"/>
      <c r="AP498" s="34"/>
      <c r="AQ498" s="34"/>
      <c r="AR498" s="34"/>
    </row>
    <row r="499" spans="3:44" s="27" customFormat="1">
      <c r="C499" s="911"/>
      <c r="D499" s="29"/>
      <c r="E499" s="1249"/>
      <c r="F499" s="911"/>
      <c r="G499" s="1011"/>
      <c r="H499" s="1012"/>
      <c r="I499" s="34"/>
      <c r="J499" s="1271"/>
      <c r="K499" s="29"/>
      <c r="L499" s="1011"/>
      <c r="M499" s="911"/>
      <c r="N499" s="1011"/>
      <c r="O499" s="1011"/>
      <c r="P499" s="1012"/>
      <c r="Q499" s="1012"/>
      <c r="R499" s="38"/>
      <c r="S499" s="1011"/>
      <c r="T499" s="38"/>
      <c r="U499" s="1012"/>
      <c r="V499" s="1012"/>
      <c r="W499" s="1011"/>
      <c r="X499" s="1011"/>
      <c r="Y499" s="1011"/>
      <c r="Z499" s="1011"/>
      <c r="AA499" s="38"/>
      <c r="AB499" s="1011"/>
      <c r="AC499" s="1012"/>
      <c r="AD499" s="1012"/>
      <c r="AE499" s="1011"/>
      <c r="AF499" s="1011"/>
      <c r="AG499" s="1011"/>
      <c r="AH499" s="43"/>
      <c r="AJ499" s="110"/>
      <c r="AK499" s="34"/>
      <c r="AL499" s="34"/>
      <c r="AM499" s="34"/>
      <c r="AN499" s="34"/>
      <c r="AO499" s="34"/>
      <c r="AP499" s="34"/>
      <c r="AQ499" s="34"/>
      <c r="AR499" s="34"/>
    </row>
    <row r="500" spans="3:44" s="27" customFormat="1">
      <c r="C500" s="911"/>
      <c r="D500" s="29"/>
      <c r="E500" s="1249"/>
      <c r="F500" s="911"/>
      <c r="G500" s="1011"/>
      <c r="H500" s="1012"/>
      <c r="I500" s="34"/>
      <c r="J500" s="1271"/>
      <c r="K500" s="29"/>
      <c r="L500" s="1011"/>
      <c r="M500" s="911"/>
      <c r="N500" s="1011"/>
      <c r="O500" s="1011"/>
      <c r="P500" s="1012"/>
      <c r="Q500" s="1012"/>
      <c r="R500" s="38"/>
      <c r="S500" s="1011"/>
      <c r="T500" s="38"/>
      <c r="U500" s="1012"/>
      <c r="V500" s="1012"/>
      <c r="W500" s="1011"/>
      <c r="X500" s="1011"/>
      <c r="Y500" s="1011"/>
      <c r="Z500" s="1011"/>
      <c r="AA500" s="38"/>
      <c r="AB500" s="1011"/>
      <c r="AC500" s="1012"/>
      <c r="AD500" s="1012"/>
      <c r="AE500" s="1011"/>
      <c r="AF500" s="1011"/>
      <c r="AG500" s="1011"/>
      <c r="AH500" s="43"/>
      <c r="AJ500" s="110"/>
      <c r="AK500" s="34"/>
      <c r="AL500" s="34"/>
      <c r="AM500" s="34"/>
      <c r="AN500" s="34"/>
      <c r="AO500" s="34"/>
      <c r="AP500" s="34"/>
      <c r="AQ500" s="34"/>
      <c r="AR500" s="34"/>
    </row>
    <row r="501" spans="3:44" s="27" customFormat="1">
      <c r="C501" s="911"/>
      <c r="D501" s="29"/>
      <c r="E501" s="1249"/>
      <c r="F501" s="911"/>
      <c r="G501" s="1011"/>
      <c r="H501" s="1012"/>
      <c r="I501" s="34"/>
      <c r="J501" s="1271"/>
      <c r="K501" s="29"/>
      <c r="L501" s="1011"/>
      <c r="M501" s="911"/>
      <c r="N501" s="1011"/>
      <c r="O501" s="1011"/>
      <c r="P501" s="1012"/>
      <c r="Q501" s="1012"/>
      <c r="R501" s="38"/>
      <c r="S501" s="1011"/>
      <c r="T501" s="38"/>
      <c r="U501" s="1012"/>
      <c r="V501" s="1012"/>
      <c r="W501" s="1011"/>
      <c r="X501" s="1011"/>
      <c r="Y501" s="1011"/>
      <c r="Z501" s="1011"/>
      <c r="AA501" s="38"/>
      <c r="AB501" s="1011"/>
      <c r="AC501" s="1012"/>
      <c r="AD501" s="1012"/>
      <c r="AE501" s="1011"/>
      <c r="AF501" s="1011"/>
      <c r="AG501" s="1011"/>
      <c r="AH501" s="43"/>
      <c r="AJ501" s="110"/>
      <c r="AK501" s="34"/>
      <c r="AL501" s="34"/>
      <c r="AM501" s="34"/>
      <c r="AN501" s="34"/>
      <c r="AO501" s="34"/>
      <c r="AP501" s="34"/>
      <c r="AQ501" s="34"/>
      <c r="AR501" s="34"/>
    </row>
    <row r="502" spans="3:44" s="27" customFormat="1">
      <c r="C502" s="911"/>
      <c r="D502" s="29"/>
      <c r="E502" s="1249"/>
      <c r="F502" s="911"/>
      <c r="G502" s="1011"/>
      <c r="H502" s="1012"/>
      <c r="I502" s="34"/>
      <c r="J502" s="1271"/>
      <c r="K502" s="29"/>
      <c r="L502" s="1011"/>
      <c r="M502" s="911"/>
      <c r="N502" s="1011"/>
      <c r="O502" s="1011"/>
      <c r="P502" s="1012"/>
      <c r="Q502" s="1012"/>
      <c r="R502" s="38"/>
      <c r="S502" s="1011"/>
      <c r="T502" s="38"/>
      <c r="U502" s="1012"/>
      <c r="V502" s="1012"/>
      <c r="W502" s="1011"/>
      <c r="X502" s="1011"/>
      <c r="Y502" s="1011"/>
      <c r="Z502" s="1011"/>
      <c r="AA502" s="38"/>
      <c r="AB502" s="1011"/>
      <c r="AC502" s="1012"/>
      <c r="AD502" s="1012"/>
      <c r="AE502" s="1011"/>
      <c r="AF502" s="1011"/>
      <c r="AG502" s="1011"/>
      <c r="AH502" s="43"/>
      <c r="AJ502" s="110"/>
      <c r="AK502" s="34"/>
      <c r="AL502" s="34"/>
      <c r="AM502" s="34"/>
      <c r="AN502" s="34"/>
      <c r="AO502" s="34"/>
      <c r="AP502" s="34"/>
      <c r="AQ502" s="34"/>
      <c r="AR502" s="34"/>
    </row>
    <row r="503" spans="3:44" s="27" customFormat="1">
      <c r="C503" s="911"/>
      <c r="D503" s="29"/>
      <c r="E503" s="1249"/>
      <c r="F503" s="911"/>
      <c r="G503" s="1011"/>
      <c r="H503" s="1012"/>
      <c r="I503" s="34"/>
      <c r="J503" s="1271"/>
      <c r="K503" s="29"/>
      <c r="L503" s="1011"/>
      <c r="M503" s="911"/>
      <c r="N503" s="1011"/>
      <c r="O503" s="1011"/>
      <c r="P503" s="1012"/>
      <c r="Q503" s="1012"/>
      <c r="R503" s="38"/>
      <c r="S503" s="1011"/>
      <c r="T503" s="38"/>
      <c r="U503" s="1012"/>
      <c r="V503" s="1012"/>
      <c r="W503" s="1011"/>
      <c r="X503" s="1011"/>
      <c r="Y503" s="1011"/>
      <c r="Z503" s="1011"/>
      <c r="AA503" s="38"/>
      <c r="AB503" s="1011"/>
      <c r="AC503" s="1012"/>
      <c r="AD503" s="1012"/>
      <c r="AE503" s="1011"/>
      <c r="AF503" s="1011"/>
      <c r="AG503" s="1011"/>
      <c r="AH503" s="43"/>
      <c r="AJ503" s="110"/>
      <c r="AK503" s="34"/>
      <c r="AL503" s="34"/>
      <c r="AM503" s="34"/>
      <c r="AN503" s="34"/>
      <c r="AO503" s="34"/>
      <c r="AP503" s="34"/>
      <c r="AQ503" s="34"/>
      <c r="AR503" s="34"/>
    </row>
    <row r="504" spans="3:44" s="27" customFormat="1">
      <c r="C504" s="911"/>
      <c r="D504" s="29"/>
      <c r="E504" s="1249"/>
      <c r="F504" s="911"/>
      <c r="G504" s="1011"/>
      <c r="H504" s="1012"/>
      <c r="I504" s="34"/>
      <c r="J504" s="1271"/>
      <c r="K504" s="29"/>
      <c r="L504" s="1011"/>
      <c r="M504" s="911"/>
      <c r="N504" s="1011"/>
      <c r="O504" s="1011"/>
      <c r="P504" s="1012"/>
      <c r="Q504" s="1012"/>
      <c r="R504" s="38"/>
      <c r="S504" s="1011"/>
      <c r="T504" s="38"/>
      <c r="U504" s="1012"/>
      <c r="V504" s="1012"/>
      <c r="W504" s="1011"/>
      <c r="X504" s="1011"/>
      <c r="Y504" s="1011"/>
      <c r="Z504" s="1011"/>
      <c r="AA504" s="38"/>
      <c r="AB504" s="1011"/>
      <c r="AC504" s="1012"/>
      <c r="AD504" s="1012"/>
      <c r="AE504" s="1011"/>
      <c r="AF504" s="1011"/>
      <c r="AG504" s="1011"/>
      <c r="AH504" s="43"/>
      <c r="AJ504" s="110"/>
      <c r="AK504" s="34"/>
      <c r="AL504" s="34"/>
      <c r="AM504" s="34"/>
      <c r="AN504" s="34"/>
      <c r="AO504" s="34"/>
      <c r="AP504" s="34"/>
      <c r="AQ504" s="34"/>
      <c r="AR504" s="34"/>
    </row>
    <row r="505" spans="3:44" s="27" customFormat="1">
      <c r="C505" s="911"/>
      <c r="D505" s="29"/>
      <c r="E505" s="1249"/>
      <c r="F505" s="911"/>
      <c r="G505" s="1011"/>
      <c r="H505" s="1012"/>
      <c r="I505" s="34"/>
      <c r="J505" s="1271"/>
      <c r="K505" s="29"/>
      <c r="L505" s="1011"/>
      <c r="M505" s="911"/>
      <c r="N505" s="1011"/>
      <c r="O505" s="1011"/>
      <c r="P505" s="1012"/>
      <c r="Q505" s="1012"/>
      <c r="R505" s="38"/>
      <c r="S505" s="1011"/>
      <c r="T505" s="38"/>
      <c r="U505" s="1012"/>
      <c r="V505" s="1012"/>
      <c r="W505" s="1011"/>
      <c r="X505" s="1011"/>
      <c r="Y505" s="1011"/>
      <c r="Z505" s="1011"/>
      <c r="AA505" s="38"/>
      <c r="AB505" s="1011"/>
      <c r="AC505" s="1012"/>
      <c r="AD505" s="1012"/>
      <c r="AE505" s="1011"/>
      <c r="AF505" s="1011"/>
      <c r="AG505" s="1011"/>
      <c r="AH505" s="43"/>
      <c r="AJ505" s="110"/>
      <c r="AK505" s="34"/>
      <c r="AL505" s="34"/>
      <c r="AM505" s="34"/>
      <c r="AN505" s="34"/>
      <c r="AO505" s="34"/>
      <c r="AP505" s="34"/>
      <c r="AQ505" s="34"/>
      <c r="AR505" s="34"/>
    </row>
    <row r="506" spans="3:44" s="27" customFormat="1">
      <c r="C506" s="911"/>
      <c r="D506" s="29"/>
      <c r="E506" s="1249"/>
      <c r="F506" s="911"/>
      <c r="G506" s="1011"/>
      <c r="H506" s="1012"/>
      <c r="I506" s="34"/>
      <c r="J506" s="1271"/>
      <c r="K506" s="29"/>
      <c r="L506" s="1011"/>
      <c r="M506" s="911"/>
      <c r="N506" s="1011"/>
      <c r="O506" s="1011"/>
      <c r="P506" s="1012"/>
      <c r="Q506" s="1012"/>
      <c r="R506" s="38"/>
      <c r="S506" s="1011"/>
      <c r="T506" s="38"/>
      <c r="U506" s="1012"/>
      <c r="V506" s="1012"/>
      <c r="W506" s="1011"/>
      <c r="X506" s="1011"/>
      <c r="Y506" s="1011"/>
      <c r="Z506" s="1011"/>
      <c r="AA506" s="38"/>
      <c r="AB506" s="1011"/>
      <c r="AC506" s="1012"/>
      <c r="AD506" s="1012"/>
      <c r="AE506" s="1011"/>
      <c r="AF506" s="1011"/>
      <c r="AG506" s="1011"/>
      <c r="AH506" s="43"/>
      <c r="AJ506" s="110"/>
      <c r="AK506" s="34"/>
      <c r="AL506" s="34"/>
      <c r="AM506" s="34"/>
      <c r="AN506" s="34"/>
      <c r="AO506" s="34"/>
      <c r="AP506" s="34"/>
      <c r="AQ506" s="34"/>
      <c r="AR506" s="34"/>
    </row>
    <row r="507" spans="3:44" s="27" customFormat="1">
      <c r="C507" s="911"/>
      <c r="D507" s="29"/>
      <c r="E507" s="1249"/>
      <c r="F507" s="911"/>
      <c r="G507" s="1011"/>
      <c r="H507" s="1012"/>
      <c r="I507" s="34"/>
      <c r="J507" s="1271"/>
      <c r="K507" s="29"/>
      <c r="L507" s="1011"/>
      <c r="M507" s="911"/>
      <c r="N507" s="1011"/>
      <c r="O507" s="1011"/>
      <c r="P507" s="1012"/>
      <c r="Q507" s="1012"/>
      <c r="R507" s="38"/>
      <c r="S507" s="1011"/>
      <c r="T507" s="38"/>
      <c r="U507" s="1012"/>
      <c r="V507" s="1012"/>
      <c r="W507" s="1011"/>
      <c r="X507" s="1011"/>
      <c r="Y507" s="1011"/>
      <c r="Z507" s="1011"/>
      <c r="AA507" s="38"/>
      <c r="AB507" s="1011"/>
      <c r="AC507" s="1012"/>
      <c r="AD507" s="1012"/>
      <c r="AE507" s="1011"/>
      <c r="AF507" s="1011"/>
      <c r="AG507" s="1011"/>
      <c r="AH507" s="43"/>
      <c r="AJ507" s="110"/>
      <c r="AK507" s="34"/>
      <c r="AL507" s="34"/>
      <c r="AM507" s="34"/>
      <c r="AN507" s="34"/>
      <c r="AO507" s="34"/>
      <c r="AP507" s="34"/>
      <c r="AQ507" s="34"/>
      <c r="AR507" s="34"/>
    </row>
    <row r="508" spans="3:44" s="27" customFormat="1">
      <c r="C508" s="911"/>
      <c r="D508" s="29"/>
      <c r="E508" s="1249"/>
      <c r="F508" s="911"/>
      <c r="G508" s="1011"/>
      <c r="H508" s="1012"/>
      <c r="I508" s="34"/>
      <c r="J508" s="1271"/>
      <c r="K508" s="29"/>
      <c r="L508" s="1011"/>
      <c r="M508" s="911"/>
      <c r="N508" s="1011"/>
      <c r="O508" s="1011"/>
      <c r="P508" s="1012"/>
      <c r="Q508" s="1012"/>
      <c r="R508" s="38"/>
      <c r="S508" s="1011"/>
      <c r="T508" s="38"/>
      <c r="U508" s="1012"/>
      <c r="V508" s="1012"/>
      <c r="W508" s="1011"/>
      <c r="X508" s="1011"/>
      <c r="Y508" s="1011"/>
      <c r="Z508" s="1011"/>
      <c r="AA508" s="38"/>
      <c r="AB508" s="1011"/>
      <c r="AC508" s="1012"/>
      <c r="AD508" s="1012"/>
      <c r="AE508" s="1011"/>
      <c r="AF508" s="1011"/>
      <c r="AG508" s="1011"/>
      <c r="AH508" s="43"/>
      <c r="AJ508" s="110"/>
      <c r="AK508" s="34"/>
      <c r="AL508" s="34"/>
      <c r="AM508" s="34"/>
      <c r="AN508" s="34"/>
      <c r="AO508" s="34"/>
      <c r="AP508" s="34"/>
      <c r="AQ508" s="34"/>
      <c r="AR508" s="34"/>
    </row>
    <row r="509" spans="3:44" s="27" customFormat="1">
      <c r="C509" s="911"/>
      <c r="D509" s="29"/>
      <c r="E509" s="1249"/>
      <c r="F509" s="911"/>
      <c r="G509" s="1011"/>
      <c r="H509" s="1012"/>
      <c r="I509" s="34"/>
      <c r="J509" s="1271"/>
      <c r="K509" s="29"/>
      <c r="L509" s="1011"/>
      <c r="M509" s="911"/>
      <c r="N509" s="1011"/>
      <c r="O509" s="1011"/>
      <c r="P509" s="1012"/>
      <c r="Q509" s="1012"/>
      <c r="R509" s="38"/>
      <c r="S509" s="1011"/>
      <c r="T509" s="38"/>
      <c r="U509" s="1012"/>
      <c r="V509" s="1012"/>
      <c r="W509" s="1011"/>
      <c r="X509" s="1011"/>
      <c r="Y509" s="1011"/>
      <c r="Z509" s="1011"/>
      <c r="AA509" s="38"/>
      <c r="AB509" s="1011"/>
      <c r="AC509" s="1012"/>
      <c r="AD509" s="1012"/>
      <c r="AE509" s="1011"/>
      <c r="AF509" s="1011"/>
      <c r="AG509" s="1011"/>
      <c r="AH509" s="43"/>
      <c r="AJ509" s="110"/>
      <c r="AK509" s="34"/>
      <c r="AL509" s="34"/>
      <c r="AM509" s="34"/>
      <c r="AN509" s="34"/>
      <c r="AO509" s="34"/>
      <c r="AP509" s="34"/>
      <c r="AQ509" s="34"/>
      <c r="AR509" s="34"/>
    </row>
    <row r="510" spans="3:44" s="27" customFormat="1">
      <c r="C510" s="911"/>
      <c r="D510" s="29"/>
      <c r="E510" s="1249"/>
      <c r="F510" s="911"/>
      <c r="G510" s="1011"/>
      <c r="H510" s="1012"/>
      <c r="I510" s="34"/>
      <c r="J510" s="1271"/>
      <c r="K510" s="29"/>
      <c r="L510" s="1011"/>
      <c r="M510" s="911"/>
      <c r="N510" s="1011"/>
      <c r="O510" s="1011"/>
      <c r="P510" s="1012"/>
      <c r="Q510" s="1012"/>
      <c r="R510" s="38"/>
      <c r="S510" s="1011"/>
      <c r="T510" s="38"/>
      <c r="U510" s="1012"/>
      <c r="V510" s="1012"/>
      <c r="W510" s="1011"/>
      <c r="X510" s="1011"/>
      <c r="Y510" s="1011"/>
      <c r="Z510" s="1011"/>
      <c r="AA510" s="38"/>
      <c r="AB510" s="1011"/>
      <c r="AC510" s="1012"/>
      <c r="AD510" s="1012"/>
      <c r="AE510" s="1011"/>
      <c r="AF510" s="1011"/>
      <c r="AG510" s="1011"/>
      <c r="AH510" s="43"/>
      <c r="AJ510" s="110"/>
      <c r="AK510" s="34"/>
      <c r="AL510" s="34"/>
      <c r="AM510" s="34"/>
      <c r="AN510" s="34"/>
      <c r="AO510" s="34"/>
      <c r="AP510" s="34"/>
      <c r="AQ510" s="34"/>
      <c r="AR510" s="34"/>
    </row>
    <row r="511" spans="3:44" s="27" customFormat="1">
      <c r="C511" s="911"/>
      <c r="D511" s="29"/>
      <c r="E511" s="1249"/>
      <c r="F511" s="911"/>
      <c r="G511" s="1011"/>
      <c r="H511" s="1012"/>
      <c r="I511" s="34"/>
      <c r="J511" s="1271"/>
      <c r="K511" s="29"/>
      <c r="L511" s="1011"/>
      <c r="M511" s="911"/>
      <c r="N511" s="1011"/>
      <c r="O511" s="1011"/>
      <c r="P511" s="1012"/>
      <c r="Q511" s="1012"/>
      <c r="R511" s="38"/>
      <c r="S511" s="1011"/>
      <c r="T511" s="38"/>
      <c r="U511" s="1012"/>
      <c r="V511" s="1012"/>
      <c r="W511" s="1011"/>
      <c r="X511" s="1011"/>
      <c r="Y511" s="1011"/>
      <c r="Z511" s="1011"/>
      <c r="AA511" s="38"/>
      <c r="AB511" s="1011"/>
      <c r="AC511" s="1012"/>
      <c r="AD511" s="1012"/>
      <c r="AE511" s="1011"/>
      <c r="AF511" s="1011"/>
      <c r="AG511" s="1011"/>
      <c r="AH511" s="43"/>
      <c r="AJ511" s="110"/>
      <c r="AK511" s="34"/>
      <c r="AL511" s="34"/>
      <c r="AM511" s="34"/>
      <c r="AN511" s="34"/>
      <c r="AO511" s="34"/>
      <c r="AP511" s="34"/>
      <c r="AQ511" s="34"/>
      <c r="AR511" s="34"/>
    </row>
    <row r="512" spans="3:44" s="27" customFormat="1">
      <c r="C512" s="911"/>
      <c r="D512" s="29"/>
      <c r="E512" s="1249"/>
      <c r="F512" s="911"/>
      <c r="G512" s="1011"/>
      <c r="H512" s="1012"/>
      <c r="I512" s="34"/>
      <c r="J512" s="1271"/>
      <c r="K512" s="29"/>
      <c r="L512" s="1011"/>
      <c r="M512" s="911"/>
      <c r="N512" s="1011"/>
      <c r="O512" s="1011"/>
      <c r="P512" s="1012"/>
      <c r="Q512" s="1012"/>
      <c r="R512" s="38"/>
      <c r="S512" s="1011"/>
      <c r="T512" s="38"/>
      <c r="U512" s="1012"/>
      <c r="V512" s="1012"/>
      <c r="W512" s="1011"/>
      <c r="X512" s="1011"/>
      <c r="Y512" s="1011"/>
      <c r="Z512" s="1011"/>
      <c r="AA512" s="38"/>
      <c r="AB512" s="1011"/>
      <c r="AC512" s="1012"/>
      <c r="AD512" s="1012"/>
      <c r="AE512" s="1011"/>
      <c r="AF512" s="1011"/>
      <c r="AG512" s="1011"/>
      <c r="AH512" s="43"/>
      <c r="AJ512" s="110"/>
      <c r="AK512" s="34"/>
      <c r="AL512" s="34"/>
      <c r="AM512" s="34"/>
      <c r="AN512" s="34"/>
      <c r="AO512" s="34"/>
      <c r="AP512" s="34"/>
      <c r="AQ512" s="34"/>
      <c r="AR512" s="34"/>
    </row>
    <row r="513" spans="3:44" s="27" customFormat="1">
      <c r="C513" s="911"/>
      <c r="D513" s="29"/>
      <c r="E513" s="1249"/>
      <c r="F513" s="911"/>
      <c r="G513" s="1011"/>
      <c r="H513" s="1012"/>
      <c r="I513" s="34"/>
      <c r="J513" s="1271"/>
      <c r="K513" s="29"/>
      <c r="L513" s="1011"/>
      <c r="M513" s="911"/>
      <c r="N513" s="1011"/>
      <c r="O513" s="1011"/>
      <c r="P513" s="1012"/>
      <c r="Q513" s="1012"/>
      <c r="R513" s="38"/>
      <c r="S513" s="1011"/>
      <c r="T513" s="38"/>
      <c r="U513" s="1012"/>
      <c r="V513" s="1012"/>
      <c r="W513" s="1011"/>
      <c r="X513" s="1011"/>
      <c r="Y513" s="1011"/>
      <c r="Z513" s="1011"/>
      <c r="AA513" s="38"/>
      <c r="AB513" s="1011"/>
      <c r="AC513" s="1012"/>
      <c r="AD513" s="1012"/>
      <c r="AE513" s="1011"/>
      <c r="AF513" s="1011"/>
      <c r="AG513" s="1011"/>
      <c r="AH513" s="43"/>
      <c r="AJ513" s="110"/>
      <c r="AK513" s="34"/>
      <c r="AL513" s="34"/>
      <c r="AM513" s="34"/>
      <c r="AN513" s="34"/>
      <c r="AO513" s="34"/>
      <c r="AP513" s="34"/>
      <c r="AQ513" s="34"/>
      <c r="AR513" s="34"/>
    </row>
    <row r="514" spans="3:44" s="27" customFormat="1">
      <c r="C514" s="911"/>
      <c r="D514" s="29"/>
      <c r="E514" s="1249"/>
      <c r="F514" s="911"/>
      <c r="G514" s="1011"/>
      <c r="H514" s="1012"/>
      <c r="I514" s="34"/>
      <c r="J514" s="1271"/>
      <c r="K514" s="29"/>
      <c r="L514" s="1011"/>
      <c r="M514" s="911"/>
      <c r="N514" s="1011"/>
      <c r="O514" s="1011"/>
      <c r="P514" s="1012"/>
      <c r="Q514" s="1012"/>
      <c r="R514" s="38"/>
      <c r="S514" s="1011"/>
      <c r="T514" s="38"/>
      <c r="U514" s="1012"/>
      <c r="V514" s="1012"/>
      <c r="W514" s="1011"/>
      <c r="X514" s="1011"/>
      <c r="Y514" s="1011"/>
      <c r="Z514" s="1011"/>
      <c r="AA514" s="38"/>
      <c r="AB514" s="1011"/>
      <c r="AC514" s="1012"/>
      <c r="AD514" s="1012"/>
      <c r="AE514" s="1011"/>
      <c r="AF514" s="1011"/>
      <c r="AG514" s="1011"/>
      <c r="AH514" s="43"/>
      <c r="AJ514" s="110"/>
      <c r="AK514" s="34"/>
      <c r="AL514" s="34"/>
      <c r="AM514" s="34"/>
      <c r="AN514" s="34"/>
      <c r="AO514" s="34"/>
      <c r="AP514" s="34"/>
      <c r="AQ514" s="34"/>
      <c r="AR514" s="34"/>
    </row>
    <row r="515" spans="3:44" s="27" customFormat="1">
      <c r="C515" s="911"/>
      <c r="D515" s="29"/>
      <c r="E515" s="1249"/>
      <c r="F515" s="911"/>
      <c r="G515" s="1011"/>
      <c r="H515" s="1012"/>
      <c r="I515" s="34"/>
      <c r="J515" s="1271"/>
      <c r="K515" s="29"/>
      <c r="L515" s="1011"/>
      <c r="M515" s="911"/>
      <c r="N515" s="1011"/>
      <c r="O515" s="1011"/>
      <c r="P515" s="1012"/>
      <c r="Q515" s="1012"/>
      <c r="R515" s="38"/>
      <c r="S515" s="1011"/>
      <c r="T515" s="38"/>
      <c r="U515" s="1012"/>
      <c r="V515" s="1012"/>
      <c r="W515" s="1011"/>
      <c r="X515" s="1011"/>
      <c r="Y515" s="1011"/>
      <c r="Z515" s="1011"/>
      <c r="AA515" s="38"/>
      <c r="AB515" s="1011"/>
      <c r="AC515" s="1012"/>
      <c r="AD515" s="1012"/>
      <c r="AE515" s="1011"/>
      <c r="AF515" s="1011"/>
      <c r="AG515" s="1011"/>
      <c r="AH515" s="43"/>
      <c r="AJ515" s="110"/>
      <c r="AK515" s="34"/>
      <c r="AL515" s="34"/>
      <c r="AM515" s="34"/>
      <c r="AN515" s="34"/>
      <c r="AO515" s="34"/>
      <c r="AP515" s="34"/>
      <c r="AQ515" s="34"/>
      <c r="AR515" s="34"/>
    </row>
    <row r="516" spans="3:44" s="27" customFormat="1">
      <c r="C516" s="911"/>
      <c r="D516" s="29"/>
      <c r="E516" s="1249"/>
      <c r="F516" s="911"/>
      <c r="G516" s="1011"/>
      <c r="H516" s="1012"/>
      <c r="I516" s="34"/>
      <c r="J516" s="1271"/>
      <c r="K516" s="29"/>
      <c r="L516" s="1011"/>
      <c r="M516" s="911"/>
      <c r="N516" s="1011"/>
      <c r="O516" s="1011"/>
      <c r="P516" s="1012"/>
      <c r="Q516" s="1012"/>
      <c r="R516" s="38"/>
      <c r="S516" s="1011"/>
      <c r="T516" s="38"/>
      <c r="U516" s="1012"/>
      <c r="V516" s="1012"/>
      <c r="W516" s="1011"/>
      <c r="X516" s="1011"/>
      <c r="Y516" s="1011"/>
      <c r="Z516" s="1011"/>
      <c r="AA516" s="38"/>
      <c r="AB516" s="1011"/>
      <c r="AC516" s="1012"/>
      <c r="AD516" s="1012"/>
      <c r="AE516" s="1011"/>
      <c r="AF516" s="1011"/>
      <c r="AG516" s="1011"/>
      <c r="AH516" s="43"/>
      <c r="AJ516" s="110"/>
      <c r="AK516" s="34"/>
      <c r="AL516" s="34"/>
      <c r="AM516" s="34"/>
      <c r="AN516" s="34"/>
      <c r="AO516" s="34"/>
      <c r="AP516" s="34"/>
      <c r="AQ516" s="34"/>
      <c r="AR516" s="34"/>
    </row>
    <row r="517" spans="3:44" s="27" customFormat="1">
      <c r="C517" s="911"/>
      <c r="D517" s="29"/>
      <c r="E517" s="1249"/>
      <c r="F517" s="911"/>
      <c r="G517" s="1011"/>
      <c r="H517" s="1012"/>
      <c r="I517" s="34"/>
      <c r="J517" s="1271"/>
      <c r="K517" s="29"/>
      <c r="L517" s="1011"/>
      <c r="M517" s="911"/>
      <c r="N517" s="1011"/>
      <c r="O517" s="1011"/>
      <c r="P517" s="1012"/>
      <c r="Q517" s="1012"/>
      <c r="R517" s="38"/>
      <c r="S517" s="1011"/>
      <c r="T517" s="38"/>
      <c r="U517" s="1012"/>
      <c r="V517" s="1012"/>
      <c r="W517" s="1011"/>
      <c r="X517" s="1011"/>
      <c r="Y517" s="1011"/>
      <c r="Z517" s="1011"/>
      <c r="AA517" s="38"/>
      <c r="AB517" s="1011"/>
      <c r="AC517" s="1012"/>
      <c r="AD517" s="1012"/>
      <c r="AE517" s="1011"/>
      <c r="AF517" s="1011"/>
      <c r="AG517" s="1011"/>
      <c r="AH517" s="43"/>
      <c r="AJ517" s="110"/>
      <c r="AK517" s="34"/>
      <c r="AL517" s="34"/>
      <c r="AM517" s="34"/>
      <c r="AN517" s="34"/>
      <c r="AO517" s="34"/>
      <c r="AP517" s="34"/>
      <c r="AQ517" s="34"/>
      <c r="AR517" s="34"/>
    </row>
    <row r="518" spans="3:44" s="27" customFormat="1">
      <c r="C518" s="911"/>
      <c r="D518" s="29"/>
      <c r="E518" s="1249"/>
      <c r="F518" s="911"/>
      <c r="G518" s="1011"/>
      <c r="H518" s="1012"/>
      <c r="I518" s="34"/>
      <c r="J518" s="1271"/>
      <c r="K518" s="29"/>
      <c r="L518" s="1011"/>
      <c r="M518" s="911"/>
      <c r="N518" s="1011"/>
      <c r="O518" s="1011"/>
      <c r="P518" s="1012"/>
      <c r="Q518" s="1012"/>
      <c r="R518" s="38"/>
      <c r="S518" s="1011"/>
      <c r="T518" s="38"/>
      <c r="U518" s="1012"/>
      <c r="V518" s="1012"/>
      <c r="W518" s="1011"/>
      <c r="X518" s="1011"/>
      <c r="Y518" s="1011"/>
      <c r="Z518" s="1011"/>
      <c r="AA518" s="38"/>
      <c r="AB518" s="1011"/>
      <c r="AC518" s="1012"/>
      <c r="AD518" s="1012"/>
      <c r="AE518" s="1011"/>
      <c r="AF518" s="1011"/>
      <c r="AG518" s="1011"/>
      <c r="AH518" s="43"/>
      <c r="AJ518" s="110"/>
      <c r="AK518" s="34"/>
      <c r="AL518" s="34"/>
      <c r="AM518" s="34"/>
      <c r="AN518" s="34"/>
      <c r="AO518" s="34"/>
      <c r="AP518" s="34"/>
      <c r="AQ518" s="34"/>
      <c r="AR518" s="34"/>
    </row>
    <row r="519" spans="3:44" s="27" customFormat="1">
      <c r="C519" s="911"/>
      <c r="D519" s="29"/>
      <c r="E519" s="1249"/>
      <c r="F519" s="911"/>
      <c r="G519" s="1011"/>
      <c r="H519" s="1012"/>
      <c r="I519" s="34"/>
      <c r="J519" s="1271"/>
      <c r="K519" s="29"/>
      <c r="L519" s="1011"/>
      <c r="M519" s="911"/>
      <c r="N519" s="1011"/>
      <c r="O519" s="1011"/>
      <c r="P519" s="1012"/>
      <c r="Q519" s="1012"/>
      <c r="R519" s="38"/>
      <c r="S519" s="1011"/>
      <c r="T519" s="38"/>
      <c r="U519" s="1012"/>
      <c r="V519" s="1012"/>
      <c r="W519" s="1011"/>
      <c r="X519" s="1011"/>
      <c r="Y519" s="1011"/>
      <c r="Z519" s="1011"/>
      <c r="AA519" s="38"/>
      <c r="AB519" s="1011"/>
      <c r="AC519" s="1012"/>
      <c r="AD519" s="1012"/>
      <c r="AE519" s="1011"/>
      <c r="AF519" s="1011"/>
      <c r="AG519" s="1011"/>
      <c r="AH519" s="43"/>
      <c r="AJ519" s="110"/>
      <c r="AK519" s="34"/>
      <c r="AL519" s="34"/>
      <c r="AM519" s="34"/>
      <c r="AN519" s="34"/>
      <c r="AO519" s="34"/>
      <c r="AP519" s="34"/>
      <c r="AQ519" s="34"/>
      <c r="AR519" s="34"/>
    </row>
    <row r="520" spans="3:44" s="27" customFormat="1">
      <c r="C520" s="911"/>
      <c r="D520" s="29"/>
      <c r="E520" s="1249"/>
      <c r="F520" s="911"/>
      <c r="G520" s="1011"/>
      <c r="H520" s="1012"/>
      <c r="I520" s="34"/>
      <c r="J520" s="1271"/>
      <c r="K520" s="29"/>
      <c r="L520" s="1011"/>
      <c r="M520" s="911"/>
      <c r="N520" s="1011"/>
      <c r="O520" s="1011"/>
      <c r="P520" s="1012"/>
      <c r="Q520" s="1012"/>
      <c r="R520" s="38"/>
      <c r="S520" s="1011"/>
      <c r="T520" s="38"/>
      <c r="U520" s="1012"/>
      <c r="V520" s="1012"/>
      <c r="W520" s="1011"/>
      <c r="X520" s="1011"/>
      <c r="Y520" s="1011"/>
      <c r="Z520" s="1011"/>
      <c r="AA520" s="38"/>
      <c r="AB520" s="1011"/>
      <c r="AC520" s="1012"/>
      <c r="AD520" s="1012"/>
      <c r="AE520" s="1011"/>
      <c r="AF520" s="1011"/>
      <c r="AG520" s="1011"/>
      <c r="AH520" s="43"/>
      <c r="AJ520" s="110"/>
      <c r="AK520" s="34"/>
      <c r="AL520" s="34"/>
      <c r="AM520" s="34"/>
      <c r="AN520" s="34"/>
      <c r="AO520" s="34"/>
      <c r="AP520" s="34"/>
      <c r="AQ520" s="34"/>
      <c r="AR520" s="34"/>
    </row>
    <row r="521" spans="3:44" s="27" customFormat="1">
      <c r="C521" s="911"/>
      <c r="D521" s="29"/>
      <c r="E521" s="1249"/>
      <c r="F521" s="911"/>
      <c r="G521" s="1011"/>
      <c r="H521" s="1012"/>
      <c r="I521" s="34"/>
      <c r="J521" s="1271"/>
      <c r="K521" s="29"/>
      <c r="L521" s="1011"/>
      <c r="M521" s="911"/>
      <c r="N521" s="1011"/>
      <c r="O521" s="1011"/>
      <c r="P521" s="1012"/>
      <c r="Q521" s="1012"/>
      <c r="R521" s="38"/>
      <c r="S521" s="1011"/>
      <c r="T521" s="38"/>
      <c r="U521" s="1012"/>
      <c r="V521" s="1012"/>
      <c r="W521" s="1011"/>
      <c r="X521" s="1011"/>
      <c r="Y521" s="1011"/>
      <c r="Z521" s="1011"/>
      <c r="AA521" s="38"/>
      <c r="AB521" s="1011"/>
      <c r="AC521" s="1012"/>
      <c r="AD521" s="1012"/>
      <c r="AE521" s="1011"/>
      <c r="AF521" s="1011"/>
      <c r="AG521" s="1011"/>
      <c r="AH521" s="43"/>
      <c r="AJ521" s="110"/>
      <c r="AK521" s="34"/>
      <c r="AL521" s="34"/>
      <c r="AM521" s="34"/>
      <c r="AN521" s="34"/>
      <c r="AO521" s="34"/>
      <c r="AP521" s="34"/>
      <c r="AQ521" s="34"/>
      <c r="AR521" s="34"/>
    </row>
    <row r="522" spans="3:44" s="27" customFormat="1">
      <c r="C522" s="911"/>
      <c r="D522" s="29"/>
      <c r="E522" s="1249"/>
      <c r="F522" s="911"/>
      <c r="G522" s="1011"/>
      <c r="H522" s="1012"/>
      <c r="I522" s="34"/>
      <c r="J522" s="1271"/>
      <c r="K522" s="29"/>
      <c r="L522" s="1011"/>
      <c r="M522" s="911"/>
      <c r="N522" s="1011"/>
      <c r="O522" s="1011"/>
      <c r="P522" s="1012"/>
      <c r="Q522" s="1012"/>
      <c r="R522" s="38"/>
      <c r="S522" s="1011"/>
      <c r="T522" s="38"/>
      <c r="U522" s="1012"/>
      <c r="V522" s="1012"/>
      <c r="W522" s="1011"/>
      <c r="X522" s="1011"/>
      <c r="Y522" s="1011"/>
      <c r="Z522" s="1011"/>
      <c r="AA522" s="38"/>
      <c r="AB522" s="1011"/>
      <c r="AC522" s="1012"/>
      <c r="AD522" s="1012"/>
      <c r="AE522" s="1011"/>
      <c r="AF522" s="1011"/>
      <c r="AG522" s="1011"/>
      <c r="AH522" s="43"/>
      <c r="AJ522" s="110"/>
      <c r="AK522" s="34"/>
      <c r="AL522" s="34"/>
      <c r="AM522" s="34"/>
      <c r="AN522" s="34"/>
      <c r="AO522" s="34"/>
      <c r="AP522" s="34"/>
      <c r="AQ522" s="34"/>
      <c r="AR522" s="34"/>
    </row>
    <row r="523" spans="3:44" s="27" customFormat="1">
      <c r="C523" s="911"/>
      <c r="D523" s="29"/>
      <c r="E523" s="1249"/>
      <c r="F523" s="911"/>
      <c r="G523" s="1011"/>
      <c r="H523" s="1012"/>
      <c r="I523" s="34"/>
      <c r="J523" s="1271"/>
      <c r="K523" s="29"/>
      <c r="L523" s="1011"/>
      <c r="M523" s="911"/>
      <c r="N523" s="1011"/>
      <c r="O523" s="1011"/>
      <c r="P523" s="1012"/>
      <c r="Q523" s="1012"/>
      <c r="R523" s="38"/>
      <c r="S523" s="1011"/>
      <c r="T523" s="38"/>
      <c r="U523" s="1012"/>
      <c r="V523" s="1012"/>
      <c r="W523" s="1011"/>
      <c r="X523" s="1011"/>
      <c r="Y523" s="1011"/>
      <c r="Z523" s="1011"/>
      <c r="AA523" s="38"/>
      <c r="AB523" s="1011"/>
      <c r="AC523" s="1012"/>
      <c r="AD523" s="1012"/>
      <c r="AE523" s="1011"/>
      <c r="AF523" s="1011"/>
      <c r="AG523" s="1011"/>
      <c r="AH523" s="43"/>
      <c r="AJ523" s="110"/>
      <c r="AK523" s="34"/>
      <c r="AL523" s="34"/>
      <c r="AM523" s="34"/>
      <c r="AN523" s="34"/>
      <c r="AO523" s="34"/>
      <c r="AP523" s="34"/>
      <c r="AQ523" s="34"/>
      <c r="AR523" s="34"/>
    </row>
    <row r="524" spans="3:44" s="27" customFormat="1">
      <c r="C524" s="911"/>
      <c r="D524" s="29"/>
      <c r="E524" s="1249"/>
      <c r="F524" s="911"/>
      <c r="G524" s="1011"/>
      <c r="H524" s="1012"/>
      <c r="I524" s="34"/>
      <c r="J524" s="1271"/>
      <c r="K524" s="29"/>
      <c r="L524" s="1011"/>
      <c r="M524" s="911"/>
      <c r="N524" s="1011"/>
      <c r="O524" s="1011"/>
      <c r="P524" s="1012"/>
      <c r="Q524" s="1012"/>
      <c r="R524" s="38"/>
      <c r="S524" s="1011"/>
      <c r="T524" s="38"/>
      <c r="U524" s="1012"/>
      <c r="V524" s="1012"/>
      <c r="W524" s="1011"/>
      <c r="X524" s="1011"/>
      <c r="Y524" s="1011"/>
      <c r="Z524" s="1011"/>
      <c r="AA524" s="38"/>
      <c r="AB524" s="1011"/>
      <c r="AC524" s="1012"/>
      <c r="AD524" s="1012"/>
      <c r="AE524" s="1011"/>
      <c r="AF524" s="1011"/>
      <c r="AG524" s="1011"/>
      <c r="AH524" s="43"/>
      <c r="AJ524" s="110"/>
      <c r="AK524" s="34"/>
      <c r="AL524" s="34"/>
      <c r="AM524" s="34"/>
      <c r="AN524" s="34"/>
      <c r="AO524" s="34"/>
      <c r="AP524" s="34"/>
      <c r="AQ524" s="34"/>
      <c r="AR524" s="34"/>
    </row>
    <row r="525" spans="3:44" s="27" customFormat="1">
      <c r="C525" s="911"/>
      <c r="D525" s="29"/>
      <c r="E525" s="1249"/>
      <c r="F525" s="911"/>
      <c r="G525" s="1011"/>
      <c r="H525" s="1012"/>
      <c r="I525" s="34"/>
      <c r="J525" s="1271"/>
      <c r="K525" s="29"/>
      <c r="L525" s="1011"/>
      <c r="M525" s="911"/>
      <c r="N525" s="1011"/>
      <c r="O525" s="1011"/>
      <c r="P525" s="1012"/>
      <c r="Q525" s="1012"/>
      <c r="R525" s="38"/>
      <c r="S525" s="1011"/>
      <c r="T525" s="38"/>
      <c r="U525" s="1012"/>
      <c r="V525" s="1012"/>
      <c r="W525" s="1011"/>
      <c r="X525" s="1011"/>
      <c r="Y525" s="1011"/>
      <c r="Z525" s="1011"/>
      <c r="AA525" s="38"/>
      <c r="AB525" s="1011"/>
      <c r="AC525" s="1012"/>
      <c r="AD525" s="1012"/>
      <c r="AE525" s="1011"/>
      <c r="AF525" s="1011"/>
      <c r="AG525" s="1011"/>
      <c r="AH525" s="43"/>
      <c r="AJ525" s="110"/>
      <c r="AK525" s="34"/>
      <c r="AL525" s="34"/>
      <c r="AM525" s="34"/>
      <c r="AN525" s="34"/>
      <c r="AO525" s="34"/>
      <c r="AP525" s="34"/>
      <c r="AQ525" s="34"/>
      <c r="AR525" s="34"/>
    </row>
    <row r="526" spans="3:44" s="27" customFormat="1">
      <c r="C526" s="911"/>
      <c r="D526" s="29"/>
      <c r="E526" s="1249"/>
      <c r="F526" s="911"/>
      <c r="G526" s="1011"/>
      <c r="H526" s="1012"/>
      <c r="I526" s="34"/>
      <c r="J526" s="1271"/>
      <c r="K526" s="29"/>
      <c r="L526" s="1011"/>
      <c r="M526" s="911"/>
      <c r="N526" s="1011"/>
      <c r="O526" s="1011"/>
      <c r="P526" s="1012"/>
      <c r="Q526" s="1012"/>
      <c r="R526" s="38"/>
      <c r="S526" s="1011"/>
      <c r="T526" s="38"/>
      <c r="U526" s="1012"/>
      <c r="V526" s="1012"/>
      <c r="W526" s="1011"/>
      <c r="X526" s="1011"/>
      <c r="Y526" s="1011"/>
      <c r="Z526" s="1011"/>
      <c r="AA526" s="38"/>
      <c r="AB526" s="1011"/>
      <c r="AC526" s="1012"/>
      <c r="AD526" s="1012"/>
      <c r="AE526" s="1011"/>
      <c r="AF526" s="1011"/>
      <c r="AG526" s="1011"/>
      <c r="AH526" s="43"/>
      <c r="AJ526" s="110"/>
      <c r="AK526" s="34"/>
      <c r="AL526" s="34"/>
      <c r="AM526" s="34"/>
      <c r="AN526" s="34"/>
      <c r="AO526" s="34"/>
      <c r="AP526" s="34"/>
      <c r="AQ526" s="34"/>
      <c r="AR526" s="34"/>
    </row>
    <row r="527" spans="3:44" s="27" customFormat="1">
      <c r="C527" s="911"/>
      <c r="D527" s="29"/>
      <c r="E527" s="1249"/>
      <c r="F527" s="911"/>
      <c r="G527" s="1011"/>
      <c r="H527" s="1012"/>
      <c r="I527" s="34"/>
      <c r="J527" s="1271"/>
      <c r="K527" s="29"/>
      <c r="L527" s="1011"/>
      <c r="M527" s="911"/>
      <c r="N527" s="1011"/>
      <c r="O527" s="1011"/>
      <c r="P527" s="1012"/>
      <c r="Q527" s="1012"/>
      <c r="R527" s="38"/>
      <c r="S527" s="1011"/>
      <c r="T527" s="38"/>
      <c r="U527" s="1012"/>
      <c r="V527" s="1012"/>
      <c r="W527" s="1011"/>
      <c r="X527" s="1011"/>
      <c r="Y527" s="1011"/>
      <c r="Z527" s="1011"/>
      <c r="AA527" s="38"/>
      <c r="AB527" s="1011"/>
      <c r="AC527" s="1012"/>
      <c r="AD527" s="1012"/>
      <c r="AE527" s="1011"/>
      <c r="AF527" s="1011"/>
      <c r="AG527" s="1011"/>
      <c r="AH527" s="43"/>
      <c r="AJ527" s="110"/>
      <c r="AK527" s="34"/>
      <c r="AL527" s="34"/>
      <c r="AM527" s="34"/>
      <c r="AN527" s="34"/>
      <c r="AO527" s="34"/>
      <c r="AP527" s="34"/>
      <c r="AQ527" s="34"/>
      <c r="AR527" s="34"/>
    </row>
    <row r="528" spans="3:44" s="27" customFormat="1">
      <c r="C528" s="911"/>
      <c r="D528" s="29"/>
      <c r="E528" s="1249"/>
      <c r="F528" s="911"/>
      <c r="G528" s="1011"/>
      <c r="H528" s="1012"/>
      <c r="I528" s="34"/>
      <c r="J528" s="1271"/>
      <c r="K528" s="29"/>
      <c r="L528" s="1011"/>
      <c r="M528" s="911"/>
      <c r="N528" s="1011"/>
      <c r="O528" s="1011"/>
      <c r="P528" s="1012"/>
      <c r="Q528" s="1012"/>
      <c r="R528" s="38"/>
      <c r="S528" s="1011"/>
      <c r="T528" s="38"/>
      <c r="U528" s="1012"/>
      <c r="V528" s="1012"/>
      <c r="W528" s="1011"/>
      <c r="X528" s="1011"/>
      <c r="Y528" s="1011"/>
      <c r="Z528" s="1011"/>
      <c r="AA528" s="38"/>
      <c r="AB528" s="1011"/>
      <c r="AC528" s="1012"/>
      <c r="AD528" s="1012"/>
      <c r="AE528" s="1011"/>
      <c r="AF528" s="1011"/>
      <c r="AG528" s="1011"/>
      <c r="AH528" s="43"/>
      <c r="AJ528" s="110"/>
      <c r="AK528" s="34"/>
      <c r="AL528" s="34"/>
      <c r="AM528" s="34"/>
      <c r="AN528" s="34"/>
      <c r="AO528" s="34"/>
      <c r="AP528" s="34"/>
      <c r="AQ528" s="34"/>
      <c r="AR528" s="34"/>
    </row>
    <row r="529" spans="3:44" s="27" customFormat="1">
      <c r="C529" s="911"/>
      <c r="D529" s="29"/>
      <c r="E529" s="1249"/>
      <c r="F529" s="911"/>
      <c r="G529" s="1011"/>
      <c r="H529" s="1012"/>
      <c r="I529" s="34"/>
      <c r="J529" s="1271"/>
      <c r="K529" s="29"/>
      <c r="L529" s="1011"/>
      <c r="M529" s="911"/>
      <c r="N529" s="1011"/>
      <c r="O529" s="1011"/>
      <c r="P529" s="1012"/>
      <c r="Q529" s="1012"/>
      <c r="R529" s="38"/>
      <c r="S529" s="1011"/>
      <c r="T529" s="38"/>
      <c r="U529" s="1012"/>
      <c r="V529" s="1012"/>
      <c r="W529" s="1011"/>
      <c r="X529" s="1011"/>
      <c r="Y529" s="1011"/>
      <c r="Z529" s="1011"/>
      <c r="AA529" s="38"/>
      <c r="AB529" s="1011"/>
      <c r="AC529" s="1012"/>
      <c r="AD529" s="1012"/>
      <c r="AE529" s="1011"/>
      <c r="AF529" s="1011"/>
      <c r="AG529" s="1011"/>
      <c r="AH529" s="43"/>
      <c r="AJ529" s="110"/>
      <c r="AK529" s="34"/>
      <c r="AL529" s="34"/>
      <c r="AM529" s="34"/>
      <c r="AN529" s="34"/>
      <c r="AO529" s="34"/>
      <c r="AP529" s="34"/>
      <c r="AQ529" s="34"/>
      <c r="AR529" s="34"/>
    </row>
    <row r="530" spans="3:44" s="27" customFormat="1">
      <c r="C530" s="911"/>
      <c r="D530" s="29"/>
      <c r="E530" s="1249"/>
      <c r="F530" s="911"/>
      <c r="G530" s="1011"/>
      <c r="H530" s="1012"/>
      <c r="I530" s="34"/>
      <c r="J530" s="1271"/>
      <c r="K530" s="29"/>
      <c r="L530" s="1011"/>
      <c r="M530" s="911"/>
      <c r="N530" s="1011"/>
      <c r="O530" s="1011"/>
      <c r="P530" s="1012"/>
      <c r="Q530" s="1012"/>
      <c r="R530" s="38"/>
      <c r="S530" s="1011"/>
      <c r="T530" s="38"/>
      <c r="U530" s="1012"/>
      <c r="V530" s="1012"/>
      <c r="W530" s="1011"/>
      <c r="X530" s="1011"/>
      <c r="Y530" s="1011"/>
      <c r="Z530" s="1011"/>
      <c r="AA530" s="38"/>
      <c r="AB530" s="1011"/>
      <c r="AC530" s="1012"/>
      <c r="AD530" s="1012"/>
      <c r="AE530" s="1011"/>
      <c r="AF530" s="1011"/>
      <c r="AG530" s="1011"/>
      <c r="AH530" s="43"/>
      <c r="AJ530" s="110"/>
      <c r="AK530" s="34"/>
      <c r="AL530" s="34"/>
      <c r="AM530" s="34"/>
      <c r="AN530" s="34"/>
      <c r="AO530" s="34"/>
      <c r="AP530" s="34"/>
      <c r="AQ530" s="34"/>
      <c r="AR530" s="34"/>
    </row>
    <row r="531" spans="3:44" s="27" customFormat="1">
      <c r="C531" s="911"/>
      <c r="D531" s="29"/>
      <c r="E531" s="1249"/>
      <c r="F531" s="911"/>
      <c r="G531" s="1011"/>
      <c r="H531" s="1012"/>
      <c r="I531" s="34"/>
      <c r="J531" s="1271"/>
      <c r="K531" s="29"/>
      <c r="L531" s="1011"/>
      <c r="M531" s="911"/>
      <c r="N531" s="1011"/>
      <c r="O531" s="1011"/>
      <c r="P531" s="1012"/>
      <c r="Q531" s="1012"/>
      <c r="R531" s="38"/>
      <c r="S531" s="1011"/>
      <c r="T531" s="38"/>
      <c r="U531" s="1012"/>
      <c r="V531" s="1012"/>
      <c r="W531" s="1011"/>
      <c r="X531" s="1011"/>
      <c r="Y531" s="1011"/>
      <c r="Z531" s="1011"/>
      <c r="AA531" s="38"/>
      <c r="AB531" s="1011"/>
      <c r="AC531" s="1012"/>
      <c r="AD531" s="1012"/>
      <c r="AE531" s="1011"/>
      <c r="AF531" s="1011"/>
      <c r="AG531" s="1011"/>
      <c r="AH531" s="43"/>
      <c r="AJ531" s="110"/>
      <c r="AK531" s="34"/>
      <c r="AL531" s="34"/>
      <c r="AM531" s="34"/>
      <c r="AN531" s="34"/>
      <c r="AO531" s="34"/>
      <c r="AP531" s="34"/>
      <c r="AQ531" s="34"/>
      <c r="AR531" s="34"/>
    </row>
    <row r="532" spans="3:44" s="27" customFormat="1">
      <c r="C532" s="911"/>
      <c r="D532" s="29"/>
      <c r="E532" s="1249"/>
      <c r="F532" s="911"/>
      <c r="G532" s="1011"/>
      <c r="H532" s="1012"/>
      <c r="I532" s="34"/>
      <c r="J532" s="1271"/>
      <c r="K532" s="29"/>
      <c r="L532" s="1011"/>
      <c r="M532" s="911"/>
      <c r="N532" s="1011"/>
      <c r="O532" s="1011"/>
      <c r="P532" s="1012"/>
      <c r="Q532" s="1012"/>
      <c r="R532" s="38"/>
      <c r="S532" s="1011"/>
      <c r="T532" s="38"/>
      <c r="U532" s="1012"/>
      <c r="V532" s="1012"/>
      <c r="W532" s="1011"/>
      <c r="X532" s="1011"/>
      <c r="Y532" s="1011"/>
      <c r="Z532" s="1011"/>
      <c r="AA532" s="38"/>
      <c r="AB532" s="1011"/>
      <c r="AC532" s="1012"/>
      <c r="AD532" s="1012"/>
      <c r="AE532" s="1011"/>
      <c r="AF532" s="1011"/>
      <c r="AG532" s="1011"/>
      <c r="AH532" s="43"/>
      <c r="AJ532" s="110"/>
      <c r="AK532" s="34"/>
      <c r="AL532" s="34"/>
      <c r="AM532" s="34"/>
      <c r="AN532" s="34"/>
      <c r="AO532" s="34"/>
      <c r="AP532" s="34"/>
      <c r="AQ532" s="34"/>
      <c r="AR532" s="34"/>
    </row>
    <row r="533" spans="3:44" s="27" customFormat="1">
      <c r="C533" s="911"/>
      <c r="D533" s="29"/>
      <c r="E533" s="1249"/>
      <c r="F533" s="911"/>
      <c r="G533" s="1011"/>
      <c r="H533" s="1012"/>
      <c r="I533" s="34"/>
      <c r="J533" s="1271"/>
      <c r="K533" s="29"/>
      <c r="L533" s="1011"/>
      <c r="M533" s="911"/>
      <c r="N533" s="1011"/>
      <c r="O533" s="1011"/>
      <c r="P533" s="1012"/>
      <c r="Q533" s="1012"/>
      <c r="R533" s="38"/>
      <c r="S533" s="1011"/>
      <c r="T533" s="38"/>
      <c r="U533" s="1012"/>
      <c r="V533" s="1012"/>
      <c r="W533" s="1011"/>
      <c r="X533" s="1011"/>
      <c r="Y533" s="1011"/>
      <c r="Z533" s="1011"/>
      <c r="AA533" s="38"/>
      <c r="AB533" s="1011"/>
      <c r="AC533" s="1012"/>
      <c r="AD533" s="1012"/>
      <c r="AE533" s="1011"/>
      <c r="AF533" s="1011"/>
      <c r="AG533" s="1011"/>
      <c r="AH533" s="43"/>
      <c r="AJ533" s="110"/>
      <c r="AK533" s="34"/>
      <c r="AL533" s="34"/>
      <c r="AM533" s="34"/>
      <c r="AN533" s="34"/>
      <c r="AO533" s="34"/>
      <c r="AP533" s="34"/>
      <c r="AQ533" s="34"/>
      <c r="AR533" s="34"/>
    </row>
    <row r="534" spans="3:44" s="27" customFormat="1">
      <c r="C534" s="911"/>
      <c r="D534" s="29"/>
      <c r="E534" s="1249"/>
      <c r="F534" s="911"/>
      <c r="G534" s="1011"/>
      <c r="H534" s="1012"/>
      <c r="I534" s="34"/>
      <c r="J534" s="1271"/>
      <c r="K534" s="29"/>
      <c r="L534" s="1011"/>
      <c r="M534" s="911"/>
      <c r="N534" s="1011"/>
      <c r="O534" s="1011"/>
      <c r="P534" s="1012"/>
      <c r="Q534" s="1012"/>
      <c r="R534" s="38"/>
      <c r="S534" s="1011"/>
      <c r="T534" s="38"/>
      <c r="U534" s="1012"/>
      <c r="V534" s="1012"/>
      <c r="W534" s="1011"/>
      <c r="X534" s="1011"/>
      <c r="Y534" s="1011"/>
      <c r="Z534" s="1011"/>
      <c r="AA534" s="38"/>
      <c r="AB534" s="1011"/>
      <c r="AC534" s="1012"/>
      <c r="AD534" s="1012"/>
      <c r="AE534" s="1011"/>
      <c r="AF534" s="1011"/>
      <c r="AG534" s="1011"/>
      <c r="AH534" s="43"/>
      <c r="AJ534" s="110"/>
      <c r="AK534" s="34"/>
      <c r="AL534" s="34"/>
      <c r="AM534" s="34"/>
      <c r="AN534" s="34"/>
      <c r="AO534" s="34"/>
      <c r="AP534" s="34"/>
      <c r="AQ534" s="34"/>
      <c r="AR534" s="34"/>
    </row>
    <row r="535" spans="3:44" s="27" customFormat="1">
      <c r="C535" s="911"/>
      <c r="D535" s="29"/>
      <c r="E535" s="1249"/>
      <c r="F535" s="911"/>
      <c r="G535" s="1011"/>
      <c r="H535" s="1012"/>
      <c r="I535" s="34"/>
      <c r="J535" s="1271"/>
      <c r="K535" s="29"/>
      <c r="L535" s="1011"/>
      <c r="M535" s="911"/>
      <c r="N535" s="1011"/>
      <c r="O535" s="1011"/>
      <c r="P535" s="1012"/>
      <c r="Q535" s="1012"/>
      <c r="R535" s="38"/>
      <c r="S535" s="1011"/>
      <c r="T535" s="38"/>
      <c r="U535" s="1012"/>
      <c r="V535" s="1012"/>
      <c r="W535" s="1011"/>
      <c r="X535" s="1011"/>
      <c r="Y535" s="1011"/>
      <c r="Z535" s="1011"/>
      <c r="AA535" s="38"/>
      <c r="AB535" s="1011"/>
      <c r="AC535" s="1012"/>
      <c r="AD535" s="1012"/>
      <c r="AE535" s="1011"/>
      <c r="AF535" s="1011"/>
      <c r="AG535" s="1011"/>
      <c r="AH535" s="43"/>
      <c r="AJ535" s="110"/>
      <c r="AK535" s="34"/>
      <c r="AL535" s="34"/>
      <c r="AM535" s="34"/>
      <c r="AN535" s="34"/>
      <c r="AO535" s="34"/>
      <c r="AP535" s="34"/>
      <c r="AQ535" s="34"/>
      <c r="AR535" s="34"/>
    </row>
    <row r="536" spans="3:44" s="27" customFormat="1">
      <c r="C536" s="911"/>
      <c r="D536" s="29"/>
      <c r="E536" s="1249"/>
      <c r="F536" s="911"/>
      <c r="G536" s="1011"/>
      <c r="H536" s="1012"/>
      <c r="I536" s="34"/>
      <c r="J536" s="1271"/>
      <c r="K536" s="29"/>
      <c r="L536" s="1011"/>
      <c r="M536" s="911"/>
      <c r="N536" s="1011"/>
      <c r="O536" s="1011"/>
      <c r="P536" s="1012"/>
      <c r="Q536" s="1012"/>
      <c r="R536" s="38"/>
      <c r="S536" s="1011"/>
      <c r="T536" s="38"/>
      <c r="U536" s="1012"/>
      <c r="V536" s="1012"/>
      <c r="W536" s="1011"/>
      <c r="X536" s="1011"/>
      <c r="Y536" s="1011"/>
      <c r="Z536" s="1011"/>
      <c r="AA536" s="38"/>
      <c r="AB536" s="1011"/>
      <c r="AC536" s="1012"/>
      <c r="AD536" s="1012"/>
      <c r="AE536" s="1011"/>
      <c r="AF536" s="1011"/>
      <c r="AG536" s="1011"/>
      <c r="AH536" s="43"/>
      <c r="AJ536" s="110"/>
      <c r="AK536" s="34"/>
      <c r="AL536" s="34"/>
      <c r="AM536" s="34"/>
      <c r="AN536" s="34"/>
      <c r="AO536" s="34"/>
      <c r="AP536" s="34"/>
      <c r="AQ536" s="34"/>
      <c r="AR536" s="34"/>
    </row>
    <row r="537" spans="3:44" s="27" customFormat="1">
      <c r="C537" s="911"/>
      <c r="D537" s="29"/>
      <c r="E537" s="1249"/>
      <c r="F537" s="911"/>
      <c r="G537" s="1011"/>
      <c r="H537" s="1012"/>
      <c r="I537" s="34"/>
      <c r="J537" s="1271"/>
      <c r="K537" s="29"/>
      <c r="L537" s="1011"/>
      <c r="M537" s="911"/>
      <c r="N537" s="1011"/>
      <c r="O537" s="1011"/>
      <c r="P537" s="1012"/>
      <c r="Q537" s="1012"/>
      <c r="R537" s="38"/>
      <c r="S537" s="1011"/>
      <c r="T537" s="38"/>
      <c r="U537" s="1012"/>
      <c r="V537" s="1012"/>
      <c r="W537" s="1011"/>
      <c r="X537" s="1011"/>
      <c r="Y537" s="1011"/>
      <c r="Z537" s="1011"/>
      <c r="AA537" s="38"/>
      <c r="AB537" s="1011"/>
      <c r="AC537" s="1012"/>
      <c r="AD537" s="1012"/>
      <c r="AE537" s="1011"/>
      <c r="AF537" s="1011"/>
      <c r="AG537" s="1011"/>
      <c r="AH537" s="43"/>
      <c r="AJ537" s="110"/>
      <c r="AK537" s="34"/>
      <c r="AL537" s="34"/>
      <c r="AM537" s="34"/>
      <c r="AN537" s="34"/>
      <c r="AO537" s="34"/>
      <c r="AP537" s="34"/>
      <c r="AQ537" s="34"/>
      <c r="AR537" s="34"/>
    </row>
    <row r="538" spans="3:44" s="27" customFormat="1">
      <c r="C538" s="911"/>
      <c r="D538" s="29"/>
      <c r="E538" s="1249"/>
      <c r="F538" s="911"/>
      <c r="G538" s="1011"/>
      <c r="H538" s="1012"/>
      <c r="I538" s="34"/>
      <c r="J538" s="1271"/>
      <c r="K538" s="29"/>
      <c r="L538" s="1011"/>
      <c r="M538" s="911"/>
      <c r="N538" s="1011"/>
      <c r="O538" s="1011"/>
      <c r="P538" s="1012"/>
      <c r="Q538" s="1012"/>
      <c r="R538" s="38"/>
      <c r="S538" s="1011"/>
      <c r="T538" s="38"/>
      <c r="U538" s="1012"/>
      <c r="V538" s="1012"/>
      <c r="W538" s="1011"/>
      <c r="X538" s="1011"/>
      <c r="Y538" s="1011"/>
      <c r="Z538" s="1011"/>
      <c r="AA538" s="38"/>
      <c r="AB538" s="1011"/>
      <c r="AC538" s="1012"/>
      <c r="AD538" s="1012"/>
      <c r="AE538" s="1011"/>
      <c r="AF538" s="1011"/>
      <c r="AG538" s="1011"/>
      <c r="AH538" s="43"/>
      <c r="AJ538" s="110"/>
      <c r="AK538" s="34"/>
      <c r="AL538" s="34"/>
      <c r="AM538" s="34"/>
      <c r="AN538" s="34"/>
      <c r="AO538" s="34"/>
      <c r="AP538" s="34"/>
      <c r="AQ538" s="34"/>
      <c r="AR538" s="34"/>
    </row>
    <row r="539" spans="3:44" s="27" customFormat="1">
      <c r="C539" s="911"/>
      <c r="D539" s="29"/>
      <c r="E539" s="1249"/>
      <c r="F539" s="911"/>
      <c r="G539" s="1011"/>
      <c r="H539" s="1012"/>
      <c r="I539" s="34"/>
      <c r="J539" s="1271"/>
      <c r="K539" s="29"/>
      <c r="L539" s="1011"/>
      <c r="M539" s="911"/>
      <c r="N539" s="1011"/>
      <c r="O539" s="1011"/>
      <c r="P539" s="1012"/>
      <c r="Q539" s="1012"/>
      <c r="R539" s="38"/>
      <c r="S539" s="1011"/>
      <c r="T539" s="38"/>
      <c r="U539" s="1012"/>
      <c r="V539" s="1012"/>
      <c r="W539" s="1011"/>
      <c r="X539" s="1011"/>
      <c r="Y539" s="1011"/>
      <c r="Z539" s="1011"/>
      <c r="AA539" s="38"/>
      <c r="AB539" s="1011"/>
      <c r="AC539" s="1012"/>
      <c r="AD539" s="1012"/>
      <c r="AE539" s="1011"/>
      <c r="AF539" s="1011"/>
      <c r="AG539" s="1011"/>
      <c r="AH539" s="43"/>
      <c r="AJ539" s="110"/>
      <c r="AK539" s="34"/>
      <c r="AL539" s="34"/>
      <c r="AM539" s="34"/>
      <c r="AN539" s="34"/>
      <c r="AO539" s="34"/>
      <c r="AP539" s="34"/>
      <c r="AQ539" s="34"/>
      <c r="AR539" s="34"/>
    </row>
    <row r="540" spans="3:44" s="27" customFormat="1">
      <c r="C540" s="911"/>
      <c r="D540" s="29"/>
      <c r="E540" s="1249"/>
      <c r="F540" s="911"/>
      <c r="G540" s="1011"/>
      <c r="H540" s="1012"/>
      <c r="I540" s="34"/>
      <c r="J540" s="1271"/>
      <c r="K540" s="29"/>
      <c r="L540" s="1011"/>
      <c r="M540" s="911"/>
      <c r="N540" s="1011"/>
      <c r="O540" s="1011"/>
      <c r="P540" s="1012"/>
      <c r="Q540" s="1012"/>
      <c r="R540" s="38"/>
      <c r="S540" s="1011"/>
      <c r="T540" s="38"/>
      <c r="U540" s="1012"/>
      <c r="V540" s="1012"/>
      <c r="W540" s="1011"/>
      <c r="X540" s="1011"/>
      <c r="Y540" s="1011"/>
      <c r="Z540" s="1011"/>
      <c r="AA540" s="38"/>
      <c r="AB540" s="1011"/>
      <c r="AC540" s="1012"/>
      <c r="AD540" s="1012"/>
      <c r="AE540" s="1011"/>
      <c r="AF540" s="1011"/>
      <c r="AG540" s="1011"/>
      <c r="AH540" s="43"/>
      <c r="AJ540" s="110"/>
      <c r="AK540" s="34"/>
      <c r="AL540" s="34"/>
      <c r="AM540" s="34"/>
      <c r="AN540" s="34"/>
      <c r="AO540" s="34"/>
      <c r="AP540" s="34"/>
      <c r="AQ540" s="34"/>
      <c r="AR540" s="34"/>
    </row>
    <row r="541" spans="3:44" s="27" customFormat="1">
      <c r="C541" s="911"/>
      <c r="D541" s="29"/>
      <c r="E541" s="1249"/>
      <c r="F541" s="911"/>
      <c r="G541" s="1011"/>
      <c r="H541" s="1012"/>
      <c r="I541" s="34"/>
      <c r="J541" s="1271"/>
      <c r="K541" s="29"/>
      <c r="L541" s="1011"/>
      <c r="M541" s="911"/>
      <c r="N541" s="1011"/>
      <c r="O541" s="1011"/>
      <c r="P541" s="1012"/>
      <c r="Q541" s="1012"/>
      <c r="R541" s="38"/>
      <c r="S541" s="1011"/>
      <c r="T541" s="38"/>
      <c r="U541" s="1012"/>
      <c r="V541" s="1012"/>
      <c r="W541" s="1011"/>
      <c r="X541" s="1011"/>
      <c r="Y541" s="1011"/>
      <c r="Z541" s="1011"/>
      <c r="AA541" s="38"/>
      <c r="AB541" s="1011"/>
      <c r="AC541" s="1012"/>
      <c r="AD541" s="1012"/>
      <c r="AE541" s="1011"/>
      <c r="AF541" s="1011"/>
      <c r="AG541" s="1011"/>
      <c r="AH541" s="43"/>
      <c r="AJ541" s="110"/>
      <c r="AK541" s="34"/>
      <c r="AL541" s="34"/>
      <c r="AM541" s="34"/>
      <c r="AN541" s="34"/>
      <c r="AO541" s="34"/>
      <c r="AP541" s="34"/>
      <c r="AQ541" s="34"/>
      <c r="AR541" s="34"/>
    </row>
    <row r="542" spans="3:44" s="27" customFormat="1">
      <c r="C542" s="911"/>
      <c r="D542" s="29"/>
      <c r="E542" s="1249"/>
      <c r="F542" s="911"/>
      <c r="G542" s="1011"/>
      <c r="H542" s="1012"/>
      <c r="I542" s="34"/>
      <c r="J542" s="1271"/>
      <c r="K542" s="29"/>
      <c r="L542" s="1011"/>
      <c r="M542" s="911"/>
      <c r="N542" s="1011"/>
      <c r="O542" s="1011"/>
      <c r="P542" s="1012"/>
      <c r="Q542" s="1012"/>
      <c r="R542" s="38"/>
      <c r="S542" s="1011"/>
      <c r="T542" s="38"/>
      <c r="U542" s="1012"/>
      <c r="V542" s="1012"/>
      <c r="W542" s="1011"/>
      <c r="X542" s="1011"/>
      <c r="Y542" s="1011"/>
      <c r="Z542" s="1011"/>
      <c r="AA542" s="38"/>
      <c r="AB542" s="1011"/>
      <c r="AC542" s="1012"/>
      <c r="AD542" s="1012"/>
      <c r="AE542" s="1011"/>
      <c r="AF542" s="1011"/>
      <c r="AG542" s="1011"/>
      <c r="AH542" s="43"/>
      <c r="AJ542" s="110"/>
      <c r="AK542" s="34"/>
      <c r="AL542" s="34"/>
      <c r="AM542" s="34"/>
      <c r="AN542" s="34"/>
      <c r="AO542" s="34"/>
      <c r="AP542" s="34"/>
      <c r="AQ542" s="34"/>
      <c r="AR542" s="34"/>
    </row>
    <row r="543" spans="3:44" s="27" customFormat="1">
      <c r="C543" s="911"/>
      <c r="D543" s="29"/>
      <c r="E543" s="1249"/>
      <c r="F543" s="911"/>
      <c r="G543" s="1011"/>
      <c r="H543" s="1012"/>
      <c r="I543" s="34"/>
      <c r="J543" s="1271"/>
      <c r="K543" s="29"/>
      <c r="L543" s="1011"/>
      <c r="M543" s="911"/>
      <c r="N543" s="1011"/>
      <c r="O543" s="1011"/>
      <c r="P543" s="1012"/>
      <c r="Q543" s="1012"/>
      <c r="R543" s="38"/>
      <c r="S543" s="1011"/>
      <c r="T543" s="38"/>
      <c r="U543" s="1012"/>
      <c r="V543" s="1012"/>
      <c r="W543" s="1011"/>
      <c r="X543" s="1011"/>
      <c r="Y543" s="1011"/>
      <c r="Z543" s="1011"/>
      <c r="AA543" s="38"/>
      <c r="AB543" s="1011"/>
      <c r="AC543" s="1012"/>
      <c r="AD543" s="1012"/>
      <c r="AE543" s="1011"/>
      <c r="AF543" s="1011"/>
      <c r="AG543" s="1011"/>
      <c r="AH543" s="43"/>
      <c r="AJ543" s="110"/>
      <c r="AK543" s="34"/>
      <c r="AL543" s="34"/>
      <c r="AM543" s="34"/>
      <c r="AN543" s="34"/>
      <c r="AO543" s="34"/>
      <c r="AP543" s="34"/>
      <c r="AQ543" s="34"/>
      <c r="AR543" s="34"/>
    </row>
    <row r="544" spans="3:44" s="27" customFormat="1">
      <c r="C544" s="911"/>
      <c r="D544" s="29"/>
      <c r="E544" s="1249"/>
      <c r="F544" s="911"/>
      <c r="G544" s="1011"/>
      <c r="H544" s="1012"/>
      <c r="I544" s="34"/>
      <c r="J544" s="1271"/>
      <c r="K544" s="29"/>
      <c r="L544" s="1011"/>
      <c r="M544" s="911"/>
      <c r="N544" s="1011"/>
      <c r="O544" s="1011"/>
      <c r="P544" s="1012"/>
      <c r="Q544" s="1012"/>
      <c r="R544" s="38"/>
      <c r="S544" s="1011"/>
      <c r="T544" s="38"/>
      <c r="U544" s="1012"/>
      <c r="V544" s="1012"/>
      <c r="W544" s="1011"/>
      <c r="X544" s="1011"/>
      <c r="Y544" s="1011"/>
      <c r="Z544" s="1011"/>
      <c r="AA544" s="38"/>
      <c r="AB544" s="1011"/>
      <c r="AC544" s="1012"/>
      <c r="AD544" s="1012"/>
      <c r="AE544" s="1011"/>
      <c r="AF544" s="1011"/>
      <c r="AG544" s="1011"/>
      <c r="AH544" s="43"/>
      <c r="AJ544" s="110"/>
      <c r="AK544" s="34"/>
      <c r="AL544" s="34"/>
      <c r="AM544" s="34"/>
      <c r="AN544" s="34"/>
      <c r="AO544" s="34"/>
      <c r="AP544" s="34"/>
      <c r="AQ544" s="34"/>
      <c r="AR544" s="34"/>
    </row>
    <row r="545" spans="3:44" s="27" customFormat="1">
      <c r="C545" s="911"/>
      <c r="D545" s="29"/>
      <c r="E545" s="1249"/>
      <c r="F545" s="911"/>
      <c r="G545" s="1011"/>
      <c r="H545" s="1012"/>
      <c r="I545" s="34"/>
      <c r="J545" s="1271"/>
      <c r="K545" s="29"/>
      <c r="L545" s="1011"/>
      <c r="M545" s="911"/>
      <c r="N545" s="1011"/>
      <c r="O545" s="1011"/>
      <c r="P545" s="1012"/>
      <c r="Q545" s="1012"/>
      <c r="R545" s="38"/>
      <c r="S545" s="1011"/>
      <c r="T545" s="38"/>
      <c r="U545" s="1012"/>
      <c r="V545" s="1012"/>
      <c r="W545" s="1011"/>
      <c r="X545" s="1011"/>
      <c r="Y545" s="1011"/>
      <c r="Z545" s="1011"/>
      <c r="AA545" s="38"/>
      <c r="AB545" s="1011"/>
      <c r="AC545" s="1012"/>
      <c r="AD545" s="1012"/>
      <c r="AE545" s="1011"/>
      <c r="AF545" s="1011"/>
      <c r="AG545" s="1011"/>
      <c r="AH545" s="43"/>
      <c r="AJ545" s="110"/>
      <c r="AK545" s="34"/>
      <c r="AL545" s="34"/>
      <c r="AM545" s="34"/>
      <c r="AN545" s="34"/>
      <c r="AO545" s="34"/>
      <c r="AP545" s="34"/>
      <c r="AQ545" s="34"/>
      <c r="AR545" s="34"/>
    </row>
    <row r="546" spans="3:44" s="27" customFormat="1">
      <c r="C546" s="911"/>
      <c r="D546" s="29"/>
      <c r="E546" s="1249"/>
      <c r="F546" s="911"/>
      <c r="G546" s="1011"/>
      <c r="H546" s="1012"/>
      <c r="I546" s="34"/>
      <c r="J546" s="1271"/>
      <c r="K546" s="29"/>
      <c r="L546" s="1011"/>
      <c r="M546" s="911"/>
      <c r="N546" s="1011"/>
      <c r="O546" s="1011"/>
      <c r="P546" s="1012"/>
      <c r="Q546" s="1012"/>
      <c r="R546" s="38"/>
      <c r="S546" s="1011"/>
      <c r="T546" s="38"/>
      <c r="U546" s="1012"/>
      <c r="V546" s="1012"/>
      <c r="W546" s="1011"/>
      <c r="X546" s="1011"/>
      <c r="Y546" s="1011"/>
      <c r="Z546" s="1011"/>
      <c r="AA546" s="38"/>
      <c r="AB546" s="1011"/>
      <c r="AC546" s="1012"/>
      <c r="AD546" s="1012"/>
      <c r="AE546" s="1011"/>
      <c r="AF546" s="1011"/>
      <c r="AG546" s="1011"/>
      <c r="AH546" s="43"/>
      <c r="AJ546" s="110"/>
      <c r="AK546" s="34"/>
      <c r="AL546" s="34"/>
      <c r="AM546" s="34"/>
      <c r="AN546" s="34"/>
      <c r="AO546" s="34"/>
      <c r="AP546" s="34"/>
      <c r="AQ546" s="34"/>
      <c r="AR546" s="34"/>
    </row>
    <row r="547" spans="3:44" s="27" customFormat="1">
      <c r="C547" s="911"/>
      <c r="D547" s="29"/>
      <c r="E547" s="1249"/>
      <c r="F547" s="911"/>
      <c r="G547" s="1011"/>
      <c r="H547" s="1012"/>
      <c r="I547" s="34"/>
      <c r="J547" s="1271"/>
      <c r="K547" s="29"/>
      <c r="L547" s="1011"/>
      <c r="M547" s="911"/>
      <c r="N547" s="1011"/>
      <c r="O547" s="1011"/>
      <c r="P547" s="1012"/>
      <c r="Q547" s="1012"/>
      <c r="R547" s="38"/>
      <c r="S547" s="1011"/>
      <c r="T547" s="38"/>
      <c r="U547" s="1012"/>
      <c r="V547" s="1012"/>
      <c r="W547" s="1011"/>
      <c r="X547" s="1011"/>
      <c r="Y547" s="1011"/>
      <c r="Z547" s="1011"/>
      <c r="AA547" s="38"/>
      <c r="AB547" s="1011"/>
      <c r="AC547" s="1012"/>
      <c r="AD547" s="1012"/>
      <c r="AE547" s="1011"/>
      <c r="AF547" s="1011"/>
      <c r="AG547" s="1011"/>
      <c r="AH547" s="43"/>
      <c r="AJ547" s="110"/>
      <c r="AK547" s="34"/>
      <c r="AL547" s="34"/>
      <c r="AM547" s="34"/>
      <c r="AN547" s="34"/>
      <c r="AO547" s="34"/>
      <c r="AP547" s="34"/>
      <c r="AQ547" s="34"/>
      <c r="AR547" s="34"/>
    </row>
    <row r="548" spans="3:44" s="27" customFormat="1">
      <c r="C548" s="911"/>
      <c r="D548" s="29"/>
      <c r="E548" s="1249"/>
      <c r="F548" s="911"/>
      <c r="G548" s="1011"/>
      <c r="H548" s="1012"/>
      <c r="I548" s="34"/>
      <c r="J548" s="1271"/>
      <c r="K548" s="29"/>
      <c r="L548" s="1011"/>
      <c r="M548" s="911"/>
      <c r="N548" s="1011"/>
      <c r="O548" s="1011"/>
      <c r="P548" s="1012"/>
      <c r="Q548" s="1012"/>
      <c r="R548" s="38"/>
      <c r="S548" s="1011"/>
      <c r="T548" s="38"/>
      <c r="U548" s="1012"/>
      <c r="V548" s="1012"/>
      <c r="W548" s="1011"/>
      <c r="X548" s="1011"/>
      <c r="Y548" s="1011"/>
      <c r="Z548" s="1011"/>
      <c r="AA548" s="38"/>
      <c r="AB548" s="1011"/>
      <c r="AC548" s="1012"/>
      <c r="AD548" s="1012"/>
      <c r="AE548" s="1011"/>
      <c r="AF548" s="1011"/>
      <c r="AG548" s="1011"/>
      <c r="AH548" s="43"/>
      <c r="AJ548" s="110"/>
      <c r="AK548" s="34"/>
      <c r="AL548" s="34"/>
      <c r="AM548" s="34"/>
      <c r="AN548" s="34"/>
      <c r="AO548" s="34"/>
      <c r="AP548" s="34"/>
      <c r="AQ548" s="34"/>
      <c r="AR548" s="34"/>
    </row>
    <row r="549" spans="3:44" s="27" customFormat="1">
      <c r="C549" s="911"/>
      <c r="D549" s="29"/>
      <c r="E549" s="1249"/>
      <c r="F549" s="911"/>
      <c r="G549" s="1011"/>
      <c r="H549" s="1012"/>
      <c r="I549" s="34"/>
      <c r="J549" s="1271"/>
      <c r="K549" s="29"/>
      <c r="L549" s="1011"/>
      <c r="M549" s="911"/>
      <c r="N549" s="1011"/>
      <c r="O549" s="1011"/>
      <c r="P549" s="1012"/>
      <c r="Q549" s="1012"/>
      <c r="R549" s="38"/>
      <c r="S549" s="1011"/>
      <c r="T549" s="38"/>
      <c r="U549" s="1012"/>
      <c r="V549" s="1012"/>
      <c r="W549" s="1011"/>
      <c r="X549" s="1011"/>
      <c r="Y549" s="1011"/>
      <c r="Z549" s="1011"/>
      <c r="AA549" s="38"/>
      <c r="AB549" s="1011"/>
      <c r="AC549" s="1012"/>
      <c r="AD549" s="1012"/>
      <c r="AE549" s="1011"/>
      <c r="AF549" s="1011"/>
      <c r="AG549" s="1011"/>
      <c r="AH549" s="43"/>
      <c r="AJ549" s="110"/>
      <c r="AK549" s="34"/>
      <c r="AL549" s="34"/>
      <c r="AM549" s="34"/>
      <c r="AN549" s="34"/>
      <c r="AO549" s="34"/>
      <c r="AP549" s="34"/>
      <c r="AQ549" s="34"/>
      <c r="AR549" s="34"/>
    </row>
    <row r="550" spans="3:44" s="27" customFormat="1">
      <c r="C550" s="911"/>
      <c r="D550" s="29"/>
      <c r="E550" s="1249"/>
      <c r="F550" s="911"/>
      <c r="G550" s="1011"/>
      <c r="H550" s="1012"/>
      <c r="I550" s="34"/>
      <c r="J550" s="1271"/>
      <c r="K550" s="29"/>
      <c r="L550" s="1011"/>
      <c r="M550" s="911"/>
      <c r="N550" s="1011"/>
      <c r="O550" s="1011"/>
      <c r="P550" s="1012"/>
      <c r="Q550" s="1012"/>
      <c r="R550" s="38"/>
      <c r="S550" s="1011"/>
      <c r="T550" s="38"/>
      <c r="U550" s="1012"/>
      <c r="V550" s="1012"/>
      <c r="W550" s="1011"/>
      <c r="X550" s="1011"/>
      <c r="Y550" s="1011"/>
      <c r="Z550" s="1011"/>
      <c r="AA550" s="38"/>
      <c r="AB550" s="1011"/>
      <c r="AC550" s="1012"/>
      <c r="AD550" s="1012"/>
      <c r="AE550" s="1011"/>
      <c r="AF550" s="1011"/>
      <c r="AG550" s="1011"/>
      <c r="AH550" s="43"/>
      <c r="AJ550" s="110"/>
      <c r="AK550" s="34"/>
      <c r="AL550" s="34"/>
      <c r="AM550" s="34"/>
      <c r="AN550" s="34"/>
      <c r="AO550" s="34"/>
      <c r="AP550" s="34"/>
      <c r="AQ550" s="34"/>
      <c r="AR550" s="34"/>
    </row>
    <row r="551" spans="3:44" s="27" customFormat="1">
      <c r="C551" s="911"/>
      <c r="D551" s="29"/>
      <c r="E551" s="1249"/>
      <c r="F551" s="911"/>
      <c r="G551" s="1011"/>
      <c r="H551" s="1012"/>
      <c r="I551" s="34"/>
      <c r="J551" s="1271"/>
      <c r="K551" s="29"/>
      <c r="L551" s="1011"/>
      <c r="M551" s="911"/>
      <c r="N551" s="1011"/>
      <c r="O551" s="1011"/>
      <c r="P551" s="1012"/>
      <c r="Q551" s="1012"/>
      <c r="R551" s="38"/>
      <c r="S551" s="1011"/>
      <c r="T551" s="38"/>
      <c r="U551" s="1012"/>
      <c r="V551" s="1012"/>
      <c r="W551" s="1011"/>
      <c r="X551" s="1011"/>
      <c r="Y551" s="1011"/>
      <c r="Z551" s="1011"/>
      <c r="AA551" s="38"/>
      <c r="AB551" s="1011"/>
      <c r="AC551" s="1012"/>
      <c r="AD551" s="1012"/>
      <c r="AE551" s="1011"/>
      <c r="AF551" s="1011"/>
      <c r="AG551" s="1011"/>
      <c r="AH551" s="43"/>
      <c r="AJ551" s="110"/>
      <c r="AK551" s="34"/>
      <c r="AL551" s="34"/>
      <c r="AM551" s="34"/>
      <c r="AN551" s="34"/>
      <c r="AO551" s="34"/>
      <c r="AP551" s="34"/>
      <c r="AQ551" s="34"/>
      <c r="AR551" s="34"/>
    </row>
    <row r="552" spans="3:44" s="27" customFormat="1">
      <c r="C552" s="911"/>
      <c r="D552" s="29"/>
      <c r="E552" s="1249"/>
      <c r="F552" s="911"/>
      <c r="G552" s="1011"/>
      <c r="H552" s="1012"/>
      <c r="I552" s="34"/>
      <c r="J552" s="1271"/>
      <c r="K552" s="29"/>
      <c r="L552" s="1011"/>
      <c r="M552" s="911"/>
      <c r="N552" s="1011"/>
      <c r="O552" s="1011"/>
      <c r="P552" s="1012"/>
      <c r="Q552" s="1012"/>
      <c r="R552" s="38"/>
      <c r="S552" s="1011"/>
      <c r="T552" s="38"/>
      <c r="U552" s="1012"/>
      <c r="V552" s="1012"/>
      <c r="W552" s="1011"/>
      <c r="X552" s="1011"/>
      <c r="Y552" s="1011"/>
      <c r="Z552" s="1011"/>
      <c r="AA552" s="38"/>
      <c r="AB552" s="1011"/>
      <c r="AC552" s="1012"/>
      <c r="AD552" s="1012"/>
      <c r="AE552" s="1011"/>
      <c r="AF552" s="1011"/>
      <c r="AG552" s="1011"/>
      <c r="AH552" s="43"/>
      <c r="AJ552" s="110"/>
      <c r="AK552" s="34"/>
      <c r="AL552" s="34"/>
      <c r="AM552" s="34"/>
      <c r="AN552" s="34"/>
      <c r="AO552" s="34"/>
      <c r="AP552" s="34"/>
      <c r="AQ552" s="34"/>
      <c r="AR552" s="34"/>
    </row>
    <row r="553" spans="3:44" s="27" customFormat="1">
      <c r="C553" s="911"/>
      <c r="D553" s="29"/>
      <c r="E553" s="1249"/>
      <c r="F553" s="911"/>
      <c r="G553" s="1011"/>
      <c r="H553" s="1012"/>
      <c r="I553" s="34"/>
      <c r="J553" s="1271"/>
      <c r="K553" s="29"/>
      <c r="L553" s="1011"/>
      <c r="M553" s="911"/>
      <c r="N553" s="1011"/>
      <c r="O553" s="1011"/>
      <c r="P553" s="1012"/>
      <c r="Q553" s="1012"/>
      <c r="R553" s="38"/>
      <c r="S553" s="1011"/>
      <c r="T553" s="38"/>
      <c r="U553" s="1012"/>
      <c r="V553" s="1012"/>
      <c r="W553" s="1011"/>
      <c r="X553" s="1011"/>
      <c r="Y553" s="1011"/>
      <c r="Z553" s="1011"/>
      <c r="AA553" s="38"/>
      <c r="AB553" s="1011"/>
      <c r="AC553" s="1012"/>
      <c r="AD553" s="1012"/>
      <c r="AE553" s="1011"/>
      <c r="AF553" s="1011"/>
      <c r="AG553" s="1011"/>
      <c r="AH553" s="43"/>
      <c r="AJ553" s="110"/>
      <c r="AK553" s="34"/>
      <c r="AL553" s="34"/>
      <c r="AM553" s="34"/>
      <c r="AN553" s="34"/>
      <c r="AO553" s="34"/>
      <c r="AP553" s="34"/>
      <c r="AQ553" s="34"/>
      <c r="AR553" s="34"/>
    </row>
    <row r="554" spans="3:44" s="27" customFormat="1">
      <c r="C554" s="911"/>
      <c r="D554" s="29"/>
      <c r="E554" s="1249"/>
      <c r="F554" s="911"/>
      <c r="G554" s="1011"/>
      <c r="H554" s="1012"/>
      <c r="I554" s="34"/>
      <c r="J554" s="1271"/>
      <c r="K554" s="29"/>
      <c r="L554" s="1011"/>
      <c r="M554" s="911"/>
      <c r="N554" s="1011"/>
      <c r="O554" s="1011"/>
      <c r="P554" s="1012"/>
      <c r="Q554" s="1012"/>
      <c r="R554" s="38"/>
      <c r="S554" s="1011"/>
      <c r="T554" s="38"/>
      <c r="U554" s="1012"/>
      <c r="V554" s="1012"/>
      <c r="W554" s="1011"/>
      <c r="X554" s="1011"/>
      <c r="Y554" s="1011"/>
      <c r="Z554" s="1011"/>
      <c r="AA554" s="38"/>
      <c r="AB554" s="1011"/>
      <c r="AC554" s="1012"/>
      <c r="AD554" s="1012"/>
      <c r="AE554" s="1011"/>
      <c r="AF554" s="1011"/>
      <c r="AG554" s="1011"/>
      <c r="AH554" s="43"/>
      <c r="AJ554" s="110"/>
      <c r="AK554" s="34"/>
      <c r="AL554" s="34"/>
      <c r="AM554" s="34"/>
      <c r="AN554" s="34"/>
      <c r="AO554" s="34"/>
      <c r="AP554" s="34"/>
      <c r="AQ554" s="34"/>
      <c r="AR554" s="34"/>
    </row>
    <row r="555" spans="3:44" s="27" customFormat="1">
      <c r="C555" s="911"/>
      <c r="D555" s="29"/>
      <c r="E555" s="1249"/>
      <c r="F555" s="911"/>
      <c r="G555" s="1011"/>
      <c r="H555" s="1012"/>
      <c r="I555" s="34"/>
      <c r="J555" s="1271"/>
      <c r="K555" s="29"/>
      <c r="L555" s="1011"/>
      <c r="M555" s="911"/>
      <c r="N555" s="1011"/>
      <c r="O555" s="1011"/>
      <c r="P555" s="1012"/>
      <c r="Q555" s="1012"/>
      <c r="R555" s="38"/>
      <c r="S555" s="1011"/>
      <c r="T555" s="38"/>
      <c r="U555" s="1012"/>
      <c r="V555" s="1012"/>
      <c r="W555" s="1011"/>
      <c r="X555" s="1011"/>
      <c r="Y555" s="1011"/>
      <c r="Z555" s="1011"/>
      <c r="AA555" s="38"/>
      <c r="AB555" s="1011"/>
      <c r="AC555" s="1012"/>
      <c r="AD555" s="1012"/>
      <c r="AE555" s="1011"/>
      <c r="AF555" s="1011"/>
      <c r="AG555" s="1011"/>
      <c r="AH555" s="43"/>
      <c r="AJ555" s="110"/>
      <c r="AK555" s="34"/>
      <c r="AL555" s="34"/>
      <c r="AM555" s="34"/>
      <c r="AN555" s="34"/>
      <c r="AO555" s="34"/>
      <c r="AP555" s="34"/>
      <c r="AQ555" s="34"/>
      <c r="AR555" s="34"/>
    </row>
    <row r="556" spans="3:44" s="27" customFormat="1">
      <c r="C556" s="911"/>
      <c r="D556" s="29"/>
      <c r="E556" s="1249"/>
      <c r="F556" s="911"/>
      <c r="G556" s="1011"/>
      <c r="H556" s="1012"/>
      <c r="I556" s="34"/>
      <c r="J556" s="1271"/>
      <c r="K556" s="29"/>
      <c r="L556" s="1011"/>
      <c r="M556" s="911"/>
      <c r="N556" s="1011"/>
      <c r="O556" s="1011"/>
      <c r="P556" s="1012"/>
      <c r="Q556" s="1012"/>
      <c r="R556" s="38"/>
      <c r="S556" s="1011"/>
      <c r="T556" s="38"/>
      <c r="U556" s="1012"/>
      <c r="V556" s="1012"/>
      <c r="W556" s="1011"/>
      <c r="X556" s="1011"/>
      <c r="Y556" s="1011"/>
      <c r="Z556" s="1011"/>
      <c r="AA556" s="38"/>
      <c r="AB556" s="1011"/>
      <c r="AC556" s="1012"/>
      <c r="AD556" s="1012"/>
      <c r="AE556" s="1011"/>
      <c r="AF556" s="1011"/>
      <c r="AG556" s="1011"/>
      <c r="AH556" s="43"/>
      <c r="AJ556" s="110"/>
      <c r="AK556" s="34"/>
      <c r="AL556" s="34"/>
      <c r="AM556" s="34"/>
      <c r="AN556" s="34"/>
      <c r="AO556" s="34"/>
      <c r="AP556" s="34"/>
      <c r="AQ556" s="34"/>
      <c r="AR556" s="34"/>
    </row>
    <row r="557" spans="3:44" s="27" customFormat="1">
      <c r="C557" s="911"/>
      <c r="D557" s="29"/>
      <c r="E557" s="1249"/>
      <c r="F557" s="911"/>
      <c r="G557" s="1011"/>
      <c r="H557" s="1012"/>
      <c r="I557" s="34"/>
      <c r="J557" s="1271"/>
      <c r="K557" s="29"/>
      <c r="L557" s="1011"/>
      <c r="M557" s="911"/>
      <c r="N557" s="1011"/>
      <c r="O557" s="1011"/>
      <c r="P557" s="1012"/>
      <c r="Q557" s="1012"/>
      <c r="R557" s="38"/>
      <c r="S557" s="1011"/>
      <c r="T557" s="38"/>
      <c r="U557" s="1012"/>
      <c r="V557" s="1012"/>
      <c r="W557" s="1011"/>
      <c r="X557" s="1011"/>
      <c r="Y557" s="1011"/>
      <c r="Z557" s="1011"/>
      <c r="AA557" s="38"/>
      <c r="AB557" s="1011"/>
      <c r="AC557" s="1012"/>
      <c r="AD557" s="1012"/>
      <c r="AE557" s="1011"/>
      <c r="AF557" s="1011"/>
      <c r="AG557" s="1011"/>
      <c r="AH557" s="43"/>
      <c r="AJ557" s="110"/>
      <c r="AK557" s="34"/>
      <c r="AL557" s="34"/>
      <c r="AM557" s="34"/>
      <c r="AN557" s="34"/>
      <c r="AO557" s="34"/>
      <c r="AP557" s="34"/>
      <c r="AQ557" s="34"/>
      <c r="AR557" s="34"/>
    </row>
    <row r="558" spans="3:44" s="27" customFormat="1">
      <c r="C558" s="911"/>
      <c r="D558" s="29"/>
      <c r="E558" s="1249"/>
      <c r="F558" s="911"/>
      <c r="G558" s="1011"/>
      <c r="H558" s="1012"/>
      <c r="I558" s="34"/>
      <c r="J558" s="1271"/>
      <c r="K558" s="29"/>
      <c r="L558" s="1011"/>
      <c r="M558" s="911"/>
      <c r="N558" s="1011"/>
      <c r="O558" s="1011"/>
      <c r="P558" s="1012"/>
      <c r="Q558" s="1012"/>
      <c r="R558" s="38"/>
      <c r="S558" s="1011"/>
      <c r="T558" s="38"/>
      <c r="U558" s="1012"/>
      <c r="V558" s="1012"/>
      <c r="W558" s="1011"/>
      <c r="X558" s="1011"/>
      <c r="Y558" s="1011"/>
      <c r="Z558" s="1011"/>
      <c r="AA558" s="38"/>
      <c r="AB558" s="1011"/>
      <c r="AC558" s="1012"/>
      <c r="AD558" s="1012"/>
      <c r="AE558" s="1011"/>
      <c r="AF558" s="1011"/>
      <c r="AG558" s="1011"/>
      <c r="AH558" s="43"/>
      <c r="AJ558" s="110"/>
      <c r="AK558" s="34"/>
      <c r="AL558" s="34"/>
      <c r="AM558" s="34"/>
      <c r="AN558" s="34"/>
      <c r="AO558" s="34"/>
      <c r="AP558" s="34"/>
      <c r="AQ558" s="34"/>
      <c r="AR558" s="34"/>
    </row>
    <row r="559" spans="3:44" s="27" customFormat="1">
      <c r="C559" s="911"/>
      <c r="D559" s="29"/>
      <c r="E559" s="1249"/>
      <c r="F559" s="911"/>
      <c r="G559" s="1011"/>
      <c r="H559" s="1012"/>
      <c r="I559" s="34"/>
      <c r="J559" s="1271"/>
      <c r="K559" s="29"/>
      <c r="L559" s="1011"/>
      <c r="M559" s="911"/>
      <c r="N559" s="1011"/>
      <c r="O559" s="1011"/>
      <c r="P559" s="1012"/>
      <c r="Q559" s="1012"/>
      <c r="R559" s="38"/>
      <c r="S559" s="1011"/>
      <c r="T559" s="38"/>
      <c r="U559" s="1012"/>
      <c r="V559" s="1012"/>
      <c r="W559" s="1011"/>
      <c r="X559" s="1011"/>
      <c r="Y559" s="1011"/>
      <c r="Z559" s="1011"/>
      <c r="AA559" s="38"/>
      <c r="AB559" s="1011"/>
      <c r="AC559" s="1012"/>
      <c r="AD559" s="1012"/>
      <c r="AE559" s="1011"/>
      <c r="AF559" s="1011"/>
      <c r="AG559" s="1011"/>
      <c r="AH559" s="43"/>
      <c r="AJ559" s="110"/>
      <c r="AK559" s="34"/>
      <c r="AL559" s="34"/>
      <c r="AM559" s="34"/>
      <c r="AN559" s="34"/>
      <c r="AO559" s="34"/>
      <c r="AP559" s="34"/>
      <c r="AQ559" s="34"/>
      <c r="AR559" s="34"/>
    </row>
    <row r="560" spans="3:44" s="27" customFormat="1">
      <c r="C560" s="911"/>
      <c r="D560" s="29"/>
      <c r="E560" s="1249"/>
      <c r="F560" s="911"/>
      <c r="G560" s="1011"/>
      <c r="H560" s="1012"/>
      <c r="I560" s="34"/>
      <c r="J560" s="1271"/>
      <c r="K560" s="29"/>
      <c r="L560" s="1011"/>
      <c r="M560" s="911"/>
      <c r="N560" s="1011"/>
      <c r="O560" s="1011"/>
      <c r="P560" s="1012"/>
      <c r="Q560" s="1012"/>
      <c r="R560" s="38"/>
      <c r="S560" s="1011"/>
      <c r="T560" s="38"/>
      <c r="U560" s="1012"/>
      <c r="V560" s="1012"/>
      <c r="W560" s="1011"/>
      <c r="X560" s="1011"/>
      <c r="Y560" s="1011"/>
      <c r="Z560" s="1011"/>
      <c r="AA560" s="38"/>
      <c r="AB560" s="1011"/>
      <c r="AC560" s="1012"/>
      <c r="AD560" s="1012"/>
      <c r="AE560" s="1011"/>
      <c r="AF560" s="1011"/>
      <c r="AG560" s="1011"/>
      <c r="AH560" s="43"/>
      <c r="AJ560" s="110"/>
      <c r="AK560" s="34"/>
      <c r="AL560" s="34"/>
      <c r="AM560" s="34"/>
      <c r="AN560" s="34"/>
      <c r="AO560" s="34"/>
      <c r="AP560" s="34"/>
      <c r="AQ560" s="34"/>
      <c r="AR560" s="34"/>
    </row>
    <row r="561" spans="3:44" s="27" customFormat="1">
      <c r="C561" s="911"/>
      <c r="D561" s="29"/>
      <c r="E561" s="1249"/>
      <c r="F561" s="911"/>
      <c r="G561" s="1011"/>
      <c r="H561" s="1012"/>
      <c r="I561" s="34"/>
      <c r="J561" s="1271"/>
      <c r="K561" s="29"/>
      <c r="L561" s="1011"/>
      <c r="M561" s="911"/>
      <c r="N561" s="1011"/>
      <c r="O561" s="1011"/>
      <c r="P561" s="1012"/>
      <c r="Q561" s="1012"/>
      <c r="R561" s="38"/>
      <c r="S561" s="1011"/>
      <c r="T561" s="38"/>
      <c r="U561" s="1012"/>
      <c r="V561" s="1012"/>
      <c r="W561" s="1011"/>
      <c r="X561" s="1011"/>
      <c r="Y561" s="1011"/>
      <c r="Z561" s="1011"/>
      <c r="AA561" s="38"/>
      <c r="AB561" s="1011"/>
      <c r="AC561" s="1012"/>
      <c r="AD561" s="1012"/>
      <c r="AE561" s="1011"/>
      <c r="AF561" s="1011"/>
      <c r="AG561" s="1011"/>
      <c r="AH561" s="43"/>
      <c r="AJ561" s="110"/>
      <c r="AK561" s="34"/>
      <c r="AL561" s="34"/>
      <c r="AM561" s="34"/>
      <c r="AN561" s="34"/>
      <c r="AO561" s="34"/>
      <c r="AP561" s="34"/>
      <c r="AQ561" s="34"/>
      <c r="AR561" s="34"/>
    </row>
    <row r="562" spans="3:44" s="27" customFormat="1">
      <c r="C562" s="911"/>
      <c r="D562" s="29"/>
      <c r="E562" s="1249"/>
      <c r="F562" s="911"/>
      <c r="G562" s="1011"/>
      <c r="H562" s="1012"/>
      <c r="I562" s="34"/>
      <c r="J562" s="1271"/>
      <c r="K562" s="29"/>
      <c r="L562" s="1011"/>
      <c r="M562" s="911"/>
      <c r="N562" s="1011"/>
      <c r="O562" s="1011"/>
      <c r="P562" s="1012"/>
      <c r="Q562" s="1012"/>
      <c r="R562" s="38"/>
      <c r="S562" s="1011"/>
      <c r="T562" s="38"/>
      <c r="U562" s="1012"/>
      <c r="V562" s="1012"/>
      <c r="W562" s="1011"/>
      <c r="X562" s="1011"/>
      <c r="Y562" s="1011"/>
      <c r="Z562" s="1011"/>
      <c r="AA562" s="38"/>
      <c r="AB562" s="1011"/>
      <c r="AC562" s="1012"/>
      <c r="AD562" s="1012"/>
      <c r="AE562" s="1011"/>
      <c r="AF562" s="1011"/>
      <c r="AG562" s="1011"/>
      <c r="AH562" s="43"/>
      <c r="AJ562" s="110"/>
      <c r="AK562" s="34"/>
      <c r="AL562" s="34"/>
      <c r="AM562" s="34"/>
      <c r="AN562" s="34"/>
      <c r="AO562" s="34"/>
      <c r="AP562" s="34"/>
      <c r="AQ562" s="34"/>
      <c r="AR562" s="34"/>
    </row>
    <row r="563" spans="3:44" s="27" customFormat="1">
      <c r="C563" s="911"/>
      <c r="D563" s="29"/>
      <c r="E563" s="1249"/>
      <c r="F563" s="911"/>
      <c r="G563" s="1011"/>
      <c r="H563" s="1012"/>
      <c r="I563" s="34"/>
      <c r="J563" s="1271"/>
      <c r="K563" s="29"/>
      <c r="L563" s="1011"/>
      <c r="M563" s="911"/>
      <c r="N563" s="1011"/>
      <c r="O563" s="1011"/>
      <c r="P563" s="1012"/>
      <c r="Q563" s="1012"/>
      <c r="R563" s="38"/>
      <c r="S563" s="1011"/>
      <c r="T563" s="38"/>
      <c r="U563" s="1012"/>
      <c r="V563" s="1012"/>
      <c r="W563" s="1011"/>
      <c r="X563" s="1011"/>
      <c r="Y563" s="1011"/>
      <c r="Z563" s="1011"/>
      <c r="AA563" s="38"/>
      <c r="AB563" s="1011"/>
      <c r="AC563" s="1012"/>
      <c r="AD563" s="1012"/>
      <c r="AE563" s="1011"/>
      <c r="AF563" s="1011"/>
      <c r="AG563" s="1011"/>
      <c r="AH563" s="43"/>
      <c r="AJ563" s="110"/>
      <c r="AK563" s="34"/>
      <c r="AL563" s="34"/>
      <c r="AM563" s="34"/>
      <c r="AN563" s="34"/>
      <c r="AO563" s="34"/>
      <c r="AP563" s="34"/>
      <c r="AQ563" s="34"/>
      <c r="AR563" s="34"/>
    </row>
    <row r="564" spans="3:44" s="27" customFormat="1">
      <c r="C564" s="911"/>
      <c r="D564" s="29"/>
      <c r="E564" s="1249"/>
      <c r="F564" s="911"/>
      <c r="G564" s="1011"/>
      <c r="H564" s="1012"/>
      <c r="I564" s="34"/>
      <c r="J564" s="1271"/>
      <c r="K564" s="29"/>
      <c r="L564" s="1011"/>
      <c r="M564" s="911"/>
      <c r="N564" s="1011"/>
      <c r="O564" s="1011"/>
      <c r="P564" s="1012"/>
      <c r="Q564" s="1012"/>
      <c r="R564" s="38"/>
      <c r="S564" s="1011"/>
      <c r="T564" s="38"/>
      <c r="U564" s="1012"/>
      <c r="V564" s="1012"/>
      <c r="W564" s="1011"/>
      <c r="X564" s="1011"/>
      <c r="Y564" s="1011"/>
      <c r="Z564" s="1011"/>
      <c r="AA564" s="38"/>
      <c r="AB564" s="1011"/>
      <c r="AC564" s="1012"/>
      <c r="AD564" s="1012"/>
      <c r="AE564" s="1011"/>
      <c r="AF564" s="1011"/>
      <c r="AG564" s="1011"/>
      <c r="AH564" s="43"/>
      <c r="AJ564" s="110"/>
      <c r="AK564" s="34"/>
      <c r="AL564" s="34"/>
      <c r="AM564" s="34"/>
      <c r="AN564" s="34"/>
      <c r="AO564" s="34"/>
      <c r="AP564" s="34"/>
      <c r="AQ564" s="34"/>
      <c r="AR564" s="34"/>
    </row>
    <row r="565" spans="3:44" s="27" customFormat="1">
      <c r="C565" s="911"/>
      <c r="D565" s="29"/>
      <c r="E565" s="1249"/>
      <c r="F565" s="911"/>
      <c r="G565" s="1011"/>
      <c r="H565" s="1012"/>
      <c r="I565" s="34"/>
      <c r="J565" s="1271"/>
      <c r="K565" s="29"/>
      <c r="L565" s="1011"/>
      <c r="M565" s="911"/>
      <c r="N565" s="1011"/>
      <c r="O565" s="1011"/>
      <c r="P565" s="1012"/>
      <c r="Q565" s="1012"/>
      <c r="R565" s="38"/>
      <c r="S565" s="1011"/>
      <c r="T565" s="38"/>
      <c r="U565" s="1012"/>
      <c r="V565" s="1012"/>
      <c r="W565" s="1011"/>
      <c r="X565" s="1011"/>
      <c r="Y565" s="1011"/>
      <c r="Z565" s="1011"/>
      <c r="AA565" s="38"/>
      <c r="AB565" s="1011"/>
      <c r="AC565" s="1012"/>
      <c r="AD565" s="1012"/>
      <c r="AE565" s="1011"/>
      <c r="AF565" s="1011"/>
      <c r="AG565" s="1011"/>
      <c r="AH565" s="43"/>
      <c r="AJ565" s="110"/>
      <c r="AK565" s="34"/>
      <c r="AL565" s="34"/>
      <c r="AM565" s="34"/>
      <c r="AN565" s="34"/>
      <c r="AO565" s="34"/>
      <c r="AP565" s="34"/>
      <c r="AQ565" s="34"/>
      <c r="AR565" s="34"/>
    </row>
    <row r="566" spans="3:44" s="27" customFormat="1">
      <c r="C566" s="911"/>
      <c r="D566" s="29"/>
      <c r="E566" s="1249"/>
      <c r="F566" s="911"/>
      <c r="G566" s="1011"/>
      <c r="H566" s="1012"/>
      <c r="I566" s="34"/>
      <c r="J566" s="1271"/>
      <c r="K566" s="29"/>
      <c r="L566" s="1011"/>
      <c r="M566" s="911"/>
      <c r="N566" s="1011"/>
      <c r="O566" s="1011"/>
      <c r="P566" s="1012"/>
      <c r="Q566" s="1012"/>
      <c r="R566" s="38"/>
      <c r="S566" s="1011"/>
      <c r="T566" s="38"/>
      <c r="U566" s="1012"/>
      <c r="V566" s="1012"/>
      <c r="W566" s="1011"/>
      <c r="X566" s="1011"/>
      <c r="Y566" s="1011"/>
      <c r="Z566" s="1011"/>
      <c r="AA566" s="38"/>
      <c r="AB566" s="1011"/>
      <c r="AC566" s="1012"/>
      <c r="AD566" s="1012"/>
      <c r="AE566" s="1011"/>
      <c r="AF566" s="1011"/>
      <c r="AG566" s="1011"/>
      <c r="AH566" s="43"/>
      <c r="AJ566" s="110"/>
      <c r="AK566" s="34"/>
      <c r="AL566" s="34"/>
      <c r="AM566" s="34"/>
      <c r="AN566" s="34"/>
      <c r="AO566" s="34"/>
      <c r="AP566" s="34"/>
      <c r="AQ566" s="34"/>
      <c r="AR566" s="34"/>
    </row>
    <row r="567" spans="3:44" s="27" customFormat="1">
      <c r="C567" s="911"/>
      <c r="D567" s="29"/>
      <c r="E567" s="1249"/>
      <c r="F567" s="911"/>
      <c r="G567" s="1011"/>
      <c r="H567" s="1012"/>
      <c r="I567" s="34"/>
      <c r="J567" s="1271"/>
      <c r="K567" s="29"/>
      <c r="L567" s="1011"/>
      <c r="M567" s="911"/>
      <c r="N567" s="1011"/>
      <c r="O567" s="1011"/>
      <c r="P567" s="1012"/>
      <c r="Q567" s="1012"/>
      <c r="R567" s="38"/>
      <c r="S567" s="1011"/>
      <c r="T567" s="38"/>
      <c r="U567" s="1012"/>
      <c r="V567" s="1012"/>
      <c r="W567" s="1011"/>
      <c r="X567" s="1011"/>
      <c r="Y567" s="1011"/>
      <c r="Z567" s="1011"/>
      <c r="AA567" s="38"/>
      <c r="AB567" s="1011"/>
      <c r="AC567" s="1012"/>
      <c r="AD567" s="1012"/>
      <c r="AE567" s="1011"/>
      <c r="AF567" s="1011"/>
      <c r="AG567" s="1011"/>
      <c r="AH567" s="43"/>
      <c r="AJ567" s="110"/>
      <c r="AK567" s="34"/>
      <c r="AL567" s="34"/>
      <c r="AM567" s="34"/>
      <c r="AN567" s="34"/>
      <c r="AO567" s="34"/>
      <c r="AP567" s="34"/>
      <c r="AQ567" s="34"/>
      <c r="AR567" s="34"/>
    </row>
    <row r="568" spans="3:44" s="27" customFormat="1">
      <c r="C568" s="911"/>
      <c r="D568" s="29"/>
      <c r="E568" s="1249"/>
      <c r="F568" s="911"/>
      <c r="G568" s="1011"/>
      <c r="H568" s="1012"/>
      <c r="I568" s="34"/>
      <c r="J568" s="1271"/>
      <c r="K568" s="29"/>
      <c r="L568" s="1011"/>
      <c r="M568" s="911"/>
      <c r="N568" s="1011"/>
      <c r="O568" s="1011"/>
      <c r="P568" s="1012"/>
      <c r="Q568" s="1012"/>
      <c r="R568" s="38"/>
      <c r="S568" s="1011"/>
      <c r="T568" s="38"/>
      <c r="U568" s="1012"/>
      <c r="V568" s="1012"/>
      <c r="W568" s="1011"/>
      <c r="X568" s="1011"/>
      <c r="Y568" s="1011"/>
      <c r="Z568" s="1011"/>
      <c r="AA568" s="38"/>
      <c r="AB568" s="1011"/>
      <c r="AC568" s="1012"/>
      <c r="AD568" s="1012"/>
      <c r="AE568" s="1011"/>
      <c r="AF568" s="1011"/>
      <c r="AG568" s="1011"/>
      <c r="AH568" s="43"/>
      <c r="AJ568" s="110"/>
      <c r="AK568" s="34"/>
      <c r="AL568" s="34"/>
      <c r="AM568" s="34"/>
      <c r="AN568" s="34"/>
      <c r="AO568" s="34"/>
      <c r="AP568" s="34"/>
      <c r="AQ568" s="34"/>
      <c r="AR568" s="34"/>
    </row>
    <row r="569" spans="3:44" s="27" customFormat="1">
      <c r="C569" s="911"/>
      <c r="D569" s="29"/>
      <c r="E569" s="1249"/>
      <c r="F569" s="911"/>
      <c r="G569" s="1011"/>
      <c r="H569" s="1012"/>
      <c r="I569" s="34"/>
      <c r="J569" s="1271"/>
      <c r="K569" s="29"/>
      <c r="L569" s="1011"/>
      <c r="M569" s="911"/>
      <c r="N569" s="1011"/>
      <c r="O569" s="1011"/>
      <c r="P569" s="1012"/>
      <c r="Q569" s="1012"/>
      <c r="R569" s="38"/>
      <c r="S569" s="1011"/>
      <c r="T569" s="38"/>
      <c r="U569" s="1012"/>
      <c r="V569" s="1012"/>
      <c r="W569" s="1011"/>
      <c r="X569" s="1011"/>
      <c r="Y569" s="1011"/>
      <c r="Z569" s="1011"/>
      <c r="AA569" s="38"/>
      <c r="AB569" s="1011"/>
      <c r="AC569" s="1012"/>
      <c r="AD569" s="1012"/>
      <c r="AE569" s="1011"/>
      <c r="AF569" s="1011"/>
      <c r="AG569" s="1011"/>
      <c r="AH569" s="43"/>
      <c r="AJ569" s="110"/>
      <c r="AK569" s="34"/>
      <c r="AL569" s="34"/>
      <c r="AM569" s="34"/>
      <c r="AN569" s="34"/>
      <c r="AO569" s="34"/>
      <c r="AP569" s="34"/>
      <c r="AQ569" s="34"/>
      <c r="AR569" s="34"/>
    </row>
    <row r="570" spans="3:44" s="27" customFormat="1">
      <c r="C570" s="911"/>
      <c r="D570" s="29"/>
      <c r="E570" s="1249"/>
      <c r="F570" s="911"/>
      <c r="G570" s="1011"/>
      <c r="H570" s="1012"/>
      <c r="I570" s="34"/>
      <c r="J570" s="1271"/>
      <c r="K570" s="29"/>
      <c r="L570" s="1011"/>
      <c r="M570" s="911"/>
      <c r="N570" s="1011"/>
      <c r="O570" s="1011"/>
      <c r="P570" s="1012"/>
      <c r="Q570" s="1012"/>
      <c r="R570" s="38"/>
      <c r="S570" s="1011"/>
      <c r="T570" s="38"/>
      <c r="U570" s="1012"/>
      <c r="V570" s="1012"/>
      <c r="W570" s="1011"/>
      <c r="X570" s="1011"/>
      <c r="Y570" s="1011"/>
      <c r="Z570" s="1011"/>
      <c r="AA570" s="38"/>
      <c r="AB570" s="1011"/>
      <c r="AC570" s="1012"/>
      <c r="AD570" s="1012"/>
      <c r="AE570" s="1011"/>
      <c r="AF570" s="1011"/>
      <c r="AG570" s="1011"/>
      <c r="AH570" s="43"/>
      <c r="AJ570" s="110"/>
      <c r="AK570" s="34"/>
      <c r="AL570" s="34"/>
      <c r="AM570" s="34"/>
      <c r="AN570" s="34"/>
      <c r="AO570" s="34"/>
      <c r="AP570" s="34"/>
      <c r="AQ570" s="34"/>
      <c r="AR570" s="34"/>
    </row>
    <row r="571" spans="3:44" s="27" customFormat="1">
      <c r="C571" s="911"/>
      <c r="D571" s="29"/>
      <c r="E571" s="1249"/>
      <c r="F571" s="911"/>
      <c r="G571" s="1011"/>
      <c r="H571" s="1012"/>
      <c r="I571" s="34"/>
      <c r="J571" s="1271"/>
      <c r="K571" s="29"/>
      <c r="L571" s="1011"/>
      <c r="M571" s="911"/>
      <c r="N571" s="1011"/>
      <c r="O571" s="1011"/>
      <c r="P571" s="1012"/>
      <c r="Q571" s="1012"/>
      <c r="R571" s="38"/>
      <c r="S571" s="1011"/>
      <c r="T571" s="38"/>
      <c r="U571" s="1012"/>
      <c r="V571" s="1012"/>
      <c r="W571" s="1011"/>
      <c r="X571" s="1011"/>
      <c r="Y571" s="1011"/>
      <c r="Z571" s="1011"/>
      <c r="AA571" s="38"/>
      <c r="AB571" s="1011"/>
      <c r="AC571" s="1012"/>
      <c r="AD571" s="1012"/>
      <c r="AE571" s="1011"/>
      <c r="AF571" s="1011"/>
      <c r="AG571" s="1011"/>
      <c r="AH571" s="43"/>
      <c r="AJ571" s="110"/>
      <c r="AK571" s="34"/>
      <c r="AL571" s="34"/>
      <c r="AM571" s="34"/>
      <c r="AN571" s="34"/>
      <c r="AO571" s="34"/>
      <c r="AP571" s="34"/>
      <c r="AQ571" s="34"/>
      <c r="AR571" s="34"/>
    </row>
    <row r="572" spans="3:44" s="27" customFormat="1">
      <c r="C572" s="911"/>
      <c r="D572" s="29"/>
      <c r="E572" s="1249"/>
      <c r="F572" s="911"/>
      <c r="G572" s="1011"/>
      <c r="H572" s="1012"/>
      <c r="I572" s="34"/>
      <c r="J572" s="1271"/>
      <c r="K572" s="29"/>
      <c r="L572" s="1011"/>
      <c r="M572" s="911"/>
      <c r="N572" s="1011"/>
      <c r="O572" s="1011"/>
      <c r="P572" s="1012"/>
      <c r="Q572" s="1012"/>
      <c r="R572" s="38"/>
      <c r="S572" s="1011"/>
      <c r="T572" s="38"/>
      <c r="U572" s="1012"/>
      <c r="V572" s="1012"/>
      <c r="W572" s="1011"/>
      <c r="X572" s="1011"/>
      <c r="Y572" s="1011"/>
      <c r="Z572" s="1011"/>
      <c r="AA572" s="38"/>
      <c r="AB572" s="1011"/>
      <c r="AC572" s="1012"/>
      <c r="AD572" s="1012"/>
      <c r="AE572" s="1011"/>
      <c r="AF572" s="1011"/>
      <c r="AG572" s="1011"/>
      <c r="AH572" s="43"/>
      <c r="AJ572" s="110"/>
      <c r="AK572" s="34"/>
      <c r="AL572" s="34"/>
      <c r="AM572" s="34"/>
      <c r="AN572" s="34"/>
      <c r="AO572" s="34"/>
      <c r="AP572" s="34"/>
      <c r="AQ572" s="34"/>
      <c r="AR572" s="34"/>
    </row>
    <row r="573" spans="3:44" s="27" customFormat="1">
      <c r="C573" s="911"/>
      <c r="D573" s="29"/>
      <c r="E573" s="1249"/>
      <c r="F573" s="911"/>
      <c r="G573" s="1011"/>
      <c r="H573" s="1012"/>
      <c r="I573" s="34"/>
      <c r="J573" s="1271"/>
      <c r="K573" s="29"/>
      <c r="L573" s="1011"/>
      <c r="M573" s="911"/>
      <c r="N573" s="1011"/>
      <c r="O573" s="1011"/>
      <c r="P573" s="1012"/>
      <c r="Q573" s="1012"/>
      <c r="R573" s="38"/>
      <c r="S573" s="1011"/>
      <c r="T573" s="38"/>
      <c r="U573" s="1012"/>
      <c r="V573" s="1012"/>
      <c r="W573" s="1011"/>
      <c r="X573" s="1011"/>
      <c r="Y573" s="1011"/>
      <c r="Z573" s="1011"/>
      <c r="AA573" s="38"/>
      <c r="AB573" s="1011"/>
      <c r="AC573" s="1012"/>
      <c r="AD573" s="1012"/>
      <c r="AE573" s="1011"/>
      <c r="AF573" s="1011"/>
      <c r="AG573" s="1011"/>
      <c r="AH573" s="43"/>
      <c r="AJ573" s="110"/>
      <c r="AK573" s="34"/>
      <c r="AL573" s="34"/>
      <c r="AM573" s="34"/>
      <c r="AN573" s="34"/>
      <c r="AO573" s="34"/>
      <c r="AP573" s="34"/>
      <c r="AQ573" s="34"/>
      <c r="AR573" s="34"/>
    </row>
    <row r="574" spans="3:44" s="27" customFormat="1">
      <c r="C574" s="911"/>
      <c r="D574" s="29"/>
      <c r="E574" s="1249"/>
      <c r="F574" s="911"/>
      <c r="G574" s="1011"/>
      <c r="H574" s="1012"/>
      <c r="I574" s="34"/>
      <c r="J574" s="1271"/>
      <c r="K574" s="29"/>
      <c r="L574" s="1011"/>
      <c r="M574" s="911"/>
      <c r="N574" s="1011"/>
      <c r="O574" s="1011"/>
      <c r="P574" s="1012"/>
      <c r="Q574" s="1012"/>
      <c r="R574" s="38"/>
      <c r="S574" s="1011"/>
      <c r="T574" s="38"/>
      <c r="U574" s="1012"/>
      <c r="V574" s="1012"/>
      <c r="W574" s="1011"/>
      <c r="X574" s="1011"/>
      <c r="Y574" s="1011"/>
      <c r="Z574" s="1011"/>
      <c r="AA574" s="38"/>
      <c r="AB574" s="1011"/>
      <c r="AC574" s="1012"/>
      <c r="AD574" s="1012"/>
      <c r="AE574" s="1011"/>
      <c r="AF574" s="1011"/>
      <c r="AG574" s="1011"/>
      <c r="AH574" s="43"/>
      <c r="AJ574" s="110"/>
      <c r="AK574" s="34"/>
      <c r="AL574" s="34"/>
      <c r="AM574" s="34"/>
      <c r="AN574" s="34"/>
      <c r="AO574" s="34"/>
      <c r="AP574" s="34"/>
      <c r="AQ574" s="34"/>
      <c r="AR574" s="34"/>
    </row>
    <row r="575" spans="3:44" s="27" customFormat="1">
      <c r="C575" s="911"/>
      <c r="D575" s="29"/>
      <c r="E575" s="1249"/>
      <c r="F575" s="911"/>
      <c r="G575" s="1011"/>
      <c r="H575" s="1012"/>
      <c r="I575" s="34"/>
      <c r="J575" s="1271"/>
      <c r="K575" s="29"/>
      <c r="L575" s="1011"/>
      <c r="M575" s="911"/>
      <c r="N575" s="1011"/>
      <c r="O575" s="1011"/>
      <c r="P575" s="1012"/>
      <c r="Q575" s="1012"/>
      <c r="R575" s="38"/>
      <c r="S575" s="1011"/>
      <c r="T575" s="38"/>
      <c r="U575" s="1012"/>
      <c r="V575" s="1012"/>
      <c r="W575" s="1011"/>
      <c r="X575" s="1011"/>
      <c r="Y575" s="1011"/>
      <c r="Z575" s="1011"/>
      <c r="AA575" s="38"/>
      <c r="AB575" s="1011"/>
      <c r="AC575" s="1012"/>
      <c r="AD575" s="1012"/>
      <c r="AE575" s="1011"/>
      <c r="AF575" s="1011"/>
      <c r="AG575" s="1011"/>
      <c r="AH575" s="43"/>
      <c r="AJ575" s="110"/>
      <c r="AK575" s="34"/>
      <c r="AL575" s="34"/>
      <c r="AM575" s="34"/>
      <c r="AN575" s="34"/>
      <c r="AO575" s="34"/>
      <c r="AP575" s="34"/>
      <c r="AQ575" s="34"/>
      <c r="AR575" s="34"/>
    </row>
    <row r="576" spans="3:44" s="27" customFormat="1">
      <c r="C576" s="911"/>
      <c r="D576" s="29"/>
      <c r="E576" s="1249"/>
      <c r="F576" s="911"/>
      <c r="G576" s="1011"/>
      <c r="H576" s="1012"/>
      <c r="I576" s="34"/>
      <c r="J576" s="1271"/>
      <c r="K576" s="29"/>
      <c r="L576" s="1011"/>
      <c r="M576" s="911"/>
      <c r="N576" s="1011"/>
      <c r="O576" s="1011"/>
      <c r="P576" s="1012"/>
      <c r="Q576" s="1012"/>
      <c r="R576" s="38"/>
      <c r="S576" s="1011"/>
      <c r="T576" s="38"/>
      <c r="U576" s="1012"/>
      <c r="V576" s="1012"/>
      <c r="W576" s="1011"/>
      <c r="X576" s="1011"/>
      <c r="Y576" s="1011"/>
      <c r="Z576" s="1011"/>
      <c r="AA576" s="38"/>
      <c r="AB576" s="1011"/>
      <c r="AC576" s="1012"/>
      <c r="AD576" s="1012"/>
      <c r="AE576" s="1011"/>
      <c r="AF576" s="1011"/>
      <c r="AG576" s="1011"/>
      <c r="AH576" s="43"/>
      <c r="AJ576" s="110"/>
      <c r="AK576" s="34"/>
      <c r="AL576" s="34"/>
      <c r="AM576" s="34"/>
      <c r="AN576" s="34"/>
      <c r="AO576" s="34"/>
      <c r="AP576" s="34"/>
      <c r="AQ576" s="34"/>
      <c r="AR576" s="34"/>
    </row>
    <row r="577" spans="3:44" s="27" customFormat="1">
      <c r="C577" s="911"/>
      <c r="D577" s="29"/>
      <c r="E577" s="1249"/>
      <c r="F577" s="911"/>
      <c r="G577" s="1011"/>
      <c r="H577" s="1012"/>
      <c r="I577" s="34"/>
      <c r="J577" s="1271"/>
      <c r="K577" s="29"/>
      <c r="L577" s="1011"/>
      <c r="M577" s="911"/>
      <c r="N577" s="1011"/>
      <c r="O577" s="1011"/>
      <c r="P577" s="1012"/>
      <c r="Q577" s="1012"/>
      <c r="R577" s="38"/>
      <c r="S577" s="1011"/>
      <c r="T577" s="38"/>
      <c r="U577" s="1012"/>
      <c r="V577" s="1012"/>
      <c r="W577" s="1011"/>
      <c r="X577" s="1011"/>
      <c r="Y577" s="1011"/>
      <c r="Z577" s="1011"/>
      <c r="AA577" s="38"/>
      <c r="AB577" s="1011"/>
      <c r="AC577" s="1012"/>
      <c r="AD577" s="1012"/>
      <c r="AE577" s="1011"/>
      <c r="AF577" s="1011"/>
      <c r="AG577" s="1011"/>
      <c r="AH577" s="43"/>
      <c r="AJ577" s="110"/>
      <c r="AK577" s="34"/>
      <c r="AL577" s="34"/>
      <c r="AM577" s="34"/>
      <c r="AN577" s="34"/>
      <c r="AO577" s="34"/>
      <c r="AP577" s="34"/>
      <c r="AQ577" s="34"/>
      <c r="AR577" s="34"/>
    </row>
    <row r="578" spans="3:44" s="27" customFormat="1">
      <c r="C578" s="911"/>
      <c r="D578" s="29"/>
      <c r="E578" s="1249"/>
      <c r="F578" s="911"/>
      <c r="G578" s="1011"/>
      <c r="H578" s="1012"/>
      <c r="I578" s="34"/>
      <c r="J578" s="1271"/>
      <c r="K578" s="29"/>
      <c r="L578" s="1011"/>
      <c r="M578" s="911"/>
      <c r="N578" s="1011"/>
      <c r="O578" s="1011"/>
      <c r="P578" s="1012"/>
      <c r="Q578" s="1012"/>
      <c r="R578" s="38"/>
      <c r="S578" s="1011"/>
      <c r="T578" s="38"/>
      <c r="U578" s="1012"/>
      <c r="V578" s="1012"/>
      <c r="W578" s="1011"/>
      <c r="X578" s="1011"/>
      <c r="Y578" s="1011"/>
      <c r="Z578" s="1011"/>
      <c r="AA578" s="38"/>
      <c r="AB578" s="1011"/>
      <c r="AC578" s="1012"/>
      <c r="AD578" s="1012"/>
      <c r="AE578" s="1011"/>
      <c r="AF578" s="1011"/>
      <c r="AG578" s="1011"/>
      <c r="AH578" s="43"/>
      <c r="AJ578" s="110"/>
      <c r="AK578" s="34"/>
      <c r="AL578" s="34"/>
      <c r="AM578" s="34"/>
      <c r="AN578" s="34"/>
      <c r="AO578" s="34"/>
      <c r="AP578" s="34"/>
      <c r="AQ578" s="34"/>
      <c r="AR578" s="34"/>
    </row>
    <row r="579" spans="3:44" s="27" customFormat="1">
      <c r="C579" s="911"/>
      <c r="D579" s="29"/>
      <c r="E579" s="1249"/>
      <c r="F579" s="911"/>
      <c r="G579" s="1011"/>
      <c r="H579" s="1012"/>
      <c r="I579" s="34"/>
      <c r="J579" s="1271"/>
      <c r="K579" s="29"/>
      <c r="L579" s="1011"/>
      <c r="M579" s="911"/>
      <c r="N579" s="1011"/>
      <c r="O579" s="1011"/>
      <c r="P579" s="1012"/>
      <c r="Q579" s="1012"/>
      <c r="R579" s="38"/>
      <c r="S579" s="1011"/>
      <c r="T579" s="38"/>
      <c r="U579" s="1012"/>
      <c r="V579" s="1012"/>
      <c r="W579" s="1011"/>
      <c r="X579" s="1011"/>
      <c r="Y579" s="1011"/>
      <c r="Z579" s="1011"/>
      <c r="AA579" s="38"/>
      <c r="AB579" s="1011"/>
      <c r="AC579" s="1012"/>
      <c r="AD579" s="1012"/>
      <c r="AE579" s="1011"/>
      <c r="AF579" s="1011"/>
      <c r="AG579" s="1011"/>
      <c r="AH579" s="43"/>
      <c r="AJ579" s="110"/>
      <c r="AK579" s="34"/>
      <c r="AL579" s="34"/>
      <c r="AM579" s="34"/>
      <c r="AN579" s="34"/>
      <c r="AO579" s="34"/>
      <c r="AP579" s="34"/>
      <c r="AQ579" s="34"/>
      <c r="AR579" s="34"/>
    </row>
    <row r="580" spans="3:44" s="27" customFormat="1">
      <c r="C580" s="911"/>
      <c r="D580" s="29"/>
      <c r="E580" s="1249"/>
      <c r="F580" s="911"/>
      <c r="G580" s="1011"/>
      <c r="H580" s="1012"/>
      <c r="I580" s="34"/>
      <c r="J580" s="1271"/>
      <c r="K580" s="29"/>
      <c r="L580" s="1011"/>
      <c r="M580" s="911"/>
      <c r="N580" s="1011"/>
      <c r="O580" s="1011"/>
      <c r="P580" s="1012"/>
      <c r="Q580" s="1012"/>
      <c r="R580" s="38"/>
      <c r="S580" s="1011"/>
      <c r="T580" s="38"/>
      <c r="U580" s="1012"/>
      <c r="V580" s="1012"/>
      <c r="W580" s="1011"/>
      <c r="X580" s="1011"/>
      <c r="Y580" s="1011"/>
      <c r="Z580" s="1011"/>
      <c r="AA580" s="38"/>
      <c r="AB580" s="1011"/>
      <c r="AC580" s="1012"/>
      <c r="AD580" s="1012"/>
      <c r="AE580" s="1011"/>
      <c r="AF580" s="1011"/>
      <c r="AG580" s="1011"/>
      <c r="AH580" s="43"/>
      <c r="AJ580" s="110"/>
      <c r="AK580" s="34"/>
      <c r="AL580" s="34"/>
      <c r="AM580" s="34"/>
      <c r="AN580" s="34"/>
      <c r="AO580" s="34"/>
      <c r="AP580" s="34"/>
      <c r="AQ580" s="34"/>
      <c r="AR580" s="34"/>
    </row>
    <row r="581" spans="3:44" s="27" customFormat="1">
      <c r="C581" s="911"/>
      <c r="D581" s="29"/>
      <c r="E581" s="1249"/>
      <c r="F581" s="911"/>
      <c r="G581" s="1011"/>
      <c r="H581" s="1012"/>
      <c r="I581" s="34"/>
      <c r="J581" s="1271"/>
      <c r="K581" s="29"/>
      <c r="L581" s="1011"/>
      <c r="M581" s="911"/>
      <c r="N581" s="1011"/>
      <c r="O581" s="1011"/>
      <c r="P581" s="1012"/>
      <c r="Q581" s="1012"/>
      <c r="R581" s="38"/>
      <c r="S581" s="1011"/>
      <c r="T581" s="38"/>
      <c r="U581" s="1012"/>
      <c r="V581" s="1012"/>
      <c r="W581" s="1011"/>
      <c r="X581" s="1011"/>
      <c r="Y581" s="1011"/>
      <c r="Z581" s="1011"/>
      <c r="AA581" s="38"/>
      <c r="AB581" s="1011"/>
      <c r="AC581" s="1012"/>
      <c r="AD581" s="1012"/>
      <c r="AE581" s="1011"/>
      <c r="AF581" s="1011"/>
      <c r="AG581" s="1011"/>
      <c r="AH581" s="43"/>
      <c r="AJ581" s="110"/>
      <c r="AK581" s="34"/>
      <c r="AL581" s="34"/>
      <c r="AM581" s="34"/>
      <c r="AN581" s="34"/>
      <c r="AO581" s="34"/>
      <c r="AP581" s="34"/>
      <c r="AQ581" s="34"/>
      <c r="AR581" s="34"/>
    </row>
    <row r="582" spans="3:44" s="27" customFormat="1">
      <c r="C582" s="911"/>
      <c r="D582" s="29"/>
      <c r="E582" s="1249"/>
      <c r="F582" s="911"/>
      <c r="G582" s="1011"/>
      <c r="H582" s="1012"/>
      <c r="I582" s="34"/>
      <c r="J582" s="1271"/>
      <c r="K582" s="29"/>
      <c r="L582" s="1011"/>
      <c r="M582" s="911"/>
      <c r="N582" s="1011"/>
      <c r="O582" s="1011"/>
      <c r="P582" s="1012"/>
      <c r="Q582" s="1012"/>
      <c r="R582" s="38"/>
      <c r="S582" s="1011"/>
      <c r="T582" s="38"/>
      <c r="U582" s="1012"/>
      <c r="V582" s="1012"/>
      <c r="W582" s="1011"/>
      <c r="X582" s="1011"/>
      <c r="Y582" s="1011"/>
      <c r="Z582" s="1011"/>
      <c r="AA582" s="38"/>
      <c r="AB582" s="1011"/>
      <c r="AC582" s="1012"/>
      <c r="AD582" s="1012"/>
      <c r="AE582" s="1011"/>
      <c r="AF582" s="1011"/>
      <c r="AG582" s="1011"/>
      <c r="AH582" s="43"/>
      <c r="AJ582" s="110"/>
      <c r="AK582" s="34"/>
      <c r="AL582" s="34"/>
      <c r="AM582" s="34"/>
      <c r="AN582" s="34"/>
      <c r="AO582" s="34"/>
      <c r="AP582" s="34"/>
      <c r="AQ582" s="34"/>
      <c r="AR582" s="34"/>
    </row>
    <row r="583" spans="3:44" s="27" customFormat="1">
      <c r="C583" s="911"/>
      <c r="D583" s="29"/>
      <c r="E583" s="1249"/>
      <c r="F583" s="911"/>
      <c r="G583" s="1011"/>
      <c r="H583" s="1012"/>
      <c r="I583" s="34"/>
      <c r="J583" s="1271"/>
      <c r="K583" s="29"/>
      <c r="L583" s="1011"/>
      <c r="M583" s="911"/>
      <c r="N583" s="1011"/>
      <c r="O583" s="1011"/>
      <c r="P583" s="1012"/>
      <c r="Q583" s="1012"/>
      <c r="R583" s="38"/>
      <c r="S583" s="1011"/>
      <c r="T583" s="38"/>
      <c r="U583" s="1012"/>
      <c r="V583" s="1012"/>
      <c r="W583" s="1011"/>
      <c r="X583" s="1011"/>
      <c r="Y583" s="1011"/>
      <c r="Z583" s="1011"/>
      <c r="AA583" s="38"/>
      <c r="AB583" s="1011"/>
      <c r="AC583" s="1012"/>
      <c r="AD583" s="1012"/>
      <c r="AE583" s="1011"/>
      <c r="AF583" s="1011"/>
      <c r="AG583" s="1011"/>
      <c r="AH583" s="43"/>
      <c r="AJ583" s="110"/>
      <c r="AK583" s="34"/>
      <c r="AL583" s="34"/>
      <c r="AM583" s="34"/>
      <c r="AN583" s="34"/>
      <c r="AO583" s="34"/>
      <c r="AP583" s="34"/>
      <c r="AQ583" s="34"/>
      <c r="AR583" s="34"/>
    </row>
    <row r="584" spans="3:44" s="27" customFormat="1">
      <c r="C584" s="911"/>
      <c r="D584" s="29"/>
      <c r="E584" s="1249"/>
      <c r="F584" s="911"/>
      <c r="G584" s="1011"/>
      <c r="H584" s="1012"/>
      <c r="I584" s="34"/>
      <c r="J584" s="1271"/>
      <c r="K584" s="29"/>
      <c r="L584" s="1011"/>
      <c r="M584" s="911"/>
      <c r="N584" s="1011"/>
      <c r="O584" s="1011"/>
      <c r="P584" s="1012"/>
      <c r="Q584" s="1012"/>
      <c r="R584" s="38"/>
      <c r="S584" s="1011"/>
      <c r="T584" s="38"/>
      <c r="U584" s="1012"/>
      <c r="V584" s="1012"/>
      <c r="W584" s="1011"/>
      <c r="X584" s="1011"/>
      <c r="Y584" s="1011"/>
      <c r="Z584" s="1011"/>
      <c r="AA584" s="38"/>
      <c r="AB584" s="1011"/>
      <c r="AC584" s="1012"/>
      <c r="AD584" s="1012"/>
      <c r="AE584" s="1011"/>
      <c r="AF584" s="1011"/>
      <c r="AG584" s="1011"/>
      <c r="AH584" s="43"/>
      <c r="AJ584" s="110"/>
      <c r="AK584" s="34"/>
      <c r="AL584" s="34"/>
      <c r="AM584" s="34"/>
      <c r="AN584" s="34"/>
      <c r="AO584" s="34"/>
      <c r="AP584" s="34"/>
      <c r="AQ584" s="34"/>
      <c r="AR584" s="34"/>
    </row>
    <row r="585" spans="3:44" s="27" customFormat="1">
      <c r="C585" s="911"/>
      <c r="D585" s="29"/>
      <c r="E585" s="1249"/>
      <c r="F585" s="911"/>
      <c r="G585" s="1011"/>
      <c r="H585" s="1012"/>
      <c r="I585" s="34"/>
      <c r="J585" s="1271"/>
      <c r="K585" s="29"/>
      <c r="L585" s="1011"/>
      <c r="M585" s="911"/>
      <c r="N585" s="1011"/>
      <c r="O585" s="1011"/>
      <c r="P585" s="1012"/>
      <c r="Q585" s="1012"/>
      <c r="R585" s="38"/>
      <c r="S585" s="1011"/>
      <c r="T585" s="38"/>
      <c r="U585" s="1012"/>
      <c r="V585" s="1012"/>
      <c r="W585" s="1011"/>
      <c r="X585" s="1011"/>
      <c r="Y585" s="1011"/>
      <c r="Z585" s="1011"/>
      <c r="AA585" s="38"/>
      <c r="AB585" s="1011"/>
      <c r="AC585" s="1012"/>
      <c r="AD585" s="1012"/>
      <c r="AE585" s="1011"/>
      <c r="AF585" s="1011"/>
      <c r="AG585" s="1011"/>
      <c r="AH585" s="43"/>
      <c r="AJ585" s="110"/>
      <c r="AK585" s="34"/>
      <c r="AL585" s="34"/>
      <c r="AM585" s="34"/>
      <c r="AN585" s="34"/>
      <c r="AO585" s="34"/>
      <c r="AP585" s="34"/>
      <c r="AQ585" s="34"/>
      <c r="AR585" s="34"/>
    </row>
    <row r="586" spans="3:44" s="27" customFormat="1">
      <c r="C586" s="911"/>
      <c r="D586" s="29"/>
      <c r="E586" s="1249"/>
      <c r="F586" s="911"/>
      <c r="G586" s="1011"/>
      <c r="H586" s="1012"/>
      <c r="I586" s="34"/>
      <c r="J586" s="1271"/>
      <c r="K586" s="29"/>
      <c r="L586" s="1011"/>
      <c r="M586" s="911"/>
      <c r="N586" s="1011"/>
      <c r="O586" s="1011"/>
      <c r="P586" s="1012"/>
      <c r="Q586" s="1012"/>
      <c r="R586" s="38"/>
      <c r="S586" s="1011"/>
      <c r="T586" s="38"/>
      <c r="U586" s="1012"/>
      <c r="V586" s="1012"/>
      <c r="W586" s="1011"/>
      <c r="X586" s="1011"/>
      <c r="Y586" s="1011"/>
      <c r="Z586" s="1011"/>
      <c r="AA586" s="38"/>
      <c r="AB586" s="1011"/>
      <c r="AC586" s="1012"/>
      <c r="AD586" s="1012"/>
      <c r="AE586" s="1011"/>
      <c r="AF586" s="1011"/>
      <c r="AG586" s="1011"/>
      <c r="AH586" s="43"/>
      <c r="AJ586" s="110"/>
      <c r="AK586" s="34"/>
      <c r="AL586" s="34"/>
      <c r="AM586" s="34"/>
      <c r="AN586" s="34"/>
      <c r="AO586" s="34"/>
      <c r="AP586" s="34"/>
      <c r="AQ586" s="34"/>
      <c r="AR586" s="34"/>
    </row>
    <row r="587" spans="3:44" s="27" customFormat="1">
      <c r="C587" s="911"/>
      <c r="D587" s="29"/>
      <c r="E587" s="1249"/>
      <c r="F587" s="911"/>
      <c r="G587" s="1011"/>
      <c r="H587" s="1012"/>
      <c r="I587" s="34"/>
      <c r="J587" s="1271"/>
      <c r="K587" s="29"/>
      <c r="L587" s="1011"/>
      <c r="M587" s="911"/>
      <c r="N587" s="1011"/>
      <c r="O587" s="1011"/>
      <c r="P587" s="1012"/>
      <c r="Q587" s="1012"/>
      <c r="R587" s="38"/>
      <c r="S587" s="1011"/>
      <c r="T587" s="38"/>
      <c r="U587" s="1012"/>
      <c r="V587" s="1012"/>
      <c r="W587" s="1011"/>
      <c r="X587" s="1011"/>
      <c r="Y587" s="1011"/>
      <c r="Z587" s="1011"/>
      <c r="AA587" s="38"/>
      <c r="AB587" s="1011"/>
      <c r="AC587" s="1012"/>
      <c r="AD587" s="1012"/>
      <c r="AE587" s="1011"/>
      <c r="AF587" s="1011"/>
      <c r="AG587" s="1011"/>
      <c r="AH587" s="43"/>
      <c r="AJ587" s="110"/>
      <c r="AK587" s="34"/>
      <c r="AL587" s="34"/>
      <c r="AM587" s="34"/>
      <c r="AN587" s="34"/>
      <c r="AO587" s="34"/>
      <c r="AP587" s="34"/>
      <c r="AQ587" s="34"/>
      <c r="AR587" s="34"/>
    </row>
    <row r="588" spans="3:44" s="27" customFormat="1">
      <c r="C588" s="911"/>
      <c r="D588" s="29"/>
      <c r="E588" s="1249"/>
      <c r="F588" s="911"/>
      <c r="G588" s="1011"/>
      <c r="H588" s="1012"/>
      <c r="I588" s="34"/>
      <c r="J588" s="1271"/>
      <c r="K588" s="29"/>
      <c r="L588" s="1011"/>
      <c r="M588" s="911"/>
      <c r="N588" s="1011"/>
      <c r="O588" s="1011"/>
      <c r="P588" s="1012"/>
      <c r="Q588" s="1012"/>
      <c r="R588" s="38"/>
      <c r="S588" s="1011"/>
      <c r="T588" s="38"/>
      <c r="U588" s="1012"/>
      <c r="V588" s="1012"/>
      <c r="W588" s="1011"/>
      <c r="X588" s="1011"/>
      <c r="Y588" s="1011"/>
      <c r="Z588" s="1011"/>
      <c r="AA588" s="38"/>
      <c r="AB588" s="1011"/>
      <c r="AC588" s="1012"/>
      <c r="AD588" s="1012"/>
      <c r="AE588" s="1011"/>
      <c r="AF588" s="1011"/>
      <c r="AG588" s="1011"/>
      <c r="AH588" s="43"/>
      <c r="AJ588" s="110"/>
      <c r="AK588" s="34"/>
      <c r="AL588" s="34"/>
      <c r="AM588" s="34"/>
      <c r="AN588" s="34"/>
      <c r="AO588" s="34"/>
      <c r="AP588" s="34"/>
      <c r="AQ588" s="34"/>
      <c r="AR588" s="34"/>
    </row>
    <row r="589" spans="3:44" s="27" customFormat="1">
      <c r="C589" s="911"/>
      <c r="D589" s="29"/>
      <c r="E589" s="1249"/>
      <c r="F589" s="911"/>
      <c r="G589" s="1011"/>
      <c r="H589" s="1012"/>
      <c r="I589" s="34"/>
      <c r="J589" s="1271"/>
      <c r="K589" s="29"/>
      <c r="L589" s="1011"/>
      <c r="M589" s="911"/>
      <c r="N589" s="1011"/>
      <c r="O589" s="1011"/>
      <c r="P589" s="1012"/>
      <c r="Q589" s="1012"/>
      <c r="R589" s="38"/>
      <c r="S589" s="1011"/>
      <c r="T589" s="38"/>
      <c r="U589" s="1012"/>
      <c r="V589" s="1012"/>
      <c r="W589" s="1011"/>
      <c r="X589" s="1011"/>
      <c r="Y589" s="1011"/>
      <c r="Z589" s="1011"/>
      <c r="AA589" s="38"/>
      <c r="AB589" s="1011"/>
      <c r="AC589" s="1012"/>
      <c r="AD589" s="1012"/>
      <c r="AE589" s="1011"/>
      <c r="AF589" s="1011"/>
      <c r="AG589" s="1011"/>
      <c r="AH589" s="43"/>
      <c r="AJ589" s="110"/>
      <c r="AK589" s="34"/>
      <c r="AL589" s="34"/>
      <c r="AM589" s="34"/>
      <c r="AN589" s="34"/>
      <c r="AO589" s="34"/>
      <c r="AP589" s="34"/>
      <c r="AQ589" s="34"/>
      <c r="AR589" s="34"/>
    </row>
    <row r="590" spans="3:44" s="27" customFormat="1">
      <c r="C590" s="911"/>
      <c r="D590" s="29"/>
      <c r="E590" s="1249"/>
      <c r="F590" s="911"/>
      <c r="G590" s="1011"/>
      <c r="H590" s="1012"/>
      <c r="I590" s="34"/>
      <c r="J590" s="1271"/>
      <c r="K590" s="29"/>
      <c r="L590" s="1011"/>
      <c r="M590" s="911"/>
      <c r="N590" s="1011"/>
      <c r="O590" s="1011"/>
      <c r="P590" s="1012"/>
      <c r="Q590" s="1012"/>
      <c r="R590" s="38"/>
      <c r="S590" s="1011"/>
      <c r="T590" s="38"/>
      <c r="U590" s="1012"/>
      <c r="V590" s="1012"/>
      <c r="W590" s="1011"/>
      <c r="X590" s="1011"/>
      <c r="Y590" s="1011"/>
      <c r="Z590" s="1011"/>
      <c r="AA590" s="38"/>
      <c r="AB590" s="1011"/>
      <c r="AC590" s="1012"/>
      <c r="AD590" s="1012"/>
      <c r="AE590" s="1011"/>
      <c r="AF590" s="1011"/>
      <c r="AG590" s="1011"/>
      <c r="AH590" s="43"/>
      <c r="AJ590" s="110"/>
      <c r="AK590" s="34"/>
      <c r="AL590" s="34"/>
      <c r="AM590" s="34"/>
      <c r="AN590" s="34"/>
      <c r="AO590" s="34"/>
      <c r="AP590" s="34"/>
      <c r="AQ590" s="34"/>
      <c r="AR590" s="34"/>
    </row>
    <row r="591" spans="3:44" s="27" customFormat="1">
      <c r="C591" s="911"/>
      <c r="D591" s="29"/>
      <c r="E591" s="1249"/>
      <c r="F591" s="911"/>
      <c r="G591" s="1011"/>
      <c r="H591" s="1012"/>
      <c r="I591" s="34"/>
      <c r="J591" s="1271"/>
      <c r="K591" s="29"/>
      <c r="L591" s="1011"/>
      <c r="M591" s="911"/>
      <c r="N591" s="1011"/>
      <c r="O591" s="1011"/>
      <c r="P591" s="1012"/>
      <c r="Q591" s="1012"/>
      <c r="R591" s="38"/>
      <c r="S591" s="1011"/>
      <c r="T591" s="38"/>
      <c r="U591" s="1012"/>
      <c r="V591" s="1012"/>
      <c r="W591" s="1011"/>
      <c r="X591" s="1011"/>
      <c r="Y591" s="1011"/>
      <c r="Z591" s="1011"/>
      <c r="AA591" s="38"/>
      <c r="AB591" s="1011"/>
      <c r="AC591" s="1012"/>
      <c r="AD591" s="1012"/>
      <c r="AE591" s="1011"/>
      <c r="AF591" s="1011"/>
      <c r="AG591" s="1011"/>
      <c r="AH591" s="43"/>
      <c r="AJ591" s="110"/>
      <c r="AK591" s="34"/>
      <c r="AL591" s="34"/>
      <c r="AM591" s="34"/>
      <c r="AN591" s="34"/>
      <c r="AO591" s="34"/>
      <c r="AP591" s="34"/>
      <c r="AQ591" s="34"/>
      <c r="AR591" s="34"/>
    </row>
    <row r="592" spans="3:44" s="27" customFormat="1">
      <c r="C592" s="911"/>
      <c r="D592" s="29"/>
      <c r="E592" s="1249"/>
      <c r="F592" s="911"/>
      <c r="G592" s="1011"/>
      <c r="H592" s="1012"/>
      <c r="I592" s="34"/>
      <c r="J592" s="1271"/>
      <c r="K592" s="29"/>
      <c r="L592" s="1011"/>
      <c r="M592" s="911"/>
      <c r="N592" s="1011"/>
      <c r="O592" s="1011"/>
      <c r="P592" s="1012"/>
      <c r="Q592" s="1012"/>
      <c r="R592" s="38"/>
      <c r="S592" s="1011"/>
      <c r="T592" s="38"/>
      <c r="U592" s="1012"/>
      <c r="V592" s="1012"/>
      <c r="W592" s="1011"/>
      <c r="X592" s="1011"/>
      <c r="Y592" s="1011"/>
      <c r="Z592" s="1011"/>
      <c r="AA592" s="38"/>
      <c r="AB592" s="1011"/>
      <c r="AC592" s="1012"/>
      <c r="AD592" s="1012"/>
      <c r="AE592" s="1011"/>
      <c r="AF592" s="1011"/>
      <c r="AG592" s="1011"/>
      <c r="AH592" s="43"/>
      <c r="AJ592" s="110"/>
      <c r="AK592" s="34"/>
      <c r="AL592" s="34"/>
      <c r="AM592" s="34"/>
      <c r="AN592" s="34"/>
      <c r="AO592" s="34"/>
      <c r="AP592" s="34"/>
      <c r="AQ592" s="34"/>
      <c r="AR592" s="34"/>
    </row>
    <row r="593" spans="3:44" s="27" customFormat="1">
      <c r="C593" s="911"/>
      <c r="D593" s="29"/>
      <c r="E593" s="1249"/>
      <c r="F593" s="911"/>
      <c r="G593" s="1011"/>
      <c r="H593" s="1012"/>
      <c r="I593" s="34"/>
      <c r="J593" s="1271"/>
      <c r="K593" s="29"/>
      <c r="L593" s="1011"/>
      <c r="M593" s="911"/>
      <c r="N593" s="1011"/>
      <c r="O593" s="1011"/>
      <c r="P593" s="1012"/>
      <c r="Q593" s="1012"/>
      <c r="R593" s="38"/>
      <c r="S593" s="1011"/>
      <c r="T593" s="38"/>
      <c r="U593" s="1012"/>
      <c r="V593" s="1012"/>
      <c r="W593" s="1011"/>
      <c r="X593" s="1011"/>
      <c r="Y593" s="1011"/>
      <c r="Z593" s="1011"/>
      <c r="AA593" s="38"/>
      <c r="AB593" s="1011"/>
      <c r="AC593" s="1012"/>
      <c r="AD593" s="1012"/>
      <c r="AE593" s="1011"/>
      <c r="AF593" s="1011"/>
      <c r="AG593" s="1011"/>
      <c r="AH593" s="43"/>
      <c r="AJ593" s="110"/>
      <c r="AK593" s="34"/>
      <c r="AL593" s="34"/>
      <c r="AM593" s="34"/>
      <c r="AN593" s="34"/>
      <c r="AO593" s="34"/>
      <c r="AP593" s="34"/>
      <c r="AQ593" s="34"/>
      <c r="AR593" s="34"/>
    </row>
    <row r="594" spans="3:44" s="27" customFormat="1">
      <c r="C594" s="911"/>
      <c r="D594" s="29"/>
      <c r="E594" s="1249"/>
      <c r="F594" s="911"/>
      <c r="G594" s="1011"/>
      <c r="H594" s="1012"/>
      <c r="I594" s="34"/>
      <c r="J594" s="1271"/>
      <c r="K594" s="29"/>
      <c r="L594" s="1011"/>
      <c r="M594" s="911"/>
      <c r="N594" s="1011"/>
      <c r="O594" s="1011"/>
      <c r="P594" s="1012"/>
      <c r="Q594" s="1012"/>
      <c r="R594" s="38"/>
      <c r="S594" s="1011"/>
      <c r="T594" s="38"/>
      <c r="U594" s="1012"/>
      <c r="V594" s="1012"/>
      <c r="W594" s="1011"/>
      <c r="X594" s="1011"/>
      <c r="Y594" s="1011"/>
      <c r="Z594" s="1011"/>
      <c r="AA594" s="38"/>
      <c r="AB594" s="1011"/>
      <c r="AC594" s="1012"/>
      <c r="AD594" s="1012"/>
      <c r="AE594" s="1011"/>
      <c r="AF594" s="1011"/>
      <c r="AG594" s="1011"/>
      <c r="AH594" s="43"/>
      <c r="AJ594" s="110"/>
      <c r="AK594" s="34"/>
      <c r="AL594" s="34"/>
      <c r="AM594" s="34"/>
      <c r="AN594" s="34"/>
      <c r="AO594" s="34"/>
      <c r="AP594" s="34"/>
      <c r="AQ594" s="34"/>
      <c r="AR594" s="34"/>
    </row>
    <row r="595" spans="3:44" s="27" customFormat="1">
      <c r="C595" s="911"/>
      <c r="D595" s="29"/>
      <c r="E595" s="1249"/>
      <c r="F595" s="911"/>
      <c r="G595" s="1011"/>
      <c r="H595" s="1012"/>
      <c r="I595" s="34"/>
      <c r="J595" s="1271"/>
      <c r="K595" s="29"/>
      <c r="L595" s="1011"/>
      <c r="M595" s="911"/>
      <c r="N595" s="1011"/>
      <c r="O595" s="1011"/>
      <c r="P595" s="1012"/>
      <c r="Q595" s="1012"/>
      <c r="R595" s="38"/>
      <c r="S595" s="1011"/>
      <c r="T595" s="38"/>
      <c r="U595" s="1012"/>
      <c r="V595" s="1012"/>
      <c r="W595" s="1011"/>
      <c r="X595" s="1011"/>
      <c r="Y595" s="1011"/>
      <c r="Z595" s="1011"/>
      <c r="AA595" s="38"/>
      <c r="AB595" s="1011"/>
      <c r="AC595" s="1012"/>
      <c r="AD595" s="1012"/>
      <c r="AE595" s="1011"/>
      <c r="AF595" s="1011"/>
      <c r="AG595" s="1011"/>
      <c r="AH595" s="43"/>
      <c r="AJ595" s="110"/>
      <c r="AK595" s="34"/>
      <c r="AL595" s="34"/>
      <c r="AM595" s="34"/>
      <c r="AN595" s="34"/>
      <c r="AO595" s="34"/>
      <c r="AP595" s="34"/>
      <c r="AQ595" s="34"/>
      <c r="AR595" s="34"/>
    </row>
    <row r="596" spans="3:44" s="27" customFormat="1">
      <c r="C596" s="911"/>
      <c r="D596" s="29"/>
      <c r="E596" s="1249"/>
      <c r="F596" s="911"/>
      <c r="G596" s="1011"/>
      <c r="H596" s="1012"/>
      <c r="I596" s="34"/>
      <c r="J596" s="1271"/>
      <c r="K596" s="29"/>
      <c r="L596" s="1011"/>
      <c r="M596" s="911"/>
      <c r="N596" s="1011"/>
      <c r="O596" s="1011"/>
      <c r="P596" s="1012"/>
      <c r="Q596" s="1012"/>
      <c r="R596" s="38"/>
      <c r="S596" s="1011"/>
      <c r="T596" s="38"/>
      <c r="U596" s="1012"/>
      <c r="V596" s="1012"/>
      <c r="W596" s="1011"/>
      <c r="X596" s="1011"/>
      <c r="Y596" s="1011"/>
      <c r="Z596" s="1011"/>
      <c r="AA596" s="38"/>
      <c r="AB596" s="1011"/>
      <c r="AC596" s="1012"/>
      <c r="AD596" s="1012"/>
      <c r="AE596" s="1011"/>
      <c r="AF596" s="1011"/>
      <c r="AG596" s="1011"/>
      <c r="AH596" s="43"/>
      <c r="AJ596" s="110"/>
      <c r="AK596" s="34"/>
      <c r="AL596" s="34"/>
      <c r="AM596" s="34"/>
      <c r="AN596" s="34"/>
      <c r="AO596" s="34"/>
      <c r="AP596" s="34"/>
      <c r="AQ596" s="34"/>
      <c r="AR596" s="34"/>
    </row>
    <row r="597" spans="3:44" s="27" customFormat="1">
      <c r="C597" s="911"/>
      <c r="D597" s="29"/>
      <c r="E597" s="1249"/>
      <c r="F597" s="911"/>
      <c r="G597" s="1011"/>
      <c r="H597" s="1012"/>
      <c r="I597" s="34"/>
      <c r="J597" s="1271"/>
      <c r="K597" s="29"/>
      <c r="L597" s="1011"/>
      <c r="M597" s="911"/>
      <c r="N597" s="1011"/>
      <c r="O597" s="1011"/>
      <c r="P597" s="1012"/>
      <c r="Q597" s="1012"/>
      <c r="R597" s="38"/>
      <c r="S597" s="1011"/>
      <c r="T597" s="38"/>
      <c r="U597" s="1012"/>
      <c r="V597" s="1012"/>
      <c r="W597" s="1011"/>
      <c r="X597" s="1011"/>
      <c r="Y597" s="1011"/>
      <c r="Z597" s="1011"/>
      <c r="AA597" s="38"/>
      <c r="AB597" s="1011"/>
      <c r="AC597" s="1012"/>
      <c r="AD597" s="1012"/>
      <c r="AE597" s="1011"/>
      <c r="AF597" s="1011"/>
      <c r="AG597" s="1011"/>
      <c r="AH597" s="43"/>
      <c r="AJ597" s="110"/>
      <c r="AK597" s="34"/>
      <c r="AL597" s="34"/>
      <c r="AM597" s="34"/>
      <c r="AN597" s="34"/>
      <c r="AO597" s="34"/>
      <c r="AP597" s="34"/>
      <c r="AQ597" s="34"/>
      <c r="AR597" s="34"/>
    </row>
    <row r="598" spans="3:44" s="27" customFormat="1">
      <c r="C598" s="911"/>
      <c r="D598" s="29"/>
      <c r="E598" s="1249"/>
      <c r="F598" s="911"/>
      <c r="G598" s="1011"/>
      <c r="H598" s="1012"/>
      <c r="I598" s="34"/>
      <c r="J598" s="1271"/>
      <c r="K598" s="29"/>
      <c r="L598" s="1011"/>
      <c r="M598" s="911"/>
      <c r="N598" s="1011"/>
      <c r="O598" s="1011"/>
      <c r="P598" s="1012"/>
      <c r="Q598" s="1012"/>
      <c r="R598" s="38"/>
      <c r="S598" s="1011"/>
      <c r="T598" s="38"/>
      <c r="U598" s="1012"/>
      <c r="V598" s="1012"/>
      <c r="W598" s="1011"/>
      <c r="X598" s="1011"/>
      <c r="Y598" s="1011"/>
      <c r="Z598" s="1011"/>
      <c r="AA598" s="38"/>
      <c r="AB598" s="1011"/>
      <c r="AC598" s="1012"/>
      <c r="AD598" s="1012"/>
      <c r="AE598" s="1011"/>
      <c r="AF598" s="1011"/>
      <c r="AG598" s="1011"/>
      <c r="AH598" s="43"/>
      <c r="AJ598" s="110"/>
      <c r="AK598" s="34"/>
      <c r="AL598" s="34"/>
      <c r="AM598" s="34"/>
      <c r="AN598" s="34"/>
      <c r="AO598" s="34"/>
      <c r="AP598" s="34"/>
      <c r="AQ598" s="34"/>
      <c r="AR598" s="34"/>
    </row>
    <row r="599" spans="3:44" s="27" customFormat="1">
      <c r="C599" s="911"/>
      <c r="D599" s="29"/>
      <c r="E599" s="1249"/>
      <c r="F599" s="911"/>
      <c r="G599" s="1011"/>
      <c r="H599" s="1012"/>
      <c r="I599" s="34"/>
      <c r="J599" s="1271"/>
      <c r="K599" s="29"/>
      <c r="L599" s="1011"/>
      <c r="M599" s="911"/>
      <c r="N599" s="1011"/>
      <c r="O599" s="1011"/>
      <c r="P599" s="1012"/>
      <c r="Q599" s="1012"/>
      <c r="R599" s="38"/>
      <c r="S599" s="1011"/>
      <c r="T599" s="38"/>
      <c r="U599" s="1012"/>
      <c r="V599" s="1012"/>
      <c r="W599" s="1011"/>
      <c r="X599" s="1011"/>
      <c r="Y599" s="1011"/>
      <c r="Z599" s="1011"/>
      <c r="AA599" s="38"/>
      <c r="AB599" s="1011"/>
      <c r="AC599" s="1012"/>
      <c r="AD599" s="1012"/>
      <c r="AE599" s="1011"/>
      <c r="AF599" s="1011"/>
      <c r="AG599" s="1011"/>
      <c r="AH599" s="43"/>
      <c r="AJ599" s="110"/>
      <c r="AK599" s="34"/>
      <c r="AL599" s="34"/>
      <c r="AM599" s="34"/>
      <c r="AN599" s="34"/>
      <c r="AO599" s="34"/>
      <c r="AP599" s="34"/>
      <c r="AQ599" s="34"/>
      <c r="AR599" s="34"/>
    </row>
    <row r="600" spans="3:44" s="27" customFormat="1">
      <c r="C600" s="911"/>
      <c r="D600" s="29"/>
      <c r="E600" s="1249"/>
      <c r="F600" s="911"/>
      <c r="G600" s="1011"/>
      <c r="H600" s="1012"/>
      <c r="I600" s="34"/>
      <c r="J600" s="1271"/>
      <c r="K600" s="29"/>
      <c r="L600" s="1011"/>
      <c r="M600" s="911"/>
      <c r="N600" s="1011"/>
      <c r="O600" s="1011"/>
      <c r="P600" s="1012"/>
      <c r="Q600" s="1012"/>
      <c r="R600" s="38"/>
      <c r="S600" s="1011"/>
      <c r="T600" s="38"/>
      <c r="U600" s="1012"/>
      <c r="V600" s="1012"/>
      <c r="W600" s="1011"/>
      <c r="X600" s="1011"/>
      <c r="Y600" s="1011"/>
      <c r="Z600" s="1011"/>
      <c r="AA600" s="38"/>
      <c r="AB600" s="1011"/>
      <c r="AC600" s="1012"/>
      <c r="AD600" s="1012"/>
      <c r="AE600" s="1011"/>
      <c r="AF600" s="1011"/>
      <c r="AG600" s="1011"/>
      <c r="AH600" s="43"/>
      <c r="AJ600" s="110"/>
      <c r="AK600" s="34"/>
      <c r="AL600" s="34"/>
      <c r="AM600" s="34"/>
      <c r="AN600" s="34"/>
      <c r="AO600" s="34"/>
      <c r="AP600" s="34"/>
      <c r="AQ600" s="34"/>
      <c r="AR600" s="34"/>
    </row>
    <row r="601" spans="3:44" s="27" customFormat="1">
      <c r="C601" s="911"/>
      <c r="D601" s="29"/>
      <c r="E601" s="1249"/>
      <c r="F601" s="911"/>
      <c r="G601" s="1011"/>
      <c r="H601" s="1012"/>
      <c r="I601" s="34"/>
      <c r="J601" s="1271"/>
      <c r="K601" s="29"/>
      <c r="L601" s="1011"/>
      <c r="M601" s="911"/>
      <c r="N601" s="1011"/>
      <c r="O601" s="1011"/>
      <c r="P601" s="1012"/>
      <c r="Q601" s="1012"/>
      <c r="R601" s="38"/>
      <c r="S601" s="1011"/>
      <c r="T601" s="38"/>
      <c r="U601" s="1012"/>
      <c r="V601" s="1012"/>
      <c r="W601" s="1011"/>
      <c r="X601" s="1011"/>
      <c r="Y601" s="1011"/>
      <c r="Z601" s="1011"/>
      <c r="AA601" s="38"/>
      <c r="AB601" s="1011"/>
      <c r="AC601" s="1012"/>
      <c r="AD601" s="1012"/>
      <c r="AE601" s="1011"/>
      <c r="AF601" s="1011"/>
      <c r="AG601" s="1011"/>
      <c r="AH601" s="43"/>
      <c r="AJ601" s="110"/>
      <c r="AK601" s="34"/>
      <c r="AL601" s="34"/>
      <c r="AM601" s="34"/>
      <c r="AN601" s="34"/>
      <c r="AO601" s="34"/>
      <c r="AP601" s="34"/>
      <c r="AQ601" s="34"/>
      <c r="AR601" s="34"/>
    </row>
    <row r="602" spans="3:44" s="27" customFormat="1">
      <c r="C602" s="911"/>
      <c r="D602" s="29"/>
      <c r="E602" s="1249"/>
      <c r="F602" s="911"/>
      <c r="G602" s="1011"/>
      <c r="H602" s="1012"/>
      <c r="I602" s="34"/>
      <c r="J602" s="1271"/>
      <c r="K602" s="29"/>
      <c r="L602" s="1011"/>
      <c r="M602" s="911"/>
      <c r="N602" s="1011"/>
      <c r="O602" s="1011"/>
      <c r="P602" s="1012"/>
      <c r="Q602" s="1012"/>
      <c r="R602" s="38"/>
      <c r="S602" s="1011"/>
      <c r="T602" s="38"/>
      <c r="U602" s="1012"/>
      <c r="V602" s="1012"/>
      <c r="W602" s="1011"/>
      <c r="X602" s="1011"/>
      <c r="Y602" s="1011"/>
      <c r="Z602" s="1011"/>
      <c r="AA602" s="38"/>
      <c r="AB602" s="1011"/>
      <c r="AC602" s="1012"/>
      <c r="AD602" s="1012"/>
      <c r="AE602" s="1011"/>
      <c r="AF602" s="1011"/>
      <c r="AG602" s="1011"/>
      <c r="AH602" s="43"/>
      <c r="AJ602" s="110"/>
      <c r="AK602" s="34"/>
      <c r="AL602" s="34"/>
      <c r="AM602" s="34"/>
      <c r="AN602" s="34"/>
      <c r="AO602" s="34"/>
      <c r="AP602" s="34"/>
      <c r="AQ602" s="34"/>
      <c r="AR602" s="34"/>
    </row>
    <row r="603" spans="3:44" s="27" customFormat="1">
      <c r="C603" s="911"/>
      <c r="D603" s="29"/>
      <c r="E603" s="1249"/>
      <c r="F603" s="911"/>
      <c r="G603" s="1011"/>
      <c r="H603" s="1012"/>
      <c r="I603" s="34"/>
      <c r="J603" s="1271"/>
      <c r="K603" s="29"/>
      <c r="L603" s="1011"/>
      <c r="M603" s="911"/>
      <c r="N603" s="1011"/>
      <c r="O603" s="1011"/>
      <c r="P603" s="1012"/>
      <c r="Q603" s="1012"/>
      <c r="R603" s="38"/>
      <c r="S603" s="1011"/>
      <c r="T603" s="38"/>
      <c r="U603" s="1012"/>
      <c r="V603" s="1012"/>
      <c r="W603" s="1011"/>
      <c r="X603" s="1011"/>
      <c r="Y603" s="1011"/>
      <c r="Z603" s="1011"/>
      <c r="AA603" s="38"/>
      <c r="AB603" s="1011"/>
      <c r="AC603" s="1012"/>
      <c r="AD603" s="1012"/>
      <c r="AE603" s="1011"/>
      <c r="AF603" s="1011"/>
      <c r="AG603" s="1011"/>
      <c r="AH603" s="43"/>
      <c r="AJ603" s="110"/>
      <c r="AK603" s="34"/>
      <c r="AL603" s="34"/>
      <c r="AM603" s="34"/>
      <c r="AN603" s="34"/>
      <c r="AO603" s="34"/>
      <c r="AP603" s="34"/>
      <c r="AQ603" s="34"/>
      <c r="AR603" s="34"/>
    </row>
    <row r="604" spans="3:44" s="27" customFormat="1">
      <c r="C604" s="911"/>
      <c r="D604" s="29"/>
      <c r="E604" s="1249"/>
      <c r="F604" s="911"/>
      <c r="G604" s="1011"/>
      <c r="H604" s="1012"/>
      <c r="I604" s="34"/>
      <c r="J604" s="1271"/>
      <c r="K604" s="29"/>
      <c r="L604" s="1011"/>
      <c r="M604" s="911"/>
      <c r="N604" s="1011"/>
      <c r="O604" s="1011"/>
      <c r="P604" s="1012"/>
      <c r="Q604" s="1012"/>
      <c r="R604" s="38"/>
      <c r="S604" s="1011"/>
      <c r="T604" s="38"/>
      <c r="U604" s="1012"/>
      <c r="V604" s="1012"/>
      <c r="W604" s="1011"/>
      <c r="X604" s="1011"/>
      <c r="Y604" s="1011"/>
      <c r="Z604" s="1011"/>
      <c r="AA604" s="38"/>
      <c r="AB604" s="1011"/>
      <c r="AC604" s="1012"/>
      <c r="AD604" s="1012"/>
      <c r="AE604" s="1011"/>
      <c r="AF604" s="1011"/>
      <c r="AG604" s="1011"/>
      <c r="AH604" s="43"/>
      <c r="AJ604" s="110"/>
      <c r="AK604" s="34"/>
      <c r="AL604" s="34"/>
      <c r="AM604" s="34"/>
      <c r="AN604" s="34"/>
      <c r="AO604" s="34"/>
      <c r="AP604" s="34"/>
      <c r="AQ604" s="34"/>
      <c r="AR604" s="34"/>
    </row>
    <row r="605" spans="3:44" s="27" customFormat="1">
      <c r="C605" s="911"/>
      <c r="D605" s="29"/>
      <c r="E605" s="1249"/>
      <c r="F605" s="911"/>
      <c r="G605" s="1011"/>
      <c r="H605" s="1012"/>
      <c r="I605" s="34"/>
      <c r="J605" s="1271"/>
      <c r="K605" s="29"/>
      <c r="L605" s="1011"/>
      <c r="M605" s="911"/>
      <c r="N605" s="1011"/>
      <c r="O605" s="1011"/>
      <c r="P605" s="1012"/>
      <c r="Q605" s="1012"/>
      <c r="R605" s="38"/>
      <c r="S605" s="1011"/>
      <c r="T605" s="38"/>
      <c r="U605" s="1012"/>
      <c r="V605" s="1012"/>
      <c r="W605" s="1011"/>
      <c r="X605" s="1011"/>
      <c r="Y605" s="1011"/>
      <c r="Z605" s="1011"/>
      <c r="AA605" s="38"/>
      <c r="AB605" s="1011"/>
      <c r="AC605" s="1012"/>
      <c r="AD605" s="1012"/>
      <c r="AE605" s="1011"/>
      <c r="AF605" s="1011"/>
      <c r="AG605" s="1011"/>
      <c r="AH605" s="43"/>
      <c r="AJ605" s="110"/>
      <c r="AK605" s="34"/>
      <c r="AL605" s="34"/>
      <c r="AM605" s="34"/>
      <c r="AN605" s="34"/>
      <c r="AO605" s="34"/>
      <c r="AP605" s="34"/>
      <c r="AQ605" s="34"/>
      <c r="AR605" s="34"/>
    </row>
    <row r="606" spans="3:44" s="27" customFormat="1">
      <c r="C606" s="911"/>
      <c r="D606" s="29"/>
      <c r="E606" s="1249"/>
      <c r="F606" s="911"/>
      <c r="G606" s="1011"/>
      <c r="H606" s="1012"/>
      <c r="I606" s="34"/>
      <c r="J606" s="1271"/>
      <c r="K606" s="29"/>
      <c r="L606" s="1011"/>
      <c r="M606" s="911"/>
      <c r="N606" s="1011"/>
      <c r="O606" s="1011"/>
      <c r="P606" s="1012"/>
      <c r="Q606" s="1012"/>
      <c r="R606" s="38"/>
      <c r="S606" s="1011"/>
      <c r="T606" s="38"/>
      <c r="U606" s="1012"/>
      <c r="V606" s="1012"/>
      <c r="W606" s="1011"/>
      <c r="X606" s="1011"/>
      <c r="Y606" s="1011"/>
      <c r="Z606" s="1011"/>
      <c r="AA606" s="38"/>
      <c r="AB606" s="1011"/>
      <c r="AC606" s="1012"/>
      <c r="AD606" s="1012"/>
      <c r="AE606" s="1011"/>
      <c r="AF606" s="1011"/>
      <c r="AG606" s="1011"/>
      <c r="AH606" s="43"/>
      <c r="AJ606" s="110"/>
      <c r="AK606" s="34"/>
      <c r="AL606" s="34"/>
      <c r="AM606" s="34"/>
      <c r="AN606" s="34"/>
      <c r="AO606" s="34"/>
      <c r="AP606" s="34"/>
      <c r="AQ606" s="34"/>
      <c r="AR606" s="34"/>
    </row>
    <row r="607" spans="3:44" s="27" customFormat="1">
      <c r="C607" s="911"/>
      <c r="D607" s="29"/>
      <c r="E607" s="1249"/>
      <c r="F607" s="911"/>
      <c r="G607" s="1011"/>
      <c r="H607" s="1012"/>
      <c r="I607" s="34"/>
      <c r="J607" s="1271"/>
      <c r="K607" s="29"/>
      <c r="L607" s="1011"/>
      <c r="M607" s="911"/>
      <c r="N607" s="1011"/>
      <c r="O607" s="1011"/>
      <c r="P607" s="1012"/>
      <c r="Q607" s="1012"/>
      <c r="R607" s="38"/>
      <c r="S607" s="1011"/>
      <c r="T607" s="38"/>
      <c r="U607" s="1012"/>
      <c r="V607" s="1012"/>
      <c r="W607" s="1011"/>
      <c r="X607" s="1011"/>
      <c r="Y607" s="1011"/>
      <c r="Z607" s="1011"/>
      <c r="AA607" s="38"/>
      <c r="AB607" s="1011"/>
      <c r="AC607" s="1012"/>
      <c r="AD607" s="1012"/>
      <c r="AE607" s="1011"/>
      <c r="AF607" s="1011"/>
      <c r="AG607" s="1011"/>
      <c r="AH607" s="43"/>
      <c r="AJ607" s="110"/>
      <c r="AK607" s="34"/>
      <c r="AL607" s="34"/>
      <c r="AM607" s="34"/>
      <c r="AN607" s="34"/>
      <c r="AO607" s="34"/>
      <c r="AP607" s="34"/>
      <c r="AQ607" s="34"/>
      <c r="AR607" s="34"/>
    </row>
    <row r="608" spans="3:44" s="27" customFormat="1">
      <c r="C608" s="911"/>
      <c r="D608" s="29"/>
      <c r="E608" s="1249"/>
      <c r="F608" s="911"/>
      <c r="G608" s="1011"/>
      <c r="H608" s="1012"/>
      <c r="I608" s="34"/>
      <c r="J608" s="1271"/>
      <c r="K608" s="29"/>
      <c r="L608" s="1011"/>
      <c r="M608" s="911"/>
      <c r="N608" s="1011"/>
      <c r="O608" s="1011"/>
      <c r="P608" s="1012"/>
      <c r="Q608" s="1012"/>
      <c r="R608" s="38"/>
      <c r="S608" s="1011"/>
      <c r="T608" s="38"/>
      <c r="U608" s="1012"/>
      <c r="V608" s="1012"/>
      <c r="W608" s="1011"/>
      <c r="X608" s="1011"/>
      <c r="Y608" s="1011"/>
      <c r="Z608" s="1011"/>
      <c r="AA608" s="38"/>
      <c r="AB608" s="1011"/>
      <c r="AC608" s="1012"/>
      <c r="AD608" s="1012"/>
      <c r="AE608" s="1011"/>
      <c r="AF608" s="1011"/>
      <c r="AG608" s="1011"/>
      <c r="AH608" s="43"/>
      <c r="AJ608" s="110"/>
      <c r="AK608" s="34"/>
      <c r="AL608" s="34"/>
      <c r="AM608" s="34"/>
      <c r="AN608" s="34"/>
      <c r="AO608" s="34"/>
      <c r="AP608" s="34"/>
      <c r="AQ608" s="34"/>
      <c r="AR608" s="34"/>
    </row>
    <row r="609" spans="3:44" s="27" customFormat="1">
      <c r="C609" s="911"/>
      <c r="D609" s="29"/>
      <c r="E609" s="1249"/>
      <c r="F609" s="911"/>
      <c r="G609" s="1011"/>
      <c r="H609" s="1012"/>
      <c r="I609" s="34"/>
      <c r="J609" s="1271"/>
      <c r="K609" s="29"/>
      <c r="L609" s="1011"/>
      <c r="M609" s="911"/>
      <c r="N609" s="1011"/>
      <c r="O609" s="1011"/>
      <c r="P609" s="1012"/>
      <c r="Q609" s="1012"/>
      <c r="R609" s="38"/>
      <c r="S609" s="1011"/>
      <c r="T609" s="38"/>
      <c r="U609" s="1012"/>
      <c r="V609" s="1012"/>
      <c r="W609" s="1011"/>
      <c r="X609" s="1011"/>
      <c r="Y609" s="1011"/>
      <c r="Z609" s="1011"/>
      <c r="AA609" s="38"/>
      <c r="AB609" s="1011"/>
      <c r="AC609" s="1012"/>
      <c r="AD609" s="1012"/>
      <c r="AE609" s="1011"/>
      <c r="AF609" s="1011"/>
      <c r="AG609" s="1011"/>
      <c r="AH609" s="43"/>
      <c r="AJ609" s="110"/>
      <c r="AK609" s="34"/>
      <c r="AL609" s="34"/>
      <c r="AM609" s="34"/>
      <c r="AN609" s="34"/>
      <c r="AO609" s="34"/>
      <c r="AP609" s="34"/>
      <c r="AQ609" s="34"/>
      <c r="AR609" s="34"/>
    </row>
    <row r="610" spans="3:44" s="27" customFormat="1">
      <c r="C610" s="911"/>
      <c r="D610" s="29"/>
      <c r="E610" s="1249"/>
      <c r="F610" s="911"/>
      <c r="G610" s="1011"/>
      <c r="H610" s="1012"/>
      <c r="I610" s="34"/>
      <c r="J610" s="1271"/>
      <c r="K610" s="29"/>
      <c r="L610" s="1011"/>
      <c r="M610" s="911"/>
      <c r="N610" s="1011"/>
      <c r="O610" s="1011"/>
      <c r="P610" s="1012"/>
      <c r="Q610" s="1012"/>
      <c r="R610" s="38"/>
      <c r="S610" s="1011"/>
      <c r="T610" s="38"/>
      <c r="U610" s="1012"/>
      <c r="V610" s="1012"/>
      <c r="W610" s="1011"/>
      <c r="X610" s="1011"/>
      <c r="Y610" s="1011"/>
      <c r="Z610" s="1011"/>
      <c r="AA610" s="38"/>
      <c r="AB610" s="1011"/>
      <c r="AC610" s="1012"/>
      <c r="AD610" s="1012"/>
      <c r="AE610" s="1011"/>
      <c r="AF610" s="1011"/>
      <c r="AG610" s="1011"/>
      <c r="AH610" s="43"/>
      <c r="AJ610" s="110"/>
      <c r="AK610" s="34"/>
      <c r="AL610" s="34"/>
      <c r="AM610" s="34"/>
      <c r="AN610" s="34"/>
      <c r="AO610" s="34"/>
      <c r="AP610" s="34"/>
      <c r="AQ610" s="34"/>
      <c r="AR610" s="34"/>
    </row>
    <row r="611" spans="3:44" s="27" customFormat="1">
      <c r="C611" s="911"/>
      <c r="D611" s="29"/>
      <c r="E611" s="1249"/>
      <c r="F611" s="911"/>
      <c r="G611" s="1011"/>
      <c r="H611" s="1012"/>
      <c r="I611" s="34"/>
      <c r="J611" s="1271"/>
      <c r="K611" s="29"/>
      <c r="L611" s="1011"/>
      <c r="M611" s="911"/>
      <c r="N611" s="1011"/>
      <c r="O611" s="1011"/>
      <c r="P611" s="1012"/>
      <c r="Q611" s="1012"/>
      <c r="R611" s="38"/>
      <c r="S611" s="1011"/>
      <c r="T611" s="38"/>
      <c r="U611" s="1012"/>
      <c r="V611" s="1012"/>
      <c r="W611" s="1011"/>
      <c r="X611" s="1011"/>
      <c r="Y611" s="1011"/>
      <c r="Z611" s="1011"/>
      <c r="AA611" s="38"/>
      <c r="AB611" s="1011"/>
      <c r="AC611" s="1012"/>
      <c r="AD611" s="1012"/>
      <c r="AE611" s="1011"/>
      <c r="AF611" s="1011"/>
      <c r="AG611" s="1011"/>
      <c r="AH611" s="43"/>
      <c r="AJ611" s="110"/>
      <c r="AK611" s="34"/>
      <c r="AL611" s="34"/>
      <c r="AM611" s="34"/>
      <c r="AN611" s="34"/>
      <c r="AO611" s="34"/>
      <c r="AP611" s="34"/>
      <c r="AQ611" s="34"/>
      <c r="AR611" s="34"/>
    </row>
    <row r="612" spans="3:44" s="27" customFormat="1">
      <c r="C612" s="911"/>
      <c r="D612" s="29"/>
      <c r="E612" s="1249"/>
      <c r="F612" s="911"/>
      <c r="G612" s="1011"/>
      <c r="H612" s="1012"/>
      <c r="I612" s="34"/>
      <c r="J612" s="1271"/>
      <c r="K612" s="29"/>
      <c r="L612" s="1011"/>
      <c r="M612" s="911"/>
      <c r="N612" s="1011"/>
      <c r="O612" s="1011"/>
      <c r="P612" s="1012"/>
      <c r="Q612" s="1012"/>
      <c r="R612" s="38"/>
      <c r="S612" s="1011"/>
      <c r="T612" s="38"/>
      <c r="U612" s="1012"/>
      <c r="V612" s="1012"/>
      <c r="W612" s="1011"/>
      <c r="X612" s="1011"/>
      <c r="Y612" s="1011"/>
      <c r="Z612" s="1011"/>
      <c r="AA612" s="38"/>
      <c r="AB612" s="1011"/>
      <c r="AC612" s="1012"/>
      <c r="AD612" s="1012"/>
      <c r="AE612" s="1011"/>
      <c r="AF612" s="1011"/>
      <c r="AG612" s="1011"/>
      <c r="AH612" s="43"/>
      <c r="AJ612" s="110"/>
      <c r="AK612" s="34"/>
      <c r="AL612" s="34"/>
      <c r="AM612" s="34"/>
      <c r="AN612" s="34"/>
      <c r="AO612" s="34"/>
      <c r="AP612" s="34"/>
      <c r="AQ612" s="34"/>
      <c r="AR612" s="34"/>
    </row>
    <row r="613" spans="3:44" s="27" customFormat="1">
      <c r="C613" s="911"/>
      <c r="D613" s="29"/>
      <c r="E613" s="1249"/>
      <c r="F613" s="911"/>
      <c r="G613" s="1011"/>
      <c r="H613" s="1012"/>
      <c r="I613" s="34"/>
      <c r="J613" s="1271"/>
      <c r="K613" s="29"/>
      <c r="L613" s="1011"/>
      <c r="M613" s="911"/>
      <c r="N613" s="1011"/>
      <c r="O613" s="1011"/>
      <c r="P613" s="1012"/>
      <c r="Q613" s="1012"/>
      <c r="R613" s="38"/>
      <c r="S613" s="1011"/>
      <c r="T613" s="38"/>
      <c r="U613" s="1012"/>
      <c r="V613" s="1012"/>
      <c r="W613" s="1011"/>
      <c r="X613" s="1011"/>
      <c r="Y613" s="1011"/>
      <c r="Z613" s="1011"/>
      <c r="AA613" s="38"/>
      <c r="AB613" s="1011"/>
      <c r="AC613" s="1012"/>
      <c r="AD613" s="1012"/>
      <c r="AE613" s="1011"/>
      <c r="AF613" s="1011"/>
      <c r="AG613" s="1011"/>
      <c r="AH613" s="43"/>
      <c r="AJ613" s="110"/>
      <c r="AK613" s="34"/>
      <c r="AL613" s="34"/>
      <c r="AM613" s="34"/>
      <c r="AN613" s="34"/>
      <c r="AO613" s="34"/>
      <c r="AP613" s="34"/>
      <c r="AQ613" s="34"/>
      <c r="AR613" s="34"/>
    </row>
    <row r="614" spans="3:44" s="27" customFormat="1">
      <c r="C614" s="911"/>
      <c r="D614" s="29"/>
      <c r="E614" s="1249"/>
      <c r="F614" s="911"/>
      <c r="G614" s="1011"/>
      <c r="H614" s="1012"/>
      <c r="I614" s="34"/>
      <c r="J614" s="1271"/>
      <c r="K614" s="29"/>
      <c r="L614" s="1011"/>
      <c r="M614" s="911"/>
      <c r="N614" s="1011"/>
      <c r="O614" s="1011"/>
      <c r="P614" s="1012"/>
      <c r="Q614" s="1012"/>
      <c r="R614" s="38"/>
      <c r="S614" s="1011"/>
      <c r="T614" s="38"/>
      <c r="U614" s="1012"/>
      <c r="V614" s="1012"/>
      <c r="W614" s="1011"/>
      <c r="X614" s="1011"/>
      <c r="Y614" s="1011"/>
      <c r="Z614" s="1011"/>
      <c r="AA614" s="38"/>
      <c r="AB614" s="1011"/>
      <c r="AC614" s="1012"/>
      <c r="AD614" s="1012"/>
      <c r="AE614" s="1011"/>
      <c r="AF614" s="1011"/>
      <c r="AG614" s="1011"/>
      <c r="AH614" s="43"/>
      <c r="AJ614" s="110"/>
      <c r="AK614" s="34"/>
      <c r="AL614" s="34"/>
      <c r="AM614" s="34"/>
      <c r="AN614" s="34"/>
      <c r="AO614" s="34"/>
      <c r="AP614" s="34"/>
      <c r="AQ614" s="34"/>
      <c r="AR614" s="34"/>
    </row>
    <row r="615" spans="3:44" s="27" customFormat="1">
      <c r="C615" s="911"/>
      <c r="D615" s="29"/>
      <c r="E615" s="1249"/>
      <c r="F615" s="911"/>
      <c r="G615" s="1011"/>
      <c r="H615" s="1012"/>
      <c r="I615" s="34"/>
      <c r="J615" s="1271"/>
      <c r="K615" s="29"/>
      <c r="L615" s="1011"/>
      <c r="M615" s="911"/>
      <c r="N615" s="1011"/>
      <c r="O615" s="1011"/>
      <c r="P615" s="1012"/>
      <c r="Q615" s="1012"/>
      <c r="R615" s="38"/>
      <c r="S615" s="1011"/>
      <c r="T615" s="38"/>
      <c r="U615" s="1012"/>
      <c r="V615" s="1012"/>
      <c r="W615" s="1011"/>
      <c r="X615" s="1011"/>
      <c r="Y615" s="1011"/>
      <c r="Z615" s="1011"/>
      <c r="AA615" s="38"/>
      <c r="AB615" s="1011"/>
      <c r="AC615" s="1012"/>
      <c r="AD615" s="1012"/>
      <c r="AE615" s="1011"/>
      <c r="AF615" s="1011"/>
      <c r="AG615" s="1011"/>
      <c r="AH615" s="43"/>
      <c r="AJ615" s="110"/>
      <c r="AK615" s="34"/>
      <c r="AL615" s="34"/>
      <c r="AM615" s="34"/>
      <c r="AN615" s="34"/>
      <c r="AO615" s="34"/>
      <c r="AP615" s="34"/>
      <c r="AQ615" s="34"/>
      <c r="AR615" s="34"/>
    </row>
    <row r="616" spans="3:44" s="27" customFormat="1">
      <c r="C616" s="911"/>
      <c r="D616" s="29"/>
      <c r="E616" s="1249"/>
      <c r="F616" s="911"/>
      <c r="G616" s="1011"/>
      <c r="H616" s="1012"/>
      <c r="I616" s="34"/>
      <c r="J616" s="1271"/>
      <c r="K616" s="29"/>
      <c r="L616" s="1011"/>
      <c r="M616" s="911"/>
      <c r="N616" s="1011"/>
      <c r="O616" s="1011"/>
      <c r="P616" s="1012"/>
      <c r="Q616" s="1012"/>
      <c r="R616" s="38"/>
      <c r="S616" s="1011"/>
      <c r="T616" s="38"/>
      <c r="U616" s="1012"/>
      <c r="V616" s="1012"/>
      <c r="W616" s="1011"/>
      <c r="X616" s="1011"/>
      <c r="Y616" s="1011"/>
      <c r="Z616" s="1011"/>
      <c r="AA616" s="38"/>
      <c r="AB616" s="1011"/>
      <c r="AC616" s="1012"/>
      <c r="AD616" s="1012"/>
      <c r="AE616" s="1011"/>
      <c r="AF616" s="1011"/>
      <c r="AG616" s="1011"/>
      <c r="AH616" s="43"/>
      <c r="AJ616" s="110"/>
      <c r="AK616" s="34"/>
      <c r="AL616" s="34"/>
      <c r="AM616" s="34"/>
      <c r="AN616" s="34"/>
      <c r="AO616" s="34"/>
      <c r="AP616" s="34"/>
      <c r="AQ616" s="34"/>
      <c r="AR616" s="34"/>
    </row>
    <row r="617" spans="3:44" s="27" customFormat="1">
      <c r="C617" s="911"/>
      <c r="D617" s="29"/>
      <c r="E617" s="1249"/>
      <c r="F617" s="911"/>
      <c r="G617" s="1011"/>
      <c r="H617" s="1012"/>
      <c r="I617" s="34"/>
      <c r="J617" s="1271"/>
      <c r="K617" s="29"/>
      <c r="L617" s="1011"/>
      <c r="M617" s="911"/>
      <c r="N617" s="1011"/>
      <c r="O617" s="1011"/>
      <c r="P617" s="1012"/>
      <c r="Q617" s="1012"/>
      <c r="R617" s="38"/>
      <c r="S617" s="1011"/>
      <c r="T617" s="38"/>
      <c r="U617" s="1012"/>
      <c r="V617" s="1012"/>
      <c r="W617" s="1011"/>
      <c r="X617" s="1011"/>
      <c r="Y617" s="1011"/>
      <c r="Z617" s="1011"/>
      <c r="AA617" s="38"/>
      <c r="AB617" s="1011"/>
      <c r="AC617" s="1012"/>
      <c r="AD617" s="1012"/>
      <c r="AE617" s="1011"/>
      <c r="AF617" s="1011"/>
      <c r="AG617" s="1011"/>
      <c r="AH617" s="43"/>
      <c r="AJ617" s="110"/>
      <c r="AK617" s="34"/>
      <c r="AL617" s="34"/>
      <c r="AM617" s="34"/>
      <c r="AN617" s="34"/>
      <c r="AO617" s="34"/>
      <c r="AP617" s="34"/>
      <c r="AQ617" s="34"/>
      <c r="AR617" s="34"/>
    </row>
    <row r="618" spans="3:44" s="27" customFormat="1">
      <c r="C618" s="911"/>
      <c r="D618" s="29"/>
      <c r="E618" s="1249"/>
      <c r="F618" s="911"/>
      <c r="G618" s="1011"/>
      <c r="H618" s="1012"/>
      <c r="I618" s="34"/>
      <c r="J618" s="1271"/>
      <c r="K618" s="29"/>
      <c r="L618" s="1011"/>
      <c r="M618" s="911"/>
      <c r="N618" s="1011"/>
      <c r="O618" s="1011"/>
      <c r="P618" s="1012"/>
      <c r="Q618" s="1012"/>
      <c r="R618" s="38"/>
      <c r="S618" s="1011"/>
      <c r="T618" s="38"/>
      <c r="U618" s="1012"/>
      <c r="V618" s="1012"/>
      <c r="W618" s="1011"/>
      <c r="X618" s="1011"/>
      <c r="Y618" s="1011"/>
      <c r="Z618" s="1011"/>
      <c r="AA618" s="38"/>
      <c r="AB618" s="1011"/>
      <c r="AC618" s="1012"/>
      <c r="AD618" s="1012"/>
      <c r="AE618" s="1011"/>
      <c r="AF618" s="1011"/>
      <c r="AG618" s="1011"/>
      <c r="AH618" s="43"/>
      <c r="AJ618" s="110"/>
      <c r="AK618" s="34"/>
      <c r="AL618" s="34"/>
      <c r="AM618" s="34"/>
      <c r="AN618" s="34"/>
      <c r="AO618" s="34"/>
      <c r="AP618" s="34"/>
      <c r="AQ618" s="34"/>
      <c r="AR618" s="34"/>
    </row>
    <row r="619" spans="3:44" s="27" customFormat="1">
      <c r="C619" s="911"/>
      <c r="D619" s="29"/>
      <c r="E619" s="1249"/>
      <c r="F619" s="911"/>
      <c r="G619" s="1011"/>
      <c r="H619" s="1012"/>
      <c r="I619" s="34"/>
      <c r="J619" s="1271"/>
      <c r="K619" s="29"/>
      <c r="L619" s="1011"/>
      <c r="M619" s="911"/>
      <c r="N619" s="1011"/>
      <c r="O619" s="1011"/>
      <c r="P619" s="1012"/>
      <c r="Q619" s="1012"/>
      <c r="R619" s="38"/>
      <c r="S619" s="1011"/>
      <c r="T619" s="38"/>
      <c r="U619" s="1012"/>
      <c r="V619" s="1012"/>
      <c r="W619" s="1011"/>
      <c r="X619" s="1011"/>
      <c r="Y619" s="1011"/>
      <c r="Z619" s="1011"/>
      <c r="AA619" s="38"/>
      <c r="AB619" s="1011"/>
      <c r="AC619" s="1012"/>
      <c r="AD619" s="1012"/>
      <c r="AE619" s="1011"/>
      <c r="AF619" s="1011"/>
      <c r="AG619" s="1011"/>
      <c r="AH619" s="43"/>
      <c r="AJ619" s="110"/>
      <c r="AK619" s="34"/>
      <c r="AL619" s="34"/>
      <c r="AM619" s="34"/>
      <c r="AN619" s="34"/>
      <c r="AO619" s="34"/>
      <c r="AP619" s="34"/>
      <c r="AQ619" s="34"/>
      <c r="AR619" s="34"/>
    </row>
    <row r="620" spans="3:44" s="27" customFormat="1">
      <c r="C620" s="911"/>
      <c r="D620" s="29"/>
      <c r="E620" s="1249"/>
      <c r="F620" s="911"/>
      <c r="G620" s="1011"/>
      <c r="H620" s="1012"/>
      <c r="I620" s="34"/>
      <c r="J620" s="1271"/>
      <c r="K620" s="29"/>
      <c r="L620" s="1011"/>
      <c r="M620" s="911"/>
      <c r="N620" s="1011"/>
      <c r="O620" s="1011"/>
      <c r="P620" s="1012"/>
      <c r="Q620" s="1012"/>
      <c r="R620" s="38"/>
      <c r="S620" s="1011"/>
      <c r="T620" s="38"/>
      <c r="U620" s="1012"/>
      <c r="V620" s="1012"/>
      <c r="W620" s="1011"/>
      <c r="X620" s="1011"/>
      <c r="Y620" s="1011"/>
      <c r="Z620" s="1011"/>
      <c r="AA620" s="38"/>
      <c r="AB620" s="1011"/>
      <c r="AC620" s="1012"/>
      <c r="AD620" s="1012"/>
      <c r="AE620" s="1011"/>
      <c r="AF620" s="1011"/>
      <c r="AG620" s="1011"/>
      <c r="AH620" s="43"/>
      <c r="AJ620" s="110"/>
      <c r="AK620" s="34"/>
      <c r="AL620" s="34"/>
      <c r="AM620" s="34"/>
      <c r="AN620" s="34"/>
      <c r="AO620" s="34"/>
      <c r="AP620" s="34"/>
      <c r="AQ620" s="34"/>
      <c r="AR620" s="34"/>
    </row>
    <row r="621" spans="3:44" s="27" customFormat="1">
      <c r="C621" s="911"/>
      <c r="D621" s="29"/>
      <c r="E621" s="1249"/>
      <c r="F621" s="911"/>
      <c r="G621" s="1011"/>
      <c r="H621" s="1012"/>
      <c r="I621" s="34"/>
      <c r="J621" s="1271"/>
      <c r="K621" s="29"/>
      <c r="L621" s="1011"/>
      <c r="M621" s="911"/>
      <c r="N621" s="1011"/>
      <c r="O621" s="1011"/>
      <c r="P621" s="1012"/>
      <c r="Q621" s="1012"/>
      <c r="R621" s="38"/>
      <c r="S621" s="1011"/>
      <c r="T621" s="38"/>
      <c r="U621" s="1012"/>
      <c r="V621" s="1012"/>
      <c r="W621" s="1011"/>
      <c r="X621" s="1011"/>
      <c r="Y621" s="1011"/>
      <c r="Z621" s="1011"/>
      <c r="AA621" s="38"/>
      <c r="AB621" s="1011"/>
      <c r="AC621" s="1012"/>
      <c r="AD621" s="1012"/>
      <c r="AE621" s="1011"/>
      <c r="AF621" s="1011"/>
      <c r="AG621" s="1011"/>
      <c r="AH621" s="43"/>
      <c r="AJ621" s="110"/>
      <c r="AK621" s="34"/>
      <c r="AL621" s="34"/>
      <c r="AM621" s="34"/>
      <c r="AN621" s="34"/>
      <c r="AO621" s="34"/>
      <c r="AP621" s="34"/>
      <c r="AQ621" s="34"/>
      <c r="AR621" s="34"/>
    </row>
    <row r="622" spans="3:44" s="27" customFormat="1">
      <c r="C622" s="911"/>
      <c r="D622" s="29"/>
      <c r="E622" s="1249"/>
      <c r="F622" s="911"/>
      <c r="G622" s="1011"/>
      <c r="H622" s="1012"/>
      <c r="I622" s="34"/>
      <c r="J622" s="1271"/>
      <c r="K622" s="29"/>
      <c r="L622" s="1011"/>
      <c r="M622" s="911"/>
      <c r="N622" s="1011"/>
      <c r="O622" s="1011"/>
      <c r="P622" s="1012"/>
      <c r="Q622" s="1012"/>
      <c r="R622" s="38"/>
      <c r="S622" s="1011"/>
      <c r="T622" s="38"/>
      <c r="U622" s="1012"/>
      <c r="V622" s="1012"/>
      <c r="W622" s="1011"/>
      <c r="X622" s="1011"/>
      <c r="Y622" s="1011"/>
      <c r="Z622" s="1011"/>
      <c r="AA622" s="38"/>
      <c r="AB622" s="1011"/>
      <c r="AC622" s="1012"/>
      <c r="AD622" s="1012"/>
      <c r="AE622" s="1011"/>
      <c r="AF622" s="1011"/>
      <c r="AG622" s="1011"/>
      <c r="AH622" s="43"/>
      <c r="AJ622" s="110"/>
      <c r="AK622" s="34"/>
      <c r="AL622" s="34"/>
      <c r="AM622" s="34"/>
      <c r="AN622" s="34"/>
      <c r="AO622" s="34"/>
      <c r="AP622" s="34"/>
      <c r="AQ622" s="34"/>
      <c r="AR622" s="34"/>
    </row>
    <row r="623" spans="3:44" s="27" customFormat="1">
      <c r="C623" s="911"/>
      <c r="D623" s="29"/>
      <c r="E623" s="1249"/>
      <c r="F623" s="911"/>
      <c r="G623" s="1011"/>
      <c r="H623" s="1012"/>
      <c r="I623" s="34"/>
      <c r="J623" s="1271"/>
      <c r="K623" s="29"/>
      <c r="L623" s="1011"/>
      <c r="M623" s="911"/>
      <c r="N623" s="1011"/>
      <c r="O623" s="1011"/>
      <c r="P623" s="1012"/>
      <c r="Q623" s="1012"/>
      <c r="R623" s="38"/>
      <c r="S623" s="1011"/>
      <c r="T623" s="38"/>
      <c r="U623" s="1012"/>
      <c r="V623" s="1012"/>
      <c r="W623" s="1011"/>
      <c r="X623" s="1011"/>
      <c r="Y623" s="1011"/>
      <c r="Z623" s="1011"/>
      <c r="AA623" s="38"/>
      <c r="AB623" s="1011"/>
      <c r="AC623" s="1012"/>
      <c r="AD623" s="1012"/>
      <c r="AE623" s="1011"/>
      <c r="AF623" s="1011"/>
      <c r="AG623" s="1011"/>
      <c r="AH623" s="43"/>
      <c r="AJ623" s="110"/>
      <c r="AK623" s="34"/>
      <c r="AL623" s="34"/>
      <c r="AM623" s="34"/>
      <c r="AN623" s="34"/>
      <c r="AO623" s="34"/>
      <c r="AP623" s="34"/>
      <c r="AQ623" s="34"/>
      <c r="AR623" s="34"/>
    </row>
    <row r="624" spans="3:44" s="27" customFormat="1">
      <c r="C624" s="911"/>
      <c r="D624" s="29"/>
      <c r="E624" s="1249"/>
      <c r="F624" s="911"/>
      <c r="G624" s="1011"/>
      <c r="H624" s="1012"/>
      <c r="I624" s="34"/>
      <c r="J624" s="1271"/>
      <c r="K624" s="29"/>
      <c r="L624" s="1011"/>
      <c r="M624" s="911"/>
      <c r="N624" s="1011"/>
      <c r="O624" s="1011"/>
      <c r="P624" s="1012"/>
      <c r="Q624" s="1012"/>
      <c r="R624" s="38"/>
      <c r="S624" s="1011"/>
      <c r="T624" s="38"/>
      <c r="U624" s="1012"/>
      <c r="V624" s="1012"/>
      <c r="W624" s="1011"/>
      <c r="X624" s="1011"/>
      <c r="Y624" s="1011"/>
      <c r="Z624" s="1011"/>
      <c r="AA624" s="38"/>
      <c r="AB624" s="1011"/>
      <c r="AC624" s="1012"/>
      <c r="AD624" s="1012"/>
      <c r="AE624" s="1011"/>
      <c r="AF624" s="1011"/>
      <c r="AG624" s="1011"/>
      <c r="AH624" s="43"/>
      <c r="AJ624" s="110"/>
      <c r="AK624" s="34"/>
      <c r="AL624" s="34"/>
      <c r="AM624" s="34"/>
      <c r="AN624" s="34"/>
      <c r="AO624" s="34"/>
      <c r="AP624" s="34"/>
      <c r="AQ624" s="34"/>
      <c r="AR624" s="34"/>
    </row>
    <row r="625" spans="3:44" s="27" customFormat="1">
      <c r="C625" s="911"/>
      <c r="D625" s="29"/>
      <c r="E625" s="1249"/>
      <c r="F625" s="911"/>
      <c r="G625" s="1011"/>
      <c r="H625" s="1012"/>
      <c r="I625" s="34"/>
      <c r="J625" s="1271"/>
      <c r="K625" s="29"/>
      <c r="L625" s="1011"/>
      <c r="M625" s="911"/>
      <c r="N625" s="1011"/>
      <c r="O625" s="1011"/>
      <c r="P625" s="1012"/>
      <c r="Q625" s="1012"/>
      <c r="R625" s="38"/>
      <c r="S625" s="1011"/>
      <c r="T625" s="38"/>
      <c r="U625" s="1012"/>
      <c r="V625" s="1012"/>
      <c r="W625" s="1011"/>
      <c r="X625" s="1011"/>
      <c r="Y625" s="1011"/>
      <c r="Z625" s="1011"/>
      <c r="AA625" s="38"/>
      <c r="AB625" s="1011"/>
      <c r="AC625" s="1012"/>
      <c r="AD625" s="1012"/>
      <c r="AE625" s="1011"/>
      <c r="AF625" s="1011"/>
      <c r="AG625" s="1011"/>
      <c r="AH625" s="43"/>
      <c r="AJ625" s="110"/>
      <c r="AK625" s="34"/>
      <c r="AL625" s="34"/>
      <c r="AM625" s="34"/>
      <c r="AN625" s="34"/>
      <c r="AO625" s="34"/>
      <c r="AP625" s="34"/>
      <c r="AQ625" s="34"/>
      <c r="AR625" s="34"/>
    </row>
    <row r="626" spans="3:44" s="27" customFormat="1">
      <c r="C626" s="911"/>
      <c r="D626" s="29"/>
      <c r="E626" s="1249"/>
      <c r="F626" s="911"/>
      <c r="G626" s="1011"/>
      <c r="H626" s="1012"/>
      <c r="I626" s="34"/>
      <c r="J626" s="1271"/>
      <c r="K626" s="29"/>
      <c r="L626" s="1011"/>
      <c r="M626" s="911"/>
      <c r="N626" s="1011"/>
      <c r="O626" s="1011"/>
      <c r="P626" s="1012"/>
      <c r="Q626" s="1012"/>
      <c r="R626" s="38"/>
      <c r="S626" s="1011"/>
      <c r="T626" s="38"/>
      <c r="U626" s="1012"/>
      <c r="V626" s="1012"/>
      <c r="W626" s="1011"/>
      <c r="X626" s="1011"/>
      <c r="Y626" s="1011"/>
      <c r="Z626" s="1011"/>
      <c r="AA626" s="38"/>
      <c r="AB626" s="1011"/>
      <c r="AC626" s="1012"/>
      <c r="AD626" s="1012"/>
      <c r="AE626" s="1011"/>
      <c r="AF626" s="1011"/>
      <c r="AG626" s="1011"/>
      <c r="AH626" s="43"/>
      <c r="AJ626" s="110"/>
      <c r="AK626" s="34"/>
      <c r="AL626" s="34"/>
      <c r="AM626" s="34"/>
      <c r="AN626" s="34"/>
      <c r="AO626" s="34"/>
      <c r="AP626" s="34"/>
      <c r="AQ626" s="34"/>
      <c r="AR626" s="34"/>
    </row>
    <row r="627" spans="3:44" s="27" customFormat="1">
      <c r="C627" s="911"/>
      <c r="D627" s="29"/>
      <c r="E627" s="1249"/>
      <c r="F627" s="911"/>
      <c r="G627" s="1011"/>
      <c r="H627" s="1012"/>
      <c r="I627" s="34"/>
      <c r="J627" s="1271"/>
      <c r="K627" s="29"/>
      <c r="L627" s="1011"/>
      <c r="M627" s="911"/>
      <c r="N627" s="1011"/>
      <c r="O627" s="1011"/>
      <c r="P627" s="1012"/>
      <c r="Q627" s="1012"/>
      <c r="R627" s="38"/>
      <c r="S627" s="1011"/>
      <c r="T627" s="38"/>
      <c r="U627" s="1012"/>
      <c r="V627" s="1012"/>
      <c r="W627" s="1011"/>
      <c r="X627" s="1011"/>
      <c r="Y627" s="1011"/>
      <c r="Z627" s="1011"/>
      <c r="AA627" s="38"/>
      <c r="AB627" s="1011"/>
      <c r="AC627" s="1012"/>
      <c r="AD627" s="1012"/>
      <c r="AE627" s="1011"/>
      <c r="AF627" s="1011"/>
      <c r="AG627" s="1011"/>
      <c r="AH627" s="43"/>
      <c r="AJ627" s="110"/>
      <c r="AK627" s="34"/>
      <c r="AL627" s="34"/>
      <c r="AM627" s="34"/>
      <c r="AN627" s="34"/>
      <c r="AO627" s="34"/>
      <c r="AP627" s="34"/>
      <c r="AQ627" s="34"/>
      <c r="AR627" s="34"/>
    </row>
    <row r="628" spans="3:44" s="27" customFormat="1">
      <c r="C628" s="911"/>
      <c r="D628" s="29"/>
      <c r="E628" s="1249"/>
      <c r="F628" s="911"/>
      <c r="G628" s="1011"/>
      <c r="H628" s="1012"/>
      <c r="I628" s="34"/>
      <c r="J628" s="1271"/>
      <c r="K628" s="29"/>
      <c r="L628" s="1011"/>
      <c r="M628" s="911"/>
      <c r="N628" s="1011"/>
      <c r="O628" s="1011"/>
      <c r="P628" s="1012"/>
      <c r="Q628" s="1012"/>
      <c r="R628" s="38"/>
      <c r="S628" s="1011"/>
      <c r="T628" s="38"/>
      <c r="U628" s="1012"/>
      <c r="V628" s="1012"/>
      <c r="W628" s="1011"/>
      <c r="X628" s="1011"/>
      <c r="Y628" s="1011"/>
      <c r="Z628" s="1011"/>
      <c r="AA628" s="38"/>
      <c r="AB628" s="1011"/>
      <c r="AC628" s="1012"/>
      <c r="AD628" s="1012"/>
      <c r="AE628" s="1011"/>
      <c r="AF628" s="1011"/>
      <c r="AG628" s="1011"/>
      <c r="AH628" s="43"/>
      <c r="AJ628" s="110"/>
      <c r="AK628" s="34"/>
      <c r="AL628" s="34"/>
      <c r="AM628" s="34"/>
      <c r="AN628" s="34"/>
      <c r="AO628" s="34"/>
      <c r="AP628" s="34"/>
      <c r="AQ628" s="34"/>
      <c r="AR628" s="34"/>
    </row>
    <row r="629" spans="3:44" s="27" customFormat="1">
      <c r="C629" s="911"/>
      <c r="D629" s="29"/>
      <c r="E629" s="1249"/>
      <c r="F629" s="911"/>
      <c r="G629" s="1011"/>
      <c r="H629" s="1012"/>
      <c r="I629" s="34"/>
      <c r="J629" s="1271"/>
      <c r="K629" s="29"/>
      <c r="L629" s="1011"/>
      <c r="M629" s="911"/>
      <c r="N629" s="1011"/>
      <c r="O629" s="1011"/>
      <c r="P629" s="1012"/>
      <c r="Q629" s="1012"/>
      <c r="R629" s="38"/>
      <c r="S629" s="1011"/>
      <c r="T629" s="38"/>
      <c r="U629" s="1012"/>
      <c r="V629" s="1012"/>
      <c r="W629" s="1011"/>
      <c r="X629" s="1011"/>
      <c r="Y629" s="1011"/>
      <c r="Z629" s="1011"/>
      <c r="AA629" s="38"/>
      <c r="AB629" s="1011"/>
      <c r="AC629" s="1012"/>
      <c r="AD629" s="1012"/>
      <c r="AE629" s="1011"/>
      <c r="AF629" s="1011"/>
      <c r="AG629" s="1011"/>
      <c r="AH629" s="43"/>
      <c r="AJ629" s="110"/>
      <c r="AK629" s="34"/>
      <c r="AL629" s="34"/>
      <c r="AM629" s="34"/>
      <c r="AN629" s="34"/>
      <c r="AO629" s="34"/>
      <c r="AP629" s="34"/>
      <c r="AQ629" s="34"/>
      <c r="AR629" s="34"/>
    </row>
    <row r="630" spans="3:44" s="27" customFormat="1">
      <c r="C630" s="911"/>
      <c r="D630" s="29"/>
      <c r="E630" s="1249"/>
      <c r="F630" s="911"/>
      <c r="G630" s="1011"/>
      <c r="H630" s="1012"/>
      <c r="I630" s="34"/>
      <c r="J630" s="1271"/>
      <c r="K630" s="29"/>
      <c r="L630" s="1011"/>
      <c r="M630" s="911"/>
      <c r="N630" s="1011"/>
      <c r="O630" s="1011"/>
      <c r="P630" s="1012"/>
      <c r="Q630" s="1012"/>
      <c r="R630" s="38"/>
      <c r="S630" s="1011"/>
      <c r="T630" s="38"/>
      <c r="U630" s="1012"/>
      <c r="V630" s="1012"/>
      <c r="W630" s="1011"/>
      <c r="X630" s="1011"/>
      <c r="Y630" s="1011"/>
      <c r="Z630" s="1011"/>
      <c r="AA630" s="38"/>
      <c r="AB630" s="1011"/>
      <c r="AC630" s="1012"/>
      <c r="AD630" s="1012"/>
      <c r="AE630" s="1011"/>
      <c r="AF630" s="1011"/>
      <c r="AG630" s="1011"/>
      <c r="AH630" s="43"/>
      <c r="AJ630" s="110"/>
      <c r="AK630" s="34"/>
      <c r="AL630" s="34"/>
      <c r="AM630" s="34"/>
      <c r="AN630" s="34"/>
      <c r="AO630" s="34"/>
      <c r="AP630" s="34"/>
      <c r="AQ630" s="34"/>
      <c r="AR630" s="34"/>
    </row>
    <row r="631" spans="3:44" s="27" customFormat="1">
      <c r="C631" s="911"/>
      <c r="D631" s="29"/>
      <c r="E631" s="1249"/>
      <c r="F631" s="911"/>
      <c r="G631" s="1011"/>
      <c r="H631" s="1012"/>
      <c r="I631" s="34"/>
      <c r="J631" s="1271"/>
      <c r="K631" s="29"/>
      <c r="L631" s="1011"/>
      <c r="M631" s="911"/>
      <c r="N631" s="1011"/>
      <c r="O631" s="1011"/>
      <c r="P631" s="1012"/>
      <c r="Q631" s="1012"/>
      <c r="R631" s="38"/>
      <c r="S631" s="1011"/>
      <c r="T631" s="38"/>
      <c r="U631" s="1012"/>
      <c r="V631" s="1012"/>
      <c r="W631" s="1011"/>
      <c r="X631" s="1011"/>
      <c r="Y631" s="1011"/>
      <c r="Z631" s="1011"/>
      <c r="AA631" s="38"/>
      <c r="AB631" s="1011"/>
      <c r="AC631" s="1012"/>
      <c r="AD631" s="1012"/>
      <c r="AE631" s="1011"/>
      <c r="AF631" s="1011"/>
      <c r="AG631" s="1011"/>
      <c r="AH631" s="43"/>
      <c r="AJ631" s="110"/>
      <c r="AK631" s="34"/>
      <c r="AL631" s="34"/>
      <c r="AM631" s="34"/>
      <c r="AN631" s="34"/>
      <c r="AO631" s="34"/>
      <c r="AP631" s="34"/>
      <c r="AQ631" s="34"/>
      <c r="AR631" s="34"/>
    </row>
    <row r="632" spans="3:44" s="27" customFormat="1">
      <c r="C632" s="911"/>
      <c r="D632" s="29"/>
      <c r="E632" s="1249"/>
      <c r="F632" s="911"/>
      <c r="G632" s="1011"/>
      <c r="H632" s="1012"/>
      <c r="I632" s="34"/>
      <c r="J632" s="1271"/>
      <c r="K632" s="29"/>
      <c r="L632" s="1011"/>
      <c r="M632" s="911"/>
      <c r="N632" s="1011"/>
      <c r="O632" s="1011"/>
      <c r="P632" s="1012"/>
      <c r="Q632" s="1012"/>
      <c r="R632" s="38"/>
      <c r="S632" s="1011"/>
      <c r="T632" s="38"/>
      <c r="U632" s="1012"/>
      <c r="V632" s="1012"/>
      <c r="W632" s="1011"/>
      <c r="X632" s="1011"/>
      <c r="Y632" s="1011"/>
      <c r="Z632" s="1011"/>
      <c r="AA632" s="38"/>
      <c r="AB632" s="1011"/>
      <c r="AC632" s="1012"/>
      <c r="AD632" s="1012"/>
      <c r="AE632" s="1011"/>
      <c r="AF632" s="1011"/>
      <c r="AG632" s="1011"/>
      <c r="AH632" s="43"/>
      <c r="AJ632" s="110"/>
      <c r="AK632" s="34"/>
      <c r="AL632" s="34"/>
      <c r="AM632" s="34"/>
      <c r="AN632" s="34"/>
      <c r="AO632" s="34"/>
      <c r="AP632" s="34"/>
      <c r="AQ632" s="34"/>
      <c r="AR632" s="34"/>
    </row>
    <row r="633" spans="3:44" s="27" customFormat="1">
      <c r="C633" s="911"/>
      <c r="D633" s="29"/>
      <c r="E633" s="1249"/>
      <c r="F633" s="911"/>
      <c r="G633" s="1011"/>
      <c r="H633" s="1012"/>
      <c r="I633" s="34"/>
      <c r="J633" s="1271"/>
      <c r="K633" s="29"/>
      <c r="L633" s="1011"/>
      <c r="M633" s="911"/>
      <c r="N633" s="1011"/>
      <c r="O633" s="1011"/>
      <c r="P633" s="1012"/>
      <c r="Q633" s="1012"/>
      <c r="R633" s="38"/>
      <c r="S633" s="1011"/>
      <c r="T633" s="38"/>
      <c r="U633" s="1012"/>
      <c r="V633" s="1012"/>
      <c r="W633" s="1011"/>
      <c r="X633" s="1011"/>
      <c r="Y633" s="1011"/>
      <c r="Z633" s="1011"/>
      <c r="AA633" s="38"/>
      <c r="AB633" s="1011"/>
      <c r="AC633" s="1012"/>
      <c r="AD633" s="1012"/>
      <c r="AE633" s="1011"/>
      <c r="AF633" s="1011"/>
      <c r="AG633" s="1011"/>
      <c r="AH633" s="43"/>
      <c r="AJ633" s="110"/>
      <c r="AK633" s="34"/>
      <c r="AL633" s="34"/>
      <c r="AM633" s="34"/>
      <c r="AN633" s="34"/>
      <c r="AO633" s="34"/>
      <c r="AP633" s="34"/>
      <c r="AQ633" s="34"/>
      <c r="AR633" s="34"/>
    </row>
    <row r="634" spans="3:44" s="27" customFormat="1">
      <c r="C634" s="911"/>
      <c r="D634" s="29"/>
      <c r="E634" s="1249"/>
      <c r="F634" s="911"/>
      <c r="G634" s="1011"/>
      <c r="H634" s="1012"/>
      <c r="I634" s="34"/>
      <c r="J634" s="1271"/>
      <c r="K634" s="29"/>
      <c r="L634" s="1011"/>
      <c r="M634" s="911"/>
      <c r="N634" s="1011"/>
      <c r="O634" s="1011"/>
      <c r="P634" s="1012"/>
      <c r="Q634" s="1012"/>
      <c r="R634" s="38"/>
      <c r="S634" s="1011"/>
      <c r="T634" s="38"/>
      <c r="U634" s="1012"/>
      <c r="V634" s="1012"/>
      <c r="W634" s="1011"/>
      <c r="X634" s="1011"/>
      <c r="Y634" s="1011"/>
      <c r="Z634" s="1011"/>
      <c r="AA634" s="38"/>
      <c r="AB634" s="1011"/>
      <c r="AC634" s="1012"/>
      <c r="AD634" s="1012"/>
      <c r="AE634" s="1011"/>
      <c r="AF634" s="1011"/>
      <c r="AG634" s="1011"/>
      <c r="AH634" s="43"/>
      <c r="AJ634" s="110"/>
      <c r="AK634" s="34"/>
      <c r="AL634" s="34"/>
      <c r="AM634" s="34"/>
      <c r="AN634" s="34"/>
      <c r="AO634" s="34"/>
      <c r="AP634" s="34"/>
      <c r="AQ634" s="34"/>
      <c r="AR634" s="34"/>
    </row>
    <row r="635" spans="3:44" s="27" customFormat="1">
      <c r="C635" s="911"/>
      <c r="D635" s="29"/>
      <c r="E635" s="1249"/>
      <c r="F635" s="911"/>
      <c r="G635" s="1011"/>
      <c r="H635" s="1012"/>
      <c r="I635" s="34"/>
      <c r="J635" s="1271"/>
      <c r="K635" s="29"/>
      <c r="L635" s="1011"/>
      <c r="M635" s="911"/>
      <c r="N635" s="1011"/>
      <c r="O635" s="1011"/>
      <c r="P635" s="1012"/>
      <c r="Q635" s="1012"/>
      <c r="R635" s="38"/>
      <c r="S635" s="1011"/>
      <c r="T635" s="38"/>
      <c r="U635" s="1012"/>
      <c r="V635" s="1012"/>
      <c r="W635" s="1011"/>
      <c r="X635" s="1011"/>
      <c r="Y635" s="1011"/>
      <c r="Z635" s="1011"/>
      <c r="AA635" s="38"/>
      <c r="AB635" s="1011"/>
      <c r="AC635" s="1012"/>
      <c r="AD635" s="1012"/>
      <c r="AE635" s="1011"/>
      <c r="AF635" s="1011"/>
      <c r="AG635" s="1011"/>
      <c r="AH635" s="43"/>
      <c r="AJ635" s="110"/>
      <c r="AK635" s="34"/>
      <c r="AL635" s="34"/>
      <c r="AM635" s="34"/>
      <c r="AN635" s="34"/>
      <c r="AO635" s="34"/>
      <c r="AP635" s="34"/>
      <c r="AQ635" s="34"/>
      <c r="AR635" s="34"/>
    </row>
    <row r="636" spans="3:44" s="27" customFormat="1">
      <c r="C636" s="911"/>
      <c r="D636" s="29"/>
      <c r="E636" s="1249"/>
      <c r="F636" s="911"/>
      <c r="G636" s="1011"/>
      <c r="H636" s="1012"/>
      <c r="I636" s="34"/>
      <c r="J636" s="1271"/>
      <c r="K636" s="29"/>
      <c r="L636" s="1011"/>
      <c r="M636" s="911"/>
      <c r="N636" s="1011"/>
      <c r="O636" s="1011"/>
      <c r="P636" s="1012"/>
      <c r="Q636" s="1012"/>
      <c r="R636" s="38"/>
      <c r="S636" s="1011"/>
      <c r="T636" s="38"/>
      <c r="U636" s="1012"/>
      <c r="V636" s="1012"/>
      <c r="W636" s="1011"/>
      <c r="X636" s="1011"/>
      <c r="Y636" s="1011"/>
      <c r="Z636" s="1011"/>
      <c r="AA636" s="38"/>
      <c r="AB636" s="1011"/>
      <c r="AC636" s="1012"/>
      <c r="AD636" s="1012"/>
      <c r="AE636" s="1011"/>
      <c r="AF636" s="1011"/>
      <c r="AG636" s="1011"/>
      <c r="AH636" s="43"/>
      <c r="AJ636" s="110"/>
      <c r="AK636" s="34"/>
      <c r="AL636" s="34"/>
      <c r="AM636" s="34"/>
      <c r="AN636" s="34"/>
      <c r="AO636" s="34"/>
      <c r="AP636" s="34"/>
      <c r="AQ636" s="34"/>
      <c r="AR636" s="34"/>
    </row>
    <row r="637" spans="3:44" s="27" customFormat="1">
      <c r="C637" s="911"/>
      <c r="D637" s="29"/>
      <c r="E637" s="1249"/>
      <c r="F637" s="911"/>
      <c r="G637" s="1011"/>
      <c r="H637" s="1012"/>
      <c r="I637" s="34"/>
      <c r="J637" s="1271"/>
      <c r="K637" s="29"/>
      <c r="L637" s="1011"/>
      <c r="M637" s="911"/>
      <c r="N637" s="1011"/>
      <c r="O637" s="1011"/>
      <c r="P637" s="1012"/>
      <c r="Q637" s="1012"/>
      <c r="R637" s="38"/>
      <c r="S637" s="1011"/>
      <c r="T637" s="38"/>
      <c r="U637" s="1012"/>
      <c r="V637" s="1012"/>
      <c r="W637" s="1011"/>
      <c r="X637" s="1011"/>
      <c r="Y637" s="1011"/>
      <c r="Z637" s="1011"/>
      <c r="AA637" s="38"/>
      <c r="AB637" s="1011"/>
      <c r="AC637" s="1012"/>
      <c r="AD637" s="1012"/>
      <c r="AE637" s="1011"/>
      <c r="AF637" s="1011"/>
      <c r="AG637" s="1011"/>
      <c r="AH637" s="43"/>
      <c r="AJ637" s="110"/>
      <c r="AK637" s="34"/>
      <c r="AL637" s="34"/>
      <c r="AM637" s="34"/>
      <c r="AN637" s="34"/>
      <c r="AO637" s="34"/>
      <c r="AP637" s="34"/>
      <c r="AQ637" s="34"/>
      <c r="AR637" s="34"/>
    </row>
    <row r="638" spans="3:44" s="27" customFormat="1">
      <c r="C638" s="911"/>
      <c r="D638" s="29"/>
      <c r="E638" s="1249"/>
      <c r="F638" s="911"/>
      <c r="G638" s="1011"/>
      <c r="H638" s="1012"/>
      <c r="I638" s="34"/>
      <c r="J638" s="1271"/>
      <c r="K638" s="29"/>
      <c r="L638" s="1011"/>
      <c r="M638" s="911"/>
      <c r="N638" s="1011"/>
      <c r="O638" s="1011"/>
      <c r="P638" s="1012"/>
      <c r="Q638" s="1012"/>
      <c r="R638" s="38"/>
      <c r="S638" s="1011"/>
      <c r="T638" s="38"/>
      <c r="U638" s="1012"/>
      <c r="V638" s="1012"/>
      <c r="W638" s="1011"/>
      <c r="X638" s="1011"/>
      <c r="Y638" s="1011"/>
      <c r="Z638" s="1011"/>
      <c r="AA638" s="38"/>
      <c r="AB638" s="1011"/>
      <c r="AC638" s="1012"/>
      <c r="AD638" s="1012"/>
      <c r="AE638" s="1011"/>
      <c r="AF638" s="1011"/>
      <c r="AG638" s="1011"/>
      <c r="AH638" s="43"/>
      <c r="AJ638" s="110"/>
      <c r="AK638" s="34"/>
      <c r="AL638" s="34"/>
      <c r="AM638" s="34"/>
      <c r="AN638" s="34"/>
      <c r="AO638" s="34"/>
      <c r="AP638" s="34"/>
      <c r="AQ638" s="34"/>
      <c r="AR638" s="34"/>
    </row>
    <row r="639" spans="3:44" s="27" customFormat="1">
      <c r="C639" s="911"/>
      <c r="D639" s="29"/>
      <c r="E639" s="1249"/>
      <c r="F639" s="911"/>
      <c r="G639" s="1011"/>
      <c r="H639" s="1012"/>
      <c r="I639" s="34"/>
      <c r="J639" s="1271"/>
      <c r="K639" s="29"/>
      <c r="L639" s="1011"/>
      <c r="M639" s="911"/>
      <c r="N639" s="1011"/>
      <c r="O639" s="1011"/>
      <c r="P639" s="1012"/>
      <c r="Q639" s="1012"/>
      <c r="R639" s="38"/>
      <c r="S639" s="1011"/>
      <c r="T639" s="38"/>
      <c r="U639" s="1012"/>
      <c r="V639" s="1012"/>
      <c r="W639" s="1011"/>
      <c r="X639" s="1011"/>
      <c r="Y639" s="1011"/>
      <c r="Z639" s="1011"/>
      <c r="AA639" s="38"/>
      <c r="AB639" s="1011"/>
      <c r="AC639" s="1012"/>
      <c r="AD639" s="1012"/>
      <c r="AE639" s="1011"/>
      <c r="AF639" s="1011"/>
      <c r="AG639" s="1011"/>
      <c r="AH639" s="43"/>
      <c r="AJ639" s="110"/>
      <c r="AK639" s="34"/>
      <c r="AL639" s="34"/>
      <c r="AM639" s="34"/>
      <c r="AN639" s="34"/>
      <c r="AO639" s="34"/>
      <c r="AP639" s="34"/>
      <c r="AQ639" s="34"/>
      <c r="AR639" s="34"/>
    </row>
    <row r="640" spans="3:44" s="27" customFormat="1">
      <c r="C640" s="911"/>
      <c r="D640" s="29"/>
      <c r="E640" s="1249"/>
      <c r="F640" s="911"/>
      <c r="G640" s="1011"/>
      <c r="H640" s="1012"/>
      <c r="I640" s="34"/>
      <c r="J640" s="1271"/>
      <c r="K640" s="29"/>
      <c r="L640" s="1011"/>
      <c r="M640" s="911"/>
      <c r="N640" s="1011"/>
      <c r="O640" s="1011"/>
      <c r="P640" s="1012"/>
      <c r="Q640" s="1012"/>
      <c r="R640" s="38"/>
      <c r="S640" s="1011"/>
      <c r="T640" s="38"/>
      <c r="U640" s="1012"/>
      <c r="V640" s="1012"/>
      <c r="W640" s="1011"/>
      <c r="X640" s="1011"/>
      <c r="Y640" s="1011"/>
      <c r="Z640" s="1011"/>
      <c r="AA640" s="38"/>
      <c r="AB640" s="1011"/>
      <c r="AC640" s="1012"/>
      <c r="AD640" s="1012"/>
      <c r="AE640" s="1011"/>
      <c r="AF640" s="1011"/>
      <c r="AG640" s="1011"/>
      <c r="AH640" s="43"/>
      <c r="AJ640" s="110"/>
      <c r="AK640" s="34"/>
      <c r="AL640" s="34"/>
      <c r="AM640" s="34"/>
      <c r="AN640" s="34"/>
      <c r="AO640" s="34"/>
      <c r="AP640" s="34"/>
      <c r="AQ640" s="34"/>
      <c r="AR640" s="34"/>
    </row>
    <row r="641" spans="3:44" s="27" customFormat="1">
      <c r="C641" s="911"/>
      <c r="D641" s="29"/>
      <c r="E641" s="1249"/>
      <c r="F641" s="911"/>
      <c r="G641" s="1011"/>
      <c r="H641" s="1012"/>
      <c r="I641" s="34"/>
      <c r="J641" s="1271"/>
      <c r="K641" s="29"/>
      <c r="L641" s="1011"/>
      <c r="M641" s="911"/>
      <c r="N641" s="1011"/>
      <c r="O641" s="1011"/>
      <c r="P641" s="1012"/>
      <c r="Q641" s="1012"/>
      <c r="R641" s="38"/>
      <c r="S641" s="1011"/>
      <c r="T641" s="38"/>
      <c r="U641" s="1012"/>
      <c r="V641" s="1012"/>
      <c r="W641" s="1011"/>
      <c r="X641" s="1011"/>
      <c r="Y641" s="1011"/>
      <c r="Z641" s="1011"/>
      <c r="AA641" s="38"/>
      <c r="AB641" s="1011"/>
      <c r="AC641" s="1012"/>
      <c r="AD641" s="1012"/>
      <c r="AE641" s="1011"/>
      <c r="AF641" s="1011"/>
      <c r="AG641" s="1011"/>
      <c r="AH641" s="43"/>
      <c r="AJ641" s="110"/>
      <c r="AK641" s="34"/>
      <c r="AL641" s="34"/>
      <c r="AM641" s="34"/>
      <c r="AN641" s="34"/>
      <c r="AO641" s="34"/>
      <c r="AP641" s="34"/>
      <c r="AQ641" s="34"/>
      <c r="AR641" s="34"/>
    </row>
    <row r="642" spans="3:44" s="27" customFormat="1">
      <c r="C642" s="911"/>
      <c r="D642" s="29"/>
      <c r="E642" s="1249"/>
      <c r="F642" s="911"/>
      <c r="G642" s="1011"/>
      <c r="H642" s="1012"/>
      <c r="I642" s="34"/>
      <c r="J642" s="1271"/>
      <c r="K642" s="29"/>
      <c r="L642" s="1011"/>
      <c r="M642" s="911"/>
      <c r="N642" s="1011"/>
      <c r="O642" s="1011"/>
      <c r="P642" s="1012"/>
      <c r="Q642" s="1012"/>
      <c r="R642" s="38"/>
      <c r="S642" s="1011"/>
      <c r="T642" s="38"/>
      <c r="U642" s="1012"/>
      <c r="V642" s="1012"/>
      <c r="W642" s="1011"/>
      <c r="X642" s="1011"/>
      <c r="Y642" s="1011"/>
      <c r="Z642" s="1011"/>
      <c r="AA642" s="38"/>
      <c r="AB642" s="1011"/>
      <c r="AC642" s="1012"/>
      <c r="AD642" s="1012"/>
      <c r="AE642" s="1011"/>
      <c r="AF642" s="1011"/>
      <c r="AG642" s="1011"/>
      <c r="AH642" s="43"/>
      <c r="AJ642" s="110"/>
      <c r="AK642" s="34"/>
      <c r="AL642" s="34"/>
      <c r="AM642" s="34"/>
      <c r="AN642" s="34"/>
      <c r="AO642" s="34"/>
      <c r="AP642" s="34"/>
      <c r="AQ642" s="34"/>
      <c r="AR642" s="34"/>
    </row>
    <row r="643" spans="3:44" s="27" customFormat="1">
      <c r="C643" s="911"/>
      <c r="D643" s="29"/>
      <c r="E643" s="1249"/>
      <c r="F643" s="911"/>
      <c r="G643" s="1011"/>
      <c r="H643" s="1012"/>
      <c r="I643" s="34"/>
      <c r="J643" s="1271"/>
      <c r="K643" s="29"/>
      <c r="L643" s="1011"/>
      <c r="M643" s="911"/>
      <c r="N643" s="1011"/>
      <c r="O643" s="1011"/>
      <c r="P643" s="1012"/>
      <c r="Q643" s="1012"/>
      <c r="R643" s="38"/>
      <c r="S643" s="1011"/>
      <c r="T643" s="38"/>
      <c r="U643" s="1012"/>
      <c r="V643" s="1012"/>
      <c r="W643" s="1011"/>
      <c r="X643" s="1011"/>
      <c r="Y643" s="1011"/>
      <c r="Z643" s="1011"/>
      <c r="AA643" s="38"/>
      <c r="AB643" s="1011"/>
      <c r="AC643" s="1012"/>
      <c r="AD643" s="1012"/>
      <c r="AE643" s="1011"/>
      <c r="AF643" s="1011"/>
      <c r="AG643" s="1011"/>
      <c r="AH643" s="43"/>
      <c r="AJ643" s="110"/>
      <c r="AK643" s="34"/>
      <c r="AL643" s="34"/>
      <c r="AM643" s="34"/>
      <c r="AN643" s="34"/>
      <c r="AO643" s="34"/>
      <c r="AP643" s="34"/>
      <c r="AQ643" s="34"/>
      <c r="AR643" s="34"/>
    </row>
    <row r="644" spans="3:44" s="27" customFormat="1">
      <c r="C644" s="911"/>
      <c r="D644" s="29"/>
      <c r="E644" s="1249"/>
      <c r="F644" s="911"/>
      <c r="G644" s="1011"/>
      <c r="H644" s="1012"/>
      <c r="I644" s="34"/>
      <c r="J644" s="1271"/>
      <c r="K644" s="29"/>
      <c r="L644" s="1011"/>
      <c r="M644" s="911"/>
      <c r="N644" s="1011"/>
      <c r="O644" s="1011"/>
      <c r="P644" s="1012"/>
      <c r="Q644" s="1012"/>
      <c r="R644" s="38"/>
      <c r="S644" s="1011"/>
      <c r="T644" s="38"/>
      <c r="U644" s="1012"/>
      <c r="V644" s="1012"/>
      <c r="W644" s="1011"/>
      <c r="X644" s="1011"/>
      <c r="Y644" s="1011"/>
      <c r="Z644" s="1011"/>
      <c r="AA644" s="38"/>
      <c r="AB644" s="1011"/>
      <c r="AC644" s="1012"/>
      <c r="AD644" s="1012"/>
      <c r="AE644" s="1011"/>
      <c r="AF644" s="1011"/>
      <c r="AG644" s="1011"/>
      <c r="AH644" s="43"/>
      <c r="AJ644" s="110"/>
      <c r="AK644" s="34"/>
      <c r="AL644" s="34"/>
      <c r="AM644" s="34"/>
      <c r="AN644" s="34"/>
      <c r="AO644" s="34"/>
      <c r="AP644" s="34"/>
      <c r="AQ644" s="34"/>
      <c r="AR644" s="34"/>
    </row>
    <row r="645" spans="3:44" s="27" customFormat="1">
      <c r="C645" s="911"/>
      <c r="D645" s="29"/>
      <c r="E645" s="1249"/>
      <c r="F645" s="911"/>
      <c r="G645" s="1011"/>
      <c r="H645" s="1012"/>
      <c r="I645" s="34"/>
      <c r="J645" s="1271"/>
      <c r="K645" s="29"/>
      <c r="L645" s="1011"/>
      <c r="M645" s="911"/>
      <c r="N645" s="1011"/>
      <c r="O645" s="1011"/>
      <c r="P645" s="1012"/>
      <c r="Q645" s="1012"/>
      <c r="R645" s="38"/>
      <c r="S645" s="1011"/>
      <c r="T645" s="38"/>
      <c r="U645" s="1012"/>
      <c r="V645" s="1012"/>
      <c r="W645" s="1011"/>
      <c r="X645" s="1011"/>
      <c r="Y645" s="1011"/>
      <c r="Z645" s="1011"/>
      <c r="AA645" s="38"/>
      <c r="AB645" s="1011"/>
      <c r="AC645" s="1012"/>
      <c r="AD645" s="1012"/>
      <c r="AE645" s="1011"/>
      <c r="AF645" s="1011"/>
      <c r="AG645" s="1011"/>
      <c r="AH645" s="43"/>
      <c r="AJ645" s="110"/>
      <c r="AK645" s="34"/>
      <c r="AL645" s="34"/>
      <c r="AM645" s="34"/>
      <c r="AN645" s="34"/>
      <c r="AO645" s="34"/>
      <c r="AP645" s="34"/>
      <c r="AQ645" s="34"/>
      <c r="AR645" s="34"/>
    </row>
    <row r="646" spans="3:44" s="27" customFormat="1">
      <c r="C646" s="911"/>
      <c r="D646" s="29"/>
      <c r="E646" s="1249"/>
      <c r="F646" s="911"/>
      <c r="G646" s="1011"/>
      <c r="H646" s="1012"/>
      <c r="I646" s="34"/>
      <c r="J646" s="1271"/>
      <c r="K646" s="29"/>
      <c r="L646" s="1011"/>
      <c r="M646" s="911"/>
      <c r="N646" s="1011"/>
      <c r="O646" s="1011"/>
      <c r="P646" s="1012"/>
      <c r="Q646" s="1012"/>
      <c r="R646" s="38"/>
      <c r="S646" s="1011"/>
      <c r="T646" s="38"/>
      <c r="U646" s="1012"/>
      <c r="V646" s="1012"/>
      <c r="W646" s="1011"/>
      <c r="X646" s="1011"/>
      <c r="Y646" s="1011"/>
      <c r="Z646" s="1011"/>
      <c r="AA646" s="38"/>
      <c r="AB646" s="1011"/>
      <c r="AC646" s="1012"/>
      <c r="AD646" s="1012"/>
      <c r="AE646" s="1011"/>
      <c r="AF646" s="1011"/>
      <c r="AG646" s="1011"/>
      <c r="AH646" s="43"/>
      <c r="AJ646" s="110"/>
      <c r="AK646" s="34"/>
      <c r="AL646" s="34"/>
      <c r="AM646" s="34"/>
      <c r="AN646" s="34"/>
      <c r="AO646" s="34"/>
      <c r="AP646" s="34"/>
      <c r="AQ646" s="34"/>
      <c r="AR646" s="34"/>
    </row>
    <row r="647" spans="3:44" s="27" customFormat="1">
      <c r="C647" s="911"/>
      <c r="D647" s="29"/>
      <c r="E647" s="1249"/>
      <c r="F647" s="911"/>
      <c r="G647" s="1011"/>
      <c r="H647" s="1012"/>
      <c r="I647" s="34"/>
      <c r="J647" s="1271"/>
      <c r="K647" s="29"/>
      <c r="L647" s="1011"/>
      <c r="M647" s="911"/>
      <c r="N647" s="1011"/>
      <c r="O647" s="1011"/>
      <c r="P647" s="1012"/>
      <c r="Q647" s="1012"/>
      <c r="R647" s="38"/>
      <c r="S647" s="1011"/>
      <c r="T647" s="38"/>
      <c r="U647" s="1012"/>
      <c r="V647" s="1012"/>
      <c r="W647" s="1011"/>
      <c r="X647" s="1011"/>
      <c r="Y647" s="1011"/>
      <c r="Z647" s="1011"/>
      <c r="AA647" s="38"/>
      <c r="AB647" s="1011"/>
      <c r="AC647" s="1012"/>
      <c r="AD647" s="1012"/>
      <c r="AE647" s="1011"/>
      <c r="AF647" s="1011"/>
      <c r="AG647" s="1011"/>
      <c r="AH647" s="43"/>
      <c r="AJ647" s="110"/>
      <c r="AK647" s="34"/>
      <c r="AL647" s="34"/>
      <c r="AM647" s="34"/>
      <c r="AN647" s="34"/>
      <c r="AO647" s="34"/>
      <c r="AP647" s="34"/>
      <c r="AQ647" s="34"/>
      <c r="AR647" s="34"/>
    </row>
    <row r="648" spans="3:44" s="27" customFormat="1">
      <c r="C648" s="911"/>
      <c r="D648" s="29"/>
      <c r="E648" s="1249"/>
      <c r="F648" s="911"/>
      <c r="G648" s="1011"/>
      <c r="H648" s="1012"/>
      <c r="I648" s="34"/>
      <c r="J648" s="1271"/>
      <c r="K648" s="29"/>
      <c r="L648" s="1011"/>
      <c r="M648" s="911"/>
      <c r="N648" s="1011"/>
      <c r="O648" s="1011"/>
      <c r="P648" s="1012"/>
      <c r="Q648" s="1012"/>
      <c r="R648" s="38"/>
      <c r="S648" s="1011"/>
      <c r="T648" s="38"/>
      <c r="U648" s="1012"/>
      <c r="V648" s="1012"/>
      <c r="W648" s="1011"/>
      <c r="X648" s="1011"/>
      <c r="Y648" s="1011"/>
      <c r="Z648" s="1011"/>
      <c r="AA648" s="38"/>
      <c r="AB648" s="1011"/>
      <c r="AC648" s="1012"/>
      <c r="AD648" s="1012"/>
      <c r="AE648" s="1011"/>
      <c r="AF648" s="1011"/>
      <c r="AG648" s="1011"/>
      <c r="AH648" s="43"/>
      <c r="AJ648" s="110"/>
      <c r="AK648" s="34"/>
      <c r="AL648" s="34"/>
      <c r="AM648" s="34"/>
      <c r="AN648" s="34"/>
      <c r="AO648" s="34"/>
      <c r="AP648" s="34"/>
      <c r="AQ648" s="34"/>
      <c r="AR648" s="34"/>
    </row>
    <row r="649" spans="3:44" s="27" customFormat="1">
      <c r="C649" s="911"/>
      <c r="D649" s="29"/>
      <c r="E649" s="1249"/>
      <c r="F649" s="911"/>
      <c r="G649" s="1011"/>
      <c r="H649" s="1012"/>
      <c r="I649" s="34"/>
      <c r="J649" s="1271"/>
      <c r="K649" s="29"/>
      <c r="L649" s="1011"/>
      <c r="M649" s="911"/>
      <c r="N649" s="1011"/>
      <c r="O649" s="1011"/>
      <c r="P649" s="1012"/>
      <c r="Q649" s="1012"/>
      <c r="R649" s="38"/>
      <c r="S649" s="1011"/>
      <c r="T649" s="38"/>
      <c r="U649" s="1012"/>
      <c r="V649" s="1012"/>
      <c r="W649" s="1011"/>
      <c r="X649" s="1011"/>
      <c r="Y649" s="1011"/>
      <c r="Z649" s="1011"/>
      <c r="AA649" s="38"/>
      <c r="AB649" s="1011"/>
      <c r="AC649" s="1012"/>
      <c r="AD649" s="1012"/>
      <c r="AE649" s="1011"/>
      <c r="AF649" s="1011"/>
      <c r="AG649" s="1011"/>
      <c r="AH649" s="43"/>
      <c r="AJ649" s="110"/>
      <c r="AK649" s="34"/>
      <c r="AL649" s="34"/>
      <c r="AM649" s="34"/>
      <c r="AN649" s="34"/>
      <c r="AO649" s="34"/>
      <c r="AP649" s="34"/>
      <c r="AQ649" s="34"/>
      <c r="AR649" s="34"/>
    </row>
    <row r="650" spans="3:44" s="27" customFormat="1">
      <c r="C650" s="911"/>
      <c r="D650" s="29"/>
      <c r="E650" s="1249"/>
      <c r="F650" s="911"/>
      <c r="G650" s="1011"/>
      <c r="H650" s="1012"/>
      <c r="I650" s="34"/>
      <c r="J650" s="1271"/>
      <c r="K650" s="29"/>
      <c r="L650" s="1011"/>
      <c r="M650" s="911"/>
      <c r="N650" s="1011"/>
      <c r="O650" s="1011"/>
      <c r="P650" s="1012"/>
      <c r="Q650" s="1012"/>
      <c r="R650" s="38"/>
      <c r="S650" s="1011"/>
      <c r="T650" s="38"/>
      <c r="U650" s="1012"/>
      <c r="V650" s="1012"/>
      <c r="W650" s="1011"/>
      <c r="X650" s="1011"/>
      <c r="Y650" s="1011"/>
      <c r="Z650" s="1011"/>
      <c r="AA650" s="38"/>
      <c r="AB650" s="1011"/>
      <c r="AC650" s="1012"/>
      <c r="AD650" s="1012"/>
      <c r="AE650" s="1011"/>
      <c r="AF650" s="1011"/>
      <c r="AG650" s="1011"/>
      <c r="AH650" s="43"/>
      <c r="AJ650" s="110"/>
      <c r="AK650" s="34"/>
      <c r="AL650" s="34"/>
      <c r="AM650" s="34"/>
      <c r="AN650" s="34"/>
      <c r="AO650" s="34"/>
      <c r="AP650" s="34"/>
      <c r="AQ650" s="34"/>
      <c r="AR650" s="34"/>
    </row>
    <row r="651" spans="3:44" s="27" customFormat="1">
      <c r="C651" s="911"/>
      <c r="D651" s="29"/>
      <c r="E651" s="1249"/>
      <c r="F651" s="911"/>
      <c r="G651" s="1011"/>
      <c r="H651" s="1012"/>
      <c r="I651" s="34"/>
      <c r="J651" s="1271"/>
      <c r="K651" s="29"/>
      <c r="L651" s="1011"/>
      <c r="M651" s="911"/>
      <c r="N651" s="1011"/>
      <c r="O651" s="1011"/>
      <c r="P651" s="1012"/>
      <c r="Q651" s="1012"/>
      <c r="R651" s="38"/>
      <c r="S651" s="1011"/>
      <c r="T651" s="38"/>
      <c r="U651" s="1012"/>
      <c r="V651" s="1012"/>
      <c r="W651" s="1011"/>
      <c r="X651" s="1011"/>
      <c r="Y651" s="1011"/>
      <c r="Z651" s="1011"/>
      <c r="AA651" s="38"/>
      <c r="AB651" s="1011"/>
      <c r="AC651" s="1012"/>
      <c r="AD651" s="1012"/>
      <c r="AE651" s="1011"/>
      <c r="AF651" s="1011"/>
      <c r="AG651" s="1011"/>
      <c r="AH651" s="43"/>
      <c r="AJ651" s="110"/>
      <c r="AK651" s="34"/>
      <c r="AL651" s="34"/>
      <c r="AM651" s="34"/>
      <c r="AN651" s="34"/>
      <c r="AO651" s="34"/>
      <c r="AP651" s="34"/>
      <c r="AQ651" s="34"/>
      <c r="AR651" s="34"/>
    </row>
    <row r="652" spans="3:44" s="27" customFormat="1">
      <c r="C652" s="911"/>
      <c r="D652" s="29"/>
      <c r="E652" s="1249"/>
      <c r="F652" s="911"/>
      <c r="G652" s="1011"/>
      <c r="H652" s="1012"/>
      <c r="I652" s="34"/>
      <c r="J652" s="1271"/>
      <c r="K652" s="29"/>
      <c r="L652" s="1011"/>
      <c r="M652" s="911"/>
      <c r="N652" s="1011"/>
      <c r="O652" s="1011"/>
      <c r="P652" s="1012"/>
      <c r="Q652" s="1012"/>
      <c r="R652" s="38"/>
      <c r="S652" s="1011"/>
      <c r="T652" s="38"/>
      <c r="U652" s="1012"/>
      <c r="V652" s="1012"/>
      <c r="W652" s="1011"/>
      <c r="X652" s="1011"/>
      <c r="Y652" s="1011"/>
      <c r="Z652" s="1011"/>
      <c r="AA652" s="38"/>
      <c r="AB652" s="1011"/>
      <c r="AC652" s="1012"/>
      <c r="AD652" s="1012"/>
      <c r="AE652" s="1011"/>
      <c r="AF652" s="1011"/>
      <c r="AG652" s="1011"/>
      <c r="AH652" s="43"/>
      <c r="AJ652" s="110"/>
      <c r="AK652" s="34"/>
      <c r="AL652" s="34"/>
      <c r="AM652" s="34"/>
      <c r="AN652" s="34"/>
      <c r="AO652" s="34"/>
      <c r="AP652" s="34"/>
      <c r="AQ652" s="34"/>
      <c r="AR652" s="34"/>
    </row>
    <row r="653" spans="3:44" s="27" customFormat="1">
      <c r="C653" s="911"/>
      <c r="D653" s="29"/>
      <c r="E653" s="1249"/>
      <c r="F653" s="911"/>
      <c r="G653" s="1011"/>
      <c r="H653" s="1012"/>
      <c r="I653" s="34"/>
      <c r="J653" s="1271"/>
      <c r="K653" s="29"/>
      <c r="L653" s="1011"/>
      <c r="M653" s="911"/>
      <c r="N653" s="1011"/>
      <c r="O653" s="1011"/>
      <c r="P653" s="1012"/>
      <c r="Q653" s="1012"/>
      <c r="R653" s="38"/>
      <c r="S653" s="1011"/>
      <c r="T653" s="38"/>
      <c r="U653" s="1012"/>
      <c r="V653" s="1012"/>
      <c r="W653" s="1011"/>
      <c r="X653" s="1011"/>
      <c r="Y653" s="1011"/>
      <c r="Z653" s="1011"/>
      <c r="AA653" s="38"/>
      <c r="AB653" s="1011"/>
      <c r="AC653" s="1012"/>
      <c r="AD653" s="1012"/>
      <c r="AE653" s="1011"/>
      <c r="AF653" s="1011"/>
      <c r="AG653" s="1011"/>
      <c r="AH653" s="43"/>
      <c r="AJ653" s="110"/>
      <c r="AK653" s="34"/>
      <c r="AL653" s="34"/>
      <c r="AM653" s="34"/>
      <c r="AN653" s="34"/>
      <c r="AO653" s="34"/>
      <c r="AP653" s="34"/>
      <c r="AQ653" s="34"/>
      <c r="AR653" s="34"/>
    </row>
    <row r="654" spans="3:44" s="27" customFormat="1">
      <c r="C654" s="911"/>
      <c r="D654" s="29"/>
      <c r="E654" s="1249"/>
      <c r="F654" s="911"/>
      <c r="G654" s="1011"/>
      <c r="H654" s="1012"/>
      <c r="I654" s="34"/>
      <c r="J654" s="1271"/>
      <c r="K654" s="29"/>
      <c r="L654" s="1011"/>
      <c r="M654" s="911"/>
      <c r="N654" s="1011"/>
      <c r="O654" s="1011"/>
      <c r="P654" s="1012"/>
      <c r="Q654" s="1012"/>
      <c r="R654" s="38"/>
      <c r="S654" s="1011"/>
      <c r="T654" s="38"/>
      <c r="U654" s="1012"/>
      <c r="V654" s="1012"/>
      <c r="W654" s="1011"/>
      <c r="X654" s="1011"/>
      <c r="Y654" s="1011"/>
      <c r="Z654" s="1011"/>
      <c r="AA654" s="38"/>
      <c r="AB654" s="1011"/>
      <c r="AC654" s="1012"/>
      <c r="AD654" s="1012"/>
      <c r="AE654" s="1011"/>
      <c r="AF654" s="1011"/>
      <c r="AG654" s="1011"/>
      <c r="AH654" s="43"/>
      <c r="AJ654" s="110"/>
      <c r="AK654" s="34"/>
      <c r="AL654" s="34"/>
      <c r="AM654" s="34"/>
      <c r="AN654" s="34"/>
      <c r="AO654" s="34"/>
      <c r="AP654" s="34"/>
      <c r="AQ654" s="34"/>
      <c r="AR654" s="34"/>
    </row>
    <row r="655" spans="3:44" s="27" customFormat="1">
      <c r="C655" s="911"/>
      <c r="D655" s="29"/>
      <c r="E655" s="1249"/>
      <c r="F655" s="911"/>
      <c r="G655" s="1011"/>
      <c r="H655" s="1012"/>
      <c r="I655" s="34"/>
      <c r="J655" s="1271"/>
      <c r="K655" s="29"/>
      <c r="L655" s="1011"/>
      <c r="M655" s="911"/>
      <c r="N655" s="1011"/>
      <c r="O655" s="1011"/>
      <c r="P655" s="1012"/>
      <c r="Q655" s="1012"/>
      <c r="R655" s="38"/>
      <c r="S655" s="1011"/>
      <c r="T655" s="38"/>
      <c r="U655" s="1012"/>
      <c r="V655" s="1012"/>
      <c r="W655" s="1011"/>
      <c r="X655" s="1011"/>
      <c r="Y655" s="1011"/>
      <c r="Z655" s="1011"/>
      <c r="AA655" s="38"/>
      <c r="AB655" s="1011"/>
      <c r="AC655" s="1012"/>
      <c r="AD655" s="1012"/>
      <c r="AE655" s="1011"/>
      <c r="AF655" s="1011"/>
      <c r="AG655" s="1011"/>
      <c r="AH655" s="43"/>
      <c r="AJ655" s="110"/>
      <c r="AK655" s="34"/>
      <c r="AL655" s="34"/>
      <c r="AM655" s="34"/>
      <c r="AN655" s="34"/>
      <c r="AO655" s="34"/>
      <c r="AP655" s="34"/>
      <c r="AQ655" s="34"/>
      <c r="AR655" s="34"/>
    </row>
    <row r="656" spans="3:44" s="27" customFormat="1">
      <c r="C656" s="911"/>
      <c r="D656" s="29"/>
      <c r="E656" s="1249"/>
      <c r="F656" s="911"/>
      <c r="G656" s="1011"/>
      <c r="H656" s="1012"/>
      <c r="I656" s="34"/>
      <c r="J656" s="1271"/>
      <c r="K656" s="29"/>
      <c r="L656" s="1011"/>
      <c r="M656" s="911"/>
      <c r="N656" s="1011"/>
      <c r="O656" s="1011"/>
      <c r="P656" s="1012"/>
      <c r="Q656" s="1012"/>
      <c r="R656" s="38"/>
      <c r="S656" s="1011"/>
      <c r="T656" s="38"/>
      <c r="U656" s="1012"/>
      <c r="V656" s="1012"/>
      <c r="W656" s="1011"/>
      <c r="X656" s="1011"/>
      <c r="Y656" s="1011"/>
      <c r="Z656" s="1011"/>
      <c r="AA656" s="38"/>
      <c r="AB656" s="1011"/>
      <c r="AC656" s="1012"/>
      <c r="AD656" s="1012"/>
      <c r="AE656" s="1011"/>
      <c r="AF656" s="1011"/>
      <c r="AG656" s="1011"/>
      <c r="AH656" s="43"/>
      <c r="AJ656" s="110"/>
      <c r="AK656" s="34"/>
      <c r="AL656" s="34"/>
      <c r="AM656" s="34"/>
      <c r="AN656" s="34"/>
      <c r="AO656" s="34"/>
      <c r="AP656" s="34"/>
      <c r="AQ656" s="34"/>
      <c r="AR656" s="34"/>
    </row>
    <row r="657" spans="3:44" s="27" customFormat="1">
      <c r="C657" s="911"/>
      <c r="D657" s="29"/>
      <c r="E657" s="1249"/>
      <c r="F657" s="911"/>
      <c r="G657" s="1011"/>
      <c r="H657" s="1012"/>
      <c r="I657" s="34"/>
      <c r="J657" s="1271"/>
      <c r="K657" s="29"/>
      <c r="L657" s="1011"/>
      <c r="M657" s="911"/>
      <c r="N657" s="1011"/>
      <c r="O657" s="1011"/>
      <c r="P657" s="1012"/>
      <c r="Q657" s="1012"/>
      <c r="R657" s="38"/>
      <c r="S657" s="1011"/>
      <c r="T657" s="38"/>
      <c r="U657" s="1012"/>
      <c r="V657" s="1012"/>
      <c r="W657" s="1011"/>
      <c r="X657" s="1011"/>
      <c r="Y657" s="1011"/>
      <c r="Z657" s="1011"/>
      <c r="AA657" s="38"/>
      <c r="AB657" s="1011"/>
      <c r="AC657" s="1012"/>
      <c r="AD657" s="1012"/>
      <c r="AE657" s="1011"/>
      <c r="AF657" s="1011"/>
      <c r="AG657" s="1011"/>
      <c r="AH657" s="43"/>
      <c r="AJ657" s="110"/>
      <c r="AK657" s="34"/>
      <c r="AL657" s="34"/>
      <c r="AM657" s="34"/>
      <c r="AN657" s="34"/>
      <c r="AO657" s="34"/>
      <c r="AP657" s="34"/>
      <c r="AQ657" s="34"/>
      <c r="AR657" s="34"/>
    </row>
    <row r="658" spans="3:44" s="27" customFormat="1">
      <c r="C658" s="911"/>
      <c r="D658" s="29"/>
      <c r="E658" s="1249"/>
      <c r="F658" s="911"/>
      <c r="G658" s="1011"/>
      <c r="H658" s="1012"/>
      <c r="I658" s="34"/>
      <c r="J658" s="1271"/>
      <c r="K658" s="29"/>
      <c r="L658" s="1011"/>
      <c r="M658" s="911"/>
      <c r="N658" s="1011"/>
      <c r="O658" s="1011"/>
      <c r="P658" s="1012"/>
      <c r="Q658" s="1012"/>
      <c r="R658" s="38"/>
      <c r="S658" s="1011"/>
      <c r="T658" s="38"/>
      <c r="U658" s="1012"/>
      <c r="V658" s="1012"/>
      <c r="W658" s="1011"/>
      <c r="X658" s="1011"/>
      <c r="Y658" s="1011"/>
      <c r="Z658" s="1011"/>
      <c r="AA658" s="38"/>
      <c r="AB658" s="1011"/>
      <c r="AC658" s="1012"/>
      <c r="AD658" s="1012"/>
      <c r="AE658" s="1011"/>
      <c r="AF658" s="1011"/>
      <c r="AG658" s="1011"/>
      <c r="AH658" s="43"/>
      <c r="AJ658" s="110"/>
      <c r="AK658" s="34"/>
      <c r="AL658" s="34"/>
      <c r="AM658" s="34"/>
      <c r="AN658" s="34"/>
      <c r="AO658" s="34"/>
      <c r="AP658" s="34"/>
      <c r="AQ658" s="34"/>
      <c r="AR658" s="34"/>
    </row>
    <row r="659" spans="3:44" s="27" customFormat="1">
      <c r="C659" s="911"/>
      <c r="D659" s="29"/>
      <c r="E659" s="1249"/>
      <c r="F659" s="911"/>
      <c r="G659" s="1011"/>
      <c r="H659" s="1012"/>
      <c r="I659" s="34"/>
      <c r="J659" s="1271"/>
      <c r="K659" s="29"/>
      <c r="L659" s="1011"/>
      <c r="M659" s="911"/>
      <c r="N659" s="1011"/>
      <c r="O659" s="1011"/>
      <c r="P659" s="1012"/>
      <c r="Q659" s="1012"/>
      <c r="R659" s="38"/>
      <c r="S659" s="1011"/>
      <c r="T659" s="38"/>
      <c r="U659" s="1012"/>
      <c r="V659" s="1012"/>
      <c r="W659" s="1011"/>
      <c r="X659" s="1011"/>
      <c r="Y659" s="1011"/>
      <c r="Z659" s="1011"/>
      <c r="AA659" s="38"/>
      <c r="AB659" s="1011"/>
      <c r="AC659" s="1012"/>
      <c r="AD659" s="1012"/>
      <c r="AE659" s="1011"/>
      <c r="AF659" s="1011"/>
      <c r="AG659" s="1011"/>
      <c r="AH659" s="43"/>
      <c r="AJ659" s="110"/>
      <c r="AK659" s="34"/>
      <c r="AL659" s="34"/>
      <c r="AM659" s="34"/>
      <c r="AN659" s="34"/>
      <c r="AO659" s="34"/>
      <c r="AP659" s="34"/>
      <c r="AQ659" s="34"/>
      <c r="AR659" s="34"/>
    </row>
    <row r="660" spans="3:44" s="27" customFormat="1">
      <c r="C660" s="911"/>
      <c r="D660" s="29"/>
      <c r="E660" s="1249"/>
      <c r="F660" s="911"/>
      <c r="G660" s="1011"/>
      <c r="H660" s="1012"/>
      <c r="I660" s="34"/>
      <c r="J660" s="1271"/>
      <c r="K660" s="29"/>
      <c r="L660" s="1011"/>
      <c r="M660" s="911"/>
      <c r="N660" s="1011"/>
      <c r="O660" s="1011"/>
      <c r="P660" s="1012"/>
      <c r="Q660" s="1012"/>
      <c r="R660" s="38"/>
      <c r="S660" s="1011"/>
      <c r="T660" s="38"/>
      <c r="U660" s="1012"/>
      <c r="V660" s="1012"/>
      <c r="W660" s="1011"/>
      <c r="X660" s="1011"/>
      <c r="Y660" s="1011"/>
      <c r="Z660" s="1011"/>
      <c r="AA660" s="38"/>
      <c r="AB660" s="1011"/>
      <c r="AC660" s="1012"/>
      <c r="AD660" s="1012"/>
      <c r="AE660" s="1011"/>
      <c r="AF660" s="1011"/>
      <c r="AG660" s="1011"/>
      <c r="AH660" s="43"/>
      <c r="AJ660" s="110"/>
      <c r="AK660" s="34"/>
      <c r="AL660" s="34"/>
      <c r="AM660" s="34"/>
      <c r="AN660" s="34"/>
      <c r="AO660" s="34"/>
      <c r="AP660" s="34"/>
      <c r="AQ660" s="34"/>
      <c r="AR660" s="34"/>
    </row>
    <row r="661" spans="3:44" s="27" customFormat="1">
      <c r="C661" s="911"/>
      <c r="D661" s="29"/>
      <c r="E661" s="1249"/>
      <c r="F661" s="911"/>
      <c r="G661" s="1011"/>
      <c r="H661" s="1012"/>
      <c r="I661" s="34"/>
      <c r="J661" s="1271"/>
      <c r="K661" s="29"/>
      <c r="L661" s="1011"/>
      <c r="M661" s="911"/>
      <c r="N661" s="1011"/>
      <c r="O661" s="1011"/>
      <c r="P661" s="1012"/>
      <c r="Q661" s="1012"/>
      <c r="R661" s="38"/>
      <c r="S661" s="1011"/>
      <c r="T661" s="38"/>
      <c r="U661" s="1012"/>
      <c r="V661" s="1012"/>
      <c r="W661" s="1011"/>
      <c r="X661" s="1011"/>
      <c r="Y661" s="1011"/>
      <c r="Z661" s="1011"/>
      <c r="AA661" s="38"/>
      <c r="AB661" s="1011"/>
      <c r="AC661" s="1012"/>
      <c r="AD661" s="1012"/>
      <c r="AE661" s="1011"/>
      <c r="AF661" s="1011"/>
      <c r="AG661" s="1011"/>
      <c r="AH661" s="43"/>
      <c r="AJ661" s="110"/>
      <c r="AK661" s="34"/>
      <c r="AL661" s="34"/>
      <c r="AM661" s="34"/>
      <c r="AN661" s="34"/>
      <c r="AO661" s="34"/>
      <c r="AP661" s="34"/>
      <c r="AQ661" s="34"/>
      <c r="AR661" s="34"/>
    </row>
    <row r="662" spans="3:44" s="27" customFormat="1">
      <c r="C662" s="911"/>
      <c r="D662" s="29"/>
      <c r="E662" s="1249"/>
      <c r="F662" s="911"/>
      <c r="G662" s="1011"/>
      <c r="H662" s="1012"/>
      <c r="I662" s="34"/>
      <c r="J662" s="1271"/>
      <c r="K662" s="29"/>
      <c r="L662" s="1011"/>
      <c r="M662" s="911"/>
      <c r="N662" s="1011"/>
      <c r="O662" s="1011"/>
      <c r="P662" s="1012"/>
      <c r="Q662" s="1012"/>
      <c r="R662" s="38"/>
      <c r="S662" s="1011"/>
      <c r="T662" s="38"/>
      <c r="U662" s="1012"/>
      <c r="V662" s="1012"/>
      <c r="W662" s="1011"/>
      <c r="X662" s="1011"/>
      <c r="Y662" s="1011"/>
      <c r="Z662" s="1011"/>
      <c r="AA662" s="38"/>
      <c r="AB662" s="1011"/>
      <c r="AC662" s="1012"/>
      <c r="AD662" s="1012"/>
      <c r="AE662" s="1011"/>
      <c r="AF662" s="1011"/>
      <c r="AG662" s="1011"/>
      <c r="AH662" s="43"/>
      <c r="AJ662" s="110"/>
      <c r="AK662" s="34"/>
      <c r="AL662" s="34"/>
      <c r="AM662" s="34"/>
      <c r="AN662" s="34"/>
      <c r="AO662" s="34"/>
      <c r="AP662" s="34"/>
      <c r="AQ662" s="34"/>
      <c r="AR662" s="34"/>
    </row>
    <row r="663" spans="3:44" s="27" customFormat="1">
      <c r="C663" s="911"/>
      <c r="D663" s="29"/>
      <c r="E663" s="1249"/>
      <c r="F663" s="911"/>
      <c r="G663" s="1011"/>
      <c r="H663" s="1012"/>
      <c r="I663" s="34"/>
      <c r="J663" s="1271"/>
      <c r="K663" s="29"/>
      <c r="L663" s="1011"/>
      <c r="M663" s="911"/>
      <c r="N663" s="1011"/>
      <c r="O663" s="1011"/>
      <c r="P663" s="1012"/>
      <c r="Q663" s="1012"/>
      <c r="R663" s="38"/>
      <c r="S663" s="1011"/>
      <c r="T663" s="38"/>
      <c r="U663" s="1012"/>
      <c r="V663" s="1012"/>
      <c r="W663" s="1011"/>
      <c r="X663" s="1011"/>
      <c r="Y663" s="1011"/>
      <c r="Z663" s="1011"/>
      <c r="AA663" s="38"/>
      <c r="AB663" s="1011"/>
      <c r="AC663" s="1012"/>
      <c r="AD663" s="1012"/>
      <c r="AE663" s="1011"/>
      <c r="AF663" s="1011"/>
      <c r="AG663" s="1011"/>
      <c r="AH663" s="43"/>
      <c r="AJ663" s="110"/>
      <c r="AK663" s="34"/>
      <c r="AL663" s="34"/>
      <c r="AM663" s="34"/>
      <c r="AN663" s="34"/>
      <c r="AO663" s="34"/>
      <c r="AP663" s="34"/>
      <c r="AQ663" s="34"/>
      <c r="AR663" s="34"/>
    </row>
    <row r="664" spans="3:44" s="27" customFormat="1">
      <c r="C664" s="911"/>
      <c r="D664" s="29"/>
      <c r="E664" s="1249"/>
      <c r="F664" s="911"/>
      <c r="G664" s="1011"/>
      <c r="H664" s="1012"/>
      <c r="I664" s="34"/>
      <c r="J664" s="1271"/>
      <c r="K664" s="29"/>
      <c r="L664" s="1011"/>
      <c r="M664" s="911"/>
      <c r="N664" s="1011"/>
      <c r="O664" s="1011"/>
      <c r="P664" s="1012"/>
      <c r="Q664" s="1012"/>
      <c r="R664" s="38"/>
      <c r="S664" s="1011"/>
      <c r="T664" s="38"/>
      <c r="U664" s="1012"/>
      <c r="V664" s="1012"/>
      <c r="W664" s="1011"/>
      <c r="X664" s="1011"/>
      <c r="Y664" s="1011"/>
      <c r="Z664" s="1011"/>
      <c r="AA664" s="38"/>
      <c r="AB664" s="1011"/>
      <c r="AC664" s="1012"/>
      <c r="AD664" s="1012"/>
      <c r="AE664" s="1011"/>
      <c r="AF664" s="1011"/>
      <c r="AG664" s="1011"/>
      <c r="AH664" s="43"/>
      <c r="AJ664" s="110"/>
      <c r="AK664" s="34"/>
      <c r="AL664" s="34"/>
      <c r="AM664" s="34"/>
      <c r="AN664" s="34"/>
      <c r="AO664" s="34"/>
      <c r="AP664" s="34"/>
      <c r="AQ664" s="34"/>
      <c r="AR664" s="34"/>
    </row>
    <row r="665" spans="3:44" s="27" customFormat="1">
      <c r="C665" s="911"/>
      <c r="D665" s="29"/>
      <c r="E665" s="1249"/>
      <c r="F665" s="911"/>
      <c r="G665" s="1011"/>
      <c r="H665" s="1012"/>
      <c r="I665" s="34"/>
      <c r="J665" s="1271"/>
      <c r="K665" s="29"/>
      <c r="L665" s="1011"/>
      <c r="M665" s="911"/>
      <c r="N665" s="1011"/>
      <c r="O665" s="1011"/>
      <c r="P665" s="1012"/>
      <c r="Q665" s="1012"/>
      <c r="R665" s="38"/>
      <c r="S665" s="1011"/>
      <c r="T665" s="38"/>
      <c r="U665" s="1012"/>
      <c r="V665" s="1012"/>
      <c r="W665" s="1011"/>
      <c r="X665" s="1011"/>
      <c r="Y665" s="1011"/>
      <c r="Z665" s="1011"/>
      <c r="AA665" s="38"/>
      <c r="AB665" s="1011"/>
      <c r="AC665" s="1012"/>
      <c r="AD665" s="1012"/>
      <c r="AE665" s="1011"/>
      <c r="AF665" s="1011"/>
      <c r="AG665" s="1011"/>
      <c r="AH665" s="43"/>
      <c r="AJ665" s="110"/>
      <c r="AK665" s="34"/>
      <c r="AL665" s="34"/>
      <c r="AM665" s="34"/>
      <c r="AN665" s="34"/>
      <c r="AO665" s="34"/>
      <c r="AP665" s="34"/>
      <c r="AQ665" s="34"/>
      <c r="AR665" s="34"/>
    </row>
    <row r="666" spans="3:44" s="27" customFormat="1">
      <c r="C666" s="911"/>
      <c r="D666" s="29"/>
      <c r="E666" s="1249"/>
      <c r="F666" s="911"/>
      <c r="G666" s="1011"/>
      <c r="H666" s="1012"/>
      <c r="I666" s="34"/>
      <c r="J666" s="1271"/>
      <c r="K666" s="29"/>
      <c r="L666" s="1011"/>
      <c r="M666" s="911"/>
      <c r="N666" s="1011"/>
      <c r="O666" s="1011"/>
      <c r="P666" s="1012"/>
      <c r="Q666" s="1012"/>
      <c r="R666" s="38"/>
      <c r="S666" s="1011"/>
      <c r="T666" s="38"/>
      <c r="U666" s="1012"/>
      <c r="V666" s="1012"/>
      <c r="W666" s="1011"/>
      <c r="X666" s="1011"/>
      <c r="Y666" s="1011"/>
      <c r="Z666" s="1011"/>
      <c r="AA666" s="38"/>
      <c r="AB666" s="1011"/>
      <c r="AC666" s="1012"/>
      <c r="AD666" s="1012"/>
      <c r="AE666" s="1011"/>
      <c r="AF666" s="1011"/>
      <c r="AG666" s="1011"/>
      <c r="AH666" s="43"/>
      <c r="AJ666" s="110"/>
      <c r="AK666" s="34"/>
      <c r="AL666" s="34"/>
      <c r="AM666" s="34"/>
      <c r="AN666" s="34"/>
      <c r="AO666" s="34"/>
      <c r="AP666" s="34"/>
      <c r="AQ666" s="34"/>
      <c r="AR666" s="34"/>
    </row>
    <row r="667" spans="3:44" s="27" customFormat="1">
      <c r="C667" s="911"/>
      <c r="D667" s="29"/>
      <c r="E667" s="1249"/>
      <c r="F667" s="911"/>
      <c r="G667" s="1011"/>
      <c r="H667" s="1012"/>
      <c r="I667" s="34"/>
      <c r="J667" s="1271"/>
      <c r="K667" s="29"/>
      <c r="L667" s="1011"/>
      <c r="M667" s="911"/>
      <c r="N667" s="1011"/>
      <c r="O667" s="1011"/>
      <c r="P667" s="1012"/>
      <c r="Q667" s="1012"/>
      <c r="R667" s="38"/>
      <c r="S667" s="1011"/>
      <c r="T667" s="38"/>
      <c r="U667" s="1012"/>
      <c r="V667" s="1012"/>
      <c r="W667" s="1011"/>
      <c r="X667" s="1011"/>
      <c r="Y667" s="1011"/>
      <c r="Z667" s="1011"/>
      <c r="AA667" s="38"/>
      <c r="AB667" s="1011"/>
      <c r="AC667" s="1012"/>
      <c r="AD667" s="1012"/>
      <c r="AE667" s="1011"/>
      <c r="AF667" s="1011"/>
      <c r="AG667" s="1011"/>
      <c r="AH667" s="43"/>
      <c r="AJ667" s="110"/>
      <c r="AK667" s="34"/>
      <c r="AL667" s="34"/>
      <c r="AM667" s="34"/>
      <c r="AN667" s="34"/>
      <c r="AO667" s="34"/>
      <c r="AP667" s="34"/>
      <c r="AQ667" s="34"/>
      <c r="AR667" s="34"/>
    </row>
    <row r="668" spans="3:44" s="27" customFormat="1">
      <c r="C668" s="911"/>
      <c r="D668" s="29"/>
      <c r="E668" s="1249"/>
      <c r="F668" s="911"/>
      <c r="G668" s="1011"/>
      <c r="H668" s="1012"/>
      <c r="I668" s="34"/>
      <c r="J668" s="1271"/>
      <c r="K668" s="29"/>
      <c r="L668" s="1011"/>
      <c r="M668" s="911"/>
      <c r="N668" s="1011"/>
      <c r="O668" s="1011"/>
      <c r="P668" s="1012"/>
      <c r="Q668" s="1012"/>
      <c r="R668" s="38"/>
      <c r="S668" s="1011"/>
      <c r="T668" s="38"/>
      <c r="U668" s="1012"/>
      <c r="V668" s="1012"/>
      <c r="W668" s="1011"/>
      <c r="X668" s="1011"/>
      <c r="Y668" s="1011"/>
      <c r="Z668" s="1011"/>
      <c r="AA668" s="38"/>
      <c r="AB668" s="1011"/>
      <c r="AC668" s="1012"/>
      <c r="AD668" s="1012"/>
      <c r="AE668" s="1011"/>
      <c r="AF668" s="1011"/>
      <c r="AG668" s="1011"/>
      <c r="AH668" s="43"/>
      <c r="AJ668" s="110"/>
      <c r="AK668" s="34"/>
      <c r="AL668" s="34"/>
      <c r="AM668" s="34"/>
      <c r="AN668" s="34"/>
      <c r="AO668" s="34"/>
      <c r="AP668" s="34"/>
      <c r="AQ668" s="34"/>
      <c r="AR668" s="34"/>
    </row>
    <row r="669" spans="3:44" s="27" customFormat="1">
      <c r="C669" s="911"/>
      <c r="D669" s="29"/>
      <c r="E669" s="1249"/>
      <c r="F669" s="911"/>
      <c r="G669" s="1011"/>
      <c r="H669" s="1012"/>
      <c r="I669" s="34"/>
      <c r="J669" s="1271"/>
      <c r="K669" s="29"/>
      <c r="L669" s="1011"/>
      <c r="M669" s="911"/>
      <c r="N669" s="1011"/>
      <c r="O669" s="1011"/>
      <c r="P669" s="1012"/>
      <c r="Q669" s="1012"/>
      <c r="R669" s="38"/>
      <c r="S669" s="1011"/>
      <c r="T669" s="38"/>
      <c r="U669" s="1012"/>
      <c r="V669" s="1012"/>
      <c r="W669" s="1011"/>
      <c r="X669" s="1011"/>
      <c r="Y669" s="1011"/>
      <c r="Z669" s="1011"/>
      <c r="AA669" s="38"/>
      <c r="AB669" s="1011"/>
      <c r="AC669" s="1012"/>
      <c r="AD669" s="1012"/>
      <c r="AE669" s="1011"/>
      <c r="AF669" s="1011"/>
      <c r="AG669" s="1011"/>
      <c r="AH669" s="43"/>
      <c r="AJ669" s="110"/>
      <c r="AK669" s="34"/>
      <c r="AL669" s="34"/>
      <c r="AM669" s="34"/>
      <c r="AN669" s="34"/>
      <c r="AO669" s="34"/>
      <c r="AP669" s="34"/>
      <c r="AQ669" s="34"/>
      <c r="AR669" s="34"/>
    </row>
    <row r="670" spans="3:44" s="27" customFormat="1">
      <c r="C670" s="911"/>
      <c r="D670" s="29"/>
      <c r="E670" s="1249"/>
      <c r="F670" s="911"/>
      <c r="G670" s="1011"/>
      <c r="H670" s="1012"/>
      <c r="I670" s="34"/>
      <c r="J670" s="1271"/>
      <c r="K670" s="29"/>
      <c r="L670" s="1011"/>
      <c r="M670" s="911"/>
      <c r="N670" s="1011"/>
      <c r="O670" s="1011"/>
      <c r="P670" s="1012"/>
      <c r="Q670" s="1012"/>
      <c r="R670" s="38"/>
      <c r="S670" s="1011"/>
      <c r="T670" s="38"/>
      <c r="U670" s="1012"/>
      <c r="V670" s="1012"/>
      <c r="W670" s="1011"/>
      <c r="X670" s="1011"/>
      <c r="Y670" s="1011"/>
      <c r="Z670" s="1011"/>
      <c r="AA670" s="38"/>
      <c r="AB670" s="1011"/>
      <c r="AC670" s="1012"/>
      <c r="AD670" s="1012"/>
      <c r="AE670" s="1011"/>
      <c r="AF670" s="1011"/>
      <c r="AG670" s="1011"/>
      <c r="AH670" s="43"/>
      <c r="AJ670" s="110"/>
      <c r="AK670" s="34"/>
      <c r="AL670" s="34"/>
      <c r="AM670" s="34"/>
      <c r="AN670" s="34"/>
      <c r="AO670" s="34"/>
      <c r="AP670" s="34"/>
      <c r="AQ670" s="34"/>
      <c r="AR670" s="34"/>
    </row>
    <row r="671" spans="3:44" s="27" customFormat="1">
      <c r="C671" s="911"/>
      <c r="D671" s="29"/>
      <c r="E671" s="1249"/>
      <c r="F671" s="911"/>
      <c r="G671" s="1011"/>
      <c r="H671" s="1012"/>
      <c r="I671" s="34"/>
      <c r="J671" s="1271"/>
      <c r="K671" s="29"/>
      <c r="L671" s="1011"/>
      <c r="M671" s="911"/>
      <c r="N671" s="1011"/>
      <c r="O671" s="1011"/>
      <c r="P671" s="1012"/>
      <c r="Q671" s="1012"/>
      <c r="R671" s="38"/>
      <c r="S671" s="1011"/>
      <c r="T671" s="38"/>
      <c r="U671" s="1012"/>
      <c r="V671" s="1012"/>
      <c r="W671" s="1011"/>
      <c r="X671" s="1011"/>
      <c r="Y671" s="1011"/>
      <c r="Z671" s="1011"/>
      <c r="AA671" s="38"/>
      <c r="AB671" s="1011"/>
      <c r="AC671" s="1012"/>
      <c r="AD671" s="1012"/>
      <c r="AE671" s="1011"/>
      <c r="AF671" s="1011"/>
      <c r="AG671" s="1011"/>
      <c r="AH671" s="43"/>
      <c r="AJ671" s="110"/>
      <c r="AK671" s="34"/>
      <c r="AL671" s="34"/>
      <c r="AM671" s="34"/>
      <c r="AN671" s="34"/>
      <c r="AO671" s="34"/>
      <c r="AP671" s="34"/>
      <c r="AQ671" s="34"/>
      <c r="AR671" s="34"/>
    </row>
    <row r="672" spans="3:44" s="27" customFormat="1">
      <c r="C672" s="911"/>
      <c r="D672" s="29"/>
      <c r="E672" s="1249"/>
      <c r="F672" s="911"/>
      <c r="G672" s="1011"/>
      <c r="H672" s="1012"/>
      <c r="I672" s="34"/>
      <c r="J672" s="1271"/>
      <c r="K672" s="29"/>
      <c r="L672" s="1011"/>
      <c r="M672" s="911"/>
      <c r="N672" s="1011"/>
      <c r="O672" s="1011"/>
      <c r="P672" s="1012"/>
      <c r="Q672" s="1012"/>
      <c r="R672" s="38"/>
      <c r="S672" s="1011"/>
      <c r="T672" s="38"/>
      <c r="U672" s="1012"/>
      <c r="V672" s="1012"/>
      <c r="W672" s="1011"/>
      <c r="X672" s="1011"/>
      <c r="Y672" s="1011"/>
      <c r="Z672" s="1011"/>
      <c r="AA672" s="38"/>
      <c r="AB672" s="1011"/>
      <c r="AC672" s="1012"/>
      <c r="AD672" s="1012"/>
      <c r="AE672" s="1011"/>
      <c r="AF672" s="1011"/>
      <c r="AG672" s="1011"/>
      <c r="AH672" s="43"/>
      <c r="AJ672" s="110"/>
      <c r="AK672" s="34"/>
      <c r="AL672" s="34"/>
      <c r="AM672" s="34"/>
      <c r="AN672" s="34"/>
      <c r="AO672" s="34"/>
      <c r="AP672" s="34"/>
      <c r="AQ672" s="34"/>
      <c r="AR672" s="34"/>
    </row>
    <row r="673" spans="3:44" s="27" customFormat="1">
      <c r="C673" s="911"/>
      <c r="D673" s="29"/>
      <c r="E673" s="1249"/>
      <c r="F673" s="911"/>
      <c r="G673" s="1011"/>
      <c r="H673" s="1012"/>
      <c r="I673" s="34"/>
      <c r="J673" s="1271"/>
      <c r="K673" s="29"/>
      <c r="L673" s="1011"/>
      <c r="M673" s="911"/>
      <c r="N673" s="1011"/>
      <c r="O673" s="1011"/>
      <c r="P673" s="1012"/>
      <c r="Q673" s="1012"/>
      <c r="R673" s="38"/>
      <c r="S673" s="1011"/>
      <c r="T673" s="38"/>
      <c r="U673" s="1012"/>
      <c r="V673" s="1012"/>
      <c r="W673" s="1011"/>
      <c r="X673" s="1011"/>
      <c r="Y673" s="1011"/>
      <c r="Z673" s="1011"/>
      <c r="AA673" s="38"/>
      <c r="AB673" s="1011"/>
      <c r="AC673" s="1012"/>
      <c r="AD673" s="1012"/>
      <c r="AE673" s="1011"/>
      <c r="AF673" s="1011"/>
      <c r="AG673" s="1011"/>
      <c r="AH673" s="43"/>
      <c r="AJ673" s="110"/>
      <c r="AK673" s="34"/>
      <c r="AL673" s="34"/>
      <c r="AM673" s="34"/>
      <c r="AN673" s="34"/>
      <c r="AO673" s="34"/>
      <c r="AP673" s="34"/>
      <c r="AQ673" s="34"/>
      <c r="AR673" s="34"/>
    </row>
    <row r="674" spans="3:44" s="27" customFormat="1">
      <c r="C674" s="911"/>
      <c r="D674" s="29"/>
      <c r="E674" s="1249"/>
      <c r="F674" s="911"/>
      <c r="G674" s="1011"/>
      <c r="H674" s="1012"/>
      <c r="I674" s="34"/>
      <c r="J674" s="1271"/>
      <c r="K674" s="29"/>
      <c r="L674" s="1011"/>
      <c r="M674" s="911"/>
      <c r="N674" s="1011"/>
      <c r="O674" s="1011"/>
      <c r="P674" s="1012"/>
      <c r="Q674" s="1012"/>
      <c r="R674" s="38"/>
      <c r="S674" s="1011"/>
      <c r="T674" s="38"/>
      <c r="U674" s="1012"/>
      <c r="V674" s="1012"/>
      <c r="W674" s="1011"/>
      <c r="X674" s="1011"/>
      <c r="Y674" s="1011"/>
      <c r="Z674" s="1011"/>
      <c r="AA674" s="38"/>
      <c r="AB674" s="1011"/>
      <c r="AC674" s="1012"/>
      <c r="AD674" s="1012"/>
      <c r="AE674" s="1011"/>
      <c r="AF674" s="1011"/>
      <c r="AG674" s="1011"/>
      <c r="AH674" s="43"/>
      <c r="AJ674" s="110"/>
      <c r="AK674" s="34"/>
      <c r="AL674" s="34"/>
      <c r="AM674" s="34"/>
      <c r="AN674" s="34"/>
      <c r="AO674" s="34"/>
      <c r="AP674" s="34"/>
      <c r="AQ674" s="34"/>
      <c r="AR674" s="34"/>
    </row>
    <row r="675" spans="3:44" s="27" customFormat="1">
      <c r="C675" s="911"/>
      <c r="D675" s="29"/>
      <c r="E675" s="1249"/>
      <c r="F675" s="911"/>
      <c r="G675" s="1011"/>
      <c r="H675" s="1012"/>
      <c r="I675" s="34"/>
      <c r="J675" s="1271"/>
      <c r="K675" s="29"/>
      <c r="L675" s="1011"/>
      <c r="M675" s="911"/>
      <c r="N675" s="1011"/>
      <c r="O675" s="1011"/>
      <c r="P675" s="1012"/>
      <c r="Q675" s="1012"/>
      <c r="R675" s="38"/>
      <c r="S675" s="1011"/>
      <c r="T675" s="38"/>
      <c r="U675" s="1012"/>
      <c r="V675" s="1012"/>
      <c r="W675" s="1011"/>
      <c r="X675" s="1011"/>
      <c r="Y675" s="1011"/>
      <c r="Z675" s="1011"/>
      <c r="AA675" s="38"/>
      <c r="AB675" s="1011"/>
      <c r="AC675" s="1012"/>
      <c r="AD675" s="1012"/>
      <c r="AE675" s="1011"/>
      <c r="AF675" s="1011"/>
      <c r="AG675" s="1011"/>
      <c r="AH675" s="43"/>
      <c r="AJ675" s="110"/>
      <c r="AK675" s="34"/>
      <c r="AL675" s="34"/>
      <c r="AM675" s="34"/>
      <c r="AN675" s="34"/>
      <c r="AO675" s="34"/>
      <c r="AP675" s="34"/>
      <c r="AQ675" s="34"/>
      <c r="AR675" s="34"/>
    </row>
    <row r="676" spans="3:44" s="27" customFormat="1">
      <c r="C676" s="911"/>
      <c r="D676" s="29"/>
      <c r="E676" s="1249"/>
      <c r="F676" s="911"/>
      <c r="G676" s="1011"/>
      <c r="H676" s="1012"/>
      <c r="I676" s="34"/>
      <c r="J676" s="1271"/>
      <c r="K676" s="29"/>
      <c r="L676" s="1011"/>
      <c r="M676" s="911"/>
      <c r="N676" s="1011"/>
      <c r="O676" s="1011"/>
      <c r="P676" s="1012"/>
      <c r="Q676" s="1012"/>
      <c r="R676" s="38"/>
      <c r="S676" s="1011"/>
      <c r="T676" s="38"/>
      <c r="U676" s="1012"/>
      <c r="V676" s="1012"/>
      <c r="W676" s="1011"/>
      <c r="X676" s="1011"/>
      <c r="Y676" s="1011"/>
      <c r="Z676" s="1011"/>
      <c r="AA676" s="38"/>
      <c r="AB676" s="1011"/>
      <c r="AC676" s="1012"/>
      <c r="AD676" s="1012"/>
      <c r="AE676" s="1011"/>
      <c r="AF676" s="1011"/>
      <c r="AG676" s="1011"/>
      <c r="AH676" s="43"/>
      <c r="AJ676" s="110"/>
      <c r="AK676" s="34"/>
      <c r="AL676" s="34"/>
      <c r="AM676" s="34"/>
      <c r="AN676" s="34"/>
      <c r="AO676" s="34"/>
      <c r="AP676" s="34"/>
      <c r="AQ676" s="34"/>
      <c r="AR676" s="34"/>
    </row>
    <row r="677" spans="3:44" s="27" customFormat="1">
      <c r="C677" s="911"/>
      <c r="D677" s="29"/>
      <c r="E677" s="1249"/>
      <c r="F677" s="911"/>
      <c r="G677" s="1011"/>
      <c r="H677" s="1012"/>
      <c r="I677" s="34"/>
      <c r="J677" s="1271"/>
      <c r="K677" s="29"/>
      <c r="L677" s="1011"/>
      <c r="M677" s="911"/>
      <c r="N677" s="1011"/>
      <c r="O677" s="1011"/>
      <c r="P677" s="1012"/>
      <c r="Q677" s="1012"/>
      <c r="R677" s="38"/>
      <c r="S677" s="1011"/>
      <c r="T677" s="38"/>
      <c r="U677" s="1012"/>
      <c r="V677" s="1012"/>
      <c r="W677" s="1011"/>
      <c r="X677" s="1011"/>
      <c r="Y677" s="1011"/>
      <c r="Z677" s="1011"/>
      <c r="AA677" s="38"/>
      <c r="AB677" s="1011"/>
      <c r="AC677" s="1012"/>
      <c r="AD677" s="1012"/>
      <c r="AE677" s="1011"/>
      <c r="AF677" s="1011"/>
      <c r="AG677" s="1011"/>
      <c r="AH677" s="43"/>
      <c r="AJ677" s="110"/>
      <c r="AK677" s="34"/>
      <c r="AL677" s="34"/>
      <c r="AM677" s="34"/>
      <c r="AN677" s="34"/>
      <c r="AO677" s="34"/>
      <c r="AP677" s="34"/>
      <c r="AQ677" s="34"/>
      <c r="AR677" s="34"/>
    </row>
    <row r="678" spans="3:44" s="27" customFormat="1">
      <c r="C678" s="911"/>
      <c r="D678" s="29"/>
      <c r="E678" s="1249"/>
      <c r="F678" s="911"/>
      <c r="G678" s="1011"/>
      <c r="H678" s="1012"/>
      <c r="I678" s="34"/>
      <c r="J678" s="1271"/>
      <c r="K678" s="29"/>
      <c r="L678" s="1011"/>
      <c r="M678" s="911"/>
      <c r="N678" s="1011"/>
      <c r="O678" s="1011"/>
      <c r="P678" s="1012"/>
      <c r="Q678" s="1012"/>
      <c r="R678" s="38"/>
      <c r="S678" s="1011"/>
      <c r="T678" s="38"/>
      <c r="U678" s="1012"/>
      <c r="V678" s="1012"/>
      <c r="W678" s="1011"/>
      <c r="X678" s="1011"/>
      <c r="Y678" s="1011"/>
      <c r="Z678" s="1011"/>
      <c r="AA678" s="38"/>
      <c r="AB678" s="1011"/>
      <c r="AC678" s="1012"/>
      <c r="AD678" s="1012"/>
      <c r="AE678" s="1011"/>
      <c r="AF678" s="1011"/>
      <c r="AG678" s="1011"/>
      <c r="AH678" s="43"/>
      <c r="AJ678" s="110"/>
      <c r="AK678" s="34"/>
      <c r="AL678" s="34"/>
      <c r="AM678" s="34"/>
      <c r="AN678" s="34"/>
      <c r="AO678" s="34"/>
      <c r="AP678" s="34"/>
      <c r="AQ678" s="34"/>
      <c r="AR678" s="34"/>
    </row>
    <row r="679" spans="3:44" s="27" customFormat="1">
      <c r="C679" s="911"/>
      <c r="D679" s="29"/>
      <c r="E679" s="1249"/>
      <c r="F679" s="911"/>
      <c r="G679" s="1011"/>
      <c r="H679" s="1012"/>
      <c r="I679" s="34"/>
      <c r="J679" s="1271"/>
      <c r="K679" s="29"/>
      <c r="L679" s="1011"/>
      <c r="M679" s="911"/>
      <c r="N679" s="1011"/>
      <c r="O679" s="1011"/>
      <c r="P679" s="1012"/>
      <c r="Q679" s="1012"/>
      <c r="R679" s="38"/>
      <c r="S679" s="1011"/>
      <c r="T679" s="38"/>
      <c r="U679" s="1012"/>
      <c r="V679" s="1012"/>
      <c r="W679" s="1011"/>
      <c r="X679" s="1011"/>
      <c r="Y679" s="1011"/>
      <c r="Z679" s="1011"/>
      <c r="AA679" s="38"/>
      <c r="AB679" s="1011"/>
      <c r="AC679" s="1012"/>
      <c r="AD679" s="1012"/>
      <c r="AE679" s="1011"/>
      <c r="AF679" s="1011"/>
      <c r="AG679" s="1011"/>
      <c r="AH679" s="43"/>
      <c r="AJ679" s="110"/>
      <c r="AK679" s="34"/>
      <c r="AL679" s="34"/>
      <c r="AM679" s="34"/>
      <c r="AN679" s="34"/>
      <c r="AO679" s="34"/>
      <c r="AP679" s="34"/>
      <c r="AQ679" s="34"/>
      <c r="AR679" s="34"/>
    </row>
    <row r="680" spans="3:44" s="27" customFormat="1">
      <c r="C680" s="911"/>
      <c r="D680" s="29"/>
      <c r="E680" s="1249"/>
      <c r="F680" s="911"/>
      <c r="G680" s="1011"/>
      <c r="H680" s="1012"/>
      <c r="I680" s="34"/>
      <c r="J680" s="1271"/>
      <c r="K680" s="29"/>
      <c r="L680" s="1011"/>
      <c r="M680" s="911"/>
      <c r="N680" s="1011"/>
      <c r="O680" s="1011"/>
      <c r="P680" s="1012"/>
      <c r="Q680" s="1012"/>
      <c r="R680" s="38"/>
      <c r="S680" s="1011"/>
      <c r="T680" s="38"/>
      <c r="U680" s="1012"/>
      <c r="V680" s="1012"/>
      <c r="W680" s="1011"/>
      <c r="X680" s="1011"/>
      <c r="Y680" s="1011"/>
      <c r="Z680" s="1011"/>
      <c r="AA680" s="38"/>
      <c r="AB680" s="1011"/>
      <c r="AC680" s="1012"/>
      <c r="AD680" s="1012"/>
      <c r="AE680" s="1011"/>
      <c r="AF680" s="1011"/>
      <c r="AG680" s="1011"/>
      <c r="AH680" s="43"/>
      <c r="AJ680" s="110"/>
      <c r="AK680" s="34"/>
      <c r="AL680" s="34"/>
      <c r="AM680" s="34"/>
      <c r="AN680" s="34"/>
      <c r="AO680" s="34"/>
      <c r="AP680" s="34"/>
      <c r="AQ680" s="34"/>
      <c r="AR680" s="34"/>
    </row>
    <row r="681" spans="3:44" s="27" customFormat="1">
      <c r="C681" s="911"/>
      <c r="D681" s="29"/>
      <c r="E681" s="1249"/>
      <c r="F681" s="911"/>
      <c r="G681" s="1011"/>
      <c r="H681" s="1012"/>
      <c r="I681" s="34"/>
      <c r="J681" s="1271"/>
      <c r="K681" s="29"/>
      <c r="L681" s="1011"/>
      <c r="M681" s="911"/>
      <c r="N681" s="1011"/>
      <c r="O681" s="1011"/>
      <c r="P681" s="1012"/>
      <c r="Q681" s="1012"/>
      <c r="R681" s="38"/>
      <c r="S681" s="1011"/>
      <c r="T681" s="38"/>
      <c r="U681" s="1012"/>
      <c r="V681" s="1012"/>
      <c r="W681" s="1011"/>
      <c r="X681" s="1011"/>
      <c r="Y681" s="1011"/>
      <c r="Z681" s="1011"/>
      <c r="AA681" s="38"/>
      <c r="AB681" s="1011"/>
      <c r="AC681" s="1012"/>
      <c r="AD681" s="1012"/>
      <c r="AE681" s="1011"/>
      <c r="AF681" s="1011"/>
      <c r="AG681" s="1011"/>
      <c r="AH681" s="43"/>
      <c r="AJ681" s="110"/>
      <c r="AK681" s="34"/>
      <c r="AL681" s="34"/>
      <c r="AM681" s="34"/>
      <c r="AN681" s="34"/>
      <c r="AO681" s="34"/>
      <c r="AP681" s="34"/>
      <c r="AQ681" s="34"/>
      <c r="AR681" s="34"/>
    </row>
    <row r="682" spans="3:44" s="27" customFormat="1">
      <c r="C682" s="911"/>
      <c r="D682" s="29"/>
      <c r="E682" s="1249"/>
      <c r="F682" s="911"/>
      <c r="G682" s="1011"/>
      <c r="H682" s="1012"/>
      <c r="I682" s="34"/>
      <c r="J682" s="1271"/>
      <c r="K682" s="29"/>
      <c r="L682" s="1011"/>
      <c r="M682" s="911"/>
      <c r="N682" s="1011"/>
      <c r="O682" s="1011"/>
      <c r="P682" s="1012"/>
      <c r="Q682" s="1012"/>
      <c r="R682" s="38"/>
      <c r="S682" s="1011"/>
      <c r="T682" s="38"/>
      <c r="U682" s="1012"/>
      <c r="V682" s="1012"/>
      <c r="W682" s="1011"/>
      <c r="X682" s="1011"/>
      <c r="Y682" s="1011"/>
      <c r="Z682" s="1011"/>
      <c r="AA682" s="38"/>
      <c r="AB682" s="1011"/>
      <c r="AC682" s="1012"/>
      <c r="AD682" s="1012"/>
      <c r="AE682" s="1011"/>
      <c r="AF682" s="1011"/>
      <c r="AG682" s="1011"/>
      <c r="AH682" s="43"/>
      <c r="AJ682" s="110"/>
      <c r="AK682" s="34"/>
      <c r="AL682" s="34"/>
      <c r="AM682" s="34"/>
      <c r="AN682" s="34"/>
      <c r="AO682" s="34"/>
      <c r="AP682" s="34"/>
      <c r="AQ682" s="34"/>
      <c r="AR682" s="34"/>
    </row>
    <row r="683" spans="3:44" s="27" customFormat="1">
      <c r="C683" s="911"/>
      <c r="D683" s="29"/>
      <c r="E683" s="1249"/>
      <c r="F683" s="911"/>
      <c r="G683" s="1011"/>
      <c r="H683" s="1012"/>
      <c r="I683" s="34"/>
      <c r="J683" s="1271"/>
      <c r="K683" s="29"/>
      <c r="L683" s="1011"/>
      <c r="M683" s="911"/>
      <c r="N683" s="1011"/>
      <c r="O683" s="1011"/>
      <c r="P683" s="1012"/>
      <c r="Q683" s="1012"/>
      <c r="R683" s="38"/>
      <c r="S683" s="1011"/>
      <c r="T683" s="38"/>
      <c r="U683" s="1012"/>
      <c r="V683" s="1012"/>
      <c r="W683" s="1011"/>
      <c r="X683" s="1011"/>
      <c r="Y683" s="1011"/>
      <c r="Z683" s="1011"/>
      <c r="AA683" s="38"/>
      <c r="AB683" s="1011"/>
      <c r="AC683" s="1012"/>
      <c r="AD683" s="1012"/>
      <c r="AE683" s="1011"/>
      <c r="AF683" s="1011"/>
      <c r="AG683" s="1011"/>
      <c r="AH683" s="43"/>
      <c r="AJ683" s="110"/>
      <c r="AK683" s="34"/>
      <c r="AL683" s="34"/>
      <c r="AM683" s="34"/>
      <c r="AN683" s="34"/>
      <c r="AO683" s="34"/>
      <c r="AP683" s="34"/>
      <c r="AQ683" s="34"/>
      <c r="AR683" s="34"/>
    </row>
    <row r="684" spans="3:44" s="27" customFormat="1">
      <c r="C684" s="911"/>
      <c r="D684" s="29"/>
      <c r="E684" s="1249"/>
      <c r="F684" s="911"/>
      <c r="G684" s="1011"/>
      <c r="H684" s="1012"/>
      <c r="I684" s="34"/>
      <c r="J684" s="1271"/>
      <c r="K684" s="29"/>
      <c r="L684" s="1011"/>
      <c r="M684" s="911"/>
      <c r="N684" s="1011"/>
      <c r="O684" s="1011"/>
      <c r="P684" s="1012"/>
      <c r="Q684" s="1012"/>
      <c r="R684" s="38"/>
      <c r="S684" s="1011"/>
      <c r="T684" s="38"/>
      <c r="U684" s="1012"/>
      <c r="V684" s="1012"/>
      <c r="W684" s="1011"/>
      <c r="X684" s="1011"/>
      <c r="Y684" s="1011"/>
      <c r="Z684" s="1011"/>
      <c r="AA684" s="38"/>
      <c r="AB684" s="1011"/>
      <c r="AC684" s="1012"/>
      <c r="AD684" s="1012"/>
      <c r="AE684" s="1011"/>
      <c r="AF684" s="1011"/>
      <c r="AG684" s="1011"/>
      <c r="AH684" s="43"/>
      <c r="AJ684" s="110"/>
      <c r="AK684" s="34"/>
      <c r="AL684" s="34"/>
      <c r="AM684" s="34"/>
      <c r="AN684" s="34"/>
      <c r="AO684" s="34"/>
      <c r="AP684" s="34"/>
      <c r="AQ684" s="34"/>
      <c r="AR684" s="34"/>
    </row>
    <row r="685" spans="3:44" s="27" customFormat="1">
      <c r="C685" s="911"/>
      <c r="D685" s="29"/>
      <c r="E685" s="1249"/>
      <c r="F685" s="911"/>
      <c r="G685" s="1011"/>
      <c r="H685" s="1012"/>
      <c r="I685" s="34"/>
      <c r="J685" s="1271"/>
      <c r="K685" s="29"/>
      <c r="L685" s="1011"/>
      <c r="M685" s="911"/>
      <c r="N685" s="1011"/>
      <c r="O685" s="1011"/>
      <c r="P685" s="1012"/>
      <c r="Q685" s="1012"/>
      <c r="R685" s="38"/>
      <c r="S685" s="1011"/>
      <c r="T685" s="38"/>
      <c r="U685" s="1012"/>
      <c r="V685" s="1012"/>
      <c r="W685" s="1011"/>
      <c r="X685" s="1011"/>
      <c r="Y685" s="1011"/>
      <c r="Z685" s="1011"/>
      <c r="AA685" s="38"/>
      <c r="AB685" s="1011"/>
      <c r="AC685" s="1012"/>
      <c r="AD685" s="1012"/>
      <c r="AE685" s="1011"/>
      <c r="AF685" s="1011"/>
      <c r="AG685" s="1011"/>
      <c r="AH685" s="43"/>
      <c r="AJ685" s="110"/>
      <c r="AK685" s="34"/>
      <c r="AL685" s="34"/>
      <c r="AM685" s="34"/>
      <c r="AN685" s="34"/>
      <c r="AO685" s="34"/>
      <c r="AP685" s="34"/>
      <c r="AQ685" s="34"/>
      <c r="AR685" s="34"/>
    </row>
    <row r="686" spans="3:44" s="27" customFormat="1">
      <c r="C686" s="911"/>
      <c r="D686" s="29"/>
      <c r="E686" s="1249"/>
      <c r="F686" s="911"/>
      <c r="G686" s="1011"/>
      <c r="H686" s="1012"/>
      <c r="I686" s="34"/>
      <c r="J686" s="1271"/>
      <c r="K686" s="29"/>
      <c r="L686" s="1011"/>
      <c r="M686" s="911"/>
      <c r="N686" s="1011"/>
      <c r="O686" s="1011"/>
      <c r="P686" s="1012"/>
      <c r="Q686" s="1012"/>
      <c r="R686" s="38"/>
      <c r="S686" s="1011"/>
      <c r="T686" s="38"/>
      <c r="U686" s="1012"/>
      <c r="V686" s="1012"/>
      <c r="W686" s="1011"/>
      <c r="X686" s="1011"/>
      <c r="Y686" s="1011"/>
      <c r="Z686" s="1011"/>
      <c r="AA686" s="38"/>
      <c r="AB686" s="1011"/>
      <c r="AC686" s="1012"/>
      <c r="AD686" s="1012"/>
      <c r="AE686" s="1011"/>
      <c r="AF686" s="1011"/>
      <c r="AG686" s="1011"/>
      <c r="AH686" s="43"/>
      <c r="AJ686" s="110"/>
      <c r="AK686" s="34"/>
      <c r="AL686" s="34"/>
      <c r="AM686" s="34"/>
      <c r="AN686" s="34"/>
      <c r="AO686" s="34"/>
      <c r="AP686" s="34"/>
      <c r="AQ686" s="34"/>
      <c r="AR686" s="34"/>
    </row>
    <row r="687" spans="3:44" s="27" customFormat="1">
      <c r="C687" s="911"/>
      <c r="D687" s="29"/>
      <c r="E687" s="1249"/>
      <c r="F687" s="911"/>
      <c r="G687" s="1011"/>
      <c r="H687" s="1012"/>
      <c r="I687" s="34"/>
      <c r="J687" s="1271"/>
      <c r="K687" s="29"/>
      <c r="L687" s="1011"/>
      <c r="M687" s="911"/>
      <c r="N687" s="1011"/>
      <c r="O687" s="1011"/>
      <c r="P687" s="1012"/>
      <c r="Q687" s="1012"/>
      <c r="R687" s="38"/>
      <c r="S687" s="1011"/>
      <c r="T687" s="38"/>
      <c r="U687" s="1012"/>
      <c r="V687" s="1012"/>
      <c r="W687" s="1011"/>
      <c r="X687" s="1011"/>
      <c r="Y687" s="1011"/>
      <c r="Z687" s="1011"/>
      <c r="AA687" s="38"/>
      <c r="AB687" s="1011"/>
      <c r="AC687" s="1012"/>
      <c r="AD687" s="1012"/>
      <c r="AE687" s="1011"/>
      <c r="AF687" s="1011"/>
      <c r="AG687" s="1011"/>
      <c r="AH687" s="43"/>
      <c r="AJ687" s="110"/>
      <c r="AK687" s="34"/>
      <c r="AL687" s="34"/>
      <c r="AM687" s="34"/>
      <c r="AN687" s="34"/>
      <c r="AO687" s="34"/>
      <c r="AP687" s="34"/>
      <c r="AQ687" s="34"/>
      <c r="AR687" s="34"/>
    </row>
    <row r="688" spans="3:44" s="27" customFormat="1">
      <c r="C688" s="911"/>
      <c r="D688" s="29"/>
      <c r="E688" s="1249"/>
      <c r="F688" s="911"/>
      <c r="G688" s="1011"/>
      <c r="H688" s="1012"/>
      <c r="I688" s="34"/>
      <c r="J688" s="1271"/>
      <c r="K688" s="29"/>
      <c r="L688" s="1011"/>
      <c r="M688" s="911"/>
      <c r="N688" s="1011"/>
      <c r="O688" s="1011"/>
      <c r="P688" s="1012"/>
      <c r="Q688" s="1012"/>
      <c r="R688" s="38"/>
      <c r="S688" s="1011"/>
      <c r="T688" s="38"/>
      <c r="U688" s="1012"/>
      <c r="V688" s="1012"/>
      <c r="W688" s="1011"/>
      <c r="X688" s="1011"/>
      <c r="Y688" s="1011"/>
      <c r="Z688" s="1011"/>
      <c r="AA688" s="38"/>
      <c r="AB688" s="1011"/>
      <c r="AC688" s="1012"/>
      <c r="AD688" s="1012"/>
      <c r="AE688" s="1011"/>
      <c r="AF688" s="1011"/>
      <c r="AG688" s="1011"/>
      <c r="AH688" s="43"/>
      <c r="AJ688" s="110"/>
      <c r="AK688" s="34"/>
      <c r="AL688" s="34"/>
      <c r="AM688" s="34"/>
      <c r="AN688" s="34"/>
      <c r="AO688" s="34"/>
      <c r="AP688" s="34"/>
      <c r="AQ688" s="34"/>
      <c r="AR688" s="34"/>
    </row>
    <row r="689" spans="3:44" s="27" customFormat="1">
      <c r="C689" s="911"/>
      <c r="D689" s="29"/>
      <c r="E689" s="1249"/>
      <c r="F689" s="911"/>
      <c r="G689" s="1011"/>
      <c r="H689" s="1012"/>
      <c r="I689" s="34"/>
      <c r="J689" s="1271"/>
      <c r="K689" s="29"/>
      <c r="L689" s="1011"/>
      <c r="M689" s="911"/>
      <c r="N689" s="1011"/>
      <c r="O689" s="1011"/>
      <c r="P689" s="1012"/>
      <c r="Q689" s="1012"/>
      <c r="R689" s="38"/>
      <c r="S689" s="1011"/>
      <c r="T689" s="38"/>
      <c r="U689" s="1012"/>
      <c r="V689" s="1012"/>
      <c r="W689" s="1011"/>
      <c r="X689" s="1011"/>
      <c r="Y689" s="1011"/>
      <c r="Z689" s="1011"/>
      <c r="AA689" s="38"/>
      <c r="AB689" s="1011"/>
      <c r="AC689" s="1012"/>
      <c r="AD689" s="1012"/>
      <c r="AE689" s="1011"/>
      <c r="AF689" s="1011"/>
      <c r="AG689" s="1011"/>
      <c r="AH689" s="43"/>
      <c r="AJ689" s="110"/>
      <c r="AK689" s="34"/>
      <c r="AL689" s="34"/>
      <c r="AM689" s="34"/>
      <c r="AN689" s="34"/>
      <c r="AO689" s="34"/>
      <c r="AP689" s="34"/>
      <c r="AQ689" s="34"/>
      <c r="AR689" s="34"/>
    </row>
    <row r="690" spans="3:44" s="27" customFormat="1">
      <c r="C690" s="911"/>
      <c r="D690" s="29"/>
      <c r="E690" s="1249"/>
      <c r="F690" s="911"/>
      <c r="G690" s="1011"/>
      <c r="H690" s="1012"/>
      <c r="I690" s="34"/>
      <c r="J690" s="1271"/>
      <c r="K690" s="29"/>
      <c r="L690" s="1011"/>
      <c r="M690" s="911"/>
      <c r="N690" s="1011"/>
      <c r="O690" s="1011"/>
      <c r="P690" s="1012"/>
      <c r="Q690" s="1012"/>
      <c r="R690" s="38"/>
      <c r="S690" s="1011"/>
      <c r="T690" s="38"/>
      <c r="U690" s="1012"/>
      <c r="V690" s="1012"/>
      <c r="W690" s="1011"/>
      <c r="X690" s="1011"/>
      <c r="Y690" s="1011"/>
      <c r="Z690" s="1011"/>
      <c r="AA690" s="38"/>
      <c r="AB690" s="1011"/>
      <c r="AC690" s="1012"/>
      <c r="AD690" s="1012"/>
      <c r="AE690" s="1011"/>
      <c r="AF690" s="1011"/>
      <c r="AG690" s="1011"/>
      <c r="AH690" s="43"/>
      <c r="AJ690" s="110"/>
      <c r="AK690" s="34"/>
      <c r="AL690" s="34"/>
      <c r="AM690" s="34"/>
      <c r="AN690" s="34"/>
      <c r="AO690" s="34"/>
      <c r="AP690" s="34"/>
      <c r="AQ690" s="34"/>
      <c r="AR690" s="34"/>
    </row>
    <row r="691" spans="3:44" s="27" customFormat="1">
      <c r="C691" s="911"/>
      <c r="D691" s="29"/>
      <c r="E691" s="1249"/>
      <c r="F691" s="911"/>
      <c r="G691" s="1011"/>
      <c r="H691" s="1012"/>
      <c r="I691" s="34"/>
      <c r="J691" s="1271"/>
      <c r="K691" s="29"/>
      <c r="L691" s="1011"/>
      <c r="M691" s="911"/>
      <c r="N691" s="1011"/>
      <c r="O691" s="1011"/>
      <c r="P691" s="1012"/>
      <c r="Q691" s="1012"/>
      <c r="R691" s="38"/>
      <c r="S691" s="1011"/>
      <c r="T691" s="38"/>
      <c r="U691" s="1012"/>
      <c r="V691" s="1012"/>
      <c r="W691" s="1011"/>
      <c r="X691" s="1011"/>
      <c r="Y691" s="1011"/>
      <c r="Z691" s="1011"/>
      <c r="AA691" s="38"/>
      <c r="AB691" s="1011"/>
      <c r="AC691" s="1012"/>
      <c r="AD691" s="1012"/>
      <c r="AE691" s="1011"/>
      <c r="AF691" s="1011"/>
      <c r="AG691" s="1011"/>
      <c r="AH691" s="43"/>
      <c r="AJ691" s="110"/>
      <c r="AK691" s="34"/>
      <c r="AL691" s="34"/>
      <c r="AM691" s="34"/>
      <c r="AN691" s="34"/>
      <c r="AO691" s="34"/>
      <c r="AP691" s="34"/>
      <c r="AQ691" s="34"/>
      <c r="AR691" s="34"/>
    </row>
    <row r="692" spans="3:44" s="27" customFormat="1">
      <c r="C692" s="911"/>
      <c r="D692" s="29"/>
      <c r="E692" s="1249"/>
      <c r="F692" s="911"/>
      <c r="G692" s="1011"/>
      <c r="H692" s="1012"/>
      <c r="I692" s="34"/>
      <c r="J692" s="1271"/>
      <c r="K692" s="29"/>
      <c r="L692" s="1011"/>
      <c r="M692" s="911"/>
      <c r="N692" s="1011"/>
      <c r="O692" s="1011"/>
      <c r="P692" s="1012"/>
      <c r="Q692" s="1012"/>
      <c r="R692" s="38"/>
      <c r="S692" s="1011"/>
      <c r="T692" s="38"/>
      <c r="U692" s="1012"/>
      <c r="V692" s="1012"/>
      <c r="W692" s="1011"/>
      <c r="X692" s="1011"/>
      <c r="Y692" s="1011"/>
      <c r="Z692" s="1011"/>
      <c r="AA692" s="38"/>
      <c r="AB692" s="1011"/>
      <c r="AC692" s="1012"/>
      <c r="AD692" s="1012"/>
      <c r="AE692" s="1011"/>
      <c r="AF692" s="1011"/>
      <c r="AG692" s="1011"/>
      <c r="AH692" s="43"/>
      <c r="AJ692" s="110"/>
      <c r="AK692" s="34"/>
      <c r="AL692" s="34"/>
      <c r="AM692" s="34"/>
      <c r="AN692" s="34"/>
      <c r="AO692" s="34"/>
      <c r="AP692" s="34"/>
      <c r="AQ692" s="34"/>
      <c r="AR692" s="34"/>
    </row>
    <row r="693" spans="3:44" s="27" customFormat="1">
      <c r="C693" s="911"/>
      <c r="D693" s="29"/>
      <c r="E693" s="1249"/>
      <c r="F693" s="911"/>
      <c r="G693" s="1011"/>
      <c r="H693" s="1012"/>
      <c r="I693" s="34"/>
      <c r="J693" s="1271"/>
      <c r="K693" s="29"/>
      <c r="L693" s="1011"/>
      <c r="M693" s="911"/>
      <c r="N693" s="1011"/>
      <c r="O693" s="1011"/>
      <c r="P693" s="1012"/>
      <c r="Q693" s="1012"/>
      <c r="R693" s="38"/>
      <c r="S693" s="1011"/>
      <c r="T693" s="38"/>
      <c r="U693" s="1012"/>
      <c r="V693" s="1012"/>
      <c r="W693" s="1011"/>
      <c r="X693" s="1011"/>
      <c r="Y693" s="1011"/>
      <c r="Z693" s="1011"/>
      <c r="AA693" s="38"/>
      <c r="AB693" s="1011"/>
      <c r="AC693" s="1012"/>
      <c r="AD693" s="1012"/>
      <c r="AE693" s="1011"/>
      <c r="AF693" s="1011"/>
      <c r="AG693" s="1011"/>
      <c r="AH693" s="43"/>
      <c r="AJ693" s="110"/>
      <c r="AK693" s="34"/>
      <c r="AL693" s="34"/>
      <c r="AM693" s="34"/>
      <c r="AN693" s="34"/>
      <c r="AO693" s="34"/>
      <c r="AP693" s="34"/>
      <c r="AQ693" s="34"/>
      <c r="AR693" s="34"/>
    </row>
    <row r="694" spans="3:44" s="27" customFormat="1">
      <c r="C694" s="911"/>
      <c r="D694" s="29"/>
      <c r="E694" s="1249"/>
      <c r="F694" s="911"/>
      <c r="G694" s="1011"/>
      <c r="H694" s="1012"/>
      <c r="I694" s="34"/>
      <c r="J694" s="1271"/>
      <c r="K694" s="29"/>
      <c r="L694" s="1011"/>
      <c r="M694" s="911"/>
      <c r="N694" s="1011"/>
      <c r="O694" s="1011"/>
      <c r="P694" s="1012"/>
      <c r="Q694" s="1012"/>
      <c r="R694" s="38"/>
      <c r="S694" s="1011"/>
      <c r="T694" s="38"/>
      <c r="U694" s="1012"/>
      <c r="V694" s="1012"/>
      <c r="W694" s="1011"/>
      <c r="X694" s="1011"/>
      <c r="Y694" s="1011"/>
      <c r="Z694" s="1011"/>
      <c r="AA694" s="38"/>
      <c r="AB694" s="1011"/>
      <c r="AC694" s="1012"/>
      <c r="AD694" s="1012"/>
      <c r="AE694" s="1011"/>
      <c r="AF694" s="1011"/>
      <c r="AG694" s="1011"/>
      <c r="AH694" s="43"/>
      <c r="AJ694" s="110"/>
      <c r="AK694" s="34"/>
      <c r="AL694" s="34"/>
      <c r="AM694" s="34"/>
      <c r="AN694" s="34"/>
      <c r="AO694" s="34"/>
      <c r="AP694" s="34"/>
      <c r="AQ694" s="34"/>
      <c r="AR694" s="34"/>
    </row>
    <row r="695" spans="3:44" s="27" customFormat="1">
      <c r="C695" s="911"/>
      <c r="D695" s="29"/>
      <c r="E695" s="1249"/>
      <c r="F695" s="911"/>
      <c r="G695" s="1011"/>
      <c r="H695" s="1012"/>
      <c r="I695" s="34"/>
      <c r="J695" s="1271"/>
      <c r="K695" s="29"/>
      <c r="L695" s="1011"/>
      <c r="M695" s="911"/>
      <c r="N695" s="1011"/>
      <c r="O695" s="1011"/>
      <c r="P695" s="1012"/>
      <c r="Q695" s="1012"/>
      <c r="R695" s="38"/>
      <c r="S695" s="1011"/>
      <c r="T695" s="38"/>
      <c r="U695" s="1012"/>
      <c r="V695" s="1012"/>
      <c r="W695" s="1011"/>
      <c r="X695" s="1011"/>
      <c r="Y695" s="1011"/>
      <c r="Z695" s="1011"/>
      <c r="AA695" s="38"/>
      <c r="AB695" s="1011"/>
      <c r="AC695" s="1012"/>
      <c r="AD695" s="1012"/>
      <c r="AE695" s="1011"/>
      <c r="AF695" s="1011"/>
      <c r="AG695" s="1011"/>
      <c r="AH695" s="43"/>
      <c r="AJ695" s="110"/>
      <c r="AK695" s="34"/>
      <c r="AL695" s="34"/>
      <c r="AM695" s="34"/>
      <c r="AN695" s="34"/>
      <c r="AO695" s="34"/>
      <c r="AP695" s="34"/>
      <c r="AQ695" s="34"/>
      <c r="AR695" s="34"/>
    </row>
    <row r="696" spans="3:44" s="27" customFormat="1">
      <c r="C696" s="911"/>
      <c r="D696" s="29"/>
      <c r="E696" s="1249"/>
      <c r="F696" s="911"/>
      <c r="G696" s="1011"/>
      <c r="H696" s="1012"/>
      <c r="I696" s="34"/>
      <c r="J696" s="1271"/>
      <c r="K696" s="29"/>
      <c r="L696" s="1011"/>
      <c r="M696" s="911"/>
      <c r="N696" s="1011"/>
      <c r="O696" s="1011"/>
      <c r="P696" s="1012"/>
      <c r="Q696" s="1012"/>
      <c r="R696" s="38"/>
      <c r="S696" s="1011"/>
      <c r="T696" s="38"/>
      <c r="U696" s="1012"/>
      <c r="V696" s="1012"/>
      <c r="W696" s="1011"/>
      <c r="X696" s="1011"/>
      <c r="Y696" s="1011"/>
      <c r="Z696" s="1011"/>
      <c r="AA696" s="38"/>
      <c r="AB696" s="1011"/>
      <c r="AC696" s="1012"/>
      <c r="AD696" s="1012"/>
      <c r="AE696" s="1011"/>
      <c r="AF696" s="1011"/>
      <c r="AG696" s="1011"/>
      <c r="AH696" s="43"/>
      <c r="AJ696" s="110"/>
      <c r="AK696" s="34"/>
      <c r="AL696" s="34"/>
      <c r="AM696" s="34"/>
      <c r="AN696" s="34"/>
      <c r="AO696" s="34"/>
      <c r="AP696" s="34"/>
      <c r="AQ696" s="34"/>
      <c r="AR696" s="34"/>
    </row>
    <row r="697" spans="3:44" s="27" customFormat="1">
      <c r="C697" s="911"/>
      <c r="D697" s="29"/>
      <c r="E697" s="1249"/>
      <c r="F697" s="911"/>
      <c r="G697" s="1011"/>
      <c r="H697" s="1012"/>
      <c r="I697" s="34"/>
      <c r="J697" s="1271"/>
      <c r="K697" s="29"/>
      <c r="L697" s="1011"/>
      <c r="M697" s="911"/>
      <c r="N697" s="1011"/>
      <c r="O697" s="1011"/>
      <c r="P697" s="1012"/>
      <c r="Q697" s="1012"/>
      <c r="R697" s="38"/>
      <c r="S697" s="1011"/>
      <c r="T697" s="38"/>
      <c r="U697" s="1012"/>
      <c r="V697" s="1012"/>
      <c r="W697" s="1011"/>
      <c r="X697" s="1011"/>
      <c r="Y697" s="1011"/>
      <c r="Z697" s="1011"/>
      <c r="AA697" s="38"/>
      <c r="AB697" s="1011"/>
      <c r="AC697" s="1012"/>
      <c r="AD697" s="1012"/>
      <c r="AE697" s="1011"/>
      <c r="AF697" s="1011"/>
      <c r="AG697" s="1011"/>
      <c r="AH697" s="43"/>
      <c r="AJ697" s="110"/>
      <c r="AK697" s="34"/>
      <c r="AL697" s="34"/>
      <c r="AM697" s="34"/>
      <c r="AN697" s="34"/>
      <c r="AO697" s="34"/>
      <c r="AP697" s="34"/>
      <c r="AQ697" s="34"/>
      <c r="AR697" s="34"/>
    </row>
    <row r="698" spans="3:44" s="27" customFormat="1">
      <c r="C698" s="911"/>
      <c r="D698" s="29"/>
      <c r="E698" s="1249"/>
      <c r="F698" s="911"/>
      <c r="G698" s="1011"/>
      <c r="H698" s="1012"/>
      <c r="I698" s="34"/>
      <c r="J698" s="1271"/>
      <c r="K698" s="29"/>
      <c r="L698" s="1011"/>
      <c r="M698" s="911"/>
      <c r="N698" s="1011"/>
      <c r="O698" s="1011"/>
      <c r="P698" s="1012"/>
      <c r="Q698" s="1012"/>
      <c r="R698" s="38"/>
      <c r="S698" s="1011"/>
      <c r="T698" s="38"/>
      <c r="U698" s="1012"/>
      <c r="V698" s="1012"/>
      <c r="W698" s="1011"/>
      <c r="X698" s="1011"/>
      <c r="Y698" s="1011"/>
      <c r="Z698" s="1011"/>
      <c r="AA698" s="38"/>
      <c r="AB698" s="1011"/>
      <c r="AC698" s="1012"/>
      <c r="AD698" s="1012"/>
      <c r="AE698" s="1011"/>
      <c r="AF698" s="1011"/>
      <c r="AG698" s="1011"/>
      <c r="AH698" s="43"/>
      <c r="AJ698" s="110"/>
      <c r="AK698" s="34"/>
      <c r="AL698" s="34"/>
      <c r="AM698" s="34"/>
      <c r="AN698" s="34"/>
      <c r="AO698" s="34"/>
      <c r="AP698" s="34"/>
      <c r="AQ698" s="34"/>
      <c r="AR698" s="34"/>
    </row>
    <row r="699" spans="3:44" s="27" customFormat="1">
      <c r="C699" s="911"/>
      <c r="D699" s="29"/>
      <c r="E699" s="1249"/>
      <c r="F699" s="911"/>
      <c r="G699" s="1011"/>
      <c r="H699" s="1012"/>
      <c r="I699" s="34"/>
      <c r="J699" s="1271"/>
      <c r="K699" s="29"/>
      <c r="L699" s="1011"/>
      <c r="M699" s="911"/>
      <c r="N699" s="1011"/>
      <c r="O699" s="1011"/>
      <c r="P699" s="1012"/>
      <c r="Q699" s="1012"/>
      <c r="R699" s="38"/>
      <c r="S699" s="1011"/>
      <c r="T699" s="38"/>
      <c r="U699" s="1012"/>
      <c r="V699" s="1012"/>
      <c r="W699" s="1011"/>
      <c r="X699" s="1011"/>
      <c r="Y699" s="1011"/>
      <c r="Z699" s="1011"/>
      <c r="AA699" s="38"/>
      <c r="AB699" s="1011"/>
      <c r="AC699" s="1012"/>
      <c r="AD699" s="1012"/>
      <c r="AE699" s="1011"/>
      <c r="AF699" s="1011"/>
      <c r="AG699" s="1011"/>
      <c r="AH699" s="43"/>
      <c r="AJ699" s="110"/>
      <c r="AK699" s="34"/>
      <c r="AL699" s="34"/>
      <c r="AM699" s="34"/>
      <c r="AN699" s="34"/>
      <c r="AO699" s="34"/>
      <c r="AP699" s="34"/>
      <c r="AQ699" s="34"/>
      <c r="AR699" s="34"/>
    </row>
    <row r="700" spans="3:44" s="27" customFormat="1">
      <c r="C700" s="911"/>
      <c r="D700" s="29"/>
      <c r="E700" s="1249"/>
      <c r="F700" s="911"/>
      <c r="G700" s="1011"/>
      <c r="H700" s="1012"/>
      <c r="I700" s="34"/>
      <c r="J700" s="1271"/>
      <c r="K700" s="29"/>
      <c r="L700" s="1011"/>
      <c r="M700" s="911"/>
      <c r="N700" s="1011"/>
      <c r="O700" s="1011"/>
      <c r="P700" s="1012"/>
      <c r="Q700" s="1012"/>
      <c r="R700" s="38"/>
      <c r="S700" s="1011"/>
      <c r="T700" s="38"/>
      <c r="U700" s="1012"/>
      <c r="V700" s="1012"/>
      <c r="W700" s="1011"/>
      <c r="X700" s="1011"/>
      <c r="Y700" s="1011"/>
      <c r="Z700" s="1011"/>
      <c r="AA700" s="38"/>
      <c r="AB700" s="1011"/>
      <c r="AC700" s="1012"/>
      <c r="AD700" s="1012"/>
      <c r="AE700" s="1011"/>
      <c r="AF700" s="1011"/>
      <c r="AG700" s="1011"/>
      <c r="AH700" s="43"/>
      <c r="AJ700" s="110"/>
      <c r="AK700" s="34"/>
      <c r="AL700" s="34"/>
      <c r="AM700" s="34"/>
      <c r="AN700" s="34"/>
      <c r="AO700" s="34"/>
      <c r="AP700" s="34"/>
      <c r="AQ700" s="34"/>
      <c r="AR700" s="34"/>
    </row>
    <row r="701" spans="3:44" s="27" customFormat="1">
      <c r="C701" s="911"/>
      <c r="D701" s="29"/>
      <c r="E701" s="1249"/>
      <c r="F701" s="911"/>
      <c r="G701" s="1011"/>
      <c r="H701" s="1012"/>
      <c r="I701" s="34"/>
      <c r="J701" s="1271"/>
      <c r="K701" s="29"/>
      <c r="L701" s="1011"/>
      <c r="M701" s="911"/>
      <c r="N701" s="1011"/>
      <c r="O701" s="1011"/>
      <c r="P701" s="1012"/>
      <c r="Q701" s="1012"/>
      <c r="R701" s="38"/>
      <c r="S701" s="1011"/>
      <c r="T701" s="38"/>
      <c r="U701" s="1012"/>
      <c r="V701" s="1012"/>
      <c r="W701" s="1011"/>
      <c r="X701" s="1011"/>
      <c r="Y701" s="1011"/>
      <c r="Z701" s="1011"/>
      <c r="AA701" s="38"/>
      <c r="AB701" s="1011"/>
      <c r="AC701" s="1012"/>
      <c r="AD701" s="1012"/>
      <c r="AE701" s="1011"/>
      <c r="AF701" s="1011"/>
      <c r="AG701" s="1011"/>
      <c r="AH701" s="43"/>
      <c r="AJ701" s="110"/>
      <c r="AK701" s="34"/>
      <c r="AL701" s="34"/>
      <c r="AM701" s="34"/>
      <c r="AN701" s="34"/>
      <c r="AO701" s="34"/>
      <c r="AP701" s="34"/>
      <c r="AQ701" s="34"/>
      <c r="AR701" s="34"/>
    </row>
    <row r="702" spans="3:44" s="27" customFormat="1">
      <c r="C702" s="911"/>
      <c r="D702" s="29"/>
      <c r="E702" s="1249"/>
      <c r="F702" s="911"/>
      <c r="G702" s="1011"/>
      <c r="H702" s="1012"/>
      <c r="I702" s="34"/>
      <c r="J702" s="1271"/>
      <c r="K702" s="29"/>
      <c r="L702" s="1011"/>
      <c r="M702" s="911"/>
      <c r="N702" s="1011"/>
      <c r="O702" s="1011"/>
      <c r="P702" s="1012"/>
      <c r="Q702" s="1012"/>
      <c r="R702" s="38"/>
      <c r="S702" s="1011"/>
      <c r="T702" s="38"/>
      <c r="U702" s="1012"/>
      <c r="V702" s="1012"/>
      <c r="W702" s="1011"/>
      <c r="X702" s="1011"/>
      <c r="Y702" s="1011"/>
      <c r="Z702" s="1011"/>
      <c r="AA702" s="38"/>
      <c r="AB702" s="1011"/>
      <c r="AC702" s="1012"/>
      <c r="AD702" s="1012"/>
      <c r="AE702" s="1011"/>
      <c r="AF702" s="1011"/>
      <c r="AG702" s="1011"/>
      <c r="AH702" s="43"/>
      <c r="AJ702" s="110"/>
      <c r="AK702" s="34"/>
      <c r="AL702" s="34"/>
      <c r="AM702" s="34"/>
      <c r="AN702" s="34"/>
      <c r="AO702" s="34"/>
      <c r="AP702" s="34"/>
      <c r="AQ702" s="34"/>
      <c r="AR702" s="34"/>
    </row>
    <row r="703" spans="3:44" s="27" customFormat="1">
      <c r="C703" s="911"/>
      <c r="D703" s="29"/>
      <c r="E703" s="1249"/>
      <c r="F703" s="911"/>
      <c r="G703" s="1011"/>
      <c r="H703" s="1012"/>
      <c r="I703" s="34"/>
      <c r="J703" s="1271"/>
      <c r="K703" s="29"/>
      <c r="L703" s="1011"/>
      <c r="M703" s="911"/>
      <c r="N703" s="1011"/>
      <c r="O703" s="1011"/>
      <c r="P703" s="1012"/>
      <c r="Q703" s="1012"/>
      <c r="R703" s="38"/>
      <c r="S703" s="1011"/>
      <c r="T703" s="38"/>
      <c r="U703" s="1012"/>
      <c r="V703" s="1012"/>
      <c r="W703" s="1011"/>
      <c r="X703" s="1011"/>
      <c r="Y703" s="1011"/>
      <c r="Z703" s="1011"/>
      <c r="AA703" s="38"/>
      <c r="AB703" s="1011"/>
      <c r="AC703" s="1012"/>
      <c r="AD703" s="1012"/>
      <c r="AE703" s="1011"/>
      <c r="AF703" s="1011"/>
      <c r="AG703" s="1011"/>
      <c r="AH703" s="43"/>
      <c r="AJ703" s="110"/>
      <c r="AK703" s="34"/>
      <c r="AL703" s="34"/>
      <c r="AM703" s="34"/>
      <c r="AN703" s="34"/>
      <c r="AO703" s="34"/>
      <c r="AP703" s="34"/>
      <c r="AQ703" s="34"/>
      <c r="AR703" s="34"/>
    </row>
    <row r="704" spans="3:44" s="27" customFormat="1">
      <c r="C704" s="911"/>
      <c r="D704" s="29"/>
      <c r="E704" s="1249"/>
      <c r="F704" s="911"/>
      <c r="G704" s="1011"/>
      <c r="H704" s="1012"/>
      <c r="I704" s="34"/>
      <c r="J704" s="1271"/>
      <c r="K704" s="29"/>
      <c r="L704" s="1011"/>
      <c r="M704" s="911"/>
      <c r="N704" s="1011"/>
      <c r="O704" s="1011"/>
      <c r="P704" s="1012"/>
      <c r="Q704" s="1012"/>
      <c r="R704" s="38"/>
      <c r="S704" s="1011"/>
      <c r="T704" s="38"/>
      <c r="U704" s="1012"/>
      <c r="V704" s="1012"/>
      <c r="W704" s="1011"/>
      <c r="X704" s="1011"/>
      <c r="Y704" s="1011"/>
      <c r="Z704" s="1011"/>
      <c r="AA704" s="38"/>
      <c r="AB704" s="1011"/>
      <c r="AC704" s="1012"/>
      <c r="AD704" s="1012"/>
      <c r="AE704" s="1011"/>
      <c r="AF704" s="1011"/>
      <c r="AG704" s="1011"/>
      <c r="AH704" s="43"/>
      <c r="AJ704" s="110"/>
      <c r="AK704" s="34"/>
      <c r="AL704" s="34"/>
      <c r="AM704" s="34"/>
      <c r="AN704" s="34"/>
      <c r="AO704" s="34"/>
      <c r="AP704" s="34"/>
      <c r="AQ704" s="34"/>
      <c r="AR704" s="34"/>
    </row>
    <row r="705" spans="3:44" s="27" customFormat="1">
      <c r="C705" s="911"/>
      <c r="D705" s="29"/>
      <c r="E705" s="1249"/>
      <c r="F705" s="911"/>
      <c r="G705" s="1011"/>
      <c r="H705" s="1012"/>
      <c r="I705" s="34"/>
      <c r="J705" s="1271"/>
      <c r="K705" s="29"/>
      <c r="L705" s="1011"/>
      <c r="M705" s="911"/>
      <c r="N705" s="1011"/>
      <c r="O705" s="1011"/>
      <c r="P705" s="1012"/>
      <c r="Q705" s="1012"/>
      <c r="R705" s="38"/>
      <c r="S705" s="1011"/>
      <c r="T705" s="38"/>
      <c r="U705" s="1012"/>
      <c r="V705" s="1012"/>
      <c r="W705" s="1011"/>
      <c r="X705" s="1011"/>
      <c r="Y705" s="1011"/>
      <c r="Z705" s="1011"/>
      <c r="AA705" s="38"/>
      <c r="AB705" s="1011"/>
      <c r="AC705" s="1012"/>
      <c r="AD705" s="1012"/>
      <c r="AE705" s="1011"/>
      <c r="AF705" s="1011"/>
      <c r="AG705" s="1011"/>
      <c r="AH705" s="43"/>
      <c r="AJ705" s="110"/>
      <c r="AK705" s="34"/>
      <c r="AL705" s="34"/>
      <c r="AM705" s="34"/>
      <c r="AN705" s="34"/>
      <c r="AO705" s="34"/>
      <c r="AP705" s="34"/>
      <c r="AQ705" s="34"/>
      <c r="AR705" s="34"/>
    </row>
    <row r="706" spans="3:44" s="27" customFormat="1">
      <c r="C706" s="911"/>
      <c r="D706" s="29"/>
      <c r="E706" s="1249"/>
      <c r="F706" s="911"/>
      <c r="G706" s="1011"/>
      <c r="H706" s="1012"/>
      <c r="I706" s="34"/>
      <c r="J706" s="1271"/>
      <c r="K706" s="29"/>
      <c r="L706" s="1011"/>
      <c r="M706" s="911"/>
      <c r="N706" s="1011"/>
      <c r="O706" s="1011"/>
      <c r="P706" s="1012"/>
      <c r="Q706" s="1012"/>
      <c r="R706" s="38"/>
      <c r="S706" s="1011"/>
      <c r="T706" s="38"/>
      <c r="U706" s="1012"/>
      <c r="V706" s="1012"/>
      <c r="W706" s="1011"/>
      <c r="X706" s="1011"/>
      <c r="Y706" s="1011"/>
      <c r="Z706" s="1011"/>
      <c r="AA706" s="38"/>
      <c r="AB706" s="1011"/>
      <c r="AC706" s="1012"/>
      <c r="AD706" s="1012"/>
      <c r="AE706" s="1011"/>
      <c r="AF706" s="1011"/>
      <c r="AG706" s="1011"/>
      <c r="AH706" s="43"/>
      <c r="AJ706" s="110"/>
      <c r="AK706" s="34"/>
      <c r="AL706" s="34"/>
      <c r="AM706" s="34"/>
      <c r="AN706" s="34"/>
      <c r="AO706" s="34"/>
      <c r="AP706" s="34"/>
      <c r="AQ706" s="34"/>
      <c r="AR706" s="34"/>
    </row>
    <row r="707" spans="3:44" s="27" customFormat="1">
      <c r="C707" s="911"/>
      <c r="D707" s="29"/>
      <c r="E707" s="1249"/>
      <c r="F707" s="911"/>
      <c r="G707" s="1011"/>
      <c r="H707" s="1012"/>
      <c r="I707" s="34"/>
      <c r="J707" s="1271"/>
      <c r="K707" s="29"/>
      <c r="L707" s="1011"/>
      <c r="M707" s="911"/>
      <c r="N707" s="1011"/>
      <c r="O707" s="1011"/>
      <c r="P707" s="1012"/>
      <c r="Q707" s="1012"/>
      <c r="R707" s="38"/>
      <c r="S707" s="1011"/>
      <c r="T707" s="38"/>
      <c r="U707" s="1012"/>
      <c r="V707" s="1012"/>
      <c r="W707" s="1011"/>
      <c r="X707" s="1011"/>
      <c r="Y707" s="1011"/>
      <c r="Z707" s="1011"/>
      <c r="AA707" s="38"/>
      <c r="AB707" s="1011"/>
      <c r="AC707" s="1012"/>
      <c r="AD707" s="1012"/>
      <c r="AE707" s="1011"/>
      <c r="AF707" s="1011"/>
      <c r="AG707" s="1011"/>
      <c r="AH707" s="43"/>
      <c r="AJ707" s="110"/>
      <c r="AK707" s="34"/>
      <c r="AL707" s="34"/>
      <c r="AM707" s="34"/>
      <c r="AN707" s="34"/>
      <c r="AO707" s="34"/>
      <c r="AP707" s="34"/>
      <c r="AQ707" s="34"/>
      <c r="AR707" s="34"/>
    </row>
    <row r="708" spans="3:44" s="27" customFormat="1">
      <c r="C708" s="911"/>
      <c r="D708" s="29"/>
      <c r="E708" s="1249"/>
      <c r="F708" s="911"/>
      <c r="G708" s="1011"/>
      <c r="H708" s="1012"/>
      <c r="I708" s="34"/>
      <c r="J708" s="1271"/>
      <c r="K708" s="29"/>
      <c r="L708" s="1011"/>
      <c r="M708" s="911"/>
      <c r="N708" s="1011"/>
      <c r="O708" s="1011"/>
      <c r="P708" s="1012"/>
      <c r="Q708" s="1012"/>
      <c r="R708" s="38"/>
      <c r="S708" s="1011"/>
      <c r="T708" s="38"/>
      <c r="U708" s="1012"/>
      <c r="V708" s="1012"/>
      <c r="W708" s="1011"/>
      <c r="X708" s="1011"/>
      <c r="Y708" s="1011"/>
      <c r="Z708" s="1011"/>
      <c r="AA708" s="38"/>
      <c r="AB708" s="1011"/>
      <c r="AC708" s="1012"/>
      <c r="AD708" s="1012"/>
      <c r="AE708" s="1011"/>
      <c r="AF708" s="1011"/>
      <c r="AG708" s="1011"/>
      <c r="AH708" s="43"/>
      <c r="AJ708" s="110"/>
      <c r="AK708" s="34"/>
      <c r="AL708" s="34"/>
      <c r="AM708" s="34"/>
      <c r="AN708" s="34"/>
      <c r="AO708" s="34"/>
      <c r="AP708" s="34"/>
      <c r="AQ708" s="34"/>
      <c r="AR708" s="34"/>
    </row>
    <row r="709" spans="3:44" s="27" customFormat="1">
      <c r="C709" s="911"/>
      <c r="D709" s="29"/>
      <c r="E709" s="1249"/>
      <c r="F709" s="911"/>
      <c r="G709" s="1011"/>
      <c r="H709" s="1012"/>
      <c r="I709" s="34"/>
      <c r="J709" s="1271"/>
      <c r="K709" s="29"/>
      <c r="L709" s="1011"/>
      <c r="M709" s="911"/>
      <c r="N709" s="1011"/>
      <c r="O709" s="1011"/>
      <c r="P709" s="1012"/>
      <c r="Q709" s="1012"/>
      <c r="R709" s="38"/>
      <c r="S709" s="1011"/>
      <c r="T709" s="38"/>
      <c r="U709" s="1012"/>
      <c r="V709" s="1012"/>
      <c r="W709" s="1011"/>
      <c r="X709" s="1011"/>
      <c r="Y709" s="1011"/>
      <c r="Z709" s="1011"/>
      <c r="AA709" s="38"/>
      <c r="AB709" s="1011"/>
      <c r="AC709" s="1012"/>
      <c r="AD709" s="1012"/>
      <c r="AE709" s="1011"/>
      <c r="AF709" s="1011"/>
      <c r="AG709" s="1011"/>
      <c r="AH709" s="43"/>
      <c r="AJ709" s="110"/>
      <c r="AK709" s="34"/>
      <c r="AL709" s="34"/>
      <c r="AM709" s="34"/>
      <c r="AN709" s="34"/>
      <c r="AO709" s="34"/>
      <c r="AP709" s="34"/>
      <c r="AQ709" s="34"/>
      <c r="AR709" s="34"/>
    </row>
    <row r="710" spans="3:44" s="27" customFormat="1">
      <c r="C710" s="911"/>
      <c r="D710" s="29"/>
      <c r="E710" s="1249"/>
      <c r="F710" s="911"/>
      <c r="G710" s="1011"/>
      <c r="H710" s="1012"/>
      <c r="I710" s="34"/>
      <c r="J710" s="1271"/>
      <c r="K710" s="29"/>
      <c r="L710" s="1011"/>
      <c r="M710" s="911"/>
      <c r="N710" s="1011"/>
      <c r="O710" s="1011"/>
      <c r="P710" s="1012"/>
      <c r="Q710" s="1012"/>
      <c r="R710" s="38"/>
      <c r="S710" s="1011"/>
      <c r="T710" s="38"/>
      <c r="U710" s="1012"/>
      <c r="V710" s="1012"/>
      <c r="W710" s="1011"/>
      <c r="X710" s="1011"/>
      <c r="Y710" s="1011"/>
      <c r="Z710" s="1011"/>
      <c r="AA710" s="38"/>
      <c r="AB710" s="1011"/>
      <c r="AC710" s="1012"/>
      <c r="AD710" s="1012"/>
      <c r="AE710" s="1011"/>
      <c r="AF710" s="1011"/>
      <c r="AG710" s="1011"/>
      <c r="AH710" s="43"/>
      <c r="AJ710" s="110"/>
      <c r="AK710" s="34"/>
      <c r="AL710" s="34"/>
      <c r="AM710" s="34"/>
      <c r="AN710" s="34"/>
      <c r="AO710" s="34"/>
      <c r="AP710" s="34"/>
      <c r="AQ710" s="34"/>
      <c r="AR710" s="34"/>
    </row>
    <row r="711" spans="3:44" s="27" customFormat="1">
      <c r="C711" s="911"/>
      <c r="D711" s="29"/>
      <c r="E711" s="1249"/>
      <c r="F711" s="911"/>
      <c r="G711" s="1011"/>
      <c r="H711" s="1012"/>
      <c r="I711" s="34"/>
      <c r="J711" s="1271"/>
      <c r="K711" s="29"/>
      <c r="L711" s="1011"/>
      <c r="M711" s="911"/>
      <c r="N711" s="1011"/>
      <c r="O711" s="1011"/>
      <c r="P711" s="1012"/>
      <c r="Q711" s="1012"/>
      <c r="R711" s="38"/>
      <c r="S711" s="1011"/>
      <c r="T711" s="38"/>
      <c r="U711" s="1012"/>
      <c r="V711" s="1012"/>
      <c r="W711" s="1011"/>
      <c r="X711" s="1011"/>
      <c r="Y711" s="1011"/>
      <c r="Z711" s="1011"/>
      <c r="AA711" s="38"/>
      <c r="AB711" s="1011"/>
      <c r="AC711" s="1012"/>
      <c r="AD711" s="1012"/>
      <c r="AE711" s="1011"/>
      <c r="AF711" s="1011"/>
      <c r="AG711" s="1011"/>
      <c r="AH711" s="43"/>
      <c r="AJ711" s="110"/>
      <c r="AK711" s="34"/>
      <c r="AL711" s="34"/>
      <c r="AM711" s="34"/>
      <c r="AN711" s="34"/>
      <c r="AO711" s="34"/>
      <c r="AP711" s="34"/>
      <c r="AQ711" s="34"/>
      <c r="AR711" s="34"/>
    </row>
    <row r="712" spans="3:44" s="27" customFormat="1">
      <c r="C712" s="911"/>
      <c r="D712" s="29"/>
      <c r="E712" s="1249"/>
      <c r="F712" s="911"/>
      <c r="G712" s="1011"/>
      <c r="H712" s="1012"/>
      <c r="I712" s="34"/>
      <c r="J712" s="1271"/>
      <c r="K712" s="29"/>
      <c r="L712" s="1011"/>
      <c r="M712" s="911"/>
      <c r="N712" s="1011"/>
      <c r="O712" s="1011"/>
      <c r="P712" s="1012"/>
      <c r="Q712" s="1012"/>
      <c r="R712" s="38"/>
      <c r="S712" s="1011"/>
      <c r="T712" s="38"/>
      <c r="U712" s="1012"/>
      <c r="V712" s="1012"/>
      <c r="W712" s="1011"/>
      <c r="X712" s="1011"/>
      <c r="Y712" s="1011"/>
      <c r="Z712" s="1011"/>
      <c r="AA712" s="38"/>
      <c r="AB712" s="1011"/>
      <c r="AC712" s="1012"/>
      <c r="AD712" s="1012"/>
      <c r="AE712" s="1011"/>
      <c r="AF712" s="1011"/>
      <c r="AG712" s="1011"/>
      <c r="AH712" s="43"/>
      <c r="AJ712" s="110"/>
      <c r="AK712" s="34"/>
      <c r="AL712" s="34"/>
      <c r="AM712" s="34"/>
      <c r="AN712" s="34"/>
      <c r="AO712" s="34"/>
      <c r="AP712" s="34"/>
      <c r="AQ712" s="34"/>
      <c r="AR712" s="34"/>
    </row>
    <row r="713" spans="3:44" s="27" customFormat="1">
      <c r="C713" s="911"/>
      <c r="D713" s="29"/>
      <c r="E713" s="1249"/>
      <c r="F713" s="911"/>
      <c r="G713" s="1011"/>
      <c r="H713" s="1012"/>
      <c r="I713" s="34"/>
      <c r="J713" s="1271"/>
      <c r="K713" s="29"/>
      <c r="L713" s="1011"/>
      <c r="M713" s="911"/>
      <c r="N713" s="1011"/>
      <c r="O713" s="1011"/>
      <c r="P713" s="1012"/>
      <c r="Q713" s="1012"/>
      <c r="R713" s="38"/>
      <c r="S713" s="1011"/>
      <c r="T713" s="38"/>
      <c r="U713" s="1012"/>
      <c r="V713" s="1012"/>
      <c r="W713" s="1011"/>
      <c r="X713" s="1011"/>
      <c r="Y713" s="1011"/>
      <c r="Z713" s="1011"/>
      <c r="AA713" s="38"/>
      <c r="AB713" s="1011"/>
      <c r="AC713" s="1012"/>
      <c r="AD713" s="1012"/>
      <c r="AE713" s="1011"/>
      <c r="AF713" s="1011"/>
      <c r="AG713" s="1011"/>
      <c r="AH713" s="43"/>
      <c r="AJ713" s="110"/>
      <c r="AK713" s="34"/>
      <c r="AL713" s="34"/>
      <c r="AM713" s="34"/>
      <c r="AN713" s="34"/>
      <c r="AO713" s="34"/>
      <c r="AP713" s="34"/>
      <c r="AQ713" s="34"/>
      <c r="AR713" s="34"/>
    </row>
    <row r="714" spans="3:44" s="27" customFormat="1">
      <c r="C714" s="911"/>
      <c r="D714" s="29"/>
      <c r="E714" s="1249"/>
      <c r="F714" s="911"/>
      <c r="G714" s="1011"/>
      <c r="H714" s="1012"/>
      <c r="I714" s="34"/>
      <c r="J714" s="1271"/>
      <c r="K714" s="29"/>
      <c r="L714" s="1011"/>
      <c r="M714" s="911"/>
      <c r="N714" s="1011"/>
      <c r="O714" s="1011"/>
      <c r="P714" s="1012"/>
      <c r="Q714" s="1012"/>
      <c r="R714" s="38"/>
      <c r="S714" s="1011"/>
      <c r="T714" s="38"/>
      <c r="U714" s="1012"/>
      <c r="V714" s="1012"/>
      <c r="W714" s="1011"/>
      <c r="X714" s="1011"/>
      <c r="Y714" s="1011"/>
      <c r="Z714" s="1011"/>
      <c r="AA714" s="38"/>
      <c r="AB714" s="1011"/>
      <c r="AC714" s="1012"/>
      <c r="AD714" s="1012"/>
      <c r="AE714" s="1011"/>
      <c r="AF714" s="1011"/>
      <c r="AG714" s="1011"/>
      <c r="AH714" s="43"/>
      <c r="AJ714" s="110"/>
      <c r="AK714" s="34"/>
      <c r="AL714" s="34"/>
      <c r="AM714" s="34"/>
      <c r="AN714" s="34"/>
      <c r="AO714" s="34"/>
      <c r="AP714" s="34"/>
      <c r="AQ714" s="34"/>
      <c r="AR714" s="34"/>
    </row>
    <row r="715" spans="3:44" s="27" customFormat="1">
      <c r="C715" s="911"/>
      <c r="D715" s="29"/>
      <c r="E715" s="1249"/>
      <c r="F715" s="911"/>
      <c r="G715" s="1011"/>
      <c r="H715" s="1012"/>
      <c r="I715" s="34"/>
      <c r="J715" s="1271"/>
      <c r="K715" s="29"/>
      <c r="L715" s="1011"/>
      <c r="M715" s="911"/>
      <c r="N715" s="1011"/>
      <c r="O715" s="1011"/>
      <c r="P715" s="1012"/>
      <c r="Q715" s="1012"/>
      <c r="R715" s="38"/>
      <c r="S715" s="1011"/>
      <c r="T715" s="38"/>
      <c r="U715" s="1012"/>
      <c r="V715" s="1012"/>
      <c r="W715" s="1011"/>
      <c r="X715" s="1011"/>
      <c r="Y715" s="1011"/>
      <c r="Z715" s="1011"/>
      <c r="AA715" s="38"/>
      <c r="AB715" s="1011"/>
      <c r="AC715" s="1012"/>
      <c r="AD715" s="1012"/>
      <c r="AE715" s="1011"/>
      <c r="AF715" s="1011"/>
      <c r="AG715" s="1011"/>
      <c r="AH715" s="43"/>
      <c r="AJ715" s="110"/>
      <c r="AK715" s="34"/>
      <c r="AL715" s="34"/>
      <c r="AM715" s="34"/>
      <c r="AN715" s="34"/>
      <c r="AO715" s="34"/>
      <c r="AP715" s="34"/>
      <c r="AQ715" s="34"/>
      <c r="AR715" s="34"/>
    </row>
    <row r="716" spans="3:44" s="27" customFormat="1">
      <c r="C716" s="911"/>
      <c r="D716" s="29"/>
      <c r="E716" s="1249"/>
      <c r="F716" s="911"/>
      <c r="G716" s="1011"/>
      <c r="H716" s="1012"/>
      <c r="I716" s="34"/>
      <c r="J716" s="1271"/>
      <c r="K716" s="29"/>
      <c r="L716" s="1011"/>
      <c r="M716" s="911"/>
      <c r="N716" s="1011"/>
      <c r="O716" s="1011"/>
      <c r="P716" s="1012"/>
      <c r="Q716" s="1012"/>
      <c r="R716" s="38"/>
      <c r="S716" s="1011"/>
      <c r="T716" s="38"/>
      <c r="U716" s="1012"/>
      <c r="V716" s="1012"/>
      <c r="W716" s="1011"/>
      <c r="X716" s="1011"/>
      <c r="Y716" s="1011"/>
      <c r="Z716" s="1011"/>
      <c r="AA716" s="38"/>
      <c r="AB716" s="1011"/>
      <c r="AC716" s="1012"/>
      <c r="AD716" s="1012"/>
      <c r="AE716" s="1011"/>
      <c r="AF716" s="1011"/>
      <c r="AG716" s="1011"/>
      <c r="AH716" s="43"/>
      <c r="AJ716" s="110"/>
      <c r="AK716" s="34"/>
      <c r="AL716" s="34"/>
      <c r="AM716" s="34"/>
      <c r="AN716" s="34"/>
      <c r="AO716" s="34"/>
      <c r="AP716" s="34"/>
      <c r="AQ716" s="34"/>
      <c r="AR716" s="34"/>
    </row>
    <row r="717" spans="3:44" s="27" customFormat="1">
      <c r="C717" s="911"/>
      <c r="D717" s="29"/>
      <c r="E717" s="1249"/>
      <c r="F717" s="911"/>
      <c r="G717" s="1011"/>
      <c r="H717" s="1012"/>
      <c r="I717" s="34"/>
      <c r="J717" s="1271"/>
      <c r="K717" s="29"/>
      <c r="L717" s="1011"/>
      <c r="M717" s="911"/>
      <c r="N717" s="1011"/>
      <c r="O717" s="1011"/>
      <c r="P717" s="1012"/>
      <c r="Q717" s="1012"/>
      <c r="R717" s="38"/>
      <c r="S717" s="1011"/>
      <c r="T717" s="38"/>
      <c r="U717" s="1012"/>
      <c r="V717" s="1012"/>
      <c r="W717" s="1011"/>
      <c r="X717" s="1011"/>
      <c r="Y717" s="1011"/>
      <c r="Z717" s="1011"/>
      <c r="AA717" s="38"/>
      <c r="AB717" s="1011"/>
      <c r="AC717" s="1012"/>
      <c r="AD717" s="1012"/>
      <c r="AE717" s="1011"/>
      <c r="AF717" s="1011"/>
      <c r="AG717" s="1011"/>
      <c r="AH717" s="43"/>
      <c r="AJ717" s="110"/>
      <c r="AK717" s="34"/>
      <c r="AL717" s="34"/>
      <c r="AM717" s="34"/>
      <c r="AN717" s="34"/>
      <c r="AO717" s="34"/>
      <c r="AP717" s="34"/>
      <c r="AQ717" s="34"/>
      <c r="AR717" s="34"/>
    </row>
    <row r="718" spans="3:44" s="27" customFormat="1">
      <c r="C718" s="911"/>
      <c r="D718" s="29"/>
      <c r="E718" s="1249"/>
      <c r="F718" s="911"/>
      <c r="G718" s="1011"/>
      <c r="H718" s="1012"/>
      <c r="I718" s="34"/>
      <c r="J718" s="1271"/>
      <c r="K718" s="29"/>
      <c r="L718" s="1011"/>
      <c r="M718" s="911"/>
      <c r="N718" s="1011"/>
      <c r="O718" s="1011"/>
      <c r="P718" s="1012"/>
      <c r="Q718" s="1012"/>
      <c r="R718" s="38"/>
      <c r="S718" s="1011"/>
      <c r="T718" s="38"/>
      <c r="U718" s="1012"/>
      <c r="V718" s="1012"/>
      <c r="W718" s="1011"/>
      <c r="X718" s="1011"/>
      <c r="Y718" s="1011"/>
      <c r="Z718" s="1011"/>
      <c r="AA718" s="38"/>
      <c r="AB718" s="1011"/>
      <c r="AC718" s="1012"/>
      <c r="AD718" s="1012"/>
      <c r="AE718" s="1011"/>
      <c r="AF718" s="1011"/>
      <c r="AG718" s="1011"/>
      <c r="AH718" s="43"/>
      <c r="AJ718" s="110"/>
      <c r="AK718" s="34"/>
      <c r="AL718" s="34"/>
      <c r="AM718" s="34"/>
      <c r="AN718" s="34"/>
      <c r="AO718" s="34"/>
      <c r="AP718" s="34"/>
      <c r="AQ718" s="34"/>
      <c r="AR718" s="34"/>
    </row>
    <row r="719" spans="3:44" s="27" customFormat="1">
      <c r="C719" s="911"/>
      <c r="D719" s="29"/>
      <c r="E719" s="1249"/>
      <c r="F719" s="911"/>
      <c r="G719" s="1011"/>
      <c r="H719" s="1012"/>
      <c r="I719" s="34"/>
      <c r="J719" s="1271"/>
      <c r="K719" s="29"/>
      <c r="L719" s="1011"/>
      <c r="M719" s="911"/>
      <c r="N719" s="1011"/>
      <c r="O719" s="1011"/>
      <c r="P719" s="1012"/>
      <c r="Q719" s="1012"/>
      <c r="R719" s="38"/>
      <c r="S719" s="1011"/>
      <c r="T719" s="38"/>
      <c r="U719" s="1012"/>
      <c r="V719" s="1012"/>
      <c r="W719" s="1011"/>
      <c r="X719" s="1011"/>
      <c r="Y719" s="1011"/>
      <c r="Z719" s="1011"/>
      <c r="AA719" s="38"/>
      <c r="AB719" s="1011"/>
      <c r="AC719" s="1012"/>
      <c r="AD719" s="1012"/>
      <c r="AE719" s="1011"/>
      <c r="AF719" s="1011"/>
      <c r="AG719" s="1011"/>
      <c r="AH719" s="43"/>
      <c r="AJ719" s="110"/>
      <c r="AK719" s="34"/>
      <c r="AL719" s="34"/>
      <c r="AM719" s="34"/>
      <c r="AN719" s="34"/>
      <c r="AO719" s="34"/>
      <c r="AP719" s="34"/>
      <c r="AQ719" s="34"/>
      <c r="AR719" s="34"/>
    </row>
    <row r="720" spans="3:44" s="27" customFormat="1">
      <c r="C720" s="911"/>
      <c r="D720" s="29"/>
      <c r="E720" s="1249"/>
      <c r="F720" s="911"/>
      <c r="G720" s="1011"/>
      <c r="H720" s="1012"/>
      <c r="I720" s="34"/>
      <c r="J720" s="1271"/>
      <c r="K720" s="29"/>
      <c r="L720" s="1011"/>
      <c r="M720" s="911"/>
      <c r="N720" s="1011"/>
      <c r="O720" s="1011"/>
      <c r="P720" s="1012"/>
      <c r="Q720" s="1012"/>
      <c r="R720" s="38"/>
      <c r="S720" s="1011"/>
      <c r="T720" s="38"/>
      <c r="U720" s="1012"/>
      <c r="V720" s="1012"/>
      <c r="W720" s="1011"/>
      <c r="X720" s="1011"/>
      <c r="Y720" s="1011"/>
      <c r="Z720" s="1011"/>
      <c r="AA720" s="38"/>
      <c r="AB720" s="1011"/>
      <c r="AC720" s="1012"/>
      <c r="AD720" s="1012"/>
      <c r="AE720" s="1011"/>
      <c r="AF720" s="1011"/>
      <c r="AG720" s="1011"/>
      <c r="AH720" s="43"/>
      <c r="AJ720" s="110"/>
      <c r="AK720" s="34"/>
      <c r="AL720" s="34"/>
      <c r="AM720" s="34"/>
      <c r="AN720" s="34"/>
      <c r="AO720" s="34"/>
      <c r="AP720" s="34"/>
      <c r="AQ720" s="34"/>
      <c r="AR720" s="34"/>
    </row>
    <row r="721" spans="3:44" s="27" customFormat="1">
      <c r="C721" s="911"/>
      <c r="D721" s="29"/>
      <c r="E721" s="1249"/>
      <c r="F721" s="911"/>
      <c r="G721" s="1011"/>
      <c r="H721" s="1012"/>
      <c r="I721" s="34"/>
      <c r="J721" s="1271"/>
      <c r="K721" s="29"/>
      <c r="L721" s="1011"/>
      <c r="M721" s="911"/>
      <c r="N721" s="1011"/>
      <c r="O721" s="1011"/>
      <c r="P721" s="1012"/>
      <c r="Q721" s="1012"/>
      <c r="R721" s="38"/>
      <c r="S721" s="1011"/>
      <c r="T721" s="38"/>
      <c r="U721" s="1012"/>
      <c r="V721" s="1012"/>
      <c r="W721" s="1011"/>
      <c r="X721" s="1011"/>
      <c r="Y721" s="1011"/>
      <c r="Z721" s="1011"/>
      <c r="AA721" s="38"/>
      <c r="AB721" s="1011"/>
      <c r="AC721" s="1012"/>
      <c r="AD721" s="1012"/>
      <c r="AE721" s="1011"/>
      <c r="AF721" s="1011"/>
      <c r="AG721" s="1011"/>
      <c r="AH721" s="43"/>
      <c r="AJ721" s="110"/>
      <c r="AK721" s="34"/>
      <c r="AL721" s="34"/>
      <c r="AM721" s="34"/>
      <c r="AN721" s="34"/>
      <c r="AO721" s="34"/>
      <c r="AP721" s="34"/>
      <c r="AQ721" s="34"/>
      <c r="AR721" s="34"/>
    </row>
    <row r="722" spans="3:44" s="27" customFormat="1">
      <c r="C722" s="911"/>
      <c r="D722" s="29"/>
      <c r="E722" s="1249"/>
      <c r="F722" s="911"/>
      <c r="G722" s="1011"/>
      <c r="H722" s="1012"/>
      <c r="I722" s="34"/>
      <c r="J722" s="1271"/>
      <c r="K722" s="29"/>
      <c r="L722" s="1011"/>
      <c r="M722" s="911"/>
      <c r="N722" s="1011"/>
      <c r="O722" s="1011"/>
      <c r="P722" s="1012"/>
      <c r="Q722" s="1012"/>
      <c r="R722" s="38"/>
      <c r="S722" s="1011"/>
      <c r="T722" s="38"/>
      <c r="U722" s="1012"/>
      <c r="V722" s="1012"/>
      <c r="W722" s="1011"/>
      <c r="X722" s="1011"/>
      <c r="Y722" s="1011"/>
      <c r="Z722" s="1011"/>
      <c r="AA722" s="38"/>
      <c r="AB722" s="1011"/>
      <c r="AC722" s="1012"/>
      <c r="AD722" s="1012"/>
      <c r="AE722" s="1011"/>
      <c r="AF722" s="1011"/>
      <c r="AG722" s="1011"/>
      <c r="AH722" s="43"/>
      <c r="AJ722" s="110"/>
      <c r="AK722" s="34"/>
      <c r="AL722" s="34"/>
      <c r="AM722" s="34"/>
      <c r="AN722" s="34"/>
      <c r="AO722" s="34"/>
      <c r="AP722" s="34"/>
      <c r="AQ722" s="34"/>
      <c r="AR722" s="34"/>
    </row>
    <row r="723" spans="3:44" s="27" customFormat="1">
      <c r="C723" s="911"/>
      <c r="D723" s="29"/>
      <c r="E723" s="1249"/>
      <c r="F723" s="911"/>
      <c r="G723" s="1011"/>
      <c r="H723" s="1012"/>
      <c r="I723" s="34"/>
      <c r="J723" s="1271"/>
      <c r="K723" s="29"/>
      <c r="L723" s="1011"/>
      <c r="M723" s="911"/>
      <c r="N723" s="1011"/>
      <c r="O723" s="1011"/>
      <c r="P723" s="1012"/>
      <c r="Q723" s="1012"/>
      <c r="R723" s="38"/>
      <c r="S723" s="1011"/>
      <c r="T723" s="38"/>
      <c r="U723" s="1012"/>
      <c r="V723" s="1012"/>
      <c r="W723" s="1011"/>
      <c r="X723" s="1011"/>
      <c r="Y723" s="1011"/>
      <c r="Z723" s="1011"/>
      <c r="AA723" s="38"/>
      <c r="AB723" s="1011"/>
      <c r="AC723" s="1012"/>
      <c r="AD723" s="1012"/>
      <c r="AE723" s="1011"/>
      <c r="AF723" s="1011"/>
      <c r="AG723" s="1011"/>
      <c r="AH723" s="43"/>
      <c r="AJ723" s="110"/>
      <c r="AK723" s="34"/>
      <c r="AL723" s="34"/>
      <c r="AM723" s="34"/>
      <c r="AN723" s="34"/>
      <c r="AO723" s="34"/>
      <c r="AP723" s="34"/>
      <c r="AQ723" s="34"/>
      <c r="AR723" s="34"/>
    </row>
    <row r="724" spans="3:44" s="27" customFormat="1">
      <c r="C724" s="911"/>
      <c r="D724" s="29"/>
      <c r="E724" s="1249"/>
      <c r="F724" s="911"/>
      <c r="G724" s="1011"/>
      <c r="H724" s="1012"/>
      <c r="I724" s="34"/>
      <c r="J724" s="1271"/>
      <c r="K724" s="29"/>
      <c r="L724" s="1011"/>
      <c r="M724" s="911"/>
      <c r="N724" s="1011"/>
      <c r="O724" s="1011"/>
      <c r="P724" s="1012"/>
      <c r="Q724" s="1012"/>
      <c r="R724" s="38"/>
      <c r="S724" s="1011"/>
      <c r="T724" s="38"/>
      <c r="U724" s="1012"/>
      <c r="V724" s="1012"/>
      <c r="W724" s="1011"/>
      <c r="X724" s="1011"/>
      <c r="Y724" s="1011"/>
      <c r="Z724" s="1011"/>
      <c r="AA724" s="38"/>
      <c r="AB724" s="1011"/>
      <c r="AC724" s="1012"/>
      <c r="AD724" s="1012"/>
      <c r="AE724" s="1011"/>
      <c r="AF724" s="1011"/>
      <c r="AG724" s="1011"/>
      <c r="AH724" s="43"/>
      <c r="AJ724" s="110"/>
      <c r="AK724" s="34"/>
      <c r="AL724" s="34"/>
      <c r="AM724" s="34"/>
      <c r="AN724" s="34"/>
      <c r="AO724" s="34"/>
      <c r="AP724" s="34"/>
      <c r="AQ724" s="34"/>
      <c r="AR724" s="34"/>
    </row>
    <row r="725" spans="3:44" s="27" customFormat="1">
      <c r="C725" s="911"/>
      <c r="D725" s="29"/>
      <c r="E725" s="1249"/>
      <c r="F725" s="911"/>
      <c r="G725" s="1011"/>
      <c r="H725" s="1012"/>
      <c r="I725" s="34"/>
      <c r="J725" s="1271"/>
      <c r="K725" s="29"/>
      <c r="L725" s="1011"/>
      <c r="M725" s="911"/>
      <c r="N725" s="1011"/>
      <c r="O725" s="1011"/>
      <c r="P725" s="1012"/>
      <c r="Q725" s="1012"/>
      <c r="R725" s="38"/>
      <c r="S725" s="1011"/>
      <c r="T725" s="38"/>
      <c r="U725" s="1012"/>
      <c r="V725" s="1012"/>
      <c r="W725" s="1011"/>
      <c r="X725" s="1011"/>
      <c r="Y725" s="1011"/>
      <c r="Z725" s="1011"/>
      <c r="AA725" s="38"/>
      <c r="AB725" s="1011"/>
      <c r="AC725" s="1012"/>
      <c r="AD725" s="1012"/>
      <c r="AE725" s="1011"/>
      <c r="AF725" s="1011"/>
      <c r="AG725" s="1011"/>
      <c r="AH725" s="43"/>
      <c r="AJ725" s="110"/>
      <c r="AK725" s="34"/>
      <c r="AL725" s="34"/>
      <c r="AM725" s="34"/>
      <c r="AN725" s="34"/>
      <c r="AO725" s="34"/>
      <c r="AP725" s="34"/>
      <c r="AQ725" s="34"/>
      <c r="AR725" s="34"/>
    </row>
    <row r="726" spans="3:44" s="27" customFormat="1">
      <c r="C726" s="911"/>
      <c r="D726" s="29"/>
      <c r="E726" s="1249"/>
      <c r="F726" s="911"/>
      <c r="G726" s="1011"/>
      <c r="H726" s="1012"/>
      <c r="I726" s="34"/>
      <c r="J726" s="1271"/>
      <c r="K726" s="29"/>
      <c r="L726" s="1011"/>
      <c r="M726" s="911"/>
      <c r="N726" s="1011"/>
      <c r="O726" s="1011"/>
      <c r="P726" s="1012"/>
      <c r="Q726" s="1012"/>
      <c r="R726" s="38"/>
      <c r="S726" s="1011"/>
      <c r="T726" s="38"/>
      <c r="U726" s="1012"/>
      <c r="V726" s="1012"/>
      <c r="W726" s="1011"/>
      <c r="X726" s="1011"/>
      <c r="Y726" s="1011"/>
      <c r="Z726" s="1011"/>
      <c r="AA726" s="38"/>
      <c r="AB726" s="1011"/>
      <c r="AC726" s="1012"/>
      <c r="AD726" s="1012"/>
      <c r="AE726" s="1011"/>
      <c r="AF726" s="1011"/>
      <c r="AG726" s="1011"/>
      <c r="AH726" s="43"/>
      <c r="AJ726" s="110"/>
      <c r="AK726" s="34"/>
      <c r="AL726" s="34"/>
      <c r="AM726" s="34"/>
      <c r="AN726" s="34"/>
      <c r="AO726" s="34"/>
      <c r="AP726" s="34"/>
      <c r="AQ726" s="34"/>
      <c r="AR726" s="34"/>
    </row>
    <row r="727" spans="3:44" s="27" customFormat="1">
      <c r="C727" s="911"/>
      <c r="D727" s="29"/>
      <c r="E727" s="1249"/>
      <c r="F727" s="911"/>
      <c r="G727" s="1011"/>
      <c r="H727" s="1012"/>
      <c r="I727" s="34"/>
      <c r="J727" s="1271"/>
      <c r="K727" s="29"/>
      <c r="L727" s="1011"/>
      <c r="M727" s="911"/>
      <c r="N727" s="1011"/>
      <c r="O727" s="1011"/>
      <c r="P727" s="1012"/>
      <c r="Q727" s="1012"/>
      <c r="R727" s="38"/>
      <c r="S727" s="1011"/>
      <c r="T727" s="38"/>
      <c r="U727" s="1012"/>
      <c r="V727" s="1012"/>
      <c r="W727" s="1011"/>
      <c r="X727" s="1011"/>
      <c r="Y727" s="1011"/>
      <c r="Z727" s="1011"/>
      <c r="AA727" s="38"/>
      <c r="AB727" s="1011"/>
      <c r="AC727" s="1012"/>
      <c r="AD727" s="1012"/>
      <c r="AE727" s="1011"/>
      <c r="AF727" s="1011"/>
      <c r="AG727" s="1011"/>
      <c r="AH727" s="43"/>
      <c r="AJ727" s="110"/>
      <c r="AK727" s="34"/>
      <c r="AL727" s="34"/>
      <c r="AM727" s="34"/>
      <c r="AN727" s="34"/>
      <c r="AO727" s="34"/>
      <c r="AP727" s="34"/>
      <c r="AQ727" s="34"/>
      <c r="AR727" s="34"/>
    </row>
    <row r="728" spans="3:44" s="27" customFormat="1">
      <c r="C728" s="911"/>
      <c r="D728" s="29"/>
      <c r="E728" s="1249"/>
      <c r="F728" s="911"/>
      <c r="G728" s="1011"/>
      <c r="H728" s="1012"/>
      <c r="I728" s="34"/>
      <c r="J728" s="1271"/>
      <c r="K728" s="29"/>
      <c r="L728" s="1011"/>
      <c r="M728" s="911"/>
      <c r="N728" s="1011"/>
      <c r="O728" s="1011"/>
      <c r="P728" s="1012"/>
      <c r="Q728" s="1012"/>
      <c r="R728" s="38"/>
      <c r="S728" s="1011"/>
      <c r="T728" s="38"/>
      <c r="U728" s="1012"/>
      <c r="V728" s="1012"/>
      <c r="W728" s="1011"/>
      <c r="X728" s="1011"/>
      <c r="Y728" s="1011"/>
      <c r="Z728" s="1011"/>
      <c r="AA728" s="38"/>
      <c r="AB728" s="1011"/>
      <c r="AC728" s="1012"/>
      <c r="AD728" s="1012"/>
      <c r="AE728" s="1011"/>
      <c r="AF728" s="1011"/>
      <c r="AG728" s="1011"/>
      <c r="AH728" s="43"/>
      <c r="AJ728" s="110"/>
      <c r="AK728" s="34"/>
      <c r="AL728" s="34"/>
      <c r="AM728" s="34"/>
      <c r="AN728" s="34"/>
      <c r="AO728" s="34"/>
      <c r="AP728" s="34"/>
      <c r="AQ728" s="34"/>
      <c r="AR728" s="34"/>
    </row>
    <row r="729" spans="3:44" s="27" customFormat="1">
      <c r="C729" s="911"/>
      <c r="D729" s="29"/>
      <c r="E729" s="1249"/>
      <c r="F729" s="911"/>
      <c r="G729" s="1011"/>
      <c r="H729" s="1012"/>
      <c r="I729" s="34"/>
      <c r="J729" s="1271"/>
      <c r="K729" s="29"/>
      <c r="L729" s="1011"/>
      <c r="M729" s="911"/>
      <c r="N729" s="1011"/>
      <c r="O729" s="1011"/>
      <c r="P729" s="1012"/>
      <c r="Q729" s="1012"/>
      <c r="R729" s="38"/>
      <c r="S729" s="1011"/>
      <c r="T729" s="38"/>
      <c r="U729" s="1012"/>
      <c r="V729" s="1012"/>
      <c r="W729" s="1011"/>
      <c r="X729" s="1011"/>
      <c r="Y729" s="1011"/>
      <c r="Z729" s="1011"/>
      <c r="AA729" s="38"/>
      <c r="AB729" s="1011"/>
      <c r="AC729" s="1012"/>
      <c r="AD729" s="1012"/>
      <c r="AE729" s="1011"/>
      <c r="AF729" s="1011"/>
      <c r="AG729" s="1011"/>
      <c r="AH729" s="43"/>
      <c r="AJ729" s="110"/>
      <c r="AK729" s="34"/>
      <c r="AL729" s="34"/>
      <c r="AM729" s="34"/>
      <c r="AN729" s="34"/>
      <c r="AO729" s="34"/>
      <c r="AP729" s="34"/>
      <c r="AQ729" s="34"/>
      <c r="AR729" s="34"/>
    </row>
    <row r="730" spans="3:44" s="27" customFormat="1">
      <c r="C730" s="911"/>
      <c r="D730" s="29"/>
      <c r="E730" s="1249"/>
      <c r="F730" s="911"/>
      <c r="G730" s="1011"/>
      <c r="H730" s="1012"/>
      <c r="I730" s="34"/>
      <c r="J730" s="1271"/>
      <c r="K730" s="29"/>
      <c r="L730" s="1011"/>
      <c r="M730" s="911"/>
      <c r="N730" s="1011"/>
      <c r="O730" s="1011"/>
      <c r="P730" s="1012"/>
      <c r="Q730" s="1012"/>
      <c r="R730" s="38"/>
      <c r="S730" s="1011"/>
      <c r="T730" s="38"/>
      <c r="U730" s="1012"/>
      <c r="V730" s="1012"/>
      <c r="W730" s="1011"/>
      <c r="X730" s="1011"/>
      <c r="Y730" s="1011"/>
      <c r="Z730" s="1011"/>
      <c r="AA730" s="38"/>
      <c r="AB730" s="1011"/>
      <c r="AC730" s="1012"/>
      <c r="AD730" s="1012"/>
      <c r="AE730" s="1011"/>
      <c r="AF730" s="1011"/>
      <c r="AG730" s="1011"/>
      <c r="AH730" s="43"/>
      <c r="AJ730" s="110"/>
      <c r="AK730" s="34"/>
      <c r="AL730" s="34"/>
      <c r="AM730" s="34"/>
      <c r="AN730" s="34"/>
      <c r="AO730" s="34"/>
      <c r="AP730" s="34"/>
      <c r="AQ730" s="34"/>
      <c r="AR730" s="34"/>
    </row>
    <row r="731" spans="3:44" s="27" customFormat="1">
      <c r="C731" s="911"/>
      <c r="D731" s="29"/>
      <c r="E731" s="1249"/>
      <c r="F731" s="911"/>
      <c r="G731" s="1011"/>
      <c r="H731" s="1012"/>
      <c r="I731" s="34"/>
      <c r="J731" s="1271"/>
      <c r="K731" s="29"/>
      <c r="L731" s="1011"/>
      <c r="M731" s="911"/>
      <c r="N731" s="1011"/>
      <c r="O731" s="1011"/>
      <c r="P731" s="1012"/>
      <c r="Q731" s="1012"/>
      <c r="R731" s="38"/>
      <c r="S731" s="1011"/>
      <c r="T731" s="38"/>
      <c r="U731" s="1012"/>
      <c r="V731" s="1012"/>
      <c r="W731" s="1011"/>
      <c r="X731" s="1011"/>
      <c r="Y731" s="1011"/>
      <c r="Z731" s="1011"/>
      <c r="AA731" s="38"/>
      <c r="AB731" s="1011"/>
      <c r="AC731" s="1012"/>
      <c r="AD731" s="1012"/>
      <c r="AE731" s="1011"/>
      <c r="AF731" s="1011"/>
      <c r="AG731" s="1011"/>
      <c r="AH731" s="43"/>
      <c r="AJ731" s="110"/>
      <c r="AK731" s="34"/>
      <c r="AL731" s="34"/>
      <c r="AM731" s="34"/>
      <c r="AN731" s="34"/>
      <c r="AO731" s="34"/>
      <c r="AP731" s="34"/>
      <c r="AQ731" s="34"/>
      <c r="AR731" s="34"/>
    </row>
    <row r="732" spans="3:44" s="27" customFormat="1">
      <c r="C732" s="911"/>
      <c r="D732" s="29"/>
      <c r="E732" s="1249"/>
      <c r="F732" s="911"/>
      <c r="G732" s="1011"/>
      <c r="H732" s="1012"/>
      <c r="I732" s="34"/>
      <c r="J732" s="1271"/>
      <c r="K732" s="29"/>
      <c r="L732" s="1011"/>
      <c r="M732" s="911"/>
      <c r="N732" s="1011"/>
      <c r="O732" s="1011"/>
      <c r="P732" s="1012"/>
      <c r="Q732" s="1012"/>
      <c r="R732" s="38"/>
      <c r="S732" s="1011"/>
      <c r="T732" s="38"/>
      <c r="U732" s="1012"/>
      <c r="V732" s="1012"/>
      <c r="W732" s="1011"/>
      <c r="X732" s="1011"/>
      <c r="Y732" s="1011"/>
      <c r="Z732" s="1011"/>
      <c r="AA732" s="38"/>
      <c r="AB732" s="1011"/>
      <c r="AC732" s="1012"/>
      <c r="AD732" s="1012"/>
      <c r="AE732" s="1011"/>
      <c r="AF732" s="1011"/>
      <c r="AG732" s="1011"/>
      <c r="AH732" s="43"/>
      <c r="AJ732" s="110"/>
      <c r="AK732" s="34"/>
      <c r="AL732" s="34"/>
      <c r="AM732" s="34"/>
      <c r="AN732" s="34"/>
      <c r="AO732" s="34"/>
      <c r="AP732" s="34"/>
      <c r="AQ732" s="34"/>
      <c r="AR732" s="34"/>
    </row>
    <row r="733" spans="3:44" s="27" customFormat="1">
      <c r="C733" s="911"/>
      <c r="D733" s="29"/>
      <c r="E733" s="1249"/>
      <c r="F733" s="911"/>
      <c r="G733" s="1011"/>
      <c r="H733" s="1012"/>
      <c r="I733" s="34"/>
      <c r="J733" s="1271"/>
      <c r="K733" s="29"/>
      <c r="L733" s="1011"/>
      <c r="M733" s="911"/>
      <c r="N733" s="1011"/>
      <c r="O733" s="1011"/>
      <c r="P733" s="1012"/>
      <c r="Q733" s="1012"/>
      <c r="R733" s="38"/>
      <c r="S733" s="1011"/>
      <c r="T733" s="38"/>
      <c r="U733" s="1012"/>
      <c r="V733" s="1012"/>
      <c r="W733" s="1011"/>
      <c r="X733" s="1011"/>
      <c r="Y733" s="1011"/>
      <c r="Z733" s="1011"/>
      <c r="AA733" s="38"/>
      <c r="AB733" s="1011"/>
      <c r="AC733" s="1012"/>
      <c r="AD733" s="1012"/>
      <c r="AE733" s="1011"/>
      <c r="AF733" s="1011"/>
      <c r="AG733" s="1011"/>
      <c r="AH733" s="43"/>
      <c r="AJ733" s="110"/>
      <c r="AK733" s="34"/>
      <c r="AL733" s="34"/>
      <c r="AM733" s="34"/>
      <c r="AN733" s="34"/>
      <c r="AO733" s="34"/>
      <c r="AP733" s="34"/>
      <c r="AQ733" s="34"/>
      <c r="AR733" s="34"/>
    </row>
    <row r="734" spans="3:44" s="27" customFormat="1">
      <c r="C734" s="911"/>
      <c r="D734" s="29"/>
      <c r="E734" s="1249"/>
      <c r="F734" s="911"/>
      <c r="G734" s="1011"/>
      <c r="H734" s="1012"/>
      <c r="I734" s="34"/>
      <c r="J734" s="1271"/>
      <c r="K734" s="29"/>
      <c r="L734" s="1011"/>
      <c r="M734" s="911"/>
      <c r="N734" s="1011"/>
      <c r="O734" s="1011"/>
      <c r="P734" s="1012"/>
      <c r="Q734" s="1012"/>
      <c r="R734" s="38"/>
      <c r="S734" s="1011"/>
      <c r="T734" s="38"/>
      <c r="U734" s="1012"/>
      <c r="V734" s="1012"/>
      <c r="W734" s="1011"/>
      <c r="X734" s="1011"/>
      <c r="Y734" s="1011"/>
      <c r="Z734" s="1011"/>
      <c r="AA734" s="38"/>
      <c r="AB734" s="1011"/>
      <c r="AC734" s="1012"/>
      <c r="AD734" s="1012"/>
      <c r="AE734" s="1011"/>
      <c r="AF734" s="1011"/>
      <c r="AG734" s="1011"/>
      <c r="AH734" s="43"/>
      <c r="AJ734" s="110"/>
      <c r="AK734" s="34"/>
      <c r="AL734" s="34"/>
      <c r="AM734" s="34"/>
      <c r="AN734" s="34"/>
      <c r="AO734" s="34"/>
      <c r="AP734" s="34"/>
      <c r="AQ734" s="34"/>
      <c r="AR734" s="34"/>
    </row>
    <row r="735" spans="3:44" s="27" customFormat="1">
      <c r="C735" s="911"/>
      <c r="D735" s="29"/>
      <c r="E735" s="1249"/>
      <c r="F735" s="911"/>
      <c r="G735" s="1011"/>
      <c r="H735" s="1012"/>
      <c r="I735" s="34"/>
      <c r="J735" s="1271"/>
      <c r="K735" s="29"/>
      <c r="L735" s="1011"/>
      <c r="M735" s="911"/>
      <c r="N735" s="1011"/>
      <c r="O735" s="1011"/>
      <c r="P735" s="1012"/>
      <c r="Q735" s="1012"/>
      <c r="R735" s="38"/>
      <c r="S735" s="1011"/>
      <c r="T735" s="38"/>
      <c r="U735" s="1012"/>
      <c r="V735" s="1012"/>
      <c r="W735" s="1011"/>
      <c r="X735" s="1011"/>
      <c r="Y735" s="1011"/>
      <c r="Z735" s="1011"/>
      <c r="AA735" s="38"/>
      <c r="AB735" s="1011"/>
      <c r="AC735" s="1012"/>
      <c r="AD735" s="1012"/>
      <c r="AE735" s="1011"/>
      <c r="AF735" s="1011"/>
      <c r="AG735" s="1011"/>
      <c r="AH735" s="43"/>
      <c r="AJ735" s="110"/>
      <c r="AK735" s="34"/>
      <c r="AL735" s="34"/>
      <c r="AM735" s="34"/>
      <c r="AN735" s="34"/>
      <c r="AO735" s="34"/>
      <c r="AP735" s="34"/>
      <c r="AQ735" s="34"/>
      <c r="AR735" s="34"/>
    </row>
    <row r="736" spans="3:44" s="27" customFormat="1">
      <c r="C736" s="911"/>
      <c r="D736" s="29"/>
      <c r="E736" s="1249"/>
      <c r="F736" s="911"/>
      <c r="G736" s="1011"/>
      <c r="H736" s="1012"/>
      <c r="I736" s="34"/>
      <c r="J736" s="1271"/>
      <c r="K736" s="29"/>
      <c r="L736" s="1011"/>
      <c r="M736" s="911"/>
      <c r="N736" s="1011"/>
      <c r="O736" s="1011"/>
      <c r="P736" s="1012"/>
      <c r="Q736" s="1012"/>
      <c r="R736" s="38"/>
      <c r="S736" s="1011"/>
      <c r="T736" s="38"/>
      <c r="U736" s="1012"/>
      <c r="V736" s="1012"/>
      <c r="W736" s="1011"/>
      <c r="X736" s="1011"/>
      <c r="Y736" s="1011"/>
      <c r="Z736" s="1011"/>
      <c r="AA736" s="38"/>
      <c r="AB736" s="1011"/>
      <c r="AC736" s="1012"/>
      <c r="AD736" s="1012"/>
      <c r="AE736" s="1011"/>
      <c r="AF736" s="1011"/>
      <c r="AG736" s="1011"/>
      <c r="AH736" s="43"/>
      <c r="AJ736" s="110"/>
      <c r="AK736" s="34"/>
      <c r="AL736" s="34"/>
      <c r="AM736" s="34"/>
      <c r="AN736" s="34"/>
      <c r="AO736" s="34"/>
      <c r="AP736" s="34"/>
      <c r="AQ736" s="34"/>
      <c r="AR736" s="34"/>
    </row>
    <row r="737" spans="3:44" s="27" customFormat="1">
      <c r="C737" s="911"/>
      <c r="D737" s="29"/>
      <c r="E737" s="1249"/>
      <c r="F737" s="911"/>
      <c r="G737" s="1011"/>
      <c r="H737" s="1012"/>
      <c r="I737" s="34"/>
      <c r="J737" s="1271"/>
      <c r="K737" s="29"/>
      <c r="L737" s="1011"/>
      <c r="M737" s="911"/>
      <c r="N737" s="1011"/>
      <c r="O737" s="1011"/>
      <c r="P737" s="1012"/>
      <c r="Q737" s="1012"/>
      <c r="R737" s="38"/>
      <c r="S737" s="1011"/>
      <c r="T737" s="38"/>
      <c r="U737" s="1012"/>
      <c r="V737" s="1012"/>
      <c r="W737" s="1011"/>
      <c r="X737" s="1011"/>
      <c r="Y737" s="1011"/>
      <c r="Z737" s="1011"/>
      <c r="AA737" s="38"/>
      <c r="AB737" s="1011"/>
      <c r="AC737" s="1012"/>
      <c r="AD737" s="1012"/>
      <c r="AE737" s="1011"/>
      <c r="AF737" s="1011"/>
      <c r="AG737" s="1011"/>
      <c r="AH737" s="43"/>
      <c r="AJ737" s="110"/>
      <c r="AK737" s="34"/>
      <c r="AL737" s="34"/>
      <c r="AM737" s="34"/>
      <c r="AN737" s="34"/>
      <c r="AO737" s="34"/>
      <c r="AP737" s="34"/>
      <c r="AQ737" s="34"/>
      <c r="AR737" s="34"/>
    </row>
    <row r="738" spans="3:44" s="27" customFormat="1">
      <c r="C738" s="911"/>
      <c r="D738" s="29"/>
      <c r="E738" s="1249"/>
      <c r="F738" s="911"/>
      <c r="G738" s="1011"/>
      <c r="H738" s="1012"/>
      <c r="I738" s="34"/>
      <c r="J738" s="1271"/>
      <c r="K738" s="29"/>
      <c r="L738" s="1011"/>
      <c r="M738" s="911"/>
      <c r="N738" s="1011"/>
      <c r="O738" s="1011"/>
      <c r="P738" s="1012"/>
      <c r="Q738" s="1012"/>
      <c r="R738" s="38"/>
      <c r="S738" s="1011"/>
      <c r="T738" s="38"/>
      <c r="U738" s="1012"/>
      <c r="V738" s="1012"/>
      <c r="W738" s="1011"/>
      <c r="X738" s="1011"/>
      <c r="Y738" s="1011"/>
      <c r="Z738" s="1011"/>
      <c r="AA738" s="38"/>
      <c r="AB738" s="1011"/>
      <c r="AC738" s="1012"/>
      <c r="AD738" s="1012"/>
      <c r="AE738" s="1011"/>
      <c r="AF738" s="1011"/>
      <c r="AG738" s="1011"/>
      <c r="AH738" s="43"/>
      <c r="AJ738" s="110"/>
      <c r="AK738" s="34"/>
      <c r="AL738" s="34"/>
      <c r="AM738" s="34"/>
      <c r="AN738" s="34"/>
      <c r="AO738" s="34"/>
      <c r="AP738" s="34"/>
      <c r="AQ738" s="34"/>
      <c r="AR738" s="34"/>
    </row>
    <row r="739" spans="3:44" s="27" customFormat="1">
      <c r="C739" s="911"/>
      <c r="D739" s="29"/>
      <c r="E739" s="1249"/>
      <c r="F739" s="911"/>
      <c r="G739" s="1011"/>
      <c r="H739" s="1012"/>
      <c r="I739" s="34"/>
      <c r="J739" s="1271"/>
      <c r="K739" s="29"/>
      <c r="L739" s="1011"/>
      <c r="M739" s="911"/>
      <c r="N739" s="1011"/>
      <c r="O739" s="1011"/>
      <c r="P739" s="1012"/>
      <c r="Q739" s="1012"/>
      <c r="R739" s="38"/>
      <c r="S739" s="1011"/>
      <c r="T739" s="38"/>
      <c r="U739" s="1012"/>
      <c r="V739" s="1012"/>
      <c r="W739" s="1011"/>
      <c r="X739" s="1011"/>
      <c r="Y739" s="1011"/>
      <c r="Z739" s="1011"/>
      <c r="AA739" s="38"/>
      <c r="AB739" s="1011"/>
      <c r="AC739" s="1012"/>
      <c r="AD739" s="1012"/>
      <c r="AE739" s="1011"/>
      <c r="AF739" s="1011"/>
      <c r="AG739" s="1011"/>
      <c r="AH739" s="43"/>
      <c r="AJ739" s="110"/>
      <c r="AK739" s="34"/>
      <c r="AL739" s="34"/>
      <c r="AM739" s="34"/>
      <c r="AN739" s="34"/>
      <c r="AO739" s="34"/>
      <c r="AP739" s="34"/>
      <c r="AQ739" s="34"/>
      <c r="AR739" s="34"/>
    </row>
    <row r="740" spans="3:44" s="27" customFormat="1">
      <c r="C740" s="911"/>
      <c r="D740" s="29"/>
      <c r="E740" s="1249"/>
      <c r="F740" s="911"/>
      <c r="G740" s="1011"/>
      <c r="H740" s="1012"/>
      <c r="I740" s="34"/>
      <c r="J740" s="1271"/>
      <c r="K740" s="29"/>
      <c r="L740" s="1011"/>
      <c r="M740" s="911"/>
      <c r="N740" s="1011"/>
      <c r="O740" s="1011"/>
      <c r="P740" s="1012"/>
      <c r="Q740" s="1012"/>
      <c r="R740" s="38"/>
      <c r="S740" s="1011"/>
      <c r="T740" s="38"/>
      <c r="U740" s="1012"/>
      <c r="V740" s="1012"/>
      <c r="W740" s="1011"/>
      <c r="X740" s="1011"/>
      <c r="Y740" s="1011"/>
      <c r="Z740" s="1011"/>
      <c r="AA740" s="38"/>
      <c r="AB740" s="1011"/>
      <c r="AC740" s="1012"/>
      <c r="AD740" s="1012"/>
      <c r="AE740" s="1011"/>
      <c r="AF740" s="1011"/>
      <c r="AG740" s="1011"/>
      <c r="AH740" s="43"/>
      <c r="AJ740" s="110"/>
      <c r="AK740" s="34"/>
      <c r="AL740" s="34"/>
      <c r="AM740" s="34"/>
      <c r="AN740" s="34"/>
      <c r="AO740" s="34"/>
      <c r="AP740" s="34"/>
      <c r="AQ740" s="34"/>
      <c r="AR740" s="34"/>
    </row>
    <row r="741" spans="3:44" s="27" customFormat="1">
      <c r="C741" s="911"/>
      <c r="D741" s="29"/>
      <c r="E741" s="1249"/>
      <c r="F741" s="911"/>
      <c r="G741" s="1011"/>
      <c r="H741" s="1012"/>
      <c r="I741" s="34"/>
      <c r="J741" s="1271"/>
      <c r="K741" s="29"/>
      <c r="L741" s="1011"/>
      <c r="M741" s="911"/>
      <c r="N741" s="1011"/>
      <c r="O741" s="1011"/>
      <c r="P741" s="1012"/>
      <c r="Q741" s="1012"/>
      <c r="R741" s="38"/>
      <c r="S741" s="1011"/>
      <c r="T741" s="38"/>
      <c r="U741" s="1012"/>
      <c r="V741" s="1012"/>
      <c r="W741" s="1011"/>
      <c r="X741" s="1011"/>
      <c r="Y741" s="1011"/>
      <c r="Z741" s="1011"/>
      <c r="AA741" s="38"/>
      <c r="AB741" s="1011"/>
      <c r="AC741" s="1012"/>
      <c r="AD741" s="1012"/>
      <c r="AE741" s="1011"/>
      <c r="AF741" s="1011"/>
      <c r="AG741" s="1011"/>
      <c r="AH741" s="43"/>
      <c r="AJ741" s="110"/>
      <c r="AK741" s="34"/>
      <c r="AL741" s="34"/>
      <c r="AM741" s="34"/>
      <c r="AN741" s="34"/>
      <c r="AO741" s="34"/>
      <c r="AP741" s="34"/>
      <c r="AQ741" s="34"/>
      <c r="AR741" s="34"/>
    </row>
    <row r="742" spans="3:44" s="27" customFormat="1">
      <c r="C742" s="911"/>
      <c r="D742" s="29"/>
      <c r="E742" s="1249"/>
      <c r="F742" s="911"/>
      <c r="G742" s="1011"/>
      <c r="H742" s="1012"/>
      <c r="I742" s="34"/>
      <c r="J742" s="1271"/>
      <c r="K742" s="29"/>
      <c r="L742" s="1011"/>
      <c r="M742" s="911"/>
      <c r="N742" s="1011"/>
      <c r="O742" s="1011"/>
      <c r="P742" s="1012"/>
      <c r="Q742" s="1012"/>
      <c r="R742" s="38"/>
      <c r="S742" s="1011"/>
      <c r="T742" s="38"/>
      <c r="U742" s="1012"/>
      <c r="V742" s="1012"/>
      <c r="W742" s="1011"/>
      <c r="X742" s="1011"/>
      <c r="Y742" s="1011"/>
      <c r="Z742" s="1011"/>
      <c r="AA742" s="38"/>
      <c r="AB742" s="1011"/>
      <c r="AC742" s="1012"/>
      <c r="AD742" s="1012"/>
      <c r="AE742" s="1011"/>
      <c r="AF742" s="1011"/>
      <c r="AG742" s="1011"/>
      <c r="AH742" s="43"/>
      <c r="AJ742" s="110"/>
      <c r="AK742" s="34"/>
      <c r="AL742" s="34"/>
      <c r="AM742" s="34"/>
      <c r="AN742" s="34"/>
      <c r="AO742" s="34"/>
      <c r="AP742" s="34"/>
      <c r="AQ742" s="34"/>
      <c r="AR742" s="34"/>
    </row>
    <row r="743" spans="3:44" s="27" customFormat="1">
      <c r="C743" s="911"/>
      <c r="D743" s="29"/>
      <c r="E743" s="1249"/>
      <c r="F743" s="911"/>
      <c r="G743" s="1011"/>
      <c r="H743" s="1012"/>
      <c r="I743" s="34"/>
      <c r="J743" s="1271"/>
      <c r="K743" s="29"/>
      <c r="L743" s="1011"/>
      <c r="M743" s="911"/>
      <c r="N743" s="1011"/>
      <c r="O743" s="1011"/>
      <c r="P743" s="1012"/>
      <c r="Q743" s="1012"/>
      <c r="R743" s="38"/>
      <c r="S743" s="1011"/>
      <c r="T743" s="38"/>
      <c r="U743" s="1012"/>
      <c r="V743" s="1012"/>
      <c r="W743" s="1011"/>
      <c r="X743" s="1011"/>
      <c r="Y743" s="1011"/>
      <c r="Z743" s="1011"/>
      <c r="AA743" s="38"/>
      <c r="AB743" s="1011"/>
      <c r="AC743" s="1012"/>
      <c r="AD743" s="1012"/>
      <c r="AE743" s="1011"/>
      <c r="AF743" s="1011"/>
      <c r="AG743" s="1011"/>
      <c r="AH743" s="43"/>
      <c r="AJ743" s="110"/>
      <c r="AK743" s="34"/>
      <c r="AL743" s="34"/>
      <c r="AM743" s="34"/>
      <c r="AN743" s="34"/>
      <c r="AO743" s="34"/>
      <c r="AP743" s="34"/>
      <c r="AQ743" s="34"/>
      <c r="AR743" s="34"/>
    </row>
    <row r="744" spans="3:44" s="27" customFormat="1">
      <c r="C744" s="911"/>
      <c r="D744" s="29"/>
      <c r="E744" s="1249"/>
      <c r="F744" s="911"/>
      <c r="G744" s="1011"/>
      <c r="H744" s="1012"/>
      <c r="I744" s="34"/>
      <c r="J744" s="1271"/>
      <c r="K744" s="29"/>
      <c r="L744" s="1011"/>
      <c r="M744" s="911"/>
      <c r="N744" s="1011"/>
      <c r="O744" s="1011"/>
      <c r="P744" s="1012"/>
      <c r="Q744" s="1012"/>
      <c r="R744" s="38"/>
      <c r="S744" s="1011"/>
      <c r="T744" s="38"/>
      <c r="U744" s="1012"/>
      <c r="V744" s="1012"/>
      <c r="W744" s="1011"/>
      <c r="X744" s="1011"/>
      <c r="Y744" s="1011"/>
      <c r="Z744" s="1011"/>
      <c r="AA744" s="38"/>
      <c r="AB744" s="1011"/>
      <c r="AC744" s="1012"/>
      <c r="AD744" s="1012"/>
      <c r="AE744" s="1011"/>
      <c r="AF744" s="1011"/>
      <c r="AG744" s="1011"/>
      <c r="AH744" s="43"/>
      <c r="AJ744" s="110"/>
      <c r="AK744" s="34"/>
      <c r="AL744" s="34"/>
      <c r="AM744" s="34"/>
      <c r="AN744" s="34"/>
      <c r="AO744" s="34"/>
      <c r="AP744" s="34"/>
      <c r="AQ744" s="34"/>
      <c r="AR744" s="34"/>
    </row>
    <row r="745" spans="3:44" s="27" customFormat="1">
      <c r="C745" s="911"/>
      <c r="D745" s="29"/>
      <c r="E745" s="1249"/>
      <c r="F745" s="911"/>
      <c r="G745" s="1011"/>
      <c r="H745" s="1012"/>
      <c r="I745" s="34"/>
      <c r="J745" s="1271"/>
      <c r="K745" s="29"/>
      <c r="L745" s="1011"/>
      <c r="M745" s="911"/>
      <c r="N745" s="1011"/>
      <c r="O745" s="1011"/>
      <c r="P745" s="1012"/>
      <c r="Q745" s="1012"/>
      <c r="R745" s="38"/>
      <c r="S745" s="1011"/>
      <c r="T745" s="38"/>
      <c r="U745" s="1012"/>
      <c r="V745" s="1012"/>
      <c r="W745" s="1011"/>
      <c r="X745" s="1011"/>
      <c r="Y745" s="1011"/>
      <c r="Z745" s="1011"/>
      <c r="AA745" s="38"/>
      <c r="AB745" s="1011"/>
      <c r="AC745" s="1012"/>
      <c r="AD745" s="1012"/>
      <c r="AE745" s="1011"/>
      <c r="AF745" s="1011"/>
      <c r="AG745" s="1011"/>
      <c r="AH745" s="43"/>
      <c r="AJ745" s="110"/>
      <c r="AK745" s="34"/>
      <c r="AL745" s="34"/>
      <c r="AM745" s="34"/>
      <c r="AN745" s="34"/>
      <c r="AO745" s="34"/>
      <c r="AP745" s="34"/>
      <c r="AQ745" s="34"/>
      <c r="AR745" s="34"/>
    </row>
    <row r="746" spans="3:44" s="27" customFormat="1">
      <c r="C746" s="911"/>
      <c r="D746" s="29"/>
      <c r="E746" s="1249"/>
      <c r="F746" s="911"/>
      <c r="G746" s="1011"/>
      <c r="H746" s="1012"/>
      <c r="I746" s="34"/>
      <c r="J746" s="1271"/>
      <c r="K746" s="29"/>
      <c r="L746" s="1011"/>
      <c r="M746" s="911"/>
      <c r="N746" s="1011"/>
      <c r="O746" s="1011"/>
      <c r="P746" s="1012"/>
      <c r="Q746" s="1012"/>
      <c r="R746" s="38"/>
      <c r="S746" s="1011"/>
      <c r="T746" s="38"/>
      <c r="U746" s="1012"/>
      <c r="V746" s="1012"/>
      <c r="W746" s="1011"/>
      <c r="X746" s="1011"/>
      <c r="Y746" s="1011"/>
      <c r="Z746" s="1011"/>
      <c r="AA746" s="38"/>
      <c r="AB746" s="1011"/>
      <c r="AC746" s="1012"/>
      <c r="AD746" s="1012"/>
      <c r="AE746" s="1011"/>
      <c r="AF746" s="1011"/>
      <c r="AG746" s="1011"/>
      <c r="AH746" s="43"/>
      <c r="AJ746" s="110"/>
      <c r="AK746" s="34"/>
      <c r="AL746" s="34"/>
      <c r="AM746" s="34"/>
      <c r="AN746" s="34"/>
      <c r="AO746" s="34"/>
      <c r="AP746" s="34"/>
      <c r="AQ746" s="34"/>
      <c r="AR746" s="34"/>
    </row>
    <row r="747" spans="3:44" s="27" customFormat="1">
      <c r="C747" s="911"/>
      <c r="D747" s="29"/>
      <c r="E747" s="1249"/>
      <c r="F747" s="911"/>
      <c r="G747" s="1011"/>
      <c r="H747" s="1012"/>
      <c r="I747" s="34"/>
      <c r="J747" s="1271"/>
      <c r="K747" s="29"/>
      <c r="L747" s="1011"/>
      <c r="M747" s="911"/>
      <c r="N747" s="1011"/>
      <c r="O747" s="1011"/>
      <c r="P747" s="1012"/>
      <c r="Q747" s="1012"/>
      <c r="R747" s="38"/>
      <c r="S747" s="1011"/>
      <c r="T747" s="38"/>
      <c r="U747" s="1012"/>
      <c r="V747" s="1012"/>
      <c r="W747" s="1011"/>
      <c r="X747" s="1011"/>
      <c r="Y747" s="1011"/>
      <c r="Z747" s="1011"/>
      <c r="AA747" s="38"/>
      <c r="AB747" s="1011"/>
      <c r="AC747" s="1012"/>
      <c r="AD747" s="1012"/>
      <c r="AE747" s="1011"/>
      <c r="AF747" s="1011"/>
      <c r="AG747" s="1011"/>
      <c r="AH747" s="43"/>
      <c r="AJ747" s="110"/>
      <c r="AK747" s="34"/>
      <c r="AL747" s="34"/>
      <c r="AM747" s="34"/>
      <c r="AN747" s="34"/>
      <c r="AO747" s="34"/>
      <c r="AP747" s="34"/>
      <c r="AQ747" s="34"/>
      <c r="AR747" s="34"/>
    </row>
    <row r="748" spans="3:44" s="27" customFormat="1">
      <c r="C748" s="911"/>
      <c r="D748" s="29"/>
      <c r="E748" s="1249"/>
      <c r="F748" s="911"/>
      <c r="G748" s="1011"/>
      <c r="H748" s="1012"/>
      <c r="I748" s="34"/>
      <c r="J748" s="1271"/>
      <c r="K748" s="29"/>
      <c r="L748" s="1011"/>
      <c r="M748" s="911"/>
      <c r="N748" s="1011"/>
      <c r="O748" s="1011"/>
      <c r="P748" s="1012"/>
      <c r="Q748" s="1012"/>
      <c r="R748" s="38"/>
      <c r="S748" s="1011"/>
      <c r="T748" s="38"/>
      <c r="U748" s="1012"/>
      <c r="V748" s="1012"/>
      <c r="W748" s="1011"/>
      <c r="X748" s="1011"/>
      <c r="Y748" s="1011"/>
      <c r="Z748" s="1011"/>
      <c r="AA748" s="38"/>
      <c r="AB748" s="1011"/>
      <c r="AC748" s="1012"/>
      <c r="AD748" s="1012"/>
      <c r="AE748" s="1011"/>
      <c r="AF748" s="1011"/>
      <c r="AG748" s="1011"/>
      <c r="AH748" s="43"/>
      <c r="AJ748" s="110"/>
      <c r="AK748" s="34"/>
      <c r="AL748" s="34"/>
      <c r="AM748" s="34"/>
      <c r="AN748" s="34"/>
      <c r="AO748" s="34"/>
      <c r="AP748" s="34"/>
      <c r="AQ748" s="34"/>
      <c r="AR748" s="34"/>
    </row>
    <row r="749" spans="3:44" s="27" customFormat="1">
      <c r="C749" s="911"/>
      <c r="D749" s="29"/>
      <c r="E749" s="1249"/>
      <c r="F749" s="911"/>
      <c r="G749" s="1011"/>
      <c r="H749" s="1012"/>
      <c r="I749" s="34"/>
      <c r="J749" s="1271"/>
      <c r="K749" s="29"/>
      <c r="L749" s="1011"/>
      <c r="M749" s="911"/>
      <c r="N749" s="1011"/>
      <c r="O749" s="1011"/>
      <c r="P749" s="1012"/>
      <c r="Q749" s="1012"/>
      <c r="R749" s="38"/>
      <c r="S749" s="1011"/>
      <c r="T749" s="38"/>
      <c r="U749" s="1012"/>
      <c r="V749" s="1012"/>
      <c r="W749" s="1011"/>
      <c r="X749" s="1011"/>
      <c r="Y749" s="1011"/>
      <c r="Z749" s="1011"/>
      <c r="AA749" s="38"/>
      <c r="AB749" s="1011"/>
      <c r="AC749" s="1012"/>
      <c r="AD749" s="1012"/>
      <c r="AE749" s="1011"/>
      <c r="AF749" s="1011"/>
      <c r="AG749" s="1011"/>
      <c r="AH749" s="43"/>
      <c r="AJ749" s="110"/>
      <c r="AK749" s="34"/>
      <c r="AL749" s="34"/>
      <c r="AM749" s="34"/>
      <c r="AN749" s="34"/>
      <c r="AO749" s="34"/>
      <c r="AP749" s="34"/>
      <c r="AQ749" s="34"/>
      <c r="AR749" s="34"/>
    </row>
    <row r="750" spans="3:44" s="27" customFormat="1">
      <c r="C750" s="911"/>
      <c r="D750" s="29"/>
      <c r="E750" s="1249"/>
      <c r="F750" s="911"/>
      <c r="G750" s="1011"/>
      <c r="H750" s="1012"/>
      <c r="I750" s="34"/>
      <c r="J750" s="1271"/>
      <c r="K750" s="29"/>
      <c r="L750" s="1011"/>
      <c r="M750" s="911"/>
      <c r="N750" s="1011"/>
      <c r="O750" s="1011"/>
      <c r="P750" s="1012"/>
      <c r="Q750" s="1012"/>
      <c r="R750" s="38"/>
      <c r="S750" s="1011"/>
      <c r="T750" s="38"/>
      <c r="U750" s="1012"/>
      <c r="V750" s="1012"/>
      <c r="W750" s="1011"/>
      <c r="X750" s="1011"/>
      <c r="Y750" s="1011"/>
      <c r="Z750" s="1011"/>
      <c r="AA750" s="38"/>
      <c r="AB750" s="1011"/>
      <c r="AC750" s="1012"/>
      <c r="AD750" s="1012"/>
      <c r="AE750" s="1011"/>
      <c r="AF750" s="1011"/>
      <c r="AG750" s="1011"/>
      <c r="AH750" s="43"/>
      <c r="AJ750" s="110"/>
      <c r="AK750" s="34"/>
      <c r="AL750" s="34"/>
      <c r="AM750" s="34"/>
      <c r="AN750" s="34"/>
      <c r="AO750" s="34"/>
      <c r="AP750" s="34"/>
      <c r="AQ750" s="34"/>
      <c r="AR750" s="34"/>
    </row>
    <row r="751" spans="3:44" s="27" customFormat="1">
      <c r="C751" s="911"/>
      <c r="D751" s="29"/>
      <c r="E751" s="1249"/>
      <c r="F751" s="911"/>
      <c r="G751" s="1011"/>
      <c r="H751" s="1012"/>
      <c r="I751" s="34"/>
      <c r="J751" s="1271"/>
      <c r="K751" s="29"/>
      <c r="L751" s="1011"/>
      <c r="M751" s="911"/>
      <c r="N751" s="1011"/>
      <c r="O751" s="1011"/>
      <c r="P751" s="1012"/>
      <c r="Q751" s="1012"/>
      <c r="R751" s="38"/>
      <c r="S751" s="1011"/>
      <c r="T751" s="38"/>
      <c r="U751" s="1012"/>
      <c r="V751" s="1012"/>
      <c r="W751" s="1011"/>
      <c r="X751" s="1011"/>
      <c r="Y751" s="1011"/>
      <c r="Z751" s="1011"/>
      <c r="AA751" s="38"/>
      <c r="AB751" s="1011"/>
      <c r="AC751" s="1012"/>
      <c r="AD751" s="1012"/>
      <c r="AE751" s="1011"/>
      <c r="AF751" s="1011"/>
      <c r="AG751" s="1011"/>
      <c r="AH751" s="43"/>
      <c r="AJ751" s="110"/>
      <c r="AK751" s="34"/>
      <c r="AL751" s="34"/>
      <c r="AM751" s="34"/>
      <c r="AN751" s="34"/>
      <c r="AO751" s="34"/>
      <c r="AP751" s="34"/>
      <c r="AQ751" s="34"/>
      <c r="AR751" s="34"/>
    </row>
    <row r="752" spans="3:44" s="27" customFormat="1">
      <c r="C752" s="911"/>
      <c r="D752" s="29"/>
      <c r="E752" s="1249"/>
      <c r="F752" s="911"/>
      <c r="G752" s="1011"/>
      <c r="H752" s="1012"/>
      <c r="I752" s="34"/>
      <c r="J752" s="1271"/>
      <c r="K752" s="29"/>
      <c r="L752" s="1011"/>
      <c r="M752" s="911"/>
      <c r="N752" s="1011"/>
      <c r="O752" s="1011"/>
      <c r="P752" s="1012"/>
      <c r="Q752" s="1012"/>
      <c r="R752" s="38"/>
      <c r="S752" s="1011"/>
      <c r="T752" s="38"/>
      <c r="U752" s="1012"/>
      <c r="V752" s="1012"/>
      <c r="W752" s="1011"/>
      <c r="X752" s="1011"/>
      <c r="Y752" s="1011"/>
      <c r="Z752" s="1011"/>
      <c r="AA752" s="38"/>
      <c r="AB752" s="1011"/>
      <c r="AC752" s="1012"/>
      <c r="AD752" s="1012"/>
      <c r="AE752" s="1011"/>
      <c r="AF752" s="1011"/>
      <c r="AG752" s="1011"/>
      <c r="AH752" s="43"/>
      <c r="AJ752" s="110"/>
      <c r="AK752" s="34"/>
      <c r="AL752" s="34"/>
      <c r="AM752" s="34"/>
      <c r="AN752" s="34"/>
      <c r="AO752" s="34"/>
      <c r="AP752" s="34"/>
      <c r="AQ752" s="34"/>
      <c r="AR752" s="34"/>
    </row>
    <row r="753" spans="3:44" s="27" customFormat="1">
      <c r="C753" s="911"/>
      <c r="D753" s="29"/>
      <c r="E753" s="1249"/>
      <c r="F753" s="911"/>
      <c r="G753" s="1011"/>
      <c r="H753" s="1012"/>
      <c r="I753" s="34"/>
      <c r="J753" s="1271"/>
      <c r="K753" s="29"/>
      <c r="L753" s="1011"/>
      <c r="M753" s="911"/>
      <c r="N753" s="1011"/>
      <c r="O753" s="1011"/>
      <c r="P753" s="1012"/>
      <c r="Q753" s="1012"/>
      <c r="R753" s="38"/>
      <c r="S753" s="1011"/>
      <c r="T753" s="38"/>
      <c r="U753" s="1012"/>
      <c r="V753" s="1012"/>
      <c r="W753" s="1011"/>
      <c r="X753" s="1011"/>
      <c r="Y753" s="1011"/>
      <c r="Z753" s="1011"/>
      <c r="AA753" s="38"/>
      <c r="AB753" s="1011"/>
      <c r="AC753" s="1012"/>
      <c r="AD753" s="1012"/>
      <c r="AE753" s="1011"/>
      <c r="AF753" s="1011"/>
      <c r="AG753" s="1011"/>
      <c r="AH753" s="43"/>
      <c r="AJ753" s="110"/>
      <c r="AK753" s="34"/>
      <c r="AL753" s="34"/>
      <c r="AM753" s="34"/>
      <c r="AN753" s="34"/>
      <c r="AO753" s="34"/>
      <c r="AP753" s="34"/>
      <c r="AQ753" s="34"/>
      <c r="AR753" s="34"/>
    </row>
    <row r="754" spans="3:44" s="27" customFormat="1">
      <c r="C754" s="911"/>
      <c r="D754" s="29"/>
      <c r="E754" s="1249"/>
      <c r="F754" s="911"/>
      <c r="G754" s="1011"/>
      <c r="H754" s="1012"/>
      <c r="I754" s="34"/>
      <c r="J754" s="1271"/>
      <c r="K754" s="29"/>
      <c r="L754" s="1011"/>
      <c r="M754" s="911"/>
      <c r="N754" s="1011"/>
      <c r="O754" s="1011"/>
      <c r="P754" s="1012"/>
      <c r="Q754" s="1012"/>
      <c r="R754" s="38"/>
      <c r="S754" s="1011"/>
      <c r="T754" s="38"/>
      <c r="U754" s="1012"/>
      <c r="V754" s="1012"/>
      <c r="W754" s="1011"/>
      <c r="X754" s="1011"/>
      <c r="Y754" s="1011"/>
      <c r="Z754" s="1011"/>
      <c r="AA754" s="38"/>
      <c r="AB754" s="1011"/>
      <c r="AC754" s="1012"/>
      <c r="AD754" s="1012"/>
      <c r="AE754" s="1011"/>
      <c r="AF754" s="1011"/>
      <c r="AG754" s="1011"/>
      <c r="AH754" s="43"/>
      <c r="AJ754" s="110"/>
      <c r="AK754" s="34"/>
      <c r="AL754" s="34"/>
      <c r="AM754" s="34"/>
      <c r="AN754" s="34"/>
      <c r="AO754" s="34"/>
      <c r="AP754" s="34"/>
      <c r="AQ754" s="34"/>
      <c r="AR754" s="34"/>
    </row>
    <row r="755" spans="3:44" s="27" customFormat="1">
      <c r="C755" s="911"/>
      <c r="D755" s="29"/>
      <c r="E755" s="1249"/>
      <c r="F755" s="911"/>
      <c r="G755" s="1011"/>
      <c r="H755" s="1012"/>
      <c r="I755" s="34"/>
      <c r="J755" s="1271"/>
      <c r="K755" s="29"/>
      <c r="L755" s="1011"/>
      <c r="M755" s="911"/>
      <c r="N755" s="1011"/>
      <c r="O755" s="1011"/>
      <c r="P755" s="1012"/>
      <c r="Q755" s="1012"/>
      <c r="R755" s="38"/>
      <c r="S755" s="1011"/>
      <c r="T755" s="38"/>
      <c r="U755" s="1012"/>
      <c r="V755" s="1012"/>
      <c r="W755" s="1011"/>
      <c r="X755" s="1011"/>
      <c r="Y755" s="1011"/>
      <c r="Z755" s="1011"/>
      <c r="AA755" s="38"/>
      <c r="AB755" s="1011"/>
      <c r="AC755" s="1012"/>
      <c r="AD755" s="1012"/>
      <c r="AE755" s="1011"/>
      <c r="AF755" s="1011"/>
      <c r="AG755" s="1011"/>
      <c r="AH755" s="43"/>
      <c r="AJ755" s="110"/>
      <c r="AK755" s="34"/>
      <c r="AL755" s="34"/>
      <c r="AM755" s="34"/>
      <c r="AN755" s="34"/>
      <c r="AO755" s="34"/>
      <c r="AP755" s="34"/>
      <c r="AQ755" s="34"/>
      <c r="AR755" s="34"/>
    </row>
    <row r="756" spans="3:44" s="27" customFormat="1">
      <c r="C756" s="911"/>
      <c r="D756" s="29"/>
      <c r="E756" s="1249"/>
      <c r="F756" s="911"/>
      <c r="G756" s="1011"/>
      <c r="H756" s="1012"/>
      <c r="I756" s="34"/>
      <c r="J756" s="1271"/>
      <c r="K756" s="29"/>
      <c r="L756" s="1011"/>
      <c r="M756" s="911"/>
      <c r="N756" s="1011"/>
      <c r="O756" s="1011"/>
      <c r="P756" s="1012"/>
      <c r="Q756" s="1012"/>
      <c r="R756" s="38"/>
      <c r="S756" s="1011"/>
      <c r="T756" s="38"/>
      <c r="U756" s="1012"/>
      <c r="V756" s="1012"/>
      <c r="W756" s="1011"/>
      <c r="X756" s="1011"/>
      <c r="Y756" s="1011"/>
      <c r="Z756" s="1011"/>
      <c r="AA756" s="38"/>
      <c r="AB756" s="1011"/>
      <c r="AC756" s="1012"/>
      <c r="AD756" s="1012"/>
      <c r="AE756" s="1011"/>
      <c r="AF756" s="1011"/>
      <c r="AG756" s="1011"/>
      <c r="AH756" s="43"/>
      <c r="AJ756" s="110"/>
      <c r="AK756" s="34"/>
      <c r="AL756" s="34"/>
      <c r="AM756" s="34"/>
      <c r="AN756" s="34"/>
      <c r="AO756" s="34"/>
      <c r="AP756" s="34"/>
      <c r="AQ756" s="34"/>
      <c r="AR756" s="34"/>
    </row>
    <row r="757" spans="3:44" s="27" customFormat="1">
      <c r="C757" s="911"/>
      <c r="D757" s="29"/>
      <c r="E757" s="1249"/>
      <c r="F757" s="911"/>
      <c r="G757" s="1011"/>
      <c r="H757" s="1012"/>
      <c r="I757" s="34"/>
      <c r="J757" s="1271"/>
      <c r="K757" s="29"/>
      <c r="L757" s="1011"/>
      <c r="M757" s="911"/>
      <c r="N757" s="1011"/>
      <c r="O757" s="1011"/>
      <c r="P757" s="1012"/>
      <c r="Q757" s="1012"/>
      <c r="R757" s="38"/>
      <c r="S757" s="1011"/>
      <c r="T757" s="38"/>
      <c r="U757" s="1012"/>
      <c r="V757" s="1012"/>
      <c r="W757" s="1011"/>
      <c r="X757" s="1011"/>
      <c r="Y757" s="1011"/>
      <c r="Z757" s="1011"/>
      <c r="AA757" s="38"/>
      <c r="AB757" s="1011"/>
      <c r="AC757" s="1012"/>
      <c r="AD757" s="1012"/>
      <c r="AE757" s="1011"/>
      <c r="AF757" s="1011"/>
      <c r="AG757" s="1011"/>
      <c r="AH757" s="43"/>
      <c r="AJ757" s="110"/>
      <c r="AK757" s="34"/>
      <c r="AL757" s="34"/>
      <c r="AM757" s="34"/>
      <c r="AN757" s="34"/>
      <c r="AO757" s="34"/>
      <c r="AP757" s="34"/>
      <c r="AQ757" s="34"/>
      <c r="AR757" s="34"/>
    </row>
    <row r="758" spans="3:44" s="27" customFormat="1">
      <c r="C758" s="911"/>
      <c r="D758" s="29"/>
      <c r="E758" s="1249"/>
      <c r="F758" s="911"/>
      <c r="G758" s="1011"/>
      <c r="H758" s="1012"/>
      <c r="I758" s="34"/>
      <c r="J758" s="1271"/>
      <c r="K758" s="29"/>
      <c r="L758" s="1011"/>
      <c r="M758" s="911"/>
      <c r="N758" s="1011"/>
      <c r="O758" s="1011"/>
      <c r="P758" s="1012"/>
      <c r="Q758" s="1012"/>
      <c r="R758" s="38"/>
      <c r="S758" s="1011"/>
      <c r="T758" s="38"/>
      <c r="U758" s="1012"/>
      <c r="V758" s="1012"/>
      <c r="W758" s="1011"/>
      <c r="X758" s="1011"/>
      <c r="Y758" s="1011"/>
      <c r="Z758" s="1011"/>
      <c r="AA758" s="38"/>
      <c r="AB758" s="1011"/>
      <c r="AC758" s="1012"/>
      <c r="AD758" s="1012"/>
      <c r="AE758" s="1011"/>
      <c r="AF758" s="1011"/>
      <c r="AG758" s="1011"/>
      <c r="AH758" s="43"/>
      <c r="AJ758" s="110"/>
      <c r="AK758" s="34"/>
      <c r="AL758" s="34"/>
      <c r="AM758" s="34"/>
      <c r="AN758" s="34"/>
      <c r="AO758" s="34"/>
      <c r="AP758" s="34"/>
      <c r="AQ758" s="34"/>
      <c r="AR758" s="34"/>
    </row>
    <row r="759" spans="3:44" s="27" customFormat="1">
      <c r="C759" s="911"/>
      <c r="D759" s="29"/>
      <c r="E759" s="1249"/>
      <c r="F759" s="911"/>
      <c r="G759" s="1011"/>
      <c r="H759" s="1012"/>
      <c r="I759" s="34"/>
      <c r="J759" s="1271"/>
      <c r="K759" s="29"/>
      <c r="L759" s="1011"/>
      <c r="M759" s="911"/>
      <c r="N759" s="1011"/>
      <c r="O759" s="1011"/>
      <c r="P759" s="1012"/>
      <c r="Q759" s="1012"/>
      <c r="R759" s="38"/>
      <c r="S759" s="1011"/>
      <c r="T759" s="38"/>
      <c r="U759" s="1012"/>
      <c r="V759" s="1012"/>
      <c r="W759" s="1011"/>
      <c r="X759" s="1011"/>
      <c r="Y759" s="1011"/>
      <c r="Z759" s="1011"/>
      <c r="AA759" s="38"/>
      <c r="AB759" s="1011"/>
      <c r="AC759" s="1012"/>
      <c r="AD759" s="1012"/>
      <c r="AE759" s="1011"/>
      <c r="AF759" s="1011"/>
      <c r="AG759" s="1011"/>
      <c r="AH759" s="43"/>
      <c r="AJ759" s="110"/>
      <c r="AK759" s="34"/>
      <c r="AL759" s="34"/>
      <c r="AM759" s="34"/>
      <c r="AN759" s="34"/>
      <c r="AO759" s="34"/>
      <c r="AP759" s="34"/>
      <c r="AQ759" s="34"/>
      <c r="AR759" s="34"/>
    </row>
    <row r="760" spans="3:44" s="27" customFormat="1">
      <c r="C760" s="911"/>
      <c r="D760" s="29"/>
      <c r="E760" s="1249"/>
      <c r="F760" s="911"/>
      <c r="G760" s="1011"/>
      <c r="H760" s="1012"/>
      <c r="I760" s="34"/>
      <c r="J760" s="1271"/>
      <c r="K760" s="29"/>
      <c r="L760" s="1011"/>
      <c r="M760" s="911"/>
      <c r="N760" s="1011"/>
      <c r="O760" s="1011"/>
      <c r="P760" s="1012"/>
      <c r="Q760" s="1012"/>
      <c r="R760" s="38"/>
      <c r="S760" s="1011"/>
      <c r="T760" s="38"/>
      <c r="U760" s="1012"/>
      <c r="V760" s="1012"/>
      <c r="W760" s="1011"/>
      <c r="X760" s="1011"/>
      <c r="Y760" s="1011"/>
      <c r="Z760" s="1011"/>
      <c r="AA760" s="38"/>
      <c r="AB760" s="1011"/>
      <c r="AC760" s="1012"/>
      <c r="AD760" s="1012"/>
      <c r="AE760" s="1011"/>
      <c r="AF760" s="1011"/>
      <c r="AG760" s="1011"/>
      <c r="AH760" s="43"/>
      <c r="AJ760" s="110"/>
      <c r="AK760" s="34"/>
      <c r="AL760" s="34"/>
      <c r="AM760" s="34"/>
      <c r="AN760" s="34"/>
      <c r="AO760" s="34"/>
      <c r="AP760" s="34"/>
      <c r="AQ760" s="34"/>
      <c r="AR760" s="34"/>
    </row>
    <row r="761" spans="3:44" s="27" customFormat="1">
      <c r="C761" s="911"/>
      <c r="D761" s="29"/>
      <c r="E761" s="1249"/>
      <c r="F761" s="911"/>
      <c r="G761" s="1011"/>
      <c r="H761" s="1012"/>
      <c r="I761" s="34"/>
      <c r="J761" s="1271"/>
      <c r="K761" s="29"/>
      <c r="L761" s="1011"/>
      <c r="M761" s="911"/>
      <c r="N761" s="1011"/>
      <c r="O761" s="1011"/>
      <c r="P761" s="1012"/>
      <c r="Q761" s="1012"/>
      <c r="R761" s="38"/>
      <c r="S761" s="1011"/>
      <c r="T761" s="38"/>
      <c r="U761" s="1012"/>
      <c r="V761" s="1012"/>
      <c r="W761" s="1011"/>
      <c r="X761" s="1011"/>
      <c r="Y761" s="1011"/>
      <c r="Z761" s="1011"/>
      <c r="AA761" s="38"/>
      <c r="AB761" s="1011"/>
      <c r="AC761" s="1012"/>
      <c r="AD761" s="1012"/>
      <c r="AE761" s="1011"/>
      <c r="AF761" s="1011"/>
      <c r="AG761" s="1011"/>
      <c r="AH761" s="43"/>
      <c r="AJ761" s="110"/>
      <c r="AK761" s="34"/>
      <c r="AL761" s="34"/>
      <c r="AM761" s="34"/>
      <c r="AN761" s="34"/>
      <c r="AO761" s="34"/>
      <c r="AP761" s="34"/>
      <c r="AQ761" s="34"/>
      <c r="AR761" s="34"/>
    </row>
    <row r="762" spans="3:44" s="27" customFormat="1">
      <c r="C762" s="911"/>
      <c r="D762" s="29"/>
      <c r="E762" s="1249"/>
      <c r="F762" s="911"/>
      <c r="G762" s="1011"/>
      <c r="H762" s="1012"/>
      <c r="I762" s="34"/>
      <c r="J762" s="1271"/>
      <c r="K762" s="29"/>
      <c r="L762" s="1011"/>
      <c r="M762" s="911"/>
      <c r="N762" s="1011"/>
      <c r="O762" s="1011"/>
      <c r="P762" s="1012"/>
      <c r="Q762" s="1012"/>
      <c r="R762" s="38"/>
      <c r="S762" s="1011"/>
      <c r="T762" s="38"/>
      <c r="U762" s="1012"/>
      <c r="V762" s="1012"/>
      <c r="W762" s="1011"/>
      <c r="X762" s="1011"/>
      <c r="Y762" s="1011"/>
      <c r="Z762" s="1011"/>
      <c r="AA762" s="38"/>
      <c r="AB762" s="1011"/>
      <c r="AC762" s="1012"/>
      <c r="AD762" s="1012"/>
      <c r="AE762" s="1011"/>
      <c r="AF762" s="1011"/>
      <c r="AG762" s="1011"/>
      <c r="AH762" s="43"/>
      <c r="AJ762" s="110"/>
      <c r="AK762" s="34"/>
      <c r="AL762" s="34"/>
      <c r="AM762" s="34"/>
      <c r="AN762" s="34"/>
      <c r="AO762" s="34"/>
      <c r="AP762" s="34"/>
      <c r="AQ762" s="34"/>
      <c r="AR762" s="34"/>
    </row>
    <row r="763" spans="3:44" s="27" customFormat="1">
      <c r="C763" s="911"/>
      <c r="D763" s="29"/>
      <c r="E763" s="1249"/>
      <c r="F763" s="911"/>
      <c r="G763" s="1011"/>
      <c r="H763" s="1012"/>
      <c r="I763" s="34"/>
      <c r="J763" s="1271"/>
      <c r="K763" s="29"/>
      <c r="L763" s="1011"/>
      <c r="M763" s="911"/>
      <c r="N763" s="1011"/>
      <c r="O763" s="1011"/>
      <c r="P763" s="1012"/>
      <c r="Q763" s="1012"/>
      <c r="R763" s="38"/>
      <c r="S763" s="1011"/>
      <c r="T763" s="38"/>
      <c r="U763" s="1012"/>
      <c r="V763" s="1012"/>
      <c r="W763" s="1011"/>
      <c r="X763" s="1011"/>
      <c r="Y763" s="1011"/>
      <c r="Z763" s="1011"/>
      <c r="AA763" s="38"/>
      <c r="AB763" s="1011"/>
      <c r="AC763" s="1012"/>
      <c r="AD763" s="1012"/>
      <c r="AE763" s="1011"/>
      <c r="AF763" s="1011"/>
      <c r="AG763" s="1011"/>
      <c r="AH763" s="43"/>
      <c r="AJ763" s="110"/>
      <c r="AK763" s="34"/>
      <c r="AL763" s="34"/>
      <c r="AM763" s="34"/>
      <c r="AN763" s="34"/>
      <c r="AO763" s="34"/>
      <c r="AP763" s="34"/>
      <c r="AQ763" s="34"/>
      <c r="AR763" s="34"/>
    </row>
    <row r="764" spans="3:44" s="27" customFormat="1">
      <c r="C764" s="911"/>
      <c r="D764" s="29"/>
      <c r="E764" s="1249"/>
      <c r="F764" s="911"/>
      <c r="G764" s="1011"/>
      <c r="H764" s="1012"/>
      <c r="I764" s="34"/>
      <c r="J764" s="1271"/>
      <c r="K764" s="29"/>
      <c r="L764" s="1011"/>
      <c r="M764" s="911"/>
      <c r="N764" s="1011"/>
      <c r="O764" s="1011"/>
      <c r="P764" s="1012"/>
      <c r="Q764" s="1012"/>
      <c r="R764" s="38"/>
      <c r="S764" s="1011"/>
      <c r="T764" s="38"/>
      <c r="U764" s="1012"/>
      <c r="V764" s="1012"/>
      <c r="W764" s="1011"/>
      <c r="X764" s="1011"/>
      <c r="Y764" s="1011"/>
      <c r="Z764" s="1011"/>
      <c r="AA764" s="38"/>
      <c r="AB764" s="1011"/>
      <c r="AC764" s="1012"/>
      <c r="AD764" s="1012"/>
      <c r="AE764" s="1011"/>
      <c r="AF764" s="1011"/>
      <c r="AG764" s="1011"/>
      <c r="AH764" s="43"/>
      <c r="AJ764" s="110"/>
      <c r="AK764" s="34"/>
      <c r="AL764" s="34"/>
      <c r="AM764" s="34"/>
      <c r="AN764" s="34"/>
      <c r="AO764" s="34"/>
      <c r="AP764" s="34"/>
      <c r="AQ764" s="34"/>
      <c r="AR764" s="34"/>
    </row>
    <row r="765" spans="3:44" s="27" customFormat="1">
      <c r="C765" s="911"/>
      <c r="D765" s="29"/>
      <c r="E765" s="1249"/>
      <c r="F765" s="911"/>
      <c r="G765" s="1011"/>
      <c r="H765" s="1012"/>
      <c r="I765" s="34"/>
      <c r="J765" s="1271"/>
      <c r="K765" s="29"/>
      <c r="L765" s="1011"/>
      <c r="M765" s="911"/>
      <c r="N765" s="1011"/>
      <c r="O765" s="1011"/>
      <c r="P765" s="1012"/>
      <c r="Q765" s="1012"/>
      <c r="R765" s="38"/>
      <c r="S765" s="1011"/>
      <c r="T765" s="38"/>
      <c r="U765" s="1012"/>
      <c r="V765" s="1012"/>
      <c r="W765" s="1011"/>
      <c r="X765" s="1011"/>
      <c r="Y765" s="1011"/>
      <c r="Z765" s="1011"/>
      <c r="AA765" s="38"/>
      <c r="AB765" s="1011"/>
      <c r="AC765" s="1012"/>
      <c r="AD765" s="1012"/>
      <c r="AE765" s="1011"/>
      <c r="AF765" s="1011"/>
      <c r="AG765" s="1011"/>
      <c r="AH765" s="43"/>
      <c r="AJ765" s="110"/>
      <c r="AK765" s="34"/>
      <c r="AL765" s="34"/>
      <c r="AM765" s="34"/>
      <c r="AN765" s="34"/>
      <c r="AO765" s="34"/>
      <c r="AP765" s="34"/>
      <c r="AQ765" s="34"/>
      <c r="AR765" s="34"/>
    </row>
    <row r="766" spans="3:44" s="27" customFormat="1">
      <c r="C766" s="911"/>
      <c r="D766" s="29"/>
      <c r="E766" s="1249"/>
      <c r="F766" s="911"/>
      <c r="G766" s="1011"/>
      <c r="H766" s="1012"/>
      <c r="I766" s="34"/>
      <c r="J766" s="1271"/>
      <c r="K766" s="29"/>
      <c r="L766" s="1011"/>
      <c r="M766" s="911"/>
      <c r="N766" s="1011"/>
      <c r="O766" s="1011"/>
      <c r="P766" s="1012"/>
      <c r="Q766" s="1012"/>
      <c r="R766" s="38"/>
      <c r="S766" s="1011"/>
      <c r="T766" s="38"/>
      <c r="U766" s="1012"/>
      <c r="V766" s="1012"/>
      <c r="W766" s="1011"/>
      <c r="X766" s="1011"/>
      <c r="Y766" s="1011"/>
      <c r="Z766" s="1011"/>
      <c r="AA766" s="38"/>
      <c r="AB766" s="1011"/>
      <c r="AC766" s="1012"/>
      <c r="AD766" s="1012"/>
      <c r="AE766" s="1011"/>
      <c r="AF766" s="1011"/>
      <c r="AG766" s="1011"/>
      <c r="AH766" s="43"/>
      <c r="AJ766" s="110"/>
      <c r="AK766" s="34"/>
      <c r="AL766" s="34"/>
      <c r="AM766" s="34"/>
      <c r="AN766" s="34"/>
      <c r="AO766" s="34"/>
      <c r="AP766" s="34"/>
      <c r="AQ766" s="34"/>
      <c r="AR766" s="34"/>
    </row>
    <row r="767" spans="3:44" s="27" customFormat="1">
      <c r="C767" s="911"/>
      <c r="D767" s="29"/>
      <c r="E767" s="1249"/>
      <c r="F767" s="911"/>
      <c r="G767" s="1011"/>
      <c r="H767" s="1012"/>
      <c r="I767" s="34"/>
      <c r="J767" s="1271"/>
      <c r="K767" s="29"/>
      <c r="L767" s="1011"/>
      <c r="M767" s="911"/>
      <c r="N767" s="1011"/>
      <c r="O767" s="1011"/>
      <c r="P767" s="1012"/>
      <c r="Q767" s="1012"/>
      <c r="R767" s="38"/>
      <c r="S767" s="1011"/>
      <c r="T767" s="38"/>
      <c r="U767" s="1012"/>
      <c r="V767" s="1012"/>
      <c r="W767" s="1011"/>
      <c r="X767" s="1011"/>
      <c r="Y767" s="1011"/>
      <c r="Z767" s="1011"/>
      <c r="AA767" s="38"/>
      <c r="AB767" s="1011"/>
      <c r="AC767" s="1012"/>
      <c r="AD767" s="1012"/>
      <c r="AE767" s="1011"/>
      <c r="AF767" s="1011"/>
      <c r="AG767" s="1011"/>
      <c r="AH767" s="43"/>
      <c r="AJ767" s="110"/>
      <c r="AK767" s="34"/>
      <c r="AL767" s="34"/>
      <c r="AM767" s="34"/>
      <c r="AN767" s="34"/>
      <c r="AO767" s="34"/>
      <c r="AP767" s="34"/>
      <c r="AQ767" s="34"/>
      <c r="AR767" s="34"/>
    </row>
    <row r="768" spans="3:44" s="27" customFormat="1">
      <c r="C768" s="911"/>
      <c r="D768" s="29"/>
      <c r="E768" s="1249"/>
      <c r="F768" s="911"/>
      <c r="G768" s="1011"/>
      <c r="H768" s="1012"/>
      <c r="I768" s="34"/>
      <c r="J768" s="1271"/>
      <c r="K768" s="29"/>
      <c r="L768" s="1011"/>
      <c r="M768" s="911"/>
      <c r="N768" s="1011"/>
      <c r="O768" s="1011"/>
      <c r="P768" s="1012"/>
      <c r="Q768" s="1012"/>
      <c r="R768" s="38"/>
      <c r="S768" s="1011"/>
      <c r="T768" s="38"/>
      <c r="U768" s="1012"/>
      <c r="V768" s="1012"/>
      <c r="W768" s="1011"/>
      <c r="X768" s="1011"/>
      <c r="Y768" s="1011"/>
      <c r="Z768" s="1011"/>
      <c r="AA768" s="38"/>
      <c r="AB768" s="1011"/>
      <c r="AC768" s="1012"/>
      <c r="AD768" s="1012"/>
      <c r="AE768" s="1011"/>
      <c r="AF768" s="1011"/>
      <c r="AG768" s="1011"/>
      <c r="AH768" s="43"/>
      <c r="AJ768" s="110"/>
      <c r="AK768" s="34"/>
      <c r="AL768" s="34"/>
      <c r="AM768" s="34"/>
      <c r="AN768" s="34"/>
      <c r="AO768" s="34"/>
      <c r="AP768" s="34"/>
      <c r="AQ768" s="34"/>
      <c r="AR768" s="34"/>
    </row>
    <row r="769" spans="3:44" s="27" customFormat="1">
      <c r="C769" s="911"/>
      <c r="D769" s="29"/>
      <c r="E769" s="1249"/>
      <c r="F769" s="911"/>
      <c r="G769" s="1011"/>
      <c r="H769" s="1012"/>
      <c r="I769" s="34"/>
      <c r="J769" s="1271"/>
      <c r="K769" s="29"/>
      <c r="L769" s="1011"/>
      <c r="M769" s="911"/>
      <c r="N769" s="1011"/>
      <c r="O769" s="1011"/>
      <c r="P769" s="1012"/>
      <c r="Q769" s="1012"/>
      <c r="R769" s="38"/>
      <c r="S769" s="1011"/>
      <c r="T769" s="38"/>
      <c r="U769" s="1012"/>
      <c r="V769" s="1012"/>
      <c r="W769" s="1011"/>
      <c r="X769" s="1011"/>
      <c r="Y769" s="1011"/>
      <c r="Z769" s="1011"/>
      <c r="AA769" s="38"/>
      <c r="AB769" s="1011"/>
      <c r="AC769" s="1012"/>
      <c r="AD769" s="1012"/>
      <c r="AE769" s="1011"/>
      <c r="AF769" s="1011"/>
      <c r="AG769" s="1011"/>
      <c r="AH769" s="43"/>
      <c r="AJ769" s="110"/>
      <c r="AK769" s="34"/>
      <c r="AL769" s="34"/>
      <c r="AM769" s="34"/>
      <c r="AN769" s="34"/>
      <c r="AO769" s="34"/>
      <c r="AP769" s="34"/>
      <c r="AQ769" s="34"/>
      <c r="AR769" s="34"/>
    </row>
    <row r="770" spans="3:44" s="27" customFormat="1">
      <c r="C770" s="911"/>
      <c r="D770" s="29"/>
      <c r="E770" s="1249"/>
      <c r="F770" s="911"/>
      <c r="G770" s="1011"/>
      <c r="H770" s="1012"/>
      <c r="I770" s="34"/>
      <c r="J770" s="1271"/>
      <c r="K770" s="29"/>
      <c r="L770" s="1011"/>
      <c r="M770" s="911"/>
      <c r="N770" s="1011"/>
      <c r="O770" s="1011"/>
      <c r="P770" s="1012"/>
      <c r="Q770" s="1012"/>
      <c r="R770" s="38"/>
      <c r="S770" s="1011"/>
      <c r="T770" s="38"/>
      <c r="U770" s="1012"/>
      <c r="V770" s="1012"/>
      <c r="W770" s="1011"/>
      <c r="X770" s="1011"/>
      <c r="Y770" s="1011"/>
      <c r="Z770" s="1011"/>
      <c r="AA770" s="38"/>
      <c r="AB770" s="1011"/>
      <c r="AC770" s="1012"/>
      <c r="AD770" s="1012"/>
      <c r="AE770" s="1011"/>
      <c r="AF770" s="1011"/>
      <c r="AG770" s="1011"/>
      <c r="AH770" s="43"/>
      <c r="AJ770" s="110"/>
      <c r="AK770" s="34"/>
      <c r="AL770" s="34"/>
      <c r="AM770" s="34"/>
      <c r="AN770" s="34"/>
      <c r="AO770" s="34"/>
      <c r="AP770" s="34"/>
      <c r="AQ770" s="34"/>
      <c r="AR770" s="34"/>
    </row>
    <row r="771" spans="3:44" s="27" customFormat="1">
      <c r="C771" s="911"/>
      <c r="D771" s="29"/>
      <c r="E771" s="1249"/>
      <c r="F771" s="911"/>
      <c r="G771" s="1011"/>
      <c r="H771" s="1012"/>
      <c r="I771" s="34"/>
      <c r="J771" s="1271"/>
      <c r="K771" s="29"/>
      <c r="L771" s="1011"/>
      <c r="M771" s="911"/>
      <c r="N771" s="1011"/>
      <c r="O771" s="1011"/>
      <c r="P771" s="1012"/>
      <c r="Q771" s="1012"/>
      <c r="R771" s="38"/>
      <c r="S771" s="1011"/>
      <c r="T771" s="38"/>
      <c r="U771" s="1012"/>
      <c r="V771" s="1012"/>
      <c r="W771" s="1011"/>
      <c r="X771" s="1011"/>
      <c r="Y771" s="1011"/>
      <c r="Z771" s="1011"/>
      <c r="AA771" s="38"/>
      <c r="AB771" s="1011"/>
      <c r="AC771" s="1012"/>
      <c r="AD771" s="1012"/>
      <c r="AE771" s="1011"/>
      <c r="AF771" s="1011"/>
      <c r="AG771" s="1011"/>
      <c r="AH771" s="43"/>
      <c r="AJ771" s="110"/>
      <c r="AK771" s="34"/>
      <c r="AL771" s="34"/>
      <c r="AM771" s="34"/>
      <c r="AN771" s="34"/>
      <c r="AO771" s="34"/>
      <c r="AP771" s="34"/>
      <c r="AQ771" s="34"/>
      <c r="AR771" s="34"/>
    </row>
    <row r="772" spans="3:44" s="27" customFormat="1">
      <c r="C772" s="911"/>
      <c r="D772" s="29"/>
      <c r="E772" s="1249"/>
      <c r="F772" s="911"/>
      <c r="G772" s="1011"/>
      <c r="H772" s="1012"/>
      <c r="I772" s="34"/>
      <c r="J772" s="1271"/>
      <c r="K772" s="29"/>
      <c r="L772" s="1011"/>
      <c r="M772" s="911"/>
      <c r="N772" s="1011"/>
      <c r="O772" s="1011"/>
      <c r="P772" s="1012"/>
      <c r="Q772" s="1012"/>
      <c r="R772" s="38"/>
      <c r="S772" s="1011"/>
      <c r="T772" s="38"/>
      <c r="U772" s="1012"/>
      <c r="V772" s="1012"/>
      <c r="W772" s="1011"/>
      <c r="X772" s="1011"/>
      <c r="Y772" s="1011"/>
      <c r="Z772" s="1011"/>
      <c r="AA772" s="38"/>
      <c r="AB772" s="1011"/>
      <c r="AC772" s="1012"/>
      <c r="AD772" s="1012"/>
      <c r="AE772" s="1011"/>
      <c r="AF772" s="1011"/>
      <c r="AG772" s="1011"/>
      <c r="AH772" s="43"/>
      <c r="AJ772" s="110"/>
      <c r="AK772" s="34"/>
      <c r="AL772" s="34"/>
      <c r="AM772" s="34"/>
      <c r="AN772" s="34"/>
      <c r="AO772" s="34"/>
      <c r="AP772" s="34"/>
      <c r="AQ772" s="34"/>
      <c r="AR772" s="34"/>
    </row>
    <row r="773" spans="3:44" s="27" customFormat="1">
      <c r="C773" s="911"/>
      <c r="D773" s="29"/>
      <c r="E773" s="1249"/>
      <c r="F773" s="911"/>
      <c r="G773" s="1011"/>
      <c r="H773" s="1012"/>
      <c r="I773" s="34"/>
      <c r="J773" s="1271"/>
      <c r="K773" s="29"/>
      <c r="L773" s="1011"/>
      <c r="M773" s="911"/>
      <c r="N773" s="1011"/>
      <c r="O773" s="1011"/>
      <c r="P773" s="1012"/>
      <c r="Q773" s="1012"/>
      <c r="R773" s="38"/>
      <c r="S773" s="1011"/>
      <c r="T773" s="38"/>
      <c r="U773" s="1012"/>
      <c r="V773" s="1012"/>
      <c r="W773" s="1011"/>
      <c r="X773" s="1011"/>
      <c r="Y773" s="1011"/>
      <c r="Z773" s="1011"/>
      <c r="AA773" s="38"/>
      <c r="AB773" s="1011"/>
      <c r="AC773" s="1012"/>
      <c r="AD773" s="1012"/>
      <c r="AE773" s="1011"/>
      <c r="AF773" s="1011"/>
      <c r="AG773" s="1011"/>
      <c r="AH773" s="43"/>
      <c r="AJ773" s="110"/>
      <c r="AK773" s="34"/>
      <c r="AL773" s="34"/>
      <c r="AM773" s="34"/>
      <c r="AN773" s="34"/>
      <c r="AO773" s="34"/>
      <c r="AP773" s="34"/>
      <c r="AQ773" s="34"/>
      <c r="AR773" s="34"/>
    </row>
    <row r="774" spans="3:44" s="27" customFormat="1">
      <c r="C774" s="911"/>
      <c r="D774" s="29"/>
      <c r="E774" s="1249"/>
      <c r="F774" s="911"/>
      <c r="G774" s="1011"/>
      <c r="H774" s="1012"/>
      <c r="I774" s="34"/>
      <c r="J774" s="1271"/>
      <c r="K774" s="29"/>
      <c r="L774" s="1011"/>
      <c r="M774" s="911"/>
      <c r="N774" s="1011"/>
      <c r="O774" s="1011"/>
      <c r="P774" s="1012"/>
      <c r="Q774" s="1012"/>
      <c r="R774" s="38"/>
      <c r="S774" s="1011"/>
      <c r="T774" s="38"/>
      <c r="U774" s="1012"/>
      <c r="V774" s="1012"/>
      <c r="W774" s="1011"/>
      <c r="X774" s="1011"/>
      <c r="Y774" s="1011"/>
      <c r="Z774" s="1011"/>
      <c r="AA774" s="38"/>
      <c r="AB774" s="1011"/>
      <c r="AC774" s="1012"/>
      <c r="AD774" s="1012"/>
      <c r="AE774" s="1011"/>
      <c r="AF774" s="1011"/>
      <c r="AG774" s="1011"/>
      <c r="AH774" s="43"/>
      <c r="AJ774" s="110"/>
      <c r="AK774" s="34"/>
      <c r="AL774" s="34"/>
      <c r="AM774" s="34"/>
      <c r="AN774" s="34"/>
      <c r="AO774" s="34"/>
      <c r="AP774" s="34"/>
      <c r="AQ774" s="34"/>
      <c r="AR774" s="34"/>
    </row>
    <row r="775" spans="3:44" s="27" customFormat="1">
      <c r="C775" s="911"/>
      <c r="D775" s="29"/>
      <c r="E775" s="1249"/>
      <c r="F775" s="911"/>
      <c r="G775" s="1011"/>
      <c r="H775" s="1012"/>
      <c r="I775" s="34"/>
      <c r="J775" s="1271"/>
      <c r="K775" s="29"/>
      <c r="L775" s="1011"/>
      <c r="M775" s="911"/>
      <c r="N775" s="1011"/>
      <c r="O775" s="1011"/>
      <c r="P775" s="1012"/>
      <c r="Q775" s="1012"/>
      <c r="R775" s="38"/>
      <c r="S775" s="1011"/>
      <c r="T775" s="38"/>
      <c r="U775" s="1012"/>
      <c r="V775" s="1012"/>
      <c r="W775" s="1011"/>
      <c r="X775" s="1011"/>
      <c r="Y775" s="1011"/>
      <c r="Z775" s="1011"/>
      <c r="AA775" s="38"/>
      <c r="AB775" s="1011"/>
      <c r="AC775" s="1012"/>
      <c r="AD775" s="1012"/>
      <c r="AE775" s="1011"/>
      <c r="AF775" s="1011"/>
      <c r="AG775" s="1011"/>
      <c r="AH775" s="43"/>
      <c r="AJ775" s="110"/>
      <c r="AK775" s="34"/>
      <c r="AL775" s="34"/>
      <c r="AM775" s="34"/>
      <c r="AN775" s="34"/>
      <c r="AO775" s="34"/>
      <c r="AP775" s="34"/>
      <c r="AQ775" s="34"/>
      <c r="AR775" s="34"/>
    </row>
    <row r="776" spans="3:44" s="27" customFormat="1">
      <c r="C776" s="911"/>
      <c r="D776" s="29"/>
      <c r="E776" s="1249"/>
      <c r="F776" s="911"/>
      <c r="G776" s="1011"/>
      <c r="H776" s="1012"/>
      <c r="I776" s="34"/>
      <c r="J776" s="1271"/>
      <c r="K776" s="29"/>
      <c r="L776" s="1011"/>
      <c r="M776" s="911"/>
      <c r="N776" s="1011"/>
      <c r="O776" s="1011"/>
      <c r="P776" s="1012"/>
      <c r="Q776" s="1012"/>
      <c r="R776" s="38"/>
      <c r="S776" s="1011"/>
      <c r="T776" s="38"/>
      <c r="U776" s="1012"/>
      <c r="V776" s="1012"/>
      <c r="W776" s="1011"/>
      <c r="X776" s="1011"/>
      <c r="Y776" s="1011"/>
      <c r="Z776" s="1011"/>
      <c r="AA776" s="38"/>
      <c r="AB776" s="1011"/>
      <c r="AC776" s="1012"/>
      <c r="AD776" s="1012"/>
      <c r="AE776" s="1011"/>
      <c r="AF776" s="1011"/>
      <c r="AG776" s="1011"/>
      <c r="AH776" s="43"/>
      <c r="AJ776" s="110"/>
      <c r="AK776" s="34"/>
      <c r="AL776" s="34"/>
      <c r="AM776" s="34"/>
      <c r="AN776" s="34"/>
      <c r="AO776" s="34"/>
      <c r="AP776" s="34"/>
      <c r="AQ776" s="34"/>
      <c r="AR776" s="34"/>
    </row>
    <row r="777" spans="3:44" s="27" customFormat="1">
      <c r="C777" s="911"/>
      <c r="D777" s="29"/>
      <c r="E777" s="1249"/>
      <c r="F777" s="911"/>
      <c r="G777" s="1011"/>
      <c r="H777" s="1012"/>
      <c r="I777" s="34"/>
      <c r="J777" s="1271"/>
      <c r="K777" s="29"/>
      <c r="L777" s="1011"/>
      <c r="M777" s="911"/>
      <c r="N777" s="1011"/>
      <c r="O777" s="1011"/>
      <c r="P777" s="1012"/>
      <c r="Q777" s="1012"/>
      <c r="R777" s="38"/>
      <c r="S777" s="1011"/>
      <c r="T777" s="38"/>
      <c r="U777" s="1012"/>
      <c r="V777" s="1012"/>
      <c r="W777" s="1011"/>
      <c r="X777" s="1011"/>
      <c r="Y777" s="1011"/>
      <c r="Z777" s="1011"/>
      <c r="AA777" s="38"/>
      <c r="AB777" s="1011"/>
      <c r="AC777" s="1012"/>
      <c r="AD777" s="1012"/>
      <c r="AE777" s="1011"/>
      <c r="AF777" s="1011"/>
      <c r="AG777" s="1011"/>
      <c r="AH777" s="43"/>
      <c r="AJ777" s="110"/>
      <c r="AK777" s="34"/>
      <c r="AL777" s="34"/>
      <c r="AM777" s="34"/>
      <c r="AN777" s="34"/>
      <c r="AO777" s="34"/>
      <c r="AP777" s="34"/>
      <c r="AQ777" s="34"/>
      <c r="AR777" s="34"/>
    </row>
    <row r="778" spans="3:44" s="27" customFormat="1">
      <c r="C778" s="911"/>
      <c r="D778" s="29"/>
      <c r="E778" s="1249"/>
      <c r="F778" s="911"/>
      <c r="G778" s="1011"/>
      <c r="H778" s="1012"/>
      <c r="I778" s="34"/>
      <c r="J778" s="1271"/>
      <c r="K778" s="29"/>
      <c r="L778" s="1011"/>
      <c r="M778" s="911"/>
      <c r="N778" s="1011"/>
      <c r="O778" s="1011"/>
      <c r="P778" s="1012"/>
      <c r="Q778" s="1012"/>
      <c r="R778" s="38"/>
      <c r="S778" s="1011"/>
      <c r="T778" s="38"/>
      <c r="U778" s="1012"/>
      <c r="V778" s="1012"/>
      <c r="W778" s="1011"/>
      <c r="X778" s="1011"/>
      <c r="Y778" s="1011"/>
      <c r="Z778" s="1011"/>
      <c r="AA778" s="38"/>
      <c r="AB778" s="1011"/>
      <c r="AC778" s="1012"/>
      <c r="AD778" s="1012"/>
      <c r="AE778" s="1011"/>
      <c r="AF778" s="1011"/>
      <c r="AG778" s="1011"/>
      <c r="AH778" s="43"/>
      <c r="AJ778" s="110"/>
      <c r="AK778" s="34"/>
      <c r="AL778" s="34"/>
      <c r="AM778" s="34"/>
      <c r="AN778" s="34"/>
      <c r="AO778" s="34"/>
      <c r="AP778" s="34"/>
      <c r="AQ778" s="34"/>
      <c r="AR778" s="34"/>
    </row>
    <row r="779" spans="3:44" s="27" customFormat="1">
      <c r="C779" s="911"/>
      <c r="D779" s="29"/>
      <c r="E779" s="1249"/>
      <c r="F779" s="911"/>
      <c r="G779" s="1011"/>
      <c r="H779" s="1012"/>
      <c r="I779" s="34"/>
      <c r="J779" s="1271"/>
      <c r="K779" s="29"/>
      <c r="L779" s="1011"/>
      <c r="M779" s="911"/>
      <c r="N779" s="1011"/>
      <c r="O779" s="1011"/>
      <c r="P779" s="1012"/>
      <c r="Q779" s="1012"/>
      <c r="R779" s="38"/>
      <c r="S779" s="1011"/>
      <c r="T779" s="38"/>
      <c r="U779" s="1012"/>
      <c r="V779" s="1012"/>
      <c r="W779" s="1011"/>
      <c r="X779" s="1011"/>
      <c r="Y779" s="1011"/>
      <c r="Z779" s="1011"/>
      <c r="AA779" s="38"/>
      <c r="AB779" s="1011"/>
      <c r="AC779" s="1012"/>
      <c r="AD779" s="1012"/>
      <c r="AE779" s="1011"/>
      <c r="AF779" s="1011"/>
      <c r="AG779" s="1011"/>
      <c r="AH779" s="43"/>
      <c r="AJ779" s="110"/>
      <c r="AK779" s="34"/>
      <c r="AL779" s="34"/>
      <c r="AM779" s="34"/>
      <c r="AN779" s="34"/>
      <c r="AO779" s="34"/>
      <c r="AP779" s="34"/>
      <c r="AQ779" s="34"/>
      <c r="AR779" s="34"/>
    </row>
    <row r="780" spans="3:44" s="27" customFormat="1">
      <c r="C780" s="911"/>
      <c r="D780" s="29"/>
      <c r="E780" s="1249"/>
      <c r="F780" s="911"/>
      <c r="G780" s="1011"/>
      <c r="H780" s="1012"/>
      <c r="I780" s="34"/>
      <c r="J780" s="1271"/>
      <c r="K780" s="29"/>
      <c r="L780" s="1011"/>
      <c r="M780" s="911"/>
      <c r="N780" s="1011"/>
      <c r="O780" s="1011"/>
      <c r="P780" s="1012"/>
      <c r="Q780" s="1012"/>
      <c r="R780" s="38"/>
      <c r="S780" s="1011"/>
      <c r="T780" s="38"/>
      <c r="U780" s="1012"/>
      <c r="V780" s="1012"/>
      <c r="W780" s="1011"/>
      <c r="X780" s="1011"/>
      <c r="Y780" s="1011"/>
      <c r="Z780" s="1011"/>
      <c r="AA780" s="38"/>
      <c r="AB780" s="1011"/>
      <c r="AC780" s="1012"/>
      <c r="AD780" s="1012"/>
      <c r="AE780" s="1011"/>
      <c r="AF780" s="1011"/>
      <c r="AG780" s="1011"/>
      <c r="AH780" s="43"/>
      <c r="AJ780" s="110"/>
      <c r="AK780" s="34"/>
      <c r="AL780" s="34"/>
      <c r="AM780" s="34"/>
      <c r="AN780" s="34"/>
      <c r="AO780" s="34"/>
      <c r="AP780" s="34"/>
      <c r="AQ780" s="34"/>
      <c r="AR780" s="34"/>
    </row>
  </sheetData>
  <autoFilter ref="C4:AF221"/>
  <sortState ref="C4:AG479">
    <sortCondition ref="C4"/>
  </sortState>
  <mergeCells count="31">
    <mergeCell ref="AH227:AI227"/>
    <mergeCell ref="AH163:AI163"/>
    <mergeCell ref="A1:AH1"/>
    <mergeCell ref="A2:AH2"/>
    <mergeCell ref="AH31:AI31"/>
    <mergeCell ref="AH42:AI42"/>
    <mergeCell ref="AH53:AI53"/>
    <mergeCell ref="AH108:AI108"/>
    <mergeCell ref="AH119:AI119"/>
    <mergeCell ref="C3:AG3"/>
    <mergeCell ref="AH130:AI130"/>
    <mergeCell ref="AH141:AI141"/>
    <mergeCell ref="AH86:AI86"/>
    <mergeCell ref="AH64:AI64"/>
    <mergeCell ref="AH20:AI20"/>
    <mergeCell ref="AH75:AI75"/>
    <mergeCell ref="AH218:AI218"/>
    <mergeCell ref="AH97:AI97"/>
    <mergeCell ref="AR3:AR4"/>
    <mergeCell ref="AJ3:AJ4"/>
    <mergeCell ref="AK3:AK4"/>
    <mergeCell ref="AL3:AL4"/>
    <mergeCell ref="AM3:AM4"/>
    <mergeCell ref="AN3:AN4"/>
    <mergeCell ref="AO3:AO4"/>
    <mergeCell ref="AQ3:AQ4"/>
    <mergeCell ref="AH174:AI174"/>
    <mergeCell ref="AH185:AI185"/>
    <mergeCell ref="AH196:AI196"/>
    <mergeCell ref="AH207:AI207"/>
    <mergeCell ref="AH152:AI152"/>
  </mergeCells>
  <printOptions horizontalCentered="1"/>
  <pageMargins left="0" right="0" top="0" bottom="0" header="0.31496062992126" footer="0.31496062992126"/>
  <pageSetup paperSize="9" scale="41" orientation="landscape" r:id="rId1"/>
  <rowBreaks count="4" manualBreakCount="4">
    <brk id="66" max="16383" man="1"/>
    <brk id="121" max="16383" man="1"/>
    <brk id="188" max="16383" man="1"/>
    <brk id="230" max="16383" man="1"/>
  </rowBreaks>
  <colBreaks count="1" manualBreakCount="1">
    <brk id="4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Q33"/>
  <sheetViews>
    <sheetView topLeftCell="A7" zoomScaleNormal="100" workbookViewId="0">
      <selection activeCell="L20" sqref="L20"/>
    </sheetView>
  </sheetViews>
  <sheetFormatPr defaultRowHeight="15"/>
  <cols>
    <col min="1" max="1" width="4.5703125" customWidth="1"/>
    <col min="2" max="2" width="7.28515625" customWidth="1"/>
    <col min="3" max="3" width="20.7109375" customWidth="1"/>
    <col min="5" max="8" width="5.28515625" customWidth="1"/>
    <col min="9" max="9" width="4.85546875" customWidth="1"/>
    <col min="10" max="10" width="9.28515625" customWidth="1"/>
    <col min="11" max="12" width="6.5703125" customWidth="1"/>
    <col min="13" max="15" width="13" customWidth="1"/>
    <col min="16" max="16" width="11.42578125" customWidth="1"/>
  </cols>
  <sheetData>
    <row r="3" spans="2:17">
      <c r="B3" s="1311" t="s">
        <v>186</v>
      </c>
      <c r="C3" s="1311"/>
      <c r="D3" s="1311"/>
      <c r="E3" s="1311"/>
      <c r="F3" s="1311"/>
      <c r="G3" s="1311"/>
      <c r="H3" s="1311"/>
      <c r="I3" s="1311"/>
      <c r="J3" s="1311"/>
      <c r="K3" s="1311"/>
      <c r="L3" s="1311"/>
      <c r="M3" s="1311"/>
      <c r="N3" s="1311"/>
      <c r="O3" s="1311"/>
      <c r="P3" s="1311"/>
    </row>
    <row r="4" spans="2:17">
      <c r="B4" s="1311" t="s">
        <v>67</v>
      </c>
      <c r="C4" s="1311"/>
      <c r="D4" s="1311"/>
      <c r="E4" s="1311"/>
      <c r="F4" s="1311"/>
      <c r="G4" s="1311"/>
      <c r="H4" s="1311"/>
      <c r="I4" s="1311"/>
      <c r="J4" s="1311"/>
      <c r="K4" s="1311"/>
      <c r="L4" s="1311"/>
      <c r="M4" s="1311"/>
      <c r="N4" s="1311"/>
      <c r="O4" s="1311"/>
      <c r="P4" s="1311"/>
    </row>
    <row r="6" spans="2:17" ht="19.5" customHeight="1">
      <c r="B6" s="1294" t="s">
        <v>40</v>
      </c>
      <c r="C6" s="1294" t="s">
        <v>81</v>
      </c>
      <c r="D6" s="1294" t="s">
        <v>26</v>
      </c>
      <c r="E6" s="1294"/>
      <c r="F6" s="1294"/>
      <c r="G6" s="1294"/>
      <c r="H6" s="1294"/>
      <c r="I6" s="342"/>
      <c r="J6" s="1294" t="s">
        <v>35</v>
      </c>
      <c r="K6" s="1294" t="s">
        <v>19</v>
      </c>
      <c r="L6" s="1294" t="s">
        <v>15</v>
      </c>
      <c r="M6" s="1295" t="s">
        <v>97</v>
      </c>
      <c r="N6" s="1294" t="s">
        <v>23</v>
      </c>
      <c r="O6" s="1294"/>
      <c r="P6" s="1294" t="s">
        <v>144</v>
      </c>
      <c r="Q6" s="1310"/>
    </row>
    <row r="7" spans="2:17" ht="20.25" customHeight="1">
      <c r="B7" s="1294"/>
      <c r="C7" s="1294"/>
      <c r="D7" s="342" t="s">
        <v>26</v>
      </c>
      <c r="E7" s="342" t="s">
        <v>18</v>
      </c>
      <c r="F7" s="342" t="s">
        <v>17</v>
      </c>
      <c r="G7" s="342" t="s">
        <v>24</v>
      </c>
      <c r="H7" s="342" t="s">
        <v>25</v>
      </c>
      <c r="I7" s="342" t="s">
        <v>20</v>
      </c>
      <c r="J7" s="1294"/>
      <c r="K7" s="1294"/>
      <c r="L7" s="1294"/>
      <c r="M7" s="1312"/>
      <c r="N7" s="342" t="s">
        <v>88</v>
      </c>
      <c r="O7" s="342" t="s">
        <v>187</v>
      </c>
      <c r="P7" s="1294"/>
      <c r="Q7" s="1310"/>
    </row>
    <row r="8" spans="2:17" ht="24" customHeight="1">
      <c r="B8" s="4">
        <v>1</v>
      </c>
      <c r="C8" s="4" t="str">
        <f>'CKROL PHT'!B5</f>
        <v>DICKY PRATAMA</v>
      </c>
      <c r="D8" s="343">
        <f>'CKROL PHT'!AH5</f>
        <v>12</v>
      </c>
      <c r="E8" s="343">
        <f>'CKROL PHT'!AK5</f>
        <v>0</v>
      </c>
      <c r="F8" s="343">
        <f>'CKROL PHT'!AL5</f>
        <v>13</v>
      </c>
      <c r="G8" s="343">
        <v>4</v>
      </c>
      <c r="H8" s="343">
        <v>2</v>
      </c>
      <c r="I8" s="343">
        <f>'CKROL PHT'!AO5</f>
        <v>0</v>
      </c>
      <c r="J8" s="343">
        <f>'CKROL PHT'!AP5</f>
        <v>31</v>
      </c>
      <c r="K8" s="343">
        <f>'CKROL PHT'!AQ5</f>
        <v>0</v>
      </c>
      <c r="L8" s="343">
        <f>'CKROL PHT'!AR5</f>
        <v>0</v>
      </c>
      <c r="M8" s="343">
        <f>'CKROL PHT'!AJ8</f>
        <v>0</v>
      </c>
      <c r="N8" s="3"/>
      <c r="O8" s="3"/>
      <c r="P8" s="3"/>
    </row>
    <row r="9" spans="2:17" ht="24" customHeight="1">
      <c r="B9" s="587">
        <v>2</v>
      </c>
      <c r="C9" s="587" t="str">
        <f>'CKROL PHT'!B9</f>
        <v>RIDHO APRIZAL</v>
      </c>
      <c r="D9" s="653">
        <f>'CKROL PHT'!AH9</f>
        <v>19</v>
      </c>
      <c r="E9" s="587">
        <f>'CKROL PHT'!AK9</f>
        <v>6</v>
      </c>
      <c r="F9" s="587">
        <f>'CKROL PHT'!AL9</f>
        <v>0</v>
      </c>
      <c r="G9" s="587">
        <v>4</v>
      </c>
      <c r="H9" s="343">
        <v>2</v>
      </c>
      <c r="I9" s="587">
        <f>'CKROL PHT'!AO9</f>
        <v>0</v>
      </c>
      <c r="J9" s="653">
        <f>'CKROL PHT'!AP9</f>
        <v>31</v>
      </c>
      <c r="K9" s="653">
        <f>'CKROL PHT'!AQ9</f>
        <v>0</v>
      </c>
      <c r="L9" s="587">
        <f>'CKROL PHT'!AR9</f>
        <v>0</v>
      </c>
      <c r="M9" s="653">
        <f>'CKROL PHT'!AJ12</f>
        <v>0</v>
      </c>
      <c r="N9" s="629"/>
      <c r="O9" s="629"/>
      <c r="P9" s="629"/>
    </row>
    <row r="10" spans="2:17" ht="24" customHeight="1">
      <c r="B10" s="4">
        <v>3</v>
      </c>
      <c r="C10" s="4" t="str">
        <f>'CKROL PHT'!B13</f>
        <v>SUIP</v>
      </c>
      <c r="D10" s="343">
        <f>'CKROL PHT'!AH13</f>
        <v>24</v>
      </c>
      <c r="E10" s="4">
        <f>'CKROL PHT'!AK13</f>
        <v>1</v>
      </c>
      <c r="F10" s="4">
        <f>'CKROL PHT'!AL13</f>
        <v>0</v>
      </c>
      <c r="G10" s="587">
        <v>4</v>
      </c>
      <c r="H10" s="343">
        <v>2</v>
      </c>
      <c r="I10" s="4">
        <f>'CKROL PHT'!AO13</f>
        <v>0</v>
      </c>
      <c r="J10" s="4">
        <f>'CKROL PHT'!AP13</f>
        <v>31</v>
      </c>
      <c r="K10" s="4">
        <f>'CKROL PHT'!AQ13</f>
        <v>0</v>
      </c>
      <c r="L10" s="4">
        <f>'CKROL PHT'!AR13</f>
        <v>0</v>
      </c>
      <c r="M10" s="4"/>
      <c r="N10" s="916">
        <f>'CKROL PHT'!AJ20</f>
        <v>148064</v>
      </c>
      <c r="O10" s="56">
        <f>'CKROL PHT'!AJ21</f>
        <v>355250</v>
      </c>
      <c r="P10" s="343">
        <f>'CKROL PHT'!AH22</f>
        <v>-100127.77777777778</v>
      </c>
    </row>
    <row r="11" spans="2:17" ht="24" customHeight="1">
      <c r="B11" s="587">
        <v>4</v>
      </c>
      <c r="C11" s="4" t="str">
        <f>'CKROL PHT'!B24</f>
        <v>ROBIN DINATA</v>
      </c>
      <c r="D11" s="343">
        <f>'CKROL PHT'!AH24</f>
        <v>25</v>
      </c>
      <c r="E11" s="4">
        <f>'CKROL PHT'!AK24</f>
        <v>0</v>
      </c>
      <c r="F11" s="4">
        <f>'CKROL PHT'!AL24</f>
        <v>0</v>
      </c>
      <c r="G11" s="587">
        <v>4</v>
      </c>
      <c r="H11" s="343">
        <v>2</v>
      </c>
      <c r="I11" s="4">
        <f>'CKROL PHT'!AO24</f>
        <v>0</v>
      </c>
      <c r="J11" s="4">
        <f>'CKROL PHT'!AP24</f>
        <v>31</v>
      </c>
      <c r="K11" s="4">
        <f>'CKROL PHT'!AQ24</f>
        <v>0</v>
      </c>
      <c r="L11" s="4">
        <f>'CKROL PHT'!AR24</f>
        <v>0</v>
      </c>
      <c r="M11" s="4"/>
      <c r="N11" s="56">
        <f>'CKROL PHT'!AJ31</f>
        <v>139107</v>
      </c>
      <c r="O11" s="56">
        <f>'CKROL PHT'!AJ32</f>
        <v>381500</v>
      </c>
      <c r="P11" s="343">
        <f>'CKROL PHT'!AH33</f>
        <v>-59777.777777777781</v>
      </c>
    </row>
    <row r="12" spans="2:17" ht="24" customHeight="1">
      <c r="B12" s="4">
        <v>5</v>
      </c>
      <c r="C12" s="4" t="str">
        <f>'CKROL PHT'!B35</f>
        <v>SAPARUDIN</v>
      </c>
      <c r="D12" s="343">
        <f>'CKROL PHT'!AH35</f>
        <v>22</v>
      </c>
      <c r="E12" s="4">
        <f>'CKROL PHT'!AK35</f>
        <v>3</v>
      </c>
      <c r="F12" s="4">
        <f>'CKROL PHT'!AL35</f>
        <v>0</v>
      </c>
      <c r="G12" s="587">
        <v>4</v>
      </c>
      <c r="H12" s="343">
        <v>2</v>
      </c>
      <c r="I12" s="4">
        <f>'CKROL PHT'!AO35</f>
        <v>0</v>
      </c>
      <c r="J12" s="4">
        <f>'CKROL PHT'!AP35</f>
        <v>31</v>
      </c>
      <c r="K12" s="4">
        <f>'CKROL PHT'!AQ35</f>
        <v>0</v>
      </c>
      <c r="L12" s="4">
        <f>'CKROL PHT'!AR35</f>
        <v>0</v>
      </c>
      <c r="M12" s="4"/>
      <c r="N12" s="56">
        <f>'CKROL PHT'!AJ42</f>
        <v>201485</v>
      </c>
      <c r="O12" s="56">
        <f>'CKROL PHT'!AJ43</f>
        <v>490000</v>
      </c>
      <c r="P12" s="343">
        <f>'CKROL PHT'!AH44</f>
        <v>-46327.777777777781</v>
      </c>
    </row>
    <row r="13" spans="2:17" ht="24" customHeight="1">
      <c r="B13" s="587">
        <v>6</v>
      </c>
      <c r="C13" s="4" t="str">
        <f>'CKROL PHT'!B46</f>
        <v>SONJA PRIYOGA</v>
      </c>
      <c r="D13" s="343">
        <f>'CKROL PHT'!AH46</f>
        <v>25</v>
      </c>
      <c r="E13" s="4">
        <f>'CKROL PHT'!AK46</f>
        <v>0</v>
      </c>
      <c r="F13" s="4">
        <f>'CKROL PHT'!AL46</f>
        <v>0</v>
      </c>
      <c r="G13" s="587">
        <v>4</v>
      </c>
      <c r="H13" s="343">
        <v>2</v>
      </c>
      <c r="I13" s="4">
        <f>'CKROL PHT'!AO46</f>
        <v>0</v>
      </c>
      <c r="J13" s="4">
        <f>'CKROL PHT'!AP46</f>
        <v>31</v>
      </c>
      <c r="K13" s="4">
        <f>'CKROL PHT'!AQ46</f>
        <v>0</v>
      </c>
      <c r="L13" s="4">
        <f>'CKROL PHT'!AR46</f>
        <v>0</v>
      </c>
      <c r="M13" s="4"/>
      <c r="N13" s="56">
        <f>'CKROL PHT'!AJ53</f>
        <v>170538</v>
      </c>
      <c r="O13" s="56">
        <f>'CKROL PHT'!AJ54</f>
        <v>444500</v>
      </c>
      <c r="P13" s="343">
        <f>'CKROL PHT'!AH55</f>
        <v>-44833.333333333343</v>
      </c>
    </row>
    <row r="14" spans="2:17" ht="24" customHeight="1">
      <c r="B14" s="4">
        <v>7</v>
      </c>
      <c r="C14" s="4" t="str">
        <f>'CKROL PHT'!B57</f>
        <v>AHAP</v>
      </c>
      <c r="D14" s="343">
        <f>'CKROL PHT'!AH57</f>
        <v>23</v>
      </c>
      <c r="E14" s="4">
        <f>'CKROL PHT'!AK57</f>
        <v>2</v>
      </c>
      <c r="F14" s="4">
        <f>'CKROL PHT'!AL57</f>
        <v>0</v>
      </c>
      <c r="G14" s="587">
        <v>4</v>
      </c>
      <c r="H14" s="343">
        <v>2</v>
      </c>
      <c r="I14" s="4">
        <f>'CKROL PHT'!AO57</f>
        <v>0</v>
      </c>
      <c r="J14" s="4">
        <f>'CKROL PHT'!AP57</f>
        <v>31</v>
      </c>
      <c r="K14" s="4">
        <f>'CKROL PHT'!AQ57</f>
        <v>0</v>
      </c>
      <c r="L14" s="4">
        <f>'CKROL PHT'!AR57</f>
        <v>0</v>
      </c>
      <c r="M14" s="4"/>
      <c r="N14" s="56">
        <f>'CKROL PHT'!AJ64</f>
        <v>271292</v>
      </c>
      <c r="O14" s="56">
        <f>'CKROL PHT'!AJ65</f>
        <v>554750</v>
      </c>
      <c r="P14" s="343">
        <f>'CKROL PHT'!AH66</f>
        <v>0</v>
      </c>
    </row>
    <row r="15" spans="2:17" ht="24" customHeight="1">
      <c r="B15" s="587">
        <v>8</v>
      </c>
      <c r="C15" s="4" t="str">
        <f>'CKROL PHT'!B68</f>
        <v>IHSAN</v>
      </c>
      <c r="D15" s="343">
        <f>'CKROL PHT'!AH68</f>
        <v>24</v>
      </c>
      <c r="E15" s="4">
        <f>'CKROL PHT'!AK68</f>
        <v>1</v>
      </c>
      <c r="F15" s="4">
        <f>'CKROL PHT'!AL68</f>
        <v>0</v>
      </c>
      <c r="G15" s="587">
        <v>4</v>
      </c>
      <c r="H15" s="343">
        <v>2</v>
      </c>
      <c r="I15" s="4">
        <f>'CKROL PHT'!AO68</f>
        <v>0</v>
      </c>
      <c r="J15" s="4">
        <f>'CKROL PHT'!AP68</f>
        <v>31</v>
      </c>
      <c r="K15" s="4">
        <f>'CKROL PHT'!AQ68</f>
        <v>0</v>
      </c>
      <c r="L15" s="4">
        <f>'CKROL PHT'!AR68</f>
        <v>0</v>
      </c>
      <c r="M15" s="4"/>
      <c r="N15" s="56">
        <f>'CKROL PHT'!AJ75</f>
        <v>275360</v>
      </c>
      <c r="O15" s="56">
        <f>'CKROL PHT'!AJ76</f>
        <v>393750</v>
      </c>
      <c r="P15" s="343">
        <f>'CKROL PHT'!AH77</f>
        <v>-113577.77777777778</v>
      </c>
    </row>
    <row r="16" spans="2:17" ht="24" customHeight="1">
      <c r="B16" s="4">
        <v>9</v>
      </c>
      <c r="C16" s="4" t="str">
        <f>'CKROL PHT'!B79</f>
        <v>QISTAHAM</v>
      </c>
      <c r="D16" s="343">
        <f>'CKROL PHT'!AH79</f>
        <v>25</v>
      </c>
      <c r="E16" s="4">
        <f>'CKROL PHT'!AK79</f>
        <v>0</v>
      </c>
      <c r="F16" s="4">
        <f>'CKROL PHT'!AL79</f>
        <v>0</v>
      </c>
      <c r="G16" s="587">
        <v>4</v>
      </c>
      <c r="H16" s="343">
        <v>2</v>
      </c>
      <c r="I16" s="4">
        <f>'CKROL PHT'!AO79</f>
        <v>0</v>
      </c>
      <c r="J16" s="4">
        <f>'CKROL PHT'!AP79</f>
        <v>31</v>
      </c>
      <c r="K16" s="4">
        <f>'CKROL PHT'!AQ79</f>
        <v>0</v>
      </c>
      <c r="L16" s="4">
        <f>'CKROL PHT'!AR79</f>
        <v>0</v>
      </c>
      <c r="M16" s="345">
        <f>'CKROL PHT'!AJ265</f>
        <v>209913.30000000002</v>
      </c>
      <c r="N16" s="56">
        <f>'CKROL PHT'!AJ86</f>
        <v>810804</v>
      </c>
      <c r="O16" s="56">
        <f>'CKROL PHT'!AJ87</f>
        <v>588000</v>
      </c>
      <c r="P16" s="343">
        <f>'CKROL PHT'!AH88</f>
        <v>0</v>
      </c>
    </row>
    <row r="17" spans="2:16" ht="24" customHeight="1">
      <c r="B17" s="587">
        <v>10</v>
      </c>
      <c r="C17" s="4" t="str">
        <f>'CKROL PHT'!B90</f>
        <v>JAYADI</v>
      </c>
      <c r="D17" s="343">
        <f>'CKROL PHT'!AH90</f>
        <v>24</v>
      </c>
      <c r="E17" s="4">
        <f>'CKROL PHT'!AK90</f>
        <v>1</v>
      </c>
      <c r="F17" s="4">
        <f>'CKROL PHT'!AL90</f>
        <v>0</v>
      </c>
      <c r="G17" s="587">
        <v>4</v>
      </c>
      <c r="H17" s="343">
        <v>2</v>
      </c>
      <c r="I17" s="4">
        <f>'CKROL PHT'!AO90</f>
        <v>0</v>
      </c>
      <c r="J17" s="4">
        <f>'CKROL PHT'!AP90</f>
        <v>31</v>
      </c>
      <c r="K17" s="4">
        <f>'CKROL PHT'!AQ90</f>
        <v>0</v>
      </c>
      <c r="L17" s="4">
        <f>'CKROL PHT'!AR90</f>
        <v>0</v>
      </c>
      <c r="M17" s="345"/>
      <c r="N17" s="56">
        <f>'CKROL PHT'!AJ97</f>
        <v>484688</v>
      </c>
      <c r="O17" s="56">
        <f>'CKROL PHT'!AJ98</f>
        <v>514500</v>
      </c>
      <c r="P17" s="343">
        <f>'CKROL PHT'!AH99</f>
        <v>0</v>
      </c>
    </row>
    <row r="18" spans="2:16" ht="24" customHeight="1">
      <c r="B18" s="4">
        <v>11</v>
      </c>
      <c r="C18" s="4" t="str">
        <f>'CKROL PHT'!B101</f>
        <v>M.AMIN</v>
      </c>
      <c r="D18" s="343">
        <f>'CKROL PHT'!AH101</f>
        <v>23</v>
      </c>
      <c r="E18" s="4">
        <f>'CKROL PHT'!AK101</f>
        <v>2</v>
      </c>
      <c r="F18" s="4">
        <f>'CKROL PHT'!AL101</f>
        <v>0</v>
      </c>
      <c r="G18" s="587">
        <v>4</v>
      </c>
      <c r="H18" s="343">
        <v>2</v>
      </c>
      <c r="I18" s="4">
        <f>'CKROL PHT'!AO101</f>
        <v>0</v>
      </c>
      <c r="J18" s="4">
        <f>'CKROL PHT'!AP101</f>
        <v>31</v>
      </c>
      <c r="K18" s="4">
        <f>'CKROL PHT'!AQ101</f>
        <v>0</v>
      </c>
      <c r="L18" s="4">
        <f>'CKROL PHT'!AR101</f>
        <v>0</v>
      </c>
      <c r="M18" s="4"/>
      <c r="N18" s="56">
        <f>'CKROL PHT'!AJ108</f>
        <v>146742</v>
      </c>
      <c r="O18" s="56">
        <f>'CKROL PHT'!AJ109</f>
        <v>292250</v>
      </c>
      <c r="P18" s="343">
        <f>'CKROL PHT'!AH110</f>
        <v>-107077.66990291262</v>
      </c>
    </row>
    <row r="19" spans="2:16" ht="24" customHeight="1">
      <c r="B19" s="587">
        <v>12</v>
      </c>
      <c r="C19" s="4" t="str">
        <f>'CKROL PHT'!B112</f>
        <v>SAMSUL HADI</v>
      </c>
      <c r="D19" s="343">
        <f>'CKROL PHT'!AH112</f>
        <v>24</v>
      </c>
      <c r="E19" s="4">
        <f>'CKROL PHT'!AK112</f>
        <v>1</v>
      </c>
      <c r="F19" s="4">
        <f>'CKROL PHT'!AL112</f>
        <v>0</v>
      </c>
      <c r="G19" s="587">
        <v>4</v>
      </c>
      <c r="H19" s="343">
        <v>2</v>
      </c>
      <c r="I19" s="4">
        <f>'CKROL PHT'!AO112</f>
        <v>0</v>
      </c>
      <c r="J19" s="4">
        <f>'CKROL PHT'!AP112</f>
        <v>31</v>
      </c>
      <c r="K19" s="4">
        <f>'CKROL PHT'!AQ112</f>
        <v>0</v>
      </c>
      <c r="L19" s="4">
        <f>'CKROL PHT'!AR112</f>
        <v>0</v>
      </c>
      <c r="M19" s="574">
        <f>'CKROL PHT'!AJ268</f>
        <v>338193.65</v>
      </c>
      <c r="N19" s="56">
        <f>'CKROL PHT'!AJ119</f>
        <v>415057</v>
      </c>
      <c r="O19" s="56">
        <f>'CKROL PHT'!AJ120</f>
        <v>493500</v>
      </c>
      <c r="P19" s="343">
        <f>'CKROL PHT'!AH121</f>
        <v>0</v>
      </c>
    </row>
    <row r="20" spans="2:16" ht="24" customHeight="1">
      <c r="B20" s="4">
        <v>13</v>
      </c>
      <c r="C20" s="4" t="str">
        <f>'CKROL PHT'!B123</f>
        <v>SAPARUDIN</v>
      </c>
      <c r="D20" s="343">
        <f>'CKROL PHT'!AH123</f>
        <v>25</v>
      </c>
      <c r="E20" s="4">
        <f>'CKROL PHT'!AK123</f>
        <v>0</v>
      </c>
      <c r="F20" s="4">
        <f>'CKROL PHT'!AL123</f>
        <v>0</v>
      </c>
      <c r="G20" s="587">
        <v>4</v>
      </c>
      <c r="H20" s="343">
        <v>2</v>
      </c>
      <c r="I20" s="4">
        <f>'CKROL PHT'!AO123</f>
        <v>0</v>
      </c>
      <c r="J20" s="4">
        <f>'CKROL PHT'!AP123</f>
        <v>31</v>
      </c>
      <c r="K20" s="4">
        <f>'CKROL PHT'!AQ123</f>
        <v>0</v>
      </c>
      <c r="L20" s="4">
        <f>'CKROL PHT'!AR123</f>
        <v>0</v>
      </c>
      <c r="M20" s="574"/>
      <c r="N20" s="56">
        <f>'CKROL PHT'!AJ130</f>
        <v>327856</v>
      </c>
      <c r="O20" s="56">
        <f>'CKROL PHT'!AJ131</f>
        <v>518000</v>
      </c>
      <c r="P20" s="343">
        <f>'CKROL PHT'!AH132</f>
        <v>0</v>
      </c>
    </row>
    <row r="21" spans="2:16" ht="24" customHeight="1">
      <c r="B21" s="587">
        <v>14</v>
      </c>
      <c r="C21" s="4" t="str">
        <f>'CKROL PHT'!B134</f>
        <v>FAHRUDIN</v>
      </c>
      <c r="D21" s="343">
        <f>'CKROL PHT'!AH134</f>
        <v>23</v>
      </c>
      <c r="E21" s="4">
        <f>'CKROL PHT'!AK134</f>
        <v>2</v>
      </c>
      <c r="F21" s="4">
        <f>'CKROL PHT'!AL134</f>
        <v>0</v>
      </c>
      <c r="G21" s="587">
        <v>4</v>
      </c>
      <c r="H21" s="343">
        <v>2</v>
      </c>
      <c r="I21" s="4">
        <f>'CKROL PHT'!AO134</f>
        <v>0</v>
      </c>
      <c r="J21" s="4">
        <f>'CKROL PHT'!AP134</f>
        <v>31</v>
      </c>
      <c r="K21" s="4">
        <f>'CKROL PHT'!AQ134</f>
        <v>0</v>
      </c>
      <c r="L21" s="4">
        <f>'CKROL PHT'!AR134</f>
        <v>0</v>
      </c>
      <c r="M21" s="345"/>
      <c r="N21" s="56">
        <f>'CKROL PHT'!AJ141</f>
        <v>1595654</v>
      </c>
      <c r="O21" s="56">
        <f>'CKROL PHT'!AJ142</f>
        <v>651000</v>
      </c>
      <c r="P21" s="343">
        <f>'CKROL PHT'!AH143</f>
        <v>0</v>
      </c>
    </row>
    <row r="22" spans="2:16" ht="24" customHeight="1">
      <c r="B22" s="4">
        <v>15</v>
      </c>
      <c r="C22" s="4" t="str">
        <f>'CKROL PHT'!B145</f>
        <v>HERIANTO ARBI</v>
      </c>
      <c r="D22" s="343">
        <f>'CKROL PHT'!AH145</f>
        <v>24</v>
      </c>
      <c r="E22" s="4">
        <f>'CKROL PHT'!AK145</f>
        <v>1</v>
      </c>
      <c r="F22" s="4">
        <f>'CKROL PHT'!AL145</f>
        <v>0</v>
      </c>
      <c r="G22" s="587">
        <v>4</v>
      </c>
      <c r="H22" s="343">
        <v>2</v>
      </c>
      <c r="I22" s="4">
        <f>'CKROL PHT'!AO145</f>
        <v>0</v>
      </c>
      <c r="J22" s="4">
        <f>'CKROL PHT'!AP145</f>
        <v>31</v>
      </c>
      <c r="K22" s="4">
        <f>'CKROL PHT'!AQ145</f>
        <v>0</v>
      </c>
      <c r="L22" s="4">
        <f>'CKROL PHT'!AR145</f>
        <v>0</v>
      </c>
      <c r="M22" s="4"/>
      <c r="N22" s="56">
        <f>'CKROL PHT'!AJ152</f>
        <v>183170</v>
      </c>
      <c r="O22" s="56">
        <f>'CKROL PHT'!AJ153</f>
        <v>446250</v>
      </c>
      <c r="P22" s="343">
        <f>'CKROL PHT'!AH154</f>
        <v>-121441.74757281554</v>
      </c>
    </row>
    <row r="23" spans="2:16" ht="24" customHeight="1">
      <c r="B23" s="587">
        <v>16</v>
      </c>
      <c r="C23" s="4" t="str">
        <f>'CKROL PHT'!B156</f>
        <v>RIDUAN</v>
      </c>
      <c r="D23" s="343">
        <f>'CKROL PHT'!AH156</f>
        <v>25</v>
      </c>
      <c r="E23" s="4">
        <f>'CKROL PHT'!AK156</f>
        <v>0</v>
      </c>
      <c r="F23" s="4">
        <f>'CKROL PHT'!AL156</f>
        <v>0</v>
      </c>
      <c r="G23" s="587">
        <v>4</v>
      </c>
      <c r="H23" s="343">
        <v>2</v>
      </c>
      <c r="I23" s="4">
        <f>'CKROL PHT'!AO156</f>
        <v>0</v>
      </c>
      <c r="J23" s="4">
        <f>'CKROL PHT'!AP156</f>
        <v>31</v>
      </c>
      <c r="K23" s="4">
        <f>'CKROL PHT'!AQ156</f>
        <v>0</v>
      </c>
      <c r="L23" s="4">
        <f>'CKROL PHT'!AR156</f>
        <v>0</v>
      </c>
      <c r="M23" s="345"/>
      <c r="N23" s="56">
        <f>'CKROL PHT'!AJ163</f>
        <v>119538</v>
      </c>
      <c r="O23" s="56">
        <f>'CKROL PHT'!AJ164</f>
        <v>344750</v>
      </c>
      <c r="P23" s="343">
        <f>'CKROL PHT'!AH165</f>
        <v>-103116.66666666667</v>
      </c>
    </row>
    <row r="24" spans="2:16" ht="24" customHeight="1">
      <c r="B24" s="4">
        <v>17</v>
      </c>
      <c r="C24" s="874" t="str">
        <f>'CKROL PHT'!B167</f>
        <v>DEKI FRANZA</v>
      </c>
      <c r="D24" s="786">
        <f>'CKROL PHT'!AH167</f>
        <v>16</v>
      </c>
      <c r="E24" s="875">
        <f>'CKROL PHT'!AK167</f>
        <v>2</v>
      </c>
      <c r="F24" s="875">
        <f>'CKROL PHT'!AL167</f>
        <v>1</v>
      </c>
      <c r="G24" s="587">
        <v>4</v>
      </c>
      <c r="H24" s="343">
        <v>2</v>
      </c>
      <c r="I24" s="875">
        <f>'CKROL PHT'!AO167</f>
        <v>0</v>
      </c>
      <c r="J24" s="786">
        <f>'CKROL PHT'!AP167</f>
        <v>25</v>
      </c>
      <c r="K24" s="875">
        <f>'CKROL PHT'!AQ167</f>
        <v>1</v>
      </c>
      <c r="L24" s="875">
        <f>'CKROL PHT'!AR167</f>
        <v>5</v>
      </c>
      <c r="M24" s="876"/>
      <c r="N24" s="877">
        <f>'CKROL PHT'!AJ174</f>
        <v>0</v>
      </c>
      <c r="O24" s="877">
        <f>'CKROL PHT'!AJ175</f>
        <v>175000</v>
      </c>
      <c r="P24" s="786">
        <f>'CKROL PHT'!AH176</f>
        <v>-347480.09708737861</v>
      </c>
    </row>
    <row r="25" spans="2:16" ht="24" customHeight="1">
      <c r="B25" s="587">
        <v>18</v>
      </c>
      <c r="C25" s="874" t="str">
        <f>'CKROL PHT'!B178</f>
        <v>FRANSISKO GAUTAMA</v>
      </c>
      <c r="D25" s="786">
        <f>'CKROL PHT'!AH178</f>
        <v>22</v>
      </c>
      <c r="E25" s="875">
        <f>'CKROL PHT'!AK178</f>
        <v>1</v>
      </c>
      <c r="F25" s="875">
        <f>'CKROL PHT'!AL178</f>
        <v>1</v>
      </c>
      <c r="G25" s="587">
        <v>4</v>
      </c>
      <c r="H25" s="343">
        <v>2</v>
      </c>
      <c r="I25" s="875">
        <f>'CKROL PHT'!AO178</f>
        <v>0</v>
      </c>
      <c r="J25" s="786">
        <f>'CKROL PHT'!AP178</f>
        <v>30</v>
      </c>
      <c r="K25" s="875">
        <f>'CKROL PHT'!AQ178</f>
        <v>0</v>
      </c>
      <c r="L25" s="875">
        <f>'CKROL PHT'!AR178</f>
        <v>1</v>
      </c>
      <c r="M25" s="876"/>
      <c r="N25" s="877">
        <f>'CKROL PHT'!AJ185</f>
        <v>162712</v>
      </c>
      <c r="O25" s="877">
        <f>'CKROL PHT'!AJ186</f>
        <v>313250</v>
      </c>
      <c r="P25" s="786">
        <f>'CKROL PHT'!AH187</f>
        <v>-101622.22222222222</v>
      </c>
    </row>
    <row r="26" spans="2:16" ht="24" customHeight="1">
      <c r="B26" s="4">
        <v>19</v>
      </c>
      <c r="C26" s="874" t="str">
        <f>'CKROL PHT'!B189</f>
        <v>M.IDRIS PRATAMA</v>
      </c>
      <c r="D26" s="786">
        <f>'CKROL PHT'!AH189</f>
        <v>21</v>
      </c>
      <c r="E26" s="875">
        <f>'CKROL PHT'!AK189</f>
        <v>2</v>
      </c>
      <c r="F26" s="875">
        <f>'CKROL PHT'!AL189</f>
        <v>0</v>
      </c>
      <c r="G26" s="587">
        <v>4</v>
      </c>
      <c r="H26" s="343">
        <v>2</v>
      </c>
      <c r="I26" s="875">
        <f>'CKROL PHT'!AO189</f>
        <v>0</v>
      </c>
      <c r="J26" s="786">
        <f>'CKROL PHT'!AP189</f>
        <v>29</v>
      </c>
      <c r="K26" s="875">
        <f>'CKROL PHT'!AQ189</f>
        <v>0</v>
      </c>
      <c r="L26" s="875">
        <f>'CKROL PHT'!AR189</f>
        <v>2</v>
      </c>
      <c r="M26" s="876"/>
      <c r="N26" s="877">
        <f>'CKROL PHT'!AJ196</f>
        <v>136028</v>
      </c>
      <c r="O26" s="877">
        <f>'CKROL PHT'!AJ197</f>
        <v>337750</v>
      </c>
      <c r="P26" s="786">
        <f>'CKROL PHT'!AH198</f>
        <v>-393038.88888888888</v>
      </c>
    </row>
    <row r="27" spans="2:16" ht="24" customHeight="1">
      <c r="B27" s="587">
        <v>20</v>
      </c>
      <c r="C27" s="874" t="str">
        <f>'CKROL PHT'!B200</f>
        <v>SUTRA PRAYOGI</v>
      </c>
      <c r="D27" s="786">
        <f>'CKROL PHT'!AH200</f>
        <v>25</v>
      </c>
      <c r="E27" s="875">
        <f>'CKROL PHT'!AK200</f>
        <v>0</v>
      </c>
      <c r="F27" s="875">
        <f>'CKROL PHT'!AL200</f>
        <v>0</v>
      </c>
      <c r="G27" s="587">
        <v>4</v>
      </c>
      <c r="H27" s="343">
        <v>2</v>
      </c>
      <c r="I27" s="875">
        <f>'CKROL PHT'!AO200</f>
        <v>0</v>
      </c>
      <c r="J27" s="786">
        <f>'CKROL PHT'!AP200</f>
        <v>31</v>
      </c>
      <c r="K27" s="875">
        <f>'CKROL PHT'!AQ200</f>
        <v>0</v>
      </c>
      <c r="L27" s="875">
        <f>'CKROL PHT'!AR200</f>
        <v>0</v>
      </c>
      <c r="M27" s="876"/>
      <c r="N27" s="877">
        <f>'CKROL PHT'!AJ207</f>
        <v>149386</v>
      </c>
      <c r="O27" s="877">
        <f>'CKROL PHT'!AJ208</f>
        <v>455000</v>
      </c>
      <c r="P27" s="786">
        <f>'CKROL PHT'!AH209</f>
        <v>-114912.6213592233</v>
      </c>
    </row>
    <row r="28" spans="2:16" ht="24" customHeight="1">
      <c r="B28" s="1308" t="s">
        <v>10</v>
      </c>
      <c r="C28" s="1309"/>
      <c r="D28" s="595">
        <f>SUM(D8:D27)</f>
        <v>451</v>
      </c>
      <c r="E28" s="595">
        <f t="shared" ref="E28:P28" si="0">SUM(E8:E27)</f>
        <v>25</v>
      </c>
      <c r="F28" s="595">
        <f t="shared" si="0"/>
        <v>15</v>
      </c>
      <c r="G28" s="595">
        <f t="shared" si="0"/>
        <v>80</v>
      </c>
      <c r="H28" s="595">
        <f t="shared" si="0"/>
        <v>40</v>
      </c>
      <c r="I28" s="595">
        <f t="shared" si="0"/>
        <v>0</v>
      </c>
      <c r="J28" s="595">
        <f t="shared" si="0"/>
        <v>611</v>
      </c>
      <c r="K28" s="595">
        <f t="shared" si="0"/>
        <v>1</v>
      </c>
      <c r="L28" s="595">
        <f t="shared" si="0"/>
        <v>8</v>
      </c>
      <c r="M28" s="595">
        <f t="shared" si="0"/>
        <v>548106.95000000007</v>
      </c>
      <c r="N28" s="595">
        <f t="shared" si="0"/>
        <v>5737481</v>
      </c>
      <c r="O28" s="595">
        <f t="shared" si="0"/>
        <v>7749000</v>
      </c>
      <c r="P28" s="595">
        <f t="shared" si="0"/>
        <v>-1653334.3581445522</v>
      </c>
    </row>
    <row r="29" spans="2:16" ht="24" customHeight="1">
      <c r="B29" s="587">
        <v>21</v>
      </c>
      <c r="C29" s="874" t="s">
        <v>414</v>
      </c>
      <c r="D29" s="1084">
        <f>'CKROL PHT'!AH211</f>
        <v>18</v>
      </c>
      <c r="E29" s="1085">
        <f>'CKROL PHT'!AK211</f>
        <v>0</v>
      </c>
      <c r="F29" s="1085">
        <f>'CKROL PHT'!AL211</f>
        <v>0</v>
      </c>
      <c r="G29" s="1063">
        <v>3</v>
      </c>
      <c r="H29" s="1086">
        <v>2</v>
      </c>
      <c r="I29" s="1085">
        <f>'CKROL PHT'!AO211</f>
        <v>0</v>
      </c>
      <c r="J29" s="1084">
        <f>'CKROL PHT'!AP211</f>
        <v>23</v>
      </c>
      <c r="K29" s="1085">
        <f>'CKROL PHT'!AQ211</f>
        <v>0</v>
      </c>
      <c r="L29" s="1085">
        <f>'CKROL PHT'!AR211</f>
        <v>0</v>
      </c>
      <c r="M29" s="1087"/>
      <c r="N29" s="1088">
        <f>'CKROL PHT'!AJ218</f>
        <v>0</v>
      </c>
      <c r="O29" s="1088">
        <f>'CKROL PHT'!AJ219</f>
        <v>238000</v>
      </c>
      <c r="P29" s="786">
        <f>'CKROL PHT'!AH220</f>
        <v>0</v>
      </c>
    </row>
    <row r="30" spans="2:16" ht="23.25" customHeight="1">
      <c r="B30" s="1308" t="s">
        <v>10</v>
      </c>
      <c r="C30" s="1309"/>
      <c r="D30" s="595">
        <f>D28+D29</f>
        <v>469</v>
      </c>
      <c r="E30" s="595">
        <f t="shared" ref="E30:P30" si="1">E28+E29</f>
        <v>25</v>
      </c>
      <c r="F30" s="595">
        <f t="shared" si="1"/>
        <v>15</v>
      </c>
      <c r="G30" s="595">
        <f t="shared" si="1"/>
        <v>83</v>
      </c>
      <c r="H30" s="595">
        <f t="shared" si="1"/>
        <v>42</v>
      </c>
      <c r="I30" s="595">
        <f t="shared" si="1"/>
        <v>0</v>
      </c>
      <c r="J30" s="595">
        <f t="shared" si="1"/>
        <v>634</v>
      </c>
      <c r="K30" s="595">
        <f t="shared" si="1"/>
        <v>1</v>
      </c>
      <c r="L30" s="595">
        <f t="shared" si="1"/>
        <v>8</v>
      </c>
      <c r="M30" s="595">
        <f t="shared" si="1"/>
        <v>548106.95000000007</v>
      </c>
      <c r="N30" s="595">
        <f t="shared" si="1"/>
        <v>5737481</v>
      </c>
      <c r="O30" s="595">
        <f t="shared" si="1"/>
        <v>7987000</v>
      </c>
      <c r="P30" s="595">
        <f t="shared" si="1"/>
        <v>-1653334.3581445522</v>
      </c>
    </row>
    <row r="32" spans="2:16">
      <c r="O32" s="55"/>
    </row>
    <row r="33" spans="10:10">
      <c r="J33" s="55"/>
    </row>
  </sheetData>
  <mergeCells count="14">
    <mergeCell ref="B30:C30"/>
    <mergeCell ref="Q6:Q7"/>
    <mergeCell ref="B28:C28"/>
    <mergeCell ref="B3:P3"/>
    <mergeCell ref="B4:P4"/>
    <mergeCell ref="N6:O6"/>
    <mergeCell ref="P6:P7"/>
    <mergeCell ref="M6:M7"/>
    <mergeCell ref="D6:H6"/>
    <mergeCell ref="J6:J7"/>
    <mergeCell ref="K6:K7"/>
    <mergeCell ref="L6:L7"/>
    <mergeCell ref="C6:C7"/>
    <mergeCell ref="B6:B7"/>
  </mergeCells>
  <pageMargins left="0" right="0" top="0.25" bottom="0" header="0.3" footer="0.3"/>
  <pageSetup paperSize="9" scale="63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N21"/>
  <sheetViews>
    <sheetView zoomScaleNormal="100" workbookViewId="0">
      <selection activeCell="O18" sqref="O18"/>
    </sheetView>
  </sheetViews>
  <sheetFormatPr defaultRowHeight="15"/>
  <cols>
    <col min="1" max="1" width="5.140625" customWidth="1"/>
    <col min="2" max="2" width="18.7109375" customWidth="1"/>
    <col min="3" max="4" width="5" style="34" customWidth="1"/>
    <col min="5" max="62" width="5" style="82" customWidth="1"/>
    <col min="63" max="64" width="5.28515625" style="82" customWidth="1"/>
    <col min="65" max="65" width="12.140625" customWidth="1"/>
  </cols>
  <sheetData>
    <row r="2" spans="2:66">
      <c r="B2" s="1" t="s">
        <v>349</v>
      </c>
    </row>
    <row r="3" spans="2:66">
      <c r="B3" s="1" t="s">
        <v>67</v>
      </c>
    </row>
    <row r="4" spans="2:66">
      <c r="B4" s="1" t="s">
        <v>374</v>
      </c>
    </row>
    <row r="5" spans="2:66" ht="15" customHeight="1">
      <c r="B5" s="1317" t="s">
        <v>81</v>
      </c>
      <c r="C5" s="1308" t="s">
        <v>42</v>
      </c>
      <c r="D5" s="1313"/>
      <c r="E5" s="1313"/>
      <c r="F5" s="1313"/>
      <c r="G5" s="1313"/>
      <c r="H5" s="1313"/>
      <c r="I5" s="1313"/>
      <c r="J5" s="1313"/>
      <c r="K5" s="1313"/>
      <c r="L5" s="1313"/>
      <c r="M5" s="1313"/>
      <c r="N5" s="1313"/>
      <c r="O5" s="1313"/>
      <c r="P5" s="1313"/>
      <c r="Q5" s="1313"/>
      <c r="R5" s="1313"/>
      <c r="S5" s="1313"/>
      <c r="T5" s="1313"/>
      <c r="U5" s="1313"/>
      <c r="V5" s="1313"/>
      <c r="W5" s="1313"/>
      <c r="X5" s="1313"/>
      <c r="Y5" s="1313"/>
      <c r="Z5" s="1313"/>
      <c r="AA5" s="1313"/>
      <c r="AB5" s="1313"/>
      <c r="AC5" s="1313"/>
      <c r="AD5" s="1313"/>
      <c r="AE5" s="1313"/>
      <c r="AF5" s="1313"/>
      <c r="AG5" s="1313"/>
      <c r="AH5" s="1313"/>
      <c r="AI5" s="1313"/>
      <c r="AJ5" s="1313"/>
      <c r="AK5" s="1313"/>
      <c r="AL5" s="1313"/>
      <c r="AM5" s="1313"/>
      <c r="AN5" s="1313"/>
      <c r="AO5" s="1313"/>
      <c r="AP5" s="1313"/>
      <c r="AQ5" s="1313"/>
      <c r="AR5" s="1313"/>
      <c r="AS5" s="1313"/>
      <c r="AT5" s="1313"/>
      <c r="AU5" s="1313"/>
      <c r="AV5" s="1313"/>
      <c r="AW5" s="1313"/>
      <c r="AX5" s="1313"/>
      <c r="AY5" s="1313"/>
      <c r="AZ5" s="1313"/>
      <c r="BA5" s="1313"/>
      <c r="BB5" s="1313"/>
      <c r="BC5" s="1313"/>
      <c r="BD5" s="1313"/>
      <c r="BE5" s="1313"/>
      <c r="BF5" s="1313"/>
      <c r="BG5" s="1313"/>
      <c r="BH5" s="1313"/>
      <c r="BI5" s="1313"/>
      <c r="BJ5" s="1313"/>
      <c r="BK5" s="1313"/>
      <c r="BL5" s="1309"/>
      <c r="BM5" s="1316" t="s">
        <v>10</v>
      </c>
      <c r="BN5" s="1316"/>
    </row>
    <row r="6" spans="2:66" ht="15.75" customHeight="1">
      <c r="B6" s="1318"/>
      <c r="C6" s="1314">
        <v>1</v>
      </c>
      <c r="D6" s="1315"/>
      <c r="E6" s="1308">
        <v>2</v>
      </c>
      <c r="F6" s="1309"/>
      <c r="G6" s="1308">
        <v>3</v>
      </c>
      <c r="H6" s="1309"/>
      <c r="I6" s="1314">
        <v>4</v>
      </c>
      <c r="J6" s="1315"/>
      <c r="K6" s="1308">
        <v>5</v>
      </c>
      <c r="L6" s="1309"/>
      <c r="M6" s="1308">
        <v>6</v>
      </c>
      <c r="N6" s="1309"/>
      <c r="O6" s="1308">
        <v>7</v>
      </c>
      <c r="P6" s="1309"/>
      <c r="Q6" s="1308">
        <v>8</v>
      </c>
      <c r="R6" s="1309"/>
      <c r="S6" s="1308">
        <v>9</v>
      </c>
      <c r="T6" s="1309"/>
      <c r="U6" s="1308">
        <v>10</v>
      </c>
      <c r="V6" s="1309"/>
      <c r="W6" s="1314">
        <v>11</v>
      </c>
      <c r="X6" s="1315"/>
      <c r="Y6" s="1314">
        <v>12</v>
      </c>
      <c r="Z6" s="1315"/>
      <c r="AA6" s="1308">
        <v>13</v>
      </c>
      <c r="AB6" s="1309"/>
      <c r="AC6" s="1308">
        <v>14</v>
      </c>
      <c r="AD6" s="1309"/>
      <c r="AE6" s="1308">
        <v>15</v>
      </c>
      <c r="AF6" s="1309"/>
      <c r="AG6" s="1308">
        <v>16</v>
      </c>
      <c r="AH6" s="1309"/>
      <c r="AI6" s="1308">
        <v>17</v>
      </c>
      <c r="AJ6" s="1309"/>
      <c r="AK6" s="1314">
        <v>18</v>
      </c>
      <c r="AL6" s="1315"/>
      <c r="AM6" s="1308">
        <v>19</v>
      </c>
      <c r="AN6" s="1309"/>
      <c r="AO6" s="1308">
        <v>20</v>
      </c>
      <c r="AP6" s="1309"/>
      <c r="AQ6" s="1308">
        <v>21</v>
      </c>
      <c r="AR6" s="1309"/>
      <c r="AS6" s="1308">
        <v>22</v>
      </c>
      <c r="AT6" s="1309"/>
      <c r="AU6" s="1308">
        <v>23</v>
      </c>
      <c r="AV6" s="1309"/>
      <c r="AW6" s="1308">
        <v>24</v>
      </c>
      <c r="AX6" s="1309"/>
      <c r="AY6" s="1314">
        <v>25</v>
      </c>
      <c r="AZ6" s="1315"/>
      <c r="BA6" s="1308">
        <v>26</v>
      </c>
      <c r="BB6" s="1309"/>
      <c r="BC6" s="1308">
        <v>27</v>
      </c>
      <c r="BD6" s="1309"/>
      <c r="BE6" s="1308">
        <v>28</v>
      </c>
      <c r="BF6" s="1309"/>
      <c r="BG6" s="1314">
        <v>29</v>
      </c>
      <c r="BH6" s="1315"/>
      <c r="BI6" s="1308">
        <v>30</v>
      </c>
      <c r="BJ6" s="1309"/>
      <c r="BK6" s="1308">
        <v>31</v>
      </c>
      <c r="BL6" s="1309"/>
      <c r="BM6" s="1316"/>
      <c r="BN6" s="1316"/>
    </row>
    <row r="7" spans="2:66" ht="15.75" customHeight="1">
      <c r="B7" s="1319"/>
      <c r="C7" s="717" t="s">
        <v>347</v>
      </c>
      <c r="D7" s="717" t="s">
        <v>348</v>
      </c>
      <c r="E7" s="714" t="s">
        <v>347</v>
      </c>
      <c r="F7" s="715" t="s">
        <v>348</v>
      </c>
      <c r="G7" s="714" t="s">
        <v>347</v>
      </c>
      <c r="H7" s="715" t="s">
        <v>348</v>
      </c>
      <c r="I7" s="717" t="s">
        <v>347</v>
      </c>
      <c r="J7" s="719" t="s">
        <v>348</v>
      </c>
      <c r="K7" s="714" t="s">
        <v>347</v>
      </c>
      <c r="L7" s="715" t="s">
        <v>348</v>
      </c>
      <c r="M7" s="714" t="s">
        <v>347</v>
      </c>
      <c r="N7" s="715" t="s">
        <v>348</v>
      </c>
      <c r="O7" s="714" t="s">
        <v>347</v>
      </c>
      <c r="P7" s="715" t="s">
        <v>348</v>
      </c>
      <c r="Q7" s="714" t="s">
        <v>347</v>
      </c>
      <c r="R7" s="715" t="s">
        <v>348</v>
      </c>
      <c r="S7" s="714" t="s">
        <v>347</v>
      </c>
      <c r="T7" s="715" t="s">
        <v>348</v>
      </c>
      <c r="U7" s="714" t="s">
        <v>347</v>
      </c>
      <c r="V7" s="715" t="s">
        <v>348</v>
      </c>
      <c r="W7" s="717" t="s">
        <v>347</v>
      </c>
      <c r="X7" s="719" t="s">
        <v>348</v>
      </c>
      <c r="Y7" s="717" t="s">
        <v>347</v>
      </c>
      <c r="Z7" s="719" t="s">
        <v>348</v>
      </c>
      <c r="AA7" s="714" t="s">
        <v>347</v>
      </c>
      <c r="AB7" s="715" t="s">
        <v>348</v>
      </c>
      <c r="AC7" s="714" t="s">
        <v>347</v>
      </c>
      <c r="AD7" s="715" t="s">
        <v>348</v>
      </c>
      <c r="AE7" s="714" t="s">
        <v>347</v>
      </c>
      <c r="AF7" s="715" t="s">
        <v>348</v>
      </c>
      <c r="AG7" s="714" t="s">
        <v>347</v>
      </c>
      <c r="AH7" s="715" t="s">
        <v>348</v>
      </c>
      <c r="AI7" s="714" t="s">
        <v>347</v>
      </c>
      <c r="AJ7" s="715" t="s">
        <v>348</v>
      </c>
      <c r="AK7" s="717" t="s">
        <v>347</v>
      </c>
      <c r="AL7" s="719" t="s">
        <v>348</v>
      </c>
      <c r="AM7" s="714" t="s">
        <v>347</v>
      </c>
      <c r="AN7" s="715" t="s">
        <v>348</v>
      </c>
      <c r="AO7" s="714" t="s">
        <v>347</v>
      </c>
      <c r="AP7" s="715" t="s">
        <v>348</v>
      </c>
      <c r="AQ7" s="714" t="s">
        <v>347</v>
      </c>
      <c r="AR7" s="715" t="s">
        <v>348</v>
      </c>
      <c r="AS7" s="714" t="s">
        <v>347</v>
      </c>
      <c r="AT7" s="715" t="s">
        <v>348</v>
      </c>
      <c r="AU7" s="714" t="s">
        <v>347</v>
      </c>
      <c r="AV7" s="715" t="s">
        <v>348</v>
      </c>
      <c r="AW7" s="714" t="s">
        <v>347</v>
      </c>
      <c r="AX7" s="715" t="s">
        <v>348</v>
      </c>
      <c r="AY7" s="717" t="s">
        <v>347</v>
      </c>
      <c r="AZ7" s="719" t="s">
        <v>348</v>
      </c>
      <c r="BA7" s="714" t="s">
        <v>347</v>
      </c>
      <c r="BB7" s="715" t="s">
        <v>348</v>
      </c>
      <c r="BC7" s="714" t="s">
        <v>347</v>
      </c>
      <c r="BD7" s="715" t="s">
        <v>348</v>
      </c>
      <c r="BE7" s="714" t="s">
        <v>347</v>
      </c>
      <c r="BF7" s="715" t="s">
        <v>348</v>
      </c>
      <c r="BG7" s="717" t="s">
        <v>347</v>
      </c>
      <c r="BH7" s="719" t="s">
        <v>348</v>
      </c>
      <c r="BI7" s="714" t="s">
        <v>347</v>
      </c>
      <c r="BJ7" s="715" t="s">
        <v>348</v>
      </c>
      <c r="BK7" s="714" t="s">
        <v>347</v>
      </c>
      <c r="BL7" s="715" t="s">
        <v>348</v>
      </c>
      <c r="BM7" s="714" t="s">
        <v>347</v>
      </c>
      <c r="BN7" s="715" t="s">
        <v>348</v>
      </c>
    </row>
    <row r="8" spans="2:66" ht="21" customHeight="1">
      <c r="B8" s="512" t="str">
        <f>Sheet2!C10</f>
        <v>SUIP</v>
      </c>
      <c r="C8" s="718">
        <f>'CKROL PHT'!C16</f>
        <v>0</v>
      </c>
      <c r="D8" s="718"/>
      <c r="E8" s="565">
        <f>'CKROL PHT'!D16</f>
        <v>42</v>
      </c>
      <c r="F8" s="716">
        <f>E8*14.99/1000</f>
        <v>0.62958000000000003</v>
      </c>
      <c r="G8" s="565">
        <f>'CKROL PHT'!E16</f>
        <v>48</v>
      </c>
      <c r="H8" s="716">
        <f>G8*14.99/1000</f>
        <v>0.71951999999999994</v>
      </c>
      <c r="I8" s="718">
        <f>'CKROL PHT'!F16</f>
        <v>0</v>
      </c>
      <c r="J8" s="718"/>
      <c r="K8" s="565">
        <f>'CKROL PHT'!G16</f>
        <v>61</v>
      </c>
      <c r="L8" s="716">
        <f>K8*14.99/1000</f>
        <v>0.91439000000000004</v>
      </c>
      <c r="M8" s="565">
        <f>'CKROL PHT'!H16</f>
        <v>39</v>
      </c>
      <c r="N8" s="716">
        <f>M8*14.99/1000</f>
        <v>0.58460999999999996</v>
      </c>
      <c r="O8" s="565">
        <f>'CKROL PHT'!I16</f>
        <v>54</v>
      </c>
      <c r="P8" s="716">
        <f>O8*14.99/1000</f>
        <v>0.80946000000000007</v>
      </c>
      <c r="Q8" s="565">
        <f>'CKROL PHT'!J16</f>
        <v>64</v>
      </c>
      <c r="R8" s="716">
        <f>Q8*14.99/1000</f>
        <v>0.95935999999999999</v>
      </c>
      <c r="S8" s="565">
        <f>'CKROL PHT'!K16</f>
        <v>49</v>
      </c>
      <c r="T8" s="716">
        <f>S8*14.99/1000</f>
        <v>0.73451</v>
      </c>
      <c r="U8" s="565">
        <f>'CKROL PHT'!L16</f>
        <v>31</v>
      </c>
      <c r="V8" s="716">
        <f>U8*14.99/1000</f>
        <v>0.46468999999999999</v>
      </c>
      <c r="W8" s="718">
        <f>'CKROL PHT'!M16</f>
        <v>0</v>
      </c>
      <c r="X8" s="718"/>
      <c r="Y8" s="718">
        <f>'CKROL PHT'!N16</f>
        <v>55</v>
      </c>
      <c r="Z8" s="718"/>
      <c r="AA8" s="565">
        <f>'CKROL PHT'!O16</f>
        <v>57</v>
      </c>
      <c r="AB8" s="716">
        <f>AA8*14.99/1000</f>
        <v>0.85443000000000002</v>
      </c>
      <c r="AC8" s="565">
        <f>'CKROL PHT'!P16</f>
        <v>31</v>
      </c>
      <c r="AD8" s="565"/>
      <c r="AE8" s="565">
        <f>'CKROL PHT'!Q16</f>
        <v>0</v>
      </c>
      <c r="AF8" s="565"/>
      <c r="AG8" s="565">
        <f>'CKROL PHT'!R16</f>
        <v>0</v>
      </c>
      <c r="AH8" s="565"/>
      <c r="AI8" s="565">
        <f>'CKROL PHT'!S16</f>
        <v>50</v>
      </c>
      <c r="AJ8" s="565"/>
      <c r="AK8" s="718">
        <f>'CKROL PHT'!T16</f>
        <v>0</v>
      </c>
      <c r="AL8" s="718"/>
      <c r="AM8" s="565">
        <f>'CKROL PHT'!U16</f>
        <v>27</v>
      </c>
      <c r="AN8" s="565"/>
      <c r="AO8" s="565">
        <f>'CKROL PHT'!V16</f>
        <v>50</v>
      </c>
      <c r="AP8" s="565"/>
      <c r="AQ8" s="565">
        <f>'CKROL PHT'!W16</f>
        <v>23</v>
      </c>
      <c r="AR8" s="565"/>
      <c r="AS8" s="565">
        <f>'CKROL PHT'!X16</f>
        <v>23</v>
      </c>
      <c r="AT8" s="565"/>
      <c r="AU8" s="565">
        <f>'CKROL PHT'!Y16</f>
        <v>28</v>
      </c>
      <c r="AV8" s="565"/>
      <c r="AW8" s="565">
        <f>'CKROL PHT'!Z16</f>
        <v>16</v>
      </c>
      <c r="AX8" s="565"/>
      <c r="AY8" s="718">
        <f>'CKROL PHT'!AA16</f>
        <v>0</v>
      </c>
      <c r="AZ8" s="718"/>
      <c r="BA8" s="565">
        <f>'CKROL PHT'!AB16</f>
        <v>54</v>
      </c>
      <c r="BB8" s="565"/>
      <c r="BC8" s="565">
        <f>'CKROL PHT'!AC16</f>
        <v>20</v>
      </c>
      <c r="BD8" s="565"/>
      <c r="BE8" s="565">
        <f>'CKROL PHT'!AD16</f>
        <v>31</v>
      </c>
      <c r="BF8" s="565"/>
      <c r="BG8" s="718">
        <f>'CKROL PHT'!AE16</f>
        <v>36</v>
      </c>
      <c r="BH8" s="718"/>
      <c r="BI8" s="565">
        <f>'CKROL PHT'!AF16</f>
        <v>27</v>
      </c>
      <c r="BJ8" s="565"/>
      <c r="BK8" s="565">
        <f>'CKROL PHT'!AG16</f>
        <v>32</v>
      </c>
      <c r="BL8" s="565"/>
      <c r="BM8" s="512">
        <f>C8+E8+G8+I8+K8+M8+O8+Q8+S8+U8+W8+Y8+AA8+AC8+AE8+AG8+AI8+AK8+AM8+AO8+AQ8+AS8+AU8+AW8+AY8+BA8+BC8+BE8+BG8+BI8+BK8</f>
        <v>948</v>
      </c>
      <c r="BN8" s="720">
        <f>BM8*14.99/1000</f>
        <v>14.210520000000001</v>
      </c>
    </row>
    <row r="9" spans="2:66" ht="21" customHeight="1">
      <c r="B9" s="512" t="str">
        <f>Sheet2!C11</f>
        <v>ROBIN DINATA</v>
      </c>
      <c r="C9" s="718">
        <f>'CKROL PHT'!C27</f>
        <v>0</v>
      </c>
      <c r="D9" s="718"/>
      <c r="E9" s="565">
        <f>'CKROL PHT'!D27</f>
        <v>50</v>
      </c>
      <c r="F9" s="716">
        <f t="shared" ref="F9:F21" si="0">E9*14.99/1000</f>
        <v>0.74950000000000006</v>
      </c>
      <c r="G9" s="565">
        <f>'CKROL PHT'!E27</f>
        <v>49</v>
      </c>
      <c r="H9" s="716">
        <f t="shared" ref="H9:H21" si="1">G9*14.99/1000</f>
        <v>0.73451</v>
      </c>
      <c r="I9" s="718">
        <f>'CKROL PHT'!F27</f>
        <v>0</v>
      </c>
      <c r="J9" s="718"/>
      <c r="K9" s="565">
        <f>'CKROL PHT'!G27</f>
        <v>87</v>
      </c>
      <c r="L9" s="716">
        <f t="shared" ref="L9:L21" si="2">K9*14.99/1000</f>
        <v>1.30413</v>
      </c>
      <c r="M9" s="565">
        <f>'CKROL PHT'!H27</f>
        <v>43</v>
      </c>
      <c r="N9" s="716">
        <f t="shared" ref="N9:N21" si="3">M9*14.99/1000</f>
        <v>0.64457000000000009</v>
      </c>
      <c r="O9" s="565">
        <f>'CKROL PHT'!I27</f>
        <v>48</v>
      </c>
      <c r="P9" s="716">
        <f t="shared" ref="P9:P21" si="4">O9*14.99/1000</f>
        <v>0.71951999999999994</v>
      </c>
      <c r="Q9" s="565">
        <f>'CKROL PHT'!J27</f>
        <v>53</v>
      </c>
      <c r="R9" s="716">
        <f t="shared" ref="R9:R21" si="5">Q9*14.99/1000</f>
        <v>0.79447000000000001</v>
      </c>
      <c r="S9" s="565">
        <f>'CKROL PHT'!K27</f>
        <v>50</v>
      </c>
      <c r="T9" s="716">
        <f t="shared" ref="T9:T21" si="6">S9*14.99/1000</f>
        <v>0.74950000000000006</v>
      </c>
      <c r="U9" s="565">
        <f>'CKROL PHT'!L27</f>
        <v>30</v>
      </c>
      <c r="V9" s="716">
        <f t="shared" ref="V9:V21" si="7">U9*14.99/1000</f>
        <v>0.44969999999999999</v>
      </c>
      <c r="W9" s="718">
        <f>'CKROL PHT'!M27</f>
        <v>0</v>
      </c>
      <c r="X9" s="718"/>
      <c r="Y9" s="718">
        <f>'CKROL PHT'!N27</f>
        <v>50</v>
      </c>
      <c r="Z9" s="718"/>
      <c r="AA9" s="565">
        <f>'CKROL PHT'!O27</f>
        <v>54</v>
      </c>
      <c r="AB9" s="716">
        <f t="shared" ref="AB9:AB21" si="8">AA9*14.99/1000</f>
        <v>0.80946000000000007</v>
      </c>
      <c r="AC9" s="565">
        <f>'CKROL PHT'!P27</f>
        <v>39</v>
      </c>
      <c r="AD9" s="565"/>
      <c r="AE9" s="565">
        <f>'CKROL PHT'!Q27</f>
        <v>35</v>
      </c>
      <c r="AF9" s="565"/>
      <c r="AG9" s="565">
        <f>'CKROL PHT'!R27</f>
        <v>0</v>
      </c>
      <c r="AH9" s="565"/>
      <c r="AI9" s="565">
        <f>'CKROL PHT'!S27</f>
        <v>51</v>
      </c>
      <c r="AJ9" s="565"/>
      <c r="AK9" s="718">
        <f>'CKROL PHT'!T27</f>
        <v>0</v>
      </c>
      <c r="AL9" s="718"/>
      <c r="AM9" s="565">
        <f>'CKROL PHT'!U27</f>
        <v>46</v>
      </c>
      <c r="AN9" s="565"/>
      <c r="AO9" s="565">
        <f>'CKROL PHT'!V27</f>
        <v>41</v>
      </c>
      <c r="AP9" s="565"/>
      <c r="AQ9" s="565">
        <f>'CKROL PHT'!W27</f>
        <v>29</v>
      </c>
      <c r="AR9" s="565"/>
      <c r="AS9" s="565">
        <f>'CKROL PHT'!X27</f>
        <v>26</v>
      </c>
      <c r="AT9" s="565"/>
      <c r="AU9" s="565">
        <f>'CKROL PHT'!Y27</f>
        <v>22</v>
      </c>
      <c r="AV9" s="565"/>
      <c r="AW9" s="565">
        <f>'CKROL PHT'!Z27</f>
        <v>21</v>
      </c>
      <c r="AX9" s="565"/>
      <c r="AY9" s="718">
        <f>'CKROL PHT'!AA27</f>
        <v>0</v>
      </c>
      <c r="AZ9" s="718"/>
      <c r="BA9" s="565">
        <f>'CKROL PHT'!AB27</f>
        <v>55</v>
      </c>
      <c r="BB9" s="565"/>
      <c r="BC9" s="565">
        <f>'CKROL PHT'!AC27</f>
        <v>22</v>
      </c>
      <c r="BD9" s="565"/>
      <c r="BE9" s="565">
        <f>'CKROL PHT'!AD27</f>
        <v>46</v>
      </c>
      <c r="BF9" s="565"/>
      <c r="BG9" s="718">
        <f>'CKROL PHT'!AE27</f>
        <v>43</v>
      </c>
      <c r="BH9" s="718"/>
      <c r="BI9" s="565">
        <f>'CKROL PHT'!AF27</f>
        <v>24</v>
      </c>
      <c r="BJ9" s="565"/>
      <c r="BK9" s="565">
        <f>'CKROL PHT'!AG27</f>
        <v>23</v>
      </c>
      <c r="BL9" s="565"/>
      <c r="BM9" s="512">
        <f t="shared" ref="BM9:BM21" si="9">C9+E9+G9+I9+K9+M9+O9+Q9+S9+U9+W9+Y9+AA9+AC9+AE9+AG9+AI9+AK9+AM9+AO9+AQ9+AS9+AU9+AW9+AY9+BA9+BC9+BE9+BG9+BI9+BK9</f>
        <v>1037</v>
      </c>
      <c r="BN9" s="720">
        <f t="shared" ref="BN9:BN21" si="10">BM9*14.99/1000</f>
        <v>15.544630000000002</v>
      </c>
    </row>
    <row r="10" spans="2:66" ht="21" customHeight="1">
      <c r="B10" s="512" t="str">
        <f>Sheet2!C12</f>
        <v>SAPARUDIN</v>
      </c>
      <c r="C10" s="718">
        <f>'CKROL PHT'!C38</f>
        <v>0</v>
      </c>
      <c r="D10" s="718"/>
      <c r="E10" s="565">
        <f>'CKROL PHT'!D38</f>
        <v>83</v>
      </c>
      <c r="F10" s="716">
        <f t="shared" si="0"/>
        <v>1.24417</v>
      </c>
      <c r="G10" s="565">
        <f>'CKROL PHT'!E38</f>
        <v>74</v>
      </c>
      <c r="H10" s="716">
        <f t="shared" si="1"/>
        <v>1.1092599999999999</v>
      </c>
      <c r="I10" s="718">
        <f>'CKROL PHT'!F38</f>
        <v>0</v>
      </c>
      <c r="J10" s="718"/>
      <c r="K10" s="565">
        <f>'CKROL PHT'!G38</f>
        <v>90</v>
      </c>
      <c r="L10" s="716">
        <f t="shared" si="2"/>
        <v>1.3491</v>
      </c>
      <c r="M10" s="565">
        <f>'CKROL PHT'!H38</f>
        <v>51</v>
      </c>
      <c r="N10" s="716">
        <f t="shared" si="3"/>
        <v>0.76449</v>
      </c>
      <c r="O10" s="565">
        <f>'CKROL PHT'!I38</f>
        <v>65</v>
      </c>
      <c r="P10" s="716">
        <f t="shared" si="4"/>
        <v>0.97435000000000005</v>
      </c>
      <c r="Q10" s="565">
        <f>'CKROL PHT'!J38</f>
        <v>67</v>
      </c>
      <c r="R10" s="716">
        <f t="shared" si="5"/>
        <v>1.0043299999999999</v>
      </c>
      <c r="S10" s="565">
        <f>'CKROL PHT'!K38</f>
        <v>59</v>
      </c>
      <c r="T10" s="716">
        <f t="shared" si="6"/>
        <v>0.88440999999999992</v>
      </c>
      <c r="U10" s="565">
        <f>'CKROL PHT'!L38</f>
        <v>0</v>
      </c>
      <c r="V10" s="716">
        <f t="shared" si="7"/>
        <v>0</v>
      </c>
      <c r="W10" s="718">
        <f>'CKROL PHT'!M38</f>
        <v>0</v>
      </c>
      <c r="X10" s="718"/>
      <c r="Y10" s="718">
        <f>'CKROL PHT'!N38</f>
        <v>37</v>
      </c>
      <c r="Z10" s="718"/>
      <c r="AA10" s="565">
        <f>'CKROL PHT'!O38</f>
        <v>22</v>
      </c>
      <c r="AB10" s="716">
        <f t="shared" si="8"/>
        <v>0.32978000000000002</v>
      </c>
      <c r="AC10" s="565">
        <f>'CKROL PHT'!P38</f>
        <v>0</v>
      </c>
      <c r="AD10" s="565"/>
      <c r="AE10" s="565">
        <f>'CKROL PHT'!Q38</f>
        <v>0</v>
      </c>
      <c r="AF10" s="565"/>
      <c r="AG10" s="565">
        <f>'CKROL PHT'!R38</f>
        <v>0</v>
      </c>
      <c r="AH10" s="565"/>
      <c r="AI10" s="565">
        <f>'CKROL PHT'!S38</f>
        <v>60</v>
      </c>
      <c r="AJ10" s="565"/>
      <c r="AK10" s="718">
        <f>'CKROL PHT'!T38</f>
        <v>0</v>
      </c>
      <c r="AL10" s="718"/>
      <c r="AM10" s="565">
        <f>'CKROL PHT'!U38</f>
        <v>46</v>
      </c>
      <c r="AN10" s="565"/>
      <c r="AO10" s="565">
        <f>'CKROL PHT'!V38</f>
        <v>34</v>
      </c>
      <c r="AP10" s="565"/>
      <c r="AQ10" s="565">
        <f>'CKROL PHT'!W38</f>
        <v>21</v>
      </c>
      <c r="AR10" s="565"/>
      <c r="AS10" s="565">
        <f>'CKROL PHT'!X38</f>
        <v>30</v>
      </c>
      <c r="AT10" s="565"/>
      <c r="AU10" s="565">
        <f>'CKROL PHT'!Y38</f>
        <v>41</v>
      </c>
      <c r="AV10" s="565"/>
      <c r="AW10" s="565">
        <f>'CKROL PHT'!Z38</f>
        <v>35</v>
      </c>
      <c r="AX10" s="565"/>
      <c r="AY10" s="718">
        <f>'CKROL PHT'!AA38</f>
        <v>0</v>
      </c>
      <c r="AZ10" s="718"/>
      <c r="BA10" s="565">
        <f>'CKROL PHT'!AB38</f>
        <v>110</v>
      </c>
      <c r="BB10" s="565"/>
      <c r="BC10" s="565">
        <f>'CKROL PHT'!AC38</f>
        <v>20</v>
      </c>
      <c r="BD10" s="565"/>
      <c r="BE10" s="565">
        <f>'CKROL PHT'!AD38</f>
        <v>19</v>
      </c>
      <c r="BF10" s="565"/>
      <c r="BG10" s="718">
        <f>'CKROL PHT'!AE38</f>
        <v>30</v>
      </c>
      <c r="BH10" s="718"/>
      <c r="BI10" s="565">
        <f>'CKROL PHT'!AF38</f>
        <v>41</v>
      </c>
      <c r="BJ10" s="565"/>
      <c r="BK10" s="565">
        <f>'CKROL PHT'!AG38</f>
        <v>28</v>
      </c>
      <c r="BL10" s="565"/>
      <c r="BM10" s="512">
        <f t="shared" si="9"/>
        <v>1063</v>
      </c>
      <c r="BN10" s="720">
        <f t="shared" si="10"/>
        <v>15.934370000000001</v>
      </c>
    </row>
    <row r="11" spans="2:66" ht="21" customHeight="1">
      <c r="B11" s="512" t="str">
        <f>Sheet2!C13</f>
        <v>SONJA PRIYOGA</v>
      </c>
      <c r="C11" s="718">
        <f>'CKROL PHT'!C49</f>
        <v>0</v>
      </c>
      <c r="D11" s="718"/>
      <c r="E11" s="565">
        <f>'CKROL PHT'!D49</f>
        <v>54</v>
      </c>
      <c r="F11" s="716">
        <f t="shared" si="0"/>
        <v>0.80946000000000007</v>
      </c>
      <c r="G11" s="565">
        <f>'CKROL PHT'!E49</f>
        <v>69</v>
      </c>
      <c r="H11" s="716">
        <f t="shared" si="1"/>
        <v>1.0343099999999998</v>
      </c>
      <c r="I11" s="718">
        <f>'CKROL PHT'!F49</f>
        <v>0</v>
      </c>
      <c r="J11" s="718"/>
      <c r="K11" s="565">
        <f>'CKROL PHT'!G49</f>
        <v>87</v>
      </c>
      <c r="L11" s="716">
        <f t="shared" si="2"/>
        <v>1.30413</v>
      </c>
      <c r="M11" s="565">
        <f>'CKROL PHT'!H49</f>
        <v>42</v>
      </c>
      <c r="N11" s="716">
        <f t="shared" si="3"/>
        <v>0.62958000000000003</v>
      </c>
      <c r="O11" s="565">
        <f>'CKROL PHT'!I49</f>
        <v>49</v>
      </c>
      <c r="P11" s="716">
        <f t="shared" si="4"/>
        <v>0.73451</v>
      </c>
      <c r="Q11" s="565">
        <f>'CKROL PHT'!J49</f>
        <v>60</v>
      </c>
      <c r="R11" s="716">
        <f t="shared" si="5"/>
        <v>0.89939999999999998</v>
      </c>
      <c r="S11" s="565">
        <f>'CKROL PHT'!K49</f>
        <v>43</v>
      </c>
      <c r="T11" s="716">
        <f t="shared" si="6"/>
        <v>0.64457000000000009</v>
      </c>
      <c r="U11" s="565">
        <f>'CKROL PHT'!L49</f>
        <v>44</v>
      </c>
      <c r="V11" s="716">
        <f t="shared" si="7"/>
        <v>0.65956000000000004</v>
      </c>
      <c r="W11" s="718">
        <f>'CKROL PHT'!M49</f>
        <v>0</v>
      </c>
      <c r="X11" s="718"/>
      <c r="Y11" s="718">
        <f>'CKROL PHT'!N49</f>
        <v>60</v>
      </c>
      <c r="Z11" s="718"/>
      <c r="AA11" s="565">
        <f>'CKROL PHT'!O49</f>
        <v>68</v>
      </c>
      <c r="AB11" s="716">
        <f t="shared" si="8"/>
        <v>1.01932</v>
      </c>
      <c r="AC11" s="565">
        <f>'CKROL PHT'!P49</f>
        <v>37</v>
      </c>
      <c r="AD11" s="565"/>
      <c r="AE11" s="565">
        <f>'CKROL PHT'!Q49</f>
        <v>34</v>
      </c>
      <c r="AF11" s="565"/>
      <c r="AG11" s="565">
        <f>'CKROL PHT'!R49</f>
        <v>0</v>
      </c>
      <c r="AH11" s="565"/>
      <c r="AI11" s="565">
        <f>'CKROL PHT'!S49</f>
        <v>51</v>
      </c>
      <c r="AJ11" s="565"/>
      <c r="AK11" s="718">
        <f>'CKROL PHT'!T49</f>
        <v>0</v>
      </c>
      <c r="AL11" s="718"/>
      <c r="AM11" s="565">
        <f>'CKROL PHT'!U49</f>
        <v>53</v>
      </c>
      <c r="AN11" s="565"/>
      <c r="AO11" s="565">
        <f>'CKROL PHT'!V49</f>
        <v>39</v>
      </c>
      <c r="AP11" s="565"/>
      <c r="AQ11" s="565">
        <f>'CKROL PHT'!W49</f>
        <v>28</v>
      </c>
      <c r="AR11" s="565"/>
      <c r="AS11" s="565">
        <f>'CKROL PHT'!X49</f>
        <v>29</v>
      </c>
      <c r="AT11" s="565"/>
      <c r="AU11" s="565">
        <f>'CKROL PHT'!Y49</f>
        <v>22</v>
      </c>
      <c r="AV11" s="565"/>
      <c r="AW11" s="565">
        <f>'CKROL PHT'!Z49</f>
        <v>20</v>
      </c>
      <c r="AX11" s="565"/>
      <c r="AY11" s="718">
        <f>'CKROL PHT'!AA49</f>
        <v>0</v>
      </c>
      <c r="AZ11" s="718"/>
      <c r="BA11" s="565">
        <f>'CKROL PHT'!AB49</f>
        <v>58</v>
      </c>
      <c r="BB11" s="565"/>
      <c r="BC11" s="565">
        <f>'CKROL PHT'!AC49</f>
        <v>20</v>
      </c>
      <c r="BD11" s="565"/>
      <c r="BE11" s="565">
        <f>'CKROL PHT'!AD49</f>
        <v>27</v>
      </c>
      <c r="BF11" s="565"/>
      <c r="BG11" s="718">
        <f>'CKROL PHT'!AE49</f>
        <v>43</v>
      </c>
      <c r="BH11" s="718"/>
      <c r="BI11" s="565">
        <f>'CKROL PHT'!AF49</f>
        <v>43</v>
      </c>
      <c r="BJ11" s="565"/>
      <c r="BK11" s="565">
        <f>'CKROL PHT'!AG49</f>
        <v>20</v>
      </c>
      <c r="BL11" s="565"/>
      <c r="BM11" s="512">
        <f t="shared" si="9"/>
        <v>1100</v>
      </c>
      <c r="BN11" s="720">
        <f t="shared" si="10"/>
        <v>16.489000000000001</v>
      </c>
    </row>
    <row r="12" spans="2:66" ht="21" customHeight="1">
      <c r="B12" s="512" t="str">
        <f>Sheet2!C14</f>
        <v>AHAP</v>
      </c>
      <c r="C12" s="718">
        <f>'CKROL PHT'!C60</f>
        <v>0</v>
      </c>
      <c r="D12" s="718"/>
      <c r="E12" s="565">
        <f>'CKROL PHT'!D60</f>
        <v>75</v>
      </c>
      <c r="F12" s="716">
        <f t="shared" si="0"/>
        <v>1.12425</v>
      </c>
      <c r="G12" s="565">
        <f>'CKROL PHT'!E60</f>
        <v>140</v>
      </c>
      <c r="H12" s="716">
        <f t="shared" si="1"/>
        <v>2.0985999999999998</v>
      </c>
      <c r="I12" s="718">
        <f>'CKROL PHT'!F60</f>
        <v>0</v>
      </c>
      <c r="J12" s="718"/>
      <c r="K12" s="565">
        <f>'CKROL PHT'!G60</f>
        <v>74</v>
      </c>
      <c r="L12" s="716">
        <f t="shared" si="2"/>
        <v>1.1092599999999999</v>
      </c>
      <c r="M12" s="565">
        <f>'CKROL PHT'!H60</f>
        <v>53</v>
      </c>
      <c r="N12" s="716">
        <f t="shared" si="3"/>
        <v>0.79447000000000001</v>
      </c>
      <c r="O12" s="565">
        <f>'CKROL PHT'!I60</f>
        <v>90</v>
      </c>
      <c r="P12" s="716">
        <f t="shared" si="4"/>
        <v>1.3491</v>
      </c>
      <c r="Q12" s="565">
        <f>'CKROL PHT'!J60</f>
        <v>56</v>
      </c>
      <c r="R12" s="716">
        <f t="shared" si="5"/>
        <v>0.83944000000000007</v>
      </c>
      <c r="S12" s="565">
        <f>'CKROL PHT'!K60</f>
        <v>0</v>
      </c>
      <c r="T12" s="716">
        <f t="shared" si="6"/>
        <v>0</v>
      </c>
      <c r="U12" s="565">
        <f>'CKROL PHT'!L60</f>
        <v>55</v>
      </c>
      <c r="V12" s="716">
        <f t="shared" si="7"/>
        <v>0.82445000000000002</v>
      </c>
      <c r="W12" s="718">
        <f>'CKROL PHT'!M60</f>
        <v>0</v>
      </c>
      <c r="X12" s="718"/>
      <c r="Y12" s="718">
        <f>'CKROL PHT'!N60</f>
        <v>71</v>
      </c>
      <c r="Z12" s="718"/>
      <c r="AA12" s="565">
        <f>'CKROL PHT'!O60</f>
        <v>36</v>
      </c>
      <c r="AB12" s="716">
        <f t="shared" si="8"/>
        <v>0.53964000000000001</v>
      </c>
      <c r="AC12" s="565">
        <f>'CKROL PHT'!P60</f>
        <v>38</v>
      </c>
      <c r="AD12" s="565"/>
      <c r="AE12" s="565">
        <f>'CKROL PHT'!Q60</f>
        <v>79</v>
      </c>
      <c r="AF12" s="565"/>
      <c r="AG12" s="565">
        <f>'CKROL PHT'!R60</f>
        <v>0</v>
      </c>
      <c r="AH12" s="565"/>
      <c r="AI12" s="565">
        <f>'CKROL PHT'!S60</f>
        <v>76</v>
      </c>
      <c r="AJ12" s="565"/>
      <c r="AK12" s="718">
        <f>'CKROL PHT'!T60</f>
        <v>0</v>
      </c>
      <c r="AL12" s="718"/>
      <c r="AM12" s="565">
        <f>'CKROL PHT'!U60</f>
        <v>43</v>
      </c>
      <c r="AN12" s="565"/>
      <c r="AO12" s="565">
        <f>'CKROL PHT'!V60</f>
        <v>43</v>
      </c>
      <c r="AP12" s="565"/>
      <c r="AQ12" s="565">
        <f>'CKROL PHT'!W60</f>
        <v>42</v>
      </c>
      <c r="AR12" s="565"/>
      <c r="AS12" s="565">
        <f>'CKROL PHT'!X60</f>
        <v>31</v>
      </c>
      <c r="AT12" s="565"/>
      <c r="AU12" s="565">
        <f>'CKROL PHT'!Y60</f>
        <v>35</v>
      </c>
      <c r="AV12" s="565"/>
      <c r="AW12" s="565">
        <f>'CKROL PHT'!Z60</f>
        <v>29</v>
      </c>
      <c r="AX12" s="565"/>
      <c r="AY12" s="718">
        <f>'CKROL PHT'!AA60</f>
        <v>0</v>
      </c>
      <c r="AZ12" s="718"/>
      <c r="BA12" s="565">
        <f>'CKROL PHT'!AB60</f>
        <v>40</v>
      </c>
      <c r="BB12" s="565"/>
      <c r="BC12" s="565">
        <f>'CKROL PHT'!AC60</f>
        <v>25</v>
      </c>
      <c r="BD12" s="565"/>
      <c r="BE12" s="565">
        <f>'CKROL PHT'!AD60</f>
        <v>36</v>
      </c>
      <c r="BF12" s="565"/>
      <c r="BG12" s="718">
        <f>'CKROL PHT'!AE60</f>
        <v>31</v>
      </c>
      <c r="BH12" s="718"/>
      <c r="BI12" s="565">
        <f>'CKROL PHT'!AF60</f>
        <v>0</v>
      </c>
      <c r="BJ12" s="565"/>
      <c r="BK12" s="565">
        <f>'CKROL PHT'!AG60</f>
        <v>36</v>
      </c>
      <c r="BL12" s="565"/>
      <c r="BM12" s="512">
        <f t="shared" si="9"/>
        <v>1234</v>
      </c>
      <c r="BN12" s="720">
        <f t="shared" si="10"/>
        <v>18.49766</v>
      </c>
    </row>
    <row r="13" spans="2:66" ht="21" customHeight="1">
      <c r="B13" s="512" t="str">
        <f>Sheet2!C15</f>
        <v>IHSAN</v>
      </c>
      <c r="C13" s="718">
        <f>'CKROL PHT'!C71</f>
        <v>0</v>
      </c>
      <c r="D13" s="718"/>
      <c r="E13" s="565">
        <f>'CKROL PHT'!D71</f>
        <v>46</v>
      </c>
      <c r="F13" s="716">
        <f t="shared" si="0"/>
        <v>0.68953999999999993</v>
      </c>
      <c r="G13" s="565">
        <f>'CKROL PHT'!E71</f>
        <v>50</v>
      </c>
      <c r="H13" s="716">
        <f t="shared" si="1"/>
        <v>0.74950000000000006</v>
      </c>
      <c r="I13" s="718">
        <f>'CKROL PHT'!F71</f>
        <v>0</v>
      </c>
      <c r="J13" s="718"/>
      <c r="K13" s="565">
        <f>'CKROL PHT'!G71</f>
        <v>208</v>
      </c>
      <c r="L13" s="716">
        <f t="shared" si="2"/>
        <v>3.1179200000000002</v>
      </c>
      <c r="M13" s="565">
        <f>'CKROL PHT'!H71</f>
        <v>27</v>
      </c>
      <c r="N13" s="716">
        <f t="shared" si="3"/>
        <v>0.40473000000000003</v>
      </c>
      <c r="O13" s="565">
        <f>'CKROL PHT'!I71</f>
        <v>57</v>
      </c>
      <c r="P13" s="716">
        <f t="shared" si="4"/>
        <v>0.85443000000000002</v>
      </c>
      <c r="Q13" s="565">
        <f>'CKROL PHT'!J71</f>
        <v>50</v>
      </c>
      <c r="R13" s="716">
        <f t="shared" si="5"/>
        <v>0.74950000000000006</v>
      </c>
      <c r="S13" s="565">
        <f>'CKROL PHT'!K71</f>
        <v>53</v>
      </c>
      <c r="T13" s="716">
        <f t="shared" si="6"/>
        <v>0.79447000000000001</v>
      </c>
      <c r="U13" s="565">
        <f>'CKROL PHT'!L71</f>
        <v>0</v>
      </c>
      <c r="V13" s="716">
        <f t="shared" si="7"/>
        <v>0</v>
      </c>
      <c r="W13" s="718">
        <f>'CKROL PHT'!M71</f>
        <v>0</v>
      </c>
      <c r="X13" s="718"/>
      <c r="Y13" s="718">
        <f>'CKROL PHT'!N71</f>
        <v>56</v>
      </c>
      <c r="Z13" s="718"/>
      <c r="AA13" s="565">
        <f>'CKROL PHT'!O71</f>
        <v>29</v>
      </c>
      <c r="AB13" s="716">
        <f t="shared" si="8"/>
        <v>0.43470999999999999</v>
      </c>
      <c r="AC13" s="565">
        <f>'CKROL PHT'!P71</f>
        <v>16</v>
      </c>
      <c r="AD13" s="565"/>
      <c r="AE13" s="565">
        <f>'CKROL PHT'!Q71</f>
        <v>36</v>
      </c>
      <c r="AF13" s="565"/>
      <c r="AG13" s="565">
        <f>'CKROL PHT'!R71</f>
        <v>0</v>
      </c>
      <c r="AH13" s="565"/>
      <c r="AI13" s="565">
        <f>'CKROL PHT'!S71</f>
        <v>58</v>
      </c>
      <c r="AJ13" s="565"/>
      <c r="AK13" s="718">
        <f>'CKROL PHT'!T71</f>
        <v>0</v>
      </c>
      <c r="AL13" s="718"/>
      <c r="AM13" s="565">
        <f>'CKROL PHT'!U71</f>
        <v>63</v>
      </c>
      <c r="AN13" s="565"/>
      <c r="AO13" s="565">
        <f>'CKROL PHT'!V71</f>
        <v>43</v>
      </c>
      <c r="AP13" s="565"/>
      <c r="AQ13" s="565">
        <f>'CKROL PHT'!W71</f>
        <v>48</v>
      </c>
      <c r="AR13" s="565"/>
      <c r="AS13" s="565">
        <f>'CKROL PHT'!X71</f>
        <v>23</v>
      </c>
      <c r="AT13" s="565"/>
      <c r="AU13" s="565">
        <f>'CKROL PHT'!Y71</f>
        <v>14</v>
      </c>
      <c r="AV13" s="565"/>
      <c r="AW13" s="565">
        <f>'CKROL PHT'!Z71</f>
        <v>25</v>
      </c>
      <c r="AX13" s="565"/>
      <c r="AY13" s="718">
        <f>'CKROL PHT'!AA71</f>
        <v>0</v>
      </c>
      <c r="AZ13" s="718"/>
      <c r="BA13" s="565">
        <f>'CKROL PHT'!AB71</f>
        <v>51</v>
      </c>
      <c r="BB13" s="565"/>
      <c r="BC13" s="565">
        <f>'CKROL PHT'!AC71</f>
        <v>20</v>
      </c>
      <c r="BD13" s="565"/>
      <c r="BE13" s="565">
        <f>'CKROL PHT'!AD71</f>
        <v>17</v>
      </c>
      <c r="BF13" s="565"/>
      <c r="BG13" s="718">
        <f>'CKROL PHT'!AE71</f>
        <v>40</v>
      </c>
      <c r="BH13" s="718"/>
      <c r="BI13" s="565">
        <f>'CKROL PHT'!AF71</f>
        <v>30</v>
      </c>
      <c r="BJ13" s="565"/>
      <c r="BK13" s="565">
        <f>'CKROL PHT'!AG71</f>
        <v>22</v>
      </c>
      <c r="BL13" s="565"/>
      <c r="BM13" s="512">
        <f t="shared" si="9"/>
        <v>1082</v>
      </c>
      <c r="BN13" s="720">
        <f t="shared" si="10"/>
        <v>16.219180000000001</v>
      </c>
    </row>
    <row r="14" spans="2:66" ht="21" customHeight="1">
      <c r="B14" s="512" t="str">
        <f>Sheet2!C16</f>
        <v>QISTAHAM</v>
      </c>
      <c r="C14" s="718">
        <f>'CKROL PHT'!C82</f>
        <v>0</v>
      </c>
      <c r="D14" s="718"/>
      <c r="E14" s="565">
        <f>'CKROL PHT'!D82</f>
        <v>81</v>
      </c>
      <c r="F14" s="716">
        <f t="shared" si="0"/>
        <v>1.2141900000000001</v>
      </c>
      <c r="G14" s="565">
        <f>'CKROL PHT'!E82</f>
        <v>60</v>
      </c>
      <c r="H14" s="716">
        <f t="shared" si="1"/>
        <v>0.89939999999999998</v>
      </c>
      <c r="I14" s="718">
        <f>'CKROL PHT'!F82</f>
        <v>0</v>
      </c>
      <c r="J14" s="718"/>
      <c r="K14" s="565">
        <f>'CKROL PHT'!G82</f>
        <v>50</v>
      </c>
      <c r="L14" s="716">
        <f t="shared" si="2"/>
        <v>0.74950000000000006</v>
      </c>
      <c r="M14" s="565">
        <f>'CKROL PHT'!H82</f>
        <v>223</v>
      </c>
      <c r="N14" s="716">
        <f t="shared" si="3"/>
        <v>3.3427699999999998</v>
      </c>
      <c r="O14" s="565">
        <f>'CKROL PHT'!I82</f>
        <v>36</v>
      </c>
      <c r="P14" s="716">
        <f t="shared" si="4"/>
        <v>0.53964000000000001</v>
      </c>
      <c r="Q14" s="565">
        <f>'CKROL PHT'!J82</f>
        <v>20</v>
      </c>
      <c r="R14" s="716">
        <f t="shared" si="5"/>
        <v>0.29980000000000001</v>
      </c>
      <c r="S14" s="565">
        <f>'CKROL PHT'!K82</f>
        <v>46</v>
      </c>
      <c r="T14" s="716">
        <f t="shared" si="6"/>
        <v>0.68953999999999993</v>
      </c>
      <c r="U14" s="565">
        <f>'CKROL PHT'!L82</f>
        <v>23</v>
      </c>
      <c r="V14" s="716">
        <f t="shared" si="7"/>
        <v>0.34476999999999997</v>
      </c>
      <c r="W14" s="718">
        <f>'CKROL PHT'!M82</f>
        <v>0</v>
      </c>
      <c r="X14" s="718"/>
      <c r="Y14" s="718">
        <f>'CKROL PHT'!N82</f>
        <v>61</v>
      </c>
      <c r="Z14" s="718"/>
      <c r="AA14" s="565">
        <f>'CKROL PHT'!O82</f>
        <v>36</v>
      </c>
      <c r="AB14" s="716">
        <f t="shared" si="8"/>
        <v>0.53964000000000001</v>
      </c>
      <c r="AC14" s="565">
        <f>'CKROL PHT'!P82</f>
        <v>27</v>
      </c>
      <c r="AD14" s="565"/>
      <c r="AE14" s="565">
        <f>'CKROL PHT'!Q82</f>
        <v>37</v>
      </c>
      <c r="AF14" s="565"/>
      <c r="AG14" s="565">
        <f>'CKROL PHT'!R82</f>
        <v>0</v>
      </c>
      <c r="AH14" s="565"/>
      <c r="AI14" s="565">
        <f>'CKROL PHT'!S82</f>
        <v>318</v>
      </c>
      <c r="AJ14" s="565"/>
      <c r="AK14" s="718">
        <f>'CKROL PHT'!T82</f>
        <v>0</v>
      </c>
      <c r="AL14" s="718"/>
      <c r="AM14" s="565">
        <f>'CKROL PHT'!U82</f>
        <v>30</v>
      </c>
      <c r="AN14" s="565"/>
      <c r="AO14" s="565">
        <f>'CKROL PHT'!V82</f>
        <v>45</v>
      </c>
      <c r="AP14" s="565"/>
      <c r="AQ14" s="565">
        <f>'CKROL PHT'!W82</f>
        <v>41</v>
      </c>
      <c r="AR14" s="565"/>
      <c r="AS14" s="565">
        <f>'CKROL PHT'!X82</f>
        <v>42</v>
      </c>
      <c r="AT14" s="565"/>
      <c r="AU14" s="565">
        <f>'CKROL PHT'!Y82</f>
        <v>25</v>
      </c>
      <c r="AV14" s="565"/>
      <c r="AW14" s="565">
        <f>'CKROL PHT'!Z82</f>
        <v>25</v>
      </c>
      <c r="AX14" s="565"/>
      <c r="AY14" s="718">
        <f>'CKROL PHT'!AA82</f>
        <v>0</v>
      </c>
      <c r="AZ14" s="718"/>
      <c r="BA14" s="565">
        <f>'CKROL PHT'!AB82</f>
        <v>300</v>
      </c>
      <c r="BB14" s="565"/>
      <c r="BC14" s="565">
        <f>'CKROL PHT'!AC82</f>
        <v>26</v>
      </c>
      <c r="BD14" s="565"/>
      <c r="BE14" s="565">
        <f>'CKROL PHT'!AD82</f>
        <v>17</v>
      </c>
      <c r="BF14" s="565"/>
      <c r="BG14" s="718">
        <f>'CKROL PHT'!AE82</f>
        <v>27</v>
      </c>
      <c r="BH14" s="718"/>
      <c r="BI14" s="565">
        <f>'CKROL PHT'!AF82</f>
        <v>38</v>
      </c>
      <c r="BJ14" s="565"/>
      <c r="BK14" s="565">
        <f>'CKROL PHT'!AG82</f>
        <v>29</v>
      </c>
      <c r="BL14" s="565"/>
      <c r="BM14" s="512">
        <f t="shared" si="9"/>
        <v>1663</v>
      </c>
      <c r="BN14" s="720">
        <f t="shared" si="10"/>
        <v>24.928369999999997</v>
      </c>
    </row>
    <row r="15" spans="2:66" ht="21" customHeight="1">
      <c r="B15" s="512" t="str">
        <f>Sheet2!C17</f>
        <v>JAYADI</v>
      </c>
      <c r="C15" s="718">
        <f>'CKROL PHT'!C93</f>
        <v>0</v>
      </c>
      <c r="D15" s="718"/>
      <c r="E15" s="565">
        <f>'CKROL PHT'!D93</f>
        <v>75</v>
      </c>
      <c r="F15" s="716">
        <f t="shared" si="0"/>
        <v>1.12425</v>
      </c>
      <c r="G15" s="565">
        <f>'CKROL PHT'!E93</f>
        <v>41</v>
      </c>
      <c r="H15" s="716">
        <f t="shared" si="1"/>
        <v>0.61459000000000008</v>
      </c>
      <c r="I15" s="718">
        <f>'CKROL PHT'!F93</f>
        <v>0</v>
      </c>
      <c r="J15" s="718"/>
      <c r="K15" s="565">
        <f>'CKROL PHT'!G93</f>
        <v>23</v>
      </c>
      <c r="L15" s="716">
        <f t="shared" si="2"/>
        <v>0.34476999999999997</v>
      </c>
      <c r="M15" s="565">
        <f>'CKROL PHT'!H93</f>
        <v>54</v>
      </c>
      <c r="N15" s="716">
        <f t="shared" si="3"/>
        <v>0.80946000000000007</v>
      </c>
      <c r="O15" s="565">
        <f>'CKROL PHT'!I93</f>
        <v>55</v>
      </c>
      <c r="P15" s="716">
        <f t="shared" si="4"/>
        <v>0.82445000000000002</v>
      </c>
      <c r="Q15" s="565">
        <f>'CKROL PHT'!J93</f>
        <v>63</v>
      </c>
      <c r="R15" s="716">
        <f t="shared" si="5"/>
        <v>0.94437000000000004</v>
      </c>
      <c r="S15" s="565">
        <f>'CKROL PHT'!K93</f>
        <v>81</v>
      </c>
      <c r="T15" s="716">
        <f t="shared" si="6"/>
        <v>1.2141900000000001</v>
      </c>
      <c r="U15" s="565">
        <f>'CKROL PHT'!L93</f>
        <v>57</v>
      </c>
      <c r="V15" s="716">
        <f t="shared" si="7"/>
        <v>0.85443000000000002</v>
      </c>
      <c r="W15" s="718">
        <f>'CKROL PHT'!M93</f>
        <v>0</v>
      </c>
      <c r="X15" s="718"/>
      <c r="Y15" s="718">
        <f>'CKROL PHT'!N93</f>
        <v>130</v>
      </c>
      <c r="Z15" s="718"/>
      <c r="AA15" s="565">
        <f>'CKROL PHT'!O93</f>
        <v>35</v>
      </c>
      <c r="AB15" s="716">
        <f t="shared" si="8"/>
        <v>0.52464999999999995</v>
      </c>
      <c r="AC15" s="565">
        <f>'CKROL PHT'!P93</f>
        <v>26</v>
      </c>
      <c r="AD15" s="565"/>
      <c r="AE15" s="565">
        <f>'CKROL PHT'!Q93</f>
        <v>60</v>
      </c>
      <c r="AF15" s="565"/>
      <c r="AG15" s="565">
        <f>'CKROL PHT'!R93</f>
        <v>0</v>
      </c>
      <c r="AH15" s="565"/>
      <c r="AI15" s="565">
        <f>'CKROL PHT'!S93</f>
        <v>323</v>
      </c>
      <c r="AJ15" s="565"/>
      <c r="AK15" s="718">
        <f>'CKROL PHT'!T93</f>
        <v>0</v>
      </c>
      <c r="AL15" s="718"/>
      <c r="AM15" s="565">
        <f>'CKROL PHT'!U93</f>
        <v>45</v>
      </c>
      <c r="AN15" s="565"/>
      <c r="AO15" s="565">
        <f>'CKROL PHT'!V93</f>
        <v>51</v>
      </c>
      <c r="AP15" s="565"/>
      <c r="AQ15" s="565">
        <f>'CKROL PHT'!W93</f>
        <v>26</v>
      </c>
      <c r="AR15" s="565"/>
      <c r="AS15" s="565">
        <f>'CKROL PHT'!X93</f>
        <v>29</v>
      </c>
      <c r="AT15" s="565"/>
      <c r="AU15" s="565">
        <f>'CKROL PHT'!Y93</f>
        <v>15</v>
      </c>
      <c r="AV15" s="565"/>
      <c r="AW15" s="565">
        <f>'CKROL PHT'!Z93</f>
        <v>20</v>
      </c>
      <c r="AX15" s="565"/>
      <c r="AY15" s="718">
        <f>'CKROL PHT'!AA93</f>
        <v>0</v>
      </c>
      <c r="AZ15" s="718"/>
      <c r="BA15" s="565">
        <f>'CKROL PHT'!AB93</f>
        <v>25</v>
      </c>
      <c r="BB15" s="565"/>
      <c r="BC15" s="565">
        <f>'CKROL PHT'!AC93</f>
        <v>20</v>
      </c>
      <c r="BD15" s="565"/>
      <c r="BE15" s="565">
        <f>'CKROL PHT'!AD93</f>
        <v>0</v>
      </c>
      <c r="BF15" s="565"/>
      <c r="BG15" s="718">
        <f>'CKROL PHT'!AE93</f>
        <v>19</v>
      </c>
      <c r="BH15" s="718"/>
      <c r="BI15" s="565">
        <f>'CKROL PHT'!AF93</f>
        <v>21</v>
      </c>
      <c r="BJ15" s="565"/>
      <c r="BK15" s="565">
        <f>'CKROL PHT'!AG93</f>
        <v>28</v>
      </c>
      <c r="BL15" s="565"/>
      <c r="BM15" s="512">
        <f t="shared" si="9"/>
        <v>1322</v>
      </c>
      <c r="BN15" s="720">
        <f t="shared" si="10"/>
        <v>19.816779999999998</v>
      </c>
    </row>
    <row r="16" spans="2:66" ht="21" customHeight="1">
      <c r="B16" s="512" t="str">
        <f>Sheet2!C18</f>
        <v>M.AMIN</v>
      </c>
      <c r="C16" s="718">
        <f>'CKROL PHT'!C104</f>
        <v>0</v>
      </c>
      <c r="D16" s="718"/>
      <c r="E16" s="565">
        <f>'CKROL PHT'!D104</f>
        <v>0</v>
      </c>
      <c r="F16" s="716">
        <f t="shared" si="0"/>
        <v>0</v>
      </c>
      <c r="G16" s="565">
        <f>'CKROL PHT'!E104</f>
        <v>56</v>
      </c>
      <c r="H16" s="716">
        <f t="shared" si="1"/>
        <v>0.83944000000000007</v>
      </c>
      <c r="I16" s="718">
        <f>'CKROL PHT'!F104</f>
        <v>0</v>
      </c>
      <c r="J16" s="718"/>
      <c r="K16" s="565">
        <f>'CKROL PHT'!G104</f>
        <v>40</v>
      </c>
      <c r="L16" s="716">
        <f t="shared" si="2"/>
        <v>0.59960000000000002</v>
      </c>
      <c r="M16" s="565">
        <f>'CKROL PHT'!H104</f>
        <v>50</v>
      </c>
      <c r="N16" s="716">
        <f t="shared" si="3"/>
        <v>0.74950000000000006</v>
      </c>
      <c r="O16" s="565">
        <f>'CKROL PHT'!I104</f>
        <v>64</v>
      </c>
      <c r="P16" s="716">
        <f t="shared" si="4"/>
        <v>0.95935999999999999</v>
      </c>
      <c r="Q16" s="565">
        <f>'CKROL PHT'!J104</f>
        <v>55</v>
      </c>
      <c r="R16" s="716">
        <f t="shared" si="5"/>
        <v>0.82445000000000002</v>
      </c>
      <c r="S16" s="565">
        <f>'CKROL PHT'!K104</f>
        <v>46</v>
      </c>
      <c r="T16" s="716">
        <f t="shared" si="6"/>
        <v>0.68953999999999993</v>
      </c>
      <c r="U16" s="565">
        <f>'CKROL PHT'!L104</f>
        <v>48</v>
      </c>
      <c r="V16" s="716">
        <f t="shared" si="7"/>
        <v>0.71951999999999994</v>
      </c>
      <c r="W16" s="718">
        <f>'CKROL PHT'!M104</f>
        <v>0</v>
      </c>
      <c r="X16" s="718"/>
      <c r="Y16" s="718">
        <f>'CKROL PHT'!N104</f>
        <v>50</v>
      </c>
      <c r="Z16" s="718"/>
      <c r="AA16" s="565">
        <f>'CKROL PHT'!O104</f>
        <v>29</v>
      </c>
      <c r="AB16" s="716">
        <f t="shared" si="8"/>
        <v>0.43470999999999999</v>
      </c>
      <c r="AC16" s="565">
        <f>'CKROL PHT'!P104</f>
        <v>61</v>
      </c>
      <c r="AD16" s="565"/>
      <c r="AE16" s="565">
        <f>'CKROL PHT'!Q104</f>
        <v>63</v>
      </c>
      <c r="AF16" s="565"/>
      <c r="AG16" s="565">
        <f>'CKROL PHT'!R104</f>
        <v>0</v>
      </c>
      <c r="AH16" s="565"/>
      <c r="AI16" s="565">
        <f>'CKROL PHT'!S104</f>
        <v>0</v>
      </c>
      <c r="AJ16" s="565"/>
      <c r="AK16" s="718">
        <f>'CKROL PHT'!T104</f>
        <v>0</v>
      </c>
      <c r="AL16" s="718"/>
      <c r="AM16" s="565">
        <f>'CKROL PHT'!U104</f>
        <v>21</v>
      </c>
      <c r="AN16" s="565"/>
      <c r="AO16" s="565">
        <f>'CKROL PHT'!V104</f>
        <v>34</v>
      </c>
      <c r="AP16" s="565"/>
      <c r="AQ16" s="565">
        <f>'CKROL PHT'!W104</f>
        <v>40</v>
      </c>
      <c r="AR16" s="565"/>
      <c r="AS16" s="565">
        <f>'CKROL PHT'!X104</f>
        <v>31</v>
      </c>
      <c r="AT16" s="565"/>
      <c r="AU16" s="565">
        <f>'CKROL PHT'!Y104</f>
        <v>37</v>
      </c>
      <c r="AV16" s="565"/>
      <c r="AW16" s="565">
        <f>'CKROL PHT'!Z104</f>
        <v>36</v>
      </c>
      <c r="AX16" s="565"/>
      <c r="AY16" s="718">
        <f>'CKROL PHT'!AA104</f>
        <v>0</v>
      </c>
      <c r="AZ16" s="718"/>
      <c r="BA16" s="565">
        <f>'CKROL PHT'!AB104</f>
        <v>30</v>
      </c>
      <c r="BB16" s="565"/>
      <c r="BC16" s="565">
        <f>'CKROL PHT'!AC104</f>
        <v>20</v>
      </c>
      <c r="BD16" s="565"/>
      <c r="BE16" s="565">
        <f>'CKROL PHT'!AD104</f>
        <v>28</v>
      </c>
      <c r="BF16" s="565"/>
      <c r="BG16" s="718">
        <f>'CKROL PHT'!AE104</f>
        <v>16</v>
      </c>
      <c r="BH16" s="718"/>
      <c r="BI16" s="565">
        <f>'CKROL PHT'!AF104</f>
        <v>6</v>
      </c>
      <c r="BJ16" s="565"/>
      <c r="BK16" s="565">
        <f>'CKROL PHT'!AG104</f>
        <v>26</v>
      </c>
      <c r="BL16" s="565"/>
      <c r="BM16" s="512">
        <f t="shared" si="9"/>
        <v>887</v>
      </c>
      <c r="BN16" s="720">
        <f t="shared" si="10"/>
        <v>13.296130000000002</v>
      </c>
    </row>
    <row r="17" spans="2:66" ht="21" customHeight="1">
      <c r="B17" s="512" t="str">
        <f>Sheet2!C19</f>
        <v>SAMSUL HADI</v>
      </c>
      <c r="C17" s="718">
        <f>'CKROL PHT'!C115</f>
        <v>0</v>
      </c>
      <c r="D17" s="718"/>
      <c r="E17" s="565">
        <f>'CKROL PHT'!D115</f>
        <v>95</v>
      </c>
      <c r="F17" s="716">
        <f t="shared" si="0"/>
        <v>1.42405</v>
      </c>
      <c r="G17" s="565">
        <f>'CKROL PHT'!E115</f>
        <v>40</v>
      </c>
      <c r="H17" s="716">
        <f t="shared" si="1"/>
        <v>0.59960000000000002</v>
      </c>
      <c r="I17" s="718">
        <f>'CKROL PHT'!F115</f>
        <v>0</v>
      </c>
      <c r="J17" s="718"/>
      <c r="K17" s="565">
        <f>'CKROL PHT'!G115</f>
        <v>60</v>
      </c>
      <c r="L17" s="716">
        <f t="shared" si="2"/>
        <v>0.89939999999999998</v>
      </c>
      <c r="M17" s="565">
        <f>'CKROL PHT'!H115</f>
        <v>60</v>
      </c>
      <c r="N17" s="716">
        <f t="shared" si="3"/>
        <v>0.89939999999999998</v>
      </c>
      <c r="O17" s="565">
        <f>'CKROL PHT'!I115</f>
        <v>62</v>
      </c>
      <c r="P17" s="716">
        <f t="shared" si="4"/>
        <v>0.92937999999999998</v>
      </c>
      <c r="Q17" s="565">
        <f>'CKROL PHT'!J115</f>
        <v>78</v>
      </c>
      <c r="R17" s="716">
        <f t="shared" si="5"/>
        <v>1.1692199999999999</v>
      </c>
      <c r="S17" s="565">
        <f>'CKROL PHT'!K115</f>
        <v>45</v>
      </c>
      <c r="T17" s="716">
        <f t="shared" si="6"/>
        <v>0.67454999999999998</v>
      </c>
      <c r="U17" s="565">
        <f>'CKROL PHT'!L115</f>
        <v>58</v>
      </c>
      <c r="V17" s="716">
        <f t="shared" si="7"/>
        <v>0.86941999999999997</v>
      </c>
      <c r="W17" s="718">
        <f>'CKROL PHT'!M115</f>
        <v>0</v>
      </c>
      <c r="X17" s="718"/>
      <c r="Y17" s="718">
        <f>'CKROL PHT'!N115</f>
        <v>74</v>
      </c>
      <c r="Z17" s="718"/>
      <c r="AA17" s="565">
        <f>'CKROL PHT'!O115</f>
        <v>27</v>
      </c>
      <c r="AB17" s="716">
        <f t="shared" si="8"/>
        <v>0.40473000000000003</v>
      </c>
      <c r="AC17" s="565">
        <f>'CKROL PHT'!P115</f>
        <v>34</v>
      </c>
      <c r="AD17" s="565"/>
      <c r="AE17" s="565">
        <f>'CKROL PHT'!Q115</f>
        <v>47</v>
      </c>
      <c r="AF17" s="565"/>
      <c r="AG17" s="565">
        <f>'CKROL PHT'!R115</f>
        <v>0</v>
      </c>
      <c r="AH17" s="565"/>
      <c r="AI17" s="565">
        <f>'CKROL PHT'!S115</f>
        <v>52</v>
      </c>
      <c r="AJ17" s="565"/>
      <c r="AK17" s="718">
        <f>'CKROL PHT'!T115</f>
        <v>0</v>
      </c>
      <c r="AL17" s="718"/>
      <c r="AM17" s="565">
        <f>'CKROL PHT'!U115</f>
        <v>60</v>
      </c>
      <c r="AN17" s="565"/>
      <c r="AO17" s="565">
        <f>'CKROL PHT'!V115</f>
        <v>40</v>
      </c>
      <c r="AP17" s="565"/>
      <c r="AQ17" s="565">
        <f>'CKROL PHT'!W115</f>
        <v>33</v>
      </c>
      <c r="AR17" s="565"/>
      <c r="AS17" s="565">
        <f>'CKROL PHT'!X115</f>
        <v>27</v>
      </c>
      <c r="AT17" s="565"/>
      <c r="AU17" s="565">
        <f>'CKROL PHT'!Y115</f>
        <v>27</v>
      </c>
      <c r="AV17" s="565"/>
      <c r="AW17" s="565">
        <f>'CKROL PHT'!Z115</f>
        <v>38</v>
      </c>
      <c r="AX17" s="565"/>
      <c r="AY17" s="718">
        <f>'CKROL PHT'!AA115</f>
        <v>0</v>
      </c>
      <c r="AZ17" s="718"/>
      <c r="BA17" s="565">
        <f>'CKROL PHT'!AB115</f>
        <v>291</v>
      </c>
      <c r="BB17" s="565"/>
      <c r="BC17" s="565">
        <f>'CKROL PHT'!AC115</f>
        <v>0</v>
      </c>
      <c r="BD17" s="565"/>
      <c r="BE17" s="565">
        <f>'CKROL PHT'!AD115</f>
        <v>17</v>
      </c>
      <c r="BF17" s="565"/>
      <c r="BG17" s="718">
        <f>'CKROL PHT'!AE115</f>
        <v>60</v>
      </c>
      <c r="BH17" s="718"/>
      <c r="BI17" s="565">
        <f>'CKROL PHT'!AF115</f>
        <v>18</v>
      </c>
      <c r="BJ17" s="565"/>
      <c r="BK17" s="565">
        <f>'CKROL PHT'!AG115</f>
        <v>56</v>
      </c>
      <c r="BL17" s="565"/>
      <c r="BM17" s="512">
        <f t="shared" si="9"/>
        <v>1399</v>
      </c>
      <c r="BN17" s="720">
        <f t="shared" si="10"/>
        <v>20.971010000000003</v>
      </c>
    </row>
    <row r="18" spans="2:66" ht="21" customHeight="1">
      <c r="B18" s="512" t="str">
        <f>Sheet2!C20</f>
        <v>SAPARUDIN</v>
      </c>
      <c r="C18" s="718">
        <f>'CKROL PHT'!C126</f>
        <v>0</v>
      </c>
      <c r="D18" s="718"/>
      <c r="E18" s="565">
        <f>'CKROL PHT'!D126</f>
        <v>45</v>
      </c>
      <c r="F18" s="716">
        <f t="shared" si="0"/>
        <v>0.67454999999999998</v>
      </c>
      <c r="G18" s="565">
        <f>'CKROL PHT'!E126</f>
        <v>50</v>
      </c>
      <c r="H18" s="716">
        <f t="shared" si="1"/>
        <v>0.74950000000000006</v>
      </c>
      <c r="I18" s="718">
        <f>'CKROL PHT'!F126</f>
        <v>0</v>
      </c>
      <c r="J18" s="718"/>
      <c r="K18" s="565">
        <f>'CKROL PHT'!G126</f>
        <v>72</v>
      </c>
      <c r="L18" s="716">
        <f t="shared" si="2"/>
        <v>1.07928</v>
      </c>
      <c r="M18" s="565">
        <f>'CKROL PHT'!H126</f>
        <v>58</v>
      </c>
      <c r="N18" s="716">
        <f t="shared" si="3"/>
        <v>0.86941999999999997</v>
      </c>
      <c r="O18" s="565">
        <f>'CKROL PHT'!I126</f>
        <v>33</v>
      </c>
      <c r="P18" s="716">
        <f t="shared" si="4"/>
        <v>0.49467</v>
      </c>
      <c r="Q18" s="565">
        <f>'CKROL PHT'!J126</f>
        <v>151</v>
      </c>
      <c r="R18" s="716">
        <f t="shared" si="5"/>
        <v>2.2634900000000004</v>
      </c>
      <c r="S18" s="565">
        <f>'CKROL PHT'!K126</f>
        <v>46</v>
      </c>
      <c r="T18" s="716">
        <f t="shared" si="6"/>
        <v>0.68953999999999993</v>
      </c>
      <c r="U18" s="565">
        <f>'CKROL PHT'!L126</f>
        <v>50</v>
      </c>
      <c r="V18" s="716">
        <f t="shared" si="7"/>
        <v>0.74950000000000006</v>
      </c>
      <c r="W18" s="718">
        <f>'CKROL PHT'!M126</f>
        <v>0</v>
      </c>
      <c r="X18" s="718"/>
      <c r="Y18" s="718">
        <f>'CKROL PHT'!N126</f>
        <v>46</v>
      </c>
      <c r="Z18" s="718"/>
      <c r="AA18" s="565">
        <f>'CKROL PHT'!O126</f>
        <v>25</v>
      </c>
      <c r="AB18" s="716">
        <f t="shared" si="8"/>
        <v>0.37475000000000003</v>
      </c>
      <c r="AC18" s="565">
        <f>'CKROL PHT'!P126</f>
        <v>26</v>
      </c>
      <c r="AD18" s="565"/>
      <c r="AE18" s="565">
        <f>'CKROL PHT'!Q126</f>
        <v>45</v>
      </c>
      <c r="AF18" s="565"/>
      <c r="AG18" s="565">
        <f>'CKROL PHT'!R126</f>
        <v>0</v>
      </c>
      <c r="AH18" s="565"/>
      <c r="AI18" s="565">
        <f>'CKROL PHT'!S126</f>
        <v>89</v>
      </c>
      <c r="AJ18" s="565"/>
      <c r="AK18" s="718">
        <f>'CKROL PHT'!T126</f>
        <v>0</v>
      </c>
      <c r="AL18" s="718"/>
      <c r="AM18" s="565">
        <f>'CKROL PHT'!U126</f>
        <v>89</v>
      </c>
      <c r="AN18" s="565"/>
      <c r="AO18" s="565">
        <f>'CKROL PHT'!V126</f>
        <v>31</v>
      </c>
      <c r="AP18" s="565"/>
      <c r="AQ18" s="565">
        <f>'CKROL PHT'!W126</f>
        <v>53</v>
      </c>
      <c r="AR18" s="565"/>
      <c r="AS18" s="565">
        <f>'CKROL PHT'!X126</f>
        <v>30</v>
      </c>
      <c r="AT18" s="565"/>
      <c r="AU18" s="565">
        <f>'CKROL PHT'!Y126</f>
        <v>20</v>
      </c>
      <c r="AV18" s="565"/>
      <c r="AW18" s="565">
        <f>'CKROL PHT'!Z126</f>
        <v>40</v>
      </c>
      <c r="AX18" s="565"/>
      <c r="AY18" s="718">
        <f>'CKROL PHT'!AA126</f>
        <v>0</v>
      </c>
      <c r="AZ18" s="718"/>
      <c r="BA18" s="565">
        <f>'CKROL PHT'!AB126</f>
        <v>150</v>
      </c>
      <c r="BB18" s="565"/>
      <c r="BC18" s="565">
        <f>'CKROL PHT'!AC126</f>
        <v>20</v>
      </c>
      <c r="BD18" s="565"/>
      <c r="BE18" s="565">
        <f>'CKROL PHT'!AD126</f>
        <v>21</v>
      </c>
      <c r="BF18" s="565"/>
      <c r="BG18" s="718">
        <f>'CKROL PHT'!AE126</f>
        <v>65</v>
      </c>
      <c r="BH18" s="718"/>
      <c r="BI18" s="565">
        <f>'CKROL PHT'!AF126</f>
        <v>39</v>
      </c>
      <c r="BJ18" s="565"/>
      <c r="BK18" s="565">
        <f>'CKROL PHT'!AG126</f>
        <v>28</v>
      </c>
      <c r="BL18" s="565"/>
      <c r="BM18" s="512">
        <f t="shared" si="9"/>
        <v>1322</v>
      </c>
      <c r="BN18" s="720">
        <f t="shared" si="10"/>
        <v>19.816779999999998</v>
      </c>
    </row>
    <row r="19" spans="2:66" ht="21" customHeight="1">
      <c r="B19" s="512" t="str">
        <f>Sheet2!C21</f>
        <v>FAHRUDIN</v>
      </c>
      <c r="C19" s="718">
        <f>'CKROL PHT'!C137</f>
        <v>0</v>
      </c>
      <c r="D19" s="718"/>
      <c r="E19" s="565">
        <f>'CKROL PHT'!D137</f>
        <v>79</v>
      </c>
      <c r="F19" s="716">
        <f t="shared" si="0"/>
        <v>1.18421</v>
      </c>
      <c r="G19" s="565">
        <f>'CKROL PHT'!E137</f>
        <v>119</v>
      </c>
      <c r="H19" s="716">
        <f t="shared" si="1"/>
        <v>1.7838099999999999</v>
      </c>
      <c r="I19" s="718">
        <f>'CKROL PHT'!F137</f>
        <v>0</v>
      </c>
      <c r="J19" s="718"/>
      <c r="K19" s="565">
        <f>'CKROL PHT'!G137</f>
        <v>949</v>
      </c>
      <c r="L19" s="716">
        <f t="shared" si="2"/>
        <v>14.22551</v>
      </c>
      <c r="M19" s="565">
        <f>'CKROL PHT'!H137</f>
        <v>59</v>
      </c>
      <c r="N19" s="716">
        <f t="shared" si="3"/>
        <v>0.88440999999999992</v>
      </c>
      <c r="O19" s="565">
        <f>'CKROL PHT'!I137</f>
        <v>80</v>
      </c>
      <c r="P19" s="716">
        <f t="shared" si="4"/>
        <v>1.1992</v>
      </c>
      <c r="Q19" s="565">
        <f>'CKROL PHT'!J137</f>
        <v>51</v>
      </c>
      <c r="R19" s="716">
        <f t="shared" si="5"/>
        <v>0.76449</v>
      </c>
      <c r="S19" s="565">
        <f>'CKROL PHT'!K137</f>
        <v>65</v>
      </c>
      <c r="T19" s="716">
        <f t="shared" si="6"/>
        <v>0.97435000000000005</v>
      </c>
      <c r="U19" s="565">
        <f>'CKROL PHT'!L137</f>
        <v>28</v>
      </c>
      <c r="V19" s="716">
        <f t="shared" si="7"/>
        <v>0.41972000000000004</v>
      </c>
      <c r="W19" s="718">
        <f>'CKROL PHT'!M137</f>
        <v>0</v>
      </c>
      <c r="X19" s="718"/>
      <c r="Y19" s="718">
        <f>'CKROL PHT'!N137</f>
        <v>89</v>
      </c>
      <c r="Z19" s="718"/>
      <c r="AA19" s="565">
        <f>'CKROL PHT'!O137</f>
        <v>26</v>
      </c>
      <c r="AB19" s="716">
        <f t="shared" si="8"/>
        <v>0.38974000000000003</v>
      </c>
      <c r="AC19" s="565">
        <f>'CKROL PHT'!P137</f>
        <v>44</v>
      </c>
      <c r="AD19" s="565"/>
      <c r="AE19" s="565">
        <f>'CKROL PHT'!Q137</f>
        <v>43</v>
      </c>
      <c r="AF19" s="565"/>
      <c r="AG19" s="565">
        <f>'CKROL PHT'!R137</f>
        <v>0</v>
      </c>
      <c r="AH19" s="565"/>
      <c r="AI19" s="565">
        <f>'CKROL PHT'!S137</f>
        <v>55</v>
      </c>
      <c r="AJ19" s="565"/>
      <c r="AK19" s="718">
        <f>'CKROL PHT'!T137</f>
        <v>0</v>
      </c>
      <c r="AL19" s="718"/>
      <c r="AM19" s="565">
        <f>'CKROL PHT'!U137</f>
        <v>294</v>
      </c>
      <c r="AN19" s="565"/>
      <c r="AO19" s="565">
        <f>'CKROL PHT'!V137</f>
        <v>0</v>
      </c>
      <c r="AP19" s="565"/>
      <c r="AQ19" s="565">
        <f>'CKROL PHT'!W137</f>
        <v>49</v>
      </c>
      <c r="AR19" s="565"/>
      <c r="AS19" s="565">
        <f>'CKROL PHT'!X137</f>
        <v>36</v>
      </c>
      <c r="AT19" s="565"/>
      <c r="AU19" s="565">
        <f>'CKROL PHT'!Y137</f>
        <v>38</v>
      </c>
      <c r="AV19" s="565"/>
      <c r="AW19" s="565">
        <f>'CKROL PHT'!Z137</f>
        <v>52</v>
      </c>
      <c r="AX19" s="565"/>
      <c r="AY19" s="718">
        <f>'CKROL PHT'!AA137</f>
        <v>0</v>
      </c>
      <c r="AZ19" s="718"/>
      <c r="BA19" s="565">
        <f>'CKROL PHT'!AB137</f>
        <v>67</v>
      </c>
      <c r="BB19" s="565"/>
      <c r="BC19" s="565">
        <f>'CKROL PHT'!AC137</f>
        <v>21</v>
      </c>
      <c r="BD19" s="565"/>
      <c r="BE19" s="565">
        <f>'CKROL PHT'!AD137</f>
        <v>17</v>
      </c>
      <c r="BF19" s="565"/>
      <c r="BG19" s="718">
        <f>'CKROL PHT'!AE137</f>
        <v>15</v>
      </c>
      <c r="BH19" s="718"/>
      <c r="BI19" s="565">
        <f>'CKROL PHT'!AF137</f>
        <v>0</v>
      </c>
      <c r="BJ19" s="565"/>
      <c r="BK19" s="565">
        <f>'CKROL PHT'!AG137</f>
        <v>32</v>
      </c>
      <c r="BL19" s="565"/>
      <c r="BM19" s="512">
        <f t="shared" si="9"/>
        <v>2308</v>
      </c>
      <c r="BN19" s="720">
        <f t="shared" si="10"/>
        <v>34.596919999999997</v>
      </c>
    </row>
    <row r="20" spans="2:66" ht="21" customHeight="1">
      <c r="B20" s="512" t="str">
        <f>Sheet2!C22</f>
        <v>HERIANTO ARBI</v>
      </c>
      <c r="C20" s="718">
        <f>'CKROL PHT'!C148</f>
        <v>0</v>
      </c>
      <c r="D20" s="718"/>
      <c r="E20" s="565">
        <f>'CKROL PHT'!D148</f>
        <v>72</v>
      </c>
      <c r="F20" s="716">
        <f t="shared" si="0"/>
        <v>1.07928</v>
      </c>
      <c r="G20" s="565">
        <f>'CKROL PHT'!E148</f>
        <v>40</v>
      </c>
      <c r="H20" s="716">
        <f t="shared" si="1"/>
        <v>0.59960000000000002</v>
      </c>
      <c r="I20" s="718">
        <f>'CKROL PHT'!F148</f>
        <v>0</v>
      </c>
      <c r="J20" s="718"/>
      <c r="K20" s="565">
        <f>'CKROL PHT'!G148</f>
        <v>85</v>
      </c>
      <c r="L20" s="716">
        <f t="shared" si="2"/>
        <v>1.2741500000000001</v>
      </c>
      <c r="M20" s="565">
        <f>'CKROL PHT'!H148</f>
        <v>53</v>
      </c>
      <c r="N20" s="716">
        <f t="shared" si="3"/>
        <v>0.79447000000000001</v>
      </c>
      <c r="O20" s="565">
        <f>'CKROL PHT'!I148</f>
        <v>44</v>
      </c>
      <c r="P20" s="716">
        <f t="shared" si="4"/>
        <v>0.65956000000000004</v>
      </c>
      <c r="Q20" s="565">
        <f>'CKROL PHT'!J148</f>
        <v>90</v>
      </c>
      <c r="R20" s="716">
        <f t="shared" si="5"/>
        <v>1.3491</v>
      </c>
      <c r="S20" s="565">
        <f>'CKROL PHT'!K148</f>
        <v>56</v>
      </c>
      <c r="T20" s="716">
        <f t="shared" si="6"/>
        <v>0.83944000000000007</v>
      </c>
      <c r="U20" s="565">
        <f>'CKROL PHT'!L148</f>
        <v>38</v>
      </c>
      <c r="V20" s="716">
        <f t="shared" si="7"/>
        <v>0.56962000000000002</v>
      </c>
      <c r="W20" s="718">
        <f>'CKROL PHT'!M148</f>
        <v>0</v>
      </c>
      <c r="X20" s="718"/>
      <c r="Y20" s="718">
        <f>'CKROL PHT'!N148</f>
        <v>67</v>
      </c>
      <c r="Z20" s="718"/>
      <c r="AA20" s="565">
        <f>'CKROL PHT'!O148</f>
        <v>36</v>
      </c>
      <c r="AB20" s="716">
        <f t="shared" si="8"/>
        <v>0.53964000000000001</v>
      </c>
      <c r="AC20" s="565">
        <f>'CKROL PHT'!P148</f>
        <v>44</v>
      </c>
      <c r="AD20" s="565"/>
      <c r="AE20" s="565">
        <f>'CKROL PHT'!Q148</f>
        <v>59</v>
      </c>
      <c r="AF20" s="565"/>
      <c r="AG20" s="565">
        <f>'CKROL PHT'!R148</f>
        <v>0</v>
      </c>
      <c r="AH20" s="565"/>
      <c r="AI20" s="565">
        <f>'CKROL PHT'!S148</f>
        <v>49</v>
      </c>
      <c r="AJ20" s="565"/>
      <c r="AK20" s="718">
        <f>'CKROL PHT'!T148</f>
        <v>0</v>
      </c>
      <c r="AL20" s="718"/>
      <c r="AM20" s="565">
        <f>'CKROL PHT'!U148</f>
        <v>45</v>
      </c>
      <c r="AN20" s="565"/>
      <c r="AO20" s="565">
        <f>'CKROL PHT'!V148</f>
        <v>40</v>
      </c>
      <c r="AP20" s="565"/>
      <c r="AQ20" s="565">
        <f>'CKROL PHT'!W148</f>
        <v>0</v>
      </c>
      <c r="AR20" s="565"/>
      <c r="AS20" s="565">
        <f>'CKROL PHT'!X148</f>
        <v>30</v>
      </c>
      <c r="AT20" s="565"/>
      <c r="AU20" s="565">
        <f>'CKROL PHT'!Y148</f>
        <v>34</v>
      </c>
      <c r="AV20" s="565"/>
      <c r="AW20" s="565">
        <f>'CKROL PHT'!Z148</f>
        <v>44</v>
      </c>
      <c r="AX20" s="565"/>
      <c r="AY20" s="718">
        <f>'CKROL PHT'!AA148</f>
        <v>0</v>
      </c>
      <c r="AZ20" s="718"/>
      <c r="BA20" s="565">
        <f>'CKROL PHT'!AB148</f>
        <v>10</v>
      </c>
      <c r="BB20" s="565"/>
      <c r="BC20" s="565">
        <f>'CKROL PHT'!AC148</f>
        <v>20</v>
      </c>
      <c r="BD20" s="565"/>
      <c r="BE20" s="565">
        <f>'CKROL PHT'!AD148</f>
        <v>36</v>
      </c>
      <c r="BF20" s="565"/>
      <c r="BG20" s="718">
        <f>'CKROL PHT'!AE148</f>
        <v>40</v>
      </c>
      <c r="BH20" s="718"/>
      <c r="BI20" s="565">
        <f>'CKROL PHT'!AF148</f>
        <v>55</v>
      </c>
      <c r="BJ20" s="565"/>
      <c r="BK20" s="565">
        <f>'CKROL PHT'!AG148</f>
        <v>25</v>
      </c>
      <c r="BL20" s="565"/>
      <c r="BM20" s="512">
        <f t="shared" si="9"/>
        <v>1112</v>
      </c>
      <c r="BN20" s="720">
        <f t="shared" si="10"/>
        <v>16.668880000000001</v>
      </c>
    </row>
    <row r="21" spans="2:66" ht="21" customHeight="1">
      <c r="B21" s="512" t="str">
        <f>Sheet2!C23</f>
        <v>RIDUAN</v>
      </c>
      <c r="C21" s="718">
        <f>'CKROL PHT'!C159</f>
        <v>0</v>
      </c>
      <c r="D21" s="718"/>
      <c r="E21" s="565">
        <f>'CKROL PHT'!D159</f>
        <v>37</v>
      </c>
      <c r="F21" s="716">
        <f t="shared" si="0"/>
        <v>0.55462999999999996</v>
      </c>
      <c r="G21" s="565">
        <f>'CKROL PHT'!E159</f>
        <v>35</v>
      </c>
      <c r="H21" s="716">
        <f t="shared" si="1"/>
        <v>0.52464999999999995</v>
      </c>
      <c r="I21" s="718">
        <f>'CKROL PHT'!F159</f>
        <v>0</v>
      </c>
      <c r="J21" s="718"/>
      <c r="K21" s="565">
        <f>'CKROL PHT'!G159</f>
        <v>29</v>
      </c>
      <c r="L21" s="716">
        <f t="shared" si="2"/>
        <v>0.43470999999999999</v>
      </c>
      <c r="M21" s="565">
        <f>'CKROL PHT'!H159</f>
        <v>21</v>
      </c>
      <c r="N21" s="716">
        <f t="shared" si="3"/>
        <v>0.31479000000000001</v>
      </c>
      <c r="O21" s="565">
        <f>'CKROL PHT'!I159</f>
        <v>43</v>
      </c>
      <c r="P21" s="716">
        <f t="shared" si="4"/>
        <v>0.64457000000000009</v>
      </c>
      <c r="Q21" s="565">
        <f>'CKROL PHT'!J159</f>
        <v>52</v>
      </c>
      <c r="R21" s="716">
        <f t="shared" si="5"/>
        <v>0.77948000000000006</v>
      </c>
      <c r="S21" s="565">
        <f>'CKROL PHT'!K159</f>
        <v>26</v>
      </c>
      <c r="T21" s="716">
        <f t="shared" si="6"/>
        <v>0.38974000000000003</v>
      </c>
      <c r="U21" s="565">
        <f>'CKROL PHT'!L159</f>
        <v>35</v>
      </c>
      <c r="V21" s="716">
        <f t="shared" si="7"/>
        <v>0.52464999999999995</v>
      </c>
      <c r="W21" s="718">
        <f>'CKROL PHT'!M159</f>
        <v>0</v>
      </c>
      <c r="X21" s="718"/>
      <c r="Y21" s="718">
        <f>'CKROL PHT'!N159</f>
        <v>56</v>
      </c>
      <c r="Z21" s="718"/>
      <c r="AA21" s="565">
        <f>'CKROL PHT'!O159</f>
        <v>18</v>
      </c>
      <c r="AB21" s="716">
        <f t="shared" si="8"/>
        <v>0.26982</v>
      </c>
      <c r="AC21" s="565">
        <f>'CKROL PHT'!P159</f>
        <v>25</v>
      </c>
      <c r="AD21" s="565"/>
      <c r="AE21" s="565">
        <f>'CKROL PHT'!Q159</f>
        <v>31</v>
      </c>
      <c r="AF21" s="565"/>
      <c r="AG21" s="565">
        <f>'CKROL PHT'!R159</f>
        <v>0</v>
      </c>
      <c r="AH21" s="565"/>
      <c r="AI21" s="565">
        <f>'CKROL PHT'!S159</f>
        <v>47</v>
      </c>
      <c r="AJ21" s="565"/>
      <c r="AK21" s="718">
        <f>'CKROL PHT'!T159</f>
        <v>0</v>
      </c>
      <c r="AL21" s="718"/>
      <c r="AM21" s="565">
        <f>'CKROL PHT'!U159</f>
        <v>52</v>
      </c>
      <c r="AN21" s="565"/>
      <c r="AO21" s="565">
        <f>'CKROL PHT'!V159</f>
        <v>30</v>
      </c>
      <c r="AP21" s="565"/>
      <c r="AQ21" s="565">
        <f>'CKROL PHT'!W159</f>
        <v>53</v>
      </c>
      <c r="AR21" s="565"/>
      <c r="AS21" s="565">
        <f>'CKROL PHT'!X159</f>
        <v>31</v>
      </c>
      <c r="AT21" s="565"/>
      <c r="AU21" s="565">
        <f>'CKROL PHT'!Y159</f>
        <v>21</v>
      </c>
      <c r="AV21" s="565"/>
      <c r="AW21" s="565">
        <f>'CKROL PHT'!Z159</f>
        <v>25</v>
      </c>
      <c r="AX21" s="565"/>
      <c r="AY21" s="718">
        <f>'CKROL PHT'!AA159</f>
        <v>0</v>
      </c>
      <c r="AZ21" s="718"/>
      <c r="BA21" s="565">
        <f>'CKROL PHT'!AB159</f>
        <v>27</v>
      </c>
      <c r="BB21" s="565"/>
      <c r="BC21" s="565">
        <f>'CKROL PHT'!AC159</f>
        <v>20</v>
      </c>
      <c r="BD21" s="565"/>
      <c r="BE21" s="565">
        <f>'CKROL PHT'!AD159</f>
        <v>17</v>
      </c>
      <c r="BF21" s="565"/>
      <c r="BG21" s="718">
        <f>'CKROL PHT'!AE159</f>
        <v>35</v>
      </c>
      <c r="BH21" s="718"/>
      <c r="BI21" s="565">
        <f>'CKROL PHT'!AF159</f>
        <v>47</v>
      </c>
      <c r="BJ21" s="565"/>
      <c r="BK21" s="565">
        <f>'CKROL PHT'!AG159</f>
        <v>25</v>
      </c>
      <c r="BL21" s="565"/>
      <c r="BM21" s="512">
        <f t="shared" si="9"/>
        <v>838</v>
      </c>
      <c r="BN21" s="720">
        <f t="shared" si="10"/>
        <v>12.561620000000001</v>
      </c>
    </row>
  </sheetData>
  <mergeCells count="34">
    <mergeCell ref="K6:L6"/>
    <mergeCell ref="B5:B7"/>
    <mergeCell ref="C6:D6"/>
    <mergeCell ref="E6:F6"/>
    <mergeCell ref="G6:H6"/>
    <mergeCell ref="I6:J6"/>
    <mergeCell ref="AI6:AJ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E6:AF6"/>
    <mergeCell ref="AG6:AH6"/>
    <mergeCell ref="BK6:BL6"/>
    <mergeCell ref="C5:BL5"/>
    <mergeCell ref="BG6:BH6"/>
    <mergeCell ref="BM5:BN6"/>
    <mergeCell ref="AW6:AX6"/>
    <mergeCell ref="AY6:AZ6"/>
    <mergeCell ref="BA6:BB6"/>
    <mergeCell ref="BC6:BD6"/>
    <mergeCell ref="BE6:BF6"/>
    <mergeCell ref="BI6:BJ6"/>
    <mergeCell ref="AK6:AL6"/>
    <mergeCell ref="AM6:AN6"/>
    <mergeCell ref="AO6:AP6"/>
    <mergeCell ref="AQ6:AR6"/>
    <mergeCell ref="AU6:AV6"/>
    <mergeCell ref="AS6:AT6"/>
  </mergeCells>
  <pageMargins left="0" right="0" top="0" bottom="0" header="0.3" footer="0.3"/>
  <pageSetup paperSize="9" scale="83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84"/>
  <sheetViews>
    <sheetView zoomScaleNormal="100" workbookViewId="0">
      <pane xSplit="2" ySplit="7" topLeftCell="C44" activePane="bottomRight" state="frozen"/>
      <selection activeCell="E407" sqref="E407"/>
      <selection pane="topRight" activeCell="E407" sqref="E407"/>
      <selection pane="bottomLeft" activeCell="E407" sqref="E407"/>
      <selection pane="bottomRight" activeCell="AN61" sqref="AN61"/>
    </sheetView>
  </sheetViews>
  <sheetFormatPr defaultRowHeight="15"/>
  <cols>
    <col min="1" max="1" width="6" customWidth="1"/>
    <col min="2" max="2" width="23" style="81" customWidth="1"/>
    <col min="3" max="3" width="4.7109375" style="911" customWidth="1"/>
    <col min="4" max="4" width="4" style="34" customWidth="1"/>
    <col min="5" max="5" width="4" style="27" customWidth="1"/>
    <col min="6" max="6" width="4" style="107" customWidth="1"/>
    <col min="7" max="11" width="4" style="27" customWidth="1"/>
    <col min="12" max="12" width="3.85546875" style="27" customWidth="1"/>
    <col min="13" max="13" width="4" style="107" customWidth="1"/>
    <col min="14" max="14" width="4.28515625" style="27" customWidth="1"/>
    <col min="15" max="17" width="4" style="27" customWidth="1"/>
    <col min="18" max="18" width="4" style="107" customWidth="1"/>
    <col min="19" max="19" width="4" style="27" customWidth="1"/>
    <col min="20" max="20" width="4.140625" style="107" customWidth="1"/>
    <col min="21" max="21" width="3.85546875" style="27" customWidth="1"/>
    <col min="22" max="24" width="4" style="27" customWidth="1"/>
    <col min="25" max="25" width="4" style="135" customWidth="1"/>
    <col min="26" max="26" width="4.140625" style="135" customWidth="1"/>
    <col min="27" max="27" width="4" style="734" customWidth="1"/>
    <col min="28" max="30" width="4" style="135" customWidth="1"/>
    <col min="31" max="32" width="4.28515625" style="135" customWidth="1"/>
    <col min="33" max="33" width="4.28515625" style="27" customWidth="1"/>
    <col min="34" max="34" width="4.28515625" style="708" customWidth="1"/>
    <col min="35" max="35" width="9.140625" style="82" customWidth="1"/>
    <col min="36" max="36" width="11.140625" style="82" customWidth="1"/>
    <col min="37" max="37" width="3.85546875" style="82" customWidth="1"/>
    <col min="38" max="38" width="5.42578125" style="82" customWidth="1"/>
    <col min="39" max="39" width="5.85546875" style="82" customWidth="1"/>
    <col min="40" max="40" width="4.85546875" style="82" customWidth="1"/>
    <col min="41" max="41" width="4.5703125" style="82" customWidth="1"/>
    <col min="42" max="42" width="7.42578125" style="82" customWidth="1"/>
    <col min="43" max="44" width="5.85546875" style="82" customWidth="1"/>
    <col min="45" max="45" width="10.28515625" hidden="1" customWidth="1"/>
  </cols>
  <sheetData>
    <row r="1" spans="1:45" s="27" customFormat="1">
      <c r="B1" s="43"/>
      <c r="C1" s="34"/>
      <c r="D1" s="34"/>
      <c r="Y1" s="135"/>
      <c r="Z1" s="135"/>
      <c r="AA1" s="135"/>
      <c r="AB1" s="135"/>
      <c r="AC1" s="135"/>
      <c r="AD1" s="135"/>
      <c r="AE1" s="135"/>
      <c r="AF1" s="135"/>
      <c r="AH1" s="43"/>
      <c r="AI1" s="34"/>
      <c r="AJ1" s="34"/>
      <c r="AK1" s="34"/>
      <c r="AL1" s="34"/>
      <c r="AM1" s="34"/>
      <c r="AN1" s="34"/>
      <c r="AO1" s="34"/>
      <c r="AP1" s="34"/>
      <c r="AQ1" s="34"/>
      <c r="AR1" s="34"/>
    </row>
    <row r="2" spans="1:45" s="27" customFormat="1">
      <c r="A2" s="1320" t="s">
        <v>66</v>
      </c>
      <c r="B2" s="1320"/>
      <c r="C2" s="1320"/>
      <c r="D2" s="1320"/>
      <c r="E2" s="1320"/>
      <c r="F2" s="1320"/>
      <c r="G2" s="1320"/>
      <c r="H2" s="1320"/>
      <c r="I2" s="1320"/>
      <c r="J2" s="1320"/>
      <c r="K2" s="1320"/>
      <c r="L2" s="1320"/>
      <c r="M2" s="1320"/>
      <c r="N2" s="1320"/>
      <c r="O2" s="1320"/>
      <c r="P2" s="1320"/>
      <c r="Q2" s="1320"/>
      <c r="R2" s="1320"/>
      <c r="S2" s="1320"/>
      <c r="T2" s="1320"/>
      <c r="U2" s="1320"/>
      <c r="V2" s="1320"/>
      <c r="W2" s="1320"/>
      <c r="X2" s="1320"/>
      <c r="Y2" s="1320"/>
      <c r="Z2" s="1320"/>
      <c r="AA2" s="1320"/>
      <c r="AB2" s="1320"/>
      <c r="AC2" s="1320"/>
      <c r="AD2" s="1320"/>
      <c r="AE2" s="1320"/>
      <c r="AF2" s="1320"/>
      <c r="AG2" s="1320"/>
      <c r="AH2" s="1320"/>
      <c r="AI2" s="1320"/>
      <c r="AJ2" s="1320"/>
      <c r="AK2" s="1320"/>
      <c r="AL2" s="1320"/>
      <c r="AM2" s="1320"/>
      <c r="AN2" s="1320"/>
      <c r="AO2" s="1320"/>
      <c r="AP2" s="1320"/>
      <c r="AQ2" s="1320"/>
      <c r="AR2" s="1320"/>
    </row>
    <row r="3" spans="1:45" s="27" customFormat="1">
      <c r="A3" s="1320" t="s">
        <v>609</v>
      </c>
      <c r="B3" s="1320"/>
      <c r="C3" s="1320"/>
      <c r="D3" s="1320"/>
      <c r="E3" s="1320"/>
      <c r="F3" s="1320"/>
      <c r="G3" s="1320"/>
      <c r="H3" s="1320"/>
      <c r="I3" s="1320"/>
      <c r="J3" s="1320"/>
      <c r="K3" s="1320"/>
      <c r="L3" s="1320"/>
      <c r="M3" s="1320"/>
      <c r="N3" s="1320"/>
      <c r="O3" s="1320"/>
      <c r="P3" s="1320"/>
      <c r="Q3" s="1320"/>
      <c r="R3" s="1320"/>
      <c r="S3" s="1320"/>
      <c r="T3" s="1320"/>
      <c r="U3" s="1320"/>
      <c r="V3" s="1320"/>
      <c r="W3" s="1320"/>
      <c r="X3" s="1320"/>
      <c r="Y3" s="1320"/>
      <c r="Z3" s="1320"/>
      <c r="AA3" s="1320"/>
      <c r="AB3" s="1320"/>
      <c r="AC3" s="1320"/>
      <c r="AD3" s="1320"/>
      <c r="AE3" s="1320"/>
      <c r="AF3" s="1320"/>
      <c r="AG3" s="1320"/>
      <c r="AH3" s="1320"/>
      <c r="AI3" s="1320"/>
      <c r="AJ3" s="1320"/>
      <c r="AK3" s="1320"/>
      <c r="AL3" s="1320"/>
      <c r="AM3" s="1320"/>
      <c r="AN3" s="1320"/>
      <c r="AO3" s="1320"/>
      <c r="AP3" s="1320"/>
      <c r="AQ3" s="1320"/>
      <c r="AR3" s="1320"/>
    </row>
    <row r="4" spans="1:45" s="27" customFormat="1">
      <c r="A4" s="53" t="s">
        <v>68</v>
      </c>
      <c r="B4" s="43"/>
      <c r="C4" s="34"/>
      <c r="D4" s="34"/>
      <c r="Y4" s="135"/>
      <c r="Z4" s="135"/>
      <c r="AA4" s="135"/>
      <c r="AB4" s="135"/>
      <c r="AC4" s="135"/>
      <c r="AD4" s="135"/>
      <c r="AE4" s="135"/>
      <c r="AF4" s="135"/>
      <c r="AH4" s="43"/>
      <c r="AI4" s="34"/>
      <c r="AJ4" s="34"/>
      <c r="AK4" s="34"/>
      <c r="AL4" s="1320" t="s">
        <v>67</v>
      </c>
      <c r="AM4" s="1320"/>
      <c r="AN4" s="1320"/>
      <c r="AO4" s="1320"/>
      <c r="AP4" s="1320"/>
      <c r="AQ4" s="1320"/>
      <c r="AR4" s="1320"/>
    </row>
    <row r="5" spans="1:45" s="27" customFormat="1">
      <c r="B5" s="43"/>
      <c r="C5" s="34"/>
      <c r="D5" s="34"/>
      <c r="Y5" s="135"/>
      <c r="Z5" s="135"/>
      <c r="AA5" s="135"/>
      <c r="AB5" s="135"/>
      <c r="AC5" s="135"/>
      <c r="AD5" s="135"/>
      <c r="AE5" s="135"/>
      <c r="AF5" s="135"/>
      <c r="AH5" s="43"/>
      <c r="AI5" s="34"/>
      <c r="AJ5" s="34"/>
      <c r="AK5" s="34"/>
      <c r="AL5" s="34"/>
      <c r="AM5" s="34"/>
      <c r="AN5" s="34"/>
      <c r="AO5" s="34"/>
      <c r="AP5" s="34"/>
      <c r="AQ5" s="34"/>
      <c r="AR5" s="34"/>
    </row>
    <row r="6" spans="1:45">
      <c r="A6" s="1322" t="s">
        <v>40</v>
      </c>
      <c r="B6" s="1322" t="s">
        <v>41</v>
      </c>
      <c r="C6" s="1321" t="s">
        <v>42</v>
      </c>
      <c r="D6" s="1321"/>
      <c r="E6" s="1321"/>
      <c r="F6" s="1321"/>
      <c r="G6" s="1321"/>
      <c r="H6" s="1321"/>
      <c r="I6" s="1321"/>
      <c r="J6" s="1321"/>
      <c r="K6" s="1321"/>
      <c r="L6" s="1321"/>
      <c r="M6" s="1321"/>
      <c r="N6" s="1321"/>
      <c r="O6" s="1321"/>
      <c r="P6" s="1321"/>
      <c r="Q6" s="1321"/>
      <c r="R6" s="1321"/>
      <c r="S6" s="1321"/>
      <c r="T6" s="1321"/>
      <c r="U6" s="1321"/>
      <c r="V6" s="1321"/>
      <c r="W6" s="1321"/>
      <c r="X6" s="1321"/>
      <c r="Y6" s="1321"/>
      <c r="Z6" s="1321"/>
      <c r="AA6" s="1321"/>
      <c r="AB6" s="1321"/>
      <c r="AC6" s="1321"/>
      <c r="AD6" s="1321"/>
      <c r="AE6" s="1321"/>
      <c r="AF6" s="1321"/>
      <c r="AG6" s="1321"/>
      <c r="AH6" s="709" t="s">
        <v>43</v>
      </c>
      <c r="AI6" s="1322" t="s">
        <v>44</v>
      </c>
      <c r="AJ6" s="1322"/>
      <c r="AK6" s="1322"/>
      <c r="AL6" s="1322"/>
      <c r="AM6" s="1322"/>
      <c r="AN6" s="1322"/>
      <c r="AO6" s="1322"/>
      <c r="AP6" s="1322" t="s">
        <v>52</v>
      </c>
      <c r="AQ6" s="1322" t="s">
        <v>19</v>
      </c>
      <c r="AR6" s="1322" t="s">
        <v>15</v>
      </c>
      <c r="AS6" s="217" t="s">
        <v>98</v>
      </c>
    </row>
    <row r="7" spans="1:45">
      <c r="A7" s="1322"/>
      <c r="B7" s="1322"/>
      <c r="C7" s="30">
        <v>1</v>
      </c>
      <c r="D7" s="707">
        <v>2</v>
      </c>
      <c r="E7" s="707">
        <v>3</v>
      </c>
      <c r="F7" s="30">
        <v>4</v>
      </c>
      <c r="G7" s="707">
        <v>5</v>
      </c>
      <c r="H7" s="707">
        <v>6</v>
      </c>
      <c r="I7" s="707">
        <v>7</v>
      </c>
      <c r="J7" s="707">
        <v>8</v>
      </c>
      <c r="K7" s="707">
        <v>9</v>
      </c>
      <c r="L7" s="707">
        <v>10</v>
      </c>
      <c r="M7" s="30">
        <v>11</v>
      </c>
      <c r="N7" s="707">
        <v>12</v>
      </c>
      <c r="O7" s="707">
        <v>13</v>
      </c>
      <c r="P7" s="707">
        <v>14</v>
      </c>
      <c r="Q7" s="707">
        <v>15</v>
      </c>
      <c r="R7" s="30">
        <v>16</v>
      </c>
      <c r="S7" s="707">
        <v>17</v>
      </c>
      <c r="T7" s="30">
        <v>18</v>
      </c>
      <c r="U7" s="707">
        <v>19</v>
      </c>
      <c r="V7" s="707">
        <v>20</v>
      </c>
      <c r="W7" s="707">
        <v>21</v>
      </c>
      <c r="X7" s="707">
        <v>22</v>
      </c>
      <c r="Y7" s="25">
        <v>23</v>
      </c>
      <c r="Z7" s="25">
        <v>24</v>
      </c>
      <c r="AA7" s="182">
        <v>25</v>
      </c>
      <c r="AB7" s="25">
        <v>26</v>
      </c>
      <c r="AC7" s="25">
        <v>27</v>
      </c>
      <c r="AD7" s="25">
        <v>28</v>
      </c>
      <c r="AE7" s="25">
        <v>29</v>
      </c>
      <c r="AF7" s="25">
        <v>30</v>
      </c>
      <c r="AG7" s="707">
        <v>31</v>
      </c>
      <c r="AH7" s="709" t="s">
        <v>26</v>
      </c>
      <c r="AI7" s="115" t="s">
        <v>45</v>
      </c>
      <c r="AJ7" s="115" t="s">
        <v>46</v>
      </c>
      <c r="AK7" s="115" t="s">
        <v>47</v>
      </c>
      <c r="AL7" s="115" t="s">
        <v>48</v>
      </c>
      <c r="AM7" s="115" t="s">
        <v>49</v>
      </c>
      <c r="AN7" s="115" t="s">
        <v>50</v>
      </c>
      <c r="AO7" s="115" t="s">
        <v>51</v>
      </c>
      <c r="AP7" s="1322"/>
      <c r="AQ7" s="1322"/>
      <c r="AR7" s="1322"/>
      <c r="AS7" s="218" t="s">
        <v>97</v>
      </c>
    </row>
    <row r="8" spans="1:45" ht="17.25" customHeight="1">
      <c r="A8" s="83">
        <v>1</v>
      </c>
      <c r="B8" s="113" t="s">
        <v>36</v>
      </c>
      <c r="C8" s="31"/>
      <c r="D8" s="5">
        <v>1</v>
      </c>
      <c r="E8" s="5">
        <v>1</v>
      </c>
      <c r="F8" s="31"/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31"/>
      <c r="N8" s="5">
        <v>1</v>
      </c>
      <c r="O8" s="5">
        <v>1</v>
      </c>
      <c r="P8" s="5">
        <v>1</v>
      </c>
      <c r="Q8" s="5">
        <v>1</v>
      </c>
      <c r="R8" s="31"/>
      <c r="S8" s="5">
        <v>1</v>
      </c>
      <c r="T8" s="31"/>
      <c r="U8" s="5">
        <v>1</v>
      </c>
      <c r="V8" s="5">
        <v>1</v>
      </c>
      <c r="W8" s="5">
        <v>1</v>
      </c>
      <c r="X8" s="5" t="s">
        <v>18</v>
      </c>
      <c r="Y8" s="5">
        <v>1</v>
      </c>
      <c r="Z8" s="5">
        <v>1</v>
      </c>
      <c r="AA8" s="31"/>
      <c r="AB8" s="5">
        <v>1</v>
      </c>
      <c r="AC8" s="5">
        <v>1</v>
      </c>
      <c r="AD8" s="26">
        <v>1</v>
      </c>
      <c r="AE8" s="26">
        <v>1</v>
      </c>
      <c r="AF8" s="5">
        <v>1</v>
      </c>
      <c r="AG8" s="5">
        <v>1</v>
      </c>
      <c r="AH8" s="711">
        <f>SUM(C8:AG8)</f>
        <v>24</v>
      </c>
      <c r="AI8" s="83">
        <f>COUNTIF(C8:AG8,"CT")</f>
        <v>1</v>
      </c>
      <c r="AJ8" s="205">
        <f t="shared" ref="AJ8:AJ36" si="0">COUNTIF(C8:AG8,"CS")</f>
        <v>0</v>
      </c>
      <c r="AK8" s="123">
        <f>COUNTIF(C8:AG8,"CH")</f>
        <v>0</v>
      </c>
      <c r="AL8" s="83">
        <v>4</v>
      </c>
      <c r="AM8" s="83">
        <v>2</v>
      </c>
      <c r="AN8" s="123">
        <f>COUNTIF(C8:AL8,"hm")</f>
        <v>0</v>
      </c>
      <c r="AO8" s="123">
        <f>COUNTIF(C8:AM8,"CI")</f>
        <v>0</v>
      </c>
      <c r="AP8" s="83">
        <f>AH8+AI8+AJ8+AK8+AL8+AM8+AN8+AO8</f>
        <v>31</v>
      </c>
      <c r="AQ8" s="123">
        <f t="shared" ref="AQ8:AQ36" si="1">COUNTIF(C8:AG8,"CTH")</f>
        <v>0</v>
      </c>
      <c r="AR8" s="123">
        <f t="shared" ref="AR8:AR36" si="2">COUNTIF(C8:AG8,"A")</f>
        <v>0</v>
      </c>
      <c r="AS8" s="3"/>
    </row>
    <row r="9" spans="1:45" ht="17.25" customHeight="1">
      <c r="A9" s="83">
        <v>2</v>
      </c>
      <c r="B9" s="169" t="s">
        <v>53</v>
      </c>
      <c r="C9" s="31"/>
      <c r="D9" s="5">
        <v>1</v>
      </c>
      <c r="E9" s="5">
        <v>1</v>
      </c>
      <c r="F9" s="31"/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31"/>
      <c r="N9" s="5">
        <v>1</v>
      </c>
      <c r="O9" s="5">
        <v>1</v>
      </c>
      <c r="P9" s="5">
        <v>1</v>
      </c>
      <c r="Q9" s="5">
        <v>1</v>
      </c>
      <c r="R9" s="31"/>
      <c r="S9" s="5">
        <v>1</v>
      </c>
      <c r="T9" s="31"/>
      <c r="U9" s="5">
        <v>1</v>
      </c>
      <c r="V9" s="5">
        <v>1</v>
      </c>
      <c r="W9" s="5">
        <v>1</v>
      </c>
      <c r="X9" s="5">
        <v>1</v>
      </c>
      <c r="Y9" s="5">
        <v>1</v>
      </c>
      <c r="Z9" s="5">
        <v>1</v>
      </c>
      <c r="AA9" s="31"/>
      <c r="AB9" s="5">
        <v>1</v>
      </c>
      <c r="AC9" s="5">
        <v>1</v>
      </c>
      <c r="AD9" s="26">
        <v>1</v>
      </c>
      <c r="AE9" s="26">
        <v>1</v>
      </c>
      <c r="AF9" s="5">
        <v>1</v>
      </c>
      <c r="AG9" s="5">
        <v>1</v>
      </c>
      <c r="AH9" s="711">
        <f t="shared" ref="AH9:AH22" si="3">SUM(C9:AG9)</f>
        <v>25</v>
      </c>
      <c r="AI9" s="123">
        <f t="shared" ref="AI9:AI36" si="4">COUNTIF(C9:AG9,"CT")</f>
        <v>0</v>
      </c>
      <c r="AJ9" s="123">
        <f t="shared" si="0"/>
        <v>0</v>
      </c>
      <c r="AK9" s="123">
        <f t="shared" ref="AK9:AK36" si="5">COUNTIF(C9:AG9,"CH")</f>
        <v>0</v>
      </c>
      <c r="AL9" s="213">
        <v>4</v>
      </c>
      <c r="AM9" s="213">
        <v>2</v>
      </c>
      <c r="AN9" s="123">
        <f t="shared" ref="AN9:AN36" si="6">COUNTIF(C9:AL9,"hm")</f>
        <v>0</v>
      </c>
      <c r="AO9" s="123">
        <f t="shared" ref="AO9:AO36" si="7">COUNTIF(C9:AM9,"CI")</f>
        <v>0</v>
      </c>
      <c r="AP9" s="83">
        <f t="shared" ref="AP9:AP22" si="8">AH9+AI9+AJ9+AK9+AL9+AM9+AN9+AO9</f>
        <v>31</v>
      </c>
      <c r="AQ9" s="123">
        <f t="shared" si="1"/>
        <v>0</v>
      </c>
      <c r="AR9" s="123">
        <f t="shared" si="2"/>
        <v>0</v>
      </c>
      <c r="AS9" s="3"/>
    </row>
    <row r="10" spans="1:45" ht="15.75" customHeight="1">
      <c r="A10" s="83">
        <v>3</v>
      </c>
      <c r="B10" s="169" t="s">
        <v>12</v>
      </c>
      <c r="C10" s="31"/>
      <c r="D10" s="5">
        <v>1</v>
      </c>
      <c r="E10" s="5">
        <v>1</v>
      </c>
      <c r="F10" s="31"/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912" t="s">
        <v>18</v>
      </c>
      <c r="M10" s="31"/>
      <c r="N10" s="5">
        <v>1</v>
      </c>
      <c r="O10" s="5">
        <v>1</v>
      </c>
      <c r="P10" s="5">
        <v>1</v>
      </c>
      <c r="Q10" s="5">
        <v>1</v>
      </c>
      <c r="R10" s="31"/>
      <c r="S10" s="5">
        <v>1</v>
      </c>
      <c r="T10" s="31"/>
      <c r="U10" s="5">
        <v>1</v>
      </c>
      <c r="V10" s="5">
        <v>1</v>
      </c>
      <c r="W10" s="5">
        <v>1</v>
      </c>
      <c r="X10" s="5">
        <v>1</v>
      </c>
      <c r="Y10" s="5">
        <v>1</v>
      </c>
      <c r="Z10" s="5">
        <v>1</v>
      </c>
      <c r="AA10" s="31"/>
      <c r="AB10" s="5">
        <v>1</v>
      </c>
      <c r="AC10" s="5">
        <v>1</v>
      </c>
      <c r="AD10" s="26">
        <v>1</v>
      </c>
      <c r="AE10" s="26">
        <v>1</v>
      </c>
      <c r="AF10" s="5">
        <v>1</v>
      </c>
      <c r="AG10" s="5">
        <v>1</v>
      </c>
      <c r="AH10" s="711">
        <f t="shared" si="3"/>
        <v>24</v>
      </c>
      <c r="AI10" s="123">
        <f t="shared" si="4"/>
        <v>1</v>
      </c>
      <c r="AJ10" s="123">
        <f t="shared" si="0"/>
        <v>0</v>
      </c>
      <c r="AK10" s="123">
        <f t="shared" si="5"/>
        <v>0</v>
      </c>
      <c r="AL10" s="213">
        <v>4</v>
      </c>
      <c r="AM10" s="213">
        <v>2</v>
      </c>
      <c r="AN10" s="123">
        <f t="shared" si="6"/>
        <v>0</v>
      </c>
      <c r="AO10" s="123">
        <f t="shared" si="7"/>
        <v>0</v>
      </c>
      <c r="AP10" s="83">
        <f t="shared" si="8"/>
        <v>31</v>
      </c>
      <c r="AQ10" s="123">
        <f t="shared" si="1"/>
        <v>0</v>
      </c>
      <c r="AR10" s="123">
        <f t="shared" si="2"/>
        <v>0</v>
      </c>
      <c r="AS10" s="3"/>
    </row>
    <row r="11" spans="1:45" ht="17.25" customHeight="1">
      <c r="A11" s="213">
        <v>4</v>
      </c>
      <c r="B11" s="169" t="s">
        <v>54</v>
      </c>
      <c r="C11" s="31"/>
      <c r="D11" s="5">
        <v>1</v>
      </c>
      <c r="E11" s="5">
        <v>1</v>
      </c>
      <c r="F11" s="31"/>
      <c r="G11" s="5">
        <v>1</v>
      </c>
      <c r="H11" s="5">
        <v>1</v>
      </c>
      <c r="I11" s="5">
        <v>1</v>
      </c>
      <c r="J11" s="5">
        <v>1</v>
      </c>
      <c r="K11" s="5">
        <v>1</v>
      </c>
      <c r="L11" s="912" t="s">
        <v>18</v>
      </c>
      <c r="M11" s="31"/>
      <c r="N11" s="5">
        <v>1</v>
      </c>
      <c r="O11" s="5">
        <v>1</v>
      </c>
      <c r="P11" s="912" t="s">
        <v>18</v>
      </c>
      <c r="Q11" s="5">
        <v>1</v>
      </c>
      <c r="R11" s="31"/>
      <c r="S11" s="5">
        <v>1</v>
      </c>
      <c r="T11" s="31"/>
      <c r="U11" s="5">
        <v>1</v>
      </c>
      <c r="V11" s="5">
        <v>1</v>
      </c>
      <c r="W11" s="5">
        <v>1</v>
      </c>
      <c r="X11" s="5">
        <v>1</v>
      </c>
      <c r="Y11" s="5">
        <v>1</v>
      </c>
      <c r="Z11" s="5">
        <v>1</v>
      </c>
      <c r="AA11" s="31"/>
      <c r="AB11" s="5">
        <v>1</v>
      </c>
      <c r="AC11" s="5">
        <v>1</v>
      </c>
      <c r="AD11" s="26">
        <v>1</v>
      </c>
      <c r="AE11" s="26">
        <v>1</v>
      </c>
      <c r="AF11" s="5">
        <v>1</v>
      </c>
      <c r="AG11" s="5">
        <v>1</v>
      </c>
      <c r="AH11" s="711">
        <f t="shared" si="3"/>
        <v>23</v>
      </c>
      <c r="AI11" s="123">
        <f t="shared" si="4"/>
        <v>2</v>
      </c>
      <c r="AJ11" s="123">
        <f t="shared" si="0"/>
        <v>0</v>
      </c>
      <c r="AK11" s="123">
        <f t="shared" si="5"/>
        <v>0</v>
      </c>
      <c r="AL11" s="213">
        <v>4</v>
      </c>
      <c r="AM11" s="213">
        <v>2</v>
      </c>
      <c r="AN11" s="123">
        <f t="shared" si="6"/>
        <v>0</v>
      </c>
      <c r="AO11" s="123">
        <f t="shared" si="7"/>
        <v>0</v>
      </c>
      <c r="AP11" s="83">
        <f t="shared" si="8"/>
        <v>31</v>
      </c>
      <c r="AQ11" s="123">
        <f t="shared" si="1"/>
        <v>0</v>
      </c>
      <c r="AR11" s="123">
        <f t="shared" si="2"/>
        <v>0</v>
      </c>
      <c r="AS11" s="3"/>
    </row>
    <row r="12" spans="1:45" ht="17.25" customHeight="1">
      <c r="A12" s="213">
        <v>5</v>
      </c>
      <c r="B12" s="170" t="s">
        <v>55</v>
      </c>
      <c r="C12" s="31"/>
      <c r="D12" s="5">
        <v>1</v>
      </c>
      <c r="E12" s="912" t="s">
        <v>15</v>
      </c>
      <c r="F12" s="31"/>
      <c r="G12" s="5">
        <v>1</v>
      </c>
      <c r="H12" s="5">
        <v>1</v>
      </c>
      <c r="I12" s="5">
        <v>1</v>
      </c>
      <c r="J12" s="5">
        <v>1</v>
      </c>
      <c r="K12" s="5">
        <v>1</v>
      </c>
      <c r="L12" s="5">
        <v>1</v>
      </c>
      <c r="M12" s="31"/>
      <c r="N12" s="5">
        <v>1</v>
      </c>
      <c r="O12" s="5">
        <v>1</v>
      </c>
      <c r="P12" s="5">
        <v>1</v>
      </c>
      <c r="Q12" s="5">
        <v>1</v>
      </c>
      <c r="R12" s="31"/>
      <c r="S12" s="5">
        <v>1</v>
      </c>
      <c r="T12" s="31"/>
      <c r="U12" s="5">
        <v>1</v>
      </c>
      <c r="V12" s="5">
        <v>1</v>
      </c>
      <c r="W12" s="5">
        <v>1</v>
      </c>
      <c r="X12" s="5">
        <v>1</v>
      </c>
      <c r="Y12" s="5">
        <v>1</v>
      </c>
      <c r="Z12" s="5">
        <v>1</v>
      </c>
      <c r="AA12" s="31"/>
      <c r="AB12" s="5">
        <v>1</v>
      </c>
      <c r="AC12" s="5">
        <v>1</v>
      </c>
      <c r="AD12" s="26">
        <v>1</v>
      </c>
      <c r="AE12" s="26">
        <v>1</v>
      </c>
      <c r="AF12" s="5">
        <v>1</v>
      </c>
      <c r="AG12" s="5">
        <v>1</v>
      </c>
      <c r="AH12" s="711">
        <f t="shared" si="3"/>
        <v>24</v>
      </c>
      <c r="AI12" s="123">
        <f t="shared" si="4"/>
        <v>0</v>
      </c>
      <c r="AJ12" s="123">
        <f t="shared" si="0"/>
        <v>0</v>
      </c>
      <c r="AK12" s="123">
        <f t="shared" si="5"/>
        <v>0</v>
      </c>
      <c r="AL12" s="213">
        <v>4</v>
      </c>
      <c r="AM12" s="213">
        <v>2</v>
      </c>
      <c r="AN12" s="123">
        <f t="shared" si="6"/>
        <v>0</v>
      </c>
      <c r="AO12" s="123">
        <f t="shared" si="7"/>
        <v>0</v>
      </c>
      <c r="AP12" s="83">
        <f t="shared" si="8"/>
        <v>30</v>
      </c>
      <c r="AQ12" s="123">
        <f t="shared" si="1"/>
        <v>0</v>
      </c>
      <c r="AR12" s="123">
        <f t="shared" si="2"/>
        <v>1</v>
      </c>
      <c r="AS12" s="3"/>
    </row>
    <row r="13" spans="1:45" ht="17.25" customHeight="1">
      <c r="A13" s="213">
        <v>6</v>
      </c>
      <c r="B13" s="170" t="s">
        <v>56</v>
      </c>
      <c r="C13" s="31"/>
      <c r="D13" s="5">
        <v>1</v>
      </c>
      <c r="E13" s="5">
        <v>1</v>
      </c>
      <c r="F13" s="31"/>
      <c r="G13" s="5">
        <v>1</v>
      </c>
      <c r="H13" s="5">
        <v>1</v>
      </c>
      <c r="I13" s="5">
        <v>1</v>
      </c>
      <c r="J13" s="5">
        <v>1</v>
      </c>
      <c r="K13" s="5">
        <v>1</v>
      </c>
      <c r="L13" s="5">
        <v>1</v>
      </c>
      <c r="M13" s="31"/>
      <c r="N13" s="5">
        <v>1</v>
      </c>
      <c r="O13" s="5">
        <v>1</v>
      </c>
      <c r="P13" s="5">
        <v>1</v>
      </c>
      <c r="Q13" s="5">
        <v>1</v>
      </c>
      <c r="R13" s="31"/>
      <c r="S13" s="5">
        <v>1</v>
      </c>
      <c r="T13" s="31"/>
      <c r="U13" s="5">
        <v>1</v>
      </c>
      <c r="V13" s="5">
        <v>1</v>
      </c>
      <c r="W13" s="5">
        <v>1</v>
      </c>
      <c r="X13" s="5">
        <v>1</v>
      </c>
      <c r="Y13" s="5">
        <v>1</v>
      </c>
      <c r="Z13" s="5">
        <v>1</v>
      </c>
      <c r="AA13" s="31"/>
      <c r="AB13" s="5">
        <v>1</v>
      </c>
      <c r="AC13" s="5">
        <v>1</v>
      </c>
      <c r="AD13" s="26">
        <v>1</v>
      </c>
      <c r="AE13" s="26">
        <v>1</v>
      </c>
      <c r="AF13" s="5">
        <v>1</v>
      </c>
      <c r="AG13" s="5">
        <v>1</v>
      </c>
      <c r="AH13" s="711">
        <f t="shared" si="3"/>
        <v>25</v>
      </c>
      <c r="AI13" s="123">
        <f t="shared" si="4"/>
        <v>0</v>
      </c>
      <c r="AJ13" s="123">
        <f t="shared" si="0"/>
        <v>0</v>
      </c>
      <c r="AK13" s="123">
        <f t="shared" si="5"/>
        <v>0</v>
      </c>
      <c r="AL13" s="213">
        <v>4</v>
      </c>
      <c r="AM13" s="213">
        <v>2</v>
      </c>
      <c r="AN13" s="123">
        <f t="shared" si="6"/>
        <v>0</v>
      </c>
      <c r="AO13" s="123">
        <f t="shared" si="7"/>
        <v>0</v>
      </c>
      <c r="AP13" s="83">
        <f t="shared" si="8"/>
        <v>31</v>
      </c>
      <c r="AQ13" s="123">
        <f t="shared" si="1"/>
        <v>0</v>
      </c>
      <c r="AR13" s="123">
        <f t="shared" si="2"/>
        <v>0</v>
      </c>
      <c r="AS13" s="3"/>
    </row>
    <row r="14" spans="1:45" ht="17.25" customHeight="1">
      <c r="A14" s="213">
        <v>7</v>
      </c>
      <c r="B14" s="113" t="s">
        <v>57</v>
      </c>
      <c r="C14" s="31"/>
      <c r="D14" s="5">
        <v>1</v>
      </c>
      <c r="E14" s="5">
        <v>1</v>
      </c>
      <c r="F14" s="31"/>
      <c r="G14" s="5">
        <v>1</v>
      </c>
      <c r="H14" s="5">
        <v>1</v>
      </c>
      <c r="I14" s="5">
        <v>1</v>
      </c>
      <c r="J14" s="5">
        <v>1</v>
      </c>
      <c r="K14" s="5">
        <v>1</v>
      </c>
      <c r="L14" s="5">
        <v>1</v>
      </c>
      <c r="M14" s="31"/>
      <c r="N14" s="5">
        <v>1</v>
      </c>
      <c r="O14" s="912" t="s">
        <v>18</v>
      </c>
      <c r="P14" s="5">
        <v>1</v>
      </c>
      <c r="Q14" s="912" t="s">
        <v>15</v>
      </c>
      <c r="R14" s="31"/>
      <c r="S14" s="5">
        <v>1</v>
      </c>
      <c r="T14" s="31"/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31"/>
      <c r="AB14" s="5">
        <v>1</v>
      </c>
      <c r="AC14" s="5">
        <v>1</v>
      </c>
      <c r="AD14" s="26">
        <v>1</v>
      </c>
      <c r="AE14" s="26">
        <v>1</v>
      </c>
      <c r="AF14" s="5">
        <v>1</v>
      </c>
      <c r="AG14" s="5">
        <v>1</v>
      </c>
      <c r="AH14" s="711">
        <f t="shared" si="3"/>
        <v>23</v>
      </c>
      <c r="AI14" s="123">
        <f t="shared" si="4"/>
        <v>1</v>
      </c>
      <c r="AJ14" s="123">
        <f t="shared" si="0"/>
        <v>0</v>
      </c>
      <c r="AK14" s="123">
        <f t="shared" si="5"/>
        <v>0</v>
      </c>
      <c r="AL14" s="213">
        <v>4</v>
      </c>
      <c r="AM14" s="213">
        <v>2</v>
      </c>
      <c r="AN14" s="123">
        <f t="shared" si="6"/>
        <v>0</v>
      </c>
      <c r="AO14" s="123">
        <f t="shared" si="7"/>
        <v>0</v>
      </c>
      <c r="AP14" s="83">
        <f t="shared" si="8"/>
        <v>30</v>
      </c>
      <c r="AQ14" s="123">
        <f t="shared" si="1"/>
        <v>0</v>
      </c>
      <c r="AR14" s="123">
        <f t="shared" si="2"/>
        <v>1</v>
      </c>
      <c r="AS14" s="3"/>
    </row>
    <row r="15" spans="1:45" ht="17.25" customHeight="1">
      <c r="A15" s="213">
        <v>8</v>
      </c>
      <c r="B15" s="171" t="s">
        <v>58</v>
      </c>
      <c r="C15" s="31"/>
      <c r="D15" s="5">
        <v>1</v>
      </c>
      <c r="E15" s="5">
        <v>1</v>
      </c>
      <c r="F15" s="31"/>
      <c r="G15" s="5">
        <v>1</v>
      </c>
      <c r="H15" s="5">
        <v>1</v>
      </c>
      <c r="I15" s="5">
        <v>1</v>
      </c>
      <c r="J15" s="5">
        <v>1</v>
      </c>
      <c r="K15" s="5">
        <v>1</v>
      </c>
      <c r="L15" s="5">
        <v>1</v>
      </c>
      <c r="M15" s="31"/>
      <c r="N15" s="912" t="s">
        <v>17</v>
      </c>
      <c r="O15" s="5">
        <v>1</v>
      </c>
      <c r="P15" s="5">
        <v>1</v>
      </c>
      <c r="Q15" s="5">
        <v>1</v>
      </c>
      <c r="R15" s="31"/>
      <c r="S15" s="5">
        <v>1</v>
      </c>
      <c r="T15" s="31"/>
      <c r="U15" s="5">
        <v>1</v>
      </c>
      <c r="V15" s="5">
        <v>1</v>
      </c>
      <c r="W15" s="5">
        <v>1</v>
      </c>
      <c r="X15" s="5">
        <v>1</v>
      </c>
      <c r="Y15" s="5">
        <v>1</v>
      </c>
      <c r="Z15" s="5">
        <v>1</v>
      </c>
      <c r="AA15" s="31"/>
      <c r="AB15" s="5">
        <v>1</v>
      </c>
      <c r="AC15" s="5">
        <v>1</v>
      </c>
      <c r="AD15" s="1208" t="s">
        <v>18</v>
      </c>
      <c r="AE15" s="26">
        <v>1</v>
      </c>
      <c r="AF15" s="5">
        <v>1</v>
      </c>
      <c r="AG15" s="5">
        <v>1</v>
      </c>
      <c r="AH15" s="711">
        <f t="shared" si="3"/>
        <v>23</v>
      </c>
      <c r="AI15" s="123">
        <f t="shared" si="4"/>
        <v>1</v>
      </c>
      <c r="AJ15" s="123">
        <f t="shared" si="0"/>
        <v>1</v>
      </c>
      <c r="AK15" s="123">
        <f t="shared" si="5"/>
        <v>0</v>
      </c>
      <c r="AL15" s="213">
        <v>4</v>
      </c>
      <c r="AM15" s="213">
        <v>2</v>
      </c>
      <c r="AN15" s="123">
        <f t="shared" si="6"/>
        <v>0</v>
      </c>
      <c r="AO15" s="123">
        <f t="shared" si="7"/>
        <v>0</v>
      </c>
      <c r="AP15" s="83">
        <f t="shared" si="8"/>
        <v>31</v>
      </c>
      <c r="AQ15" s="123">
        <f t="shared" si="1"/>
        <v>0</v>
      </c>
      <c r="AR15" s="123">
        <f t="shared" si="2"/>
        <v>0</v>
      </c>
      <c r="AS15" s="3"/>
    </row>
    <row r="16" spans="1:45" ht="17.25" customHeight="1">
      <c r="A16" s="213">
        <v>9</v>
      </c>
      <c r="B16" s="113" t="s">
        <v>59</v>
      </c>
      <c r="C16" s="31"/>
      <c r="D16" s="912" t="s">
        <v>18</v>
      </c>
      <c r="E16" s="5">
        <v>1</v>
      </c>
      <c r="F16" s="31"/>
      <c r="G16" s="5">
        <v>1</v>
      </c>
      <c r="H16" s="5">
        <v>1</v>
      </c>
      <c r="I16" s="5">
        <v>1</v>
      </c>
      <c r="J16" s="912" t="s">
        <v>17</v>
      </c>
      <c r="K16" s="5">
        <v>1</v>
      </c>
      <c r="L16" s="5">
        <v>1</v>
      </c>
      <c r="M16" s="31"/>
      <c r="N16" s="5">
        <v>1</v>
      </c>
      <c r="O16" s="5">
        <v>1</v>
      </c>
      <c r="P16" s="5">
        <v>1</v>
      </c>
      <c r="Q16" s="5">
        <v>1</v>
      </c>
      <c r="R16" s="31"/>
      <c r="S16" s="5">
        <v>1</v>
      </c>
      <c r="T16" s="31"/>
      <c r="U16" s="5">
        <v>1</v>
      </c>
      <c r="V16" s="5">
        <v>1</v>
      </c>
      <c r="W16" s="5">
        <v>1</v>
      </c>
      <c r="X16" s="5">
        <v>1</v>
      </c>
      <c r="Y16" s="5">
        <v>1</v>
      </c>
      <c r="Z16" s="5">
        <v>1</v>
      </c>
      <c r="AA16" s="31"/>
      <c r="AB16" s="5">
        <v>1</v>
      </c>
      <c r="AC16" s="5">
        <v>1</v>
      </c>
      <c r="AD16" s="26">
        <v>1</v>
      </c>
      <c r="AE16" s="26">
        <v>1</v>
      </c>
      <c r="AF16" s="5">
        <v>1</v>
      </c>
      <c r="AG16" s="5">
        <v>1</v>
      </c>
      <c r="AH16" s="711">
        <f t="shared" si="3"/>
        <v>23</v>
      </c>
      <c r="AI16" s="123">
        <f t="shared" si="4"/>
        <v>1</v>
      </c>
      <c r="AJ16" s="123">
        <f t="shared" si="0"/>
        <v>1</v>
      </c>
      <c r="AK16" s="123">
        <f t="shared" si="5"/>
        <v>0</v>
      </c>
      <c r="AL16" s="213">
        <v>4</v>
      </c>
      <c r="AM16" s="213">
        <v>2</v>
      </c>
      <c r="AN16" s="123">
        <f t="shared" si="6"/>
        <v>0</v>
      </c>
      <c r="AO16" s="123">
        <f t="shared" si="7"/>
        <v>0</v>
      </c>
      <c r="AP16" s="83">
        <f t="shared" si="8"/>
        <v>31</v>
      </c>
      <c r="AQ16" s="123">
        <f t="shared" si="1"/>
        <v>0</v>
      </c>
      <c r="AR16" s="123">
        <f t="shared" si="2"/>
        <v>0</v>
      </c>
      <c r="AS16" s="3"/>
    </row>
    <row r="17" spans="1:45" ht="17.25" customHeight="1">
      <c r="A17" s="213">
        <v>10</v>
      </c>
      <c r="B17" s="172" t="s">
        <v>60</v>
      </c>
      <c r="C17" s="31"/>
      <c r="D17" s="5">
        <v>1</v>
      </c>
      <c r="E17" s="5">
        <v>1</v>
      </c>
      <c r="F17" s="31"/>
      <c r="G17" s="5">
        <v>1</v>
      </c>
      <c r="H17" s="5">
        <v>1</v>
      </c>
      <c r="I17" s="5">
        <v>1</v>
      </c>
      <c r="J17" s="5">
        <v>1</v>
      </c>
      <c r="K17" s="5">
        <v>1</v>
      </c>
      <c r="L17" s="5">
        <v>1</v>
      </c>
      <c r="M17" s="31"/>
      <c r="N17" s="912" t="s">
        <v>17</v>
      </c>
      <c r="O17" s="5">
        <v>1</v>
      </c>
      <c r="P17" s="5">
        <v>1</v>
      </c>
      <c r="Q17" s="5">
        <v>1</v>
      </c>
      <c r="R17" s="31"/>
      <c r="S17" s="5">
        <v>1</v>
      </c>
      <c r="T17" s="31"/>
      <c r="U17" s="912" t="s">
        <v>95</v>
      </c>
      <c r="V17" s="912" t="s">
        <v>95</v>
      </c>
      <c r="W17" s="5">
        <v>1</v>
      </c>
      <c r="X17" s="5">
        <v>1</v>
      </c>
      <c r="Y17" s="5">
        <v>1</v>
      </c>
      <c r="Z17" s="5">
        <v>1</v>
      </c>
      <c r="AA17" s="31"/>
      <c r="AB17" s="5">
        <v>1</v>
      </c>
      <c r="AC17" s="5">
        <v>1</v>
      </c>
      <c r="AD17" s="26">
        <v>1</v>
      </c>
      <c r="AE17" s="26">
        <v>1</v>
      </c>
      <c r="AF17" s="5">
        <v>1</v>
      </c>
      <c r="AG17" s="5">
        <v>1</v>
      </c>
      <c r="AH17" s="711">
        <f t="shared" si="3"/>
        <v>22</v>
      </c>
      <c r="AI17" s="123">
        <f t="shared" si="4"/>
        <v>0</v>
      </c>
      <c r="AJ17" s="123">
        <f t="shared" si="0"/>
        <v>1</v>
      </c>
      <c r="AK17" s="123">
        <f t="shared" si="5"/>
        <v>2</v>
      </c>
      <c r="AL17" s="213">
        <v>4</v>
      </c>
      <c r="AM17" s="213">
        <v>2</v>
      </c>
      <c r="AN17" s="123">
        <f t="shared" si="6"/>
        <v>0</v>
      </c>
      <c r="AO17" s="123">
        <f t="shared" si="7"/>
        <v>0</v>
      </c>
      <c r="AP17" s="83">
        <f t="shared" si="8"/>
        <v>31</v>
      </c>
      <c r="AQ17" s="123">
        <f t="shared" si="1"/>
        <v>0</v>
      </c>
      <c r="AR17" s="123">
        <f t="shared" si="2"/>
        <v>0</v>
      </c>
      <c r="AS17" s="3"/>
    </row>
    <row r="18" spans="1:45" ht="17.25" customHeight="1">
      <c r="A18" s="213">
        <v>11</v>
      </c>
      <c r="B18" s="173" t="s">
        <v>61</v>
      </c>
      <c r="C18" s="31"/>
      <c r="D18" s="5">
        <v>1</v>
      </c>
      <c r="E18" s="5">
        <v>1</v>
      </c>
      <c r="F18" s="31"/>
      <c r="G18" s="5">
        <v>1</v>
      </c>
      <c r="H18" s="5">
        <v>1</v>
      </c>
      <c r="I18" s="912" t="s">
        <v>18</v>
      </c>
      <c r="J18" s="5">
        <v>1</v>
      </c>
      <c r="K18" s="5">
        <v>1</v>
      </c>
      <c r="L18" s="5">
        <v>1</v>
      </c>
      <c r="M18" s="31"/>
      <c r="N18" s="5">
        <v>1</v>
      </c>
      <c r="O18" s="5">
        <v>1</v>
      </c>
      <c r="P18" s="5">
        <v>1</v>
      </c>
      <c r="Q18" s="5">
        <v>1</v>
      </c>
      <c r="R18" s="31"/>
      <c r="S18" s="5">
        <v>1</v>
      </c>
      <c r="T18" s="31"/>
      <c r="U18" s="5">
        <v>1</v>
      </c>
      <c r="V18" s="912" t="s">
        <v>95</v>
      </c>
      <c r="W18" s="912" t="s">
        <v>95</v>
      </c>
      <c r="X18" s="5">
        <v>1</v>
      </c>
      <c r="Y18" s="5">
        <v>1</v>
      </c>
      <c r="Z18" s="5">
        <v>1</v>
      </c>
      <c r="AA18" s="35"/>
      <c r="AB18" s="5">
        <v>1</v>
      </c>
      <c r="AC18" s="5">
        <v>1</v>
      </c>
      <c r="AD18" s="26">
        <v>1</v>
      </c>
      <c r="AE18" s="26">
        <v>1</v>
      </c>
      <c r="AF18" s="5">
        <v>1</v>
      </c>
      <c r="AG18" s="5">
        <v>1</v>
      </c>
      <c r="AH18" s="711">
        <f t="shared" si="3"/>
        <v>22</v>
      </c>
      <c r="AI18" s="123">
        <f t="shared" si="4"/>
        <v>1</v>
      </c>
      <c r="AJ18" s="123">
        <f t="shared" si="0"/>
        <v>0</v>
      </c>
      <c r="AK18" s="123">
        <f t="shared" si="5"/>
        <v>2</v>
      </c>
      <c r="AL18" s="213">
        <v>4</v>
      </c>
      <c r="AM18" s="213">
        <v>2</v>
      </c>
      <c r="AN18" s="123">
        <f t="shared" si="6"/>
        <v>0</v>
      </c>
      <c r="AO18" s="123">
        <f t="shared" si="7"/>
        <v>0</v>
      </c>
      <c r="AP18" s="83">
        <f t="shared" si="8"/>
        <v>31</v>
      </c>
      <c r="AQ18" s="123">
        <f t="shared" si="1"/>
        <v>0</v>
      </c>
      <c r="AR18" s="123">
        <f t="shared" si="2"/>
        <v>0</v>
      </c>
      <c r="AS18" s="3"/>
    </row>
    <row r="19" spans="1:45" ht="17.25" customHeight="1">
      <c r="A19" s="213">
        <v>12</v>
      </c>
      <c r="B19" s="169" t="s">
        <v>62</v>
      </c>
      <c r="C19" s="31"/>
      <c r="D19" s="5">
        <v>1</v>
      </c>
      <c r="E19" s="5">
        <v>1</v>
      </c>
      <c r="F19" s="31"/>
      <c r="G19" s="5">
        <v>1</v>
      </c>
      <c r="H19" s="912" t="s">
        <v>18</v>
      </c>
      <c r="I19" s="5">
        <v>1</v>
      </c>
      <c r="J19" s="5">
        <v>1</v>
      </c>
      <c r="K19" s="5">
        <v>1</v>
      </c>
      <c r="L19" s="5">
        <v>1</v>
      </c>
      <c r="M19" s="31"/>
      <c r="N19" s="5">
        <v>1</v>
      </c>
      <c r="O19" s="5">
        <v>1</v>
      </c>
      <c r="P19" s="912" t="s">
        <v>18</v>
      </c>
      <c r="Q19" s="5">
        <v>1</v>
      </c>
      <c r="R19" s="31"/>
      <c r="S19" s="5">
        <v>1</v>
      </c>
      <c r="T19" s="31"/>
      <c r="U19" s="5">
        <v>1</v>
      </c>
      <c r="V19" s="5">
        <v>1</v>
      </c>
      <c r="W19" s="5">
        <v>1</v>
      </c>
      <c r="X19" s="5">
        <v>1</v>
      </c>
      <c r="Y19" s="5">
        <v>1</v>
      </c>
      <c r="Z19" s="5">
        <v>1</v>
      </c>
      <c r="AA19" s="31"/>
      <c r="AB19" s="5">
        <v>1</v>
      </c>
      <c r="AC19" s="5">
        <v>1</v>
      </c>
      <c r="AD19" s="26">
        <v>1</v>
      </c>
      <c r="AE19" s="26">
        <v>1</v>
      </c>
      <c r="AF19" s="5">
        <v>1</v>
      </c>
      <c r="AG19" s="5">
        <v>1</v>
      </c>
      <c r="AH19" s="711">
        <f t="shared" si="3"/>
        <v>23</v>
      </c>
      <c r="AI19" s="123">
        <f t="shared" si="4"/>
        <v>2</v>
      </c>
      <c r="AJ19" s="123">
        <f t="shared" si="0"/>
        <v>0</v>
      </c>
      <c r="AK19" s="123">
        <f t="shared" si="5"/>
        <v>0</v>
      </c>
      <c r="AL19" s="213">
        <v>4</v>
      </c>
      <c r="AM19" s="213">
        <v>2</v>
      </c>
      <c r="AN19" s="123">
        <f t="shared" si="6"/>
        <v>0</v>
      </c>
      <c r="AO19" s="123">
        <f t="shared" si="7"/>
        <v>0</v>
      </c>
      <c r="AP19" s="83">
        <f t="shared" si="8"/>
        <v>31</v>
      </c>
      <c r="AQ19" s="123">
        <f t="shared" si="1"/>
        <v>0</v>
      </c>
      <c r="AR19" s="123">
        <f t="shared" si="2"/>
        <v>0</v>
      </c>
      <c r="AS19" s="3"/>
    </row>
    <row r="20" spans="1:45" ht="17.25" customHeight="1">
      <c r="A20" s="213">
        <v>13</v>
      </c>
      <c r="B20" s="113" t="s">
        <v>63</v>
      </c>
      <c r="C20" s="31"/>
      <c r="D20" s="5">
        <v>1</v>
      </c>
      <c r="E20" s="5">
        <v>1</v>
      </c>
      <c r="F20" s="31"/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1</v>
      </c>
      <c r="M20" s="31"/>
      <c r="N20" s="5">
        <v>1</v>
      </c>
      <c r="O20" s="5">
        <v>1</v>
      </c>
      <c r="P20" s="5">
        <v>1</v>
      </c>
      <c r="Q20" s="5">
        <v>1</v>
      </c>
      <c r="R20" s="31"/>
      <c r="S20" s="5">
        <v>1</v>
      </c>
      <c r="T20" s="31"/>
      <c r="U20" s="5">
        <v>1</v>
      </c>
      <c r="V20" s="5">
        <v>1</v>
      </c>
      <c r="W20" s="5">
        <v>1</v>
      </c>
      <c r="X20" s="5">
        <v>1</v>
      </c>
      <c r="Y20" s="5">
        <v>1</v>
      </c>
      <c r="Z20" s="5">
        <v>1</v>
      </c>
      <c r="AA20" s="31"/>
      <c r="AB20" s="5">
        <v>1</v>
      </c>
      <c r="AC20" s="5">
        <v>1</v>
      </c>
      <c r="AD20" s="26">
        <v>1</v>
      </c>
      <c r="AE20" s="26">
        <v>1</v>
      </c>
      <c r="AF20" s="5">
        <v>1</v>
      </c>
      <c r="AG20" s="5">
        <v>1</v>
      </c>
      <c r="AH20" s="711">
        <f t="shared" si="3"/>
        <v>25</v>
      </c>
      <c r="AI20" s="123">
        <f t="shared" si="4"/>
        <v>0</v>
      </c>
      <c r="AJ20" s="123">
        <f t="shared" si="0"/>
        <v>0</v>
      </c>
      <c r="AK20" s="123">
        <f t="shared" si="5"/>
        <v>0</v>
      </c>
      <c r="AL20" s="213">
        <v>4</v>
      </c>
      <c r="AM20" s="213">
        <v>2</v>
      </c>
      <c r="AN20" s="123">
        <f t="shared" si="6"/>
        <v>0</v>
      </c>
      <c r="AO20" s="123">
        <f t="shared" si="7"/>
        <v>0</v>
      </c>
      <c r="AP20" s="83">
        <f t="shared" si="8"/>
        <v>31</v>
      </c>
      <c r="AQ20" s="123">
        <f t="shared" si="1"/>
        <v>0</v>
      </c>
      <c r="AR20" s="123">
        <f t="shared" si="2"/>
        <v>0</v>
      </c>
      <c r="AS20" s="3"/>
    </row>
    <row r="21" spans="1:45" ht="17.25" customHeight="1">
      <c r="A21" s="213">
        <v>14</v>
      </c>
      <c r="B21" s="113" t="s">
        <v>64</v>
      </c>
      <c r="C21" s="31"/>
      <c r="D21" s="5">
        <v>1</v>
      </c>
      <c r="E21" s="5">
        <v>1</v>
      </c>
      <c r="F21" s="31"/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1</v>
      </c>
      <c r="M21" s="31"/>
      <c r="N21" s="5">
        <v>1</v>
      </c>
      <c r="O21" s="5">
        <v>1</v>
      </c>
      <c r="P21" s="5">
        <v>1</v>
      </c>
      <c r="Q21" s="5">
        <v>1</v>
      </c>
      <c r="R21" s="31"/>
      <c r="S21" s="5">
        <v>1</v>
      </c>
      <c r="T21" s="31"/>
      <c r="U21" s="5">
        <v>1</v>
      </c>
      <c r="V21" s="5">
        <v>1</v>
      </c>
      <c r="W21" s="5">
        <v>1</v>
      </c>
      <c r="X21" s="5">
        <v>1</v>
      </c>
      <c r="Y21" s="5">
        <v>1</v>
      </c>
      <c r="Z21" s="5">
        <v>1</v>
      </c>
      <c r="AA21" s="31"/>
      <c r="AB21" s="5">
        <v>1</v>
      </c>
      <c r="AC21" s="5">
        <v>1</v>
      </c>
      <c r="AD21" s="26">
        <v>1</v>
      </c>
      <c r="AE21" s="26">
        <v>1</v>
      </c>
      <c r="AF21" s="5">
        <v>1</v>
      </c>
      <c r="AG21" s="5">
        <v>1</v>
      </c>
      <c r="AH21" s="711">
        <f t="shared" si="3"/>
        <v>25</v>
      </c>
      <c r="AI21" s="123">
        <f t="shared" si="4"/>
        <v>0</v>
      </c>
      <c r="AJ21" s="123">
        <f t="shared" si="0"/>
        <v>0</v>
      </c>
      <c r="AK21" s="123">
        <f t="shared" si="5"/>
        <v>0</v>
      </c>
      <c r="AL21" s="213">
        <v>4</v>
      </c>
      <c r="AM21" s="213">
        <v>2</v>
      </c>
      <c r="AN21" s="123">
        <f t="shared" si="6"/>
        <v>0</v>
      </c>
      <c r="AO21" s="123">
        <f t="shared" si="7"/>
        <v>0</v>
      </c>
      <c r="AP21" s="83">
        <f t="shared" si="8"/>
        <v>31</v>
      </c>
      <c r="AQ21" s="123">
        <f t="shared" si="1"/>
        <v>0</v>
      </c>
      <c r="AR21" s="123">
        <f t="shared" si="2"/>
        <v>0</v>
      </c>
      <c r="AS21" s="3"/>
    </row>
    <row r="22" spans="1:45" ht="17.25" customHeight="1">
      <c r="A22" s="213">
        <v>15</v>
      </c>
      <c r="B22" s="169" t="s">
        <v>75</v>
      </c>
      <c r="C22" s="31"/>
      <c r="D22" s="5">
        <v>1</v>
      </c>
      <c r="E22" s="5">
        <v>1</v>
      </c>
      <c r="F22" s="31"/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1</v>
      </c>
      <c r="M22" s="31"/>
      <c r="N22" s="5">
        <v>1</v>
      </c>
      <c r="O22" s="5">
        <v>1</v>
      </c>
      <c r="P22" s="5">
        <v>1</v>
      </c>
      <c r="Q22" s="5">
        <v>1</v>
      </c>
      <c r="R22" s="31"/>
      <c r="S22" s="5">
        <v>1</v>
      </c>
      <c r="T22" s="31"/>
      <c r="U22" s="5">
        <v>1</v>
      </c>
      <c r="V22" s="5">
        <v>1</v>
      </c>
      <c r="W22" s="5">
        <v>1</v>
      </c>
      <c r="X22" s="5">
        <v>1</v>
      </c>
      <c r="Y22" s="5">
        <v>1</v>
      </c>
      <c r="Z22" s="5">
        <v>1</v>
      </c>
      <c r="AA22" s="31"/>
      <c r="AB22" s="5">
        <v>1</v>
      </c>
      <c r="AC22" s="5">
        <v>1</v>
      </c>
      <c r="AD22" s="26">
        <v>1</v>
      </c>
      <c r="AE22" s="26">
        <v>1</v>
      </c>
      <c r="AF22" s="5">
        <v>1</v>
      </c>
      <c r="AG22" s="5">
        <v>1</v>
      </c>
      <c r="AH22" s="711">
        <f t="shared" si="3"/>
        <v>25</v>
      </c>
      <c r="AI22" s="123">
        <f t="shared" si="4"/>
        <v>0</v>
      </c>
      <c r="AJ22" s="123">
        <f t="shared" si="0"/>
        <v>0</v>
      </c>
      <c r="AK22" s="123">
        <f t="shared" si="5"/>
        <v>0</v>
      </c>
      <c r="AL22" s="213">
        <v>4</v>
      </c>
      <c r="AM22" s="213">
        <v>2</v>
      </c>
      <c r="AN22" s="123">
        <f t="shared" si="6"/>
        <v>0</v>
      </c>
      <c r="AO22" s="123">
        <f t="shared" si="7"/>
        <v>0</v>
      </c>
      <c r="AP22" s="123">
        <f t="shared" si="8"/>
        <v>31</v>
      </c>
      <c r="AQ22" s="123">
        <f t="shared" si="1"/>
        <v>0</v>
      </c>
      <c r="AR22" s="123">
        <f t="shared" si="2"/>
        <v>0</v>
      </c>
      <c r="AS22" s="3"/>
    </row>
    <row r="23" spans="1:45" ht="17.25" customHeight="1">
      <c r="A23" s="213">
        <v>16</v>
      </c>
      <c r="B23" s="169" t="s">
        <v>76</v>
      </c>
      <c r="C23" s="31"/>
      <c r="D23" s="5">
        <v>1</v>
      </c>
      <c r="E23" s="912" t="s">
        <v>18</v>
      </c>
      <c r="F23" s="31"/>
      <c r="G23" s="5">
        <v>1</v>
      </c>
      <c r="H23" s="5">
        <v>1</v>
      </c>
      <c r="I23" s="5">
        <v>1</v>
      </c>
      <c r="J23" s="5">
        <v>1</v>
      </c>
      <c r="K23" s="5">
        <v>1</v>
      </c>
      <c r="L23" s="5">
        <v>1</v>
      </c>
      <c r="M23" s="31"/>
      <c r="N23" s="5">
        <v>1</v>
      </c>
      <c r="O23" s="5">
        <v>1</v>
      </c>
      <c r="P23" s="5">
        <v>1</v>
      </c>
      <c r="Q23" s="5">
        <v>1</v>
      </c>
      <c r="R23" s="31"/>
      <c r="S23" s="5">
        <v>1</v>
      </c>
      <c r="T23" s="31"/>
      <c r="U23" s="912" t="s">
        <v>18</v>
      </c>
      <c r="V23" s="5">
        <v>1</v>
      </c>
      <c r="W23" s="5">
        <v>1</v>
      </c>
      <c r="X23" s="5">
        <v>1</v>
      </c>
      <c r="Y23" s="5">
        <v>1</v>
      </c>
      <c r="Z23" s="5">
        <v>1</v>
      </c>
      <c r="AA23" s="31"/>
      <c r="AB23" s="5">
        <v>1</v>
      </c>
      <c r="AC23" s="5">
        <v>1</v>
      </c>
      <c r="AD23" s="26">
        <v>1</v>
      </c>
      <c r="AE23" s="26">
        <v>1</v>
      </c>
      <c r="AF23" s="5">
        <v>1</v>
      </c>
      <c r="AG23" s="5">
        <v>1</v>
      </c>
      <c r="AH23" s="711">
        <f t="shared" ref="AH23:AH36" si="9">SUM(C23:AG23)</f>
        <v>23</v>
      </c>
      <c r="AI23" s="123">
        <f t="shared" si="4"/>
        <v>2</v>
      </c>
      <c r="AJ23" s="123">
        <f t="shared" si="0"/>
        <v>0</v>
      </c>
      <c r="AK23" s="123">
        <f t="shared" si="5"/>
        <v>0</v>
      </c>
      <c r="AL23" s="213">
        <v>4</v>
      </c>
      <c r="AM23" s="213">
        <v>2</v>
      </c>
      <c r="AN23" s="123">
        <f t="shared" si="6"/>
        <v>0</v>
      </c>
      <c r="AO23" s="123">
        <f t="shared" si="7"/>
        <v>0</v>
      </c>
      <c r="AP23" s="123">
        <f t="shared" ref="AP23:AP36" si="10">AH23+AI23+AJ23+AK23+AL23+AM23+AN23+AO23</f>
        <v>31</v>
      </c>
      <c r="AQ23" s="123">
        <f t="shared" si="1"/>
        <v>0</v>
      </c>
      <c r="AR23" s="123">
        <f t="shared" si="2"/>
        <v>0</v>
      </c>
      <c r="AS23" s="3"/>
    </row>
    <row r="24" spans="1:45" ht="17.25" customHeight="1">
      <c r="A24" s="213">
        <v>17</v>
      </c>
      <c r="B24" s="169" t="s">
        <v>77</v>
      </c>
      <c r="C24" s="31"/>
      <c r="D24" s="5">
        <v>1</v>
      </c>
      <c r="E24" s="912" t="s">
        <v>18</v>
      </c>
      <c r="F24" s="31"/>
      <c r="G24" s="5">
        <v>1</v>
      </c>
      <c r="H24" s="5">
        <v>1</v>
      </c>
      <c r="I24" s="5">
        <v>1</v>
      </c>
      <c r="J24" s="5">
        <v>1</v>
      </c>
      <c r="K24" s="5">
        <v>1</v>
      </c>
      <c r="L24" s="5">
        <v>1</v>
      </c>
      <c r="M24" s="31"/>
      <c r="N24" s="5">
        <v>1</v>
      </c>
      <c r="O24" s="5">
        <v>1</v>
      </c>
      <c r="P24" s="5">
        <v>1</v>
      </c>
      <c r="Q24" s="5">
        <v>1</v>
      </c>
      <c r="R24" s="31"/>
      <c r="S24" s="5">
        <v>1</v>
      </c>
      <c r="T24" s="31"/>
      <c r="U24" s="5">
        <v>1</v>
      </c>
      <c r="V24" s="5">
        <v>1</v>
      </c>
      <c r="W24" s="5">
        <v>1</v>
      </c>
      <c r="X24" s="5">
        <v>1</v>
      </c>
      <c r="Y24" s="5">
        <v>1</v>
      </c>
      <c r="Z24" s="5">
        <v>1</v>
      </c>
      <c r="AA24" s="31"/>
      <c r="AB24" s="5">
        <v>1</v>
      </c>
      <c r="AC24" s="5">
        <v>1</v>
      </c>
      <c r="AD24" s="26">
        <v>1</v>
      </c>
      <c r="AE24" s="26">
        <v>1</v>
      </c>
      <c r="AF24" s="5">
        <v>1</v>
      </c>
      <c r="AG24" s="5">
        <v>1</v>
      </c>
      <c r="AH24" s="711">
        <f t="shared" si="9"/>
        <v>24</v>
      </c>
      <c r="AI24" s="123">
        <f t="shared" si="4"/>
        <v>1</v>
      </c>
      <c r="AJ24" s="123">
        <f t="shared" si="0"/>
        <v>0</v>
      </c>
      <c r="AK24" s="123">
        <f t="shared" si="5"/>
        <v>0</v>
      </c>
      <c r="AL24" s="213">
        <v>4</v>
      </c>
      <c r="AM24" s="213">
        <v>2</v>
      </c>
      <c r="AN24" s="123">
        <f t="shared" si="6"/>
        <v>0</v>
      </c>
      <c r="AO24" s="123">
        <f t="shared" si="7"/>
        <v>0</v>
      </c>
      <c r="AP24" s="123">
        <f t="shared" si="10"/>
        <v>31</v>
      </c>
      <c r="AQ24" s="123">
        <f t="shared" si="1"/>
        <v>0</v>
      </c>
      <c r="AR24" s="123">
        <f t="shared" si="2"/>
        <v>0</v>
      </c>
      <c r="AS24" s="3"/>
    </row>
    <row r="25" spans="1:45" s="27" customFormat="1" ht="17.25" customHeight="1">
      <c r="A25" s="213">
        <v>18</v>
      </c>
      <c r="B25" s="113" t="s">
        <v>258</v>
      </c>
      <c r="C25" s="31"/>
      <c r="D25" s="912" t="s">
        <v>17</v>
      </c>
      <c r="E25" s="912" t="s">
        <v>17</v>
      </c>
      <c r="F25" s="31"/>
      <c r="G25" s="5">
        <v>1</v>
      </c>
      <c r="H25" s="5">
        <v>1</v>
      </c>
      <c r="I25" s="5">
        <v>1</v>
      </c>
      <c r="J25" s="5">
        <v>1</v>
      </c>
      <c r="K25" s="5">
        <v>1</v>
      </c>
      <c r="L25" s="5">
        <v>1</v>
      </c>
      <c r="M25" s="31"/>
      <c r="N25" s="5">
        <v>1</v>
      </c>
      <c r="O25" s="5">
        <v>1</v>
      </c>
      <c r="P25" s="5">
        <v>1</v>
      </c>
      <c r="Q25" s="5">
        <v>1</v>
      </c>
      <c r="R25" s="31"/>
      <c r="S25" s="5">
        <v>1</v>
      </c>
      <c r="T25" s="31"/>
      <c r="U25" s="5">
        <v>1</v>
      </c>
      <c r="V25" s="5">
        <v>1</v>
      </c>
      <c r="W25" s="5">
        <v>1</v>
      </c>
      <c r="X25" s="5">
        <v>1</v>
      </c>
      <c r="Y25" s="5">
        <v>1</v>
      </c>
      <c r="Z25" s="5">
        <v>1</v>
      </c>
      <c r="AA25" s="31"/>
      <c r="AB25" s="5">
        <v>1</v>
      </c>
      <c r="AC25" s="5">
        <v>1</v>
      </c>
      <c r="AD25" s="26">
        <v>1</v>
      </c>
      <c r="AE25" s="26">
        <v>1</v>
      </c>
      <c r="AF25" s="5">
        <v>1</v>
      </c>
      <c r="AG25" s="5">
        <v>1</v>
      </c>
      <c r="AH25" s="711">
        <f t="shared" si="9"/>
        <v>23</v>
      </c>
      <c r="AI25" s="213">
        <f t="shared" si="4"/>
        <v>0</v>
      </c>
      <c r="AJ25" s="213">
        <f t="shared" si="0"/>
        <v>2</v>
      </c>
      <c r="AK25" s="5">
        <f t="shared" si="5"/>
        <v>0</v>
      </c>
      <c r="AL25" s="213">
        <v>4</v>
      </c>
      <c r="AM25" s="213">
        <v>2</v>
      </c>
      <c r="AN25" s="213">
        <f t="shared" si="6"/>
        <v>0</v>
      </c>
      <c r="AO25" s="213">
        <f t="shared" si="7"/>
        <v>0</v>
      </c>
      <c r="AP25" s="213">
        <f t="shared" si="10"/>
        <v>31</v>
      </c>
      <c r="AQ25" s="213">
        <f t="shared" si="1"/>
        <v>0</v>
      </c>
      <c r="AR25" s="5">
        <f t="shared" si="2"/>
        <v>0</v>
      </c>
      <c r="AS25" s="21"/>
    </row>
    <row r="26" spans="1:45" s="27" customFormat="1" ht="17.25" customHeight="1">
      <c r="A26" s="213">
        <v>19</v>
      </c>
      <c r="B26" s="756" t="s">
        <v>353</v>
      </c>
      <c r="C26" s="31"/>
      <c r="D26" s="5">
        <v>1</v>
      </c>
      <c r="E26" s="5">
        <v>1</v>
      </c>
      <c r="F26" s="31"/>
      <c r="G26" s="5">
        <v>1</v>
      </c>
      <c r="H26" s="5">
        <v>1</v>
      </c>
      <c r="I26" s="5">
        <v>1</v>
      </c>
      <c r="J26" s="5">
        <v>1</v>
      </c>
      <c r="K26" s="5">
        <v>1</v>
      </c>
      <c r="L26" s="5">
        <v>1</v>
      </c>
      <c r="M26" s="31"/>
      <c r="N26" s="5">
        <v>1</v>
      </c>
      <c r="O26" s="5">
        <v>1</v>
      </c>
      <c r="P26" s="5">
        <v>1</v>
      </c>
      <c r="Q26" s="912" t="s">
        <v>17</v>
      </c>
      <c r="R26" s="31"/>
      <c r="S26" s="5">
        <v>1</v>
      </c>
      <c r="T26" s="31"/>
      <c r="U26" s="5">
        <v>1</v>
      </c>
      <c r="V26" s="912" t="s">
        <v>95</v>
      </c>
      <c r="W26" s="912" t="s">
        <v>95</v>
      </c>
      <c r="X26" s="5">
        <v>1</v>
      </c>
      <c r="Y26" s="5">
        <v>1</v>
      </c>
      <c r="Z26" s="5">
        <v>1</v>
      </c>
      <c r="AA26" s="31"/>
      <c r="AB26" s="5">
        <v>1</v>
      </c>
      <c r="AC26" s="5">
        <v>1</v>
      </c>
      <c r="AD26" s="26">
        <v>1</v>
      </c>
      <c r="AE26" s="26">
        <v>1</v>
      </c>
      <c r="AF26" s="5">
        <v>1</v>
      </c>
      <c r="AG26" s="5">
        <v>1</v>
      </c>
      <c r="AH26" s="711">
        <f t="shared" si="9"/>
        <v>22</v>
      </c>
      <c r="AI26" s="213">
        <f t="shared" si="4"/>
        <v>0</v>
      </c>
      <c r="AJ26" s="213">
        <f t="shared" si="0"/>
        <v>1</v>
      </c>
      <c r="AK26" s="5">
        <f t="shared" si="5"/>
        <v>2</v>
      </c>
      <c r="AL26" s="213">
        <v>4</v>
      </c>
      <c r="AM26" s="213">
        <v>2</v>
      </c>
      <c r="AN26" s="213">
        <f t="shared" si="6"/>
        <v>0</v>
      </c>
      <c r="AO26" s="213">
        <f t="shared" si="7"/>
        <v>0</v>
      </c>
      <c r="AP26" s="213">
        <f t="shared" si="10"/>
        <v>31</v>
      </c>
      <c r="AQ26" s="213">
        <f t="shared" si="1"/>
        <v>0</v>
      </c>
      <c r="AR26" s="5">
        <f t="shared" si="2"/>
        <v>0</v>
      </c>
      <c r="AS26" s="757"/>
    </row>
    <row r="27" spans="1:45" s="27" customFormat="1" ht="17.25" customHeight="1">
      <c r="A27" s="213">
        <v>20</v>
      </c>
      <c r="B27" s="756" t="s">
        <v>301</v>
      </c>
      <c r="C27" s="31"/>
      <c r="D27" s="5">
        <v>1</v>
      </c>
      <c r="E27" s="5">
        <v>1</v>
      </c>
      <c r="F27" s="31"/>
      <c r="G27" s="5">
        <v>1</v>
      </c>
      <c r="H27" s="5">
        <v>1</v>
      </c>
      <c r="I27" s="5">
        <v>1</v>
      </c>
      <c r="J27" s="5">
        <v>1</v>
      </c>
      <c r="K27" s="5">
        <v>1</v>
      </c>
      <c r="L27" s="912" t="s">
        <v>18</v>
      </c>
      <c r="M27" s="31"/>
      <c r="N27" s="5">
        <v>1</v>
      </c>
      <c r="O27" s="5">
        <v>1</v>
      </c>
      <c r="P27" s="5">
        <v>1</v>
      </c>
      <c r="Q27" s="5">
        <v>1</v>
      </c>
      <c r="R27" s="31"/>
      <c r="S27" s="5">
        <v>1</v>
      </c>
      <c r="T27" s="31"/>
      <c r="U27" s="5">
        <v>1</v>
      </c>
      <c r="V27" s="5">
        <v>1</v>
      </c>
      <c r="W27" s="5">
        <v>1</v>
      </c>
      <c r="X27" s="5">
        <v>1</v>
      </c>
      <c r="Y27" s="5">
        <v>1</v>
      </c>
      <c r="Z27" s="5">
        <v>1</v>
      </c>
      <c r="AA27" s="31"/>
      <c r="AB27" s="5">
        <v>1</v>
      </c>
      <c r="AC27" s="5">
        <v>1</v>
      </c>
      <c r="AD27" s="26">
        <v>1</v>
      </c>
      <c r="AE27" s="1208" t="s">
        <v>18</v>
      </c>
      <c r="AF27" s="5">
        <v>1</v>
      </c>
      <c r="AG27" s="5">
        <v>1</v>
      </c>
      <c r="AH27" s="711">
        <f t="shared" si="9"/>
        <v>23</v>
      </c>
      <c r="AI27" s="213">
        <f t="shared" si="4"/>
        <v>2</v>
      </c>
      <c r="AJ27" s="213">
        <f t="shared" si="0"/>
        <v>0</v>
      </c>
      <c r="AK27" s="5">
        <f t="shared" si="5"/>
        <v>0</v>
      </c>
      <c r="AL27" s="213">
        <v>4</v>
      </c>
      <c r="AM27" s="213">
        <v>2</v>
      </c>
      <c r="AN27" s="213">
        <f t="shared" si="6"/>
        <v>0</v>
      </c>
      <c r="AO27" s="213">
        <f t="shared" si="7"/>
        <v>0</v>
      </c>
      <c r="AP27" s="213">
        <f t="shared" si="10"/>
        <v>31</v>
      </c>
      <c r="AQ27" s="213">
        <f t="shared" si="1"/>
        <v>0</v>
      </c>
      <c r="AR27" s="5">
        <f t="shared" si="2"/>
        <v>0</v>
      </c>
      <c r="AS27" s="757"/>
    </row>
    <row r="28" spans="1:45" s="27" customFormat="1" ht="17.25" customHeight="1">
      <c r="A28" s="213">
        <v>21</v>
      </c>
      <c r="B28" s="756" t="s">
        <v>16</v>
      </c>
      <c r="C28" s="31"/>
      <c r="D28" s="912" t="s">
        <v>17</v>
      </c>
      <c r="E28" s="912" t="s">
        <v>17</v>
      </c>
      <c r="F28" s="31"/>
      <c r="G28" s="5">
        <v>1</v>
      </c>
      <c r="H28" s="5">
        <v>1</v>
      </c>
      <c r="I28" s="5">
        <v>1</v>
      </c>
      <c r="J28" s="5">
        <v>1</v>
      </c>
      <c r="K28" s="5">
        <v>1</v>
      </c>
      <c r="L28" s="5">
        <v>1</v>
      </c>
      <c r="M28" s="31"/>
      <c r="N28" s="5">
        <v>1</v>
      </c>
      <c r="O28" s="5">
        <v>1</v>
      </c>
      <c r="P28" s="5">
        <v>1</v>
      </c>
      <c r="Q28" s="5">
        <v>1</v>
      </c>
      <c r="R28" s="31"/>
      <c r="S28" s="5">
        <v>1</v>
      </c>
      <c r="T28" s="31"/>
      <c r="U28" s="5">
        <v>1</v>
      </c>
      <c r="V28" s="5">
        <v>1</v>
      </c>
      <c r="W28" s="5">
        <v>1</v>
      </c>
      <c r="X28" s="5">
        <v>1</v>
      </c>
      <c r="Y28" s="5">
        <v>1</v>
      </c>
      <c r="Z28" s="5">
        <v>1</v>
      </c>
      <c r="AA28" s="31"/>
      <c r="AB28" s="5">
        <v>1</v>
      </c>
      <c r="AC28" s="5">
        <v>1</v>
      </c>
      <c r="AD28" s="26">
        <v>1</v>
      </c>
      <c r="AE28" s="26">
        <v>1</v>
      </c>
      <c r="AF28" s="5">
        <v>1</v>
      </c>
      <c r="AG28" s="5">
        <v>1</v>
      </c>
      <c r="AH28" s="711">
        <f t="shared" si="9"/>
        <v>23</v>
      </c>
      <c r="AI28" s="213">
        <f t="shared" si="4"/>
        <v>0</v>
      </c>
      <c r="AJ28" s="213">
        <f t="shared" si="0"/>
        <v>2</v>
      </c>
      <c r="AK28" s="5">
        <f t="shared" si="5"/>
        <v>0</v>
      </c>
      <c r="AL28" s="213">
        <v>4</v>
      </c>
      <c r="AM28" s="213">
        <v>2</v>
      </c>
      <c r="AN28" s="213">
        <f t="shared" si="6"/>
        <v>0</v>
      </c>
      <c r="AO28" s="213">
        <f t="shared" si="7"/>
        <v>0</v>
      </c>
      <c r="AP28" s="213">
        <f t="shared" si="10"/>
        <v>31</v>
      </c>
      <c r="AQ28" s="213">
        <f t="shared" si="1"/>
        <v>0</v>
      </c>
      <c r="AR28" s="5">
        <f t="shared" si="2"/>
        <v>0</v>
      </c>
      <c r="AS28" s="757"/>
    </row>
    <row r="29" spans="1:45" s="27" customFormat="1" ht="17.25" customHeight="1">
      <c r="A29" s="213">
        <v>22</v>
      </c>
      <c r="B29" s="756" t="s">
        <v>329</v>
      </c>
      <c r="C29" s="31"/>
      <c r="D29" s="5">
        <v>1</v>
      </c>
      <c r="E29" s="912" t="s">
        <v>15</v>
      </c>
      <c r="F29" s="31"/>
      <c r="G29" s="5">
        <v>1</v>
      </c>
      <c r="H29" s="5">
        <v>1</v>
      </c>
      <c r="I29" s="5">
        <v>1</v>
      </c>
      <c r="J29" s="5">
        <v>1</v>
      </c>
      <c r="K29" s="5">
        <v>1</v>
      </c>
      <c r="L29" s="5">
        <v>1</v>
      </c>
      <c r="M29" s="31"/>
      <c r="N29" s="5">
        <v>1</v>
      </c>
      <c r="O29" s="5">
        <v>1</v>
      </c>
      <c r="P29" s="5">
        <v>1</v>
      </c>
      <c r="Q29" s="5">
        <v>1</v>
      </c>
      <c r="R29" s="31"/>
      <c r="S29" s="5">
        <v>1</v>
      </c>
      <c r="T29" s="31"/>
      <c r="U29" s="5">
        <v>1</v>
      </c>
      <c r="V29" s="5">
        <v>1</v>
      </c>
      <c r="W29" s="912" t="s">
        <v>18</v>
      </c>
      <c r="X29" s="5">
        <v>1</v>
      </c>
      <c r="Y29" s="5">
        <v>1</v>
      </c>
      <c r="Z29" s="5">
        <v>1</v>
      </c>
      <c r="AA29" s="31"/>
      <c r="AB29" s="5">
        <v>1</v>
      </c>
      <c r="AC29" s="5">
        <v>1</v>
      </c>
      <c r="AD29" s="26">
        <v>1</v>
      </c>
      <c r="AE29" s="26">
        <v>1</v>
      </c>
      <c r="AF29" s="5">
        <v>1</v>
      </c>
      <c r="AG29" s="5">
        <v>1</v>
      </c>
      <c r="AH29" s="711">
        <f t="shared" si="9"/>
        <v>23</v>
      </c>
      <c r="AI29" s="213">
        <f t="shared" si="4"/>
        <v>1</v>
      </c>
      <c r="AJ29" s="213">
        <f t="shared" si="0"/>
        <v>0</v>
      </c>
      <c r="AK29" s="5">
        <f t="shared" si="5"/>
        <v>0</v>
      </c>
      <c r="AL29" s="213">
        <v>4</v>
      </c>
      <c r="AM29" s="213">
        <v>2</v>
      </c>
      <c r="AN29" s="213">
        <f t="shared" si="6"/>
        <v>0</v>
      </c>
      <c r="AO29" s="213">
        <f t="shared" si="7"/>
        <v>0</v>
      </c>
      <c r="AP29" s="213">
        <f t="shared" si="10"/>
        <v>30</v>
      </c>
      <c r="AQ29" s="213">
        <f t="shared" si="1"/>
        <v>0</v>
      </c>
      <c r="AR29" s="5">
        <f t="shared" si="2"/>
        <v>1</v>
      </c>
      <c r="AS29" s="757"/>
    </row>
    <row r="30" spans="1:45" s="27" customFormat="1" ht="17.25" customHeight="1">
      <c r="A30" s="213">
        <v>23</v>
      </c>
      <c r="B30" s="756" t="s">
        <v>389</v>
      </c>
      <c r="C30" s="31"/>
      <c r="D30" s="5">
        <v>1</v>
      </c>
      <c r="E30" s="5">
        <v>1</v>
      </c>
      <c r="F30" s="31"/>
      <c r="G30" s="5">
        <v>1</v>
      </c>
      <c r="H30" s="5">
        <v>1</v>
      </c>
      <c r="I30" s="5">
        <v>1</v>
      </c>
      <c r="J30" s="5">
        <v>1</v>
      </c>
      <c r="K30" s="5">
        <v>1</v>
      </c>
      <c r="L30" s="5">
        <v>1</v>
      </c>
      <c r="M30" s="31"/>
      <c r="N30" s="5">
        <v>1</v>
      </c>
      <c r="O30" s="5">
        <v>1</v>
      </c>
      <c r="P30" s="5">
        <v>1</v>
      </c>
      <c r="Q30" s="5">
        <v>1</v>
      </c>
      <c r="R30" s="31"/>
      <c r="S30" s="5">
        <v>1</v>
      </c>
      <c r="T30" s="31"/>
      <c r="U30" s="5">
        <v>1</v>
      </c>
      <c r="V30" s="5">
        <v>1</v>
      </c>
      <c r="W30" s="5">
        <v>1</v>
      </c>
      <c r="X30" s="5">
        <v>1</v>
      </c>
      <c r="Y30" s="5">
        <v>1</v>
      </c>
      <c r="Z30" s="5">
        <v>1</v>
      </c>
      <c r="AA30" s="31"/>
      <c r="AB30" s="5">
        <v>1</v>
      </c>
      <c r="AC30" s="5">
        <v>1</v>
      </c>
      <c r="AD30" s="26">
        <v>1</v>
      </c>
      <c r="AE30" s="26">
        <v>1</v>
      </c>
      <c r="AF30" s="5">
        <v>1</v>
      </c>
      <c r="AG30" s="5">
        <v>1</v>
      </c>
      <c r="AH30" s="711">
        <f t="shared" si="9"/>
        <v>25</v>
      </c>
      <c r="AI30" s="213">
        <f t="shared" si="4"/>
        <v>0</v>
      </c>
      <c r="AJ30" s="213">
        <f t="shared" si="0"/>
        <v>0</v>
      </c>
      <c r="AK30" s="5">
        <f t="shared" si="5"/>
        <v>0</v>
      </c>
      <c r="AL30" s="213">
        <v>4</v>
      </c>
      <c r="AM30" s="213">
        <v>2</v>
      </c>
      <c r="AN30" s="213">
        <f t="shared" si="6"/>
        <v>0</v>
      </c>
      <c r="AO30" s="213">
        <f t="shared" si="7"/>
        <v>0</v>
      </c>
      <c r="AP30" s="213">
        <f t="shared" si="10"/>
        <v>31</v>
      </c>
      <c r="AQ30" s="213">
        <f t="shared" si="1"/>
        <v>0</v>
      </c>
      <c r="AR30" s="5">
        <f t="shared" si="2"/>
        <v>0</v>
      </c>
      <c r="AS30" s="757"/>
    </row>
    <row r="31" spans="1:45" s="27" customFormat="1" ht="17.25" customHeight="1">
      <c r="A31" s="213">
        <v>24</v>
      </c>
      <c r="B31" s="756" t="s">
        <v>328</v>
      </c>
      <c r="C31" s="31"/>
      <c r="D31" s="5">
        <v>1</v>
      </c>
      <c r="E31" s="912" t="s">
        <v>15</v>
      </c>
      <c r="F31" s="31"/>
      <c r="G31" s="5">
        <v>1</v>
      </c>
      <c r="H31" s="5">
        <v>1</v>
      </c>
      <c r="I31" s="5">
        <v>1</v>
      </c>
      <c r="J31" s="5">
        <v>1</v>
      </c>
      <c r="K31" s="5">
        <v>1</v>
      </c>
      <c r="L31" s="5">
        <v>1</v>
      </c>
      <c r="M31" s="31"/>
      <c r="N31" s="5">
        <v>1</v>
      </c>
      <c r="O31" s="5">
        <v>1</v>
      </c>
      <c r="P31" s="5">
        <v>1</v>
      </c>
      <c r="Q31" s="5">
        <v>1</v>
      </c>
      <c r="R31" s="31"/>
      <c r="S31" s="912" t="s">
        <v>17</v>
      </c>
      <c r="T31" s="31"/>
      <c r="U31" s="912" t="s">
        <v>17</v>
      </c>
      <c r="V31" s="5">
        <v>1</v>
      </c>
      <c r="W31" s="912" t="s">
        <v>15</v>
      </c>
      <c r="X31" s="5">
        <v>1</v>
      </c>
      <c r="Y31" s="5">
        <v>1</v>
      </c>
      <c r="Z31" s="5">
        <v>1</v>
      </c>
      <c r="AA31" s="31"/>
      <c r="AB31" s="5">
        <v>1</v>
      </c>
      <c r="AC31" s="5">
        <v>1</v>
      </c>
      <c r="AD31" s="26">
        <v>1</v>
      </c>
      <c r="AE31" s="26">
        <v>1</v>
      </c>
      <c r="AF31" s="5">
        <v>1</v>
      </c>
      <c r="AG31" s="5">
        <v>1</v>
      </c>
      <c r="AH31" s="711">
        <f t="shared" si="9"/>
        <v>21</v>
      </c>
      <c r="AI31" s="213">
        <f t="shared" si="4"/>
        <v>0</v>
      </c>
      <c r="AJ31" s="213">
        <f t="shared" si="0"/>
        <v>2</v>
      </c>
      <c r="AK31" s="5">
        <f t="shared" si="5"/>
        <v>0</v>
      </c>
      <c r="AL31" s="213">
        <v>4</v>
      </c>
      <c r="AM31" s="213">
        <v>2</v>
      </c>
      <c r="AN31" s="213">
        <f t="shared" si="6"/>
        <v>0</v>
      </c>
      <c r="AO31" s="213">
        <f t="shared" si="7"/>
        <v>0</v>
      </c>
      <c r="AP31" s="213">
        <f t="shared" si="10"/>
        <v>29</v>
      </c>
      <c r="AQ31" s="213">
        <f t="shared" si="1"/>
        <v>0</v>
      </c>
      <c r="AR31" s="5">
        <f t="shared" si="2"/>
        <v>2</v>
      </c>
      <c r="AS31" s="757"/>
    </row>
    <row r="32" spans="1:45" s="27" customFormat="1" ht="17.25" customHeight="1">
      <c r="A32" s="213">
        <v>25</v>
      </c>
      <c r="B32" s="756" t="s">
        <v>326</v>
      </c>
      <c r="C32" s="31"/>
      <c r="D32" s="5">
        <v>1</v>
      </c>
      <c r="E32" s="5">
        <v>1</v>
      </c>
      <c r="F32" s="31"/>
      <c r="G32" s="912" t="s">
        <v>18</v>
      </c>
      <c r="H32" s="5">
        <v>1</v>
      </c>
      <c r="I32" s="5">
        <v>1</v>
      </c>
      <c r="J32" s="5">
        <v>1</v>
      </c>
      <c r="K32" s="5">
        <v>1</v>
      </c>
      <c r="L32" s="5">
        <v>1</v>
      </c>
      <c r="M32" s="31"/>
      <c r="N32" s="5">
        <v>1</v>
      </c>
      <c r="O32" s="5">
        <v>1</v>
      </c>
      <c r="P32" s="5">
        <v>1</v>
      </c>
      <c r="Q32" s="5">
        <v>1</v>
      </c>
      <c r="R32" s="31"/>
      <c r="S32" s="5">
        <v>1</v>
      </c>
      <c r="T32" s="31"/>
      <c r="U32" s="5">
        <v>1</v>
      </c>
      <c r="V32" s="5">
        <v>1</v>
      </c>
      <c r="W32" s="5">
        <v>1</v>
      </c>
      <c r="X32" s="5">
        <v>1</v>
      </c>
      <c r="Y32" s="5">
        <v>1</v>
      </c>
      <c r="Z32" s="5">
        <v>1</v>
      </c>
      <c r="AA32" s="31"/>
      <c r="AB32" s="5">
        <v>1</v>
      </c>
      <c r="AC32" s="5">
        <v>1</v>
      </c>
      <c r="AD32" s="1208" t="s">
        <v>17</v>
      </c>
      <c r="AE32" s="26">
        <v>1</v>
      </c>
      <c r="AF32" s="5">
        <v>1</v>
      </c>
      <c r="AG32" s="5">
        <v>1</v>
      </c>
      <c r="AH32" s="711">
        <f t="shared" si="9"/>
        <v>23</v>
      </c>
      <c r="AI32" s="213">
        <f t="shared" si="4"/>
        <v>1</v>
      </c>
      <c r="AJ32" s="213">
        <f t="shared" si="0"/>
        <v>1</v>
      </c>
      <c r="AK32" s="5">
        <f t="shared" si="5"/>
        <v>0</v>
      </c>
      <c r="AL32" s="213">
        <v>4</v>
      </c>
      <c r="AM32" s="213">
        <v>2</v>
      </c>
      <c r="AN32" s="213">
        <f t="shared" si="6"/>
        <v>0</v>
      </c>
      <c r="AO32" s="213">
        <f t="shared" si="7"/>
        <v>0</v>
      </c>
      <c r="AP32" s="213">
        <f t="shared" si="10"/>
        <v>31</v>
      </c>
      <c r="AQ32" s="213">
        <f t="shared" si="1"/>
        <v>0</v>
      </c>
      <c r="AR32" s="5">
        <f t="shared" si="2"/>
        <v>0</v>
      </c>
      <c r="AS32" s="757"/>
    </row>
    <row r="33" spans="1:45" s="27" customFormat="1" ht="17.25" customHeight="1">
      <c r="A33" s="213">
        <v>26</v>
      </c>
      <c r="B33" s="756" t="s">
        <v>388</v>
      </c>
      <c r="C33" s="31"/>
      <c r="D33" s="5">
        <v>1</v>
      </c>
      <c r="E33" s="912" t="s">
        <v>95</v>
      </c>
      <c r="F33" s="31"/>
      <c r="G33" s="5">
        <v>1</v>
      </c>
      <c r="H33" s="5">
        <v>1</v>
      </c>
      <c r="I33" s="5">
        <v>1</v>
      </c>
      <c r="J33" s="5">
        <v>1</v>
      </c>
      <c r="K33" s="5">
        <v>1</v>
      </c>
      <c r="L33" s="5">
        <v>1</v>
      </c>
      <c r="M33" s="31"/>
      <c r="N33" s="5">
        <v>1</v>
      </c>
      <c r="O33" s="5">
        <v>1</v>
      </c>
      <c r="P33" s="5">
        <v>1</v>
      </c>
      <c r="Q33" s="5">
        <v>1</v>
      </c>
      <c r="R33" s="31"/>
      <c r="S33" s="5">
        <v>1</v>
      </c>
      <c r="T33" s="31"/>
      <c r="U33" s="5">
        <v>1</v>
      </c>
      <c r="V33" s="5">
        <v>1</v>
      </c>
      <c r="W33" s="5">
        <v>1</v>
      </c>
      <c r="X33" s="5">
        <v>1</v>
      </c>
      <c r="Y33" s="5">
        <v>1</v>
      </c>
      <c r="Z33" s="5">
        <v>1</v>
      </c>
      <c r="AA33" s="31"/>
      <c r="AB33" s="5">
        <v>1</v>
      </c>
      <c r="AC33" s="5">
        <v>1</v>
      </c>
      <c r="AD33" s="26">
        <v>1</v>
      </c>
      <c r="AE33" s="26">
        <v>1</v>
      </c>
      <c r="AF33" s="5">
        <v>1</v>
      </c>
      <c r="AG33" s="5">
        <v>1</v>
      </c>
      <c r="AH33" s="711">
        <f t="shared" si="9"/>
        <v>24</v>
      </c>
      <c r="AI33" s="213">
        <f t="shared" si="4"/>
        <v>0</v>
      </c>
      <c r="AJ33" s="213">
        <f t="shared" si="0"/>
        <v>0</v>
      </c>
      <c r="AK33" s="5">
        <f t="shared" si="5"/>
        <v>1</v>
      </c>
      <c r="AL33" s="213">
        <v>4</v>
      </c>
      <c r="AM33" s="213">
        <v>2</v>
      </c>
      <c r="AN33" s="213">
        <f t="shared" si="6"/>
        <v>0</v>
      </c>
      <c r="AO33" s="213">
        <f t="shared" si="7"/>
        <v>0</v>
      </c>
      <c r="AP33" s="213">
        <f t="shared" si="10"/>
        <v>31</v>
      </c>
      <c r="AQ33" s="213">
        <f t="shared" si="1"/>
        <v>0</v>
      </c>
      <c r="AR33" s="5">
        <f t="shared" si="2"/>
        <v>0</v>
      </c>
      <c r="AS33" s="757"/>
    </row>
    <row r="34" spans="1:45" s="27" customFormat="1" ht="17.25" customHeight="1">
      <c r="A34" s="213">
        <v>27</v>
      </c>
      <c r="B34" s="756" t="s">
        <v>386</v>
      </c>
      <c r="C34" s="31"/>
      <c r="D34" s="5">
        <v>1</v>
      </c>
      <c r="E34" s="5">
        <v>1</v>
      </c>
      <c r="F34" s="31"/>
      <c r="G34" s="5">
        <v>1</v>
      </c>
      <c r="H34" s="5">
        <v>1</v>
      </c>
      <c r="I34" s="5">
        <v>1</v>
      </c>
      <c r="J34" s="912" t="s">
        <v>18</v>
      </c>
      <c r="K34" s="912" t="s">
        <v>15</v>
      </c>
      <c r="L34" s="5">
        <v>1</v>
      </c>
      <c r="M34" s="31"/>
      <c r="N34" s="5">
        <v>1</v>
      </c>
      <c r="O34" s="5">
        <v>1</v>
      </c>
      <c r="P34" s="5">
        <v>1</v>
      </c>
      <c r="Q34" s="5">
        <v>1</v>
      </c>
      <c r="R34" s="31"/>
      <c r="S34" s="5">
        <v>1</v>
      </c>
      <c r="T34" s="31"/>
      <c r="U34" s="5">
        <v>1</v>
      </c>
      <c r="V34" s="5">
        <v>1</v>
      </c>
      <c r="W34" s="5">
        <v>1</v>
      </c>
      <c r="X34" s="5">
        <v>1</v>
      </c>
      <c r="Y34" s="5">
        <v>1</v>
      </c>
      <c r="Z34" s="5">
        <v>1</v>
      </c>
      <c r="AA34" s="31"/>
      <c r="AB34" s="5">
        <v>1</v>
      </c>
      <c r="AC34" s="5">
        <v>1</v>
      </c>
      <c r="AD34" s="26">
        <v>1</v>
      </c>
      <c r="AE34" s="26">
        <v>1</v>
      </c>
      <c r="AF34" s="5">
        <v>1</v>
      </c>
      <c r="AG34" s="5">
        <v>1</v>
      </c>
      <c r="AH34" s="711">
        <f t="shared" si="9"/>
        <v>23</v>
      </c>
      <c r="AI34" s="213">
        <f t="shared" si="4"/>
        <v>1</v>
      </c>
      <c r="AJ34" s="213">
        <f t="shared" si="0"/>
        <v>0</v>
      </c>
      <c r="AK34" s="5">
        <f t="shared" si="5"/>
        <v>0</v>
      </c>
      <c r="AL34" s="213">
        <v>4</v>
      </c>
      <c r="AM34" s="213">
        <v>2</v>
      </c>
      <c r="AN34" s="213">
        <f t="shared" si="6"/>
        <v>0</v>
      </c>
      <c r="AO34" s="213">
        <f t="shared" si="7"/>
        <v>0</v>
      </c>
      <c r="AP34" s="213">
        <f t="shared" si="10"/>
        <v>30</v>
      </c>
      <c r="AQ34" s="213">
        <f t="shared" si="1"/>
        <v>0</v>
      </c>
      <c r="AR34" s="5">
        <f t="shared" si="2"/>
        <v>1</v>
      </c>
      <c r="AS34" s="757"/>
    </row>
    <row r="35" spans="1:45" s="27" customFormat="1" ht="17.25" customHeight="1">
      <c r="A35" s="213">
        <v>28</v>
      </c>
      <c r="B35" s="756" t="s">
        <v>387</v>
      </c>
      <c r="C35" s="31"/>
      <c r="D35" s="5">
        <v>1</v>
      </c>
      <c r="E35" s="5">
        <v>1</v>
      </c>
      <c r="F35" s="31"/>
      <c r="G35" s="912" t="s">
        <v>19</v>
      </c>
      <c r="H35" s="5">
        <v>1</v>
      </c>
      <c r="I35" s="5">
        <v>1</v>
      </c>
      <c r="J35" s="5">
        <v>1</v>
      </c>
      <c r="K35" s="5">
        <v>1</v>
      </c>
      <c r="L35" s="5">
        <v>1</v>
      </c>
      <c r="M35" s="31"/>
      <c r="N35" s="5">
        <v>1</v>
      </c>
      <c r="O35" s="5">
        <v>1</v>
      </c>
      <c r="P35" s="5">
        <v>1</v>
      </c>
      <c r="Q35" s="5">
        <v>1</v>
      </c>
      <c r="R35" s="31"/>
      <c r="S35" s="5">
        <v>1</v>
      </c>
      <c r="T35" s="31"/>
      <c r="U35" s="5">
        <v>1</v>
      </c>
      <c r="V35" s="5">
        <v>1</v>
      </c>
      <c r="W35" s="5">
        <v>1</v>
      </c>
      <c r="X35" s="5">
        <v>1</v>
      </c>
      <c r="Y35" s="5">
        <v>1</v>
      </c>
      <c r="Z35" s="5">
        <v>1</v>
      </c>
      <c r="AA35" s="31"/>
      <c r="AB35" s="5">
        <v>1</v>
      </c>
      <c r="AC35" s="5">
        <v>1</v>
      </c>
      <c r="AD35" s="26">
        <v>1</v>
      </c>
      <c r="AE35" s="1208" t="s">
        <v>17</v>
      </c>
      <c r="AF35" s="5">
        <v>1</v>
      </c>
      <c r="AG35" s="5">
        <v>1</v>
      </c>
      <c r="AH35" s="711">
        <f t="shared" si="9"/>
        <v>23</v>
      </c>
      <c r="AI35" s="213">
        <f t="shared" si="4"/>
        <v>0</v>
      </c>
      <c r="AJ35" s="213">
        <f t="shared" si="0"/>
        <v>1</v>
      </c>
      <c r="AK35" s="5">
        <f t="shared" si="5"/>
        <v>0</v>
      </c>
      <c r="AL35" s="213">
        <v>4</v>
      </c>
      <c r="AM35" s="213">
        <v>2</v>
      </c>
      <c r="AN35" s="213">
        <f t="shared" si="6"/>
        <v>0</v>
      </c>
      <c r="AO35" s="213">
        <f t="shared" si="7"/>
        <v>0</v>
      </c>
      <c r="AP35" s="213">
        <f t="shared" si="10"/>
        <v>30</v>
      </c>
      <c r="AQ35" s="213">
        <f t="shared" si="1"/>
        <v>1</v>
      </c>
      <c r="AR35" s="5">
        <f t="shared" si="2"/>
        <v>0</v>
      </c>
      <c r="AS35" s="757"/>
    </row>
    <row r="36" spans="1:45" s="27" customFormat="1" ht="17.25" customHeight="1">
      <c r="A36" s="213">
        <v>29</v>
      </c>
      <c r="B36" s="756" t="s">
        <v>406</v>
      </c>
      <c r="C36" s="758"/>
      <c r="D36" s="912" t="s">
        <v>18</v>
      </c>
      <c r="E36" s="5">
        <v>1</v>
      </c>
      <c r="F36" s="758"/>
      <c r="G36" s="5">
        <v>1</v>
      </c>
      <c r="H36" s="5">
        <v>1</v>
      </c>
      <c r="I36" s="5">
        <v>1</v>
      </c>
      <c r="J36" s="5">
        <v>1</v>
      </c>
      <c r="K36" s="5">
        <v>1</v>
      </c>
      <c r="L36" s="5">
        <v>1</v>
      </c>
      <c r="M36" s="31"/>
      <c r="N36" s="5">
        <v>1</v>
      </c>
      <c r="O36" s="5">
        <v>1</v>
      </c>
      <c r="P36" s="5">
        <v>1</v>
      </c>
      <c r="Q36" s="5">
        <v>1</v>
      </c>
      <c r="R36" s="31"/>
      <c r="S36" s="5">
        <v>1</v>
      </c>
      <c r="T36" s="31"/>
      <c r="U36" s="5">
        <v>1</v>
      </c>
      <c r="V36" s="5">
        <v>1</v>
      </c>
      <c r="W36" s="5">
        <v>1</v>
      </c>
      <c r="X36" s="5">
        <v>1</v>
      </c>
      <c r="Y36" s="5">
        <v>1</v>
      </c>
      <c r="Z36" s="5">
        <v>1</v>
      </c>
      <c r="AA36" s="759"/>
      <c r="AB36" s="5">
        <v>1</v>
      </c>
      <c r="AC36" s="5">
        <v>1</v>
      </c>
      <c r="AD36" s="26">
        <v>1</v>
      </c>
      <c r="AE36" s="26">
        <v>1</v>
      </c>
      <c r="AF36" s="5">
        <v>1</v>
      </c>
      <c r="AG36" s="5">
        <v>1</v>
      </c>
      <c r="AH36" s="711">
        <f t="shared" si="9"/>
        <v>24</v>
      </c>
      <c r="AI36" s="213">
        <f t="shared" si="4"/>
        <v>1</v>
      </c>
      <c r="AJ36" s="213">
        <f t="shared" si="0"/>
        <v>0</v>
      </c>
      <c r="AK36" s="5">
        <f t="shared" si="5"/>
        <v>0</v>
      </c>
      <c r="AL36" s="213">
        <v>4</v>
      </c>
      <c r="AM36" s="213">
        <v>2</v>
      </c>
      <c r="AN36" s="213">
        <f t="shared" si="6"/>
        <v>0</v>
      </c>
      <c r="AO36" s="213">
        <f t="shared" si="7"/>
        <v>0</v>
      </c>
      <c r="AP36" s="213">
        <f t="shared" si="10"/>
        <v>31</v>
      </c>
      <c r="AQ36" s="213">
        <f t="shared" si="1"/>
        <v>0</v>
      </c>
      <c r="AR36" s="5">
        <f t="shared" si="2"/>
        <v>0</v>
      </c>
      <c r="AS36" s="757"/>
    </row>
    <row r="37" spans="1:45" s="27" customFormat="1" ht="17.25" customHeight="1">
      <c r="A37" s="112"/>
      <c r="B37" s="114" t="s">
        <v>65</v>
      </c>
      <c r="C37" s="31">
        <f t="shared" ref="C37:AR37" si="11">SUM(C8:C36)</f>
        <v>0</v>
      </c>
      <c r="D37" s="5">
        <f t="shared" si="11"/>
        <v>25</v>
      </c>
      <c r="E37" s="5">
        <f t="shared" si="11"/>
        <v>21</v>
      </c>
      <c r="F37" s="31">
        <f t="shared" si="11"/>
        <v>0</v>
      </c>
      <c r="G37" s="5">
        <f t="shared" si="11"/>
        <v>27</v>
      </c>
      <c r="H37" s="5">
        <f t="shared" si="11"/>
        <v>28</v>
      </c>
      <c r="I37" s="5">
        <f t="shared" si="11"/>
        <v>28</v>
      </c>
      <c r="J37" s="5">
        <f t="shared" si="11"/>
        <v>27</v>
      </c>
      <c r="K37" s="5">
        <f t="shared" si="11"/>
        <v>28</v>
      </c>
      <c r="L37" s="5">
        <f t="shared" si="11"/>
        <v>26</v>
      </c>
      <c r="M37" s="31">
        <f t="shared" si="11"/>
        <v>0</v>
      </c>
      <c r="N37" s="5">
        <f t="shared" si="11"/>
        <v>27</v>
      </c>
      <c r="O37" s="5">
        <f t="shared" si="11"/>
        <v>28</v>
      </c>
      <c r="P37" s="5">
        <f t="shared" si="11"/>
        <v>27</v>
      </c>
      <c r="Q37" s="5">
        <f t="shared" si="11"/>
        <v>27</v>
      </c>
      <c r="R37" s="31">
        <f t="shared" si="11"/>
        <v>0</v>
      </c>
      <c r="S37" s="5">
        <f t="shared" si="11"/>
        <v>28</v>
      </c>
      <c r="T37" s="31">
        <f t="shared" si="11"/>
        <v>0</v>
      </c>
      <c r="U37" s="5">
        <f t="shared" si="11"/>
        <v>26</v>
      </c>
      <c r="V37" s="5">
        <f t="shared" si="11"/>
        <v>26</v>
      </c>
      <c r="W37" s="5">
        <f t="shared" si="11"/>
        <v>25</v>
      </c>
      <c r="X37" s="5">
        <f t="shared" si="11"/>
        <v>28</v>
      </c>
      <c r="Y37" s="5">
        <f t="shared" si="11"/>
        <v>29</v>
      </c>
      <c r="Z37" s="5">
        <f t="shared" si="11"/>
        <v>29</v>
      </c>
      <c r="AA37" s="31">
        <f t="shared" si="11"/>
        <v>0</v>
      </c>
      <c r="AB37" s="5">
        <f t="shared" si="11"/>
        <v>29</v>
      </c>
      <c r="AC37" s="5">
        <f t="shared" si="11"/>
        <v>29</v>
      </c>
      <c r="AD37" s="5">
        <f t="shared" si="11"/>
        <v>27</v>
      </c>
      <c r="AE37" s="5">
        <f t="shared" si="11"/>
        <v>27</v>
      </c>
      <c r="AF37" s="5">
        <f t="shared" si="11"/>
        <v>29</v>
      </c>
      <c r="AG37" s="5">
        <f t="shared" si="11"/>
        <v>29</v>
      </c>
      <c r="AH37" s="5">
        <f t="shared" si="11"/>
        <v>680</v>
      </c>
      <c r="AI37" s="5">
        <f t="shared" si="11"/>
        <v>19</v>
      </c>
      <c r="AJ37" s="5">
        <f t="shared" si="11"/>
        <v>12</v>
      </c>
      <c r="AK37" s="5">
        <f t="shared" si="11"/>
        <v>7</v>
      </c>
      <c r="AL37" s="5">
        <f t="shared" si="11"/>
        <v>116</v>
      </c>
      <c r="AM37" s="5">
        <f t="shared" si="11"/>
        <v>58</v>
      </c>
      <c r="AN37" s="5">
        <f t="shared" si="11"/>
        <v>0</v>
      </c>
      <c r="AO37" s="5">
        <f t="shared" si="11"/>
        <v>0</v>
      </c>
      <c r="AP37" s="5">
        <f t="shared" si="11"/>
        <v>892</v>
      </c>
      <c r="AQ37" s="5">
        <f t="shared" si="11"/>
        <v>1</v>
      </c>
      <c r="AR37" s="5">
        <f t="shared" si="11"/>
        <v>6</v>
      </c>
      <c r="AS37" s="710">
        <f>SUM(AS8:AS25)</f>
        <v>0</v>
      </c>
    </row>
    <row r="38" spans="1:45" s="27" customFormat="1" ht="14.25" customHeight="1">
      <c r="A38" s="21"/>
      <c r="B38" s="214" t="s">
        <v>18</v>
      </c>
      <c r="C38" s="31"/>
      <c r="D38" s="5"/>
      <c r="E38" s="21"/>
      <c r="F38" s="93"/>
      <c r="G38" s="21"/>
      <c r="H38" s="21"/>
      <c r="I38" s="21"/>
      <c r="J38" s="21"/>
      <c r="K38" s="21"/>
      <c r="L38" s="21"/>
      <c r="M38" s="93"/>
      <c r="N38" s="21"/>
      <c r="O38" s="21"/>
      <c r="P38" s="21"/>
      <c r="Q38" s="21"/>
      <c r="R38" s="93"/>
      <c r="S38" s="21"/>
      <c r="T38" s="93"/>
      <c r="U38" s="21"/>
      <c r="V38" s="21"/>
      <c r="W38" s="21"/>
      <c r="X38" s="21"/>
      <c r="Y38" s="729"/>
      <c r="Z38" s="729"/>
      <c r="AA38" s="732"/>
      <c r="AB38" s="729"/>
      <c r="AC38" s="729"/>
      <c r="AD38" s="729"/>
      <c r="AE38" s="729"/>
      <c r="AF38" s="729"/>
      <c r="AG38" s="21"/>
      <c r="AH38" s="711">
        <f>SUM(C38:AG38)</f>
        <v>0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</row>
    <row r="39" spans="1:45" s="27" customFormat="1" ht="14.25" customHeight="1">
      <c r="A39" s="21"/>
      <c r="B39" s="214" t="s">
        <v>17</v>
      </c>
      <c r="C39" s="31"/>
      <c r="D39" s="5"/>
      <c r="E39" s="21"/>
      <c r="F39" s="93"/>
      <c r="G39" s="21"/>
      <c r="H39" s="21"/>
      <c r="I39" s="21"/>
      <c r="J39" s="21"/>
      <c r="K39" s="21"/>
      <c r="L39" s="21"/>
      <c r="M39" s="93"/>
      <c r="N39" s="21"/>
      <c r="O39" s="21"/>
      <c r="P39" s="21"/>
      <c r="Q39" s="21"/>
      <c r="R39" s="93"/>
      <c r="S39" s="21"/>
      <c r="T39" s="93"/>
      <c r="U39" s="21"/>
      <c r="V39" s="21"/>
      <c r="W39" s="21"/>
      <c r="X39" s="21"/>
      <c r="Y39" s="729"/>
      <c r="Z39" s="729"/>
      <c r="AA39" s="732"/>
      <c r="AB39" s="729"/>
      <c r="AC39" s="729"/>
      <c r="AD39" s="729"/>
      <c r="AE39" s="729"/>
      <c r="AF39" s="729"/>
      <c r="AG39" s="21"/>
      <c r="AH39" s="711">
        <f t="shared" ref="AH39:AH42" si="12">SUM(C39:AG39)</f>
        <v>0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</row>
    <row r="40" spans="1:45" s="27" customFormat="1" ht="14.25" customHeight="1">
      <c r="A40" s="21"/>
      <c r="B40" s="214" t="s">
        <v>95</v>
      </c>
      <c r="C40" s="31"/>
      <c r="D40" s="5"/>
      <c r="E40" s="21"/>
      <c r="F40" s="93"/>
      <c r="G40" s="21"/>
      <c r="H40" s="21"/>
      <c r="I40" s="21"/>
      <c r="J40" s="21"/>
      <c r="K40" s="21"/>
      <c r="L40" s="21"/>
      <c r="M40" s="93"/>
      <c r="N40" s="21"/>
      <c r="O40" s="21"/>
      <c r="P40" s="21"/>
      <c r="Q40" s="21"/>
      <c r="R40" s="93"/>
      <c r="S40" s="21"/>
      <c r="T40" s="93"/>
      <c r="U40" s="21"/>
      <c r="V40" s="21"/>
      <c r="W40" s="21"/>
      <c r="X40" s="21"/>
      <c r="Y40" s="729"/>
      <c r="Z40" s="729"/>
      <c r="AA40" s="732"/>
      <c r="AB40" s="729"/>
      <c r="AC40" s="729"/>
      <c r="AD40" s="729"/>
      <c r="AE40" s="729"/>
      <c r="AF40" s="729"/>
      <c r="AG40" s="21"/>
      <c r="AH40" s="711">
        <f t="shared" si="12"/>
        <v>0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</row>
    <row r="41" spans="1:45" s="27" customFormat="1" ht="14.25" customHeight="1">
      <c r="A41" s="21"/>
      <c r="B41" s="214" t="s">
        <v>20</v>
      </c>
      <c r="C41" s="31"/>
      <c r="D41" s="5"/>
      <c r="E41" s="21"/>
      <c r="F41" s="93"/>
      <c r="G41" s="21"/>
      <c r="H41" s="21"/>
      <c r="I41" s="21"/>
      <c r="J41" s="21"/>
      <c r="K41" s="21"/>
      <c r="L41" s="21"/>
      <c r="M41" s="93"/>
      <c r="N41" s="21"/>
      <c r="O41" s="21"/>
      <c r="P41" s="21"/>
      <c r="Q41" s="21"/>
      <c r="R41" s="93"/>
      <c r="S41" s="21"/>
      <c r="T41" s="93"/>
      <c r="U41" s="21"/>
      <c r="V41" s="21"/>
      <c r="W41" s="21"/>
      <c r="X41" s="21"/>
      <c r="Y41" s="729"/>
      <c r="Z41" s="729"/>
      <c r="AA41" s="732"/>
      <c r="AB41" s="729"/>
      <c r="AC41" s="729"/>
      <c r="AD41" s="729"/>
      <c r="AE41" s="729"/>
      <c r="AF41" s="729"/>
      <c r="AG41" s="21"/>
      <c r="AH41" s="711">
        <f t="shared" si="12"/>
        <v>0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</row>
    <row r="42" spans="1:45" s="27" customFormat="1">
      <c r="A42" s="21"/>
      <c r="B42" s="214" t="s">
        <v>96</v>
      </c>
      <c r="C42" s="31"/>
      <c r="D42" s="5"/>
      <c r="E42" s="21"/>
      <c r="F42" s="93"/>
      <c r="G42" s="21"/>
      <c r="H42" s="21"/>
      <c r="I42" s="21"/>
      <c r="J42" s="21"/>
      <c r="K42" s="21"/>
      <c r="L42" s="21"/>
      <c r="M42" s="93"/>
      <c r="N42" s="21"/>
      <c r="O42" s="21"/>
      <c r="P42" s="21"/>
      <c r="Q42" s="21"/>
      <c r="R42" s="93"/>
      <c r="S42" s="21"/>
      <c r="T42" s="93"/>
      <c r="U42" s="21"/>
      <c r="V42" s="21"/>
      <c r="W42" s="21"/>
      <c r="X42" s="21"/>
      <c r="Y42" s="729"/>
      <c r="Z42" s="729"/>
      <c r="AA42" s="732"/>
      <c r="AB42" s="729"/>
      <c r="AC42" s="729"/>
      <c r="AD42" s="729"/>
      <c r="AE42" s="729"/>
      <c r="AF42" s="729"/>
      <c r="AG42" s="21"/>
      <c r="AH42" s="711">
        <f t="shared" si="12"/>
        <v>0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</row>
    <row r="43" spans="1:45" s="27" customFormat="1">
      <c r="A43" s="21"/>
      <c r="B43" s="214" t="s">
        <v>10</v>
      </c>
      <c r="C43" s="31">
        <f>C37+C38+C39+C40+C41</f>
        <v>0</v>
      </c>
      <c r="D43" s="5">
        <f t="shared" ref="D43:AG43" si="13">D37+D38+D39+D40+D41</f>
        <v>25</v>
      </c>
      <c r="E43" s="5">
        <f t="shared" si="13"/>
        <v>21</v>
      </c>
      <c r="F43" s="31">
        <f t="shared" si="13"/>
        <v>0</v>
      </c>
      <c r="G43" s="5">
        <f t="shared" si="13"/>
        <v>27</v>
      </c>
      <c r="H43" s="5">
        <f t="shared" si="13"/>
        <v>28</v>
      </c>
      <c r="I43" s="5">
        <f t="shared" si="13"/>
        <v>28</v>
      </c>
      <c r="J43" s="5">
        <f t="shared" si="13"/>
        <v>27</v>
      </c>
      <c r="K43" s="5">
        <f t="shared" si="13"/>
        <v>28</v>
      </c>
      <c r="L43" s="5">
        <f t="shared" si="13"/>
        <v>26</v>
      </c>
      <c r="M43" s="31">
        <f t="shared" si="13"/>
        <v>0</v>
      </c>
      <c r="N43" s="5">
        <f t="shared" si="13"/>
        <v>27</v>
      </c>
      <c r="O43" s="5">
        <f t="shared" si="13"/>
        <v>28</v>
      </c>
      <c r="P43" s="5">
        <f t="shared" si="13"/>
        <v>27</v>
      </c>
      <c r="Q43" s="5">
        <f t="shared" si="13"/>
        <v>27</v>
      </c>
      <c r="R43" s="31">
        <f t="shared" si="13"/>
        <v>0</v>
      </c>
      <c r="S43" s="5">
        <f t="shared" si="13"/>
        <v>28</v>
      </c>
      <c r="T43" s="31">
        <f t="shared" si="13"/>
        <v>0</v>
      </c>
      <c r="U43" s="5">
        <f t="shared" si="13"/>
        <v>26</v>
      </c>
      <c r="V43" s="5">
        <f t="shared" si="13"/>
        <v>26</v>
      </c>
      <c r="W43" s="5">
        <f t="shared" si="13"/>
        <v>25</v>
      </c>
      <c r="X43" s="5">
        <f t="shared" si="13"/>
        <v>28</v>
      </c>
      <c r="Y43" s="26">
        <f t="shared" si="13"/>
        <v>29</v>
      </c>
      <c r="Z43" s="26">
        <f t="shared" si="13"/>
        <v>29</v>
      </c>
      <c r="AA43" s="35">
        <f t="shared" si="13"/>
        <v>0</v>
      </c>
      <c r="AB43" s="26">
        <f t="shared" si="13"/>
        <v>29</v>
      </c>
      <c r="AC43" s="26">
        <f t="shared" si="13"/>
        <v>29</v>
      </c>
      <c r="AD43" s="26">
        <f t="shared" si="13"/>
        <v>27</v>
      </c>
      <c r="AE43" s="26">
        <f t="shared" si="13"/>
        <v>27</v>
      </c>
      <c r="AF43" s="26">
        <f t="shared" si="13"/>
        <v>29</v>
      </c>
      <c r="AG43" s="5">
        <f t="shared" si="13"/>
        <v>29</v>
      </c>
      <c r="AH43" s="710">
        <f t="shared" ref="AH43" si="14">AH37+AH38+AH39+AH40</f>
        <v>680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</row>
    <row r="44" spans="1:45" s="27" customFormat="1">
      <c r="A44" s="177"/>
      <c r="B44" s="315"/>
      <c r="C44" s="900"/>
      <c r="D44" s="305"/>
      <c r="E44" s="305"/>
      <c r="F44" s="900"/>
      <c r="G44" s="305"/>
      <c r="H44" s="305"/>
      <c r="I44" s="305"/>
      <c r="J44" s="305"/>
      <c r="K44" s="305"/>
      <c r="L44" s="305"/>
      <c r="M44" s="900"/>
      <c r="N44" s="305"/>
      <c r="O44" s="305"/>
      <c r="P44" s="305"/>
      <c r="Q44" s="305"/>
      <c r="R44" s="900"/>
      <c r="S44" s="305"/>
      <c r="T44" s="900"/>
      <c r="U44" s="305"/>
      <c r="V44" s="305"/>
      <c r="W44" s="305"/>
      <c r="X44" s="305"/>
      <c r="Y44" s="733"/>
      <c r="Z44" s="733"/>
      <c r="AA44" s="901"/>
      <c r="AB44" s="733"/>
      <c r="AC44" s="733"/>
      <c r="AD44" s="733"/>
      <c r="AE44" s="733"/>
      <c r="AF44" s="733"/>
      <c r="AG44" s="305"/>
      <c r="AH44" s="305"/>
      <c r="AI44" s="305"/>
      <c r="AJ44" s="305"/>
      <c r="AK44" s="305"/>
      <c r="AL44" s="305"/>
      <c r="AM44" s="305"/>
      <c r="AN44" s="305"/>
      <c r="AO44" s="305"/>
      <c r="AP44" s="305"/>
      <c r="AQ44" s="305"/>
      <c r="AR44" s="305"/>
    </row>
    <row r="45" spans="1:45" s="27" customFormat="1">
      <c r="B45" s="43"/>
      <c r="C45" s="911"/>
      <c r="D45" s="34"/>
      <c r="F45" s="107"/>
      <c r="M45" s="107"/>
      <c r="R45" s="107"/>
      <c r="T45" s="107"/>
      <c r="Y45" s="135"/>
      <c r="Z45" s="135"/>
      <c r="AA45" s="734"/>
      <c r="AB45" s="135"/>
      <c r="AC45" s="135"/>
      <c r="AD45" s="135"/>
      <c r="AE45" s="135"/>
      <c r="AF45" s="135"/>
      <c r="AH45" s="43"/>
      <c r="AI45" s="34"/>
      <c r="AJ45" s="34"/>
      <c r="AK45" s="34"/>
      <c r="AL45" s="34"/>
      <c r="AM45" s="34"/>
      <c r="AN45" s="34"/>
      <c r="AO45" s="34"/>
      <c r="AP45" s="34"/>
      <c r="AQ45" s="34"/>
      <c r="AR45" s="34"/>
    </row>
    <row r="46" spans="1:45" s="27" customFormat="1">
      <c r="A46" s="560" t="s">
        <v>40</v>
      </c>
      <c r="B46" s="562" t="s">
        <v>81</v>
      </c>
      <c r="C46" s="570">
        <v>1</v>
      </c>
      <c r="D46" s="567">
        <v>2</v>
      </c>
      <c r="E46" s="567">
        <v>3</v>
      </c>
      <c r="F46" s="570">
        <v>4</v>
      </c>
      <c r="G46" s="567">
        <v>5</v>
      </c>
      <c r="H46" s="567">
        <v>6</v>
      </c>
      <c r="I46" s="567">
        <v>7</v>
      </c>
      <c r="J46" s="567">
        <v>8</v>
      </c>
      <c r="K46" s="567">
        <v>9</v>
      </c>
      <c r="L46" s="567">
        <v>10</v>
      </c>
      <c r="M46" s="570">
        <v>11</v>
      </c>
      <c r="N46" s="567">
        <v>12</v>
      </c>
      <c r="O46" s="567">
        <v>13</v>
      </c>
      <c r="P46" s="567">
        <v>14</v>
      </c>
      <c r="Q46" s="567">
        <v>15</v>
      </c>
      <c r="R46" s="570">
        <v>16</v>
      </c>
      <c r="S46" s="567">
        <v>17</v>
      </c>
      <c r="T46" s="570">
        <v>18</v>
      </c>
      <c r="U46" s="567">
        <v>19</v>
      </c>
      <c r="V46" s="567">
        <v>20</v>
      </c>
      <c r="W46" s="567">
        <v>21</v>
      </c>
      <c r="X46" s="567">
        <v>22</v>
      </c>
      <c r="Y46" s="735">
        <v>23</v>
      </c>
      <c r="Z46" s="735">
        <v>24</v>
      </c>
      <c r="AA46" s="736">
        <v>25</v>
      </c>
      <c r="AB46" s="735">
        <v>26</v>
      </c>
      <c r="AC46" s="735">
        <v>27</v>
      </c>
      <c r="AD46" s="735">
        <v>28</v>
      </c>
      <c r="AE46" s="735">
        <v>29</v>
      </c>
      <c r="AF46" s="735">
        <v>30</v>
      </c>
      <c r="AG46" s="567">
        <v>31</v>
      </c>
      <c r="AH46" s="712" t="s">
        <v>43</v>
      </c>
      <c r="AI46" s="565" t="s">
        <v>22</v>
      </c>
      <c r="AJ46" s="565" t="s">
        <v>10</v>
      </c>
      <c r="AK46" s="34"/>
      <c r="AL46" s="34"/>
      <c r="AM46" s="34"/>
      <c r="AN46" s="34"/>
      <c r="AO46" s="34"/>
      <c r="AP46" s="34"/>
      <c r="AQ46" s="34"/>
      <c r="AR46" s="34"/>
    </row>
    <row r="47" spans="1:45" s="27" customFormat="1">
      <c r="A47" s="560">
        <v>1</v>
      </c>
      <c r="B47" s="562" t="s">
        <v>36</v>
      </c>
      <c r="C47" s="566"/>
      <c r="D47" s="565">
        <v>1</v>
      </c>
      <c r="E47" s="562">
        <v>1</v>
      </c>
      <c r="F47" s="664"/>
      <c r="G47" s="562">
        <v>1</v>
      </c>
      <c r="H47" s="562">
        <v>1</v>
      </c>
      <c r="I47" s="562">
        <v>1</v>
      </c>
      <c r="J47" s="562">
        <v>1</v>
      </c>
      <c r="K47" s="562">
        <v>1</v>
      </c>
      <c r="L47" s="562">
        <v>1</v>
      </c>
      <c r="M47" s="664"/>
      <c r="N47" s="562">
        <v>1</v>
      </c>
      <c r="O47" s="562">
        <v>1</v>
      </c>
      <c r="P47" s="562">
        <v>1</v>
      </c>
      <c r="Q47" s="562">
        <v>1</v>
      </c>
      <c r="R47" s="664"/>
      <c r="S47" s="562">
        <v>1</v>
      </c>
      <c r="T47" s="664"/>
      <c r="U47" s="562">
        <v>1</v>
      </c>
      <c r="V47" s="562">
        <v>1</v>
      </c>
      <c r="W47" s="562">
        <v>1</v>
      </c>
      <c r="X47" s="562"/>
      <c r="Y47" s="737">
        <v>1</v>
      </c>
      <c r="Z47" s="737">
        <v>1</v>
      </c>
      <c r="AA47" s="738"/>
      <c r="AB47" s="730">
        <v>1</v>
      </c>
      <c r="AC47" s="730">
        <v>1</v>
      </c>
      <c r="AD47" s="730">
        <v>1</v>
      </c>
      <c r="AE47" s="730">
        <v>1</v>
      </c>
      <c r="AF47" s="730">
        <v>1</v>
      </c>
      <c r="AG47" s="560">
        <v>1</v>
      </c>
      <c r="AH47" s="712">
        <f>SUM(C47:AG47)</f>
        <v>24</v>
      </c>
      <c r="AI47" s="560">
        <v>34985.550000000003</v>
      </c>
      <c r="AJ47" s="571">
        <f>AH47*AI47</f>
        <v>839653.20000000007</v>
      </c>
      <c r="AK47" s="34"/>
      <c r="AL47" s="34"/>
      <c r="AM47" s="34"/>
      <c r="AN47" s="34"/>
      <c r="AO47" s="34"/>
      <c r="AP47" s="34"/>
      <c r="AQ47" s="34"/>
      <c r="AR47" s="34"/>
    </row>
    <row r="48" spans="1:45" s="27" customFormat="1">
      <c r="A48" s="560"/>
      <c r="B48" s="562"/>
      <c r="C48" s="566"/>
      <c r="D48" s="565">
        <v>6</v>
      </c>
      <c r="E48" s="562">
        <v>3</v>
      </c>
      <c r="F48" s="664"/>
      <c r="G48" s="562">
        <v>2.5</v>
      </c>
      <c r="H48" s="562">
        <v>2</v>
      </c>
      <c r="I48" s="562">
        <v>3</v>
      </c>
      <c r="J48" s="562">
        <v>2.5</v>
      </c>
      <c r="K48" s="562">
        <v>5</v>
      </c>
      <c r="L48" s="562">
        <v>2</v>
      </c>
      <c r="M48" s="664"/>
      <c r="N48" s="562">
        <v>2.5</v>
      </c>
      <c r="O48" s="562">
        <v>2.5</v>
      </c>
      <c r="P48" s="562">
        <v>2.5</v>
      </c>
      <c r="Q48" s="562">
        <v>2</v>
      </c>
      <c r="R48" s="664"/>
      <c r="S48" s="562">
        <v>2.5</v>
      </c>
      <c r="T48" s="664"/>
      <c r="U48" s="562">
        <v>2.5</v>
      </c>
      <c r="V48" s="562">
        <v>3</v>
      </c>
      <c r="W48" s="562">
        <v>3</v>
      </c>
      <c r="X48" s="562"/>
      <c r="Y48" s="737">
        <v>5</v>
      </c>
      <c r="Z48" s="737">
        <v>2</v>
      </c>
      <c r="AA48" s="738"/>
      <c r="AB48" s="730">
        <v>3</v>
      </c>
      <c r="AC48" s="730">
        <v>2.5</v>
      </c>
      <c r="AD48" s="730">
        <v>1.5</v>
      </c>
      <c r="AE48" s="730">
        <v>2.5</v>
      </c>
      <c r="AF48" s="730">
        <v>1</v>
      </c>
      <c r="AG48" s="560">
        <v>3</v>
      </c>
      <c r="AH48" s="712">
        <f>SUM(C48:AG48)</f>
        <v>67</v>
      </c>
      <c r="AI48" s="560">
        <v>46647.4</v>
      </c>
      <c r="AJ48" s="571">
        <f>AH48*AI48</f>
        <v>3125375.8000000003</v>
      </c>
      <c r="AK48" s="34"/>
      <c r="AL48" s="34"/>
      <c r="AM48" s="34"/>
      <c r="AN48" s="34"/>
      <c r="AO48" s="34"/>
      <c r="AP48" s="34"/>
      <c r="AQ48" s="34"/>
      <c r="AR48" s="34"/>
    </row>
    <row r="49" spans="1:44" s="27" customFormat="1">
      <c r="A49" s="560"/>
      <c r="B49" s="562"/>
      <c r="C49" s="566"/>
      <c r="D49" s="565"/>
      <c r="E49" s="560"/>
      <c r="F49" s="561"/>
      <c r="G49" s="560"/>
      <c r="H49" s="560"/>
      <c r="I49" s="560"/>
      <c r="J49" s="560"/>
      <c r="K49" s="560"/>
      <c r="L49" s="560"/>
      <c r="M49" s="561"/>
      <c r="N49" s="560"/>
      <c r="O49" s="560"/>
      <c r="P49" s="560"/>
      <c r="Q49" s="560"/>
      <c r="R49" s="561"/>
      <c r="S49" s="560"/>
      <c r="T49" s="561"/>
      <c r="U49" s="560"/>
      <c r="V49" s="560"/>
      <c r="W49" s="560"/>
      <c r="X49" s="560"/>
      <c r="Y49" s="730"/>
      <c r="Z49" s="730"/>
      <c r="AA49" s="738"/>
      <c r="AB49" s="730"/>
      <c r="AC49" s="730"/>
      <c r="AD49" s="730"/>
      <c r="AE49" s="730"/>
      <c r="AF49" s="730"/>
      <c r="AG49" s="560"/>
      <c r="AH49" s="712"/>
      <c r="AI49" s="565"/>
      <c r="AJ49" s="572">
        <f>SUM(AJ47:AJ48)</f>
        <v>3965029.0000000005</v>
      </c>
      <c r="AK49" s="34"/>
      <c r="AL49" s="34"/>
      <c r="AM49" s="34"/>
      <c r="AN49" s="34"/>
      <c r="AO49" s="34"/>
      <c r="AP49" s="34"/>
      <c r="AQ49" s="34"/>
      <c r="AR49" s="34"/>
    </row>
    <row r="50" spans="1:44" s="27" customFormat="1">
      <c r="A50" s="560">
        <v>2</v>
      </c>
      <c r="B50" s="589" t="s">
        <v>12</v>
      </c>
      <c r="C50" s="566"/>
      <c r="D50" s="565"/>
      <c r="E50" s="560"/>
      <c r="F50" s="561"/>
      <c r="G50" s="560"/>
      <c r="H50" s="560"/>
      <c r="I50" s="560"/>
      <c r="J50" s="560"/>
      <c r="K50" s="560"/>
      <c r="L50" s="560"/>
      <c r="M50" s="561"/>
      <c r="N50" s="560"/>
      <c r="O50" s="560"/>
      <c r="P50" s="560"/>
      <c r="Q50" s="560"/>
      <c r="R50" s="561"/>
      <c r="S50" s="560"/>
      <c r="T50" s="561"/>
      <c r="U50" s="560"/>
      <c r="V50" s="560"/>
      <c r="W50" s="560"/>
      <c r="X50" s="560"/>
      <c r="Y50" s="730"/>
      <c r="Z50" s="730"/>
      <c r="AA50" s="738"/>
      <c r="AB50" s="730"/>
      <c r="AC50" s="730"/>
      <c r="AD50" s="730"/>
      <c r="AE50" s="730"/>
      <c r="AF50" s="730"/>
      <c r="AG50" s="560"/>
      <c r="AH50" s="712">
        <f t="shared" ref="AH50:AH55" si="15">SUM(C50:AG50)</f>
        <v>0</v>
      </c>
      <c r="AI50" s="560">
        <v>34985.550000000003</v>
      </c>
      <c r="AJ50" s="571">
        <f>AH50*AI50</f>
        <v>0</v>
      </c>
      <c r="AK50" s="34"/>
      <c r="AL50" s="34"/>
      <c r="AM50" s="34"/>
      <c r="AN50" s="34"/>
      <c r="AO50" s="34"/>
      <c r="AP50" s="34"/>
      <c r="AQ50" s="34"/>
      <c r="AR50" s="34"/>
    </row>
    <row r="51" spans="1:44" s="27" customFormat="1">
      <c r="A51" s="560"/>
      <c r="B51" s="562"/>
      <c r="C51" s="566"/>
      <c r="D51" s="565"/>
      <c r="E51" s="560"/>
      <c r="F51" s="561"/>
      <c r="G51" s="560"/>
      <c r="H51" s="560"/>
      <c r="I51" s="560"/>
      <c r="J51" s="560"/>
      <c r="K51" s="560"/>
      <c r="L51" s="560"/>
      <c r="M51" s="561"/>
      <c r="N51" s="560"/>
      <c r="O51" s="560"/>
      <c r="P51" s="560"/>
      <c r="Q51" s="560"/>
      <c r="R51" s="561"/>
      <c r="S51" s="560"/>
      <c r="T51" s="561"/>
      <c r="U51" s="560"/>
      <c r="V51" s="560"/>
      <c r="W51" s="560"/>
      <c r="X51" s="560"/>
      <c r="Y51" s="730"/>
      <c r="Z51" s="730"/>
      <c r="AA51" s="738"/>
      <c r="AB51" s="730"/>
      <c r="AC51" s="730"/>
      <c r="AD51" s="730"/>
      <c r="AE51" s="730"/>
      <c r="AF51" s="730"/>
      <c r="AG51" s="560"/>
      <c r="AH51" s="712">
        <f t="shared" si="15"/>
        <v>0</v>
      </c>
      <c r="AI51" s="560">
        <v>46647.4</v>
      </c>
      <c r="AJ51" s="571">
        <f>AH51*AI51</f>
        <v>0</v>
      </c>
      <c r="AK51" s="34"/>
      <c r="AL51" s="34"/>
      <c r="AM51" s="34"/>
      <c r="AN51" s="34"/>
      <c r="AO51" s="34"/>
      <c r="AP51" s="34"/>
      <c r="AQ51" s="34"/>
      <c r="AR51" s="34"/>
    </row>
    <row r="52" spans="1:44" s="27" customFormat="1">
      <c r="A52" s="560"/>
      <c r="B52" s="562"/>
      <c r="C52" s="566"/>
      <c r="D52" s="565"/>
      <c r="E52" s="560"/>
      <c r="F52" s="561"/>
      <c r="G52" s="560"/>
      <c r="H52" s="560"/>
      <c r="I52" s="560"/>
      <c r="J52" s="560"/>
      <c r="K52" s="560"/>
      <c r="L52" s="560"/>
      <c r="M52" s="561"/>
      <c r="N52" s="560"/>
      <c r="O52" s="560"/>
      <c r="P52" s="560"/>
      <c r="Q52" s="560"/>
      <c r="R52" s="561"/>
      <c r="S52" s="560"/>
      <c r="T52" s="561"/>
      <c r="U52" s="560"/>
      <c r="V52" s="560"/>
      <c r="W52" s="560"/>
      <c r="X52" s="560"/>
      <c r="Y52" s="730"/>
      <c r="Z52" s="730"/>
      <c r="AA52" s="738"/>
      <c r="AB52" s="730"/>
      <c r="AC52" s="730"/>
      <c r="AD52" s="730"/>
      <c r="AE52" s="730"/>
      <c r="AF52" s="730"/>
      <c r="AG52" s="560"/>
      <c r="AH52" s="712"/>
      <c r="AI52" s="565"/>
      <c r="AJ52" s="573">
        <f>SUM(AJ50:AJ51)</f>
        <v>0</v>
      </c>
      <c r="AK52" s="34"/>
      <c r="AL52" s="34"/>
      <c r="AM52" s="34"/>
      <c r="AN52" s="34"/>
      <c r="AO52" s="34"/>
      <c r="AP52" s="34"/>
      <c r="AQ52" s="34"/>
      <c r="AR52" s="34"/>
    </row>
    <row r="53" spans="1:44" s="27" customFormat="1">
      <c r="A53" s="588">
        <v>3</v>
      </c>
      <c r="B53" s="589" t="s">
        <v>258</v>
      </c>
      <c r="C53" s="1050"/>
      <c r="D53" s="590"/>
      <c r="E53" s="588"/>
      <c r="F53" s="655"/>
      <c r="G53" s="588">
        <v>1</v>
      </c>
      <c r="H53" s="588">
        <v>1</v>
      </c>
      <c r="I53" s="588">
        <v>1</v>
      </c>
      <c r="J53" s="588">
        <v>1</v>
      </c>
      <c r="K53" s="588">
        <v>1</v>
      </c>
      <c r="L53" s="588">
        <v>1</v>
      </c>
      <c r="M53" s="655"/>
      <c r="N53" s="588">
        <v>1</v>
      </c>
      <c r="O53" s="588">
        <v>1</v>
      </c>
      <c r="P53" s="588">
        <v>1</v>
      </c>
      <c r="Q53" s="588">
        <v>1</v>
      </c>
      <c r="R53" s="655"/>
      <c r="S53" s="588">
        <v>1</v>
      </c>
      <c r="T53" s="655"/>
      <c r="U53" s="588">
        <v>1</v>
      </c>
      <c r="V53" s="588">
        <v>1</v>
      </c>
      <c r="W53" s="588">
        <v>1</v>
      </c>
      <c r="X53" s="588">
        <v>1</v>
      </c>
      <c r="Y53" s="739">
        <v>1</v>
      </c>
      <c r="Z53" s="739">
        <v>1</v>
      </c>
      <c r="AA53" s="740"/>
      <c r="AB53" s="739">
        <v>1</v>
      </c>
      <c r="AC53" s="739"/>
      <c r="AD53" s="739"/>
      <c r="AE53" s="739"/>
      <c r="AF53" s="739"/>
      <c r="AG53" s="588"/>
      <c r="AH53" s="712">
        <f t="shared" si="15"/>
        <v>18</v>
      </c>
      <c r="AI53" s="560">
        <v>34985.550000000003</v>
      </c>
      <c r="AJ53" s="590">
        <f>AH53*AI53</f>
        <v>629739.9</v>
      </c>
      <c r="AK53" s="34"/>
      <c r="AL53" s="34"/>
      <c r="AM53" s="34"/>
      <c r="AN53" s="34"/>
      <c r="AO53" s="34"/>
      <c r="AP53" s="34"/>
      <c r="AQ53" s="34"/>
      <c r="AR53" s="34"/>
    </row>
    <row r="54" spans="1:44" s="27" customFormat="1">
      <c r="A54" s="588"/>
      <c r="B54" s="589"/>
      <c r="C54" s="1050"/>
      <c r="D54" s="590"/>
      <c r="E54" s="588"/>
      <c r="F54" s="655"/>
      <c r="G54" s="588"/>
      <c r="H54" s="588">
        <v>1</v>
      </c>
      <c r="I54" s="588"/>
      <c r="J54" s="588">
        <v>1</v>
      </c>
      <c r="K54" s="588">
        <v>1</v>
      </c>
      <c r="L54" s="588">
        <v>1</v>
      </c>
      <c r="M54" s="655"/>
      <c r="N54" s="588">
        <v>1</v>
      </c>
      <c r="O54" s="588">
        <v>1</v>
      </c>
      <c r="P54" s="588"/>
      <c r="Q54" s="588">
        <v>1</v>
      </c>
      <c r="R54" s="655"/>
      <c r="S54" s="588">
        <v>1</v>
      </c>
      <c r="T54" s="655"/>
      <c r="U54" s="588"/>
      <c r="V54" s="588">
        <v>1</v>
      </c>
      <c r="W54" s="588"/>
      <c r="X54" s="588">
        <v>1</v>
      </c>
      <c r="Y54" s="739">
        <v>1</v>
      </c>
      <c r="Z54" s="739">
        <v>1</v>
      </c>
      <c r="AA54" s="740"/>
      <c r="AB54" s="739"/>
      <c r="AC54" s="739"/>
      <c r="AD54" s="739"/>
      <c r="AE54" s="739"/>
      <c r="AF54" s="739"/>
      <c r="AG54" s="588"/>
      <c r="AH54" s="712">
        <f t="shared" si="15"/>
        <v>12</v>
      </c>
      <c r="AI54" s="560">
        <v>46647.4</v>
      </c>
      <c r="AJ54" s="590">
        <f>AH54*AI54</f>
        <v>559768.80000000005</v>
      </c>
      <c r="AK54" s="34"/>
      <c r="AL54" s="34"/>
      <c r="AM54" s="34"/>
      <c r="AN54" s="34"/>
      <c r="AO54" s="34"/>
      <c r="AP54" s="34"/>
      <c r="AQ54" s="34"/>
      <c r="AR54" s="34"/>
    </row>
    <row r="55" spans="1:44" s="27" customFormat="1">
      <c r="A55" s="588"/>
      <c r="B55" s="589"/>
      <c r="C55" s="1050"/>
      <c r="D55" s="590"/>
      <c r="E55" s="588"/>
      <c r="F55" s="655"/>
      <c r="G55" s="588"/>
      <c r="H55" s="588"/>
      <c r="I55" s="588"/>
      <c r="J55" s="588"/>
      <c r="K55" s="588"/>
      <c r="L55" s="588"/>
      <c r="M55" s="655"/>
      <c r="N55" s="588"/>
      <c r="O55" s="588"/>
      <c r="P55" s="588"/>
      <c r="Q55" s="588"/>
      <c r="R55" s="655"/>
      <c r="S55" s="588"/>
      <c r="T55" s="655"/>
      <c r="U55" s="588"/>
      <c r="V55" s="588"/>
      <c r="W55" s="588"/>
      <c r="X55" s="588"/>
      <c r="Y55" s="739"/>
      <c r="Z55" s="739"/>
      <c r="AA55" s="740"/>
      <c r="AB55" s="739"/>
      <c r="AC55" s="739"/>
      <c r="AD55" s="739"/>
      <c r="AE55" s="739"/>
      <c r="AF55" s="739"/>
      <c r="AG55" s="588"/>
      <c r="AH55" s="713">
        <f t="shared" si="15"/>
        <v>0</v>
      </c>
      <c r="AI55" s="588"/>
      <c r="AJ55" s="591">
        <f>SUM(AJ53:AJ54)</f>
        <v>1189508.7000000002</v>
      </c>
      <c r="AK55" s="34"/>
      <c r="AL55" s="34"/>
      <c r="AM55" s="34"/>
      <c r="AN55" s="34"/>
      <c r="AO55" s="34"/>
      <c r="AP55" s="34"/>
      <c r="AQ55" s="34"/>
      <c r="AR55" s="34"/>
    </row>
    <row r="56" spans="1:44" s="27" customFormat="1">
      <c r="A56" s="588">
        <v>4</v>
      </c>
      <c r="B56" s="589" t="s">
        <v>76</v>
      </c>
      <c r="C56" s="1050"/>
      <c r="D56" s="590"/>
      <c r="E56" s="588"/>
      <c r="F56" s="655"/>
      <c r="G56" s="588"/>
      <c r="H56" s="588"/>
      <c r="I56" s="588"/>
      <c r="J56" s="588"/>
      <c r="K56" s="588"/>
      <c r="L56" s="588"/>
      <c r="M56" s="655"/>
      <c r="N56" s="588"/>
      <c r="O56" s="588"/>
      <c r="P56" s="588"/>
      <c r="Q56" s="588"/>
      <c r="R56" s="655"/>
      <c r="S56" s="588">
        <v>1</v>
      </c>
      <c r="T56" s="655"/>
      <c r="U56" s="588"/>
      <c r="V56" s="588"/>
      <c r="W56" s="588"/>
      <c r="X56" s="588"/>
      <c r="Y56" s="739"/>
      <c r="Z56" s="739"/>
      <c r="AA56" s="740"/>
      <c r="AB56" s="739"/>
      <c r="AC56" s="739"/>
      <c r="AD56" s="739"/>
      <c r="AE56" s="739"/>
      <c r="AF56" s="739"/>
      <c r="AG56" s="588"/>
      <c r="AH56" s="712">
        <f t="shared" ref="AH56:AH57" si="16">SUM(C56:AG56)</f>
        <v>1</v>
      </c>
      <c r="AI56" s="560">
        <v>34985.550000000003</v>
      </c>
      <c r="AJ56" s="590">
        <f>AH56*AI56</f>
        <v>34985.550000000003</v>
      </c>
      <c r="AK56" s="34"/>
      <c r="AL56" s="34"/>
      <c r="AM56" s="34"/>
      <c r="AN56" s="34"/>
      <c r="AO56" s="34"/>
      <c r="AP56" s="34"/>
      <c r="AQ56" s="34"/>
      <c r="AR56" s="34"/>
    </row>
    <row r="57" spans="1:44" s="27" customFormat="1">
      <c r="A57" s="588"/>
      <c r="B57" s="589"/>
      <c r="C57" s="1050"/>
      <c r="D57" s="590"/>
      <c r="E57" s="588"/>
      <c r="F57" s="655"/>
      <c r="G57" s="588"/>
      <c r="H57" s="588"/>
      <c r="I57" s="588"/>
      <c r="J57" s="588"/>
      <c r="K57" s="588"/>
      <c r="L57" s="588"/>
      <c r="M57" s="655"/>
      <c r="N57" s="588"/>
      <c r="O57" s="588"/>
      <c r="P57" s="588"/>
      <c r="Q57" s="588"/>
      <c r="R57" s="655"/>
      <c r="S57" s="588"/>
      <c r="T57" s="655"/>
      <c r="U57" s="588"/>
      <c r="V57" s="588"/>
      <c r="W57" s="588"/>
      <c r="X57" s="588"/>
      <c r="Y57" s="739"/>
      <c r="Z57" s="739"/>
      <c r="AA57" s="740"/>
      <c r="AB57" s="739"/>
      <c r="AC57" s="739"/>
      <c r="AD57" s="739"/>
      <c r="AE57" s="739"/>
      <c r="AF57" s="739"/>
      <c r="AG57" s="588"/>
      <c r="AH57" s="712">
        <f t="shared" si="16"/>
        <v>0</v>
      </c>
      <c r="AI57" s="560">
        <v>46647.4</v>
      </c>
      <c r="AJ57" s="590">
        <f>AH57*AI57</f>
        <v>0</v>
      </c>
      <c r="AK57" s="34"/>
      <c r="AL57" s="34"/>
      <c r="AM57" s="34"/>
      <c r="AN57" s="34"/>
      <c r="AO57" s="34"/>
      <c r="AP57" s="34"/>
      <c r="AQ57" s="34"/>
      <c r="AR57" s="34"/>
    </row>
    <row r="58" spans="1:44" s="27" customFormat="1">
      <c r="A58" s="588"/>
      <c r="B58" s="589"/>
      <c r="C58" s="1050"/>
      <c r="D58" s="590"/>
      <c r="E58" s="588"/>
      <c r="F58" s="655"/>
      <c r="G58" s="588"/>
      <c r="H58" s="588"/>
      <c r="I58" s="588"/>
      <c r="J58" s="588"/>
      <c r="K58" s="588"/>
      <c r="L58" s="588"/>
      <c r="M58" s="655"/>
      <c r="N58" s="588"/>
      <c r="O58" s="588"/>
      <c r="P58" s="588"/>
      <c r="Q58" s="588"/>
      <c r="R58" s="655"/>
      <c r="S58" s="588"/>
      <c r="T58" s="655"/>
      <c r="U58" s="588"/>
      <c r="V58" s="588"/>
      <c r="W58" s="588"/>
      <c r="X58" s="588"/>
      <c r="Y58" s="739"/>
      <c r="Z58" s="739"/>
      <c r="AA58" s="740"/>
      <c r="AB58" s="739"/>
      <c r="AC58" s="739"/>
      <c r="AD58" s="739"/>
      <c r="AE58" s="739"/>
      <c r="AF58" s="739"/>
      <c r="AG58" s="588"/>
      <c r="AH58" s="713"/>
      <c r="AI58" s="590"/>
      <c r="AJ58" s="591">
        <f>SUM(AJ56:AJ57)</f>
        <v>34985.550000000003</v>
      </c>
      <c r="AK58" s="34"/>
      <c r="AL58" s="34"/>
      <c r="AM58" s="34"/>
      <c r="AN58" s="34"/>
      <c r="AO58" s="34"/>
      <c r="AP58" s="34"/>
      <c r="AQ58" s="34"/>
      <c r="AR58" s="34"/>
    </row>
    <row r="59" spans="1:44" s="27" customFormat="1">
      <c r="A59" s="588">
        <v>5</v>
      </c>
      <c r="B59" s="589"/>
      <c r="C59" s="1050"/>
      <c r="D59" s="590"/>
      <c r="E59" s="588"/>
      <c r="F59" s="655"/>
      <c r="G59" s="588"/>
      <c r="H59" s="588"/>
      <c r="I59" s="588"/>
      <c r="J59" s="588"/>
      <c r="K59" s="588"/>
      <c r="L59" s="588"/>
      <c r="M59" s="655"/>
      <c r="N59" s="588"/>
      <c r="O59" s="588"/>
      <c r="P59" s="588"/>
      <c r="Q59" s="588"/>
      <c r="R59" s="655"/>
      <c r="S59" s="588"/>
      <c r="T59" s="655"/>
      <c r="U59" s="588"/>
      <c r="V59" s="588"/>
      <c r="W59" s="588"/>
      <c r="X59" s="588"/>
      <c r="Y59" s="739"/>
      <c r="Z59" s="739"/>
      <c r="AA59" s="740"/>
      <c r="AB59" s="739"/>
      <c r="AC59" s="739"/>
      <c r="AD59" s="739"/>
      <c r="AE59" s="739"/>
      <c r="AF59" s="739"/>
      <c r="AG59" s="588"/>
      <c r="AH59" s="712">
        <f t="shared" ref="AH59:AH60" si="17">SUM(C59:AG59)</f>
        <v>0</v>
      </c>
      <c r="AI59" s="588"/>
      <c r="AJ59" s="590">
        <f>AH59*AI59</f>
        <v>0</v>
      </c>
      <c r="AK59" s="34"/>
      <c r="AL59" s="34"/>
      <c r="AM59" s="34"/>
      <c r="AN59" s="34"/>
      <c r="AO59" s="34"/>
      <c r="AP59" s="34"/>
      <c r="AQ59" s="34"/>
      <c r="AR59" s="34"/>
    </row>
    <row r="60" spans="1:44" s="27" customFormat="1">
      <c r="A60" s="588"/>
      <c r="B60" s="589"/>
      <c r="C60" s="1050"/>
      <c r="D60" s="590"/>
      <c r="E60" s="588"/>
      <c r="F60" s="655"/>
      <c r="G60" s="588"/>
      <c r="H60" s="588"/>
      <c r="I60" s="588"/>
      <c r="J60" s="588"/>
      <c r="K60" s="588"/>
      <c r="L60" s="588"/>
      <c r="M60" s="655"/>
      <c r="N60" s="588"/>
      <c r="O60" s="588"/>
      <c r="P60" s="588"/>
      <c r="Q60" s="588"/>
      <c r="R60" s="655"/>
      <c r="S60" s="588"/>
      <c r="T60" s="655"/>
      <c r="U60" s="588"/>
      <c r="V60" s="588"/>
      <c r="W60" s="588"/>
      <c r="X60" s="588"/>
      <c r="Y60" s="739"/>
      <c r="Z60" s="739"/>
      <c r="AA60" s="740"/>
      <c r="AB60" s="739"/>
      <c r="AC60" s="739"/>
      <c r="AD60" s="739"/>
      <c r="AE60" s="739"/>
      <c r="AF60" s="739"/>
      <c r="AG60" s="588"/>
      <c r="AH60" s="712">
        <f t="shared" si="17"/>
        <v>0</v>
      </c>
      <c r="AI60" s="588"/>
      <c r="AJ60" s="590">
        <f>AH60*AI60</f>
        <v>0</v>
      </c>
      <c r="AK60" s="34"/>
      <c r="AL60" s="34"/>
      <c r="AM60" s="34"/>
      <c r="AN60" s="34"/>
      <c r="AO60" s="34"/>
      <c r="AP60" s="34"/>
      <c r="AQ60" s="34"/>
      <c r="AR60" s="34"/>
    </row>
    <row r="61" spans="1:44" s="27" customFormat="1">
      <c r="A61" s="588"/>
      <c r="B61" s="589"/>
      <c r="C61" s="1050"/>
      <c r="D61" s="590"/>
      <c r="E61" s="588"/>
      <c r="F61" s="655"/>
      <c r="G61" s="588"/>
      <c r="H61" s="588"/>
      <c r="I61" s="588"/>
      <c r="J61" s="588"/>
      <c r="K61" s="588"/>
      <c r="L61" s="588"/>
      <c r="M61" s="655"/>
      <c r="N61" s="588"/>
      <c r="O61" s="588"/>
      <c r="P61" s="588"/>
      <c r="Q61" s="588"/>
      <c r="R61" s="655"/>
      <c r="S61" s="588"/>
      <c r="T61" s="655"/>
      <c r="U61" s="588"/>
      <c r="V61" s="588"/>
      <c r="W61" s="588"/>
      <c r="X61" s="588"/>
      <c r="Y61" s="739"/>
      <c r="Z61" s="739"/>
      <c r="AA61" s="740"/>
      <c r="AB61" s="739"/>
      <c r="AC61" s="739"/>
      <c r="AD61" s="739"/>
      <c r="AE61" s="739"/>
      <c r="AF61" s="739"/>
      <c r="AG61" s="588"/>
      <c r="AH61" s="713"/>
      <c r="AI61" s="590"/>
      <c r="AJ61" s="591">
        <f>SUM(AJ59:AJ60)</f>
        <v>0</v>
      </c>
      <c r="AK61" s="34"/>
      <c r="AL61" s="34"/>
      <c r="AM61" s="34"/>
      <c r="AN61" s="34"/>
      <c r="AO61" s="34"/>
      <c r="AP61" s="34"/>
      <c r="AQ61" s="34"/>
      <c r="AR61" s="34"/>
    </row>
    <row r="62" spans="1:44" s="27" customFormat="1">
      <c r="B62" s="43"/>
      <c r="C62" s="911"/>
      <c r="D62" s="34"/>
      <c r="F62" s="107"/>
      <c r="M62" s="107"/>
      <c r="R62" s="107"/>
      <c r="T62" s="107"/>
      <c r="Y62" s="135"/>
      <c r="Z62" s="135"/>
      <c r="AA62" s="734"/>
      <c r="AB62" s="135"/>
      <c r="AC62" s="135"/>
      <c r="AD62" s="135"/>
      <c r="AE62" s="135"/>
      <c r="AF62" s="135"/>
      <c r="AH62" s="43"/>
      <c r="AI62" s="34"/>
      <c r="AJ62" s="34"/>
      <c r="AK62" s="34"/>
      <c r="AL62" s="34"/>
      <c r="AM62" s="34"/>
      <c r="AN62" s="34"/>
      <c r="AO62" s="34"/>
      <c r="AP62" s="34"/>
      <c r="AQ62" s="34"/>
      <c r="AR62" s="34"/>
    </row>
    <row r="63" spans="1:44" s="27" customFormat="1">
      <c r="B63" s="43"/>
      <c r="C63" s="911"/>
      <c r="D63" s="34"/>
      <c r="F63" s="107"/>
      <c r="M63" s="107"/>
      <c r="R63" s="107"/>
      <c r="T63" s="107"/>
      <c r="Y63" s="135"/>
      <c r="Z63" s="135"/>
      <c r="AA63" s="734"/>
      <c r="AB63" s="135"/>
      <c r="AC63" s="135"/>
      <c r="AD63" s="135"/>
      <c r="AE63" s="135"/>
      <c r="AF63" s="135"/>
      <c r="AH63" s="43"/>
      <c r="AI63" s="34"/>
      <c r="AJ63" s="34"/>
      <c r="AK63" s="34"/>
      <c r="AL63" s="34"/>
      <c r="AM63" s="34"/>
      <c r="AN63" s="34"/>
      <c r="AO63" s="34"/>
      <c r="AP63" s="34"/>
      <c r="AQ63" s="34"/>
      <c r="AR63" s="34"/>
    </row>
    <row r="64" spans="1:44" s="27" customFormat="1">
      <c r="B64" s="43"/>
      <c r="C64" s="911"/>
      <c r="D64" s="34"/>
      <c r="F64" s="107"/>
      <c r="M64" s="107"/>
      <c r="R64" s="107"/>
      <c r="T64" s="107"/>
      <c r="Y64" s="135"/>
      <c r="Z64" s="135"/>
      <c r="AA64" s="734"/>
      <c r="AB64" s="135"/>
      <c r="AC64" s="135"/>
      <c r="AD64" s="135"/>
      <c r="AE64" s="135"/>
      <c r="AF64" s="135"/>
      <c r="AH64" s="43"/>
      <c r="AI64" s="34"/>
      <c r="AJ64" s="34"/>
      <c r="AK64" s="34"/>
      <c r="AL64" s="34"/>
      <c r="AM64" s="34"/>
      <c r="AN64" s="34"/>
      <c r="AO64" s="34"/>
      <c r="AP64" s="34"/>
      <c r="AQ64" s="34"/>
      <c r="AR64" s="34"/>
    </row>
    <row r="65" spans="2:44" s="27" customFormat="1">
      <c r="B65" s="43"/>
      <c r="C65" s="911"/>
      <c r="D65" s="34"/>
      <c r="F65" s="107"/>
      <c r="M65" s="107"/>
      <c r="R65" s="107"/>
      <c r="T65" s="107"/>
      <c r="Y65" s="135"/>
      <c r="Z65" s="135"/>
      <c r="AA65" s="734"/>
      <c r="AB65" s="135"/>
      <c r="AC65" s="135"/>
      <c r="AD65" s="135"/>
      <c r="AE65" s="135"/>
      <c r="AF65" s="135"/>
      <c r="AH65" s="43"/>
      <c r="AI65" s="34"/>
      <c r="AJ65" s="34"/>
      <c r="AK65" s="34"/>
      <c r="AL65" s="34"/>
      <c r="AM65" s="34"/>
      <c r="AN65" s="34"/>
      <c r="AO65" s="34"/>
      <c r="AP65" s="34"/>
      <c r="AQ65" s="34"/>
      <c r="AR65" s="34"/>
    </row>
    <row r="66" spans="2:44" s="27" customFormat="1">
      <c r="B66" s="43"/>
      <c r="C66" s="911"/>
      <c r="D66" s="34"/>
      <c r="F66" s="107"/>
      <c r="M66" s="107"/>
      <c r="R66" s="107"/>
      <c r="T66" s="107"/>
      <c r="Y66" s="135"/>
      <c r="Z66" s="135"/>
      <c r="AA66" s="734"/>
      <c r="AB66" s="135"/>
      <c r="AC66" s="135"/>
      <c r="AD66" s="135"/>
      <c r="AE66" s="135"/>
      <c r="AF66" s="135"/>
      <c r="AH66" s="43"/>
      <c r="AI66" s="34"/>
      <c r="AJ66" s="34"/>
      <c r="AK66" s="34"/>
      <c r="AL66" s="34"/>
      <c r="AM66" s="34"/>
      <c r="AN66" s="34"/>
      <c r="AO66" s="34"/>
      <c r="AP66" s="34"/>
      <c r="AQ66" s="34"/>
      <c r="AR66" s="34"/>
    </row>
    <row r="67" spans="2:44" s="27" customFormat="1">
      <c r="B67" s="43"/>
      <c r="C67" s="911"/>
      <c r="D67" s="34"/>
      <c r="F67" s="107"/>
      <c r="M67" s="107"/>
      <c r="R67" s="107"/>
      <c r="T67" s="107"/>
      <c r="Y67" s="135"/>
      <c r="Z67" s="135"/>
      <c r="AA67" s="734"/>
      <c r="AB67" s="135"/>
      <c r="AC67" s="135"/>
      <c r="AD67" s="135"/>
      <c r="AE67" s="135"/>
      <c r="AF67" s="135"/>
      <c r="AH67" s="43"/>
      <c r="AI67" s="34"/>
      <c r="AJ67" s="34"/>
      <c r="AK67" s="34"/>
      <c r="AL67" s="34"/>
      <c r="AM67" s="34"/>
      <c r="AN67" s="34"/>
      <c r="AO67" s="34"/>
      <c r="AP67" s="34"/>
      <c r="AQ67" s="34"/>
      <c r="AR67" s="34"/>
    </row>
    <row r="68" spans="2:44" s="27" customFormat="1">
      <c r="B68" s="43"/>
      <c r="C68" s="911"/>
      <c r="D68" s="34"/>
      <c r="F68" s="107"/>
      <c r="M68" s="107"/>
      <c r="R68" s="107"/>
      <c r="T68" s="107"/>
      <c r="Y68" s="135"/>
      <c r="Z68" s="135"/>
      <c r="AA68" s="734"/>
      <c r="AB68" s="135"/>
      <c r="AC68" s="135"/>
      <c r="AD68" s="135"/>
      <c r="AE68" s="135"/>
      <c r="AF68" s="135"/>
      <c r="AH68" s="43"/>
      <c r="AI68" s="34"/>
      <c r="AJ68" s="34"/>
      <c r="AK68" s="34"/>
      <c r="AL68" s="34"/>
      <c r="AM68" s="34"/>
      <c r="AN68" s="34"/>
      <c r="AO68" s="34"/>
      <c r="AP68" s="34"/>
      <c r="AQ68" s="34"/>
      <c r="AR68" s="34"/>
    </row>
    <row r="69" spans="2:44" s="27" customFormat="1">
      <c r="B69" s="43"/>
      <c r="C69" s="911"/>
      <c r="D69" s="34"/>
      <c r="F69" s="107"/>
      <c r="M69" s="107"/>
      <c r="R69" s="107"/>
      <c r="T69" s="107"/>
      <c r="Y69" s="135"/>
      <c r="Z69" s="135"/>
      <c r="AA69" s="734"/>
      <c r="AB69" s="135"/>
      <c r="AC69" s="135"/>
      <c r="AD69" s="135"/>
      <c r="AE69" s="135"/>
      <c r="AF69" s="135"/>
      <c r="AH69" s="43"/>
      <c r="AI69" s="34"/>
      <c r="AJ69" s="34"/>
      <c r="AK69" s="34"/>
      <c r="AL69" s="34"/>
      <c r="AM69" s="34"/>
      <c r="AN69" s="34"/>
      <c r="AO69" s="34"/>
      <c r="AP69" s="34"/>
      <c r="AQ69" s="34"/>
      <c r="AR69" s="34"/>
    </row>
    <row r="70" spans="2:44" s="27" customFormat="1">
      <c r="B70" s="43"/>
      <c r="C70" s="911"/>
      <c r="D70" s="34"/>
      <c r="F70" s="107"/>
      <c r="M70" s="107"/>
      <c r="R70" s="107"/>
      <c r="T70" s="107"/>
      <c r="Y70" s="135"/>
      <c r="Z70" s="135"/>
      <c r="AA70" s="734"/>
      <c r="AB70" s="135"/>
      <c r="AC70" s="135"/>
      <c r="AD70" s="135"/>
      <c r="AE70" s="135"/>
      <c r="AF70" s="135"/>
      <c r="AH70" s="43"/>
      <c r="AI70" s="34"/>
      <c r="AJ70" s="34"/>
      <c r="AK70" s="34"/>
      <c r="AL70" s="34"/>
      <c r="AM70" s="34"/>
      <c r="AN70" s="34"/>
      <c r="AO70" s="34"/>
      <c r="AP70" s="34"/>
      <c r="AQ70" s="34"/>
      <c r="AR70" s="34"/>
    </row>
    <row r="71" spans="2:44" s="27" customFormat="1">
      <c r="B71" s="43"/>
      <c r="C71" s="911"/>
      <c r="D71" s="34"/>
      <c r="F71" s="107"/>
      <c r="M71" s="107"/>
      <c r="R71" s="107"/>
      <c r="T71" s="107"/>
      <c r="Y71" s="135"/>
      <c r="Z71" s="135"/>
      <c r="AA71" s="734"/>
      <c r="AB71" s="135"/>
      <c r="AC71" s="135"/>
      <c r="AD71" s="135"/>
      <c r="AE71" s="135"/>
      <c r="AF71" s="135"/>
      <c r="AH71" s="43"/>
      <c r="AI71" s="34"/>
      <c r="AJ71" s="34"/>
      <c r="AK71" s="34"/>
      <c r="AL71" s="34"/>
      <c r="AM71" s="34"/>
      <c r="AN71" s="34"/>
      <c r="AO71" s="34"/>
      <c r="AP71" s="34"/>
      <c r="AQ71" s="34"/>
      <c r="AR71" s="34"/>
    </row>
    <row r="72" spans="2:44" s="27" customFormat="1">
      <c r="B72" s="43"/>
      <c r="C72" s="911"/>
      <c r="D72" s="34"/>
      <c r="F72" s="107"/>
      <c r="M72" s="107"/>
      <c r="R72" s="107"/>
      <c r="T72" s="107"/>
      <c r="Y72" s="135"/>
      <c r="Z72" s="135"/>
      <c r="AA72" s="734"/>
      <c r="AB72" s="135"/>
      <c r="AC72" s="135"/>
      <c r="AD72" s="135"/>
      <c r="AE72" s="135"/>
      <c r="AF72" s="135"/>
      <c r="AH72" s="43"/>
      <c r="AI72" s="34"/>
      <c r="AJ72" s="34"/>
      <c r="AK72" s="34"/>
      <c r="AL72" s="34"/>
      <c r="AM72" s="34"/>
      <c r="AN72" s="34"/>
      <c r="AO72" s="34"/>
      <c r="AP72" s="34"/>
      <c r="AQ72" s="34"/>
      <c r="AR72" s="34"/>
    </row>
    <row r="73" spans="2:44" s="27" customFormat="1">
      <c r="B73" s="43"/>
      <c r="C73" s="911"/>
      <c r="D73" s="34"/>
      <c r="F73" s="107"/>
      <c r="M73" s="107"/>
      <c r="R73" s="107"/>
      <c r="T73" s="107"/>
      <c r="Y73" s="135"/>
      <c r="Z73" s="135"/>
      <c r="AA73" s="734"/>
      <c r="AB73" s="135"/>
      <c r="AC73" s="135"/>
      <c r="AD73" s="135"/>
      <c r="AE73" s="135"/>
      <c r="AF73" s="135"/>
      <c r="AH73" s="43"/>
      <c r="AI73" s="34"/>
      <c r="AJ73" s="34"/>
      <c r="AK73" s="34"/>
      <c r="AL73" s="34"/>
      <c r="AM73" s="34"/>
      <c r="AN73" s="34"/>
      <c r="AO73" s="34"/>
      <c r="AP73" s="34"/>
      <c r="AQ73" s="34"/>
      <c r="AR73" s="34"/>
    </row>
    <row r="74" spans="2:44" s="27" customFormat="1">
      <c r="B74" s="43"/>
      <c r="C74" s="911"/>
      <c r="D74" s="34"/>
      <c r="F74" s="107"/>
      <c r="M74" s="107"/>
      <c r="R74" s="107"/>
      <c r="T74" s="107"/>
      <c r="Y74" s="135"/>
      <c r="Z74" s="135"/>
      <c r="AA74" s="734"/>
      <c r="AB74" s="135"/>
      <c r="AC74" s="135"/>
      <c r="AD74" s="135"/>
      <c r="AE74" s="135"/>
      <c r="AF74" s="135"/>
      <c r="AH74" s="43"/>
      <c r="AI74" s="34"/>
      <c r="AJ74" s="34"/>
      <c r="AK74" s="34"/>
      <c r="AL74" s="34"/>
      <c r="AM74" s="34"/>
      <c r="AN74" s="34"/>
      <c r="AO74" s="34"/>
      <c r="AP74" s="34"/>
      <c r="AQ74" s="34"/>
      <c r="AR74" s="34"/>
    </row>
    <row r="75" spans="2:44" s="27" customFormat="1">
      <c r="B75" s="43"/>
      <c r="C75" s="911"/>
      <c r="D75" s="34"/>
      <c r="F75" s="107"/>
      <c r="M75" s="107"/>
      <c r="R75" s="107"/>
      <c r="T75" s="107"/>
      <c r="Y75" s="135"/>
      <c r="Z75" s="135"/>
      <c r="AA75" s="734"/>
      <c r="AB75" s="135"/>
      <c r="AC75" s="135"/>
      <c r="AD75" s="135"/>
      <c r="AE75" s="135"/>
      <c r="AF75" s="135"/>
      <c r="AH75" s="43"/>
      <c r="AI75" s="34"/>
      <c r="AJ75" s="34"/>
      <c r="AK75" s="34"/>
      <c r="AL75" s="34"/>
      <c r="AM75" s="34"/>
      <c r="AN75" s="34"/>
      <c r="AO75" s="34"/>
      <c r="AP75" s="34"/>
      <c r="AQ75" s="34"/>
      <c r="AR75" s="34"/>
    </row>
    <row r="76" spans="2:44" s="27" customFormat="1">
      <c r="B76" s="43"/>
      <c r="C76" s="911"/>
      <c r="D76" s="34"/>
      <c r="F76" s="107"/>
      <c r="M76" s="107"/>
      <c r="R76" s="107"/>
      <c r="T76" s="107"/>
      <c r="Y76" s="135"/>
      <c r="Z76" s="135"/>
      <c r="AA76" s="734"/>
      <c r="AB76" s="135"/>
      <c r="AC76" s="135"/>
      <c r="AD76" s="135"/>
      <c r="AE76" s="135"/>
      <c r="AF76" s="135"/>
      <c r="AH76" s="43"/>
      <c r="AI76" s="34"/>
      <c r="AJ76" s="34"/>
      <c r="AK76" s="34"/>
      <c r="AL76" s="34"/>
      <c r="AM76" s="34"/>
      <c r="AN76" s="34"/>
      <c r="AO76" s="34"/>
      <c r="AP76" s="34"/>
      <c r="AQ76" s="34"/>
      <c r="AR76" s="34"/>
    </row>
    <row r="77" spans="2:44" s="27" customFormat="1">
      <c r="B77" s="43"/>
      <c r="C77" s="911"/>
      <c r="D77" s="34"/>
      <c r="F77" s="107"/>
      <c r="M77" s="107"/>
      <c r="R77" s="107"/>
      <c r="T77" s="107"/>
      <c r="Y77" s="135"/>
      <c r="Z77" s="135"/>
      <c r="AA77" s="734"/>
      <c r="AB77" s="135"/>
      <c r="AC77" s="135"/>
      <c r="AD77" s="135"/>
      <c r="AE77" s="135"/>
      <c r="AF77" s="135"/>
      <c r="AH77" s="43"/>
      <c r="AI77" s="34"/>
      <c r="AJ77" s="34"/>
      <c r="AK77" s="34"/>
      <c r="AL77" s="34"/>
      <c r="AM77" s="34"/>
      <c r="AN77" s="34"/>
      <c r="AO77" s="34"/>
      <c r="AP77" s="34"/>
      <c r="AQ77" s="34"/>
      <c r="AR77" s="34"/>
    </row>
    <row r="78" spans="2:44" s="27" customFormat="1">
      <c r="B78" s="43"/>
      <c r="C78" s="911"/>
      <c r="D78" s="34"/>
      <c r="F78" s="107"/>
      <c r="M78" s="107"/>
      <c r="R78" s="107"/>
      <c r="T78" s="107"/>
      <c r="Y78" s="135"/>
      <c r="Z78" s="135"/>
      <c r="AA78" s="734"/>
      <c r="AB78" s="135"/>
      <c r="AC78" s="135"/>
      <c r="AD78" s="135"/>
      <c r="AE78" s="135"/>
      <c r="AF78" s="135"/>
      <c r="AH78" s="43"/>
      <c r="AI78" s="34"/>
      <c r="AJ78" s="34"/>
      <c r="AK78" s="34"/>
      <c r="AL78" s="34"/>
      <c r="AM78" s="34"/>
      <c r="AN78" s="34"/>
      <c r="AO78" s="34"/>
      <c r="AP78" s="34"/>
      <c r="AQ78" s="34"/>
      <c r="AR78" s="34"/>
    </row>
    <row r="79" spans="2:44" s="27" customFormat="1">
      <c r="B79" s="43"/>
      <c r="C79" s="911"/>
      <c r="D79" s="34"/>
      <c r="F79" s="107"/>
      <c r="M79" s="107"/>
      <c r="R79" s="107"/>
      <c r="T79" s="107"/>
      <c r="Y79" s="135"/>
      <c r="Z79" s="135"/>
      <c r="AA79" s="734"/>
      <c r="AB79" s="135"/>
      <c r="AC79" s="135"/>
      <c r="AD79" s="135"/>
      <c r="AE79" s="135"/>
      <c r="AF79" s="135"/>
      <c r="AH79" s="43"/>
      <c r="AI79" s="34"/>
      <c r="AJ79" s="34"/>
      <c r="AK79" s="34"/>
      <c r="AL79" s="34"/>
      <c r="AM79" s="34"/>
      <c r="AN79" s="34"/>
      <c r="AO79" s="34"/>
      <c r="AP79" s="34"/>
      <c r="AQ79" s="34"/>
      <c r="AR79" s="34"/>
    </row>
    <row r="80" spans="2:44" s="27" customFormat="1">
      <c r="B80" s="43"/>
      <c r="C80" s="911"/>
      <c r="D80" s="34"/>
      <c r="F80" s="107"/>
      <c r="M80" s="107"/>
      <c r="R80" s="107"/>
      <c r="T80" s="107"/>
      <c r="Y80" s="135"/>
      <c r="Z80" s="135"/>
      <c r="AA80" s="734"/>
      <c r="AB80" s="135"/>
      <c r="AC80" s="135"/>
      <c r="AD80" s="135"/>
      <c r="AE80" s="135"/>
      <c r="AF80" s="135"/>
      <c r="AH80" s="43"/>
      <c r="AI80" s="34"/>
      <c r="AJ80" s="34"/>
      <c r="AK80" s="34"/>
      <c r="AL80" s="34"/>
      <c r="AM80" s="34"/>
      <c r="AN80" s="34"/>
      <c r="AO80" s="34"/>
      <c r="AP80" s="34"/>
      <c r="AQ80" s="34"/>
      <c r="AR80" s="34"/>
    </row>
    <row r="81" spans="2:44" s="27" customFormat="1">
      <c r="B81" s="43"/>
      <c r="C81" s="911"/>
      <c r="D81" s="34"/>
      <c r="F81" s="107"/>
      <c r="M81" s="107"/>
      <c r="R81" s="107"/>
      <c r="T81" s="107"/>
      <c r="Y81" s="135"/>
      <c r="Z81" s="135"/>
      <c r="AA81" s="734"/>
      <c r="AB81" s="135"/>
      <c r="AC81" s="135"/>
      <c r="AD81" s="135"/>
      <c r="AE81" s="135"/>
      <c r="AF81" s="135"/>
      <c r="AH81" s="43"/>
      <c r="AI81" s="34"/>
      <c r="AJ81" s="34"/>
      <c r="AK81" s="34"/>
      <c r="AL81" s="34"/>
      <c r="AM81" s="34"/>
      <c r="AN81" s="34"/>
      <c r="AO81" s="34"/>
      <c r="AP81" s="34"/>
      <c r="AQ81" s="34"/>
      <c r="AR81" s="34"/>
    </row>
    <row r="82" spans="2:44" s="27" customFormat="1">
      <c r="B82" s="43"/>
      <c r="C82" s="911"/>
      <c r="D82" s="34"/>
      <c r="F82" s="107"/>
      <c r="M82" s="107"/>
      <c r="R82" s="107"/>
      <c r="T82" s="107"/>
      <c r="Y82" s="135"/>
      <c r="Z82" s="135"/>
      <c r="AA82" s="734"/>
      <c r="AB82" s="135"/>
      <c r="AC82" s="135"/>
      <c r="AD82" s="135"/>
      <c r="AE82" s="135"/>
      <c r="AF82" s="135"/>
      <c r="AH82" s="43"/>
      <c r="AI82" s="34"/>
      <c r="AJ82" s="34"/>
      <c r="AK82" s="34"/>
      <c r="AL82" s="34"/>
      <c r="AM82" s="34"/>
      <c r="AN82" s="34"/>
      <c r="AO82" s="34"/>
      <c r="AP82" s="34"/>
      <c r="AQ82" s="34"/>
      <c r="AR82" s="34"/>
    </row>
    <row r="83" spans="2:44" s="27" customFormat="1">
      <c r="B83" s="43"/>
      <c r="C83" s="911"/>
      <c r="D83" s="34"/>
      <c r="F83" s="107"/>
      <c r="M83" s="107"/>
      <c r="R83" s="107"/>
      <c r="T83" s="107"/>
      <c r="Y83" s="135"/>
      <c r="Z83" s="135"/>
      <c r="AA83" s="734"/>
      <c r="AB83" s="135"/>
      <c r="AC83" s="135"/>
      <c r="AD83" s="135"/>
      <c r="AE83" s="135"/>
      <c r="AF83" s="135"/>
      <c r="AH83" s="43"/>
      <c r="AI83" s="34"/>
      <c r="AJ83" s="34"/>
      <c r="AK83" s="34"/>
      <c r="AL83" s="34"/>
      <c r="AM83" s="34"/>
      <c r="AN83" s="34"/>
      <c r="AO83" s="34"/>
      <c r="AP83" s="34"/>
      <c r="AQ83" s="34"/>
      <c r="AR83" s="34"/>
    </row>
    <row r="84" spans="2:44" s="27" customFormat="1">
      <c r="B84" s="43"/>
      <c r="C84" s="911"/>
      <c r="D84" s="34"/>
      <c r="F84" s="107"/>
      <c r="M84" s="107"/>
      <c r="R84" s="107"/>
      <c r="T84" s="107"/>
      <c r="Y84" s="135"/>
      <c r="Z84" s="135"/>
      <c r="AA84" s="734"/>
      <c r="AB84" s="135"/>
      <c r="AC84" s="135"/>
      <c r="AD84" s="135"/>
      <c r="AE84" s="135"/>
      <c r="AF84" s="135"/>
      <c r="AH84" s="43"/>
      <c r="AI84" s="34"/>
      <c r="AJ84" s="34"/>
      <c r="AK84" s="34"/>
      <c r="AL84" s="34"/>
      <c r="AM84" s="34"/>
      <c r="AN84" s="34"/>
      <c r="AO84" s="34"/>
      <c r="AP84" s="34"/>
      <c r="AQ84" s="34"/>
      <c r="AR84" s="34"/>
    </row>
    <row r="85" spans="2:44" s="27" customFormat="1">
      <c r="B85" s="43"/>
      <c r="C85" s="911"/>
      <c r="D85" s="34"/>
      <c r="F85" s="107"/>
      <c r="M85" s="107"/>
      <c r="R85" s="107"/>
      <c r="T85" s="107"/>
      <c r="Y85" s="135"/>
      <c r="Z85" s="135"/>
      <c r="AA85" s="734"/>
      <c r="AB85" s="135"/>
      <c r="AC85" s="135"/>
      <c r="AD85" s="135"/>
      <c r="AE85" s="135"/>
      <c r="AF85" s="135"/>
      <c r="AH85" s="43"/>
      <c r="AI85" s="34"/>
      <c r="AJ85" s="34"/>
      <c r="AK85" s="34"/>
      <c r="AL85" s="34"/>
      <c r="AM85" s="34"/>
      <c r="AN85" s="34"/>
      <c r="AO85" s="34"/>
      <c r="AP85" s="34"/>
      <c r="AQ85" s="34"/>
      <c r="AR85" s="34"/>
    </row>
    <row r="86" spans="2:44" s="27" customFormat="1">
      <c r="B86" s="43"/>
      <c r="C86" s="911"/>
      <c r="D86" s="34"/>
      <c r="F86" s="107"/>
      <c r="M86" s="107"/>
      <c r="R86" s="107"/>
      <c r="T86" s="107"/>
      <c r="Y86" s="135"/>
      <c r="Z86" s="135"/>
      <c r="AA86" s="734"/>
      <c r="AB86" s="135"/>
      <c r="AC86" s="135"/>
      <c r="AD86" s="135"/>
      <c r="AE86" s="135"/>
      <c r="AF86" s="135"/>
      <c r="AH86" s="43"/>
      <c r="AI86" s="34"/>
      <c r="AJ86" s="34"/>
      <c r="AK86" s="34"/>
      <c r="AL86" s="34"/>
      <c r="AM86" s="34"/>
      <c r="AN86" s="34"/>
      <c r="AO86" s="34"/>
      <c r="AP86" s="34"/>
      <c r="AQ86" s="34"/>
      <c r="AR86" s="34"/>
    </row>
    <row r="87" spans="2:44" s="27" customFormat="1">
      <c r="B87" s="43"/>
      <c r="C87" s="911"/>
      <c r="D87" s="34"/>
      <c r="F87" s="107"/>
      <c r="M87" s="107"/>
      <c r="R87" s="107"/>
      <c r="T87" s="107"/>
      <c r="Y87" s="135"/>
      <c r="Z87" s="135"/>
      <c r="AA87" s="734"/>
      <c r="AB87" s="135"/>
      <c r="AC87" s="135"/>
      <c r="AD87" s="135"/>
      <c r="AE87" s="135"/>
      <c r="AF87" s="135"/>
      <c r="AH87" s="43"/>
      <c r="AI87" s="34"/>
      <c r="AJ87" s="34"/>
      <c r="AK87" s="34"/>
      <c r="AL87" s="34"/>
      <c r="AM87" s="34"/>
      <c r="AN87" s="34"/>
      <c r="AO87" s="34"/>
      <c r="AP87" s="34"/>
      <c r="AQ87" s="34"/>
      <c r="AR87" s="34"/>
    </row>
    <row r="88" spans="2:44" s="27" customFormat="1">
      <c r="B88" s="43"/>
      <c r="C88" s="911"/>
      <c r="D88" s="34"/>
      <c r="F88" s="107"/>
      <c r="M88" s="107"/>
      <c r="R88" s="107"/>
      <c r="T88" s="107"/>
      <c r="Y88" s="135"/>
      <c r="Z88" s="135"/>
      <c r="AA88" s="734"/>
      <c r="AB88" s="135"/>
      <c r="AC88" s="135"/>
      <c r="AD88" s="135"/>
      <c r="AE88" s="135"/>
      <c r="AF88" s="135"/>
      <c r="AH88" s="43"/>
      <c r="AI88" s="34"/>
      <c r="AJ88" s="34"/>
      <c r="AK88" s="34"/>
      <c r="AL88" s="34"/>
      <c r="AM88" s="34"/>
      <c r="AN88" s="34"/>
      <c r="AO88" s="34"/>
      <c r="AP88" s="34"/>
      <c r="AQ88" s="34"/>
      <c r="AR88" s="34"/>
    </row>
    <row r="89" spans="2:44" s="27" customFormat="1">
      <c r="B89" s="43"/>
      <c r="C89" s="911"/>
      <c r="D89" s="34"/>
      <c r="F89" s="107"/>
      <c r="M89" s="107"/>
      <c r="R89" s="107"/>
      <c r="T89" s="107"/>
      <c r="Y89" s="135"/>
      <c r="Z89" s="135"/>
      <c r="AA89" s="734"/>
      <c r="AB89" s="135"/>
      <c r="AC89" s="135"/>
      <c r="AD89" s="135"/>
      <c r="AE89" s="135"/>
      <c r="AF89" s="135"/>
      <c r="AH89" s="43"/>
      <c r="AI89" s="34"/>
      <c r="AJ89" s="34"/>
      <c r="AK89" s="34"/>
      <c r="AL89" s="34"/>
      <c r="AM89" s="34"/>
      <c r="AN89" s="34"/>
      <c r="AO89" s="34"/>
      <c r="AP89" s="34"/>
      <c r="AQ89" s="34"/>
      <c r="AR89" s="34"/>
    </row>
    <row r="90" spans="2:44" s="27" customFormat="1">
      <c r="B90" s="43"/>
      <c r="C90" s="911"/>
      <c r="D90" s="34"/>
      <c r="F90" s="107"/>
      <c r="M90" s="107"/>
      <c r="R90" s="107"/>
      <c r="T90" s="107"/>
      <c r="Y90" s="135"/>
      <c r="Z90" s="135"/>
      <c r="AA90" s="734"/>
      <c r="AB90" s="135"/>
      <c r="AC90" s="135"/>
      <c r="AD90" s="135"/>
      <c r="AE90" s="135"/>
      <c r="AF90" s="135"/>
      <c r="AH90" s="43"/>
      <c r="AI90" s="34"/>
      <c r="AJ90" s="34"/>
      <c r="AK90" s="34"/>
      <c r="AL90" s="34"/>
      <c r="AM90" s="34"/>
      <c r="AN90" s="34"/>
      <c r="AO90" s="34"/>
      <c r="AP90" s="34"/>
      <c r="AQ90" s="34"/>
      <c r="AR90" s="34"/>
    </row>
    <row r="91" spans="2:44" s="27" customFormat="1">
      <c r="B91" s="43"/>
      <c r="C91" s="911"/>
      <c r="D91" s="34"/>
      <c r="F91" s="107"/>
      <c r="M91" s="107"/>
      <c r="R91" s="107"/>
      <c r="T91" s="107"/>
      <c r="Y91" s="135"/>
      <c r="Z91" s="135"/>
      <c r="AA91" s="734"/>
      <c r="AB91" s="135"/>
      <c r="AC91" s="135"/>
      <c r="AD91" s="135"/>
      <c r="AE91" s="135"/>
      <c r="AF91" s="135"/>
      <c r="AH91" s="43"/>
      <c r="AI91" s="34"/>
      <c r="AJ91" s="34"/>
      <c r="AK91" s="34"/>
      <c r="AL91" s="34"/>
      <c r="AM91" s="34"/>
      <c r="AN91" s="34"/>
      <c r="AO91" s="34"/>
      <c r="AP91" s="34"/>
      <c r="AQ91" s="34"/>
      <c r="AR91" s="34"/>
    </row>
    <row r="92" spans="2:44" s="27" customFormat="1">
      <c r="B92" s="43"/>
      <c r="C92" s="911"/>
      <c r="D92" s="34"/>
      <c r="F92" s="107"/>
      <c r="M92" s="107"/>
      <c r="R92" s="107"/>
      <c r="T92" s="107"/>
      <c r="Y92" s="135"/>
      <c r="Z92" s="135"/>
      <c r="AA92" s="734"/>
      <c r="AB92" s="135"/>
      <c r="AC92" s="135"/>
      <c r="AD92" s="135"/>
      <c r="AE92" s="135"/>
      <c r="AF92" s="135"/>
      <c r="AH92" s="43"/>
      <c r="AI92" s="34"/>
      <c r="AJ92" s="34"/>
      <c r="AK92" s="34"/>
      <c r="AL92" s="34"/>
      <c r="AM92" s="34"/>
      <c r="AN92" s="34"/>
      <c r="AO92" s="34"/>
      <c r="AP92" s="34"/>
      <c r="AQ92" s="34"/>
      <c r="AR92" s="34"/>
    </row>
    <row r="93" spans="2:44" s="27" customFormat="1">
      <c r="B93" s="43"/>
      <c r="C93" s="911"/>
      <c r="D93" s="34"/>
      <c r="F93" s="107"/>
      <c r="M93" s="107"/>
      <c r="R93" s="107"/>
      <c r="T93" s="107"/>
      <c r="Y93" s="135"/>
      <c r="Z93" s="135"/>
      <c r="AA93" s="734"/>
      <c r="AB93" s="135"/>
      <c r="AC93" s="135"/>
      <c r="AD93" s="135"/>
      <c r="AE93" s="135"/>
      <c r="AF93" s="135"/>
      <c r="AH93" s="43"/>
      <c r="AI93" s="34"/>
      <c r="AJ93" s="34"/>
      <c r="AK93" s="34"/>
      <c r="AL93" s="34"/>
      <c r="AM93" s="34"/>
      <c r="AN93" s="34"/>
      <c r="AO93" s="34"/>
      <c r="AP93" s="34"/>
      <c r="AQ93" s="34"/>
      <c r="AR93" s="34"/>
    </row>
    <row r="94" spans="2:44" s="27" customFormat="1">
      <c r="B94" s="43"/>
      <c r="C94" s="911"/>
      <c r="D94" s="34"/>
      <c r="F94" s="107"/>
      <c r="M94" s="107"/>
      <c r="R94" s="107"/>
      <c r="T94" s="107"/>
      <c r="Y94" s="135"/>
      <c r="Z94" s="135"/>
      <c r="AA94" s="734"/>
      <c r="AB94" s="135"/>
      <c r="AC94" s="135"/>
      <c r="AD94" s="135"/>
      <c r="AE94" s="135"/>
      <c r="AF94" s="135"/>
      <c r="AH94" s="43"/>
      <c r="AI94" s="34"/>
      <c r="AJ94" s="34"/>
      <c r="AK94" s="34"/>
      <c r="AL94" s="34"/>
      <c r="AM94" s="34"/>
      <c r="AN94" s="34"/>
      <c r="AO94" s="34"/>
      <c r="AP94" s="34"/>
      <c r="AQ94" s="34"/>
      <c r="AR94" s="34"/>
    </row>
    <row r="95" spans="2:44" s="27" customFormat="1">
      <c r="B95" s="43"/>
      <c r="C95" s="911"/>
      <c r="D95" s="34"/>
      <c r="F95" s="107"/>
      <c r="M95" s="107"/>
      <c r="R95" s="107"/>
      <c r="T95" s="107"/>
      <c r="Y95" s="135"/>
      <c r="Z95" s="135"/>
      <c r="AA95" s="734"/>
      <c r="AB95" s="135"/>
      <c r="AC95" s="135"/>
      <c r="AD95" s="135"/>
      <c r="AE95" s="135"/>
      <c r="AF95" s="135"/>
      <c r="AH95" s="43"/>
      <c r="AI95" s="34"/>
      <c r="AJ95" s="34"/>
      <c r="AK95" s="34"/>
      <c r="AL95" s="34"/>
      <c r="AM95" s="34"/>
      <c r="AN95" s="34"/>
      <c r="AO95" s="34"/>
      <c r="AP95" s="34"/>
      <c r="AQ95" s="34"/>
      <c r="AR95" s="34"/>
    </row>
    <row r="96" spans="2:44" s="27" customFormat="1">
      <c r="B96" s="43"/>
      <c r="C96" s="911"/>
      <c r="D96" s="34"/>
      <c r="F96" s="107"/>
      <c r="M96" s="107"/>
      <c r="R96" s="107"/>
      <c r="T96" s="107"/>
      <c r="Y96" s="135"/>
      <c r="Z96" s="135"/>
      <c r="AA96" s="734"/>
      <c r="AB96" s="135"/>
      <c r="AC96" s="135"/>
      <c r="AD96" s="135"/>
      <c r="AE96" s="135"/>
      <c r="AF96" s="135"/>
      <c r="AH96" s="43"/>
      <c r="AI96" s="34"/>
      <c r="AJ96" s="34"/>
      <c r="AK96" s="34"/>
      <c r="AL96" s="34"/>
      <c r="AM96" s="34"/>
      <c r="AN96" s="34"/>
      <c r="AO96" s="34"/>
      <c r="AP96" s="34"/>
      <c r="AQ96" s="34"/>
      <c r="AR96" s="34"/>
    </row>
    <row r="97" spans="2:44" s="27" customFormat="1">
      <c r="B97" s="43"/>
      <c r="C97" s="911"/>
      <c r="D97" s="34"/>
      <c r="F97" s="107"/>
      <c r="M97" s="107"/>
      <c r="R97" s="107"/>
      <c r="T97" s="107"/>
      <c r="Y97" s="135"/>
      <c r="Z97" s="135"/>
      <c r="AA97" s="734"/>
      <c r="AB97" s="135"/>
      <c r="AC97" s="135"/>
      <c r="AD97" s="135"/>
      <c r="AE97" s="135"/>
      <c r="AF97" s="135"/>
      <c r="AH97" s="43"/>
      <c r="AI97" s="34"/>
      <c r="AJ97" s="34"/>
      <c r="AK97" s="34"/>
      <c r="AL97" s="34"/>
      <c r="AM97" s="34"/>
      <c r="AN97" s="34"/>
      <c r="AO97" s="34"/>
      <c r="AP97" s="34"/>
      <c r="AQ97" s="34"/>
      <c r="AR97" s="34"/>
    </row>
    <row r="98" spans="2:44" s="27" customFormat="1">
      <c r="B98" s="43"/>
      <c r="C98" s="911"/>
      <c r="D98" s="34"/>
      <c r="F98" s="107"/>
      <c r="M98" s="107"/>
      <c r="R98" s="107"/>
      <c r="T98" s="107"/>
      <c r="Y98" s="135"/>
      <c r="Z98" s="135"/>
      <c r="AA98" s="734"/>
      <c r="AB98" s="135"/>
      <c r="AC98" s="135"/>
      <c r="AD98" s="135"/>
      <c r="AE98" s="135"/>
      <c r="AF98" s="135"/>
      <c r="AH98" s="43"/>
      <c r="AI98" s="34"/>
      <c r="AJ98" s="34"/>
      <c r="AK98" s="34"/>
      <c r="AL98" s="34"/>
      <c r="AM98" s="34"/>
      <c r="AN98" s="34"/>
      <c r="AO98" s="34"/>
      <c r="AP98" s="34"/>
      <c r="AQ98" s="34"/>
      <c r="AR98" s="34"/>
    </row>
    <row r="99" spans="2:44" s="27" customFormat="1">
      <c r="B99" s="43"/>
      <c r="C99" s="911"/>
      <c r="D99" s="34"/>
      <c r="F99" s="107"/>
      <c r="M99" s="107"/>
      <c r="R99" s="107"/>
      <c r="T99" s="107"/>
      <c r="Y99" s="135"/>
      <c r="Z99" s="135"/>
      <c r="AA99" s="734"/>
      <c r="AB99" s="135"/>
      <c r="AC99" s="135"/>
      <c r="AD99" s="135"/>
      <c r="AE99" s="135"/>
      <c r="AF99" s="135"/>
      <c r="AH99" s="43"/>
      <c r="AI99" s="34"/>
      <c r="AJ99" s="34"/>
      <c r="AK99" s="34"/>
      <c r="AL99" s="34"/>
      <c r="AM99" s="34"/>
      <c r="AN99" s="34"/>
      <c r="AO99" s="34"/>
      <c r="AP99" s="34"/>
      <c r="AQ99" s="34"/>
      <c r="AR99" s="34"/>
    </row>
    <row r="100" spans="2:44" s="27" customFormat="1">
      <c r="B100" s="43"/>
      <c r="C100" s="911"/>
      <c r="D100" s="34"/>
      <c r="F100" s="107"/>
      <c r="M100" s="107"/>
      <c r="R100" s="107"/>
      <c r="T100" s="107"/>
      <c r="Y100" s="135"/>
      <c r="Z100" s="135"/>
      <c r="AA100" s="734"/>
      <c r="AB100" s="135"/>
      <c r="AC100" s="135"/>
      <c r="AD100" s="135"/>
      <c r="AE100" s="135"/>
      <c r="AF100" s="135"/>
      <c r="AH100" s="43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</row>
    <row r="101" spans="2:44" s="27" customFormat="1">
      <c r="B101" s="43"/>
      <c r="C101" s="911"/>
      <c r="D101" s="34"/>
      <c r="F101" s="107"/>
      <c r="M101" s="107"/>
      <c r="R101" s="107"/>
      <c r="T101" s="107"/>
      <c r="Y101" s="135"/>
      <c r="Z101" s="135"/>
      <c r="AA101" s="734"/>
      <c r="AB101" s="135"/>
      <c r="AC101" s="135"/>
      <c r="AD101" s="135"/>
      <c r="AE101" s="135"/>
      <c r="AF101" s="135"/>
      <c r="AH101" s="43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</row>
    <row r="102" spans="2:44" s="27" customFormat="1">
      <c r="B102" s="43"/>
      <c r="C102" s="911"/>
      <c r="D102" s="34"/>
      <c r="F102" s="107"/>
      <c r="M102" s="107"/>
      <c r="R102" s="107"/>
      <c r="T102" s="107"/>
      <c r="Y102" s="135"/>
      <c r="Z102" s="135"/>
      <c r="AA102" s="734"/>
      <c r="AB102" s="135"/>
      <c r="AC102" s="135"/>
      <c r="AD102" s="135"/>
      <c r="AE102" s="135"/>
      <c r="AF102" s="135"/>
      <c r="AH102" s="43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</row>
    <row r="103" spans="2:44" s="27" customFormat="1">
      <c r="B103" s="43"/>
      <c r="C103" s="911"/>
      <c r="D103" s="34"/>
      <c r="F103" s="107"/>
      <c r="M103" s="107"/>
      <c r="R103" s="107"/>
      <c r="T103" s="107"/>
      <c r="Y103" s="135"/>
      <c r="Z103" s="135"/>
      <c r="AA103" s="734"/>
      <c r="AB103" s="135"/>
      <c r="AC103" s="135"/>
      <c r="AD103" s="135"/>
      <c r="AE103" s="135"/>
      <c r="AF103" s="135"/>
      <c r="AH103" s="43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</row>
    <row r="104" spans="2:44" s="27" customFormat="1">
      <c r="B104" s="43"/>
      <c r="C104" s="911"/>
      <c r="D104" s="34"/>
      <c r="F104" s="107"/>
      <c r="M104" s="107"/>
      <c r="R104" s="107"/>
      <c r="T104" s="107"/>
      <c r="Y104" s="135"/>
      <c r="Z104" s="135"/>
      <c r="AA104" s="734"/>
      <c r="AB104" s="135"/>
      <c r="AC104" s="135"/>
      <c r="AD104" s="135"/>
      <c r="AE104" s="135"/>
      <c r="AF104" s="135"/>
      <c r="AH104" s="43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</row>
    <row r="105" spans="2:44" s="27" customFormat="1">
      <c r="B105" s="43"/>
      <c r="C105" s="911"/>
      <c r="D105" s="34"/>
      <c r="F105" s="107"/>
      <c r="M105" s="107"/>
      <c r="R105" s="107"/>
      <c r="T105" s="107"/>
      <c r="Y105" s="135"/>
      <c r="Z105" s="135"/>
      <c r="AA105" s="734"/>
      <c r="AB105" s="135"/>
      <c r="AC105" s="135"/>
      <c r="AD105" s="135"/>
      <c r="AE105" s="135"/>
      <c r="AF105" s="135"/>
      <c r="AH105" s="43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</row>
    <row r="106" spans="2:44" s="27" customFormat="1">
      <c r="B106" s="43"/>
      <c r="C106" s="911"/>
      <c r="D106" s="34"/>
      <c r="F106" s="107"/>
      <c r="M106" s="107"/>
      <c r="R106" s="107"/>
      <c r="T106" s="107"/>
      <c r="Y106" s="135"/>
      <c r="Z106" s="135"/>
      <c r="AA106" s="734"/>
      <c r="AB106" s="135"/>
      <c r="AC106" s="135"/>
      <c r="AD106" s="135"/>
      <c r="AE106" s="135"/>
      <c r="AF106" s="135"/>
      <c r="AH106" s="43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</row>
    <row r="107" spans="2:44" s="27" customFormat="1">
      <c r="B107" s="43"/>
      <c r="C107" s="911"/>
      <c r="D107" s="34"/>
      <c r="F107" s="107"/>
      <c r="M107" s="107"/>
      <c r="R107" s="107"/>
      <c r="T107" s="107"/>
      <c r="Y107" s="135"/>
      <c r="Z107" s="135"/>
      <c r="AA107" s="734"/>
      <c r="AB107" s="135"/>
      <c r="AC107" s="135"/>
      <c r="AD107" s="135"/>
      <c r="AE107" s="135"/>
      <c r="AF107" s="135"/>
      <c r="AH107" s="43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</row>
    <row r="108" spans="2:44" s="27" customFormat="1">
      <c r="B108" s="43"/>
      <c r="C108" s="911"/>
      <c r="D108" s="34"/>
      <c r="F108" s="107"/>
      <c r="M108" s="107"/>
      <c r="R108" s="107"/>
      <c r="T108" s="107"/>
      <c r="Y108" s="135"/>
      <c r="Z108" s="135"/>
      <c r="AA108" s="734"/>
      <c r="AB108" s="135"/>
      <c r="AC108" s="135"/>
      <c r="AD108" s="135"/>
      <c r="AE108" s="135"/>
      <c r="AF108" s="135"/>
      <c r="AH108" s="43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</row>
    <row r="109" spans="2:44" s="27" customFormat="1">
      <c r="B109" s="43"/>
      <c r="C109" s="911"/>
      <c r="D109" s="34"/>
      <c r="F109" s="107"/>
      <c r="M109" s="107"/>
      <c r="R109" s="107"/>
      <c r="T109" s="107"/>
      <c r="Y109" s="135"/>
      <c r="Z109" s="135"/>
      <c r="AA109" s="734"/>
      <c r="AB109" s="135"/>
      <c r="AC109" s="135"/>
      <c r="AD109" s="135"/>
      <c r="AE109" s="135"/>
      <c r="AF109" s="135"/>
      <c r="AH109" s="43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</row>
    <row r="110" spans="2:44" s="27" customFormat="1">
      <c r="B110" s="43"/>
      <c r="C110" s="911"/>
      <c r="D110" s="34"/>
      <c r="F110" s="107"/>
      <c r="M110" s="107"/>
      <c r="R110" s="107"/>
      <c r="T110" s="107"/>
      <c r="Y110" s="135"/>
      <c r="Z110" s="135"/>
      <c r="AA110" s="734"/>
      <c r="AB110" s="135"/>
      <c r="AC110" s="135"/>
      <c r="AD110" s="135"/>
      <c r="AE110" s="135"/>
      <c r="AF110" s="135"/>
      <c r="AH110" s="43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</row>
    <row r="111" spans="2:44" s="27" customFormat="1">
      <c r="B111" s="43"/>
      <c r="C111" s="911"/>
      <c r="D111" s="34"/>
      <c r="F111" s="107"/>
      <c r="M111" s="107"/>
      <c r="R111" s="107"/>
      <c r="T111" s="107"/>
      <c r="Y111" s="135"/>
      <c r="Z111" s="135"/>
      <c r="AA111" s="734"/>
      <c r="AB111" s="135"/>
      <c r="AC111" s="135"/>
      <c r="AD111" s="135"/>
      <c r="AE111" s="135"/>
      <c r="AF111" s="135"/>
      <c r="AH111" s="43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</row>
    <row r="112" spans="2:44" s="27" customFormat="1">
      <c r="B112" s="43"/>
      <c r="C112" s="911"/>
      <c r="D112" s="34"/>
      <c r="F112" s="107"/>
      <c r="M112" s="107"/>
      <c r="R112" s="107"/>
      <c r="T112" s="107"/>
      <c r="Y112" s="135"/>
      <c r="Z112" s="135"/>
      <c r="AA112" s="734"/>
      <c r="AB112" s="135"/>
      <c r="AC112" s="135"/>
      <c r="AD112" s="135"/>
      <c r="AE112" s="135"/>
      <c r="AF112" s="135"/>
      <c r="AH112" s="43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</row>
    <row r="113" spans="2:44" s="27" customFormat="1">
      <c r="B113" s="43"/>
      <c r="C113" s="911"/>
      <c r="D113" s="34"/>
      <c r="F113" s="107"/>
      <c r="M113" s="107"/>
      <c r="R113" s="107"/>
      <c r="T113" s="107"/>
      <c r="Y113" s="135"/>
      <c r="Z113" s="135"/>
      <c r="AA113" s="734"/>
      <c r="AB113" s="135"/>
      <c r="AC113" s="135"/>
      <c r="AD113" s="135"/>
      <c r="AE113" s="135"/>
      <c r="AF113" s="135"/>
      <c r="AH113" s="43"/>
      <c r="AI113" s="34"/>
      <c r="AJ113" s="34"/>
      <c r="AK113" s="34"/>
      <c r="AL113" s="34"/>
      <c r="AM113" s="34"/>
      <c r="AN113" s="34"/>
      <c r="AO113" s="34"/>
      <c r="AP113" s="34"/>
      <c r="AQ113" s="34"/>
      <c r="AR113" s="34"/>
    </row>
    <row r="114" spans="2:44" s="27" customFormat="1">
      <c r="B114" s="43"/>
      <c r="C114" s="911"/>
      <c r="D114" s="34"/>
      <c r="F114" s="107"/>
      <c r="M114" s="107"/>
      <c r="R114" s="107"/>
      <c r="T114" s="107"/>
      <c r="Y114" s="135"/>
      <c r="Z114" s="135"/>
      <c r="AA114" s="734"/>
      <c r="AB114" s="135"/>
      <c r="AC114" s="135"/>
      <c r="AD114" s="135"/>
      <c r="AE114" s="135"/>
      <c r="AF114" s="135"/>
      <c r="AH114" s="43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</row>
    <row r="115" spans="2:44" s="27" customFormat="1">
      <c r="B115" s="43"/>
      <c r="C115" s="911"/>
      <c r="D115" s="34"/>
      <c r="F115" s="107"/>
      <c r="M115" s="107"/>
      <c r="R115" s="107"/>
      <c r="T115" s="107"/>
      <c r="Y115" s="135"/>
      <c r="Z115" s="135"/>
      <c r="AA115" s="734"/>
      <c r="AB115" s="135"/>
      <c r="AC115" s="135"/>
      <c r="AD115" s="135"/>
      <c r="AE115" s="135"/>
      <c r="AF115" s="135"/>
      <c r="AH115" s="43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</row>
    <row r="116" spans="2:44" s="27" customFormat="1">
      <c r="B116" s="43"/>
      <c r="C116" s="911"/>
      <c r="D116" s="34"/>
      <c r="F116" s="107"/>
      <c r="M116" s="107"/>
      <c r="R116" s="107"/>
      <c r="T116" s="107"/>
      <c r="Y116" s="135"/>
      <c r="Z116" s="135"/>
      <c r="AA116" s="734"/>
      <c r="AB116" s="135"/>
      <c r="AC116" s="135"/>
      <c r="AD116" s="135"/>
      <c r="AE116" s="135"/>
      <c r="AF116" s="135"/>
      <c r="AH116" s="43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</row>
    <row r="117" spans="2:44" s="27" customFormat="1">
      <c r="B117" s="43"/>
      <c r="C117" s="911"/>
      <c r="D117" s="34"/>
      <c r="F117" s="107"/>
      <c r="M117" s="107"/>
      <c r="R117" s="107"/>
      <c r="T117" s="107"/>
      <c r="Y117" s="135"/>
      <c r="Z117" s="135"/>
      <c r="AA117" s="734"/>
      <c r="AB117" s="135"/>
      <c r="AC117" s="135"/>
      <c r="AD117" s="135"/>
      <c r="AE117" s="135"/>
      <c r="AF117" s="135"/>
      <c r="AH117" s="43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</row>
    <row r="118" spans="2:44" s="27" customFormat="1">
      <c r="B118" s="43"/>
      <c r="C118" s="911"/>
      <c r="D118" s="34"/>
      <c r="F118" s="107"/>
      <c r="M118" s="107"/>
      <c r="R118" s="107"/>
      <c r="T118" s="107"/>
      <c r="Y118" s="135"/>
      <c r="Z118" s="135"/>
      <c r="AA118" s="734"/>
      <c r="AB118" s="135"/>
      <c r="AC118" s="135"/>
      <c r="AD118" s="135"/>
      <c r="AE118" s="135"/>
      <c r="AF118" s="135"/>
      <c r="AH118" s="43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</row>
    <row r="119" spans="2:44" s="27" customFormat="1">
      <c r="B119" s="43"/>
      <c r="C119" s="911"/>
      <c r="D119" s="34"/>
      <c r="F119" s="107"/>
      <c r="M119" s="107"/>
      <c r="R119" s="107"/>
      <c r="T119" s="107"/>
      <c r="Y119" s="135"/>
      <c r="Z119" s="135"/>
      <c r="AA119" s="734"/>
      <c r="AB119" s="135"/>
      <c r="AC119" s="135"/>
      <c r="AD119" s="135"/>
      <c r="AE119" s="135"/>
      <c r="AF119" s="135"/>
      <c r="AH119" s="43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</row>
    <row r="120" spans="2:44" s="27" customFormat="1">
      <c r="B120" s="43"/>
      <c r="C120" s="911"/>
      <c r="D120" s="34"/>
      <c r="F120" s="107"/>
      <c r="M120" s="107"/>
      <c r="R120" s="107"/>
      <c r="T120" s="107"/>
      <c r="Y120" s="135"/>
      <c r="Z120" s="135"/>
      <c r="AA120" s="734"/>
      <c r="AB120" s="135"/>
      <c r="AC120" s="135"/>
      <c r="AD120" s="135"/>
      <c r="AE120" s="135"/>
      <c r="AF120" s="135"/>
      <c r="AH120" s="43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</row>
    <row r="121" spans="2:44" s="27" customFormat="1">
      <c r="B121" s="43"/>
      <c r="C121" s="911"/>
      <c r="D121" s="34"/>
      <c r="F121" s="107"/>
      <c r="M121" s="107"/>
      <c r="R121" s="107"/>
      <c r="T121" s="107"/>
      <c r="Y121" s="135"/>
      <c r="Z121" s="135"/>
      <c r="AA121" s="734"/>
      <c r="AB121" s="135"/>
      <c r="AC121" s="135"/>
      <c r="AD121" s="135"/>
      <c r="AE121" s="135"/>
      <c r="AF121" s="135"/>
      <c r="AH121" s="43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</row>
    <row r="122" spans="2:44" s="27" customFormat="1">
      <c r="B122" s="43"/>
      <c r="C122" s="911"/>
      <c r="D122" s="34"/>
      <c r="F122" s="107"/>
      <c r="M122" s="107"/>
      <c r="R122" s="107"/>
      <c r="T122" s="107"/>
      <c r="Y122" s="135"/>
      <c r="Z122" s="135"/>
      <c r="AA122" s="734"/>
      <c r="AB122" s="135"/>
      <c r="AC122" s="135"/>
      <c r="AD122" s="135"/>
      <c r="AE122" s="135"/>
      <c r="AF122" s="135"/>
      <c r="AH122" s="43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</row>
    <row r="123" spans="2:44" s="27" customFormat="1">
      <c r="B123" s="43"/>
      <c r="C123" s="911"/>
      <c r="D123" s="34"/>
      <c r="F123" s="107"/>
      <c r="M123" s="107"/>
      <c r="R123" s="107"/>
      <c r="T123" s="107"/>
      <c r="Y123" s="135"/>
      <c r="Z123" s="135"/>
      <c r="AA123" s="734"/>
      <c r="AB123" s="135"/>
      <c r="AC123" s="135"/>
      <c r="AD123" s="135"/>
      <c r="AE123" s="135"/>
      <c r="AF123" s="135"/>
      <c r="AH123" s="43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</row>
    <row r="124" spans="2:44" s="27" customFormat="1">
      <c r="B124" s="43"/>
      <c r="C124" s="911"/>
      <c r="D124" s="34"/>
      <c r="F124" s="107"/>
      <c r="M124" s="107"/>
      <c r="R124" s="107"/>
      <c r="T124" s="107"/>
      <c r="Y124" s="135"/>
      <c r="Z124" s="135"/>
      <c r="AA124" s="734"/>
      <c r="AB124" s="135"/>
      <c r="AC124" s="135"/>
      <c r="AD124" s="135"/>
      <c r="AE124" s="135"/>
      <c r="AF124" s="135"/>
      <c r="AH124" s="43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</row>
    <row r="125" spans="2:44" s="27" customFormat="1">
      <c r="B125" s="43"/>
      <c r="C125" s="911"/>
      <c r="D125" s="34"/>
      <c r="F125" s="107"/>
      <c r="M125" s="107"/>
      <c r="R125" s="107"/>
      <c r="T125" s="107"/>
      <c r="Y125" s="135"/>
      <c r="Z125" s="135"/>
      <c r="AA125" s="734"/>
      <c r="AB125" s="135"/>
      <c r="AC125" s="135"/>
      <c r="AD125" s="135"/>
      <c r="AE125" s="135"/>
      <c r="AF125" s="135"/>
      <c r="AH125" s="43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</row>
    <row r="126" spans="2:44" s="27" customFormat="1">
      <c r="B126" s="43"/>
      <c r="C126" s="911"/>
      <c r="D126" s="34"/>
      <c r="F126" s="107"/>
      <c r="M126" s="107"/>
      <c r="R126" s="107"/>
      <c r="T126" s="107"/>
      <c r="Y126" s="135"/>
      <c r="Z126" s="135"/>
      <c r="AA126" s="734"/>
      <c r="AB126" s="135"/>
      <c r="AC126" s="135"/>
      <c r="AD126" s="135"/>
      <c r="AE126" s="135"/>
      <c r="AF126" s="135"/>
      <c r="AH126" s="43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</row>
    <row r="127" spans="2:44" s="27" customFormat="1">
      <c r="B127" s="43"/>
      <c r="C127" s="911"/>
      <c r="D127" s="34"/>
      <c r="F127" s="107"/>
      <c r="M127" s="107"/>
      <c r="R127" s="107"/>
      <c r="T127" s="107"/>
      <c r="Y127" s="135"/>
      <c r="Z127" s="135"/>
      <c r="AA127" s="734"/>
      <c r="AB127" s="135"/>
      <c r="AC127" s="135"/>
      <c r="AD127" s="135"/>
      <c r="AE127" s="135"/>
      <c r="AF127" s="135"/>
      <c r="AH127" s="43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</row>
    <row r="128" spans="2:44" s="27" customFormat="1">
      <c r="B128" s="43"/>
      <c r="C128" s="911"/>
      <c r="D128" s="34"/>
      <c r="F128" s="107"/>
      <c r="M128" s="107"/>
      <c r="R128" s="107"/>
      <c r="T128" s="107"/>
      <c r="Y128" s="135"/>
      <c r="Z128" s="135"/>
      <c r="AA128" s="734"/>
      <c r="AB128" s="135"/>
      <c r="AC128" s="135"/>
      <c r="AD128" s="135"/>
      <c r="AE128" s="135"/>
      <c r="AF128" s="135"/>
      <c r="AH128" s="43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</row>
    <row r="129" spans="2:44" s="27" customFormat="1">
      <c r="B129" s="43"/>
      <c r="C129" s="911"/>
      <c r="D129" s="34"/>
      <c r="F129" s="107"/>
      <c r="M129" s="107"/>
      <c r="R129" s="107"/>
      <c r="T129" s="107"/>
      <c r="Y129" s="135"/>
      <c r="Z129" s="135"/>
      <c r="AA129" s="734"/>
      <c r="AB129" s="135"/>
      <c r="AC129" s="135"/>
      <c r="AD129" s="135"/>
      <c r="AE129" s="135"/>
      <c r="AF129" s="135"/>
      <c r="AH129" s="43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</row>
    <row r="130" spans="2:44" s="27" customFormat="1">
      <c r="B130" s="43"/>
      <c r="C130" s="911"/>
      <c r="D130" s="34"/>
      <c r="F130" s="107"/>
      <c r="M130" s="107"/>
      <c r="R130" s="107"/>
      <c r="T130" s="107"/>
      <c r="Y130" s="135"/>
      <c r="Z130" s="135"/>
      <c r="AA130" s="734"/>
      <c r="AB130" s="135"/>
      <c r="AC130" s="135"/>
      <c r="AD130" s="135"/>
      <c r="AE130" s="135"/>
      <c r="AF130" s="135"/>
      <c r="AH130" s="43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</row>
    <row r="131" spans="2:44" s="27" customFormat="1">
      <c r="B131" s="43"/>
      <c r="C131" s="911"/>
      <c r="D131" s="34"/>
      <c r="F131" s="107"/>
      <c r="M131" s="107"/>
      <c r="R131" s="107"/>
      <c r="T131" s="107"/>
      <c r="Y131" s="135"/>
      <c r="Z131" s="135"/>
      <c r="AA131" s="734"/>
      <c r="AB131" s="135"/>
      <c r="AC131" s="135"/>
      <c r="AD131" s="135"/>
      <c r="AE131" s="135"/>
      <c r="AF131" s="135"/>
      <c r="AH131" s="43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</row>
    <row r="132" spans="2:44" s="27" customFormat="1">
      <c r="B132" s="43"/>
      <c r="C132" s="911"/>
      <c r="D132" s="34"/>
      <c r="F132" s="107"/>
      <c r="M132" s="107"/>
      <c r="R132" s="107"/>
      <c r="T132" s="107"/>
      <c r="Y132" s="135"/>
      <c r="Z132" s="135"/>
      <c r="AA132" s="734"/>
      <c r="AB132" s="135"/>
      <c r="AC132" s="135"/>
      <c r="AD132" s="135"/>
      <c r="AE132" s="135"/>
      <c r="AF132" s="135"/>
      <c r="AH132" s="43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</row>
    <row r="133" spans="2:44" s="27" customFormat="1">
      <c r="B133" s="43"/>
      <c r="C133" s="911"/>
      <c r="D133" s="34"/>
      <c r="F133" s="107"/>
      <c r="M133" s="107"/>
      <c r="R133" s="107"/>
      <c r="T133" s="107"/>
      <c r="Y133" s="135"/>
      <c r="Z133" s="135"/>
      <c r="AA133" s="734"/>
      <c r="AB133" s="135"/>
      <c r="AC133" s="135"/>
      <c r="AD133" s="135"/>
      <c r="AE133" s="135"/>
      <c r="AF133" s="135"/>
      <c r="AH133" s="43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</row>
    <row r="134" spans="2:44" s="27" customFormat="1">
      <c r="B134" s="43"/>
      <c r="C134" s="911"/>
      <c r="D134" s="34"/>
      <c r="F134" s="107"/>
      <c r="M134" s="107"/>
      <c r="R134" s="107"/>
      <c r="T134" s="107"/>
      <c r="Y134" s="135"/>
      <c r="Z134" s="135"/>
      <c r="AA134" s="734"/>
      <c r="AB134" s="135"/>
      <c r="AC134" s="135"/>
      <c r="AD134" s="135"/>
      <c r="AE134" s="135"/>
      <c r="AF134" s="135"/>
      <c r="AH134" s="43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</row>
    <row r="135" spans="2:44" s="27" customFormat="1">
      <c r="B135" s="43"/>
      <c r="C135" s="911"/>
      <c r="D135" s="34"/>
      <c r="F135" s="107"/>
      <c r="M135" s="107"/>
      <c r="R135" s="107"/>
      <c r="T135" s="107"/>
      <c r="Y135" s="135"/>
      <c r="Z135" s="135"/>
      <c r="AA135" s="734"/>
      <c r="AB135" s="135"/>
      <c r="AC135" s="135"/>
      <c r="AD135" s="135"/>
      <c r="AE135" s="135"/>
      <c r="AF135" s="135"/>
      <c r="AH135" s="43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</row>
    <row r="136" spans="2:44" s="27" customFormat="1">
      <c r="B136" s="43"/>
      <c r="C136" s="911"/>
      <c r="D136" s="34"/>
      <c r="F136" s="107"/>
      <c r="M136" s="107"/>
      <c r="R136" s="107"/>
      <c r="T136" s="107"/>
      <c r="Y136" s="135"/>
      <c r="Z136" s="135"/>
      <c r="AA136" s="734"/>
      <c r="AB136" s="135"/>
      <c r="AC136" s="135"/>
      <c r="AD136" s="135"/>
      <c r="AE136" s="135"/>
      <c r="AF136" s="135"/>
      <c r="AH136" s="43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</row>
    <row r="137" spans="2:44" s="27" customFormat="1">
      <c r="B137" s="43"/>
      <c r="C137" s="911"/>
      <c r="D137" s="34"/>
      <c r="F137" s="107"/>
      <c r="M137" s="107"/>
      <c r="R137" s="107"/>
      <c r="T137" s="107"/>
      <c r="Y137" s="135"/>
      <c r="Z137" s="135"/>
      <c r="AA137" s="734"/>
      <c r="AB137" s="135"/>
      <c r="AC137" s="135"/>
      <c r="AD137" s="135"/>
      <c r="AE137" s="135"/>
      <c r="AF137" s="135"/>
      <c r="AH137" s="43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</row>
    <row r="138" spans="2:44" s="27" customFormat="1">
      <c r="B138" s="43"/>
      <c r="C138" s="911"/>
      <c r="D138" s="34"/>
      <c r="F138" s="107"/>
      <c r="M138" s="107"/>
      <c r="R138" s="107"/>
      <c r="T138" s="107"/>
      <c r="Y138" s="135"/>
      <c r="Z138" s="135"/>
      <c r="AA138" s="734"/>
      <c r="AB138" s="135"/>
      <c r="AC138" s="135"/>
      <c r="AD138" s="135"/>
      <c r="AE138" s="135"/>
      <c r="AF138" s="135"/>
      <c r="AH138" s="43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</row>
    <row r="139" spans="2:44" s="27" customFormat="1">
      <c r="B139" s="43"/>
      <c r="C139" s="911"/>
      <c r="D139" s="34"/>
      <c r="F139" s="107"/>
      <c r="M139" s="107"/>
      <c r="R139" s="107"/>
      <c r="T139" s="107"/>
      <c r="Y139" s="135"/>
      <c r="Z139" s="135"/>
      <c r="AA139" s="734"/>
      <c r="AB139" s="135"/>
      <c r="AC139" s="135"/>
      <c r="AD139" s="135"/>
      <c r="AE139" s="135"/>
      <c r="AF139" s="135"/>
      <c r="AH139" s="43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</row>
    <row r="140" spans="2:44" s="27" customFormat="1">
      <c r="B140" s="43"/>
      <c r="C140" s="911"/>
      <c r="D140" s="34"/>
      <c r="F140" s="107"/>
      <c r="M140" s="107"/>
      <c r="R140" s="107"/>
      <c r="T140" s="107"/>
      <c r="Y140" s="135"/>
      <c r="Z140" s="135"/>
      <c r="AA140" s="734"/>
      <c r="AB140" s="135"/>
      <c r="AC140" s="135"/>
      <c r="AD140" s="135"/>
      <c r="AE140" s="135"/>
      <c r="AF140" s="135"/>
      <c r="AH140" s="43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</row>
    <row r="141" spans="2:44" s="27" customFormat="1">
      <c r="B141" s="43"/>
      <c r="C141" s="911"/>
      <c r="D141" s="34"/>
      <c r="F141" s="107"/>
      <c r="M141" s="107"/>
      <c r="R141" s="107"/>
      <c r="T141" s="107"/>
      <c r="Y141" s="135"/>
      <c r="Z141" s="135"/>
      <c r="AA141" s="734"/>
      <c r="AB141" s="135"/>
      <c r="AC141" s="135"/>
      <c r="AD141" s="135"/>
      <c r="AE141" s="135"/>
      <c r="AF141" s="135"/>
      <c r="AH141" s="43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</row>
    <row r="142" spans="2:44" s="27" customFormat="1">
      <c r="B142" s="43"/>
      <c r="C142" s="911"/>
      <c r="D142" s="34"/>
      <c r="F142" s="107"/>
      <c r="M142" s="107"/>
      <c r="R142" s="107"/>
      <c r="T142" s="107"/>
      <c r="Y142" s="135"/>
      <c r="Z142" s="135"/>
      <c r="AA142" s="734"/>
      <c r="AB142" s="135"/>
      <c r="AC142" s="135"/>
      <c r="AD142" s="135"/>
      <c r="AE142" s="135"/>
      <c r="AF142" s="135"/>
      <c r="AH142" s="43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</row>
    <row r="143" spans="2:44" s="27" customFormat="1">
      <c r="B143" s="43"/>
      <c r="C143" s="911"/>
      <c r="D143" s="34"/>
      <c r="F143" s="107"/>
      <c r="M143" s="107"/>
      <c r="R143" s="107"/>
      <c r="T143" s="107"/>
      <c r="Y143" s="135"/>
      <c r="Z143" s="135"/>
      <c r="AA143" s="734"/>
      <c r="AB143" s="135"/>
      <c r="AC143" s="135"/>
      <c r="AD143" s="135"/>
      <c r="AE143" s="135"/>
      <c r="AF143" s="135"/>
      <c r="AH143" s="43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</row>
    <row r="144" spans="2:44" s="27" customFormat="1">
      <c r="B144" s="43"/>
      <c r="C144" s="911"/>
      <c r="D144" s="34"/>
      <c r="F144" s="107"/>
      <c r="M144" s="107"/>
      <c r="R144" s="107"/>
      <c r="T144" s="107"/>
      <c r="Y144" s="135"/>
      <c r="Z144" s="135"/>
      <c r="AA144" s="734"/>
      <c r="AB144" s="135"/>
      <c r="AC144" s="135"/>
      <c r="AD144" s="135"/>
      <c r="AE144" s="135"/>
      <c r="AF144" s="135"/>
      <c r="AH144" s="43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</row>
    <row r="145" spans="2:44" s="27" customFormat="1">
      <c r="B145" s="43"/>
      <c r="C145" s="911"/>
      <c r="D145" s="34"/>
      <c r="F145" s="107"/>
      <c r="M145" s="107"/>
      <c r="R145" s="107"/>
      <c r="T145" s="107"/>
      <c r="Y145" s="135"/>
      <c r="Z145" s="135"/>
      <c r="AA145" s="734"/>
      <c r="AB145" s="135"/>
      <c r="AC145" s="135"/>
      <c r="AD145" s="135"/>
      <c r="AE145" s="135"/>
      <c r="AF145" s="135"/>
      <c r="AH145" s="43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</row>
    <row r="146" spans="2:44" s="27" customFormat="1">
      <c r="B146" s="43"/>
      <c r="C146" s="911"/>
      <c r="D146" s="34"/>
      <c r="F146" s="107"/>
      <c r="M146" s="107"/>
      <c r="R146" s="107"/>
      <c r="T146" s="107"/>
      <c r="Y146" s="135"/>
      <c r="Z146" s="135"/>
      <c r="AA146" s="734"/>
      <c r="AB146" s="135"/>
      <c r="AC146" s="135"/>
      <c r="AD146" s="135"/>
      <c r="AE146" s="135"/>
      <c r="AF146" s="135"/>
      <c r="AH146" s="43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</row>
    <row r="147" spans="2:44" s="27" customFormat="1">
      <c r="B147" s="43"/>
      <c r="C147" s="911"/>
      <c r="D147" s="34"/>
      <c r="F147" s="107"/>
      <c r="M147" s="107"/>
      <c r="R147" s="107"/>
      <c r="T147" s="107"/>
      <c r="Y147" s="135"/>
      <c r="Z147" s="135"/>
      <c r="AA147" s="734"/>
      <c r="AB147" s="135"/>
      <c r="AC147" s="135"/>
      <c r="AD147" s="135"/>
      <c r="AE147" s="135"/>
      <c r="AF147" s="135"/>
      <c r="AH147" s="43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</row>
    <row r="148" spans="2:44" s="27" customFormat="1">
      <c r="B148" s="43"/>
      <c r="C148" s="911"/>
      <c r="D148" s="34"/>
      <c r="F148" s="107"/>
      <c r="M148" s="107"/>
      <c r="R148" s="107"/>
      <c r="T148" s="107"/>
      <c r="Y148" s="135"/>
      <c r="Z148" s="135"/>
      <c r="AA148" s="734"/>
      <c r="AB148" s="135"/>
      <c r="AC148" s="135"/>
      <c r="AD148" s="135"/>
      <c r="AE148" s="135"/>
      <c r="AF148" s="135"/>
      <c r="AH148" s="43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</row>
    <row r="149" spans="2:44" s="27" customFormat="1">
      <c r="B149" s="43"/>
      <c r="C149" s="911"/>
      <c r="D149" s="34"/>
      <c r="F149" s="107"/>
      <c r="M149" s="107"/>
      <c r="R149" s="107"/>
      <c r="T149" s="107"/>
      <c r="Y149" s="135"/>
      <c r="Z149" s="135"/>
      <c r="AA149" s="734"/>
      <c r="AB149" s="135"/>
      <c r="AC149" s="135"/>
      <c r="AD149" s="135"/>
      <c r="AE149" s="135"/>
      <c r="AF149" s="135"/>
      <c r="AH149" s="43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</row>
    <row r="150" spans="2:44" s="27" customFormat="1">
      <c r="B150" s="43"/>
      <c r="C150" s="911"/>
      <c r="D150" s="34"/>
      <c r="F150" s="107"/>
      <c r="M150" s="107"/>
      <c r="R150" s="107"/>
      <c r="T150" s="107"/>
      <c r="Y150" s="135"/>
      <c r="Z150" s="135"/>
      <c r="AA150" s="734"/>
      <c r="AB150" s="135"/>
      <c r="AC150" s="135"/>
      <c r="AD150" s="135"/>
      <c r="AE150" s="135"/>
      <c r="AF150" s="135"/>
      <c r="AH150" s="43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</row>
    <row r="151" spans="2:44" s="27" customFormat="1">
      <c r="B151" s="43"/>
      <c r="C151" s="911"/>
      <c r="D151" s="34"/>
      <c r="F151" s="107"/>
      <c r="M151" s="107"/>
      <c r="R151" s="107"/>
      <c r="T151" s="107"/>
      <c r="Y151" s="135"/>
      <c r="Z151" s="135"/>
      <c r="AA151" s="734"/>
      <c r="AB151" s="135"/>
      <c r="AC151" s="135"/>
      <c r="AD151" s="135"/>
      <c r="AE151" s="135"/>
      <c r="AF151" s="135"/>
      <c r="AH151" s="43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</row>
    <row r="152" spans="2:44" s="27" customFormat="1">
      <c r="B152" s="43"/>
      <c r="C152" s="911"/>
      <c r="D152" s="34"/>
      <c r="F152" s="107"/>
      <c r="M152" s="107"/>
      <c r="R152" s="107"/>
      <c r="T152" s="107"/>
      <c r="Y152" s="135"/>
      <c r="Z152" s="135"/>
      <c r="AA152" s="734"/>
      <c r="AB152" s="135"/>
      <c r="AC152" s="135"/>
      <c r="AD152" s="135"/>
      <c r="AE152" s="135"/>
      <c r="AF152" s="135"/>
      <c r="AH152" s="43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</row>
    <row r="153" spans="2:44" s="27" customFormat="1">
      <c r="B153" s="43"/>
      <c r="C153" s="911"/>
      <c r="D153" s="34"/>
      <c r="F153" s="107"/>
      <c r="M153" s="107"/>
      <c r="R153" s="107"/>
      <c r="T153" s="107"/>
      <c r="Y153" s="135"/>
      <c r="Z153" s="135"/>
      <c r="AA153" s="734"/>
      <c r="AB153" s="135"/>
      <c r="AC153" s="135"/>
      <c r="AD153" s="135"/>
      <c r="AE153" s="135"/>
      <c r="AF153" s="135"/>
      <c r="AH153" s="43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</row>
    <row r="154" spans="2:44" s="27" customFormat="1">
      <c r="B154" s="43"/>
      <c r="C154" s="911"/>
      <c r="D154" s="34"/>
      <c r="F154" s="107"/>
      <c r="M154" s="107"/>
      <c r="R154" s="107"/>
      <c r="T154" s="107"/>
      <c r="Y154" s="135"/>
      <c r="Z154" s="135"/>
      <c r="AA154" s="734"/>
      <c r="AB154" s="135"/>
      <c r="AC154" s="135"/>
      <c r="AD154" s="135"/>
      <c r="AE154" s="135"/>
      <c r="AF154" s="135"/>
      <c r="AH154" s="43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</row>
    <row r="155" spans="2:44" s="27" customFormat="1">
      <c r="B155" s="43"/>
      <c r="C155" s="911"/>
      <c r="D155" s="34"/>
      <c r="F155" s="107"/>
      <c r="M155" s="107"/>
      <c r="R155" s="107"/>
      <c r="T155" s="107"/>
      <c r="Y155" s="135"/>
      <c r="Z155" s="135"/>
      <c r="AA155" s="734"/>
      <c r="AB155" s="135"/>
      <c r="AC155" s="135"/>
      <c r="AD155" s="135"/>
      <c r="AE155" s="135"/>
      <c r="AF155" s="135"/>
      <c r="AH155" s="43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</row>
    <row r="156" spans="2:44" s="27" customFormat="1">
      <c r="B156" s="43"/>
      <c r="C156" s="911"/>
      <c r="D156" s="34"/>
      <c r="F156" s="107"/>
      <c r="M156" s="107"/>
      <c r="R156" s="107"/>
      <c r="T156" s="107"/>
      <c r="Y156" s="135"/>
      <c r="Z156" s="135"/>
      <c r="AA156" s="734"/>
      <c r="AB156" s="135"/>
      <c r="AC156" s="135"/>
      <c r="AD156" s="135"/>
      <c r="AE156" s="135"/>
      <c r="AF156" s="135"/>
      <c r="AH156" s="43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</row>
    <row r="157" spans="2:44" s="27" customFormat="1">
      <c r="B157" s="43"/>
      <c r="C157" s="911"/>
      <c r="D157" s="34"/>
      <c r="F157" s="107"/>
      <c r="M157" s="107"/>
      <c r="R157" s="107"/>
      <c r="T157" s="107"/>
      <c r="Y157" s="135"/>
      <c r="Z157" s="135"/>
      <c r="AA157" s="734"/>
      <c r="AB157" s="135"/>
      <c r="AC157" s="135"/>
      <c r="AD157" s="135"/>
      <c r="AE157" s="135"/>
      <c r="AF157" s="135"/>
      <c r="AH157" s="43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</row>
    <row r="158" spans="2:44" s="27" customFormat="1">
      <c r="B158" s="43"/>
      <c r="C158" s="911"/>
      <c r="D158" s="34"/>
      <c r="F158" s="107"/>
      <c r="M158" s="107"/>
      <c r="R158" s="107"/>
      <c r="T158" s="107"/>
      <c r="Y158" s="135"/>
      <c r="Z158" s="135"/>
      <c r="AA158" s="734"/>
      <c r="AB158" s="135"/>
      <c r="AC158" s="135"/>
      <c r="AD158" s="135"/>
      <c r="AE158" s="135"/>
      <c r="AF158" s="135"/>
      <c r="AH158" s="43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</row>
    <row r="159" spans="2:44" s="27" customFormat="1">
      <c r="B159" s="43"/>
      <c r="C159" s="911"/>
      <c r="D159" s="34"/>
      <c r="F159" s="107"/>
      <c r="M159" s="107"/>
      <c r="R159" s="107"/>
      <c r="T159" s="107"/>
      <c r="Y159" s="135"/>
      <c r="Z159" s="135"/>
      <c r="AA159" s="734"/>
      <c r="AB159" s="135"/>
      <c r="AC159" s="135"/>
      <c r="AD159" s="135"/>
      <c r="AE159" s="135"/>
      <c r="AF159" s="135"/>
      <c r="AH159" s="43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</row>
    <row r="160" spans="2:44" s="27" customFormat="1">
      <c r="B160" s="43"/>
      <c r="C160" s="911"/>
      <c r="D160" s="34"/>
      <c r="F160" s="107"/>
      <c r="M160" s="107"/>
      <c r="R160" s="107"/>
      <c r="T160" s="107"/>
      <c r="Y160" s="135"/>
      <c r="Z160" s="135"/>
      <c r="AA160" s="734"/>
      <c r="AB160" s="135"/>
      <c r="AC160" s="135"/>
      <c r="AD160" s="135"/>
      <c r="AE160" s="135"/>
      <c r="AF160" s="135"/>
      <c r="AH160" s="43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</row>
    <row r="161" spans="2:44" s="27" customFormat="1">
      <c r="B161" s="43"/>
      <c r="C161" s="911"/>
      <c r="D161" s="34"/>
      <c r="E161" s="27">
        <v>19</v>
      </c>
      <c r="F161" s="107"/>
      <c r="M161" s="107"/>
      <c r="R161" s="107"/>
      <c r="T161" s="107"/>
      <c r="Y161" s="135"/>
      <c r="Z161" s="135"/>
      <c r="AA161" s="734"/>
      <c r="AB161" s="135"/>
      <c r="AC161" s="135"/>
      <c r="AD161" s="135"/>
      <c r="AE161" s="135"/>
      <c r="AF161" s="135"/>
      <c r="AH161" s="43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</row>
    <row r="162" spans="2:44" s="27" customFormat="1">
      <c r="B162" s="43"/>
      <c r="C162" s="911"/>
      <c r="D162" s="34"/>
      <c r="F162" s="107"/>
      <c r="M162" s="107"/>
      <c r="R162" s="107"/>
      <c r="T162" s="107"/>
      <c r="Y162" s="135"/>
      <c r="Z162" s="135"/>
      <c r="AA162" s="734"/>
      <c r="AB162" s="135"/>
      <c r="AC162" s="135"/>
      <c r="AD162" s="135"/>
      <c r="AE162" s="135"/>
      <c r="AF162" s="135"/>
      <c r="AH162" s="43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</row>
    <row r="163" spans="2:44" s="27" customFormat="1">
      <c r="B163" s="43"/>
      <c r="C163" s="911"/>
      <c r="D163" s="34"/>
      <c r="F163" s="107"/>
      <c r="M163" s="107"/>
      <c r="R163" s="107"/>
      <c r="T163" s="107"/>
      <c r="Y163" s="135"/>
      <c r="Z163" s="135"/>
      <c r="AA163" s="734"/>
      <c r="AB163" s="135"/>
      <c r="AC163" s="135"/>
      <c r="AD163" s="135"/>
      <c r="AE163" s="135"/>
      <c r="AF163" s="135"/>
      <c r="AH163" s="43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</row>
    <row r="164" spans="2:44" s="27" customFormat="1">
      <c r="B164" s="43"/>
      <c r="C164" s="911"/>
      <c r="D164" s="34"/>
      <c r="F164" s="107"/>
      <c r="M164" s="107"/>
      <c r="R164" s="107"/>
      <c r="T164" s="107"/>
      <c r="Y164" s="135"/>
      <c r="Z164" s="135"/>
      <c r="AA164" s="734"/>
      <c r="AB164" s="135"/>
      <c r="AC164" s="135"/>
      <c r="AD164" s="135"/>
      <c r="AE164" s="135"/>
      <c r="AF164" s="135"/>
      <c r="AH164" s="43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</row>
    <row r="165" spans="2:44" s="27" customFormat="1">
      <c r="B165" s="43"/>
      <c r="C165" s="911"/>
      <c r="D165" s="34"/>
      <c r="F165" s="107"/>
      <c r="M165" s="107"/>
      <c r="R165" s="107"/>
      <c r="T165" s="107"/>
      <c r="Y165" s="135"/>
      <c r="Z165" s="135"/>
      <c r="AA165" s="734"/>
      <c r="AB165" s="135"/>
      <c r="AC165" s="135"/>
      <c r="AD165" s="135"/>
      <c r="AE165" s="135"/>
      <c r="AF165" s="135"/>
      <c r="AH165" s="43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</row>
    <row r="166" spans="2:44" s="27" customFormat="1">
      <c r="B166" s="43"/>
      <c r="C166" s="911"/>
      <c r="D166" s="34"/>
      <c r="F166" s="107"/>
      <c r="M166" s="107"/>
      <c r="R166" s="107"/>
      <c r="T166" s="107"/>
      <c r="Y166" s="135"/>
      <c r="Z166" s="135"/>
      <c r="AA166" s="734"/>
      <c r="AB166" s="135"/>
      <c r="AC166" s="135"/>
      <c r="AD166" s="135"/>
      <c r="AE166" s="135"/>
      <c r="AF166" s="135"/>
      <c r="AH166" s="43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</row>
    <row r="167" spans="2:44" s="27" customFormat="1">
      <c r="B167" s="43"/>
      <c r="C167" s="911"/>
      <c r="D167" s="34"/>
      <c r="F167" s="107"/>
      <c r="M167" s="107"/>
      <c r="R167" s="107"/>
      <c r="T167" s="107"/>
      <c r="Y167" s="135"/>
      <c r="Z167" s="135"/>
      <c r="AA167" s="734"/>
      <c r="AB167" s="135"/>
      <c r="AC167" s="135"/>
      <c r="AD167" s="135"/>
      <c r="AE167" s="135"/>
      <c r="AF167" s="135"/>
      <c r="AH167" s="43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</row>
    <row r="168" spans="2:44" s="27" customFormat="1">
      <c r="B168" s="43"/>
      <c r="C168" s="911"/>
      <c r="D168" s="34"/>
      <c r="E168" s="27">
        <v>2</v>
      </c>
      <c r="F168" s="107"/>
      <c r="M168" s="107"/>
      <c r="R168" s="107"/>
      <c r="T168" s="107"/>
      <c r="Y168" s="135"/>
      <c r="Z168" s="135"/>
      <c r="AA168" s="734"/>
      <c r="AB168" s="135"/>
      <c r="AC168" s="135"/>
      <c r="AD168" s="135"/>
      <c r="AE168" s="135"/>
      <c r="AF168" s="135"/>
      <c r="AH168" s="43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</row>
    <row r="169" spans="2:44" s="27" customFormat="1">
      <c r="B169" s="43"/>
      <c r="C169" s="911"/>
      <c r="D169" s="34"/>
      <c r="F169" s="107"/>
      <c r="M169" s="107"/>
      <c r="R169" s="107"/>
      <c r="T169" s="107"/>
      <c r="Y169" s="135"/>
      <c r="Z169" s="135"/>
      <c r="AA169" s="734"/>
      <c r="AB169" s="135"/>
      <c r="AC169" s="135"/>
      <c r="AD169" s="135"/>
      <c r="AE169" s="135"/>
      <c r="AF169" s="135"/>
      <c r="AH169" s="43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</row>
    <row r="170" spans="2:44" s="27" customFormat="1">
      <c r="B170" s="43"/>
      <c r="C170" s="911"/>
      <c r="D170" s="34"/>
      <c r="F170" s="107"/>
      <c r="M170" s="107"/>
      <c r="R170" s="107"/>
      <c r="T170" s="107"/>
      <c r="Y170" s="135"/>
      <c r="Z170" s="135"/>
      <c r="AA170" s="734"/>
      <c r="AB170" s="135"/>
      <c r="AC170" s="135"/>
      <c r="AD170" s="135"/>
      <c r="AE170" s="135"/>
      <c r="AF170" s="135"/>
      <c r="AH170" s="43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</row>
    <row r="171" spans="2:44" s="27" customFormat="1">
      <c r="B171" s="43"/>
      <c r="C171" s="911"/>
      <c r="D171" s="34"/>
      <c r="F171" s="107"/>
      <c r="M171" s="107"/>
      <c r="R171" s="107"/>
      <c r="T171" s="107"/>
      <c r="Y171" s="135"/>
      <c r="Z171" s="135"/>
      <c r="AA171" s="734"/>
      <c r="AB171" s="135"/>
      <c r="AC171" s="135"/>
      <c r="AD171" s="135"/>
      <c r="AE171" s="135"/>
      <c r="AF171" s="135"/>
      <c r="AH171" s="43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</row>
    <row r="172" spans="2:44" s="27" customFormat="1">
      <c r="B172" s="43"/>
      <c r="C172" s="911"/>
      <c r="D172" s="34"/>
      <c r="F172" s="107"/>
      <c r="M172" s="107"/>
      <c r="R172" s="107"/>
      <c r="T172" s="107"/>
      <c r="Y172" s="135"/>
      <c r="Z172" s="135"/>
      <c r="AA172" s="734"/>
      <c r="AB172" s="135"/>
      <c r="AC172" s="135"/>
      <c r="AD172" s="135"/>
      <c r="AE172" s="135"/>
      <c r="AF172" s="135"/>
      <c r="AH172" s="43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</row>
    <row r="173" spans="2:44" s="27" customFormat="1">
      <c r="B173" s="43"/>
      <c r="C173" s="911"/>
      <c r="D173" s="34"/>
      <c r="F173" s="107"/>
      <c r="M173" s="107"/>
      <c r="R173" s="107"/>
      <c r="T173" s="107"/>
      <c r="Y173" s="135"/>
      <c r="Z173" s="135"/>
      <c r="AA173" s="734"/>
      <c r="AB173" s="135"/>
      <c r="AC173" s="135"/>
      <c r="AD173" s="135"/>
      <c r="AE173" s="135"/>
      <c r="AF173" s="135"/>
      <c r="AH173" s="43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</row>
    <row r="174" spans="2:44" s="27" customFormat="1">
      <c r="B174" s="43"/>
      <c r="C174" s="911"/>
      <c r="D174" s="34"/>
      <c r="F174" s="107"/>
      <c r="M174" s="107"/>
      <c r="R174" s="107"/>
      <c r="T174" s="107"/>
      <c r="Y174" s="135"/>
      <c r="Z174" s="135"/>
      <c r="AA174" s="734"/>
      <c r="AB174" s="135"/>
      <c r="AC174" s="135"/>
      <c r="AD174" s="135"/>
      <c r="AE174" s="135"/>
      <c r="AF174" s="135"/>
      <c r="AH174" s="43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</row>
    <row r="175" spans="2:44" s="27" customFormat="1">
      <c r="B175" s="43"/>
      <c r="C175" s="911"/>
      <c r="D175" s="34"/>
      <c r="F175" s="107"/>
      <c r="M175" s="107"/>
      <c r="R175" s="107"/>
      <c r="T175" s="107"/>
      <c r="Y175" s="135"/>
      <c r="Z175" s="135"/>
      <c r="AA175" s="734"/>
      <c r="AB175" s="135"/>
      <c r="AC175" s="135"/>
      <c r="AD175" s="135"/>
      <c r="AE175" s="135"/>
      <c r="AF175" s="135"/>
      <c r="AH175" s="43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</row>
    <row r="176" spans="2:44" s="27" customFormat="1">
      <c r="B176" s="43"/>
      <c r="C176" s="911"/>
      <c r="D176" s="34"/>
      <c r="F176" s="107"/>
      <c r="M176" s="107"/>
      <c r="R176" s="107"/>
      <c r="T176" s="107"/>
      <c r="Y176" s="135"/>
      <c r="Z176" s="135"/>
      <c r="AA176" s="734"/>
      <c r="AB176" s="135"/>
      <c r="AC176" s="135"/>
      <c r="AD176" s="135"/>
      <c r="AE176" s="135"/>
      <c r="AF176" s="135"/>
      <c r="AH176" s="43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</row>
    <row r="177" spans="2:44" s="27" customFormat="1">
      <c r="B177" s="43"/>
      <c r="C177" s="911"/>
      <c r="D177" s="34"/>
      <c r="F177" s="107"/>
      <c r="M177" s="107"/>
      <c r="R177" s="107"/>
      <c r="T177" s="107"/>
      <c r="Y177" s="135"/>
      <c r="Z177" s="135"/>
      <c r="AA177" s="734"/>
      <c r="AB177" s="135"/>
      <c r="AC177" s="135"/>
      <c r="AD177" s="135"/>
      <c r="AE177" s="135"/>
      <c r="AF177" s="135"/>
      <c r="AH177" s="43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</row>
    <row r="178" spans="2:44" s="27" customFormat="1">
      <c r="B178" s="43"/>
      <c r="C178" s="911"/>
      <c r="D178" s="34"/>
      <c r="F178" s="107"/>
      <c r="M178" s="107"/>
      <c r="R178" s="107"/>
      <c r="T178" s="107"/>
      <c r="Y178" s="135"/>
      <c r="Z178" s="135"/>
      <c r="AA178" s="734"/>
      <c r="AB178" s="135"/>
      <c r="AC178" s="135"/>
      <c r="AD178" s="135"/>
      <c r="AE178" s="135"/>
      <c r="AF178" s="135"/>
      <c r="AH178" s="43"/>
      <c r="AI178" s="34"/>
      <c r="AJ178" s="34"/>
      <c r="AK178" s="34"/>
      <c r="AL178" s="34"/>
      <c r="AM178" s="34"/>
      <c r="AN178" s="34"/>
      <c r="AO178" s="34"/>
      <c r="AP178" s="34"/>
      <c r="AQ178" s="34"/>
      <c r="AR178" s="34"/>
    </row>
    <row r="179" spans="2:44" s="27" customFormat="1">
      <c r="B179" s="43"/>
      <c r="C179" s="911"/>
      <c r="D179" s="34"/>
      <c r="F179" s="107"/>
      <c r="M179" s="107"/>
      <c r="R179" s="107"/>
      <c r="T179" s="107"/>
      <c r="Y179" s="135"/>
      <c r="Z179" s="135"/>
      <c r="AA179" s="734"/>
      <c r="AB179" s="135"/>
      <c r="AC179" s="135"/>
      <c r="AD179" s="135"/>
      <c r="AE179" s="135"/>
      <c r="AF179" s="135"/>
      <c r="AH179" s="43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</row>
    <row r="180" spans="2:44" s="27" customFormat="1">
      <c r="B180" s="43"/>
      <c r="C180" s="911"/>
      <c r="D180" s="34"/>
      <c r="F180" s="107"/>
      <c r="M180" s="107"/>
      <c r="R180" s="107"/>
      <c r="T180" s="107"/>
      <c r="Y180" s="135"/>
      <c r="Z180" s="135"/>
      <c r="AA180" s="734"/>
      <c r="AB180" s="135"/>
      <c r="AC180" s="135"/>
      <c r="AD180" s="135"/>
      <c r="AE180" s="135"/>
      <c r="AF180" s="135"/>
      <c r="AH180" s="43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</row>
    <row r="181" spans="2:44" s="27" customFormat="1">
      <c r="B181" s="43"/>
      <c r="C181" s="911"/>
      <c r="D181" s="34"/>
      <c r="F181" s="107"/>
      <c r="M181" s="107"/>
      <c r="R181" s="107"/>
      <c r="T181" s="107"/>
      <c r="Y181" s="135"/>
      <c r="Z181" s="135"/>
      <c r="AA181" s="734"/>
      <c r="AB181" s="135"/>
      <c r="AC181" s="135"/>
      <c r="AD181" s="135"/>
      <c r="AE181" s="135"/>
      <c r="AF181" s="135"/>
      <c r="AH181" s="43"/>
      <c r="AI181" s="34"/>
      <c r="AJ181" s="34"/>
      <c r="AK181" s="34"/>
      <c r="AL181" s="34"/>
      <c r="AM181" s="34"/>
      <c r="AN181" s="34"/>
      <c r="AO181" s="34"/>
      <c r="AP181" s="34"/>
      <c r="AQ181" s="34"/>
      <c r="AR181" s="34"/>
    </row>
    <row r="182" spans="2:44" s="27" customFormat="1">
      <c r="B182" s="43"/>
      <c r="C182" s="911"/>
      <c r="D182" s="34"/>
      <c r="F182" s="107"/>
      <c r="M182" s="107"/>
      <c r="R182" s="107"/>
      <c r="T182" s="107"/>
      <c r="Y182" s="135"/>
      <c r="Z182" s="135"/>
      <c r="AA182" s="734"/>
      <c r="AB182" s="135"/>
      <c r="AC182" s="135"/>
      <c r="AD182" s="135"/>
      <c r="AE182" s="135"/>
      <c r="AF182" s="135"/>
      <c r="AH182" s="708"/>
      <c r="AI182" s="34"/>
      <c r="AJ182" s="34"/>
      <c r="AK182" s="34"/>
      <c r="AL182" s="34"/>
      <c r="AM182" s="34"/>
      <c r="AN182" s="34"/>
      <c r="AO182" s="34"/>
      <c r="AP182" s="34"/>
      <c r="AQ182" s="34"/>
      <c r="AR182" s="34"/>
    </row>
    <row r="183" spans="2:44" s="27" customFormat="1">
      <c r="B183" s="43"/>
      <c r="C183" s="911"/>
      <c r="D183" s="34"/>
      <c r="F183" s="107"/>
      <c r="M183" s="107"/>
      <c r="R183" s="107"/>
      <c r="T183" s="107"/>
      <c r="Y183" s="135"/>
      <c r="Z183" s="135"/>
      <c r="AA183" s="734"/>
      <c r="AB183" s="135"/>
      <c r="AC183" s="135"/>
      <c r="AD183" s="135"/>
      <c r="AE183" s="135"/>
      <c r="AF183" s="135"/>
      <c r="AH183" s="708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</row>
    <row r="184" spans="2:44" s="27" customFormat="1">
      <c r="B184" s="43"/>
      <c r="C184" s="911"/>
      <c r="D184" s="34"/>
      <c r="F184" s="107"/>
      <c r="M184" s="107"/>
      <c r="R184" s="107"/>
      <c r="T184" s="107"/>
      <c r="Y184" s="135"/>
      <c r="Z184" s="135"/>
      <c r="AA184" s="734"/>
      <c r="AB184" s="135"/>
      <c r="AC184" s="135"/>
      <c r="AD184" s="135"/>
      <c r="AE184" s="135"/>
      <c r="AF184" s="135"/>
      <c r="AH184" s="708"/>
      <c r="AI184" s="34"/>
      <c r="AJ184" s="34"/>
      <c r="AK184" s="34"/>
      <c r="AL184" s="34"/>
      <c r="AM184" s="34"/>
      <c r="AN184" s="34"/>
      <c r="AO184" s="34"/>
      <c r="AP184" s="34"/>
      <c r="AQ184" s="34"/>
      <c r="AR184" s="34"/>
    </row>
    <row r="185" spans="2:44" s="27" customFormat="1">
      <c r="B185" s="43"/>
      <c r="C185" s="911"/>
      <c r="D185" s="34"/>
      <c r="F185" s="107"/>
      <c r="M185" s="107"/>
      <c r="R185" s="107"/>
      <c r="T185" s="107"/>
      <c r="Y185" s="135"/>
      <c r="Z185" s="135"/>
      <c r="AA185" s="734"/>
      <c r="AB185" s="135"/>
      <c r="AC185" s="135"/>
      <c r="AD185" s="135"/>
      <c r="AE185" s="135"/>
      <c r="AF185" s="135"/>
      <c r="AH185" s="708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</row>
    <row r="186" spans="2:44" s="27" customFormat="1">
      <c r="B186" s="43"/>
      <c r="C186" s="911"/>
      <c r="D186" s="34"/>
      <c r="F186" s="107"/>
      <c r="M186" s="107"/>
      <c r="R186" s="107"/>
      <c r="T186" s="107"/>
      <c r="Y186" s="135"/>
      <c r="Z186" s="135"/>
      <c r="AA186" s="734"/>
      <c r="AB186" s="135"/>
      <c r="AC186" s="135"/>
      <c r="AD186" s="135"/>
      <c r="AE186" s="135"/>
      <c r="AF186" s="135"/>
      <c r="AH186" s="708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</row>
    <row r="187" spans="2:44" s="27" customFormat="1">
      <c r="B187" s="43"/>
      <c r="C187" s="911"/>
      <c r="D187" s="34"/>
      <c r="F187" s="107"/>
      <c r="M187" s="107"/>
      <c r="R187" s="107"/>
      <c r="T187" s="107"/>
      <c r="Y187" s="135"/>
      <c r="Z187" s="135"/>
      <c r="AA187" s="734"/>
      <c r="AB187" s="135"/>
      <c r="AC187" s="135"/>
      <c r="AD187" s="135"/>
      <c r="AE187" s="135"/>
      <c r="AF187" s="135"/>
      <c r="AH187" s="708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</row>
    <row r="188" spans="2:44" s="27" customFormat="1">
      <c r="B188" s="43"/>
      <c r="C188" s="911"/>
      <c r="D188" s="34"/>
      <c r="F188" s="107"/>
      <c r="M188" s="107"/>
      <c r="R188" s="107"/>
      <c r="T188" s="107"/>
      <c r="Y188" s="135"/>
      <c r="Z188" s="135"/>
      <c r="AA188" s="734"/>
      <c r="AB188" s="135"/>
      <c r="AC188" s="135"/>
      <c r="AD188" s="135"/>
      <c r="AE188" s="135"/>
      <c r="AF188" s="135"/>
      <c r="AH188" s="708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</row>
    <row r="189" spans="2:44" s="27" customFormat="1">
      <c r="B189" s="43"/>
      <c r="C189" s="911"/>
      <c r="D189" s="34"/>
      <c r="F189" s="107"/>
      <c r="M189" s="107"/>
      <c r="R189" s="107"/>
      <c r="T189" s="107"/>
      <c r="Y189" s="135"/>
      <c r="Z189" s="135"/>
      <c r="AA189" s="734"/>
      <c r="AB189" s="135"/>
      <c r="AC189" s="135"/>
      <c r="AD189" s="135"/>
      <c r="AE189" s="135"/>
      <c r="AF189" s="135"/>
      <c r="AH189" s="708"/>
      <c r="AI189" s="34"/>
      <c r="AJ189" s="34"/>
      <c r="AK189" s="34"/>
      <c r="AL189" s="34"/>
      <c r="AM189" s="34"/>
      <c r="AN189" s="34"/>
      <c r="AO189" s="34"/>
      <c r="AP189" s="34"/>
      <c r="AQ189" s="34"/>
      <c r="AR189" s="34"/>
    </row>
    <row r="190" spans="2:44" s="27" customFormat="1">
      <c r="B190" s="43"/>
      <c r="C190" s="911"/>
      <c r="D190" s="34"/>
      <c r="F190" s="107"/>
      <c r="M190" s="107"/>
      <c r="R190" s="107"/>
      <c r="T190" s="107"/>
      <c r="Y190" s="135"/>
      <c r="Z190" s="135"/>
      <c r="AA190" s="734"/>
      <c r="AB190" s="135"/>
      <c r="AC190" s="135"/>
      <c r="AD190" s="135"/>
      <c r="AE190" s="135"/>
      <c r="AF190" s="135"/>
      <c r="AH190" s="708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</row>
    <row r="191" spans="2:44" s="27" customFormat="1">
      <c r="B191" s="43"/>
      <c r="C191" s="911"/>
      <c r="D191" s="34"/>
      <c r="F191" s="107"/>
      <c r="M191" s="107"/>
      <c r="R191" s="107"/>
      <c r="T191" s="107"/>
      <c r="Y191" s="135"/>
      <c r="Z191" s="135"/>
      <c r="AA191" s="734"/>
      <c r="AB191" s="135"/>
      <c r="AC191" s="135"/>
      <c r="AD191" s="135"/>
      <c r="AE191" s="135"/>
      <c r="AF191" s="135"/>
      <c r="AH191" s="708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</row>
    <row r="192" spans="2:44" s="27" customFormat="1">
      <c r="B192" s="43"/>
      <c r="C192" s="911"/>
      <c r="D192" s="34"/>
      <c r="F192" s="107"/>
      <c r="M192" s="107"/>
      <c r="R192" s="107"/>
      <c r="T192" s="107"/>
      <c r="Y192" s="135"/>
      <c r="Z192" s="135"/>
      <c r="AA192" s="734"/>
      <c r="AB192" s="135"/>
      <c r="AC192" s="135"/>
      <c r="AD192" s="135"/>
      <c r="AE192" s="135"/>
      <c r="AF192" s="135"/>
      <c r="AH192" s="708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</row>
    <row r="193" spans="2:44" s="27" customFormat="1">
      <c r="B193" s="43"/>
      <c r="C193" s="911"/>
      <c r="D193" s="34"/>
      <c r="F193" s="107"/>
      <c r="M193" s="107"/>
      <c r="R193" s="107"/>
      <c r="T193" s="107"/>
      <c r="Y193" s="135"/>
      <c r="Z193" s="135"/>
      <c r="AA193" s="734"/>
      <c r="AB193" s="135"/>
      <c r="AC193" s="135"/>
      <c r="AD193" s="135"/>
      <c r="AE193" s="135"/>
      <c r="AF193" s="135"/>
      <c r="AH193" s="708"/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</row>
    <row r="194" spans="2:44" s="27" customFormat="1">
      <c r="B194" s="43"/>
      <c r="C194" s="911"/>
      <c r="D194" s="34"/>
      <c r="F194" s="107"/>
      <c r="M194" s="107"/>
      <c r="R194" s="107"/>
      <c r="T194" s="107"/>
      <c r="Y194" s="135"/>
      <c r="Z194" s="135"/>
      <c r="AA194" s="734"/>
      <c r="AB194" s="135"/>
      <c r="AC194" s="135"/>
      <c r="AD194" s="135"/>
      <c r="AE194" s="135"/>
      <c r="AF194" s="135"/>
      <c r="AH194" s="708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</row>
    <row r="195" spans="2:44" s="27" customFormat="1">
      <c r="B195" s="43"/>
      <c r="C195" s="911"/>
      <c r="D195" s="34"/>
      <c r="F195" s="107"/>
      <c r="M195" s="107"/>
      <c r="R195" s="107"/>
      <c r="T195" s="107"/>
      <c r="Y195" s="135"/>
      <c r="Z195" s="135"/>
      <c r="AA195" s="734"/>
      <c r="AB195" s="135"/>
      <c r="AC195" s="135"/>
      <c r="AD195" s="135"/>
      <c r="AE195" s="135"/>
      <c r="AF195" s="135"/>
      <c r="AH195" s="708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</row>
    <row r="196" spans="2:44" s="27" customFormat="1">
      <c r="B196" s="43"/>
      <c r="C196" s="911"/>
      <c r="D196" s="34"/>
      <c r="F196" s="107"/>
      <c r="M196" s="107"/>
      <c r="R196" s="107"/>
      <c r="T196" s="107"/>
      <c r="Y196" s="135"/>
      <c r="Z196" s="135"/>
      <c r="AA196" s="734"/>
      <c r="AB196" s="135"/>
      <c r="AC196" s="135"/>
      <c r="AD196" s="135"/>
      <c r="AE196" s="135"/>
      <c r="AF196" s="135"/>
      <c r="AH196" s="708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</row>
    <row r="197" spans="2:44" s="27" customFormat="1">
      <c r="B197" s="43"/>
      <c r="C197" s="911"/>
      <c r="D197" s="34"/>
      <c r="F197" s="107"/>
      <c r="M197" s="107"/>
      <c r="R197" s="107"/>
      <c r="T197" s="107"/>
      <c r="Y197" s="135"/>
      <c r="Z197" s="135"/>
      <c r="AA197" s="734"/>
      <c r="AB197" s="135"/>
      <c r="AC197" s="135"/>
      <c r="AD197" s="135"/>
      <c r="AE197" s="135"/>
      <c r="AF197" s="135"/>
      <c r="AH197" s="708"/>
      <c r="AI197" s="34"/>
      <c r="AJ197" s="34"/>
      <c r="AK197" s="34"/>
      <c r="AL197" s="34"/>
      <c r="AM197" s="34"/>
      <c r="AN197" s="34"/>
      <c r="AO197" s="34"/>
      <c r="AP197" s="34"/>
      <c r="AQ197" s="34"/>
      <c r="AR197" s="34"/>
    </row>
    <row r="198" spans="2:44" s="27" customFormat="1">
      <c r="B198" s="43"/>
      <c r="C198" s="911"/>
      <c r="D198" s="34"/>
      <c r="F198" s="107"/>
      <c r="M198" s="107"/>
      <c r="R198" s="107"/>
      <c r="T198" s="107"/>
      <c r="Y198" s="135"/>
      <c r="Z198" s="135"/>
      <c r="AA198" s="734"/>
      <c r="AB198" s="135"/>
      <c r="AC198" s="135"/>
      <c r="AD198" s="135"/>
      <c r="AE198" s="135"/>
      <c r="AF198" s="135"/>
      <c r="AH198" s="708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</row>
    <row r="199" spans="2:44" s="27" customFormat="1">
      <c r="B199" s="43"/>
      <c r="C199" s="911"/>
      <c r="D199" s="34"/>
      <c r="F199" s="107"/>
      <c r="M199" s="107"/>
      <c r="R199" s="107"/>
      <c r="T199" s="107"/>
      <c r="Y199" s="135"/>
      <c r="Z199" s="135"/>
      <c r="AA199" s="734"/>
      <c r="AB199" s="135"/>
      <c r="AC199" s="135"/>
      <c r="AD199" s="135"/>
      <c r="AE199" s="135"/>
      <c r="AF199" s="135"/>
      <c r="AH199" s="708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</row>
    <row r="200" spans="2:44" s="27" customFormat="1">
      <c r="B200" s="43"/>
      <c r="C200" s="911"/>
      <c r="D200" s="34"/>
      <c r="F200" s="107"/>
      <c r="M200" s="107"/>
      <c r="R200" s="107"/>
      <c r="T200" s="107"/>
      <c r="Y200" s="135"/>
      <c r="Z200" s="135"/>
      <c r="AA200" s="734"/>
      <c r="AB200" s="135"/>
      <c r="AC200" s="135"/>
      <c r="AD200" s="135"/>
      <c r="AE200" s="135"/>
      <c r="AF200" s="135"/>
      <c r="AH200" s="708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</row>
    <row r="201" spans="2:44" s="27" customFormat="1">
      <c r="B201" s="43"/>
      <c r="C201" s="911"/>
      <c r="D201" s="34"/>
      <c r="F201" s="107"/>
      <c r="M201" s="107"/>
      <c r="R201" s="107"/>
      <c r="T201" s="107"/>
      <c r="Y201" s="135"/>
      <c r="Z201" s="135"/>
      <c r="AA201" s="734"/>
      <c r="AB201" s="135"/>
      <c r="AC201" s="135"/>
      <c r="AD201" s="135"/>
      <c r="AE201" s="135"/>
      <c r="AF201" s="135"/>
      <c r="AH201" s="708"/>
      <c r="AI201" s="34"/>
      <c r="AJ201" s="34"/>
      <c r="AK201" s="34"/>
      <c r="AL201" s="34"/>
      <c r="AM201" s="34"/>
      <c r="AN201" s="34"/>
      <c r="AO201" s="34"/>
      <c r="AP201" s="34"/>
      <c r="AQ201" s="34"/>
      <c r="AR201" s="34"/>
    </row>
    <row r="202" spans="2:44" s="27" customFormat="1">
      <c r="B202" s="43"/>
      <c r="C202" s="911"/>
      <c r="D202" s="34"/>
      <c r="F202" s="107"/>
      <c r="M202" s="107"/>
      <c r="R202" s="107"/>
      <c r="T202" s="107"/>
      <c r="Y202" s="135"/>
      <c r="Z202" s="135"/>
      <c r="AA202" s="734"/>
      <c r="AB202" s="135"/>
      <c r="AC202" s="135"/>
      <c r="AD202" s="135"/>
      <c r="AE202" s="135"/>
      <c r="AF202" s="135"/>
      <c r="AH202" s="708"/>
      <c r="AI202" s="34"/>
      <c r="AJ202" s="34"/>
      <c r="AK202" s="34"/>
      <c r="AL202" s="34"/>
      <c r="AM202" s="34"/>
      <c r="AN202" s="34"/>
      <c r="AO202" s="34"/>
      <c r="AP202" s="34"/>
      <c r="AQ202" s="34"/>
      <c r="AR202" s="34"/>
    </row>
    <row r="203" spans="2:44" s="27" customFormat="1">
      <c r="B203" s="43"/>
      <c r="C203" s="911"/>
      <c r="D203" s="34"/>
      <c r="F203" s="107"/>
      <c r="M203" s="107"/>
      <c r="R203" s="107"/>
      <c r="T203" s="107"/>
      <c r="Y203" s="135"/>
      <c r="Z203" s="135"/>
      <c r="AA203" s="734"/>
      <c r="AB203" s="135"/>
      <c r="AC203" s="135"/>
      <c r="AD203" s="135"/>
      <c r="AE203" s="135"/>
      <c r="AF203" s="135"/>
      <c r="AH203" s="708"/>
      <c r="AI203" s="34"/>
      <c r="AJ203" s="34"/>
      <c r="AK203" s="34"/>
      <c r="AL203" s="34"/>
      <c r="AM203" s="34"/>
      <c r="AN203" s="34"/>
      <c r="AO203" s="34"/>
      <c r="AP203" s="34"/>
      <c r="AQ203" s="34"/>
      <c r="AR203" s="34"/>
    </row>
    <row r="204" spans="2:44" s="27" customFormat="1">
      <c r="B204" s="43"/>
      <c r="C204" s="911"/>
      <c r="D204" s="34"/>
      <c r="F204" s="107"/>
      <c r="M204" s="107"/>
      <c r="R204" s="107"/>
      <c r="T204" s="107"/>
      <c r="Y204" s="135"/>
      <c r="Z204" s="135"/>
      <c r="AA204" s="734"/>
      <c r="AB204" s="135"/>
      <c r="AC204" s="135"/>
      <c r="AD204" s="135"/>
      <c r="AE204" s="135"/>
      <c r="AF204" s="135"/>
      <c r="AH204" s="708"/>
      <c r="AI204" s="34"/>
      <c r="AJ204" s="34"/>
      <c r="AK204" s="34"/>
      <c r="AL204" s="34"/>
      <c r="AM204" s="34"/>
      <c r="AN204" s="34"/>
      <c r="AO204" s="34"/>
      <c r="AP204" s="34"/>
      <c r="AQ204" s="34"/>
      <c r="AR204" s="34"/>
    </row>
    <row r="205" spans="2:44" s="27" customFormat="1">
      <c r="B205" s="43"/>
      <c r="C205" s="911"/>
      <c r="D205" s="34"/>
      <c r="F205" s="107"/>
      <c r="M205" s="107"/>
      <c r="R205" s="107"/>
      <c r="T205" s="107"/>
      <c r="Y205" s="135"/>
      <c r="Z205" s="135"/>
      <c r="AA205" s="734"/>
      <c r="AB205" s="135"/>
      <c r="AC205" s="135"/>
      <c r="AD205" s="135"/>
      <c r="AE205" s="135"/>
      <c r="AF205" s="135"/>
      <c r="AH205" s="708"/>
      <c r="AI205" s="34"/>
      <c r="AJ205" s="34"/>
      <c r="AK205" s="34"/>
      <c r="AL205" s="34"/>
      <c r="AM205" s="34"/>
      <c r="AN205" s="34"/>
      <c r="AO205" s="34"/>
      <c r="AP205" s="34"/>
      <c r="AQ205" s="34"/>
      <c r="AR205" s="34"/>
    </row>
    <row r="206" spans="2:44" s="27" customFormat="1">
      <c r="B206" s="43"/>
      <c r="C206" s="911"/>
      <c r="D206" s="34"/>
      <c r="F206" s="107"/>
      <c r="M206" s="107"/>
      <c r="R206" s="107"/>
      <c r="T206" s="107"/>
      <c r="Y206" s="135"/>
      <c r="Z206" s="135"/>
      <c r="AA206" s="734"/>
      <c r="AB206" s="135"/>
      <c r="AC206" s="135"/>
      <c r="AD206" s="135"/>
      <c r="AE206" s="135"/>
      <c r="AF206" s="135"/>
      <c r="AH206" s="708"/>
      <c r="AI206" s="34"/>
      <c r="AJ206" s="34"/>
      <c r="AK206" s="34"/>
      <c r="AL206" s="34"/>
      <c r="AM206" s="34"/>
      <c r="AN206" s="34"/>
      <c r="AO206" s="34"/>
      <c r="AP206" s="34"/>
      <c r="AQ206" s="34"/>
      <c r="AR206" s="34"/>
    </row>
    <row r="207" spans="2:44" s="27" customFormat="1">
      <c r="B207" s="43"/>
      <c r="C207" s="911"/>
      <c r="D207" s="34"/>
      <c r="F207" s="107"/>
      <c r="M207" s="107"/>
      <c r="R207" s="107"/>
      <c r="T207" s="107"/>
      <c r="Y207" s="135"/>
      <c r="Z207" s="135"/>
      <c r="AA207" s="734"/>
      <c r="AB207" s="135"/>
      <c r="AC207" s="135"/>
      <c r="AD207" s="135"/>
      <c r="AE207" s="135"/>
      <c r="AF207" s="135"/>
      <c r="AH207" s="708"/>
      <c r="AI207" s="34"/>
      <c r="AJ207" s="34"/>
      <c r="AK207" s="34"/>
      <c r="AL207" s="34"/>
      <c r="AM207" s="34"/>
      <c r="AN207" s="34"/>
      <c r="AO207" s="34"/>
      <c r="AP207" s="34"/>
      <c r="AQ207" s="34"/>
      <c r="AR207" s="34"/>
    </row>
    <row r="208" spans="2:44" s="27" customFormat="1">
      <c r="B208" s="43"/>
      <c r="C208" s="911"/>
      <c r="D208" s="34"/>
      <c r="F208" s="107"/>
      <c r="M208" s="107"/>
      <c r="R208" s="107"/>
      <c r="T208" s="107"/>
      <c r="Y208" s="135"/>
      <c r="Z208" s="135"/>
      <c r="AA208" s="734"/>
      <c r="AB208" s="135"/>
      <c r="AC208" s="135"/>
      <c r="AD208" s="135"/>
      <c r="AE208" s="135"/>
      <c r="AF208" s="135"/>
      <c r="AH208" s="708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</row>
    <row r="209" spans="2:44" s="27" customFormat="1">
      <c r="B209" s="43"/>
      <c r="C209" s="911"/>
      <c r="D209" s="34"/>
      <c r="F209" s="107"/>
      <c r="M209" s="107"/>
      <c r="R209" s="107"/>
      <c r="T209" s="107"/>
      <c r="Y209" s="135"/>
      <c r="Z209" s="135"/>
      <c r="AA209" s="734"/>
      <c r="AB209" s="135"/>
      <c r="AC209" s="135"/>
      <c r="AD209" s="135"/>
      <c r="AE209" s="135"/>
      <c r="AF209" s="135"/>
      <c r="AH209" s="708"/>
      <c r="AI209" s="34"/>
      <c r="AJ209" s="34"/>
      <c r="AK209" s="34"/>
      <c r="AL209" s="34"/>
      <c r="AM209" s="34"/>
      <c r="AN209" s="34"/>
      <c r="AO209" s="34"/>
      <c r="AP209" s="34"/>
      <c r="AQ209" s="34"/>
      <c r="AR209" s="34"/>
    </row>
    <row r="210" spans="2:44" s="27" customFormat="1">
      <c r="B210" s="43"/>
      <c r="C210" s="911"/>
      <c r="D210" s="34"/>
      <c r="F210" s="107"/>
      <c r="M210" s="107"/>
      <c r="R210" s="107"/>
      <c r="T210" s="107"/>
      <c r="Y210" s="135"/>
      <c r="Z210" s="135"/>
      <c r="AA210" s="734"/>
      <c r="AB210" s="135"/>
      <c r="AC210" s="135"/>
      <c r="AD210" s="135"/>
      <c r="AE210" s="135"/>
      <c r="AF210" s="135"/>
      <c r="AH210" s="708"/>
      <c r="AI210" s="34"/>
      <c r="AJ210" s="34"/>
      <c r="AK210" s="34"/>
      <c r="AL210" s="34"/>
      <c r="AM210" s="34"/>
      <c r="AN210" s="34"/>
      <c r="AO210" s="34"/>
      <c r="AP210" s="34"/>
      <c r="AQ210" s="34"/>
      <c r="AR210" s="34"/>
    </row>
    <row r="211" spans="2:44" s="27" customFormat="1">
      <c r="B211" s="43"/>
      <c r="C211" s="911"/>
      <c r="D211" s="34"/>
      <c r="F211" s="107"/>
      <c r="M211" s="107"/>
      <c r="R211" s="107"/>
      <c r="T211" s="107"/>
      <c r="Y211" s="135"/>
      <c r="Z211" s="135"/>
      <c r="AA211" s="734"/>
      <c r="AB211" s="135"/>
      <c r="AC211" s="135"/>
      <c r="AD211" s="135"/>
      <c r="AE211" s="135"/>
      <c r="AF211" s="135"/>
      <c r="AH211" s="708"/>
      <c r="AI211" s="34"/>
      <c r="AJ211" s="34"/>
      <c r="AK211" s="34"/>
      <c r="AL211" s="34"/>
      <c r="AM211" s="34"/>
      <c r="AN211" s="34"/>
      <c r="AO211" s="34"/>
      <c r="AP211" s="34"/>
      <c r="AQ211" s="34"/>
      <c r="AR211" s="34"/>
    </row>
    <row r="212" spans="2:44" s="27" customFormat="1">
      <c r="B212" s="43"/>
      <c r="C212" s="911"/>
      <c r="D212" s="34"/>
      <c r="F212" s="107"/>
      <c r="M212" s="107"/>
      <c r="R212" s="107"/>
      <c r="T212" s="107"/>
      <c r="Y212" s="135"/>
      <c r="Z212" s="135"/>
      <c r="AA212" s="734"/>
      <c r="AB212" s="135"/>
      <c r="AC212" s="135"/>
      <c r="AD212" s="135"/>
      <c r="AE212" s="135"/>
      <c r="AF212" s="135"/>
      <c r="AH212" s="708"/>
      <c r="AI212" s="34"/>
      <c r="AJ212" s="34"/>
      <c r="AK212" s="34"/>
      <c r="AL212" s="34"/>
      <c r="AM212" s="34"/>
      <c r="AN212" s="34"/>
      <c r="AO212" s="34"/>
      <c r="AP212" s="34"/>
      <c r="AQ212" s="34"/>
      <c r="AR212" s="34"/>
    </row>
    <row r="213" spans="2:44" s="27" customFormat="1">
      <c r="B213" s="43"/>
      <c r="C213" s="911"/>
      <c r="D213" s="34"/>
      <c r="F213" s="107"/>
      <c r="M213" s="107"/>
      <c r="R213" s="107"/>
      <c r="T213" s="107"/>
      <c r="Y213" s="135"/>
      <c r="Z213" s="135"/>
      <c r="AA213" s="734"/>
      <c r="AB213" s="135"/>
      <c r="AC213" s="135"/>
      <c r="AD213" s="135"/>
      <c r="AE213" s="135"/>
      <c r="AF213" s="135"/>
      <c r="AH213" s="708"/>
      <c r="AI213" s="34"/>
      <c r="AJ213" s="34"/>
      <c r="AK213" s="34"/>
      <c r="AL213" s="34"/>
      <c r="AM213" s="34"/>
      <c r="AN213" s="34"/>
      <c r="AO213" s="34"/>
      <c r="AP213" s="34"/>
      <c r="AQ213" s="34"/>
      <c r="AR213" s="34"/>
    </row>
    <row r="214" spans="2:44" s="27" customFormat="1">
      <c r="B214" s="43"/>
      <c r="C214" s="911"/>
      <c r="D214" s="34"/>
      <c r="F214" s="107"/>
      <c r="M214" s="107"/>
      <c r="R214" s="107"/>
      <c r="T214" s="107"/>
      <c r="Y214" s="135"/>
      <c r="Z214" s="135"/>
      <c r="AA214" s="734"/>
      <c r="AB214" s="135"/>
      <c r="AC214" s="135"/>
      <c r="AD214" s="135"/>
      <c r="AE214" s="135"/>
      <c r="AF214" s="135"/>
      <c r="AH214" s="708"/>
      <c r="AI214" s="34"/>
      <c r="AJ214" s="34"/>
      <c r="AK214" s="34"/>
      <c r="AL214" s="34"/>
      <c r="AM214" s="34"/>
      <c r="AN214" s="34"/>
      <c r="AO214" s="34"/>
      <c r="AP214" s="34"/>
      <c r="AQ214" s="34"/>
      <c r="AR214" s="34"/>
    </row>
    <row r="215" spans="2:44" s="27" customFormat="1">
      <c r="B215" s="43"/>
      <c r="C215" s="911"/>
      <c r="D215" s="34"/>
      <c r="F215" s="107"/>
      <c r="M215" s="107"/>
      <c r="R215" s="107"/>
      <c r="T215" s="107"/>
      <c r="Y215" s="135"/>
      <c r="Z215" s="135"/>
      <c r="AA215" s="734"/>
      <c r="AB215" s="135"/>
      <c r="AC215" s="135"/>
      <c r="AD215" s="135"/>
      <c r="AE215" s="135"/>
      <c r="AF215" s="135"/>
      <c r="AH215" s="708"/>
      <c r="AI215" s="34"/>
      <c r="AJ215" s="34"/>
      <c r="AK215" s="34"/>
      <c r="AL215" s="34"/>
      <c r="AM215" s="34"/>
      <c r="AN215" s="34"/>
      <c r="AO215" s="34"/>
      <c r="AP215" s="34"/>
      <c r="AQ215" s="34"/>
      <c r="AR215" s="34"/>
    </row>
    <row r="216" spans="2:44" s="27" customFormat="1">
      <c r="B216" s="43"/>
      <c r="C216" s="911"/>
      <c r="D216" s="34"/>
      <c r="F216" s="107"/>
      <c r="M216" s="107"/>
      <c r="R216" s="107"/>
      <c r="T216" s="107"/>
      <c r="Y216" s="135"/>
      <c r="Z216" s="135"/>
      <c r="AA216" s="734"/>
      <c r="AB216" s="135"/>
      <c r="AC216" s="135"/>
      <c r="AD216" s="135"/>
      <c r="AE216" s="135"/>
      <c r="AF216" s="135"/>
      <c r="AH216" s="708"/>
      <c r="AI216" s="34"/>
      <c r="AJ216" s="34"/>
      <c r="AK216" s="34"/>
      <c r="AL216" s="34"/>
      <c r="AM216" s="34"/>
      <c r="AN216" s="34"/>
      <c r="AO216" s="34"/>
      <c r="AP216" s="34"/>
      <c r="AQ216" s="34"/>
      <c r="AR216" s="34"/>
    </row>
    <row r="217" spans="2:44" s="27" customFormat="1">
      <c r="B217" s="43"/>
      <c r="C217" s="911"/>
      <c r="D217" s="34"/>
      <c r="F217" s="107"/>
      <c r="M217" s="107"/>
      <c r="R217" s="107"/>
      <c r="T217" s="107"/>
      <c r="Y217" s="135"/>
      <c r="Z217" s="135"/>
      <c r="AA217" s="734"/>
      <c r="AB217" s="135"/>
      <c r="AC217" s="135"/>
      <c r="AD217" s="135"/>
      <c r="AE217" s="135"/>
      <c r="AF217" s="135"/>
      <c r="AH217" s="708"/>
      <c r="AI217" s="34"/>
      <c r="AJ217" s="34"/>
      <c r="AK217" s="34"/>
      <c r="AL217" s="34"/>
      <c r="AM217" s="34"/>
      <c r="AN217" s="34"/>
      <c r="AO217" s="34"/>
      <c r="AP217" s="34"/>
      <c r="AQ217" s="34"/>
      <c r="AR217" s="34"/>
    </row>
    <row r="218" spans="2:44" s="27" customFormat="1">
      <c r="B218" s="43"/>
      <c r="C218" s="911"/>
      <c r="D218" s="34"/>
      <c r="F218" s="107"/>
      <c r="M218" s="107"/>
      <c r="R218" s="107"/>
      <c r="T218" s="107"/>
      <c r="Y218" s="135"/>
      <c r="Z218" s="135"/>
      <c r="AA218" s="734"/>
      <c r="AB218" s="135"/>
      <c r="AC218" s="135"/>
      <c r="AD218" s="135"/>
      <c r="AE218" s="135"/>
      <c r="AF218" s="135"/>
      <c r="AH218" s="708"/>
      <c r="AI218" s="34"/>
      <c r="AJ218" s="34"/>
      <c r="AK218" s="34"/>
      <c r="AL218" s="34"/>
      <c r="AM218" s="34"/>
      <c r="AN218" s="34"/>
      <c r="AO218" s="34"/>
      <c r="AP218" s="34"/>
      <c r="AQ218" s="34"/>
      <c r="AR218" s="34"/>
    </row>
    <row r="219" spans="2:44" s="27" customFormat="1">
      <c r="B219" s="43"/>
      <c r="C219" s="911"/>
      <c r="D219" s="34"/>
      <c r="F219" s="107"/>
      <c r="M219" s="107"/>
      <c r="R219" s="107"/>
      <c r="T219" s="107"/>
      <c r="Y219" s="135"/>
      <c r="Z219" s="135"/>
      <c r="AA219" s="734"/>
      <c r="AB219" s="135"/>
      <c r="AC219" s="135"/>
      <c r="AD219" s="135"/>
      <c r="AE219" s="135"/>
      <c r="AF219" s="135"/>
      <c r="AH219" s="708"/>
      <c r="AI219" s="34"/>
      <c r="AJ219" s="34"/>
      <c r="AK219" s="34"/>
      <c r="AL219" s="34"/>
      <c r="AM219" s="34"/>
      <c r="AN219" s="34"/>
      <c r="AO219" s="34"/>
      <c r="AP219" s="34"/>
      <c r="AQ219" s="34"/>
      <c r="AR219" s="34"/>
    </row>
    <row r="220" spans="2:44" s="27" customFormat="1">
      <c r="B220" s="43"/>
      <c r="C220" s="911"/>
      <c r="D220" s="34"/>
      <c r="F220" s="107"/>
      <c r="M220" s="107"/>
      <c r="R220" s="107"/>
      <c r="T220" s="107"/>
      <c r="Y220" s="135"/>
      <c r="Z220" s="135"/>
      <c r="AA220" s="734"/>
      <c r="AB220" s="135"/>
      <c r="AC220" s="135"/>
      <c r="AD220" s="135"/>
      <c r="AE220" s="135"/>
      <c r="AF220" s="135"/>
      <c r="AH220" s="708"/>
      <c r="AI220" s="34"/>
      <c r="AJ220" s="34"/>
      <c r="AK220" s="34"/>
      <c r="AL220" s="34"/>
      <c r="AM220" s="34"/>
      <c r="AN220" s="34"/>
      <c r="AO220" s="34"/>
      <c r="AP220" s="34"/>
      <c r="AQ220" s="34"/>
      <c r="AR220" s="34"/>
    </row>
    <row r="221" spans="2:44" s="27" customFormat="1">
      <c r="B221" s="43"/>
      <c r="C221" s="911"/>
      <c r="D221" s="34"/>
      <c r="F221" s="107"/>
      <c r="M221" s="107"/>
      <c r="R221" s="107"/>
      <c r="T221" s="107"/>
      <c r="Y221" s="135"/>
      <c r="Z221" s="135"/>
      <c r="AA221" s="734"/>
      <c r="AB221" s="135"/>
      <c r="AC221" s="135"/>
      <c r="AD221" s="135"/>
      <c r="AE221" s="135"/>
      <c r="AF221" s="135"/>
      <c r="AH221" s="708"/>
      <c r="AI221" s="34"/>
      <c r="AJ221" s="34"/>
      <c r="AK221" s="34"/>
      <c r="AL221" s="34"/>
      <c r="AM221" s="34"/>
      <c r="AN221" s="34"/>
      <c r="AO221" s="34"/>
      <c r="AP221" s="34"/>
      <c r="AQ221" s="34"/>
      <c r="AR221" s="34"/>
    </row>
    <row r="222" spans="2:44" s="27" customFormat="1">
      <c r="B222" s="43"/>
      <c r="C222" s="911"/>
      <c r="D222" s="34"/>
      <c r="F222" s="107"/>
      <c r="M222" s="107"/>
      <c r="R222" s="107"/>
      <c r="T222" s="107"/>
      <c r="Y222" s="135"/>
      <c r="Z222" s="135"/>
      <c r="AA222" s="734"/>
      <c r="AB222" s="135"/>
      <c r="AC222" s="135"/>
      <c r="AD222" s="135"/>
      <c r="AE222" s="135"/>
      <c r="AF222" s="135"/>
      <c r="AH222" s="708"/>
      <c r="AI222" s="34"/>
      <c r="AJ222" s="34"/>
      <c r="AK222" s="34"/>
      <c r="AL222" s="34"/>
      <c r="AM222" s="34"/>
      <c r="AN222" s="34"/>
      <c r="AO222" s="34"/>
      <c r="AP222" s="34"/>
      <c r="AQ222" s="34"/>
      <c r="AR222" s="34"/>
    </row>
    <row r="223" spans="2:44" s="27" customFormat="1">
      <c r="B223" s="43"/>
      <c r="C223" s="911"/>
      <c r="D223" s="34"/>
      <c r="F223" s="107"/>
      <c r="M223" s="107"/>
      <c r="R223" s="107"/>
      <c r="T223" s="107"/>
      <c r="Y223" s="135"/>
      <c r="Z223" s="135"/>
      <c r="AA223" s="734"/>
      <c r="AB223" s="135"/>
      <c r="AC223" s="135"/>
      <c r="AD223" s="135"/>
      <c r="AE223" s="135"/>
      <c r="AF223" s="135"/>
      <c r="AH223" s="708"/>
      <c r="AI223" s="34"/>
      <c r="AJ223" s="34"/>
      <c r="AK223" s="34"/>
      <c r="AL223" s="34"/>
      <c r="AM223" s="34"/>
      <c r="AN223" s="34"/>
      <c r="AO223" s="34"/>
      <c r="AP223" s="34"/>
      <c r="AQ223" s="34"/>
      <c r="AR223" s="34"/>
    </row>
    <row r="224" spans="2:44" s="27" customFormat="1">
      <c r="B224" s="43"/>
      <c r="C224" s="911"/>
      <c r="D224" s="34"/>
      <c r="F224" s="107"/>
      <c r="M224" s="107"/>
      <c r="R224" s="107"/>
      <c r="T224" s="107"/>
      <c r="Y224" s="135"/>
      <c r="Z224" s="135"/>
      <c r="AA224" s="734"/>
      <c r="AB224" s="135"/>
      <c r="AC224" s="135"/>
      <c r="AD224" s="135"/>
      <c r="AE224" s="135"/>
      <c r="AF224" s="135"/>
      <c r="AH224" s="708"/>
      <c r="AI224" s="34"/>
      <c r="AJ224" s="34"/>
      <c r="AK224" s="34"/>
      <c r="AL224" s="34"/>
      <c r="AM224" s="34"/>
      <c r="AN224" s="34"/>
      <c r="AO224" s="34"/>
      <c r="AP224" s="34"/>
      <c r="AQ224" s="34"/>
      <c r="AR224" s="34"/>
    </row>
    <row r="225" spans="2:44" s="27" customFormat="1">
      <c r="B225" s="43"/>
      <c r="C225" s="911"/>
      <c r="D225" s="34"/>
      <c r="F225" s="107"/>
      <c r="M225" s="107"/>
      <c r="R225" s="107"/>
      <c r="T225" s="107"/>
      <c r="Y225" s="135"/>
      <c r="Z225" s="135"/>
      <c r="AA225" s="734"/>
      <c r="AB225" s="135"/>
      <c r="AC225" s="135"/>
      <c r="AD225" s="135"/>
      <c r="AE225" s="135"/>
      <c r="AF225" s="135"/>
      <c r="AH225" s="708"/>
      <c r="AI225" s="34"/>
      <c r="AJ225" s="34"/>
      <c r="AK225" s="34"/>
      <c r="AL225" s="34"/>
      <c r="AM225" s="34"/>
      <c r="AN225" s="34"/>
      <c r="AO225" s="34"/>
      <c r="AP225" s="34"/>
      <c r="AQ225" s="34"/>
      <c r="AR225" s="34"/>
    </row>
    <row r="226" spans="2:44" s="27" customFormat="1">
      <c r="B226" s="43"/>
      <c r="C226" s="911"/>
      <c r="D226" s="34"/>
      <c r="F226" s="107"/>
      <c r="M226" s="107"/>
      <c r="R226" s="107"/>
      <c r="T226" s="107"/>
      <c r="Y226" s="135"/>
      <c r="Z226" s="135"/>
      <c r="AA226" s="734"/>
      <c r="AB226" s="135"/>
      <c r="AC226" s="135"/>
      <c r="AD226" s="135"/>
      <c r="AE226" s="135"/>
      <c r="AF226" s="135"/>
      <c r="AH226" s="708"/>
      <c r="AI226" s="34"/>
      <c r="AJ226" s="34"/>
      <c r="AK226" s="34"/>
      <c r="AL226" s="34"/>
      <c r="AM226" s="34"/>
      <c r="AN226" s="34"/>
      <c r="AO226" s="34"/>
      <c r="AP226" s="34"/>
      <c r="AQ226" s="34"/>
      <c r="AR226" s="34"/>
    </row>
    <row r="227" spans="2:44" s="27" customFormat="1">
      <c r="B227" s="43"/>
      <c r="C227" s="911"/>
      <c r="D227" s="34"/>
      <c r="F227" s="107"/>
      <c r="M227" s="107"/>
      <c r="R227" s="107"/>
      <c r="T227" s="107"/>
      <c r="Y227" s="135"/>
      <c r="Z227" s="135"/>
      <c r="AA227" s="734"/>
      <c r="AB227" s="135"/>
      <c r="AC227" s="135"/>
      <c r="AD227" s="135"/>
      <c r="AE227" s="135"/>
      <c r="AF227" s="135"/>
      <c r="AH227" s="708"/>
      <c r="AI227" s="34"/>
      <c r="AJ227" s="34"/>
      <c r="AK227" s="34"/>
      <c r="AL227" s="34"/>
      <c r="AM227" s="34"/>
      <c r="AN227" s="34"/>
      <c r="AO227" s="34"/>
      <c r="AP227" s="34"/>
      <c r="AQ227" s="34"/>
      <c r="AR227" s="34"/>
    </row>
    <row r="228" spans="2:44" s="27" customFormat="1">
      <c r="B228" s="43"/>
      <c r="C228" s="911"/>
      <c r="D228" s="34"/>
      <c r="F228" s="107"/>
      <c r="M228" s="107"/>
      <c r="R228" s="107"/>
      <c r="T228" s="107"/>
      <c r="Y228" s="135"/>
      <c r="Z228" s="135"/>
      <c r="AA228" s="734"/>
      <c r="AB228" s="135"/>
      <c r="AC228" s="135"/>
      <c r="AD228" s="135"/>
      <c r="AE228" s="135"/>
      <c r="AF228" s="135"/>
      <c r="AH228" s="708"/>
      <c r="AI228" s="34"/>
      <c r="AJ228" s="34"/>
      <c r="AK228" s="34"/>
      <c r="AL228" s="34"/>
      <c r="AM228" s="34"/>
      <c r="AN228" s="34"/>
      <c r="AO228" s="34"/>
      <c r="AP228" s="34"/>
      <c r="AQ228" s="34"/>
      <c r="AR228" s="34"/>
    </row>
    <row r="229" spans="2:44" s="27" customFormat="1">
      <c r="B229" s="43"/>
      <c r="C229" s="911"/>
      <c r="D229" s="34"/>
      <c r="F229" s="107"/>
      <c r="M229" s="107"/>
      <c r="R229" s="107"/>
      <c r="T229" s="107"/>
      <c r="Y229" s="135"/>
      <c r="Z229" s="135"/>
      <c r="AA229" s="734"/>
      <c r="AB229" s="135"/>
      <c r="AC229" s="135"/>
      <c r="AD229" s="135"/>
      <c r="AE229" s="135"/>
      <c r="AF229" s="135"/>
      <c r="AH229" s="708"/>
      <c r="AI229" s="34"/>
      <c r="AJ229" s="34"/>
      <c r="AK229" s="34"/>
      <c r="AL229" s="34"/>
      <c r="AM229" s="34"/>
      <c r="AN229" s="34"/>
      <c r="AO229" s="34"/>
      <c r="AP229" s="34"/>
      <c r="AQ229" s="34"/>
      <c r="AR229" s="34"/>
    </row>
    <row r="230" spans="2:44" s="27" customFormat="1">
      <c r="B230" s="43"/>
      <c r="C230" s="911"/>
      <c r="D230" s="34"/>
      <c r="F230" s="107"/>
      <c r="M230" s="107"/>
      <c r="R230" s="107"/>
      <c r="T230" s="107"/>
      <c r="Y230" s="135"/>
      <c r="Z230" s="135"/>
      <c r="AA230" s="734"/>
      <c r="AB230" s="135"/>
      <c r="AC230" s="135"/>
      <c r="AD230" s="135"/>
      <c r="AE230" s="135"/>
      <c r="AF230" s="135"/>
      <c r="AH230" s="708"/>
      <c r="AI230" s="34"/>
      <c r="AJ230" s="34"/>
      <c r="AK230" s="34"/>
      <c r="AL230" s="34"/>
      <c r="AM230" s="34"/>
      <c r="AN230" s="34"/>
      <c r="AO230" s="34"/>
      <c r="AP230" s="34"/>
      <c r="AQ230" s="34"/>
      <c r="AR230" s="34"/>
    </row>
    <row r="231" spans="2:44" s="27" customFormat="1">
      <c r="B231" s="43"/>
      <c r="C231" s="911"/>
      <c r="D231" s="34"/>
      <c r="F231" s="107"/>
      <c r="M231" s="107"/>
      <c r="R231" s="107"/>
      <c r="T231" s="107"/>
      <c r="Y231" s="135"/>
      <c r="Z231" s="135"/>
      <c r="AA231" s="734"/>
      <c r="AB231" s="135"/>
      <c r="AC231" s="135"/>
      <c r="AD231" s="135"/>
      <c r="AE231" s="135"/>
      <c r="AF231" s="135"/>
      <c r="AH231" s="708"/>
      <c r="AI231" s="34"/>
      <c r="AJ231" s="34"/>
      <c r="AK231" s="34"/>
      <c r="AL231" s="34"/>
      <c r="AM231" s="34"/>
      <c r="AN231" s="34"/>
      <c r="AO231" s="34"/>
      <c r="AP231" s="34"/>
      <c r="AQ231" s="34"/>
      <c r="AR231" s="34"/>
    </row>
    <row r="232" spans="2:44" s="27" customFormat="1">
      <c r="B232" s="43"/>
      <c r="C232" s="911"/>
      <c r="D232" s="34"/>
      <c r="F232" s="107"/>
      <c r="M232" s="107"/>
      <c r="R232" s="107"/>
      <c r="T232" s="107"/>
      <c r="Y232" s="135"/>
      <c r="Z232" s="135"/>
      <c r="AA232" s="734"/>
      <c r="AB232" s="135"/>
      <c r="AC232" s="135"/>
      <c r="AD232" s="135"/>
      <c r="AE232" s="135"/>
      <c r="AF232" s="135"/>
      <c r="AH232" s="708"/>
      <c r="AI232" s="34"/>
      <c r="AJ232" s="34"/>
      <c r="AK232" s="34"/>
      <c r="AL232" s="34"/>
      <c r="AM232" s="34"/>
      <c r="AN232" s="34"/>
      <c r="AO232" s="34"/>
      <c r="AP232" s="34"/>
      <c r="AQ232" s="34"/>
      <c r="AR232" s="34"/>
    </row>
    <row r="233" spans="2:44" s="27" customFormat="1">
      <c r="B233" s="43"/>
      <c r="C233" s="911"/>
      <c r="D233" s="34"/>
      <c r="F233" s="107"/>
      <c r="M233" s="107"/>
      <c r="R233" s="107"/>
      <c r="T233" s="107"/>
      <c r="Y233" s="135"/>
      <c r="Z233" s="135"/>
      <c r="AA233" s="734"/>
      <c r="AB233" s="135"/>
      <c r="AC233" s="135"/>
      <c r="AD233" s="135"/>
      <c r="AE233" s="135"/>
      <c r="AF233" s="135"/>
      <c r="AH233" s="708"/>
      <c r="AI233" s="34"/>
      <c r="AJ233" s="34"/>
      <c r="AK233" s="34"/>
      <c r="AL233" s="34"/>
      <c r="AM233" s="34"/>
      <c r="AN233" s="34"/>
      <c r="AO233" s="34"/>
      <c r="AP233" s="34"/>
      <c r="AQ233" s="34"/>
      <c r="AR233" s="34"/>
    </row>
    <row r="234" spans="2:44" s="27" customFormat="1">
      <c r="B234" s="43"/>
      <c r="C234" s="911"/>
      <c r="D234" s="34"/>
      <c r="F234" s="107"/>
      <c r="M234" s="107"/>
      <c r="R234" s="107"/>
      <c r="T234" s="107"/>
      <c r="Y234" s="135"/>
      <c r="Z234" s="135"/>
      <c r="AA234" s="734"/>
      <c r="AB234" s="135"/>
      <c r="AC234" s="135"/>
      <c r="AD234" s="135"/>
      <c r="AE234" s="135"/>
      <c r="AF234" s="135"/>
      <c r="AH234" s="708"/>
      <c r="AI234" s="34"/>
      <c r="AJ234" s="34"/>
      <c r="AK234" s="34"/>
      <c r="AL234" s="34"/>
      <c r="AM234" s="34"/>
      <c r="AN234" s="34"/>
      <c r="AO234" s="34"/>
      <c r="AP234" s="34"/>
      <c r="AQ234" s="34"/>
      <c r="AR234" s="34"/>
    </row>
    <row r="235" spans="2:44" s="27" customFormat="1">
      <c r="B235" s="43"/>
      <c r="C235" s="911"/>
      <c r="D235" s="34"/>
      <c r="F235" s="107"/>
      <c r="M235" s="107"/>
      <c r="R235" s="107"/>
      <c r="T235" s="107"/>
      <c r="Y235" s="135"/>
      <c r="Z235" s="135"/>
      <c r="AA235" s="734"/>
      <c r="AB235" s="135"/>
      <c r="AC235" s="135"/>
      <c r="AD235" s="135"/>
      <c r="AE235" s="135"/>
      <c r="AF235" s="135"/>
      <c r="AH235" s="708"/>
      <c r="AI235" s="34"/>
      <c r="AJ235" s="34"/>
      <c r="AK235" s="34"/>
      <c r="AL235" s="34"/>
      <c r="AM235" s="34"/>
      <c r="AN235" s="34"/>
      <c r="AO235" s="34"/>
      <c r="AP235" s="34"/>
      <c r="AQ235" s="34"/>
      <c r="AR235" s="34"/>
    </row>
    <row r="236" spans="2:44" s="27" customFormat="1">
      <c r="B236" s="43"/>
      <c r="C236" s="911"/>
      <c r="D236" s="34"/>
      <c r="F236" s="107"/>
      <c r="M236" s="107"/>
      <c r="R236" s="107"/>
      <c r="T236" s="107"/>
      <c r="Y236" s="135"/>
      <c r="Z236" s="135"/>
      <c r="AA236" s="734"/>
      <c r="AB236" s="135"/>
      <c r="AC236" s="135"/>
      <c r="AD236" s="135"/>
      <c r="AE236" s="135"/>
      <c r="AF236" s="135"/>
      <c r="AH236" s="708"/>
      <c r="AI236" s="34"/>
      <c r="AJ236" s="34"/>
      <c r="AK236" s="34"/>
      <c r="AL236" s="34"/>
      <c r="AM236" s="34"/>
      <c r="AN236" s="34"/>
      <c r="AO236" s="34"/>
      <c r="AP236" s="34"/>
      <c r="AQ236" s="34"/>
      <c r="AR236" s="34"/>
    </row>
    <row r="237" spans="2:44" s="27" customFormat="1">
      <c r="B237" s="43"/>
      <c r="C237" s="911"/>
      <c r="D237" s="34"/>
      <c r="F237" s="107"/>
      <c r="M237" s="107"/>
      <c r="R237" s="107"/>
      <c r="T237" s="107"/>
      <c r="Y237" s="135"/>
      <c r="Z237" s="135"/>
      <c r="AA237" s="734"/>
      <c r="AB237" s="135"/>
      <c r="AC237" s="135"/>
      <c r="AD237" s="135"/>
      <c r="AE237" s="135"/>
      <c r="AF237" s="135"/>
      <c r="AH237" s="708"/>
      <c r="AI237" s="34"/>
      <c r="AJ237" s="34"/>
      <c r="AK237" s="34"/>
      <c r="AL237" s="34"/>
      <c r="AM237" s="34"/>
      <c r="AN237" s="34"/>
      <c r="AO237" s="34"/>
      <c r="AP237" s="34"/>
      <c r="AQ237" s="34"/>
      <c r="AR237" s="34"/>
    </row>
    <row r="238" spans="2:44" s="27" customFormat="1">
      <c r="B238" s="43"/>
      <c r="C238" s="911"/>
      <c r="D238" s="34"/>
      <c r="F238" s="107"/>
      <c r="M238" s="107"/>
      <c r="R238" s="107"/>
      <c r="T238" s="107"/>
      <c r="Y238" s="135"/>
      <c r="Z238" s="135"/>
      <c r="AA238" s="734"/>
      <c r="AB238" s="135"/>
      <c r="AC238" s="135"/>
      <c r="AD238" s="135"/>
      <c r="AE238" s="135"/>
      <c r="AF238" s="135"/>
      <c r="AH238" s="708"/>
      <c r="AI238" s="34"/>
      <c r="AJ238" s="34"/>
      <c r="AK238" s="34"/>
      <c r="AL238" s="34"/>
      <c r="AM238" s="34"/>
      <c r="AN238" s="34"/>
      <c r="AO238" s="34"/>
      <c r="AP238" s="34"/>
      <c r="AQ238" s="34"/>
      <c r="AR238" s="34"/>
    </row>
    <row r="239" spans="2:44" s="27" customFormat="1">
      <c r="B239" s="43"/>
      <c r="C239" s="911"/>
      <c r="D239" s="34"/>
      <c r="F239" s="107"/>
      <c r="M239" s="107"/>
      <c r="R239" s="107"/>
      <c r="T239" s="107"/>
      <c r="Y239" s="135"/>
      <c r="Z239" s="135"/>
      <c r="AA239" s="734"/>
      <c r="AB239" s="135"/>
      <c r="AC239" s="135"/>
      <c r="AD239" s="135"/>
      <c r="AE239" s="135"/>
      <c r="AF239" s="135"/>
      <c r="AH239" s="708"/>
      <c r="AI239" s="34"/>
      <c r="AJ239" s="34"/>
      <c r="AK239" s="34"/>
      <c r="AL239" s="34"/>
      <c r="AM239" s="34"/>
      <c r="AN239" s="34"/>
      <c r="AO239" s="34"/>
      <c r="AP239" s="34"/>
      <c r="AQ239" s="34"/>
      <c r="AR239" s="34"/>
    </row>
    <row r="240" spans="2:44" s="27" customFormat="1">
      <c r="B240" s="43"/>
      <c r="C240" s="911"/>
      <c r="D240" s="34"/>
      <c r="F240" s="107"/>
      <c r="M240" s="107"/>
      <c r="R240" s="107"/>
      <c r="T240" s="107"/>
      <c r="Y240" s="135"/>
      <c r="Z240" s="135"/>
      <c r="AA240" s="734"/>
      <c r="AB240" s="135"/>
      <c r="AC240" s="135"/>
      <c r="AD240" s="135"/>
      <c r="AE240" s="135"/>
      <c r="AF240" s="135"/>
      <c r="AH240" s="708"/>
      <c r="AI240" s="34"/>
      <c r="AJ240" s="34"/>
      <c r="AK240" s="34"/>
      <c r="AL240" s="34"/>
      <c r="AM240" s="34"/>
      <c r="AN240" s="34"/>
      <c r="AO240" s="34"/>
      <c r="AP240" s="34"/>
      <c r="AQ240" s="34"/>
      <c r="AR240" s="34"/>
    </row>
    <row r="241" spans="2:44" s="27" customFormat="1">
      <c r="B241" s="43"/>
      <c r="C241" s="911"/>
      <c r="D241" s="34"/>
      <c r="F241" s="107"/>
      <c r="M241" s="107"/>
      <c r="R241" s="107"/>
      <c r="T241" s="107"/>
      <c r="Y241" s="135"/>
      <c r="Z241" s="135"/>
      <c r="AA241" s="734"/>
      <c r="AB241" s="135"/>
      <c r="AC241" s="135"/>
      <c r="AD241" s="135"/>
      <c r="AE241" s="135"/>
      <c r="AF241" s="135"/>
      <c r="AH241" s="708"/>
      <c r="AI241" s="34"/>
      <c r="AJ241" s="34"/>
      <c r="AK241" s="34"/>
      <c r="AL241" s="34"/>
      <c r="AM241" s="34"/>
      <c r="AN241" s="34"/>
      <c r="AO241" s="34"/>
      <c r="AP241" s="34"/>
      <c r="AQ241" s="34"/>
      <c r="AR241" s="34"/>
    </row>
    <row r="242" spans="2:44" s="27" customFormat="1">
      <c r="B242" s="43"/>
      <c r="C242" s="911"/>
      <c r="D242" s="34"/>
      <c r="F242" s="107"/>
      <c r="M242" s="107"/>
      <c r="R242" s="107"/>
      <c r="T242" s="107"/>
      <c r="Y242" s="135"/>
      <c r="Z242" s="135"/>
      <c r="AA242" s="734"/>
      <c r="AB242" s="135"/>
      <c r="AC242" s="135"/>
      <c r="AD242" s="135"/>
      <c r="AE242" s="135"/>
      <c r="AF242" s="135"/>
      <c r="AH242" s="708"/>
      <c r="AI242" s="34"/>
      <c r="AJ242" s="34"/>
      <c r="AK242" s="34"/>
      <c r="AL242" s="34"/>
      <c r="AM242" s="34"/>
      <c r="AN242" s="34"/>
      <c r="AO242" s="34"/>
      <c r="AP242" s="34"/>
      <c r="AQ242" s="34"/>
      <c r="AR242" s="34"/>
    </row>
    <row r="243" spans="2:44" s="27" customFormat="1">
      <c r="B243" s="43"/>
      <c r="C243" s="911"/>
      <c r="D243" s="34"/>
      <c r="F243" s="107"/>
      <c r="M243" s="107"/>
      <c r="R243" s="107"/>
      <c r="T243" s="107"/>
      <c r="Y243" s="135"/>
      <c r="Z243" s="135"/>
      <c r="AA243" s="734"/>
      <c r="AB243" s="135"/>
      <c r="AC243" s="135"/>
      <c r="AD243" s="135"/>
      <c r="AE243" s="135"/>
      <c r="AF243" s="135"/>
      <c r="AH243" s="708"/>
      <c r="AI243" s="34"/>
      <c r="AJ243" s="34"/>
      <c r="AK243" s="34"/>
      <c r="AL243" s="34"/>
      <c r="AM243" s="34"/>
      <c r="AN243" s="34"/>
      <c r="AO243" s="34"/>
      <c r="AP243" s="34"/>
      <c r="AQ243" s="34"/>
      <c r="AR243" s="34"/>
    </row>
    <row r="244" spans="2:44" s="27" customFormat="1">
      <c r="B244" s="43"/>
      <c r="C244" s="911"/>
      <c r="D244" s="34"/>
      <c r="F244" s="107"/>
      <c r="M244" s="107"/>
      <c r="R244" s="107"/>
      <c r="T244" s="107"/>
      <c r="Y244" s="135"/>
      <c r="Z244" s="135"/>
      <c r="AA244" s="734"/>
      <c r="AB244" s="135"/>
      <c r="AC244" s="135"/>
      <c r="AD244" s="135"/>
      <c r="AE244" s="135"/>
      <c r="AF244" s="135"/>
      <c r="AH244" s="708"/>
      <c r="AI244" s="34"/>
      <c r="AJ244" s="34"/>
      <c r="AK244" s="34"/>
      <c r="AL244" s="34"/>
      <c r="AM244" s="34"/>
      <c r="AN244" s="34"/>
      <c r="AO244" s="34"/>
      <c r="AP244" s="34"/>
      <c r="AQ244" s="34"/>
      <c r="AR244" s="34"/>
    </row>
    <row r="245" spans="2:44" s="27" customFormat="1">
      <c r="B245" s="43"/>
      <c r="C245" s="911"/>
      <c r="D245" s="34"/>
      <c r="F245" s="107"/>
      <c r="M245" s="107"/>
      <c r="R245" s="107"/>
      <c r="T245" s="107"/>
      <c r="Y245" s="135"/>
      <c r="Z245" s="135"/>
      <c r="AA245" s="734"/>
      <c r="AB245" s="135"/>
      <c r="AC245" s="135"/>
      <c r="AD245" s="135"/>
      <c r="AE245" s="135"/>
      <c r="AF245" s="135"/>
      <c r="AH245" s="708"/>
      <c r="AI245" s="34"/>
      <c r="AJ245" s="34"/>
      <c r="AK245" s="34"/>
      <c r="AL245" s="34"/>
      <c r="AM245" s="34"/>
      <c r="AN245" s="34"/>
      <c r="AO245" s="34"/>
      <c r="AP245" s="34"/>
      <c r="AQ245" s="34"/>
      <c r="AR245" s="34"/>
    </row>
    <row r="246" spans="2:44" s="27" customFormat="1">
      <c r="B246" s="43"/>
      <c r="C246" s="911"/>
      <c r="D246" s="34"/>
      <c r="F246" s="107"/>
      <c r="M246" s="107"/>
      <c r="R246" s="107"/>
      <c r="T246" s="107"/>
      <c r="Y246" s="135"/>
      <c r="Z246" s="135"/>
      <c r="AA246" s="734"/>
      <c r="AB246" s="135"/>
      <c r="AC246" s="135"/>
      <c r="AD246" s="135"/>
      <c r="AE246" s="135"/>
      <c r="AF246" s="135"/>
      <c r="AH246" s="708"/>
      <c r="AI246" s="34"/>
      <c r="AJ246" s="34"/>
      <c r="AK246" s="34"/>
      <c r="AL246" s="34"/>
      <c r="AM246" s="34"/>
      <c r="AN246" s="34"/>
      <c r="AO246" s="34"/>
      <c r="AP246" s="34"/>
      <c r="AQ246" s="34"/>
      <c r="AR246" s="34"/>
    </row>
    <row r="247" spans="2:44" s="27" customFormat="1">
      <c r="B247" s="43"/>
      <c r="C247" s="911"/>
      <c r="D247" s="34"/>
      <c r="F247" s="107"/>
      <c r="M247" s="107"/>
      <c r="R247" s="107"/>
      <c r="T247" s="107"/>
      <c r="Y247" s="135"/>
      <c r="Z247" s="135"/>
      <c r="AA247" s="734"/>
      <c r="AB247" s="135"/>
      <c r="AC247" s="135"/>
      <c r="AD247" s="135"/>
      <c r="AE247" s="135"/>
      <c r="AF247" s="135"/>
      <c r="AH247" s="708"/>
      <c r="AI247" s="34"/>
      <c r="AJ247" s="34"/>
      <c r="AK247" s="34"/>
      <c r="AL247" s="34"/>
      <c r="AM247" s="34"/>
      <c r="AN247" s="34"/>
      <c r="AO247" s="34"/>
      <c r="AP247" s="34"/>
      <c r="AQ247" s="34"/>
      <c r="AR247" s="34"/>
    </row>
    <row r="248" spans="2:44" s="27" customFormat="1">
      <c r="B248" s="43"/>
      <c r="C248" s="911"/>
      <c r="D248" s="34"/>
      <c r="F248" s="107"/>
      <c r="M248" s="107"/>
      <c r="R248" s="107"/>
      <c r="T248" s="107"/>
      <c r="Y248" s="135"/>
      <c r="Z248" s="135"/>
      <c r="AA248" s="734"/>
      <c r="AB248" s="135"/>
      <c r="AC248" s="135"/>
      <c r="AD248" s="135"/>
      <c r="AE248" s="135"/>
      <c r="AF248" s="135"/>
      <c r="AH248" s="708"/>
      <c r="AI248" s="34"/>
      <c r="AJ248" s="34"/>
      <c r="AK248" s="34"/>
      <c r="AL248" s="34"/>
      <c r="AM248" s="34"/>
      <c r="AN248" s="34"/>
      <c r="AO248" s="34"/>
      <c r="AP248" s="34"/>
      <c r="AQ248" s="34"/>
      <c r="AR248" s="34"/>
    </row>
    <row r="249" spans="2:44" s="27" customFormat="1">
      <c r="B249" s="43"/>
      <c r="C249" s="911"/>
      <c r="D249" s="34"/>
      <c r="F249" s="107"/>
      <c r="M249" s="107"/>
      <c r="R249" s="107"/>
      <c r="T249" s="107"/>
      <c r="Y249" s="135"/>
      <c r="Z249" s="135"/>
      <c r="AA249" s="734"/>
      <c r="AB249" s="135"/>
      <c r="AC249" s="135"/>
      <c r="AD249" s="135"/>
      <c r="AE249" s="135"/>
      <c r="AF249" s="135"/>
      <c r="AH249" s="708"/>
      <c r="AI249" s="34"/>
      <c r="AJ249" s="34"/>
      <c r="AK249" s="34"/>
      <c r="AL249" s="34"/>
      <c r="AM249" s="34"/>
      <c r="AN249" s="34"/>
      <c r="AO249" s="34"/>
      <c r="AP249" s="34"/>
      <c r="AQ249" s="34"/>
      <c r="AR249" s="34"/>
    </row>
    <row r="250" spans="2:44" s="27" customFormat="1">
      <c r="B250" s="43"/>
      <c r="C250" s="911"/>
      <c r="D250" s="34"/>
      <c r="F250" s="107"/>
      <c r="M250" s="107"/>
      <c r="R250" s="107"/>
      <c r="T250" s="107"/>
      <c r="Y250" s="135"/>
      <c r="Z250" s="135"/>
      <c r="AA250" s="734"/>
      <c r="AB250" s="135"/>
      <c r="AC250" s="135"/>
      <c r="AD250" s="135"/>
      <c r="AE250" s="135"/>
      <c r="AF250" s="135"/>
      <c r="AH250" s="708"/>
      <c r="AI250" s="34"/>
      <c r="AJ250" s="34"/>
      <c r="AK250" s="34"/>
      <c r="AL250" s="34"/>
      <c r="AM250" s="34"/>
      <c r="AN250" s="34"/>
      <c r="AO250" s="34"/>
      <c r="AP250" s="34"/>
      <c r="AQ250" s="34"/>
      <c r="AR250" s="34"/>
    </row>
    <row r="251" spans="2:44" s="27" customFormat="1">
      <c r="B251" s="43"/>
      <c r="C251" s="911"/>
      <c r="D251" s="34"/>
      <c r="F251" s="107"/>
      <c r="M251" s="107"/>
      <c r="R251" s="107"/>
      <c r="T251" s="107"/>
      <c r="Y251" s="135"/>
      <c r="Z251" s="135"/>
      <c r="AA251" s="734"/>
      <c r="AB251" s="135"/>
      <c r="AC251" s="135"/>
      <c r="AD251" s="135"/>
      <c r="AE251" s="135"/>
      <c r="AF251" s="135"/>
      <c r="AH251" s="708"/>
      <c r="AI251" s="34"/>
      <c r="AJ251" s="34"/>
      <c r="AK251" s="34"/>
      <c r="AL251" s="34"/>
      <c r="AM251" s="34"/>
      <c r="AN251" s="34"/>
      <c r="AO251" s="34"/>
      <c r="AP251" s="34"/>
      <c r="AQ251" s="34"/>
      <c r="AR251" s="34"/>
    </row>
    <row r="252" spans="2:44" s="27" customFormat="1">
      <c r="B252" s="43"/>
      <c r="C252" s="911"/>
      <c r="D252" s="34"/>
      <c r="F252" s="107"/>
      <c r="M252" s="107"/>
      <c r="R252" s="107"/>
      <c r="T252" s="107"/>
      <c r="Y252" s="135"/>
      <c r="Z252" s="135"/>
      <c r="AA252" s="734"/>
      <c r="AB252" s="135"/>
      <c r="AC252" s="135"/>
      <c r="AD252" s="135"/>
      <c r="AE252" s="135"/>
      <c r="AF252" s="135"/>
      <c r="AH252" s="708"/>
      <c r="AI252" s="34"/>
      <c r="AJ252" s="34"/>
      <c r="AK252" s="34"/>
      <c r="AL252" s="34"/>
      <c r="AM252" s="34"/>
      <c r="AN252" s="34"/>
      <c r="AO252" s="34"/>
      <c r="AP252" s="34"/>
      <c r="AQ252" s="34"/>
      <c r="AR252" s="34"/>
    </row>
    <row r="253" spans="2:44" s="27" customFormat="1">
      <c r="B253" s="43"/>
      <c r="C253" s="911"/>
      <c r="D253" s="34"/>
      <c r="F253" s="107"/>
      <c r="M253" s="107"/>
      <c r="R253" s="107"/>
      <c r="T253" s="107"/>
      <c r="Y253" s="135"/>
      <c r="Z253" s="135"/>
      <c r="AA253" s="734"/>
      <c r="AB253" s="135"/>
      <c r="AC253" s="135"/>
      <c r="AD253" s="135"/>
      <c r="AE253" s="135"/>
      <c r="AF253" s="135"/>
      <c r="AH253" s="708"/>
      <c r="AI253" s="34"/>
      <c r="AJ253" s="34"/>
      <c r="AK253" s="34"/>
      <c r="AL253" s="34"/>
      <c r="AM253" s="34"/>
      <c r="AN253" s="34"/>
      <c r="AO253" s="34"/>
      <c r="AP253" s="34"/>
      <c r="AQ253" s="34"/>
      <c r="AR253" s="34"/>
    </row>
    <row r="254" spans="2:44" s="27" customFormat="1">
      <c r="B254" s="43"/>
      <c r="C254" s="911"/>
      <c r="D254" s="34"/>
      <c r="F254" s="107"/>
      <c r="M254" s="107"/>
      <c r="R254" s="107"/>
      <c r="T254" s="107"/>
      <c r="Y254" s="135"/>
      <c r="Z254" s="135"/>
      <c r="AA254" s="734"/>
      <c r="AB254" s="135"/>
      <c r="AC254" s="135"/>
      <c r="AD254" s="135"/>
      <c r="AE254" s="135"/>
      <c r="AF254" s="135"/>
      <c r="AH254" s="708"/>
      <c r="AI254" s="34"/>
      <c r="AJ254" s="34"/>
      <c r="AK254" s="34"/>
      <c r="AL254" s="34"/>
      <c r="AM254" s="34"/>
      <c r="AN254" s="34"/>
      <c r="AO254" s="34"/>
      <c r="AP254" s="34"/>
      <c r="AQ254" s="34"/>
      <c r="AR254" s="34"/>
    </row>
    <row r="255" spans="2:44" s="27" customFormat="1">
      <c r="B255" s="43"/>
      <c r="C255" s="911"/>
      <c r="D255" s="34"/>
      <c r="F255" s="107"/>
      <c r="M255" s="107"/>
      <c r="R255" s="107"/>
      <c r="T255" s="107"/>
      <c r="Y255" s="135"/>
      <c r="Z255" s="135"/>
      <c r="AA255" s="734"/>
      <c r="AB255" s="135"/>
      <c r="AC255" s="135"/>
      <c r="AD255" s="135"/>
      <c r="AE255" s="135"/>
      <c r="AF255" s="135"/>
      <c r="AH255" s="708"/>
      <c r="AI255" s="34"/>
      <c r="AJ255" s="34"/>
      <c r="AK255" s="34"/>
      <c r="AL255" s="34"/>
      <c r="AM255" s="34"/>
      <c r="AN255" s="34"/>
      <c r="AO255" s="34"/>
      <c r="AP255" s="34"/>
      <c r="AQ255" s="34"/>
      <c r="AR255" s="34"/>
    </row>
    <row r="256" spans="2:44" s="27" customFormat="1">
      <c r="B256" s="43"/>
      <c r="C256" s="911"/>
      <c r="D256" s="34"/>
      <c r="F256" s="107"/>
      <c r="M256" s="107"/>
      <c r="R256" s="107"/>
      <c r="T256" s="107"/>
      <c r="Y256" s="135"/>
      <c r="Z256" s="135"/>
      <c r="AA256" s="734"/>
      <c r="AB256" s="135"/>
      <c r="AC256" s="135"/>
      <c r="AD256" s="135"/>
      <c r="AE256" s="135"/>
      <c r="AF256" s="135"/>
      <c r="AH256" s="708"/>
      <c r="AI256" s="34"/>
      <c r="AJ256" s="34"/>
      <c r="AK256" s="34"/>
      <c r="AL256" s="34"/>
      <c r="AM256" s="34"/>
      <c r="AN256" s="34"/>
      <c r="AO256" s="34"/>
      <c r="AP256" s="34"/>
      <c r="AQ256" s="34"/>
      <c r="AR256" s="34"/>
    </row>
    <row r="257" spans="2:44" s="27" customFormat="1">
      <c r="B257" s="43"/>
      <c r="C257" s="911"/>
      <c r="D257" s="34"/>
      <c r="F257" s="107"/>
      <c r="M257" s="107"/>
      <c r="R257" s="107"/>
      <c r="T257" s="107"/>
      <c r="Y257" s="135"/>
      <c r="Z257" s="135"/>
      <c r="AA257" s="734"/>
      <c r="AB257" s="135"/>
      <c r="AC257" s="135"/>
      <c r="AD257" s="135"/>
      <c r="AE257" s="135"/>
      <c r="AF257" s="135"/>
      <c r="AH257" s="708"/>
      <c r="AI257" s="34"/>
      <c r="AJ257" s="34"/>
      <c r="AK257" s="34"/>
      <c r="AL257" s="34"/>
      <c r="AM257" s="34"/>
      <c r="AN257" s="34"/>
      <c r="AO257" s="34"/>
      <c r="AP257" s="34"/>
      <c r="AQ257" s="34"/>
      <c r="AR257" s="34"/>
    </row>
    <row r="258" spans="2:44" s="27" customFormat="1">
      <c r="B258" s="43"/>
      <c r="C258" s="911"/>
      <c r="D258" s="34"/>
      <c r="F258" s="107"/>
      <c r="M258" s="107"/>
      <c r="R258" s="107"/>
      <c r="T258" s="107"/>
      <c r="Y258" s="135"/>
      <c r="Z258" s="135"/>
      <c r="AA258" s="734"/>
      <c r="AB258" s="135"/>
      <c r="AC258" s="135"/>
      <c r="AD258" s="135"/>
      <c r="AE258" s="135"/>
      <c r="AF258" s="135"/>
      <c r="AH258" s="708"/>
      <c r="AI258" s="34"/>
      <c r="AJ258" s="34"/>
      <c r="AK258" s="34"/>
      <c r="AL258" s="34"/>
      <c r="AM258" s="34"/>
      <c r="AN258" s="34"/>
      <c r="AO258" s="34"/>
      <c r="AP258" s="34"/>
      <c r="AQ258" s="34"/>
      <c r="AR258" s="34"/>
    </row>
    <row r="259" spans="2:44" s="27" customFormat="1">
      <c r="B259" s="43"/>
      <c r="C259" s="911"/>
      <c r="D259" s="34"/>
      <c r="F259" s="107"/>
      <c r="M259" s="107"/>
      <c r="R259" s="107"/>
      <c r="T259" s="107"/>
      <c r="Y259" s="135"/>
      <c r="Z259" s="135"/>
      <c r="AA259" s="734"/>
      <c r="AB259" s="135"/>
      <c r="AC259" s="135"/>
      <c r="AD259" s="135"/>
      <c r="AE259" s="135"/>
      <c r="AF259" s="135"/>
      <c r="AH259" s="708"/>
      <c r="AI259" s="34"/>
      <c r="AJ259" s="34"/>
      <c r="AK259" s="34"/>
      <c r="AL259" s="34"/>
      <c r="AM259" s="34"/>
      <c r="AN259" s="34"/>
      <c r="AO259" s="34"/>
      <c r="AP259" s="34"/>
      <c r="AQ259" s="34"/>
      <c r="AR259" s="34"/>
    </row>
    <row r="260" spans="2:44" s="27" customFormat="1">
      <c r="B260" s="43"/>
      <c r="C260" s="911"/>
      <c r="D260" s="34"/>
      <c r="F260" s="107"/>
      <c r="M260" s="107"/>
      <c r="R260" s="107"/>
      <c r="T260" s="107"/>
      <c r="Y260" s="135"/>
      <c r="Z260" s="135"/>
      <c r="AA260" s="734"/>
      <c r="AB260" s="135"/>
      <c r="AC260" s="135"/>
      <c r="AD260" s="135"/>
      <c r="AE260" s="135"/>
      <c r="AF260" s="135"/>
      <c r="AH260" s="708"/>
      <c r="AI260" s="34"/>
      <c r="AJ260" s="34"/>
      <c r="AK260" s="34"/>
      <c r="AL260" s="34"/>
      <c r="AM260" s="34"/>
      <c r="AN260" s="34"/>
      <c r="AO260" s="34"/>
      <c r="AP260" s="34"/>
      <c r="AQ260" s="34"/>
      <c r="AR260" s="34"/>
    </row>
    <row r="261" spans="2:44" s="27" customFormat="1">
      <c r="B261" s="43"/>
      <c r="C261" s="911"/>
      <c r="D261" s="34"/>
      <c r="F261" s="107"/>
      <c r="M261" s="107"/>
      <c r="R261" s="107"/>
      <c r="T261" s="107"/>
      <c r="Y261" s="135"/>
      <c r="Z261" s="135"/>
      <c r="AA261" s="734"/>
      <c r="AB261" s="135"/>
      <c r="AC261" s="135"/>
      <c r="AD261" s="135"/>
      <c r="AE261" s="135"/>
      <c r="AF261" s="135"/>
      <c r="AH261" s="708"/>
      <c r="AI261" s="34"/>
      <c r="AJ261" s="34"/>
      <c r="AK261" s="34"/>
      <c r="AL261" s="34"/>
      <c r="AM261" s="34"/>
      <c r="AN261" s="34"/>
      <c r="AO261" s="34"/>
      <c r="AP261" s="34"/>
      <c r="AQ261" s="34"/>
      <c r="AR261" s="34"/>
    </row>
    <row r="262" spans="2:44" s="27" customFormat="1">
      <c r="B262" s="43"/>
      <c r="C262" s="911"/>
      <c r="D262" s="34"/>
      <c r="F262" s="107"/>
      <c r="M262" s="107"/>
      <c r="R262" s="107"/>
      <c r="T262" s="107"/>
      <c r="Y262" s="135"/>
      <c r="Z262" s="135"/>
      <c r="AA262" s="734"/>
      <c r="AB262" s="135"/>
      <c r="AC262" s="135"/>
      <c r="AD262" s="135"/>
      <c r="AE262" s="135"/>
      <c r="AF262" s="135"/>
      <c r="AH262" s="708"/>
      <c r="AI262" s="34"/>
      <c r="AJ262" s="34"/>
      <c r="AK262" s="34"/>
      <c r="AL262" s="34"/>
      <c r="AM262" s="34"/>
      <c r="AN262" s="34"/>
      <c r="AO262" s="34"/>
      <c r="AP262" s="34"/>
      <c r="AQ262" s="34"/>
      <c r="AR262" s="34"/>
    </row>
    <row r="263" spans="2:44" s="27" customFormat="1">
      <c r="B263" s="43"/>
      <c r="C263" s="911"/>
      <c r="D263" s="34"/>
      <c r="F263" s="107"/>
      <c r="M263" s="107"/>
      <c r="R263" s="107"/>
      <c r="T263" s="107"/>
      <c r="Y263" s="135"/>
      <c r="Z263" s="135"/>
      <c r="AA263" s="734"/>
      <c r="AB263" s="135"/>
      <c r="AC263" s="135"/>
      <c r="AD263" s="135"/>
      <c r="AE263" s="135"/>
      <c r="AF263" s="135"/>
      <c r="AH263" s="708"/>
      <c r="AI263" s="34"/>
      <c r="AJ263" s="34"/>
      <c r="AK263" s="34"/>
      <c r="AL263" s="34"/>
      <c r="AM263" s="34"/>
      <c r="AN263" s="34"/>
      <c r="AO263" s="34"/>
      <c r="AP263" s="34"/>
      <c r="AQ263" s="34"/>
      <c r="AR263" s="34"/>
    </row>
    <row r="264" spans="2:44" s="27" customFormat="1">
      <c r="B264" s="43"/>
      <c r="C264" s="911"/>
      <c r="D264" s="34"/>
      <c r="F264" s="107"/>
      <c r="M264" s="107"/>
      <c r="R264" s="107"/>
      <c r="T264" s="107"/>
      <c r="Y264" s="135"/>
      <c r="Z264" s="135"/>
      <c r="AA264" s="734"/>
      <c r="AB264" s="135"/>
      <c r="AC264" s="135"/>
      <c r="AD264" s="135"/>
      <c r="AE264" s="135"/>
      <c r="AF264" s="135"/>
      <c r="AH264" s="708"/>
      <c r="AI264" s="34"/>
      <c r="AJ264" s="34"/>
      <c r="AK264" s="34"/>
      <c r="AL264" s="34"/>
      <c r="AM264" s="34"/>
      <c r="AN264" s="34"/>
      <c r="AO264" s="34"/>
      <c r="AP264" s="34"/>
      <c r="AQ264" s="34"/>
      <c r="AR264" s="34"/>
    </row>
    <row r="265" spans="2:44" s="27" customFormat="1">
      <c r="B265" s="43"/>
      <c r="C265" s="911"/>
      <c r="D265" s="34"/>
      <c r="F265" s="107"/>
      <c r="M265" s="107"/>
      <c r="R265" s="107"/>
      <c r="T265" s="107"/>
      <c r="Y265" s="135"/>
      <c r="Z265" s="135"/>
      <c r="AA265" s="734"/>
      <c r="AB265" s="135"/>
      <c r="AC265" s="135"/>
      <c r="AD265" s="135"/>
      <c r="AE265" s="135"/>
      <c r="AF265" s="135"/>
      <c r="AH265" s="708"/>
      <c r="AI265" s="34"/>
      <c r="AJ265" s="34"/>
      <c r="AK265" s="34"/>
      <c r="AL265" s="34"/>
      <c r="AM265" s="34"/>
      <c r="AN265" s="34"/>
      <c r="AO265" s="34"/>
      <c r="AP265" s="34"/>
      <c r="AQ265" s="34"/>
      <c r="AR265" s="34"/>
    </row>
    <row r="266" spans="2:44" s="27" customFormat="1">
      <c r="B266" s="43"/>
      <c r="C266" s="911"/>
      <c r="D266" s="34"/>
      <c r="F266" s="107"/>
      <c r="M266" s="107"/>
      <c r="R266" s="107"/>
      <c r="T266" s="107"/>
      <c r="Y266" s="135"/>
      <c r="Z266" s="135"/>
      <c r="AA266" s="734"/>
      <c r="AB266" s="135"/>
      <c r="AC266" s="135"/>
      <c r="AD266" s="135"/>
      <c r="AE266" s="135"/>
      <c r="AF266" s="135"/>
      <c r="AH266" s="708"/>
      <c r="AI266" s="34"/>
      <c r="AJ266" s="34"/>
      <c r="AK266" s="34"/>
      <c r="AL266" s="34"/>
      <c r="AM266" s="34"/>
      <c r="AN266" s="34"/>
      <c r="AO266" s="34"/>
      <c r="AP266" s="34"/>
      <c r="AQ266" s="34"/>
      <c r="AR266" s="34"/>
    </row>
    <row r="267" spans="2:44" s="27" customFormat="1">
      <c r="B267" s="43"/>
      <c r="C267" s="911"/>
      <c r="D267" s="34"/>
      <c r="F267" s="107"/>
      <c r="M267" s="107"/>
      <c r="R267" s="107"/>
      <c r="T267" s="107"/>
      <c r="Y267" s="135"/>
      <c r="Z267" s="135"/>
      <c r="AA267" s="734"/>
      <c r="AB267" s="135"/>
      <c r="AC267" s="135"/>
      <c r="AD267" s="135"/>
      <c r="AE267" s="135"/>
      <c r="AF267" s="135"/>
      <c r="AH267" s="708"/>
      <c r="AI267" s="34"/>
      <c r="AJ267" s="34"/>
      <c r="AK267" s="34"/>
      <c r="AL267" s="34"/>
      <c r="AM267" s="34"/>
      <c r="AN267" s="34"/>
      <c r="AO267" s="34"/>
      <c r="AP267" s="34"/>
      <c r="AQ267" s="34"/>
      <c r="AR267" s="34"/>
    </row>
    <row r="268" spans="2:44" s="27" customFormat="1">
      <c r="B268" s="43"/>
      <c r="C268" s="911"/>
      <c r="D268" s="34"/>
      <c r="F268" s="107"/>
      <c r="M268" s="107"/>
      <c r="R268" s="107"/>
      <c r="T268" s="107"/>
      <c r="Y268" s="135"/>
      <c r="Z268" s="135"/>
      <c r="AA268" s="734"/>
      <c r="AB268" s="135"/>
      <c r="AC268" s="135"/>
      <c r="AD268" s="135"/>
      <c r="AE268" s="135"/>
      <c r="AF268" s="135"/>
      <c r="AH268" s="708"/>
      <c r="AI268" s="34"/>
      <c r="AJ268" s="34"/>
      <c r="AK268" s="34"/>
      <c r="AL268" s="34"/>
      <c r="AM268" s="34"/>
      <c r="AN268" s="34"/>
      <c r="AO268" s="34"/>
      <c r="AP268" s="34"/>
      <c r="AQ268" s="34"/>
      <c r="AR268" s="34"/>
    </row>
    <row r="269" spans="2:44" s="27" customFormat="1">
      <c r="B269" s="43"/>
      <c r="C269" s="911"/>
      <c r="D269" s="34"/>
      <c r="F269" s="107"/>
      <c r="M269" s="107"/>
      <c r="R269" s="107"/>
      <c r="T269" s="107"/>
      <c r="Y269" s="135"/>
      <c r="Z269" s="135"/>
      <c r="AA269" s="734"/>
      <c r="AB269" s="135"/>
      <c r="AC269" s="135"/>
      <c r="AD269" s="135"/>
      <c r="AE269" s="135"/>
      <c r="AF269" s="135"/>
      <c r="AH269" s="708"/>
      <c r="AI269" s="34"/>
      <c r="AJ269" s="34"/>
      <c r="AK269" s="34"/>
      <c r="AL269" s="34"/>
      <c r="AM269" s="34"/>
      <c r="AN269" s="34"/>
      <c r="AO269" s="34"/>
      <c r="AP269" s="34"/>
      <c r="AQ269" s="34"/>
      <c r="AR269" s="34"/>
    </row>
    <row r="270" spans="2:44" s="27" customFormat="1">
      <c r="B270" s="43"/>
      <c r="C270" s="911"/>
      <c r="D270" s="34"/>
      <c r="F270" s="107"/>
      <c r="M270" s="107"/>
      <c r="R270" s="107"/>
      <c r="T270" s="107"/>
      <c r="Y270" s="135"/>
      <c r="Z270" s="135"/>
      <c r="AA270" s="734"/>
      <c r="AB270" s="135"/>
      <c r="AC270" s="135"/>
      <c r="AD270" s="135"/>
      <c r="AE270" s="135"/>
      <c r="AF270" s="135"/>
      <c r="AH270" s="708"/>
      <c r="AI270" s="34"/>
      <c r="AJ270" s="34"/>
      <c r="AK270" s="34"/>
      <c r="AL270" s="34"/>
      <c r="AM270" s="34"/>
      <c r="AN270" s="34"/>
      <c r="AO270" s="34"/>
      <c r="AP270" s="34"/>
      <c r="AQ270" s="34"/>
      <c r="AR270" s="34"/>
    </row>
    <row r="271" spans="2:44" s="27" customFormat="1">
      <c r="B271" s="43"/>
      <c r="C271" s="911"/>
      <c r="D271" s="34"/>
      <c r="F271" s="107"/>
      <c r="M271" s="107"/>
      <c r="R271" s="107"/>
      <c r="T271" s="107"/>
      <c r="Y271" s="135"/>
      <c r="Z271" s="135"/>
      <c r="AA271" s="734"/>
      <c r="AB271" s="135"/>
      <c r="AC271" s="135"/>
      <c r="AD271" s="135"/>
      <c r="AE271" s="135"/>
      <c r="AF271" s="135"/>
      <c r="AH271" s="708"/>
      <c r="AI271" s="34"/>
      <c r="AJ271" s="34"/>
      <c r="AK271" s="34"/>
      <c r="AL271" s="34"/>
      <c r="AM271" s="34"/>
      <c r="AN271" s="34"/>
      <c r="AO271" s="34"/>
      <c r="AP271" s="34"/>
      <c r="AQ271" s="34"/>
      <c r="AR271" s="34"/>
    </row>
    <row r="272" spans="2:44" s="27" customFormat="1">
      <c r="B272" s="43"/>
      <c r="C272" s="911"/>
      <c r="D272" s="34"/>
      <c r="F272" s="107"/>
      <c r="M272" s="107"/>
      <c r="R272" s="107"/>
      <c r="T272" s="107"/>
      <c r="Y272" s="135"/>
      <c r="Z272" s="135"/>
      <c r="AA272" s="734"/>
      <c r="AB272" s="135"/>
      <c r="AC272" s="135"/>
      <c r="AD272" s="135"/>
      <c r="AE272" s="135"/>
      <c r="AF272" s="135"/>
      <c r="AH272" s="708"/>
      <c r="AI272" s="34"/>
      <c r="AJ272" s="34"/>
      <c r="AK272" s="34"/>
      <c r="AL272" s="34"/>
      <c r="AM272" s="34"/>
      <c r="AN272" s="34"/>
      <c r="AO272" s="34"/>
      <c r="AP272" s="34"/>
      <c r="AQ272" s="34"/>
      <c r="AR272" s="34"/>
    </row>
    <row r="273" spans="2:44" s="27" customFormat="1">
      <c r="B273" s="43"/>
      <c r="C273" s="911"/>
      <c r="D273" s="34"/>
      <c r="F273" s="107"/>
      <c r="M273" s="107"/>
      <c r="R273" s="107"/>
      <c r="T273" s="107"/>
      <c r="Y273" s="135"/>
      <c r="Z273" s="135"/>
      <c r="AA273" s="734"/>
      <c r="AB273" s="135"/>
      <c r="AC273" s="135"/>
      <c r="AD273" s="135"/>
      <c r="AE273" s="135"/>
      <c r="AF273" s="135"/>
      <c r="AH273" s="708"/>
      <c r="AI273" s="34"/>
      <c r="AJ273" s="34"/>
      <c r="AK273" s="34"/>
      <c r="AL273" s="34"/>
      <c r="AM273" s="34"/>
      <c r="AN273" s="34"/>
      <c r="AO273" s="34"/>
      <c r="AP273" s="34"/>
      <c r="AQ273" s="34"/>
      <c r="AR273" s="34"/>
    </row>
    <row r="274" spans="2:44" s="27" customFormat="1">
      <c r="B274" s="43"/>
      <c r="C274" s="911"/>
      <c r="D274" s="34"/>
      <c r="F274" s="107"/>
      <c r="M274" s="107"/>
      <c r="R274" s="107"/>
      <c r="T274" s="107"/>
      <c r="Y274" s="135"/>
      <c r="Z274" s="135"/>
      <c r="AA274" s="734"/>
      <c r="AB274" s="135"/>
      <c r="AC274" s="135"/>
      <c r="AD274" s="135"/>
      <c r="AE274" s="135"/>
      <c r="AF274" s="135"/>
      <c r="AH274" s="708"/>
      <c r="AI274" s="34"/>
      <c r="AJ274" s="34"/>
      <c r="AK274" s="34"/>
      <c r="AL274" s="34"/>
      <c r="AM274" s="34"/>
      <c r="AN274" s="34"/>
      <c r="AO274" s="34"/>
      <c r="AP274" s="34"/>
      <c r="AQ274" s="34"/>
      <c r="AR274" s="34"/>
    </row>
    <row r="275" spans="2:44" s="27" customFormat="1">
      <c r="B275" s="43"/>
      <c r="C275" s="911"/>
      <c r="D275" s="34"/>
      <c r="F275" s="107"/>
      <c r="M275" s="107"/>
      <c r="R275" s="107"/>
      <c r="T275" s="107"/>
      <c r="Y275" s="135"/>
      <c r="Z275" s="135"/>
      <c r="AA275" s="734"/>
      <c r="AB275" s="135"/>
      <c r="AC275" s="135"/>
      <c r="AD275" s="135"/>
      <c r="AE275" s="135"/>
      <c r="AF275" s="135"/>
      <c r="AH275" s="708"/>
      <c r="AI275" s="34"/>
      <c r="AJ275" s="34"/>
      <c r="AK275" s="34"/>
      <c r="AL275" s="34"/>
      <c r="AM275" s="34"/>
      <c r="AN275" s="34"/>
      <c r="AO275" s="34"/>
      <c r="AP275" s="34"/>
      <c r="AQ275" s="34"/>
      <c r="AR275" s="34"/>
    </row>
    <row r="276" spans="2:44" s="27" customFormat="1">
      <c r="B276" s="43"/>
      <c r="C276" s="911"/>
      <c r="D276" s="34"/>
      <c r="F276" s="107"/>
      <c r="M276" s="107"/>
      <c r="R276" s="107"/>
      <c r="T276" s="107"/>
      <c r="Y276" s="135"/>
      <c r="Z276" s="135"/>
      <c r="AA276" s="734"/>
      <c r="AB276" s="135"/>
      <c r="AC276" s="135"/>
      <c r="AD276" s="135"/>
      <c r="AE276" s="135"/>
      <c r="AF276" s="135"/>
      <c r="AH276" s="708"/>
      <c r="AI276" s="34"/>
      <c r="AJ276" s="34"/>
      <c r="AK276" s="34"/>
      <c r="AL276" s="34"/>
      <c r="AM276" s="34"/>
      <c r="AN276" s="34"/>
      <c r="AO276" s="34"/>
      <c r="AP276" s="34"/>
      <c r="AQ276" s="34"/>
      <c r="AR276" s="34"/>
    </row>
    <row r="277" spans="2:44" s="27" customFormat="1">
      <c r="B277" s="43"/>
      <c r="C277" s="911"/>
      <c r="D277" s="34"/>
      <c r="F277" s="107"/>
      <c r="M277" s="107"/>
      <c r="R277" s="107"/>
      <c r="T277" s="107"/>
      <c r="Y277" s="135"/>
      <c r="Z277" s="135"/>
      <c r="AA277" s="734"/>
      <c r="AB277" s="135"/>
      <c r="AC277" s="135"/>
      <c r="AD277" s="135"/>
      <c r="AE277" s="135"/>
      <c r="AF277" s="135"/>
      <c r="AH277" s="708"/>
      <c r="AI277" s="34"/>
      <c r="AJ277" s="34"/>
      <c r="AK277" s="34"/>
      <c r="AL277" s="34"/>
      <c r="AM277" s="34"/>
      <c r="AN277" s="34"/>
      <c r="AO277" s="34"/>
      <c r="AP277" s="34"/>
      <c r="AQ277" s="34"/>
      <c r="AR277" s="34"/>
    </row>
    <row r="278" spans="2:44" s="27" customFormat="1">
      <c r="B278" s="43"/>
      <c r="C278" s="911"/>
      <c r="D278" s="34"/>
      <c r="F278" s="107"/>
      <c r="M278" s="107"/>
      <c r="R278" s="107"/>
      <c r="T278" s="107"/>
      <c r="Y278" s="135"/>
      <c r="Z278" s="135"/>
      <c r="AA278" s="734"/>
      <c r="AB278" s="135"/>
      <c r="AC278" s="135"/>
      <c r="AD278" s="135"/>
      <c r="AE278" s="135"/>
      <c r="AF278" s="135"/>
      <c r="AH278" s="708"/>
      <c r="AI278" s="34"/>
      <c r="AJ278" s="34"/>
      <c r="AK278" s="34"/>
      <c r="AL278" s="34"/>
      <c r="AM278" s="34"/>
      <c r="AN278" s="34"/>
      <c r="AO278" s="34"/>
      <c r="AP278" s="34"/>
      <c r="AQ278" s="34"/>
      <c r="AR278" s="34"/>
    </row>
    <row r="279" spans="2:44" s="27" customFormat="1">
      <c r="B279" s="43"/>
      <c r="C279" s="911"/>
      <c r="D279" s="34"/>
      <c r="F279" s="107"/>
      <c r="M279" s="107"/>
      <c r="R279" s="107"/>
      <c r="T279" s="107"/>
      <c r="Y279" s="135"/>
      <c r="Z279" s="135"/>
      <c r="AA279" s="734"/>
      <c r="AB279" s="135"/>
      <c r="AC279" s="135"/>
      <c r="AD279" s="135"/>
      <c r="AE279" s="135"/>
      <c r="AF279" s="135"/>
      <c r="AH279" s="708"/>
      <c r="AI279" s="34"/>
      <c r="AJ279" s="34"/>
      <c r="AK279" s="34"/>
      <c r="AL279" s="34"/>
      <c r="AM279" s="34"/>
      <c r="AN279" s="34"/>
      <c r="AO279" s="34"/>
      <c r="AP279" s="34"/>
      <c r="AQ279" s="34"/>
      <c r="AR279" s="34"/>
    </row>
    <row r="280" spans="2:44" s="27" customFormat="1">
      <c r="B280" s="43"/>
      <c r="C280" s="911"/>
      <c r="D280" s="34"/>
      <c r="F280" s="107"/>
      <c r="M280" s="107"/>
      <c r="R280" s="107"/>
      <c r="T280" s="107"/>
      <c r="Y280" s="135"/>
      <c r="Z280" s="135"/>
      <c r="AA280" s="734"/>
      <c r="AB280" s="135"/>
      <c r="AC280" s="135"/>
      <c r="AD280" s="135"/>
      <c r="AE280" s="135"/>
      <c r="AF280" s="135"/>
      <c r="AH280" s="708"/>
      <c r="AI280" s="34"/>
      <c r="AJ280" s="34"/>
      <c r="AK280" s="34"/>
      <c r="AL280" s="34"/>
      <c r="AM280" s="34"/>
      <c r="AN280" s="34"/>
      <c r="AO280" s="34"/>
      <c r="AP280" s="34"/>
      <c r="AQ280" s="34"/>
      <c r="AR280" s="34"/>
    </row>
    <row r="281" spans="2:44" s="27" customFormat="1">
      <c r="B281" s="43"/>
      <c r="C281" s="911"/>
      <c r="D281" s="34"/>
      <c r="F281" s="107"/>
      <c r="M281" s="107"/>
      <c r="R281" s="107"/>
      <c r="T281" s="107"/>
      <c r="Y281" s="135"/>
      <c r="Z281" s="135"/>
      <c r="AA281" s="734"/>
      <c r="AB281" s="135"/>
      <c r="AC281" s="135"/>
      <c r="AD281" s="135"/>
      <c r="AE281" s="135"/>
      <c r="AF281" s="135"/>
      <c r="AH281" s="708"/>
      <c r="AI281" s="34"/>
      <c r="AJ281" s="34"/>
      <c r="AK281" s="34"/>
      <c r="AL281" s="34"/>
      <c r="AM281" s="34"/>
      <c r="AN281" s="34"/>
      <c r="AO281" s="34"/>
      <c r="AP281" s="34"/>
      <c r="AQ281" s="34"/>
      <c r="AR281" s="34"/>
    </row>
    <row r="282" spans="2:44" s="27" customFormat="1">
      <c r="B282" s="43"/>
      <c r="C282" s="911"/>
      <c r="D282" s="34"/>
      <c r="F282" s="107"/>
      <c r="M282" s="107"/>
      <c r="R282" s="107"/>
      <c r="T282" s="107"/>
      <c r="Y282" s="135"/>
      <c r="Z282" s="135"/>
      <c r="AA282" s="734"/>
      <c r="AB282" s="135"/>
      <c r="AC282" s="135"/>
      <c r="AD282" s="135"/>
      <c r="AE282" s="135"/>
      <c r="AF282" s="135"/>
      <c r="AH282" s="708"/>
      <c r="AI282" s="34"/>
      <c r="AJ282" s="34"/>
      <c r="AK282" s="34"/>
      <c r="AL282" s="34"/>
      <c r="AM282" s="34"/>
      <c r="AN282" s="34"/>
      <c r="AO282" s="34"/>
      <c r="AP282" s="34"/>
      <c r="AQ282" s="34"/>
      <c r="AR282" s="34"/>
    </row>
    <row r="283" spans="2:44" s="27" customFormat="1">
      <c r="B283" s="43"/>
      <c r="C283" s="911"/>
      <c r="D283" s="34"/>
      <c r="F283" s="107"/>
      <c r="M283" s="107"/>
      <c r="R283" s="107"/>
      <c r="T283" s="107"/>
      <c r="Y283" s="135"/>
      <c r="Z283" s="135"/>
      <c r="AA283" s="734"/>
      <c r="AB283" s="135"/>
      <c r="AC283" s="135"/>
      <c r="AD283" s="135"/>
      <c r="AE283" s="135"/>
      <c r="AF283" s="135"/>
      <c r="AH283" s="708"/>
      <c r="AI283" s="34"/>
      <c r="AJ283" s="34"/>
      <c r="AK283" s="34"/>
      <c r="AL283" s="34"/>
      <c r="AM283" s="34"/>
      <c r="AN283" s="34"/>
      <c r="AO283" s="34"/>
      <c r="AP283" s="34"/>
      <c r="AQ283" s="34"/>
      <c r="AR283" s="34"/>
    </row>
    <row r="284" spans="2:44" s="27" customFormat="1">
      <c r="B284" s="43"/>
      <c r="C284" s="911"/>
      <c r="D284" s="34"/>
      <c r="F284" s="107"/>
      <c r="M284" s="107"/>
      <c r="R284" s="107"/>
      <c r="T284" s="107"/>
      <c r="Y284" s="135"/>
      <c r="Z284" s="135"/>
      <c r="AA284" s="734"/>
      <c r="AB284" s="135"/>
      <c r="AC284" s="135"/>
      <c r="AD284" s="135"/>
      <c r="AE284" s="135"/>
      <c r="AF284" s="135"/>
      <c r="AH284" s="708"/>
      <c r="AI284" s="34"/>
      <c r="AJ284" s="34"/>
      <c r="AK284" s="34"/>
      <c r="AL284" s="34"/>
      <c r="AM284" s="34"/>
      <c r="AN284" s="34"/>
      <c r="AO284" s="34"/>
      <c r="AP284" s="34"/>
      <c r="AQ284" s="34"/>
      <c r="AR284" s="34"/>
    </row>
  </sheetData>
  <mergeCells count="10">
    <mergeCell ref="AL4:AR4"/>
    <mergeCell ref="A2:AR2"/>
    <mergeCell ref="A3:AR3"/>
    <mergeCell ref="C6:AG6"/>
    <mergeCell ref="AI6:AO6"/>
    <mergeCell ref="AP6:AP7"/>
    <mergeCell ref="AQ6:AQ7"/>
    <mergeCell ref="AR6:AR7"/>
    <mergeCell ref="A6:A7"/>
    <mergeCell ref="B6:B7"/>
  </mergeCells>
  <pageMargins left="0" right="0" top="0" bottom="0.74803149606299202" header="0.31496062992126" footer="0.31496062992126"/>
  <pageSetup scale="60" orientation="landscape" horizontalDpi="1200" verticalDpi="1200" r:id="rId1"/>
  <rowBreaks count="1" manualBreakCount="1">
    <brk id="44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Z78"/>
  <sheetViews>
    <sheetView topLeftCell="A4" zoomScaleNormal="100" workbookViewId="0">
      <selection activeCell="Q15" sqref="Q15"/>
    </sheetView>
  </sheetViews>
  <sheetFormatPr defaultRowHeight="15"/>
  <cols>
    <col min="1" max="1" width="5" customWidth="1"/>
    <col min="3" max="3" width="23.140625" customWidth="1"/>
    <col min="4" max="4" width="18.5703125" customWidth="1"/>
    <col min="5" max="8" width="8.42578125" hidden="1" customWidth="1"/>
    <col min="9" max="9" width="12.42578125" hidden="1" customWidth="1"/>
    <col min="10" max="10" width="17.85546875" hidden="1" customWidth="1"/>
    <col min="11" max="11" width="19.140625" customWidth="1"/>
    <col min="12" max="12" width="12" customWidth="1"/>
    <col min="13" max="15" width="11.28515625" hidden="1" customWidth="1"/>
    <col min="16" max="16" width="16" hidden="1" customWidth="1"/>
    <col min="17" max="17" width="17.42578125" customWidth="1"/>
    <col min="18" max="18" width="9" customWidth="1"/>
    <col min="19" max="19" width="12.42578125" customWidth="1"/>
    <col min="20" max="20" width="8.42578125" customWidth="1"/>
    <col min="21" max="21" width="11.42578125" customWidth="1"/>
    <col min="22" max="22" width="14.5703125" style="82" customWidth="1"/>
    <col min="23" max="23" width="17" style="82" customWidth="1"/>
  </cols>
  <sheetData>
    <row r="2" spans="2:26" ht="21">
      <c r="B2" s="1335" t="s">
        <v>84</v>
      </c>
      <c r="C2" s="1335"/>
      <c r="D2" s="1335"/>
      <c r="E2" s="1335"/>
      <c r="F2" s="1335"/>
      <c r="G2" s="1335"/>
      <c r="H2" s="1335"/>
      <c r="I2" s="1335"/>
      <c r="J2" s="1335"/>
      <c r="K2" s="1335"/>
      <c r="L2" s="1335"/>
      <c r="M2" s="1335"/>
      <c r="N2" s="1335"/>
      <c r="O2" s="1335"/>
      <c r="P2" s="1335"/>
      <c r="Q2" s="1335"/>
      <c r="R2" s="1335"/>
      <c r="S2" s="1335"/>
      <c r="T2" s="1335"/>
      <c r="U2" s="1335"/>
      <c r="V2" s="1335"/>
      <c r="W2" s="1335"/>
    </row>
    <row r="3" spans="2:26">
      <c r="B3" s="1" t="s">
        <v>610</v>
      </c>
    </row>
    <row r="4" spans="2:26" ht="22.5" customHeight="1">
      <c r="B4" s="1295" t="s">
        <v>40</v>
      </c>
      <c r="C4" s="1295" t="s">
        <v>81</v>
      </c>
      <c r="D4" s="1324" t="s">
        <v>90</v>
      </c>
      <c r="E4" s="1324"/>
      <c r="F4" s="1324"/>
      <c r="G4" s="1339"/>
      <c r="H4" s="1324"/>
      <c r="I4" s="1324"/>
      <c r="J4" s="1324"/>
      <c r="K4" s="1324"/>
      <c r="L4" s="1324"/>
      <c r="M4" s="1324" t="s">
        <v>259</v>
      </c>
      <c r="N4" s="1324"/>
      <c r="O4" s="1324"/>
      <c r="P4" s="1295" t="s">
        <v>83</v>
      </c>
      <c r="Q4" s="1295" t="s">
        <v>86</v>
      </c>
      <c r="R4" s="1331" t="s">
        <v>316</v>
      </c>
      <c r="S4" s="1332"/>
      <c r="T4" s="1333" t="s">
        <v>317</v>
      </c>
      <c r="U4" s="1334"/>
      <c r="V4" s="1329" t="s">
        <v>105</v>
      </c>
      <c r="W4" s="1329" t="s">
        <v>103</v>
      </c>
    </row>
    <row r="5" spans="2:26" ht="45" customHeight="1">
      <c r="B5" s="1312"/>
      <c r="C5" s="1312"/>
      <c r="D5" s="190" t="s">
        <v>108</v>
      </c>
      <c r="E5" s="195">
        <v>6</v>
      </c>
      <c r="F5" s="210">
        <v>13</v>
      </c>
      <c r="G5" s="667">
        <v>18</v>
      </c>
      <c r="H5" s="196">
        <v>20</v>
      </c>
      <c r="I5" s="193" t="s">
        <v>85</v>
      </c>
      <c r="J5" s="190" t="s">
        <v>330</v>
      </c>
      <c r="K5" s="190" t="s">
        <v>82</v>
      </c>
      <c r="L5" s="190" t="s">
        <v>87</v>
      </c>
      <c r="M5" s="197" t="s">
        <v>88</v>
      </c>
      <c r="N5" s="197" t="s">
        <v>82</v>
      </c>
      <c r="O5" s="197" t="s">
        <v>89</v>
      </c>
      <c r="P5" s="1312"/>
      <c r="Q5" s="1312"/>
      <c r="R5" s="630" t="s">
        <v>318</v>
      </c>
      <c r="S5" s="634" t="s">
        <v>321</v>
      </c>
      <c r="T5" s="630" t="s">
        <v>318</v>
      </c>
      <c r="U5" s="634" t="s">
        <v>322</v>
      </c>
      <c r="V5" s="1330"/>
      <c r="W5" s="1330"/>
    </row>
    <row r="6" spans="2:26" ht="24.75" customHeight="1">
      <c r="B6" s="123">
        <v>1</v>
      </c>
      <c r="C6" s="5" t="str">
        <f>Sheet2!C10</f>
        <v>SUIP</v>
      </c>
      <c r="D6" s="191">
        <f>'CKROL PHT'!AH16</f>
        <v>948</v>
      </c>
      <c r="E6" s="97"/>
      <c r="F6" s="97"/>
      <c r="G6" s="668"/>
      <c r="H6" s="191"/>
      <c r="I6" s="191">
        <f>E6</f>
        <v>0</v>
      </c>
      <c r="J6" s="191">
        <f>D6+I6</f>
        <v>948</v>
      </c>
      <c r="K6" s="314">
        <v>16.729800000000001</v>
      </c>
      <c r="L6" s="191">
        <f>D6*K6</f>
        <v>15859.850400000001</v>
      </c>
      <c r="M6" s="191"/>
      <c r="N6" s="198"/>
      <c r="O6" s="191">
        <f>M6*N6</f>
        <v>0</v>
      </c>
      <c r="P6" s="191">
        <f>L6+O6</f>
        <v>15859.850400000001</v>
      </c>
      <c r="Q6" s="97"/>
      <c r="R6" s="727"/>
      <c r="S6" s="724"/>
      <c r="T6" s="727"/>
      <c r="U6" s="725"/>
      <c r="V6" s="726">
        <f>S6+U6</f>
        <v>0</v>
      </c>
      <c r="W6" s="308">
        <f>Q6+V6</f>
        <v>0</v>
      </c>
    </row>
    <row r="7" spans="2:26" ht="24.75" customHeight="1">
      <c r="B7" s="123">
        <v>2</v>
      </c>
      <c r="C7" s="5" t="str">
        <f>Sheet2!C11</f>
        <v>ROBIN DINATA</v>
      </c>
      <c r="D7" s="191">
        <f>'CKROL PHT'!AH27</f>
        <v>1037</v>
      </c>
      <c r="E7" s="97"/>
      <c r="F7" s="97"/>
      <c r="G7" s="668"/>
      <c r="H7" s="191"/>
      <c r="I7" s="191">
        <f t="shared" ref="I7:I19" si="0">E7</f>
        <v>0</v>
      </c>
      <c r="J7" s="191">
        <f t="shared" ref="J7:J23" si="1">D7+I7</f>
        <v>1037</v>
      </c>
      <c r="K7" s="314">
        <v>16.729800000000001</v>
      </c>
      <c r="L7" s="191">
        <f t="shared" ref="L7:L24" si="2">D7*K7</f>
        <v>17348.802600000003</v>
      </c>
      <c r="M7" s="191"/>
      <c r="N7" s="198"/>
      <c r="O7" s="191">
        <f t="shared" ref="O7:O19" si="3">M7*N7</f>
        <v>0</v>
      </c>
      <c r="P7" s="191">
        <f t="shared" ref="P7:P23" si="4">L7+O7</f>
        <v>17348.802600000003</v>
      </c>
      <c r="Q7" s="97"/>
      <c r="R7" s="725"/>
      <c r="S7" s="724"/>
      <c r="T7" s="725"/>
      <c r="U7" s="725"/>
      <c r="V7" s="726">
        <f>S7+U7</f>
        <v>0</v>
      </c>
      <c r="W7" s="308">
        <f t="shared" ref="W7:W19" si="5">Q7+V7</f>
        <v>0</v>
      </c>
    </row>
    <row r="8" spans="2:26" ht="24.75" customHeight="1">
      <c r="B8" s="123">
        <v>3</v>
      </c>
      <c r="C8" s="5" t="str">
        <f>Sheet2!C12</f>
        <v>SAPARUDIN</v>
      </c>
      <c r="D8" s="191">
        <f>'CKROL PHT'!AH38</f>
        <v>1063</v>
      </c>
      <c r="E8" s="97"/>
      <c r="F8" s="97"/>
      <c r="G8" s="668"/>
      <c r="H8" s="191"/>
      <c r="I8" s="191">
        <f t="shared" si="0"/>
        <v>0</v>
      </c>
      <c r="J8" s="191">
        <f t="shared" si="1"/>
        <v>1063</v>
      </c>
      <c r="K8" s="314">
        <v>16.729800000000001</v>
      </c>
      <c r="L8" s="191">
        <f t="shared" si="2"/>
        <v>17783.777400000003</v>
      </c>
      <c r="M8" s="191"/>
      <c r="N8" s="198"/>
      <c r="O8" s="191">
        <f t="shared" si="3"/>
        <v>0</v>
      </c>
      <c r="P8" s="191">
        <f t="shared" si="4"/>
        <v>17783.777400000003</v>
      </c>
      <c r="Q8" s="97"/>
      <c r="R8" s="728"/>
      <c r="S8" s="728"/>
      <c r="T8" s="728"/>
      <c r="U8" s="728"/>
      <c r="V8" s="401"/>
      <c r="W8" s="308">
        <f t="shared" si="5"/>
        <v>0</v>
      </c>
      <c r="Z8">
        <f>347980/21453</f>
        <v>16.22057521092621</v>
      </c>
    </row>
    <row r="9" spans="2:26" ht="24.75" customHeight="1">
      <c r="B9" s="213">
        <v>4</v>
      </c>
      <c r="C9" s="5" t="str">
        <f>Sheet2!C13</f>
        <v>SONJA PRIYOGA</v>
      </c>
      <c r="D9" s="191">
        <f>'CKROL PHT'!AH49</f>
        <v>1100</v>
      </c>
      <c r="E9" s="97"/>
      <c r="F9" s="97"/>
      <c r="G9" s="668"/>
      <c r="H9" s="191"/>
      <c r="I9" s="191">
        <f t="shared" si="0"/>
        <v>0</v>
      </c>
      <c r="J9" s="191">
        <f t="shared" si="1"/>
        <v>1100</v>
      </c>
      <c r="K9" s="314">
        <v>16.729800000000001</v>
      </c>
      <c r="L9" s="191">
        <f t="shared" si="2"/>
        <v>18402.780000000002</v>
      </c>
      <c r="M9" s="191"/>
      <c r="N9" s="198"/>
      <c r="O9" s="191">
        <f t="shared" si="3"/>
        <v>0</v>
      </c>
      <c r="P9" s="191">
        <f t="shared" si="4"/>
        <v>18402.780000000002</v>
      </c>
      <c r="Q9" s="97"/>
      <c r="R9" s="728"/>
      <c r="S9" s="728"/>
      <c r="T9" s="728"/>
      <c r="U9" s="728"/>
      <c r="V9" s="401"/>
      <c r="W9" s="308">
        <f t="shared" si="5"/>
        <v>0</v>
      </c>
    </row>
    <row r="10" spans="2:26" ht="24.75" customHeight="1">
      <c r="B10" s="213">
        <v>5</v>
      </c>
      <c r="C10" s="5" t="str">
        <f>Sheet2!C14</f>
        <v>AHAP</v>
      </c>
      <c r="D10" s="191">
        <f>'CKROL PHT'!AH60</f>
        <v>1234</v>
      </c>
      <c r="E10" s="97"/>
      <c r="F10" s="97"/>
      <c r="G10" s="668"/>
      <c r="H10" s="191"/>
      <c r="I10" s="191">
        <f t="shared" si="0"/>
        <v>0</v>
      </c>
      <c r="J10" s="191">
        <f t="shared" si="1"/>
        <v>1234</v>
      </c>
      <c r="K10" s="314">
        <v>16.729800000000001</v>
      </c>
      <c r="L10" s="191">
        <f t="shared" si="2"/>
        <v>20644.573200000003</v>
      </c>
      <c r="M10" s="97"/>
      <c r="N10" s="198"/>
      <c r="O10" s="191">
        <f t="shared" si="3"/>
        <v>0</v>
      </c>
      <c r="P10" s="191">
        <f t="shared" si="4"/>
        <v>20644.573200000003</v>
      </c>
      <c r="Q10" s="97"/>
      <c r="R10" s="728"/>
      <c r="S10" s="728"/>
      <c r="T10" s="728"/>
      <c r="U10" s="728"/>
      <c r="V10" s="401"/>
      <c r="W10" s="308">
        <f t="shared" si="5"/>
        <v>0</v>
      </c>
    </row>
    <row r="11" spans="2:26" ht="24.75" customHeight="1">
      <c r="B11" s="213">
        <v>6</v>
      </c>
      <c r="C11" s="5" t="str">
        <f>Sheet2!C15</f>
        <v>IHSAN</v>
      </c>
      <c r="D11" s="191">
        <f>'CKROL PHT'!AH71</f>
        <v>1082</v>
      </c>
      <c r="E11" s="97"/>
      <c r="F11" s="97"/>
      <c r="G11" s="668"/>
      <c r="H11" s="191"/>
      <c r="I11" s="191">
        <f t="shared" si="0"/>
        <v>0</v>
      </c>
      <c r="J11" s="191">
        <f t="shared" si="1"/>
        <v>1082</v>
      </c>
      <c r="K11" s="314">
        <v>16.729800000000001</v>
      </c>
      <c r="L11" s="191">
        <f t="shared" si="2"/>
        <v>18101.643599999999</v>
      </c>
      <c r="M11" s="97"/>
      <c r="N11" s="198"/>
      <c r="O11" s="191">
        <f t="shared" si="3"/>
        <v>0</v>
      </c>
      <c r="P11" s="191">
        <f t="shared" si="4"/>
        <v>18101.643599999999</v>
      </c>
      <c r="Q11" s="97"/>
      <c r="R11" s="728"/>
      <c r="S11" s="728"/>
      <c r="T11" s="728"/>
      <c r="U11" s="728"/>
      <c r="V11" s="401"/>
      <c r="W11" s="308">
        <f t="shared" si="5"/>
        <v>0</v>
      </c>
    </row>
    <row r="12" spans="2:26" ht="24.75" customHeight="1">
      <c r="B12" s="213">
        <v>7</v>
      </c>
      <c r="C12" s="5" t="str">
        <f>Sheet2!C16</f>
        <v>QISTAHAM</v>
      </c>
      <c r="D12" s="191">
        <f>'CKROL PHT'!AH82</f>
        <v>1663</v>
      </c>
      <c r="E12" s="97"/>
      <c r="F12" s="97"/>
      <c r="G12" s="668"/>
      <c r="H12" s="191"/>
      <c r="I12" s="191">
        <f t="shared" si="0"/>
        <v>0</v>
      </c>
      <c r="J12" s="191">
        <f t="shared" si="1"/>
        <v>1663</v>
      </c>
      <c r="K12" s="314">
        <v>16.729800000000001</v>
      </c>
      <c r="L12" s="191">
        <f t="shared" si="2"/>
        <v>27821.6574</v>
      </c>
      <c r="M12" s="97"/>
      <c r="N12" s="198"/>
      <c r="O12" s="191">
        <f t="shared" si="3"/>
        <v>0</v>
      </c>
      <c r="P12" s="191">
        <f t="shared" si="4"/>
        <v>27821.6574</v>
      </c>
      <c r="Q12" s="97">
        <v>150000</v>
      </c>
      <c r="R12" s="728"/>
      <c r="S12" s="728"/>
      <c r="T12" s="728"/>
      <c r="U12" s="728"/>
      <c r="V12" s="401"/>
      <c r="W12" s="308">
        <f t="shared" si="5"/>
        <v>150000</v>
      </c>
    </row>
    <row r="13" spans="2:26" ht="24.75" customHeight="1">
      <c r="B13" s="213">
        <v>8</v>
      </c>
      <c r="C13" s="5" t="str">
        <f>Sheet2!C17</f>
        <v>JAYADI</v>
      </c>
      <c r="D13" s="191">
        <f>'CKROL PHT'!AH93</f>
        <v>1322</v>
      </c>
      <c r="E13" s="97"/>
      <c r="F13" s="97"/>
      <c r="G13" s="668"/>
      <c r="H13" s="191"/>
      <c r="I13" s="191">
        <f t="shared" si="0"/>
        <v>0</v>
      </c>
      <c r="J13" s="191">
        <f t="shared" si="1"/>
        <v>1322</v>
      </c>
      <c r="K13" s="314">
        <v>16.729800000000001</v>
      </c>
      <c r="L13" s="97">
        <f t="shared" si="2"/>
        <v>22116.795600000001</v>
      </c>
      <c r="M13" s="97"/>
      <c r="N13" s="198"/>
      <c r="O13" s="191">
        <f t="shared" si="3"/>
        <v>0</v>
      </c>
      <c r="P13" s="191">
        <f t="shared" si="4"/>
        <v>22116.795600000001</v>
      </c>
      <c r="Q13" s="97"/>
      <c r="R13" s="728"/>
      <c r="S13" s="728"/>
      <c r="T13" s="728"/>
      <c r="U13" s="728"/>
      <c r="V13" s="401"/>
      <c r="W13" s="308">
        <f t="shared" si="5"/>
        <v>0</v>
      </c>
    </row>
    <row r="14" spans="2:26" ht="24.75" customHeight="1">
      <c r="B14" s="213">
        <v>9</v>
      </c>
      <c r="C14" s="5" t="str">
        <f>Sheet2!C18</f>
        <v>M.AMIN</v>
      </c>
      <c r="D14" s="191">
        <f>'CKROL PHT'!AH104</f>
        <v>887</v>
      </c>
      <c r="E14" s="97"/>
      <c r="F14" s="97"/>
      <c r="G14" s="668"/>
      <c r="H14" s="191"/>
      <c r="I14" s="191">
        <f t="shared" si="0"/>
        <v>0</v>
      </c>
      <c r="J14" s="191">
        <f t="shared" si="1"/>
        <v>887</v>
      </c>
      <c r="K14" s="314">
        <v>16.729800000000001</v>
      </c>
      <c r="L14" s="97">
        <f t="shared" si="2"/>
        <v>14839.332600000002</v>
      </c>
      <c r="M14" s="97"/>
      <c r="N14" s="198"/>
      <c r="O14" s="191">
        <f t="shared" si="3"/>
        <v>0</v>
      </c>
      <c r="P14" s="191">
        <f t="shared" si="4"/>
        <v>14839.332600000002</v>
      </c>
      <c r="Q14" s="97"/>
      <c r="R14" s="728"/>
      <c r="S14" s="728"/>
      <c r="T14" s="728"/>
      <c r="U14" s="728"/>
      <c r="V14" s="401"/>
      <c r="W14" s="308">
        <f t="shared" si="5"/>
        <v>0</v>
      </c>
    </row>
    <row r="15" spans="2:26" ht="24.75" customHeight="1">
      <c r="B15" s="213">
        <v>10</v>
      </c>
      <c r="C15" s="5" t="str">
        <f>Sheet2!C19</f>
        <v>SAMSUL HADI</v>
      </c>
      <c r="D15" s="191">
        <f>'CKROL PHT'!AH115</f>
        <v>1399</v>
      </c>
      <c r="E15" s="97"/>
      <c r="F15" s="97"/>
      <c r="G15" s="668"/>
      <c r="H15" s="191"/>
      <c r="I15" s="191">
        <f t="shared" si="0"/>
        <v>0</v>
      </c>
      <c r="J15" s="191">
        <f t="shared" si="1"/>
        <v>1399</v>
      </c>
      <c r="K15" s="314">
        <v>16.729800000000001</v>
      </c>
      <c r="L15" s="97">
        <f t="shared" si="2"/>
        <v>23404.9902</v>
      </c>
      <c r="M15" s="97"/>
      <c r="N15" s="198"/>
      <c r="O15" s="191">
        <f t="shared" si="3"/>
        <v>0</v>
      </c>
      <c r="P15" s="191">
        <f t="shared" si="4"/>
        <v>23404.9902</v>
      </c>
      <c r="Q15" s="97">
        <v>150000</v>
      </c>
      <c r="R15" s="728"/>
      <c r="S15" s="728"/>
      <c r="T15" s="728"/>
      <c r="U15" s="728"/>
      <c r="V15" s="401"/>
      <c r="W15" s="308">
        <f t="shared" si="5"/>
        <v>150000</v>
      </c>
    </row>
    <row r="16" spans="2:26" ht="24.75" customHeight="1">
      <c r="B16" s="213">
        <v>11</v>
      </c>
      <c r="C16" s="5" t="str">
        <f>Sheet2!C20</f>
        <v>SAPARUDIN</v>
      </c>
      <c r="D16" s="191">
        <f>'CKROL PHT'!AH126</f>
        <v>1322</v>
      </c>
      <c r="E16" s="97"/>
      <c r="F16" s="97"/>
      <c r="G16" s="668"/>
      <c r="H16" s="191"/>
      <c r="I16" s="191">
        <f t="shared" si="0"/>
        <v>0</v>
      </c>
      <c r="J16" s="191">
        <f t="shared" si="1"/>
        <v>1322</v>
      </c>
      <c r="K16" s="314">
        <v>16.729800000000001</v>
      </c>
      <c r="L16" s="97">
        <f t="shared" si="2"/>
        <v>22116.795600000001</v>
      </c>
      <c r="M16" s="97"/>
      <c r="N16" s="198"/>
      <c r="O16" s="191">
        <f t="shared" si="3"/>
        <v>0</v>
      </c>
      <c r="P16" s="191">
        <f t="shared" si="4"/>
        <v>22116.795600000001</v>
      </c>
      <c r="Q16" s="97"/>
      <c r="R16" s="728"/>
      <c r="S16" s="724"/>
      <c r="T16" s="728"/>
      <c r="U16" s="725"/>
      <c r="V16" s="726"/>
      <c r="W16" s="308">
        <f t="shared" si="5"/>
        <v>0</v>
      </c>
    </row>
    <row r="17" spans="2:23" ht="24.75" customHeight="1">
      <c r="B17" s="213">
        <v>12</v>
      </c>
      <c r="C17" s="5" t="str">
        <f>Sheet2!C21</f>
        <v>FAHRUDIN</v>
      </c>
      <c r="D17" s="191">
        <f>'CKROL PHT'!AH137</f>
        <v>2308</v>
      </c>
      <c r="E17" s="97"/>
      <c r="F17" s="97"/>
      <c r="G17" s="668"/>
      <c r="H17" s="191"/>
      <c r="I17" s="191">
        <f t="shared" si="0"/>
        <v>0</v>
      </c>
      <c r="J17" s="191">
        <f t="shared" si="1"/>
        <v>2308</v>
      </c>
      <c r="K17" s="314">
        <v>16.729800000000001</v>
      </c>
      <c r="L17" s="97">
        <f t="shared" si="2"/>
        <v>38612.378400000001</v>
      </c>
      <c r="M17" s="97"/>
      <c r="N17" s="198"/>
      <c r="O17" s="191">
        <f t="shared" si="3"/>
        <v>0</v>
      </c>
      <c r="P17" s="191">
        <f t="shared" si="4"/>
        <v>38612.378400000001</v>
      </c>
      <c r="Q17" s="97">
        <v>300000</v>
      </c>
      <c r="R17" s="728">
        <f>'CKROL PHT'!H137+'CKROL PHT'!K137+'CKROL PHT'!P137+'CKROL PHT'!Y137+'CKROL PHT'!AC137+'CKROL PHT'!AD137</f>
        <v>244</v>
      </c>
      <c r="S17" s="728">
        <f>(R17*K17/1000)*5000</f>
        <v>20410.356000000003</v>
      </c>
      <c r="T17" s="728"/>
      <c r="U17" s="728">
        <f>(T17*K17/1000)*2500</f>
        <v>0</v>
      </c>
      <c r="V17" s="401">
        <f>S17+U17</f>
        <v>20410.356000000003</v>
      </c>
      <c r="W17" s="308">
        <f t="shared" si="5"/>
        <v>320410.35600000003</v>
      </c>
    </row>
    <row r="18" spans="2:23" ht="24.75" customHeight="1">
      <c r="B18" s="213">
        <v>13</v>
      </c>
      <c r="C18" s="5" t="str">
        <f>Sheet2!C22</f>
        <v>HERIANTO ARBI</v>
      </c>
      <c r="D18" s="191">
        <f>'CKROL PHT'!AH148</f>
        <v>1112</v>
      </c>
      <c r="E18" s="97"/>
      <c r="F18" s="97"/>
      <c r="G18" s="668"/>
      <c r="H18" s="191"/>
      <c r="I18" s="191">
        <f t="shared" si="0"/>
        <v>0</v>
      </c>
      <c r="J18" s="191">
        <f t="shared" si="1"/>
        <v>1112</v>
      </c>
      <c r="K18" s="314">
        <v>16.729800000000001</v>
      </c>
      <c r="L18" s="191">
        <f t="shared" si="2"/>
        <v>18603.5376</v>
      </c>
      <c r="M18" s="191"/>
      <c r="N18" s="198"/>
      <c r="O18" s="191">
        <f t="shared" si="3"/>
        <v>0</v>
      </c>
      <c r="P18" s="191">
        <f t="shared" si="4"/>
        <v>18603.5376</v>
      </c>
      <c r="Q18" s="97"/>
      <c r="R18" s="728"/>
      <c r="S18" s="728"/>
      <c r="T18" s="728"/>
      <c r="U18" s="728"/>
      <c r="V18" s="401"/>
      <c r="W18" s="308">
        <f t="shared" si="5"/>
        <v>0</v>
      </c>
    </row>
    <row r="19" spans="2:23" ht="24.75" customHeight="1">
      <c r="B19" s="213">
        <v>14</v>
      </c>
      <c r="C19" s="5" t="str">
        <f>Sheet2!C23</f>
        <v>RIDUAN</v>
      </c>
      <c r="D19" s="191">
        <f>'CKROL PHT'!AH159</f>
        <v>838</v>
      </c>
      <c r="E19" s="97"/>
      <c r="F19" s="97"/>
      <c r="G19" s="668"/>
      <c r="H19" s="191"/>
      <c r="I19" s="191">
        <f t="shared" si="0"/>
        <v>0</v>
      </c>
      <c r="J19" s="191">
        <f t="shared" si="1"/>
        <v>838</v>
      </c>
      <c r="K19" s="314">
        <v>16.729800000000001</v>
      </c>
      <c r="L19" s="191">
        <f t="shared" si="2"/>
        <v>14019.572400000001</v>
      </c>
      <c r="M19" s="191"/>
      <c r="N19" s="198"/>
      <c r="O19" s="191">
        <f t="shared" si="3"/>
        <v>0</v>
      </c>
      <c r="P19" s="191">
        <f t="shared" si="4"/>
        <v>14019.572400000001</v>
      </c>
      <c r="Q19" s="97"/>
      <c r="R19" s="728"/>
      <c r="S19" s="749"/>
      <c r="T19" s="728"/>
      <c r="U19" s="725"/>
      <c r="V19" s="401"/>
      <c r="W19" s="308">
        <f t="shared" si="5"/>
        <v>0</v>
      </c>
    </row>
    <row r="20" spans="2:23" ht="24.75" customHeight="1">
      <c r="B20" s="213">
        <v>15</v>
      </c>
      <c r="C20" s="5" t="str">
        <f>Sheet2!C24</f>
        <v>DEKI FRANZA</v>
      </c>
      <c r="D20" s="797">
        <f>'CKROL PHT'!AH170</f>
        <v>459</v>
      </c>
      <c r="E20" s="882"/>
      <c r="F20" s="882"/>
      <c r="G20" s="882"/>
      <c r="H20" s="797"/>
      <c r="I20" s="797"/>
      <c r="J20" s="191">
        <f t="shared" si="1"/>
        <v>459</v>
      </c>
      <c r="K20" s="314">
        <v>16.729800000000001</v>
      </c>
      <c r="L20" s="191">
        <f t="shared" si="2"/>
        <v>7678.9782000000005</v>
      </c>
      <c r="M20" s="797"/>
      <c r="N20" s="883"/>
      <c r="O20" s="797"/>
      <c r="P20" s="191">
        <f t="shared" si="4"/>
        <v>7678.9782000000005</v>
      </c>
      <c r="Q20" s="882"/>
      <c r="R20" s="884"/>
      <c r="S20" s="885"/>
      <c r="T20" s="884"/>
      <c r="U20" s="886"/>
      <c r="V20" s="870"/>
      <c r="W20" s="800"/>
    </row>
    <row r="21" spans="2:23" ht="24.75" customHeight="1">
      <c r="B21" s="213">
        <v>16</v>
      </c>
      <c r="C21" s="5" t="str">
        <f>Sheet2!C25</f>
        <v>FRANSISKO GAUTAMA</v>
      </c>
      <c r="D21" s="797">
        <f>'CKROL PHT'!AH181</f>
        <v>770</v>
      </c>
      <c r="E21" s="882"/>
      <c r="F21" s="882"/>
      <c r="G21" s="882"/>
      <c r="H21" s="797"/>
      <c r="I21" s="797"/>
      <c r="J21" s="191">
        <f t="shared" si="1"/>
        <v>770</v>
      </c>
      <c r="K21" s="314">
        <v>16.729800000000001</v>
      </c>
      <c r="L21" s="191">
        <f t="shared" si="2"/>
        <v>12881.946</v>
      </c>
      <c r="M21" s="797"/>
      <c r="N21" s="883"/>
      <c r="O21" s="797"/>
      <c r="P21" s="191">
        <f t="shared" si="4"/>
        <v>12881.946</v>
      </c>
      <c r="Q21" s="882"/>
      <c r="R21" s="884"/>
      <c r="S21" s="885"/>
      <c r="T21" s="884"/>
      <c r="U21" s="886"/>
      <c r="V21" s="870"/>
      <c r="W21" s="800"/>
    </row>
    <row r="22" spans="2:23" ht="24.75" customHeight="1">
      <c r="B22" s="213">
        <v>17</v>
      </c>
      <c r="C22" s="5" t="str">
        <f>Sheet2!C26</f>
        <v>M.IDRIS PRATAMA</v>
      </c>
      <c r="D22" s="797">
        <f>'CKROL PHT'!AH192</f>
        <v>828</v>
      </c>
      <c r="E22" s="882"/>
      <c r="F22" s="882"/>
      <c r="G22" s="882"/>
      <c r="H22" s="797"/>
      <c r="I22" s="797"/>
      <c r="J22" s="191">
        <f t="shared" si="1"/>
        <v>828</v>
      </c>
      <c r="K22" s="314">
        <v>16.729800000000001</v>
      </c>
      <c r="L22" s="191">
        <f t="shared" si="2"/>
        <v>13852.2744</v>
      </c>
      <c r="M22" s="797"/>
      <c r="N22" s="883"/>
      <c r="O22" s="797"/>
      <c r="P22" s="191">
        <f t="shared" si="4"/>
        <v>13852.2744</v>
      </c>
      <c r="Q22" s="882"/>
      <c r="R22" s="884"/>
      <c r="S22" s="885"/>
      <c r="T22" s="884"/>
      <c r="U22" s="886"/>
      <c r="V22" s="870"/>
      <c r="W22" s="800"/>
    </row>
    <row r="23" spans="2:23" ht="24.75" customHeight="1">
      <c r="B23" s="213">
        <v>18</v>
      </c>
      <c r="C23" s="5" t="str">
        <f>Sheet2!C27</f>
        <v>SUTRA PRAYOGI</v>
      </c>
      <c r="D23" s="797">
        <f>'CKROL PHT'!AH203</f>
        <v>980</v>
      </c>
      <c r="E23" s="882"/>
      <c r="F23" s="882"/>
      <c r="G23" s="882"/>
      <c r="H23" s="797"/>
      <c r="I23" s="797"/>
      <c r="J23" s="191">
        <f t="shared" si="1"/>
        <v>980</v>
      </c>
      <c r="K23" s="314">
        <v>16.729800000000001</v>
      </c>
      <c r="L23" s="191">
        <f t="shared" si="2"/>
        <v>16395.204000000002</v>
      </c>
      <c r="M23" s="797"/>
      <c r="N23" s="883"/>
      <c r="O23" s="797"/>
      <c r="P23" s="191">
        <f t="shared" si="4"/>
        <v>16395.204000000002</v>
      </c>
      <c r="Q23" s="882"/>
      <c r="R23" s="884"/>
      <c r="S23" s="885"/>
      <c r="T23" s="884"/>
      <c r="U23" s="886"/>
      <c r="V23" s="870"/>
      <c r="W23" s="800"/>
    </row>
    <row r="24" spans="2:23" ht="24.75" customHeight="1">
      <c r="B24" s="213">
        <v>19</v>
      </c>
      <c r="C24" s="1291" t="s">
        <v>414</v>
      </c>
      <c r="D24" s="797">
        <f>'CKROL PHT'!AH214</f>
        <v>751</v>
      </c>
      <c r="E24" s="882"/>
      <c r="F24" s="882"/>
      <c r="G24" s="882"/>
      <c r="H24" s="797"/>
      <c r="I24" s="797"/>
      <c r="J24" s="797"/>
      <c r="K24" s="314">
        <v>16.729800000000001</v>
      </c>
      <c r="L24" s="191">
        <f t="shared" si="2"/>
        <v>12564.079800000001</v>
      </c>
      <c r="M24" s="797"/>
      <c r="N24" s="883"/>
      <c r="O24" s="797"/>
      <c r="P24" s="797"/>
      <c r="Q24" s="882"/>
      <c r="R24" s="884"/>
      <c r="S24" s="885"/>
      <c r="T24" s="884"/>
      <c r="U24" s="886"/>
      <c r="V24" s="870"/>
      <c r="W24" s="800"/>
    </row>
    <row r="25" spans="2:23" ht="24.75" customHeight="1">
      <c r="B25" s="313"/>
      <c r="C25" s="890" t="s">
        <v>259</v>
      </c>
      <c r="D25" s="191"/>
      <c r="E25" s="97"/>
      <c r="F25" s="97"/>
      <c r="G25" s="668"/>
      <c r="H25" s="191"/>
      <c r="I25" s="191"/>
      <c r="J25" s="191"/>
      <c r="K25" s="314"/>
      <c r="L25" s="97">
        <v>17599</v>
      </c>
      <c r="M25" s="191"/>
      <c r="N25" s="198"/>
      <c r="O25" s="191"/>
      <c r="P25" s="97"/>
      <c r="Q25" s="191"/>
      <c r="R25" s="612"/>
      <c r="S25" s="612"/>
      <c r="T25" s="612"/>
      <c r="U25" s="612"/>
      <c r="V25" s="213"/>
      <c r="W25" s="308"/>
    </row>
    <row r="26" spans="2:23" ht="24.75" customHeight="1">
      <c r="B26" s="1337" t="s">
        <v>10</v>
      </c>
      <c r="C26" s="1338"/>
      <c r="D26" s="191">
        <f>SUM(D6:D25)</f>
        <v>21103</v>
      </c>
      <c r="E26" s="191">
        <f t="shared" ref="E26:J26" si="6">SUM(E6:E23)</f>
        <v>0</v>
      </c>
      <c r="F26" s="191">
        <f t="shared" si="6"/>
        <v>0</v>
      </c>
      <c r="G26" s="191">
        <f t="shared" si="6"/>
        <v>0</v>
      </c>
      <c r="H26" s="191">
        <f t="shared" si="6"/>
        <v>0</v>
      </c>
      <c r="I26" s="191">
        <f t="shared" si="6"/>
        <v>0</v>
      </c>
      <c r="J26" s="191">
        <f t="shared" si="6"/>
        <v>20352</v>
      </c>
      <c r="K26" s="191"/>
      <c r="L26" s="97">
        <f>SUM(L6:L24)-L25</f>
        <v>335449.96940000006</v>
      </c>
      <c r="M26" s="97"/>
      <c r="N26" s="97"/>
      <c r="O26" s="97"/>
      <c r="P26" s="669">
        <f>SUM(P6:P23)</f>
        <v>340484.88960000005</v>
      </c>
      <c r="Q26" s="308">
        <f>SUM(Q6:Q25)</f>
        <v>600000</v>
      </c>
      <c r="R26" s="635"/>
      <c r="S26" s="636">
        <f>SUM(S6:S19)</f>
        <v>20410.356000000003</v>
      </c>
      <c r="T26" s="637"/>
      <c r="U26" s="636">
        <f>SUM(U6:U19)</f>
        <v>0</v>
      </c>
      <c r="V26" s="308">
        <f>SUM(V6:V25)</f>
        <v>20410.356000000003</v>
      </c>
      <c r="W26" s="308">
        <f>SUM(W6:W25)</f>
        <v>620410.35600000003</v>
      </c>
    </row>
    <row r="27" spans="2:23" ht="20.25" customHeight="1">
      <c r="B27" s="617"/>
      <c r="C27" s="617"/>
      <c r="D27" s="333"/>
      <c r="E27" s="333"/>
      <c r="F27" s="333"/>
      <c r="G27" s="333"/>
      <c r="H27" s="333"/>
      <c r="I27" s="333"/>
      <c r="J27" s="333"/>
      <c r="K27" s="333"/>
      <c r="L27" s="133"/>
      <c r="M27" s="133"/>
      <c r="N27" s="133"/>
      <c r="O27" s="133"/>
      <c r="P27" s="133"/>
      <c r="Q27" s="333"/>
      <c r="R27" s="331"/>
      <c r="S27" s="331"/>
      <c r="T27" s="614"/>
      <c r="U27" s="614"/>
      <c r="V27" s="333"/>
      <c r="W27" s="333"/>
    </row>
    <row r="28" spans="2:23" ht="20.25" customHeight="1">
      <c r="B28" s="334"/>
      <c r="C28" s="334"/>
      <c r="D28" s="335"/>
      <c r="E28" s="325"/>
      <c r="F28" s="325"/>
      <c r="G28" s="325"/>
      <c r="H28" s="325"/>
      <c r="I28" s="325"/>
      <c r="J28" s="333"/>
      <c r="K28" s="783"/>
      <c r="L28" s="133"/>
      <c r="M28" s="133"/>
      <c r="N28" s="133"/>
      <c r="O28" s="133"/>
      <c r="P28" s="750"/>
      <c r="Q28" s="333"/>
      <c r="V28" s="333"/>
      <c r="W28" s="333"/>
    </row>
    <row r="29" spans="2:23" ht="18.75" customHeight="1">
      <c r="C29" s="1343" t="s">
        <v>111</v>
      </c>
      <c r="D29" s="1343"/>
      <c r="J29" s="1323" t="s">
        <v>112</v>
      </c>
      <c r="K29" s="1323"/>
      <c r="M29" s="331"/>
      <c r="N29" s="331"/>
      <c r="O29" s="331"/>
      <c r="P29" s="1323" t="s">
        <v>307</v>
      </c>
      <c r="Q29" s="1323"/>
      <c r="R29" s="1323"/>
      <c r="S29" s="331"/>
      <c r="T29" s="331"/>
      <c r="U29" s="1323" t="s">
        <v>113</v>
      </c>
      <c r="V29" s="1323"/>
    </row>
    <row r="30" spans="2:23" ht="18.75" customHeight="1">
      <c r="C30" s="616"/>
      <c r="D30" s="616"/>
      <c r="J30" s="614"/>
      <c r="K30" s="614"/>
      <c r="R30" s="331"/>
      <c r="S30" s="331"/>
      <c r="T30" s="331"/>
      <c r="U30" s="331"/>
    </row>
    <row r="31" spans="2:23">
      <c r="C31" s="192"/>
      <c r="H31" s="1323"/>
      <c r="I31" s="1323"/>
      <c r="J31" s="1323"/>
      <c r="K31" s="331"/>
      <c r="L31" s="331"/>
      <c r="M31" s="331"/>
      <c r="N31" s="331"/>
      <c r="O31" s="1323"/>
      <c r="P31" s="1323"/>
      <c r="Q31" s="331"/>
      <c r="W31" s="611"/>
    </row>
    <row r="32" spans="2:23">
      <c r="C32" s="192"/>
      <c r="H32" s="336"/>
      <c r="I32" s="336"/>
      <c r="J32" s="336"/>
      <c r="K32" s="331"/>
      <c r="L32" s="331"/>
      <c r="M32" s="331"/>
      <c r="N32" s="331"/>
      <c r="O32" s="336"/>
      <c r="P32" s="336"/>
      <c r="Q32" s="331"/>
      <c r="R32" s="332"/>
      <c r="S32" s="332"/>
      <c r="T32" s="332"/>
      <c r="U32" s="332"/>
      <c r="W32" s="611"/>
    </row>
    <row r="33" spans="2:23">
      <c r="C33" s="192"/>
      <c r="J33" s="55"/>
      <c r="L33" s="55"/>
      <c r="N33" s="55"/>
      <c r="O33" s="55"/>
      <c r="R33" s="553"/>
      <c r="S33" s="553"/>
      <c r="T33" s="553"/>
      <c r="U33" s="553"/>
    </row>
    <row r="34" spans="2:23">
      <c r="C34" s="1325" t="s">
        <v>305</v>
      </c>
      <c r="D34" s="1325"/>
      <c r="J34" s="1325" t="s">
        <v>116</v>
      </c>
      <c r="K34" s="1325"/>
      <c r="L34" s="55"/>
      <c r="M34" s="332"/>
      <c r="N34" s="332"/>
      <c r="O34" s="332"/>
      <c r="P34" s="1327" t="s">
        <v>114</v>
      </c>
      <c r="Q34" s="1327"/>
      <c r="R34" s="1327"/>
      <c r="S34" s="332"/>
      <c r="T34" s="332"/>
      <c r="U34" s="1327" t="s">
        <v>319</v>
      </c>
      <c r="V34" s="1327"/>
      <c r="W34" s="105"/>
    </row>
    <row r="35" spans="2:23">
      <c r="C35" s="1326" t="s">
        <v>306</v>
      </c>
      <c r="D35" s="1326"/>
      <c r="J35" s="1326" t="s">
        <v>117</v>
      </c>
      <c r="K35" s="1326"/>
      <c r="M35" s="331"/>
      <c r="N35" s="331"/>
      <c r="O35" s="331"/>
      <c r="P35" s="1323" t="s">
        <v>115</v>
      </c>
      <c r="Q35" s="1323"/>
      <c r="R35" s="1323"/>
      <c r="S35" s="553"/>
      <c r="T35" s="553"/>
      <c r="U35" s="1328" t="s">
        <v>320</v>
      </c>
      <c r="V35" s="1328"/>
    </row>
    <row r="36" spans="2:23">
      <c r="C36" s="207"/>
      <c r="D36" s="55"/>
      <c r="H36" s="1327"/>
      <c r="I36" s="1327"/>
      <c r="J36" s="1327"/>
      <c r="K36" s="320"/>
      <c r="L36" s="332"/>
      <c r="M36" s="332"/>
      <c r="N36" s="332"/>
      <c r="O36" s="1327"/>
      <c r="P36" s="1327"/>
      <c r="Q36" s="194"/>
    </row>
    <row r="37" spans="2:23">
      <c r="C37" s="206"/>
      <c r="D37" s="55"/>
      <c r="H37" s="1323"/>
      <c r="I37" s="1323"/>
      <c r="J37" s="1323"/>
      <c r="K37" s="319"/>
      <c r="L37" s="331"/>
      <c r="M37" s="331"/>
      <c r="N37" s="331"/>
      <c r="O37" s="1323"/>
      <c r="P37" s="1323"/>
    </row>
    <row r="38" spans="2:23">
      <c r="C38" s="81"/>
      <c r="K38" s="1323"/>
      <c r="L38" s="1323"/>
      <c r="M38" s="1323"/>
    </row>
    <row r="39" spans="2:23">
      <c r="C39" s="81"/>
      <c r="D39" s="55"/>
    </row>
    <row r="40" spans="2:23">
      <c r="C40" s="81"/>
      <c r="J40">
        <f>D41*2</f>
        <v>192307.69230769231</v>
      </c>
      <c r="R40" s="615"/>
      <c r="S40" s="615"/>
      <c r="T40" s="615"/>
      <c r="U40" s="615"/>
    </row>
    <row r="41" spans="2:23">
      <c r="C41" s="55">
        <f>2500000</f>
        <v>2500000</v>
      </c>
      <c r="D41">
        <f>C41/26</f>
        <v>96153.846153846156</v>
      </c>
      <c r="R41" s="322"/>
      <c r="S41" s="322"/>
      <c r="T41" s="322"/>
      <c r="U41" s="322"/>
    </row>
    <row r="42" spans="2:23">
      <c r="C42" s="55">
        <f>2500000</f>
        <v>2500000</v>
      </c>
      <c r="D42">
        <f>C42/26</f>
        <v>96153.846153846156</v>
      </c>
      <c r="J42" s="1340" t="s">
        <v>100</v>
      </c>
      <c r="K42" s="1341"/>
      <c r="L42" s="1341"/>
      <c r="M42" s="1341"/>
      <c r="N42" s="1341"/>
      <c r="O42" s="1341"/>
      <c r="P42" s="1341"/>
      <c r="Q42" s="1342"/>
      <c r="R42" s="324"/>
      <c r="S42" s="324"/>
      <c r="T42" s="324"/>
      <c r="U42" s="324"/>
    </row>
    <row r="43" spans="2:23" ht="22.5" customHeight="1">
      <c r="B43" s="1336"/>
      <c r="C43" s="1336"/>
      <c r="D43" s="1336"/>
      <c r="E43" s="1336"/>
      <c r="F43" s="1336"/>
      <c r="G43" s="1336"/>
      <c r="H43" s="1336"/>
      <c r="J43" s="3"/>
      <c r="K43" s="3"/>
      <c r="L43" s="213"/>
      <c r="M43" s="213"/>
      <c r="N43" s="213"/>
      <c r="O43" s="213"/>
      <c r="P43" s="213"/>
      <c r="Q43" s="213"/>
      <c r="R43" s="324"/>
      <c r="S43" s="324"/>
      <c r="T43" s="324"/>
      <c r="U43" s="324"/>
    </row>
    <row r="44" spans="2:23">
      <c r="B44" s="321"/>
      <c r="C44" s="321"/>
      <c r="D44" s="322"/>
      <c r="E44" s="322"/>
      <c r="F44" s="322"/>
      <c r="G44" s="322"/>
      <c r="H44" s="322"/>
      <c r="J44" s="3"/>
      <c r="K44" s="2" t="s">
        <v>102</v>
      </c>
      <c r="L44" s="317"/>
      <c r="M44" s="317"/>
      <c r="N44" s="317" t="s">
        <v>82</v>
      </c>
      <c r="O44" s="317" t="s">
        <v>87</v>
      </c>
      <c r="P44" s="317" t="s">
        <v>22</v>
      </c>
      <c r="Q44" s="317"/>
      <c r="R44" s="327"/>
      <c r="S44" s="327" t="e">
        <f>Q44/P44</f>
        <v>#VALUE!</v>
      </c>
      <c r="T44" s="327"/>
      <c r="U44" s="327">
        <f>1292*16.9321</f>
        <v>21876.2732</v>
      </c>
    </row>
    <row r="45" spans="2:23" ht="17.25" customHeight="1">
      <c r="B45" s="321"/>
      <c r="C45" s="323"/>
      <c r="D45" s="324"/>
      <c r="E45" s="324"/>
      <c r="F45" s="324"/>
      <c r="G45" s="324"/>
      <c r="H45" s="324"/>
      <c r="J45" s="3"/>
      <c r="K45" s="2" t="s">
        <v>109</v>
      </c>
      <c r="L45" s="308">
        <f>2256</f>
        <v>2256</v>
      </c>
      <c r="M45" s="308"/>
      <c r="N45" s="314">
        <v>16.186699999999998</v>
      </c>
      <c r="O45" s="309">
        <f>L45*N45</f>
        <v>36517.195199999995</v>
      </c>
      <c r="P45" s="317"/>
      <c r="Q45" s="317"/>
      <c r="R45" s="327"/>
      <c r="S45" s="327"/>
      <c r="T45" s="327"/>
      <c r="U45" s="327"/>
    </row>
    <row r="46" spans="2:23">
      <c r="B46" s="321"/>
      <c r="C46" s="323"/>
      <c r="D46" s="325"/>
      <c r="E46" s="326"/>
      <c r="F46" s="324"/>
      <c r="G46" s="324"/>
      <c r="H46" s="324"/>
      <c r="J46" s="3"/>
      <c r="K46" s="2" t="s">
        <v>101</v>
      </c>
      <c r="L46" s="308" t="e">
        <f>'CKROL PHT'!#REF!+'CKROL PHT'!#REF!+'CKROL PHT'!#REF!+'CKROL PHT'!#REF!+'CKROL PHT'!#REF!+'CKROL PHT'!#REF!+'CKROL PHT'!#REF!</f>
        <v>#REF!</v>
      </c>
      <c r="M46" s="308"/>
      <c r="N46" s="314">
        <v>16.186699999999998</v>
      </c>
      <c r="O46" s="309" t="e">
        <f t="shared" ref="O46:O48" si="7">L46*N46</f>
        <v>#REF!</v>
      </c>
      <c r="P46" s="317">
        <v>5000</v>
      </c>
      <c r="Q46" s="310" t="e">
        <f>O46*P46</f>
        <v>#REF!</v>
      </c>
      <c r="R46" s="328"/>
      <c r="S46" s="328"/>
      <c r="T46" s="328"/>
      <c r="U46" s="328"/>
    </row>
    <row r="47" spans="2:23">
      <c r="B47" s="321"/>
      <c r="C47" s="323"/>
      <c r="D47" s="325"/>
      <c r="E47" s="326"/>
      <c r="F47" s="324"/>
      <c r="G47" s="324"/>
      <c r="H47" s="327"/>
      <c r="I47" s="307"/>
      <c r="J47" s="3"/>
      <c r="K47" s="2" t="s">
        <v>106</v>
      </c>
      <c r="L47" s="308" t="e">
        <f>'CKROL PHT'!#REF!+'CKROL PHT'!#REF!</f>
        <v>#REF!</v>
      </c>
      <c r="M47" s="308"/>
      <c r="N47" s="314">
        <v>16.186699999999998</v>
      </c>
      <c r="O47" s="309" t="e">
        <f t="shared" si="7"/>
        <v>#REF!</v>
      </c>
      <c r="P47" s="317">
        <v>2500</v>
      </c>
      <c r="Q47" s="310" t="e">
        <f>O47*P47</f>
        <v>#REF!</v>
      </c>
      <c r="R47" s="329"/>
      <c r="S47" s="329"/>
      <c r="T47" s="329"/>
      <c r="U47" s="329"/>
    </row>
    <row r="48" spans="2:23">
      <c r="B48" s="321"/>
      <c r="C48" s="323"/>
      <c r="D48" s="325"/>
      <c r="E48" s="326"/>
      <c r="F48" s="324"/>
      <c r="G48" s="324"/>
      <c r="H48" s="327"/>
      <c r="J48" s="3"/>
      <c r="K48" s="2" t="s">
        <v>104</v>
      </c>
      <c r="L48" s="308" t="e">
        <f>L45-L46-L47</f>
        <v>#REF!</v>
      </c>
      <c r="M48" s="308"/>
      <c r="N48" s="314">
        <v>16.186699999999998</v>
      </c>
      <c r="O48" s="309" t="e">
        <f t="shared" si="7"/>
        <v>#REF!</v>
      </c>
      <c r="P48" s="317">
        <v>0</v>
      </c>
      <c r="Q48" s="311">
        <v>0</v>
      </c>
      <c r="R48" s="324"/>
      <c r="S48" s="324">
        <v>117767</v>
      </c>
      <c r="T48" s="324">
        <f>117763-117767</f>
        <v>-4</v>
      </c>
      <c r="U48" s="324"/>
    </row>
    <row r="49" spans="2:23">
      <c r="B49" s="321"/>
      <c r="C49" s="323"/>
      <c r="D49" s="325"/>
      <c r="E49" s="326"/>
      <c r="F49" s="324"/>
      <c r="G49" s="324"/>
      <c r="H49" s="328"/>
      <c r="J49" s="3"/>
      <c r="K49" s="2" t="s">
        <v>10</v>
      </c>
      <c r="L49" s="308"/>
      <c r="M49" s="308"/>
      <c r="N49" s="317"/>
      <c r="O49" s="317"/>
      <c r="P49" s="317"/>
      <c r="Q49" s="312" t="e">
        <f>SUM(Q46:Q48)</f>
        <v>#REF!</v>
      </c>
      <c r="R49" s="324"/>
      <c r="S49" s="324"/>
      <c r="T49" s="324"/>
      <c r="U49" s="324"/>
      <c r="V49"/>
      <c r="W49"/>
    </row>
    <row r="50" spans="2:23">
      <c r="B50" s="321"/>
      <c r="C50" s="323"/>
      <c r="D50" s="325"/>
      <c r="E50" s="324"/>
      <c r="F50" s="324"/>
      <c r="G50" s="324"/>
      <c r="H50" s="329"/>
      <c r="J50" s="3"/>
      <c r="K50" s="2"/>
      <c r="L50" s="317"/>
      <c r="M50" s="317"/>
      <c r="N50" s="317"/>
      <c r="O50" s="317"/>
      <c r="P50" s="317"/>
      <c r="Q50" s="317"/>
      <c r="R50" s="324"/>
      <c r="S50" s="324"/>
      <c r="T50" s="324"/>
      <c r="U50" s="324"/>
      <c r="V50"/>
      <c r="W50"/>
    </row>
    <row r="51" spans="2:23">
      <c r="B51" s="321"/>
      <c r="C51" s="323"/>
      <c r="D51" s="324"/>
      <c r="E51" s="324"/>
      <c r="F51" s="324"/>
      <c r="G51" s="324"/>
      <c r="H51" s="324"/>
      <c r="J51" s="3"/>
      <c r="K51" s="2" t="s">
        <v>260</v>
      </c>
      <c r="L51" s="317"/>
      <c r="M51" s="317"/>
      <c r="N51" s="317" t="s">
        <v>82</v>
      </c>
      <c r="O51" s="317" t="s">
        <v>87</v>
      </c>
      <c r="P51" s="317" t="s">
        <v>22</v>
      </c>
      <c r="Q51" s="317"/>
      <c r="R51" s="327"/>
      <c r="S51" s="631">
        <f>71445/5000</f>
        <v>14.289</v>
      </c>
      <c r="T51" s="632">
        <f>14290/16.9321</f>
        <v>843.95910725781221</v>
      </c>
      <c r="U51" s="327"/>
      <c r="V51"/>
      <c r="W51"/>
    </row>
    <row r="52" spans="2:23">
      <c r="B52" s="321"/>
      <c r="C52" s="323"/>
      <c r="D52" s="324"/>
      <c r="E52" s="324"/>
      <c r="F52" s="324"/>
      <c r="G52" s="324"/>
      <c r="H52" s="324"/>
      <c r="J52" s="3"/>
      <c r="K52" s="2" t="s">
        <v>109</v>
      </c>
      <c r="L52" s="308">
        <v>2631</v>
      </c>
      <c r="M52" s="308"/>
      <c r="N52" s="314">
        <v>16.186699999999998</v>
      </c>
      <c r="O52" s="309">
        <f>L52*N52</f>
        <v>42587.207699999999</v>
      </c>
      <c r="P52" s="317"/>
      <c r="Q52" s="317"/>
      <c r="R52" s="327"/>
      <c r="S52" s="327"/>
      <c r="T52" s="327"/>
      <c r="U52" s="327"/>
      <c r="V52"/>
      <c r="W52"/>
    </row>
    <row r="53" spans="2:23">
      <c r="B53" s="321"/>
      <c r="C53" s="323"/>
      <c r="D53" s="325"/>
      <c r="E53" s="326"/>
      <c r="F53" s="324"/>
      <c r="G53" s="324"/>
      <c r="H53" s="324"/>
      <c r="J53" s="3"/>
      <c r="K53" s="2" t="s">
        <v>101</v>
      </c>
      <c r="L53" s="308" t="e">
        <f>'CKROL PHT'!#REF!+'CKROL PHT'!#REF!+'CKROL PHT'!#REF!+'CKROL PHT'!#REF!+'CKROL PHT'!#REF!+'CKROL PHT'!#REF!+'CKROL PHT'!#REF!+'CKROL PHT'!#REF!+'CKROL PHT'!#REF!+'CKROL PHT'!#REF!+'CKROL PHT'!#REF!+'CKROL PHT'!#REF!</f>
        <v>#REF!</v>
      </c>
      <c r="M53" s="308"/>
      <c r="N53" s="314">
        <v>16.186699999999998</v>
      </c>
      <c r="O53" s="309" t="e">
        <f t="shared" ref="O53:O55" si="8">L53*N53</f>
        <v>#REF!</v>
      </c>
      <c r="P53" s="317">
        <v>5000</v>
      </c>
      <c r="Q53" s="310" t="e">
        <f>O53*P53</f>
        <v>#REF!</v>
      </c>
      <c r="R53" s="328"/>
      <c r="S53" s="328"/>
      <c r="T53" s="328"/>
      <c r="U53" s="328"/>
      <c r="V53"/>
      <c r="W53"/>
    </row>
    <row r="54" spans="2:23">
      <c r="B54" s="321"/>
      <c r="C54" s="323"/>
      <c r="D54" s="325"/>
      <c r="E54" s="326"/>
      <c r="F54" s="324"/>
      <c r="G54" s="324"/>
      <c r="H54" s="327"/>
      <c r="J54" s="3"/>
      <c r="K54" s="2" t="s">
        <v>106</v>
      </c>
      <c r="L54" s="308"/>
      <c r="M54" s="308"/>
      <c r="N54" s="314">
        <v>16.186699999999998</v>
      </c>
      <c r="O54" s="309">
        <f t="shared" si="8"/>
        <v>0</v>
      </c>
      <c r="P54" s="317">
        <v>2500</v>
      </c>
      <c r="Q54" s="310">
        <f>O54*P54</f>
        <v>0</v>
      </c>
      <c r="R54" s="329"/>
      <c r="S54" s="329"/>
      <c r="T54" s="329"/>
      <c r="U54" s="329"/>
      <c r="V54"/>
      <c r="W54"/>
    </row>
    <row r="55" spans="2:23">
      <c r="B55" s="321"/>
      <c r="C55" s="323"/>
      <c r="D55" s="325"/>
      <c r="E55" s="326"/>
      <c r="F55" s="324"/>
      <c r="G55" s="324"/>
      <c r="H55" s="327"/>
      <c r="J55" s="3"/>
      <c r="K55" s="2" t="s">
        <v>104</v>
      </c>
      <c r="L55" s="308" t="e">
        <f>L52-L53-L54</f>
        <v>#REF!</v>
      </c>
      <c r="M55" s="308"/>
      <c r="N55" s="314">
        <v>16.186699999999998</v>
      </c>
      <c r="O55" s="309" t="e">
        <f t="shared" si="8"/>
        <v>#REF!</v>
      </c>
      <c r="P55" s="317"/>
      <c r="Q55" s="311">
        <v>0</v>
      </c>
      <c r="R55" s="324"/>
      <c r="S55" s="633"/>
      <c r="T55" s="324"/>
      <c r="U55" s="324"/>
      <c r="V55"/>
      <c r="W55"/>
    </row>
    <row r="56" spans="2:23">
      <c r="B56" s="321"/>
      <c r="C56" s="323"/>
      <c r="D56" s="325"/>
      <c r="E56" s="326"/>
      <c r="F56" s="324"/>
      <c r="G56" s="324"/>
      <c r="H56" s="328"/>
      <c r="J56" s="3"/>
      <c r="K56" s="2" t="s">
        <v>10</v>
      </c>
      <c r="L56" s="308"/>
      <c r="M56" s="308"/>
      <c r="N56" s="317"/>
      <c r="O56" s="309"/>
      <c r="P56" s="317"/>
      <c r="Q56" s="312" t="e">
        <f>SUM(Q53:Q55)</f>
        <v>#REF!</v>
      </c>
      <c r="R56" s="324"/>
      <c r="S56" s="324"/>
      <c r="T56" s="324"/>
      <c r="U56" s="324"/>
      <c r="V56"/>
      <c r="W56"/>
    </row>
    <row r="57" spans="2:23">
      <c r="B57" s="321"/>
      <c r="C57" s="323"/>
      <c r="D57" s="325"/>
      <c r="E57" s="326"/>
      <c r="F57" s="324"/>
      <c r="G57" s="324"/>
      <c r="H57" s="329"/>
      <c r="J57" s="3"/>
      <c r="K57" s="2"/>
      <c r="L57" s="317"/>
      <c r="M57" s="317"/>
      <c r="N57" s="317"/>
      <c r="O57" s="317"/>
      <c r="P57" s="317"/>
      <c r="Q57" s="317"/>
      <c r="R57" s="324"/>
      <c r="S57" s="324"/>
      <c r="T57" s="324"/>
      <c r="U57" s="324"/>
      <c r="V57"/>
      <c r="W57"/>
    </row>
    <row r="58" spans="2:23">
      <c r="B58" s="321"/>
      <c r="C58" s="323"/>
      <c r="D58" s="325"/>
      <c r="E58" s="326"/>
      <c r="F58" s="324"/>
      <c r="G58" s="324"/>
      <c r="H58" s="329"/>
      <c r="J58" s="3"/>
      <c r="K58" s="2" t="s">
        <v>102</v>
      </c>
      <c r="L58" s="318"/>
      <c r="M58" s="318"/>
      <c r="N58" s="318" t="s">
        <v>82</v>
      </c>
      <c r="O58" s="318" t="s">
        <v>87</v>
      </c>
      <c r="P58" s="318" t="s">
        <v>22</v>
      </c>
      <c r="Q58" s="318"/>
      <c r="R58" s="327"/>
      <c r="S58" s="327"/>
      <c r="T58" s="327"/>
      <c r="U58" s="327"/>
      <c r="V58"/>
      <c r="W58"/>
    </row>
    <row r="59" spans="2:23">
      <c r="B59" s="321"/>
      <c r="C59" s="323"/>
      <c r="D59" s="325"/>
      <c r="E59" s="326"/>
      <c r="F59" s="324"/>
      <c r="G59" s="324"/>
      <c r="H59" s="329"/>
      <c r="J59" s="3"/>
      <c r="K59" s="2" t="s">
        <v>109</v>
      </c>
      <c r="L59" s="308"/>
      <c r="M59" s="308"/>
      <c r="N59" s="306"/>
      <c r="O59" s="309">
        <f>L59*N59</f>
        <v>0</v>
      </c>
      <c r="P59" s="318"/>
      <c r="Q59" s="318"/>
      <c r="R59" s="327"/>
      <c r="S59" s="327"/>
      <c r="T59" s="327"/>
      <c r="U59" s="327"/>
      <c r="V59"/>
      <c r="W59"/>
    </row>
    <row r="60" spans="2:23">
      <c r="B60" s="321"/>
      <c r="C60" s="323"/>
      <c r="D60" s="325"/>
      <c r="E60" s="326"/>
      <c r="F60" s="324"/>
      <c r="G60" s="324"/>
      <c r="H60" s="329"/>
      <c r="J60" s="3"/>
      <c r="K60" s="2" t="s">
        <v>101</v>
      </c>
      <c r="L60" s="308"/>
      <c r="M60" s="308"/>
      <c r="N60" s="306"/>
      <c r="O60" s="309">
        <f t="shared" ref="O60:O62" si="9">L60*N60</f>
        <v>0</v>
      </c>
      <c r="P60" s="318">
        <v>5000</v>
      </c>
      <c r="Q60" s="310">
        <f>O60*P60</f>
        <v>0</v>
      </c>
      <c r="R60" s="328"/>
      <c r="S60" s="328"/>
      <c r="T60" s="328"/>
      <c r="U60" s="328"/>
      <c r="V60"/>
      <c r="W60"/>
    </row>
    <row r="61" spans="2:23">
      <c r="B61" s="321"/>
      <c r="C61" s="323"/>
      <c r="D61" s="325"/>
      <c r="E61" s="326"/>
      <c r="F61" s="324"/>
      <c r="G61" s="324"/>
      <c r="H61" s="329"/>
      <c r="J61" s="3"/>
      <c r="K61" s="2" t="s">
        <v>106</v>
      </c>
      <c r="L61" s="308"/>
      <c r="M61" s="308"/>
      <c r="N61" s="306"/>
      <c r="O61" s="309">
        <f t="shared" si="9"/>
        <v>0</v>
      </c>
      <c r="P61" s="318">
        <v>2500</v>
      </c>
      <c r="Q61" s="310">
        <f>O61*P61</f>
        <v>0</v>
      </c>
      <c r="R61" s="329"/>
      <c r="S61" s="329"/>
      <c r="T61" s="329"/>
      <c r="U61" s="329"/>
      <c r="V61"/>
      <c r="W61"/>
    </row>
    <row r="62" spans="2:23">
      <c r="B62" s="321"/>
      <c r="C62" s="323"/>
      <c r="D62" s="325"/>
      <c r="E62" s="326"/>
      <c r="F62" s="324"/>
      <c r="G62" s="324"/>
      <c r="H62" s="329"/>
      <c r="J62" s="3"/>
      <c r="K62" s="2" t="s">
        <v>104</v>
      </c>
      <c r="L62" s="308">
        <f>L59-L60-L61</f>
        <v>0</v>
      </c>
      <c r="M62" s="308"/>
      <c r="N62" s="306"/>
      <c r="O62" s="309">
        <f t="shared" si="9"/>
        <v>0</v>
      </c>
      <c r="P62" s="318"/>
      <c r="Q62" s="311">
        <v>0</v>
      </c>
      <c r="R62" s="328"/>
      <c r="S62" s="328"/>
      <c r="T62" s="328"/>
      <c r="U62" s="328"/>
      <c r="V62"/>
      <c r="W62"/>
    </row>
    <row r="63" spans="2:23">
      <c r="B63" s="321"/>
      <c r="C63" s="323"/>
      <c r="D63" s="325"/>
      <c r="E63" s="326"/>
      <c r="F63" s="324"/>
      <c r="G63" s="324"/>
      <c r="H63" s="329"/>
      <c r="J63" s="3"/>
      <c r="K63" s="2" t="s">
        <v>10</v>
      </c>
      <c r="L63" s="308"/>
      <c r="M63" s="308"/>
      <c r="N63" s="318"/>
      <c r="O63" s="309"/>
      <c r="P63" s="318"/>
      <c r="Q63" s="312">
        <f>SUM(Q60:Q62)</f>
        <v>0</v>
      </c>
      <c r="R63" s="324"/>
      <c r="S63" s="324"/>
      <c r="T63" s="324"/>
      <c r="U63" s="324"/>
      <c r="V63"/>
      <c r="W63"/>
    </row>
    <row r="64" spans="2:23">
      <c r="B64" s="321"/>
      <c r="C64" s="323"/>
      <c r="D64" s="325"/>
      <c r="E64" s="326"/>
      <c r="F64" s="324"/>
      <c r="G64" s="324"/>
      <c r="H64" s="329"/>
      <c r="J64" s="3"/>
      <c r="K64" s="2"/>
      <c r="L64" s="308"/>
      <c r="M64" s="308"/>
      <c r="N64" s="318"/>
      <c r="O64" s="309"/>
      <c r="P64" s="318"/>
      <c r="Q64" s="311"/>
      <c r="R64" s="324"/>
      <c r="S64" s="324"/>
      <c r="T64" s="324"/>
      <c r="U64" s="324"/>
      <c r="V64"/>
      <c r="W64"/>
    </row>
    <row r="65" spans="2:23">
      <c r="B65" s="321"/>
      <c r="C65" s="323"/>
      <c r="D65" s="325"/>
      <c r="E65" s="326"/>
      <c r="F65" s="324"/>
      <c r="G65" s="324"/>
      <c r="H65" s="329"/>
      <c r="J65" s="3"/>
      <c r="K65" s="2" t="s">
        <v>110</v>
      </c>
      <c r="L65" s="318"/>
      <c r="M65" s="318"/>
      <c r="N65" s="318" t="s">
        <v>82</v>
      </c>
      <c r="O65" s="318" t="s">
        <v>87</v>
      </c>
      <c r="P65" s="318" t="s">
        <v>22</v>
      </c>
      <c r="Q65" s="318"/>
      <c r="R65" s="327"/>
      <c r="S65" s="327"/>
      <c r="T65" s="327"/>
      <c r="U65" s="327"/>
      <c r="V65"/>
      <c r="W65"/>
    </row>
    <row r="66" spans="2:23">
      <c r="B66" s="321"/>
      <c r="C66" s="323"/>
      <c r="D66" s="325"/>
      <c r="E66" s="326"/>
      <c r="F66" s="324"/>
      <c r="G66" s="324"/>
      <c r="H66" s="329"/>
      <c r="J66" s="3"/>
      <c r="K66" s="2" t="s">
        <v>109</v>
      </c>
      <c r="L66" s="308"/>
      <c r="M66" s="308"/>
      <c r="N66" s="306"/>
      <c r="O66" s="309">
        <f>L66*N66</f>
        <v>0</v>
      </c>
      <c r="P66" s="318"/>
      <c r="Q66" s="318"/>
      <c r="R66" s="327"/>
      <c r="S66" s="327"/>
      <c r="T66" s="327"/>
      <c r="U66" s="327"/>
      <c r="V66"/>
      <c r="W66"/>
    </row>
    <row r="67" spans="2:23">
      <c r="B67" s="321"/>
      <c r="C67" s="323"/>
      <c r="D67" s="325"/>
      <c r="E67" s="326"/>
      <c r="F67" s="324"/>
      <c r="G67" s="324"/>
      <c r="H67" s="329"/>
      <c r="J67" s="3"/>
      <c r="K67" s="2" t="s">
        <v>101</v>
      </c>
      <c r="L67" s="308"/>
      <c r="M67" s="308"/>
      <c r="N67" s="306"/>
      <c r="O67" s="309">
        <f t="shared" ref="O67:O69" si="10">L67*N67</f>
        <v>0</v>
      </c>
      <c r="P67" s="318">
        <v>5000</v>
      </c>
      <c r="Q67" s="310">
        <f>O67*P67</f>
        <v>0</v>
      </c>
      <c r="R67" s="328"/>
      <c r="S67" s="328"/>
      <c r="T67" s="328"/>
      <c r="U67" s="328"/>
      <c r="V67"/>
      <c r="W67"/>
    </row>
    <row r="68" spans="2:23">
      <c r="B68" s="321"/>
      <c r="C68" s="323"/>
      <c r="D68" s="325"/>
      <c r="E68" s="326"/>
      <c r="F68" s="324"/>
      <c r="G68" s="324"/>
      <c r="H68" s="329"/>
      <c r="J68" s="3"/>
      <c r="K68" s="2" t="s">
        <v>106</v>
      </c>
      <c r="L68" s="308"/>
      <c r="M68" s="308"/>
      <c r="N68" s="306"/>
      <c r="O68" s="309">
        <f t="shared" si="10"/>
        <v>0</v>
      </c>
      <c r="P68" s="318">
        <v>2500</v>
      </c>
      <c r="Q68" s="310">
        <f>O68*P68</f>
        <v>0</v>
      </c>
      <c r="R68" s="329"/>
      <c r="S68" s="329"/>
      <c r="T68" s="329"/>
      <c r="U68" s="329"/>
      <c r="V68"/>
      <c r="W68"/>
    </row>
    <row r="69" spans="2:23">
      <c r="B69" s="321"/>
      <c r="C69" s="323"/>
      <c r="D69" s="325"/>
      <c r="E69" s="326"/>
      <c r="F69" s="324"/>
      <c r="G69" s="324"/>
      <c r="H69" s="329"/>
      <c r="J69" s="3"/>
      <c r="K69" s="2" t="s">
        <v>104</v>
      </c>
      <c r="L69" s="308">
        <f>L66-L67-L68</f>
        <v>0</v>
      </c>
      <c r="M69" s="308"/>
      <c r="N69" s="306"/>
      <c r="O69" s="309">
        <f t="shared" si="10"/>
        <v>0</v>
      </c>
      <c r="P69" s="318"/>
      <c r="Q69" s="311">
        <v>0</v>
      </c>
      <c r="R69" s="328"/>
      <c r="S69" s="328"/>
      <c r="T69" s="328"/>
      <c r="U69" s="328"/>
      <c r="V69"/>
      <c r="W69"/>
    </row>
    <row r="70" spans="2:23">
      <c r="B70" s="321"/>
      <c r="C70" s="323"/>
      <c r="D70" s="325"/>
      <c r="E70" s="326"/>
      <c r="F70" s="324"/>
      <c r="G70" s="324"/>
      <c r="H70" s="329"/>
      <c r="J70" s="3"/>
      <c r="K70" s="2" t="s">
        <v>10</v>
      </c>
      <c r="L70" s="308"/>
      <c r="M70" s="308"/>
      <c r="N70" s="318"/>
      <c r="O70" s="309"/>
      <c r="P70" s="318"/>
      <c r="Q70" s="312">
        <f>SUM(Q67:Q69)</f>
        <v>0</v>
      </c>
      <c r="R70" s="324"/>
      <c r="S70" s="324"/>
      <c r="T70" s="324"/>
      <c r="U70" s="324"/>
      <c r="V70"/>
      <c r="W70"/>
    </row>
    <row r="71" spans="2:23">
      <c r="B71" s="321"/>
      <c r="C71" s="323"/>
      <c r="D71" s="325"/>
      <c r="E71" s="326"/>
      <c r="F71" s="324"/>
      <c r="G71" s="324"/>
      <c r="H71" s="329"/>
      <c r="J71" s="3"/>
      <c r="K71" s="2"/>
      <c r="L71" s="308"/>
      <c r="M71" s="308"/>
      <c r="N71" s="318"/>
      <c r="O71" s="309"/>
      <c r="P71" s="318"/>
      <c r="Q71" s="311"/>
      <c r="R71" s="324"/>
      <c r="S71" s="324"/>
      <c r="T71" s="324"/>
      <c r="U71" s="324"/>
      <c r="V71"/>
      <c r="W71"/>
    </row>
    <row r="72" spans="2:23">
      <c r="B72" s="321"/>
      <c r="C72" s="323"/>
      <c r="D72" s="325"/>
      <c r="E72" s="326"/>
      <c r="F72" s="324"/>
      <c r="G72" s="324"/>
      <c r="H72" s="329"/>
      <c r="J72" s="3"/>
      <c r="K72" s="2" t="s">
        <v>188</v>
      </c>
      <c r="L72" s="344"/>
      <c r="M72" s="344"/>
      <c r="N72" s="344" t="s">
        <v>82</v>
      </c>
      <c r="O72" s="344" t="s">
        <v>87</v>
      </c>
      <c r="P72" s="344" t="s">
        <v>22</v>
      </c>
      <c r="Q72" s="344"/>
      <c r="R72" s="327"/>
      <c r="S72" s="327"/>
      <c r="T72" s="327"/>
      <c r="U72" s="327"/>
      <c r="V72"/>
      <c r="W72"/>
    </row>
    <row r="73" spans="2:23">
      <c r="B73" s="321"/>
      <c r="C73" s="321"/>
      <c r="D73" s="321"/>
      <c r="E73" s="321"/>
      <c r="F73" s="321"/>
      <c r="G73" s="321"/>
      <c r="H73" s="321"/>
      <c r="J73" s="3"/>
      <c r="K73" s="2" t="s">
        <v>109</v>
      </c>
      <c r="L73" s="308"/>
      <c r="M73" s="308"/>
      <c r="N73" s="306"/>
      <c r="O73" s="309">
        <f>L73*N73</f>
        <v>0</v>
      </c>
      <c r="P73" s="344"/>
      <c r="Q73" s="344"/>
      <c r="R73" s="327"/>
      <c r="S73" s="327"/>
      <c r="T73" s="327"/>
      <c r="U73" s="327"/>
      <c r="V73"/>
      <c r="W73"/>
    </row>
    <row r="74" spans="2:23">
      <c r="J74" s="3"/>
      <c r="K74" s="2" t="s">
        <v>101</v>
      </c>
      <c r="L74" s="308"/>
      <c r="M74" s="308"/>
      <c r="N74" s="306"/>
      <c r="O74" s="309">
        <f t="shared" ref="O74:O76" si="11">L74*N74</f>
        <v>0</v>
      </c>
      <c r="P74" s="344">
        <v>5000</v>
      </c>
      <c r="Q74" s="310">
        <f>O74*P74</f>
        <v>0</v>
      </c>
      <c r="R74" s="328"/>
      <c r="S74" s="328"/>
      <c r="T74" s="328"/>
      <c r="U74" s="328"/>
      <c r="V74"/>
      <c r="W74"/>
    </row>
    <row r="75" spans="2:23">
      <c r="J75" s="3"/>
      <c r="K75" s="2" t="s">
        <v>106</v>
      </c>
      <c r="L75" s="308"/>
      <c r="M75" s="308"/>
      <c r="N75" s="306"/>
      <c r="O75" s="309">
        <f t="shared" si="11"/>
        <v>0</v>
      </c>
      <c r="P75" s="344">
        <v>2500</v>
      </c>
      <c r="Q75" s="310">
        <f>O75*P75</f>
        <v>0</v>
      </c>
      <c r="R75" s="329"/>
      <c r="S75" s="329"/>
      <c r="T75" s="329"/>
      <c r="U75" s="329"/>
      <c r="V75"/>
      <c r="W75"/>
    </row>
    <row r="76" spans="2:23">
      <c r="J76" s="3"/>
      <c r="K76" s="2" t="s">
        <v>104</v>
      </c>
      <c r="L76" s="308">
        <f>L73-L74-L75</f>
        <v>0</v>
      </c>
      <c r="M76" s="308"/>
      <c r="N76" s="306"/>
      <c r="O76" s="309">
        <f t="shared" si="11"/>
        <v>0</v>
      </c>
      <c r="P76" s="344"/>
      <c r="Q76" s="311">
        <v>0</v>
      </c>
      <c r="R76" s="328"/>
      <c r="S76" s="328"/>
      <c r="T76" s="328"/>
      <c r="U76" s="328"/>
      <c r="V76"/>
      <c r="W76"/>
    </row>
    <row r="77" spans="2:23">
      <c r="J77" s="3"/>
      <c r="K77" s="2" t="s">
        <v>10</v>
      </c>
      <c r="L77" s="308"/>
      <c r="M77" s="308"/>
      <c r="N77" s="344"/>
      <c r="O77" s="309"/>
      <c r="P77" s="344"/>
      <c r="Q77" s="312">
        <f>SUM(Q74:Q76)</f>
        <v>0</v>
      </c>
      <c r="V77"/>
      <c r="W77"/>
    </row>
    <row r="78" spans="2:23">
      <c r="J78" s="3"/>
      <c r="K78" s="2"/>
      <c r="L78" s="308"/>
      <c r="M78" s="308"/>
      <c r="N78" s="344"/>
      <c r="O78" s="309"/>
      <c r="P78" s="344"/>
      <c r="Q78" s="311"/>
      <c r="V78"/>
      <c r="W78"/>
    </row>
  </sheetData>
  <mergeCells count="33">
    <mergeCell ref="B2:W2"/>
    <mergeCell ref="B43:H43"/>
    <mergeCell ref="B26:C26"/>
    <mergeCell ref="D4:L4"/>
    <mergeCell ref="H37:J37"/>
    <mergeCell ref="J42:Q42"/>
    <mergeCell ref="B4:B5"/>
    <mergeCell ref="C4:C5"/>
    <mergeCell ref="H31:J31"/>
    <mergeCell ref="H36:J36"/>
    <mergeCell ref="O31:P31"/>
    <mergeCell ref="O36:P36"/>
    <mergeCell ref="C29:D29"/>
    <mergeCell ref="C34:D34"/>
    <mergeCell ref="C35:D35"/>
    <mergeCell ref="J29:K29"/>
    <mergeCell ref="U35:V35"/>
    <mergeCell ref="V4:V5"/>
    <mergeCell ref="W4:W5"/>
    <mergeCell ref="Q4:Q5"/>
    <mergeCell ref="R4:S4"/>
    <mergeCell ref="T4:U4"/>
    <mergeCell ref="U29:V29"/>
    <mergeCell ref="U34:V34"/>
    <mergeCell ref="K38:M38"/>
    <mergeCell ref="M4:O4"/>
    <mergeCell ref="O37:P37"/>
    <mergeCell ref="P4:P5"/>
    <mergeCell ref="J34:K34"/>
    <mergeCell ref="J35:K35"/>
    <mergeCell ref="P29:R29"/>
    <mergeCell ref="P34:R34"/>
    <mergeCell ref="P35:R35"/>
  </mergeCells>
  <pageMargins left="0.1" right="0.2" top="0.25" bottom="0" header="0.3" footer="0.3"/>
  <pageSetup scale="60" orientation="landscape" horizontalDpi="0" verticalDpi="0" r:id="rId1"/>
  <rowBreaks count="1" manualBreakCount="1">
    <brk id="37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V10077"/>
  <sheetViews>
    <sheetView zoomScaleNormal="100" workbookViewId="0">
      <pane xSplit="4" ySplit="3" topLeftCell="AK31" activePane="bottomRight" state="frozen"/>
      <selection pane="topRight" activeCell="E1" sqref="E1"/>
      <selection pane="bottomLeft" activeCell="A4" sqref="A4"/>
      <selection pane="bottomRight" activeCell="AO24" sqref="AO22:AO24"/>
    </sheetView>
  </sheetViews>
  <sheetFormatPr defaultColWidth="9.140625" defaultRowHeight="12.75"/>
  <cols>
    <col min="1" max="1" width="5.42578125" style="806" customWidth="1"/>
    <col min="2" max="2" width="13.140625" style="806" hidden="1" customWidth="1"/>
    <col min="3" max="3" width="4" style="806" hidden="1" customWidth="1"/>
    <col min="4" max="4" width="20.28515625" style="301" customWidth="1"/>
    <col min="5" max="5" width="5.42578125" style="806" customWidth="1"/>
    <col min="6" max="6" width="9.85546875" style="297" customWidth="1"/>
    <col min="7" max="7" width="12.5703125" style="806" customWidth="1"/>
    <col min="8" max="8" width="5.85546875" style="806" customWidth="1"/>
    <col min="9" max="9" width="11.5703125" style="806" customWidth="1"/>
    <col min="10" max="10" width="4.5703125" style="806" customWidth="1"/>
    <col min="11" max="11" width="11" style="806" customWidth="1"/>
    <col min="12" max="12" width="4.7109375" style="806" customWidth="1"/>
    <col min="13" max="13" width="10.28515625" style="806" customWidth="1"/>
    <col min="14" max="14" width="4.5703125" style="806" customWidth="1"/>
    <col min="15" max="15" width="13" style="806" customWidth="1"/>
    <col min="16" max="16" width="4.140625" style="806" customWidth="1"/>
    <col min="17" max="17" width="11.5703125" style="806" customWidth="1"/>
    <col min="18" max="18" width="4.7109375" style="806" hidden="1" customWidth="1"/>
    <col min="19" max="19" width="10.5703125" style="806" hidden="1" customWidth="1"/>
    <col min="20" max="20" width="3.5703125" style="806" hidden="1" customWidth="1"/>
    <col min="21" max="21" width="10.140625" style="806" hidden="1" customWidth="1"/>
    <col min="22" max="22" width="6.42578125" style="806" customWidth="1"/>
    <col min="23" max="23" width="8.140625" style="816" customWidth="1"/>
    <col min="24" max="24" width="10.140625" style="806" customWidth="1"/>
    <col min="25" max="25" width="8.140625" style="806" hidden="1" customWidth="1"/>
    <col min="26" max="26" width="5.42578125" style="806" customWidth="1"/>
    <col min="27" max="27" width="9.140625" style="806" customWidth="1"/>
    <col min="28" max="28" width="7.85546875" style="806" hidden="1" customWidth="1"/>
    <col min="29" max="29" width="4.28515625" style="806" hidden="1" customWidth="1"/>
    <col min="30" max="30" width="10.7109375" style="806" customWidth="1"/>
    <col min="31" max="31" width="10" style="806" hidden="1" customWidth="1"/>
    <col min="32" max="32" width="11.7109375" style="806" customWidth="1"/>
    <col min="33" max="33" width="11.140625" style="806" customWidth="1"/>
    <col min="34" max="34" width="10.42578125" style="806" hidden="1" customWidth="1"/>
    <col min="35" max="36" width="9.28515625" style="806" hidden="1" customWidth="1"/>
    <col min="37" max="37" width="12.28515625" style="806" customWidth="1"/>
    <col min="38" max="38" width="10.7109375" style="806" customWidth="1"/>
    <col min="39" max="40" width="11.5703125" style="806" customWidth="1"/>
    <col min="41" max="42" width="10.140625" style="806" customWidth="1"/>
    <col min="43" max="43" width="9.85546875" style="806" customWidth="1"/>
    <col min="44" max="44" width="10.5703125" style="806" customWidth="1"/>
    <col min="45" max="45" width="10.7109375" style="806" customWidth="1"/>
    <col min="46" max="46" width="9.28515625" style="806" customWidth="1"/>
    <col min="47" max="47" width="8.7109375" style="806" customWidth="1"/>
    <col min="48" max="48" width="7.5703125" style="806" hidden="1" customWidth="1"/>
    <col min="49" max="50" width="11.28515625" style="806" hidden="1" customWidth="1"/>
    <col min="51" max="51" width="11.28515625" style="1275" customWidth="1"/>
    <col min="52" max="52" width="12.140625" style="621" customWidth="1"/>
    <col min="53" max="53" width="5.140625" style="621" customWidth="1"/>
    <col min="54" max="54" width="4.7109375" style="621" customWidth="1"/>
    <col min="55" max="55" width="7.140625" style="806" hidden="1" customWidth="1"/>
    <col min="56" max="56" width="11" style="806" customWidth="1"/>
    <col min="57" max="57" width="9.140625" style="806"/>
    <col min="58" max="58" width="10.28515625" style="806" customWidth="1"/>
    <col min="59" max="16384" width="9.140625" style="806"/>
  </cols>
  <sheetData>
    <row r="1" spans="1:100">
      <c r="A1" s="1349"/>
      <c r="B1" s="1349"/>
      <c r="C1" s="1349"/>
      <c r="D1" s="1349"/>
      <c r="E1" s="1349"/>
      <c r="F1" s="1349"/>
      <c r="G1" s="1349"/>
      <c r="H1" s="1349"/>
      <c r="I1" s="1349"/>
      <c r="J1" s="1349"/>
      <c r="K1" s="1349"/>
      <c r="L1" s="1349"/>
      <c r="M1" s="1349"/>
      <c r="N1" s="1349"/>
      <c r="O1" s="1349"/>
      <c r="P1" s="1349"/>
      <c r="Q1" s="1349"/>
      <c r="R1" s="1349"/>
      <c r="S1" s="1349"/>
      <c r="T1" s="1349"/>
      <c r="U1" s="1349"/>
      <c r="V1" s="1349"/>
      <c r="W1" s="1349"/>
      <c r="X1" s="1349"/>
      <c r="Y1" s="1349"/>
      <c r="Z1" s="1349"/>
      <c r="AA1" s="1349"/>
      <c r="AB1" s="1349"/>
      <c r="AC1" s="1349"/>
      <c r="AD1" s="1349"/>
      <c r="AE1" s="1349"/>
      <c r="AF1" s="1349"/>
      <c r="AG1" s="1349"/>
      <c r="AH1" s="1349"/>
      <c r="AI1" s="1349"/>
      <c r="AJ1" s="1349"/>
      <c r="AK1" s="1349"/>
      <c r="AL1" s="1349"/>
      <c r="AM1" s="1349"/>
      <c r="AN1" s="1349"/>
      <c r="AO1" s="1349"/>
      <c r="AP1" s="1349"/>
      <c r="AQ1" s="1349"/>
      <c r="AR1" s="1349"/>
      <c r="AS1" s="1349"/>
      <c r="AT1" s="1349"/>
      <c r="AU1" s="1349"/>
      <c r="AV1" s="1349"/>
      <c r="AW1" s="1349"/>
      <c r="AX1" s="1349"/>
      <c r="AY1" s="1349"/>
      <c r="AZ1" s="1349"/>
      <c r="BA1" s="1349"/>
      <c r="BB1" s="1349"/>
      <c r="BC1" s="1349"/>
    </row>
    <row r="2" spans="1:100">
      <c r="A2" s="1350" t="s">
        <v>66</v>
      </c>
      <c r="B2" s="1350"/>
      <c r="C2" s="1350"/>
      <c r="D2" s="1350"/>
      <c r="E2" s="1350"/>
      <c r="F2" s="1350"/>
      <c r="G2" s="1350"/>
      <c r="H2" s="1350"/>
      <c r="I2" s="1350"/>
      <c r="J2" s="1350"/>
      <c r="K2" s="1350"/>
      <c r="L2" s="1350"/>
      <c r="M2" s="1350"/>
      <c r="N2" s="1350"/>
      <c r="O2" s="1350"/>
      <c r="P2" s="1350"/>
      <c r="Q2" s="1350"/>
      <c r="R2" s="1350"/>
      <c r="S2" s="1350"/>
      <c r="T2" s="1350"/>
      <c r="U2" s="1350"/>
      <c r="V2" s="1350"/>
      <c r="W2" s="1350"/>
      <c r="X2" s="1350"/>
      <c r="Y2" s="1350"/>
      <c r="Z2" s="1350"/>
      <c r="AA2" s="1350"/>
      <c r="AB2" s="1350"/>
      <c r="AC2" s="1350"/>
      <c r="AD2" s="1350"/>
      <c r="AE2" s="1350"/>
      <c r="AF2" s="1350"/>
      <c r="AG2" s="1350"/>
      <c r="AH2" s="1350"/>
      <c r="AI2" s="1350"/>
      <c r="AJ2" s="1350"/>
      <c r="AK2" s="1350"/>
      <c r="AL2" s="1350"/>
      <c r="AM2" s="1350"/>
      <c r="AN2" s="1350"/>
      <c r="AO2" s="1350"/>
      <c r="AP2" s="1350"/>
      <c r="AQ2" s="1350"/>
      <c r="AR2" s="1350"/>
      <c r="AS2" s="1350"/>
      <c r="AT2" s="1350"/>
      <c r="AU2" s="1350"/>
      <c r="AV2" s="1350"/>
      <c r="AW2" s="1350"/>
      <c r="AX2" s="1350"/>
      <c r="AY2" s="1350"/>
      <c r="AZ2" s="1350"/>
      <c r="BA2" s="1350"/>
      <c r="BB2" s="1350"/>
      <c r="BC2" s="1350"/>
    </row>
    <row r="3" spans="1:100">
      <c r="A3" s="1350" t="s">
        <v>119</v>
      </c>
      <c r="B3" s="1350"/>
      <c r="C3" s="1350"/>
      <c r="D3" s="1350"/>
      <c r="E3" s="1350"/>
      <c r="F3" s="1350"/>
      <c r="G3" s="1350"/>
      <c r="H3" s="1350"/>
      <c r="I3" s="1350"/>
      <c r="J3" s="1350"/>
      <c r="K3" s="1350"/>
      <c r="L3" s="1350"/>
      <c r="M3" s="1350"/>
      <c r="N3" s="1350"/>
      <c r="O3" s="1350"/>
      <c r="P3" s="1350"/>
      <c r="Q3" s="1350"/>
      <c r="R3" s="1350"/>
      <c r="S3" s="1350"/>
      <c r="T3" s="1350"/>
      <c r="U3" s="1350"/>
      <c r="V3" s="1350"/>
      <c r="W3" s="1350"/>
      <c r="X3" s="1350"/>
      <c r="Y3" s="1350"/>
      <c r="Z3" s="1350"/>
      <c r="AA3" s="1350"/>
      <c r="AB3" s="1350"/>
      <c r="AC3" s="1350"/>
      <c r="AD3" s="1350"/>
      <c r="AE3" s="1350"/>
      <c r="AF3" s="1350"/>
      <c r="AG3" s="1350"/>
      <c r="AH3" s="1350"/>
      <c r="AI3" s="1350"/>
      <c r="AJ3" s="1350"/>
      <c r="AK3" s="1350"/>
      <c r="AL3" s="1350"/>
      <c r="AM3" s="1350"/>
      <c r="AN3" s="1350"/>
      <c r="AO3" s="1350"/>
      <c r="AP3" s="1350"/>
      <c r="AQ3" s="1350"/>
      <c r="AR3" s="1350"/>
      <c r="AS3" s="1350"/>
      <c r="AT3" s="1350"/>
      <c r="AU3" s="1350"/>
      <c r="AV3" s="1350"/>
      <c r="AW3" s="1350"/>
      <c r="AX3" s="1350"/>
      <c r="AY3" s="1350"/>
      <c r="AZ3" s="1350"/>
      <c r="BA3" s="1350"/>
      <c r="BB3" s="1350"/>
      <c r="BC3" s="1350"/>
    </row>
    <row r="4" spans="1:100">
      <c r="A4" s="809"/>
      <c r="B4" s="809"/>
      <c r="C4" s="809"/>
      <c r="D4" s="219"/>
      <c r="E4" s="809"/>
      <c r="F4" s="220"/>
      <c r="G4" s="809"/>
      <c r="H4" s="809"/>
      <c r="I4" s="221"/>
      <c r="J4" s="809"/>
      <c r="K4" s="222"/>
      <c r="L4" s="809"/>
      <c r="M4" s="809"/>
      <c r="N4" s="809"/>
      <c r="O4" s="809"/>
      <c r="P4" s="809"/>
      <c r="Q4" s="809"/>
      <c r="R4" s="809"/>
      <c r="S4" s="809"/>
      <c r="T4" s="809"/>
      <c r="U4" s="809"/>
      <c r="V4" s="809"/>
      <c r="W4" s="815"/>
      <c r="X4" s="809"/>
      <c r="Y4" s="809"/>
      <c r="Z4" s="809"/>
      <c r="AA4" s="809"/>
      <c r="AB4" s="809"/>
      <c r="AC4" s="809"/>
      <c r="AD4" s="809"/>
      <c r="AE4" s="809"/>
      <c r="AF4" s="809"/>
      <c r="AG4" s="809"/>
      <c r="AH4" s="809"/>
      <c r="AI4" s="809"/>
      <c r="AJ4" s="809"/>
      <c r="AK4" s="809"/>
      <c r="AL4" s="222"/>
      <c r="AM4" s="809"/>
      <c r="AN4" s="222"/>
      <c r="AO4" s="809"/>
      <c r="AP4" s="809"/>
      <c r="AQ4" s="809"/>
      <c r="AR4" s="809"/>
      <c r="AS4" s="809"/>
      <c r="AT4" s="809"/>
      <c r="AU4" s="809"/>
      <c r="AV4" s="809"/>
      <c r="AW4" s="809"/>
      <c r="AX4" s="809"/>
      <c r="AY4" s="1276"/>
      <c r="AZ4" s="809"/>
      <c r="BA4" s="809"/>
      <c r="BB4" s="809"/>
      <c r="BC4" s="809"/>
    </row>
    <row r="5" spans="1:100" ht="13.5" thickBot="1">
      <c r="A5" s="1347" t="s">
        <v>416</v>
      </c>
      <c r="B5" s="1347"/>
      <c r="C5" s="1347"/>
      <c r="D5" s="1347"/>
      <c r="E5" s="809"/>
      <c r="F5" s="220"/>
      <c r="G5" s="809"/>
      <c r="H5" s="807"/>
      <c r="I5" s="807"/>
      <c r="J5" s="807"/>
      <c r="K5" s="807"/>
      <c r="L5" s="807"/>
      <c r="M5" s="807"/>
      <c r="N5" s="807"/>
      <c r="O5" s="807"/>
      <c r="P5" s="807"/>
      <c r="Q5" s="807"/>
      <c r="R5" s="807"/>
      <c r="S5" s="807"/>
      <c r="T5" s="807"/>
      <c r="U5" s="807"/>
      <c r="V5" s="807"/>
      <c r="W5" s="223"/>
      <c r="X5" s="807"/>
      <c r="Y5" s="807"/>
      <c r="Z5" s="807"/>
      <c r="AA5" s="807"/>
      <c r="AB5" s="807"/>
      <c r="AC5" s="1347" t="s">
        <v>120</v>
      </c>
      <c r="AD5" s="1347"/>
      <c r="AE5" s="1347"/>
      <c r="AF5" s="1347"/>
      <c r="AG5" s="1347"/>
      <c r="AH5" s="1347"/>
      <c r="AI5" s="817"/>
      <c r="AJ5" s="817"/>
      <c r="AK5" s="1348" t="s">
        <v>121</v>
      </c>
      <c r="AL5" s="1348"/>
      <c r="AM5" s="224" t="s">
        <v>122</v>
      </c>
      <c r="AN5" s="807"/>
      <c r="AO5" s="807"/>
      <c r="AP5" s="807"/>
      <c r="AQ5" s="807"/>
      <c r="AR5" s="807"/>
      <c r="AS5" s="807"/>
      <c r="AT5" s="809" t="s">
        <v>123</v>
      </c>
      <c r="AU5" s="809"/>
      <c r="AV5" s="809"/>
      <c r="AW5" s="809"/>
      <c r="AX5" s="809"/>
      <c r="AY5" s="1276"/>
      <c r="AZ5" s="809"/>
      <c r="BA5" s="809"/>
      <c r="BB5" s="809"/>
      <c r="BC5" s="809"/>
    </row>
    <row r="6" spans="1:100">
      <c r="A6" s="225"/>
      <c r="B6" s="813"/>
      <c r="C6" s="813"/>
      <c r="D6" s="226"/>
      <c r="E6" s="813"/>
      <c r="F6" s="227"/>
      <c r="G6" s="813"/>
      <c r="H6" s="1354" t="s">
        <v>124</v>
      </c>
      <c r="I6" s="1355"/>
      <c r="J6" s="1355"/>
      <c r="K6" s="1355"/>
      <c r="L6" s="1355"/>
      <c r="M6" s="1355"/>
      <c r="N6" s="1355"/>
      <c r="O6" s="1355"/>
      <c r="P6" s="1355"/>
      <c r="Q6" s="1355"/>
      <c r="R6" s="1355"/>
      <c r="S6" s="1355"/>
      <c r="T6" s="1355"/>
      <c r="U6" s="1356"/>
      <c r="V6" s="812"/>
      <c r="W6" s="1354" t="s">
        <v>125</v>
      </c>
      <c r="X6" s="1355"/>
      <c r="Y6" s="1355"/>
      <c r="Z6" s="1355"/>
      <c r="AA6" s="1355"/>
      <c r="AB6" s="1355"/>
      <c r="AC6" s="1355"/>
      <c r="AD6" s="1356"/>
      <c r="AE6" s="1357" t="s">
        <v>23</v>
      </c>
      <c r="AF6" s="813"/>
      <c r="AG6" s="813"/>
      <c r="AH6" s="228"/>
      <c r="AI6" s="810"/>
      <c r="AJ6" s="810"/>
      <c r="AK6" s="810" t="s">
        <v>126</v>
      </c>
      <c r="AL6" s="1359" t="s">
        <v>127</v>
      </c>
      <c r="AM6" s="1360"/>
      <c r="AN6" s="1361"/>
      <c r="AO6" s="1359" t="s">
        <v>128</v>
      </c>
      <c r="AP6" s="1360"/>
      <c r="AQ6" s="1360"/>
      <c r="AR6" s="1360"/>
      <c r="AS6" s="1361"/>
      <c r="AT6" s="813"/>
      <c r="AU6" s="813"/>
      <c r="AV6" s="813" t="s">
        <v>129</v>
      </c>
      <c r="AW6" s="813"/>
      <c r="AX6" s="813"/>
      <c r="AY6" s="1277"/>
      <c r="AZ6" s="813" t="s">
        <v>126</v>
      </c>
      <c r="BA6" s="1359" t="s">
        <v>130</v>
      </c>
      <c r="BB6" s="1369"/>
      <c r="BC6" s="229" t="s">
        <v>131</v>
      </c>
    </row>
    <row r="7" spans="1:100" ht="12.75" customHeight="1">
      <c r="A7" s="230" t="s">
        <v>132</v>
      </c>
      <c r="B7" s="231" t="s">
        <v>40</v>
      </c>
      <c r="C7" s="231" t="s">
        <v>133</v>
      </c>
      <c r="D7" s="232" t="s">
        <v>81</v>
      </c>
      <c r="E7" s="231" t="s">
        <v>134</v>
      </c>
      <c r="F7" s="233" t="s">
        <v>135</v>
      </c>
      <c r="G7" s="231" t="s">
        <v>135</v>
      </c>
      <c r="H7" s="1352" t="s">
        <v>136</v>
      </c>
      <c r="I7" s="1353"/>
      <c r="J7" s="1352" t="s">
        <v>137</v>
      </c>
      <c r="K7" s="1353"/>
      <c r="L7" s="1352" t="s">
        <v>47</v>
      </c>
      <c r="M7" s="1353"/>
      <c r="N7" s="1352" t="s">
        <v>138</v>
      </c>
      <c r="O7" s="1353"/>
      <c r="P7" s="1352" t="s">
        <v>139</v>
      </c>
      <c r="Q7" s="1353"/>
      <c r="R7" s="1366" t="s">
        <v>140</v>
      </c>
      <c r="S7" s="1368"/>
      <c r="T7" s="1352" t="s">
        <v>51</v>
      </c>
      <c r="U7" s="1353"/>
      <c r="V7" s="818" t="s">
        <v>43</v>
      </c>
      <c r="W7" s="1352" t="s">
        <v>141</v>
      </c>
      <c r="X7" s="1353"/>
      <c r="Y7" s="1352" t="s">
        <v>142</v>
      </c>
      <c r="Z7" s="1365"/>
      <c r="AA7" s="1353"/>
      <c r="AB7" s="1366" t="s">
        <v>143</v>
      </c>
      <c r="AC7" s="1367"/>
      <c r="AD7" s="1368"/>
      <c r="AE7" s="1358"/>
      <c r="AF7" s="231" t="s">
        <v>97</v>
      </c>
      <c r="AG7" s="231" t="s">
        <v>23</v>
      </c>
      <c r="AH7" s="811" t="s">
        <v>23</v>
      </c>
      <c r="AI7" s="811" t="s">
        <v>23</v>
      </c>
      <c r="AJ7" s="811" t="s">
        <v>144</v>
      </c>
      <c r="AK7" s="811" t="s">
        <v>135</v>
      </c>
      <c r="AL7" s="1362"/>
      <c r="AM7" s="1363"/>
      <c r="AN7" s="1364"/>
      <c r="AO7" s="1362"/>
      <c r="AP7" s="1363"/>
      <c r="AQ7" s="1363"/>
      <c r="AR7" s="1363"/>
      <c r="AS7" s="1364"/>
      <c r="AT7" s="231" t="s">
        <v>145</v>
      </c>
      <c r="AU7" s="231" t="s">
        <v>146</v>
      </c>
      <c r="AV7" s="231" t="s">
        <v>147</v>
      </c>
      <c r="AW7" s="1351" t="s">
        <v>148</v>
      </c>
      <c r="AX7" s="354" t="s">
        <v>189</v>
      </c>
      <c r="AY7" s="354" t="s">
        <v>608</v>
      </c>
      <c r="AZ7" s="231" t="s">
        <v>135</v>
      </c>
      <c r="BA7" s="1370"/>
      <c r="BB7" s="1371"/>
      <c r="BC7" s="234" t="s">
        <v>149</v>
      </c>
    </row>
    <row r="8" spans="1:100" ht="31.5">
      <c r="A8" s="230" t="s">
        <v>150</v>
      </c>
      <c r="B8" s="231" t="s">
        <v>151</v>
      </c>
      <c r="C8" s="231"/>
      <c r="D8" s="232" t="s">
        <v>152</v>
      </c>
      <c r="E8" s="231" t="s">
        <v>153</v>
      </c>
      <c r="F8" s="233" t="s">
        <v>154</v>
      </c>
      <c r="G8" s="231" t="s">
        <v>155</v>
      </c>
      <c r="H8" s="1352" t="s">
        <v>126</v>
      </c>
      <c r="I8" s="1353"/>
      <c r="J8" s="1352" t="s">
        <v>126</v>
      </c>
      <c r="K8" s="1353"/>
      <c r="L8" s="1352" t="s">
        <v>126</v>
      </c>
      <c r="M8" s="1353"/>
      <c r="N8" s="1352" t="s">
        <v>126</v>
      </c>
      <c r="O8" s="1353"/>
      <c r="P8" s="1352" t="s">
        <v>126</v>
      </c>
      <c r="Q8" s="1353"/>
      <c r="R8" s="1352" t="s">
        <v>126</v>
      </c>
      <c r="S8" s="1353"/>
      <c r="T8" s="1352" t="s">
        <v>126</v>
      </c>
      <c r="U8" s="1353"/>
      <c r="V8" s="231" t="s">
        <v>26</v>
      </c>
      <c r="W8" s="235" t="s">
        <v>156</v>
      </c>
      <c r="X8" s="819" t="s">
        <v>157</v>
      </c>
      <c r="Y8" s="811" t="s">
        <v>156</v>
      </c>
      <c r="Z8" s="1352" t="s">
        <v>126</v>
      </c>
      <c r="AA8" s="1353"/>
      <c r="AB8" s="811" t="s">
        <v>156</v>
      </c>
      <c r="AC8" s="1352" t="s">
        <v>126</v>
      </c>
      <c r="AD8" s="1353"/>
      <c r="AE8" s="814" t="s">
        <v>158</v>
      </c>
      <c r="AF8" s="814"/>
      <c r="AG8" s="784" t="s">
        <v>375</v>
      </c>
      <c r="AH8" s="820" t="s">
        <v>88</v>
      </c>
      <c r="AI8" s="820" t="s">
        <v>39</v>
      </c>
      <c r="AJ8" s="820"/>
      <c r="AK8" s="811" t="s">
        <v>160</v>
      </c>
      <c r="AL8" s="231" t="s">
        <v>161</v>
      </c>
      <c r="AM8" s="231" t="s">
        <v>162</v>
      </c>
      <c r="AN8" s="231" t="s">
        <v>126</v>
      </c>
      <c r="AO8" s="821" t="s">
        <v>163</v>
      </c>
      <c r="AP8" s="822" t="s">
        <v>164</v>
      </c>
      <c r="AQ8" s="822" t="s">
        <v>165</v>
      </c>
      <c r="AR8" s="822" t="s">
        <v>166</v>
      </c>
      <c r="AS8" s="823" t="s">
        <v>126</v>
      </c>
      <c r="AT8" s="231" t="s">
        <v>167</v>
      </c>
      <c r="AU8" s="236" t="s">
        <v>168</v>
      </c>
      <c r="AV8" s="233" t="s">
        <v>169</v>
      </c>
      <c r="AW8" s="1351"/>
      <c r="AX8" s="354" t="s">
        <v>190</v>
      </c>
      <c r="AY8" s="354"/>
      <c r="AZ8" s="231" t="s">
        <v>170</v>
      </c>
      <c r="BA8" s="1370"/>
      <c r="BB8" s="1371"/>
      <c r="BC8" s="234" t="s">
        <v>171</v>
      </c>
    </row>
    <row r="9" spans="1:100" ht="13.5" thickBot="1">
      <c r="A9" s="237"/>
      <c r="B9" s="238" t="s">
        <v>152</v>
      </c>
      <c r="C9" s="238"/>
      <c r="D9" s="239"/>
      <c r="E9" s="824"/>
      <c r="F9" s="825" t="s">
        <v>172</v>
      </c>
      <c r="G9" s="826" t="s">
        <v>172</v>
      </c>
      <c r="H9" s="240" t="s">
        <v>173</v>
      </c>
      <c r="I9" s="238" t="s">
        <v>172</v>
      </c>
      <c r="J9" s="240" t="s">
        <v>173</v>
      </c>
      <c r="K9" s="238" t="s">
        <v>172</v>
      </c>
      <c r="L9" s="240" t="s">
        <v>173</v>
      </c>
      <c r="M9" s="238" t="s">
        <v>172</v>
      </c>
      <c r="N9" s="240" t="s">
        <v>173</v>
      </c>
      <c r="O9" s="238" t="s">
        <v>172</v>
      </c>
      <c r="P9" s="240" t="s">
        <v>173</v>
      </c>
      <c r="Q9" s="238" t="s">
        <v>172</v>
      </c>
      <c r="R9" s="240" t="s">
        <v>173</v>
      </c>
      <c r="S9" s="238" t="s">
        <v>172</v>
      </c>
      <c r="T9" s="240" t="s">
        <v>173</v>
      </c>
      <c r="U9" s="238" t="s">
        <v>172</v>
      </c>
      <c r="V9" s="238"/>
      <c r="W9" s="241" t="s">
        <v>26</v>
      </c>
      <c r="X9" s="240" t="s">
        <v>172</v>
      </c>
      <c r="Y9" s="240" t="s">
        <v>26</v>
      </c>
      <c r="Z9" s="240" t="s">
        <v>26</v>
      </c>
      <c r="AA9" s="240" t="s">
        <v>172</v>
      </c>
      <c r="AB9" s="240" t="s">
        <v>45</v>
      </c>
      <c r="AC9" s="240" t="s">
        <v>45</v>
      </c>
      <c r="AD9" s="240" t="s">
        <v>172</v>
      </c>
      <c r="AE9" s="240"/>
      <c r="AF9" s="240"/>
      <c r="AG9" s="240"/>
      <c r="AH9" s="240" t="s">
        <v>172</v>
      </c>
      <c r="AI9" s="238"/>
      <c r="AJ9" s="240" t="s">
        <v>172</v>
      </c>
      <c r="AK9" s="238" t="s">
        <v>172</v>
      </c>
      <c r="AL9" s="238" t="s">
        <v>172</v>
      </c>
      <c r="AM9" s="238" t="s">
        <v>172</v>
      </c>
      <c r="AN9" s="238" t="s">
        <v>172</v>
      </c>
      <c r="AO9" s="242" t="s">
        <v>172</v>
      </c>
      <c r="AP9" s="243" t="s">
        <v>172</v>
      </c>
      <c r="AQ9" s="242" t="s">
        <v>172</v>
      </c>
      <c r="AR9" s="243" t="s">
        <v>172</v>
      </c>
      <c r="AS9" s="243" t="s">
        <v>172</v>
      </c>
      <c r="AT9" s="238"/>
      <c r="AU9" s="238"/>
      <c r="AV9" s="238"/>
      <c r="AW9" s="238"/>
      <c r="AX9" s="238"/>
      <c r="AY9" s="238"/>
      <c r="AZ9" s="243" t="s">
        <v>172</v>
      </c>
      <c r="BA9" s="824" t="s">
        <v>19</v>
      </c>
      <c r="BB9" s="827" t="s">
        <v>15</v>
      </c>
      <c r="BC9" s="244" t="s">
        <v>174</v>
      </c>
    </row>
    <row r="10" spans="1:100" s="255" customFormat="1" ht="31.5" customHeight="1">
      <c r="A10" s="767">
        <v>1</v>
      </c>
      <c r="B10" s="828"/>
      <c r="C10" s="829" t="s">
        <v>175</v>
      </c>
      <c r="D10" s="771" t="s">
        <v>36</v>
      </c>
      <c r="E10" s="762">
        <f>'CKROL PERAWATAN'!AH8</f>
        <v>24</v>
      </c>
      <c r="F10" s="830">
        <v>134500</v>
      </c>
      <c r="G10" s="760">
        <f>SUM(F10*E10)</f>
        <v>3228000</v>
      </c>
      <c r="H10" s="762">
        <f>'CKROL PERAWATAN'!AI8</f>
        <v>1</v>
      </c>
      <c r="I10" s="763">
        <f>SUM(H10*F10)</f>
        <v>134500</v>
      </c>
      <c r="J10" s="831">
        <f>'CKROL PERAWATAN'!AJ8</f>
        <v>0</v>
      </c>
      <c r="K10" s="760">
        <f>SUM(J10*F10)</f>
        <v>0</v>
      </c>
      <c r="L10" s="831">
        <f>'CKROL PERAWATAN'!AK8</f>
        <v>0</v>
      </c>
      <c r="M10" s="760">
        <f>L10*F10</f>
        <v>0</v>
      </c>
      <c r="N10" s="246">
        <f>'CKROL PERAWATAN'!AL8</f>
        <v>4</v>
      </c>
      <c r="O10" s="246">
        <f>SUM(N10*F10)</f>
        <v>538000</v>
      </c>
      <c r="P10" s="761">
        <f>'CKROL PERAWATAN'!AM8</f>
        <v>2</v>
      </c>
      <c r="Q10" s="763">
        <f>SUM(P10*F10)</f>
        <v>269000</v>
      </c>
      <c r="R10" s="762"/>
      <c r="S10" s="763">
        <f>F10*R10</f>
        <v>0</v>
      </c>
      <c r="T10" s="761">
        <f>'CKROL PERAWATAN'!AO8</f>
        <v>0</v>
      </c>
      <c r="U10" s="832">
        <f>SUM(T10*F10)</f>
        <v>0</v>
      </c>
      <c r="V10" s="760">
        <f>SUM(T10+R10+P10+N10+L10+J10+H10+E10)</f>
        <v>31</v>
      </c>
      <c r="W10" s="764">
        <v>5550</v>
      </c>
      <c r="X10" s="760">
        <f>SUM(W10*V10)</f>
        <v>172050</v>
      </c>
      <c r="Y10" s="762">
        <v>2500</v>
      </c>
      <c r="Z10" s="761">
        <f>E10</f>
        <v>24</v>
      </c>
      <c r="AA10" s="248">
        <f>SUM(Z10*Y10)</f>
        <v>60000</v>
      </c>
      <c r="AB10" s="763">
        <v>2500</v>
      </c>
      <c r="AC10" s="765">
        <v>4</v>
      </c>
      <c r="AD10" s="766">
        <v>33000</v>
      </c>
      <c r="AE10" s="760"/>
      <c r="AF10" s="772">
        <f>'CKROL PERAWATAN'!AJ49</f>
        <v>3965029.0000000005</v>
      </c>
      <c r="AG10" s="760"/>
      <c r="AH10" s="763"/>
      <c r="AI10" s="763"/>
      <c r="AJ10" s="763"/>
      <c r="AK10" s="251">
        <f>SUM(G10+I10+K10+M10+O10+Q10+S10+U10+X10+AA10+AD10+AF10+AG10+AH10+AI10-AJ10+AE10)</f>
        <v>8399579</v>
      </c>
      <c r="AL10" s="760">
        <f>(4035000+AD10)*0.02</f>
        <v>81360</v>
      </c>
      <c r="AM10" s="760">
        <f>(4035000+AD10)*0.0454</f>
        <v>184687.2</v>
      </c>
      <c r="AN10" s="832">
        <f>SUM(AM10+AL10)</f>
        <v>266047.2</v>
      </c>
      <c r="AO10" s="760">
        <f>(4035000+AD10)*1%</f>
        <v>40680</v>
      </c>
      <c r="AP10" s="760">
        <f>(4035000+AD10)*4%</f>
        <v>162720</v>
      </c>
      <c r="AQ10" s="760">
        <f>(4035000+AD10)*1%</f>
        <v>40680</v>
      </c>
      <c r="AR10" s="760">
        <f>(4035000+AD10)*2%</f>
        <v>81360</v>
      </c>
      <c r="AS10" s="833">
        <f t="shared" ref="AS10:AS38" si="0">AO10+AP10+AQ10+AR10</f>
        <v>325440</v>
      </c>
      <c r="AT10" s="761"/>
      <c r="AU10" s="760">
        <f>PAJAK!AK6</f>
        <v>85965</v>
      </c>
      <c r="AV10" s="248"/>
      <c r="AW10" s="248"/>
      <c r="AX10" s="248"/>
      <c r="AY10" s="248"/>
      <c r="AZ10" s="248">
        <f>AK10-AL10-AO10-AQ10-AT10-AU10+AV10+AW10+AX10+AY10</f>
        <v>8150894</v>
      </c>
      <c r="BA10" s="246">
        <f>'CKROL PERAWATAN'!AQ8</f>
        <v>0</v>
      </c>
      <c r="BB10" s="252">
        <f>'CKROL PERAWATAN'!AR8</f>
        <v>0</v>
      </c>
      <c r="BC10" s="253"/>
      <c r="BD10" s="254"/>
      <c r="BE10" s="255">
        <f>BA10+BB10</f>
        <v>0</v>
      </c>
      <c r="BF10" s="255">
        <f t="shared" ref="BF10:BF37" si="1">-(F10*BE10)</f>
        <v>0</v>
      </c>
      <c r="BI10" s="255">
        <f>X10+AA10+AD10+AF10+AG10</f>
        <v>4230079</v>
      </c>
    </row>
    <row r="11" spans="1:100" ht="31.5" customHeight="1">
      <c r="A11" s="767">
        <v>2</v>
      </c>
      <c r="B11" s="256"/>
      <c r="C11" s="256" t="s">
        <v>175</v>
      </c>
      <c r="D11" s="771" t="s">
        <v>53</v>
      </c>
      <c r="E11" s="762">
        <f>'CKROL PERAWATAN'!AH9</f>
        <v>25</v>
      </c>
      <c r="F11" s="830">
        <v>134500</v>
      </c>
      <c r="G11" s="832">
        <f>SUM(F11*E11)</f>
        <v>3362500</v>
      </c>
      <c r="H11" s="762">
        <f>'CKROL PERAWATAN'!AI9</f>
        <v>0</v>
      </c>
      <c r="I11" s="832">
        <f>SUM(H11*F11)</f>
        <v>0</v>
      </c>
      <c r="J11" s="831">
        <f>'CKROL PERAWATAN'!AJ9</f>
        <v>0</v>
      </c>
      <c r="K11" s="832">
        <f>SUM(J11*F11)</f>
        <v>0</v>
      </c>
      <c r="L11" s="831">
        <f>'CKROL PERAWATAN'!AK9</f>
        <v>0</v>
      </c>
      <c r="M11" s="760">
        <f t="shared" ref="M11:M38" si="2">L11*F11</f>
        <v>0</v>
      </c>
      <c r="N11" s="832">
        <f>'CKROL PERAWATAN'!AL9</f>
        <v>4</v>
      </c>
      <c r="O11" s="832">
        <f>SUM(N11*F11)</f>
        <v>538000</v>
      </c>
      <c r="P11" s="761">
        <f>'CKROL PERAWATAN'!AM9</f>
        <v>2</v>
      </c>
      <c r="Q11" s="834">
        <f>SUM(P11*F11)</f>
        <v>269000</v>
      </c>
      <c r="R11" s="832"/>
      <c r="S11" s="763">
        <f t="shared" ref="S11:S26" si="3">F11*R11</f>
        <v>0</v>
      </c>
      <c r="T11" s="761">
        <f>'CKROL PERAWATAN'!AO9</f>
        <v>0</v>
      </c>
      <c r="U11" s="832">
        <f>SUM(T11*F11)</f>
        <v>0</v>
      </c>
      <c r="V11" s="834">
        <f>SUM(T11+R11+P11+N11+L11+J11+H11+E11)</f>
        <v>31</v>
      </c>
      <c r="W11" s="828">
        <v>3250</v>
      </c>
      <c r="X11" s="832">
        <f>SUM(W11*V11)</f>
        <v>100750</v>
      </c>
      <c r="Y11" s="832">
        <v>3500</v>
      </c>
      <c r="Z11" s="832">
        <f>E11</f>
        <v>25</v>
      </c>
      <c r="AA11" s="832">
        <f>SUM(Z11*Y11)</f>
        <v>87500</v>
      </c>
      <c r="AB11" s="832">
        <v>2500</v>
      </c>
      <c r="AC11" s="835">
        <v>20</v>
      </c>
      <c r="AD11" s="835">
        <v>89000</v>
      </c>
      <c r="AE11" s="835"/>
      <c r="AF11" s="832"/>
      <c r="AG11" s="832"/>
      <c r="AH11" s="832"/>
      <c r="AI11" s="832"/>
      <c r="AJ11" s="832"/>
      <c r="AK11" s="835">
        <f>SUM(G11+I11+K11+M11+O11+Q11+S11+U11+X11+AA11+AD11+AF11+AG11+AH11+AI11-AJ11+AE11)</f>
        <v>4446750</v>
      </c>
      <c r="AL11" s="760">
        <f t="shared" ref="AL11:AL38" si="4">(4035000+AD11)*0.02</f>
        <v>82480</v>
      </c>
      <c r="AM11" s="760">
        <f t="shared" ref="AM11:AM38" si="5">(4035000+AD11)*0.0454</f>
        <v>187229.6</v>
      </c>
      <c r="AN11" s="832">
        <f>SUM(AM11+AL11)</f>
        <v>269709.59999999998</v>
      </c>
      <c r="AO11" s="760">
        <f t="shared" ref="AO11:AO38" si="6">(4035000+AD11)*1%</f>
        <v>41240</v>
      </c>
      <c r="AP11" s="760">
        <f t="shared" ref="AP11:AP38" si="7">(4035000+AD11)*4%</f>
        <v>164960</v>
      </c>
      <c r="AQ11" s="760">
        <f t="shared" ref="AQ11:AQ38" si="8">(4035000+AD11)*1%</f>
        <v>41240</v>
      </c>
      <c r="AR11" s="760">
        <f t="shared" ref="AR11:AR38" si="9">(4035000+AD11)*2%</f>
        <v>82480</v>
      </c>
      <c r="AS11" s="836">
        <f t="shared" si="0"/>
        <v>329920</v>
      </c>
      <c r="AT11" s="832">
        <v>4000</v>
      </c>
      <c r="AU11" s="760">
        <f>PAJAK!AK7</f>
        <v>0</v>
      </c>
      <c r="AV11" s="832"/>
      <c r="AW11" s="832"/>
      <c r="AX11" s="832"/>
      <c r="AY11" s="832">
        <v>128008</v>
      </c>
      <c r="AZ11" s="832">
        <f t="shared" ref="AZ11:AZ38" si="10">AK11-AL11-AO11-AQ11-AT11-AU11+AV11+AW11+AX11+AY11</f>
        <v>4405798</v>
      </c>
      <c r="BA11" s="832">
        <f>'CKROL PERAWATAN'!AQ9</f>
        <v>0</v>
      </c>
      <c r="BB11" s="837">
        <f>'CKROL PERAWATAN'!AR9</f>
        <v>0</v>
      </c>
      <c r="BC11" s="838"/>
      <c r="BE11" s="255">
        <f t="shared" ref="BE11:BE39" si="11">BA11+BB11</f>
        <v>0</v>
      </c>
      <c r="BF11" s="255">
        <f t="shared" si="1"/>
        <v>0</v>
      </c>
      <c r="BI11" s="255">
        <f t="shared" ref="BI11:BI39" si="12">X11+AA11+AD11+AF11+AG11</f>
        <v>277250</v>
      </c>
    </row>
    <row r="12" spans="1:100" ht="31.5" customHeight="1">
      <c r="A12" s="767">
        <v>3</v>
      </c>
      <c r="B12" s="256"/>
      <c r="C12" s="256" t="s">
        <v>175</v>
      </c>
      <c r="D12" s="771" t="s">
        <v>12</v>
      </c>
      <c r="E12" s="762">
        <f>'CKROL PERAWATAN'!AH10</f>
        <v>24</v>
      </c>
      <c r="F12" s="830">
        <v>134500</v>
      </c>
      <c r="G12" s="832">
        <f>SUM(F12*E12)</f>
        <v>3228000</v>
      </c>
      <c r="H12" s="762">
        <f>'CKROL PERAWATAN'!AI10</f>
        <v>1</v>
      </c>
      <c r="I12" s="832">
        <f>SUM(H12*F12)</f>
        <v>134500</v>
      </c>
      <c r="J12" s="831">
        <f>'CKROL PERAWATAN'!AJ10</f>
        <v>0</v>
      </c>
      <c r="K12" s="832">
        <f>SUM(J12*F12)</f>
        <v>0</v>
      </c>
      <c r="L12" s="831">
        <f>'CKROL PERAWATAN'!AK10</f>
        <v>0</v>
      </c>
      <c r="M12" s="760">
        <f t="shared" si="2"/>
        <v>0</v>
      </c>
      <c r="N12" s="832">
        <f>'CKROL PERAWATAN'!AL10</f>
        <v>4</v>
      </c>
      <c r="O12" s="832">
        <f>SUM(N12*F12)</f>
        <v>538000</v>
      </c>
      <c r="P12" s="761">
        <f>'CKROL PERAWATAN'!AM10</f>
        <v>2</v>
      </c>
      <c r="Q12" s="834">
        <f>SUM(P12*F12)</f>
        <v>269000</v>
      </c>
      <c r="R12" s="832"/>
      <c r="S12" s="763">
        <f t="shared" si="3"/>
        <v>0</v>
      </c>
      <c r="T12" s="761">
        <f>'CKROL PERAWATAN'!AO10</f>
        <v>0</v>
      </c>
      <c r="U12" s="832">
        <f>SUM(T12*F12)</f>
        <v>0</v>
      </c>
      <c r="V12" s="834">
        <f>SUM(T12+R12+P12+N12+L12+J12+H12+E12)</f>
        <v>31</v>
      </c>
      <c r="W12" s="828">
        <v>3250</v>
      </c>
      <c r="X12" s="832">
        <f>SUM(W12*V12)</f>
        <v>100750</v>
      </c>
      <c r="Y12" s="832"/>
      <c r="Z12" s="832">
        <f>E12</f>
        <v>24</v>
      </c>
      <c r="AA12" s="832"/>
      <c r="AB12" s="832">
        <v>2500</v>
      </c>
      <c r="AC12" s="835">
        <v>20</v>
      </c>
      <c r="AD12" s="922">
        <v>96000</v>
      </c>
      <c r="AE12" s="835"/>
      <c r="AF12" s="832">
        <f>'CKROL PERAWATAN'!AJ52</f>
        <v>0</v>
      </c>
      <c r="AG12" s="832"/>
      <c r="AH12" s="832"/>
      <c r="AI12" s="832"/>
      <c r="AJ12" s="832"/>
      <c r="AK12" s="835">
        <f>SUM(G12+I12+K12+M12+O12+Q12+S12+U12+X12+AA12+AD12+AF12+AG12+AH12+AI12-AJ12+AE12)</f>
        <v>4366250</v>
      </c>
      <c r="AL12" s="760">
        <f t="shared" si="4"/>
        <v>82620</v>
      </c>
      <c r="AM12" s="760">
        <f t="shared" si="5"/>
        <v>187547.40000000002</v>
      </c>
      <c r="AN12" s="832">
        <f>SUM(AM12+AL12)</f>
        <v>270167.40000000002</v>
      </c>
      <c r="AO12" s="760">
        <f t="shared" si="6"/>
        <v>41310</v>
      </c>
      <c r="AP12" s="760">
        <f t="shared" si="7"/>
        <v>165240</v>
      </c>
      <c r="AQ12" s="760">
        <f t="shared" si="8"/>
        <v>41310</v>
      </c>
      <c r="AR12" s="760">
        <f t="shared" si="9"/>
        <v>82620</v>
      </c>
      <c r="AS12" s="836">
        <f t="shared" si="0"/>
        <v>330480</v>
      </c>
      <c r="AT12" s="832">
        <v>4000</v>
      </c>
      <c r="AU12" s="760">
        <f>PAJAK!AK8</f>
        <v>0</v>
      </c>
      <c r="AV12" s="832"/>
      <c r="AW12" s="832"/>
      <c r="AX12" s="832"/>
      <c r="AY12" s="832">
        <v>126855</v>
      </c>
      <c r="AZ12" s="832">
        <f t="shared" si="10"/>
        <v>4323865</v>
      </c>
      <c r="BA12" s="832">
        <f>'CKROL PERAWATAN'!AQ10</f>
        <v>0</v>
      </c>
      <c r="BB12" s="837">
        <f>'CKROL PERAWATAN'!AR10</f>
        <v>0</v>
      </c>
      <c r="BC12" s="838"/>
      <c r="BE12" s="255">
        <f t="shared" si="11"/>
        <v>0</v>
      </c>
      <c r="BF12" s="255">
        <f t="shared" si="1"/>
        <v>0</v>
      </c>
      <c r="BI12" s="255">
        <f t="shared" si="12"/>
        <v>196750</v>
      </c>
    </row>
    <row r="13" spans="1:100" ht="31.5" customHeight="1">
      <c r="A13" s="767">
        <v>4</v>
      </c>
      <c r="B13" s="256"/>
      <c r="C13" s="256" t="s">
        <v>176</v>
      </c>
      <c r="D13" s="771" t="s">
        <v>54</v>
      </c>
      <c r="E13" s="762">
        <f>'CKROL PERAWATAN'!AH11</f>
        <v>23</v>
      </c>
      <c r="F13" s="830">
        <v>134500</v>
      </c>
      <c r="G13" s="832">
        <f>SUM(F13*E13)</f>
        <v>3093500</v>
      </c>
      <c r="H13" s="762">
        <f>'CKROL PERAWATAN'!AI11</f>
        <v>2</v>
      </c>
      <c r="I13" s="832">
        <f>SUM(H13*F13)</f>
        <v>269000</v>
      </c>
      <c r="J13" s="831">
        <f>'CKROL PERAWATAN'!AJ11</f>
        <v>0</v>
      </c>
      <c r="K13" s="832">
        <f>SUM(J13*F13)</f>
        <v>0</v>
      </c>
      <c r="L13" s="831">
        <f>'CKROL PERAWATAN'!AK11</f>
        <v>0</v>
      </c>
      <c r="M13" s="760">
        <f t="shared" si="2"/>
        <v>0</v>
      </c>
      <c r="N13" s="832">
        <f>'CKROL PERAWATAN'!AL11</f>
        <v>4</v>
      </c>
      <c r="O13" s="832">
        <f>SUM(N13*F13)</f>
        <v>538000</v>
      </c>
      <c r="P13" s="761">
        <f>'CKROL PERAWATAN'!AM11</f>
        <v>2</v>
      </c>
      <c r="Q13" s="834">
        <f>SUM(P13*F13)</f>
        <v>269000</v>
      </c>
      <c r="R13" s="832"/>
      <c r="S13" s="763">
        <f t="shared" si="3"/>
        <v>0</v>
      </c>
      <c r="T13" s="761">
        <f>'CKROL PERAWATAN'!AO11</f>
        <v>0</v>
      </c>
      <c r="U13" s="832">
        <f>SUM(T13*F13)</f>
        <v>0</v>
      </c>
      <c r="V13" s="834">
        <f>SUM(T13+R13+P13+N13+L13+J13+H13+E13)</f>
        <v>31</v>
      </c>
      <c r="W13" s="828">
        <v>2250</v>
      </c>
      <c r="X13" s="832">
        <f>SUM(W13*V13)</f>
        <v>69750</v>
      </c>
      <c r="Y13" s="832"/>
      <c r="Z13" s="832">
        <f>E13</f>
        <v>23</v>
      </c>
      <c r="AA13" s="832"/>
      <c r="AB13" s="832">
        <v>2500</v>
      </c>
      <c r="AC13" s="835">
        <v>10</v>
      </c>
      <c r="AD13" s="835">
        <v>50500</v>
      </c>
      <c r="AE13" s="835"/>
      <c r="AF13" s="832"/>
      <c r="AG13" s="832"/>
      <c r="AH13" s="832"/>
      <c r="AI13" s="832"/>
      <c r="AJ13" s="832"/>
      <c r="AK13" s="835">
        <f t="shared" ref="AK13:AK38" si="13">SUM(G13+I13+K13+M13+O13+Q13+S13+U13+X13+AA13+AD13+AF13+AG13+AH13+AI13-AJ13+AE13)</f>
        <v>4289750</v>
      </c>
      <c r="AL13" s="760">
        <f t="shared" si="4"/>
        <v>81710</v>
      </c>
      <c r="AM13" s="760">
        <f t="shared" si="5"/>
        <v>185481.7</v>
      </c>
      <c r="AN13" s="832">
        <f>SUM(AM13+AL13)</f>
        <v>267191.7</v>
      </c>
      <c r="AO13" s="760">
        <f t="shared" si="6"/>
        <v>40855</v>
      </c>
      <c r="AP13" s="760">
        <f t="shared" si="7"/>
        <v>163420</v>
      </c>
      <c r="AQ13" s="760">
        <f t="shared" si="8"/>
        <v>40855</v>
      </c>
      <c r="AR13" s="760">
        <f t="shared" si="9"/>
        <v>81710</v>
      </c>
      <c r="AS13" s="836">
        <f t="shared" si="0"/>
        <v>326840</v>
      </c>
      <c r="AT13" s="832">
        <v>4000</v>
      </c>
      <c r="AU13" s="760">
        <f>PAJAK!AK9</f>
        <v>0</v>
      </c>
      <c r="AV13" s="832"/>
      <c r="AW13" s="832"/>
      <c r="AX13" s="832"/>
      <c r="AY13" s="832">
        <v>124548</v>
      </c>
      <c r="AZ13" s="832">
        <f t="shared" si="10"/>
        <v>4246878</v>
      </c>
      <c r="BA13" s="832">
        <f>'CKROL PERAWATAN'!AQ11</f>
        <v>0</v>
      </c>
      <c r="BB13" s="837">
        <f>'CKROL PERAWATAN'!AR11</f>
        <v>0</v>
      </c>
      <c r="BC13" s="259"/>
      <c r="BE13" s="255">
        <f t="shared" si="11"/>
        <v>0</v>
      </c>
      <c r="BF13" s="255">
        <f t="shared" si="1"/>
        <v>0</v>
      </c>
      <c r="BI13" s="255">
        <f t="shared" si="12"/>
        <v>120250</v>
      </c>
    </row>
    <row r="14" spans="1:100" s="255" customFormat="1" ht="31.5" customHeight="1">
      <c r="A14" s="767">
        <v>5</v>
      </c>
      <c r="B14" s="261"/>
      <c r="C14" s="839" t="s">
        <v>175</v>
      </c>
      <c r="D14" s="771" t="s">
        <v>55</v>
      </c>
      <c r="E14" s="762">
        <f>'CKROL PERAWATAN'!AH12</f>
        <v>24</v>
      </c>
      <c r="F14" s="830">
        <v>134500</v>
      </c>
      <c r="G14" s="832">
        <f t="shared" ref="G14:G38" si="14">SUM(F14*E14)</f>
        <v>3228000</v>
      </c>
      <c r="H14" s="762">
        <f>'CKROL PERAWATAN'!AI12</f>
        <v>0</v>
      </c>
      <c r="I14" s="834">
        <f t="shared" ref="I14:I18" si="15">SUM(H14*F14)</f>
        <v>0</v>
      </c>
      <c r="J14" s="831">
        <f>'CKROL PERAWATAN'!AJ12</f>
        <v>0</v>
      </c>
      <c r="K14" s="832">
        <f t="shared" ref="K14:K38" si="16">SUM(J14*F14)</f>
        <v>0</v>
      </c>
      <c r="L14" s="831">
        <f>'CKROL PERAWATAN'!AK12</f>
        <v>0</v>
      </c>
      <c r="M14" s="760">
        <f t="shared" si="2"/>
        <v>0</v>
      </c>
      <c r="N14" s="832">
        <f>'CKROL PERAWATAN'!AL12</f>
        <v>4</v>
      </c>
      <c r="O14" s="832">
        <f t="shared" ref="O14:O18" si="17">SUM(N14*F14)</f>
        <v>538000</v>
      </c>
      <c r="P14" s="761">
        <f>'CKROL PERAWATAN'!AM12</f>
        <v>2</v>
      </c>
      <c r="Q14" s="834">
        <f t="shared" ref="Q14:Q18" si="18">SUM(P14*F14)</f>
        <v>269000</v>
      </c>
      <c r="R14" s="832"/>
      <c r="S14" s="763">
        <f t="shared" si="3"/>
        <v>0</v>
      </c>
      <c r="T14" s="761">
        <f>'CKROL PERAWATAN'!AO12</f>
        <v>0</v>
      </c>
      <c r="U14" s="834">
        <f t="shared" ref="U14:U18" si="19">SUM(T14*F14)</f>
        <v>0</v>
      </c>
      <c r="V14" s="832">
        <f t="shared" ref="V14:V38" si="20">SUM(T14+R14+P14+N14+L14+J14+H14+E14)</f>
        <v>30</v>
      </c>
      <c r="W14" s="840">
        <v>4650</v>
      </c>
      <c r="X14" s="832">
        <f t="shared" ref="X14:X18" si="21">SUM(W14*V14)</f>
        <v>139500</v>
      </c>
      <c r="Y14" s="841"/>
      <c r="Z14" s="842">
        <f t="shared" ref="Z14:Z18" si="22">E14</f>
        <v>24</v>
      </c>
      <c r="AA14" s="832"/>
      <c r="AB14" s="834">
        <v>2500</v>
      </c>
      <c r="AC14" s="843">
        <v>10</v>
      </c>
      <c r="AD14" s="835">
        <v>54000</v>
      </c>
      <c r="AE14" s="835"/>
      <c r="AF14" s="832"/>
      <c r="AG14" s="832"/>
      <c r="AH14" s="834"/>
      <c r="AI14" s="834"/>
      <c r="AJ14" s="834"/>
      <c r="AK14" s="835">
        <f t="shared" si="13"/>
        <v>4228500</v>
      </c>
      <c r="AL14" s="760">
        <f t="shared" si="4"/>
        <v>81780</v>
      </c>
      <c r="AM14" s="760">
        <f t="shared" si="5"/>
        <v>185640.6</v>
      </c>
      <c r="AN14" s="832">
        <f t="shared" ref="AN14:AN38" si="23">SUM(AM14+AL14)</f>
        <v>267420.59999999998</v>
      </c>
      <c r="AO14" s="760">
        <f t="shared" si="6"/>
        <v>40890</v>
      </c>
      <c r="AP14" s="760">
        <f t="shared" si="7"/>
        <v>163560</v>
      </c>
      <c r="AQ14" s="760">
        <f t="shared" si="8"/>
        <v>40890</v>
      </c>
      <c r="AR14" s="760">
        <f t="shared" si="9"/>
        <v>81780</v>
      </c>
      <c r="AS14" s="836">
        <f t="shared" si="0"/>
        <v>327120</v>
      </c>
      <c r="AT14" s="842">
        <v>4000</v>
      </c>
      <c r="AU14" s="760">
        <f>PAJAK!AK10</f>
        <v>0</v>
      </c>
      <c r="AV14" s="832"/>
      <c r="AW14" s="832"/>
      <c r="AX14" s="832"/>
      <c r="AY14" s="832">
        <v>84567</v>
      </c>
      <c r="AZ14" s="832">
        <f t="shared" si="10"/>
        <v>4145507</v>
      </c>
      <c r="BA14" s="832">
        <f>'CKROL PERAWATAN'!AQ12</f>
        <v>0</v>
      </c>
      <c r="BB14" s="837">
        <f>'CKROL PERAWATAN'!AR12</f>
        <v>1</v>
      </c>
      <c r="BC14" s="263"/>
      <c r="BD14" s="254"/>
      <c r="BE14" s="255">
        <f t="shared" si="11"/>
        <v>1</v>
      </c>
      <c r="BF14" s="255">
        <f t="shared" si="1"/>
        <v>-134500</v>
      </c>
      <c r="BI14" s="255">
        <f t="shared" si="12"/>
        <v>193500</v>
      </c>
    </row>
    <row r="15" spans="1:100" s="255" customFormat="1" ht="31.5" customHeight="1">
      <c r="A15" s="767">
        <v>6</v>
      </c>
      <c r="B15" s="828"/>
      <c r="C15" s="829" t="s">
        <v>175</v>
      </c>
      <c r="D15" s="771" t="s">
        <v>56</v>
      </c>
      <c r="E15" s="762">
        <f>'CKROL PERAWATAN'!AH13</f>
        <v>25</v>
      </c>
      <c r="F15" s="830">
        <v>134500</v>
      </c>
      <c r="G15" s="832">
        <f t="shared" si="14"/>
        <v>3362500</v>
      </c>
      <c r="H15" s="762">
        <f>'CKROL PERAWATAN'!AI13</f>
        <v>0</v>
      </c>
      <c r="I15" s="834">
        <f t="shared" si="15"/>
        <v>0</v>
      </c>
      <c r="J15" s="831">
        <f>'CKROL PERAWATAN'!AJ13</f>
        <v>0</v>
      </c>
      <c r="K15" s="832">
        <f t="shared" si="16"/>
        <v>0</v>
      </c>
      <c r="L15" s="831">
        <f>'CKROL PERAWATAN'!AK13</f>
        <v>0</v>
      </c>
      <c r="M15" s="760">
        <f t="shared" si="2"/>
        <v>0</v>
      </c>
      <c r="N15" s="832">
        <f>'CKROL PERAWATAN'!AL13</f>
        <v>4</v>
      </c>
      <c r="O15" s="832">
        <f t="shared" si="17"/>
        <v>538000</v>
      </c>
      <c r="P15" s="761">
        <f>'CKROL PERAWATAN'!AM13</f>
        <v>2</v>
      </c>
      <c r="Q15" s="834">
        <f t="shared" si="18"/>
        <v>269000</v>
      </c>
      <c r="R15" s="832"/>
      <c r="S15" s="763">
        <f t="shared" si="3"/>
        <v>0</v>
      </c>
      <c r="T15" s="761">
        <f>'CKROL PERAWATAN'!AO13</f>
        <v>0</v>
      </c>
      <c r="U15" s="834">
        <f t="shared" si="19"/>
        <v>0</v>
      </c>
      <c r="V15" s="832">
        <f t="shared" si="20"/>
        <v>31</v>
      </c>
      <c r="W15" s="840">
        <v>4650</v>
      </c>
      <c r="X15" s="832">
        <f t="shared" si="21"/>
        <v>144150</v>
      </c>
      <c r="Y15" s="841"/>
      <c r="Z15" s="842">
        <f t="shared" si="22"/>
        <v>25</v>
      </c>
      <c r="AA15" s="832"/>
      <c r="AB15" s="834">
        <v>2500</v>
      </c>
      <c r="AC15" s="843">
        <v>10</v>
      </c>
      <c r="AD15" s="835">
        <v>54000</v>
      </c>
      <c r="AE15" s="835"/>
      <c r="AF15" s="832"/>
      <c r="AG15" s="832"/>
      <c r="AH15" s="834"/>
      <c r="AI15" s="834"/>
      <c r="AJ15" s="834"/>
      <c r="AK15" s="835">
        <f t="shared" si="13"/>
        <v>4367650</v>
      </c>
      <c r="AL15" s="760">
        <f t="shared" si="4"/>
        <v>81780</v>
      </c>
      <c r="AM15" s="760">
        <f t="shared" si="5"/>
        <v>185640.6</v>
      </c>
      <c r="AN15" s="832">
        <f t="shared" si="23"/>
        <v>267420.59999999998</v>
      </c>
      <c r="AO15" s="760">
        <f t="shared" si="6"/>
        <v>40890</v>
      </c>
      <c r="AP15" s="760">
        <f t="shared" si="7"/>
        <v>163560</v>
      </c>
      <c r="AQ15" s="760">
        <f t="shared" si="8"/>
        <v>40890</v>
      </c>
      <c r="AR15" s="760">
        <f t="shared" si="9"/>
        <v>81780</v>
      </c>
      <c r="AS15" s="836">
        <f t="shared" si="0"/>
        <v>327120</v>
      </c>
      <c r="AT15" s="842">
        <v>4000</v>
      </c>
      <c r="AU15" s="760">
        <f>PAJAK!AK11</f>
        <v>0</v>
      </c>
      <c r="AV15" s="832"/>
      <c r="AW15" s="832"/>
      <c r="AX15" s="832"/>
      <c r="AY15" s="832">
        <v>84567</v>
      </c>
      <c r="AZ15" s="832">
        <f t="shared" si="10"/>
        <v>4284657</v>
      </c>
      <c r="BA15" s="832">
        <f>'CKROL PERAWATAN'!AQ13</f>
        <v>0</v>
      </c>
      <c r="BB15" s="837">
        <f>'CKROL PERAWATAN'!AR13</f>
        <v>0</v>
      </c>
      <c r="BC15" s="844"/>
      <c r="BD15" s="254"/>
      <c r="BE15" s="255">
        <f t="shared" si="11"/>
        <v>0</v>
      </c>
      <c r="BF15" s="255">
        <f t="shared" si="1"/>
        <v>0</v>
      </c>
      <c r="BI15" s="255">
        <f t="shared" si="12"/>
        <v>198150</v>
      </c>
    </row>
    <row r="16" spans="1:100" s="846" customFormat="1" ht="31.5" customHeight="1">
      <c r="A16" s="767">
        <v>7</v>
      </c>
      <c r="B16" s="832"/>
      <c r="C16" s="842" t="s">
        <v>175</v>
      </c>
      <c r="D16" s="771" t="s">
        <v>57</v>
      </c>
      <c r="E16" s="762">
        <f>'CKROL PERAWATAN'!AH14</f>
        <v>23</v>
      </c>
      <c r="F16" s="830">
        <v>134500</v>
      </c>
      <c r="G16" s="832">
        <f t="shared" si="14"/>
        <v>3093500</v>
      </c>
      <c r="H16" s="762">
        <f>'CKROL PERAWATAN'!AI14</f>
        <v>1</v>
      </c>
      <c r="I16" s="834">
        <f t="shared" si="15"/>
        <v>134500</v>
      </c>
      <c r="J16" s="831">
        <f>'CKROL PERAWATAN'!AJ14</f>
        <v>0</v>
      </c>
      <c r="K16" s="832">
        <f t="shared" si="16"/>
        <v>0</v>
      </c>
      <c r="L16" s="831">
        <f>'CKROL PERAWATAN'!AK14</f>
        <v>0</v>
      </c>
      <c r="M16" s="760">
        <f t="shared" si="2"/>
        <v>0</v>
      </c>
      <c r="N16" s="832">
        <f>'CKROL PERAWATAN'!AL14</f>
        <v>4</v>
      </c>
      <c r="O16" s="832">
        <f t="shared" si="17"/>
        <v>538000</v>
      </c>
      <c r="P16" s="761">
        <f>'CKROL PERAWATAN'!AM14</f>
        <v>2</v>
      </c>
      <c r="Q16" s="834">
        <f t="shared" si="18"/>
        <v>269000</v>
      </c>
      <c r="R16" s="832"/>
      <c r="S16" s="763">
        <f t="shared" si="3"/>
        <v>0</v>
      </c>
      <c r="T16" s="761">
        <f>'CKROL PERAWATAN'!AO14</f>
        <v>0</v>
      </c>
      <c r="U16" s="834">
        <f t="shared" si="19"/>
        <v>0</v>
      </c>
      <c r="V16" s="832">
        <f t="shared" si="20"/>
        <v>30</v>
      </c>
      <c r="W16" s="840">
        <v>5550</v>
      </c>
      <c r="X16" s="832">
        <f t="shared" si="21"/>
        <v>166500</v>
      </c>
      <c r="Y16" s="841"/>
      <c r="Z16" s="842">
        <f t="shared" si="22"/>
        <v>23</v>
      </c>
      <c r="AA16" s="832"/>
      <c r="AB16" s="834">
        <v>2500</v>
      </c>
      <c r="AC16" s="843">
        <v>4</v>
      </c>
      <c r="AD16" s="766">
        <v>33000</v>
      </c>
      <c r="AE16" s="832"/>
      <c r="AF16" s="832"/>
      <c r="AG16" s="832"/>
      <c r="AH16" s="834"/>
      <c r="AI16" s="834"/>
      <c r="AJ16" s="834"/>
      <c r="AK16" s="835">
        <f t="shared" si="13"/>
        <v>4234500</v>
      </c>
      <c r="AL16" s="760">
        <f t="shared" si="4"/>
        <v>81360</v>
      </c>
      <c r="AM16" s="760">
        <f t="shared" si="5"/>
        <v>184687.2</v>
      </c>
      <c r="AN16" s="832">
        <f t="shared" si="23"/>
        <v>266047.2</v>
      </c>
      <c r="AO16" s="760">
        <f>(4035000+AD16)*1%</f>
        <v>40680</v>
      </c>
      <c r="AP16" s="760">
        <f t="shared" si="7"/>
        <v>162720</v>
      </c>
      <c r="AQ16" s="760">
        <f t="shared" si="8"/>
        <v>40680</v>
      </c>
      <c r="AR16" s="760">
        <f t="shared" si="9"/>
        <v>81360</v>
      </c>
      <c r="AS16" s="836">
        <f t="shared" si="0"/>
        <v>325440</v>
      </c>
      <c r="AT16" s="842">
        <v>4000</v>
      </c>
      <c r="AU16" s="760">
        <f>PAJAK!AK12</f>
        <v>0</v>
      </c>
      <c r="AV16" s="832"/>
      <c r="AW16" s="832"/>
      <c r="AX16" s="832"/>
      <c r="AY16" s="832">
        <v>84698</v>
      </c>
      <c r="AZ16" s="832">
        <f t="shared" si="10"/>
        <v>4152478</v>
      </c>
      <c r="BA16" s="832">
        <f>'CKROL PERAWATAN'!AQ14</f>
        <v>0</v>
      </c>
      <c r="BB16" s="837">
        <f>'CKROL PERAWATAN'!AR14</f>
        <v>1</v>
      </c>
      <c r="BC16" s="845"/>
      <c r="BD16" s="264"/>
      <c r="BE16" s="255">
        <f t="shared" si="11"/>
        <v>1</v>
      </c>
      <c r="BF16" s="255">
        <f t="shared" si="1"/>
        <v>-134500</v>
      </c>
      <c r="BG16" s="265"/>
      <c r="BH16" s="265"/>
      <c r="BI16" s="255">
        <f t="shared" si="12"/>
        <v>199500</v>
      </c>
      <c r="BJ16" s="265"/>
      <c r="BK16" s="265"/>
      <c r="BL16" s="265"/>
      <c r="BM16" s="265"/>
      <c r="BN16" s="265"/>
      <c r="BO16" s="265"/>
      <c r="BP16" s="265"/>
      <c r="BQ16" s="265"/>
      <c r="BR16" s="265"/>
      <c r="BS16" s="265"/>
      <c r="BT16" s="265"/>
      <c r="BU16" s="265"/>
      <c r="BV16" s="265"/>
      <c r="BW16" s="265"/>
      <c r="BX16" s="265"/>
      <c r="BY16" s="265"/>
      <c r="BZ16" s="265"/>
      <c r="CA16" s="265"/>
      <c r="CB16" s="265"/>
      <c r="CC16" s="265"/>
      <c r="CD16" s="265"/>
      <c r="CE16" s="265"/>
      <c r="CF16" s="265"/>
      <c r="CG16" s="265"/>
      <c r="CH16" s="265"/>
      <c r="CI16" s="265"/>
      <c r="CJ16" s="265"/>
      <c r="CK16" s="265"/>
      <c r="CL16" s="265"/>
      <c r="CM16" s="265"/>
      <c r="CN16" s="265"/>
      <c r="CO16" s="265"/>
      <c r="CP16" s="265"/>
      <c r="CQ16" s="265"/>
      <c r="CR16" s="265"/>
      <c r="CS16" s="265"/>
      <c r="CT16" s="265"/>
      <c r="CU16" s="265"/>
      <c r="CV16" s="265"/>
    </row>
    <row r="17" spans="1:100" s="269" customFormat="1" ht="31.5" customHeight="1">
      <c r="A17" s="767">
        <v>8</v>
      </c>
      <c r="B17" s="266"/>
      <c r="C17" s="847" t="s">
        <v>175</v>
      </c>
      <c r="D17" s="771" t="s">
        <v>58</v>
      </c>
      <c r="E17" s="762">
        <f>'CKROL PERAWATAN'!AH15</f>
        <v>23</v>
      </c>
      <c r="F17" s="830">
        <v>134500</v>
      </c>
      <c r="G17" s="832">
        <f t="shared" si="14"/>
        <v>3093500</v>
      </c>
      <c r="H17" s="762">
        <f>'CKROL PERAWATAN'!AI15</f>
        <v>1</v>
      </c>
      <c r="I17" s="834">
        <f>SUM(H17*F17)</f>
        <v>134500</v>
      </c>
      <c r="J17" s="831">
        <f>'CKROL PERAWATAN'!AJ15</f>
        <v>1</v>
      </c>
      <c r="K17" s="832">
        <f t="shared" si="16"/>
        <v>134500</v>
      </c>
      <c r="L17" s="831">
        <f>'CKROL PERAWATAN'!AK15</f>
        <v>0</v>
      </c>
      <c r="M17" s="760">
        <f t="shared" si="2"/>
        <v>0</v>
      </c>
      <c r="N17" s="832">
        <f>'CKROL PERAWATAN'!AL15</f>
        <v>4</v>
      </c>
      <c r="O17" s="832">
        <f t="shared" si="17"/>
        <v>538000</v>
      </c>
      <c r="P17" s="761">
        <f>'CKROL PERAWATAN'!AM15</f>
        <v>2</v>
      </c>
      <c r="Q17" s="832">
        <f t="shared" si="18"/>
        <v>269000</v>
      </c>
      <c r="R17" s="832"/>
      <c r="S17" s="763">
        <f t="shared" si="3"/>
        <v>0</v>
      </c>
      <c r="T17" s="761">
        <f>'CKROL PERAWATAN'!AO15</f>
        <v>0</v>
      </c>
      <c r="U17" s="834">
        <f t="shared" si="19"/>
        <v>0</v>
      </c>
      <c r="V17" s="848">
        <f t="shared" si="20"/>
        <v>31</v>
      </c>
      <c r="W17" s="849">
        <v>4650</v>
      </c>
      <c r="X17" s="832">
        <f t="shared" si="21"/>
        <v>144150</v>
      </c>
      <c r="Y17" s="834"/>
      <c r="Z17" s="832">
        <f t="shared" si="22"/>
        <v>23</v>
      </c>
      <c r="AA17" s="832"/>
      <c r="AB17" s="834">
        <v>2500</v>
      </c>
      <c r="AC17" s="850">
        <v>4</v>
      </c>
      <c r="AD17" s="766">
        <v>33000</v>
      </c>
      <c r="AE17" s="835"/>
      <c r="AF17" s="832"/>
      <c r="AG17" s="832"/>
      <c r="AH17" s="834"/>
      <c r="AI17" s="834"/>
      <c r="AJ17" s="834"/>
      <c r="AK17" s="835">
        <f t="shared" si="13"/>
        <v>4346650</v>
      </c>
      <c r="AL17" s="760">
        <f t="shared" si="4"/>
        <v>81360</v>
      </c>
      <c r="AM17" s="760">
        <f t="shared" si="5"/>
        <v>184687.2</v>
      </c>
      <c r="AN17" s="832">
        <f t="shared" si="23"/>
        <v>266047.2</v>
      </c>
      <c r="AO17" s="760">
        <f t="shared" si="6"/>
        <v>40680</v>
      </c>
      <c r="AP17" s="760">
        <f t="shared" si="7"/>
        <v>162720</v>
      </c>
      <c r="AQ17" s="760">
        <f t="shared" si="8"/>
        <v>40680</v>
      </c>
      <c r="AR17" s="760">
        <f t="shared" si="9"/>
        <v>81360</v>
      </c>
      <c r="AS17" s="836">
        <f t="shared" si="0"/>
        <v>325440</v>
      </c>
      <c r="AT17" s="832">
        <v>4000</v>
      </c>
      <c r="AU17" s="760">
        <f>PAJAK!AK13</f>
        <v>0</v>
      </c>
      <c r="AV17" s="832"/>
      <c r="AW17" s="832"/>
      <c r="AX17" s="832"/>
      <c r="AY17" s="832">
        <v>84149</v>
      </c>
      <c r="AZ17" s="832">
        <f t="shared" si="10"/>
        <v>4264079</v>
      </c>
      <c r="BA17" s="832">
        <f>'CKROL PERAWATAN'!AQ15</f>
        <v>0</v>
      </c>
      <c r="BB17" s="837">
        <f>'CKROL PERAWATAN'!AR15</f>
        <v>0</v>
      </c>
      <c r="BC17" s="268"/>
      <c r="BE17" s="255">
        <f t="shared" si="11"/>
        <v>0</v>
      </c>
      <c r="BF17" s="255">
        <f t="shared" si="1"/>
        <v>0</v>
      </c>
      <c r="BI17" s="255">
        <f t="shared" si="12"/>
        <v>177150</v>
      </c>
    </row>
    <row r="18" spans="1:100" s="255" customFormat="1" ht="31.5" customHeight="1">
      <c r="A18" s="767">
        <v>9</v>
      </c>
      <c r="B18" s="851"/>
      <c r="C18" s="851" t="s">
        <v>175</v>
      </c>
      <c r="D18" s="771" t="s">
        <v>59</v>
      </c>
      <c r="E18" s="762">
        <f>'CKROL PERAWATAN'!AH16</f>
        <v>23</v>
      </c>
      <c r="F18" s="830">
        <v>134500</v>
      </c>
      <c r="G18" s="832">
        <f t="shared" si="14"/>
        <v>3093500</v>
      </c>
      <c r="H18" s="762">
        <f>'CKROL PERAWATAN'!AI16</f>
        <v>1</v>
      </c>
      <c r="I18" s="834">
        <f t="shared" si="15"/>
        <v>134500</v>
      </c>
      <c r="J18" s="831">
        <f>'CKROL PERAWATAN'!AJ16</f>
        <v>1</v>
      </c>
      <c r="K18" s="832">
        <f t="shared" si="16"/>
        <v>134500</v>
      </c>
      <c r="L18" s="831">
        <f>'CKROL PERAWATAN'!AK16</f>
        <v>0</v>
      </c>
      <c r="M18" s="760">
        <f t="shared" si="2"/>
        <v>0</v>
      </c>
      <c r="N18" s="832">
        <f>'CKROL PERAWATAN'!AL16</f>
        <v>4</v>
      </c>
      <c r="O18" s="832">
        <f t="shared" si="17"/>
        <v>538000</v>
      </c>
      <c r="P18" s="761">
        <f>'CKROL PERAWATAN'!AM16</f>
        <v>2</v>
      </c>
      <c r="Q18" s="834">
        <f t="shared" si="18"/>
        <v>269000</v>
      </c>
      <c r="R18" s="832"/>
      <c r="S18" s="763">
        <f t="shared" si="3"/>
        <v>0</v>
      </c>
      <c r="T18" s="761">
        <f>'CKROL PERAWATAN'!AO16</f>
        <v>0</v>
      </c>
      <c r="U18" s="834">
        <f t="shared" si="19"/>
        <v>0</v>
      </c>
      <c r="V18" s="832">
        <f t="shared" si="20"/>
        <v>31</v>
      </c>
      <c r="W18" s="852">
        <v>4650</v>
      </c>
      <c r="X18" s="832">
        <f t="shared" si="21"/>
        <v>144150</v>
      </c>
      <c r="Y18" s="842"/>
      <c r="Z18" s="848">
        <f t="shared" si="22"/>
        <v>23</v>
      </c>
      <c r="AA18" s="832"/>
      <c r="AB18" s="834">
        <v>2500</v>
      </c>
      <c r="AC18" s="843">
        <v>10</v>
      </c>
      <c r="AD18" s="835">
        <v>54000</v>
      </c>
      <c r="AE18" s="835"/>
      <c r="AF18" s="832"/>
      <c r="AG18" s="832"/>
      <c r="AH18" s="832"/>
      <c r="AI18" s="834"/>
      <c r="AJ18" s="834"/>
      <c r="AK18" s="835">
        <f t="shared" si="13"/>
        <v>4367650</v>
      </c>
      <c r="AL18" s="760">
        <f t="shared" si="4"/>
        <v>81780</v>
      </c>
      <c r="AM18" s="760">
        <f t="shared" si="5"/>
        <v>185640.6</v>
      </c>
      <c r="AN18" s="832">
        <f t="shared" si="23"/>
        <v>267420.59999999998</v>
      </c>
      <c r="AO18" s="760">
        <f t="shared" si="6"/>
        <v>40890</v>
      </c>
      <c r="AP18" s="760">
        <f t="shared" si="7"/>
        <v>163560</v>
      </c>
      <c r="AQ18" s="760">
        <f t="shared" si="8"/>
        <v>40890</v>
      </c>
      <c r="AR18" s="760">
        <f t="shared" si="9"/>
        <v>81780</v>
      </c>
      <c r="AS18" s="836">
        <f t="shared" si="0"/>
        <v>327120</v>
      </c>
      <c r="AT18" s="842">
        <v>4000</v>
      </c>
      <c r="AU18" s="760">
        <f>PAJAK!AK14</f>
        <v>0</v>
      </c>
      <c r="AV18" s="832"/>
      <c r="AW18" s="832"/>
      <c r="AX18" s="832"/>
      <c r="AY18" s="832">
        <v>84567</v>
      </c>
      <c r="AZ18" s="832">
        <f t="shared" si="10"/>
        <v>4284657</v>
      </c>
      <c r="BA18" s="832">
        <f>'CKROL PERAWATAN'!AQ16</f>
        <v>0</v>
      </c>
      <c r="BB18" s="837">
        <f>'CKROL PERAWATAN'!AR16</f>
        <v>0</v>
      </c>
      <c r="BC18" s="853"/>
      <c r="BD18" s="254"/>
      <c r="BE18" s="255">
        <f t="shared" si="11"/>
        <v>0</v>
      </c>
      <c r="BF18" s="255">
        <f t="shared" si="1"/>
        <v>0</v>
      </c>
      <c r="BI18" s="255">
        <f t="shared" si="12"/>
        <v>198150</v>
      </c>
    </row>
    <row r="19" spans="1:100" s="271" customFormat="1" ht="31.5" customHeight="1">
      <c r="A19" s="767">
        <v>10</v>
      </c>
      <c r="B19" s="854"/>
      <c r="C19" s="854" t="s">
        <v>176</v>
      </c>
      <c r="D19" s="771" t="s">
        <v>60</v>
      </c>
      <c r="E19" s="762">
        <f>'CKROL PERAWATAN'!AH17</f>
        <v>22</v>
      </c>
      <c r="F19" s="830">
        <v>134500</v>
      </c>
      <c r="G19" s="832">
        <f>SUM(F19*E19)</f>
        <v>2959000</v>
      </c>
      <c r="H19" s="762">
        <f>'CKROL PERAWATAN'!AI17</f>
        <v>0</v>
      </c>
      <c r="I19" s="834">
        <f>SUM(H19*F19)</f>
        <v>0</v>
      </c>
      <c r="J19" s="831">
        <f>'CKROL PERAWATAN'!AJ17</f>
        <v>1</v>
      </c>
      <c r="K19" s="832">
        <f>SUM(J19*F19)</f>
        <v>134500</v>
      </c>
      <c r="L19" s="831">
        <f>'CKROL PERAWATAN'!AK17</f>
        <v>2</v>
      </c>
      <c r="M19" s="760">
        <f t="shared" si="2"/>
        <v>269000</v>
      </c>
      <c r="N19" s="832">
        <f>'CKROL PERAWATAN'!AL17</f>
        <v>4</v>
      </c>
      <c r="O19" s="834">
        <f>SUM(N19*F19)</f>
        <v>538000</v>
      </c>
      <c r="P19" s="761">
        <f>'CKROL PERAWATAN'!AM17</f>
        <v>2</v>
      </c>
      <c r="Q19" s="834">
        <f>SUM(P19*F19)</f>
        <v>269000</v>
      </c>
      <c r="R19" s="832"/>
      <c r="S19" s="855">
        <f t="shared" si="3"/>
        <v>0</v>
      </c>
      <c r="T19" s="761">
        <f>'CKROL PERAWATAN'!AO17</f>
        <v>0</v>
      </c>
      <c r="U19" s="834">
        <f>SUM(T19*F19)</f>
        <v>0</v>
      </c>
      <c r="V19" s="834">
        <f>SUM(T19+R19+P19+N19+L19+J19+H19+E19)</f>
        <v>31</v>
      </c>
      <c r="W19" s="849">
        <v>4200</v>
      </c>
      <c r="X19" s="856">
        <f>SUM(W19*V19)</f>
        <v>130200</v>
      </c>
      <c r="Y19" s="834"/>
      <c r="Z19" s="856">
        <f>E19</f>
        <v>22</v>
      </c>
      <c r="AA19" s="832"/>
      <c r="AB19" s="834">
        <v>2500</v>
      </c>
      <c r="AC19" s="850">
        <v>9</v>
      </c>
      <c r="AD19" s="835">
        <v>50500</v>
      </c>
      <c r="AE19" s="850"/>
      <c r="AF19" s="834"/>
      <c r="AG19" s="834"/>
      <c r="AH19" s="834"/>
      <c r="AI19" s="834"/>
      <c r="AJ19" s="832"/>
      <c r="AK19" s="835">
        <f t="shared" si="13"/>
        <v>4350200</v>
      </c>
      <c r="AL19" s="760">
        <f t="shared" si="4"/>
        <v>81710</v>
      </c>
      <c r="AM19" s="760">
        <f t="shared" si="5"/>
        <v>185481.7</v>
      </c>
      <c r="AN19" s="832">
        <f t="shared" si="23"/>
        <v>267191.7</v>
      </c>
      <c r="AO19" s="760">
        <f t="shared" si="6"/>
        <v>40855</v>
      </c>
      <c r="AP19" s="760">
        <f t="shared" si="7"/>
        <v>163420</v>
      </c>
      <c r="AQ19" s="760">
        <f t="shared" si="8"/>
        <v>40855</v>
      </c>
      <c r="AR19" s="760">
        <f t="shared" si="9"/>
        <v>81710</v>
      </c>
      <c r="AS19" s="836">
        <f t="shared" si="0"/>
        <v>326840</v>
      </c>
      <c r="AT19" s="832">
        <v>4000</v>
      </c>
      <c r="AU19" s="760">
        <f>PAJAK!AK15</f>
        <v>0</v>
      </c>
      <c r="AV19" s="832"/>
      <c r="AW19" s="832"/>
      <c r="AX19" s="832"/>
      <c r="AY19" s="832">
        <v>124548</v>
      </c>
      <c r="AZ19" s="832">
        <f t="shared" si="10"/>
        <v>4307328</v>
      </c>
      <c r="BA19" s="832">
        <f>'CKROL PERAWATAN'!AQ17</f>
        <v>0</v>
      </c>
      <c r="BB19" s="837">
        <f>'CKROL PERAWATAN'!AR17</f>
        <v>0</v>
      </c>
      <c r="BC19" s="857"/>
      <c r="BD19" s="269"/>
      <c r="BE19" s="255">
        <f t="shared" si="11"/>
        <v>0</v>
      </c>
      <c r="BF19" s="255">
        <f t="shared" si="1"/>
        <v>0</v>
      </c>
      <c r="BI19" s="255">
        <f t="shared" si="12"/>
        <v>180700</v>
      </c>
    </row>
    <row r="20" spans="1:100" s="275" customFormat="1" ht="31.5" customHeight="1">
      <c r="A20" s="767">
        <v>11</v>
      </c>
      <c r="B20" s="767">
        <v>15</v>
      </c>
      <c r="C20" s="767">
        <v>15</v>
      </c>
      <c r="D20" s="771" t="s">
        <v>61</v>
      </c>
      <c r="E20" s="762">
        <f>'CKROL PERAWATAN'!AH18</f>
        <v>22</v>
      </c>
      <c r="F20" s="830">
        <v>134500</v>
      </c>
      <c r="G20" s="832">
        <f t="shared" si="14"/>
        <v>2959000</v>
      </c>
      <c r="H20" s="762">
        <f>'CKROL PERAWATAN'!AI18</f>
        <v>1</v>
      </c>
      <c r="I20" s="834">
        <f>SUM(H20*F20)</f>
        <v>134500</v>
      </c>
      <c r="J20" s="831">
        <f>'CKROL PERAWATAN'!AJ18</f>
        <v>0</v>
      </c>
      <c r="K20" s="832">
        <f t="shared" si="16"/>
        <v>0</v>
      </c>
      <c r="L20" s="831">
        <f>'CKROL PERAWATAN'!AK18</f>
        <v>2</v>
      </c>
      <c r="M20" s="760">
        <f t="shared" si="2"/>
        <v>269000</v>
      </c>
      <c r="N20" s="832">
        <f>'CKROL PERAWATAN'!AL18</f>
        <v>4</v>
      </c>
      <c r="O20" s="834">
        <f>SUM(N20*F20)</f>
        <v>538000</v>
      </c>
      <c r="P20" s="761">
        <f>'CKROL PERAWATAN'!AM18</f>
        <v>2</v>
      </c>
      <c r="Q20" s="834">
        <f>SUM(P20*F20)</f>
        <v>269000</v>
      </c>
      <c r="R20" s="832"/>
      <c r="S20" s="763">
        <f t="shared" si="3"/>
        <v>0</v>
      </c>
      <c r="T20" s="761">
        <f>'CKROL PERAWATAN'!AO18</f>
        <v>0</v>
      </c>
      <c r="U20" s="834">
        <f>SUM(T20*F20)</f>
        <v>0</v>
      </c>
      <c r="V20" s="834">
        <f>SUM(T20+R20+P20+N20+L20+J20+H20+E20)</f>
        <v>31</v>
      </c>
      <c r="W20" s="828">
        <v>2250</v>
      </c>
      <c r="X20" s="856">
        <f>SUM(W20*V20)</f>
        <v>69750</v>
      </c>
      <c r="Y20" s="834"/>
      <c r="Z20" s="856">
        <f>E20</f>
        <v>22</v>
      </c>
      <c r="AA20" s="832"/>
      <c r="AB20" s="834">
        <v>2500</v>
      </c>
      <c r="AC20" s="850">
        <v>10</v>
      </c>
      <c r="AD20" s="835">
        <v>54000</v>
      </c>
      <c r="AE20" s="850"/>
      <c r="AF20" s="834"/>
      <c r="AG20" s="834"/>
      <c r="AH20" s="856"/>
      <c r="AI20" s="856"/>
      <c r="AJ20" s="856"/>
      <c r="AK20" s="835">
        <f t="shared" si="13"/>
        <v>4293250</v>
      </c>
      <c r="AL20" s="760">
        <f t="shared" si="4"/>
        <v>81780</v>
      </c>
      <c r="AM20" s="760">
        <f t="shared" si="5"/>
        <v>185640.6</v>
      </c>
      <c r="AN20" s="832">
        <f t="shared" si="23"/>
        <v>267420.59999999998</v>
      </c>
      <c r="AO20" s="760">
        <f t="shared" si="6"/>
        <v>40890</v>
      </c>
      <c r="AP20" s="760">
        <f t="shared" si="7"/>
        <v>163560</v>
      </c>
      <c r="AQ20" s="760">
        <f t="shared" si="8"/>
        <v>40890</v>
      </c>
      <c r="AR20" s="760">
        <f t="shared" si="9"/>
        <v>81780</v>
      </c>
      <c r="AS20" s="836">
        <f t="shared" si="0"/>
        <v>327120</v>
      </c>
      <c r="AT20" s="832">
        <v>4000</v>
      </c>
      <c r="AU20" s="760">
        <f>PAJAK!AK16</f>
        <v>0</v>
      </c>
      <c r="AV20" s="832"/>
      <c r="AW20" s="832"/>
      <c r="AX20" s="832"/>
      <c r="AY20" s="832">
        <v>124655</v>
      </c>
      <c r="AZ20" s="832">
        <f t="shared" si="10"/>
        <v>4250345</v>
      </c>
      <c r="BA20" s="832">
        <f>'CKROL PERAWATAN'!AQ18</f>
        <v>0</v>
      </c>
      <c r="BB20" s="837">
        <f>'CKROL PERAWATAN'!AR18</f>
        <v>0</v>
      </c>
      <c r="BC20" s="273"/>
      <c r="BD20" s="274"/>
      <c r="BE20" s="255">
        <f t="shared" si="11"/>
        <v>0</v>
      </c>
      <c r="BF20" s="255">
        <f t="shared" si="1"/>
        <v>0</v>
      </c>
      <c r="BG20" s="274"/>
      <c r="BI20" s="255">
        <f t="shared" si="12"/>
        <v>123750</v>
      </c>
    </row>
    <row r="21" spans="1:100" s="255" customFormat="1" ht="31.5" customHeight="1">
      <c r="A21" s="767">
        <v>12</v>
      </c>
      <c r="B21" s="256"/>
      <c r="C21" s="256" t="s">
        <v>175</v>
      </c>
      <c r="D21" s="771" t="s">
        <v>62</v>
      </c>
      <c r="E21" s="762">
        <f>'CKROL PERAWATAN'!AH19</f>
        <v>23</v>
      </c>
      <c r="F21" s="830">
        <v>134500</v>
      </c>
      <c r="G21" s="832">
        <f t="shared" si="14"/>
        <v>3093500</v>
      </c>
      <c r="H21" s="762">
        <f>'CKROL PERAWATAN'!AI19</f>
        <v>2</v>
      </c>
      <c r="I21" s="834">
        <f t="shared" ref="I21:I38" si="24">SUM(H21*F21)</f>
        <v>269000</v>
      </c>
      <c r="J21" s="831">
        <f>'CKROL PERAWATAN'!AJ19</f>
        <v>0</v>
      </c>
      <c r="K21" s="832">
        <f t="shared" si="16"/>
        <v>0</v>
      </c>
      <c r="L21" s="831">
        <f>'CKROL PERAWATAN'!AK19</f>
        <v>0</v>
      </c>
      <c r="M21" s="760">
        <f t="shared" si="2"/>
        <v>0</v>
      </c>
      <c r="N21" s="832">
        <f>'CKROL PERAWATAN'!AL19</f>
        <v>4</v>
      </c>
      <c r="O21" s="832">
        <f t="shared" ref="O21:O38" si="25">SUM(N21*F21)</f>
        <v>538000</v>
      </c>
      <c r="P21" s="761">
        <f>'CKROL PERAWATAN'!AM19</f>
        <v>2</v>
      </c>
      <c r="Q21" s="832">
        <f t="shared" ref="Q21:Q38" si="26">SUM(P21*F21)</f>
        <v>269000</v>
      </c>
      <c r="R21" s="832"/>
      <c r="S21" s="763">
        <f t="shared" si="3"/>
        <v>0</v>
      </c>
      <c r="T21" s="761">
        <f>'CKROL PERAWATAN'!AO19</f>
        <v>0</v>
      </c>
      <c r="U21" s="832">
        <f t="shared" ref="U21:U37" si="27">SUM(T21*F21)</f>
        <v>0</v>
      </c>
      <c r="V21" s="832">
        <f t="shared" si="20"/>
        <v>31</v>
      </c>
      <c r="W21" s="840">
        <v>5550</v>
      </c>
      <c r="X21" s="834">
        <f t="shared" ref="X21:X38" si="28">SUM(W21*V21)</f>
        <v>172050</v>
      </c>
      <c r="Y21" s="832"/>
      <c r="Z21" s="832">
        <f t="shared" ref="Z21:Z38" si="29">E21</f>
        <v>23</v>
      </c>
      <c r="AA21" s="832"/>
      <c r="AB21" s="834">
        <v>2500</v>
      </c>
      <c r="AC21" s="835">
        <v>5</v>
      </c>
      <c r="AD21" s="922">
        <v>36500</v>
      </c>
      <c r="AE21" s="835"/>
      <c r="AF21" s="832"/>
      <c r="AG21" s="832"/>
      <c r="AH21" s="832"/>
      <c r="AI21" s="832"/>
      <c r="AJ21" s="832"/>
      <c r="AK21" s="835">
        <f t="shared" si="13"/>
        <v>4378050</v>
      </c>
      <c r="AL21" s="760">
        <f t="shared" si="4"/>
        <v>81430</v>
      </c>
      <c r="AM21" s="760">
        <f t="shared" si="5"/>
        <v>184846.1</v>
      </c>
      <c r="AN21" s="856">
        <f t="shared" si="23"/>
        <v>266276.09999999998</v>
      </c>
      <c r="AO21" s="760">
        <f t="shared" si="6"/>
        <v>40715</v>
      </c>
      <c r="AP21" s="760">
        <f t="shared" si="7"/>
        <v>162860</v>
      </c>
      <c r="AQ21" s="760">
        <f t="shared" si="8"/>
        <v>40715</v>
      </c>
      <c r="AR21" s="760">
        <f t="shared" si="9"/>
        <v>81430</v>
      </c>
      <c r="AS21" s="836">
        <f t="shared" si="0"/>
        <v>325720</v>
      </c>
      <c r="AT21" s="856">
        <v>4000</v>
      </c>
      <c r="AU21" s="760">
        <f>PAJAK!AK17</f>
        <v>0</v>
      </c>
      <c r="AV21" s="832"/>
      <c r="AW21" s="832"/>
      <c r="AX21" s="832"/>
      <c r="AY21" s="832">
        <v>86328</v>
      </c>
      <c r="AZ21" s="832">
        <f t="shared" si="10"/>
        <v>4297518</v>
      </c>
      <c r="BA21" s="832">
        <f>'CKROL PERAWATAN'!AQ19</f>
        <v>0</v>
      </c>
      <c r="BB21" s="837">
        <f>'CKROL PERAWATAN'!AR19</f>
        <v>0</v>
      </c>
      <c r="BC21" s="276"/>
      <c r="BE21" s="255">
        <f t="shared" si="11"/>
        <v>0</v>
      </c>
      <c r="BF21" s="255">
        <f t="shared" si="1"/>
        <v>0</v>
      </c>
      <c r="BI21" s="255">
        <f t="shared" si="12"/>
        <v>208550</v>
      </c>
    </row>
    <row r="22" spans="1:100" s="255" customFormat="1" ht="31.5" customHeight="1">
      <c r="A22" s="767">
        <v>13</v>
      </c>
      <c r="B22" s="261"/>
      <c r="C22" s="261" t="s">
        <v>175</v>
      </c>
      <c r="D22" s="771" t="s">
        <v>63</v>
      </c>
      <c r="E22" s="762">
        <f>'CKROL PERAWATAN'!AH20</f>
        <v>25</v>
      </c>
      <c r="F22" s="830">
        <v>134500</v>
      </c>
      <c r="G22" s="832">
        <f t="shared" si="14"/>
        <v>3362500</v>
      </c>
      <c r="H22" s="762">
        <f>'CKROL PERAWATAN'!AI20</f>
        <v>0</v>
      </c>
      <c r="I22" s="834">
        <f t="shared" si="24"/>
        <v>0</v>
      </c>
      <c r="J22" s="831">
        <f>'CKROL PERAWATAN'!AJ20</f>
        <v>0</v>
      </c>
      <c r="K22" s="832">
        <f t="shared" si="16"/>
        <v>0</v>
      </c>
      <c r="L22" s="831">
        <f>'CKROL PERAWATAN'!AK20</f>
        <v>0</v>
      </c>
      <c r="M22" s="760">
        <f t="shared" si="2"/>
        <v>0</v>
      </c>
      <c r="N22" s="832">
        <f>'CKROL PERAWATAN'!AL20</f>
        <v>4</v>
      </c>
      <c r="O22" s="832">
        <f t="shared" si="25"/>
        <v>538000</v>
      </c>
      <c r="P22" s="761">
        <f>'CKROL PERAWATAN'!AM20</f>
        <v>2</v>
      </c>
      <c r="Q22" s="834">
        <f t="shared" si="26"/>
        <v>269000</v>
      </c>
      <c r="R22" s="832"/>
      <c r="S22" s="763">
        <f t="shared" si="3"/>
        <v>0</v>
      </c>
      <c r="T22" s="761">
        <f>'CKROL PERAWATAN'!AO20</f>
        <v>0</v>
      </c>
      <c r="U22" s="834">
        <f t="shared" si="27"/>
        <v>0</v>
      </c>
      <c r="V22" s="832">
        <f t="shared" si="20"/>
        <v>31</v>
      </c>
      <c r="W22" s="849">
        <v>5550</v>
      </c>
      <c r="X22" s="832">
        <f t="shared" si="28"/>
        <v>172050</v>
      </c>
      <c r="Y22" s="842"/>
      <c r="Z22" s="842">
        <f t="shared" si="29"/>
        <v>25</v>
      </c>
      <c r="AA22" s="832"/>
      <c r="AB22" s="834">
        <v>2500</v>
      </c>
      <c r="AC22" s="843">
        <v>9</v>
      </c>
      <c r="AD22" s="850">
        <v>50500</v>
      </c>
      <c r="AE22" s="835"/>
      <c r="AF22" s="832"/>
      <c r="AG22" s="832"/>
      <c r="AH22" s="832"/>
      <c r="AI22" s="834"/>
      <c r="AJ22" s="834"/>
      <c r="AK22" s="835">
        <f t="shared" si="13"/>
        <v>4392050</v>
      </c>
      <c r="AL22" s="760">
        <f t="shared" si="4"/>
        <v>81710</v>
      </c>
      <c r="AM22" s="760">
        <f t="shared" si="5"/>
        <v>185481.7</v>
      </c>
      <c r="AN22" s="832">
        <f t="shared" si="23"/>
        <v>267191.7</v>
      </c>
      <c r="AO22" s="760">
        <f t="shared" si="6"/>
        <v>40855</v>
      </c>
      <c r="AP22" s="760">
        <f t="shared" si="7"/>
        <v>163420</v>
      </c>
      <c r="AQ22" s="760">
        <f t="shared" si="8"/>
        <v>40855</v>
      </c>
      <c r="AR22" s="760">
        <f t="shared" si="9"/>
        <v>81710</v>
      </c>
      <c r="AS22" s="836">
        <f t="shared" si="0"/>
        <v>326840</v>
      </c>
      <c r="AT22" s="842">
        <v>4000</v>
      </c>
      <c r="AU22" s="760">
        <f>PAJAK!AK18</f>
        <v>0</v>
      </c>
      <c r="AV22" s="832"/>
      <c r="AW22" s="832"/>
      <c r="AX22" s="832"/>
      <c r="AY22" s="832">
        <v>85045</v>
      </c>
      <c r="AZ22" s="832">
        <f t="shared" si="10"/>
        <v>4309675</v>
      </c>
      <c r="BA22" s="832">
        <f>'CKROL PERAWATAN'!AQ20</f>
        <v>0</v>
      </c>
      <c r="BB22" s="837">
        <f>'CKROL PERAWATAN'!AR20</f>
        <v>0</v>
      </c>
      <c r="BC22" s="277"/>
      <c r="BD22" s="254"/>
      <c r="BE22" s="255">
        <f t="shared" si="11"/>
        <v>0</v>
      </c>
      <c r="BF22" s="255">
        <f t="shared" si="1"/>
        <v>0</v>
      </c>
      <c r="BI22" s="255">
        <f t="shared" si="12"/>
        <v>222550</v>
      </c>
    </row>
    <row r="23" spans="1:100" s="255" customFormat="1" ht="31.5" customHeight="1">
      <c r="A23" s="767">
        <v>14</v>
      </c>
      <c r="B23" s="842"/>
      <c r="C23" s="842" t="s">
        <v>175</v>
      </c>
      <c r="D23" s="771" t="s">
        <v>64</v>
      </c>
      <c r="E23" s="762">
        <f>'CKROL PERAWATAN'!AH21</f>
        <v>25</v>
      </c>
      <c r="F23" s="830">
        <v>134500</v>
      </c>
      <c r="G23" s="832">
        <f t="shared" si="14"/>
        <v>3362500</v>
      </c>
      <c r="H23" s="762">
        <f>'CKROL PERAWATAN'!AI21</f>
        <v>0</v>
      </c>
      <c r="I23" s="834">
        <f t="shared" si="24"/>
        <v>0</v>
      </c>
      <c r="J23" s="831">
        <f>'CKROL PERAWATAN'!AJ21</f>
        <v>0</v>
      </c>
      <c r="K23" s="832">
        <f t="shared" si="16"/>
        <v>0</v>
      </c>
      <c r="L23" s="831">
        <f>'CKROL PERAWATAN'!AK21</f>
        <v>0</v>
      </c>
      <c r="M23" s="760">
        <f t="shared" si="2"/>
        <v>0</v>
      </c>
      <c r="N23" s="832">
        <f>'CKROL PERAWATAN'!AL21</f>
        <v>4</v>
      </c>
      <c r="O23" s="832">
        <f t="shared" si="25"/>
        <v>538000</v>
      </c>
      <c r="P23" s="761">
        <f>'CKROL PERAWATAN'!AM21</f>
        <v>2</v>
      </c>
      <c r="Q23" s="834">
        <f t="shared" si="26"/>
        <v>269000</v>
      </c>
      <c r="R23" s="832"/>
      <c r="S23" s="763">
        <f t="shared" si="3"/>
        <v>0</v>
      </c>
      <c r="T23" s="761">
        <f>'CKROL PERAWATAN'!AO21</f>
        <v>0</v>
      </c>
      <c r="U23" s="834">
        <f t="shared" si="27"/>
        <v>0</v>
      </c>
      <c r="V23" s="832">
        <f t="shared" si="20"/>
        <v>31</v>
      </c>
      <c r="W23" s="840">
        <v>4650</v>
      </c>
      <c r="X23" s="832">
        <f t="shared" si="28"/>
        <v>144150</v>
      </c>
      <c r="Y23" s="841"/>
      <c r="Z23" s="842">
        <f t="shared" si="29"/>
        <v>25</v>
      </c>
      <c r="AA23" s="832"/>
      <c r="AB23" s="834">
        <v>2500</v>
      </c>
      <c r="AC23" s="843"/>
      <c r="AD23" s="835">
        <v>21000</v>
      </c>
      <c r="AE23" s="832"/>
      <c r="AF23" s="832"/>
      <c r="AG23" s="832"/>
      <c r="AH23" s="834"/>
      <c r="AI23" s="834"/>
      <c r="AJ23" s="834"/>
      <c r="AK23" s="835">
        <f t="shared" si="13"/>
        <v>4334650</v>
      </c>
      <c r="AL23" s="760">
        <f t="shared" si="4"/>
        <v>81120</v>
      </c>
      <c r="AM23" s="760">
        <f t="shared" si="5"/>
        <v>184142.40000000002</v>
      </c>
      <c r="AN23" s="832">
        <f t="shared" si="23"/>
        <v>265262.40000000002</v>
      </c>
      <c r="AO23" s="760">
        <f t="shared" si="6"/>
        <v>40560</v>
      </c>
      <c r="AP23" s="760">
        <f t="shared" si="7"/>
        <v>162240</v>
      </c>
      <c r="AQ23" s="760">
        <f t="shared" si="8"/>
        <v>40560</v>
      </c>
      <c r="AR23" s="760">
        <f t="shared" si="9"/>
        <v>81120</v>
      </c>
      <c r="AS23" s="836">
        <f t="shared" si="0"/>
        <v>324480</v>
      </c>
      <c r="AT23" s="842">
        <v>4000</v>
      </c>
      <c r="AU23" s="760">
        <f>PAJAK!AK19</f>
        <v>0</v>
      </c>
      <c r="AV23" s="858"/>
      <c r="AW23" s="858"/>
      <c r="AX23" s="858"/>
      <c r="AY23" s="858">
        <v>84688</v>
      </c>
      <c r="AZ23" s="832">
        <f t="shared" si="10"/>
        <v>4253098</v>
      </c>
      <c r="BA23" s="832">
        <f>'CKROL PERAWATAN'!AQ21</f>
        <v>0</v>
      </c>
      <c r="BB23" s="837">
        <f>'CKROL PERAWATAN'!AR21</f>
        <v>0</v>
      </c>
      <c r="BC23" s="253"/>
      <c r="BD23" s="254"/>
      <c r="BE23" s="255">
        <f t="shared" si="11"/>
        <v>0</v>
      </c>
      <c r="BF23" s="255">
        <f t="shared" si="1"/>
        <v>0</v>
      </c>
      <c r="BI23" s="255">
        <f t="shared" si="12"/>
        <v>165150</v>
      </c>
    </row>
    <row r="24" spans="1:100" s="255" customFormat="1" ht="31.5" customHeight="1">
      <c r="A24" s="767">
        <v>15</v>
      </c>
      <c r="B24" s="761"/>
      <c r="C24" s="842" t="s">
        <v>175</v>
      </c>
      <c r="D24" s="771" t="s">
        <v>75</v>
      </c>
      <c r="E24" s="762">
        <f>'CKROL PERAWATAN'!AH22</f>
        <v>25</v>
      </c>
      <c r="F24" s="830">
        <v>134500</v>
      </c>
      <c r="G24" s="832">
        <f t="shared" si="14"/>
        <v>3362500</v>
      </c>
      <c r="H24" s="762">
        <f>'CKROL PERAWATAN'!AI22</f>
        <v>0</v>
      </c>
      <c r="I24" s="834">
        <f t="shared" si="24"/>
        <v>0</v>
      </c>
      <c r="J24" s="831">
        <f>'CKROL PERAWATAN'!AJ22</f>
        <v>0</v>
      </c>
      <c r="K24" s="832">
        <f t="shared" si="16"/>
        <v>0</v>
      </c>
      <c r="L24" s="831">
        <f>'CKROL PERAWATAN'!AK22</f>
        <v>0</v>
      </c>
      <c r="M24" s="832">
        <f t="shared" si="2"/>
        <v>0</v>
      </c>
      <c r="N24" s="832">
        <f>'CKROL PERAWATAN'!AL22</f>
        <v>4</v>
      </c>
      <c r="O24" s="832">
        <f t="shared" si="25"/>
        <v>538000</v>
      </c>
      <c r="P24" s="761">
        <f>'CKROL PERAWATAN'!AM22</f>
        <v>2</v>
      </c>
      <c r="Q24" s="834">
        <f t="shared" si="26"/>
        <v>269000</v>
      </c>
      <c r="R24" s="832"/>
      <c r="S24" s="763">
        <f t="shared" si="3"/>
        <v>0</v>
      </c>
      <c r="T24" s="761">
        <f>'CKROL PERAWATAN'!AO22</f>
        <v>0</v>
      </c>
      <c r="U24" s="834">
        <f t="shared" si="27"/>
        <v>0</v>
      </c>
      <c r="V24" s="832">
        <f t="shared" si="20"/>
        <v>31</v>
      </c>
      <c r="W24" s="764">
        <v>3700</v>
      </c>
      <c r="X24" s="832">
        <f t="shared" si="28"/>
        <v>114700</v>
      </c>
      <c r="Y24" s="762"/>
      <c r="Z24" s="761">
        <f t="shared" si="29"/>
        <v>25</v>
      </c>
      <c r="AA24" s="760"/>
      <c r="AB24" s="763"/>
      <c r="AC24" s="765"/>
      <c r="AD24" s="922">
        <v>36500</v>
      </c>
      <c r="AE24" s="760"/>
      <c r="AF24" s="760"/>
      <c r="AG24" s="760"/>
      <c r="AH24" s="763"/>
      <c r="AI24" s="763"/>
      <c r="AJ24" s="763"/>
      <c r="AK24" s="835">
        <f t="shared" si="13"/>
        <v>4320700</v>
      </c>
      <c r="AL24" s="760">
        <f t="shared" si="4"/>
        <v>81430</v>
      </c>
      <c r="AM24" s="760">
        <f t="shared" si="5"/>
        <v>184846.1</v>
      </c>
      <c r="AN24" s="832">
        <f t="shared" si="23"/>
        <v>266276.09999999998</v>
      </c>
      <c r="AO24" s="760">
        <f t="shared" si="6"/>
        <v>40715</v>
      </c>
      <c r="AP24" s="760">
        <f t="shared" si="7"/>
        <v>162860</v>
      </c>
      <c r="AQ24" s="760">
        <f t="shared" si="8"/>
        <v>40715</v>
      </c>
      <c r="AR24" s="760">
        <f t="shared" si="9"/>
        <v>81430</v>
      </c>
      <c r="AS24" s="836">
        <f t="shared" si="0"/>
        <v>325720</v>
      </c>
      <c r="AT24" s="842">
        <v>4000</v>
      </c>
      <c r="AU24" s="760">
        <f>PAJAK!AK20</f>
        <v>0</v>
      </c>
      <c r="AV24" s="760"/>
      <c r="AW24" s="760"/>
      <c r="AX24" s="760"/>
      <c r="AY24" s="760">
        <v>125446</v>
      </c>
      <c r="AZ24" s="832">
        <f t="shared" si="10"/>
        <v>4279286</v>
      </c>
      <c r="BA24" s="832">
        <f>'CKROL PERAWATAN'!AQ22</f>
        <v>0</v>
      </c>
      <c r="BB24" s="837">
        <f>'CKROL PERAWATAN'!AR22</f>
        <v>0</v>
      </c>
      <c r="BC24" s="279"/>
      <c r="BD24" s="254"/>
      <c r="BE24" s="255">
        <f t="shared" si="11"/>
        <v>0</v>
      </c>
      <c r="BF24" s="255">
        <f t="shared" si="1"/>
        <v>0</v>
      </c>
      <c r="BG24" s="265"/>
      <c r="BH24" s="265"/>
      <c r="BI24" s="255">
        <f t="shared" si="12"/>
        <v>151200</v>
      </c>
      <c r="BJ24" s="265"/>
      <c r="BK24" s="265"/>
      <c r="BL24" s="265"/>
      <c r="BM24" s="265"/>
      <c r="BN24" s="265"/>
      <c r="BO24" s="265"/>
      <c r="BP24" s="265"/>
      <c r="BQ24" s="265"/>
      <c r="BR24" s="265"/>
      <c r="BS24" s="265"/>
      <c r="BT24" s="265"/>
      <c r="BU24" s="265"/>
      <c r="BV24" s="265"/>
      <c r="BW24" s="265"/>
      <c r="BX24" s="265"/>
      <c r="BY24" s="265"/>
      <c r="BZ24" s="265"/>
      <c r="CA24" s="265"/>
      <c r="CB24" s="265"/>
      <c r="CC24" s="265"/>
      <c r="CD24" s="265"/>
      <c r="CE24" s="265"/>
      <c r="CF24" s="265"/>
      <c r="CG24" s="265"/>
      <c r="CH24" s="265"/>
      <c r="CI24" s="265"/>
      <c r="CJ24" s="265"/>
      <c r="CK24" s="265"/>
      <c r="CL24" s="265"/>
      <c r="CM24" s="265"/>
      <c r="CN24" s="265"/>
      <c r="CO24" s="265"/>
      <c r="CP24" s="265"/>
      <c r="CQ24" s="265"/>
      <c r="CR24" s="265"/>
      <c r="CS24" s="265"/>
      <c r="CT24" s="265"/>
      <c r="CU24" s="265"/>
      <c r="CV24" s="265"/>
    </row>
    <row r="25" spans="1:100" s="255" customFormat="1" ht="31.5" customHeight="1">
      <c r="A25" s="767">
        <v>16</v>
      </c>
      <c r="B25" s="280"/>
      <c r="C25" s="842" t="s">
        <v>175</v>
      </c>
      <c r="D25" s="771" t="s">
        <v>76</v>
      </c>
      <c r="E25" s="762">
        <f>'CKROL PERAWATAN'!AH23</f>
        <v>23</v>
      </c>
      <c r="F25" s="830">
        <v>134500</v>
      </c>
      <c r="G25" s="662">
        <f t="shared" si="14"/>
        <v>3093500</v>
      </c>
      <c r="H25" s="762">
        <f>'CKROL PERAWATAN'!AI23</f>
        <v>2</v>
      </c>
      <c r="I25" s="663">
        <f t="shared" si="24"/>
        <v>269000</v>
      </c>
      <c r="J25" s="831">
        <f>'CKROL PERAWATAN'!AJ23</f>
        <v>0</v>
      </c>
      <c r="K25" s="832">
        <f t="shared" si="16"/>
        <v>0</v>
      </c>
      <c r="L25" s="831">
        <f>'CKROL PERAWATAN'!AK23</f>
        <v>0</v>
      </c>
      <c r="M25" s="832">
        <f t="shared" si="2"/>
        <v>0</v>
      </c>
      <c r="N25" s="832">
        <f>'CKROL PERAWATAN'!AL23</f>
        <v>4</v>
      </c>
      <c r="O25" s="832">
        <f t="shared" si="25"/>
        <v>538000</v>
      </c>
      <c r="P25" s="761">
        <f>'CKROL PERAWATAN'!AM23</f>
        <v>2</v>
      </c>
      <c r="Q25" s="834">
        <f t="shared" si="26"/>
        <v>269000</v>
      </c>
      <c r="R25" s="832"/>
      <c r="S25" s="763">
        <f t="shared" si="3"/>
        <v>0</v>
      </c>
      <c r="T25" s="761">
        <f>'CKROL PERAWATAN'!AO23</f>
        <v>0</v>
      </c>
      <c r="U25" s="834">
        <f t="shared" si="27"/>
        <v>0</v>
      </c>
      <c r="V25" s="832">
        <f t="shared" si="20"/>
        <v>31</v>
      </c>
      <c r="W25" s="764">
        <v>4650</v>
      </c>
      <c r="X25" s="832">
        <f t="shared" si="28"/>
        <v>144150</v>
      </c>
      <c r="Y25" s="762"/>
      <c r="Z25" s="761">
        <f t="shared" si="29"/>
        <v>23</v>
      </c>
      <c r="AA25" s="760"/>
      <c r="AB25" s="763"/>
      <c r="AC25" s="765"/>
      <c r="AD25" s="766">
        <v>33000</v>
      </c>
      <c r="AE25" s="760"/>
      <c r="AF25" s="760">
        <f>'CKROL PERAWATAN'!AJ58</f>
        <v>34985.550000000003</v>
      </c>
      <c r="AG25" s="760"/>
      <c r="AH25" s="763"/>
      <c r="AI25" s="763"/>
      <c r="AJ25" s="763"/>
      <c r="AK25" s="835">
        <f t="shared" si="13"/>
        <v>4381635.55</v>
      </c>
      <c r="AL25" s="760">
        <f t="shared" si="4"/>
        <v>81360</v>
      </c>
      <c r="AM25" s="760">
        <f t="shared" si="5"/>
        <v>184687.2</v>
      </c>
      <c r="AN25" s="832">
        <f t="shared" si="23"/>
        <v>266047.2</v>
      </c>
      <c r="AO25" s="760">
        <f t="shared" si="6"/>
        <v>40680</v>
      </c>
      <c r="AP25" s="760">
        <f t="shared" si="7"/>
        <v>162720</v>
      </c>
      <c r="AQ25" s="760">
        <f t="shared" si="8"/>
        <v>40680</v>
      </c>
      <c r="AR25" s="760">
        <f t="shared" si="9"/>
        <v>81360</v>
      </c>
      <c r="AS25" s="836">
        <f t="shared" si="0"/>
        <v>325440</v>
      </c>
      <c r="AT25" s="842">
        <v>4000</v>
      </c>
      <c r="AU25" s="760">
        <f>PAJAK!AK21</f>
        <v>0</v>
      </c>
      <c r="AV25" s="760"/>
      <c r="AW25" s="760"/>
      <c r="AX25" s="760"/>
      <c r="AY25" s="760">
        <v>84149</v>
      </c>
      <c r="AZ25" s="832">
        <f t="shared" si="10"/>
        <v>4299064.55</v>
      </c>
      <c r="BA25" s="832">
        <f>'CKROL PERAWATAN'!AQ23</f>
        <v>0</v>
      </c>
      <c r="BB25" s="837">
        <f>'CKROL PERAWATAN'!AR23</f>
        <v>0</v>
      </c>
      <c r="BC25" s="279"/>
      <c r="BD25" s="254"/>
      <c r="BE25" s="255">
        <f t="shared" si="11"/>
        <v>0</v>
      </c>
      <c r="BF25" s="255">
        <f t="shared" si="1"/>
        <v>0</v>
      </c>
      <c r="BG25" s="265"/>
      <c r="BH25" s="265"/>
      <c r="BI25" s="255">
        <f t="shared" si="12"/>
        <v>212135.55</v>
      </c>
      <c r="BJ25" s="265"/>
      <c r="BK25" s="265"/>
      <c r="BL25" s="265"/>
      <c r="BM25" s="265"/>
      <c r="BN25" s="265"/>
      <c r="BO25" s="265"/>
      <c r="BP25" s="265"/>
      <c r="BQ25" s="265"/>
      <c r="BR25" s="265"/>
      <c r="BS25" s="265"/>
      <c r="BT25" s="265"/>
      <c r="BU25" s="265"/>
      <c r="BV25" s="265"/>
      <c r="BW25" s="265"/>
      <c r="BX25" s="265"/>
      <c r="BY25" s="265"/>
      <c r="BZ25" s="265"/>
      <c r="CA25" s="265"/>
      <c r="CB25" s="265"/>
      <c r="CC25" s="265"/>
      <c r="CD25" s="265"/>
      <c r="CE25" s="265"/>
      <c r="CF25" s="265"/>
      <c r="CG25" s="265"/>
      <c r="CH25" s="265"/>
      <c r="CI25" s="265"/>
      <c r="CJ25" s="265"/>
      <c r="CK25" s="265"/>
      <c r="CL25" s="265"/>
      <c r="CM25" s="265"/>
      <c r="CN25" s="265"/>
      <c r="CO25" s="265"/>
      <c r="CP25" s="265"/>
      <c r="CQ25" s="265"/>
      <c r="CR25" s="265"/>
      <c r="CS25" s="265"/>
      <c r="CT25" s="265"/>
      <c r="CU25" s="265"/>
      <c r="CV25" s="265"/>
    </row>
    <row r="26" spans="1:100" s="255" customFormat="1" ht="31.5" customHeight="1">
      <c r="A26" s="767">
        <v>17</v>
      </c>
      <c r="B26" s="761"/>
      <c r="C26" s="842" t="s">
        <v>175</v>
      </c>
      <c r="D26" s="771" t="s">
        <v>77</v>
      </c>
      <c r="E26" s="762">
        <f>'CKROL PERAWATAN'!AH24</f>
        <v>24</v>
      </c>
      <c r="F26" s="830">
        <v>134500</v>
      </c>
      <c r="G26" s="662">
        <f t="shared" si="14"/>
        <v>3228000</v>
      </c>
      <c r="H26" s="762">
        <f>'CKROL PERAWATAN'!AI24</f>
        <v>1</v>
      </c>
      <c r="I26" s="834">
        <f t="shared" si="24"/>
        <v>134500</v>
      </c>
      <c r="J26" s="831">
        <f>'CKROL PERAWATAN'!AJ24</f>
        <v>0</v>
      </c>
      <c r="K26" s="832">
        <f t="shared" si="16"/>
        <v>0</v>
      </c>
      <c r="L26" s="831">
        <f>'CKROL PERAWATAN'!AK24</f>
        <v>0</v>
      </c>
      <c r="M26" s="832">
        <f t="shared" si="2"/>
        <v>0</v>
      </c>
      <c r="N26" s="832">
        <f>'CKROL PERAWATAN'!AL24</f>
        <v>4</v>
      </c>
      <c r="O26" s="832">
        <f t="shared" si="25"/>
        <v>538000</v>
      </c>
      <c r="P26" s="761">
        <f>'CKROL PERAWATAN'!AM24</f>
        <v>2</v>
      </c>
      <c r="Q26" s="834">
        <f t="shared" si="26"/>
        <v>269000</v>
      </c>
      <c r="R26" s="832"/>
      <c r="S26" s="763">
        <f t="shared" si="3"/>
        <v>0</v>
      </c>
      <c r="T26" s="761">
        <f>'CKROL PERAWATAN'!AO24</f>
        <v>0</v>
      </c>
      <c r="U26" s="834">
        <f t="shared" si="27"/>
        <v>0</v>
      </c>
      <c r="V26" s="832">
        <f t="shared" si="20"/>
        <v>31</v>
      </c>
      <c r="W26" s="764">
        <v>4650</v>
      </c>
      <c r="X26" s="832">
        <f t="shared" si="28"/>
        <v>144150</v>
      </c>
      <c r="Y26" s="762"/>
      <c r="Z26" s="761">
        <f t="shared" si="29"/>
        <v>24</v>
      </c>
      <c r="AA26" s="760"/>
      <c r="AB26" s="763"/>
      <c r="AC26" s="765"/>
      <c r="AD26" s="835">
        <v>54000</v>
      </c>
      <c r="AE26" s="760"/>
      <c r="AF26" s="760"/>
      <c r="AG26" s="760"/>
      <c r="AH26" s="763"/>
      <c r="AI26" s="763"/>
      <c r="AJ26" s="763"/>
      <c r="AK26" s="835">
        <f t="shared" si="13"/>
        <v>4367650</v>
      </c>
      <c r="AL26" s="760">
        <f t="shared" si="4"/>
        <v>81780</v>
      </c>
      <c r="AM26" s="760">
        <f t="shared" si="5"/>
        <v>185640.6</v>
      </c>
      <c r="AN26" s="832">
        <f t="shared" si="23"/>
        <v>267420.59999999998</v>
      </c>
      <c r="AO26" s="760">
        <f t="shared" si="6"/>
        <v>40890</v>
      </c>
      <c r="AP26" s="760">
        <f t="shared" si="7"/>
        <v>163560</v>
      </c>
      <c r="AQ26" s="760">
        <f t="shared" si="8"/>
        <v>40890</v>
      </c>
      <c r="AR26" s="760">
        <f t="shared" si="9"/>
        <v>81780</v>
      </c>
      <c r="AS26" s="836">
        <f t="shared" si="0"/>
        <v>327120</v>
      </c>
      <c r="AT26" s="842">
        <v>4000</v>
      </c>
      <c r="AU26" s="760">
        <f>PAJAK!AK22</f>
        <v>0</v>
      </c>
      <c r="AV26" s="760"/>
      <c r="AW26" s="760"/>
      <c r="AX26" s="760"/>
      <c r="AY26" s="760">
        <v>84567</v>
      </c>
      <c r="AZ26" s="832">
        <f t="shared" si="10"/>
        <v>4284657</v>
      </c>
      <c r="BA26" s="832">
        <f>'CKROL PERAWATAN'!AQ24</f>
        <v>0</v>
      </c>
      <c r="BB26" s="837">
        <f>'CKROL PERAWATAN'!AR24</f>
        <v>0</v>
      </c>
      <c r="BC26" s="279"/>
      <c r="BD26" s="254"/>
      <c r="BE26" s="255">
        <f t="shared" si="11"/>
        <v>0</v>
      </c>
      <c r="BF26" s="255">
        <f t="shared" si="1"/>
        <v>0</v>
      </c>
      <c r="BG26" s="265"/>
      <c r="BH26" s="265"/>
      <c r="BI26" s="255">
        <f t="shared" si="12"/>
        <v>198150</v>
      </c>
      <c r="BJ26" s="265"/>
      <c r="BK26" s="265"/>
      <c r="BL26" s="265"/>
      <c r="BM26" s="265"/>
      <c r="BN26" s="265"/>
      <c r="BO26" s="265"/>
      <c r="BP26" s="265"/>
      <c r="BQ26" s="265"/>
      <c r="BR26" s="265"/>
      <c r="BS26" s="265"/>
      <c r="BT26" s="265"/>
      <c r="BU26" s="265"/>
      <c r="BV26" s="265"/>
      <c r="BW26" s="265"/>
      <c r="BX26" s="265"/>
      <c r="BY26" s="265"/>
      <c r="BZ26" s="265"/>
      <c r="CA26" s="265"/>
      <c r="CB26" s="265"/>
      <c r="CC26" s="265"/>
      <c r="CD26" s="265"/>
      <c r="CE26" s="265"/>
      <c r="CF26" s="265"/>
      <c r="CG26" s="265"/>
      <c r="CH26" s="265"/>
      <c r="CI26" s="265"/>
      <c r="CJ26" s="265"/>
      <c r="CK26" s="265"/>
      <c r="CL26" s="265"/>
      <c r="CM26" s="265"/>
      <c r="CN26" s="265"/>
      <c r="CO26" s="265"/>
      <c r="CP26" s="265"/>
      <c r="CQ26" s="265"/>
      <c r="CR26" s="265"/>
      <c r="CS26" s="265"/>
      <c r="CT26" s="265"/>
      <c r="CU26" s="265"/>
      <c r="CV26" s="265"/>
    </row>
    <row r="27" spans="1:100" s="255" customFormat="1" ht="31.5" customHeight="1">
      <c r="A27" s="767">
        <v>18</v>
      </c>
      <c r="B27" s="761"/>
      <c r="C27" s="761"/>
      <c r="D27" s="771" t="s">
        <v>258</v>
      </c>
      <c r="E27" s="762">
        <f>'CKROL PERAWATAN'!AH25</f>
        <v>23</v>
      </c>
      <c r="F27" s="830">
        <v>134500</v>
      </c>
      <c r="G27" s="662">
        <f t="shared" si="14"/>
        <v>3093500</v>
      </c>
      <c r="H27" s="762">
        <f>'CKROL PERAWATAN'!AI25</f>
        <v>0</v>
      </c>
      <c r="I27" s="834">
        <f t="shared" si="24"/>
        <v>0</v>
      </c>
      <c r="J27" s="831">
        <f>'CKROL PERAWATAN'!AJ25</f>
        <v>2</v>
      </c>
      <c r="K27" s="832">
        <f t="shared" si="16"/>
        <v>269000</v>
      </c>
      <c r="L27" s="831">
        <f>'CKROL PERAWATAN'!AK25</f>
        <v>0</v>
      </c>
      <c r="M27" s="832">
        <f t="shared" si="2"/>
        <v>0</v>
      </c>
      <c r="N27" s="832">
        <f>'CKROL PERAWATAN'!AL25</f>
        <v>4</v>
      </c>
      <c r="O27" s="832">
        <f t="shared" si="25"/>
        <v>538000</v>
      </c>
      <c r="P27" s="761">
        <f>'CKROL PERAWATAN'!AM25</f>
        <v>2</v>
      </c>
      <c r="Q27" s="834">
        <f t="shared" si="26"/>
        <v>269000</v>
      </c>
      <c r="R27" s="760"/>
      <c r="S27" s="763"/>
      <c r="T27" s="761">
        <f>'CKROL PERAWATAN'!AO25</f>
        <v>0</v>
      </c>
      <c r="U27" s="834">
        <f t="shared" si="27"/>
        <v>0</v>
      </c>
      <c r="V27" s="832">
        <f t="shared" si="20"/>
        <v>31</v>
      </c>
      <c r="W27" s="764">
        <v>2250</v>
      </c>
      <c r="X27" s="760">
        <f t="shared" si="28"/>
        <v>69750</v>
      </c>
      <c r="Y27" s="762"/>
      <c r="Z27" s="761">
        <f t="shared" si="29"/>
        <v>23</v>
      </c>
      <c r="AA27" s="760"/>
      <c r="AB27" s="763"/>
      <c r="AC27" s="765"/>
      <c r="AD27" s="766">
        <v>50500</v>
      </c>
      <c r="AE27" s="760"/>
      <c r="AF27" s="760">
        <f>'CKROL PERAWATAN'!AJ55</f>
        <v>1189508.7000000002</v>
      </c>
      <c r="AG27" s="760"/>
      <c r="AH27" s="763"/>
      <c r="AI27" s="763"/>
      <c r="AJ27" s="763"/>
      <c r="AK27" s="835">
        <f t="shared" si="13"/>
        <v>5479258.7000000002</v>
      </c>
      <c r="AL27" s="760">
        <f t="shared" si="4"/>
        <v>81710</v>
      </c>
      <c r="AM27" s="760">
        <f t="shared" si="5"/>
        <v>185481.7</v>
      </c>
      <c r="AN27" s="832">
        <f t="shared" si="23"/>
        <v>267191.7</v>
      </c>
      <c r="AO27" s="760">
        <f t="shared" si="6"/>
        <v>40855</v>
      </c>
      <c r="AP27" s="760">
        <f t="shared" si="7"/>
        <v>163420</v>
      </c>
      <c r="AQ27" s="760">
        <f t="shared" si="8"/>
        <v>40855</v>
      </c>
      <c r="AR27" s="760">
        <f t="shared" si="9"/>
        <v>81710</v>
      </c>
      <c r="AS27" s="836">
        <f t="shared" si="0"/>
        <v>326840</v>
      </c>
      <c r="AT27" s="842">
        <v>4000</v>
      </c>
      <c r="AU27" s="760">
        <f>PAJAK!AK23</f>
        <v>28385</v>
      </c>
      <c r="AV27" s="760"/>
      <c r="AW27" s="760"/>
      <c r="AX27" s="760"/>
      <c r="AY27" s="760"/>
      <c r="AZ27" s="832">
        <f t="shared" si="10"/>
        <v>5283453.7</v>
      </c>
      <c r="BA27" s="832">
        <f>'CKROL PERAWATAN'!AQ25</f>
        <v>0</v>
      </c>
      <c r="BB27" s="837">
        <f>'CKROL PERAWATAN'!AR25</f>
        <v>0</v>
      </c>
      <c r="BC27" s="279"/>
      <c r="BD27" s="254"/>
      <c r="BE27" s="255">
        <f t="shared" si="11"/>
        <v>0</v>
      </c>
      <c r="BF27" s="255">
        <f t="shared" si="1"/>
        <v>0</v>
      </c>
      <c r="BG27" s="265"/>
      <c r="BH27" s="265"/>
      <c r="BI27" s="255">
        <f t="shared" si="12"/>
        <v>1309758.7000000002</v>
      </c>
      <c r="BJ27" s="265"/>
      <c r="BK27" s="265"/>
      <c r="BL27" s="265"/>
      <c r="BM27" s="265"/>
      <c r="BN27" s="265"/>
      <c r="BO27" s="265"/>
      <c r="BP27" s="265"/>
      <c r="BQ27" s="265"/>
      <c r="BR27" s="265"/>
      <c r="BS27" s="265"/>
      <c r="BT27" s="265"/>
      <c r="BU27" s="265"/>
      <c r="BV27" s="265"/>
      <c r="BW27" s="265"/>
      <c r="BX27" s="265"/>
      <c r="BY27" s="265"/>
      <c r="BZ27" s="265"/>
      <c r="CA27" s="265"/>
      <c r="CB27" s="265"/>
      <c r="CC27" s="265"/>
      <c r="CD27" s="265"/>
      <c r="CE27" s="265"/>
      <c r="CF27" s="265"/>
      <c r="CG27" s="265"/>
      <c r="CH27" s="265"/>
      <c r="CI27" s="265"/>
      <c r="CJ27" s="265"/>
      <c r="CK27" s="265"/>
      <c r="CL27" s="265"/>
      <c r="CM27" s="265"/>
      <c r="CN27" s="265"/>
      <c r="CO27" s="265"/>
      <c r="CP27" s="265"/>
      <c r="CQ27" s="265"/>
      <c r="CR27" s="265"/>
      <c r="CS27" s="265"/>
      <c r="CT27" s="265"/>
      <c r="CU27" s="265"/>
      <c r="CV27" s="265"/>
    </row>
    <row r="28" spans="1:100" s="255" customFormat="1" ht="31.5" customHeight="1">
      <c r="A28" s="767">
        <v>19</v>
      </c>
      <c r="B28" s="761"/>
      <c r="C28" s="761"/>
      <c r="D28" s="771" t="s">
        <v>353</v>
      </c>
      <c r="E28" s="762">
        <f>'CKROL PERAWATAN'!AH26</f>
        <v>22</v>
      </c>
      <c r="F28" s="830">
        <v>134500</v>
      </c>
      <c r="G28" s="662">
        <f t="shared" si="14"/>
        <v>2959000</v>
      </c>
      <c r="H28" s="762">
        <f>'CKROL PERAWATAN'!AI26</f>
        <v>0</v>
      </c>
      <c r="I28" s="834">
        <f t="shared" si="24"/>
        <v>0</v>
      </c>
      <c r="J28" s="831">
        <f>'CKROL PERAWATAN'!AJ26</f>
        <v>1</v>
      </c>
      <c r="K28" s="832">
        <f t="shared" si="16"/>
        <v>134500</v>
      </c>
      <c r="L28" s="831">
        <f>'CKROL PERAWATAN'!AK26</f>
        <v>2</v>
      </c>
      <c r="M28" s="832">
        <f t="shared" si="2"/>
        <v>269000</v>
      </c>
      <c r="N28" s="832">
        <f>'CKROL PERAWATAN'!AL26</f>
        <v>4</v>
      </c>
      <c r="O28" s="832">
        <f t="shared" si="25"/>
        <v>538000</v>
      </c>
      <c r="P28" s="761">
        <f>'CKROL PERAWATAN'!AM26</f>
        <v>2</v>
      </c>
      <c r="Q28" s="834">
        <f t="shared" si="26"/>
        <v>269000</v>
      </c>
      <c r="R28" s="760"/>
      <c r="S28" s="763"/>
      <c r="T28" s="761">
        <f>'CKROL PERAWATAN'!AO26</f>
        <v>0</v>
      </c>
      <c r="U28" s="834">
        <f t="shared" si="27"/>
        <v>0</v>
      </c>
      <c r="V28" s="832">
        <f t="shared" si="20"/>
        <v>31</v>
      </c>
      <c r="W28" s="764">
        <v>2250</v>
      </c>
      <c r="X28" s="760">
        <f t="shared" si="28"/>
        <v>69750</v>
      </c>
      <c r="Y28" s="762"/>
      <c r="Z28" s="761">
        <f t="shared" si="29"/>
        <v>22</v>
      </c>
      <c r="AA28" s="760"/>
      <c r="AB28" s="763"/>
      <c r="AC28" s="765"/>
      <c r="AD28" s="766">
        <v>50500</v>
      </c>
      <c r="AE28" s="760"/>
      <c r="AF28" s="760"/>
      <c r="AG28" s="760"/>
      <c r="AH28" s="763"/>
      <c r="AI28" s="763"/>
      <c r="AJ28" s="763"/>
      <c r="AK28" s="835">
        <f t="shared" si="13"/>
        <v>4289750</v>
      </c>
      <c r="AL28" s="760">
        <f t="shared" si="4"/>
        <v>81710</v>
      </c>
      <c r="AM28" s="760">
        <f t="shared" si="5"/>
        <v>185481.7</v>
      </c>
      <c r="AN28" s="832">
        <f t="shared" si="23"/>
        <v>267191.7</v>
      </c>
      <c r="AO28" s="760">
        <f t="shared" si="6"/>
        <v>40855</v>
      </c>
      <c r="AP28" s="760">
        <f t="shared" si="7"/>
        <v>163420</v>
      </c>
      <c r="AQ28" s="760">
        <f t="shared" si="8"/>
        <v>40855</v>
      </c>
      <c r="AR28" s="760">
        <f t="shared" si="9"/>
        <v>81710</v>
      </c>
      <c r="AS28" s="836">
        <f t="shared" si="0"/>
        <v>326840</v>
      </c>
      <c r="AT28" s="842">
        <v>4000</v>
      </c>
      <c r="AU28" s="760">
        <f>PAJAK!AK24</f>
        <v>0</v>
      </c>
      <c r="AV28" s="760"/>
      <c r="AW28" s="760"/>
      <c r="AX28" s="760"/>
      <c r="AY28" s="760">
        <v>124548</v>
      </c>
      <c r="AZ28" s="832">
        <f t="shared" si="10"/>
        <v>4246878</v>
      </c>
      <c r="BA28" s="832">
        <f>'CKROL PERAWATAN'!AQ26</f>
        <v>0</v>
      </c>
      <c r="BB28" s="837">
        <f>'CKROL PERAWATAN'!AR26</f>
        <v>0</v>
      </c>
      <c r="BC28" s="279"/>
      <c r="BD28" s="254"/>
      <c r="BE28" s="255">
        <f t="shared" si="11"/>
        <v>0</v>
      </c>
      <c r="BF28" s="255">
        <f t="shared" si="1"/>
        <v>0</v>
      </c>
      <c r="BG28" s="265"/>
      <c r="BH28" s="265"/>
      <c r="BI28" s="255">
        <f t="shared" si="12"/>
        <v>120250</v>
      </c>
      <c r="BJ28" s="265"/>
      <c r="BK28" s="265"/>
      <c r="BL28" s="265"/>
      <c r="BM28" s="265"/>
      <c r="BN28" s="265"/>
      <c r="BO28" s="265"/>
      <c r="BP28" s="265"/>
      <c r="BQ28" s="265"/>
      <c r="BR28" s="265"/>
      <c r="BS28" s="265"/>
      <c r="BT28" s="265"/>
      <c r="BU28" s="265"/>
      <c r="BV28" s="265"/>
      <c r="BW28" s="265"/>
      <c r="BX28" s="265"/>
      <c r="BY28" s="265"/>
      <c r="BZ28" s="265"/>
      <c r="CA28" s="265"/>
      <c r="CB28" s="265"/>
      <c r="CC28" s="265"/>
      <c r="CD28" s="265"/>
      <c r="CE28" s="265"/>
      <c r="CF28" s="265"/>
      <c r="CG28" s="265"/>
      <c r="CH28" s="265"/>
      <c r="CI28" s="265"/>
      <c r="CJ28" s="265"/>
      <c r="CK28" s="265"/>
      <c r="CL28" s="265"/>
      <c r="CM28" s="265"/>
      <c r="CN28" s="265"/>
      <c r="CO28" s="265"/>
      <c r="CP28" s="265"/>
      <c r="CQ28" s="265"/>
      <c r="CR28" s="265"/>
      <c r="CS28" s="265"/>
      <c r="CT28" s="265"/>
      <c r="CU28" s="265"/>
      <c r="CV28" s="265"/>
    </row>
    <row r="29" spans="1:100" s="255" customFormat="1" ht="31.5" customHeight="1">
      <c r="A29" s="767">
        <v>20</v>
      </c>
      <c r="B29" s="761"/>
      <c r="C29" s="761"/>
      <c r="D29" s="771" t="s">
        <v>301</v>
      </c>
      <c r="E29" s="762">
        <f>'CKROL PERAWATAN'!AH27</f>
        <v>23</v>
      </c>
      <c r="F29" s="830">
        <v>134500</v>
      </c>
      <c r="G29" s="662">
        <f t="shared" si="14"/>
        <v>3093500</v>
      </c>
      <c r="H29" s="762">
        <f>'CKROL PERAWATAN'!AI27</f>
        <v>2</v>
      </c>
      <c r="I29" s="834">
        <f t="shared" si="24"/>
        <v>269000</v>
      </c>
      <c r="J29" s="831">
        <f>'CKROL PERAWATAN'!AJ27</f>
        <v>0</v>
      </c>
      <c r="K29" s="832">
        <f t="shared" si="16"/>
        <v>0</v>
      </c>
      <c r="L29" s="831">
        <f>'CKROL PERAWATAN'!AK27</f>
        <v>0</v>
      </c>
      <c r="M29" s="832">
        <f t="shared" si="2"/>
        <v>0</v>
      </c>
      <c r="N29" s="832">
        <f>'CKROL PERAWATAN'!AL27</f>
        <v>4</v>
      </c>
      <c r="O29" s="832">
        <f t="shared" si="25"/>
        <v>538000</v>
      </c>
      <c r="P29" s="761">
        <f>'CKROL PERAWATAN'!AM27</f>
        <v>2</v>
      </c>
      <c r="Q29" s="834">
        <f t="shared" si="26"/>
        <v>269000</v>
      </c>
      <c r="R29" s="760"/>
      <c r="S29" s="763"/>
      <c r="T29" s="761">
        <f>'CKROL PERAWATAN'!AO27</f>
        <v>0</v>
      </c>
      <c r="U29" s="834">
        <f t="shared" si="27"/>
        <v>0</v>
      </c>
      <c r="V29" s="832">
        <f t="shared" si="20"/>
        <v>31</v>
      </c>
      <c r="W29" s="764">
        <v>5550</v>
      </c>
      <c r="X29" s="760">
        <f t="shared" si="28"/>
        <v>172050</v>
      </c>
      <c r="Y29" s="762"/>
      <c r="Z29" s="761">
        <f t="shared" si="29"/>
        <v>23</v>
      </c>
      <c r="AA29" s="760"/>
      <c r="AB29" s="763"/>
      <c r="AC29" s="765"/>
      <c r="AD29" s="766">
        <v>12500</v>
      </c>
      <c r="AE29" s="760"/>
      <c r="AF29" s="760"/>
      <c r="AG29" s="760"/>
      <c r="AH29" s="763"/>
      <c r="AI29" s="763"/>
      <c r="AJ29" s="763"/>
      <c r="AK29" s="835">
        <f t="shared" si="13"/>
        <v>4354050</v>
      </c>
      <c r="AL29" s="760">
        <f t="shared" si="4"/>
        <v>80950</v>
      </c>
      <c r="AM29" s="760">
        <f t="shared" si="5"/>
        <v>183756.5</v>
      </c>
      <c r="AN29" s="832">
        <f t="shared" si="23"/>
        <v>264706.5</v>
      </c>
      <c r="AO29" s="760">
        <f t="shared" si="6"/>
        <v>40475</v>
      </c>
      <c r="AP29" s="760">
        <f t="shared" si="7"/>
        <v>161900</v>
      </c>
      <c r="AQ29" s="760">
        <f t="shared" si="8"/>
        <v>40475</v>
      </c>
      <c r="AR29" s="760">
        <f t="shared" si="9"/>
        <v>80950</v>
      </c>
      <c r="AS29" s="836">
        <f t="shared" si="0"/>
        <v>323800</v>
      </c>
      <c r="AT29" s="842">
        <v>4000</v>
      </c>
      <c r="AU29" s="760">
        <f>PAJAK!AK25</f>
        <v>0</v>
      </c>
      <c r="AV29" s="760"/>
      <c r="AW29" s="760"/>
      <c r="AX29" s="760"/>
      <c r="AY29" s="760"/>
      <c r="AZ29" s="832">
        <f t="shared" si="10"/>
        <v>4188150</v>
      </c>
      <c r="BA29" s="832">
        <f>'CKROL PERAWATAN'!AQ27</f>
        <v>0</v>
      </c>
      <c r="BB29" s="837">
        <f>'CKROL PERAWATAN'!AR27</f>
        <v>0</v>
      </c>
      <c r="BC29" s="279"/>
      <c r="BD29" s="254"/>
      <c r="BE29" s="255">
        <f t="shared" si="11"/>
        <v>0</v>
      </c>
      <c r="BF29" s="255">
        <f t="shared" si="1"/>
        <v>0</v>
      </c>
      <c r="BG29" s="265"/>
      <c r="BH29" s="265"/>
      <c r="BI29" s="255">
        <f t="shared" si="12"/>
        <v>184550</v>
      </c>
      <c r="BJ29" s="265"/>
      <c r="BK29" s="265"/>
      <c r="BL29" s="265"/>
      <c r="BM29" s="265"/>
      <c r="BN29" s="265"/>
      <c r="BO29" s="265"/>
      <c r="BP29" s="265"/>
      <c r="BQ29" s="265"/>
      <c r="BR29" s="265"/>
      <c r="BS29" s="265"/>
      <c r="BT29" s="265"/>
      <c r="BU29" s="265"/>
      <c r="BV29" s="265"/>
      <c r="BW29" s="265"/>
      <c r="BX29" s="265"/>
      <c r="BY29" s="265"/>
      <c r="BZ29" s="265"/>
      <c r="CA29" s="265"/>
      <c r="CB29" s="265"/>
      <c r="CC29" s="265"/>
      <c r="CD29" s="265"/>
      <c r="CE29" s="265"/>
      <c r="CF29" s="265"/>
      <c r="CG29" s="265"/>
      <c r="CH29" s="265"/>
      <c r="CI29" s="265"/>
      <c r="CJ29" s="265"/>
      <c r="CK29" s="265"/>
      <c r="CL29" s="265"/>
      <c r="CM29" s="265"/>
      <c r="CN29" s="265"/>
      <c r="CO29" s="265"/>
      <c r="CP29" s="265"/>
      <c r="CQ29" s="265"/>
      <c r="CR29" s="265"/>
      <c r="CS29" s="265"/>
      <c r="CT29" s="265"/>
      <c r="CU29" s="265"/>
      <c r="CV29" s="265"/>
    </row>
    <row r="30" spans="1:100" s="255" customFormat="1" ht="31.5" customHeight="1">
      <c r="A30" s="767">
        <v>21</v>
      </c>
      <c r="B30" s="761"/>
      <c r="C30" s="761"/>
      <c r="D30" s="771" t="s">
        <v>16</v>
      </c>
      <c r="E30" s="762">
        <f>'CKROL PERAWATAN'!AH28</f>
        <v>23</v>
      </c>
      <c r="F30" s="830">
        <v>134500</v>
      </c>
      <c r="G30" s="662">
        <f t="shared" si="14"/>
        <v>3093500</v>
      </c>
      <c r="H30" s="762">
        <f>'CKROL PERAWATAN'!AI28</f>
        <v>0</v>
      </c>
      <c r="I30" s="834">
        <f t="shared" si="24"/>
        <v>0</v>
      </c>
      <c r="J30" s="831">
        <f>'CKROL PERAWATAN'!AJ28</f>
        <v>2</v>
      </c>
      <c r="K30" s="832">
        <f t="shared" si="16"/>
        <v>269000</v>
      </c>
      <c r="L30" s="831">
        <f>'CKROL PERAWATAN'!AK28</f>
        <v>0</v>
      </c>
      <c r="M30" s="832">
        <f t="shared" si="2"/>
        <v>0</v>
      </c>
      <c r="N30" s="832">
        <f>'CKROL PERAWATAN'!AL28</f>
        <v>4</v>
      </c>
      <c r="O30" s="832">
        <f t="shared" si="25"/>
        <v>538000</v>
      </c>
      <c r="P30" s="761">
        <f>'CKROL PERAWATAN'!AM28</f>
        <v>2</v>
      </c>
      <c r="Q30" s="834">
        <f t="shared" si="26"/>
        <v>269000</v>
      </c>
      <c r="R30" s="760"/>
      <c r="S30" s="763"/>
      <c r="T30" s="761">
        <f>'CKROL PERAWATAN'!AO28</f>
        <v>0</v>
      </c>
      <c r="U30" s="834">
        <f t="shared" si="27"/>
        <v>0</v>
      </c>
      <c r="V30" s="832">
        <f t="shared" si="20"/>
        <v>31</v>
      </c>
      <c r="W30" s="764">
        <v>4650</v>
      </c>
      <c r="X30" s="760">
        <f t="shared" si="28"/>
        <v>144150</v>
      </c>
      <c r="Y30" s="762"/>
      <c r="Z30" s="761">
        <f t="shared" si="29"/>
        <v>23</v>
      </c>
      <c r="AA30" s="760"/>
      <c r="AB30" s="763"/>
      <c r="AC30" s="765"/>
      <c r="AD30" s="766">
        <v>21000</v>
      </c>
      <c r="AE30" s="760"/>
      <c r="AF30" s="760"/>
      <c r="AG30" s="760"/>
      <c r="AH30" s="763"/>
      <c r="AI30" s="763"/>
      <c r="AJ30" s="763"/>
      <c r="AK30" s="835">
        <f t="shared" si="13"/>
        <v>4334650</v>
      </c>
      <c r="AL30" s="760">
        <f t="shared" si="4"/>
        <v>81120</v>
      </c>
      <c r="AM30" s="760">
        <f t="shared" si="5"/>
        <v>184142.40000000002</v>
      </c>
      <c r="AN30" s="832">
        <f t="shared" si="23"/>
        <v>265262.40000000002</v>
      </c>
      <c r="AO30" s="760">
        <f t="shared" si="6"/>
        <v>40560</v>
      </c>
      <c r="AP30" s="760">
        <f t="shared" si="7"/>
        <v>162240</v>
      </c>
      <c r="AQ30" s="760">
        <f t="shared" si="8"/>
        <v>40560</v>
      </c>
      <c r="AR30" s="760">
        <f t="shared" si="9"/>
        <v>81120</v>
      </c>
      <c r="AS30" s="836">
        <f t="shared" si="0"/>
        <v>324480</v>
      </c>
      <c r="AT30" s="842">
        <v>4000</v>
      </c>
      <c r="AU30" s="760">
        <f>PAJAK!AK26</f>
        <v>0</v>
      </c>
      <c r="AV30" s="760"/>
      <c r="AW30" s="760"/>
      <c r="AX30" s="760"/>
      <c r="AY30" s="760">
        <v>89541</v>
      </c>
      <c r="AZ30" s="832">
        <f t="shared" si="10"/>
        <v>4257951</v>
      </c>
      <c r="BA30" s="832">
        <f>'CKROL PERAWATAN'!AQ28</f>
        <v>0</v>
      </c>
      <c r="BB30" s="837">
        <f>'CKROL PERAWATAN'!AR28</f>
        <v>0</v>
      </c>
      <c r="BC30" s="279"/>
      <c r="BD30" s="254"/>
      <c r="BE30" s="255">
        <f t="shared" si="11"/>
        <v>0</v>
      </c>
      <c r="BF30" s="255">
        <f t="shared" si="1"/>
        <v>0</v>
      </c>
      <c r="BG30" s="265"/>
      <c r="BH30" s="265"/>
      <c r="BI30" s="255">
        <f t="shared" si="12"/>
        <v>165150</v>
      </c>
      <c r="BJ30" s="265"/>
      <c r="BK30" s="265"/>
      <c r="BL30" s="265"/>
      <c r="BM30" s="265"/>
      <c r="BN30" s="265"/>
      <c r="BO30" s="265"/>
      <c r="BP30" s="265"/>
      <c r="BQ30" s="265"/>
      <c r="BR30" s="265"/>
      <c r="BS30" s="265"/>
      <c r="BT30" s="265"/>
      <c r="BU30" s="265"/>
      <c r="BV30" s="265"/>
      <c r="BW30" s="265"/>
      <c r="BX30" s="265"/>
      <c r="BY30" s="265"/>
      <c r="BZ30" s="265"/>
      <c r="CA30" s="265"/>
      <c r="CB30" s="265"/>
      <c r="CC30" s="265"/>
      <c r="CD30" s="265"/>
      <c r="CE30" s="265"/>
      <c r="CF30" s="265"/>
      <c r="CG30" s="265"/>
      <c r="CH30" s="265"/>
      <c r="CI30" s="265"/>
      <c r="CJ30" s="265"/>
      <c r="CK30" s="265"/>
      <c r="CL30" s="265"/>
      <c r="CM30" s="265"/>
      <c r="CN30" s="265"/>
      <c r="CO30" s="265"/>
      <c r="CP30" s="265"/>
      <c r="CQ30" s="265"/>
      <c r="CR30" s="265"/>
      <c r="CS30" s="265"/>
      <c r="CT30" s="265"/>
      <c r="CU30" s="265"/>
      <c r="CV30" s="265"/>
    </row>
    <row r="31" spans="1:100" s="255" customFormat="1" ht="31.5" customHeight="1">
      <c r="A31" s="767">
        <v>22</v>
      </c>
      <c r="B31" s="761"/>
      <c r="C31" s="761"/>
      <c r="D31" s="771" t="s">
        <v>329</v>
      </c>
      <c r="E31" s="762">
        <f>'CKROL PERAWATAN'!AH29</f>
        <v>23</v>
      </c>
      <c r="F31" s="830">
        <v>134500</v>
      </c>
      <c r="G31" s="662">
        <f t="shared" si="14"/>
        <v>3093500</v>
      </c>
      <c r="H31" s="762">
        <f>'CKROL PERAWATAN'!AI29</f>
        <v>1</v>
      </c>
      <c r="I31" s="834">
        <f t="shared" si="24"/>
        <v>134500</v>
      </c>
      <c r="J31" s="831">
        <f>'CKROL PERAWATAN'!AJ29</f>
        <v>0</v>
      </c>
      <c r="K31" s="832">
        <f t="shared" si="16"/>
        <v>0</v>
      </c>
      <c r="L31" s="831">
        <f>'CKROL PERAWATAN'!AK29</f>
        <v>0</v>
      </c>
      <c r="M31" s="832">
        <f t="shared" si="2"/>
        <v>0</v>
      </c>
      <c r="N31" s="832">
        <f>'CKROL PERAWATAN'!AL29</f>
        <v>4</v>
      </c>
      <c r="O31" s="832">
        <f t="shared" si="25"/>
        <v>538000</v>
      </c>
      <c r="P31" s="761">
        <f>'CKROL PERAWATAN'!AM29</f>
        <v>2</v>
      </c>
      <c r="Q31" s="834">
        <f t="shared" si="26"/>
        <v>269000</v>
      </c>
      <c r="R31" s="760"/>
      <c r="S31" s="763"/>
      <c r="T31" s="761">
        <f>'CKROL PERAWATAN'!AO29</f>
        <v>0</v>
      </c>
      <c r="U31" s="834">
        <f t="shared" si="27"/>
        <v>0</v>
      </c>
      <c r="V31" s="832">
        <f t="shared" si="20"/>
        <v>30</v>
      </c>
      <c r="W31" s="764">
        <v>4650</v>
      </c>
      <c r="X31" s="760">
        <f t="shared" si="28"/>
        <v>139500</v>
      </c>
      <c r="Y31" s="762"/>
      <c r="Z31" s="761">
        <f t="shared" si="29"/>
        <v>23</v>
      </c>
      <c r="AA31" s="760"/>
      <c r="AB31" s="763"/>
      <c r="AC31" s="765"/>
      <c r="AD31" s="766">
        <v>33000</v>
      </c>
      <c r="AE31" s="760"/>
      <c r="AF31" s="760"/>
      <c r="AG31" s="760"/>
      <c r="AH31" s="763"/>
      <c r="AI31" s="763"/>
      <c r="AJ31" s="763"/>
      <c r="AK31" s="835">
        <f t="shared" si="13"/>
        <v>4207500</v>
      </c>
      <c r="AL31" s="760">
        <f t="shared" si="4"/>
        <v>81360</v>
      </c>
      <c r="AM31" s="760">
        <f t="shared" si="5"/>
        <v>184687.2</v>
      </c>
      <c r="AN31" s="832">
        <f t="shared" si="23"/>
        <v>266047.2</v>
      </c>
      <c r="AO31" s="760">
        <f t="shared" si="6"/>
        <v>40680</v>
      </c>
      <c r="AP31" s="760">
        <f t="shared" si="7"/>
        <v>162720</v>
      </c>
      <c r="AQ31" s="760">
        <f t="shared" si="8"/>
        <v>40680</v>
      </c>
      <c r="AR31" s="760">
        <f t="shared" si="9"/>
        <v>81360</v>
      </c>
      <c r="AS31" s="836">
        <f t="shared" si="0"/>
        <v>325440</v>
      </c>
      <c r="AT31" s="842">
        <v>4000</v>
      </c>
      <c r="AU31" s="760">
        <f>PAJAK!AK27</f>
        <v>0</v>
      </c>
      <c r="AV31" s="760"/>
      <c r="AW31" s="760"/>
      <c r="AX31" s="760"/>
      <c r="AY31" s="760">
        <v>87005</v>
      </c>
      <c r="AZ31" s="832">
        <f t="shared" si="10"/>
        <v>4127785</v>
      </c>
      <c r="BA31" s="832">
        <f>'CKROL PERAWATAN'!AQ29</f>
        <v>0</v>
      </c>
      <c r="BB31" s="837">
        <f>'CKROL PERAWATAN'!AR29</f>
        <v>1</v>
      </c>
      <c r="BC31" s="279"/>
      <c r="BD31" s="254"/>
      <c r="BE31" s="255">
        <f t="shared" si="11"/>
        <v>1</v>
      </c>
      <c r="BF31" s="255">
        <f t="shared" si="1"/>
        <v>-134500</v>
      </c>
      <c r="BG31" s="265"/>
      <c r="BH31" s="265"/>
      <c r="BI31" s="255">
        <f t="shared" si="12"/>
        <v>172500</v>
      </c>
      <c r="BJ31" s="265"/>
      <c r="BK31" s="265"/>
      <c r="BL31" s="265"/>
      <c r="BM31" s="265"/>
      <c r="BN31" s="265"/>
      <c r="BO31" s="265"/>
      <c r="BP31" s="265"/>
      <c r="BQ31" s="265"/>
      <c r="BR31" s="265"/>
      <c r="BS31" s="265"/>
      <c r="BT31" s="265"/>
      <c r="BU31" s="265"/>
      <c r="BV31" s="265"/>
      <c r="BW31" s="265"/>
      <c r="BX31" s="265"/>
      <c r="BY31" s="265"/>
      <c r="BZ31" s="265"/>
      <c r="CA31" s="265"/>
      <c r="CB31" s="265"/>
      <c r="CC31" s="265"/>
      <c r="CD31" s="265"/>
      <c r="CE31" s="265"/>
      <c r="CF31" s="265"/>
      <c r="CG31" s="265"/>
      <c r="CH31" s="265"/>
      <c r="CI31" s="265"/>
      <c r="CJ31" s="265"/>
      <c r="CK31" s="265"/>
      <c r="CL31" s="265"/>
      <c r="CM31" s="265"/>
      <c r="CN31" s="265"/>
      <c r="CO31" s="265"/>
      <c r="CP31" s="265"/>
      <c r="CQ31" s="265"/>
      <c r="CR31" s="265"/>
      <c r="CS31" s="265"/>
      <c r="CT31" s="265"/>
      <c r="CU31" s="265"/>
      <c r="CV31" s="265"/>
    </row>
    <row r="32" spans="1:100" s="255" customFormat="1" ht="31.5" customHeight="1">
      <c r="A32" s="767">
        <v>23</v>
      </c>
      <c r="B32" s="761"/>
      <c r="C32" s="761"/>
      <c r="D32" s="771" t="s">
        <v>229</v>
      </c>
      <c r="E32" s="762">
        <f>'CKROL PERAWATAN'!AH30</f>
        <v>25</v>
      </c>
      <c r="F32" s="830">
        <v>134500</v>
      </c>
      <c r="G32" s="662">
        <f t="shared" si="14"/>
        <v>3362500</v>
      </c>
      <c r="H32" s="762">
        <f>'CKROL PERAWATAN'!AI30</f>
        <v>0</v>
      </c>
      <c r="I32" s="834">
        <f t="shared" si="24"/>
        <v>0</v>
      </c>
      <c r="J32" s="831">
        <f>'CKROL PERAWATAN'!AJ30</f>
        <v>0</v>
      </c>
      <c r="K32" s="832">
        <f t="shared" si="16"/>
        <v>0</v>
      </c>
      <c r="L32" s="831">
        <f>'CKROL PERAWATAN'!AK30</f>
        <v>0</v>
      </c>
      <c r="M32" s="832">
        <f t="shared" si="2"/>
        <v>0</v>
      </c>
      <c r="N32" s="832">
        <f>'CKROL PERAWATAN'!AL30</f>
        <v>4</v>
      </c>
      <c r="O32" s="832">
        <f t="shared" si="25"/>
        <v>538000</v>
      </c>
      <c r="P32" s="761">
        <f>'CKROL PERAWATAN'!AM30</f>
        <v>2</v>
      </c>
      <c r="Q32" s="834">
        <f t="shared" si="26"/>
        <v>269000</v>
      </c>
      <c r="R32" s="760"/>
      <c r="S32" s="763"/>
      <c r="T32" s="761">
        <f>'CKROL PERAWATAN'!AO30</f>
        <v>0</v>
      </c>
      <c r="U32" s="834">
        <f t="shared" si="27"/>
        <v>0</v>
      </c>
      <c r="V32" s="832">
        <f t="shared" si="20"/>
        <v>31</v>
      </c>
      <c r="W32" s="764">
        <v>4200</v>
      </c>
      <c r="X32" s="760">
        <f t="shared" si="28"/>
        <v>130200</v>
      </c>
      <c r="Y32" s="762"/>
      <c r="Z32" s="761">
        <f t="shared" si="29"/>
        <v>25</v>
      </c>
      <c r="AA32" s="760"/>
      <c r="AB32" s="763"/>
      <c r="AC32" s="765"/>
      <c r="AD32" s="766">
        <v>27000</v>
      </c>
      <c r="AE32" s="760"/>
      <c r="AF32" s="760"/>
      <c r="AG32" s="760"/>
      <c r="AH32" s="763"/>
      <c r="AI32" s="763"/>
      <c r="AJ32" s="763"/>
      <c r="AK32" s="835">
        <f t="shared" si="13"/>
        <v>4326700</v>
      </c>
      <c r="AL32" s="760">
        <f t="shared" si="4"/>
        <v>81240</v>
      </c>
      <c r="AM32" s="760">
        <f t="shared" si="5"/>
        <v>184414.80000000002</v>
      </c>
      <c r="AN32" s="832">
        <f t="shared" si="23"/>
        <v>265654.80000000005</v>
      </c>
      <c r="AO32" s="760">
        <f t="shared" si="6"/>
        <v>40620</v>
      </c>
      <c r="AP32" s="760">
        <f t="shared" si="7"/>
        <v>162480</v>
      </c>
      <c r="AQ32" s="760">
        <f t="shared" si="8"/>
        <v>40620</v>
      </c>
      <c r="AR32" s="760">
        <f t="shared" si="9"/>
        <v>81240</v>
      </c>
      <c r="AS32" s="836">
        <f t="shared" si="0"/>
        <v>324960</v>
      </c>
      <c r="AT32" s="842">
        <v>4000</v>
      </c>
      <c r="AU32" s="760">
        <f>PAJAK!AK28</f>
        <v>0</v>
      </c>
      <c r="AV32" s="760"/>
      <c r="AW32" s="760"/>
      <c r="AX32" s="760"/>
      <c r="AY32" s="760">
        <v>86898</v>
      </c>
      <c r="AZ32" s="832">
        <f t="shared" si="10"/>
        <v>4247118</v>
      </c>
      <c r="BA32" s="832">
        <f>'CKROL PERAWATAN'!AQ30</f>
        <v>0</v>
      </c>
      <c r="BB32" s="837">
        <f>'CKROL PERAWATAN'!AR30</f>
        <v>0</v>
      </c>
      <c r="BC32" s="279"/>
      <c r="BD32" s="254"/>
      <c r="BE32" s="255">
        <f t="shared" si="11"/>
        <v>0</v>
      </c>
      <c r="BF32" s="255">
        <f t="shared" si="1"/>
        <v>0</v>
      </c>
      <c r="BG32" s="265"/>
      <c r="BH32" s="265"/>
      <c r="BI32" s="255">
        <f t="shared" si="12"/>
        <v>157200</v>
      </c>
      <c r="BJ32" s="265"/>
      <c r="BK32" s="265"/>
      <c r="BL32" s="265"/>
      <c r="BM32" s="265"/>
      <c r="BN32" s="265"/>
      <c r="BO32" s="265"/>
      <c r="BP32" s="265"/>
      <c r="BQ32" s="265"/>
      <c r="BR32" s="265"/>
      <c r="BS32" s="265"/>
      <c r="BT32" s="265"/>
      <c r="BU32" s="265"/>
      <c r="BV32" s="265"/>
      <c r="BW32" s="265"/>
      <c r="BX32" s="265"/>
      <c r="BY32" s="265"/>
      <c r="BZ32" s="265"/>
      <c r="CA32" s="265"/>
      <c r="CB32" s="265"/>
      <c r="CC32" s="265"/>
      <c r="CD32" s="265"/>
      <c r="CE32" s="265"/>
      <c r="CF32" s="265"/>
      <c r="CG32" s="265"/>
      <c r="CH32" s="265"/>
      <c r="CI32" s="265"/>
      <c r="CJ32" s="265"/>
      <c r="CK32" s="265"/>
      <c r="CL32" s="265"/>
      <c r="CM32" s="265"/>
      <c r="CN32" s="265"/>
      <c r="CO32" s="265"/>
      <c r="CP32" s="265"/>
      <c r="CQ32" s="265"/>
      <c r="CR32" s="265"/>
      <c r="CS32" s="265"/>
      <c r="CT32" s="265"/>
      <c r="CU32" s="265"/>
      <c r="CV32" s="265"/>
    </row>
    <row r="33" spans="1:100" s="255" customFormat="1" ht="31.5" customHeight="1">
      <c r="A33" s="767">
        <v>24</v>
      </c>
      <c r="B33" s="761"/>
      <c r="C33" s="761"/>
      <c r="D33" s="771" t="s">
        <v>328</v>
      </c>
      <c r="E33" s="762">
        <f>'CKROL PERAWATAN'!AH31</f>
        <v>21</v>
      </c>
      <c r="F33" s="830">
        <v>134500</v>
      </c>
      <c r="G33" s="662">
        <f t="shared" si="14"/>
        <v>2824500</v>
      </c>
      <c r="H33" s="762">
        <f>'CKROL PERAWATAN'!AI31</f>
        <v>0</v>
      </c>
      <c r="I33" s="834">
        <f t="shared" si="24"/>
        <v>0</v>
      </c>
      <c r="J33" s="831">
        <f>'CKROL PERAWATAN'!AJ31</f>
        <v>2</v>
      </c>
      <c r="K33" s="832">
        <f t="shared" si="16"/>
        <v>269000</v>
      </c>
      <c r="L33" s="831">
        <f>'CKROL PERAWATAN'!AK31</f>
        <v>0</v>
      </c>
      <c r="M33" s="832">
        <f t="shared" si="2"/>
        <v>0</v>
      </c>
      <c r="N33" s="832">
        <f>'CKROL PERAWATAN'!AL31</f>
        <v>4</v>
      </c>
      <c r="O33" s="832">
        <f t="shared" si="25"/>
        <v>538000</v>
      </c>
      <c r="P33" s="761">
        <f>'CKROL PERAWATAN'!AM31</f>
        <v>2</v>
      </c>
      <c r="Q33" s="834">
        <f t="shared" si="26"/>
        <v>269000</v>
      </c>
      <c r="R33" s="760"/>
      <c r="S33" s="763"/>
      <c r="T33" s="761">
        <f>'CKROL PERAWATAN'!AO31</f>
        <v>0</v>
      </c>
      <c r="U33" s="834">
        <f t="shared" si="27"/>
        <v>0</v>
      </c>
      <c r="V33" s="832">
        <f t="shared" si="20"/>
        <v>29</v>
      </c>
      <c r="W33" s="764">
        <v>3700</v>
      </c>
      <c r="X33" s="760">
        <f t="shared" si="28"/>
        <v>107300</v>
      </c>
      <c r="Y33" s="762"/>
      <c r="Z33" s="761">
        <f t="shared" si="29"/>
        <v>21</v>
      </c>
      <c r="AA33" s="760"/>
      <c r="AB33" s="763"/>
      <c r="AC33" s="765"/>
      <c r="AD33" s="766">
        <v>2500</v>
      </c>
      <c r="AE33" s="760"/>
      <c r="AF33" s="760"/>
      <c r="AG33" s="760"/>
      <c r="AH33" s="763"/>
      <c r="AI33" s="763"/>
      <c r="AJ33" s="763"/>
      <c r="AK33" s="835">
        <f t="shared" si="13"/>
        <v>4010300</v>
      </c>
      <c r="AL33" s="760">
        <f t="shared" si="4"/>
        <v>80750</v>
      </c>
      <c r="AM33" s="760">
        <f t="shared" si="5"/>
        <v>183302.5</v>
      </c>
      <c r="AN33" s="832">
        <f t="shared" si="23"/>
        <v>264052.5</v>
      </c>
      <c r="AO33" s="760">
        <f t="shared" si="6"/>
        <v>40375</v>
      </c>
      <c r="AP33" s="760">
        <f t="shared" si="7"/>
        <v>161500</v>
      </c>
      <c r="AQ33" s="760">
        <f t="shared" si="8"/>
        <v>40375</v>
      </c>
      <c r="AR33" s="760">
        <f t="shared" si="9"/>
        <v>80750</v>
      </c>
      <c r="AS33" s="836">
        <f t="shared" si="0"/>
        <v>323000</v>
      </c>
      <c r="AT33" s="842">
        <v>4000</v>
      </c>
      <c r="AU33" s="760">
        <f>PAJAK!AK29</f>
        <v>0</v>
      </c>
      <c r="AV33" s="760"/>
      <c r="AW33" s="760"/>
      <c r="AX33" s="760"/>
      <c r="AY33" s="760"/>
      <c r="AZ33" s="832">
        <f t="shared" si="10"/>
        <v>3844800</v>
      </c>
      <c r="BA33" s="832">
        <f>'CKROL PERAWATAN'!AQ31</f>
        <v>0</v>
      </c>
      <c r="BB33" s="837">
        <f>'CKROL PERAWATAN'!AR31</f>
        <v>2</v>
      </c>
      <c r="BC33" s="279"/>
      <c r="BD33" s="254"/>
      <c r="BE33" s="255">
        <f t="shared" si="11"/>
        <v>2</v>
      </c>
      <c r="BF33" s="255">
        <f t="shared" si="1"/>
        <v>-269000</v>
      </c>
      <c r="BG33" s="265"/>
      <c r="BH33" s="265"/>
      <c r="BI33" s="255">
        <f t="shared" si="12"/>
        <v>109800</v>
      </c>
      <c r="BJ33" s="265"/>
      <c r="BK33" s="265"/>
      <c r="BL33" s="265"/>
      <c r="BM33" s="265"/>
      <c r="BN33" s="265"/>
      <c r="BO33" s="265"/>
      <c r="BP33" s="265"/>
      <c r="BQ33" s="265"/>
      <c r="BR33" s="265"/>
      <c r="BS33" s="265"/>
      <c r="BT33" s="265"/>
      <c r="BU33" s="265"/>
      <c r="BV33" s="265"/>
      <c r="BW33" s="265"/>
      <c r="BX33" s="265"/>
      <c r="BY33" s="265"/>
      <c r="BZ33" s="265"/>
      <c r="CA33" s="265"/>
      <c r="CB33" s="265"/>
      <c r="CC33" s="265"/>
      <c r="CD33" s="265"/>
      <c r="CE33" s="265"/>
      <c r="CF33" s="265"/>
      <c r="CG33" s="265"/>
      <c r="CH33" s="265"/>
      <c r="CI33" s="265"/>
      <c r="CJ33" s="265"/>
      <c r="CK33" s="265"/>
      <c r="CL33" s="265"/>
      <c r="CM33" s="265"/>
      <c r="CN33" s="265"/>
      <c r="CO33" s="265"/>
      <c r="CP33" s="265"/>
      <c r="CQ33" s="265"/>
      <c r="CR33" s="265"/>
      <c r="CS33" s="265"/>
      <c r="CT33" s="265"/>
      <c r="CU33" s="265"/>
      <c r="CV33" s="265"/>
    </row>
    <row r="34" spans="1:100" s="255" customFormat="1" ht="31.5" customHeight="1">
      <c r="A34" s="767">
        <v>25</v>
      </c>
      <c r="B34" s="761"/>
      <c r="C34" s="761"/>
      <c r="D34" s="771" t="s">
        <v>326</v>
      </c>
      <c r="E34" s="762">
        <f>'CKROL PERAWATAN'!AH32</f>
        <v>23</v>
      </c>
      <c r="F34" s="830">
        <v>134500</v>
      </c>
      <c r="G34" s="662">
        <f t="shared" si="14"/>
        <v>3093500</v>
      </c>
      <c r="H34" s="762">
        <f>'CKROL PERAWATAN'!AI32</f>
        <v>1</v>
      </c>
      <c r="I34" s="834">
        <f t="shared" si="24"/>
        <v>134500</v>
      </c>
      <c r="J34" s="831">
        <f>'CKROL PERAWATAN'!AJ32</f>
        <v>1</v>
      </c>
      <c r="K34" s="832">
        <f t="shared" si="16"/>
        <v>134500</v>
      </c>
      <c r="L34" s="831">
        <f>'CKROL PERAWATAN'!AK32</f>
        <v>0</v>
      </c>
      <c r="M34" s="832">
        <f t="shared" si="2"/>
        <v>0</v>
      </c>
      <c r="N34" s="832">
        <f>'CKROL PERAWATAN'!AL32</f>
        <v>4</v>
      </c>
      <c r="O34" s="832">
        <f t="shared" si="25"/>
        <v>538000</v>
      </c>
      <c r="P34" s="761">
        <f>'CKROL PERAWATAN'!AM32</f>
        <v>2</v>
      </c>
      <c r="Q34" s="834">
        <f t="shared" si="26"/>
        <v>269000</v>
      </c>
      <c r="R34" s="760"/>
      <c r="S34" s="763"/>
      <c r="T34" s="761">
        <f>'CKROL PERAWATAN'!AO32</f>
        <v>0</v>
      </c>
      <c r="U34" s="834">
        <f t="shared" si="27"/>
        <v>0</v>
      </c>
      <c r="V34" s="832">
        <f t="shared" si="20"/>
        <v>31</v>
      </c>
      <c r="W34" s="764">
        <v>4650</v>
      </c>
      <c r="X34" s="760">
        <f t="shared" si="28"/>
        <v>144150</v>
      </c>
      <c r="Y34" s="762"/>
      <c r="Z34" s="761">
        <f t="shared" si="29"/>
        <v>23</v>
      </c>
      <c r="AA34" s="760"/>
      <c r="AB34" s="763"/>
      <c r="AC34" s="765"/>
      <c r="AD34" s="766">
        <v>27000</v>
      </c>
      <c r="AE34" s="760"/>
      <c r="AF34" s="760"/>
      <c r="AG34" s="760"/>
      <c r="AH34" s="763"/>
      <c r="AI34" s="763"/>
      <c r="AJ34" s="763"/>
      <c r="AK34" s="835">
        <f t="shared" si="13"/>
        <v>4340650</v>
      </c>
      <c r="AL34" s="760">
        <f t="shared" si="4"/>
        <v>81240</v>
      </c>
      <c r="AM34" s="760">
        <f t="shared" si="5"/>
        <v>184414.80000000002</v>
      </c>
      <c r="AN34" s="832">
        <f t="shared" si="23"/>
        <v>265654.80000000005</v>
      </c>
      <c r="AO34" s="760">
        <f t="shared" si="6"/>
        <v>40620</v>
      </c>
      <c r="AP34" s="760">
        <f t="shared" si="7"/>
        <v>162480</v>
      </c>
      <c r="AQ34" s="760">
        <f t="shared" si="8"/>
        <v>40620</v>
      </c>
      <c r="AR34" s="760">
        <f t="shared" si="9"/>
        <v>81240</v>
      </c>
      <c r="AS34" s="836">
        <f t="shared" si="0"/>
        <v>324960</v>
      </c>
      <c r="AT34" s="842">
        <v>4000</v>
      </c>
      <c r="AU34" s="760">
        <f>PAJAK!AK30</f>
        <v>0</v>
      </c>
      <c r="AV34" s="760"/>
      <c r="AW34" s="760"/>
      <c r="AX34" s="760"/>
      <c r="AY34" s="760">
        <v>85882</v>
      </c>
      <c r="AZ34" s="832">
        <f t="shared" si="10"/>
        <v>4260052</v>
      </c>
      <c r="BA34" s="832">
        <f>'CKROL PERAWATAN'!AQ32</f>
        <v>0</v>
      </c>
      <c r="BB34" s="837">
        <f>'CKROL PERAWATAN'!AR32</f>
        <v>0</v>
      </c>
      <c r="BC34" s="279"/>
      <c r="BD34" s="254"/>
      <c r="BE34" s="255">
        <f t="shared" si="11"/>
        <v>0</v>
      </c>
      <c r="BF34" s="255">
        <f t="shared" si="1"/>
        <v>0</v>
      </c>
      <c r="BG34" s="265"/>
      <c r="BH34" s="265"/>
      <c r="BI34" s="255">
        <f t="shared" si="12"/>
        <v>171150</v>
      </c>
      <c r="BJ34" s="265"/>
      <c r="BK34" s="265"/>
      <c r="BL34" s="265"/>
      <c r="BM34" s="265"/>
      <c r="BN34" s="265"/>
      <c r="BO34" s="265"/>
      <c r="BP34" s="265"/>
      <c r="BQ34" s="265"/>
      <c r="BR34" s="265"/>
      <c r="BS34" s="265"/>
      <c r="BT34" s="265"/>
      <c r="BU34" s="265"/>
      <c r="BV34" s="265"/>
      <c r="BW34" s="265"/>
      <c r="BX34" s="265"/>
      <c r="BY34" s="265"/>
      <c r="BZ34" s="265"/>
      <c r="CA34" s="265"/>
      <c r="CB34" s="265"/>
      <c r="CC34" s="265"/>
      <c r="CD34" s="265"/>
      <c r="CE34" s="265"/>
      <c r="CF34" s="265"/>
      <c r="CG34" s="265"/>
      <c r="CH34" s="265"/>
      <c r="CI34" s="265"/>
      <c r="CJ34" s="265"/>
      <c r="CK34" s="265"/>
      <c r="CL34" s="265"/>
      <c r="CM34" s="265"/>
      <c r="CN34" s="265"/>
      <c r="CO34" s="265"/>
      <c r="CP34" s="265"/>
      <c r="CQ34" s="265"/>
      <c r="CR34" s="265"/>
      <c r="CS34" s="265"/>
      <c r="CT34" s="265"/>
      <c r="CU34" s="265"/>
      <c r="CV34" s="265"/>
    </row>
    <row r="35" spans="1:100" s="255" customFormat="1" ht="31.5" customHeight="1">
      <c r="A35" s="767">
        <v>26</v>
      </c>
      <c r="B35" s="761"/>
      <c r="C35" s="761"/>
      <c r="D35" s="771" t="s">
        <v>388</v>
      </c>
      <c r="E35" s="762">
        <f>'CKROL PERAWATAN'!AH33</f>
        <v>24</v>
      </c>
      <c r="F35" s="830">
        <v>134500</v>
      </c>
      <c r="G35" s="662">
        <f t="shared" si="14"/>
        <v>3228000</v>
      </c>
      <c r="H35" s="762">
        <f>'CKROL PERAWATAN'!AI33</f>
        <v>0</v>
      </c>
      <c r="I35" s="834">
        <f t="shared" si="24"/>
        <v>0</v>
      </c>
      <c r="J35" s="831">
        <f>'CKROL PERAWATAN'!AJ33</f>
        <v>0</v>
      </c>
      <c r="K35" s="832">
        <f t="shared" si="16"/>
        <v>0</v>
      </c>
      <c r="L35" s="831">
        <f>'CKROL PERAWATAN'!AK33</f>
        <v>1</v>
      </c>
      <c r="M35" s="832">
        <f t="shared" si="2"/>
        <v>134500</v>
      </c>
      <c r="N35" s="832">
        <f>'CKROL PERAWATAN'!AL33</f>
        <v>4</v>
      </c>
      <c r="O35" s="832">
        <f t="shared" si="25"/>
        <v>538000</v>
      </c>
      <c r="P35" s="761">
        <f>'CKROL PERAWATAN'!AM33</f>
        <v>2</v>
      </c>
      <c r="Q35" s="834">
        <f t="shared" si="26"/>
        <v>269000</v>
      </c>
      <c r="R35" s="760"/>
      <c r="S35" s="763"/>
      <c r="T35" s="761">
        <f>'CKROL PERAWATAN'!AO33</f>
        <v>0</v>
      </c>
      <c r="U35" s="834">
        <f t="shared" si="27"/>
        <v>0</v>
      </c>
      <c r="V35" s="832">
        <f t="shared" si="20"/>
        <v>31</v>
      </c>
      <c r="W35" s="764">
        <v>2250</v>
      </c>
      <c r="X35" s="760">
        <f t="shared" si="28"/>
        <v>69750</v>
      </c>
      <c r="Y35" s="762"/>
      <c r="Z35" s="761">
        <f t="shared" si="29"/>
        <v>24</v>
      </c>
      <c r="AA35" s="760"/>
      <c r="AB35" s="763"/>
      <c r="AC35" s="765"/>
      <c r="AD35" s="766">
        <v>0</v>
      </c>
      <c r="AE35" s="760"/>
      <c r="AF35" s="760"/>
      <c r="AG35" s="760"/>
      <c r="AH35" s="763"/>
      <c r="AI35" s="763"/>
      <c r="AJ35" s="763"/>
      <c r="AK35" s="835">
        <f t="shared" si="13"/>
        <v>4239250</v>
      </c>
      <c r="AL35" s="760">
        <f t="shared" si="4"/>
        <v>80700</v>
      </c>
      <c r="AM35" s="760">
        <f t="shared" si="5"/>
        <v>183189</v>
      </c>
      <c r="AN35" s="760">
        <f t="shared" si="23"/>
        <v>263889</v>
      </c>
      <c r="AO35" s="760">
        <f t="shared" si="6"/>
        <v>40350</v>
      </c>
      <c r="AP35" s="760">
        <f t="shared" si="7"/>
        <v>161400</v>
      </c>
      <c r="AQ35" s="760">
        <f t="shared" si="8"/>
        <v>40350</v>
      </c>
      <c r="AR35" s="760">
        <f t="shared" si="9"/>
        <v>80700</v>
      </c>
      <c r="AS35" s="833">
        <f t="shared" si="0"/>
        <v>322800</v>
      </c>
      <c r="AT35" s="761"/>
      <c r="AU35" s="760">
        <f>PAJAK!AK31</f>
        <v>0</v>
      </c>
      <c r="AV35" s="760"/>
      <c r="AW35" s="760"/>
      <c r="AX35" s="760"/>
      <c r="AY35" s="760"/>
      <c r="AZ35" s="832">
        <f t="shared" si="10"/>
        <v>4077850</v>
      </c>
      <c r="BA35" s="832">
        <f>'CKROL PERAWATAN'!AQ33</f>
        <v>0</v>
      </c>
      <c r="BB35" s="837">
        <f>'CKROL PERAWATAN'!AR33</f>
        <v>0</v>
      </c>
      <c r="BC35" s="279"/>
      <c r="BD35" s="254"/>
      <c r="BE35" s="255">
        <f t="shared" si="11"/>
        <v>0</v>
      </c>
      <c r="BF35" s="255">
        <f t="shared" si="1"/>
        <v>0</v>
      </c>
      <c r="BG35" s="265"/>
      <c r="BH35" s="265"/>
      <c r="BI35" s="255">
        <f t="shared" si="12"/>
        <v>69750</v>
      </c>
      <c r="BJ35" s="265"/>
      <c r="BK35" s="265"/>
      <c r="BL35" s="265"/>
      <c r="BM35" s="265"/>
      <c r="BN35" s="265"/>
      <c r="BO35" s="265"/>
      <c r="BP35" s="265"/>
      <c r="BQ35" s="265"/>
      <c r="BR35" s="265"/>
      <c r="BS35" s="265"/>
      <c r="BT35" s="265"/>
      <c r="BU35" s="265"/>
      <c r="BV35" s="265"/>
      <c r="BW35" s="265"/>
      <c r="BX35" s="265"/>
      <c r="BY35" s="265"/>
      <c r="BZ35" s="265"/>
      <c r="CA35" s="265"/>
      <c r="CB35" s="265"/>
      <c r="CC35" s="265"/>
      <c r="CD35" s="265"/>
      <c r="CE35" s="265"/>
      <c r="CF35" s="265"/>
      <c r="CG35" s="265"/>
      <c r="CH35" s="265"/>
      <c r="CI35" s="265"/>
      <c r="CJ35" s="265"/>
      <c r="CK35" s="265"/>
      <c r="CL35" s="265"/>
      <c r="CM35" s="265"/>
      <c r="CN35" s="265"/>
      <c r="CO35" s="265"/>
      <c r="CP35" s="265"/>
      <c r="CQ35" s="265"/>
      <c r="CR35" s="265"/>
      <c r="CS35" s="265"/>
      <c r="CT35" s="265"/>
      <c r="CU35" s="265"/>
      <c r="CV35" s="265"/>
    </row>
    <row r="36" spans="1:100" s="255" customFormat="1" ht="31.5" customHeight="1">
      <c r="A36" s="767">
        <v>27</v>
      </c>
      <c r="B36" s="761"/>
      <c r="C36" s="761"/>
      <c r="D36" s="771" t="s">
        <v>386</v>
      </c>
      <c r="E36" s="762">
        <f>'CKROL PERAWATAN'!AH34</f>
        <v>23</v>
      </c>
      <c r="F36" s="830">
        <v>134500</v>
      </c>
      <c r="G36" s="662">
        <f t="shared" si="14"/>
        <v>3093500</v>
      </c>
      <c r="H36" s="762">
        <f>'CKROL PERAWATAN'!AI34</f>
        <v>1</v>
      </c>
      <c r="I36" s="834">
        <f t="shared" si="24"/>
        <v>134500</v>
      </c>
      <c r="J36" s="831">
        <f>'CKROL PERAWATAN'!AJ34</f>
        <v>0</v>
      </c>
      <c r="K36" s="832">
        <f t="shared" si="16"/>
        <v>0</v>
      </c>
      <c r="L36" s="831">
        <f>'CKROL PERAWATAN'!AK34</f>
        <v>0</v>
      </c>
      <c r="M36" s="832">
        <f t="shared" si="2"/>
        <v>0</v>
      </c>
      <c r="N36" s="832">
        <f>'CKROL PERAWATAN'!AL34</f>
        <v>4</v>
      </c>
      <c r="O36" s="832">
        <f t="shared" si="25"/>
        <v>538000</v>
      </c>
      <c r="P36" s="761">
        <f>'CKROL PERAWATAN'!AM34</f>
        <v>2</v>
      </c>
      <c r="Q36" s="834">
        <f t="shared" si="26"/>
        <v>269000</v>
      </c>
      <c r="R36" s="760"/>
      <c r="S36" s="763"/>
      <c r="T36" s="761">
        <f>'CKROL PERAWATAN'!AO34</f>
        <v>0</v>
      </c>
      <c r="U36" s="834">
        <f t="shared" si="27"/>
        <v>0</v>
      </c>
      <c r="V36" s="832">
        <f t="shared" si="20"/>
        <v>30</v>
      </c>
      <c r="W36" s="764">
        <v>2250</v>
      </c>
      <c r="X36" s="760">
        <f t="shared" si="28"/>
        <v>67500</v>
      </c>
      <c r="Y36" s="762"/>
      <c r="Z36" s="761">
        <f t="shared" si="29"/>
        <v>23</v>
      </c>
      <c r="AA36" s="760"/>
      <c r="AB36" s="763"/>
      <c r="AC36" s="765"/>
      <c r="AD36" s="766">
        <v>0</v>
      </c>
      <c r="AE36" s="760"/>
      <c r="AF36" s="760"/>
      <c r="AG36" s="760"/>
      <c r="AH36" s="763"/>
      <c r="AI36" s="763"/>
      <c r="AJ36" s="763"/>
      <c r="AK36" s="835">
        <f t="shared" si="13"/>
        <v>4102500</v>
      </c>
      <c r="AL36" s="760">
        <f t="shared" si="4"/>
        <v>80700</v>
      </c>
      <c r="AM36" s="760">
        <f t="shared" si="5"/>
        <v>183189</v>
      </c>
      <c r="AN36" s="760">
        <f t="shared" si="23"/>
        <v>263889</v>
      </c>
      <c r="AO36" s="760">
        <f t="shared" si="6"/>
        <v>40350</v>
      </c>
      <c r="AP36" s="760">
        <f t="shared" si="7"/>
        <v>161400</v>
      </c>
      <c r="AQ36" s="760">
        <f t="shared" si="8"/>
        <v>40350</v>
      </c>
      <c r="AR36" s="760">
        <f t="shared" si="9"/>
        <v>80700</v>
      </c>
      <c r="AS36" s="833">
        <f t="shared" si="0"/>
        <v>322800</v>
      </c>
      <c r="AT36" s="761"/>
      <c r="AU36" s="760">
        <f>PAJAK!AK32</f>
        <v>0</v>
      </c>
      <c r="AV36" s="760"/>
      <c r="AW36" s="760"/>
      <c r="AX36" s="760"/>
      <c r="AY36" s="760"/>
      <c r="AZ36" s="832">
        <f t="shared" si="10"/>
        <v>3941100</v>
      </c>
      <c r="BA36" s="832">
        <f>'CKROL PERAWATAN'!AQ34</f>
        <v>0</v>
      </c>
      <c r="BB36" s="837">
        <f>'CKROL PERAWATAN'!AR34</f>
        <v>1</v>
      </c>
      <c r="BC36" s="279"/>
      <c r="BD36" s="254"/>
      <c r="BE36" s="255">
        <f t="shared" si="11"/>
        <v>1</v>
      </c>
      <c r="BF36" s="255">
        <f t="shared" si="1"/>
        <v>-134500</v>
      </c>
      <c r="BG36" s="265"/>
      <c r="BH36" s="265"/>
      <c r="BI36" s="255">
        <f t="shared" si="12"/>
        <v>67500</v>
      </c>
      <c r="BJ36" s="265"/>
      <c r="BK36" s="265"/>
      <c r="BL36" s="265"/>
      <c r="BM36" s="265"/>
      <c r="BN36" s="265"/>
      <c r="BO36" s="265"/>
      <c r="BP36" s="265"/>
      <c r="BQ36" s="265"/>
      <c r="BR36" s="265"/>
      <c r="BS36" s="265"/>
      <c r="BT36" s="265"/>
      <c r="BU36" s="265"/>
      <c r="BV36" s="265"/>
      <c r="BW36" s="265"/>
      <c r="BX36" s="265"/>
      <c r="BY36" s="265"/>
      <c r="BZ36" s="265"/>
      <c r="CA36" s="265"/>
      <c r="CB36" s="265"/>
      <c r="CC36" s="265"/>
      <c r="CD36" s="265"/>
      <c r="CE36" s="265"/>
      <c r="CF36" s="265"/>
      <c r="CG36" s="265"/>
      <c r="CH36" s="265"/>
      <c r="CI36" s="265"/>
      <c r="CJ36" s="265"/>
      <c r="CK36" s="265"/>
      <c r="CL36" s="265"/>
      <c r="CM36" s="265"/>
      <c r="CN36" s="265"/>
      <c r="CO36" s="265"/>
      <c r="CP36" s="265"/>
      <c r="CQ36" s="265"/>
      <c r="CR36" s="265"/>
      <c r="CS36" s="265"/>
      <c r="CT36" s="265"/>
      <c r="CU36" s="265"/>
      <c r="CV36" s="265"/>
    </row>
    <row r="37" spans="1:100" s="255" customFormat="1" ht="31.5" customHeight="1">
      <c r="A37" s="767">
        <v>28</v>
      </c>
      <c r="B37" s="761"/>
      <c r="C37" s="761"/>
      <c r="D37" s="771" t="s">
        <v>387</v>
      </c>
      <c r="E37" s="762">
        <f>'CKROL PERAWATAN'!AH35</f>
        <v>23</v>
      </c>
      <c r="F37" s="830">
        <v>134500</v>
      </c>
      <c r="G37" s="662">
        <f t="shared" si="14"/>
        <v>3093500</v>
      </c>
      <c r="H37" s="762">
        <f>'CKROL PERAWATAN'!AI35</f>
        <v>0</v>
      </c>
      <c r="I37" s="834">
        <f t="shared" si="24"/>
        <v>0</v>
      </c>
      <c r="J37" s="831">
        <f>'CKROL PERAWATAN'!AJ35</f>
        <v>1</v>
      </c>
      <c r="K37" s="832">
        <f t="shared" si="16"/>
        <v>134500</v>
      </c>
      <c r="L37" s="831">
        <f>'CKROL PERAWATAN'!AK35</f>
        <v>0</v>
      </c>
      <c r="M37" s="832">
        <f t="shared" si="2"/>
        <v>0</v>
      </c>
      <c r="N37" s="832">
        <f>'CKROL PERAWATAN'!AL35</f>
        <v>4</v>
      </c>
      <c r="O37" s="832">
        <f t="shared" si="25"/>
        <v>538000</v>
      </c>
      <c r="P37" s="761">
        <f>'CKROL PERAWATAN'!AM35</f>
        <v>2</v>
      </c>
      <c r="Q37" s="834">
        <f t="shared" si="26"/>
        <v>269000</v>
      </c>
      <c r="R37" s="760"/>
      <c r="S37" s="763"/>
      <c r="T37" s="761">
        <f>'CKROL PERAWATAN'!AO35</f>
        <v>0</v>
      </c>
      <c r="U37" s="834">
        <f t="shared" si="27"/>
        <v>0</v>
      </c>
      <c r="V37" s="832">
        <f t="shared" si="20"/>
        <v>30</v>
      </c>
      <c r="W37" s="764">
        <v>2250</v>
      </c>
      <c r="X37" s="760">
        <f t="shared" si="28"/>
        <v>67500</v>
      </c>
      <c r="Y37" s="762"/>
      <c r="Z37" s="761">
        <f t="shared" si="29"/>
        <v>23</v>
      </c>
      <c r="AA37" s="760"/>
      <c r="AB37" s="763"/>
      <c r="AC37" s="765"/>
      <c r="AD37" s="766">
        <v>0</v>
      </c>
      <c r="AE37" s="760"/>
      <c r="AF37" s="760"/>
      <c r="AG37" s="760"/>
      <c r="AH37" s="763"/>
      <c r="AI37" s="763"/>
      <c r="AJ37" s="763"/>
      <c r="AK37" s="835">
        <f t="shared" si="13"/>
        <v>4102500</v>
      </c>
      <c r="AL37" s="760">
        <f t="shared" si="4"/>
        <v>80700</v>
      </c>
      <c r="AM37" s="760">
        <f t="shared" si="5"/>
        <v>183189</v>
      </c>
      <c r="AN37" s="760">
        <f t="shared" si="23"/>
        <v>263889</v>
      </c>
      <c r="AO37" s="760">
        <f t="shared" si="6"/>
        <v>40350</v>
      </c>
      <c r="AP37" s="760">
        <f t="shared" si="7"/>
        <v>161400</v>
      </c>
      <c r="AQ37" s="760">
        <f t="shared" si="8"/>
        <v>40350</v>
      </c>
      <c r="AR37" s="760">
        <f t="shared" si="9"/>
        <v>80700</v>
      </c>
      <c r="AS37" s="833">
        <f t="shared" si="0"/>
        <v>322800</v>
      </c>
      <c r="AT37" s="761"/>
      <c r="AU37" s="760">
        <f>PAJAK!AK33</f>
        <v>0</v>
      </c>
      <c r="AV37" s="760"/>
      <c r="AW37" s="760"/>
      <c r="AX37" s="760"/>
      <c r="AY37" s="760"/>
      <c r="AZ37" s="832">
        <f t="shared" si="10"/>
        <v>3941100</v>
      </c>
      <c r="BA37" s="832">
        <f>'CKROL PERAWATAN'!AQ35</f>
        <v>1</v>
      </c>
      <c r="BB37" s="837">
        <f>'CKROL PERAWATAN'!AR35</f>
        <v>0</v>
      </c>
      <c r="BC37" s="279"/>
      <c r="BD37" s="254"/>
      <c r="BE37" s="255">
        <f t="shared" si="11"/>
        <v>1</v>
      </c>
      <c r="BF37" s="255">
        <f t="shared" si="1"/>
        <v>-134500</v>
      </c>
      <c r="BG37" s="265"/>
      <c r="BH37" s="265"/>
      <c r="BI37" s="255">
        <f t="shared" si="12"/>
        <v>67500</v>
      </c>
      <c r="BJ37" s="265"/>
      <c r="BK37" s="265"/>
      <c r="BL37" s="265"/>
      <c r="BM37" s="265"/>
      <c r="BN37" s="265"/>
      <c r="BO37" s="265"/>
      <c r="BP37" s="265"/>
      <c r="BQ37" s="265"/>
      <c r="BR37" s="265"/>
      <c r="BS37" s="265"/>
      <c r="BT37" s="265"/>
      <c r="BU37" s="265"/>
      <c r="BV37" s="265"/>
      <c r="BW37" s="265"/>
      <c r="BX37" s="265"/>
      <c r="BY37" s="265"/>
      <c r="BZ37" s="265"/>
      <c r="CA37" s="265"/>
      <c r="CB37" s="265"/>
      <c r="CC37" s="265"/>
      <c r="CD37" s="265"/>
      <c r="CE37" s="265"/>
      <c r="CF37" s="265"/>
      <c r="CG37" s="265"/>
      <c r="CH37" s="265"/>
      <c r="CI37" s="265"/>
      <c r="CJ37" s="265"/>
      <c r="CK37" s="265"/>
      <c r="CL37" s="265"/>
      <c r="CM37" s="265"/>
      <c r="CN37" s="265"/>
      <c r="CO37" s="265"/>
      <c r="CP37" s="265"/>
      <c r="CQ37" s="265"/>
      <c r="CR37" s="265"/>
      <c r="CS37" s="265"/>
      <c r="CT37" s="265"/>
      <c r="CU37" s="265"/>
      <c r="CV37" s="265"/>
    </row>
    <row r="38" spans="1:100" s="255" customFormat="1" ht="31.5" customHeight="1">
      <c r="A38" s="767">
        <v>29</v>
      </c>
      <c r="B38" s="761"/>
      <c r="C38" s="761"/>
      <c r="D38" s="771" t="s">
        <v>406</v>
      </c>
      <c r="E38" s="762">
        <f>'CKROL PERAWATAN'!AH36</f>
        <v>24</v>
      </c>
      <c r="F38" s="830">
        <v>134500</v>
      </c>
      <c r="G38" s="662">
        <f t="shared" si="14"/>
        <v>3228000</v>
      </c>
      <c r="H38" s="762">
        <f>'CKROL PERAWATAN'!AI36</f>
        <v>1</v>
      </c>
      <c r="I38" s="834">
        <f t="shared" si="24"/>
        <v>134500</v>
      </c>
      <c r="J38" s="831">
        <f>'CKROL PERAWATAN'!AJ36</f>
        <v>0</v>
      </c>
      <c r="K38" s="832">
        <f t="shared" si="16"/>
        <v>0</v>
      </c>
      <c r="L38" s="831">
        <f>'CKROL PERAWATAN'!AK36</f>
        <v>0</v>
      </c>
      <c r="M38" s="832">
        <f t="shared" si="2"/>
        <v>0</v>
      </c>
      <c r="N38" s="832">
        <f>'CKROL PERAWATAN'!AL36</f>
        <v>4</v>
      </c>
      <c r="O38" s="832">
        <f t="shared" si="25"/>
        <v>538000</v>
      </c>
      <c r="P38" s="761">
        <f>'CKROL PERAWATAN'!AM36</f>
        <v>2</v>
      </c>
      <c r="Q38" s="834">
        <f t="shared" si="26"/>
        <v>269000</v>
      </c>
      <c r="R38" s="760"/>
      <c r="S38" s="763"/>
      <c r="T38" s="761"/>
      <c r="U38" s="763"/>
      <c r="V38" s="832">
        <f t="shared" si="20"/>
        <v>31</v>
      </c>
      <c r="W38" s="764">
        <v>3700</v>
      </c>
      <c r="X38" s="760">
        <f t="shared" si="28"/>
        <v>114700</v>
      </c>
      <c r="Y38" s="762"/>
      <c r="Z38" s="761">
        <f t="shared" si="29"/>
        <v>24</v>
      </c>
      <c r="AA38" s="760"/>
      <c r="AB38" s="763"/>
      <c r="AC38" s="765"/>
      <c r="AD38" s="766">
        <v>33000</v>
      </c>
      <c r="AE38" s="760"/>
      <c r="AF38" s="760"/>
      <c r="AG38" s="760"/>
      <c r="AH38" s="763"/>
      <c r="AI38" s="763"/>
      <c r="AJ38" s="763"/>
      <c r="AK38" s="835">
        <f t="shared" si="13"/>
        <v>4317200</v>
      </c>
      <c r="AL38" s="760">
        <f t="shared" si="4"/>
        <v>81360</v>
      </c>
      <c r="AM38" s="760">
        <f t="shared" si="5"/>
        <v>184687.2</v>
      </c>
      <c r="AN38" s="760">
        <f t="shared" si="23"/>
        <v>266047.2</v>
      </c>
      <c r="AO38" s="760">
        <f t="shared" si="6"/>
        <v>40680</v>
      </c>
      <c r="AP38" s="760">
        <f t="shared" si="7"/>
        <v>162720</v>
      </c>
      <c r="AQ38" s="760">
        <f t="shared" si="8"/>
        <v>40680</v>
      </c>
      <c r="AR38" s="760">
        <f t="shared" si="9"/>
        <v>81360</v>
      </c>
      <c r="AS38" s="833">
        <f t="shared" si="0"/>
        <v>325440</v>
      </c>
      <c r="AT38" s="761">
        <v>4000</v>
      </c>
      <c r="AU38" s="760">
        <f>PAJAK!AK34</f>
        <v>0</v>
      </c>
      <c r="AV38" s="760"/>
      <c r="AW38" s="760"/>
      <c r="AX38" s="760"/>
      <c r="AY38" s="760"/>
      <c r="AZ38" s="248">
        <f t="shared" si="10"/>
        <v>4150480</v>
      </c>
      <c r="BA38" s="832">
        <f>'CKROL PERAWATAN'!AQ36</f>
        <v>0</v>
      </c>
      <c r="BB38" s="837">
        <f>'CKROL PERAWATAN'!AR36</f>
        <v>0</v>
      </c>
      <c r="BC38" s="279"/>
      <c r="BD38" s="254"/>
      <c r="BG38" s="265"/>
      <c r="BH38" s="265"/>
      <c r="BI38" s="255">
        <f t="shared" si="12"/>
        <v>147700</v>
      </c>
      <c r="BJ38" s="265"/>
      <c r="BK38" s="265"/>
      <c r="BL38" s="265"/>
      <c r="BM38" s="265"/>
      <c r="BN38" s="265"/>
      <c r="BO38" s="265"/>
      <c r="BP38" s="265"/>
      <c r="BQ38" s="265"/>
      <c r="BR38" s="265"/>
      <c r="BS38" s="265"/>
      <c r="BT38" s="265"/>
      <c r="BU38" s="265"/>
      <c r="BV38" s="265"/>
      <c r="BW38" s="265"/>
      <c r="BX38" s="265"/>
      <c r="BY38" s="265"/>
      <c r="BZ38" s="265"/>
      <c r="CA38" s="265"/>
      <c r="CB38" s="265"/>
      <c r="CC38" s="265"/>
      <c r="CD38" s="265"/>
      <c r="CE38" s="265"/>
      <c r="CF38" s="265"/>
      <c r="CG38" s="265"/>
      <c r="CH38" s="265"/>
      <c r="CI38" s="265"/>
      <c r="CJ38" s="265"/>
      <c r="CK38" s="265"/>
      <c r="CL38" s="265"/>
      <c r="CM38" s="265"/>
      <c r="CN38" s="265"/>
      <c r="CO38" s="265"/>
      <c r="CP38" s="265"/>
      <c r="CQ38" s="265"/>
      <c r="CR38" s="265"/>
      <c r="CS38" s="265"/>
      <c r="CT38" s="265"/>
      <c r="CU38" s="265"/>
      <c r="CV38" s="265"/>
    </row>
    <row r="39" spans="1:100" s="286" customFormat="1" ht="30" customHeight="1" thickBot="1">
      <c r="A39" s="282"/>
      <c r="B39" s="859"/>
      <c r="C39" s="859"/>
      <c r="D39" s="860" t="s">
        <v>10</v>
      </c>
      <c r="E39" s="859">
        <f>SUM(E10:E38)</f>
        <v>680</v>
      </c>
      <c r="F39" s="859"/>
      <c r="G39" s="859">
        <f>SUM(G10:G38)</f>
        <v>91460000</v>
      </c>
      <c r="H39" s="859">
        <f t="shared" ref="H39:BB39" si="30">SUM(H10:H38)</f>
        <v>19</v>
      </c>
      <c r="I39" s="859">
        <f t="shared" si="30"/>
        <v>2555500</v>
      </c>
      <c r="J39" s="859">
        <f t="shared" si="30"/>
        <v>12</v>
      </c>
      <c r="K39" s="859">
        <f t="shared" si="30"/>
        <v>1614000</v>
      </c>
      <c r="L39" s="859">
        <f t="shared" si="30"/>
        <v>7</v>
      </c>
      <c r="M39" s="859">
        <f t="shared" si="30"/>
        <v>941500</v>
      </c>
      <c r="N39" s="859">
        <f t="shared" si="30"/>
        <v>116</v>
      </c>
      <c r="O39" s="859">
        <f t="shared" si="30"/>
        <v>15602000</v>
      </c>
      <c r="P39" s="859">
        <f t="shared" si="30"/>
        <v>58</v>
      </c>
      <c r="Q39" s="859">
        <f t="shared" si="30"/>
        <v>7801000</v>
      </c>
      <c r="R39" s="859">
        <f t="shared" si="30"/>
        <v>0</v>
      </c>
      <c r="S39" s="859">
        <f t="shared" si="30"/>
        <v>0</v>
      </c>
      <c r="T39" s="859">
        <f t="shared" si="30"/>
        <v>0</v>
      </c>
      <c r="U39" s="859">
        <f t="shared" si="30"/>
        <v>0</v>
      </c>
      <c r="V39" s="859">
        <f t="shared" si="30"/>
        <v>892</v>
      </c>
      <c r="W39" s="859">
        <f t="shared" si="30"/>
        <v>116000</v>
      </c>
      <c r="X39" s="859">
        <f t="shared" si="30"/>
        <v>3569250</v>
      </c>
      <c r="Y39" s="859">
        <f t="shared" si="30"/>
        <v>6000</v>
      </c>
      <c r="Z39" s="859">
        <f t="shared" si="30"/>
        <v>680</v>
      </c>
      <c r="AA39" s="859">
        <f t="shared" si="30"/>
        <v>147500</v>
      </c>
      <c r="AB39" s="859">
        <f t="shared" si="30"/>
        <v>35000</v>
      </c>
      <c r="AC39" s="859">
        <f t="shared" si="30"/>
        <v>125</v>
      </c>
      <c r="AD39" s="859">
        <f t="shared" si="30"/>
        <v>1089500</v>
      </c>
      <c r="AE39" s="859">
        <f t="shared" si="30"/>
        <v>0</v>
      </c>
      <c r="AF39" s="859">
        <f t="shared" si="30"/>
        <v>5189523.25</v>
      </c>
      <c r="AG39" s="859">
        <f t="shared" si="30"/>
        <v>0</v>
      </c>
      <c r="AH39" s="859">
        <f t="shared" si="30"/>
        <v>0</v>
      </c>
      <c r="AI39" s="859">
        <f t="shared" si="30"/>
        <v>0</v>
      </c>
      <c r="AJ39" s="859">
        <f t="shared" si="30"/>
        <v>0</v>
      </c>
      <c r="AK39" s="859">
        <f t="shared" si="30"/>
        <v>129969773.25</v>
      </c>
      <c r="AL39" s="859">
        <f t="shared" si="30"/>
        <v>2362090</v>
      </c>
      <c r="AM39" s="859">
        <f t="shared" si="30"/>
        <v>5361944.3000000007</v>
      </c>
      <c r="AN39" s="859">
        <f t="shared" si="30"/>
        <v>7724034.3000000007</v>
      </c>
      <c r="AO39" s="859">
        <f t="shared" si="30"/>
        <v>1181045</v>
      </c>
      <c r="AP39" s="859">
        <f t="shared" si="30"/>
        <v>4724180</v>
      </c>
      <c r="AQ39" s="859">
        <f t="shared" si="30"/>
        <v>1181045</v>
      </c>
      <c r="AR39" s="859">
        <f t="shared" si="30"/>
        <v>2362090</v>
      </c>
      <c r="AS39" s="859">
        <f t="shared" si="30"/>
        <v>9448360</v>
      </c>
      <c r="AT39" s="859">
        <f t="shared" si="30"/>
        <v>100000</v>
      </c>
      <c r="AU39" s="859">
        <f t="shared" si="30"/>
        <v>114350</v>
      </c>
      <c r="AV39" s="859">
        <f t="shared" si="30"/>
        <v>0</v>
      </c>
      <c r="AW39" s="859">
        <f t="shared" si="30"/>
        <v>0</v>
      </c>
      <c r="AX39" s="859">
        <f t="shared" si="30"/>
        <v>0</v>
      </c>
      <c r="AY39" s="859">
        <f t="shared" si="30"/>
        <v>2075259</v>
      </c>
      <c r="AZ39" s="859">
        <f t="shared" si="30"/>
        <v>127106502.25</v>
      </c>
      <c r="BA39" s="859">
        <f t="shared" si="30"/>
        <v>1</v>
      </c>
      <c r="BB39" s="859">
        <f t="shared" si="30"/>
        <v>6</v>
      </c>
      <c r="BC39" s="861">
        <f>SUM(BC10:BD26)</f>
        <v>0</v>
      </c>
      <c r="BE39" s="255">
        <f t="shared" si="11"/>
        <v>7</v>
      </c>
      <c r="BF39" s="255">
        <f>SUM(BF10:BF37)</f>
        <v>-941500</v>
      </c>
      <c r="BI39" s="255">
        <f t="shared" si="12"/>
        <v>9995773.25</v>
      </c>
    </row>
    <row r="40" spans="1:100" s="286" customFormat="1" ht="30" customHeight="1">
      <c r="A40" s="287"/>
      <c r="B40" s="287"/>
      <c r="C40" s="287"/>
      <c r="D40" s="288"/>
      <c r="E40" s="287"/>
      <c r="F40" s="287"/>
      <c r="G40" s="287"/>
      <c r="H40" s="287"/>
      <c r="I40" s="287"/>
      <c r="J40" s="287"/>
      <c r="K40" s="287"/>
      <c r="L40" s="287"/>
      <c r="M40" s="287"/>
      <c r="N40" s="287"/>
      <c r="O40" s="287"/>
      <c r="P40" s="287"/>
      <c r="Q40" s="287"/>
      <c r="R40" s="287"/>
      <c r="S40" s="287"/>
      <c r="T40" s="287"/>
      <c r="U40" s="287"/>
      <c r="V40" s="287"/>
      <c r="W40" s="287"/>
      <c r="X40" s="287"/>
      <c r="Y40" s="287"/>
      <c r="Z40" s="287"/>
      <c r="AA40" s="287"/>
      <c r="AB40" s="287"/>
      <c r="AC40" s="287"/>
      <c r="AD40" s="287"/>
      <c r="AE40" s="287"/>
      <c r="AF40" s="287"/>
      <c r="AG40" s="287"/>
      <c r="AH40" s="287"/>
      <c r="AI40" s="287"/>
      <c r="AJ40" s="287"/>
      <c r="AK40" s="287"/>
      <c r="AL40" s="287"/>
      <c r="AM40" s="287"/>
      <c r="AN40" s="287"/>
      <c r="AO40" s="287"/>
      <c r="AP40" s="287"/>
      <c r="AQ40" s="287"/>
      <c r="AR40" s="287"/>
      <c r="AS40" s="287"/>
      <c r="AT40" s="287"/>
      <c r="AU40" s="287"/>
      <c r="AV40" s="287"/>
      <c r="AW40" s="287"/>
      <c r="AX40" s="287"/>
      <c r="AY40" s="287"/>
      <c r="AZ40" s="287"/>
      <c r="BA40" s="287"/>
      <c r="BB40" s="287"/>
      <c r="BC40" s="287"/>
    </row>
    <row r="41" spans="1:100" ht="30.75" customHeight="1">
      <c r="A41" s="289"/>
      <c r="B41" s="289"/>
      <c r="C41" s="289"/>
      <c r="D41" s="290" t="s">
        <v>178</v>
      </c>
      <c r="E41" s="289"/>
      <c r="F41" s="291"/>
      <c r="G41" s="289"/>
      <c r="H41" s="289"/>
      <c r="I41" s="289"/>
      <c r="J41" s="289"/>
      <c r="K41" s="1345" t="s">
        <v>179</v>
      </c>
      <c r="L41" s="1345"/>
      <c r="M41" s="1345"/>
      <c r="N41" s="289"/>
      <c r="O41" s="289"/>
      <c r="P41" s="289"/>
      <c r="Q41" s="1345"/>
      <c r="R41" s="1345"/>
      <c r="S41" s="1345"/>
      <c r="T41" s="1345"/>
      <c r="U41" s="1345"/>
      <c r="V41" s="1345"/>
      <c r="W41" s="1345"/>
      <c r="X41" s="1345"/>
      <c r="Y41" s="292"/>
      <c r="Z41" s="808"/>
      <c r="AA41" s="808"/>
      <c r="AB41" s="808"/>
      <c r="AC41" s="808"/>
      <c r="AD41" s="292"/>
      <c r="AE41" s="292"/>
      <c r="AF41" s="1345" t="s">
        <v>180</v>
      </c>
      <c r="AG41" s="1345"/>
      <c r="AH41" s="1345"/>
      <c r="AI41" s="1345"/>
      <c r="AJ41" s="1345"/>
      <c r="AK41" s="1345"/>
      <c r="AL41" s="1345"/>
      <c r="AN41" s="292"/>
      <c r="AO41" s="292"/>
      <c r="AP41" s="1345" t="s">
        <v>113</v>
      </c>
      <c r="AQ41" s="1345"/>
      <c r="AR41" s="1345"/>
      <c r="AS41" s="292"/>
      <c r="AT41" s="292"/>
      <c r="AU41" s="292"/>
      <c r="AV41" s="292"/>
      <c r="AW41" s="292"/>
      <c r="AX41" s="292"/>
      <c r="AY41" s="292"/>
      <c r="AZ41" s="292"/>
      <c r="BA41" s="808"/>
      <c r="BB41" s="808"/>
    </row>
    <row r="42" spans="1:100">
      <c r="A42" s="289"/>
      <c r="B42" s="289"/>
      <c r="C42" s="289"/>
      <c r="D42" s="290"/>
      <c r="E42" s="289"/>
      <c r="F42" s="291"/>
      <c r="G42" s="289"/>
      <c r="H42" s="289"/>
      <c r="I42" s="289"/>
      <c r="J42" s="289"/>
      <c r="K42" s="807"/>
      <c r="L42" s="807"/>
      <c r="M42" s="807"/>
      <c r="N42" s="289"/>
      <c r="O42" s="289"/>
      <c r="P42" s="289"/>
      <c r="Q42" s="807">
        <f>G39+I39+K39+M39+O39+Q39</f>
        <v>119974000</v>
      </c>
      <c r="R42" s="807"/>
      <c r="S42" s="807"/>
      <c r="T42" s="807"/>
      <c r="U42" s="807"/>
      <c r="V42" s="807"/>
      <c r="W42" s="807"/>
      <c r="X42" s="807"/>
      <c r="Y42" s="292"/>
      <c r="Z42" s="808"/>
      <c r="AA42" s="808"/>
      <c r="AB42" s="808"/>
      <c r="AC42" s="808"/>
      <c r="AD42" s="292"/>
      <c r="AE42" s="292"/>
      <c r="AG42" s="807"/>
      <c r="AH42" s="807"/>
      <c r="AI42" s="807"/>
      <c r="AJ42" s="807"/>
      <c r="AK42" s="807"/>
      <c r="AL42" s="807"/>
      <c r="AP42" s="807"/>
      <c r="AQ42" s="807"/>
      <c r="AR42" s="807"/>
      <c r="AS42" s="292"/>
      <c r="AT42" s="292"/>
      <c r="AU42" s="292"/>
      <c r="AV42" s="292"/>
      <c r="AW42" s="292"/>
      <c r="AX42" s="292"/>
      <c r="AY42" s="292"/>
      <c r="AZ42" s="292"/>
      <c r="BA42" s="808"/>
      <c r="BB42" s="808"/>
    </row>
    <row r="43" spans="1:100">
      <c r="A43" s="289"/>
      <c r="B43" s="289"/>
      <c r="C43" s="289"/>
      <c r="D43" s="290"/>
      <c r="E43" s="289"/>
      <c r="F43" s="291"/>
      <c r="G43" s="289"/>
      <c r="H43" s="289"/>
      <c r="I43" s="289"/>
      <c r="J43" s="289"/>
      <c r="K43" s="807"/>
      <c r="L43" s="807"/>
      <c r="M43" s="807"/>
      <c r="N43" s="289"/>
      <c r="O43" s="289"/>
      <c r="P43" s="289"/>
      <c r="Q43" s="807"/>
      <c r="R43" s="807"/>
      <c r="S43" s="807"/>
      <c r="T43" s="807"/>
      <c r="U43" s="807"/>
      <c r="V43" s="807"/>
      <c r="W43" s="807"/>
      <c r="X43" s="807"/>
      <c r="Y43" s="292"/>
      <c r="Z43" s="808"/>
      <c r="AA43" s="808"/>
      <c r="AB43" s="808"/>
      <c r="AC43" s="808"/>
      <c r="AD43" s="292"/>
      <c r="AE43" s="292"/>
      <c r="AG43" s="807"/>
      <c r="AH43" s="807"/>
      <c r="AI43" s="807"/>
      <c r="AJ43" s="807"/>
      <c r="AK43" s="807"/>
      <c r="AL43" s="807"/>
      <c r="AP43" s="807"/>
      <c r="AQ43" s="807"/>
      <c r="AR43" s="807"/>
      <c r="AS43" s="292"/>
      <c r="AT43" s="292"/>
      <c r="AU43" s="292"/>
      <c r="AV43" s="292"/>
      <c r="AW43" s="292"/>
      <c r="AX43" s="292"/>
      <c r="AY43" s="292"/>
      <c r="AZ43" s="292"/>
      <c r="BA43" s="808"/>
      <c r="BB43" s="808"/>
    </row>
    <row r="44" spans="1:100" ht="15" customHeight="1">
      <c r="A44" s="223"/>
      <c r="B44" s="223"/>
      <c r="C44" s="807"/>
      <c r="D44" s="293"/>
      <c r="E44" s="807"/>
      <c r="F44" s="224"/>
      <c r="G44" s="807"/>
      <c r="K44" s="807"/>
      <c r="L44" s="807"/>
      <c r="M44" s="807"/>
      <c r="O44" s="807"/>
      <c r="P44" s="807"/>
      <c r="Q44" s="807"/>
      <c r="R44" s="807"/>
      <c r="S44" s="807"/>
      <c r="T44" s="807"/>
      <c r="U44" s="807"/>
      <c r="V44" s="807"/>
      <c r="AG44" s="807"/>
      <c r="AH44" s="807"/>
      <c r="AI44" s="807"/>
      <c r="AJ44" s="807"/>
      <c r="AK44" s="807"/>
      <c r="AL44" s="816"/>
      <c r="AZ44" s="806"/>
    </row>
    <row r="45" spans="1:100" ht="15" customHeight="1">
      <c r="A45" s="816"/>
      <c r="B45" s="816"/>
      <c r="D45" s="296"/>
      <c r="K45" s="1346"/>
      <c r="L45" s="1346"/>
      <c r="M45" s="1346"/>
      <c r="O45" s="298"/>
      <c r="P45" s="298"/>
      <c r="Q45" s="298"/>
      <c r="R45" s="298"/>
      <c r="S45" s="298"/>
      <c r="T45" s="298"/>
      <c r="U45" s="298"/>
      <c r="V45" s="298"/>
      <c r="W45" s="298"/>
      <c r="X45" s="298"/>
      <c r="AD45" s="298"/>
      <c r="AE45" s="298"/>
      <c r="AF45" s="1346"/>
      <c r="AG45" s="1346"/>
      <c r="AH45" s="1346"/>
      <c r="AI45" s="1346"/>
      <c r="AJ45" s="1346"/>
      <c r="AK45" s="1346"/>
      <c r="AL45" s="1346"/>
      <c r="AN45" s="298"/>
      <c r="AO45" s="298"/>
      <c r="AP45" s="1346"/>
      <c r="AQ45" s="1346"/>
      <c r="AR45" s="1346"/>
      <c r="AS45" s="298"/>
      <c r="AT45" s="298"/>
      <c r="AU45" s="298"/>
      <c r="AV45" s="298"/>
      <c r="AW45" s="298"/>
      <c r="AX45" s="298"/>
      <c r="AY45" s="298"/>
      <c r="AZ45" s="298"/>
    </row>
    <row r="46" spans="1:100" ht="17.25" customHeight="1">
      <c r="D46" s="296" t="s">
        <v>36</v>
      </c>
      <c r="K46" s="1346" t="s">
        <v>182</v>
      </c>
      <c r="L46" s="1346"/>
      <c r="M46" s="1346"/>
      <c r="O46" s="299"/>
      <c r="P46" s="299"/>
      <c r="Q46" s="1346"/>
      <c r="R46" s="1346"/>
      <c r="S46" s="1346"/>
      <c r="T46" s="1346"/>
      <c r="U46" s="1346"/>
      <c r="V46" s="1346"/>
      <c r="W46" s="1346"/>
      <c r="X46" s="1346"/>
      <c r="AD46" s="299"/>
      <c r="AE46" s="299"/>
      <c r="AF46" s="1346" t="s">
        <v>181</v>
      </c>
      <c r="AG46" s="1346"/>
      <c r="AH46" s="1346"/>
      <c r="AI46" s="1346"/>
      <c r="AJ46" s="1346"/>
      <c r="AK46" s="1346"/>
      <c r="AL46" s="1346"/>
      <c r="AN46" s="299"/>
      <c r="AO46" s="299"/>
      <c r="AP46" s="1346" t="s">
        <v>319</v>
      </c>
      <c r="AQ46" s="1346"/>
      <c r="AR46" s="1346"/>
      <c r="AS46" s="299"/>
      <c r="AT46" s="299"/>
      <c r="AU46" s="299"/>
      <c r="AV46" s="299"/>
      <c r="AW46" s="299"/>
      <c r="AX46" s="299"/>
      <c r="AY46" s="299"/>
      <c r="AZ46" s="299"/>
    </row>
    <row r="47" spans="1:100" ht="15" customHeight="1">
      <c r="D47" s="300" t="s">
        <v>184</v>
      </c>
      <c r="K47" s="1344" t="s">
        <v>185</v>
      </c>
      <c r="L47" s="1344"/>
      <c r="M47" s="1344"/>
      <c r="Q47" s="1344"/>
      <c r="R47" s="1344"/>
      <c r="S47" s="1344"/>
      <c r="T47" s="1344"/>
      <c r="U47" s="1344"/>
      <c r="V47" s="1344"/>
      <c r="W47" s="1344"/>
      <c r="X47" s="1344"/>
      <c r="AF47" s="1344" t="s">
        <v>183</v>
      </c>
      <c r="AG47" s="1344"/>
      <c r="AH47" s="1344"/>
      <c r="AI47" s="1344"/>
      <c r="AJ47" s="1344"/>
      <c r="AK47" s="1344"/>
      <c r="AL47" s="1344"/>
      <c r="AP47" s="1344" t="s">
        <v>320</v>
      </c>
      <c r="AQ47" s="1344"/>
      <c r="AR47" s="1344"/>
    </row>
    <row r="49" spans="1:55">
      <c r="AN49" s="302"/>
    </row>
    <row r="50" spans="1:55">
      <c r="I50" s="302"/>
      <c r="K50" s="302"/>
      <c r="AN50" s="303"/>
    </row>
    <row r="51" spans="1:55">
      <c r="H51" s="304"/>
      <c r="I51" s="302"/>
      <c r="K51" s="302"/>
      <c r="AN51" s="303"/>
    </row>
    <row r="52" spans="1:55">
      <c r="AA52" s="302"/>
      <c r="AD52" s="302"/>
      <c r="AF52" s="302"/>
    </row>
    <row r="56" spans="1:55">
      <c r="A56" s="1349"/>
      <c r="B56" s="1349"/>
      <c r="C56" s="1349"/>
      <c r="D56" s="1349"/>
      <c r="E56" s="1349"/>
      <c r="F56" s="1349"/>
      <c r="G56" s="1349"/>
      <c r="H56" s="1349"/>
      <c r="I56" s="1349"/>
      <c r="J56" s="1349"/>
      <c r="K56" s="1349"/>
      <c r="L56" s="1349"/>
      <c r="M56" s="1349"/>
      <c r="N56" s="1349"/>
      <c r="O56" s="1349"/>
      <c r="P56" s="1349"/>
      <c r="Q56" s="1349"/>
      <c r="R56" s="1349"/>
      <c r="S56" s="1349"/>
      <c r="T56" s="1349"/>
      <c r="U56" s="1349"/>
      <c r="V56" s="1349"/>
      <c r="W56" s="1349"/>
      <c r="X56" s="1349"/>
      <c r="Y56" s="1349"/>
      <c r="Z56" s="1349"/>
      <c r="AA56" s="1349"/>
      <c r="AB56" s="1349"/>
      <c r="AC56" s="1349"/>
      <c r="AD56" s="1349"/>
      <c r="AE56" s="1349"/>
      <c r="AF56" s="1349"/>
      <c r="AG56" s="1349"/>
      <c r="AH56" s="1349"/>
      <c r="AI56" s="1349"/>
      <c r="AJ56" s="1349"/>
      <c r="AK56" s="1349"/>
      <c r="AL56" s="1349"/>
      <c r="AM56" s="1349"/>
      <c r="AN56" s="1349"/>
      <c r="AO56" s="1349"/>
      <c r="AP56" s="1349"/>
      <c r="AQ56" s="1349"/>
      <c r="AR56" s="1349"/>
      <c r="AS56" s="1349"/>
      <c r="AT56" s="1349"/>
      <c r="AU56" s="1349"/>
      <c r="AV56" s="1349"/>
      <c r="AW56" s="1349"/>
      <c r="AX56" s="1349"/>
      <c r="AY56" s="1349"/>
      <c r="AZ56" s="1349"/>
      <c r="BA56" s="1349"/>
      <c r="BB56" s="1349"/>
      <c r="BC56" s="1349"/>
    </row>
    <row r="58" spans="1:55">
      <c r="D58" s="806"/>
      <c r="F58" s="806"/>
      <c r="W58" s="806"/>
      <c r="AZ58" s="806"/>
      <c r="BA58" s="806"/>
      <c r="BB58" s="806"/>
    </row>
    <row r="59" spans="1:55">
      <c r="D59" s="806"/>
      <c r="F59" s="806"/>
      <c r="W59" s="806"/>
      <c r="AZ59" s="806"/>
      <c r="BA59" s="806"/>
      <c r="BB59" s="806"/>
    </row>
    <row r="60" spans="1:55">
      <c r="D60" s="806"/>
      <c r="F60" s="806"/>
      <c r="W60" s="806"/>
      <c r="AZ60" s="806"/>
      <c r="BA60" s="806"/>
      <c r="BB60" s="806"/>
    </row>
    <row r="61" spans="1:55">
      <c r="D61" s="806"/>
      <c r="F61" s="806"/>
      <c r="W61" s="806"/>
      <c r="AZ61" s="806"/>
      <c r="BA61" s="806"/>
      <c r="BB61" s="806"/>
    </row>
    <row r="62" spans="1:55">
      <c r="D62" s="806"/>
      <c r="F62" s="806"/>
      <c r="W62" s="806"/>
      <c r="AZ62" s="806"/>
      <c r="BA62" s="806"/>
      <c r="BB62" s="806"/>
    </row>
    <row r="63" spans="1:55">
      <c r="D63" s="806"/>
      <c r="F63" s="806"/>
      <c r="W63" s="806"/>
      <c r="AZ63" s="806"/>
      <c r="BA63" s="806"/>
      <c r="BB63" s="806"/>
    </row>
    <row r="64" spans="1:55">
      <c r="D64" s="806"/>
      <c r="F64" s="806"/>
      <c r="W64" s="806"/>
      <c r="AZ64" s="806"/>
      <c r="BA64" s="806"/>
      <c r="BB64" s="806"/>
    </row>
    <row r="65" spans="4:54">
      <c r="D65" s="806"/>
      <c r="F65" s="806"/>
      <c r="W65" s="806"/>
      <c r="AZ65" s="806"/>
      <c r="BA65" s="806"/>
      <c r="BB65" s="806"/>
    </row>
    <row r="66" spans="4:54">
      <c r="D66" s="806"/>
      <c r="F66" s="806"/>
      <c r="W66" s="806"/>
      <c r="AZ66" s="806"/>
      <c r="BA66" s="806"/>
      <c r="BB66" s="806"/>
    </row>
    <row r="67" spans="4:54">
      <c r="D67" s="806"/>
      <c r="F67" s="806"/>
      <c r="W67" s="806"/>
      <c r="AZ67" s="806"/>
      <c r="BA67" s="806"/>
      <c r="BB67" s="806"/>
    </row>
    <row r="68" spans="4:54">
      <c r="D68" s="806"/>
      <c r="F68" s="806"/>
      <c r="W68" s="806"/>
      <c r="AZ68" s="806"/>
      <c r="BA68" s="806"/>
      <c r="BB68" s="806"/>
    </row>
    <row r="69" spans="4:54">
      <c r="D69" s="806"/>
      <c r="F69" s="806"/>
      <c r="W69" s="806"/>
      <c r="AZ69" s="806"/>
      <c r="BA69" s="806"/>
      <c r="BB69" s="806"/>
    </row>
    <row r="70" spans="4:54">
      <c r="D70" s="806"/>
      <c r="F70" s="806"/>
      <c r="W70" s="806"/>
      <c r="AZ70" s="806"/>
      <c r="BA70" s="806"/>
      <c r="BB70" s="806"/>
    </row>
    <row r="71" spans="4:54">
      <c r="D71" s="806"/>
      <c r="F71" s="806"/>
      <c r="W71" s="806"/>
      <c r="AZ71" s="806"/>
      <c r="BA71" s="806"/>
      <c r="BB71" s="806"/>
    </row>
    <row r="72" spans="4:54">
      <c r="D72" s="806"/>
      <c r="F72" s="806"/>
      <c r="W72" s="806"/>
      <c r="AZ72" s="806"/>
      <c r="BA72" s="806"/>
      <c r="BB72" s="806"/>
    </row>
    <row r="73" spans="4:54">
      <c r="D73" s="806"/>
      <c r="F73" s="806"/>
      <c r="W73" s="806"/>
      <c r="AZ73" s="806"/>
      <c r="BA73" s="806"/>
      <c r="BB73" s="806"/>
    </row>
    <row r="74" spans="4:54">
      <c r="D74" s="806"/>
      <c r="F74" s="806"/>
      <c r="W74" s="806"/>
      <c r="AZ74" s="806"/>
      <c r="BA74" s="806"/>
      <c r="BB74" s="806"/>
    </row>
    <row r="75" spans="4:54">
      <c r="D75" s="806"/>
      <c r="F75" s="806"/>
      <c r="W75" s="806"/>
      <c r="AZ75" s="806"/>
      <c r="BA75" s="806"/>
      <c r="BB75" s="806"/>
    </row>
    <row r="76" spans="4:54">
      <c r="D76" s="806"/>
      <c r="F76" s="806"/>
      <c r="W76" s="806"/>
      <c r="AZ76" s="806"/>
      <c r="BA76" s="806"/>
      <c r="BB76" s="806"/>
    </row>
    <row r="77" spans="4:54">
      <c r="D77" s="806"/>
      <c r="F77" s="806"/>
      <c r="W77" s="806"/>
      <c r="AZ77" s="806"/>
      <c r="BA77" s="806"/>
      <c r="BB77" s="806"/>
    </row>
    <row r="78" spans="4:54">
      <c r="D78" s="806"/>
      <c r="F78" s="806"/>
      <c r="W78" s="806"/>
      <c r="AZ78" s="806"/>
      <c r="BA78" s="806"/>
      <c r="BB78" s="806"/>
    </row>
    <row r="79" spans="4:54">
      <c r="D79" s="806"/>
      <c r="F79" s="806"/>
      <c r="W79" s="806"/>
      <c r="AZ79" s="806"/>
      <c r="BA79" s="806"/>
      <c r="BB79" s="806"/>
    </row>
    <row r="80" spans="4:54">
      <c r="D80" s="806"/>
      <c r="F80" s="806"/>
      <c r="W80" s="806"/>
      <c r="AZ80" s="806"/>
      <c r="BA80" s="806"/>
      <c r="BB80" s="806"/>
    </row>
    <row r="81" spans="4:54">
      <c r="D81" s="806"/>
      <c r="F81" s="806"/>
      <c r="W81" s="806"/>
      <c r="AZ81" s="806"/>
      <c r="BA81" s="806"/>
      <c r="BB81" s="806"/>
    </row>
    <row r="82" spans="4:54">
      <c r="D82" s="806"/>
      <c r="F82" s="806"/>
      <c r="W82" s="806"/>
      <c r="AZ82" s="806"/>
      <c r="BA82" s="806"/>
      <c r="BB82" s="806"/>
    </row>
    <row r="83" spans="4:54">
      <c r="D83" s="806"/>
      <c r="F83" s="806"/>
      <c r="W83" s="806"/>
      <c r="AZ83" s="806"/>
      <c r="BA83" s="806"/>
      <c r="BB83" s="806"/>
    </row>
    <row r="84" spans="4:54">
      <c r="D84" s="806"/>
      <c r="F84" s="806"/>
      <c r="W84" s="806"/>
      <c r="AZ84" s="806"/>
      <c r="BA84" s="806"/>
      <c r="BB84" s="806"/>
    </row>
    <row r="85" spans="4:54">
      <c r="D85" s="806"/>
      <c r="F85" s="806"/>
      <c r="W85" s="806"/>
      <c r="AZ85" s="806"/>
      <c r="BA85" s="806"/>
      <c r="BB85" s="806"/>
    </row>
    <row r="86" spans="4:54">
      <c r="D86" s="806"/>
      <c r="F86" s="806"/>
      <c r="W86" s="806"/>
      <c r="AZ86" s="806"/>
      <c r="BA86" s="806"/>
      <c r="BB86" s="806"/>
    </row>
    <row r="87" spans="4:54">
      <c r="D87" s="806"/>
      <c r="F87" s="806"/>
      <c r="W87" s="806"/>
      <c r="AZ87" s="806"/>
      <c r="BA87" s="806"/>
      <c r="BB87" s="806"/>
    </row>
    <row r="88" spans="4:54">
      <c r="D88" s="806"/>
      <c r="F88" s="806"/>
      <c r="W88" s="806"/>
      <c r="AZ88" s="806"/>
      <c r="BA88" s="806"/>
      <c r="BB88" s="806"/>
    </row>
    <row r="89" spans="4:54">
      <c r="D89" s="806"/>
      <c r="F89" s="806"/>
      <c r="W89" s="806"/>
      <c r="AZ89" s="806"/>
      <c r="BA89" s="806"/>
      <c r="BB89" s="806"/>
    </row>
    <row r="90" spans="4:54">
      <c r="D90" s="806"/>
      <c r="F90" s="806"/>
      <c r="W90" s="806"/>
      <c r="AZ90" s="806"/>
      <c r="BA90" s="806"/>
      <c r="BB90" s="806"/>
    </row>
    <row r="91" spans="4:54">
      <c r="D91" s="806"/>
      <c r="F91" s="806"/>
      <c r="W91" s="806"/>
      <c r="AZ91" s="806"/>
      <c r="BA91" s="806"/>
      <c r="BB91" s="806"/>
    </row>
    <row r="92" spans="4:54">
      <c r="D92" s="806"/>
      <c r="F92" s="806"/>
      <c r="W92" s="806"/>
      <c r="AZ92" s="806"/>
      <c r="BA92" s="806"/>
      <c r="BB92" s="806"/>
    </row>
    <row r="93" spans="4:54">
      <c r="D93" s="806"/>
      <c r="F93" s="806"/>
      <c r="W93" s="806"/>
      <c r="AZ93" s="806"/>
      <c r="BA93" s="806"/>
      <c r="BB93" s="806"/>
    </row>
    <row r="94" spans="4:54">
      <c r="D94" s="806"/>
      <c r="F94" s="806"/>
      <c r="W94" s="806"/>
      <c r="AZ94" s="806"/>
      <c r="BA94" s="806"/>
      <c r="BB94" s="806"/>
    </row>
    <row r="95" spans="4:54">
      <c r="D95" s="806"/>
      <c r="F95" s="806"/>
      <c r="W95" s="806"/>
      <c r="AZ95" s="806"/>
      <c r="BA95" s="806"/>
      <c r="BB95" s="806"/>
    </row>
    <row r="96" spans="4:54">
      <c r="D96" s="806"/>
      <c r="F96" s="806"/>
      <c r="W96" s="806"/>
      <c r="AZ96" s="806"/>
      <c r="BA96" s="806"/>
      <c r="BB96" s="806"/>
    </row>
    <row r="97" spans="4:54">
      <c r="D97" s="806"/>
      <c r="F97" s="806"/>
      <c r="W97" s="806"/>
      <c r="AZ97" s="806"/>
      <c r="BA97" s="806"/>
      <c r="BB97" s="806"/>
    </row>
    <row r="98" spans="4:54">
      <c r="D98" s="806"/>
      <c r="F98" s="806"/>
      <c r="W98" s="806"/>
      <c r="AZ98" s="806"/>
      <c r="BA98" s="806"/>
      <c r="BB98" s="806"/>
    </row>
    <row r="99" spans="4:54">
      <c r="D99" s="806"/>
      <c r="F99" s="806"/>
      <c r="W99" s="806"/>
      <c r="AZ99" s="806"/>
      <c r="BA99" s="806"/>
      <c r="BB99" s="806"/>
    </row>
    <row r="100" spans="4:54">
      <c r="D100" s="806"/>
      <c r="F100" s="806"/>
      <c r="W100" s="806"/>
      <c r="AZ100" s="806"/>
      <c r="BA100" s="806"/>
      <c r="BB100" s="806"/>
    </row>
    <row r="101" spans="4:54">
      <c r="D101" s="806"/>
      <c r="F101" s="806"/>
      <c r="W101" s="806"/>
      <c r="AZ101" s="806"/>
      <c r="BA101" s="806"/>
      <c r="BB101" s="806"/>
    </row>
    <row r="102" spans="4:54">
      <c r="D102" s="806"/>
      <c r="F102" s="806"/>
      <c r="W102" s="806"/>
      <c r="AZ102" s="806"/>
      <c r="BA102" s="806"/>
      <c r="BB102" s="806"/>
    </row>
    <row r="103" spans="4:54">
      <c r="D103" s="806"/>
      <c r="F103" s="806"/>
      <c r="W103" s="806"/>
      <c r="AZ103" s="806"/>
      <c r="BA103" s="806"/>
      <c r="BB103" s="806"/>
    </row>
    <row r="104" spans="4:54">
      <c r="D104" s="806"/>
      <c r="F104" s="806"/>
      <c r="W104" s="806"/>
      <c r="AZ104" s="806"/>
      <c r="BA104" s="806"/>
      <c r="BB104" s="806"/>
    </row>
    <row r="105" spans="4:54">
      <c r="D105" s="806"/>
      <c r="F105" s="806"/>
      <c r="W105" s="806"/>
      <c r="AZ105" s="806"/>
      <c r="BA105" s="806"/>
      <c r="BB105" s="806"/>
    </row>
    <row r="106" spans="4:54">
      <c r="D106" s="806"/>
      <c r="F106" s="806"/>
      <c r="W106" s="806"/>
      <c r="AZ106" s="806"/>
      <c r="BA106" s="806"/>
      <c r="BB106" s="806"/>
    </row>
    <row r="107" spans="4:54">
      <c r="D107" s="806"/>
      <c r="F107" s="806"/>
      <c r="W107" s="806"/>
      <c r="AZ107" s="806"/>
      <c r="BA107" s="806"/>
      <c r="BB107" s="806"/>
    </row>
    <row r="108" spans="4:54">
      <c r="D108" s="806"/>
      <c r="F108" s="806"/>
      <c r="W108" s="806"/>
      <c r="AZ108" s="806"/>
      <c r="BA108" s="806"/>
      <c r="BB108" s="806"/>
    </row>
    <row r="109" spans="4:54">
      <c r="D109" s="806"/>
      <c r="F109" s="806"/>
      <c r="W109" s="806"/>
      <c r="AZ109" s="806"/>
      <c r="BA109" s="806"/>
      <c r="BB109" s="806"/>
    </row>
    <row r="110" spans="4:54">
      <c r="D110" s="806"/>
      <c r="F110" s="806"/>
      <c r="W110" s="806"/>
      <c r="AZ110" s="806"/>
      <c r="BA110" s="806"/>
      <c r="BB110" s="806"/>
    </row>
    <row r="111" spans="4:54">
      <c r="D111" s="806"/>
      <c r="F111" s="806"/>
      <c r="W111" s="806"/>
      <c r="AZ111" s="806"/>
      <c r="BA111" s="806"/>
      <c r="BB111" s="806"/>
    </row>
    <row r="112" spans="4:54">
      <c r="D112" s="806"/>
      <c r="F112" s="806"/>
      <c r="W112" s="806"/>
      <c r="AZ112" s="806"/>
      <c r="BA112" s="806"/>
      <c r="BB112" s="806"/>
    </row>
    <row r="113" spans="4:54">
      <c r="D113" s="806"/>
      <c r="F113" s="806"/>
      <c r="W113" s="806"/>
      <c r="AZ113" s="806"/>
      <c r="BA113" s="806"/>
      <c r="BB113" s="806"/>
    </row>
    <row r="114" spans="4:54">
      <c r="D114" s="806"/>
      <c r="F114" s="806"/>
      <c r="W114" s="806"/>
      <c r="AZ114" s="806"/>
      <c r="BA114" s="806"/>
      <c r="BB114" s="806"/>
    </row>
    <row r="115" spans="4:54">
      <c r="D115" s="806"/>
      <c r="F115" s="806"/>
      <c r="W115" s="806"/>
      <c r="AZ115" s="806"/>
      <c r="BA115" s="806"/>
      <c r="BB115" s="806"/>
    </row>
    <row r="116" spans="4:54">
      <c r="D116" s="806"/>
      <c r="F116" s="806"/>
      <c r="W116" s="806"/>
      <c r="AZ116" s="806"/>
      <c r="BA116" s="806"/>
      <c r="BB116" s="806"/>
    </row>
    <row r="117" spans="4:54">
      <c r="D117" s="806"/>
      <c r="F117" s="806"/>
      <c r="W117" s="806"/>
      <c r="AZ117" s="806"/>
      <c r="BA117" s="806"/>
      <c r="BB117" s="806"/>
    </row>
    <row r="118" spans="4:54">
      <c r="D118" s="806"/>
      <c r="F118" s="806"/>
      <c r="W118" s="806"/>
      <c r="AZ118" s="806"/>
      <c r="BA118" s="806"/>
      <c r="BB118" s="806"/>
    </row>
    <row r="119" spans="4:54">
      <c r="D119" s="806"/>
      <c r="F119" s="806"/>
      <c r="W119" s="806"/>
      <c r="AZ119" s="806"/>
      <c r="BA119" s="806"/>
      <c r="BB119" s="806"/>
    </row>
    <row r="120" spans="4:54">
      <c r="D120" s="806"/>
      <c r="F120" s="806"/>
      <c r="W120" s="806"/>
      <c r="AZ120" s="806"/>
      <c r="BA120" s="806"/>
      <c r="BB120" s="806"/>
    </row>
    <row r="121" spans="4:54">
      <c r="D121" s="806"/>
      <c r="F121" s="806"/>
      <c r="W121" s="806"/>
      <c r="AZ121" s="806"/>
      <c r="BA121" s="806"/>
      <c r="BB121" s="806"/>
    </row>
    <row r="122" spans="4:54">
      <c r="D122" s="806"/>
      <c r="F122" s="806"/>
      <c r="W122" s="806"/>
      <c r="AZ122" s="806"/>
      <c r="BA122" s="806"/>
      <c r="BB122" s="806"/>
    </row>
    <row r="123" spans="4:54">
      <c r="D123" s="806"/>
      <c r="F123" s="806"/>
      <c r="W123" s="806"/>
      <c r="AZ123" s="806"/>
      <c r="BA123" s="806"/>
      <c r="BB123" s="806"/>
    </row>
    <row r="124" spans="4:54">
      <c r="D124" s="806"/>
      <c r="F124" s="806"/>
      <c r="W124" s="806"/>
      <c r="AZ124" s="806"/>
      <c r="BA124" s="806"/>
      <c r="BB124" s="806"/>
    </row>
    <row r="125" spans="4:54">
      <c r="D125" s="806"/>
      <c r="F125" s="806"/>
      <c r="W125" s="806"/>
      <c r="AZ125" s="806"/>
      <c r="BA125" s="806"/>
      <c r="BB125" s="806"/>
    </row>
    <row r="126" spans="4:54">
      <c r="D126" s="806"/>
      <c r="F126" s="806"/>
      <c r="W126" s="806"/>
      <c r="AZ126" s="806"/>
      <c r="BA126" s="806"/>
      <c r="BB126" s="806"/>
    </row>
    <row r="127" spans="4:54">
      <c r="D127" s="806"/>
      <c r="F127" s="806"/>
      <c r="W127" s="806"/>
      <c r="AZ127" s="806"/>
      <c r="BA127" s="806"/>
      <c r="BB127" s="806"/>
    </row>
    <row r="128" spans="4:54">
      <c r="D128" s="806"/>
      <c r="F128" s="806"/>
      <c r="W128" s="806"/>
      <c r="AZ128" s="806"/>
      <c r="BA128" s="806"/>
      <c r="BB128" s="806"/>
    </row>
    <row r="129" spans="4:54">
      <c r="D129" s="806"/>
      <c r="F129" s="806"/>
      <c r="W129" s="806"/>
      <c r="AZ129" s="806"/>
      <c r="BA129" s="806"/>
      <c r="BB129" s="806"/>
    </row>
    <row r="130" spans="4:54">
      <c r="D130" s="806"/>
      <c r="F130" s="806"/>
      <c r="W130" s="806"/>
      <c r="AZ130" s="806"/>
      <c r="BA130" s="806"/>
      <c r="BB130" s="806"/>
    </row>
    <row r="131" spans="4:54">
      <c r="D131" s="806"/>
      <c r="F131" s="806"/>
      <c r="W131" s="806"/>
      <c r="AZ131" s="806"/>
      <c r="BA131" s="806"/>
      <c r="BB131" s="806"/>
    </row>
    <row r="132" spans="4:54">
      <c r="D132" s="806"/>
      <c r="F132" s="806"/>
      <c r="W132" s="806"/>
      <c r="AZ132" s="806"/>
      <c r="BA132" s="806"/>
      <c r="BB132" s="806"/>
    </row>
    <row r="133" spans="4:54">
      <c r="D133" s="806"/>
      <c r="F133" s="806"/>
      <c r="W133" s="806"/>
      <c r="AZ133" s="806"/>
      <c r="BA133" s="806"/>
      <c r="BB133" s="806"/>
    </row>
    <row r="134" spans="4:54">
      <c r="D134" s="806"/>
      <c r="F134" s="806"/>
      <c r="W134" s="806"/>
      <c r="AZ134" s="806"/>
      <c r="BA134" s="806"/>
      <c r="BB134" s="806"/>
    </row>
    <row r="135" spans="4:54">
      <c r="D135" s="806"/>
      <c r="F135" s="806"/>
      <c r="W135" s="806"/>
      <c r="AZ135" s="806"/>
      <c r="BA135" s="806"/>
      <c r="BB135" s="806"/>
    </row>
    <row r="136" spans="4:54">
      <c r="D136" s="806"/>
      <c r="F136" s="806"/>
      <c r="W136" s="806"/>
      <c r="AZ136" s="806"/>
      <c r="BA136" s="806"/>
      <c r="BB136" s="806"/>
    </row>
    <row r="137" spans="4:54">
      <c r="D137" s="806"/>
      <c r="F137" s="806"/>
      <c r="W137" s="806"/>
      <c r="AZ137" s="806"/>
      <c r="BA137" s="806"/>
      <c r="BB137" s="806"/>
    </row>
    <row r="138" spans="4:54">
      <c r="D138" s="806"/>
      <c r="F138" s="806"/>
      <c r="W138" s="806"/>
      <c r="AZ138" s="806"/>
      <c r="BA138" s="806"/>
      <c r="BB138" s="806"/>
    </row>
    <row r="139" spans="4:54">
      <c r="D139" s="806"/>
      <c r="F139" s="806"/>
      <c r="W139" s="806"/>
      <c r="AZ139" s="806"/>
      <c r="BA139" s="806"/>
      <c r="BB139" s="806"/>
    </row>
    <row r="140" spans="4:54">
      <c r="D140" s="806"/>
      <c r="F140" s="806"/>
      <c r="W140" s="806"/>
      <c r="AZ140" s="806"/>
      <c r="BA140" s="806"/>
      <c r="BB140" s="806"/>
    </row>
    <row r="141" spans="4:54">
      <c r="D141" s="806"/>
      <c r="F141" s="806"/>
      <c r="W141" s="806"/>
      <c r="AZ141" s="806"/>
      <c r="BA141" s="806"/>
      <c r="BB141" s="806"/>
    </row>
    <row r="142" spans="4:54">
      <c r="D142" s="806"/>
      <c r="F142" s="806"/>
      <c r="W142" s="806"/>
      <c r="AZ142" s="806"/>
      <c r="BA142" s="806"/>
      <c r="BB142" s="806"/>
    </row>
    <row r="143" spans="4:54">
      <c r="D143" s="806"/>
      <c r="F143" s="806"/>
      <c r="W143" s="806"/>
      <c r="AZ143" s="806"/>
      <c r="BA143" s="806"/>
      <c r="BB143" s="806"/>
    </row>
    <row r="144" spans="4:54">
      <c r="D144" s="806"/>
      <c r="F144" s="806"/>
      <c r="W144" s="806"/>
      <c r="AZ144" s="806"/>
      <c r="BA144" s="806"/>
      <c r="BB144" s="806"/>
    </row>
    <row r="145" spans="4:54">
      <c r="D145" s="806"/>
      <c r="F145" s="806"/>
      <c r="W145" s="806"/>
      <c r="AZ145" s="806"/>
      <c r="BA145" s="806"/>
      <c r="BB145" s="806"/>
    </row>
    <row r="146" spans="4:54">
      <c r="D146" s="806"/>
      <c r="F146" s="806"/>
      <c r="W146" s="806"/>
      <c r="AZ146" s="806"/>
      <c r="BA146" s="806"/>
      <c r="BB146" s="806"/>
    </row>
    <row r="147" spans="4:54">
      <c r="D147" s="806"/>
      <c r="F147" s="806"/>
      <c r="W147" s="806"/>
      <c r="AZ147" s="806"/>
      <c r="BA147" s="806"/>
      <c r="BB147" s="806"/>
    </row>
    <row r="148" spans="4:54">
      <c r="D148" s="806"/>
      <c r="F148" s="806"/>
      <c r="W148" s="806"/>
      <c r="AZ148" s="806"/>
      <c r="BA148" s="806"/>
      <c r="BB148" s="806"/>
    </row>
    <row r="149" spans="4:54">
      <c r="D149" s="806"/>
      <c r="F149" s="806"/>
      <c r="W149" s="806"/>
      <c r="AZ149" s="806"/>
      <c r="BA149" s="806"/>
      <c r="BB149" s="806"/>
    </row>
    <row r="150" spans="4:54">
      <c r="D150" s="806"/>
      <c r="F150" s="806"/>
      <c r="W150" s="806"/>
      <c r="AZ150" s="806"/>
      <c r="BA150" s="806"/>
      <c r="BB150" s="806"/>
    </row>
    <row r="151" spans="4:54">
      <c r="D151" s="806"/>
      <c r="F151" s="806"/>
      <c r="W151" s="806"/>
      <c r="AZ151" s="806"/>
      <c r="BA151" s="806"/>
      <c r="BB151" s="806"/>
    </row>
    <row r="152" spans="4:54">
      <c r="D152" s="806"/>
      <c r="F152" s="806"/>
      <c r="W152" s="806"/>
      <c r="AZ152" s="806"/>
      <c r="BA152" s="806"/>
      <c r="BB152" s="806"/>
    </row>
    <row r="153" spans="4:54">
      <c r="D153" s="806"/>
      <c r="F153" s="806"/>
      <c r="W153" s="806"/>
      <c r="AZ153" s="806"/>
      <c r="BA153" s="806"/>
      <c r="BB153" s="806"/>
    </row>
    <row r="154" spans="4:54">
      <c r="D154" s="806"/>
      <c r="F154" s="806"/>
      <c r="W154" s="806"/>
      <c r="AZ154" s="806"/>
      <c r="BA154" s="806"/>
      <c r="BB154" s="806"/>
    </row>
    <row r="155" spans="4:54">
      <c r="D155" s="806"/>
      <c r="F155" s="806"/>
      <c r="W155" s="806"/>
      <c r="AZ155" s="806"/>
      <c r="BA155" s="806"/>
      <c r="BB155" s="806"/>
    </row>
    <row r="156" spans="4:54">
      <c r="D156" s="806"/>
      <c r="F156" s="806"/>
      <c r="W156" s="806"/>
      <c r="AZ156" s="806"/>
      <c r="BA156" s="806"/>
      <c r="BB156" s="806"/>
    </row>
    <row r="157" spans="4:54">
      <c r="D157" s="806"/>
      <c r="F157" s="806"/>
      <c r="W157" s="806"/>
      <c r="AZ157" s="806"/>
      <c r="BA157" s="806"/>
      <c r="BB157" s="806"/>
    </row>
    <row r="158" spans="4:54">
      <c r="D158" s="806"/>
      <c r="F158" s="806"/>
      <c r="W158" s="806"/>
      <c r="AZ158" s="806"/>
      <c r="BA158" s="806"/>
      <c r="BB158" s="806"/>
    </row>
    <row r="159" spans="4:54">
      <c r="D159" s="806"/>
      <c r="F159" s="806"/>
      <c r="W159" s="806"/>
      <c r="AZ159" s="806"/>
      <c r="BA159" s="806"/>
      <c r="BB159" s="806"/>
    </row>
    <row r="160" spans="4:54">
      <c r="D160" s="806"/>
      <c r="F160" s="806"/>
      <c r="W160" s="806"/>
      <c r="AZ160" s="806"/>
      <c r="BA160" s="806"/>
      <c r="BB160" s="806"/>
    </row>
    <row r="161" spans="4:54">
      <c r="D161" s="806"/>
      <c r="F161" s="806"/>
      <c r="W161" s="806"/>
      <c r="AZ161" s="806"/>
      <c r="BA161" s="806"/>
      <c r="BB161" s="806"/>
    </row>
    <row r="162" spans="4:54">
      <c r="D162" s="806"/>
      <c r="F162" s="806"/>
      <c r="W162" s="806"/>
      <c r="AZ162" s="806"/>
      <c r="BA162" s="806"/>
      <c r="BB162" s="806"/>
    </row>
    <row r="163" spans="4:54">
      <c r="D163" s="806"/>
      <c r="F163" s="806"/>
      <c r="W163" s="806"/>
      <c r="AZ163" s="806"/>
      <c r="BA163" s="806"/>
      <c r="BB163" s="806"/>
    </row>
    <row r="164" spans="4:54">
      <c r="D164" s="806"/>
      <c r="F164" s="806"/>
      <c r="W164" s="806"/>
      <c r="AZ164" s="806"/>
      <c r="BA164" s="806"/>
      <c r="BB164" s="806"/>
    </row>
    <row r="165" spans="4:54">
      <c r="D165" s="806"/>
      <c r="F165" s="806"/>
      <c r="W165" s="806"/>
      <c r="AZ165" s="806"/>
      <c r="BA165" s="806"/>
      <c r="BB165" s="806"/>
    </row>
    <row r="166" spans="4:54">
      <c r="D166" s="806"/>
      <c r="F166" s="806"/>
      <c r="W166" s="806"/>
      <c r="AZ166" s="806"/>
      <c r="BA166" s="806"/>
      <c r="BB166" s="806"/>
    </row>
    <row r="167" spans="4:54">
      <c r="D167" s="806"/>
      <c r="F167" s="806"/>
      <c r="W167" s="806"/>
      <c r="AZ167" s="806"/>
      <c r="BA167" s="806"/>
      <c r="BB167" s="806"/>
    </row>
    <row r="168" spans="4:54">
      <c r="D168" s="806"/>
      <c r="F168" s="806"/>
      <c r="W168" s="806"/>
      <c r="AZ168" s="806"/>
      <c r="BA168" s="806"/>
      <c r="BB168" s="806"/>
    </row>
    <row r="169" spans="4:54">
      <c r="D169" s="806"/>
      <c r="F169" s="806"/>
      <c r="W169" s="806"/>
      <c r="AZ169" s="806"/>
      <c r="BA169" s="806"/>
      <c r="BB169" s="806"/>
    </row>
    <row r="170" spans="4:54">
      <c r="D170" s="806"/>
      <c r="F170" s="806"/>
      <c r="W170" s="806"/>
      <c r="AZ170" s="806"/>
      <c r="BA170" s="806"/>
      <c r="BB170" s="806"/>
    </row>
    <row r="171" spans="4:54">
      <c r="D171" s="806"/>
      <c r="F171" s="806"/>
      <c r="W171" s="806"/>
      <c r="AZ171" s="806"/>
      <c r="BA171" s="806"/>
      <c r="BB171" s="806"/>
    </row>
    <row r="172" spans="4:54">
      <c r="D172" s="806"/>
      <c r="F172" s="806"/>
      <c r="W172" s="806"/>
      <c r="AZ172" s="806"/>
      <c r="BA172" s="806"/>
      <c r="BB172" s="806"/>
    </row>
    <row r="173" spans="4:54">
      <c r="D173" s="806"/>
      <c r="F173" s="806"/>
      <c r="W173" s="806"/>
      <c r="AZ173" s="806"/>
      <c r="BA173" s="806"/>
      <c r="BB173" s="806"/>
    </row>
    <row r="174" spans="4:54">
      <c r="D174" s="806"/>
      <c r="F174" s="806"/>
      <c r="W174" s="806"/>
      <c r="AZ174" s="806"/>
      <c r="BA174" s="806"/>
      <c r="BB174" s="806"/>
    </row>
    <row r="175" spans="4:54">
      <c r="D175" s="806"/>
      <c r="F175" s="806"/>
      <c r="W175" s="806"/>
      <c r="AZ175" s="806"/>
      <c r="BA175" s="806"/>
      <c r="BB175" s="806"/>
    </row>
    <row r="176" spans="4:54">
      <c r="D176" s="806"/>
      <c r="F176" s="806"/>
      <c r="W176" s="806"/>
      <c r="AZ176" s="806"/>
      <c r="BA176" s="806"/>
      <c r="BB176" s="806"/>
    </row>
    <row r="177" spans="4:54">
      <c r="D177" s="806"/>
      <c r="F177" s="806"/>
      <c r="W177" s="806"/>
      <c r="AZ177" s="806"/>
      <c r="BA177" s="806"/>
      <c r="BB177" s="806"/>
    </row>
    <row r="178" spans="4:54">
      <c r="D178" s="806"/>
      <c r="F178" s="806"/>
      <c r="W178" s="806"/>
      <c r="AZ178" s="806"/>
      <c r="BA178" s="806"/>
      <c r="BB178" s="806"/>
    </row>
    <row r="179" spans="4:54">
      <c r="D179" s="806"/>
      <c r="F179" s="806"/>
      <c r="W179" s="806"/>
      <c r="AZ179" s="806"/>
      <c r="BA179" s="806"/>
      <c r="BB179" s="806"/>
    </row>
    <row r="180" spans="4:54">
      <c r="D180" s="806"/>
      <c r="F180" s="806"/>
      <c r="W180" s="806"/>
      <c r="AZ180" s="806"/>
      <c r="BA180" s="806"/>
      <c r="BB180" s="806"/>
    </row>
    <row r="181" spans="4:54">
      <c r="D181" s="806"/>
      <c r="F181" s="806"/>
      <c r="W181" s="806"/>
      <c r="AZ181" s="806"/>
      <c r="BA181" s="806"/>
      <c r="BB181" s="806"/>
    </row>
    <row r="182" spans="4:54">
      <c r="D182" s="806"/>
      <c r="F182" s="806"/>
      <c r="W182" s="806"/>
      <c r="AZ182" s="806"/>
      <c r="BA182" s="806"/>
      <c r="BB182" s="806"/>
    </row>
    <row r="183" spans="4:54">
      <c r="D183" s="806"/>
      <c r="F183" s="806"/>
      <c r="W183" s="806"/>
      <c r="AZ183" s="806"/>
      <c r="BA183" s="806"/>
      <c r="BB183" s="806"/>
    </row>
    <row r="184" spans="4:54">
      <c r="D184" s="806"/>
      <c r="F184" s="806"/>
      <c r="W184" s="806"/>
      <c r="AZ184" s="806"/>
      <c r="BA184" s="806"/>
      <c r="BB184" s="806"/>
    </row>
    <row r="185" spans="4:54">
      <c r="D185" s="806"/>
      <c r="F185" s="806"/>
      <c r="W185" s="806"/>
      <c r="AZ185" s="806"/>
      <c r="BA185" s="806"/>
      <c r="BB185" s="806"/>
    </row>
    <row r="186" spans="4:54">
      <c r="D186" s="806"/>
      <c r="F186" s="806"/>
      <c r="W186" s="806"/>
      <c r="AZ186" s="806"/>
      <c r="BA186" s="806"/>
      <c r="BB186" s="806"/>
    </row>
    <row r="187" spans="4:54">
      <c r="D187" s="806"/>
      <c r="F187" s="806"/>
      <c r="W187" s="806"/>
      <c r="AZ187" s="806"/>
      <c r="BA187" s="806"/>
      <c r="BB187" s="806"/>
    </row>
    <row r="188" spans="4:54">
      <c r="D188" s="806"/>
      <c r="F188" s="806"/>
      <c r="W188" s="806"/>
      <c r="AZ188" s="806"/>
      <c r="BA188" s="806"/>
      <c r="BB188" s="806"/>
    </row>
    <row r="189" spans="4:54">
      <c r="D189" s="806"/>
      <c r="F189" s="806"/>
      <c r="W189" s="806"/>
      <c r="AZ189" s="806"/>
      <c r="BA189" s="806"/>
      <c r="BB189" s="806"/>
    </row>
    <row r="190" spans="4:54">
      <c r="D190" s="806"/>
      <c r="F190" s="806"/>
      <c r="W190" s="806"/>
      <c r="AZ190" s="806"/>
      <c r="BA190" s="806"/>
      <c r="BB190" s="806"/>
    </row>
    <row r="191" spans="4:54">
      <c r="D191" s="806"/>
      <c r="F191" s="806"/>
      <c r="W191" s="806"/>
      <c r="AZ191" s="806"/>
      <c r="BA191" s="806"/>
      <c r="BB191" s="806"/>
    </row>
    <row r="192" spans="4:54">
      <c r="D192" s="806"/>
      <c r="F192" s="806"/>
      <c r="W192" s="806"/>
      <c r="AZ192" s="806"/>
      <c r="BA192" s="806"/>
      <c r="BB192" s="806"/>
    </row>
    <row r="193" spans="4:54">
      <c r="D193" s="806"/>
      <c r="F193" s="806"/>
      <c r="W193" s="806"/>
      <c r="AZ193" s="806"/>
      <c r="BA193" s="806"/>
      <c r="BB193" s="806"/>
    </row>
    <row r="194" spans="4:54">
      <c r="D194" s="806"/>
      <c r="F194" s="806"/>
      <c r="W194" s="806"/>
      <c r="AZ194" s="806"/>
      <c r="BA194" s="806"/>
      <c r="BB194" s="806"/>
    </row>
    <row r="195" spans="4:54">
      <c r="D195" s="806"/>
      <c r="F195" s="806"/>
      <c r="W195" s="806"/>
      <c r="AZ195" s="806"/>
      <c r="BA195" s="806"/>
      <c r="BB195" s="806"/>
    </row>
    <row r="196" spans="4:54">
      <c r="D196" s="806"/>
      <c r="F196" s="806"/>
      <c r="W196" s="806"/>
      <c r="AZ196" s="806"/>
      <c r="BA196" s="806"/>
      <c r="BB196" s="806"/>
    </row>
    <row r="197" spans="4:54">
      <c r="D197" s="806"/>
      <c r="F197" s="806"/>
      <c r="W197" s="806"/>
      <c r="AZ197" s="806"/>
      <c r="BA197" s="806"/>
      <c r="BB197" s="806"/>
    </row>
    <row r="198" spans="4:54">
      <c r="D198" s="806"/>
      <c r="F198" s="806"/>
      <c r="W198" s="806"/>
      <c r="AZ198" s="806"/>
      <c r="BA198" s="806"/>
      <c r="BB198" s="806"/>
    </row>
    <row r="199" spans="4:54">
      <c r="D199" s="806"/>
      <c r="F199" s="806"/>
      <c r="W199" s="806"/>
      <c r="AZ199" s="806"/>
      <c r="BA199" s="806"/>
      <c r="BB199" s="806"/>
    </row>
    <row r="200" spans="4:54">
      <c r="D200" s="806"/>
      <c r="F200" s="806"/>
      <c r="W200" s="806"/>
      <c r="AZ200" s="806"/>
      <c r="BA200" s="806"/>
      <c r="BB200" s="806"/>
    </row>
    <row r="201" spans="4:54">
      <c r="D201" s="806"/>
      <c r="F201" s="806"/>
      <c r="W201" s="806"/>
      <c r="AZ201" s="806"/>
      <c r="BA201" s="806"/>
      <c r="BB201" s="806"/>
    </row>
    <row r="202" spans="4:54">
      <c r="D202" s="806"/>
      <c r="F202" s="806"/>
      <c r="W202" s="806"/>
      <c r="AZ202" s="806"/>
      <c r="BA202" s="806"/>
      <c r="BB202" s="806"/>
    </row>
    <row r="203" spans="4:54">
      <c r="D203" s="806"/>
      <c r="F203" s="806"/>
      <c r="W203" s="806"/>
      <c r="AZ203" s="806"/>
      <c r="BA203" s="806"/>
      <c r="BB203" s="806"/>
    </row>
    <row r="204" spans="4:54">
      <c r="D204" s="806"/>
      <c r="F204" s="806"/>
      <c r="W204" s="806"/>
      <c r="AZ204" s="806"/>
      <c r="BA204" s="806"/>
      <c r="BB204" s="806"/>
    </row>
    <row r="205" spans="4:54">
      <c r="D205" s="806"/>
      <c r="F205" s="806"/>
      <c r="W205" s="806"/>
      <c r="AZ205" s="806"/>
      <c r="BA205" s="806"/>
      <c r="BB205" s="806"/>
    </row>
    <row r="206" spans="4:54">
      <c r="D206" s="806"/>
      <c r="F206" s="806"/>
      <c r="W206" s="806"/>
      <c r="AZ206" s="806"/>
      <c r="BA206" s="806"/>
      <c r="BB206" s="806"/>
    </row>
    <row r="207" spans="4:54">
      <c r="D207" s="806"/>
      <c r="F207" s="806"/>
      <c r="W207" s="806"/>
      <c r="AZ207" s="806"/>
      <c r="BA207" s="806"/>
      <c r="BB207" s="806"/>
    </row>
    <row r="208" spans="4:54">
      <c r="D208" s="806"/>
      <c r="F208" s="806"/>
      <c r="W208" s="806"/>
      <c r="AZ208" s="806"/>
      <c r="BA208" s="806"/>
      <c r="BB208" s="806"/>
    </row>
    <row r="209" spans="4:54">
      <c r="D209" s="806"/>
      <c r="F209" s="806"/>
      <c r="W209" s="806"/>
      <c r="AZ209" s="806"/>
      <c r="BA209" s="806"/>
      <c r="BB209" s="806"/>
    </row>
    <row r="210" spans="4:54">
      <c r="D210" s="806"/>
      <c r="F210" s="806"/>
      <c r="W210" s="806"/>
      <c r="AZ210" s="806"/>
      <c r="BA210" s="806"/>
      <c r="BB210" s="806"/>
    </row>
    <row r="211" spans="4:54">
      <c r="D211" s="806"/>
      <c r="F211" s="806"/>
      <c r="W211" s="806"/>
      <c r="AZ211" s="806"/>
      <c r="BA211" s="806"/>
      <c r="BB211" s="806"/>
    </row>
    <row r="212" spans="4:54">
      <c r="D212" s="806"/>
      <c r="F212" s="806"/>
      <c r="W212" s="806"/>
      <c r="AZ212" s="806"/>
      <c r="BA212" s="806"/>
      <c r="BB212" s="806"/>
    </row>
    <row r="213" spans="4:54">
      <c r="D213" s="806"/>
      <c r="F213" s="806"/>
      <c r="W213" s="806"/>
      <c r="AZ213" s="806"/>
      <c r="BA213" s="806"/>
      <c r="BB213" s="806"/>
    </row>
    <row r="214" spans="4:54">
      <c r="D214" s="806"/>
      <c r="F214" s="806"/>
      <c r="W214" s="806"/>
      <c r="AZ214" s="806"/>
      <c r="BA214" s="806"/>
      <c r="BB214" s="806"/>
    </row>
    <row r="215" spans="4:54">
      <c r="D215" s="806"/>
      <c r="F215" s="806"/>
      <c r="W215" s="806"/>
      <c r="AZ215" s="806"/>
      <c r="BA215" s="806"/>
      <c r="BB215" s="806"/>
    </row>
    <row r="216" spans="4:54">
      <c r="D216" s="806"/>
      <c r="F216" s="806"/>
      <c r="W216" s="806"/>
      <c r="AZ216" s="806"/>
      <c r="BA216" s="806"/>
      <c r="BB216" s="806"/>
    </row>
    <row r="217" spans="4:54">
      <c r="D217" s="806"/>
      <c r="F217" s="806"/>
      <c r="W217" s="806"/>
      <c r="AZ217" s="806"/>
      <c r="BA217" s="806"/>
      <c r="BB217" s="806"/>
    </row>
    <row r="218" spans="4:54">
      <c r="D218" s="806"/>
      <c r="F218" s="806"/>
      <c r="W218" s="806"/>
      <c r="AZ218" s="806"/>
      <c r="BA218" s="806"/>
      <c r="BB218" s="806"/>
    </row>
    <row r="219" spans="4:54">
      <c r="D219" s="806"/>
      <c r="F219" s="806"/>
      <c r="W219" s="806"/>
      <c r="AZ219" s="806"/>
      <c r="BA219" s="806"/>
      <c r="BB219" s="806"/>
    </row>
    <row r="220" spans="4:54">
      <c r="D220" s="806"/>
      <c r="F220" s="806"/>
      <c r="W220" s="806"/>
      <c r="AZ220" s="806"/>
      <c r="BA220" s="806"/>
      <c r="BB220" s="806"/>
    </row>
    <row r="221" spans="4:54">
      <c r="D221" s="806"/>
      <c r="F221" s="806"/>
      <c r="W221" s="806"/>
      <c r="AZ221" s="806"/>
      <c r="BA221" s="806"/>
      <c r="BB221" s="806"/>
    </row>
    <row r="222" spans="4:54">
      <c r="D222" s="806"/>
      <c r="F222" s="806"/>
      <c r="W222" s="806"/>
      <c r="AZ222" s="806"/>
      <c r="BA222" s="806"/>
      <c r="BB222" s="806"/>
    </row>
    <row r="223" spans="4:54">
      <c r="D223" s="806"/>
      <c r="F223" s="806"/>
      <c r="W223" s="806"/>
      <c r="AZ223" s="806"/>
      <c r="BA223" s="806"/>
      <c r="BB223" s="806"/>
    </row>
    <row r="224" spans="4:54">
      <c r="D224" s="806"/>
      <c r="F224" s="806"/>
      <c r="W224" s="806"/>
      <c r="AZ224" s="806"/>
      <c r="BA224" s="806"/>
      <c r="BB224" s="806"/>
    </row>
    <row r="225" spans="4:54">
      <c r="D225" s="806"/>
      <c r="F225" s="806"/>
      <c r="W225" s="806"/>
      <c r="AZ225" s="806"/>
      <c r="BA225" s="806"/>
      <c r="BB225" s="806"/>
    </row>
    <row r="226" spans="4:54">
      <c r="D226" s="806"/>
      <c r="F226" s="806"/>
      <c r="W226" s="806"/>
      <c r="AZ226" s="806"/>
      <c r="BA226" s="806"/>
      <c r="BB226" s="806"/>
    </row>
    <row r="227" spans="4:54">
      <c r="D227" s="806"/>
      <c r="F227" s="806"/>
      <c r="W227" s="806"/>
      <c r="AZ227" s="806"/>
      <c r="BA227" s="806"/>
      <c r="BB227" s="806"/>
    </row>
    <row r="228" spans="4:54">
      <c r="D228" s="806"/>
      <c r="F228" s="806"/>
      <c r="W228" s="806"/>
      <c r="AZ228" s="806"/>
      <c r="BA228" s="806"/>
      <c r="BB228" s="806"/>
    </row>
    <row r="229" spans="4:54">
      <c r="D229" s="806"/>
      <c r="F229" s="806"/>
      <c r="W229" s="806"/>
      <c r="AZ229" s="806"/>
      <c r="BA229" s="806"/>
      <c r="BB229" s="806"/>
    </row>
    <row r="230" spans="4:54">
      <c r="D230" s="806"/>
      <c r="F230" s="806"/>
      <c r="W230" s="806"/>
      <c r="AZ230" s="806"/>
      <c r="BA230" s="806"/>
      <c r="BB230" s="806"/>
    </row>
    <row r="231" spans="4:54">
      <c r="D231" s="806"/>
      <c r="F231" s="806"/>
      <c r="W231" s="806"/>
      <c r="AZ231" s="806"/>
      <c r="BA231" s="806"/>
      <c r="BB231" s="806"/>
    </row>
    <row r="232" spans="4:54">
      <c r="D232" s="806"/>
      <c r="F232" s="806"/>
      <c r="W232" s="806"/>
      <c r="AZ232" s="806"/>
      <c r="BA232" s="806"/>
      <c r="BB232" s="806"/>
    </row>
    <row r="233" spans="4:54">
      <c r="D233" s="806"/>
      <c r="F233" s="806"/>
      <c r="W233" s="806"/>
      <c r="AZ233" s="806"/>
      <c r="BA233" s="806"/>
      <c r="BB233" s="806"/>
    </row>
    <row r="234" spans="4:54">
      <c r="D234" s="806"/>
      <c r="F234" s="806"/>
      <c r="W234" s="806"/>
      <c r="AZ234" s="806"/>
      <c r="BA234" s="806"/>
      <c r="BB234" s="806"/>
    </row>
    <row r="235" spans="4:54">
      <c r="D235" s="806"/>
      <c r="F235" s="806"/>
      <c r="W235" s="806"/>
      <c r="AZ235" s="806"/>
      <c r="BA235" s="806"/>
      <c r="BB235" s="806"/>
    </row>
    <row r="236" spans="4:54">
      <c r="D236" s="806"/>
      <c r="F236" s="806"/>
      <c r="W236" s="806"/>
      <c r="AZ236" s="806"/>
      <c r="BA236" s="806"/>
      <c r="BB236" s="806"/>
    </row>
    <row r="237" spans="4:54">
      <c r="D237" s="806"/>
      <c r="F237" s="806"/>
      <c r="W237" s="806"/>
      <c r="AZ237" s="806"/>
      <c r="BA237" s="806"/>
      <c r="BB237" s="806"/>
    </row>
    <row r="238" spans="4:54">
      <c r="D238" s="806"/>
      <c r="F238" s="806"/>
      <c r="W238" s="806"/>
      <c r="AZ238" s="806"/>
      <c r="BA238" s="806"/>
      <c r="BB238" s="806"/>
    </row>
    <row r="239" spans="4:54">
      <c r="D239" s="806"/>
      <c r="F239" s="806"/>
      <c r="W239" s="806"/>
      <c r="AZ239" s="806"/>
      <c r="BA239" s="806"/>
      <c r="BB239" s="806"/>
    </row>
    <row r="240" spans="4:54">
      <c r="D240" s="806"/>
      <c r="F240" s="806"/>
      <c r="W240" s="806"/>
      <c r="AZ240" s="806"/>
      <c r="BA240" s="806"/>
      <c r="BB240" s="806"/>
    </row>
    <row r="241" spans="4:54">
      <c r="D241" s="806"/>
      <c r="F241" s="806"/>
      <c r="W241" s="806"/>
      <c r="AZ241" s="806"/>
      <c r="BA241" s="806"/>
      <c r="BB241" s="806"/>
    </row>
    <row r="242" spans="4:54">
      <c r="D242" s="806"/>
      <c r="F242" s="806"/>
      <c r="W242" s="806"/>
      <c r="AZ242" s="806"/>
      <c r="BA242" s="806"/>
      <c r="BB242" s="806"/>
    </row>
    <row r="243" spans="4:54">
      <c r="D243" s="806"/>
      <c r="F243" s="806"/>
      <c r="W243" s="806"/>
      <c r="AZ243" s="806"/>
      <c r="BA243" s="806"/>
      <c r="BB243" s="806"/>
    </row>
    <row r="244" spans="4:54">
      <c r="D244" s="806"/>
      <c r="F244" s="806"/>
      <c r="W244" s="806"/>
      <c r="AZ244" s="806"/>
      <c r="BA244" s="806"/>
      <c r="BB244" s="806"/>
    </row>
    <row r="245" spans="4:54">
      <c r="D245" s="806"/>
      <c r="F245" s="806"/>
      <c r="W245" s="806"/>
      <c r="AZ245" s="806"/>
      <c r="BA245" s="806"/>
      <c r="BB245" s="806"/>
    </row>
    <row r="246" spans="4:54">
      <c r="D246" s="806"/>
      <c r="F246" s="806"/>
      <c r="W246" s="806"/>
      <c r="AZ246" s="806"/>
      <c r="BA246" s="806"/>
      <c r="BB246" s="806"/>
    </row>
    <row r="247" spans="4:54">
      <c r="D247" s="806"/>
      <c r="F247" s="806"/>
      <c r="W247" s="806"/>
      <c r="AZ247" s="806"/>
      <c r="BA247" s="806"/>
      <c r="BB247" s="806"/>
    </row>
    <row r="248" spans="4:54">
      <c r="D248" s="806"/>
      <c r="F248" s="806"/>
      <c r="W248" s="806"/>
      <c r="AZ248" s="806"/>
      <c r="BA248" s="806"/>
      <c r="BB248" s="806"/>
    </row>
    <row r="249" spans="4:54">
      <c r="D249" s="806"/>
      <c r="F249" s="806"/>
      <c r="W249" s="806"/>
      <c r="AZ249" s="806"/>
      <c r="BA249" s="806"/>
      <c r="BB249" s="806"/>
    </row>
    <row r="250" spans="4:54">
      <c r="D250" s="806"/>
      <c r="F250" s="806"/>
      <c r="W250" s="806"/>
      <c r="AZ250" s="806"/>
      <c r="BA250" s="806"/>
      <c r="BB250" s="806"/>
    </row>
    <row r="251" spans="4:54">
      <c r="D251" s="806"/>
      <c r="F251" s="806"/>
      <c r="W251" s="806"/>
      <c r="AZ251" s="806"/>
      <c r="BA251" s="806"/>
      <c r="BB251" s="806"/>
    </row>
    <row r="252" spans="4:54">
      <c r="D252" s="806"/>
      <c r="F252" s="806"/>
      <c r="W252" s="806"/>
      <c r="AZ252" s="806"/>
      <c r="BA252" s="806"/>
      <c r="BB252" s="806"/>
    </row>
    <row r="253" spans="4:54">
      <c r="D253" s="806"/>
      <c r="F253" s="806"/>
      <c r="W253" s="806"/>
      <c r="AZ253" s="806"/>
      <c r="BA253" s="806"/>
      <c r="BB253" s="806"/>
    </row>
    <row r="254" spans="4:54">
      <c r="D254" s="806"/>
      <c r="F254" s="806"/>
      <c r="W254" s="806"/>
      <c r="AZ254" s="806"/>
      <c r="BA254" s="806"/>
      <c r="BB254" s="806"/>
    </row>
    <row r="255" spans="4:54">
      <c r="D255" s="806"/>
      <c r="F255" s="806"/>
      <c r="W255" s="806"/>
      <c r="AZ255" s="806"/>
      <c r="BA255" s="806"/>
      <c r="BB255" s="806"/>
    </row>
    <row r="256" spans="4:54">
      <c r="D256" s="806"/>
      <c r="F256" s="806"/>
      <c r="W256" s="806"/>
      <c r="AZ256" s="806"/>
      <c r="BA256" s="806"/>
      <c r="BB256" s="806"/>
    </row>
    <row r="257" spans="4:54">
      <c r="D257" s="806"/>
      <c r="F257" s="806"/>
      <c r="W257" s="806"/>
      <c r="AZ257" s="806"/>
      <c r="BA257" s="806"/>
      <c r="BB257" s="806"/>
    </row>
    <row r="258" spans="4:54">
      <c r="D258" s="806"/>
      <c r="F258" s="806"/>
      <c r="W258" s="806"/>
      <c r="AZ258" s="806"/>
      <c r="BA258" s="806"/>
      <c r="BB258" s="806"/>
    </row>
    <row r="259" spans="4:54">
      <c r="D259" s="806"/>
      <c r="F259" s="806"/>
      <c r="W259" s="806"/>
      <c r="AZ259" s="806"/>
      <c r="BA259" s="806"/>
      <c r="BB259" s="806"/>
    </row>
    <row r="260" spans="4:54">
      <c r="D260" s="806"/>
      <c r="F260" s="806"/>
      <c r="W260" s="806"/>
      <c r="AZ260" s="806"/>
      <c r="BA260" s="806"/>
      <c r="BB260" s="806"/>
    </row>
    <row r="261" spans="4:54">
      <c r="D261" s="806"/>
      <c r="F261" s="806"/>
      <c r="W261" s="806"/>
      <c r="AZ261" s="806"/>
      <c r="BA261" s="806"/>
      <c r="BB261" s="806"/>
    </row>
    <row r="262" spans="4:54">
      <c r="D262" s="806"/>
      <c r="F262" s="806"/>
      <c r="W262" s="806"/>
      <c r="AZ262" s="806"/>
      <c r="BA262" s="806"/>
      <c r="BB262" s="806"/>
    </row>
    <row r="263" spans="4:54">
      <c r="D263" s="806"/>
      <c r="F263" s="806"/>
      <c r="W263" s="806"/>
      <c r="AZ263" s="806"/>
      <c r="BA263" s="806"/>
      <c r="BB263" s="806"/>
    </row>
    <row r="264" spans="4:54">
      <c r="D264" s="806"/>
      <c r="F264" s="806"/>
      <c r="W264" s="806"/>
      <c r="AZ264" s="806"/>
      <c r="BA264" s="806"/>
      <c r="BB264" s="806"/>
    </row>
    <row r="265" spans="4:54">
      <c r="D265" s="806"/>
      <c r="F265" s="806"/>
      <c r="W265" s="806"/>
      <c r="AZ265" s="806"/>
      <c r="BA265" s="806"/>
      <c r="BB265" s="806"/>
    </row>
    <row r="266" spans="4:54">
      <c r="D266" s="806"/>
      <c r="F266" s="806"/>
      <c r="W266" s="806"/>
      <c r="AZ266" s="806"/>
      <c r="BA266" s="806"/>
      <c r="BB266" s="806"/>
    </row>
    <row r="267" spans="4:54">
      <c r="D267" s="806"/>
      <c r="F267" s="806"/>
      <c r="W267" s="806"/>
      <c r="AZ267" s="806"/>
      <c r="BA267" s="806"/>
      <c r="BB267" s="806"/>
    </row>
    <row r="268" spans="4:54">
      <c r="D268" s="806"/>
      <c r="F268" s="806"/>
      <c r="W268" s="806"/>
      <c r="AZ268" s="806"/>
      <c r="BA268" s="806"/>
      <c r="BB268" s="806"/>
    </row>
    <row r="269" spans="4:54">
      <c r="D269" s="806"/>
      <c r="F269" s="806"/>
      <c r="W269" s="806"/>
      <c r="AZ269" s="806"/>
      <c r="BA269" s="806"/>
      <c r="BB269" s="806"/>
    </row>
    <row r="270" spans="4:54">
      <c r="D270" s="806"/>
      <c r="F270" s="806"/>
      <c r="W270" s="806"/>
      <c r="AZ270" s="806"/>
      <c r="BA270" s="806"/>
      <c r="BB270" s="806"/>
    </row>
    <row r="271" spans="4:54">
      <c r="D271" s="806"/>
      <c r="F271" s="806"/>
      <c r="W271" s="806"/>
      <c r="AZ271" s="806"/>
      <c r="BA271" s="806"/>
      <c r="BB271" s="806"/>
    </row>
    <row r="272" spans="4:54">
      <c r="D272" s="806"/>
      <c r="F272" s="806"/>
      <c r="W272" s="806"/>
      <c r="AZ272" s="806"/>
      <c r="BA272" s="806"/>
      <c r="BB272" s="806"/>
    </row>
    <row r="273" spans="4:54">
      <c r="D273" s="806"/>
      <c r="F273" s="806"/>
      <c r="W273" s="806"/>
      <c r="AZ273" s="806"/>
      <c r="BA273" s="806"/>
      <c r="BB273" s="806"/>
    </row>
    <row r="274" spans="4:54">
      <c r="D274" s="806"/>
      <c r="F274" s="806"/>
      <c r="W274" s="806"/>
      <c r="AZ274" s="806"/>
      <c r="BA274" s="806"/>
      <c r="BB274" s="806"/>
    </row>
    <row r="275" spans="4:54">
      <c r="D275" s="806"/>
      <c r="F275" s="806"/>
      <c r="W275" s="806"/>
      <c r="AZ275" s="806"/>
      <c r="BA275" s="806"/>
      <c r="BB275" s="806"/>
    </row>
    <row r="276" spans="4:54">
      <c r="D276" s="806"/>
      <c r="F276" s="806"/>
      <c r="W276" s="806"/>
      <c r="AZ276" s="806"/>
      <c r="BA276" s="806"/>
      <c r="BB276" s="806"/>
    </row>
    <row r="277" spans="4:54">
      <c r="D277" s="806"/>
      <c r="F277" s="806"/>
      <c r="W277" s="806"/>
      <c r="AZ277" s="806"/>
      <c r="BA277" s="806"/>
      <c r="BB277" s="806"/>
    </row>
    <row r="278" spans="4:54">
      <c r="D278" s="806"/>
      <c r="F278" s="806"/>
      <c r="W278" s="806"/>
      <c r="AZ278" s="806"/>
      <c r="BA278" s="806"/>
      <c r="BB278" s="806"/>
    </row>
    <row r="279" spans="4:54">
      <c r="D279" s="806"/>
      <c r="F279" s="806"/>
      <c r="W279" s="806"/>
      <c r="AZ279" s="806"/>
      <c r="BA279" s="806"/>
      <c r="BB279" s="806"/>
    </row>
    <row r="280" spans="4:54">
      <c r="D280" s="806"/>
      <c r="F280" s="806"/>
      <c r="W280" s="806"/>
      <c r="AZ280" s="806"/>
      <c r="BA280" s="806"/>
      <c r="BB280" s="806"/>
    </row>
    <row r="281" spans="4:54">
      <c r="D281" s="806"/>
      <c r="F281" s="806"/>
      <c r="W281" s="806"/>
      <c r="AZ281" s="806"/>
      <c r="BA281" s="806"/>
      <c r="BB281" s="806"/>
    </row>
    <row r="282" spans="4:54">
      <c r="D282" s="806"/>
      <c r="F282" s="806"/>
      <c r="W282" s="806"/>
      <c r="AZ282" s="806"/>
      <c r="BA282" s="806"/>
      <c r="BB282" s="806"/>
    </row>
    <row r="283" spans="4:54">
      <c r="D283" s="806"/>
      <c r="F283" s="806"/>
      <c r="W283" s="806"/>
      <c r="AZ283" s="806"/>
      <c r="BA283" s="806"/>
      <c r="BB283" s="806"/>
    </row>
    <row r="284" spans="4:54">
      <c r="D284" s="806"/>
      <c r="F284" s="806"/>
      <c r="W284" s="806"/>
      <c r="AZ284" s="806"/>
      <c r="BA284" s="806"/>
      <c r="BB284" s="806"/>
    </row>
    <row r="285" spans="4:54">
      <c r="D285" s="806"/>
      <c r="F285" s="806"/>
      <c r="W285" s="806"/>
      <c r="AZ285" s="806"/>
      <c r="BA285" s="806"/>
      <c r="BB285" s="806"/>
    </row>
    <row r="286" spans="4:54">
      <c r="D286" s="806"/>
      <c r="F286" s="806"/>
      <c r="W286" s="806"/>
      <c r="AZ286" s="806"/>
      <c r="BA286" s="806"/>
      <c r="BB286" s="806"/>
    </row>
    <row r="287" spans="4:54">
      <c r="D287" s="806"/>
      <c r="F287" s="806"/>
      <c r="W287" s="806"/>
      <c r="AZ287" s="806"/>
      <c r="BA287" s="806"/>
      <c r="BB287" s="806"/>
    </row>
    <row r="288" spans="4:54">
      <c r="D288" s="806"/>
      <c r="F288" s="806"/>
      <c r="W288" s="806"/>
      <c r="AZ288" s="806"/>
      <c r="BA288" s="806"/>
      <c r="BB288" s="806"/>
    </row>
    <row r="289" spans="4:54">
      <c r="D289" s="806"/>
      <c r="F289" s="806"/>
      <c r="W289" s="806"/>
      <c r="AZ289" s="806"/>
      <c r="BA289" s="806"/>
      <c r="BB289" s="806"/>
    </row>
    <row r="290" spans="4:54">
      <c r="D290" s="806"/>
      <c r="F290" s="806"/>
      <c r="W290" s="806"/>
      <c r="AZ290" s="806"/>
      <c r="BA290" s="806"/>
      <c r="BB290" s="806"/>
    </row>
    <row r="291" spans="4:54">
      <c r="D291" s="806"/>
      <c r="F291" s="806"/>
      <c r="W291" s="806"/>
      <c r="AZ291" s="806"/>
      <c r="BA291" s="806"/>
      <c r="BB291" s="806"/>
    </row>
    <row r="292" spans="4:54">
      <c r="D292" s="806"/>
      <c r="F292" s="806"/>
      <c r="W292" s="806"/>
      <c r="AZ292" s="806"/>
      <c r="BA292" s="806"/>
      <c r="BB292" s="806"/>
    </row>
    <row r="293" spans="4:54">
      <c r="D293" s="806"/>
      <c r="F293" s="806"/>
      <c r="W293" s="806"/>
      <c r="AZ293" s="806"/>
      <c r="BA293" s="806"/>
      <c r="BB293" s="806"/>
    </row>
    <row r="294" spans="4:54">
      <c r="D294" s="806"/>
      <c r="F294" s="806"/>
      <c r="W294" s="806"/>
      <c r="AZ294" s="806"/>
      <c r="BA294" s="806"/>
      <c r="BB294" s="806"/>
    </row>
    <row r="295" spans="4:54">
      <c r="D295" s="806"/>
      <c r="F295" s="806"/>
      <c r="W295" s="806"/>
      <c r="AZ295" s="806"/>
      <c r="BA295" s="806"/>
      <c r="BB295" s="806"/>
    </row>
    <row r="296" spans="4:54">
      <c r="D296" s="806"/>
      <c r="F296" s="806"/>
      <c r="W296" s="806"/>
      <c r="AZ296" s="806"/>
      <c r="BA296" s="806"/>
      <c r="BB296" s="806"/>
    </row>
    <row r="297" spans="4:54">
      <c r="D297" s="806"/>
      <c r="F297" s="806"/>
      <c r="W297" s="806"/>
      <c r="AZ297" s="806"/>
      <c r="BA297" s="806"/>
      <c r="BB297" s="806"/>
    </row>
    <row r="298" spans="4:54">
      <c r="D298" s="806"/>
      <c r="F298" s="806"/>
      <c r="W298" s="806"/>
      <c r="AZ298" s="806"/>
      <c r="BA298" s="806"/>
      <c r="BB298" s="806"/>
    </row>
    <row r="299" spans="4:54">
      <c r="D299" s="806"/>
      <c r="F299" s="806"/>
      <c r="W299" s="806"/>
      <c r="AZ299" s="806"/>
      <c r="BA299" s="806"/>
      <c r="BB299" s="806"/>
    </row>
    <row r="300" spans="4:54">
      <c r="D300" s="806"/>
      <c r="F300" s="806"/>
      <c r="W300" s="806"/>
      <c r="AZ300" s="806"/>
      <c r="BA300" s="806"/>
      <c r="BB300" s="806"/>
    </row>
    <row r="301" spans="4:54">
      <c r="D301" s="806"/>
      <c r="F301" s="806"/>
      <c r="W301" s="806"/>
      <c r="AZ301" s="806"/>
      <c r="BA301" s="806"/>
      <c r="BB301" s="806"/>
    </row>
    <row r="302" spans="4:54">
      <c r="D302" s="806"/>
      <c r="F302" s="806"/>
      <c r="W302" s="806"/>
      <c r="AZ302" s="806"/>
      <c r="BA302" s="806"/>
      <c r="BB302" s="806"/>
    </row>
    <row r="303" spans="4:54">
      <c r="D303" s="806"/>
      <c r="F303" s="806"/>
      <c r="W303" s="806"/>
      <c r="AZ303" s="806"/>
      <c r="BA303" s="806"/>
      <c r="BB303" s="806"/>
    </row>
    <row r="304" spans="4:54">
      <c r="D304" s="806"/>
      <c r="F304" s="806"/>
      <c r="W304" s="806"/>
      <c r="AZ304" s="806"/>
      <c r="BA304" s="806"/>
      <c r="BB304" s="806"/>
    </row>
    <row r="305" spans="4:54">
      <c r="D305" s="806"/>
      <c r="F305" s="806"/>
      <c r="W305" s="806"/>
      <c r="AZ305" s="806"/>
      <c r="BA305" s="806"/>
      <c r="BB305" s="806"/>
    </row>
    <row r="306" spans="4:54">
      <c r="D306" s="806"/>
      <c r="F306" s="806"/>
      <c r="W306" s="806"/>
      <c r="AZ306" s="806"/>
      <c r="BA306" s="806"/>
      <c r="BB306" s="806"/>
    </row>
    <row r="307" spans="4:54">
      <c r="D307" s="806"/>
      <c r="F307" s="806"/>
      <c r="W307" s="806"/>
      <c r="AZ307" s="806"/>
      <c r="BA307" s="806"/>
      <c r="BB307" s="806"/>
    </row>
    <row r="308" spans="4:54">
      <c r="D308" s="806"/>
      <c r="F308" s="806"/>
      <c r="W308" s="806"/>
      <c r="AZ308" s="806"/>
      <c r="BA308" s="806"/>
      <c r="BB308" s="806"/>
    </row>
    <row r="309" spans="4:54">
      <c r="D309" s="806"/>
      <c r="F309" s="806"/>
      <c r="W309" s="806"/>
      <c r="AZ309" s="806"/>
      <c r="BA309" s="806"/>
      <c r="BB309" s="806"/>
    </row>
    <row r="310" spans="4:54">
      <c r="D310" s="806"/>
      <c r="F310" s="806"/>
      <c r="W310" s="806"/>
      <c r="AZ310" s="806"/>
      <c r="BA310" s="806"/>
      <c r="BB310" s="806"/>
    </row>
    <row r="311" spans="4:54">
      <c r="D311" s="806"/>
      <c r="F311" s="806"/>
      <c r="W311" s="806"/>
      <c r="AZ311" s="806"/>
      <c r="BA311" s="806"/>
      <c r="BB311" s="806"/>
    </row>
    <row r="312" spans="4:54">
      <c r="D312" s="806"/>
      <c r="F312" s="806"/>
      <c r="W312" s="806"/>
      <c r="AZ312" s="806"/>
      <c r="BA312" s="806"/>
      <c r="BB312" s="806"/>
    </row>
    <row r="313" spans="4:54">
      <c r="D313" s="806"/>
      <c r="F313" s="806"/>
      <c r="W313" s="806"/>
      <c r="AZ313" s="806"/>
      <c r="BA313" s="806"/>
      <c r="BB313" s="806"/>
    </row>
    <row r="314" spans="4:54">
      <c r="D314" s="806"/>
      <c r="F314" s="806"/>
      <c r="W314" s="806"/>
      <c r="AZ314" s="806"/>
      <c r="BA314" s="806"/>
      <c r="BB314" s="806"/>
    </row>
    <row r="315" spans="4:54">
      <c r="D315" s="806"/>
      <c r="F315" s="806"/>
      <c r="W315" s="806"/>
      <c r="AZ315" s="806"/>
      <c r="BA315" s="806"/>
      <c r="BB315" s="806"/>
    </row>
    <row r="316" spans="4:54">
      <c r="D316" s="806"/>
      <c r="F316" s="806"/>
      <c r="W316" s="806"/>
      <c r="AZ316" s="806"/>
      <c r="BA316" s="806"/>
      <c r="BB316" s="806"/>
    </row>
    <row r="317" spans="4:54">
      <c r="D317" s="806"/>
      <c r="F317" s="806"/>
      <c r="W317" s="806"/>
      <c r="AZ317" s="806"/>
      <c r="BA317" s="806"/>
      <c r="BB317" s="806"/>
    </row>
    <row r="318" spans="4:54">
      <c r="D318" s="806"/>
      <c r="F318" s="806"/>
      <c r="W318" s="806"/>
      <c r="AZ318" s="806"/>
      <c r="BA318" s="806"/>
      <c r="BB318" s="806"/>
    </row>
    <row r="319" spans="4:54">
      <c r="D319" s="806"/>
      <c r="F319" s="806"/>
      <c r="W319" s="806"/>
      <c r="AZ319" s="806"/>
      <c r="BA319" s="806"/>
      <c r="BB319" s="806"/>
    </row>
    <row r="320" spans="4:54">
      <c r="D320" s="806"/>
      <c r="F320" s="806"/>
      <c r="W320" s="806"/>
      <c r="AZ320" s="806"/>
      <c r="BA320" s="806"/>
      <c r="BB320" s="806"/>
    </row>
    <row r="321" spans="4:54">
      <c r="D321" s="806"/>
      <c r="F321" s="806"/>
      <c r="W321" s="806"/>
      <c r="AZ321" s="806"/>
      <c r="BA321" s="806"/>
      <c r="BB321" s="806"/>
    </row>
    <row r="322" spans="4:54">
      <c r="D322" s="806"/>
      <c r="F322" s="806"/>
      <c r="W322" s="806"/>
      <c r="AZ322" s="806"/>
      <c r="BA322" s="806"/>
      <c r="BB322" s="806"/>
    </row>
    <row r="323" spans="4:54">
      <c r="D323" s="806"/>
      <c r="F323" s="806"/>
      <c r="W323" s="806"/>
      <c r="AZ323" s="806"/>
      <c r="BA323" s="806"/>
      <c r="BB323" s="806"/>
    </row>
    <row r="324" spans="4:54">
      <c r="D324" s="806"/>
      <c r="F324" s="806"/>
      <c r="W324" s="806"/>
      <c r="AZ324" s="806"/>
      <c r="BA324" s="806"/>
      <c r="BB324" s="806"/>
    </row>
    <row r="325" spans="4:54">
      <c r="D325" s="806"/>
      <c r="F325" s="806"/>
      <c r="W325" s="806"/>
      <c r="AZ325" s="806"/>
      <c r="BA325" s="806"/>
      <c r="BB325" s="806"/>
    </row>
    <row r="326" spans="4:54">
      <c r="D326" s="806"/>
      <c r="F326" s="806"/>
      <c r="W326" s="806"/>
      <c r="AZ326" s="806"/>
      <c r="BA326" s="806"/>
      <c r="BB326" s="806"/>
    </row>
    <row r="327" spans="4:54">
      <c r="D327" s="806"/>
      <c r="F327" s="806"/>
      <c r="W327" s="806"/>
      <c r="AZ327" s="806"/>
      <c r="BA327" s="806"/>
      <c r="BB327" s="806"/>
    </row>
    <row r="328" spans="4:54">
      <c r="D328" s="806"/>
      <c r="F328" s="806"/>
      <c r="W328" s="806"/>
      <c r="AZ328" s="806"/>
      <c r="BA328" s="806"/>
      <c r="BB328" s="806"/>
    </row>
    <row r="329" spans="4:54">
      <c r="D329" s="806"/>
      <c r="F329" s="806"/>
      <c r="W329" s="806"/>
      <c r="AZ329" s="806"/>
      <c r="BA329" s="806"/>
      <c r="BB329" s="806"/>
    </row>
    <row r="330" spans="4:54">
      <c r="D330" s="806"/>
      <c r="F330" s="806"/>
      <c r="W330" s="806"/>
      <c r="AZ330" s="806"/>
      <c r="BA330" s="806"/>
      <c r="BB330" s="806"/>
    </row>
    <row r="331" spans="4:54">
      <c r="D331" s="806"/>
      <c r="F331" s="806"/>
      <c r="W331" s="806"/>
      <c r="AZ331" s="806"/>
      <c r="BA331" s="806"/>
      <c r="BB331" s="806"/>
    </row>
    <row r="332" spans="4:54">
      <c r="D332" s="806"/>
      <c r="F332" s="806"/>
      <c r="W332" s="806"/>
      <c r="AZ332" s="806"/>
      <c r="BA332" s="806"/>
      <c r="BB332" s="806"/>
    </row>
    <row r="333" spans="4:54">
      <c r="D333" s="806"/>
      <c r="F333" s="806"/>
      <c r="W333" s="806"/>
      <c r="AZ333" s="806"/>
      <c r="BA333" s="806"/>
      <c r="BB333" s="806"/>
    </row>
    <row r="334" spans="4:54">
      <c r="D334" s="806"/>
      <c r="F334" s="806"/>
      <c r="W334" s="806"/>
      <c r="AZ334" s="806"/>
      <c r="BA334" s="806"/>
      <c r="BB334" s="806"/>
    </row>
    <row r="335" spans="4:54">
      <c r="D335" s="806"/>
      <c r="F335" s="806"/>
      <c r="W335" s="806"/>
      <c r="AZ335" s="806"/>
      <c r="BA335" s="806"/>
      <c r="BB335" s="806"/>
    </row>
    <row r="336" spans="4:54">
      <c r="D336" s="806"/>
      <c r="F336" s="806"/>
      <c r="W336" s="806"/>
      <c r="AZ336" s="806"/>
      <c r="BA336" s="806"/>
      <c r="BB336" s="806"/>
    </row>
    <row r="337" spans="4:54">
      <c r="D337" s="806"/>
      <c r="F337" s="806"/>
      <c r="W337" s="806"/>
      <c r="AZ337" s="806"/>
      <c r="BA337" s="806"/>
      <c r="BB337" s="806"/>
    </row>
    <row r="338" spans="4:54">
      <c r="D338" s="806"/>
      <c r="F338" s="806"/>
      <c r="W338" s="806"/>
      <c r="AZ338" s="806"/>
      <c r="BA338" s="806"/>
      <c r="BB338" s="806"/>
    </row>
    <row r="339" spans="4:54">
      <c r="D339" s="806"/>
      <c r="F339" s="806"/>
      <c r="W339" s="806"/>
      <c r="AZ339" s="806"/>
      <c r="BA339" s="806"/>
      <c r="BB339" s="806"/>
    </row>
    <row r="340" spans="4:54">
      <c r="D340" s="806"/>
      <c r="F340" s="806"/>
      <c r="W340" s="806"/>
      <c r="AZ340" s="806"/>
      <c r="BA340" s="806"/>
      <c r="BB340" s="806"/>
    </row>
    <row r="341" spans="4:54">
      <c r="D341" s="806"/>
      <c r="F341" s="806"/>
      <c r="W341" s="806"/>
      <c r="AZ341" s="806"/>
      <c r="BA341" s="806"/>
      <c r="BB341" s="806"/>
    </row>
    <row r="342" spans="4:54">
      <c r="D342" s="806"/>
      <c r="F342" s="806"/>
      <c r="W342" s="806"/>
      <c r="AZ342" s="806"/>
      <c r="BA342" s="806"/>
      <c r="BB342" s="806"/>
    </row>
    <row r="343" spans="4:54">
      <c r="D343" s="806"/>
      <c r="F343" s="806"/>
      <c r="W343" s="806"/>
      <c r="AZ343" s="806"/>
      <c r="BA343" s="806"/>
      <c r="BB343" s="806"/>
    </row>
    <row r="344" spans="4:54">
      <c r="D344" s="806"/>
      <c r="F344" s="806"/>
      <c r="W344" s="806"/>
      <c r="AZ344" s="806"/>
      <c r="BA344" s="806"/>
      <c r="BB344" s="806"/>
    </row>
    <row r="345" spans="4:54">
      <c r="D345" s="806"/>
      <c r="F345" s="806"/>
      <c r="W345" s="806"/>
      <c r="AZ345" s="806"/>
      <c r="BA345" s="806"/>
      <c r="BB345" s="806"/>
    </row>
    <row r="346" spans="4:54">
      <c r="D346" s="806"/>
      <c r="F346" s="806"/>
      <c r="W346" s="806"/>
      <c r="AZ346" s="806"/>
      <c r="BA346" s="806"/>
      <c r="BB346" s="806"/>
    </row>
    <row r="347" spans="4:54">
      <c r="D347" s="806"/>
      <c r="F347" s="806"/>
      <c r="W347" s="806"/>
      <c r="AZ347" s="806"/>
      <c r="BA347" s="806"/>
      <c r="BB347" s="806"/>
    </row>
    <row r="348" spans="4:54">
      <c r="D348" s="806"/>
      <c r="F348" s="806"/>
      <c r="W348" s="806"/>
      <c r="AZ348" s="806"/>
      <c r="BA348" s="806"/>
      <c r="BB348" s="806"/>
    </row>
    <row r="349" spans="4:54">
      <c r="D349" s="806"/>
      <c r="F349" s="806"/>
      <c r="W349" s="806"/>
      <c r="AZ349" s="806"/>
      <c r="BA349" s="806"/>
      <c r="BB349" s="806"/>
    </row>
    <row r="350" spans="4:54">
      <c r="D350" s="806"/>
      <c r="F350" s="806"/>
      <c r="W350" s="806"/>
      <c r="AZ350" s="806"/>
      <c r="BA350" s="806"/>
      <c r="BB350" s="806"/>
    </row>
    <row r="351" spans="4:54">
      <c r="D351" s="806"/>
      <c r="F351" s="806"/>
      <c r="W351" s="806"/>
      <c r="AZ351" s="806"/>
      <c r="BA351" s="806"/>
      <c r="BB351" s="806"/>
    </row>
    <row r="352" spans="4:54">
      <c r="D352" s="806"/>
      <c r="F352" s="806"/>
      <c r="W352" s="806"/>
      <c r="AZ352" s="806"/>
      <c r="BA352" s="806"/>
      <c r="BB352" s="806"/>
    </row>
    <row r="364" spans="4:54">
      <c r="D364" s="806"/>
      <c r="F364" s="806"/>
      <c r="W364" s="806"/>
      <c r="AZ364" s="806"/>
      <c r="BA364" s="806"/>
      <c r="BB364" s="806"/>
    </row>
    <row r="365" spans="4:54">
      <c r="D365" s="806"/>
      <c r="F365" s="806"/>
      <c r="W365" s="806"/>
      <c r="AZ365" s="806"/>
      <c r="BA365" s="806"/>
      <c r="BB365" s="806"/>
    </row>
    <row r="366" spans="4:54">
      <c r="D366" s="806"/>
      <c r="F366" s="806"/>
      <c r="W366" s="806"/>
      <c r="AZ366" s="806"/>
      <c r="BA366" s="806"/>
      <c r="BB366" s="806"/>
    </row>
    <row r="367" spans="4:54">
      <c r="D367" s="806"/>
      <c r="F367" s="806"/>
      <c r="W367" s="806"/>
      <c r="AZ367" s="806"/>
      <c r="BA367" s="806"/>
      <c r="BB367" s="806"/>
    </row>
    <row r="368" spans="4:54">
      <c r="D368" s="806"/>
      <c r="F368" s="806"/>
      <c r="W368" s="806"/>
      <c r="AZ368" s="806"/>
      <c r="BA368" s="806"/>
      <c r="BB368" s="806"/>
    </row>
    <row r="369" spans="4:54">
      <c r="D369" s="806"/>
      <c r="F369" s="806"/>
      <c r="W369" s="806"/>
      <c r="AZ369" s="806"/>
      <c r="BA369" s="806"/>
      <c r="BB369" s="806"/>
    </row>
    <row r="370" spans="4:54">
      <c r="D370" s="806"/>
      <c r="F370" s="806"/>
      <c r="W370" s="806"/>
      <c r="AZ370" s="806"/>
      <c r="BA370" s="806"/>
      <c r="BB370" s="806"/>
    </row>
    <row r="371" spans="4:54">
      <c r="D371" s="806"/>
      <c r="F371" s="806"/>
      <c r="W371" s="806"/>
      <c r="AZ371" s="806"/>
      <c r="BA371" s="806"/>
      <c r="BB371" s="806"/>
    </row>
    <row r="372" spans="4:54">
      <c r="D372" s="806"/>
      <c r="F372" s="806"/>
      <c r="W372" s="806"/>
      <c r="AZ372" s="806"/>
      <c r="BA372" s="806"/>
      <c r="BB372" s="806"/>
    </row>
    <row r="373" spans="4:54">
      <c r="D373" s="806"/>
      <c r="F373" s="806"/>
      <c r="W373" s="806"/>
      <c r="AZ373" s="806"/>
      <c r="BA373" s="806"/>
      <c r="BB373" s="806"/>
    </row>
    <row r="374" spans="4:54">
      <c r="D374" s="806"/>
      <c r="F374" s="806"/>
      <c r="W374" s="806"/>
      <c r="AZ374" s="806"/>
      <c r="BA374" s="806"/>
      <c r="BB374" s="806"/>
    </row>
    <row r="375" spans="4:54">
      <c r="D375" s="806"/>
      <c r="F375" s="806"/>
      <c r="W375" s="806"/>
      <c r="AZ375" s="806"/>
      <c r="BA375" s="806"/>
      <c r="BB375" s="806"/>
    </row>
    <row r="376" spans="4:54">
      <c r="D376" s="806"/>
      <c r="F376" s="806"/>
      <c r="W376" s="806"/>
      <c r="AZ376" s="806"/>
      <c r="BA376" s="806"/>
      <c r="BB376" s="806"/>
    </row>
    <row r="377" spans="4:54">
      <c r="D377" s="806"/>
      <c r="F377" s="806"/>
      <c r="W377" s="806"/>
      <c r="AZ377" s="806"/>
      <c r="BA377" s="806"/>
      <c r="BB377" s="806"/>
    </row>
    <row r="378" spans="4:54">
      <c r="D378" s="806"/>
      <c r="F378" s="806"/>
      <c r="W378" s="806"/>
      <c r="AZ378" s="806"/>
      <c r="BA378" s="806"/>
      <c r="BB378" s="806"/>
    </row>
    <row r="379" spans="4:54">
      <c r="D379" s="806"/>
      <c r="F379" s="806"/>
      <c r="W379" s="806"/>
      <c r="AZ379" s="806"/>
      <c r="BA379" s="806"/>
      <c r="BB379" s="806"/>
    </row>
    <row r="380" spans="4:54">
      <c r="D380" s="806"/>
      <c r="F380" s="806"/>
      <c r="W380" s="806"/>
      <c r="AZ380" s="806"/>
      <c r="BA380" s="806"/>
      <c r="BB380" s="806"/>
    </row>
    <row r="381" spans="4:54">
      <c r="D381" s="806"/>
      <c r="F381" s="806"/>
      <c r="W381" s="806"/>
      <c r="AZ381" s="806"/>
      <c r="BA381" s="806"/>
      <c r="BB381" s="806"/>
    </row>
    <row r="382" spans="4:54">
      <c r="D382" s="806"/>
      <c r="F382" s="806"/>
      <c r="W382" s="806"/>
      <c r="AZ382" s="806"/>
      <c r="BA382" s="806"/>
      <c r="BB382" s="806"/>
    </row>
    <row r="383" spans="4:54">
      <c r="D383" s="806"/>
      <c r="F383" s="806"/>
      <c r="W383" s="806"/>
      <c r="AZ383" s="806"/>
      <c r="BA383" s="806"/>
      <c r="BB383" s="806"/>
    </row>
    <row r="384" spans="4:54">
      <c r="D384" s="806"/>
      <c r="F384" s="806"/>
      <c r="W384" s="806"/>
      <c r="AZ384" s="806"/>
      <c r="BA384" s="806"/>
      <c r="BB384" s="806"/>
    </row>
    <row r="385" spans="4:54">
      <c r="D385" s="806"/>
      <c r="F385" s="806"/>
      <c r="W385" s="806"/>
      <c r="AZ385" s="806"/>
      <c r="BA385" s="806"/>
      <c r="BB385" s="806"/>
    </row>
    <row r="386" spans="4:54">
      <c r="D386" s="806"/>
      <c r="F386" s="806"/>
      <c r="W386" s="806"/>
      <c r="AZ386" s="806"/>
      <c r="BA386" s="806"/>
      <c r="BB386" s="806"/>
    </row>
    <row r="387" spans="4:54">
      <c r="D387" s="806"/>
      <c r="F387" s="806"/>
      <c r="W387" s="806"/>
      <c r="AZ387" s="806"/>
      <c r="BA387" s="806"/>
      <c r="BB387" s="806"/>
    </row>
    <row r="388" spans="4:54">
      <c r="D388" s="806"/>
      <c r="F388" s="806"/>
      <c r="W388" s="806"/>
      <c r="AZ388" s="806"/>
      <c r="BA388" s="806"/>
      <c r="BB388" s="806"/>
    </row>
    <row r="389" spans="4:54">
      <c r="D389" s="806"/>
      <c r="F389" s="806"/>
      <c r="W389" s="806"/>
      <c r="AZ389" s="806"/>
      <c r="BA389" s="806"/>
      <c r="BB389" s="806"/>
    </row>
    <row r="390" spans="4:54">
      <c r="D390" s="806"/>
      <c r="F390" s="806"/>
      <c r="W390" s="806"/>
      <c r="AZ390" s="806"/>
      <c r="BA390" s="806"/>
      <c r="BB390" s="806"/>
    </row>
    <row r="391" spans="4:54">
      <c r="D391" s="806"/>
      <c r="F391" s="806"/>
      <c r="W391" s="806"/>
      <c r="AZ391" s="806"/>
      <c r="BA391" s="806"/>
      <c r="BB391" s="806"/>
    </row>
    <row r="392" spans="4:54">
      <c r="D392" s="806"/>
      <c r="F392" s="806"/>
      <c r="W392" s="806"/>
      <c r="AZ392" s="806"/>
      <c r="BA392" s="806"/>
      <c r="BB392" s="806"/>
    </row>
    <row r="393" spans="4:54">
      <c r="D393" s="806"/>
      <c r="F393" s="806"/>
      <c r="W393" s="806"/>
      <c r="AZ393" s="806"/>
      <c r="BA393" s="806"/>
      <c r="BB393" s="806"/>
    </row>
    <row r="394" spans="4:54">
      <c r="D394" s="806"/>
      <c r="F394" s="806"/>
      <c r="W394" s="806"/>
      <c r="AZ394" s="806"/>
      <c r="BA394" s="806"/>
      <c r="BB394" s="806"/>
    </row>
    <row r="395" spans="4:54">
      <c r="D395" s="806"/>
      <c r="F395" s="806"/>
      <c r="W395" s="806"/>
      <c r="AZ395" s="806"/>
      <c r="BA395" s="806"/>
      <c r="BB395" s="806"/>
    </row>
    <row r="396" spans="4:54">
      <c r="D396" s="806"/>
      <c r="F396" s="806"/>
      <c r="W396" s="806"/>
      <c r="AZ396" s="806"/>
      <c r="BA396" s="806"/>
      <c r="BB396" s="806"/>
    </row>
    <row r="397" spans="4:54">
      <c r="D397" s="806"/>
      <c r="F397" s="806"/>
      <c r="W397" s="806"/>
      <c r="AZ397" s="806"/>
      <c r="BA397" s="806"/>
      <c r="BB397" s="806"/>
    </row>
    <row r="398" spans="4:54">
      <c r="D398" s="806"/>
      <c r="F398" s="806"/>
      <c r="W398" s="806"/>
      <c r="AZ398" s="806"/>
      <c r="BA398" s="806"/>
      <c r="BB398" s="806"/>
    </row>
    <row r="399" spans="4:54">
      <c r="D399" s="806"/>
      <c r="F399" s="806"/>
      <c r="W399" s="806"/>
      <c r="AZ399" s="806"/>
      <c r="BA399" s="806"/>
      <c r="BB399" s="806"/>
    </row>
    <row r="400" spans="4:54">
      <c r="D400" s="806"/>
      <c r="F400" s="806"/>
      <c r="W400" s="806"/>
      <c r="AZ400" s="806"/>
      <c r="BA400" s="806"/>
      <c r="BB400" s="806"/>
    </row>
    <row r="401" spans="4:54">
      <c r="D401" s="806"/>
      <c r="F401" s="806"/>
      <c r="W401" s="806"/>
      <c r="AZ401" s="806"/>
      <c r="BA401" s="806"/>
      <c r="BB401" s="806"/>
    </row>
    <row r="402" spans="4:54">
      <c r="D402" s="806"/>
      <c r="F402" s="806"/>
      <c r="W402" s="806"/>
      <c r="AZ402" s="806"/>
      <c r="BA402" s="806"/>
      <c r="BB402" s="806"/>
    </row>
    <row r="403" spans="4:54">
      <c r="D403" s="806"/>
      <c r="F403" s="806"/>
      <c r="W403" s="806"/>
      <c r="AZ403" s="806"/>
      <c r="BA403" s="806"/>
      <c r="BB403" s="806"/>
    </row>
    <row r="404" spans="4:54">
      <c r="D404" s="806"/>
      <c r="F404" s="806"/>
      <c r="W404" s="806"/>
      <c r="AZ404" s="806"/>
      <c r="BA404" s="806"/>
      <c r="BB404" s="806"/>
    </row>
    <row r="405" spans="4:54">
      <c r="D405" s="806"/>
      <c r="F405" s="806"/>
      <c r="W405" s="806"/>
      <c r="AZ405" s="806"/>
      <c r="BA405" s="806"/>
      <c r="BB405" s="806"/>
    </row>
    <row r="406" spans="4:54">
      <c r="D406" s="806"/>
      <c r="F406" s="806"/>
      <c r="W406" s="806"/>
      <c r="AZ406" s="806"/>
      <c r="BA406" s="806"/>
      <c r="BB406" s="806"/>
    </row>
    <row r="407" spans="4:54">
      <c r="D407" s="806"/>
      <c r="F407" s="806"/>
      <c r="W407" s="806"/>
      <c r="AZ407" s="806"/>
      <c r="BA407" s="806"/>
      <c r="BB407" s="806"/>
    </row>
    <row r="408" spans="4:54">
      <c r="D408" s="806"/>
      <c r="F408" s="806"/>
      <c r="W408" s="806"/>
      <c r="AZ408" s="806"/>
      <c r="BA408" s="806"/>
      <c r="BB408" s="806"/>
    </row>
    <row r="409" spans="4:54">
      <c r="D409" s="806"/>
      <c r="F409" s="806"/>
      <c r="W409" s="806"/>
      <c r="AZ409" s="806"/>
      <c r="BA409" s="806"/>
      <c r="BB409" s="806"/>
    </row>
    <row r="410" spans="4:54">
      <c r="D410" s="806"/>
      <c r="F410" s="806"/>
      <c r="W410" s="806"/>
      <c r="AZ410" s="806"/>
      <c r="BA410" s="806"/>
      <c r="BB410" s="806"/>
    </row>
    <row r="411" spans="4:54">
      <c r="D411" s="806"/>
      <c r="F411" s="806"/>
      <c r="W411" s="806"/>
      <c r="AZ411" s="806"/>
      <c r="BA411" s="806"/>
      <c r="BB411" s="806"/>
    </row>
    <row r="412" spans="4:54">
      <c r="D412" s="806"/>
      <c r="F412" s="806"/>
      <c r="W412" s="806"/>
      <c r="AZ412" s="806"/>
      <c r="BA412" s="806"/>
      <c r="BB412" s="806"/>
    </row>
    <row r="413" spans="4:54">
      <c r="D413" s="806"/>
      <c r="F413" s="806"/>
      <c r="W413" s="806"/>
      <c r="AZ413" s="806"/>
      <c r="BA413" s="806"/>
      <c r="BB413" s="806"/>
    </row>
    <row r="414" spans="4:54">
      <c r="D414" s="806"/>
      <c r="F414" s="806"/>
      <c r="W414" s="806"/>
      <c r="AZ414" s="806"/>
      <c r="BA414" s="806"/>
      <c r="BB414" s="806"/>
    </row>
    <row r="415" spans="4:54">
      <c r="D415" s="806"/>
      <c r="F415" s="806"/>
      <c r="W415" s="806"/>
      <c r="AZ415" s="806"/>
      <c r="BA415" s="806"/>
      <c r="BB415" s="806"/>
    </row>
    <row r="416" spans="4:54">
      <c r="D416" s="806"/>
      <c r="F416" s="806"/>
      <c r="W416" s="806"/>
      <c r="AZ416" s="806"/>
      <c r="BA416" s="806"/>
      <c r="BB416" s="806"/>
    </row>
    <row r="417" spans="4:54">
      <c r="D417" s="806"/>
      <c r="F417" s="806"/>
      <c r="W417" s="806"/>
      <c r="AZ417" s="806"/>
      <c r="BA417" s="806"/>
      <c r="BB417" s="806"/>
    </row>
    <row r="418" spans="4:54">
      <c r="D418" s="806"/>
      <c r="F418" s="806"/>
      <c r="W418" s="806"/>
      <c r="AZ418" s="806"/>
      <c r="BA418" s="806"/>
      <c r="BB418" s="806"/>
    </row>
    <row r="419" spans="4:54">
      <c r="D419" s="806"/>
      <c r="F419" s="806"/>
      <c r="W419" s="806"/>
      <c r="AZ419" s="806"/>
      <c r="BA419" s="806"/>
      <c r="BB419" s="806"/>
    </row>
    <row r="420" spans="4:54">
      <c r="D420" s="806"/>
      <c r="F420" s="806"/>
      <c r="W420" s="806"/>
      <c r="AZ420" s="806"/>
      <c r="BA420" s="806"/>
      <c r="BB420" s="806"/>
    </row>
    <row r="421" spans="4:54">
      <c r="D421" s="806"/>
      <c r="F421" s="806"/>
      <c r="W421" s="806"/>
      <c r="AZ421" s="806"/>
      <c r="BA421" s="806"/>
      <c r="BB421" s="806"/>
    </row>
    <row r="422" spans="4:54">
      <c r="D422" s="806"/>
      <c r="F422" s="806"/>
      <c r="W422" s="806"/>
      <c r="AZ422" s="806"/>
      <c r="BA422" s="806"/>
      <c r="BB422" s="806"/>
    </row>
    <row r="423" spans="4:54">
      <c r="D423" s="806"/>
      <c r="F423" s="806"/>
      <c r="W423" s="806"/>
      <c r="AZ423" s="806"/>
      <c r="BA423" s="806"/>
      <c r="BB423" s="806"/>
    </row>
    <row r="424" spans="4:54">
      <c r="D424" s="806"/>
      <c r="F424" s="806"/>
      <c r="W424" s="806"/>
      <c r="AZ424" s="806"/>
      <c r="BA424" s="806"/>
      <c r="BB424" s="806"/>
    </row>
    <row r="425" spans="4:54">
      <c r="D425" s="806"/>
      <c r="F425" s="806"/>
      <c r="W425" s="806"/>
      <c r="AZ425" s="806"/>
      <c r="BA425" s="806"/>
      <c r="BB425" s="806"/>
    </row>
    <row r="426" spans="4:54">
      <c r="D426" s="806"/>
      <c r="F426" s="806"/>
      <c r="W426" s="806"/>
      <c r="AZ426" s="806"/>
      <c r="BA426" s="806"/>
      <c r="BB426" s="806"/>
    </row>
    <row r="427" spans="4:54">
      <c r="D427" s="806"/>
      <c r="F427" s="806"/>
      <c r="W427" s="806"/>
      <c r="AZ427" s="806"/>
      <c r="BA427" s="806"/>
      <c r="BB427" s="806"/>
    </row>
    <row r="428" spans="4:54">
      <c r="D428" s="806"/>
      <c r="F428" s="806"/>
      <c r="W428" s="806"/>
      <c r="AZ428" s="806"/>
      <c r="BA428" s="806"/>
      <c r="BB428" s="806"/>
    </row>
    <row r="429" spans="4:54">
      <c r="D429" s="806"/>
      <c r="F429" s="806"/>
      <c r="W429" s="806"/>
      <c r="AZ429" s="806"/>
      <c r="BA429" s="806"/>
      <c r="BB429" s="806"/>
    </row>
    <row r="430" spans="4:54">
      <c r="D430" s="806"/>
      <c r="F430" s="806"/>
      <c r="W430" s="806"/>
      <c r="AZ430" s="806"/>
      <c r="BA430" s="806"/>
      <c r="BB430" s="806"/>
    </row>
    <row r="431" spans="4:54">
      <c r="D431" s="806"/>
      <c r="F431" s="806"/>
      <c r="W431" s="806"/>
      <c r="AZ431" s="806"/>
      <c r="BA431" s="806"/>
      <c r="BB431" s="806"/>
    </row>
    <row r="432" spans="4:54">
      <c r="D432" s="806"/>
      <c r="F432" s="806"/>
      <c r="W432" s="806"/>
      <c r="AZ432" s="806"/>
      <c r="BA432" s="806"/>
      <c r="BB432" s="806"/>
    </row>
    <row r="433" spans="4:54">
      <c r="D433" s="806"/>
      <c r="F433" s="806"/>
      <c r="W433" s="806"/>
      <c r="AZ433" s="806"/>
      <c r="BA433" s="806"/>
      <c r="BB433" s="806"/>
    </row>
    <row r="434" spans="4:54">
      <c r="D434" s="806"/>
      <c r="F434" s="806"/>
      <c r="W434" s="806"/>
      <c r="AZ434" s="806"/>
      <c r="BA434" s="806"/>
      <c r="BB434" s="806"/>
    </row>
    <row r="435" spans="4:54">
      <c r="D435" s="806"/>
      <c r="F435" s="806"/>
      <c r="W435" s="806"/>
      <c r="AZ435" s="806"/>
      <c r="BA435" s="806"/>
      <c r="BB435" s="806"/>
    </row>
    <row r="436" spans="4:54">
      <c r="D436" s="806"/>
      <c r="F436" s="806"/>
      <c r="W436" s="806"/>
      <c r="AZ436" s="806"/>
      <c r="BA436" s="806"/>
      <c r="BB436" s="806"/>
    </row>
    <row r="437" spans="4:54">
      <c r="D437" s="806"/>
      <c r="F437" s="806"/>
      <c r="W437" s="806"/>
      <c r="AZ437" s="806"/>
      <c r="BA437" s="806"/>
      <c r="BB437" s="806"/>
    </row>
    <row r="438" spans="4:54">
      <c r="D438" s="806"/>
      <c r="F438" s="806"/>
      <c r="W438" s="806"/>
      <c r="AZ438" s="806"/>
      <c r="BA438" s="806"/>
      <c r="BB438" s="806"/>
    </row>
    <row r="439" spans="4:54">
      <c r="D439" s="806"/>
      <c r="F439" s="806"/>
      <c r="W439" s="806"/>
      <c r="AZ439" s="806"/>
      <c r="BA439" s="806"/>
      <c r="BB439" s="806"/>
    </row>
    <row r="440" spans="4:54">
      <c r="D440" s="806"/>
      <c r="F440" s="806"/>
      <c r="W440" s="806"/>
      <c r="AZ440" s="806"/>
      <c r="BA440" s="806"/>
      <c r="BB440" s="806"/>
    </row>
    <row r="441" spans="4:54">
      <c r="D441" s="806"/>
      <c r="F441" s="806"/>
      <c r="W441" s="806"/>
      <c r="AZ441" s="806"/>
      <c r="BA441" s="806"/>
      <c r="BB441" s="806"/>
    </row>
    <row r="442" spans="4:54">
      <c r="D442" s="806"/>
      <c r="F442" s="806"/>
      <c r="W442" s="806"/>
      <c r="AZ442" s="806"/>
      <c r="BA442" s="806"/>
      <c r="BB442" s="806"/>
    </row>
    <row r="443" spans="4:54">
      <c r="D443" s="806"/>
      <c r="F443" s="806"/>
      <c r="W443" s="806"/>
      <c r="AZ443" s="806"/>
      <c r="BA443" s="806"/>
      <c r="BB443" s="806"/>
    </row>
    <row r="444" spans="4:54">
      <c r="D444" s="806"/>
      <c r="F444" s="806"/>
      <c r="W444" s="806"/>
      <c r="AZ444" s="806"/>
      <c r="BA444" s="806"/>
      <c r="BB444" s="806"/>
    </row>
    <row r="445" spans="4:54">
      <c r="D445" s="806"/>
      <c r="F445" s="806"/>
      <c r="W445" s="806"/>
      <c r="AZ445" s="806"/>
      <c r="BA445" s="806"/>
      <c r="BB445" s="806"/>
    </row>
    <row r="446" spans="4:54">
      <c r="D446" s="806"/>
      <c r="F446" s="806"/>
      <c r="W446" s="806"/>
      <c r="AZ446" s="806"/>
      <c r="BA446" s="806"/>
      <c r="BB446" s="806"/>
    </row>
    <row r="447" spans="4:54">
      <c r="D447" s="806"/>
      <c r="F447" s="806"/>
      <c r="W447" s="806"/>
      <c r="AZ447" s="806"/>
      <c r="BA447" s="806"/>
      <c r="BB447" s="806"/>
    </row>
    <row r="448" spans="4:54">
      <c r="D448" s="806"/>
      <c r="F448" s="806"/>
      <c r="W448" s="806"/>
      <c r="AZ448" s="806"/>
      <c r="BA448" s="806"/>
      <c r="BB448" s="806"/>
    </row>
    <row r="449" spans="4:54">
      <c r="D449" s="806"/>
      <c r="F449" s="806"/>
      <c r="W449" s="806"/>
      <c r="AZ449" s="806"/>
      <c r="BA449" s="806"/>
      <c r="BB449" s="806"/>
    </row>
    <row r="450" spans="4:54">
      <c r="D450" s="806"/>
      <c r="F450" s="806"/>
      <c r="W450" s="806"/>
      <c r="AZ450" s="806"/>
      <c r="BA450" s="806"/>
      <c r="BB450" s="806"/>
    </row>
    <row r="451" spans="4:54">
      <c r="D451" s="806"/>
      <c r="F451" s="806"/>
      <c r="W451" s="806"/>
      <c r="AZ451" s="806"/>
      <c r="BA451" s="806"/>
      <c r="BB451" s="806"/>
    </row>
    <row r="452" spans="4:54">
      <c r="D452" s="806"/>
      <c r="F452" s="806"/>
      <c r="W452" s="806"/>
      <c r="AZ452" s="806"/>
      <c r="BA452" s="806"/>
      <c r="BB452" s="806"/>
    </row>
    <row r="453" spans="4:54">
      <c r="D453" s="806"/>
      <c r="F453" s="806"/>
      <c r="W453" s="806"/>
      <c r="AZ453" s="806"/>
      <c r="BA453" s="806"/>
      <c r="BB453" s="806"/>
    </row>
    <row r="454" spans="4:54">
      <c r="D454" s="806"/>
      <c r="F454" s="806"/>
      <c r="W454" s="806"/>
      <c r="AZ454" s="806"/>
      <c r="BA454" s="806"/>
      <c r="BB454" s="806"/>
    </row>
    <row r="455" spans="4:54">
      <c r="D455" s="806"/>
      <c r="F455" s="806"/>
      <c r="W455" s="806"/>
      <c r="AZ455" s="806"/>
      <c r="BA455" s="806"/>
      <c r="BB455" s="806"/>
    </row>
    <row r="456" spans="4:54">
      <c r="D456" s="806"/>
      <c r="F456" s="806"/>
      <c r="W456" s="806"/>
      <c r="AZ456" s="806"/>
      <c r="BA456" s="806"/>
      <c r="BB456" s="806"/>
    </row>
    <row r="457" spans="4:54">
      <c r="D457" s="806"/>
      <c r="F457" s="806"/>
      <c r="W457" s="806"/>
      <c r="AZ457" s="806"/>
      <c r="BA457" s="806"/>
      <c r="BB457" s="806"/>
    </row>
    <row r="458" spans="4:54">
      <c r="D458" s="806"/>
      <c r="F458" s="806"/>
      <c r="W458" s="806"/>
      <c r="AZ458" s="806"/>
      <c r="BA458" s="806"/>
      <c r="BB458" s="806"/>
    </row>
    <row r="459" spans="4:54">
      <c r="D459" s="806"/>
      <c r="F459" s="806"/>
      <c r="W459" s="806"/>
      <c r="AZ459" s="806"/>
      <c r="BA459" s="806"/>
      <c r="BB459" s="806"/>
    </row>
    <row r="460" spans="4:54">
      <c r="D460" s="806"/>
      <c r="F460" s="806"/>
      <c r="W460" s="806"/>
      <c r="AZ460" s="806"/>
      <c r="BA460" s="806"/>
      <c r="BB460" s="806"/>
    </row>
    <row r="461" spans="4:54">
      <c r="D461" s="806"/>
      <c r="F461" s="806"/>
      <c r="W461" s="806"/>
      <c r="AZ461" s="806"/>
      <c r="BA461" s="806"/>
      <c r="BB461" s="806"/>
    </row>
    <row r="462" spans="4:54">
      <c r="D462" s="806"/>
      <c r="F462" s="806"/>
      <c r="W462" s="806"/>
      <c r="AZ462" s="806"/>
      <c r="BA462" s="806"/>
      <c r="BB462" s="806"/>
    </row>
    <row r="463" spans="4:54">
      <c r="D463" s="806"/>
      <c r="F463" s="806"/>
      <c r="W463" s="806"/>
      <c r="AZ463" s="806"/>
      <c r="BA463" s="806"/>
      <c r="BB463" s="806"/>
    </row>
    <row r="464" spans="4:54">
      <c r="D464" s="806"/>
      <c r="F464" s="806"/>
      <c r="W464" s="806"/>
      <c r="AZ464" s="806"/>
      <c r="BA464" s="806"/>
      <c r="BB464" s="806"/>
    </row>
    <row r="465" spans="4:54">
      <c r="D465" s="806"/>
      <c r="F465" s="806"/>
      <c r="W465" s="806"/>
      <c r="AZ465" s="806"/>
      <c r="BA465" s="806"/>
      <c r="BB465" s="806"/>
    </row>
    <row r="466" spans="4:54">
      <c r="D466" s="806"/>
      <c r="F466" s="806"/>
      <c r="W466" s="806"/>
      <c r="AZ466" s="806"/>
      <c r="BA466" s="806"/>
      <c r="BB466" s="806"/>
    </row>
    <row r="467" spans="4:54">
      <c r="D467" s="806"/>
      <c r="F467" s="806"/>
      <c r="W467" s="806"/>
      <c r="AZ467" s="806"/>
      <c r="BA467" s="806"/>
      <c r="BB467" s="806"/>
    </row>
    <row r="468" spans="4:54">
      <c r="D468" s="806"/>
      <c r="F468" s="806"/>
      <c r="W468" s="806"/>
      <c r="AZ468" s="806"/>
      <c r="BA468" s="806"/>
      <c r="BB468" s="806"/>
    </row>
    <row r="469" spans="4:54">
      <c r="D469" s="806"/>
      <c r="F469" s="806"/>
      <c r="W469" s="806"/>
      <c r="AZ469" s="806"/>
      <c r="BA469" s="806"/>
      <c r="BB469" s="806"/>
    </row>
    <row r="470" spans="4:54">
      <c r="D470" s="806"/>
      <c r="F470" s="806"/>
      <c r="W470" s="806"/>
      <c r="AZ470" s="806"/>
      <c r="BA470" s="806"/>
      <c r="BB470" s="806"/>
    </row>
    <row r="471" spans="4:54">
      <c r="D471" s="806"/>
      <c r="F471" s="806"/>
      <c r="W471" s="806"/>
      <c r="AZ471" s="806"/>
      <c r="BA471" s="806"/>
      <c r="BB471" s="806"/>
    </row>
    <row r="472" spans="4:54">
      <c r="D472" s="806"/>
      <c r="F472" s="806"/>
      <c r="W472" s="806"/>
      <c r="AZ472" s="806"/>
      <c r="BA472" s="806"/>
      <c r="BB472" s="806"/>
    </row>
    <row r="473" spans="4:54">
      <c r="D473" s="806"/>
      <c r="F473" s="806"/>
      <c r="W473" s="806"/>
      <c r="AZ473" s="806"/>
      <c r="BA473" s="806"/>
      <c r="BB473" s="806"/>
    </row>
    <row r="474" spans="4:54">
      <c r="D474" s="806"/>
      <c r="F474" s="806"/>
      <c r="W474" s="806"/>
      <c r="AZ474" s="806"/>
      <c r="BA474" s="806"/>
      <c r="BB474" s="806"/>
    </row>
    <row r="475" spans="4:54">
      <c r="D475" s="806"/>
      <c r="F475" s="806"/>
      <c r="W475" s="806"/>
      <c r="AZ475" s="806"/>
      <c r="BA475" s="806"/>
      <c r="BB475" s="806"/>
    </row>
    <row r="476" spans="4:54">
      <c r="D476" s="806"/>
      <c r="F476" s="806"/>
      <c r="W476" s="806"/>
      <c r="AZ476" s="806"/>
      <c r="BA476" s="806"/>
      <c r="BB476" s="806"/>
    </row>
    <row r="477" spans="4:54">
      <c r="D477" s="806"/>
      <c r="F477" s="806"/>
      <c r="W477" s="806"/>
      <c r="AZ477" s="806"/>
      <c r="BA477" s="806"/>
      <c r="BB477" s="806"/>
    </row>
    <row r="478" spans="4:54">
      <c r="D478" s="806"/>
      <c r="F478" s="806"/>
      <c r="W478" s="806"/>
      <c r="AZ478" s="806"/>
      <c r="BA478" s="806"/>
      <c r="BB478" s="806"/>
    </row>
    <row r="479" spans="4:54">
      <c r="D479" s="806"/>
      <c r="F479" s="806"/>
      <c r="W479" s="806"/>
      <c r="AZ479" s="806"/>
      <c r="BA479" s="806"/>
      <c r="BB479" s="806"/>
    </row>
    <row r="480" spans="4:54">
      <c r="D480" s="806"/>
      <c r="F480" s="806"/>
      <c r="W480" s="806"/>
      <c r="AZ480" s="806"/>
      <c r="BA480" s="806"/>
      <c r="BB480" s="806"/>
    </row>
    <row r="481" spans="4:54">
      <c r="D481" s="806"/>
      <c r="F481" s="806"/>
      <c r="W481" s="806"/>
      <c r="AZ481" s="806"/>
      <c r="BA481" s="806"/>
      <c r="BB481" s="806"/>
    </row>
    <row r="482" spans="4:54">
      <c r="D482" s="806"/>
      <c r="F482" s="806"/>
      <c r="W482" s="806"/>
      <c r="AZ482" s="806"/>
      <c r="BA482" s="806"/>
      <c r="BB482" s="806"/>
    </row>
    <row r="483" spans="4:54">
      <c r="D483" s="806"/>
      <c r="F483" s="806"/>
      <c r="W483" s="806"/>
      <c r="AZ483" s="806"/>
      <c r="BA483" s="806"/>
      <c r="BB483" s="806"/>
    </row>
    <row r="484" spans="4:54">
      <c r="D484" s="806"/>
      <c r="F484" s="806"/>
      <c r="W484" s="806"/>
      <c r="AZ484" s="806"/>
      <c r="BA484" s="806"/>
      <c r="BB484" s="806"/>
    </row>
    <row r="485" spans="4:54">
      <c r="D485" s="806"/>
      <c r="F485" s="806"/>
      <c r="W485" s="806"/>
      <c r="AZ485" s="806"/>
      <c r="BA485" s="806"/>
      <c r="BB485" s="806"/>
    </row>
    <row r="486" spans="4:54">
      <c r="D486" s="806"/>
      <c r="F486" s="806"/>
      <c r="W486" s="806"/>
      <c r="AZ486" s="806"/>
      <c r="BA486" s="806"/>
      <c r="BB486" s="806"/>
    </row>
    <row r="487" spans="4:54">
      <c r="D487" s="806"/>
      <c r="F487" s="806"/>
      <c r="W487" s="806"/>
      <c r="AZ487" s="806"/>
      <c r="BA487" s="806"/>
      <c r="BB487" s="806"/>
    </row>
    <row r="488" spans="4:54">
      <c r="D488" s="806"/>
      <c r="F488" s="806"/>
      <c r="W488" s="806"/>
      <c r="AZ488" s="806"/>
      <c r="BA488" s="806"/>
      <c r="BB488" s="806"/>
    </row>
    <row r="489" spans="4:54">
      <c r="D489" s="806"/>
      <c r="F489" s="806"/>
      <c r="W489" s="806"/>
      <c r="AZ489" s="806"/>
      <c r="BA489" s="806"/>
      <c r="BB489" s="806"/>
    </row>
    <row r="490" spans="4:54">
      <c r="D490" s="806"/>
      <c r="F490" s="806"/>
      <c r="W490" s="806"/>
      <c r="AZ490" s="806"/>
      <c r="BA490" s="806"/>
      <c r="BB490" s="806"/>
    </row>
    <row r="491" spans="4:54">
      <c r="D491" s="806"/>
      <c r="F491" s="806"/>
      <c r="W491" s="806"/>
      <c r="AZ491" s="806"/>
      <c r="BA491" s="806"/>
      <c r="BB491" s="806"/>
    </row>
    <row r="492" spans="4:54">
      <c r="D492" s="806"/>
      <c r="F492" s="806"/>
      <c r="W492" s="806"/>
      <c r="AZ492" s="806"/>
      <c r="BA492" s="806"/>
      <c r="BB492" s="806"/>
    </row>
    <row r="493" spans="4:54">
      <c r="D493" s="806"/>
      <c r="F493" s="806"/>
      <c r="W493" s="806"/>
      <c r="AZ493" s="806"/>
      <c r="BA493" s="806"/>
      <c r="BB493" s="806"/>
    </row>
    <row r="494" spans="4:54">
      <c r="D494" s="806"/>
      <c r="F494" s="806"/>
      <c r="W494" s="806"/>
      <c r="AZ494" s="806"/>
      <c r="BA494" s="806"/>
      <c r="BB494" s="806"/>
    </row>
    <row r="495" spans="4:54">
      <c r="D495" s="806"/>
      <c r="F495" s="806"/>
      <c r="W495" s="806"/>
      <c r="AZ495" s="806"/>
      <c r="BA495" s="806"/>
      <c r="BB495" s="806"/>
    </row>
    <row r="496" spans="4:54">
      <c r="D496" s="806"/>
      <c r="F496" s="806"/>
      <c r="W496" s="806"/>
      <c r="AZ496" s="806"/>
      <c r="BA496" s="806"/>
      <c r="BB496" s="806"/>
    </row>
    <row r="497" spans="4:54">
      <c r="D497" s="806"/>
      <c r="F497" s="806"/>
      <c r="W497" s="806"/>
      <c r="AZ497" s="806"/>
      <c r="BA497" s="806"/>
      <c r="BB497" s="806"/>
    </row>
    <row r="498" spans="4:54">
      <c r="D498" s="806"/>
      <c r="F498" s="806"/>
      <c r="W498" s="806"/>
      <c r="AZ498" s="806"/>
      <c r="BA498" s="806"/>
      <c r="BB498" s="806"/>
    </row>
    <row r="499" spans="4:54">
      <c r="D499" s="806"/>
      <c r="F499" s="806"/>
      <c r="W499" s="806"/>
      <c r="AZ499" s="806"/>
      <c r="BA499" s="806"/>
      <c r="BB499" s="806"/>
    </row>
    <row r="500" spans="4:54">
      <c r="D500" s="806"/>
      <c r="F500" s="806"/>
      <c r="W500" s="806"/>
      <c r="AZ500" s="806"/>
      <c r="BA500" s="806"/>
      <c r="BB500" s="806"/>
    </row>
    <row r="501" spans="4:54">
      <c r="D501" s="806"/>
      <c r="F501" s="806"/>
      <c r="W501" s="806"/>
      <c r="AZ501" s="806"/>
      <c r="BA501" s="806"/>
      <c r="BB501" s="806"/>
    </row>
    <row r="502" spans="4:54">
      <c r="D502" s="806"/>
      <c r="F502" s="806"/>
      <c r="W502" s="806"/>
      <c r="AZ502" s="806"/>
      <c r="BA502" s="806"/>
      <c r="BB502" s="806"/>
    </row>
    <row r="503" spans="4:54">
      <c r="D503" s="806"/>
      <c r="F503" s="806"/>
      <c r="W503" s="806"/>
      <c r="AZ503" s="806"/>
      <c r="BA503" s="806"/>
      <c r="BB503" s="806"/>
    </row>
    <row r="504" spans="4:54">
      <c r="D504" s="806"/>
      <c r="F504" s="806"/>
      <c r="W504" s="806"/>
      <c r="AZ504" s="806"/>
      <c r="BA504" s="806"/>
      <c r="BB504" s="806"/>
    </row>
    <row r="505" spans="4:54">
      <c r="D505" s="806"/>
      <c r="F505" s="806"/>
      <c r="W505" s="806"/>
      <c r="AZ505" s="806"/>
      <c r="BA505" s="806"/>
      <c r="BB505" s="806"/>
    </row>
    <row r="506" spans="4:54">
      <c r="D506" s="806"/>
      <c r="F506" s="806"/>
      <c r="W506" s="806"/>
      <c r="AZ506" s="806"/>
      <c r="BA506" s="806"/>
      <c r="BB506" s="806"/>
    </row>
    <row r="507" spans="4:54">
      <c r="D507" s="806"/>
      <c r="F507" s="806"/>
      <c r="W507" s="806"/>
      <c r="AZ507" s="806"/>
      <c r="BA507" s="806"/>
      <c r="BB507" s="806"/>
    </row>
    <row r="508" spans="4:54">
      <c r="D508" s="806"/>
      <c r="F508" s="806"/>
      <c r="W508" s="806"/>
      <c r="AZ508" s="806"/>
      <c r="BA508" s="806"/>
      <c r="BB508" s="806"/>
    </row>
    <row r="509" spans="4:54">
      <c r="D509" s="806"/>
      <c r="F509" s="806"/>
      <c r="W509" s="806"/>
      <c r="AZ509" s="806"/>
      <c r="BA509" s="806"/>
      <c r="BB509" s="806"/>
    </row>
    <row r="510" spans="4:54">
      <c r="D510" s="806"/>
      <c r="F510" s="806"/>
      <c r="W510" s="806"/>
      <c r="AZ510" s="806"/>
      <c r="BA510" s="806"/>
      <c r="BB510" s="806"/>
    </row>
    <row r="511" spans="4:54">
      <c r="D511" s="806"/>
      <c r="F511" s="806"/>
      <c r="W511" s="806"/>
      <c r="AZ511" s="806"/>
      <c r="BA511" s="806"/>
      <c r="BB511" s="806"/>
    </row>
    <row r="512" spans="4:54">
      <c r="D512" s="806"/>
      <c r="F512" s="806"/>
      <c r="W512" s="806"/>
      <c r="AZ512" s="806"/>
      <c r="BA512" s="806"/>
      <c r="BB512" s="806"/>
    </row>
    <row r="513" spans="4:54">
      <c r="D513" s="806"/>
      <c r="F513" s="806"/>
      <c r="W513" s="806"/>
      <c r="AZ513" s="806"/>
      <c r="BA513" s="806"/>
      <c r="BB513" s="806"/>
    </row>
    <row r="514" spans="4:54">
      <c r="D514" s="806"/>
      <c r="F514" s="806"/>
      <c r="W514" s="806"/>
      <c r="AZ514" s="806"/>
      <c r="BA514" s="806"/>
      <c r="BB514" s="806"/>
    </row>
    <row r="515" spans="4:54">
      <c r="D515" s="806"/>
      <c r="F515" s="806"/>
      <c r="W515" s="806"/>
      <c r="AZ515" s="806"/>
      <c r="BA515" s="806"/>
      <c r="BB515" s="806"/>
    </row>
    <row r="516" spans="4:54">
      <c r="D516" s="806"/>
      <c r="F516" s="806"/>
      <c r="W516" s="806"/>
      <c r="AZ516" s="806"/>
      <c r="BA516" s="806"/>
      <c r="BB516" s="806"/>
    </row>
    <row r="517" spans="4:54">
      <c r="D517" s="806"/>
      <c r="F517" s="806"/>
      <c r="W517" s="806"/>
      <c r="AZ517" s="806"/>
      <c r="BA517" s="806"/>
      <c r="BB517" s="806"/>
    </row>
    <row r="518" spans="4:54">
      <c r="D518" s="806"/>
      <c r="F518" s="806"/>
      <c r="W518" s="806"/>
      <c r="AZ518" s="806"/>
      <c r="BA518" s="806"/>
      <c r="BB518" s="806"/>
    </row>
    <row r="519" spans="4:54">
      <c r="D519" s="806"/>
      <c r="F519" s="806"/>
      <c r="W519" s="806"/>
      <c r="AZ519" s="806"/>
      <c r="BA519" s="806"/>
      <c r="BB519" s="806"/>
    </row>
    <row r="520" spans="4:54">
      <c r="D520" s="806"/>
      <c r="F520" s="806"/>
      <c r="W520" s="806"/>
      <c r="AZ520" s="806"/>
      <c r="BA520" s="806"/>
      <c r="BB520" s="806"/>
    </row>
    <row r="521" spans="4:54">
      <c r="D521" s="806"/>
      <c r="F521" s="806"/>
      <c r="W521" s="806"/>
      <c r="AZ521" s="806"/>
      <c r="BA521" s="806"/>
      <c r="BB521" s="806"/>
    </row>
    <row r="522" spans="4:54">
      <c r="D522" s="806"/>
      <c r="F522" s="806"/>
      <c r="W522" s="806"/>
      <c r="AZ522" s="806"/>
      <c r="BA522" s="806"/>
      <c r="BB522" s="806"/>
    </row>
    <row r="523" spans="4:54">
      <c r="D523" s="806"/>
      <c r="F523" s="806"/>
      <c r="W523" s="806"/>
      <c r="AZ523" s="806"/>
      <c r="BA523" s="806"/>
      <c r="BB523" s="806"/>
    </row>
    <row r="524" spans="4:54">
      <c r="D524" s="806"/>
      <c r="F524" s="806"/>
      <c r="W524" s="806"/>
      <c r="AZ524" s="806"/>
      <c r="BA524" s="806"/>
      <c r="BB524" s="806"/>
    </row>
    <row r="525" spans="4:54">
      <c r="D525" s="806"/>
      <c r="F525" s="806"/>
      <c r="W525" s="806"/>
      <c r="AZ525" s="806"/>
      <c r="BA525" s="806"/>
      <c r="BB525" s="806"/>
    </row>
    <row r="526" spans="4:54">
      <c r="D526" s="806"/>
      <c r="F526" s="806"/>
      <c r="W526" s="806"/>
      <c r="AZ526" s="806"/>
      <c r="BA526" s="806"/>
      <c r="BB526" s="806"/>
    </row>
    <row r="527" spans="4:54">
      <c r="D527" s="806"/>
      <c r="F527" s="806"/>
      <c r="W527" s="806"/>
      <c r="AZ527" s="806"/>
      <c r="BA527" s="806"/>
      <c r="BB527" s="806"/>
    </row>
    <row r="528" spans="4:54">
      <c r="D528" s="806"/>
      <c r="F528" s="806"/>
      <c r="W528" s="806"/>
      <c r="AZ528" s="806"/>
      <c r="BA528" s="806"/>
      <c r="BB528" s="806"/>
    </row>
    <row r="529" spans="4:54">
      <c r="D529" s="806"/>
      <c r="F529" s="806"/>
      <c r="W529" s="806"/>
      <c r="AZ529" s="806"/>
      <c r="BA529" s="806"/>
      <c r="BB529" s="806"/>
    </row>
    <row r="530" spans="4:54">
      <c r="D530" s="806"/>
      <c r="F530" s="806"/>
      <c r="W530" s="806"/>
      <c r="AZ530" s="806"/>
      <c r="BA530" s="806"/>
      <c r="BB530" s="806"/>
    </row>
    <row r="531" spans="4:54">
      <c r="D531" s="806"/>
      <c r="F531" s="806"/>
      <c r="W531" s="806"/>
      <c r="AZ531" s="806"/>
      <c r="BA531" s="806"/>
      <c r="BB531" s="806"/>
    </row>
    <row r="532" spans="4:54">
      <c r="D532" s="806"/>
      <c r="F532" s="806"/>
      <c r="W532" s="806"/>
      <c r="AZ532" s="806"/>
      <c r="BA532" s="806"/>
      <c r="BB532" s="806"/>
    </row>
    <row r="533" spans="4:54">
      <c r="D533" s="806"/>
      <c r="F533" s="806"/>
      <c r="W533" s="806"/>
      <c r="AZ533" s="806"/>
      <c r="BA533" s="806"/>
      <c r="BB533" s="806"/>
    </row>
    <row r="534" spans="4:54">
      <c r="D534" s="806"/>
      <c r="F534" s="806"/>
      <c r="W534" s="806"/>
      <c r="AZ534" s="806"/>
      <c r="BA534" s="806"/>
      <c r="BB534" s="806"/>
    </row>
    <row r="535" spans="4:54">
      <c r="D535" s="806"/>
      <c r="F535" s="806"/>
      <c r="W535" s="806"/>
      <c r="AZ535" s="806"/>
      <c r="BA535" s="806"/>
      <c r="BB535" s="806"/>
    </row>
    <row r="536" spans="4:54">
      <c r="D536" s="806"/>
      <c r="F536" s="806"/>
      <c r="W536" s="806"/>
      <c r="AZ536" s="806"/>
      <c r="BA536" s="806"/>
      <c r="BB536" s="806"/>
    </row>
    <row r="537" spans="4:54">
      <c r="D537" s="806"/>
      <c r="F537" s="806"/>
      <c r="W537" s="806"/>
      <c r="AZ537" s="806"/>
      <c r="BA537" s="806"/>
      <c r="BB537" s="806"/>
    </row>
    <row r="538" spans="4:54">
      <c r="D538" s="806"/>
      <c r="F538" s="806"/>
      <c r="W538" s="806"/>
      <c r="AZ538" s="806"/>
      <c r="BA538" s="806"/>
      <c r="BB538" s="806"/>
    </row>
    <row r="539" spans="4:54">
      <c r="D539" s="806"/>
      <c r="F539" s="806"/>
      <c r="W539" s="806"/>
      <c r="AZ539" s="806"/>
      <c r="BA539" s="806"/>
      <c r="BB539" s="806"/>
    </row>
    <row r="540" spans="4:54">
      <c r="D540" s="806"/>
      <c r="F540" s="806"/>
      <c r="W540" s="806"/>
      <c r="AZ540" s="806"/>
      <c r="BA540" s="806"/>
      <c r="BB540" s="806"/>
    </row>
    <row r="541" spans="4:54">
      <c r="D541" s="806"/>
      <c r="F541" s="806"/>
      <c r="W541" s="806"/>
      <c r="AZ541" s="806"/>
      <c r="BA541" s="806"/>
      <c r="BB541" s="806"/>
    </row>
    <row r="542" spans="4:54">
      <c r="D542" s="806"/>
      <c r="F542" s="806"/>
      <c r="W542" s="806"/>
      <c r="AZ542" s="806"/>
      <c r="BA542" s="806"/>
      <c r="BB542" s="806"/>
    </row>
    <row r="543" spans="4:54">
      <c r="D543" s="806"/>
      <c r="F543" s="806"/>
      <c r="W543" s="806"/>
      <c r="AZ543" s="806"/>
      <c r="BA543" s="806"/>
      <c r="BB543" s="806"/>
    </row>
    <row r="544" spans="4:54">
      <c r="D544" s="806"/>
      <c r="F544" s="806"/>
      <c r="W544" s="806"/>
      <c r="AZ544" s="806"/>
      <c r="BA544" s="806"/>
      <c r="BB544" s="806"/>
    </row>
    <row r="545" spans="4:54">
      <c r="D545" s="806"/>
      <c r="F545" s="806"/>
      <c r="W545" s="806"/>
      <c r="AZ545" s="806"/>
      <c r="BA545" s="806"/>
      <c r="BB545" s="806"/>
    </row>
    <row r="546" spans="4:54">
      <c r="D546" s="806"/>
      <c r="F546" s="806"/>
      <c r="W546" s="806"/>
      <c r="AZ546" s="806"/>
      <c r="BA546" s="806"/>
      <c r="BB546" s="806"/>
    </row>
    <row r="547" spans="4:54">
      <c r="D547" s="806"/>
      <c r="F547" s="806"/>
      <c r="W547" s="806"/>
      <c r="AZ547" s="806"/>
      <c r="BA547" s="806"/>
      <c r="BB547" s="806"/>
    </row>
    <row r="548" spans="4:54">
      <c r="D548" s="806"/>
      <c r="F548" s="806"/>
      <c r="W548" s="806"/>
      <c r="AZ548" s="806"/>
      <c r="BA548" s="806"/>
      <c r="BB548" s="806"/>
    </row>
    <row r="549" spans="4:54">
      <c r="D549" s="806"/>
      <c r="F549" s="806"/>
      <c r="W549" s="806"/>
      <c r="AZ549" s="806"/>
      <c r="BA549" s="806"/>
      <c r="BB549" s="806"/>
    </row>
    <row r="550" spans="4:54">
      <c r="D550" s="806"/>
      <c r="F550" s="806"/>
      <c r="W550" s="806"/>
      <c r="AZ550" s="806"/>
      <c r="BA550" s="806"/>
      <c r="BB550" s="806"/>
    </row>
    <row r="551" spans="4:54">
      <c r="D551" s="806"/>
      <c r="F551" s="806"/>
      <c r="W551" s="806"/>
      <c r="AZ551" s="806"/>
      <c r="BA551" s="806"/>
      <c r="BB551" s="806"/>
    </row>
    <row r="552" spans="4:54">
      <c r="D552" s="806"/>
      <c r="F552" s="806"/>
      <c r="W552" s="806"/>
      <c r="AZ552" s="806"/>
      <c r="BA552" s="806"/>
      <c r="BB552" s="806"/>
    </row>
    <row r="553" spans="4:54">
      <c r="D553" s="806"/>
      <c r="F553" s="806"/>
      <c r="W553" s="806"/>
      <c r="AZ553" s="806"/>
      <c r="BA553" s="806"/>
      <c r="BB553" s="806"/>
    </row>
    <row r="554" spans="4:54">
      <c r="D554" s="806"/>
      <c r="F554" s="806"/>
      <c r="W554" s="806"/>
      <c r="AZ554" s="806"/>
      <c r="BA554" s="806"/>
      <c r="BB554" s="806"/>
    </row>
    <row r="555" spans="4:54">
      <c r="D555" s="806"/>
      <c r="F555" s="806"/>
      <c r="W555" s="806"/>
      <c r="AZ555" s="806"/>
      <c r="BA555" s="806"/>
      <c r="BB555" s="806"/>
    </row>
    <row r="556" spans="4:54">
      <c r="D556" s="806"/>
      <c r="F556" s="806"/>
      <c r="W556" s="806"/>
      <c r="AZ556" s="806"/>
      <c r="BA556" s="806"/>
      <c r="BB556" s="806"/>
    </row>
    <row r="557" spans="4:54">
      <c r="D557" s="806"/>
      <c r="F557" s="806"/>
      <c r="W557" s="806"/>
      <c r="AZ557" s="806"/>
      <c r="BA557" s="806"/>
      <c r="BB557" s="806"/>
    </row>
    <row r="558" spans="4:54">
      <c r="D558" s="806"/>
      <c r="F558" s="806"/>
      <c r="W558" s="806"/>
      <c r="AZ558" s="806"/>
      <c r="BA558" s="806"/>
      <c r="BB558" s="806"/>
    </row>
    <row r="559" spans="4:54">
      <c r="D559" s="806"/>
      <c r="F559" s="806"/>
      <c r="W559" s="806"/>
      <c r="AZ559" s="806"/>
      <c r="BA559" s="806"/>
      <c r="BB559" s="806"/>
    </row>
    <row r="560" spans="4:54">
      <c r="D560" s="806"/>
      <c r="F560" s="806"/>
      <c r="W560" s="806"/>
      <c r="AZ560" s="806"/>
      <c r="BA560" s="806"/>
      <c r="BB560" s="806"/>
    </row>
    <row r="561" spans="4:54">
      <c r="D561" s="806"/>
      <c r="F561" s="806"/>
      <c r="W561" s="806"/>
      <c r="AZ561" s="806"/>
      <c r="BA561" s="806"/>
      <c r="BB561" s="806"/>
    </row>
    <row r="562" spans="4:54">
      <c r="D562" s="806"/>
      <c r="F562" s="806"/>
      <c r="W562" s="806"/>
      <c r="AZ562" s="806"/>
      <c r="BA562" s="806"/>
      <c r="BB562" s="806"/>
    </row>
    <row r="563" spans="4:54">
      <c r="D563" s="806"/>
      <c r="F563" s="806"/>
      <c r="W563" s="806"/>
      <c r="AZ563" s="806"/>
      <c r="BA563" s="806"/>
      <c r="BB563" s="806"/>
    </row>
    <row r="564" spans="4:54">
      <c r="D564" s="806"/>
      <c r="F564" s="806"/>
      <c r="W564" s="806"/>
      <c r="AZ564" s="806"/>
      <c r="BA564" s="806"/>
      <c r="BB564" s="806"/>
    </row>
    <row r="565" spans="4:54">
      <c r="D565" s="806"/>
      <c r="F565" s="806"/>
      <c r="W565" s="806"/>
      <c r="AZ565" s="806"/>
      <c r="BA565" s="806"/>
      <c r="BB565" s="806"/>
    </row>
    <row r="566" spans="4:54">
      <c r="D566" s="806"/>
      <c r="F566" s="806"/>
      <c r="W566" s="806"/>
      <c r="AZ566" s="806"/>
      <c r="BA566" s="806"/>
      <c r="BB566" s="806"/>
    </row>
    <row r="567" spans="4:54">
      <c r="D567" s="806"/>
      <c r="F567" s="806"/>
      <c r="W567" s="806"/>
      <c r="AZ567" s="806"/>
      <c r="BA567" s="806"/>
      <c r="BB567" s="806"/>
    </row>
    <row r="568" spans="4:54">
      <c r="D568" s="806"/>
      <c r="F568" s="806"/>
      <c r="W568" s="806"/>
      <c r="AZ568" s="806"/>
      <c r="BA568" s="806"/>
      <c r="BB568" s="806"/>
    </row>
    <row r="569" spans="4:54">
      <c r="D569" s="806"/>
      <c r="F569" s="806"/>
      <c r="W569" s="806"/>
      <c r="AZ569" s="806"/>
      <c r="BA569" s="806"/>
      <c r="BB569" s="806"/>
    </row>
    <row r="570" spans="4:54">
      <c r="D570" s="806"/>
      <c r="F570" s="806"/>
      <c r="W570" s="806"/>
      <c r="AZ570" s="806"/>
      <c r="BA570" s="806"/>
      <c r="BB570" s="806"/>
    </row>
    <row r="571" spans="4:54">
      <c r="D571" s="806"/>
      <c r="F571" s="806"/>
      <c r="W571" s="806"/>
      <c r="AZ571" s="806"/>
      <c r="BA571" s="806"/>
      <c r="BB571" s="806"/>
    </row>
    <row r="572" spans="4:54">
      <c r="D572" s="806"/>
      <c r="F572" s="806"/>
      <c r="W572" s="806"/>
      <c r="AZ572" s="806"/>
      <c r="BA572" s="806"/>
      <c r="BB572" s="806"/>
    </row>
    <row r="573" spans="4:54">
      <c r="D573" s="806"/>
      <c r="F573" s="806"/>
      <c r="W573" s="806"/>
      <c r="AZ573" s="806"/>
      <c r="BA573" s="806"/>
      <c r="BB573" s="806"/>
    </row>
    <row r="574" spans="4:54">
      <c r="D574" s="806"/>
      <c r="F574" s="806"/>
      <c r="W574" s="806"/>
      <c r="AZ574" s="806"/>
      <c r="BA574" s="806"/>
      <c r="BB574" s="806"/>
    </row>
    <row r="575" spans="4:54">
      <c r="D575" s="806"/>
      <c r="F575" s="806"/>
      <c r="W575" s="806"/>
      <c r="AZ575" s="806"/>
      <c r="BA575" s="806"/>
      <c r="BB575" s="806"/>
    </row>
    <row r="576" spans="4:54">
      <c r="D576" s="806"/>
      <c r="F576" s="806"/>
      <c r="W576" s="806"/>
      <c r="AZ576" s="806"/>
      <c r="BA576" s="806"/>
      <c r="BB576" s="806"/>
    </row>
    <row r="577" spans="4:54">
      <c r="D577" s="806"/>
      <c r="F577" s="806"/>
      <c r="W577" s="806"/>
      <c r="AZ577" s="806"/>
      <c r="BA577" s="806"/>
      <c r="BB577" s="806"/>
    </row>
    <row r="578" spans="4:54">
      <c r="D578" s="806"/>
      <c r="F578" s="806"/>
      <c r="W578" s="806"/>
      <c r="AZ578" s="806"/>
      <c r="BA578" s="806"/>
      <c r="BB578" s="806"/>
    </row>
    <row r="579" spans="4:54">
      <c r="D579" s="806"/>
      <c r="F579" s="806"/>
      <c r="W579" s="806"/>
      <c r="AZ579" s="806"/>
      <c r="BA579" s="806"/>
      <c r="BB579" s="806"/>
    </row>
    <row r="580" spans="4:54">
      <c r="D580" s="806"/>
      <c r="F580" s="806"/>
      <c r="W580" s="806"/>
      <c r="AZ580" s="806"/>
      <c r="BA580" s="806"/>
      <c r="BB580" s="806"/>
    </row>
    <row r="581" spans="4:54">
      <c r="D581" s="806"/>
      <c r="F581" s="806"/>
      <c r="W581" s="806"/>
      <c r="AZ581" s="806"/>
      <c r="BA581" s="806"/>
      <c r="BB581" s="806"/>
    </row>
    <row r="582" spans="4:54">
      <c r="D582" s="806"/>
      <c r="F582" s="806"/>
      <c r="W582" s="806"/>
      <c r="AZ582" s="806"/>
      <c r="BA582" s="806"/>
      <c r="BB582" s="806"/>
    </row>
    <row r="583" spans="4:54">
      <c r="D583" s="806"/>
      <c r="F583" s="806"/>
      <c r="W583" s="806"/>
      <c r="AZ583" s="806"/>
      <c r="BA583" s="806"/>
      <c r="BB583" s="806"/>
    </row>
    <row r="584" spans="4:54">
      <c r="D584" s="806"/>
      <c r="F584" s="806"/>
      <c r="W584" s="806"/>
      <c r="AZ584" s="806"/>
      <c r="BA584" s="806"/>
      <c r="BB584" s="806"/>
    </row>
    <row r="585" spans="4:54">
      <c r="D585" s="806"/>
      <c r="F585" s="806"/>
      <c r="W585" s="806"/>
      <c r="AZ585" s="806"/>
      <c r="BA585" s="806"/>
      <c r="BB585" s="806"/>
    </row>
    <row r="586" spans="4:54">
      <c r="D586" s="806"/>
      <c r="F586" s="806"/>
      <c r="W586" s="806"/>
      <c r="AZ586" s="806"/>
      <c r="BA586" s="806"/>
      <c r="BB586" s="806"/>
    </row>
    <row r="587" spans="4:54">
      <c r="D587" s="806"/>
      <c r="F587" s="806"/>
      <c r="W587" s="806"/>
      <c r="AZ587" s="806"/>
      <c r="BA587" s="806"/>
      <c r="BB587" s="806"/>
    </row>
    <row r="588" spans="4:54">
      <c r="D588" s="806"/>
      <c r="F588" s="806"/>
      <c r="W588" s="806"/>
      <c r="AZ588" s="806"/>
      <c r="BA588" s="806"/>
      <c r="BB588" s="806"/>
    </row>
    <row r="589" spans="4:54">
      <c r="D589" s="806"/>
      <c r="F589" s="806"/>
      <c r="W589" s="806"/>
      <c r="AZ589" s="806"/>
      <c r="BA589" s="806"/>
      <c r="BB589" s="806"/>
    </row>
    <row r="590" spans="4:54">
      <c r="D590" s="806"/>
      <c r="F590" s="806"/>
      <c r="W590" s="806"/>
      <c r="AZ590" s="806"/>
      <c r="BA590" s="806"/>
      <c r="BB590" s="806"/>
    </row>
    <row r="591" spans="4:54">
      <c r="D591" s="806"/>
      <c r="F591" s="806"/>
      <c r="W591" s="806"/>
      <c r="AZ591" s="806"/>
      <c r="BA591" s="806"/>
      <c r="BB591" s="806"/>
    </row>
    <row r="592" spans="4:54">
      <c r="D592" s="806"/>
      <c r="F592" s="806"/>
      <c r="W592" s="806"/>
      <c r="AZ592" s="806"/>
      <c r="BA592" s="806"/>
      <c r="BB592" s="806"/>
    </row>
    <row r="593" spans="4:54">
      <c r="D593" s="806"/>
      <c r="F593" s="806"/>
      <c r="W593" s="806"/>
      <c r="AZ593" s="806"/>
      <c r="BA593" s="806"/>
      <c r="BB593" s="806"/>
    </row>
    <row r="594" spans="4:54">
      <c r="D594" s="806"/>
      <c r="F594" s="806"/>
      <c r="W594" s="806"/>
      <c r="AZ594" s="806"/>
      <c r="BA594" s="806"/>
      <c r="BB594" s="806"/>
    </row>
    <row r="595" spans="4:54">
      <c r="D595" s="806"/>
      <c r="F595" s="806"/>
      <c r="W595" s="806"/>
      <c r="AZ595" s="806"/>
      <c r="BA595" s="806"/>
      <c r="BB595" s="806"/>
    </row>
    <row r="596" spans="4:54">
      <c r="D596" s="806"/>
      <c r="F596" s="806"/>
      <c r="W596" s="806"/>
      <c r="AZ596" s="806"/>
      <c r="BA596" s="806"/>
      <c r="BB596" s="806"/>
    </row>
    <row r="597" spans="4:54">
      <c r="D597" s="806"/>
      <c r="F597" s="806"/>
      <c r="W597" s="806"/>
      <c r="AZ597" s="806"/>
      <c r="BA597" s="806"/>
      <c r="BB597" s="806"/>
    </row>
    <row r="598" spans="4:54">
      <c r="D598" s="806"/>
      <c r="F598" s="806"/>
      <c r="W598" s="806"/>
      <c r="AZ598" s="806"/>
      <c r="BA598" s="806"/>
      <c r="BB598" s="806"/>
    </row>
    <row r="599" spans="4:54">
      <c r="D599" s="806"/>
      <c r="F599" s="806"/>
      <c r="W599" s="806"/>
      <c r="AZ599" s="806"/>
      <c r="BA599" s="806"/>
      <c r="BB599" s="806"/>
    </row>
    <row r="600" spans="4:54">
      <c r="D600" s="806"/>
      <c r="F600" s="806"/>
      <c r="W600" s="806"/>
      <c r="AZ600" s="806"/>
      <c r="BA600" s="806"/>
      <c r="BB600" s="806"/>
    </row>
    <row r="601" spans="4:54">
      <c r="D601" s="806"/>
      <c r="F601" s="806"/>
      <c r="W601" s="806"/>
      <c r="AZ601" s="806"/>
      <c r="BA601" s="806"/>
      <c r="BB601" s="806"/>
    </row>
    <row r="602" spans="4:54">
      <c r="D602" s="806"/>
      <c r="F602" s="806"/>
      <c r="W602" s="806"/>
      <c r="AZ602" s="806"/>
      <c r="BA602" s="806"/>
      <c r="BB602" s="806"/>
    </row>
    <row r="603" spans="4:54">
      <c r="D603" s="806"/>
      <c r="F603" s="806"/>
      <c r="W603" s="806"/>
      <c r="AZ603" s="806"/>
      <c r="BA603" s="806"/>
      <c r="BB603" s="806"/>
    </row>
    <row r="604" spans="4:54">
      <c r="D604" s="806"/>
      <c r="F604" s="806"/>
      <c r="W604" s="806"/>
      <c r="AZ604" s="806"/>
      <c r="BA604" s="806"/>
      <c r="BB604" s="806"/>
    </row>
    <row r="605" spans="4:54">
      <c r="D605" s="806"/>
      <c r="F605" s="806"/>
      <c r="W605" s="806"/>
      <c r="AZ605" s="806"/>
      <c r="BA605" s="806"/>
      <c r="BB605" s="806"/>
    </row>
    <row r="606" spans="4:54">
      <c r="D606" s="806"/>
      <c r="F606" s="806"/>
      <c r="W606" s="806"/>
      <c r="AZ606" s="806"/>
      <c r="BA606" s="806"/>
      <c r="BB606" s="806"/>
    </row>
    <row r="607" spans="4:54">
      <c r="D607" s="806"/>
      <c r="F607" s="806"/>
      <c r="W607" s="806"/>
      <c r="AZ607" s="806"/>
      <c r="BA607" s="806"/>
      <c r="BB607" s="806"/>
    </row>
    <row r="608" spans="4:54">
      <c r="D608" s="806"/>
      <c r="F608" s="806"/>
      <c r="W608" s="806"/>
      <c r="AZ608" s="806"/>
      <c r="BA608" s="806"/>
      <c r="BB608" s="806"/>
    </row>
    <row r="609" spans="4:54">
      <c r="D609" s="806"/>
      <c r="F609" s="806"/>
      <c r="W609" s="806"/>
      <c r="AZ609" s="806"/>
      <c r="BA609" s="806"/>
      <c r="BB609" s="806"/>
    </row>
    <row r="610" spans="4:54">
      <c r="D610" s="806"/>
      <c r="F610" s="806"/>
      <c r="W610" s="806"/>
      <c r="AZ610" s="806"/>
      <c r="BA610" s="806"/>
      <c r="BB610" s="806"/>
    </row>
    <row r="611" spans="4:54">
      <c r="D611" s="806"/>
      <c r="F611" s="806"/>
      <c r="W611" s="806"/>
      <c r="AZ611" s="806"/>
      <c r="BA611" s="806"/>
      <c r="BB611" s="806"/>
    </row>
    <row r="612" spans="4:54">
      <c r="D612" s="806"/>
      <c r="F612" s="806"/>
      <c r="W612" s="806"/>
      <c r="AZ612" s="806"/>
      <c r="BA612" s="806"/>
      <c r="BB612" s="806"/>
    </row>
    <row r="613" spans="4:54">
      <c r="D613" s="806"/>
      <c r="F613" s="806"/>
      <c r="W613" s="806"/>
      <c r="AZ613" s="806"/>
      <c r="BA613" s="806"/>
      <c r="BB613" s="806"/>
    </row>
    <row r="614" spans="4:54">
      <c r="D614" s="806"/>
      <c r="F614" s="806"/>
      <c r="W614" s="806"/>
      <c r="AZ614" s="806"/>
      <c r="BA614" s="806"/>
      <c r="BB614" s="806"/>
    </row>
    <row r="615" spans="4:54">
      <c r="D615" s="806"/>
      <c r="F615" s="806"/>
      <c r="W615" s="806"/>
      <c r="AZ615" s="806"/>
      <c r="BA615" s="806"/>
      <c r="BB615" s="806"/>
    </row>
    <row r="616" spans="4:54">
      <c r="D616" s="806"/>
      <c r="F616" s="806"/>
      <c r="W616" s="806"/>
      <c r="AZ616" s="806"/>
      <c r="BA616" s="806"/>
      <c r="BB616" s="806"/>
    </row>
    <row r="617" spans="4:54">
      <c r="D617" s="806"/>
      <c r="F617" s="806"/>
      <c r="W617" s="806"/>
      <c r="AZ617" s="806"/>
      <c r="BA617" s="806"/>
      <c r="BB617" s="806"/>
    </row>
    <row r="618" spans="4:54">
      <c r="D618" s="806"/>
      <c r="F618" s="806"/>
      <c r="W618" s="806"/>
      <c r="AZ618" s="806"/>
      <c r="BA618" s="806"/>
      <c r="BB618" s="806"/>
    </row>
    <row r="619" spans="4:54">
      <c r="D619" s="806"/>
      <c r="F619" s="806"/>
      <c r="W619" s="806"/>
      <c r="AZ619" s="806"/>
      <c r="BA619" s="806"/>
      <c r="BB619" s="806"/>
    </row>
    <row r="620" spans="4:54">
      <c r="D620" s="806"/>
      <c r="F620" s="806"/>
      <c r="W620" s="806"/>
      <c r="AZ620" s="806"/>
      <c r="BA620" s="806"/>
      <c r="BB620" s="806"/>
    </row>
    <row r="621" spans="4:54">
      <c r="D621" s="806"/>
      <c r="F621" s="806"/>
      <c r="W621" s="806"/>
      <c r="AZ621" s="806"/>
      <c r="BA621" s="806"/>
      <c r="BB621" s="806"/>
    </row>
    <row r="622" spans="4:54">
      <c r="D622" s="806"/>
      <c r="F622" s="806"/>
      <c r="W622" s="806"/>
      <c r="AZ622" s="806"/>
      <c r="BA622" s="806"/>
      <c r="BB622" s="806"/>
    </row>
    <row r="623" spans="4:54">
      <c r="D623" s="806"/>
      <c r="F623" s="806"/>
      <c r="W623" s="806"/>
      <c r="AZ623" s="806"/>
      <c r="BA623" s="806"/>
      <c r="BB623" s="806"/>
    </row>
    <row r="624" spans="4:54">
      <c r="D624" s="806"/>
      <c r="F624" s="806"/>
      <c r="W624" s="806"/>
      <c r="AZ624" s="806"/>
      <c r="BA624" s="806"/>
      <c r="BB624" s="806"/>
    </row>
    <row r="625" spans="4:54">
      <c r="D625" s="806"/>
      <c r="F625" s="806"/>
      <c r="W625" s="806"/>
      <c r="AZ625" s="806"/>
      <c r="BA625" s="806"/>
      <c r="BB625" s="806"/>
    </row>
    <row r="626" spans="4:54">
      <c r="D626" s="806"/>
      <c r="F626" s="806"/>
      <c r="W626" s="806"/>
      <c r="AZ626" s="806"/>
      <c r="BA626" s="806"/>
      <c r="BB626" s="806"/>
    </row>
    <row r="627" spans="4:54">
      <c r="D627" s="806"/>
      <c r="F627" s="806"/>
      <c r="W627" s="806"/>
      <c r="AZ627" s="806"/>
      <c r="BA627" s="806"/>
      <c r="BB627" s="806"/>
    </row>
    <row r="628" spans="4:54">
      <c r="D628" s="806"/>
      <c r="F628" s="806"/>
      <c r="W628" s="806"/>
      <c r="AZ628" s="806"/>
      <c r="BA628" s="806"/>
      <c r="BB628" s="806"/>
    </row>
    <row r="629" spans="4:54">
      <c r="D629" s="806"/>
      <c r="F629" s="806"/>
      <c r="W629" s="806"/>
      <c r="AZ629" s="806"/>
      <c r="BA629" s="806"/>
      <c r="BB629" s="806"/>
    </row>
    <row r="630" spans="4:54">
      <c r="D630" s="806"/>
      <c r="F630" s="806"/>
      <c r="W630" s="806"/>
      <c r="AZ630" s="806"/>
      <c r="BA630" s="806"/>
      <c r="BB630" s="806"/>
    </row>
    <row r="631" spans="4:54">
      <c r="D631" s="806"/>
      <c r="F631" s="806"/>
      <c r="W631" s="806"/>
      <c r="AZ631" s="806"/>
      <c r="BA631" s="806"/>
      <c r="BB631" s="806"/>
    </row>
    <row r="632" spans="4:54">
      <c r="D632" s="806"/>
      <c r="F632" s="806"/>
      <c r="W632" s="806"/>
      <c r="AZ632" s="806"/>
      <c r="BA632" s="806"/>
      <c r="BB632" s="806"/>
    </row>
    <row r="633" spans="4:54">
      <c r="D633" s="806"/>
      <c r="F633" s="806"/>
      <c r="W633" s="806"/>
      <c r="AZ633" s="806"/>
      <c r="BA633" s="806"/>
      <c r="BB633" s="806"/>
    </row>
    <row r="634" spans="4:54">
      <c r="D634" s="806"/>
      <c r="F634" s="806"/>
      <c r="W634" s="806"/>
      <c r="AZ634" s="806"/>
      <c r="BA634" s="806"/>
      <c r="BB634" s="806"/>
    </row>
    <row r="635" spans="4:54">
      <c r="D635" s="806"/>
      <c r="F635" s="806"/>
      <c r="W635" s="806"/>
      <c r="AZ635" s="806"/>
      <c r="BA635" s="806"/>
      <c r="BB635" s="806"/>
    </row>
    <row r="636" spans="4:54">
      <c r="D636" s="806"/>
      <c r="F636" s="806"/>
      <c r="W636" s="806"/>
      <c r="AZ636" s="806"/>
      <c r="BA636" s="806"/>
      <c r="BB636" s="806"/>
    </row>
    <row r="637" spans="4:54">
      <c r="D637" s="806"/>
      <c r="F637" s="806"/>
      <c r="W637" s="806"/>
      <c r="AZ637" s="806"/>
      <c r="BA637" s="806"/>
      <c r="BB637" s="806"/>
    </row>
    <row r="638" spans="4:54">
      <c r="D638" s="806"/>
      <c r="F638" s="806"/>
      <c r="W638" s="806"/>
      <c r="AZ638" s="806"/>
      <c r="BA638" s="806"/>
      <c r="BB638" s="806"/>
    </row>
    <row r="639" spans="4:54">
      <c r="D639" s="806"/>
      <c r="F639" s="806"/>
      <c r="W639" s="806"/>
      <c r="AZ639" s="806"/>
      <c r="BA639" s="806"/>
      <c r="BB639" s="806"/>
    </row>
    <row r="640" spans="4:54">
      <c r="D640" s="806"/>
      <c r="F640" s="806"/>
      <c r="W640" s="806"/>
      <c r="AZ640" s="806"/>
      <c r="BA640" s="806"/>
      <c r="BB640" s="806"/>
    </row>
    <row r="641" spans="4:54">
      <c r="D641" s="806"/>
      <c r="F641" s="806"/>
      <c r="W641" s="806"/>
      <c r="AZ641" s="806"/>
      <c r="BA641" s="806"/>
      <c r="BB641" s="806"/>
    </row>
    <row r="642" spans="4:54">
      <c r="D642" s="806"/>
      <c r="F642" s="806"/>
      <c r="W642" s="806"/>
      <c r="AZ642" s="806"/>
      <c r="BA642" s="806"/>
      <c r="BB642" s="806"/>
    </row>
    <row r="643" spans="4:54">
      <c r="D643" s="806"/>
      <c r="F643" s="806"/>
      <c r="W643" s="806"/>
      <c r="AZ643" s="806"/>
      <c r="BA643" s="806"/>
      <c r="BB643" s="806"/>
    </row>
    <row r="644" spans="4:54">
      <c r="D644" s="806"/>
      <c r="F644" s="806"/>
      <c r="W644" s="806"/>
      <c r="AZ644" s="806"/>
      <c r="BA644" s="806"/>
      <c r="BB644" s="806"/>
    </row>
    <row r="645" spans="4:54">
      <c r="D645" s="806"/>
      <c r="F645" s="806"/>
      <c r="W645" s="806"/>
      <c r="AZ645" s="806"/>
      <c r="BA645" s="806"/>
      <c r="BB645" s="806"/>
    </row>
    <row r="646" spans="4:54">
      <c r="D646" s="806"/>
      <c r="F646" s="806"/>
      <c r="W646" s="806"/>
      <c r="AZ646" s="806"/>
      <c r="BA646" s="806"/>
      <c r="BB646" s="806"/>
    </row>
    <row r="647" spans="4:54">
      <c r="D647" s="806"/>
      <c r="F647" s="806"/>
      <c r="W647" s="806"/>
      <c r="AZ647" s="806"/>
      <c r="BA647" s="806"/>
      <c r="BB647" s="806"/>
    </row>
    <row r="648" spans="4:54">
      <c r="D648" s="806"/>
      <c r="F648" s="806"/>
      <c r="W648" s="806"/>
      <c r="AZ648" s="806"/>
      <c r="BA648" s="806"/>
      <c r="BB648" s="806"/>
    </row>
    <row r="649" spans="4:54">
      <c r="D649" s="806"/>
      <c r="F649" s="806"/>
      <c r="W649" s="806"/>
      <c r="AZ649" s="806"/>
      <c r="BA649" s="806"/>
      <c r="BB649" s="806"/>
    </row>
    <row r="650" spans="4:54">
      <c r="D650" s="806"/>
      <c r="F650" s="806"/>
      <c r="W650" s="806"/>
      <c r="AZ650" s="806"/>
      <c r="BA650" s="806"/>
      <c r="BB650" s="806"/>
    </row>
    <row r="651" spans="4:54">
      <c r="D651" s="806"/>
      <c r="F651" s="806"/>
      <c r="W651" s="806"/>
      <c r="AZ651" s="806"/>
      <c r="BA651" s="806"/>
      <c r="BB651" s="806"/>
    </row>
    <row r="652" spans="4:54">
      <c r="D652" s="806"/>
      <c r="F652" s="806"/>
      <c r="W652" s="806"/>
      <c r="AZ652" s="806"/>
      <c r="BA652" s="806"/>
      <c r="BB652" s="806"/>
    </row>
    <row r="653" spans="4:54">
      <c r="D653" s="806"/>
      <c r="F653" s="806"/>
      <c r="W653" s="806"/>
      <c r="AZ653" s="806"/>
      <c r="BA653" s="806"/>
      <c r="BB653" s="806"/>
    </row>
    <row r="654" spans="4:54">
      <c r="D654" s="806"/>
      <c r="F654" s="806"/>
      <c r="W654" s="806"/>
      <c r="AZ654" s="806"/>
      <c r="BA654" s="806"/>
      <c r="BB654" s="806"/>
    </row>
    <row r="655" spans="4:54">
      <c r="D655" s="806"/>
      <c r="F655" s="806"/>
      <c r="W655" s="806"/>
      <c r="AZ655" s="806"/>
      <c r="BA655" s="806"/>
      <c r="BB655" s="806"/>
    </row>
    <row r="656" spans="4:54">
      <c r="D656" s="806"/>
      <c r="F656" s="806"/>
      <c r="W656" s="806"/>
      <c r="AZ656" s="806"/>
      <c r="BA656" s="806"/>
      <c r="BB656" s="806"/>
    </row>
    <row r="657" spans="4:54">
      <c r="D657" s="806"/>
      <c r="F657" s="806"/>
      <c r="W657" s="806"/>
      <c r="AZ657" s="806"/>
      <c r="BA657" s="806"/>
      <c r="BB657" s="806"/>
    </row>
    <row r="658" spans="4:54">
      <c r="D658" s="806"/>
      <c r="F658" s="806"/>
      <c r="W658" s="806"/>
      <c r="AZ658" s="806"/>
      <c r="BA658" s="806"/>
      <c r="BB658" s="806"/>
    </row>
    <row r="659" spans="4:54">
      <c r="D659" s="806"/>
      <c r="F659" s="806"/>
      <c r="W659" s="806"/>
      <c r="AZ659" s="806"/>
      <c r="BA659" s="806"/>
      <c r="BB659" s="806"/>
    </row>
    <row r="660" spans="4:54">
      <c r="D660" s="806"/>
      <c r="F660" s="806"/>
      <c r="W660" s="806"/>
      <c r="AZ660" s="806"/>
      <c r="BA660" s="806"/>
      <c r="BB660" s="806"/>
    </row>
    <row r="661" spans="4:54">
      <c r="D661" s="806"/>
      <c r="F661" s="806"/>
      <c r="W661" s="806"/>
      <c r="AZ661" s="806"/>
      <c r="BA661" s="806"/>
      <c r="BB661" s="806"/>
    </row>
    <row r="662" spans="4:54">
      <c r="D662" s="806"/>
      <c r="F662" s="806"/>
      <c r="W662" s="806"/>
      <c r="AZ662" s="806"/>
      <c r="BA662" s="806"/>
      <c r="BB662" s="806"/>
    </row>
    <row r="663" spans="4:54">
      <c r="D663" s="806"/>
      <c r="F663" s="806"/>
      <c r="W663" s="806"/>
      <c r="AZ663" s="806"/>
      <c r="BA663" s="806"/>
      <c r="BB663" s="806"/>
    </row>
    <row r="664" spans="4:54">
      <c r="D664" s="806"/>
      <c r="F664" s="806"/>
      <c r="W664" s="806"/>
      <c r="AZ664" s="806"/>
      <c r="BA664" s="806"/>
      <c r="BB664" s="806"/>
    </row>
    <row r="665" spans="4:54">
      <c r="D665" s="806"/>
      <c r="F665" s="806"/>
      <c r="W665" s="806"/>
      <c r="AZ665" s="806"/>
      <c r="BA665" s="806"/>
      <c r="BB665" s="806"/>
    </row>
    <row r="666" spans="4:54">
      <c r="D666" s="806"/>
      <c r="F666" s="806"/>
      <c r="W666" s="806"/>
      <c r="AZ666" s="806"/>
      <c r="BA666" s="806"/>
      <c r="BB666" s="806"/>
    </row>
    <row r="667" spans="4:54">
      <c r="D667" s="806"/>
      <c r="F667" s="806"/>
      <c r="W667" s="806"/>
      <c r="AZ667" s="806"/>
      <c r="BA667" s="806"/>
      <c r="BB667" s="806"/>
    </row>
    <row r="668" spans="4:54">
      <c r="D668" s="806"/>
      <c r="F668" s="806"/>
      <c r="W668" s="806"/>
      <c r="AZ668" s="806"/>
      <c r="BA668" s="806"/>
      <c r="BB668" s="806"/>
    </row>
    <row r="669" spans="4:54">
      <c r="D669" s="806"/>
      <c r="F669" s="806"/>
      <c r="W669" s="806"/>
      <c r="AZ669" s="806"/>
      <c r="BA669" s="806"/>
      <c r="BB669" s="806"/>
    </row>
    <row r="670" spans="4:54">
      <c r="D670" s="806"/>
      <c r="F670" s="806"/>
      <c r="W670" s="806"/>
      <c r="AZ670" s="806"/>
      <c r="BA670" s="806"/>
      <c r="BB670" s="806"/>
    </row>
    <row r="671" spans="4:54">
      <c r="D671" s="806"/>
      <c r="F671" s="806"/>
      <c r="W671" s="806"/>
      <c r="AZ671" s="806"/>
      <c r="BA671" s="806"/>
      <c r="BB671" s="806"/>
    </row>
    <row r="672" spans="4:54">
      <c r="D672" s="806"/>
      <c r="F672" s="806"/>
      <c r="W672" s="806"/>
      <c r="AZ672" s="806"/>
      <c r="BA672" s="806"/>
      <c r="BB672" s="806"/>
    </row>
    <row r="673" spans="4:54">
      <c r="D673" s="806"/>
      <c r="F673" s="806"/>
      <c r="W673" s="806"/>
      <c r="AZ673" s="806"/>
      <c r="BA673" s="806"/>
      <c r="BB673" s="806"/>
    </row>
    <row r="674" spans="4:54">
      <c r="D674" s="806"/>
      <c r="F674" s="806"/>
      <c r="W674" s="806"/>
      <c r="AZ674" s="806"/>
      <c r="BA674" s="806"/>
      <c r="BB674" s="806"/>
    </row>
    <row r="675" spans="4:54">
      <c r="D675" s="806"/>
      <c r="F675" s="806"/>
      <c r="W675" s="806"/>
      <c r="AZ675" s="806"/>
      <c r="BA675" s="806"/>
      <c r="BB675" s="806"/>
    </row>
    <row r="676" spans="4:54">
      <c r="D676" s="806"/>
      <c r="F676" s="806"/>
      <c r="W676" s="806"/>
      <c r="AZ676" s="806"/>
      <c r="BA676" s="806"/>
      <c r="BB676" s="806"/>
    </row>
    <row r="677" spans="4:54">
      <c r="D677" s="806"/>
      <c r="F677" s="806"/>
      <c r="W677" s="806"/>
      <c r="AZ677" s="806"/>
      <c r="BA677" s="806"/>
      <c r="BB677" s="806"/>
    </row>
    <row r="678" spans="4:54">
      <c r="D678" s="806"/>
      <c r="F678" s="806"/>
      <c r="W678" s="806"/>
      <c r="AZ678" s="806"/>
      <c r="BA678" s="806"/>
      <c r="BB678" s="806"/>
    </row>
    <row r="679" spans="4:54">
      <c r="D679" s="806"/>
      <c r="F679" s="806"/>
      <c r="W679" s="806"/>
      <c r="AZ679" s="806"/>
      <c r="BA679" s="806"/>
      <c r="BB679" s="806"/>
    </row>
    <row r="680" spans="4:54">
      <c r="D680" s="806"/>
      <c r="F680" s="806"/>
      <c r="W680" s="806"/>
      <c r="AZ680" s="806"/>
      <c r="BA680" s="806"/>
      <c r="BB680" s="806"/>
    </row>
    <row r="681" spans="4:54">
      <c r="D681" s="806"/>
      <c r="F681" s="806"/>
      <c r="W681" s="806"/>
      <c r="AZ681" s="806"/>
      <c r="BA681" s="806"/>
      <c r="BB681" s="806"/>
    </row>
    <row r="682" spans="4:54">
      <c r="D682" s="806"/>
      <c r="F682" s="806"/>
      <c r="W682" s="806"/>
      <c r="AZ682" s="806"/>
      <c r="BA682" s="806"/>
      <c r="BB682" s="806"/>
    </row>
    <row r="683" spans="4:54">
      <c r="D683" s="806"/>
      <c r="F683" s="806"/>
      <c r="W683" s="806"/>
      <c r="AZ683" s="806"/>
      <c r="BA683" s="806"/>
      <c r="BB683" s="806"/>
    </row>
    <row r="684" spans="4:54">
      <c r="D684" s="806"/>
      <c r="F684" s="806"/>
      <c r="W684" s="806"/>
      <c r="AZ684" s="806"/>
      <c r="BA684" s="806"/>
      <c r="BB684" s="806"/>
    </row>
    <row r="685" spans="4:54">
      <c r="D685" s="806"/>
      <c r="F685" s="806"/>
      <c r="W685" s="806"/>
      <c r="AZ685" s="806"/>
      <c r="BA685" s="806"/>
      <c r="BB685" s="806"/>
    </row>
    <row r="686" spans="4:54">
      <c r="D686" s="806"/>
      <c r="F686" s="806"/>
      <c r="W686" s="806"/>
      <c r="AZ686" s="806"/>
      <c r="BA686" s="806"/>
      <c r="BB686" s="806"/>
    </row>
    <row r="687" spans="4:54">
      <c r="D687" s="806"/>
      <c r="F687" s="806"/>
      <c r="W687" s="806"/>
      <c r="AZ687" s="806"/>
      <c r="BA687" s="806"/>
      <c r="BB687" s="806"/>
    </row>
    <row r="688" spans="4:54">
      <c r="D688" s="806"/>
      <c r="F688" s="806"/>
      <c r="W688" s="806"/>
      <c r="AZ688" s="806"/>
      <c r="BA688" s="806"/>
      <c r="BB688" s="806"/>
    </row>
    <row r="689" spans="4:54">
      <c r="D689" s="806"/>
      <c r="F689" s="806"/>
      <c r="W689" s="806"/>
      <c r="AZ689" s="806"/>
      <c r="BA689" s="806"/>
      <c r="BB689" s="806"/>
    </row>
    <row r="690" spans="4:54">
      <c r="D690" s="806"/>
      <c r="F690" s="806"/>
      <c r="W690" s="806"/>
      <c r="AZ690" s="806"/>
      <c r="BA690" s="806"/>
      <c r="BB690" s="806"/>
    </row>
    <row r="691" spans="4:54">
      <c r="D691" s="806"/>
      <c r="F691" s="806"/>
      <c r="W691" s="806"/>
      <c r="AZ691" s="806"/>
      <c r="BA691" s="806"/>
      <c r="BB691" s="806"/>
    </row>
    <row r="692" spans="4:54">
      <c r="D692" s="806"/>
      <c r="F692" s="806"/>
      <c r="W692" s="806"/>
      <c r="AZ692" s="806"/>
      <c r="BA692" s="806"/>
      <c r="BB692" s="806"/>
    </row>
    <row r="693" spans="4:54">
      <c r="D693" s="806"/>
      <c r="F693" s="806"/>
      <c r="W693" s="806"/>
      <c r="AZ693" s="806"/>
      <c r="BA693" s="806"/>
      <c r="BB693" s="806"/>
    </row>
    <row r="694" spans="4:54">
      <c r="D694" s="806"/>
      <c r="F694" s="806"/>
      <c r="W694" s="806"/>
      <c r="AZ694" s="806"/>
      <c r="BA694" s="806"/>
      <c r="BB694" s="806"/>
    </row>
    <row r="695" spans="4:54">
      <c r="D695" s="806"/>
      <c r="F695" s="806"/>
      <c r="W695" s="806"/>
      <c r="AZ695" s="806"/>
      <c r="BA695" s="806"/>
      <c r="BB695" s="806"/>
    </row>
    <row r="696" spans="4:54">
      <c r="D696" s="806"/>
      <c r="F696" s="806"/>
      <c r="W696" s="806"/>
      <c r="AZ696" s="806"/>
      <c r="BA696" s="806"/>
      <c r="BB696" s="806"/>
    </row>
    <row r="697" spans="4:54">
      <c r="D697" s="806"/>
      <c r="F697" s="806"/>
      <c r="W697" s="806"/>
      <c r="AZ697" s="806"/>
      <c r="BA697" s="806"/>
      <c r="BB697" s="806"/>
    </row>
    <row r="698" spans="4:54">
      <c r="D698" s="806"/>
      <c r="F698" s="806"/>
      <c r="W698" s="806"/>
      <c r="AZ698" s="806"/>
      <c r="BA698" s="806"/>
      <c r="BB698" s="806"/>
    </row>
    <row r="699" spans="4:54">
      <c r="D699" s="806"/>
      <c r="F699" s="806"/>
      <c r="W699" s="806"/>
      <c r="AZ699" s="806"/>
      <c r="BA699" s="806"/>
      <c r="BB699" s="806"/>
    </row>
    <row r="700" spans="4:54">
      <c r="D700" s="806"/>
      <c r="F700" s="806"/>
      <c r="W700" s="806"/>
      <c r="AZ700" s="806"/>
      <c r="BA700" s="806"/>
      <c r="BB700" s="806"/>
    </row>
    <row r="701" spans="4:54">
      <c r="D701" s="806"/>
      <c r="F701" s="806"/>
      <c r="W701" s="806"/>
      <c r="AZ701" s="806"/>
      <c r="BA701" s="806"/>
      <c r="BB701" s="806"/>
    </row>
    <row r="702" spans="4:54">
      <c r="D702" s="806"/>
      <c r="F702" s="806"/>
      <c r="W702" s="806"/>
      <c r="AZ702" s="806"/>
      <c r="BA702" s="806"/>
      <c r="BB702" s="806"/>
    </row>
    <row r="703" spans="4:54">
      <c r="D703" s="806"/>
      <c r="F703" s="806"/>
      <c r="W703" s="806"/>
      <c r="AZ703" s="806"/>
      <c r="BA703" s="806"/>
      <c r="BB703" s="806"/>
    </row>
    <row r="704" spans="4:54">
      <c r="D704" s="806"/>
      <c r="F704" s="806"/>
      <c r="W704" s="806"/>
      <c r="AZ704" s="806"/>
      <c r="BA704" s="806"/>
      <c r="BB704" s="806"/>
    </row>
    <row r="705" spans="4:54">
      <c r="D705" s="806"/>
      <c r="F705" s="806"/>
      <c r="W705" s="806"/>
      <c r="AZ705" s="806"/>
      <c r="BA705" s="806"/>
      <c r="BB705" s="806"/>
    </row>
    <row r="706" spans="4:54">
      <c r="D706" s="806"/>
      <c r="F706" s="806"/>
      <c r="W706" s="806"/>
      <c r="AZ706" s="806"/>
      <c r="BA706" s="806"/>
      <c r="BB706" s="806"/>
    </row>
    <row r="707" spans="4:54">
      <c r="D707" s="806"/>
      <c r="F707" s="806"/>
      <c r="W707" s="806"/>
      <c r="AZ707" s="806"/>
      <c r="BA707" s="806"/>
      <c r="BB707" s="806"/>
    </row>
    <row r="708" spans="4:54">
      <c r="D708" s="806"/>
      <c r="F708" s="806"/>
      <c r="W708" s="806"/>
      <c r="AZ708" s="806"/>
      <c r="BA708" s="806"/>
      <c r="BB708" s="806"/>
    </row>
    <row r="709" spans="4:54">
      <c r="D709" s="806"/>
      <c r="F709" s="806"/>
      <c r="W709" s="806"/>
      <c r="AZ709" s="806"/>
      <c r="BA709" s="806"/>
      <c r="BB709" s="806"/>
    </row>
    <row r="710" spans="4:54">
      <c r="D710" s="806"/>
      <c r="F710" s="806"/>
      <c r="W710" s="806"/>
      <c r="AZ710" s="806"/>
      <c r="BA710" s="806"/>
      <c r="BB710" s="806"/>
    </row>
    <row r="711" spans="4:54">
      <c r="D711" s="806"/>
      <c r="F711" s="806"/>
      <c r="W711" s="806"/>
      <c r="AZ711" s="806"/>
      <c r="BA711" s="806"/>
      <c r="BB711" s="806"/>
    </row>
    <row r="712" spans="4:54">
      <c r="D712" s="806"/>
      <c r="F712" s="806"/>
      <c r="W712" s="806"/>
      <c r="AZ712" s="806"/>
      <c r="BA712" s="806"/>
      <c r="BB712" s="806"/>
    </row>
    <row r="713" spans="4:54">
      <c r="D713" s="806"/>
      <c r="F713" s="806"/>
      <c r="W713" s="806"/>
      <c r="AZ713" s="806"/>
      <c r="BA713" s="806"/>
      <c r="BB713" s="806"/>
    </row>
    <row r="714" spans="4:54">
      <c r="D714" s="806"/>
      <c r="F714" s="806"/>
      <c r="W714" s="806"/>
      <c r="AZ714" s="806"/>
      <c r="BA714" s="806"/>
      <c r="BB714" s="806"/>
    </row>
    <row r="715" spans="4:54">
      <c r="D715" s="806"/>
      <c r="F715" s="806"/>
      <c r="W715" s="806"/>
      <c r="AZ715" s="806"/>
      <c r="BA715" s="806"/>
      <c r="BB715" s="806"/>
    </row>
    <row r="716" spans="4:54">
      <c r="D716" s="806"/>
      <c r="F716" s="806"/>
      <c r="W716" s="806"/>
      <c r="AZ716" s="806"/>
      <c r="BA716" s="806"/>
      <c r="BB716" s="806"/>
    </row>
    <row r="717" spans="4:54">
      <c r="D717" s="806"/>
      <c r="F717" s="806"/>
      <c r="W717" s="806"/>
      <c r="AZ717" s="806"/>
      <c r="BA717" s="806"/>
      <c r="BB717" s="806"/>
    </row>
    <row r="718" spans="4:54">
      <c r="D718" s="806"/>
      <c r="F718" s="806"/>
      <c r="W718" s="806"/>
      <c r="AZ718" s="806"/>
      <c r="BA718" s="806"/>
      <c r="BB718" s="806"/>
    </row>
    <row r="719" spans="4:54">
      <c r="D719" s="806"/>
      <c r="F719" s="806"/>
      <c r="W719" s="806"/>
      <c r="AZ719" s="806"/>
      <c r="BA719" s="806"/>
      <c r="BB719" s="806"/>
    </row>
    <row r="720" spans="4:54">
      <c r="D720" s="806"/>
      <c r="F720" s="806"/>
      <c r="W720" s="806"/>
      <c r="AZ720" s="806"/>
      <c r="BA720" s="806"/>
      <c r="BB720" s="806"/>
    </row>
    <row r="721" spans="4:54">
      <c r="D721" s="806"/>
      <c r="F721" s="806"/>
      <c r="W721" s="806"/>
      <c r="AZ721" s="806"/>
      <c r="BA721" s="806"/>
      <c r="BB721" s="806"/>
    </row>
    <row r="722" spans="4:54">
      <c r="D722" s="806"/>
      <c r="F722" s="806"/>
      <c r="W722" s="806"/>
      <c r="AZ722" s="806"/>
      <c r="BA722" s="806"/>
      <c r="BB722" s="806"/>
    </row>
    <row r="723" spans="4:54">
      <c r="D723" s="806"/>
      <c r="F723" s="806"/>
      <c r="W723" s="806"/>
      <c r="AZ723" s="806"/>
      <c r="BA723" s="806"/>
      <c r="BB723" s="806"/>
    </row>
    <row r="724" spans="4:54">
      <c r="D724" s="806"/>
      <c r="F724" s="806"/>
      <c r="W724" s="806"/>
      <c r="AZ724" s="806"/>
      <c r="BA724" s="806"/>
      <c r="BB724" s="806"/>
    </row>
    <row r="725" spans="4:54">
      <c r="D725" s="806"/>
      <c r="F725" s="806"/>
      <c r="W725" s="806"/>
      <c r="AZ725" s="806"/>
      <c r="BA725" s="806"/>
      <c r="BB725" s="806"/>
    </row>
    <row r="726" spans="4:54">
      <c r="D726" s="806"/>
      <c r="F726" s="806"/>
      <c r="W726" s="806"/>
      <c r="AZ726" s="806"/>
      <c r="BA726" s="806"/>
      <c r="BB726" s="806"/>
    </row>
    <row r="727" spans="4:54">
      <c r="D727" s="806"/>
      <c r="F727" s="806"/>
      <c r="W727" s="806"/>
      <c r="AZ727" s="806"/>
      <c r="BA727" s="806"/>
      <c r="BB727" s="806"/>
    </row>
    <row r="728" spans="4:54">
      <c r="D728" s="806"/>
      <c r="F728" s="806"/>
      <c r="W728" s="806"/>
      <c r="AZ728" s="806"/>
      <c r="BA728" s="806"/>
      <c r="BB728" s="806"/>
    </row>
    <row r="729" spans="4:54">
      <c r="D729" s="806"/>
      <c r="F729" s="806"/>
      <c r="W729" s="806"/>
      <c r="AZ729" s="806"/>
      <c r="BA729" s="806"/>
      <c r="BB729" s="806"/>
    </row>
    <row r="730" spans="4:54">
      <c r="D730" s="806"/>
      <c r="F730" s="806"/>
      <c r="W730" s="806"/>
      <c r="AZ730" s="806"/>
      <c r="BA730" s="806"/>
      <c r="BB730" s="806"/>
    </row>
    <row r="731" spans="4:54">
      <c r="D731" s="806"/>
      <c r="F731" s="806"/>
      <c r="W731" s="806"/>
      <c r="AZ731" s="806"/>
      <c r="BA731" s="806"/>
      <c r="BB731" s="806"/>
    </row>
    <row r="732" spans="4:54">
      <c r="D732" s="806"/>
      <c r="F732" s="806"/>
      <c r="W732" s="806"/>
      <c r="AZ732" s="806"/>
      <c r="BA732" s="806"/>
      <c r="BB732" s="806"/>
    </row>
    <row r="733" spans="4:54">
      <c r="D733" s="806"/>
      <c r="F733" s="806"/>
      <c r="W733" s="806"/>
      <c r="AZ733" s="806"/>
      <c r="BA733" s="806"/>
      <c r="BB733" s="806"/>
    </row>
    <row r="734" spans="4:54">
      <c r="D734" s="806"/>
      <c r="F734" s="806"/>
      <c r="W734" s="806"/>
      <c r="AZ734" s="806"/>
      <c r="BA734" s="806"/>
      <c r="BB734" s="806"/>
    </row>
    <row r="735" spans="4:54">
      <c r="D735" s="806"/>
      <c r="F735" s="806"/>
      <c r="W735" s="806"/>
      <c r="AZ735" s="806"/>
      <c r="BA735" s="806"/>
      <c r="BB735" s="806"/>
    </row>
    <row r="736" spans="4:54">
      <c r="D736" s="806"/>
      <c r="F736" s="806"/>
      <c r="W736" s="806"/>
      <c r="AZ736" s="806"/>
      <c r="BA736" s="806"/>
      <c r="BB736" s="806"/>
    </row>
    <row r="737" spans="4:54">
      <c r="D737" s="806"/>
      <c r="F737" s="806"/>
      <c r="W737" s="806"/>
      <c r="AZ737" s="806"/>
      <c r="BA737" s="806"/>
      <c r="BB737" s="806"/>
    </row>
    <row r="738" spans="4:54">
      <c r="D738" s="806"/>
      <c r="F738" s="806"/>
      <c r="W738" s="806"/>
      <c r="AZ738" s="806"/>
      <c r="BA738" s="806"/>
      <c r="BB738" s="806"/>
    </row>
    <row r="739" spans="4:54">
      <c r="D739" s="806"/>
      <c r="F739" s="806"/>
      <c r="W739" s="806"/>
      <c r="AZ739" s="806"/>
      <c r="BA739" s="806"/>
      <c r="BB739" s="806"/>
    </row>
    <row r="740" spans="4:54">
      <c r="D740" s="806"/>
      <c r="F740" s="806"/>
      <c r="W740" s="806"/>
      <c r="AZ740" s="806"/>
      <c r="BA740" s="806"/>
      <c r="BB740" s="806"/>
    </row>
    <row r="741" spans="4:54">
      <c r="D741" s="806"/>
      <c r="F741" s="806"/>
      <c r="W741" s="806"/>
      <c r="AZ741" s="806"/>
      <c r="BA741" s="806"/>
      <c r="BB741" s="806"/>
    </row>
    <row r="742" spans="4:54">
      <c r="D742" s="806"/>
      <c r="F742" s="806"/>
      <c r="W742" s="806"/>
      <c r="AZ742" s="806"/>
      <c r="BA742" s="806"/>
      <c r="BB742" s="806"/>
    </row>
    <row r="743" spans="4:54">
      <c r="D743" s="806"/>
      <c r="F743" s="806"/>
      <c r="W743" s="806"/>
      <c r="AZ743" s="806"/>
      <c r="BA743" s="806"/>
      <c r="BB743" s="806"/>
    </row>
    <row r="744" spans="4:54">
      <c r="D744" s="806"/>
      <c r="F744" s="806"/>
      <c r="W744" s="806"/>
      <c r="AZ744" s="806"/>
      <c r="BA744" s="806"/>
      <c r="BB744" s="806"/>
    </row>
    <row r="745" spans="4:54">
      <c r="D745" s="806"/>
      <c r="F745" s="806"/>
      <c r="W745" s="806"/>
      <c r="AZ745" s="806"/>
      <c r="BA745" s="806"/>
      <c r="BB745" s="806"/>
    </row>
    <row r="746" spans="4:54">
      <c r="D746" s="806"/>
      <c r="F746" s="806"/>
      <c r="W746" s="806"/>
      <c r="AZ746" s="806"/>
      <c r="BA746" s="806"/>
      <c r="BB746" s="806"/>
    </row>
    <row r="747" spans="4:54">
      <c r="D747" s="806"/>
      <c r="F747" s="806"/>
      <c r="W747" s="806"/>
      <c r="AZ747" s="806"/>
      <c r="BA747" s="806"/>
      <c r="BB747" s="806"/>
    </row>
    <row r="748" spans="4:54">
      <c r="D748" s="806"/>
      <c r="F748" s="806"/>
      <c r="W748" s="806"/>
      <c r="AZ748" s="806"/>
      <c r="BA748" s="806"/>
      <c r="BB748" s="806"/>
    </row>
    <row r="749" spans="4:54">
      <c r="D749" s="806"/>
      <c r="F749" s="806"/>
      <c r="W749" s="806"/>
      <c r="AZ749" s="806"/>
      <c r="BA749" s="806"/>
      <c r="BB749" s="806"/>
    </row>
    <row r="750" spans="4:54">
      <c r="D750" s="806"/>
      <c r="F750" s="806"/>
      <c r="W750" s="806"/>
      <c r="AZ750" s="806"/>
      <c r="BA750" s="806"/>
      <c r="BB750" s="806"/>
    </row>
    <row r="751" spans="4:54">
      <c r="D751" s="806"/>
      <c r="F751" s="806"/>
      <c r="W751" s="806"/>
      <c r="AZ751" s="806"/>
      <c r="BA751" s="806"/>
      <c r="BB751" s="806"/>
    </row>
    <row r="752" spans="4:54">
      <c r="D752" s="806"/>
      <c r="F752" s="806"/>
      <c r="W752" s="806"/>
      <c r="AZ752" s="806"/>
      <c r="BA752" s="806"/>
      <c r="BB752" s="806"/>
    </row>
    <row r="753" spans="4:54">
      <c r="D753" s="806"/>
      <c r="F753" s="806"/>
      <c r="W753" s="806"/>
      <c r="AZ753" s="806"/>
      <c r="BA753" s="806"/>
      <c r="BB753" s="806"/>
    </row>
    <row r="754" spans="4:54">
      <c r="D754" s="806"/>
      <c r="F754" s="806"/>
      <c r="W754" s="806"/>
      <c r="AZ754" s="806"/>
      <c r="BA754" s="806"/>
      <c r="BB754" s="806"/>
    </row>
    <row r="755" spans="4:54">
      <c r="D755" s="806"/>
      <c r="F755" s="806"/>
      <c r="W755" s="806"/>
      <c r="AZ755" s="806"/>
      <c r="BA755" s="806"/>
      <c r="BB755" s="806"/>
    </row>
    <row r="756" spans="4:54">
      <c r="D756" s="806"/>
      <c r="F756" s="806"/>
      <c r="W756" s="806"/>
      <c r="AZ756" s="806"/>
      <c r="BA756" s="806"/>
      <c r="BB756" s="806"/>
    </row>
    <row r="757" spans="4:54">
      <c r="D757" s="806"/>
      <c r="F757" s="806"/>
      <c r="W757" s="806"/>
      <c r="AZ757" s="806"/>
      <c r="BA757" s="806"/>
      <c r="BB757" s="806"/>
    </row>
    <row r="758" spans="4:54">
      <c r="D758" s="806"/>
      <c r="F758" s="806"/>
      <c r="W758" s="806"/>
      <c r="AZ758" s="806"/>
      <c r="BA758" s="806"/>
      <c r="BB758" s="806"/>
    </row>
    <row r="759" spans="4:54">
      <c r="D759" s="806"/>
      <c r="F759" s="806"/>
      <c r="W759" s="806"/>
      <c r="AZ759" s="806"/>
      <c r="BA759" s="806"/>
      <c r="BB759" s="806"/>
    </row>
    <row r="760" spans="4:54">
      <c r="D760" s="806"/>
      <c r="F760" s="806"/>
      <c r="W760" s="806"/>
      <c r="AZ760" s="806"/>
      <c r="BA760" s="806"/>
      <c r="BB760" s="806"/>
    </row>
    <row r="761" spans="4:54">
      <c r="D761" s="806"/>
      <c r="F761" s="806"/>
      <c r="W761" s="806"/>
      <c r="AZ761" s="806"/>
      <c r="BA761" s="806"/>
      <c r="BB761" s="806"/>
    </row>
    <row r="762" spans="4:54">
      <c r="D762" s="806"/>
      <c r="F762" s="806"/>
      <c r="W762" s="806"/>
      <c r="AZ762" s="806"/>
      <c r="BA762" s="806"/>
      <c r="BB762" s="806"/>
    </row>
    <row r="763" spans="4:54">
      <c r="D763" s="806"/>
      <c r="F763" s="806"/>
      <c r="W763" s="806"/>
      <c r="AZ763" s="806"/>
      <c r="BA763" s="806"/>
      <c r="BB763" s="806"/>
    </row>
    <row r="764" spans="4:54">
      <c r="D764" s="806"/>
      <c r="F764" s="806"/>
      <c r="W764" s="806"/>
      <c r="AZ764" s="806"/>
      <c r="BA764" s="806"/>
      <c r="BB764" s="806"/>
    </row>
    <row r="765" spans="4:54">
      <c r="D765" s="806"/>
      <c r="F765" s="806"/>
      <c r="W765" s="806"/>
      <c r="AZ765" s="806"/>
      <c r="BA765" s="806"/>
      <c r="BB765" s="806"/>
    </row>
    <row r="766" spans="4:54">
      <c r="D766" s="806"/>
      <c r="F766" s="806"/>
      <c r="W766" s="806"/>
      <c r="AZ766" s="806"/>
      <c r="BA766" s="806"/>
      <c r="BB766" s="806"/>
    </row>
    <row r="767" spans="4:54">
      <c r="D767" s="806"/>
      <c r="F767" s="806"/>
      <c r="W767" s="806"/>
      <c r="AZ767" s="806"/>
      <c r="BA767" s="806"/>
      <c r="BB767" s="806"/>
    </row>
    <row r="768" spans="4:54">
      <c r="D768" s="806"/>
      <c r="F768" s="806"/>
      <c r="W768" s="806"/>
      <c r="AZ768" s="806"/>
      <c r="BA768" s="806"/>
      <c r="BB768" s="806"/>
    </row>
    <row r="769" spans="4:54">
      <c r="D769" s="806"/>
      <c r="F769" s="806"/>
      <c r="W769" s="806"/>
      <c r="AZ769" s="806"/>
      <c r="BA769" s="806"/>
      <c r="BB769" s="806"/>
    </row>
    <row r="770" spans="4:54">
      <c r="D770" s="806"/>
      <c r="F770" s="806"/>
      <c r="W770" s="806"/>
      <c r="AZ770" s="806"/>
      <c r="BA770" s="806"/>
      <c r="BB770" s="806"/>
    </row>
    <row r="771" spans="4:54">
      <c r="D771" s="806"/>
      <c r="F771" s="806"/>
      <c r="W771" s="806"/>
      <c r="AZ771" s="806"/>
      <c r="BA771" s="806"/>
      <c r="BB771" s="806"/>
    </row>
    <row r="772" spans="4:54">
      <c r="D772" s="806"/>
      <c r="F772" s="806"/>
      <c r="W772" s="806"/>
      <c r="AZ772" s="806"/>
      <c r="BA772" s="806"/>
      <c r="BB772" s="806"/>
    </row>
    <row r="773" spans="4:54">
      <c r="D773" s="806"/>
      <c r="F773" s="806"/>
      <c r="W773" s="806"/>
      <c r="AZ773" s="806"/>
      <c r="BA773" s="806"/>
      <c r="BB773" s="806"/>
    </row>
    <row r="774" spans="4:54">
      <c r="D774" s="806"/>
      <c r="F774" s="806"/>
      <c r="W774" s="806"/>
      <c r="AZ774" s="806"/>
      <c r="BA774" s="806"/>
      <c r="BB774" s="806"/>
    </row>
    <row r="775" spans="4:54">
      <c r="D775" s="806"/>
      <c r="F775" s="806"/>
      <c r="W775" s="806"/>
      <c r="AZ775" s="806"/>
      <c r="BA775" s="806"/>
      <c r="BB775" s="806"/>
    </row>
    <row r="776" spans="4:54">
      <c r="D776" s="806"/>
      <c r="F776" s="806"/>
      <c r="W776" s="806"/>
      <c r="AZ776" s="806"/>
      <c r="BA776" s="806"/>
      <c r="BB776" s="806"/>
    </row>
    <row r="777" spans="4:54">
      <c r="D777" s="806"/>
      <c r="F777" s="806"/>
      <c r="W777" s="806"/>
      <c r="AZ777" s="806"/>
      <c r="BA777" s="806"/>
      <c r="BB777" s="806"/>
    </row>
    <row r="778" spans="4:54">
      <c r="D778" s="806"/>
      <c r="F778" s="806"/>
      <c r="W778" s="806"/>
      <c r="AZ778" s="806"/>
      <c r="BA778" s="806"/>
      <c r="BB778" s="806"/>
    </row>
    <row r="779" spans="4:54">
      <c r="D779" s="806"/>
      <c r="F779" s="806"/>
      <c r="W779" s="806"/>
      <c r="AZ779" s="806"/>
      <c r="BA779" s="806"/>
      <c r="BB779" s="806"/>
    </row>
    <row r="780" spans="4:54">
      <c r="D780" s="806"/>
      <c r="F780" s="806"/>
      <c r="W780" s="806"/>
      <c r="AZ780" s="806"/>
      <c r="BA780" s="806"/>
      <c r="BB780" s="806"/>
    </row>
    <row r="781" spans="4:54">
      <c r="D781" s="806"/>
      <c r="F781" s="806"/>
      <c r="W781" s="806"/>
      <c r="AZ781" s="806"/>
      <c r="BA781" s="806"/>
      <c r="BB781" s="806"/>
    </row>
    <row r="782" spans="4:54">
      <c r="D782" s="806"/>
      <c r="F782" s="806"/>
      <c r="W782" s="806"/>
      <c r="AZ782" s="806"/>
      <c r="BA782" s="806"/>
      <c r="BB782" s="806"/>
    </row>
    <row r="783" spans="4:54">
      <c r="D783" s="806"/>
      <c r="F783" s="806"/>
      <c r="W783" s="806"/>
      <c r="AZ783" s="806"/>
      <c r="BA783" s="806"/>
      <c r="BB783" s="806"/>
    </row>
    <row r="784" spans="4:54">
      <c r="D784" s="806"/>
      <c r="F784" s="806"/>
      <c r="W784" s="806"/>
      <c r="AZ784" s="806"/>
      <c r="BA784" s="806"/>
      <c r="BB784" s="806"/>
    </row>
    <row r="785" spans="4:54">
      <c r="D785" s="806"/>
      <c r="F785" s="806"/>
      <c r="W785" s="806"/>
      <c r="AZ785" s="806"/>
      <c r="BA785" s="806"/>
      <c r="BB785" s="806"/>
    </row>
    <row r="786" spans="4:54">
      <c r="D786" s="806"/>
      <c r="F786" s="806"/>
      <c r="W786" s="806"/>
      <c r="AZ786" s="806"/>
      <c r="BA786" s="806"/>
      <c r="BB786" s="806"/>
    </row>
    <row r="787" spans="4:54">
      <c r="D787" s="806"/>
      <c r="F787" s="806"/>
      <c r="W787" s="806"/>
      <c r="AZ787" s="806"/>
      <c r="BA787" s="806"/>
      <c r="BB787" s="806"/>
    </row>
    <row r="788" spans="4:54">
      <c r="D788" s="806"/>
      <c r="F788" s="806"/>
      <c r="W788" s="806"/>
      <c r="AZ788" s="806"/>
      <c r="BA788" s="806"/>
      <c r="BB788" s="806"/>
    </row>
    <row r="789" spans="4:54">
      <c r="D789" s="806"/>
      <c r="F789" s="806"/>
      <c r="W789" s="806"/>
      <c r="AZ789" s="806"/>
      <c r="BA789" s="806"/>
      <c r="BB789" s="806"/>
    </row>
    <row r="790" spans="4:54">
      <c r="D790" s="806"/>
      <c r="F790" s="806"/>
      <c r="W790" s="806"/>
      <c r="AZ790" s="806"/>
      <c r="BA790" s="806"/>
      <c r="BB790" s="806"/>
    </row>
    <row r="791" spans="4:54">
      <c r="D791" s="806"/>
      <c r="F791" s="806"/>
      <c r="W791" s="806"/>
      <c r="AZ791" s="806"/>
      <c r="BA791" s="806"/>
      <c r="BB791" s="806"/>
    </row>
    <row r="792" spans="4:54">
      <c r="D792" s="806"/>
      <c r="F792" s="806"/>
      <c r="W792" s="806"/>
      <c r="AZ792" s="806"/>
      <c r="BA792" s="806"/>
      <c r="BB792" s="806"/>
    </row>
    <row r="793" spans="4:54">
      <c r="D793" s="806"/>
      <c r="F793" s="806"/>
      <c r="W793" s="806"/>
      <c r="AZ793" s="806"/>
      <c r="BA793" s="806"/>
      <c r="BB793" s="806"/>
    </row>
    <row r="794" spans="4:54">
      <c r="D794" s="806"/>
      <c r="F794" s="806"/>
      <c r="W794" s="806"/>
      <c r="AZ794" s="806"/>
      <c r="BA794" s="806"/>
      <c r="BB794" s="806"/>
    </row>
    <row r="795" spans="4:54">
      <c r="D795" s="806"/>
      <c r="F795" s="806"/>
      <c r="W795" s="806"/>
      <c r="AZ795" s="806"/>
      <c r="BA795" s="806"/>
      <c r="BB795" s="806"/>
    </row>
    <row r="796" spans="4:54">
      <c r="D796" s="806"/>
      <c r="F796" s="806"/>
      <c r="W796" s="806"/>
      <c r="AZ796" s="806"/>
      <c r="BA796" s="806"/>
      <c r="BB796" s="806"/>
    </row>
    <row r="797" spans="4:54">
      <c r="D797" s="806"/>
      <c r="F797" s="806"/>
      <c r="W797" s="806"/>
      <c r="AZ797" s="806"/>
      <c r="BA797" s="806"/>
      <c r="BB797" s="806"/>
    </row>
    <row r="798" spans="4:54">
      <c r="D798" s="806"/>
      <c r="F798" s="806"/>
      <c r="W798" s="806"/>
      <c r="AZ798" s="806"/>
      <c r="BA798" s="806"/>
      <c r="BB798" s="806"/>
    </row>
    <row r="799" spans="4:54">
      <c r="D799" s="806"/>
      <c r="F799" s="806"/>
      <c r="W799" s="806"/>
      <c r="AZ799" s="806"/>
      <c r="BA799" s="806"/>
      <c r="BB799" s="806"/>
    </row>
    <row r="800" spans="4:54">
      <c r="D800" s="806"/>
      <c r="F800" s="806"/>
      <c r="W800" s="806"/>
      <c r="AZ800" s="806"/>
      <c r="BA800" s="806"/>
      <c r="BB800" s="806"/>
    </row>
    <row r="801" spans="4:54">
      <c r="D801" s="806"/>
      <c r="F801" s="806"/>
      <c r="W801" s="806"/>
      <c r="AZ801" s="806"/>
      <c r="BA801" s="806"/>
      <c r="BB801" s="806"/>
    </row>
    <row r="802" spans="4:54">
      <c r="D802" s="806"/>
      <c r="F802" s="806"/>
      <c r="W802" s="806"/>
      <c r="AZ802" s="806"/>
      <c r="BA802" s="806"/>
      <c r="BB802" s="806"/>
    </row>
    <row r="803" spans="4:54">
      <c r="D803" s="806"/>
      <c r="F803" s="806"/>
      <c r="W803" s="806"/>
      <c r="AZ803" s="806"/>
      <c r="BA803" s="806"/>
      <c r="BB803" s="806"/>
    </row>
    <row r="804" spans="4:54">
      <c r="D804" s="806"/>
      <c r="F804" s="806"/>
      <c r="W804" s="806"/>
      <c r="AZ804" s="806"/>
      <c r="BA804" s="806"/>
      <c r="BB804" s="806"/>
    </row>
    <row r="805" spans="4:54">
      <c r="D805" s="806"/>
      <c r="F805" s="806"/>
      <c r="W805" s="806"/>
      <c r="AZ805" s="806"/>
      <c r="BA805" s="806"/>
      <c r="BB805" s="806"/>
    </row>
    <row r="806" spans="4:54">
      <c r="D806" s="806"/>
      <c r="F806" s="806"/>
      <c r="W806" s="806"/>
      <c r="AZ806" s="806"/>
      <c r="BA806" s="806"/>
      <c r="BB806" s="806"/>
    </row>
    <row r="807" spans="4:54">
      <c r="D807" s="806"/>
      <c r="F807" s="806"/>
      <c r="W807" s="806"/>
      <c r="AZ807" s="806"/>
      <c r="BA807" s="806"/>
      <c r="BB807" s="806"/>
    </row>
    <row r="808" spans="4:54">
      <c r="D808" s="806"/>
      <c r="F808" s="806"/>
      <c r="W808" s="806"/>
      <c r="AZ808" s="806"/>
      <c r="BA808" s="806"/>
      <c r="BB808" s="806"/>
    </row>
    <row r="809" spans="4:54">
      <c r="D809" s="806"/>
      <c r="F809" s="806"/>
      <c r="W809" s="806"/>
      <c r="AZ809" s="806"/>
      <c r="BA809" s="806"/>
      <c r="BB809" s="806"/>
    </row>
    <row r="810" spans="4:54">
      <c r="D810" s="806"/>
      <c r="F810" s="806"/>
      <c r="W810" s="806"/>
      <c r="AZ810" s="806"/>
      <c r="BA810" s="806"/>
      <c r="BB810" s="806"/>
    </row>
    <row r="811" spans="4:54">
      <c r="D811" s="806"/>
      <c r="F811" s="806"/>
      <c r="W811" s="806"/>
      <c r="AZ811" s="806"/>
      <c r="BA811" s="806"/>
      <c r="BB811" s="806"/>
    </row>
    <row r="812" spans="4:54">
      <c r="D812" s="806"/>
      <c r="F812" s="806"/>
      <c r="W812" s="806"/>
      <c r="AZ812" s="806"/>
      <c r="BA812" s="806"/>
      <c r="BB812" s="806"/>
    </row>
    <row r="813" spans="4:54">
      <c r="D813" s="806"/>
      <c r="F813" s="806"/>
      <c r="W813" s="806"/>
      <c r="AZ813" s="806"/>
      <c r="BA813" s="806"/>
      <c r="BB813" s="806"/>
    </row>
    <row r="814" spans="4:54">
      <c r="D814" s="806"/>
      <c r="F814" s="806"/>
      <c r="W814" s="806"/>
      <c r="AZ814" s="806"/>
      <c r="BA814" s="806"/>
      <c r="BB814" s="806"/>
    </row>
    <row r="815" spans="4:54">
      <c r="D815" s="806"/>
      <c r="F815" s="806"/>
      <c r="W815" s="806"/>
      <c r="AZ815" s="806"/>
      <c r="BA815" s="806"/>
      <c r="BB815" s="806"/>
    </row>
    <row r="816" spans="4:54">
      <c r="D816" s="806"/>
      <c r="F816" s="806"/>
      <c r="W816" s="806"/>
      <c r="AZ816" s="806"/>
      <c r="BA816" s="806"/>
      <c r="BB816" s="806"/>
    </row>
    <row r="817" spans="4:54">
      <c r="D817" s="806"/>
      <c r="F817" s="806"/>
      <c r="W817" s="806"/>
      <c r="AZ817" s="806"/>
      <c r="BA817" s="806"/>
      <c r="BB817" s="806"/>
    </row>
    <row r="818" spans="4:54">
      <c r="D818" s="806"/>
      <c r="F818" s="806"/>
      <c r="W818" s="806"/>
      <c r="AZ818" s="806"/>
      <c r="BA818" s="806"/>
      <c r="BB818" s="806"/>
    </row>
    <row r="819" spans="4:54">
      <c r="D819" s="806"/>
      <c r="F819" s="806"/>
      <c r="W819" s="806"/>
      <c r="AZ819" s="806"/>
      <c r="BA819" s="806"/>
      <c r="BB819" s="806"/>
    </row>
    <row r="820" spans="4:54">
      <c r="D820" s="806"/>
      <c r="F820" s="806"/>
      <c r="W820" s="806"/>
      <c r="AZ820" s="806"/>
      <c r="BA820" s="806"/>
      <c r="BB820" s="806"/>
    </row>
    <row r="821" spans="4:54">
      <c r="D821" s="806"/>
      <c r="F821" s="806"/>
      <c r="W821" s="806"/>
      <c r="AZ821" s="806"/>
      <c r="BA821" s="806"/>
      <c r="BB821" s="806"/>
    </row>
    <row r="822" spans="4:54">
      <c r="D822" s="806"/>
      <c r="F822" s="806"/>
      <c r="W822" s="806"/>
      <c r="AZ822" s="806"/>
      <c r="BA822" s="806"/>
      <c r="BB822" s="806"/>
    </row>
    <row r="823" spans="4:54">
      <c r="D823" s="806"/>
      <c r="F823" s="806"/>
      <c r="W823" s="806"/>
      <c r="AZ823" s="806"/>
      <c r="BA823" s="806"/>
      <c r="BB823" s="806"/>
    </row>
    <row r="824" spans="4:54">
      <c r="D824" s="806"/>
      <c r="F824" s="806"/>
      <c r="W824" s="806"/>
      <c r="AZ824" s="806"/>
      <c r="BA824" s="806"/>
      <c r="BB824" s="806"/>
    </row>
    <row r="825" spans="4:54">
      <c r="D825" s="806"/>
      <c r="F825" s="806"/>
      <c r="W825" s="806"/>
      <c r="AZ825" s="806"/>
      <c r="BA825" s="806"/>
      <c r="BB825" s="806"/>
    </row>
    <row r="826" spans="4:54">
      <c r="D826" s="806"/>
      <c r="F826" s="806"/>
      <c r="W826" s="806"/>
      <c r="AZ826" s="806"/>
      <c r="BA826" s="806"/>
      <c r="BB826" s="806"/>
    </row>
    <row r="827" spans="4:54">
      <c r="D827" s="806"/>
      <c r="F827" s="806"/>
      <c r="W827" s="806"/>
      <c r="AZ827" s="806"/>
      <c r="BA827" s="806"/>
      <c r="BB827" s="806"/>
    </row>
    <row r="828" spans="4:54">
      <c r="D828" s="806"/>
      <c r="F828" s="806"/>
      <c r="W828" s="806"/>
      <c r="AZ828" s="806"/>
      <c r="BA828" s="806"/>
      <c r="BB828" s="806"/>
    </row>
    <row r="829" spans="4:54">
      <c r="D829" s="806"/>
      <c r="F829" s="806"/>
      <c r="W829" s="806"/>
      <c r="AZ829" s="806"/>
      <c r="BA829" s="806"/>
      <c r="BB829" s="806"/>
    </row>
    <row r="830" spans="4:54">
      <c r="D830" s="806"/>
      <c r="F830" s="806"/>
      <c r="W830" s="806"/>
      <c r="AZ830" s="806"/>
      <c r="BA830" s="806"/>
      <c r="BB830" s="806"/>
    </row>
    <row r="831" spans="4:54">
      <c r="D831" s="806"/>
      <c r="F831" s="806"/>
      <c r="W831" s="806"/>
      <c r="AZ831" s="806"/>
      <c r="BA831" s="806"/>
      <c r="BB831" s="806"/>
    </row>
    <row r="832" spans="4:54">
      <c r="D832" s="806"/>
      <c r="F832" s="806"/>
      <c r="W832" s="806"/>
      <c r="AZ832" s="806"/>
      <c r="BA832" s="806"/>
      <c r="BB832" s="806"/>
    </row>
    <row r="833" spans="4:54">
      <c r="D833" s="806"/>
      <c r="F833" s="806"/>
      <c r="W833" s="806"/>
      <c r="AZ833" s="806"/>
      <c r="BA833" s="806"/>
      <c r="BB833" s="806"/>
    </row>
    <row r="834" spans="4:54">
      <c r="D834" s="806"/>
      <c r="F834" s="806"/>
      <c r="W834" s="806"/>
      <c r="AZ834" s="806"/>
      <c r="BA834" s="806"/>
      <c r="BB834" s="806"/>
    </row>
    <row r="835" spans="4:54">
      <c r="D835" s="806"/>
      <c r="F835" s="806"/>
      <c r="W835" s="806"/>
      <c r="AZ835" s="806"/>
      <c r="BA835" s="806"/>
      <c r="BB835" s="806"/>
    </row>
    <row r="836" spans="4:54">
      <c r="D836" s="806"/>
      <c r="F836" s="806"/>
      <c r="W836" s="806"/>
      <c r="AZ836" s="806"/>
      <c r="BA836" s="806"/>
      <c r="BB836" s="806"/>
    </row>
    <row r="837" spans="4:54">
      <c r="D837" s="806"/>
      <c r="F837" s="806"/>
      <c r="W837" s="806"/>
      <c r="AZ837" s="806"/>
      <c r="BA837" s="806"/>
      <c r="BB837" s="806"/>
    </row>
    <row r="838" spans="4:54">
      <c r="D838" s="806"/>
      <c r="F838" s="806"/>
      <c r="W838" s="806"/>
      <c r="AZ838" s="806"/>
      <c r="BA838" s="806"/>
      <c r="BB838" s="806"/>
    </row>
    <row r="839" spans="4:54">
      <c r="D839" s="806"/>
      <c r="F839" s="806"/>
      <c r="W839" s="806"/>
      <c r="AZ839" s="806"/>
      <c r="BA839" s="806"/>
      <c r="BB839" s="806"/>
    </row>
    <row r="840" spans="4:54">
      <c r="D840" s="806"/>
      <c r="F840" s="806"/>
      <c r="W840" s="806"/>
      <c r="AZ840" s="806"/>
      <c r="BA840" s="806"/>
      <c r="BB840" s="806"/>
    </row>
    <row r="841" spans="4:54">
      <c r="D841" s="806"/>
      <c r="F841" s="806"/>
      <c r="W841" s="806"/>
      <c r="AZ841" s="806"/>
      <c r="BA841" s="806"/>
      <c r="BB841" s="806"/>
    </row>
    <row r="842" spans="4:54">
      <c r="D842" s="806"/>
      <c r="F842" s="806"/>
      <c r="W842" s="806"/>
      <c r="AZ842" s="806"/>
      <c r="BA842" s="806"/>
      <c r="BB842" s="806"/>
    </row>
    <row r="843" spans="4:54">
      <c r="D843" s="806"/>
      <c r="F843" s="806"/>
      <c r="W843" s="806"/>
      <c r="AZ843" s="806"/>
      <c r="BA843" s="806"/>
      <c r="BB843" s="806"/>
    </row>
    <row r="844" spans="4:54">
      <c r="D844" s="806"/>
      <c r="F844" s="806"/>
      <c r="W844" s="806"/>
      <c r="AZ844" s="806"/>
      <c r="BA844" s="806"/>
      <c r="BB844" s="806"/>
    </row>
    <row r="845" spans="4:54">
      <c r="D845" s="806"/>
      <c r="F845" s="806"/>
      <c r="W845" s="806"/>
      <c r="AZ845" s="806"/>
      <c r="BA845" s="806"/>
      <c r="BB845" s="806"/>
    </row>
    <row r="846" spans="4:54">
      <c r="D846" s="806"/>
      <c r="F846" s="806"/>
      <c r="W846" s="806"/>
      <c r="AZ846" s="806"/>
      <c r="BA846" s="806"/>
      <c r="BB846" s="806"/>
    </row>
    <row r="847" spans="4:54">
      <c r="D847" s="806"/>
      <c r="F847" s="806"/>
      <c r="W847" s="806"/>
      <c r="AZ847" s="806"/>
      <c r="BA847" s="806"/>
      <c r="BB847" s="806"/>
    </row>
    <row r="848" spans="4:54">
      <c r="D848" s="806"/>
      <c r="F848" s="806"/>
      <c r="W848" s="806"/>
      <c r="AZ848" s="806"/>
      <c r="BA848" s="806"/>
      <c r="BB848" s="806"/>
    </row>
    <row r="849" spans="4:54">
      <c r="D849" s="806"/>
      <c r="F849" s="806"/>
      <c r="W849" s="806"/>
      <c r="AZ849" s="806"/>
      <c r="BA849" s="806"/>
      <c r="BB849" s="806"/>
    </row>
    <row r="850" spans="4:54">
      <c r="D850" s="806"/>
      <c r="F850" s="806"/>
      <c r="W850" s="806"/>
      <c r="AZ850" s="806"/>
      <c r="BA850" s="806"/>
      <c r="BB850" s="806"/>
    </row>
    <row r="851" spans="4:54">
      <c r="D851" s="806"/>
      <c r="F851" s="806"/>
      <c r="W851" s="806"/>
      <c r="AZ851" s="806"/>
      <c r="BA851" s="806"/>
      <c r="BB851" s="806"/>
    </row>
    <row r="852" spans="4:54">
      <c r="D852" s="806"/>
      <c r="F852" s="806"/>
      <c r="W852" s="806"/>
      <c r="AZ852" s="806"/>
      <c r="BA852" s="806"/>
      <c r="BB852" s="806"/>
    </row>
    <row r="853" spans="4:54">
      <c r="D853" s="806"/>
      <c r="F853" s="806"/>
      <c r="W853" s="806"/>
      <c r="AZ853" s="806"/>
      <c r="BA853" s="806"/>
      <c r="BB853" s="806"/>
    </row>
    <row r="854" spans="4:54">
      <c r="D854" s="806"/>
      <c r="F854" s="806"/>
      <c r="W854" s="806"/>
      <c r="AZ854" s="806"/>
      <c r="BA854" s="806"/>
      <c r="BB854" s="806"/>
    </row>
    <row r="855" spans="4:54">
      <c r="D855" s="806"/>
      <c r="F855" s="806"/>
      <c r="W855" s="806"/>
      <c r="AZ855" s="806"/>
      <c r="BA855" s="806"/>
      <c r="BB855" s="806"/>
    </row>
    <row r="856" spans="4:54">
      <c r="D856" s="806"/>
      <c r="F856" s="806"/>
      <c r="W856" s="806"/>
      <c r="AZ856" s="806"/>
      <c r="BA856" s="806"/>
      <c r="BB856" s="806"/>
    </row>
    <row r="857" spans="4:54">
      <c r="D857" s="806"/>
      <c r="F857" s="806"/>
      <c r="W857" s="806"/>
      <c r="AZ857" s="806"/>
      <c r="BA857" s="806"/>
      <c r="BB857" s="806"/>
    </row>
    <row r="858" spans="4:54">
      <c r="D858" s="806"/>
      <c r="F858" s="806"/>
      <c r="W858" s="806"/>
      <c r="AZ858" s="806"/>
      <c r="BA858" s="806"/>
      <c r="BB858" s="806"/>
    </row>
    <row r="859" spans="4:54">
      <c r="D859" s="806"/>
      <c r="F859" s="806"/>
      <c r="W859" s="806"/>
      <c r="AZ859" s="806"/>
      <c r="BA859" s="806"/>
      <c r="BB859" s="806"/>
    </row>
    <row r="860" spans="4:54">
      <c r="D860" s="806"/>
      <c r="F860" s="806"/>
      <c r="W860" s="806"/>
      <c r="AZ860" s="806"/>
      <c r="BA860" s="806"/>
      <c r="BB860" s="806"/>
    </row>
    <row r="861" spans="4:54">
      <c r="D861" s="806"/>
      <c r="F861" s="806"/>
      <c r="W861" s="806"/>
      <c r="AZ861" s="806"/>
      <c r="BA861" s="806"/>
      <c r="BB861" s="806"/>
    </row>
    <row r="862" spans="4:54">
      <c r="D862" s="806"/>
      <c r="F862" s="806"/>
      <c r="W862" s="806"/>
      <c r="AZ862" s="806"/>
      <c r="BA862" s="806"/>
      <c r="BB862" s="806"/>
    </row>
    <row r="863" spans="4:54">
      <c r="D863" s="806"/>
      <c r="F863" s="806"/>
      <c r="W863" s="806"/>
      <c r="AZ863" s="806"/>
      <c r="BA863" s="806"/>
      <c r="BB863" s="806"/>
    </row>
    <row r="864" spans="4:54">
      <c r="D864" s="806"/>
      <c r="F864" s="806"/>
      <c r="W864" s="806"/>
      <c r="AZ864" s="806"/>
      <c r="BA864" s="806"/>
      <c r="BB864" s="806"/>
    </row>
    <row r="865" spans="4:54">
      <c r="D865" s="806"/>
      <c r="F865" s="806"/>
      <c r="W865" s="806"/>
      <c r="AZ865" s="806"/>
      <c r="BA865" s="806"/>
      <c r="BB865" s="806"/>
    </row>
    <row r="866" spans="4:54">
      <c r="D866" s="806"/>
      <c r="F866" s="806"/>
      <c r="W866" s="806"/>
      <c r="AZ866" s="806"/>
      <c r="BA866" s="806"/>
      <c r="BB866" s="806"/>
    </row>
    <row r="867" spans="4:54">
      <c r="D867" s="806"/>
      <c r="F867" s="806"/>
      <c r="W867" s="806"/>
      <c r="AZ867" s="806"/>
      <c r="BA867" s="806"/>
      <c r="BB867" s="806"/>
    </row>
    <row r="868" spans="4:54">
      <c r="D868" s="806"/>
      <c r="F868" s="806"/>
      <c r="W868" s="806"/>
      <c r="AZ868" s="806"/>
      <c r="BA868" s="806"/>
      <c r="BB868" s="806"/>
    </row>
    <row r="869" spans="4:54">
      <c r="D869" s="806"/>
      <c r="F869" s="806"/>
      <c r="W869" s="806"/>
      <c r="AZ869" s="806"/>
      <c r="BA869" s="806"/>
      <c r="BB869" s="806"/>
    </row>
    <row r="870" spans="4:54">
      <c r="D870" s="806"/>
      <c r="F870" s="806"/>
      <c r="W870" s="806"/>
      <c r="AZ870" s="806"/>
      <c r="BA870" s="806"/>
      <c r="BB870" s="806"/>
    </row>
    <row r="871" spans="4:54">
      <c r="D871" s="806"/>
      <c r="F871" s="806"/>
      <c r="W871" s="806"/>
      <c r="AZ871" s="806"/>
      <c r="BA871" s="806"/>
      <c r="BB871" s="806"/>
    </row>
    <row r="872" spans="4:54">
      <c r="D872" s="806"/>
      <c r="F872" s="806"/>
      <c r="W872" s="806"/>
      <c r="AZ872" s="806"/>
      <c r="BA872" s="806"/>
      <c r="BB872" s="806"/>
    </row>
    <row r="873" spans="4:54">
      <c r="D873" s="806"/>
      <c r="F873" s="806"/>
      <c r="W873" s="806"/>
      <c r="AZ873" s="806"/>
      <c r="BA873" s="806"/>
      <c r="BB873" s="806"/>
    </row>
    <row r="874" spans="4:54">
      <c r="D874" s="806"/>
      <c r="F874" s="806"/>
      <c r="W874" s="806"/>
      <c r="AZ874" s="806"/>
      <c r="BA874" s="806"/>
      <c r="BB874" s="806"/>
    </row>
    <row r="875" spans="4:54">
      <c r="D875" s="806"/>
      <c r="F875" s="806"/>
      <c r="W875" s="806"/>
      <c r="AZ875" s="806"/>
      <c r="BA875" s="806"/>
      <c r="BB875" s="806"/>
    </row>
    <row r="876" spans="4:54">
      <c r="D876" s="806"/>
      <c r="F876" s="806"/>
      <c r="W876" s="806"/>
      <c r="AZ876" s="806"/>
      <c r="BA876" s="806"/>
      <c r="BB876" s="806"/>
    </row>
    <row r="877" spans="4:54">
      <c r="D877" s="806"/>
      <c r="F877" s="806"/>
      <c r="W877" s="806"/>
      <c r="AZ877" s="806"/>
      <c r="BA877" s="806"/>
      <c r="BB877" s="806"/>
    </row>
    <row r="878" spans="4:54">
      <c r="D878" s="806"/>
      <c r="F878" s="806"/>
      <c r="W878" s="806"/>
      <c r="AZ878" s="806"/>
      <c r="BA878" s="806"/>
      <c r="BB878" s="806"/>
    </row>
    <row r="879" spans="4:54">
      <c r="D879" s="806"/>
      <c r="F879" s="806"/>
      <c r="W879" s="806"/>
      <c r="AZ879" s="806"/>
      <c r="BA879" s="806"/>
      <c r="BB879" s="806"/>
    </row>
    <row r="880" spans="4:54">
      <c r="D880" s="806"/>
      <c r="F880" s="806"/>
      <c r="W880" s="806"/>
      <c r="AZ880" s="806"/>
      <c r="BA880" s="806"/>
      <c r="BB880" s="806"/>
    </row>
    <row r="881" spans="4:54">
      <c r="D881" s="806"/>
      <c r="F881" s="806"/>
      <c r="W881" s="806"/>
      <c r="AZ881" s="806"/>
      <c r="BA881" s="806"/>
      <c r="BB881" s="806"/>
    </row>
    <row r="882" spans="4:54">
      <c r="D882" s="806"/>
      <c r="F882" s="806"/>
      <c r="W882" s="806"/>
      <c r="AZ882" s="806"/>
      <c r="BA882" s="806"/>
      <c r="BB882" s="806"/>
    </row>
    <row r="883" spans="4:54">
      <c r="D883" s="806"/>
      <c r="F883" s="806"/>
      <c r="W883" s="806"/>
      <c r="AZ883" s="806"/>
      <c r="BA883" s="806"/>
      <c r="BB883" s="806"/>
    </row>
    <row r="884" spans="4:54">
      <c r="D884" s="806"/>
      <c r="F884" s="806"/>
      <c r="W884" s="806"/>
      <c r="AZ884" s="806"/>
      <c r="BA884" s="806"/>
      <c r="BB884" s="806"/>
    </row>
    <row r="885" spans="4:54">
      <c r="D885" s="806"/>
      <c r="F885" s="806"/>
      <c r="W885" s="806"/>
      <c r="AZ885" s="806"/>
      <c r="BA885" s="806"/>
      <c r="BB885" s="806"/>
    </row>
    <row r="886" spans="4:54">
      <c r="D886" s="806"/>
      <c r="F886" s="806"/>
      <c r="W886" s="806"/>
      <c r="AZ886" s="806"/>
      <c r="BA886" s="806"/>
      <c r="BB886" s="806"/>
    </row>
    <row r="887" spans="4:54">
      <c r="D887" s="806"/>
      <c r="F887" s="806"/>
      <c r="W887" s="806"/>
      <c r="AZ887" s="806"/>
      <c r="BA887" s="806"/>
      <c r="BB887" s="806"/>
    </row>
    <row r="888" spans="4:54">
      <c r="D888" s="806"/>
      <c r="F888" s="806"/>
      <c r="W888" s="806"/>
      <c r="AZ888" s="806"/>
      <c r="BA888" s="806"/>
      <c r="BB888" s="806"/>
    </row>
    <row r="889" spans="4:54">
      <c r="D889" s="806"/>
      <c r="F889" s="806"/>
      <c r="W889" s="806"/>
      <c r="AZ889" s="806"/>
      <c r="BA889" s="806"/>
      <c r="BB889" s="806"/>
    </row>
    <row r="890" spans="4:54">
      <c r="D890" s="806"/>
      <c r="F890" s="806"/>
      <c r="W890" s="806"/>
      <c r="AZ890" s="806"/>
      <c r="BA890" s="806"/>
      <c r="BB890" s="806"/>
    </row>
    <row r="891" spans="4:54">
      <c r="D891" s="806"/>
      <c r="F891" s="806"/>
      <c r="W891" s="806"/>
      <c r="AZ891" s="806"/>
      <c r="BA891" s="806"/>
      <c r="BB891" s="806"/>
    </row>
    <row r="892" spans="4:54">
      <c r="D892" s="806"/>
      <c r="F892" s="806"/>
      <c r="W892" s="806"/>
      <c r="AZ892" s="806"/>
      <c r="BA892" s="806"/>
      <c r="BB892" s="806"/>
    </row>
    <row r="893" spans="4:54">
      <c r="D893" s="806"/>
      <c r="F893" s="806"/>
      <c r="W893" s="806"/>
      <c r="AZ893" s="806"/>
      <c r="BA893" s="806"/>
      <c r="BB893" s="806"/>
    </row>
    <row r="894" spans="4:54">
      <c r="D894" s="806"/>
      <c r="F894" s="806"/>
      <c r="W894" s="806"/>
      <c r="AZ894" s="806"/>
      <c r="BA894" s="806"/>
      <c r="BB894" s="806"/>
    </row>
    <row r="895" spans="4:54">
      <c r="D895" s="806"/>
      <c r="F895" s="806"/>
      <c r="W895" s="806"/>
      <c r="AZ895" s="806"/>
      <c r="BA895" s="806"/>
      <c r="BB895" s="806"/>
    </row>
    <row r="896" spans="4:54">
      <c r="D896" s="806"/>
      <c r="F896" s="806"/>
      <c r="W896" s="806"/>
      <c r="AZ896" s="806"/>
      <c r="BA896" s="806"/>
      <c r="BB896" s="806"/>
    </row>
    <row r="897" spans="4:54">
      <c r="D897" s="806"/>
      <c r="F897" s="806"/>
      <c r="W897" s="806"/>
      <c r="AZ897" s="806"/>
      <c r="BA897" s="806"/>
      <c r="BB897" s="806"/>
    </row>
    <row r="898" spans="4:54">
      <c r="D898" s="806"/>
      <c r="F898" s="806"/>
      <c r="W898" s="806"/>
      <c r="AZ898" s="806"/>
      <c r="BA898" s="806"/>
      <c r="BB898" s="806"/>
    </row>
    <row r="899" spans="4:54">
      <c r="D899" s="806"/>
      <c r="F899" s="806"/>
      <c r="W899" s="806"/>
      <c r="AZ899" s="806"/>
      <c r="BA899" s="806"/>
      <c r="BB899" s="806"/>
    </row>
    <row r="900" spans="4:54">
      <c r="D900" s="806"/>
      <c r="F900" s="806"/>
      <c r="W900" s="806"/>
      <c r="AZ900" s="806"/>
      <c r="BA900" s="806"/>
      <c r="BB900" s="806"/>
    </row>
    <row r="901" spans="4:54">
      <c r="D901" s="806"/>
      <c r="F901" s="806"/>
      <c r="W901" s="806"/>
      <c r="AZ901" s="806"/>
      <c r="BA901" s="806"/>
      <c r="BB901" s="806"/>
    </row>
    <row r="902" spans="4:54">
      <c r="D902" s="806"/>
      <c r="F902" s="806"/>
      <c r="W902" s="806"/>
      <c r="AZ902" s="806"/>
      <c r="BA902" s="806"/>
      <c r="BB902" s="806"/>
    </row>
    <row r="903" spans="4:54">
      <c r="D903" s="806"/>
      <c r="F903" s="806"/>
      <c r="W903" s="806"/>
      <c r="AZ903" s="806"/>
      <c r="BA903" s="806"/>
      <c r="BB903" s="806"/>
    </row>
    <row r="904" spans="4:54">
      <c r="D904" s="806"/>
      <c r="F904" s="806"/>
      <c r="W904" s="806"/>
      <c r="AZ904" s="806"/>
      <c r="BA904" s="806"/>
      <c r="BB904" s="806"/>
    </row>
    <row r="905" spans="4:54">
      <c r="D905" s="806"/>
      <c r="F905" s="806"/>
      <c r="W905" s="806"/>
      <c r="AZ905" s="806"/>
      <c r="BA905" s="806"/>
      <c r="BB905" s="806"/>
    </row>
    <row r="906" spans="4:54">
      <c r="D906" s="806"/>
      <c r="F906" s="806"/>
      <c r="W906" s="806"/>
      <c r="AZ906" s="806"/>
      <c r="BA906" s="806"/>
      <c r="BB906" s="806"/>
    </row>
    <row r="907" spans="4:54">
      <c r="D907" s="806"/>
      <c r="F907" s="806"/>
      <c r="W907" s="806"/>
      <c r="AZ907" s="806"/>
      <c r="BA907" s="806"/>
      <c r="BB907" s="806"/>
    </row>
    <row r="908" spans="4:54">
      <c r="D908" s="806"/>
      <c r="F908" s="806"/>
      <c r="W908" s="806"/>
      <c r="AZ908" s="806"/>
      <c r="BA908" s="806"/>
      <c r="BB908" s="806"/>
    </row>
    <row r="909" spans="4:54">
      <c r="D909" s="806"/>
      <c r="F909" s="806"/>
      <c r="W909" s="806"/>
      <c r="AZ909" s="806"/>
      <c r="BA909" s="806"/>
      <c r="BB909" s="806"/>
    </row>
    <row r="910" spans="4:54">
      <c r="D910" s="806"/>
      <c r="F910" s="806"/>
      <c r="W910" s="806"/>
      <c r="AZ910" s="806"/>
      <c r="BA910" s="806"/>
      <c r="BB910" s="806"/>
    </row>
    <row r="911" spans="4:54">
      <c r="D911" s="806"/>
      <c r="F911" s="806"/>
      <c r="W911" s="806"/>
      <c r="AZ911" s="806"/>
      <c r="BA911" s="806"/>
      <c r="BB911" s="806"/>
    </row>
    <row r="912" spans="4:54">
      <c r="D912" s="806"/>
      <c r="F912" s="806"/>
      <c r="W912" s="806"/>
      <c r="AZ912" s="806"/>
      <c r="BA912" s="806"/>
      <c r="BB912" s="806"/>
    </row>
    <row r="913" spans="4:54">
      <c r="D913" s="806"/>
      <c r="F913" s="806"/>
      <c r="W913" s="806"/>
      <c r="AZ913" s="806"/>
      <c r="BA913" s="806"/>
      <c r="BB913" s="806"/>
    </row>
    <row r="914" spans="4:54">
      <c r="D914" s="806"/>
      <c r="F914" s="806"/>
      <c r="W914" s="806"/>
      <c r="AZ914" s="806"/>
      <c r="BA914" s="806"/>
      <c r="BB914" s="806"/>
    </row>
    <row r="915" spans="4:54">
      <c r="D915" s="806"/>
      <c r="F915" s="806"/>
      <c r="W915" s="806"/>
      <c r="AZ915" s="806"/>
      <c r="BA915" s="806"/>
      <c r="BB915" s="806"/>
    </row>
    <row r="916" spans="4:54">
      <c r="D916" s="806"/>
      <c r="F916" s="806"/>
      <c r="W916" s="806"/>
      <c r="AZ916" s="806"/>
      <c r="BA916" s="806"/>
      <c r="BB916" s="806"/>
    </row>
    <row r="917" spans="4:54">
      <c r="D917" s="806"/>
      <c r="F917" s="806"/>
      <c r="W917" s="806"/>
      <c r="AZ917" s="806"/>
      <c r="BA917" s="806"/>
      <c r="BB917" s="806"/>
    </row>
    <row r="918" spans="4:54">
      <c r="D918" s="806"/>
      <c r="F918" s="806"/>
      <c r="W918" s="806"/>
      <c r="AZ918" s="806"/>
      <c r="BA918" s="806"/>
      <c r="BB918" s="806"/>
    </row>
    <row r="919" spans="4:54">
      <c r="D919" s="806"/>
      <c r="F919" s="806"/>
      <c r="W919" s="806"/>
      <c r="AZ919" s="806"/>
      <c r="BA919" s="806"/>
      <c r="BB919" s="806"/>
    </row>
    <row r="920" spans="4:54">
      <c r="D920" s="806"/>
      <c r="F920" s="806"/>
      <c r="W920" s="806"/>
      <c r="AZ920" s="806"/>
      <c r="BA920" s="806"/>
      <c r="BB920" s="806"/>
    </row>
    <row r="921" spans="4:54">
      <c r="D921" s="806"/>
      <c r="F921" s="806"/>
      <c r="W921" s="806"/>
      <c r="AZ921" s="806"/>
      <c r="BA921" s="806"/>
      <c r="BB921" s="806"/>
    </row>
    <row r="922" spans="4:54">
      <c r="D922" s="806"/>
      <c r="F922" s="806"/>
      <c r="W922" s="806"/>
      <c r="AZ922" s="806"/>
      <c r="BA922" s="806"/>
      <c r="BB922" s="806"/>
    </row>
    <row r="923" spans="4:54">
      <c r="D923" s="806"/>
      <c r="F923" s="806"/>
      <c r="W923" s="806"/>
      <c r="AZ923" s="806"/>
      <c r="BA923" s="806"/>
      <c r="BB923" s="806"/>
    </row>
    <row r="924" spans="4:54">
      <c r="D924" s="806"/>
      <c r="F924" s="806"/>
      <c r="W924" s="806"/>
      <c r="AZ924" s="806"/>
      <c r="BA924" s="806"/>
      <c r="BB924" s="806"/>
    </row>
    <row r="925" spans="4:54">
      <c r="D925" s="806"/>
      <c r="F925" s="806"/>
      <c r="W925" s="806"/>
      <c r="AZ925" s="806"/>
      <c r="BA925" s="806"/>
      <c r="BB925" s="806"/>
    </row>
    <row r="926" spans="4:54">
      <c r="D926" s="806"/>
      <c r="F926" s="806"/>
      <c r="W926" s="806"/>
      <c r="AZ926" s="806"/>
      <c r="BA926" s="806"/>
      <c r="BB926" s="806"/>
    </row>
    <row r="927" spans="4:54">
      <c r="D927" s="806"/>
      <c r="F927" s="806"/>
      <c r="W927" s="806"/>
      <c r="AZ927" s="806"/>
      <c r="BA927" s="806"/>
      <c r="BB927" s="806"/>
    </row>
    <row r="928" spans="4:54">
      <c r="D928" s="806"/>
      <c r="F928" s="806"/>
      <c r="W928" s="806"/>
      <c r="AZ928" s="806"/>
      <c r="BA928" s="806"/>
      <c r="BB928" s="806"/>
    </row>
    <row r="929" spans="4:54">
      <c r="D929" s="806"/>
      <c r="F929" s="806"/>
      <c r="W929" s="806"/>
      <c r="AZ929" s="806"/>
      <c r="BA929" s="806"/>
      <c r="BB929" s="806"/>
    </row>
    <row r="930" spans="4:54">
      <c r="D930" s="806"/>
      <c r="F930" s="806"/>
      <c r="W930" s="806"/>
      <c r="AZ930" s="806"/>
      <c r="BA930" s="806"/>
      <c r="BB930" s="806"/>
    </row>
    <row r="931" spans="4:54">
      <c r="D931" s="806"/>
      <c r="F931" s="806"/>
      <c r="W931" s="806"/>
      <c r="AZ931" s="806"/>
      <c r="BA931" s="806"/>
      <c r="BB931" s="806"/>
    </row>
    <row r="932" spans="4:54">
      <c r="D932" s="806"/>
      <c r="F932" s="806"/>
      <c r="W932" s="806"/>
      <c r="AZ932" s="806"/>
      <c r="BA932" s="806"/>
      <c r="BB932" s="806"/>
    </row>
    <row r="933" spans="4:54">
      <c r="D933" s="806"/>
      <c r="F933" s="806"/>
      <c r="W933" s="806"/>
      <c r="AZ933" s="806"/>
      <c r="BA933" s="806"/>
      <c r="BB933" s="806"/>
    </row>
    <row r="934" spans="4:54">
      <c r="D934" s="806"/>
      <c r="F934" s="806"/>
      <c r="W934" s="806"/>
      <c r="AZ934" s="806"/>
      <c r="BA934" s="806"/>
      <c r="BB934" s="806"/>
    </row>
    <row r="935" spans="4:54">
      <c r="D935" s="806"/>
      <c r="F935" s="806"/>
      <c r="W935" s="806"/>
      <c r="AZ935" s="806"/>
      <c r="BA935" s="806"/>
      <c r="BB935" s="806"/>
    </row>
    <row r="936" spans="4:54">
      <c r="D936" s="806"/>
      <c r="F936" s="806"/>
      <c r="W936" s="806"/>
      <c r="AZ936" s="806"/>
      <c r="BA936" s="806"/>
      <c r="BB936" s="806"/>
    </row>
    <row r="937" spans="4:54">
      <c r="D937" s="806"/>
      <c r="F937" s="806"/>
      <c r="W937" s="806"/>
      <c r="AZ937" s="806"/>
      <c r="BA937" s="806"/>
      <c r="BB937" s="806"/>
    </row>
    <row r="938" spans="4:54">
      <c r="D938" s="806"/>
      <c r="F938" s="806"/>
      <c r="W938" s="806"/>
      <c r="AZ938" s="806"/>
      <c r="BA938" s="806"/>
      <c r="BB938" s="806"/>
    </row>
    <row r="939" spans="4:54">
      <c r="D939" s="806"/>
      <c r="F939" s="806"/>
      <c r="W939" s="806"/>
      <c r="AZ939" s="806"/>
      <c r="BA939" s="806"/>
      <c r="BB939" s="806"/>
    </row>
    <row r="940" spans="4:54">
      <c r="D940" s="806"/>
      <c r="F940" s="806"/>
      <c r="W940" s="806"/>
      <c r="AZ940" s="806"/>
      <c r="BA940" s="806"/>
      <c r="BB940" s="806"/>
    </row>
    <row r="941" spans="4:54">
      <c r="D941" s="806"/>
      <c r="F941" s="806"/>
      <c r="W941" s="806"/>
      <c r="AZ941" s="806"/>
      <c r="BA941" s="806"/>
      <c r="BB941" s="806"/>
    </row>
    <row r="942" spans="4:54">
      <c r="D942" s="806"/>
      <c r="F942" s="806"/>
      <c r="W942" s="806"/>
      <c r="AZ942" s="806"/>
      <c r="BA942" s="806"/>
      <c r="BB942" s="806"/>
    </row>
    <row r="943" spans="4:54">
      <c r="D943" s="806"/>
      <c r="F943" s="806"/>
      <c r="W943" s="806"/>
      <c r="AZ943" s="806"/>
      <c r="BA943" s="806"/>
      <c r="BB943" s="806"/>
    </row>
    <row r="944" spans="4:54">
      <c r="D944" s="806"/>
      <c r="F944" s="806"/>
      <c r="W944" s="806"/>
      <c r="AZ944" s="806"/>
      <c r="BA944" s="806"/>
      <c r="BB944" s="806"/>
    </row>
    <row r="945" spans="4:54">
      <c r="D945" s="806"/>
      <c r="F945" s="806"/>
      <c r="W945" s="806"/>
      <c r="AZ945" s="806"/>
      <c r="BA945" s="806"/>
      <c r="BB945" s="806"/>
    </row>
    <row r="946" spans="4:54">
      <c r="D946" s="806"/>
      <c r="F946" s="806"/>
      <c r="W946" s="806"/>
      <c r="AZ946" s="806"/>
      <c r="BA946" s="806"/>
      <c r="BB946" s="806"/>
    </row>
    <row r="947" spans="4:54">
      <c r="D947" s="806"/>
      <c r="F947" s="806"/>
      <c r="W947" s="806"/>
      <c r="AZ947" s="806"/>
      <c r="BA947" s="806"/>
      <c r="BB947" s="806"/>
    </row>
    <row r="948" spans="4:54">
      <c r="D948" s="806"/>
      <c r="F948" s="806"/>
      <c r="W948" s="806"/>
      <c r="AZ948" s="806"/>
      <c r="BA948" s="806"/>
      <c r="BB948" s="806"/>
    </row>
    <row r="949" spans="4:54">
      <c r="D949" s="806"/>
      <c r="F949" s="806"/>
      <c r="W949" s="806"/>
      <c r="AZ949" s="806"/>
      <c r="BA949" s="806"/>
      <c r="BB949" s="806"/>
    </row>
    <row r="950" spans="4:54">
      <c r="D950" s="806"/>
      <c r="F950" s="806"/>
      <c r="W950" s="806"/>
      <c r="AZ950" s="806"/>
      <c r="BA950" s="806"/>
      <c r="BB950" s="806"/>
    </row>
    <row r="951" spans="4:54">
      <c r="D951" s="806"/>
      <c r="F951" s="806"/>
      <c r="W951" s="806"/>
      <c r="AZ951" s="806"/>
      <c r="BA951" s="806"/>
      <c r="BB951" s="806"/>
    </row>
    <row r="952" spans="4:54">
      <c r="D952" s="806"/>
      <c r="F952" s="806"/>
      <c r="W952" s="806"/>
      <c r="AZ952" s="806"/>
      <c r="BA952" s="806"/>
      <c r="BB952" s="806"/>
    </row>
    <row r="953" spans="4:54">
      <c r="D953" s="806"/>
      <c r="F953" s="806"/>
      <c r="W953" s="806"/>
      <c r="AZ953" s="806"/>
      <c r="BA953" s="806"/>
      <c r="BB953" s="806"/>
    </row>
    <row r="954" spans="4:54">
      <c r="D954" s="806"/>
      <c r="F954" s="806"/>
      <c r="W954" s="806"/>
      <c r="AZ954" s="806"/>
      <c r="BA954" s="806"/>
      <c r="BB954" s="806"/>
    </row>
    <row r="955" spans="4:54">
      <c r="D955" s="806"/>
      <c r="F955" s="806"/>
      <c r="W955" s="806"/>
      <c r="AZ955" s="806"/>
      <c r="BA955" s="806"/>
      <c r="BB955" s="806"/>
    </row>
    <row r="956" spans="4:54">
      <c r="D956" s="806"/>
      <c r="F956" s="806"/>
      <c r="W956" s="806"/>
      <c r="AZ956" s="806"/>
      <c r="BA956" s="806"/>
      <c r="BB956" s="806"/>
    </row>
    <row r="957" spans="4:54">
      <c r="D957" s="806"/>
      <c r="F957" s="806"/>
      <c r="W957" s="806"/>
      <c r="AZ957" s="806"/>
      <c r="BA957" s="806"/>
      <c r="BB957" s="806"/>
    </row>
    <row r="958" spans="4:54">
      <c r="D958" s="806"/>
      <c r="F958" s="806"/>
      <c r="W958" s="806"/>
      <c r="AZ958" s="806"/>
      <c r="BA958" s="806"/>
      <c r="BB958" s="806"/>
    </row>
    <row r="959" spans="4:54">
      <c r="D959" s="806"/>
      <c r="F959" s="806"/>
      <c r="W959" s="806"/>
      <c r="AZ959" s="806"/>
      <c r="BA959" s="806"/>
      <c r="BB959" s="806"/>
    </row>
    <row r="960" spans="4:54">
      <c r="D960" s="806"/>
      <c r="F960" s="806"/>
      <c r="W960" s="806"/>
      <c r="AZ960" s="806"/>
      <c r="BA960" s="806"/>
      <c r="BB960" s="806"/>
    </row>
    <row r="961" spans="4:54">
      <c r="D961" s="806"/>
      <c r="F961" s="806"/>
      <c r="W961" s="806"/>
      <c r="AZ961" s="806"/>
      <c r="BA961" s="806"/>
      <c r="BB961" s="806"/>
    </row>
    <row r="962" spans="4:54">
      <c r="D962" s="806"/>
      <c r="F962" s="806"/>
      <c r="W962" s="806"/>
      <c r="AZ962" s="806"/>
      <c r="BA962" s="806"/>
      <c r="BB962" s="806"/>
    </row>
    <row r="963" spans="4:54">
      <c r="D963" s="806"/>
      <c r="F963" s="806"/>
      <c r="W963" s="806"/>
      <c r="AZ963" s="806"/>
      <c r="BA963" s="806"/>
      <c r="BB963" s="806"/>
    </row>
    <row r="964" spans="4:54">
      <c r="D964" s="806"/>
      <c r="F964" s="806"/>
      <c r="W964" s="806"/>
      <c r="AZ964" s="806"/>
      <c r="BA964" s="806"/>
      <c r="BB964" s="806"/>
    </row>
    <row r="965" spans="4:54">
      <c r="D965" s="806"/>
      <c r="F965" s="806"/>
      <c r="W965" s="806"/>
      <c r="AZ965" s="806"/>
      <c r="BA965" s="806"/>
      <c r="BB965" s="806"/>
    </row>
    <row r="966" spans="4:54">
      <c r="D966" s="806"/>
      <c r="F966" s="806"/>
      <c r="W966" s="806"/>
      <c r="AZ966" s="806"/>
      <c r="BA966" s="806"/>
      <c r="BB966" s="806"/>
    </row>
    <row r="967" spans="4:54">
      <c r="D967" s="806"/>
      <c r="F967" s="806"/>
      <c r="W967" s="806"/>
      <c r="AZ967" s="806"/>
      <c r="BA967" s="806"/>
      <c r="BB967" s="806"/>
    </row>
    <row r="968" spans="4:54">
      <c r="D968" s="806"/>
      <c r="F968" s="806"/>
      <c r="W968" s="806"/>
      <c r="AZ968" s="806"/>
      <c r="BA968" s="806"/>
      <c r="BB968" s="806"/>
    </row>
    <row r="969" spans="4:54">
      <c r="D969" s="806"/>
      <c r="F969" s="806"/>
      <c r="W969" s="806"/>
      <c r="AZ969" s="806"/>
      <c r="BA969" s="806"/>
      <c r="BB969" s="806"/>
    </row>
    <row r="970" spans="4:54">
      <c r="D970" s="806"/>
      <c r="F970" s="806"/>
      <c r="W970" s="806"/>
      <c r="AZ970" s="806"/>
      <c r="BA970" s="806"/>
      <c r="BB970" s="806"/>
    </row>
    <row r="971" spans="4:54">
      <c r="D971" s="806"/>
      <c r="F971" s="806"/>
      <c r="W971" s="806"/>
      <c r="AZ971" s="806"/>
      <c r="BA971" s="806"/>
      <c r="BB971" s="806"/>
    </row>
    <row r="972" spans="4:54">
      <c r="D972" s="806"/>
      <c r="F972" s="806"/>
      <c r="W972" s="806"/>
      <c r="AZ972" s="806"/>
      <c r="BA972" s="806"/>
      <c r="BB972" s="806"/>
    </row>
    <row r="973" spans="4:54">
      <c r="D973" s="806"/>
      <c r="F973" s="806"/>
      <c r="W973" s="806"/>
      <c r="AZ973" s="806"/>
      <c r="BA973" s="806"/>
      <c r="BB973" s="806"/>
    </row>
    <row r="974" spans="4:54">
      <c r="D974" s="806"/>
      <c r="F974" s="806"/>
      <c r="W974" s="806"/>
      <c r="AZ974" s="806"/>
      <c r="BA974" s="806"/>
      <c r="BB974" s="806"/>
    </row>
    <row r="975" spans="4:54">
      <c r="D975" s="806"/>
      <c r="F975" s="806"/>
      <c r="W975" s="806"/>
      <c r="AZ975" s="806"/>
      <c r="BA975" s="806"/>
      <c r="BB975" s="806"/>
    </row>
    <row r="976" spans="4:54">
      <c r="D976" s="806"/>
      <c r="F976" s="806"/>
      <c r="W976" s="806"/>
      <c r="AZ976" s="806"/>
      <c r="BA976" s="806"/>
      <c r="BB976" s="806"/>
    </row>
    <row r="977" spans="4:54">
      <c r="D977" s="806"/>
      <c r="F977" s="806"/>
      <c r="W977" s="806"/>
      <c r="AZ977" s="806"/>
      <c r="BA977" s="806"/>
      <c r="BB977" s="806"/>
    </row>
    <row r="978" spans="4:54">
      <c r="D978" s="806"/>
      <c r="F978" s="806"/>
      <c r="W978" s="806"/>
      <c r="AZ978" s="806"/>
      <c r="BA978" s="806"/>
      <c r="BB978" s="806"/>
    </row>
    <row r="979" spans="4:54">
      <c r="D979" s="806"/>
      <c r="F979" s="806"/>
      <c r="W979" s="806"/>
      <c r="AZ979" s="806"/>
      <c r="BA979" s="806"/>
      <c r="BB979" s="806"/>
    </row>
    <row r="980" spans="4:54">
      <c r="D980" s="806"/>
      <c r="F980" s="806"/>
      <c r="W980" s="806"/>
      <c r="AZ980" s="806"/>
      <c r="BA980" s="806"/>
      <c r="BB980" s="806"/>
    </row>
    <row r="981" spans="4:54">
      <c r="D981" s="806"/>
      <c r="F981" s="806"/>
      <c r="W981" s="806"/>
      <c r="AZ981" s="806"/>
      <c r="BA981" s="806"/>
      <c r="BB981" s="806"/>
    </row>
    <row r="982" spans="4:54">
      <c r="D982" s="806"/>
      <c r="F982" s="806"/>
      <c r="W982" s="806"/>
      <c r="AZ982" s="806"/>
      <c r="BA982" s="806"/>
      <c r="BB982" s="806"/>
    </row>
    <row r="983" spans="4:54">
      <c r="D983" s="806"/>
      <c r="F983" s="806"/>
      <c r="W983" s="806"/>
      <c r="AZ983" s="806"/>
      <c r="BA983" s="806"/>
      <c r="BB983" s="806"/>
    </row>
    <row r="984" spans="4:54">
      <c r="D984" s="806"/>
      <c r="F984" s="806"/>
      <c r="W984" s="806"/>
      <c r="AZ984" s="806"/>
      <c r="BA984" s="806"/>
      <c r="BB984" s="806"/>
    </row>
    <row r="985" spans="4:54">
      <c r="D985" s="806"/>
      <c r="F985" s="806"/>
      <c r="W985" s="806"/>
      <c r="AZ985" s="806"/>
      <c r="BA985" s="806"/>
      <c r="BB985" s="806"/>
    </row>
    <row r="986" spans="4:54">
      <c r="D986" s="806"/>
      <c r="F986" s="806"/>
      <c r="W986" s="806"/>
      <c r="AZ986" s="806"/>
      <c r="BA986" s="806"/>
      <c r="BB986" s="806"/>
    </row>
    <row r="987" spans="4:54">
      <c r="D987" s="806"/>
      <c r="F987" s="806"/>
      <c r="W987" s="806"/>
      <c r="AZ987" s="806"/>
      <c r="BA987" s="806"/>
      <c r="BB987" s="806"/>
    </row>
    <row r="988" spans="4:54">
      <c r="D988" s="806"/>
      <c r="F988" s="806"/>
      <c r="W988" s="806"/>
      <c r="AZ988" s="806"/>
      <c r="BA988" s="806"/>
      <c r="BB988" s="806"/>
    </row>
    <row r="989" spans="4:54">
      <c r="D989" s="806"/>
      <c r="F989" s="806"/>
      <c r="W989" s="806"/>
      <c r="AZ989" s="806"/>
      <c r="BA989" s="806"/>
      <c r="BB989" s="806"/>
    </row>
    <row r="990" spans="4:54">
      <c r="D990" s="806"/>
      <c r="F990" s="806"/>
      <c r="W990" s="806"/>
      <c r="AZ990" s="806"/>
      <c r="BA990" s="806"/>
      <c r="BB990" s="806"/>
    </row>
    <row r="991" spans="4:54">
      <c r="D991" s="806"/>
      <c r="F991" s="806"/>
      <c r="W991" s="806"/>
      <c r="AZ991" s="806"/>
      <c r="BA991" s="806"/>
      <c r="BB991" s="806"/>
    </row>
    <row r="992" spans="4:54">
      <c r="D992" s="806"/>
      <c r="F992" s="806"/>
      <c r="W992" s="806"/>
      <c r="AZ992" s="806"/>
      <c r="BA992" s="806"/>
      <c r="BB992" s="806"/>
    </row>
    <row r="993" spans="4:54">
      <c r="D993" s="806"/>
      <c r="F993" s="806"/>
      <c r="W993" s="806"/>
      <c r="AZ993" s="806"/>
      <c r="BA993" s="806"/>
      <c r="BB993" s="806"/>
    </row>
    <row r="994" spans="4:54">
      <c r="D994" s="806"/>
      <c r="F994" s="806"/>
      <c r="W994" s="806"/>
      <c r="AZ994" s="806"/>
      <c r="BA994" s="806"/>
      <c r="BB994" s="806"/>
    </row>
    <row r="995" spans="4:54">
      <c r="D995" s="806"/>
      <c r="F995" s="806"/>
      <c r="W995" s="806"/>
      <c r="AZ995" s="806"/>
      <c r="BA995" s="806"/>
      <c r="BB995" s="806"/>
    </row>
    <row r="996" spans="4:54">
      <c r="D996" s="806"/>
      <c r="F996" s="806"/>
      <c r="W996" s="806"/>
      <c r="AZ996" s="806"/>
      <c r="BA996" s="806"/>
      <c r="BB996" s="806"/>
    </row>
    <row r="997" spans="4:54">
      <c r="D997" s="806"/>
      <c r="F997" s="806"/>
      <c r="W997" s="806"/>
      <c r="AZ997" s="806"/>
      <c r="BA997" s="806"/>
      <c r="BB997" s="806"/>
    </row>
    <row r="998" spans="4:54">
      <c r="D998" s="806"/>
      <c r="F998" s="806"/>
      <c r="W998" s="806"/>
      <c r="AZ998" s="806"/>
      <c r="BA998" s="806"/>
      <c r="BB998" s="806"/>
    </row>
    <row r="999" spans="4:54">
      <c r="D999" s="806"/>
      <c r="F999" s="806"/>
      <c r="W999" s="806"/>
      <c r="AZ999" s="806"/>
      <c r="BA999" s="806"/>
      <c r="BB999" s="806"/>
    </row>
    <row r="1000" spans="4:54">
      <c r="D1000" s="806"/>
      <c r="F1000" s="806"/>
      <c r="W1000" s="806"/>
      <c r="AZ1000" s="806"/>
      <c r="BA1000" s="806"/>
      <c r="BB1000" s="806"/>
    </row>
    <row r="1001" spans="4:54">
      <c r="D1001" s="806"/>
      <c r="F1001" s="806"/>
      <c r="W1001" s="806"/>
      <c r="AZ1001" s="806"/>
      <c r="BA1001" s="806"/>
      <c r="BB1001" s="806"/>
    </row>
    <row r="1002" spans="4:54">
      <c r="D1002" s="806"/>
      <c r="F1002" s="806"/>
      <c r="W1002" s="806"/>
      <c r="AZ1002" s="806"/>
      <c r="BA1002" s="806"/>
      <c r="BB1002" s="806"/>
    </row>
    <row r="1003" spans="4:54">
      <c r="D1003" s="806"/>
      <c r="F1003" s="806"/>
      <c r="W1003" s="806"/>
      <c r="AZ1003" s="806"/>
      <c r="BA1003" s="806"/>
      <c r="BB1003" s="806"/>
    </row>
    <row r="1004" spans="4:54">
      <c r="D1004" s="806"/>
      <c r="F1004" s="806"/>
      <c r="W1004" s="806"/>
      <c r="AZ1004" s="806"/>
      <c r="BA1004" s="806"/>
      <c r="BB1004" s="806"/>
    </row>
    <row r="1005" spans="4:54">
      <c r="D1005" s="806"/>
      <c r="F1005" s="806"/>
      <c r="W1005" s="806"/>
      <c r="AZ1005" s="806"/>
      <c r="BA1005" s="806"/>
      <c r="BB1005" s="806"/>
    </row>
    <row r="1006" spans="4:54">
      <c r="D1006" s="806"/>
      <c r="F1006" s="806"/>
      <c r="W1006" s="806"/>
      <c r="AZ1006" s="806"/>
      <c r="BA1006" s="806"/>
      <c r="BB1006" s="806"/>
    </row>
    <row r="1007" spans="4:54">
      <c r="D1007" s="806"/>
      <c r="F1007" s="806"/>
      <c r="W1007" s="806"/>
      <c r="AZ1007" s="806"/>
      <c r="BA1007" s="806"/>
      <c r="BB1007" s="806"/>
    </row>
    <row r="1008" spans="4:54">
      <c r="D1008" s="806"/>
      <c r="F1008" s="806"/>
      <c r="W1008" s="806"/>
      <c r="AZ1008" s="806"/>
      <c r="BA1008" s="806"/>
      <c r="BB1008" s="806"/>
    </row>
    <row r="1009" spans="4:54">
      <c r="D1009" s="806"/>
      <c r="F1009" s="806"/>
      <c r="W1009" s="806"/>
      <c r="AZ1009" s="806"/>
      <c r="BA1009" s="806"/>
      <c r="BB1009" s="806"/>
    </row>
    <row r="1010" spans="4:54">
      <c r="D1010" s="806"/>
      <c r="F1010" s="806"/>
      <c r="W1010" s="806"/>
      <c r="AZ1010" s="806"/>
      <c r="BA1010" s="806"/>
      <c r="BB1010" s="806"/>
    </row>
    <row r="1011" spans="4:54">
      <c r="D1011" s="806"/>
      <c r="F1011" s="806"/>
      <c r="W1011" s="806"/>
      <c r="AZ1011" s="806"/>
      <c r="BA1011" s="806"/>
      <c r="BB1011" s="806"/>
    </row>
    <row r="1012" spans="4:54">
      <c r="D1012" s="806"/>
      <c r="F1012" s="806"/>
      <c r="W1012" s="806"/>
      <c r="AZ1012" s="806"/>
      <c r="BA1012" s="806"/>
      <c r="BB1012" s="806"/>
    </row>
    <row r="1013" spans="4:54">
      <c r="D1013" s="806"/>
      <c r="F1013" s="806"/>
      <c r="W1013" s="806"/>
      <c r="AZ1013" s="806"/>
      <c r="BA1013" s="806"/>
      <c r="BB1013" s="806"/>
    </row>
    <row r="1014" spans="4:54">
      <c r="D1014" s="806"/>
      <c r="F1014" s="806"/>
      <c r="W1014" s="806"/>
      <c r="AZ1014" s="806"/>
      <c r="BA1014" s="806"/>
      <c r="BB1014" s="806"/>
    </row>
    <row r="1015" spans="4:54">
      <c r="D1015" s="806"/>
      <c r="F1015" s="806"/>
      <c r="W1015" s="806"/>
      <c r="AZ1015" s="806"/>
      <c r="BA1015" s="806"/>
      <c r="BB1015" s="806"/>
    </row>
    <row r="1016" spans="4:54">
      <c r="D1016" s="806"/>
      <c r="F1016" s="806"/>
      <c r="W1016" s="806"/>
      <c r="AZ1016" s="806"/>
      <c r="BA1016" s="806"/>
      <c r="BB1016" s="806"/>
    </row>
    <row r="1017" spans="4:54">
      <c r="D1017" s="806"/>
      <c r="F1017" s="806"/>
      <c r="W1017" s="806"/>
      <c r="AZ1017" s="806"/>
      <c r="BA1017" s="806"/>
      <c r="BB1017" s="806"/>
    </row>
    <row r="1018" spans="4:54">
      <c r="D1018" s="806"/>
      <c r="F1018" s="806"/>
      <c r="W1018" s="806"/>
      <c r="AZ1018" s="806"/>
      <c r="BA1018" s="806"/>
      <c r="BB1018" s="806"/>
    </row>
    <row r="1019" spans="4:54">
      <c r="D1019" s="806"/>
      <c r="F1019" s="806"/>
      <c r="W1019" s="806"/>
      <c r="AZ1019" s="806"/>
      <c r="BA1019" s="806"/>
      <c r="BB1019" s="806"/>
    </row>
    <row r="1020" spans="4:54">
      <c r="D1020" s="806"/>
      <c r="F1020" s="806"/>
      <c r="W1020" s="806"/>
      <c r="AZ1020" s="806"/>
      <c r="BA1020" s="806"/>
      <c r="BB1020" s="806"/>
    </row>
    <row r="1021" spans="4:54">
      <c r="D1021" s="806"/>
      <c r="F1021" s="806"/>
      <c r="W1021" s="806"/>
      <c r="AZ1021" s="806"/>
      <c r="BA1021" s="806"/>
      <c r="BB1021" s="806"/>
    </row>
    <row r="1022" spans="4:54">
      <c r="D1022" s="806"/>
      <c r="F1022" s="806"/>
      <c r="W1022" s="806"/>
      <c r="AZ1022" s="806"/>
      <c r="BA1022" s="806"/>
      <c r="BB1022" s="806"/>
    </row>
    <row r="1023" spans="4:54">
      <c r="D1023" s="806"/>
      <c r="F1023" s="806"/>
      <c r="W1023" s="806"/>
      <c r="AZ1023" s="806"/>
      <c r="BA1023" s="806"/>
      <c r="BB1023" s="806"/>
    </row>
    <row r="1024" spans="4:54">
      <c r="D1024" s="806"/>
      <c r="F1024" s="806"/>
      <c r="W1024" s="806"/>
      <c r="AZ1024" s="806"/>
      <c r="BA1024" s="806"/>
      <c r="BB1024" s="806"/>
    </row>
    <row r="1025" spans="4:54">
      <c r="D1025" s="806"/>
      <c r="F1025" s="806"/>
      <c r="W1025" s="806"/>
      <c r="AZ1025" s="806"/>
      <c r="BA1025" s="806"/>
      <c r="BB1025" s="806"/>
    </row>
    <row r="1026" spans="4:54">
      <c r="D1026" s="806"/>
      <c r="F1026" s="806"/>
      <c r="W1026" s="806"/>
      <c r="AZ1026" s="806"/>
      <c r="BA1026" s="806"/>
      <c r="BB1026" s="806"/>
    </row>
    <row r="1027" spans="4:54">
      <c r="D1027" s="806"/>
      <c r="F1027" s="806"/>
      <c r="W1027" s="806"/>
      <c r="AZ1027" s="806"/>
      <c r="BA1027" s="806"/>
      <c r="BB1027" s="806"/>
    </row>
    <row r="1028" spans="4:54">
      <c r="D1028" s="806"/>
      <c r="F1028" s="806"/>
      <c r="W1028" s="806"/>
      <c r="AZ1028" s="806"/>
      <c r="BA1028" s="806"/>
      <c r="BB1028" s="806"/>
    </row>
    <row r="1029" spans="4:54">
      <c r="D1029" s="806"/>
      <c r="F1029" s="806"/>
      <c r="W1029" s="806"/>
      <c r="AZ1029" s="806"/>
      <c r="BA1029" s="806"/>
      <c r="BB1029" s="806"/>
    </row>
    <row r="1030" spans="4:54">
      <c r="D1030" s="806"/>
      <c r="F1030" s="806"/>
      <c r="W1030" s="806"/>
      <c r="AZ1030" s="806"/>
      <c r="BA1030" s="806"/>
      <c r="BB1030" s="806"/>
    </row>
    <row r="1031" spans="4:54">
      <c r="D1031" s="806"/>
      <c r="F1031" s="806"/>
      <c r="W1031" s="806"/>
      <c r="AZ1031" s="806"/>
      <c r="BA1031" s="806"/>
      <c r="BB1031" s="806"/>
    </row>
    <row r="1032" spans="4:54">
      <c r="D1032" s="806"/>
      <c r="F1032" s="806"/>
      <c r="W1032" s="806"/>
      <c r="AZ1032" s="806"/>
      <c r="BA1032" s="806"/>
      <c r="BB1032" s="806"/>
    </row>
    <row r="1033" spans="4:54">
      <c r="D1033" s="806"/>
      <c r="F1033" s="806"/>
      <c r="W1033" s="806"/>
      <c r="AZ1033" s="806"/>
      <c r="BA1033" s="806"/>
      <c r="BB1033" s="806"/>
    </row>
    <row r="1034" spans="4:54">
      <c r="D1034" s="806"/>
      <c r="F1034" s="806"/>
      <c r="W1034" s="806"/>
      <c r="AZ1034" s="806"/>
      <c r="BA1034" s="806"/>
      <c r="BB1034" s="806"/>
    </row>
    <row r="1035" spans="4:54">
      <c r="D1035" s="806"/>
      <c r="F1035" s="806"/>
      <c r="W1035" s="806"/>
      <c r="AZ1035" s="806"/>
      <c r="BA1035" s="806"/>
      <c r="BB1035" s="806"/>
    </row>
    <row r="1036" spans="4:54">
      <c r="D1036" s="806"/>
      <c r="F1036" s="806"/>
      <c r="W1036" s="806"/>
      <c r="AZ1036" s="806"/>
      <c r="BA1036" s="806"/>
      <c r="BB1036" s="806"/>
    </row>
    <row r="1037" spans="4:54">
      <c r="D1037" s="806"/>
      <c r="F1037" s="806"/>
      <c r="W1037" s="806"/>
      <c r="AZ1037" s="806"/>
      <c r="BA1037" s="806"/>
      <c r="BB1037" s="806"/>
    </row>
    <row r="1038" spans="4:54">
      <c r="D1038" s="806"/>
      <c r="F1038" s="806"/>
      <c r="W1038" s="806"/>
      <c r="AZ1038" s="806"/>
      <c r="BA1038" s="806"/>
      <c r="BB1038" s="806"/>
    </row>
    <row r="1039" spans="4:54">
      <c r="D1039" s="806"/>
      <c r="F1039" s="806"/>
      <c r="W1039" s="806"/>
      <c r="AZ1039" s="806"/>
      <c r="BA1039" s="806"/>
      <c r="BB1039" s="806"/>
    </row>
    <row r="1040" spans="4:54">
      <c r="D1040" s="806"/>
      <c r="F1040" s="806"/>
      <c r="W1040" s="806"/>
      <c r="AZ1040" s="806"/>
      <c r="BA1040" s="806"/>
      <c r="BB1040" s="806"/>
    </row>
    <row r="1041" spans="4:54">
      <c r="D1041" s="806"/>
      <c r="F1041" s="806"/>
      <c r="W1041" s="806"/>
      <c r="AZ1041" s="806"/>
      <c r="BA1041" s="806"/>
      <c r="BB1041" s="806"/>
    </row>
    <row r="1042" spans="4:54">
      <c r="D1042" s="806"/>
      <c r="F1042" s="806"/>
      <c r="W1042" s="806"/>
      <c r="AZ1042" s="806"/>
      <c r="BA1042" s="806"/>
      <c r="BB1042" s="806"/>
    </row>
    <row r="1043" spans="4:54">
      <c r="D1043" s="806"/>
      <c r="F1043" s="806"/>
      <c r="W1043" s="806"/>
      <c r="AZ1043" s="806"/>
      <c r="BA1043" s="806"/>
      <c r="BB1043" s="806"/>
    </row>
    <row r="1044" spans="4:54">
      <c r="D1044" s="806"/>
      <c r="F1044" s="806"/>
      <c r="W1044" s="806"/>
      <c r="AZ1044" s="806"/>
      <c r="BA1044" s="806"/>
      <c r="BB1044" s="806"/>
    </row>
    <row r="1045" spans="4:54">
      <c r="D1045" s="806"/>
      <c r="F1045" s="806"/>
      <c r="W1045" s="806"/>
      <c r="AZ1045" s="806"/>
      <c r="BA1045" s="806"/>
      <c r="BB1045" s="806"/>
    </row>
    <row r="1046" spans="4:54">
      <c r="D1046" s="806"/>
      <c r="F1046" s="806"/>
      <c r="W1046" s="806"/>
      <c r="AZ1046" s="806"/>
      <c r="BA1046" s="806"/>
      <c r="BB1046" s="806"/>
    </row>
    <row r="1047" spans="4:54">
      <c r="D1047" s="806"/>
      <c r="F1047" s="806"/>
      <c r="W1047" s="806"/>
      <c r="AZ1047" s="806"/>
      <c r="BA1047" s="806"/>
      <c r="BB1047" s="806"/>
    </row>
    <row r="1048" spans="4:54">
      <c r="D1048" s="806"/>
      <c r="F1048" s="806"/>
      <c r="W1048" s="806"/>
      <c r="AZ1048" s="806"/>
      <c r="BA1048" s="806"/>
      <c r="BB1048" s="806"/>
    </row>
    <row r="1049" spans="4:54">
      <c r="D1049" s="806"/>
      <c r="F1049" s="806"/>
      <c r="W1049" s="806"/>
      <c r="AZ1049" s="806"/>
      <c r="BA1049" s="806"/>
      <c r="BB1049" s="806"/>
    </row>
    <row r="1050" spans="4:54">
      <c r="D1050" s="806"/>
      <c r="F1050" s="806"/>
      <c r="W1050" s="806"/>
      <c r="AZ1050" s="806"/>
      <c r="BA1050" s="806"/>
      <c r="BB1050" s="806"/>
    </row>
    <row r="1051" spans="4:54">
      <c r="D1051" s="806"/>
      <c r="F1051" s="806"/>
      <c r="W1051" s="806"/>
      <c r="AZ1051" s="806"/>
      <c r="BA1051" s="806"/>
      <c r="BB1051" s="806"/>
    </row>
    <row r="1052" spans="4:54">
      <c r="D1052" s="806"/>
      <c r="F1052" s="806"/>
      <c r="W1052" s="806"/>
      <c r="AZ1052" s="806"/>
      <c r="BA1052" s="806"/>
      <c r="BB1052" s="806"/>
    </row>
    <row r="1053" spans="4:54">
      <c r="D1053" s="806"/>
      <c r="F1053" s="806"/>
      <c r="W1053" s="806"/>
      <c r="AZ1053" s="806"/>
      <c r="BA1053" s="806"/>
      <c r="BB1053" s="806"/>
    </row>
    <row r="1054" spans="4:54">
      <c r="D1054" s="806"/>
      <c r="F1054" s="806"/>
      <c r="W1054" s="806"/>
      <c r="AZ1054" s="806"/>
      <c r="BA1054" s="806"/>
      <c r="BB1054" s="806"/>
    </row>
    <row r="1055" spans="4:54">
      <c r="D1055" s="806"/>
      <c r="F1055" s="806"/>
      <c r="W1055" s="806"/>
      <c r="AZ1055" s="806"/>
      <c r="BA1055" s="806"/>
      <c r="BB1055" s="806"/>
    </row>
    <row r="1056" spans="4:54">
      <c r="D1056" s="806"/>
      <c r="F1056" s="806"/>
      <c r="W1056" s="806"/>
      <c r="AZ1056" s="806"/>
      <c r="BA1056" s="806"/>
      <c r="BB1056" s="806"/>
    </row>
    <row r="1057" spans="4:54">
      <c r="D1057" s="806"/>
      <c r="F1057" s="806"/>
      <c r="W1057" s="806"/>
      <c r="AZ1057" s="806"/>
      <c r="BA1057" s="806"/>
      <c r="BB1057" s="806"/>
    </row>
    <row r="1058" spans="4:54">
      <c r="D1058" s="806"/>
      <c r="F1058" s="806"/>
      <c r="W1058" s="806"/>
      <c r="AZ1058" s="806"/>
      <c r="BA1058" s="806"/>
      <c r="BB1058" s="806"/>
    </row>
    <row r="1059" spans="4:54">
      <c r="D1059" s="806"/>
      <c r="F1059" s="806"/>
      <c r="W1059" s="806"/>
      <c r="AZ1059" s="806"/>
      <c r="BA1059" s="806"/>
      <c r="BB1059" s="806"/>
    </row>
    <row r="1060" spans="4:54">
      <c r="D1060" s="806"/>
      <c r="F1060" s="806"/>
      <c r="W1060" s="806"/>
      <c r="AZ1060" s="806"/>
      <c r="BA1060" s="806"/>
      <c r="BB1060" s="806"/>
    </row>
    <row r="1061" spans="4:54">
      <c r="D1061" s="806"/>
      <c r="F1061" s="806"/>
      <c r="W1061" s="806"/>
      <c r="AZ1061" s="806"/>
      <c r="BA1061" s="806"/>
      <c r="BB1061" s="806"/>
    </row>
    <row r="1062" spans="4:54">
      <c r="D1062" s="806"/>
      <c r="F1062" s="806"/>
      <c r="W1062" s="806"/>
      <c r="AZ1062" s="806"/>
      <c r="BA1062" s="806"/>
      <c r="BB1062" s="806"/>
    </row>
    <row r="1063" spans="4:54">
      <c r="D1063" s="806"/>
      <c r="F1063" s="806"/>
      <c r="W1063" s="806"/>
      <c r="AZ1063" s="806"/>
      <c r="BA1063" s="806"/>
      <c r="BB1063" s="806"/>
    </row>
    <row r="1064" spans="4:54">
      <c r="D1064" s="806"/>
      <c r="F1064" s="806"/>
      <c r="W1064" s="806"/>
      <c r="AZ1064" s="806"/>
      <c r="BA1064" s="806"/>
      <c r="BB1064" s="806"/>
    </row>
    <row r="1065" spans="4:54">
      <c r="D1065" s="806"/>
      <c r="F1065" s="806"/>
      <c r="W1065" s="806"/>
      <c r="AZ1065" s="806"/>
      <c r="BA1065" s="806"/>
      <c r="BB1065" s="806"/>
    </row>
    <row r="1066" spans="4:54">
      <c r="D1066" s="806"/>
      <c r="F1066" s="806"/>
      <c r="W1066" s="806"/>
      <c r="AZ1066" s="806"/>
      <c r="BA1066" s="806"/>
      <c r="BB1066" s="806"/>
    </row>
    <row r="1067" spans="4:54">
      <c r="D1067" s="806"/>
      <c r="F1067" s="806"/>
      <c r="W1067" s="806"/>
      <c r="AZ1067" s="806"/>
      <c r="BA1067" s="806"/>
      <c r="BB1067" s="806"/>
    </row>
    <row r="1068" spans="4:54">
      <c r="D1068" s="806"/>
      <c r="F1068" s="806"/>
      <c r="W1068" s="806"/>
      <c r="AZ1068" s="806"/>
      <c r="BA1068" s="806"/>
      <c r="BB1068" s="806"/>
    </row>
    <row r="1069" spans="4:54">
      <c r="D1069" s="806"/>
      <c r="F1069" s="806"/>
      <c r="W1069" s="806"/>
      <c r="AZ1069" s="806"/>
      <c r="BA1069" s="806"/>
      <c r="BB1069" s="806"/>
    </row>
    <row r="1070" spans="4:54">
      <c r="D1070" s="806"/>
      <c r="F1070" s="806"/>
      <c r="W1070" s="806"/>
      <c r="AZ1070" s="806"/>
      <c r="BA1070" s="806"/>
      <c r="BB1070" s="806"/>
    </row>
    <row r="1071" spans="4:54">
      <c r="D1071" s="806"/>
      <c r="F1071" s="806"/>
      <c r="W1071" s="806"/>
      <c r="AZ1071" s="806"/>
      <c r="BA1071" s="806"/>
      <c r="BB1071" s="806"/>
    </row>
    <row r="1072" spans="4:54">
      <c r="D1072" s="806"/>
      <c r="F1072" s="806"/>
      <c r="W1072" s="806"/>
      <c r="AZ1072" s="806"/>
      <c r="BA1072" s="806"/>
      <c r="BB1072" s="806"/>
    </row>
    <row r="1073" spans="4:54">
      <c r="D1073" s="806"/>
      <c r="F1073" s="806"/>
      <c r="W1073" s="806"/>
      <c r="AZ1073" s="806"/>
      <c r="BA1073" s="806"/>
      <c r="BB1073" s="806"/>
    </row>
    <row r="1074" spans="4:54">
      <c r="D1074" s="806"/>
      <c r="F1074" s="806"/>
      <c r="W1074" s="806"/>
      <c r="AZ1074" s="806"/>
      <c r="BA1074" s="806"/>
      <c r="BB1074" s="806"/>
    </row>
    <row r="1075" spans="4:54">
      <c r="D1075" s="806"/>
      <c r="F1075" s="806"/>
      <c r="W1075" s="806"/>
      <c r="AZ1075" s="806"/>
      <c r="BA1075" s="806"/>
      <c r="BB1075" s="806"/>
    </row>
    <row r="1076" spans="4:54">
      <c r="D1076" s="806"/>
      <c r="F1076" s="806"/>
      <c r="W1076" s="806"/>
      <c r="AZ1076" s="806"/>
      <c r="BA1076" s="806"/>
      <c r="BB1076" s="806"/>
    </row>
    <row r="1077" spans="4:54">
      <c r="D1077" s="806"/>
      <c r="F1077" s="806"/>
      <c r="W1077" s="806"/>
      <c r="AZ1077" s="806"/>
      <c r="BA1077" s="806"/>
      <c r="BB1077" s="806"/>
    </row>
    <row r="1078" spans="4:54">
      <c r="D1078" s="806"/>
      <c r="F1078" s="806"/>
      <c r="W1078" s="806"/>
      <c r="AZ1078" s="806"/>
      <c r="BA1078" s="806"/>
      <c r="BB1078" s="806"/>
    </row>
    <row r="1079" spans="4:54">
      <c r="D1079" s="806"/>
      <c r="F1079" s="806"/>
      <c r="W1079" s="806"/>
      <c r="AZ1079" s="806"/>
      <c r="BA1079" s="806"/>
      <c r="BB1079" s="806"/>
    </row>
    <row r="1080" spans="4:54">
      <c r="D1080" s="806"/>
      <c r="F1080" s="806"/>
      <c r="W1080" s="806"/>
      <c r="AZ1080" s="806"/>
      <c r="BA1080" s="806"/>
      <c r="BB1080" s="806"/>
    </row>
    <row r="1081" spans="4:54">
      <c r="D1081" s="806"/>
      <c r="F1081" s="806"/>
      <c r="W1081" s="806"/>
      <c r="AZ1081" s="806"/>
      <c r="BA1081" s="806"/>
      <c r="BB1081" s="806"/>
    </row>
    <row r="1082" spans="4:54">
      <c r="D1082" s="806"/>
      <c r="F1082" s="806"/>
      <c r="W1082" s="806"/>
      <c r="AZ1082" s="806"/>
      <c r="BA1082" s="806"/>
      <c r="BB1082" s="806"/>
    </row>
    <row r="1083" spans="4:54">
      <c r="D1083" s="806"/>
      <c r="F1083" s="806"/>
      <c r="W1083" s="806"/>
      <c r="AZ1083" s="806"/>
      <c r="BA1083" s="806"/>
      <c r="BB1083" s="806"/>
    </row>
    <row r="1084" spans="4:54">
      <c r="D1084" s="806"/>
      <c r="F1084" s="806"/>
      <c r="W1084" s="806"/>
      <c r="AZ1084" s="806"/>
      <c r="BA1084" s="806"/>
      <c r="BB1084" s="806"/>
    </row>
    <row r="1085" spans="4:54">
      <c r="D1085" s="806"/>
      <c r="F1085" s="806"/>
      <c r="W1085" s="806"/>
      <c r="AZ1085" s="806"/>
      <c r="BA1085" s="806"/>
      <c r="BB1085" s="806"/>
    </row>
    <row r="1086" spans="4:54">
      <c r="D1086" s="806"/>
      <c r="F1086" s="806"/>
      <c r="W1086" s="806"/>
      <c r="AZ1086" s="806"/>
      <c r="BA1086" s="806"/>
      <c r="BB1086" s="806"/>
    </row>
    <row r="1087" spans="4:54">
      <c r="D1087" s="806"/>
      <c r="F1087" s="806"/>
      <c r="W1087" s="806"/>
      <c r="AZ1087" s="806"/>
      <c r="BA1087" s="806"/>
      <c r="BB1087" s="806"/>
    </row>
    <row r="1088" spans="4:54">
      <c r="D1088" s="806"/>
      <c r="F1088" s="806"/>
      <c r="W1088" s="806"/>
      <c r="AZ1088" s="806"/>
      <c r="BA1088" s="806"/>
      <c r="BB1088" s="806"/>
    </row>
    <row r="1089" spans="4:54">
      <c r="D1089" s="806"/>
      <c r="F1089" s="806"/>
      <c r="W1089" s="806"/>
      <c r="AZ1089" s="806"/>
      <c r="BA1089" s="806"/>
      <c r="BB1089" s="806"/>
    </row>
    <row r="1090" spans="4:54">
      <c r="D1090" s="806"/>
      <c r="F1090" s="806"/>
      <c r="W1090" s="806"/>
      <c r="AZ1090" s="806"/>
      <c r="BA1090" s="806"/>
      <c r="BB1090" s="806"/>
    </row>
    <row r="1091" spans="4:54">
      <c r="D1091" s="806"/>
      <c r="F1091" s="806"/>
      <c r="W1091" s="806"/>
      <c r="AZ1091" s="806"/>
      <c r="BA1091" s="806"/>
      <c r="BB1091" s="806"/>
    </row>
    <row r="1092" spans="4:54">
      <c r="D1092" s="806"/>
      <c r="F1092" s="806"/>
      <c r="W1092" s="806"/>
      <c r="AZ1092" s="806"/>
      <c r="BA1092" s="806"/>
      <c r="BB1092" s="806"/>
    </row>
    <row r="1093" spans="4:54">
      <c r="D1093" s="806"/>
      <c r="F1093" s="806"/>
      <c r="W1093" s="806"/>
      <c r="AZ1093" s="806"/>
      <c r="BA1093" s="806"/>
      <c r="BB1093" s="806"/>
    </row>
    <row r="1094" spans="4:54">
      <c r="D1094" s="806"/>
      <c r="F1094" s="806"/>
      <c r="W1094" s="806"/>
      <c r="AZ1094" s="806"/>
      <c r="BA1094" s="806"/>
      <c r="BB1094" s="806"/>
    </row>
    <row r="1095" spans="4:54">
      <c r="D1095" s="806"/>
      <c r="F1095" s="806"/>
      <c r="W1095" s="806"/>
      <c r="AZ1095" s="806"/>
      <c r="BA1095" s="806"/>
      <c r="BB1095" s="806"/>
    </row>
    <row r="1096" spans="4:54">
      <c r="D1096" s="806"/>
      <c r="F1096" s="806"/>
      <c r="W1096" s="806"/>
      <c r="AZ1096" s="806"/>
      <c r="BA1096" s="806"/>
      <c r="BB1096" s="806"/>
    </row>
    <row r="1097" spans="4:54">
      <c r="D1097" s="806"/>
      <c r="F1097" s="806"/>
      <c r="W1097" s="806"/>
      <c r="AZ1097" s="806"/>
      <c r="BA1097" s="806"/>
      <c r="BB1097" s="806"/>
    </row>
    <row r="1098" spans="4:54">
      <c r="D1098" s="806"/>
      <c r="F1098" s="806"/>
      <c r="W1098" s="806"/>
      <c r="AZ1098" s="806"/>
      <c r="BA1098" s="806"/>
      <c r="BB1098" s="806"/>
    </row>
    <row r="1099" spans="4:54">
      <c r="D1099" s="806"/>
      <c r="F1099" s="806"/>
      <c r="W1099" s="806"/>
      <c r="AZ1099" s="806"/>
      <c r="BA1099" s="806"/>
      <c r="BB1099" s="806"/>
    </row>
    <row r="1100" spans="4:54">
      <c r="D1100" s="806"/>
      <c r="F1100" s="806"/>
      <c r="W1100" s="806"/>
      <c r="AZ1100" s="806"/>
      <c r="BA1100" s="806"/>
      <c r="BB1100" s="806"/>
    </row>
    <row r="1101" spans="4:54">
      <c r="D1101" s="806"/>
      <c r="F1101" s="806"/>
      <c r="W1101" s="806"/>
      <c r="AZ1101" s="806"/>
      <c r="BA1101" s="806"/>
      <c r="BB1101" s="806"/>
    </row>
    <row r="1102" spans="4:54">
      <c r="D1102" s="806"/>
      <c r="F1102" s="806"/>
      <c r="W1102" s="806"/>
      <c r="AZ1102" s="806"/>
      <c r="BA1102" s="806"/>
      <c r="BB1102" s="806"/>
    </row>
    <row r="1103" spans="4:54">
      <c r="D1103" s="806"/>
      <c r="F1103" s="806"/>
      <c r="W1103" s="806"/>
      <c r="AZ1103" s="806"/>
      <c r="BA1103" s="806"/>
      <c r="BB1103" s="806"/>
    </row>
    <row r="1104" spans="4:54">
      <c r="D1104" s="806"/>
      <c r="F1104" s="806"/>
      <c r="W1104" s="806"/>
      <c r="AZ1104" s="806"/>
      <c r="BA1104" s="806"/>
      <c r="BB1104" s="806"/>
    </row>
    <row r="1105" spans="4:54">
      <c r="D1105" s="806"/>
      <c r="F1105" s="806"/>
      <c r="W1105" s="806"/>
      <c r="AZ1105" s="806"/>
      <c r="BA1105" s="806"/>
      <c r="BB1105" s="806"/>
    </row>
    <row r="1106" spans="4:54">
      <c r="D1106" s="806"/>
      <c r="F1106" s="806"/>
      <c r="W1106" s="806"/>
      <c r="AZ1106" s="806"/>
      <c r="BA1106" s="806"/>
      <c r="BB1106" s="806"/>
    </row>
    <row r="1107" spans="4:54">
      <c r="D1107" s="806"/>
      <c r="F1107" s="806"/>
      <c r="W1107" s="806"/>
      <c r="AZ1107" s="806"/>
      <c r="BA1107" s="806"/>
      <c r="BB1107" s="806"/>
    </row>
    <row r="1108" spans="4:54">
      <c r="D1108" s="806"/>
      <c r="F1108" s="806"/>
      <c r="W1108" s="806"/>
      <c r="AZ1108" s="806"/>
      <c r="BA1108" s="806"/>
      <c r="BB1108" s="806"/>
    </row>
    <row r="1109" spans="4:54">
      <c r="D1109" s="806"/>
      <c r="F1109" s="806"/>
      <c r="W1109" s="806"/>
      <c r="AZ1109" s="806"/>
      <c r="BA1109" s="806"/>
      <c r="BB1109" s="806"/>
    </row>
    <row r="1110" spans="4:54">
      <c r="D1110" s="806"/>
      <c r="F1110" s="806"/>
      <c r="W1110" s="806"/>
      <c r="AZ1110" s="806"/>
      <c r="BA1110" s="806"/>
      <c r="BB1110" s="806"/>
    </row>
    <row r="1111" spans="4:54">
      <c r="D1111" s="806"/>
      <c r="F1111" s="806"/>
      <c r="W1111" s="806"/>
      <c r="AZ1111" s="806"/>
      <c r="BA1111" s="806"/>
      <c r="BB1111" s="806"/>
    </row>
    <row r="1112" spans="4:54">
      <c r="D1112" s="806"/>
      <c r="F1112" s="806"/>
      <c r="W1112" s="806"/>
      <c r="AZ1112" s="806"/>
      <c r="BA1112" s="806"/>
      <c r="BB1112" s="806"/>
    </row>
    <row r="1113" spans="4:54">
      <c r="D1113" s="806"/>
      <c r="F1113" s="806"/>
      <c r="W1113" s="806"/>
      <c r="AZ1113" s="806"/>
      <c r="BA1113" s="806"/>
      <c r="BB1113" s="806"/>
    </row>
    <row r="1114" spans="4:54">
      <c r="D1114" s="806"/>
      <c r="F1114" s="806"/>
      <c r="W1114" s="806"/>
      <c r="AZ1114" s="806"/>
      <c r="BA1114" s="806"/>
      <c r="BB1114" s="806"/>
    </row>
    <row r="1115" spans="4:54">
      <c r="D1115" s="806"/>
      <c r="F1115" s="806"/>
      <c r="W1115" s="806"/>
      <c r="AZ1115" s="806"/>
      <c r="BA1115" s="806"/>
      <c r="BB1115" s="806"/>
    </row>
    <row r="1116" spans="4:54">
      <c r="D1116" s="806"/>
      <c r="F1116" s="806"/>
      <c r="W1116" s="806"/>
      <c r="AZ1116" s="806"/>
      <c r="BA1116" s="806"/>
      <c r="BB1116" s="806"/>
    </row>
    <row r="1117" spans="4:54">
      <c r="D1117" s="806"/>
      <c r="F1117" s="806"/>
      <c r="W1117" s="806"/>
      <c r="AZ1117" s="806"/>
      <c r="BA1117" s="806"/>
      <c r="BB1117" s="806"/>
    </row>
    <row r="1118" spans="4:54">
      <c r="D1118" s="806"/>
      <c r="F1118" s="806"/>
      <c r="W1118" s="806"/>
      <c r="AZ1118" s="806"/>
      <c r="BA1118" s="806"/>
      <c r="BB1118" s="806"/>
    </row>
    <row r="1119" spans="4:54">
      <c r="D1119" s="806"/>
      <c r="F1119" s="806"/>
      <c r="W1119" s="806"/>
      <c r="AZ1119" s="806"/>
      <c r="BA1119" s="806"/>
      <c r="BB1119" s="806"/>
    </row>
    <row r="1120" spans="4:54">
      <c r="D1120" s="806"/>
      <c r="F1120" s="806"/>
      <c r="W1120" s="806"/>
      <c r="AZ1120" s="806"/>
      <c r="BA1120" s="806"/>
      <c r="BB1120" s="806"/>
    </row>
    <row r="1121" spans="4:54">
      <c r="D1121" s="806"/>
      <c r="F1121" s="806"/>
      <c r="W1121" s="806"/>
      <c r="AZ1121" s="806"/>
      <c r="BA1121" s="806"/>
      <c r="BB1121" s="806"/>
    </row>
    <row r="1122" spans="4:54">
      <c r="D1122" s="806"/>
      <c r="F1122" s="806"/>
      <c r="W1122" s="806"/>
      <c r="AZ1122" s="806"/>
      <c r="BA1122" s="806"/>
      <c r="BB1122" s="806"/>
    </row>
    <row r="1123" spans="4:54">
      <c r="D1123" s="806"/>
      <c r="F1123" s="806"/>
      <c r="W1123" s="806"/>
      <c r="AZ1123" s="806"/>
      <c r="BA1123" s="806"/>
      <c r="BB1123" s="806"/>
    </row>
    <row r="1124" spans="4:54">
      <c r="D1124" s="806"/>
      <c r="F1124" s="806"/>
      <c r="W1124" s="806"/>
      <c r="AZ1124" s="806"/>
      <c r="BA1124" s="806"/>
      <c r="BB1124" s="806"/>
    </row>
    <row r="1125" spans="4:54">
      <c r="D1125" s="806"/>
      <c r="F1125" s="806"/>
      <c r="W1125" s="806"/>
      <c r="AZ1125" s="806"/>
      <c r="BA1125" s="806"/>
      <c r="BB1125" s="806"/>
    </row>
    <row r="1126" spans="4:54">
      <c r="D1126" s="806"/>
      <c r="F1126" s="806"/>
      <c r="W1126" s="806"/>
      <c r="AZ1126" s="806"/>
      <c r="BA1126" s="806"/>
      <c r="BB1126" s="806"/>
    </row>
    <row r="1127" spans="4:54">
      <c r="D1127" s="806"/>
      <c r="F1127" s="806"/>
      <c r="W1127" s="806"/>
      <c r="AZ1127" s="806"/>
      <c r="BA1127" s="806"/>
      <c r="BB1127" s="806"/>
    </row>
    <row r="1128" spans="4:54">
      <c r="D1128" s="806"/>
      <c r="F1128" s="806"/>
      <c r="W1128" s="806"/>
      <c r="AZ1128" s="806"/>
      <c r="BA1128" s="806"/>
      <c r="BB1128" s="806"/>
    </row>
    <row r="1129" spans="4:54">
      <c r="D1129" s="806"/>
      <c r="F1129" s="806"/>
      <c r="W1129" s="806"/>
      <c r="AZ1129" s="806"/>
      <c r="BA1129" s="806"/>
      <c r="BB1129" s="806"/>
    </row>
    <row r="1130" spans="4:54">
      <c r="D1130" s="806"/>
      <c r="F1130" s="806"/>
      <c r="W1130" s="806"/>
      <c r="AZ1130" s="806"/>
      <c r="BA1130" s="806"/>
      <c r="BB1130" s="806"/>
    </row>
    <row r="1131" spans="4:54">
      <c r="D1131" s="806"/>
      <c r="F1131" s="806"/>
      <c r="W1131" s="806"/>
      <c r="AZ1131" s="806"/>
      <c r="BA1131" s="806"/>
      <c r="BB1131" s="806"/>
    </row>
    <row r="1132" spans="4:54">
      <c r="D1132" s="806"/>
      <c r="F1132" s="806"/>
      <c r="W1132" s="806"/>
      <c r="AZ1132" s="806"/>
      <c r="BA1132" s="806"/>
      <c r="BB1132" s="806"/>
    </row>
    <row r="1133" spans="4:54">
      <c r="D1133" s="806"/>
      <c r="F1133" s="806"/>
      <c r="W1133" s="806"/>
      <c r="AZ1133" s="806"/>
      <c r="BA1133" s="806"/>
      <c r="BB1133" s="806"/>
    </row>
    <row r="1134" spans="4:54">
      <c r="D1134" s="806"/>
      <c r="F1134" s="806"/>
      <c r="W1134" s="806"/>
      <c r="AZ1134" s="806"/>
      <c r="BA1134" s="806"/>
      <c r="BB1134" s="806"/>
    </row>
    <row r="1135" spans="4:54">
      <c r="D1135" s="806"/>
      <c r="F1135" s="806"/>
      <c r="W1135" s="806"/>
      <c r="AZ1135" s="806"/>
      <c r="BA1135" s="806"/>
      <c r="BB1135" s="806"/>
    </row>
    <row r="1136" spans="4:54">
      <c r="D1136" s="806"/>
      <c r="F1136" s="806"/>
      <c r="W1136" s="806"/>
      <c r="AZ1136" s="806"/>
      <c r="BA1136" s="806"/>
      <c r="BB1136" s="806"/>
    </row>
    <row r="1137" spans="4:54">
      <c r="D1137" s="806"/>
      <c r="F1137" s="806"/>
      <c r="W1137" s="806"/>
      <c r="AZ1137" s="806"/>
      <c r="BA1137" s="806"/>
      <c r="BB1137" s="806"/>
    </row>
    <row r="1138" spans="4:54">
      <c r="D1138" s="806"/>
      <c r="F1138" s="806"/>
      <c r="W1138" s="806"/>
      <c r="AZ1138" s="806"/>
      <c r="BA1138" s="806"/>
      <c r="BB1138" s="806"/>
    </row>
    <row r="1139" spans="4:54">
      <c r="D1139" s="806"/>
      <c r="F1139" s="806"/>
      <c r="W1139" s="806"/>
      <c r="AZ1139" s="806"/>
      <c r="BA1139" s="806"/>
      <c r="BB1139" s="806"/>
    </row>
    <row r="1140" spans="4:54">
      <c r="D1140" s="806"/>
      <c r="F1140" s="806"/>
      <c r="W1140" s="806"/>
      <c r="AZ1140" s="806"/>
      <c r="BA1140" s="806"/>
      <c r="BB1140" s="806"/>
    </row>
    <row r="1141" spans="4:54">
      <c r="D1141" s="806"/>
      <c r="F1141" s="806"/>
      <c r="W1141" s="806"/>
      <c r="AZ1141" s="806"/>
      <c r="BA1141" s="806"/>
      <c r="BB1141" s="806"/>
    </row>
    <row r="1142" spans="4:54">
      <c r="D1142" s="806"/>
      <c r="F1142" s="806"/>
      <c r="W1142" s="806"/>
      <c r="AZ1142" s="806"/>
      <c r="BA1142" s="806"/>
      <c r="BB1142" s="806"/>
    </row>
    <row r="1143" spans="4:54">
      <c r="D1143" s="806"/>
      <c r="F1143" s="806"/>
      <c r="W1143" s="806"/>
      <c r="AZ1143" s="806"/>
      <c r="BA1143" s="806"/>
      <c r="BB1143" s="806"/>
    </row>
    <row r="1144" spans="4:54">
      <c r="D1144" s="806"/>
      <c r="F1144" s="806"/>
      <c r="W1144" s="806"/>
      <c r="AZ1144" s="806"/>
      <c r="BA1144" s="806"/>
      <c r="BB1144" s="806"/>
    </row>
    <row r="1145" spans="4:54">
      <c r="D1145" s="806"/>
      <c r="F1145" s="806"/>
      <c r="W1145" s="806"/>
      <c r="AZ1145" s="806"/>
      <c r="BA1145" s="806"/>
      <c r="BB1145" s="806"/>
    </row>
    <row r="1146" spans="4:54">
      <c r="D1146" s="806"/>
      <c r="F1146" s="806"/>
      <c r="W1146" s="806"/>
      <c r="AZ1146" s="806"/>
      <c r="BA1146" s="806"/>
      <c r="BB1146" s="806"/>
    </row>
    <row r="1147" spans="4:54">
      <c r="D1147" s="806"/>
      <c r="F1147" s="806"/>
      <c r="W1147" s="806"/>
      <c r="AZ1147" s="806"/>
      <c r="BA1147" s="806"/>
      <c r="BB1147" s="806"/>
    </row>
    <row r="1148" spans="4:54">
      <c r="D1148" s="806"/>
      <c r="F1148" s="806"/>
      <c r="W1148" s="806"/>
      <c r="AZ1148" s="806"/>
      <c r="BA1148" s="806"/>
      <c r="BB1148" s="806"/>
    </row>
    <row r="1149" spans="4:54">
      <c r="D1149" s="806"/>
      <c r="F1149" s="806"/>
      <c r="W1149" s="806"/>
      <c r="AZ1149" s="806"/>
      <c r="BA1149" s="806"/>
      <c r="BB1149" s="806"/>
    </row>
    <row r="1150" spans="4:54">
      <c r="D1150" s="806"/>
      <c r="F1150" s="806"/>
      <c r="W1150" s="806"/>
      <c r="AZ1150" s="806"/>
      <c r="BA1150" s="806"/>
      <c r="BB1150" s="806"/>
    </row>
    <row r="1151" spans="4:54">
      <c r="D1151" s="806"/>
      <c r="F1151" s="806"/>
      <c r="W1151" s="806"/>
      <c r="AZ1151" s="806"/>
      <c r="BA1151" s="806"/>
      <c r="BB1151" s="806"/>
    </row>
    <row r="1152" spans="4:54">
      <c r="D1152" s="806"/>
      <c r="F1152" s="806"/>
      <c r="W1152" s="806"/>
      <c r="AZ1152" s="806"/>
      <c r="BA1152" s="806"/>
      <c r="BB1152" s="806"/>
    </row>
    <row r="1153" spans="4:54">
      <c r="D1153" s="806"/>
      <c r="F1153" s="806"/>
      <c r="W1153" s="806"/>
      <c r="AZ1153" s="806"/>
      <c r="BA1153" s="806"/>
      <c r="BB1153" s="806"/>
    </row>
    <row r="1154" spans="4:54">
      <c r="D1154" s="806"/>
      <c r="F1154" s="806"/>
      <c r="W1154" s="806"/>
      <c r="AZ1154" s="806"/>
      <c r="BA1154" s="806"/>
      <c r="BB1154" s="806"/>
    </row>
    <row r="1155" spans="4:54">
      <c r="D1155" s="806"/>
      <c r="F1155" s="806"/>
      <c r="W1155" s="806"/>
      <c r="AZ1155" s="806"/>
      <c r="BA1155" s="806"/>
      <c r="BB1155" s="806"/>
    </row>
    <row r="1156" spans="4:54">
      <c r="D1156" s="806"/>
      <c r="F1156" s="806"/>
      <c r="W1156" s="806"/>
      <c r="AZ1156" s="806"/>
      <c r="BA1156" s="806"/>
      <c r="BB1156" s="806"/>
    </row>
    <row r="1157" spans="4:54">
      <c r="D1157" s="806"/>
      <c r="F1157" s="806"/>
      <c r="W1157" s="806"/>
      <c r="AZ1157" s="806"/>
      <c r="BA1157" s="806"/>
      <c r="BB1157" s="806"/>
    </row>
    <row r="1158" spans="4:54">
      <c r="D1158" s="806"/>
      <c r="F1158" s="806"/>
      <c r="W1158" s="806"/>
      <c r="AZ1158" s="806"/>
      <c r="BA1158" s="806"/>
      <c r="BB1158" s="806"/>
    </row>
    <row r="1159" spans="4:54">
      <c r="D1159" s="806"/>
      <c r="F1159" s="806"/>
      <c r="W1159" s="806"/>
      <c r="AZ1159" s="806"/>
      <c r="BA1159" s="806"/>
      <c r="BB1159" s="806"/>
    </row>
    <row r="1160" spans="4:54">
      <c r="D1160" s="806"/>
      <c r="F1160" s="806"/>
      <c r="W1160" s="806"/>
      <c r="AZ1160" s="806"/>
      <c r="BA1160" s="806"/>
      <c r="BB1160" s="806"/>
    </row>
    <row r="1161" spans="4:54">
      <c r="D1161" s="806"/>
      <c r="F1161" s="806"/>
      <c r="W1161" s="806"/>
      <c r="AZ1161" s="806"/>
      <c r="BA1161" s="806"/>
      <c r="BB1161" s="806"/>
    </row>
    <row r="1162" spans="4:54">
      <c r="D1162" s="806"/>
      <c r="F1162" s="806"/>
      <c r="W1162" s="806"/>
      <c r="AZ1162" s="806"/>
      <c r="BA1162" s="806"/>
      <c r="BB1162" s="806"/>
    </row>
    <row r="1163" spans="4:54">
      <c r="D1163" s="806"/>
      <c r="F1163" s="806"/>
      <c r="W1163" s="806"/>
      <c r="AZ1163" s="806"/>
      <c r="BA1163" s="806"/>
      <c r="BB1163" s="806"/>
    </row>
    <row r="1164" spans="4:54">
      <c r="D1164" s="806"/>
      <c r="F1164" s="806"/>
      <c r="W1164" s="806"/>
      <c r="AZ1164" s="806"/>
      <c r="BA1164" s="806"/>
      <c r="BB1164" s="806"/>
    </row>
    <row r="1165" spans="4:54">
      <c r="D1165" s="806"/>
      <c r="F1165" s="806"/>
      <c r="W1165" s="806"/>
      <c r="AZ1165" s="806"/>
      <c r="BA1165" s="806"/>
      <c r="BB1165" s="806"/>
    </row>
    <row r="1166" spans="4:54">
      <c r="D1166" s="806"/>
      <c r="F1166" s="806"/>
      <c r="W1166" s="806"/>
      <c r="AZ1166" s="806"/>
      <c r="BA1166" s="806"/>
      <c r="BB1166" s="806"/>
    </row>
    <row r="1167" spans="4:54">
      <c r="D1167" s="806"/>
      <c r="F1167" s="806"/>
      <c r="W1167" s="806"/>
      <c r="AZ1167" s="806"/>
      <c r="BA1167" s="806"/>
      <c r="BB1167" s="806"/>
    </row>
    <row r="1168" spans="4:54">
      <c r="D1168" s="806"/>
      <c r="F1168" s="806"/>
      <c r="W1168" s="806"/>
      <c r="AZ1168" s="806"/>
      <c r="BA1168" s="806"/>
      <c r="BB1168" s="806"/>
    </row>
    <row r="1169" spans="4:54">
      <c r="D1169" s="806"/>
      <c r="F1169" s="806"/>
      <c r="W1169" s="806"/>
      <c r="AZ1169" s="806"/>
      <c r="BA1169" s="806"/>
      <c r="BB1169" s="806"/>
    </row>
    <row r="1170" spans="4:54">
      <c r="D1170" s="806"/>
      <c r="F1170" s="806"/>
      <c r="W1170" s="806"/>
      <c r="AZ1170" s="806"/>
      <c r="BA1170" s="806"/>
      <c r="BB1170" s="806"/>
    </row>
    <row r="1171" spans="4:54">
      <c r="D1171" s="806"/>
      <c r="F1171" s="806"/>
      <c r="W1171" s="806"/>
      <c r="AZ1171" s="806"/>
      <c r="BA1171" s="806"/>
      <c r="BB1171" s="806"/>
    </row>
    <row r="1172" spans="4:54">
      <c r="D1172" s="806"/>
      <c r="F1172" s="806"/>
      <c r="W1172" s="806"/>
      <c r="AZ1172" s="806"/>
      <c r="BA1172" s="806"/>
      <c r="BB1172" s="806"/>
    </row>
    <row r="1173" spans="4:54">
      <c r="D1173" s="806"/>
      <c r="F1173" s="806"/>
      <c r="W1173" s="806"/>
      <c r="AZ1173" s="806"/>
      <c r="BA1173" s="806"/>
      <c r="BB1173" s="806"/>
    </row>
    <row r="1174" spans="4:54">
      <c r="D1174" s="806"/>
      <c r="F1174" s="806"/>
      <c r="W1174" s="806"/>
      <c r="AZ1174" s="806"/>
      <c r="BA1174" s="806"/>
      <c r="BB1174" s="806"/>
    </row>
    <row r="1175" spans="4:54">
      <c r="D1175" s="806"/>
      <c r="F1175" s="806"/>
      <c r="W1175" s="806"/>
      <c r="AZ1175" s="806"/>
      <c r="BA1175" s="806"/>
      <c r="BB1175" s="806"/>
    </row>
    <row r="1176" spans="4:54">
      <c r="D1176" s="806"/>
      <c r="F1176" s="806"/>
      <c r="W1176" s="806"/>
      <c r="AZ1176" s="806"/>
      <c r="BA1176" s="806"/>
      <c r="BB1176" s="806"/>
    </row>
    <row r="1177" spans="4:54">
      <c r="D1177" s="806"/>
      <c r="F1177" s="806"/>
      <c r="W1177" s="806"/>
      <c r="AZ1177" s="806"/>
      <c r="BA1177" s="806"/>
      <c r="BB1177" s="806"/>
    </row>
    <row r="1178" spans="4:54">
      <c r="D1178" s="806"/>
      <c r="F1178" s="806"/>
      <c r="W1178" s="806"/>
      <c r="AZ1178" s="806"/>
      <c r="BA1178" s="806"/>
      <c r="BB1178" s="806"/>
    </row>
    <row r="1179" spans="4:54">
      <c r="D1179" s="806"/>
      <c r="F1179" s="806"/>
      <c r="W1179" s="806"/>
      <c r="AZ1179" s="806"/>
      <c r="BA1179" s="806"/>
      <c r="BB1179" s="806"/>
    </row>
    <row r="1180" spans="4:54">
      <c r="D1180" s="806"/>
      <c r="F1180" s="806"/>
      <c r="W1180" s="806"/>
      <c r="AZ1180" s="806"/>
      <c r="BA1180" s="806"/>
      <c r="BB1180" s="806"/>
    </row>
    <row r="1181" spans="4:54">
      <c r="D1181" s="806"/>
      <c r="F1181" s="806"/>
      <c r="W1181" s="806"/>
      <c r="AZ1181" s="806"/>
      <c r="BA1181" s="806"/>
      <c r="BB1181" s="806"/>
    </row>
    <row r="1182" spans="4:54">
      <c r="D1182" s="806"/>
      <c r="F1182" s="806"/>
      <c r="W1182" s="806"/>
      <c r="AZ1182" s="806"/>
      <c r="BA1182" s="806"/>
      <c r="BB1182" s="806"/>
    </row>
    <row r="1183" spans="4:54">
      <c r="D1183" s="806"/>
      <c r="F1183" s="806"/>
      <c r="W1183" s="806"/>
      <c r="AZ1183" s="806"/>
      <c r="BA1183" s="806"/>
      <c r="BB1183" s="806"/>
    </row>
    <row r="1184" spans="4:54">
      <c r="D1184" s="806"/>
      <c r="F1184" s="806"/>
      <c r="W1184" s="806"/>
      <c r="AZ1184" s="806"/>
      <c r="BA1184" s="806"/>
      <c r="BB1184" s="806"/>
    </row>
    <row r="1185" spans="4:54">
      <c r="D1185" s="806"/>
      <c r="F1185" s="806"/>
      <c r="W1185" s="806"/>
      <c r="AZ1185" s="806"/>
      <c r="BA1185" s="806"/>
      <c r="BB1185" s="806"/>
    </row>
    <row r="1186" spans="4:54">
      <c r="D1186" s="806"/>
      <c r="F1186" s="806"/>
      <c r="W1186" s="806"/>
      <c r="AZ1186" s="806"/>
      <c r="BA1186" s="806"/>
      <c r="BB1186" s="806"/>
    </row>
    <row r="1187" spans="4:54">
      <c r="D1187" s="806"/>
      <c r="F1187" s="806"/>
      <c r="W1187" s="806"/>
      <c r="AZ1187" s="806"/>
      <c r="BA1187" s="806"/>
      <c r="BB1187" s="806"/>
    </row>
    <row r="1188" spans="4:54">
      <c r="D1188" s="806"/>
      <c r="F1188" s="806"/>
      <c r="W1188" s="806"/>
      <c r="AZ1188" s="806"/>
      <c r="BA1188" s="806"/>
      <c r="BB1188" s="806"/>
    </row>
    <row r="1189" spans="4:54">
      <c r="D1189" s="806"/>
      <c r="F1189" s="806"/>
      <c r="W1189" s="806"/>
      <c r="AZ1189" s="806"/>
      <c r="BA1189" s="806"/>
      <c r="BB1189" s="806"/>
    </row>
    <row r="1190" spans="4:54">
      <c r="D1190" s="806"/>
      <c r="F1190" s="806"/>
      <c r="W1190" s="806"/>
      <c r="AZ1190" s="806"/>
      <c r="BA1190" s="806"/>
      <c r="BB1190" s="806"/>
    </row>
    <row r="1191" spans="4:54">
      <c r="D1191" s="806"/>
      <c r="F1191" s="806"/>
      <c r="W1191" s="806"/>
      <c r="AZ1191" s="806"/>
      <c r="BA1191" s="806"/>
      <c r="BB1191" s="806"/>
    </row>
    <row r="1192" spans="4:54">
      <c r="D1192" s="806"/>
      <c r="F1192" s="806"/>
      <c r="W1192" s="806"/>
      <c r="AZ1192" s="806"/>
      <c r="BA1192" s="806"/>
      <c r="BB1192" s="806"/>
    </row>
    <row r="1193" spans="4:54">
      <c r="D1193" s="806"/>
      <c r="F1193" s="806"/>
      <c r="W1193" s="806"/>
      <c r="AZ1193" s="806"/>
      <c r="BA1193" s="806"/>
      <c r="BB1193" s="806"/>
    </row>
    <row r="1194" spans="4:54">
      <c r="D1194" s="806"/>
      <c r="F1194" s="806"/>
      <c r="W1194" s="806"/>
      <c r="AZ1194" s="806"/>
      <c r="BA1194" s="806"/>
      <c r="BB1194" s="806"/>
    </row>
    <row r="1195" spans="4:54">
      <c r="D1195" s="806"/>
      <c r="F1195" s="806"/>
      <c r="W1195" s="806"/>
      <c r="AZ1195" s="806"/>
      <c r="BA1195" s="806"/>
      <c r="BB1195" s="806"/>
    </row>
    <row r="1196" spans="4:54">
      <c r="D1196" s="806"/>
      <c r="F1196" s="806"/>
      <c r="W1196" s="806"/>
      <c r="AZ1196" s="806"/>
      <c r="BA1196" s="806"/>
      <c r="BB1196" s="806"/>
    </row>
    <row r="1197" spans="4:54">
      <c r="D1197" s="806"/>
      <c r="F1197" s="806"/>
      <c r="W1197" s="806"/>
      <c r="AZ1197" s="806"/>
      <c r="BA1197" s="806"/>
      <c r="BB1197" s="806"/>
    </row>
    <row r="1198" spans="4:54">
      <c r="D1198" s="806"/>
      <c r="F1198" s="806"/>
      <c r="W1198" s="806"/>
      <c r="AZ1198" s="806"/>
      <c r="BA1198" s="806"/>
      <c r="BB1198" s="806"/>
    </row>
    <row r="1199" spans="4:54">
      <c r="D1199" s="806"/>
      <c r="F1199" s="806"/>
      <c r="W1199" s="806"/>
      <c r="AZ1199" s="806"/>
      <c r="BA1199" s="806"/>
      <c r="BB1199" s="806"/>
    </row>
    <row r="1200" spans="4:54">
      <c r="D1200" s="806"/>
      <c r="F1200" s="806"/>
      <c r="W1200" s="806"/>
      <c r="AZ1200" s="806"/>
      <c r="BA1200" s="806"/>
      <c r="BB1200" s="806"/>
    </row>
    <row r="1201" spans="4:54">
      <c r="D1201" s="806"/>
      <c r="F1201" s="806"/>
      <c r="W1201" s="806"/>
      <c r="AZ1201" s="806"/>
      <c r="BA1201" s="806"/>
      <c r="BB1201" s="806"/>
    </row>
    <row r="1202" spans="4:54">
      <c r="D1202" s="806"/>
      <c r="F1202" s="806"/>
      <c r="W1202" s="806"/>
      <c r="AZ1202" s="806"/>
      <c r="BA1202" s="806"/>
      <c r="BB1202" s="806"/>
    </row>
    <row r="1203" spans="4:54">
      <c r="D1203" s="806"/>
      <c r="F1203" s="806"/>
      <c r="W1203" s="806"/>
      <c r="AZ1203" s="806"/>
      <c r="BA1203" s="806"/>
      <c r="BB1203" s="806"/>
    </row>
    <row r="1204" spans="4:54">
      <c r="D1204" s="806"/>
      <c r="F1204" s="806"/>
      <c r="W1204" s="806"/>
      <c r="AZ1204" s="806"/>
      <c r="BA1204" s="806"/>
      <c r="BB1204" s="806"/>
    </row>
    <row r="1205" spans="4:54">
      <c r="D1205" s="806"/>
      <c r="F1205" s="806"/>
      <c r="W1205" s="806"/>
      <c r="AZ1205" s="806"/>
      <c r="BA1205" s="806"/>
      <c r="BB1205" s="806"/>
    </row>
    <row r="1206" spans="4:54">
      <c r="D1206" s="806"/>
      <c r="F1206" s="806"/>
      <c r="W1206" s="806"/>
      <c r="AZ1206" s="806"/>
      <c r="BA1206" s="806"/>
      <c r="BB1206" s="806"/>
    </row>
    <row r="1207" spans="4:54">
      <c r="D1207" s="806"/>
      <c r="F1207" s="806"/>
      <c r="W1207" s="806"/>
      <c r="AZ1207" s="806"/>
      <c r="BA1207" s="806"/>
      <c r="BB1207" s="806"/>
    </row>
    <row r="1208" spans="4:54">
      <c r="D1208" s="806"/>
      <c r="F1208" s="806"/>
      <c r="W1208" s="806"/>
      <c r="AZ1208" s="806"/>
      <c r="BA1208" s="806"/>
      <c r="BB1208" s="806"/>
    </row>
    <row r="1209" spans="4:54">
      <c r="D1209" s="806"/>
      <c r="F1209" s="806"/>
      <c r="W1209" s="806"/>
      <c r="AZ1209" s="806"/>
      <c r="BA1209" s="806"/>
      <c r="BB1209" s="806"/>
    </row>
    <row r="1210" spans="4:54">
      <c r="D1210" s="806"/>
      <c r="F1210" s="806"/>
      <c r="W1210" s="806"/>
      <c r="AZ1210" s="806"/>
      <c r="BA1210" s="806"/>
      <c r="BB1210" s="806"/>
    </row>
    <row r="1211" spans="4:54">
      <c r="D1211" s="806"/>
      <c r="F1211" s="806"/>
      <c r="W1211" s="806"/>
      <c r="AZ1211" s="806"/>
      <c r="BA1211" s="806"/>
      <c r="BB1211" s="806"/>
    </row>
    <row r="1212" spans="4:54">
      <c r="D1212" s="806"/>
      <c r="F1212" s="806"/>
      <c r="W1212" s="806"/>
      <c r="AZ1212" s="806"/>
      <c r="BA1212" s="806"/>
      <c r="BB1212" s="806"/>
    </row>
    <row r="1213" spans="4:54">
      <c r="D1213" s="806"/>
      <c r="F1213" s="806"/>
      <c r="W1213" s="806"/>
      <c r="AZ1213" s="806"/>
      <c r="BA1213" s="806"/>
      <c r="BB1213" s="806"/>
    </row>
    <row r="1214" spans="4:54">
      <c r="D1214" s="806"/>
      <c r="F1214" s="806"/>
      <c r="W1214" s="806"/>
      <c r="AZ1214" s="806"/>
      <c r="BA1214" s="806"/>
      <c r="BB1214" s="806"/>
    </row>
    <row r="1215" spans="4:54">
      <c r="D1215" s="806"/>
      <c r="F1215" s="806"/>
      <c r="W1215" s="806"/>
      <c r="AZ1215" s="806"/>
      <c r="BA1215" s="806"/>
      <c r="BB1215" s="806"/>
    </row>
    <row r="1216" spans="4:54">
      <c r="D1216" s="806"/>
      <c r="F1216" s="806"/>
      <c r="W1216" s="806"/>
      <c r="AZ1216" s="806"/>
      <c r="BA1216" s="806"/>
      <c r="BB1216" s="806"/>
    </row>
    <row r="1217" spans="4:54">
      <c r="D1217" s="806"/>
      <c r="F1217" s="806"/>
      <c r="W1217" s="806"/>
      <c r="AZ1217" s="806"/>
      <c r="BA1217" s="806"/>
      <c r="BB1217" s="806"/>
    </row>
    <row r="1218" spans="4:54">
      <c r="D1218" s="806"/>
      <c r="F1218" s="806"/>
      <c r="W1218" s="806"/>
      <c r="AZ1218" s="806"/>
      <c r="BA1218" s="806"/>
      <c r="BB1218" s="806"/>
    </row>
    <row r="1219" spans="4:54">
      <c r="D1219" s="806"/>
      <c r="F1219" s="806"/>
      <c r="W1219" s="806"/>
      <c r="AZ1219" s="806"/>
      <c r="BA1219" s="806"/>
      <c r="BB1219" s="806"/>
    </row>
    <row r="1220" spans="4:54">
      <c r="D1220" s="806"/>
      <c r="F1220" s="806"/>
      <c r="W1220" s="806"/>
      <c r="AZ1220" s="806"/>
      <c r="BA1220" s="806"/>
      <c r="BB1220" s="806"/>
    </row>
    <row r="1221" spans="4:54">
      <c r="D1221" s="806"/>
      <c r="F1221" s="806"/>
      <c r="W1221" s="806"/>
      <c r="AZ1221" s="806"/>
      <c r="BA1221" s="806"/>
      <c r="BB1221" s="806"/>
    </row>
    <row r="1222" spans="4:54">
      <c r="D1222" s="806"/>
      <c r="F1222" s="806"/>
      <c r="W1222" s="806"/>
      <c r="AZ1222" s="806"/>
      <c r="BA1222" s="806"/>
      <c r="BB1222" s="806"/>
    </row>
    <row r="1223" spans="4:54">
      <c r="D1223" s="806"/>
      <c r="F1223" s="806"/>
      <c r="W1223" s="806"/>
      <c r="AZ1223" s="806"/>
      <c r="BA1223" s="806"/>
      <c r="BB1223" s="806"/>
    </row>
    <row r="1224" spans="4:54">
      <c r="D1224" s="806"/>
      <c r="F1224" s="806"/>
      <c r="W1224" s="806"/>
      <c r="AZ1224" s="806"/>
      <c r="BA1224" s="806"/>
      <c r="BB1224" s="806"/>
    </row>
    <row r="1225" spans="4:54">
      <c r="D1225" s="806"/>
      <c r="F1225" s="806"/>
      <c r="W1225" s="806"/>
      <c r="AZ1225" s="806"/>
      <c r="BA1225" s="806"/>
      <c r="BB1225" s="806"/>
    </row>
    <row r="1226" spans="4:54">
      <c r="D1226" s="806"/>
      <c r="F1226" s="806"/>
      <c r="W1226" s="806"/>
      <c r="AZ1226" s="806"/>
      <c r="BA1226" s="806"/>
      <c r="BB1226" s="806"/>
    </row>
    <row r="1227" spans="4:54">
      <c r="D1227" s="806"/>
      <c r="F1227" s="806"/>
      <c r="W1227" s="806"/>
      <c r="AZ1227" s="806"/>
      <c r="BA1227" s="806"/>
      <c r="BB1227" s="806"/>
    </row>
    <row r="1228" spans="4:54">
      <c r="D1228" s="806"/>
      <c r="F1228" s="806"/>
      <c r="W1228" s="806"/>
      <c r="AZ1228" s="806"/>
      <c r="BA1228" s="806"/>
      <c r="BB1228" s="806"/>
    </row>
    <row r="1229" spans="4:54">
      <c r="D1229" s="806"/>
      <c r="F1229" s="806"/>
      <c r="W1229" s="806"/>
      <c r="AZ1229" s="806"/>
      <c r="BA1229" s="806"/>
      <c r="BB1229" s="806"/>
    </row>
    <row r="1230" spans="4:54">
      <c r="D1230" s="806"/>
      <c r="F1230" s="806"/>
      <c r="W1230" s="806"/>
      <c r="AZ1230" s="806"/>
      <c r="BA1230" s="806"/>
      <c r="BB1230" s="806"/>
    </row>
    <row r="1231" spans="4:54">
      <c r="D1231" s="806"/>
      <c r="F1231" s="806"/>
      <c r="W1231" s="806"/>
      <c r="AZ1231" s="806"/>
      <c r="BA1231" s="806"/>
      <c r="BB1231" s="806"/>
    </row>
    <row r="1232" spans="4:54">
      <c r="D1232" s="806"/>
      <c r="F1232" s="806"/>
      <c r="W1232" s="806"/>
      <c r="AZ1232" s="806"/>
      <c r="BA1232" s="806"/>
      <c r="BB1232" s="806"/>
    </row>
    <row r="1233" spans="4:54">
      <c r="D1233" s="806"/>
      <c r="F1233" s="806"/>
      <c r="W1233" s="806"/>
      <c r="AZ1233" s="806"/>
      <c r="BA1233" s="806"/>
      <c r="BB1233" s="806"/>
    </row>
    <row r="1234" spans="4:54">
      <c r="D1234" s="806"/>
      <c r="F1234" s="806"/>
      <c r="W1234" s="806"/>
      <c r="AZ1234" s="806"/>
      <c r="BA1234" s="806"/>
      <c r="BB1234" s="806"/>
    </row>
    <row r="1235" spans="4:54">
      <c r="D1235" s="806"/>
      <c r="F1235" s="806"/>
      <c r="W1235" s="806"/>
      <c r="AZ1235" s="806"/>
      <c r="BA1235" s="806"/>
      <c r="BB1235" s="806"/>
    </row>
    <row r="1236" spans="4:54">
      <c r="D1236" s="806"/>
      <c r="F1236" s="806"/>
      <c r="W1236" s="806"/>
      <c r="AZ1236" s="806"/>
      <c r="BA1236" s="806"/>
      <c r="BB1236" s="806"/>
    </row>
    <row r="1237" spans="4:54">
      <c r="D1237" s="806"/>
      <c r="F1237" s="806"/>
      <c r="W1237" s="806"/>
      <c r="AZ1237" s="806"/>
      <c r="BA1237" s="806"/>
      <c r="BB1237" s="806"/>
    </row>
    <row r="1238" spans="4:54">
      <c r="D1238" s="806"/>
      <c r="F1238" s="806"/>
      <c r="W1238" s="806"/>
      <c r="AZ1238" s="806"/>
      <c r="BA1238" s="806"/>
      <c r="BB1238" s="806"/>
    </row>
    <row r="1239" spans="4:54">
      <c r="D1239" s="806"/>
      <c r="F1239" s="806"/>
      <c r="W1239" s="806"/>
      <c r="AZ1239" s="806"/>
      <c r="BA1239" s="806"/>
      <c r="BB1239" s="806"/>
    </row>
    <row r="1240" spans="4:54">
      <c r="D1240" s="806"/>
      <c r="F1240" s="806"/>
      <c r="W1240" s="806"/>
      <c r="AZ1240" s="806"/>
      <c r="BA1240" s="806"/>
      <c r="BB1240" s="806"/>
    </row>
    <row r="1241" spans="4:54">
      <c r="D1241" s="806"/>
      <c r="F1241" s="806"/>
      <c r="W1241" s="806"/>
      <c r="AZ1241" s="806"/>
      <c r="BA1241" s="806"/>
      <c r="BB1241" s="806"/>
    </row>
    <row r="1242" spans="4:54">
      <c r="D1242" s="806"/>
      <c r="F1242" s="806"/>
      <c r="W1242" s="806"/>
      <c r="AZ1242" s="806"/>
      <c r="BA1242" s="806"/>
      <c r="BB1242" s="806"/>
    </row>
    <row r="1243" spans="4:54">
      <c r="D1243" s="806"/>
      <c r="F1243" s="806"/>
      <c r="W1243" s="806"/>
      <c r="AZ1243" s="806"/>
      <c r="BA1243" s="806"/>
      <c r="BB1243" s="806"/>
    </row>
    <row r="1244" spans="4:54">
      <c r="D1244" s="806"/>
      <c r="F1244" s="806"/>
      <c r="W1244" s="806"/>
      <c r="AZ1244" s="806"/>
      <c r="BA1244" s="806"/>
      <c r="BB1244" s="806"/>
    </row>
    <row r="1245" spans="4:54">
      <c r="D1245" s="806"/>
      <c r="F1245" s="806"/>
      <c r="W1245" s="806"/>
      <c r="AZ1245" s="806"/>
      <c r="BA1245" s="806"/>
      <c r="BB1245" s="806"/>
    </row>
    <row r="1246" spans="4:54">
      <c r="D1246" s="806"/>
      <c r="F1246" s="806"/>
      <c r="W1246" s="806"/>
      <c r="AZ1246" s="806"/>
      <c r="BA1246" s="806"/>
      <c r="BB1246" s="806"/>
    </row>
    <row r="1247" spans="4:54">
      <c r="D1247" s="806"/>
      <c r="F1247" s="806"/>
      <c r="W1247" s="806"/>
      <c r="AZ1247" s="806"/>
      <c r="BA1247" s="806"/>
      <c r="BB1247" s="806"/>
    </row>
    <row r="1248" spans="4:54">
      <c r="D1248" s="806"/>
      <c r="F1248" s="806"/>
      <c r="W1248" s="806"/>
      <c r="AZ1248" s="806"/>
      <c r="BA1248" s="806"/>
      <c r="BB1248" s="806"/>
    </row>
    <row r="1249" spans="4:54">
      <c r="D1249" s="806"/>
      <c r="F1249" s="806"/>
      <c r="W1249" s="806"/>
      <c r="AZ1249" s="806"/>
      <c r="BA1249" s="806"/>
      <c r="BB1249" s="806"/>
    </row>
    <row r="1250" spans="4:54">
      <c r="D1250" s="806"/>
      <c r="F1250" s="806"/>
      <c r="W1250" s="806"/>
      <c r="AZ1250" s="806"/>
      <c r="BA1250" s="806"/>
      <c r="BB1250" s="806"/>
    </row>
    <row r="1251" spans="4:54">
      <c r="D1251" s="806"/>
      <c r="F1251" s="806"/>
      <c r="W1251" s="806"/>
      <c r="AZ1251" s="806"/>
      <c r="BA1251" s="806"/>
      <c r="BB1251" s="806"/>
    </row>
    <row r="1252" spans="4:54">
      <c r="D1252" s="806"/>
      <c r="F1252" s="806"/>
      <c r="W1252" s="806"/>
      <c r="AZ1252" s="806"/>
      <c r="BA1252" s="806"/>
      <c r="BB1252" s="806"/>
    </row>
    <row r="1253" spans="4:54">
      <c r="D1253" s="806"/>
      <c r="F1253" s="806"/>
      <c r="W1253" s="806"/>
      <c r="AZ1253" s="806"/>
      <c r="BA1253" s="806"/>
      <c r="BB1253" s="806"/>
    </row>
    <row r="1254" spans="4:54">
      <c r="D1254" s="806"/>
      <c r="F1254" s="806"/>
      <c r="W1254" s="806"/>
      <c r="AZ1254" s="806"/>
      <c r="BA1254" s="806"/>
      <c r="BB1254" s="806"/>
    </row>
    <row r="1255" spans="4:54">
      <c r="D1255" s="806"/>
      <c r="F1255" s="806"/>
      <c r="W1255" s="806"/>
      <c r="AZ1255" s="806"/>
      <c r="BA1255" s="806"/>
      <c r="BB1255" s="806"/>
    </row>
    <row r="1256" spans="4:54">
      <c r="D1256" s="806"/>
      <c r="F1256" s="806"/>
      <c r="W1256" s="806"/>
      <c r="AZ1256" s="806"/>
      <c r="BA1256" s="806"/>
      <c r="BB1256" s="806"/>
    </row>
    <row r="1257" spans="4:54">
      <c r="D1257" s="806"/>
      <c r="F1257" s="806"/>
      <c r="W1257" s="806"/>
      <c r="AZ1257" s="806"/>
      <c r="BA1257" s="806"/>
      <c r="BB1257" s="806"/>
    </row>
    <row r="1258" spans="4:54">
      <c r="D1258" s="806"/>
      <c r="F1258" s="806"/>
      <c r="W1258" s="806"/>
      <c r="AZ1258" s="806"/>
      <c r="BA1258" s="806"/>
      <c r="BB1258" s="806"/>
    </row>
    <row r="1259" spans="4:54">
      <c r="D1259" s="806"/>
      <c r="F1259" s="806"/>
      <c r="W1259" s="806"/>
      <c r="AZ1259" s="806"/>
      <c r="BA1259" s="806"/>
      <c r="BB1259" s="806"/>
    </row>
    <row r="1260" spans="4:54">
      <c r="D1260" s="806"/>
      <c r="F1260" s="806"/>
      <c r="W1260" s="806"/>
      <c r="AZ1260" s="806"/>
      <c r="BA1260" s="806"/>
      <c r="BB1260" s="806"/>
    </row>
    <row r="1261" spans="4:54">
      <c r="D1261" s="806"/>
      <c r="F1261" s="806"/>
      <c r="W1261" s="806"/>
      <c r="AZ1261" s="806"/>
      <c r="BA1261" s="806"/>
      <c r="BB1261" s="806"/>
    </row>
    <row r="1262" spans="4:54">
      <c r="D1262" s="806"/>
      <c r="F1262" s="806"/>
      <c r="W1262" s="806"/>
      <c r="AZ1262" s="806"/>
      <c r="BA1262" s="806"/>
      <c r="BB1262" s="806"/>
    </row>
    <row r="1263" spans="4:54">
      <c r="D1263" s="806"/>
      <c r="F1263" s="806"/>
      <c r="W1263" s="806"/>
      <c r="AZ1263" s="806"/>
      <c r="BA1263" s="806"/>
      <c r="BB1263" s="806"/>
    </row>
    <row r="1264" spans="4:54">
      <c r="D1264" s="806"/>
      <c r="F1264" s="806"/>
      <c r="W1264" s="806"/>
      <c r="AZ1264" s="806"/>
      <c r="BA1264" s="806"/>
      <c r="BB1264" s="806"/>
    </row>
    <row r="1265" spans="4:54">
      <c r="D1265" s="806"/>
      <c r="F1265" s="806"/>
      <c r="W1265" s="806"/>
      <c r="AZ1265" s="806"/>
      <c r="BA1265" s="806"/>
      <c r="BB1265" s="806"/>
    </row>
    <row r="1266" spans="4:54">
      <c r="D1266" s="806"/>
      <c r="F1266" s="806"/>
      <c r="W1266" s="806"/>
      <c r="AZ1266" s="806"/>
      <c r="BA1266" s="806"/>
      <c r="BB1266" s="806"/>
    </row>
    <row r="1267" spans="4:54">
      <c r="D1267" s="806"/>
      <c r="F1267" s="806"/>
      <c r="W1267" s="806"/>
      <c r="AZ1267" s="806"/>
      <c r="BA1267" s="806"/>
      <c r="BB1267" s="806"/>
    </row>
    <row r="1268" spans="4:54">
      <c r="D1268" s="806"/>
      <c r="F1268" s="806"/>
      <c r="W1268" s="806"/>
      <c r="AZ1268" s="806"/>
      <c r="BA1268" s="806"/>
      <c r="BB1268" s="806"/>
    </row>
    <row r="1269" spans="4:54">
      <c r="D1269" s="806"/>
      <c r="F1269" s="806"/>
      <c r="W1269" s="806"/>
      <c r="AZ1269" s="806"/>
      <c r="BA1269" s="806"/>
      <c r="BB1269" s="806"/>
    </row>
    <row r="1270" spans="4:54">
      <c r="D1270" s="806"/>
      <c r="F1270" s="806"/>
      <c r="W1270" s="806"/>
      <c r="AZ1270" s="806"/>
      <c r="BA1270" s="806"/>
      <c r="BB1270" s="806"/>
    </row>
    <row r="1271" spans="4:54">
      <c r="D1271" s="806"/>
      <c r="F1271" s="806"/>
      <c r="W1271" s="806"/>
      <c r="AZ1271" s="806"/>
      <c r="BA1271" s="806"/>
      <c r="BB1271" s="806"/>
    </row>
    <row r="1272" spans="4:54">
      <c r="D1272" s="806"/>
      <c r="F1272" s="806"/>
      <c r="W1272" s="806"/>
      <c r="AZ1272" s="806"/>
      <c r="BA1272" s="806"/>
      <c r="BB1272" s="806"/>
    </row>
    <row r="1273" spans="4:54">
      <c r="D1273" s="806"/>
      <c r="F1273" s="806"/>
      <c r="W1273" s="806"/>
      <c r="AZ1273" s="806"/>
      <c r="BA1273" s="806"/>
      <c r="BB1273" s="806"/>
    </row>
    <row r="1274" spans="4:54">
      <c r="D1274" s="806"/>
      <c r="F1274" s="806"/>
      <c r="W1274" s="806"/>
      <c r="AZ1274" s="806"/>
      <c r="BA1274" s="806"/>
      <c r="BB1274" s="806"/>
    </row>
    <row r="1275" spans="4:54">
      <c r="D1275" s="806"/>
      <c r="F1275" s="806"/>
      <c r="W1275" s="806"/>
      <c r="AZ1275" s="806"/>
      <c r="BA1275" s="806"/>
      <c r="BB1275" s="806"/>
    </row>
    <row r="1276" spans="4:54">
      <c r="D1276" s="806"/>
      <c r="F1276" s="806"/>
      <c r="W1276" s="806"/>
      <c r="AZ1276" s="806"/>
      <c r="BA1276" s="806"/>
      <c r="BB1276" s="806"/>
    </row>
    <row r="1277" spans="4:54">
      <c r="D1277" s="806"/>
      <c r="F1277" s="806"/>
      <c r="W1277" s="806"/>
      <c r="AZ1277" s="806"/>
      <c r="BA1277" s="806"/>
      <c r="BB1277" s="806"/>
    </row>
    <row r="1278" spans="4:54">
      <c r="D1278" s="806"/>
      <c r="F1278" s="806"/>
      <c r="W1278" s="806"/>
      <c r="AZ1278" s="806"/>
      <c r="BA1278" s="806"/>
      <c r="BB1278" s="806"/>
    </row>
    <row r="1279" spans="4:54">
      <c r="D1279" s="806"/>
      <c r="F1279" s="806"/>
      <c r="W1279" s="806"/>
      <c r="AZ1279" s="806"/>
      <c r="BA1279" s="806"/>
      <c r="BB1279" s="806"/>
    </row>
    <row r="1280" spans="4:54">
      <c r="D1280" s="806"/>
      <c r="F1280" s="806"/>
      <c r="W1280" s="806"/>
      <c r="AZ1280" s="806"/>
      <c r="BA1280" s="806"/>
      <c r="BB1280" s="806"/>
    </row>
    <row r="1281" spans="4:54">
      <c r="D1281" s="806"/>
      <c r="F1281" s="806"/>
      <c r="W1281" s="806"/>
      <c r="AZ1281" s="806"/>
      <c r="BA1281" s="806"/>
      <c r="BB1281" s="806"/>
    </row>
    <row r="1282" spans="4:54">
      <c r="D1282" s="806"/>
      <c r="F1282" s="806"/>
      <c r="W1282" s="806"/>
      <c r="AZ1282" s="806"/>
      <c r="BA1282" s="806"/>
      <c r="BB1282" s="806"/>
    </row>
    <row r="1283" spans="4:54">
      <c r="D1283" s="806"/>
      <c r="F1283" s="806"/>
      <c r="W1283" s="806"/>
      <c r="AZ1283" s="806"/>
      <c r="BA1283" s="806"/>
      <c r="BB1283" s="806"/>
    </row>
    <row r="1284" spans="4:54">
      <c r="D1284" s="806"/>
      <c r="F1284" s="806"/>
      <c r="W1284" s="806"/>
      <c r="AZ1284" s="806"/>
      <c r="BA1284" s="806"/>
      <c r="BB1284" s="806"/>
    </row>
    <row r="1285" spans="4:54">
      <c r="D1285" s="806"/>
      <c r="F1285" s="806"/>
      <c r="W1285" s="806"/>
      <c r="AZ1285" s="806"/>
      <c r="BA1285" s="806"/>
      <c r="BB1285" s="806"/>
    </row>
    <row r="1286" spans="4:54">
      <c r="D1286" s="806"/>
      <c r="F1286" s="806"/>
      <c r="W1286" s="806"/>
      <c r="AZ1286" s="806"/>
      <c r="BA1286" s="806"/>
      <c r="BB1286" s="806"/>
    </row>
    <row r="1287" spans="4:54">
      <c r="D1287" s="806"/>
      <c r="F1287" s="806"/>
      <c r="W1287" s="806"/>
      <c r="AZ1287" s="806"/>
      <c r="BA1287" s="806"/>
      <c r="BB1287" s="806"/>
    </row>
    <row r="1288" spans="4:54">
      <c r="D1288" s="806"/>
      <c r="F1288" s="806"/>
      <c r="W1288" s="806"/>
      <c r="AZ1288" s="806"/>
      <c r="BA1288" s="806"/>
      <c r="BB1288" s="806"/>
    </row>
    <row r="1289" spans="4:54">
      <c r="D1289" s="806"/>
      <c r="F1289" s="806"/>
      <c r="W1289" s="806"/>
      <c r="AZ1289" s="806"/>
      <c r="BA1289" s="806"/>
      <c r="BB1289" s="806"/>
    </row>
    <row r="1290" spans="4:54">
      <c r="D1290" s="806"/>
      <c r="F1290" s="806"/>
      <c r="W1290" s="806"/>
      <c r="AZ1290" s="806"/>
      <c r="BA1290" s="806"/>
      <c r="BB1290" s="806"/>
    </row>
    <row r="1291" spans="4:54">
      <c r="D1291" s="806"/>
      <c r="F1291" s="806"/>
      <c r="W1291" s="806"/>
      <c r="AZ1291" s="806"/>
      <c r="BA1291" s="806"/>
      <c r="BB1291" s="806"/>
    </row>
    <row r="1292" spans="4:54">
      <c r="D1292" s="806"/>
      <c r="F1292" s="806"/>
      <c r="W1292" s="806"/>
      <c r="AZ1292" s="806"/>
      <c r="BA1292" s="806"/>
      <c r="BB1292" s="806"/>
    </row>
    <row r="1293" spans="4:54">
      <c r="D1293" s="806"/>
      <c r="F1293" s="806"/>
      <c r="W1293" s="806"/>
      <c r="AZ1293" s="806"/>
      <c r="BA1293" s="806"/>
      <c r="BB1293" s="806"/>
    </row>
    <row r="1294" spans="4:54">
      <c r="D1294" s="806"/>
      <c r="F1294" s="806"/>
      <c r="W1294" s="806"/>
      <c r="AZ1294" s="806"/>
      <c r="BA1294" s="806"/>
      <c r="BB1294" s="806"/>
    </row>
    <row r="1295" spans="4:54">
      <c r="D1295" s="806"/>
      <c r="F1295" s="806"/>
      <c r="W1295" s="806"/>
      <c r="AZ1295" s="806"/>
      <c r="BA1295" s="806"/>
      <c r="BB1295" s="806"/>
    </row>
    <row r="1296" spans="4:54">
      <c r="D1296" s="806"/>
      <c r="F1296" s="806"/>
      <c r="W1296" s="806"/>
      <c r="AZ1296" s="806"/>
      <c r="BA1296" s="806"/>
      <c r="BB1296" s="806"/>
    </row>
    <row r="1297" spans="4:54">
      <c r="D1297" s="806"/>
      <c r="F1297" s="806"/>
      <c r="W1297" s="806"/>
      <c r="AZ1297" s="806"/>
      <c r="BA1297" s="806"/>
      <c r="BB1297" s="806"/>
    </row>
    <row r="1298" spans="4:54">
      <c r="D1298" s="806"/>
      <c r="F1298" s="806"/>
      <c r="W1298" s="806"/>
      <c r="AZ1298" s="806"/>
      <c r="BA1298" s="806"/>
      <c r="BB1298" s="806"/>
    </row>
    <row r="1299" spans="4:54">
      <c r="D1299" s="806"/>
      <c r="F1299" s="806"/>
      <c r="W1299" s="806"/>
      <c r="AZ1299" s="806"/>
      <c r="BA1299" s="806"/>
      <c r="BB1299" s="806"/>
    </row>
    <row r="1300" spans="4:54">
      <c r="D1300" s="806"/>
      <c r="F1300" s="806"/>
      <c r="W1300" s="806"/>
      <c r="AZ1300" s="806"/>
      <c r="BA1300" s="806"/>
      <c r="BB1300" s="806"/>
    </row>
    <row r="1301" spans="4:54">
      <c r="D1301" s="806"/>
      <c r="F1301" s="806"/>
      <c r="W1301" s="806"/>
      <c r="AZ1301" s="806"/>
      <c r="BA1301" s="806"/>
      <c r="BB1301" s="806"/>
    </row>
    <row r="1302" spans="4:54">
      <c r="D1302" s="806"/>
      <c r="F1302" s="806"/>
      <c r="W1302" s="806"/>
      <c r="AZ1302" s="806"/>
      <c r="BA1302" s="806"/>
      <c r="BB1302" s="806"/>
    </row>
    <row r="1303" spans="4:54">
      <c r="D1303" s="806"/>
      <c r="F1303" s="806"/>
      <c r="W1303" s="806"/>
      <c r="AZ1303" s="806"/>
      <c r="BA1303" s="806"/>
      <c r="BB1303" s="806"/>
    </row>
    <row r="1304" spans="4:54">
      <c r="D1304" s="806"/>
      <c r="F1304" s="806"/>
      <c r="W1304" s="806"/>
      <c r="AZ1304" s="806"/>
      <c r="BA1304" s="806"/>
      <c r="BB1304" s="806"/>
    </row>
    <row r="1305" spans="4:54">
      <c r="D1305" s="806"/>
      <c r="F1305" s="806"/>
      <c r="W1305" s="806"/>
      <c r="AZ1305" s="806"/>
      <c r="BA1305" s="806"/>
      <c r="BB1305" s="806"/>
    </row>
    <row r="1306" spans="4:54">
      <c r="D1306" s="806"/>
      <c r="F1306" s="806"/>
      <c r="W1306" s="806"/>
      <c r="AZ1306" s="806"/>
      <c r="BA1306" s="806"/>
      <c r="BB1306" s="806"/>
    </row>
    <row r="1307" spans="4:54">
      <c r="D1307" s="806"/>
      <c r="F1307" s="806"/>
      <c r="W1307" s="806"/>
      <c r="AZ1307" s="806"/>
      <c r="BA1307" s="806"/>
      <c r="BB1307" s="806"/>
    </row>
    <row r="1308" spans="4:54">
      <c r="D1308" s="806"/>
      <c r="F1308" s="806"/>
      <c r="W1308" s="806"/>
      <c r="AZ1308" s="806"/>
      <c r="BA1308" s="806"/>
      <c r="BB1308" s="806"/>
    </row>
    <row r="1309" spans="4:54">
      <c r="D1309" s="806"/>
      <c r="F1309" s="806"/>
      <c r="W1309" s="806"/>
      <c r="AZ1309" s="806"/>
      <c r="BA1309" s="806"/>
      <c r="BB1309" s="806"/>
    </row>
    <row r="1310" spans="4:54">
      <c r="D1310" s="806"/>
      <c r="F1310" s="806"/>
      <c r="W1310" s="806"/>
      <c r="AZ1310" s="806"/>
      <c r="BA1310" s="806"/>
      <c r="BB1310" s="806"/>
    </row>
    <row r="1311" spans="4:54">
      <c r="D1311" s="806"/>
      <c r="F1311" s="806"/>
      <c r="W1311" s="806"/>
      <c r="AZ1311" s="806"/>
      <c r="BA1311" s="806"/>
      <c r="BB1311" s="806"/>
    </row>
    <row r="1312" spans="4:54">
      <c r="D1312" s="806"/>
      <c r="F1312" s="806"/>
      <c r="W1312" s="806"/>
      <c r="AZ1312" s="806"/>
      <c r="BA1312" s="806"/>
      <c r="BB1312" s="806"/>
    </row>
    <row r="1313" spans="4:54">
      <c r="D1313" s="806"/>
      <c r="F1313" s="806"/>
      <c r="W1313" s="806"/>
      <c r="AZ1313" s="806"/>
      <c r="BA1313" s="806"/>
      <c r="BB1313" s="806"/>
    </row>
    <row r="1314" spans="4:54">
      <c r="D1314" s="806"/>
      <c r="F1314" s="806"/>
      <c r="W1314" s="806"/>
      <c r="AZ1314" s="806"/>
      <c r="BA1314" s="806"/>
      <c r="BB1314" s="806"/>
    </row>
    <row r="1315" spans="4:54">
      <c r="D1315" s="806"/>
      <c r="F1315" s="806"/>
      <c r="W1315" s="806"/>
      <c r="AZ1315" s="806"/>
      <c r="BA1315" s="806"/>
      <c r="BB1315" s="806"/>
    </row>
    <row r="1316" spans="4:54">
      <c r="D1316" s="806"/>
      <c r="F1316" s="806"/>
      <c r="W1316" s="806"/>
      <c r="AZ1316" s="806"/>
      <c r="BA1316" s="806"/>
      <c r="BB1316" s="806"/>
    </row>
    <row r="1317" spans="4:54">
      <c r="D1317" s="806"/>
      <c r="F1317" s="806"/>
      <c r="W1317" s="806"/>
      <c r="AZ1317" s="806"/>
      <c r="BA1317" s="806"/>
      <c r="BB1317" s="806"/>
    </row>
    <row r="1318" spans="4:54">
      <c r="D1318" s="806"/>
      <c r="F1318" s="806"/>
      <c r="W1318" s="806"/>
      <c r="AZ1318" s="806"/>
      <c r="BA1318" s="806"/>
      <c r="BB1318" s="806"/>
    </row>
    <row r="1319" spans="4:54">
      <c r="D1319" s="806"/>
      <c r="F1319" s="806"/>
      <c r="W1319" s="806"/>
      <c r="AZ1319" s="806"/>
      <c r="BA1319" s="806"/>
      <c r="BB1319" s="806"/>
    </row>
    <row r="1320" spans="4:54">
      <c r="D1320" s="806"/>
      <c r="F1320" s="806"/>
      <c r="W1320" s="806"/>
      <c r="AZ1320" s="806"/>
      <c r="BA1320" s="806"/>
      <c r="BB1320" s="806"/>
    </row>
    <row r="1321" spans="4:54">
      <c r="D1321" s="806"/>
      <c r="F1321" s="806"/>
      <c r="W1321" s="806"/>
      <c r="AZ1321" s="806"/>
      <c r="BA1321" s="806"/>
      <c r="BB1321" s="806"/>
    </row>
    <row r="1322" spans="4:54">
      <c r="D1322" s="806"/>
      <c r="F1322" s="806"/>
      <c r="W1322" s="806"/>
      <c r="AZ1322" s="806"/>
      <c r="BA1322" s="806"/>
      <c r="BB1322" s="806"/>
    </row>
    <row r="1323" spans="4:54">
      <c r="D1323" s="806"/>
      <c r="F1323" s="806"/>
      <c r="W1323" s="806"/>
      <c r="AZ1323" s="806"/>
      <c r="BA1323" s="806"/>
      <c r="BB1323" s="806"/>
    </row>
    <row r="1324" spans="4:54">
      <c r="D1324" s="806"/>
      <c r="F1324" s="806"/>
      <c r="W1324" s="806"/>
      <c r="AZ1324" s="806"/>
      <c r="BA1324" s="806"/>
      <c r="BB1324" s="806"/>
    </row>
    <row r="1325" spans="4:54">
      <c r="D1325" s="806"/>
      <c r="F1325" s="806"/>
      <c r="W1325" s="806"/>
      <c r="AZ1325" s="806"/>
      <c r="BA1325" s="806"/>
      <c r="BB1325" s="806"/>
    </row>
    <row r="1326" spans="4:54">
      <c r="D1326" s="806"/>
      <c r="F1326" s="806"/>
      <c r="W1326" s="806"/>
      <c r="AZ1326" s="806"/>
      <c r="BA1326" s="806"/>
      <c r="BB1326" s="806"/>
    </row>
    <row r="1327" spans="4:54">
      <c r="D1327" s="806"/>
      <c r="F1327" s="806"/>
      <c r="W1327" s="806"/>
      <c r="AZ1327" s="806"/>
      <c r="BA1327" s="806"/>
      <c r="BB1327" s="806"/>
    </row>
    <row r="1328" spans="4:54">
      <c r="D1328" s="806"/>
      <c r="F1328" s="806"/>
      <c r="W1328" s="806"/>
      <c r="AZ1328" s="806"/>
      <c r="BA1328" s="806"/>
      <c r="BB1328" s="806"/>
    </row>
    <row r="1329" spans="4:54">
      <c r="D1329" s="806"/>
      <c r="F1329" s="806"/>
      <c r="W1329" s="806"/>
      <c r="AZ1329" s="806"/>
      <c r="BA1329" s="806"/>
      <c r="BB1329" s="806"/>
    </row>
    <row r="1330" spans="4:54">
      <c r="D1330" s="806"/>
      <c r="F1330" s="806"/>
      <c r="W1330" s="806"/>
      <c r="AZ1330" s="806"/>
      <c r="BA1330" s="806"/>
      <c r="BB1330" s="806"/>
    </row>
    <row r="1331" spans="4:54">
      <c r="D1331" s="806"/>
      <c r="F1331" s="806"/>
      <c r="W1331" s="806"/>
      <c r="AZ1331" s="806"/>
      <c r="BA1331" s="806"/>
      <c r="BB1331" s="806"/>
    </row>
    <row r="1332" spans="4:54">
      <c r="D1332" s="806"/>
      <c r="F1332" s="806"/>
      <c r="W1332" s="806"/>
      <c r="AZ1332" s="806"/>
      <c r="BA1332" s="806"/>
      <c r="BB1332" s="806"/>
    </row>
    <row r="1333" spans="4:54">
      <c r="D1333" s="806"/>
      <c r="F1333" s="806"/>
      <c r="W1333" s="806"/>
      <c r="AZ1333" s="806"/>
      <c r="BA1333" s="806"/>
      <c r="BB1333" s="806"/>
    </row>
    <row r="1334" spans="4:54">
      <c r="D1334" s="806"/>
      <c r="F1334" s="806"/>
      <c r="W1334" s="806"/>
      <c r="AZ1334" s="806"/>
      <c r="BA1334" s="806"/>
      <c r="BB1334" s="806"/>
    </row>
    <row r="1335" spans="4:54">
      <c r="D1335" s="806"/>
      <c r="F1335" s="806"/>
      <c r="W1335" s="806"/>
      <c r="AZ1335" s="806"/>
      <c r="BA1335" s="806"/>
      <c r="BB1335" s="806"/>
    </row>
    <row r="1336" spans="4:54">
      <c r="D1336" s="806"/>
      <c r="F1336" s="806"/>
      <c r="W1336" s="806"/>
      <c r="AZ1336" s="806"/>
      <c r="BA1336" s="806"/>
      <c r="BB1336" s="806"/>
    </row>
    <row r="1337" spans="4:54">
      <c r="D1337" s="806"/>
      <c r="F1337" s="806"/>
      <c r="W1337" s="806"/>
      <c r="AZ1337" s="806"/>
      <c r="BA1337" s="806"/>
      <c r="BB1337" s="806"/>
    </row>
    <row r="1338" spans="4:54">
      <c r="D1338" s="806"/>
      <c r="F1338" s="806"/>
      <c r="W1338" s="806"/>
      <c r="AZ1338" s="806"/>
      <c r="BA1338" s="806"/>
      <c r="BB1338" s="806"/>
    </row>
    <row r="1339" spans="4:54">
      <c r="D1339" s="806"/>
      <c r="F1339" s="806"/>
      <c r="W1339" s="806"/>
      <c r="AZ1339" s="806"/>
      <c r="BA1339" s="806"/>
      <c r="BB1339" s="806"/>
    </row>
    <row r="1340" spans="4:54">
      <c r="D1340" s="806"/>
      <c r="F1340" s="806"/>
      <c r="W1340" s="806"/>
      <c r="AZ1340" s="806"/>
      <c r="BA1340" s="806"/>
      <c r="BB1340" s="806"/>
    </row>
    <row r="1341" spans="4:54">
      <c r="D1341" s="806"/>
      <c r="F1341" s="806"/>
      <c r="W1341" s="806"/>
      <c r="AZ1341" s="806"/>
      <c r="BA1341" s="806"/>
      <c r="BB1341" s="806"/>
    </row>
    <row r="1342" spans="4:54">
      <c r="D1342" s="806"/>
      <c r="F1342" s="806"/>
      <c r="W1342" s="806"/>
      <c r="AZ1342" s="806"/>
      <c r="BA1342" s="806"/>
      <c r="BB1342" s="806"/>
    </row>
    <row r="1343" spans="4:54">
      <c r="D1343" s="806"/>
      <c r="F1343" s="806"/>
      <c r="W1343" s="806"/>
      <c r="AZ1343" s="806"/>
      <c r="BA1343" s="806"/>
      <c r="BB1343" s="806"/>
    </row>
    <row r="1344" spans="4:54">
      <c r="D1344" s="806"/>
      <c r="F1344" s="806"/>
      <c r="W1344" s="806"/>
      <c r="AZ1344" s="806"/>
      <c r="BA1344" s="806"/>
      <c r="BB1344" s="806"/>
    </row>
    <row r="1345" spans="4:54">
      <c r="D1345" s="806"/>
      <c r="F1345" s="806"/>
      <c r="W1345" s="806"/>
      <c r="AZ1345" s="806"/>
      <c r="BA1345" s="806"/>
      <c r="BB1345" s="806"/>
    </row>
    <row r="1346" spans="4:54">
      <c r="D1346" s="806"/>
      <c r="F1346" s="806"/>
      <c r="W1346" s="806"/>
      <c r="AZ1346" s="806"/>
      <c r="BA1346" s="806"/>
      <c r="BB1346" s="806"/>
    </row>
    <row r="1347" spans="4:54">
      <c r="D1347" s="806"/>
      <c r="F1347" s="806"/>
      <c r="W1347" s="806"/>
      <c r="AZ1347" s="806"/>
      <c r="BA1347" s="806"/>
      <c r="BB1347" s="806"/>
    </row>
    <row r="1348" spans="4:54">
      <c r="D1348" s="806"/>
      <c r="F1348" s="806"/>
      <c r="W1348" s="806"/>
      <c r="AZ1348" s="806"/>
      <c r="BA1348" s="806"/>
      <c r="BB1348" s="806"/>
    </row>
    <row r="1349" spans="4:54">
      <c r="D1349" s="806"/>
      <c r="F1349" s="806"/>
      <c r="W1349" s="806"/>
      <c r="AZ1349" s="806"/>
      <c r="BA1349" s="806"/>
      <c r="BB1349" s="806"/>
    </row>
    <row r="1350" spans="4:54">
      <c r="D1350" s="806"/>
      <c r="F1350" s="806"/>
      <c r="W1350" s="806"/>
      <c r="AZ1350" s="806"/>
      <c r="BA1350" s="806"/>
      <c r="BB1350" s="806"/>
    </row>
    <row r="1351" spans="4:54">
      <c r="D1351" s="806"/>
      <c r="F1351" s="806"/>
      <c r="W1351" s="806"/>
      <c r="AZ1351" s="806"/>
      <c r="BA1351" s="806"/>
      <c r="BB1351" s="806"/>
    </row>
    <row r="1352" spans="4:54">
      <c r="D1352" s="806"/>
      <c r="F1352" s="806"/>
      <c r="W1352" s="806"/>
      <c r="AZ1352" s="806"/>
      <c r="BA1352" s="806"/>
      <c r="BB1352" s="806"/>
    </row>
    <row r="1353" spans="4:54">
      <c r="D1353" s="806"/>
      <c r="F1353" s="806"/>
      <c r="W1353" s="806"/>
      <c r="AZ1353" s="806"/>
      <c r="BA1353" s="806"/>
      <c r="BB1353" s="806"/>
    </row>
    <row r="1354" spans="4:54">
      <c r="D1354" s="806"/>
      <c r="F1354" s="806"/>
      <c r="W1354" s="806"/>
      <c r="AZ1354" s="806"/>
      <c r="BA1354" s="806"/>
      <c r="BB1354" s="806"/>
    </row>
    <row r="1355" spans="4:54">
      <c r="D1355" s="806"/>
      <c r="F1355" s="806"/>
      <c r="W1355" s="806"/>
      <c r="AZ1355" s="806"/>
      <c r="BA1355" s="806"/>
      <c r="BB1355" s="806"/>
    </row>
    <row r="1356" spans="4:54">
      <c r="D1356" s="806"/>
      <c r="F1356" s="806"/>
      <c r="W1356" s="806"/>
      <c r="AZ1356" s="806"/>
      <c r="BA1356" s="806"/>
      <c r="BB1356" s="806"/>
    </row>
    <row r="1357" spans="4:54">
      <c r="D1357" s="806"/>
      <c r="F1357" s="806"/>
      <c r="W1357" s="806"/>
      <c r="AZ1357" s="806"/>
      <c r="BA1357" s="806"/>
      <c r="BB1357" s="806"/>
    </row>
    <row r="1358" spans="4:54">
      <c r="D1358" s="806"/>
      <c r="F1358" s="806"/>
      <c r="W1358" s="806"/>
      <c r="AZ1358" s="806"/>
      <c r="BA1358" s="806"/>
      <c r="BB1358" s="806"/>
    </row>
    <row r="1359" spans="4:54">
      <c r="D1359" s="806"/>
      <c r="F1359" s="806"/>
      <c r="W1359" s="806"/>
      <c r="AZ1359" s="806"/>
      <c r="BA1359" s="806"/>
      <c r="BB1359" s="806"/>
    </row>
    <row r="1360" spans="4:54">
      <c r="D1360" s="806"/>
      <c r="F1360" s="806"/>
      <c r="W1360" s="806"/>
      <c r="AZ1360" s="806"/>
      <c r="BA1360" s="806"/>
      <c r="BB1360" s="806"/>
    </row>
    <row r="1361" spans="4:54">
      <c r="D1361" s="806"/>
      <c r="F1361" s="806"/>
      <c r="W1361" s="806"/>
      <c r="AZ1361" s="806"/>
      <c r="BA1361" s="806"/>
      <c r="BB1361" s="806"/>
    </row>
    <row r="1362" spans="4:54">
      <c r="D1362" s="806"/>
      <c r="F1362" s="806"/>
      <c r="W1362" s="806"/>
      <c r="AZ1362" s="806"/>
      <c r="BA1362" s="806"/>
      <c r="BB1362" s="806"/>
    </row>
    <row r="1363" spans="4:54">
      <c r="D1363" s="806"/>
      <c r="F1363" s="806"/>
      <c r="W1363" s="806"/>
      <c r="AZ1363" s="806"/>
      <c r="BA1363" s="806"/>
      <c r="BB1363" s="806"/>
    </row>
    <row r="1364" spans="4:54">
      <c r="D1364" s="806"/>
      <c r="F1364" s="806"/>
      <c r="W1364" s="806"/>
      <c r="AZ1364" s="806"/>
      <c r="BA1364" s="806"/>
      <c r="BB1364" s="806"/>
    </row>
    <row r="1365" spans="4:54">
      <c r="D1365" s="806"/>
      <c r="F1365" s="806"/>
      <c r="W1365" s="806"/>
      <c r="AZ1365" s="806"/>
      <c r="BA1365" s="806"/>
      <c r="BB1365" s="806"/>
    </row>
    <row r="1366" spans="4:54">
      <c r="D1366" s="806"/>
      <c r="F1366" s="806"/>
      <c r="W1366" s="806"/>
      <c r="AZ1366" s="806"/>
      <c r="BA1366" s="806"/>
      <c r="BB1366" s="806"/>
    </row>
    <row r="1367" spans="4:54">
      <c r="D1367" s="806"/>
      <c r="F1367" s="806"/>
      <c r="W1367" s="806"/>
      <c r="AZ1367" s="806"/>
      <c r="BA1367" s="806"/>
      <c r="BB1367" s="806"/>
    </row>
    <row r="1368" spans="4:54">
      <c r="D1368" s="806"/>
      <c r="F1368" s="806"/>
      <c r="W1368" s="806"/>
      <c r="AZ1368" s="806"/>
      <c r="BA1368" s="806"/>
      <c r="BB1368" s="806"/>
    </row>
    <row r="1369" spans="4:54">
      <c r="D1369" s="806"/>
      <c r="F1369" s="806"/>
      <c r="W1369" s="806"/>
      <c r="AZ1369" s="806"/>
      <c r="BA1369" s="806"/>
      <c r="BB1369" s="806"/>
    </row>
    <row r="1370" spans="4:54">
      <c r="D1370" s="806"/>
      <c r="F1370" s="806"/>
      <c r="W1370" s="806"/>
      <c r="AZ1370" s="806"/>
      <c r="BA1370" s="806"/>
      <c r="BB1370" s="806"/>
    </row>
    <row r="1371" spans="4:54">
      <c r="D1371" s="806"/>
      <c r="F1371" s="806"/>
      <c r="W1371" s="806"/>
      <c r="AZ1371" s="806"/>
      <c r="BA1371" s="806"/>
      <c r="BB1371" s="806"/>
    </row>
    <row r="1372" spans="4:54">
      <c r="D1372" s="806"/>
      <c r="F1372" s="806"/>
      <c r="W1372" s="806"/>
      <c r="AZ1372" s="806"/>
      <c r="BA1372" s="806"/>
      <c r="BB1372" s="806"/>
    </row>
    <row r="1373" spans="4:54">
      <c r="D1373" s="806"/>
      <c r="F1373" s="806"/>
      <c r="W1373" s="806"/>
      <c r="AZ1373" s="806"/>
      <c r="BA1373" s="806"/>
      <c r="BB1373" s="806"/>
    </row>
    <row r="1374" spans="4:54">
      <c r="D1374" s="806"/>
      <c r="F1374" s="806"/>
      <c r="W1374" s="806"/>
      <c r="AZ1374" s="806"/>
      <c r="BA1374" s="806"/>
      <c r="BB1374" s="806"/>
    </row>
    <row r="1375" spans="4:54">
      <c r="D1375" s="806"/>
      <c r="F1375" s="806"/>
      <c r="W1375" s="806"/>
      <c r="AZ1375" s="806"/>
      <c r="BA1375" s="806"/>
      <c r="BB1375" s="806"/>
    </row>
    <row r="1376" spans="4:54">
      <c r="D1376" s="806"/>
      <c r="F1376" s="806"/>
      <c r="W1376" s="806"/>
      <c r="AZ1376" s="806"/>
      <c r="BA1376" s="806"/>
      <c r="BB1376" s="806"/>
    </row>
    <row r="1377" spans="4:54">
      <c r="D1377" s="806"/>
      <c r="F1377" s="806"/>
      <c r="W1377" s="806"/>
      <c r="AZ1377" s="806"/>
      <c r="BA1377" s="806"/>
      <c r="BB1377" s="806"/>
    </row>
    <row r="1378" spans="4:54">
      <c r="D1378" s="806"/>
      <c r="F1378" s="806"/>
      <c r="W1378" s="806"/>
      <c r="AZ1378" s="806"/>
      <c r="BA1378" s="806"/>
      <c r="BB1378" s="806"/>
    </row>
    <row r="1379" spans="4:54">
      <c r="D1379" s="806"/>
      <c r="F1379" s="806"/>
      <c r="W1379" s="806"/>
      <c r="AZ1379" s="806"/>
      <c r="BA1379" s="806"/>
      <c r="BB1379" s="806"/>
    </row>
    <row r="1380" spans="4:54">
      <c r="D1380" s="806"/>
      <c r="F1380" s="806"/>
      <c r="W1380" s="806"/>
      <c r="AZ1380" s="806"/>
      <c r="BA1380" s="806"/>
      <c r="BB1380" s="806"/>
    </row>
    <row r="1381" spans="4:54">
      <c r="D1381" s="806"/>
      <c r="F1381" s="806"/>
      <c r="W1381" s="806"/>
      <c r="AZ1381" s="806"/>
      <c r="BA1381" s="806"/>
      <c r="BB1381" s="806"/>
    </row>
    <row r="1382" spans="4:54">
      <c r="D1382" s="806"/>
      <c r="F1382" s="806"/>
      <c r="W1382" s="806"/>
      <c r="AZ1382" s="806"/>
      <c r="BA1382" s="806"/>
      <c r="BB1382" s="806"/>
    </row>
    <row r="1383" spans="4:54">
      <c r="D1383" s="806"/>
      <c r="F1383" s="806"/>
      <c r="W1383" s="806"/>
      <c r="AZ1383" s="806"/>
      <c r="BA1383" s="806"/>
      <c r="BB1383" s="806"/>
    </row>
    <row r="1384" spans="4:54">
      <c r="D1384" s="806"/>
      <c r="F1384" s="806"/>
      <c r="W1384" s="806"/>
      <c r="AZ1384" s="806"/>
      <c r="BA1384" s="806"/>
      <c r="BB1384" s="806"/>
    </row>
    <row r="1385" spans="4:54">
      <c r="D1385" s="806"/>
      <c r="F1385" s="806"/>
      <c r="W1385" s="806"/>
      <c r="AZ1385" s="806"/>
      <c r="BA1385" s="806"/>
      <c r="BB1385" s="806"/>
    </row>
    <row r="1386" spans="4:54">
      <c r="D1386" s="806"/>
      <c r="F1386" s="806"/>
      <c r="W1386" s="806"/>
      <c r="AZ1386" s="806"/>
      <c r="BA1386" s="806"/>
      <c r="BB1386" s="806"/>
    </row>
    <row r="1387" spans="4:54">
      <c r="D1387" s="806"/>
      <c r="F1387" s="806"/>
      <c r="W1387" s="806"/>
      <c r="AZ1387" s="806"/>
      <c r="BA1387" s="806"/>
      <c r="BB1387" s="806"/>
    </row>
    <row r="1388" spans="4:54">
      <c r="D1388" s="806"/>
      <c r="F1388" s="806"/>
      <c r="W1388" s="806"/>
      <c r="AZ1388" s="806"/>
      <c r="BA1388" s="806"/>
      <c r="BB1388" s="806"/>
    </row>
    <row r="1389" spans="4:54">
      <c r="D1389" s="806"/>
      <c r="F1389" s="806"/>
      <c r="W1389" s="806"/>
      <c r="AZ1389" s="806"/>
      <c r="BA1389" s="806"/>
      <c r="BB1389" s="806"/>
    </row>
    <row r="1390" spans="4:54">
      <c r="D1390" s="806"/>
      <c r="F1390" s="806"/>
      <c r="W1390" s="806"/>
      <c r="AZ1390" s="806"/>
      <c r="BA1390" s="806"/>
      <c r="BB1390" s="806"/>
    </row>
    <row r="1391" spans="4:54">
      <c r="D1391" s="806"/>
      <c r="F1391" s="806"/>
      <c r="W1391" s="806"/>
      <c r="AZ1391" s="806"/>
      <c r="BA1391" s="806"/>
      <c r="BB1391" s="806"/>
    </row>
    <row r="1392" spans="4:54">
      <c r="D1392" s="806"/>
      <c r="F1392" s="806"/>
      <c r="W1392" s="806"/>
      <c r="AZ1392" s="806"/>
      <c r="BA1392" s="806"/>
      <c r="BB1392" s="806"/>
    </row>
    <row r="1393" spans="4:54">
      <c r="D1393" s="806"/>
      <c r="F1393" s="806"/>
      <c r="W1393" s="806"/>
      <c r="AZ1393" s="806"/>
      <c r="BA1393" s="806"/>
      <c r="BB1393" s="806"/>
    </row>
    <row r="1394" spans="4:54">
      <c r="D1394" s="806"/>
      <c r="F1394" s="806"/>
      <c r="W1394" s="806"/>
      <c r="AZ1394" s="806"/>
      <c r="BA1394" s="806"/>
      <c r="BB1394" s="806"/>
    </row>
    <row r="1395" spans="4:54">
      <c r="D1395" s="806"/>
      <c r="F1395" s="806"/>
      <c r="W1395" s="806"/>
      <c r="AZ1395" s="806"/>
      <c r="BA1395" s="806"/>
      <c r="BB1395" s="806"/>
    </row>
    <row r="1396" spans="4:54">
      <c r="D1396" s="806"/>
      <c r="F1396" s="806"/>
      <c r="W1396" s="806"/>
      <c r="AZ1396" s="806"/>
      <c r="BA1396" s="806"/>
      <c r="BB1396" s="806"/>
    </row>
    <row r="1397" spans="4:54">
      <c r="D1397" s="806"/>
      <c r="F1397" s="806"/>
      <c r="W1397" s="806"/>
      <c r="AZ1397" s="806"/>
      <c r="BA1397" s="806"/>
      <c r="BB1397" s="806"/>
    </row>
    <row r="1398" spans="4:54">
      <c r="D1398" s="806"/>
      <c r="F1398" s="806"/>
      <c r="W1398" s="806"/>
      <c r="AZ1398" s="806"/>
      <c r="BA1398" s="806"/>
      <c r="BB1398" s="806"/>
    </row>
    <row r="1399" spans="4:54">
      <c r="D1399" s="806"/>
      <c r="F1399" s="806"/>
      <c r="W1399" s="806"/>
      <c r="AZ1399" s="806"/>
      <c r="BA1399" s="806"/>
      <c r="BB1399" s="806"/>
    </row>
    <row r="1400" spans="4:54">
      <c r="D1400" s="806"/>
      <c r="F1400" s="806"/>
      <c r="W1400" s="806"/>
      <c r="AZ1400" s="806"/>
      <c r="BA1400" s="806"/>
      <c r="BB1400" s="806"/>
    </row>
    <row r="1401" spans="4:54">
      <c r="D1401" s="806"/>
      <c r="F1401" s="806"/>
      <c r="W1401" s="806"/>
      <c r="AZ1401" s="806"/>
      <c r="BA1401" s="806"/>
      <c r="BB1401" s="806"/>
    </row>
    <row r="1402" spans="4:54">
      <c r="D1402" s="806"/>
      <c r="F1402" s="806"/>
      <c r="W1402" s="806"/>
      <c r="AZ1402" s="806"/>
      <c r="BA1402" s="806"/>
      <c r="BB1402" s="806"/>
    </row>
    <row r="1403" spans="4:54">
      <c r="D1403" s="806"/>
      <c r="F1403" s="806"/>
      <c r="W1403" s="806"/>
      <c r="AZ1403" s="806"/>
      <c r="BA1403" s="806"/>
      <c r="BB1403" s="806"/>
    </row>
    <row r="1404" spans="4:54">
      <c r="D1404" s="806"/>
      <c r="F1404" s="806"/>
      <c r="W1404" s="806"/>
      <c r="AZ1404" s="806"/>
      <c r="BA1404" s="806"/>
      <c r="BB1404" s="806"/>
    </row>
    <row r="1405" spans="4:54">
      <c r="D1405" s="806"/>
      <c r="F1405" s="806"/>
      <c r="W1405" s="806"/>
      <c r="AZ1405" s="806"/>
      <c r="BA1405" s="806"/>
      <c r="BB1405" s="806"/>
    </row>
    <row r="1406" spans="4:54">
      <c r="D1406" s="806"/>
      <c r="F1406" s="806"/>
      <c r="W1406" s="806"/>
      <c r="AZ1406" s="806"/>
      <c r="BA1406" s="806"/>
      <c r="BB1406" s="806"/>
    </row>
    <row r="1407" spans="4:54">
      <c r="D1407" s="806"/>
      <c r="F1407" s="806"/>
      <c r="W1407" s="806"/>
      <c r="AZ1407" s="806"/>
      <c r="BA1407" s="806"/>
      <c r="BB1407" s="806"/>
    </row>
    <row r="1408" spans="4:54">
      <c r="D1408" s="806"/>
      <c r="F1408" s="806"/>
      <c r="W1408" s="806"/>
      <c r="AZ1408" s="806"/>
      <c r="BA1408" s="806"/>
      <c r="BB1408" s="806"/>
    </row>
    <row r="1409" spans="4:54">
      <c r="D1409" s="806"/>
      <c r="F1409" s="806"/>
      <c r="W1409" s="806"/>
      <c r="AZ1409" s="806"/>
      <c r="BA1409" s="806"/>
      <c r="BB1409" s="806"/>
    </row>
    <row r="1410" spans="4:54">
      <c r="D1410" s="806"/>
      <c r="F1410" s="806"/>
      <c r="W1410" s="806"/>
      <c r="AZ1410" s="806"/>
      <c r="BA1410" s="806"/>
      <c r="BB1410" s="806"/>
    </row>
    <row r="1411" spans="4:54">
      <c r="D1411" s="806"/>
      <c r="F1411" s="806"/>
      <c r="W1411" s="806"/>
      <c r="AZ1411" s="806"/>
      <c r="BA1411" s="806"/>
      <c r="BB1411" s="806"/>
    </row>
    <row r="1412" spans="4:54">
      <c r="D1412" s="806"/>
      <c r="F1412" s="806"/>
      <c r="W1412" s="806"/>
      <c r="AZ1412" s="806"/>
      <c r="BA1412" s="806"/>
      <c r="BB1412" s="806"/>
    </row>
    <row r="1413" spans="4:54">
      <c r="D1413" s="806"/>
      <c r="F1413" s="806"/>
      <c r="W1413" s="806"/>
      <c r="AZ1413" s="806"/>
      <c r="BA1413" s="806"/>
      <c r="BB1413" s="806"/>
    </row>
    <row r="1414" spans="4:54">
      <c r="D1414" s="806"/>
      <c r="F1414" s="806"/>
      <c r="W1414" s="806"/>
      <c r="AZ1414" s="806"/>
      <c r="BA1414" s="806"/>
      <c r="BB1414" s="806"/>
    </row>
    <row r="1415" spans="4:54">
      <c r="D1415" s="806"/>
      <c r="F1415" s="806"/>
      <c r="W1415" s="806"/>
      <c r="AZ1415" s="806"/>
      <c r="BA1415" s="806"/>
      <c r="BB1415" s="806"/>
    </row>
    <row r="1416" spans="4:54">
      <c r="D1416" s="806"/>
      <c r="F1416" s="806"/>
      <c r="W1416" s="806"/>
      <c r="AZ1416" s="806"/>
      <c r="BA1416" s="806"/>
      <c r="BB1416" s="806"/>
    </row>
    <row r="1417" spans="4:54">
      <c r="D1417" s="806"/>
      <c r="F1417" s="806"/>
      <c r="W1417" s="806"/>
      <c r="AZ1417" s="806"/>
      <c r="BA1417" s="806"/>
      <c r="BB1417" s="806"/>
    </row>
    <row r="1418" spans="4:54">
      <c r="D1418" s="806"/>
      <c r="F1418" s="806"/>
      <c r="W1418" s="806"/>
      <c r="AZ1418" s="806"/>
      <c r="BA1418" s="806"/>
      <c r="BB1418" s="806"/>
    </row>
    <row r="1419" spans="4:54">
      <c r="D1419" s="806"/>
      <c r="F1419" s="806"/>
      <c r="W1419" s="806"/>
      <c r="AZ1419" s="806"/>
      <c r="BA1419" s="806"/>
      <c r="BB1419" s="806"/>
    </row>
    <row r="1420" spans="4:54">
      <c r="D1420" s="806"/>
      <c r="F1420" s="806"/>
      <c r="W1420" s="806"/>
      <c r="AZ1420" s="806"/>
      <c r="BA1420" s="806"/>
      <c r="BB1420" s="806"/>
    </row>
    <row r="1421" spans="4:54">
      <c r="D1421" s="806"/>
      <c r="F1421" s="806"/>
      <c r="W1421" s="806"/>
      <c r="AZ1421" s="806"/>
      <c r="BA1421" s="806"/>
      <c r="BB1421" s="806"/>
    </row>
    <row r="1422" spans="4:54">
      <c r="D1422" s="806"/>
      <c r="F1422" s="806"/>
      <c r="W1422" s="806"/>
      <c r="AZ1422" s="806"/>
      <c r="BA1422" s="806"/>
      <c r="BB1422" s="806"/>
    </row>
    <row r="1423" spans="4:54">
      <c r="D1423" s="806"/>
      <c r="F1423" s="806"/>
      <c r="W1423" s="806"/>
      <c r="AZ1423" s="806"/>
      <c r="BA1423" s="806"/>
      <c r="BB1423" s="806"/>
    </row>
    <row r="1424" spans="4:54">
      <c r="D1424" s="806"/>
      <c r="F1424" s="806"/>
      <c r="W1424" s="806"/>
      <c r="AZ1424" s="806"/>
      <c r="BA1424" s="806"/>
      <c r="BB1424" s="806"/>
    </row>
    <row r="1425" spans="4:54">
      <c r="D1425" s="806"/>
      <c r="F1425" s="806"/>
      <c r="W1425" s="806"/>
      <c r="AZ1425" s="806"/>
      <c r="BA1425" s="806"/>
      <c r="BB1425" s="806"/>
    </row>
    <row r="1426" spans="4:54">
      <c r="D1426" s="806"/>
      <c r="F1426" s="806"/>
      <c r="W1426" s="806"/>
      <c r="AZ1426" s="806"/>
      <c r="BA1426" s="806"/>
      <c r="BB1426" s="806"/>
    </row>
    <row r="1427" spans="4:54">
      <c r="D1427" s="806"/>
      <c r="F1427" s="806"/>
      <c r="W1427" s="806"/>
      <c r="AZ1427" s="806"/>
      <c r="BA1427" s="806"/>
      <c r="BB1427" s="806"/>
    </row>
    <row r="1428" spans="4:54">
      <c r="D1428" s="806"/>
      <c r="F1428" s="806"/>
      <c r="W1428" s="806"/>
      <c r="AZ1428" s="806"/>
      <c r="BA1428" s="806"/>
      <c r="BB1428" s="806"/>
    </row>
    <row r="1429" spans="4:54">
      <c r="D1429" s="806"/>
      <c r="F1429" s="806"/>
      <c r="W1429" s="806"/>
      <c r="AZ1429" s="806"/>
      <c r="BA1429" s="806"/>
      <c r="BB1429" s="806"/>
    </row>
    <row r="1430" spans="4:54">
      <c r="D1430" s="806"/>
      <c r="F1430" s="806"/>
      <c r="W1430" s="806"/>
      <c r="AZ1430" s="806"/>
      <c r="BA1430" s="806"/>
      <c r="BB1430" s="806"/>
    </row>
    <row r="1431" spans="4:54">
      <c r="D1431" s="806"/>
      <c r="F1431" s="806"/>
      <c r="W1431" s="806"/>
      <c r="AZ1431" s="806"/>
      <c r="BA1431" s="806"/>
      <c r="BB1431" s="806"/>
    </row>
    <row r="1432" spans="4:54">
      <c r="D1432" s="806"/>
      <c r="F1432" s="806"/>
      <c r="W1432" s="806"/>
      <c r="AZ1432" s="806"/>
      <c r="BA1432" s="806"/>
      <c r="BB1432" s="806"/>
    </row>
    <row r="1433" spans="4:54">
      <c r="D1433" s="806"/>
      <c r="F1433" s="806"/>
      <c r="W1433" s="806"/>
      <c r="AZ1433" s="806"/>
      <c r="BA1433" s="806"/>
      <c r="BB1433" s="806"/>
    </row>
    <row r="1434" spans="4:54">
      <c r="D1434" s="806"/>
      <c r="F1434" s="806"/>
      <c r="W1434" s="806"/>
      <c r="AZ1434" s="806"/>
      <c r="BA1434" s="806"/>
      <c r="BB1434" s="806"/>
    </row>
    <row r="1435" spans="4:54">
      <c r="D1435" s="806"/>
      <c r="F1435" s="806"/>
      <c r="W1435" s="806"/>
      <c r="AZ1435" s="806"/>
      <c r="BA1435" s="806"/>
      <c r="BB1435" s="806"/>
    </row>
    <row r="1436" spans="4:54">
      <c r="D1436" s="806"/>
      <c r="F1436" s="806"/>
      <c r="W1436" s="806"/>
      <c r="AZ1436" s="806"/>
      <c r="BA1436" s="806"/>
      <c r="BB1436" s="806"/>
    </row>
    <row r="1437" spans="4:54">
      <c r="D1437" s="806"/>
      <c r="F1437" s="806"/>
      <c r="W1437" s="806"/>
      <c r="AZ1437" s="806"/>
      <c r="BA1437" s="806"/>
      <c r="BB1437" s="806"/>
    </row>
    <row r="1438" spans="4:54">
      <c r="D1438" s="806"/>
      <c r="F1438" s="806"/>
      <c r="W1438" s="806"/>
      <c r="AZ1438" s="806"/>
      <c r="BA1438" s="806"/>
      <c r="BB1438" s="806"/>
    </row>
    <row r="1439" spans="4:54">
      <c r="D1439" s="806"/>
      <c r="F1439" s="806"/>
      <c r="W1439" s="806"/>
      <c r="AZ1439" s="806"/>
      <c r="BA1439" s="806"/>
      <c r="BB1439" s="806"/>
    </row>
    <row r="1440" spans="4:54">
      <c r="D1440" s="806"/>
      <c r="F1440" s="806"/>
      <c r="W1440" s="806"/>
      <c r="AZ1440" s="806"/>
      <c r="BA1440" s="806"/>
      <c r="BB1440" s="806"/>
    </row>
    <row r="1441" spans="4:54">
      <c r="D1441" s="806"/>
      <c r="F1441" s="806"/>
      <c r="W1441" s="806"/>
      <c r="AZ1441" s="806"/>
      <c r="BA1441" s="806"/>
      <c r="BB1441" s="806"/>
    </row>
    <row r="1442" spans="4:54">
      <c r="D1442" s="806"/>
      <c r="F1442" s="806"/>
      <c r="W1442" s="806"/>
      <c r="AZ1442" s="806"/>
      <c r="BA1442" s="806"/>
      <c r="BB1442" s="806"/>
    </row>
    <row r="1443" spans="4:54">
      <c r="D1443" s="806"/>
      <c r="F1443" s="806"/>
      <c r="W1443" s="806"/>
      <c r="AZ1443" s="806"/>
      <c r="BA1443" s="806"/>
      <c r="BB1443" s="806"/>
    </row>
    <row r="1444" spans="4:54">
      <c r="D1444" s="806"/>
      <c r="F1444" s="806"/>
      <c r="W1444" s="806"/>
      <c r="AZ1444" s="806"/>
      <c r="BA1444" s="806"/>
      <c r="BB1444" s="806"/>
    </row>
    <row r="1445" spans="4:54">
      <c r="D1445" s="806"/>
      <c r="F1445" s="806"/>
      <c r="W1445" s="806"/>
      <c r="AZ1445" s="806"/>
      <c r="BA1445" s="806"/>
      <c r="BB1445" s="806"/>
    </row>
    <row r="1446" spans="4:54">
      <c r="D1446" s="806"/>
      <c r="F1446" s="806"/>
      <c r="W1446" s="806"/>
      <c r="AZ1446" s="806"/>
      <c r="BA1446" s="806"/>
      <c r="BB1446" s="806"/>
    </row>
    <row r="1447" spans="4:54">
      <c r="D1447" s="806"/>
      <c r="F1447" s="806"/>
      <c r="W1447" s="806"/>
      <c r="AZ1447" s="806"/>
      <c r="BA1447" s="806"/>
      <c r="BB1447" s="806"/>
    </row>
    <row r="1448" spans="4:54">
      <c r="D1448" s="806"/>
      <c r="F1448" s="806"/>
      <c r="W1448" s="806"/>
      <c r="AZ1448" s="806"/>
      <c r="BA1448" s="806"/>
      <c r="BB1448" s="806"/>
    </row>
    <row r="1449" spans="4:54">
      <c r="D1449" s="806"/>
      <c r="F1449" s="806"/>
      <c r="W1449" s="806"/>
      <c r="AZ1449" s="806"/>
      <c r="BA1449" s="806"/>
      <c r="BB1449" s="806"/>
    </row>
    <row r="1450" spans="4:54">
      <c r="D1450" s="806"/>
      <c r="F1450" s="806"/>
      <c r="W1450" s="806"/>
      <c r="AZ1450" s="806"/>
      <c r="BA1450" s="806"/>
      <c r="BB1450" s="806"/>
    </row>
    <row r="1451" spans="4:54">
      <c r="D1451" s="806"/>
      <c r="F1451" s="806"/>
      <c r="W1451" s="806"/>
      <c r="AZ1451" s="806"/>
      <c r="BA1451" s="806"/>
      <c r="BB1451" s="806"/>
    </row>
    <row r="1452" spans="4:54">
      <c r="D1452" s="806"/>
      <c r="F1452" s="806"/>
      <c r="W1452" s="806"/>
      <c r="AZ1452" s="806"/>
      <c r="BA1452" s="806"/>
      <c r="BB1452" s="806"/>
    </row>
    <row r="1453" spans="4:54">
      <c r="D1453" s="806"/>
      <c r="F1453" s="806"/>
      <c r="W1453" s="806"/>
      <c r="AZ1453" s="806"/>
      <c r="BA1453" s="806"/>
      <c r="BB1453" s="806"/>
    </row>
    <row r="1454" spans="4:54">
      <c r="D1454" s="806"/>
      <c r="F1454" s="806"/>
      <c r="W1454" s="806"/>
      <c r="AZ1454" s="806"/>
      <c r="BA1454" s="806"/>
      <c r="BB1454" s="806"/>
    </row>
    <row r="1455" spans="4:54">
      <c r="D1455" s="806"/>
      <c r="F1455" s="806"/>
      <c r="W1455" s="806"/>
      <c r="AZ1455" s="806"/>
      <c r="BA1455" s="806"/>
      <c r="BB1455" s="806"/>
    </row>
    <row r="1456" spans="4:54">
      <c r="D1456" s="806"/>
      <c r="F1456" s="806"/>
      <c r="W1456" s="806"/>
      <c r="AZ1456" s="806"/>
      <c r="BA1456" s="806"/>
      <c r="BB1456" s="806"/>
    </row>
    <row r="1457" spans="4:54">
      <c r="D1457" s="806"/>
      <c r="F1457" s="806"/>
      <c r="W1457" s="806"/>
      <c r="AZ1457" s="806"/>
      <c r="BA1457" s="806"/>
      <c r="BB1457" s="806"/>
    </row>
    <row r="1458" spans="4:54">
      <c r="D1458" s="806"/>
      <c r="F1458" s="806"/>
      <c r="W1458" s="806"/>
      <c r="AZ1458" s="806"/>
      <c r="BA1458" s="806"/>
      <c r="BB1458" s="806"/>
    </row>
    <row r="1459" spans="4:54">
      <c r="D1459" s="806"/>
      <c r="F1459" s="806"/>
      <c r="W1459" s="806"/>
      <c r="AZ1459" s="806"/>
      <c r="BA1459" s="806"/>
      <c r="BB1459" s="806"/>
    </row>
    <row r="1460" spans="4:54">
      <c r="D1460" s="806"/>
      <c r="F1460" s="806"/>
      <c r="W1460" s="806"/>
      <c r="AZ1460" s="806"/>
      <c r="BA1460" s="806"/>
      <c r="BB1460" s="806"/>
    </row>
    <row r="1461" spans="4:54">
      <c r="D1461" s="806"/>
      <c r="F1461" s="806"/>
      <c r="W1461" s="806"/>
      <c r="AZ1461" s="806"/>
      <c r="BA1461" s="806"/>
      <c r="BB1461" s="806"/>
    </row>
    <row r="1462" spans="4:54">
      <c r="D1462" s="806"/>
      <c r="F1462" s="806"/>
      <c r="W1462" s="806"/>
      <c r="AZ1462" s="806"/>
      <c r="BA1462" s="806"/>
      <c r="BB1462" s="806"/>
    </row>
    <row r="1463" spans="4:54">
      <c r="D1463" s="806"/>
      <c r="F1463" s="806"/>
      <c r="W1463" s="806"/>
      <c r="AZ1463" s="806"/>
      <c r="BA1463" s="806"/>
      <c r="BB1463" s="806"/>
    </row>
    <row r="1464" spans="4:54">
      <c r="D1464" s="806"/>
      <c r="F1464" s="806"/>
      <c r="W1464" s="806"/>
      <c r="AZ1464" s="806"/>
      <c r="BA1464" s="806"/>
      <c r="BB1464" s="806"/>
    </row>
    <row r="1465" spans="4:54">
      <c r="D1465" s="806"/>
      <c r="F1465" s="806"/>
      <c r="W1465" s="806"/>
      <c r="AZ1465" s="806"/>
      <c r="BA1465" s="806"/>
      <c r="BB1465" s="806"/>
    </row>
    <row r="1466" spans="4:54">
      <c r="D1466" s="806"/>
      <c r="F1466" s="806"/>
      <c r="W1466" s="806"/>
      <c r="AZ1466" s="806"/>
      <c r="BA1466" s="806"/>
      <c r="BB1466" s="806"/>
    </row>
    <row r="1467" spans="4:54">
      <c r="D1467" s="806"/>
      <c r="F1467" s="806"/>
      <c r="W1467" s="806"/>
      <c r="AZ1467" s="806"/>
      <c r="BA1467" s="806"/>
      <c r="BB1467" s="806"/>
    </row>
    <row r="1468" spans="4:54">
      <c r="D1468" s="806"/>
      <c r="F1468" s="806"/>
      <c r="W1468" s="806"/>
      <c r="AZ1468" s="806"/>
      <c r="BA1468" s="806"/>
      <c r="BB1468" s="806"/>
    </row>
    <row r="1469" spans="4:54">
      <c r="D1469" s="806"/>
      <c r="F1469" s="806"/>
      <c r="W1469" s="806"/>
      <c r="AZ1469" s="806"/>
      <c r="BA1469" s="806"/>
      <c r="BB1469" s="806"/>
    </row>
    <row r="1470" spans="4:54">
      <c r="D1470" s="806"/>
      <c r="F1470" s="806"/>
      <c r="W1470" s="806"/>
      <c r="AZ1470" s="806"/>
      <c r="BA1470" s="806"/>
      <c r="BB1470" s="806"/>
    </row>
    <row r="1471" spans="4:54">
      <c r="D1471" s="806"/>
      <c r="F1471" s="806"/>
      <c r="W1471" s="806"/>
      <c r="AZ1471" s="806"/>
      <c r="BA1471" s="806"/>
      <c r="BB1471" s="806"/>
    </row>
    <row r="1472" spans="4:54">
      <c r="D1472" s="806"/>
      <c r="F1472" s="806"/>
      <c r="W1472" s="806"/>
      <c r="AZ1472" s="806"/>
      <c r="BA1472" s="806"/>
      <c r="BB1472" s="806"/>
    </row>
    <row r="1473" spans="4:54">
      <c r="D1473" s="806"/>
      <c r="F1473" s="806"/>
      <c r="W1473" s="806"/>
      <c r="AZ1473" s="806"/>
      <c r="BA1473" s="806"/>
      <c r="BB1473" s="806"/>
    </row>
    <row r="1474" spans="4:54">
      <c r="D1474" s="806"/>
      <c r="F1474" s="806"/>
      <c r="W1474" s="806"/>
      <c r="AZ1474" s="806"/>
      <c r="BA1474" s="806"/>
      <c r="BB1474" s="806"/>
    </row>
    <row r="1475" spans="4:54">
      <c r="D1475" s="806"/>
      <c r="F1475" s="806"/>
      <c r="W1475" s="806"/>
      <c r="AZ1475" s="806"/>
      <c r="BA1475" s="806"/>
      <c r="BB1475" s="806"/>
    </row>
    <row r="1476" spans="4:54">
      <c r="D1476" s="806"/>
      <c r="F1476" s="806"/>
      <c r="W1476" s="806"/>
      <c r="AZ1476" s="806"/>
      <c r="BA1476" s="806"/>
      <c r="BB1476" s="806"/>
    </row>
    <row r="1477" spans="4:54">
      <c r="D1477" s="806"/>
      <c r="F1477" s="806"/>
      <c r="W1477" s="806"/>
      <c r="AZ1477" s="806"/>
      <c r="BA1477" s="806"/>
      <c r="BB1477" s="806"/>
    </row>
    <row r="1478" spans="4:54">
      <c r="D1478" s="806"/>
      <c r="F1478" s="806"/>
      <c r="W1478" s="806"/>
      <c r="AZ1478" s="806"/>
      <c r="BA1478" s="806"/>
      <c r="BB1478" s="806"/>
    </row>
    <row r="1479" spans="4:54">
      <c r="D1479" s="806"/>
      <c r="F1479" s="806"/>
      <c r="W1479" s="806"/>
      <c r="AZ1479" s="806"/>
      <c r="BA1479" s="806"/>
      <c r="BB1479" s="806"/>
    </row>
    <row r="1480" spans="4:54">
      <c r="D1480" s="806"/>
      <c r="F1480" s="806"/>
      <c r="W1480" s="806"/>
      <c r="AZ1480" s="806"/>
      <c r="BA1480" s="806"/>
      <c r="BB1480" s="806"/>
    </row>
    <row r="1481" spans="4:54">
      <c r="D1481" s="806"/>
      <c r="F1481" s="806"/>
      <c r="W1481" s="806"/>
      <c r="AZ1481" s="806"/>
      <c r="BA1481" s="806"/>
      <c r="BB1481" s="806"/>
    </row>
    <row r="1482" spans="4:54">
      <c r="D1482" s="806"/>
      <c r="F1482" s="806"/>
      <c r="W1482" s="806"/>
      <c r="AZ1482" s="806"/>
      <c r="BA1482" s="806"/>
      <c r="BB1482" s="806"/>
    </row>
    <row r="1483" spans="4:54">
      <c r="D1483" s="806"/>
      <c r="F1483" s="806"/>
      <c r="W1483" s="806"/>
      <c r="AZ1483" s="806"/>
      <c r="BA1483" s="806"/>
      <c r="BB1483" s="806"/>
    </row>
    <row r="1484" spans="4:54">
      <c r="D1484" s="806"/>
      <c r="F1484" s="806"/>
      <c r="W1484" s="806"/>
      <c r="AZ1484" s="806"/>
      <c r="BA1484" s="806"/>
      <c r="BB1484" s="806"/>
    </row>
    <row r="1485" spans="4:54">
      <c r="D1485" s="806"/>
      <c r="F1485" s="806"/>
      <c r="W1485" s="806"/>
      <c r="AZ1485" s="806"/>
      <c r="BA1485" s="806"/>
      <c r="BB1485" s="806"/>
    </row>
    <row r="1486" spans="4:54">
      <c r="D1486" s="806"/>
      <c r="F1486" s="806"/>
      <c r="W1486" s="806"/>
      <c r="AZ1486" s="806"/>
      <c r="BA1486" s="806"/>
      <c r="BB1486" s="806"/>
    </row>
    <row r="1487" spans="4:54">
      <c r="D1487" s="806"/>
      <c r="F1487" s="806"/>
      <c r="W1487" s="806"/>
      <c r="AZ1487" s="806"/>
      <c r="BA1487" s="806"/>
      <c r="BB1487" s="806"/>
    </row>
    <row r="1488" spans="4:54">
      <c r="D1488" s="806"/>
      <c r="F1488" s="806"/>
      <c r="W1488" s="806"/>
      <c r="AZ1488" s="806"/>
      <c r="BA1488" s="806"/>
      <c r="BB1488" s="806"/>
    </row>
    <row r="1489" spans="4:54">
      <c r="D1489" s="806"/>
      <c r="F1489" s="806"/>
      <c r="W1489" s="806"/>
      <c r="AZ1489" s="806"/>
      <c r="BA1489" s="806"/>
      <c r="BB1489" s="806"/>
    </row>
    <row r="1490" spans="4:54">
      <c r="D1490" s="806"/>
      <c r="F1490" s="806"/>
      <c r="W1490" s="806"/>
      <c r="AZ1490" s="806"/>
      <c r="BA1490" s="806"/>
      <c r="BB1490" s="806"/>
    </row>
    <row r="1491" spans="4:54">
      <c r="D1491" s="806"/>
      <c r="F1491" s="806"/>
      <c r="W1491" s="806"/>
      <c r="AZ1491" s="806"/>
      <c r="BA1491" s="806"/>
      <c r="BB1491" s="806"/>
    </row>
    <row r="1492" spans="4:54">
      <c r="D1492" s="806"/>
      <c r="F1492" s="806"/>
      <c r="W1492" s="806"/>
      <c r="AZ1492" s="806"/>
      <c r="BA1492" s="806"/>
      <c r="BB1492" s="806"/>
    </row>
    <row r="1493" spans="4:54">
      <c r="D1493" s="806"/>
      <c r="F1493" s="806"/>
      <c r="W1493" s="806"/>
      <c r="AZ1493" s="806"/>
      <c r="BA1493" s="806"/>
      <c r="BB1493" s="806"/>
    </row>
    <row r="1494" spans="4:54">
      <c r="D1494" s="806"/>
      <c r="F1494" s="806"/>
      <c r="W1494" s="806"/>
      <c r="AZ1494" s="806"/>
      <c r="BA1494" s="806"/>
      <c r="BB1494" s="806"/>
    </row>
    <row r="1495" spans="4:54">
      <c r="D1495" s="806"/>
      <c r="F1495" s="806"/>
      <c r="W1495" s="806"/>
      <c r="AZ1495" s="806"/>
      <c r="BA1495" s="806"/>
      <c r="BB1495" s="806"/>
    </row>
    <row r="1496" spans="4:54">
      <c r="D1496" s="806"/>
      <c r="F1496" s="806"/>
      <c r="W1496" s="806"/>
      <c r="AZ1496" s="806"/>
      <c r="BA1496" s="806"/>
      <c r="BB1496" s="806"/>
    </row>
    <row r="1497" spans="4:54">
      <c r="D1497" s="806"/>
      <c r="F1497" s="806"/>
      <c r="W1497" s="806"/>
      <c r="AZ1497" s="806"/>
      <c r="BA1497" s="806"/>
      <c r="BB1497" s="806"/>
    </row>
    <row r="1498" spans="4:54">
      <c r="D1498" s="806"/>
      <c r="F1498" s="806"/>
      <c r="W1498" s="806"/>
      <c r="AZ1498" s="806"/>
      <c r="BA1498" s="806"/>
      <c r="BB1498" s="806"/>
    </row>
    <row r="1499" spans="4:54">
      <c r="D1499" s="806"/>
      <c r="F1499" s="806"/>
      <c r="W1499" s="806"/>
      <c r="AZ1499" s="806"/>
      <c r="BA1499" s="806"/>
      <c r="BB1499" s="806"/>
    </row>
    <row r="1500" spans="4:54">
      <c r="D1500" s="806"/>
      <c r="F1500" s="806"/>
      <c r="W1500" s="806"/>
      <c r="AZ1500" s="806"/>
      <c r="BA1500" s="806"/>
      <c r="BB1500" s="806"/>
    </row>
    <row r="1501" spans="4:54">
      <c r="D1501" s="806"/>
      <c r="F1501" s="806"/>
      <c r="W1501" s="806"/>
      <c r="AZ1501" s="806"/>
      <c r="BA1501" s="806"/>
      <c r="BB1501" s="806"/>
    </row>
    <row r="1502" spans="4:54">
      <c r="D1502" s="806"/>
      <c r="F1502" s="806"/>
      <c r="W1502" s="806"/>
      <c r="AZ1502" s="806"/>
      <c r="BA1502" s="806"/>
      <c r="BB1502" s="806"/>
    </row>
    <row r="1503" spans="4:54">
      <c r="D1503" s="806"/>
      <c r="F1503" s="806"/>
      <c r="W1503" s="806"/>
      <c r="AZ1503" s="806"/>
      <c r="BA1503" s="806"/>
      <c r="BB1503" s="806"/>
    </row>
    <row r="1504" spans="4:54">
      <c r="D1504" s="806"/>
      <c r="F1504" s="806"/>
      <c r="W1504" s="806"/>
      <c r="AZ1504" s="806"/>
      <c r="BA1504" s="806"/>
      <c r="BB1504" s="806"/>
    </row>
    <row r="1505" spans="4:54">
      <c r="D1505" s="806"/>
      <c r="F1505" s="806"/>
      <c r="W1505" s="806"/>
      <c r="AZ1505" s="806"/>
      <c r="BA1505" s="806"/>
      <c r="BB1505" s="806"/>
    </row>
    <row r="1506" spans="4:54">
      <c r="D1506" s="806"/>
      <c r="F1506" s="806"/>
      <c r="W1506" s="806"/>
      <c r="AZ1506" s="806"/>
      <c r="BA1506" s="806"/>
      <c r="BB1506" s="806"/>
    </row>
    <row r="1507" spans="4:54">
      <c r="D1507" s="806"/>
      <c r="F1507" s="806"/>
      <c r="W1507" s="806"/>
      <c r="AZ1507" s="806"/>
      <c r="BA1507" s="806"/>
      <c r="BB1507" s="806"/>
    </row>
    <row r="1508" spans="4:54">
      <c r="D1508" s="806"/>
      <c r="F1508" s="806"/>
      <c r="W1508" s="806"/>
      <c r="AZ1508" s="806"/>
      <c r="BA1508" s="806"/>
      <c r="BB1508" s="806"/>
    </row>
    <row r="1509" spans="4:54">
      <c r="D1509" s="806"/>
      <c r="F1509" s="806"/>
      <c r="W1509" s="806"/>
      <c r="AZ1509" s="806"/>
      <c r="BA1509" s="806"/>
      <c r="BB1509" s="806"/>
    </row>
    <row r="1510" spans="4:54">
      <c r="D1510" s="806"/>
      <c r="F1510" s="806"/>
      <c r="W1510" s="806"/>
      <c r="AZ1510" s="806"/>
      <c r="BA1510" s="806"/>
      <c r="BB1510" s="806"/>
    </row>
    <row r="1511" spans="4:54">
      <c r="D1511" s="806"/>
      <c r="F1511" s="806"/>
      <c r="W1511" s="806"/>
      <c r="AZ1511" s="806"/>
      <c r="BA1511" s="806"/>
      <c r="BB1511" s="806"/>
    </row>
    <row r="1512" spans="4:54">
      <c r="D1512" s="806"/>
      <c r="F1512" s="806"/>
      <c r="W1512" s="806"/>
      <c r="AZ1512" s="806"/>
      <c r="BA1512" s="806"/>
      <c r="BB1512" s="806"/>
    </row>
    <row r="1513" spans="4:54">
      <c r="D1513" s="806"/>
      <c r="F1513" s="806"/>
      <c r="W1513" s="806"/>
      <c r="AZ1513" s="806"/>
      <c r="BA1513" s="806"/>
      <c r="BB1513" s="806"/>
    </row>
    <row r="1514" spans="4:54">
      <c r="D1514" s="806"/>
      <c r="F1514" s="806"/>
      <c r="W1514" s="806"/>
      <c r="AZ1514" s="806"/>
      <c r="BA1514" s="806"/>
      <c r="BB1514" s="806"/>
    </row>
    <row r="1515" spans="4:54">
      <c r="D1515" s="806"/>
      <c r="F1515" s="806"/>
      <c r="W1515" s="806"/>
      <c r="AZ1515" s="806"/>
      <c r="BA1515" s="806"/>
      <c r="BB1515" s="806"/>
    </row>
    <row r="1516" spans="4:54">
      <c r="D1516" s="806"/>
      <c r="F1516" s="806"/>
      <c r="W1516" s="806"/>
      <c r="AZ1516" s="806"/>
      <c r="BA1516" s="806"/>
      <c r="BB1516" s="806"/>
    </row>
    <row r="1517" spans="4:54">
      <c r="D1517" s="806"/>
      <c r="F1517" s="806"/>
      <c r="W1517" s="806"/>
      <c r="AZ1517" s="806"/>
      <c r="BA1517" s="806"/>
      <c r="BB1517" s="806"/>
    </row>
    <row r="1518" spans="4:54">
      <c r="D1518" s="806"/>
      <c r="F1518" s="806"/>
      <c r="W1518" s="806"/>
      <c r="AZ1518" s="806"/>
      <c r="BA1518" s="806"/>
      <c r="BB1518" s="806"/>
    </row>
    <row r="1519" spans="4:54">
      <c r="D1519" s="806"/>
      <c r="F1519" s="806"/>
      <c r="W1519" s="806"/>
      <c r="AZ1519" s="806"/>
      <c r="BA1519" s="806"/>
      <c r="BB1519" s="806"/>
    </row>
    <row r="1520" spans="4:54">
      <c r="D1520" s="806"/>
      <c r="F1520" s="806"/>
      <c r="W1520" s="806"/>
      <c r="AZ1520" s="806"/>
      <c r="BA1520" s="806"/>
      <c r="BB1520" s="806"/>
    </row>
    <row r="1521" spans="4:54">
      <c r="D1521" s="806"/>
      <c r="F1521" s="806"/>
      <c r="W1521" s="806"/>
      <c r="AZ1521" s="806"/>
      <c r="BA1521" s="806"/>
      <c r="BB1521" s="806"/>
    </row>
    <row r="1522" spans="4:54">
      <c r="D1522" s="806"/>
      <c r="F1522" s="806"/>
      <c r="W1522" s="806"/>
      <c r="AZ1522" s="806"/>
      <c r="BA1522" s="806"/>
      <c r="BB1522" s="806"/>
    </row>
    <row r="1523" spans="4:54">
      <c r="D1523" s="806"/>
      <c r="F1523" s="806"/>
      <c r="W1523" s="806"/>
      <c r="AZ1523" s="806"/>
      <c r="BA1523" s="806"/>
      <c r="BB1523" s="806"/>
    </row>
    <row r="1524" spans="4:54">
      <c r="D1524" s="806"/>
      <c r="F1524" s="806"/>
      <c r="W1524" s="806"/>
      <c r="AZ1524" s="806"/>
      <c r="BA1524" s="806"/>
      <c r="BB1524" s="806"/>
    </row>
    <row r="1525" spans="4:54">
      <c r="D1525" s="806"/>
      <c r="F1525" s="806"/>
      <c r="W1525" s="806"/>
      <c r="AZ1525" s="806"/>
      <c r="BA1525" s="806"/>
      <c r="BB1525" s="806"/>
    </row>
    <row r="1526" spans="4:54">
      <c r="D1526" s="806"/>
      <c r="F1526" s="806"/>
      <c r="W1526" s="806"/>
      <c r="AZ1526" s="806"/>
      <c r="BA1526" s="806"/>
      <c r="BB1526" s="806"/>
    </row>
    <row r="1527" spans="4:54">
      <c r="D1527" s="806"/>
      <c r="F1527" s="806"/>
      <c r="W1527" s="806"/>
      <c r="AZ1527" s="806"/>
      <c r="BA1527" s="806"/>
      <c r="BB1527" s="806"/>
    </row>
    <row r="1528" spans="4:54">
      <c r="D1528" s="806"/>
      <c r="F1528" s="806"/>
      <c r="W1528" s="806"/>
      <c r="AZ1528" s="806"/>
      <c r="BA1528" s="806"/>
      <c r="BB1528" s="806"/>
    </row>
    <row r="1529" spans="4:54">
      <c r="D1529" s="806"/>
      <c r="F1529" s="806"/>
      <c r="W1529" s="806"/>
      <c r="AZ1529" s="806"/>
      <c r="BA1529" s="806"/>
      <c r="BB1529" s="806"/>
    </row>
    <row r="1530" spans="4:54">
      <c r="D1530" s="806"/>
      <c r="F1530" s="806"/>
      <c r="W1530" s="806"/>
      <c r="AZ1530" s="806"/>
      <c r="BA1530" s="806"/>
      <c r="BB1530" s="806"/>
    </row>
    <row r="1531" spans="4:54">
      <c r="D1531" s="806"/>
      <c r="F1531" s="806"/>
      <c r="W1531" s="806"/>
      <c r="AZ1531" s="806"/>
      <c r="BA1531" s="806"/>
      <c r="BB1531" s="806"/>
    </row>
    <row r="1532" spans="4:54">
      <c r="D1532" s="806"/>
      <c r="F1532" s="806"/>
      <c r="W1532" s="806"/>
      <c r="AZ1532" s="806"/>
      <c r="BA1532" s="806"/>
      <c r="BB1532" s="806"/>
    </row>
    <row r="1533" spans="4:54">
      <c r="D1533" s="806"/>
      <c r="F1533" s="806"/>
      <c r="W1533" s="806"/>
      <c r="AZ1533" s="806"/>
      <c r="BA1533" s="806"/>
      <c r="BB1533" s="806"/>
    </row>
    <row r="1534" spans="4:54">
      <c r="D1534" s="806"/>
      <c r="F1534" s="806"/>
      <c r="W1534" s="806"/>
      <c r="AZ1534" s="806"/>
      <c r="BA1534" s="806"/>
      <c r="BB1534" s="806"/>
    </row>
    <row r="1535" spans="4:54">
      <c r="D1535" s="806"/>
      <c r="F1535" s="806"/>
      <c r="W1535" s="806"/>
      <c r="AZ1535" s="806"/>
      <c r="BA1535" s="806"/>
      <c r="BB1535" s="806"/>
    </row>
    <row r="1536" spans="4:54">
      <c r="D1536" s="806"/>
      <c r="F1536" s="806"/>
      <c r="W1536" s="806"/>
      <c r="AZ1536" s="806"/>
      <c r="BA1536" s="806"/>
      <c r="BB1536" s="806"/>
    </row>
    <row r="1537" spans="4:54">
      <c r="D1537" s="806"/>
      <c r="F1537" s="806"/>
      <c r="W1537" s="806"/>
      <c r="AZ1537" s="806"/>
      <c r="BA1537" s="806"/>
      <c r="BB1537" s="806"/>
    </row>
    <row r="1538" spans="4:54">
      <c r="D1538" s="806"/>
      <c r="F1538" s="806"/>
      <c r="W1538" s="806"/>
      <c r="AZ1538" s="806"/>
      <c r="BA1538" s="806"/>
      <c r="BB1538" s="806"/>
    </row>
    <row r="1539" spans="4:54">
      <c r="D1539" s="806"/>
      <c r="F1539" s="806"/>
      <c r="W1539" s="806"/>
      <c r="AZ1539" s="806"/>
      <c r="BA1539" s="806"/>
      <c r="BB1539" s="806"/>
    </row>
    <row r="1540" spans="4:54">
      <c r="D1540" s="806"/>
      <c r="F1540" s="806"/>
      <c r="W1540" s="806"/>
      <c r="AZ1540" s="806"/>
      <c r="BA1540" s="806"/>
      <c r="BB1540" s="806"/>
    </row>
    <row r="1541" spans="4:54">
      <c r="D1541" s="806"/>
      <c r="F1541" s="806"/>
      <c r="W1541" s="806"/>
      <c r="AZ1541" s="806"/>
      <c r="BA1541" s="806"/>
      <c r="BB1541" s="806"/>
    </row>
    <row r="1542" spans="4:54">
      <c r="D1542" s="806"/>
      <c r="F1542" s="806"/>
      <c r="W1542" s="806"/>
      <c r="AZ1542" s="806"/>
      <c r="BA1542" s="806"/>
      <c r="BB1542" s="806"/>
    </row>
    <row r="1543" spans="4:54">
      <c r="D1543" s="806"/>
      <c r="F1543" s="806"/>
      <c r="W1543" s="806"/>
      <c r="AZ1543" s="806"/>
      <c r="BA1543" s="806"/>
      <c r="BB1543" s="806"/>
    </row>
    <row r="1544" spans="4:54">
      <c r="D1544" s="806"/>
      <c r="F1544" s="806"/>
      <c r="W1544" s="806"/>
      <c r="AZ1544" s="806"/>
      <c r="BA1544" s="806"/>
      <c r="BB1544" s="806"/>
    </row>
    <row r="1545" spans="4:54">
      <c r="D1545" s="806"/>
      <c r="F1545" s="806"/>
      <c r="W1545" s="806"/>
      <c r="AZ1545" s="806"/>
      <c r="BA1545" s="806"/>
      <c r="BB1545" s="806"/>
    </row>
    <row r="1546" spans="4:54">
      <c r="D1546" s="806"/>
      <c r="F1546" s="806"/>
      <c r="W1546" s="806"/>
      <c r="AZ1546" s="806"/>
      <c r="BA1546" s="806"/>
      <c r="BB1546" s="806"/>
    </row>
    <row r="1547" spans="4:54">
      <c r="D1547" s="806"/>
      <c r="F1547" s="806"/>
      <c r="W1547" s="806"/>
      <c r="AZ1547" s="806"/>
      <c r="BA1547" s="806"/>
      <c r="BB1547" s="806"/>
    </row>
    <row r="1548" spans="4:54">
      <c r="D1548" s="806"/>
      <c r="F1548" s="806"/>
      <c r="W1548" s="806"/>
      <c r="AZ1548" s="806"/>
      <c r="BA1548" s="806"/>
      <c r="BB1548" s="806"/>
    </row>
    <row r="1549" spans="4:54">
      <c r="D1549" s="806"/>
      <c r="F1549" s="806"/>
      <c r="W1549" s="806"/>
      <c r="AZ1549" s="806"/>
      <c r="BA1549" s="806"/>
      <c r="BB1549" s="806"/>
    </row>
    <row r="1550" spans="4:54">
      <c r="D1550" s="806"/>
      <c r="F1550" s="806"/>
      <c r="W1550" s="806"/>
      <c r="AZ1550" s="806"/>
      <c r="BA1550" s="806"/>
      <c r="BB1550" s="806"/>
    </row>
    <row r="1551" spans="4:54">
      <c r="D1551" s="806"/>
      <c r="F1551" s="806"/>
      <c r="W1551" s="806"/>
      <c r="AZ1551" s="806"/>
      <c r="BA1551" s="806"/>
      <c r="BB1551" s="806"/>
    </row>
    <row r="1552" spans="4:54">
      <c r="D1552" s="806"/>
      <c r="F1552" s="806"/>
      <c r="W1552" s="806"/>
      <c r="AZ1552" s="806"/>
      <c r="BA1552" s="806"/>
      <c r="BB1552" s="806"/>
    </row>
    <row r="1553" spans="4:54">
      <c r="D1553" s="806"/>
      <c r="F1553" s="806"/>
      <c r="W1553" s="806"/>
      <c r="AZ1553" s="806"/>
      <c r="BA1553" s="806"/>
      <c r="BB1553" s="806"/>
    </row>
    <row r="1554" spans="4:54">
      <c r="D1554" s="806"/>
      <c r="F1554" s="806"/>
      <c r="W1554" s="806"/>
      <c r="AZ1554" s="806"/>
      <c r="BA1554" s="806"/>
      <c r="BB1554" s="806"/>
    </row>
    <row r="1555" spans="4:54">
      <c r="D1555" s="806"/>
      <c r="F1555" s="806"/>
      <c r="W1555" s="806"/>
      <c r="AZ1555" s="806"/>
      <c r="BA1555" s="806"/>
      <c r="BB1555" s="806"/>
    </row>
    <row r="1556" spans="4:54">
      <c r="D1556" s="806"/>
      <c r="F1556" s="806"/>
      <c r="W1556" s="806"/>
      <c r="AZ1556" s="806"/>
      <c r="BA1556" s="806"/>
      <c r="BB1556" s="806"/>
    </row>
    <row r="1557" spans="4:54">
      <c r="D1557" s="806"/>
      <c r="F1557" s="806"/>
      <c r="W1557" s="806"/>
      <c r="AZ1557" s="806"/>
      <c r="BA1557" s="806"/>
      <c r="BB1557" s="806"/>
    </row>
    <row r="1558" spans="4:54">
      <c r="D1558" s="806"/>
      <c r="F1558" s="806"/>
      <c r="W1558" s="806"/>
      <c r="AZ1558" s="806"/>
      <c r="BA1558" s="806"/>
      <c r="BB1558" s="806"/>
    </row>
    <row r="1559" spans="4:54">
      <c r="D1559" s="806"/>
      <c r="F1559" s="806"/>
      <c r="W1559" s="806"/>
      <c r="AZ1559" s="806"/>
      <c r="BA1559" s="806"/>
      <c r="BB1559" s="806"/>
    </row>
    <row r="1560" spans="4:54">
      <c r="D1560" s="806"/>
      <c r="F1560" s="806"/>
      <c r="W1560" s="806"/>
      <c r="AZ1560" s="806"/>
      <c r="BA1560" s="806"/>
      <c r="BB1560" s="806"/>
    </row>
    <row r="1561" spans="4:54">
      <c r="D1561" s="806"/>
      <c r="F1561" s="806"/>
      <c r="W1561" s="806"/>
      <c r="AZ1561" s="806"/>
      <c r="BA1561" s="806"/>
      <c r="BB1561" s="806"/>
    </row>
    <row r="1562" spans="4:54">
      <c r="D1562" s="806"/>
      <c r="F1562" s="806"/>
      <c r="W1562" s="806"/>
      <c r="AZ1562" s="806"/>
      <c r="BA1562" s="806"/>
      <c r="BB1562" s="806"/>
    </row>
    <row r="1563" spans="4:54">
      <c r="D1563" s="806"/>
      <c r="F1563" s="806"/>
      <c r="W1563" s="806"/>
      <c r="AZ1563" s="806"/>
      <c r="BA1563" s="806"/>
      <c r="BB1563" s="806"/>
    </row>
    <row r="1564" spans="4:54">
      <c r="D1564" s="806"/>
      <c r="F1564" s="806"/>
      <c r="W1564" s="806"/>
      <c r="AZ1564" s="806"/>
      <c r="BA1564" s="806"/>
      <c r="BB1564" s="806"/>
    </row>
    <row r="1565" spans="4:54">
      <c r="D1565" s="806"/>
      <c r="F1565" s="806"/>
      <c r="W1565" s="806"/>
      <c r="AZ1565" s="806"/>
      <c r="BA1565" s="806"/>
      <c r="BB1565" s="806"/>
    </row>
    <row r="1566" spans="4:54">
      <c r="D1566" s="806"/>
      <c r="F1566" s="806"/>
      <c r="W1566" s="806"/>
      <c r="AZ1566" s="806"/>
      <c r="BA1566" s="806"/>
      <c r="BB1566" s="806"/>
    </row>
    <row r="1567" spans="4:54">
      <c r="D1567" s="806"/>
      <c r="F1567" s="806"/>
      <c r="W1567" s="806"/>
      <c r="AZ1567" s="806"/>
      <c r="BA1567" s="806"/>
      <c r="BB1567" s="806"/>
    </row>
    <row r="1568" spans="4:54">
      <c r="D1568" s="806"/>
      <c r="F1568" s="806"/>
      <c r="W1568" s="806"/>
      <c r="AZ1568" s="806"/>
      <c r="BA1568" s="806"/>
      <c r="BB1568" s="806"/>
    </row>
    <row r="1569" spans="4:54">
      <c r="D1569" s="806"/>
      <c r="F1569" s="806"/>
      <c r="W1569" s="806"/>
      <c r="AZ1569" s="806"/>
      <c r="BA1569" s="806"/>
      <c r="BB1569" s="806"/>
    </row>
    <row r="1570" spans="4:54">
      <c r="D1570" s="806"/>
      <c r="F1570" s="806"/>
      <c r="W1570" s="806"/>
      <c r="AZ1570" s="806"/>
      <c r="BA1570" s="806"/>
      <c r="BB1570" s="806"/>
    </row>
    <row r="1571" spans="4:54">
      <c r="D1571" s="806"/>
      <c r="F1571" s="806"/>
      <c r="W1571" s="806"/>
      <c r="AZ1571" s="806"/>
      <c r="BA1571" s="806"/>
      <c r="BB1571" s="806"/>
    </row>
    <row r="1572" spans="4:54">
      <c r="D1572" s="806"/>
      <c r="F1572" s="806"/>
      <c r="W1572" s="806"/>
      <c r="AZ1572" s="806"/>
      <c r="BA1572" s="806"/>
      <c r="BB1572" s="806"/>
    </row>
    <row r="1573" spans="4:54">
      <c r="D1573" s="806"/>
      <c r="F1573" s="806"/>
      <c r="W1573" s="806"/>
      <c r="AZ1573" s="806"/>
      <c r="BA1573" s="806"/>
      <c r="BB1573" s="806"/>
    </row>
    <row r="1574" spans="4:54">
      <c r="D1574" s="806"/>
      <c r="F1574" s="806"/>
      <c r="W1574" s="806"/>
      <c r="AZ1574" s="806"/>
      <c r="BA1574" s="806"/>
      <c r="BB1574" s="806"/>
    </row>
    <row r="1575" spans="4:54">
      <c r="D1575" s="806"/>
      <c r="F1575" s="806"/>
      <c r="W1575" s="806"/>
      <c r="AZ1575" s="806"/>
      <c r="BA1575" s="806"/>
      <c r="BB1575" s="806"/>
    </row>
    <row r="1576" spans="4:54">
      <c r="D1576" s="806"/>
      <c r="F1576" s="806"/>
      <c r="W1576" s="806"/>
      <c r="AZ1576" s="806"/>
      <c r="BA1576" s="806"/>
      <c r="BB1576" s="806"/>
    </row>
    <row r="1577" spans="4:54">
      <c r="D1577" s="806"/>
      <c r="F1577" s="806"/>
      <c r="W1577" s="806"/>
      <c r="AZ1577" s="806"/>
      <c r="BA1577" s="806"/>
      <c r="BB1577" s="806"/>
    </row>
    <row r="1578" spans="4:54">
      <c r="D1578" s="806"/>
      <c r="F1578" s="806"/>
      <c r="W1578" s="806"/>
      <c r="AZ1578" s="806"/>
      <c r="BA1578" s="806"/>
      <c r="BB1578" s="806"/>
    </row>
    <row r="1579" spans="4:54">
      <c r="D1579" s="806"/>
      <c r="F1579" s="806"/>
      <c r="W1579" s="806"/>
      <c r="AZ1579" s="806"/>
      <c r="BA1579" s="806"/>
      <c r="BB1579" s="806"/>
    </row>
    <row r="1580" spans="4:54">
      <c r="D1580" s="806"/>
      <c r="F1580" s="806"/>
      <c r="W1580" s="806"/>
      <c r="AZ1580" s="806"/>
      <c r="BA1580" s="806"/>
      <c r="BB1580" s="806"/>
    </row>
    <row r="1581" spans="4:54">
      <c r="D1581" s="806"/>
      <c r="F1581" s="806"/>
      <c r="W1581" s="806"/>
      <c r="AZ1581" s="806"/>
      <c r="BA1581" s="806"/>
      <c r="BB1581" s="806"/>
    </row>
    <row r="1582" spans="4:54">
      <c r="D1582" s="806"/>
      <c r="F1582" s="806"/>
      <c r="W1582" s="806"/>
      <c r="AZ1582" s="806"/>
      <c r="BA1582" s="806"/>
      <c r="BB1582" s="806"/>
    </row>
    <row r="1583" spans="4:54">
      <c r="D1583" s="806"/>
      <c r="F1583" s="806"/>
      <c r="W1583" s="806"/>
      <c r="AZ1583" s="806"/>
      <c r="BA1583" s="806"/>
      <c r="BB1583" s="806"/>
    </row>
    <row r="1584" spans="4:54">
      <c r="D1584" s="806"/>
      <c r="F1584" s="806"/>
      <c r="W1584" s="806"/>
      <c r="AZ1584" s="806"/>
      <c r="BA1584" s="806"/>
      <c r="BB1584" s="806"/>
    </row>
    <row r="1585" spans="4:54">
      <c r="D1585" s="806"/>
      <c r="F1585" s="806"/>
      <c r="W1585" s="806"/>
      <c r="AZ1585" s="806"/>
      <c r="BA1585" s="806"/>
      <c r="BB1585" s="806"/>
    </row>
    <row r="1586" spans="4:54">
      <c r="D1586" s="806"/>
      <c r="F1586" s="806"/>
      <c r="W1586" s="806"/>
      <c r="AZ1586" s="806"/>
      <c r="BA1586" s="806"/>
      <c r="BB1586" s="806"/>
    </row>
    <row r="1587" spans="4:54">
      <c r="D1587" s="806"/>
      <c r="F1587" s="806"/>
      <c r="W1587" s="806"/>
      <c r="AZ1587" s="806"/>
      <c r="BA1587" s="806"/>
      <c r="BB1587" s="806"/>
    </row>
    <row r="1588" spans="4:54">
      <c r="D1588" s="806"/>
      <c r="F1588" s="806"/>
      <c r="W1588" s="806"/>
      <c r="AZ1588" s="806"/>
      <c r="BA1588" s="806"/>
      <c r="BB1588" s="806"/>
    </row>
    <row r="1589" spans="4:54">
      <c r="D1589" s="806"/>
      <c r="F1589" s="806"/>
      <c r="W1589" s="806"/>
      <c r="AZ1589" s="806"/>
      <c r="BA1589" s="806"/>
      <c r="BB1589" s="806"/>
    </row>
    <row r="1590" spans="4:54">
      <c r="D1590" s="806"/>
      <c r="F1590" s="806"/>
      <c r="W1590" s="806"/>
      <c r="AZ1590" s="806"/>
      <c r="BA1590" s="806"/>
      <c r="BB1590" s="806"/>
    </row>
    <row r="1591" spans="4:54">
      <c r="D1591" s="806"/>
      <c r="F1591" s="806"/>
      <c r="W1591" s="806"/>
      <c r="AZ1591" s="806"/>
      <c r="BA1591" s="806"/>
      <c r="BB1591" s="806"/>
    </row>
    <row r="1592" spans="4:54">
      <c r="D1592" s="806"/>
      <c r="F1592" s="806"/>
      <c r="W1592" s="806"/>
      <c r="AZ1592" s="806"/>
      <c r="BA1592" s="806"/>
      <c r="BB1592" s="806"/>
    </row>
    <row r="1593" spans="4:54">
      <c r="D1593" s="806"/>
      <c r="F1593" s="806"/>
      <c r="W1593" s="806"/>
      <c r="AZ1593" s="806"/>
      <c r="BA1593" s="806"/>
      <c r="BB1593" s="806"/>
    </row>
    <row r="1594" spans="4:54">
      <c r="D1594" s="806"/>
      <c r="F1594" s="806"/>
      <c r="W1594" s="806"/>
      <c r="AZ1594" s="806"/>
      <c r="BA1594" s="806"/>
      <c r="BB1594" s="806"/>
    </row>
    <row r="1595" spans="4:54">
      <c r="D1595" s="806"/>
      <c r="F1595" s="806"/>
      <c r="W1595" s="806"/>
      <c r="AZ1595" s="806"/>
      <c r="BA1595" s="806"/>
      <c r="BB1595" s="806"/>
    </row>
    <row r="1596" spans="4:54">
      <c r="D1596" s="806"/>
      <c r="F1596" s="806"/>
      <c r="W1596" s="806"/>
      <c r="AZ1596" s="806"/>
      <c r="BA1596" s="806"/>
      <c r="BB1596" s="806"/>
    </row>
    <row r="1597" spans="4:54">
      <c r="D1597" s="806"/>
      <c r="F1597" s="806"/>
      <c r="W1597" s="806"/>
      <c r="AZ1597" s="806"/>
      <c r="BA1597" s="806"/>
      <c r="BB1597" s="806"/>
    </row>
    <row r="1598" spans="4:54">
      <c r="D1598" s="806"/>
      <c r="F1598" s="806"/>
      <c r="W1598" s="806"/>
      <c r="AZ1598" s="806"/>
      <c r="BA1598" s="806"/>
      <c r="BB1598" s="806"/>
    </row>
    <row r="1599" spans="4:54">
      <c r="D1599" s="806"/>
      <c r="F1599" s="806"/>
      <c r="W1599" s="806"/>
      <c r="AZ1599" s="806"/>
      <c r="BA1599" s="806"/>
      <c r="BB1599" s="806"/>
    </row>
    <row r="1600" spans="4:54">
      <c r="D1600" s="806"/>
      <c r="F1600" s="806"/>
      <c r="W1600" s="806"/>
      <c r="AZ1600" s="806"/>
      <c r="BA1600" s="806"/>
      <c r="BB1600" s="806"/>
    </row>
    <row r="1601" spans="4:54">
      <c r="D1601" s="806"/>
      <c r="F1601" s="806"/>
      <c r="W1601" s="806"/>
      <c r="AZ1601" s="806"/>
      <c r="BA1601" s="806"/>
      <c r="BB1601" s="806"/>
    </row>
    <row r="1602" spans="4:54">
      <c r="D1602" s="806"/>
      <c r="F1602" s="806"/>
      <c r="W1602" s="806"/>
      <c r="AZ1602" s="806"/>
      <c r="BA1602" s="806"/>
      <c r="BB1602" s="806"/>
    </row>
    <row r="1603" spans="4:54">
      <c r="D1603" s="806"/>
      <c r="F1603" s="806"/>
      <c r="W1603" s="806"/>
      <c r="AZ1603" s="806"/>
      <c r="BA1603" s="806"/>
      <c r="BB1603" s="806"/>
    </row>
    <row r="1604" spans="4:54">
      <c r="D1604" s="806"/>
      <c r="F1604" s="806"/>
      <c r="W1604" s="806"/>
      <c r="AZ1604" s="806"/>
      <c r="BA1604" s="806"/>
      <c r="BB1604" s="806"/>
    </row>
    <row r="1605" spans="4:54">
      <c r="D1605" s="806"/>
      <c r="F1605" s="806"/>
      <c r="W1605" s="806"/>
      <c r="AZ1605" s="806"/>
      <c r="BA1605" s="806"/>
      <c r="BB1605" s="806"/>
    </row>
    <row r="1606" spans="4:54">
      <c r="D1606" s="806"/>
      <c r="F1606" s="806"/>
      <c r="W1606" s="806"/>
      <c r="AZ1606" s="806"/>
      <c r="BA1606" s="806"/>
      <c r="BB1606" s="806"/>
    </row>
    <row r="1607" spans="4:54">
      <c r="D1607" s="806"/>
      <c r="F1607" s="806"/>
      <c r="W1607" s="806"/>
      <c r="AZ1607" s="806"/>
      <c r="BA1607" s="806"/>
      <c r="BB1607" s="806"/>
    </row>
    <row r="1608" spans="4:54">
      <c r="D1608" s="806"/>
      <c r="F1608" s="806"/>
      <c r="W1608" s="806"/>
      <c r="AZ1608" s="806"/>
      <c r="BA1608" s="806"/>
      <c r="BB1608" s="806"/>
    </row>
    <row r="1609" spans="4:54">
      <c r="D1609" s="806"/>
      <c r="F1609" s="806"/>
      <c r="W1609" s="806"/>
      <c r="AZ1609" s="806"/>
      <c r="BA1609" s="806"/>
      <c r="BB1609" s="806"/>
    </row>
    <row r="1610" spans="4:54">
      <c r="D1610" s="806"/>
      <c r="F1610" s="806"/>
      <c r="W1610" s="806"/>
      <c r="AZ1610" s="806"/>
      <c r="BA1610" s="806"/>
      <c r="BB1610" s="806"/>
    </row>
    <row r="1611" spans="4:54">
      <c r="D1611" s="806"/>
      <c r="F1611" s="806"/>
      <c r="W1611" s="806"/>
      <c r="AZ1611" s="806"/>
      <c r="BA1611" s="806"/>
      <c r="BB1611" s="806"/>
    </row>
    <row r="1612" spans="4:54">
      <c r="D1612" s="806"/>
      <c r="F1612" s="806"/>
      <c r="W1612" s="806"/>
      <c r="AZ1612" s="806"/>
      <c r="BA1612" s="806"/>
      <c r="BB1612" s="806"/>
    </row>
    <row r="1613" spans="4:54">
      <c r="D1613" s="806"/>
      <c r="F1613" s="806"/>
      <c r="W1613" s="806"/>
      <c r="AZ1613" s="806"/>
      <c r="BA1613" s="806"/>
      <c r="BB1613" s="806"/>
    </row>
    <row r="1614" spans="4:54">
      <c r="D1614" s="806"/>
      <c r="F1614" s="806"/>
      <c r="W1614" s="806"/>
      <c r="AZ1614" s="806"/>
      <c r="BA1614" s="806"/>
      <c r="BB1614" s="806"/>
    </row>
    <row r="1615" spans="4:54">
      <c r="D1615" s="806"/>
      <c r="F1615" s="806"/>
      <c r="W1615" s="806"/>
      <c r="AZ1615" s="806"/>
      <c r="BA1615" s="806"/>
      <c r="BB1615" s="806"/>
    </row>
    <row r="1616" spans="4:54">
      <c r="D1616" s="806"/>
      <c r="F1616" s="806"/>
      <c r="W1616" s="806"/>
      <c r="AZ1616" s="806"/>
      <c r="BA1616" s="806"/>
      <c r="BB1616" s="806"/>
    </row>
    <row r="1617" spans="4:54">
      <c r="D1617" s="806"/>
      <c r="F1617" s="806"/>
      <c r="W1617" s="806"/>
      <c r="AZ1617" s="806"/>
      <c r="BA1617" s="806"/>
      <c r="BB1617" s="806"/>
    </row>
    <row r="1618" spans="4:54">
      <c r="D1618" s="806"/>
      <c r="F1618" s="806"/>
      <c r="W1618" s="806"/>
      <c r="AZ1618" s="806"/>
      <c r="BA1618" s="806"/>
      <c r="BB1618" s="806"/>
    </row>
    <row r="1619" spans="4:54">
      <c r="D1619" s="806"/>
      <c r="F1619" s="806"/>
      <c r="W1619" s="806"/>
      <c r="AZ1619" s="806"/>
      <c r="BA1619" s="806"/>
      <c r="BB1619" s="806"/>
    </row>
    <row r="1620" spans="4:54">
      <c r="D1620" s="806"/>
      <c r="F1620" s="806"/>
      <c r="W1620" s="806"/>
      <c r="AZ1620" s="806"/>
      <c r="BA1620" s="806"/>
      <c r="BB1620" s="806"/>
    </row>
    <row r="1621" spans="4:54">
      <c r="D1621" s="806"/>
      <c r="F1621" s="806"/>
      <c r="W1621" s="806"/>
      <c r="AZ1621" s="806"/>
      <c r="BA1621" s="806"/>
      <c r="BB1621" s="806"/>
    </row>
    <row r="1622" spans="4:54">
      <c r="D1622" s="806"/>
      <c r="F1622" s="806"/>
      <c r="W1622" s="806"/>
      <c r="AZ1622" s="806"/>
      <c r="BA1622" s="806"/>
      <c r="BB1622" s="806"/>
    </row>
    <row r="1623" spans="4:54">
      <c r="D1623" s="806"/>
      <c r="F1623" s="806"/>
      <c r="W1623" s="806"/>
      <c r="AZ1623" s="806"/>
      <c r="BA1623" s="806"/>
      <c r="BB1623" s="806"/>
    </row>
    <row r="1624" spans="4:54">
      <c r="D1624" s="806"/>
      <c r="F1624" s="806"/>
      <c r="W1624" s="806"/>
      <c r="AZ1624" s="806"/>
      <c r="BA1624" s="806"/>
      <c r="BB1624" s="806"/>
    </row>
    <row r="1625" spans="4:54">
      <c r="D1625" s="806"/>
      <c r="F1625" s="806"/>
      <c r="W1625" s="806"/>
      <c r="AZ1625" s="806"/>
      <c r="BA1625" s="806"/>
      <c r="BB1625" s="806"/>
    </row>
    <row r="1626" spans="4:54">
      <c r="D1626" s="806"/>
      <c r="F1626" s="806"/>
      <c r="W1626" s="806"/>
      <c r="AZ1626" s="806"/>
      <c r="BA1626" s="806"/>
      <c r="BB1626" s="806"/>
    </row>
    <row r="1627" spans="4:54">
      <c r="D1627" s="806"/>
      <c r="F1627" s="806"/>
      <c r="W1627" s="806"/>
      <c r="AZ1627" s="806"/>
      <c r="BA1627" s="806"/>
      <c r="BB1627" s="806"/>
    </row>
    <row r="1628" spans="4:54">
      <c r="D1628" s="806"/>
      <c r="F1628" s="806"/>
      <c r="W1628" s="806"/>
      <c r="AZ1628" s="806"/>
      <c r="BA1628" s="806"/>
      <c r="BB1628" s="806"/>
    </row>
    <row r="1629" spans="4:54">
      <c r="D1629" s="806"/>
      <c r="F1629" s="806"/>
      <c r="W1629" s="806"/>
      <c r="AZ1629" s="806"/>
      <c r="BA1629" s="806"/>
      <c r="BB1629" s="806"/>
    </row>
    <row r="1630" spans="4:54">
      <c r="D1630" s="806"/>
      <c r="F1630" s="806"/>
      <c r="W1630" s="806"/>
      <c r="AZ1630" s="806"/>
      <c r="BA1630" s="806"/>
      <c r="BB1630" s="806"/>
    </row>
    <row r="1631" spans="4:54">
      <c r="D1631" s="806"/>
      <c r="F1631" s="806"/>
      <c r="W1631" s="806"/>
      <c r="AZ1631" s="806"/>
      <c r="BA1631" s="806"/>
      <c r="BB1631" s="806"/>
    </row>
    <row r="1632" spans="4:54">
      <c r="D1632" s="806"/>
      <c r="F1632" s="806"/>
      <c r="W1632" s="806"/>
      <c r="AZ1632" s="806"/>
      <c r="BA1632" s="806"/>
      <c r="BB1632" s="806"/>
    </row>
    <row r="1633" spans="4:54">
      <c r="D1633" s="806"/>
      <c r="F1633" s="806"/>
      <c r="W1633" s="806"/>
      <c r="AZ1633" s="806"/>
      <c r="BA1633" s="806"/>
      <c r="BB1633" s="806"/>
    </row>
    <row r="1634" spans="4:54">
      <c r="D1634" s="806"/>
      <c r="F1634" s="806"/>
      <c r="W1634" s="806"/>
      <c r="AZ1634" s="806"/>
      <c r="BA1634" s="806"/>
      <c r="BB1634" s="806"/>
    </row>
    <row r="1635" spans="4:54">
      <c r="D1635" s="806"/>
      <c r="F1635" s="806"/>
      <c r="W1635" s="806"/>
      <c r="AZ1635" s="806"/>
      <c r="BA1635" s="806"/>
      <c r="BB1635" s="806"/>
    </row>
    <row r="1636" spans="4:54">
      <c r="D1636" s="806"/>
      <c r="F1636" s="806"/>
      <c r="W1636" s="806"/>
      <c r="AZ1636" s="806"/>
      <c r="BA1636" s="806"/>
      <c r="BB1636" s="806"/>
    </row>
    <row r="1637" spans="4:54">
      <c r="D1637" s="806"/>
      <c r="F1637" s="806"/>
      <c r="W1637" s="806"/>
      <c r="AZ1637" s="806"/>
      <c r="BA1637" s="806"/>
      <c r="BB1637" s="806"/>
    </row>
    <row r="1638" spans="4:54">
      <c r="D1638" s="806"/>
      <c r="F1638" s="806"/>
      <c r="W1638" s="806"/>
      <c r="AZ1638" s="806"/>
      <c r="BA1638" s="806"/>
      <c r="BB1638" s="806"/>
    </row>
    <row r="1639" spans="4:54">
      <c r="D1639" s="806"/>
      <c r="F1639" s="806"/>
      <c r="W1639" s="806"/>
      <c r="AZ1639" s="806"/>
      <c r="BA1639" s="806"/>
      <c r="BB1639" s="806"/>
    </row>
    <row r="1640" spans="4:54">
      <c r="D1640" s="806"/>
      <c r="F1640" s="806"/>
      <c r="W1640" s="806"/>
      <c r="AZ1640" s="806"/>
      <c r="BA1640" s="806"/>
      <c r="BB1640" s="806"/>
    </row>
    <row r="1641" spans="4:54">
      <c r="D1641" s="806"/>
      <c r="F1641" s="806"/>
      <c r="W1641" s="806"/>
      <c r="AZ1641" s="806"/>
      <c r="BA1641" s="806"/>
      <c r="BB1641" s="806"/>
    </row>
    <row r="1642" spans="4:54">
      <c r="D1642" s="806"/>
      <c r="F1642" s="806"/>
      <c r="W1642" s="806"/>
      <c r="AZ1642" s="806"/>
      <c r="BA1642" s="806"/>
      <c r="BB1642" s="806"/>
    </row>
    <row r="1643" spans="4:54">
      <c r="D1643" s="806"/>
      <c r="F1643" s="806"/>
      <c r="W1643" s="806"/>
      <c r="AZ1643" s="806"/>
      <c r="BA1643" s="806"/>
      <c r="BB1643" s="806"/>
    </row>
    <row r="1644" spans="4:54">
      <c r="D1644" s="806"/>
      <c r="F1644" s="806"/>
      <c r="W1644" s="806"/>
      <c r="AZ1644" s="806"/>
      <c r="BA1644" s="806"/>
      <c r="BB1644" s="806"/>
    </row>
    <row r="1645" spans="4:54">
      <c r="D1645" s="806"/>
      <c r="F1645" s="806"/>
      <c r="W1645" s="806"/>
      <c r="AZ1645" s="806"/>
      <c r="BA1645" s="806"/>
      <c r="BB1645" s="806"/>
    </row>
    <row r="1646" spans="4:54">
      <c r="D1646" s="806"/>
      <c r="F1646" s="806"/>
      <c r="W1646" s="806"/>
      <c r="AZ1646" s="806"/>
      <c r="BA1646" s="806"/>
      <c r="BB1646" s="806"/>
    </row>
    <row r="1647" spans="4:54">
      <c r="D1647" s="806"/>
      <c r="F1647" s="806"/>
      <c r="W1647" s="806"/>
      <c r="AZ1647" s="806"/>
      <c r="BA1647" s="806"/>
      <c r="BB1647" s="806"/>
    </row>
    <row r="1648" spans="4:54">
      <c r="D1648" s="806"/>
      <c r="F1648" s="806"/>
      <c r="W1648" s="806"/>
      <c r="AZ1648" s="806"/>
      <c r="BA1648" s="806"/>
      <c r="BB1648" s="806"/>
    </row>
    <row r="1649" spans="4:54">
      <c r="D1649" s="806"/>
      <c r="F1649" s="806"/>
      <c r="W1649" s="806"/>
      <c r="AZ1649" s="806"/>
      <c r="BA1649" s="806"/>
      <c r="BB1649" s="806"/>
    </row>
    <row r="1650" spans="4:54">
      <c r="D1650" s="806"/>
      <c r="F1650" s="806"/>
      <c r="W1650" s="806"/>
      <c r="AZ1650" s="806"/>
      <c r="BA1650" s="806"/>
      <c r="BB1650" s="806"/>
    </row>
    <row r="1651" spans="4:54">
      <c r="D1651" s="806"/>
      <c r="F1651" s="806"/>
      <c r="W1651" s="806"/>
      <c r="AZ1651" s="806"/>
      <c r="BA1651" s="806"/>
      <c r="BB1651" s="806"/>
    </row>
    <row r="1652" spans="4:54">
      <c r="D1652" s="806"/>
      <c r="F1652" s="806"/>
      <c r="W1652" s="806"/>
      <c r="AZ1652" s="806"/>
      <c r="BA1652" s="806"/>
      <c r="BB1652" s="806"/>
    </row>
    <row r="1653" spans="4:54">
      <c r="D1653" s="806"/>
      <c r="F1653" s="806"/>
      <c r="W1653" s="806"/>
      <c r="AZ1653" s="806"/>
      <c r="BA1653" s="806"/>
      <c r="BB1653" s="806"/>
    </row>
    <row r="1654" spans="4:54">
      <c r="D1654" s="806"/>
      <c r="F1654" s="806"/>
      <c r="W1654" s="806"/>
      <c r="AZ1654" s="806"/>
      <c r="BA1654" s="806"/>
      <c r="BB1654" s="806"/>
    </row>
    <row r="1655" spans="4:54">
      <c r="D1655" s="806"/>
      <c r="F1655" s="806"/>
      <c r="W1655" s="806"/>
      <c r="AZ1655" s="806"/>
      <c r="BA1655" s="806"/>
      <c r="BB1655" s="806"/>
    </row>
    <row r="1656" spans="4:54">
      <c r="D1656" s="806"/>
      <c r="F1656" s="806"/>
      <c r="W1656" s="806"/>
      <c r="AZ1656" s="806"/>
      <c r="BA1656" s="806"/>
      <c r="BB1656" s="806"/>
    </row>
    <row r="1657" spans="4:54">
      <c r="D1657" s="806"/>
      <c r="F1657" s="806"/>
      <c r="W1657" s="806"/>
      <c r="AZ1657" s="806"/>
      <c r="BA1657" s="806"/>
      <c r="BB1657" s="806"/>
    </row>
    <row r="1658" spans="4:54">
      <c r="D1658" s="806"/>
      <c r="F1658" s="806"/>
      <c r="W1658" s="806"/>
      <c r="AZ1658" s="806"/>
      <c r="BA1658" s="806"/>
      <c r="BB1658" s="806"/>
    </row>
    <row r="1659" spans="4:54">
      <c r="D1659" s="806"/>
      <c r="F1659" s="806"/>
      <c r="W1659" s="806"/>
      <c r="AZ1659" s="806"/>
      <c r="BA1659" s="806"/>
      <c r="BB1659" s="806"/>
    </row>
    <row r="1660" spans="4:54">
      <c r="D1660" s="806"/>
      <c r="F1660" s="806"/>
      <c r="W1660" s="806"/>
      <c r="AZ1660" s="806"/>
      <c r="BA1660" s="806"/>
      <c r="BB1660" s="806"/>
    </row>
    <row r="1661" spans="4:54">
      <c r="D1661" s="806"/>
      <c r="F1661" s="806"/>
      <c r="W1661" s="806"/>
      <c r="AZ1661" s="806"/>
      <c r="BA1661" s="806"/>
      <c r="BB1661" s="806"/>
    </row>
    <row r="1662" spans="4:54">
      <c r="D1662" s="806"/>
      <c r="F1662" s="806"/>
      <c r="W1662" s="806"/>
      <c r="AZ1662" s="806"/>
      <c r="BA1662" s="806"/>
      <c r="BB1662" s="806"/>
    </row>
    <row r="1663" spans="4:54">
      <c r="D1663" s="806"/>
      <c r="F1663" s="806"/>
      <c r="W1663" s="806"/>
      <c r="AZ1663" s="806"/>
      <c r="BA1663" s="806"/>
      <c r="BB1663" s="806"/>
    </row>
    <row r="1664" spans="4:54">
      <c r="D1664" s="806"/>
      <c r="F1664" s="806"/>
      <c r="W1664" s="806"/>
      <c r="AZ1664" s="806"/>
      <c r="BA1664" s="806"/>
      <c r="BB1664" s="806"/>
    </row>
    <row r="1665" spans="4:54">
      <c r="D1665" s="806"/>
      <c r="F1665" s="806"/>
      <c r="W1665" s="806"/>
      <c r="AZ1665" s="806"/>
      <c r="BA1665" s="806"/>
      <c r="BB1665" s="806"/>
    </row>
    <row r="1666" spans="4:54">
      <c r="D1666" s="806"/>
      <c r="F1666" s="806"/>
      <c r="W1666" s="806"/>
      <c r="AZ1666" s="806"/>
      <c r="BA1666" s="806"/>
      <c r="BB1666" s="806"/>
    </row>
    <row r="1667" spans="4:54">
      <c r="D1667" s="806"/>
      <c r="F1667" s="806"/>
      <c r="W1667" s="806"/>
      <c r="AZ1667" s="806"/>
      <c r="BA1667" s="806"/>
      <c r="BB1667" s="806"/>
    </row>
    <row r="1668" spans="4:54">
      <c r="D1668" s="806"/>
      <c r="F1668" s="806"/>
      <c r="W1668" s="806"/>
      <c r="AZ1668" s="806"/>
      <c r="BA1668" s="806"/>
      <c r="BB1668" s="806"/>
    </row>
    <row r="1669" spans="4:54">
      <c r="D1669" s="806"/>
      <c r="F1669" s="806"/>
      <c r="W1669" s="806"/>
      <c r="AZ1669" s="806"/>
      <c r="BA1669" s="806"/>
      <c r="BB1669" s="806"/>
    </row>
    <row r="1670" spans="4:54">
      <c r="D1670" s="806"/>
      <c r="F1670" s="806"/>
      <c r="W1670" s="806"/>
      <c r="AZ1670" s="806"/>
      <c r="BA1670" s="806"/>
      <c r="BB1670" s="806"/>
    </row>
    <row r="1671" spans="4:54">
      <c r="D1671" s="806"/>
      <c r="F1671" s="806"/>
      <c r="W1671" s="806"/>
      <c r="AZ1671" s="806"/>
      <c r="BA1671" s="806"/>
      <c r="BB1671" s="806"/>
    </row>
    <row r="1672" spans="4:54">
      <c r="D1672" s="806"/>
      <c r="F1672" s="806"/>
      <c r="W1672" s="806"/>
      <c r="AZ1672" s="806"/>
      <c r="BA1672" s="806"/>
      <c r="BB1672" s="806"/>
    </row>
    <row r="1673" spans="4:54">
      <c r="D1673" s="806"/>
      <c r="F1673" s="806"/>
      <c r="W1673" s="806"/>
      <c r="AZ1673" s="806"/>
      <c r="BA1673" s="806"/>
      <c r="BB1673" s="806"/>
    </row>
    <row r="1674" spans="4:54">
      <c r="D1674" s="806"/>
      <c r="F1674" s="806"/>
      <c r="W1674" s="806"/>
      <c r="AZ1674" s="806"/>
      <c r="BA1674" s="806"/>
      <c r="BB1674" s="806"/>
    </row>
    <row r="1675" spans="4:54">
      <c r="D1675" s="806"/>
      <c r="F1675" s="806"/>
      <c r="W1675" s="806"/>
      <c r="AZ1675" s="806"/>
      <c r="BA1675" s="806"/>
      <c r="BB1675" s="806"/>
    </row>
    <row r="1676" spans="4:54">
      <c r="D1676" s="806"/>
      <c r="F1676" s="806"/>
      <c r="W1676" s="806"/>
      <c r="AZ1676" s="806"/>
      <c r="BA1676" s="806"/>
      <c r="BB1676" s="806"/>
    </row>
    <row r="1677" spans="4:54">
      <c r="D1677" s="806"/>
      <c r="F1677" s="806"/>
      <c r="W1677" s="806"/>
      <c r="AZ1677" s="806"/>
      <c r="BA1677" s="806"/>
      <c r="BB1677" s="806"/>
    </row>
    <row r="1678" spans="4:54">
      <c r="D1678" s="806"/>
      <c r="F1678" s="806"/>
      <c r="W1678" s="806"/>
      <c r="AZ1678" s="806"/>
      <c r="BA1678" s="806"/>
      <c r="BB1678" s="806"/>
    </row>
    <row r="1679" spans="4:54">
      <c r="D1679" s="806"/>
      <c r="F1679" s="806"/>
      <c r="W1679" s="806"/>
      <c r="AZ1679" s="806"/>
      <c r="BA1679" s="806"/>
      <c r="BB1679" s="806"/>
    </row>
    <row r="1680" spans="4:54">
      <c r="D1680" s="806"/>
      <c r="F1680" s="806"/>
      <c r="W1680" s="806"/>
      <c r="AZ1680" s="806"/>
      <c r="BA1680" s="806"/>
      <c r="BB1680" s="806"/>
    </row>
    <row r="1681" spans="4:54">
      <c r="D1681" s="806"/>
      <c r="F1681" s="806"/>
      <c r="W1681" s="806"/>
      <c r="AZ1681" s="806"/>
      <c r="BA1681" s="806"/>
      <c r="BB1681" s="806"/>
    </row>
    <row r="1682" spans="4:54">
      <c r="D1682" s="806"/>
      <c r="F1682" s="806"/>
      <c r="W1682" s="806"/>
      <c r="AZ1682" s="806"/>
      <c r="BA1682" s="806"/>
      <c r="BB1682" s="806"/>
    </row>
    <row r="1683" spans="4:54">
      <c r="D1683" s="806"/>
      <c r="F1683" s="806"/>
      <c r="W1683" s="806"/>
      <c r="AZ1683" s="806"/>
      <c r="BA1683" s="806"/>
      <c r="BB1683" s="806"/>
    </row>
    <row r="1684" spans="4:54">
      <c r="D1684" s="806"/>
      <c r="F1684" s="806"/>
      <c r="W1684" s="806"/>
      <c r="AZ1684" s="806"/>
      <c r="BA1684" s="806"/>
      <c r="BB1684" s="806"/>
    </row>
    <row r="1685" spans="4:54">
      <c r="D1685" s="806"/>
      <c r="F1685" s="806"/>
      <c r="W1685" s="806"/>
      <c r="AZ1685" s="806"/>
      <c r="BA1685" s="806"/>
      <c r="BB1685" s="806"/>
    </row>
    <row r="1686" spans="4:54">
      <c r="D1686" s="806"/>
      <c r="F1686" s="806"/>
      <c r="W1686" s="806"/>
      <c r="AZ1686" s="806"/>
      <c r="BA1686" s="806"/>
      <c r="BB1686" s="806"/>
    </row>
    <row r="1687" spans="4:54">
      <c r="D1687" s="806"/>
      <c r="F1687" s="806"/>
      <c r="W1687" s="806"/>
      <c r="AZ1687" s="806"/>
      <c r="BA1687" s="806"/>
      <c r="BB1687" s="806"/>
    </row>
    <row r="1688" spans="4:54">
      <c r="D1688" s="806"/>
      <c r="F1688" s="806"/>
      <c r="W1688" s="806"/>
      <c r="AZ1688" s="806"/>
      <c r="BA1688" s="806"/>
      <c r="BB1688" s="806"/>
    </row>
    <row r="1689" spans="4:54">
      <c r="D1689" s="806"/>
      <c r="F1689" s="806"/>
      <c r="W1689" s="806"/>
      <c r="AZ1689" s="806"/>
      <c r="BA1689" s="806"/>
      <c r="BB1689" s="806"/>
    </row>
    <row r="1690" spans="4:54">
      <c r="D1690" s="806"/>
      <c r="F1690" s="806"/>
      <c r="W1690" s="806"/>
      <c r="AZ1690" s="806"/>
      <c r="BA1690" s="806"/>
      <c r="BB1690" s="806"/>
    </row>
    <row r="1691" spans="4:54">
      <c r="D1691" s="806"/>
      <c r="F1691" s="806"/>
      <c r="W1691" s="806"/>
      <c r="AZ1691" s="806"/>
      <c r="BA1691" s="806"/>
      <c r="BB1691" s="806"/>
    </row>
    <row r="1692" spans="4:54">
      <c r="D1692" s="806"/>
      <c r="F1692" s="806"/>
      <c r="W1692" s="806"/>
      <c r="AZ1692" s="806"/>
      <c r="BA1692" s="806"/>
      <c r="BB1692" s="806"/>
    </row>
    <row r="1693" spans="4:54">
      <c r="D1693" s="806"/>
      <c r="F1693" s="806"/>
      <c r="W1693" s="806"/>
      <c r="AZ1693" s="806"/>
      <c r="BA1693" s="806"/>
      <c r="BB1693" s="806"/>
    </row>
    <row r="1694" spans="4:54">
      <c r="D1694" s="806"/>
      <c r="F1694" s="806"/>
      <c r="W1694" s="806"/>
      <c r="AZ1694" s="806"/>
      <c r="BA1694" s="806"/>
      <c r="BB1694" s="806"/>
    </row>
    <row r="1695" spans="4:54">
      <c r="D1695" s="806"/>
      <c r="F1695" s="806"/>
      <c r="W1695" s="806"/>
      <c r="AZ1695" s="806"/>
      <c r="BA1695" s="806"/>
      <c r="BB1695" s="806"/>
    </row>
    <row r="1696" spans="4:54">
      <c r="D1696" s="806"/>
      <c r="F1696" s="806"/>
      <c r="W1696" s="806"/>
      <c r="AZ1696" s="806"/>
      <c r="BA1696" s="806"/>
      <c r="BB1696" s="806"/>
    </row>
    <row r="1697" spans="4:54">
      <c r="D1697" s="806"/>
      <c r="F1697" s="806"/>
      <c r="W1697" s="806"/>
      <c r="AZ1697" s="806"/>
      <c r="BA1697" s="806"/>
      <c r="BB1697" s="806"/>
    </row>
    <row r="1698" spans="4:54">
      <c r="D1698" s="806"/>
      <c r="F1698" s="806"/>
      <c r="W1698" s="806"/>
      <c r="AZ1698" s="806"/>
      <c r="BA1698" s="806"/>
      <c r="BB1698" s="806"/>
    </row>
    <row r="1699" spans="4:54">
      <c r="D1699" s="806"/>
      <c r="F1699" s="806"/>
      <c r="W1699" s="806"/>
      <c r="AZ1699" s="806"/>
      <c r="BA1699" s="806"/>
      <c r="BB1699" s="806"/>
    </row>
    <row r="1700" spans="4:54">
      <c r="D1700" s="806"/>
      <c r="F1700" s="806"/>
      <c r="W1700" s="806"/>
      <c r="AZ1700" s="806"/>
      <c r="BA1700" s="806"/>
      <c r="BB1700" s="806"/>
    </row>
    <row r="1701" spans="4:54">
      <c r="D1701" s="806"/>
      <c r="F1701" s="806"/>
      <c r="W1701" s="806"/>
      <c r="AZ1701" s="806"/>
      <c r="BA1701" s="806"/>
      <c r="BB1701" s="806"/>
    </row>
    <row r="1702" spans="4:54">
      <c r="D1702" s="806"/>
      <c r="F1702" s="806"/>
      <c r="W1702" s="806"/>
      <c r="AZ1702" s="806"/>
      <c r="BA1702" s="806"/>
      <c r="BB1702" s="806"/>
    </row>
    <row r="1703" spans="4:54">
      <c r="D1703" s="806"/>
      <c r="F1703" s="806"/>
      <c r="W1703" s="806"/>
      <c r="AZ1703" s="806"/>
      <c r="BA1703" s="806"/>
      <c r="BB1703" s="806"/>
    </row>
    <row r="1704" spans="4:54">
      <c r="D1704" s="806"/>
      <c r="F1704" s="806"/>
      <c r="W1704" s="806"/>
      <c r="AZ1704" s="806"/>
      <c r="BA1704" s="806"/>
      <c r="BB1704" s="806"/>
    </row>
    <row r="1705" spans="4:54">
      <c r="D1705" s="806"/>
      <c r="F1705" s="806"/>
      <c r="W1705" s="806"/>
      <c r="AZ1705" s="806"/>
      <c r="BA1705" s="806"/>
      <c r="BB1705" s="806"/>
    </row>
    <row r="1706" spans="4:54">
      <c r="D1706" s="806"/>
      <c r="F1706" s="806"/>
      <c r="W1706" s="806"/>
      <c r="AZ1706" s="806"/>
      <c r="BA1706" s="806"/>
      <c r="BB1706" s="806"/>
    </row>
    <row r="1707" spans="4:54">
      <c r="D1707" s="806"/>
      <c r="F1707" s="806"/>
      <c r="W1707" s="806"/>
      <c r="AZ1707" s="806"/>
      <c r="BA1707" s="806"/>
      <c r="BB1707" s="806"/>
    </row>
    <row r="1708" spans="4:54">
      <c r="D1708" s="806"/>
      <c r="F1708" s="806"/>
      <c r="W1708" s="806"/>
      <c r="AZ1708" s="806"/>
      <c r="BA1708" s="806"/>
      <c r="BB1708" s="806"/>
    </row>
    <row r="1709" spans="4:54">
      <c r="D1709" s="806"/>
      <c r="F1709" s="806"/>
      <c r="W1709" s="806"/>
      <c r="AZ1709" s="806"/>
      <c r="BA1709" s="806"/>
      <c r="BB1709" s="806"/>
    </row>
    <row r="1710" spans="4:54">
      <c r="D1710" s="806"/>
      <c r="F1710" s="806"/>
      <c r="W1710" s="806"/>
      <c r="AZ1710" s="806"/>
      <c r="BA1710" s="806"/>
      <c r="BB1710" s="806"/>
    </row>
    <row r="1711" spans="4:54">
      <c r="D1711" s="806"/>
      <c r="F1711" s="806"/>
      <c r="W1711" s="806"/>
      <c r="AZ1711" s="806"/>
      <c r="BA1711" s="806"/>
      <c r="BB1711" s="806"/>
    </row>
    <row r="1712" spans="4:54">
      <c r="D1712" s="806"/>
      <c r="F1712" s="806"/>
      <c r="W1712" s="806"/>
      <c r="AZ1712" s="806"/>
      <c r="BA1712" s="806"/>
      <c r="BB1712" s="806"/>
    </row>
    <row r="1713" spans="4:54">
      <c r="D1713" s="806"/>
      <c r="F1713" s="806"/>
      <c r="W1713" s="806"/>
      <c r="AZ1713" s="806"/>
      <c r="BA1713" s="806"/>
      <c r="BB1713" s="806"/>
    </row>
    <row r="1714" spans="4:54">
      <c r="D1714" s="806"/>
      <c r="F1714" s="806"/>
      <c r="W1714" s="806"/>
      <c r="AZ1714" s="806"/>
      <c r="BA1714" s="806"/>
      <c r="BB1714" s="806"/>
    </row>
    <row r="1715" spans="4:54">
      <c r="D1715" s="806"/>
      <c r="F1715" s="806"/>
      <c r="W1715" s="806"/>
      <c r="AZ1715" s="806"/>
      <c r="BA1715" s="806"/>
      <c r="BB1715" s="806"/>
    </row>
    <row r="1716" spans="4:54">
      <c r="D1716" s="806"/>
      <c r="F1716" s="806"/>
      <c r="W1716" s="806"/>
      <c r="AZ1716" s="806"/>
      <c r="BA1716" s="806"/>
      <c r="BB1716" s="806"/>
    </row>
    <row r="1717" spans="4:54">
      <c r="D1717" s="806"/>
      <c r="F1717" s="806"/>
      <c r="W1717" s="806"/>
      <c r="AZ1717" s="806"/>
      <c r="BA1717" s="806"/>
      <c r="BB1717" s="806"/>
    </row>
    <row r="1718" spans="4:54">
      <c r="D1718" s="806"/>
      <c r="F1718" s="806"/>
      <c r="W1718" s="806"/>
      <c r="AZ1718" s="806"/>
      <c r="BA1718" s="806"/>
      <c r="BB1718" s="806"/>
    </row>
    <row r="1719" spans="4:54">
      <c r="D1719" s="806"/>
      <c r="F1719" s="806"/>
      <c r="W1719" s="806"/>
      <c r="AZ1719" s="806"/>
      <c r="BA1719" s="806"/>
      <c r="BB1719" s="806"/>
    </row>
    <row r="1720" spans="4:54">
      <c r="D1720" s="806"/>
      <c r="F1720" s="806"/>
      <c r="W1720" s="806"/>
      <c r="AZ1720" s="806"/>
      <c r="BA1720" s="806"/>
      <c r="BB1720" s="806"/>
    </row>
    <row r="1721" spans="4:54">
      <c r="D1721" s="806"/>
      <c r="F1721" s="806"/>
      <c r="W1721" s="806"/>
      <c r="AZ1721" s="806"/>
      <c r="BA1721" s="806"/>
      <c r="BB1721" s="806"/>
    </row>
    <row r="1722" spans="4:54">
      <c r="D1722" s="806"/>
      <c r="F1722" s="806"/>
      <c r="W1722" s="806"/>
      <c r="AZ1722" s="806"/>
      <c r="BA1722" s="806"/>
      <c r="BB1722" s="806"/>
    </row>
    <row r="1723" spans="4:54">
      <c r="D1723" s="806"/>
      <c r="F1723" s="806"/>
      <c r="W1723" s="806"/>
      <c r="AZ1723" s="806"/>
      <c r="BA1723" s="806"/>
      <c r="BB1723" s="806"/>
    </row>
    <row r="1724" spans="4:54">
      <c r="D1724" s="806"/>
      <c r="F1724" s="806"/>
      <c r="W1724" s="806"/>
      <c r="AZ1724" s="806"/>
      <c r="BA1724" s="806"/>
      <c r="BB1724" s="806"/>
    </row>
    <row r="1725" spans="4:54">
      <c r="D1725" s="806"/>
      <c r="F1725" s="806"/>
      <c r="W1725" s="806"/>
      <c r="AZ1725" s="806"/>
      <c r="BA1725" s="806"/>
      <c r="BB1725" s="806"/>
    </row>
    <row r="1726" spans="4:54">
      <c r="D1726" s="806"/>
      <c r="F1726" s="806"/>
      <c r="W1726" s="806"/>
      <c r="AZ1726" s="806"/>
      <c r="BA1726" s="806"/>
      <c r="BB1726" s="806"/>
    </row>
    <row r="1727" spans="4:54">
      <c r="D1727" s="806"/>
      <c r="F1727" s="806"/>
      <c r="W1727" s="806"/>
      <c r="AZ1727" s="806"/>
      <c r="BA1727" s="806"/>
      <c r="BB1727" s="806"/>
    </row>
    <row r="1728" spans="4:54">
      <c r="D1728" s="806"/>
      <c r="F1728" s="806"/>
      <c r="W1728" s="806"/>
      <c r="AZ1728" s="806"/>
      <c r="BA1728" s="806"/>
      <c r="BB1728" s="806"/>
    </row>
    <row r="1729" spans="4:54">
      <c r="D1729" s="806"/>
      <c r="F1729" s="806"/>
      <c r="W1729" s="806"/>
      <c r="AZ1729" s="806"/>
      <c r="BA1729" s="806"/>
      <c r="BB1729" s="806"/>
    </row>
    <row r="1730" spans="4:54">
      <c r="D1730" s="806"/>
      <c r="F1730" s="806"/>
      <c r="W1730" s="806"/>
      <c r="AZ1730" s="806"/>
      <c r="BA1730" s="806"/>
      <c r="BB1730" s="806"/>
    </row>
    <row r="1731" spans="4:54">
      <c r="D1731" s="806"/>
      <c r="F1731" s="806"/>
      <c r="W1731" s="806"/>
      <c r="AZ1731" s="806"/>
      <c r="BA1731" s="806"/>
      <c r="BB1731" s="806"/>
    </row>
    <row r="1732" spans="4:54">
      <c r="D1732" s="806"/>
      <c r="F1732" s="806"/>
      <c r="W1732" s="806"/>
      <c r="AZ1732" s="806"/>
      <c r="BA1732" s="806"/>
      <c r="BB1732" s="806"/>
    </row>
    <row r="1733" spans="4:54">
      <c r="D1733" s="806"/>
      <c r="F1733" s="806"/>
      <c r="W1733" s="806"/>
      <c r="AZ1733" s="806"/>
      <c r="BA1733" s="806"/>
      <c r="BB1733" s="806"/>
    </row>
    <row r="1734" spans="4:54">
      <c r="D1734" s="806"/>
      <c r="F1734" s="806"/>
      <c r="W1734" s="806"/>
      <c r="AZ1734" s="806"/>
      <c r="BA1734" s="806"/>
      <c r="BB1734" s="806"/>
    </row>
    <row r="1735" spans="4:54">
      <c r="D1735" s="806"/>
      <c r="F1735" s="806"/>
      <c r="W1735" s="806"/>
      <c r="AZ1735" s="806"/>
      <c r="BA1735" s="806"/>
      <c r="BB1735" s="806"/>
    </row>
    <row r="1736" spans="4:54">
      <c r="D1736" s="806"/>
      <c r="F1736" s="806"/>
      <c r="W1736" s="806"/>
      <c r="AZ1736" s="806"/>
      <c r="BA1736" s="806"/>
      <c r="BB1736" s="806"/>
    </row>
    <row r="1737" spans="4:54">
      <c r="D1737" s="806"/>
      <c r="F1737" s="806"/>
      <c r="W1737" s="806"/>
      <c r="AZ1737" s="806"/>
      <c r="BA1737" s="806"/>
      <c r="BB1737" s="806"/>
    </row>
    <row r="1738" spans="4:54">
      <c r="D1738" s="806"/>
      <c r="F1738" s="806"/>
      <c r="W1738" s="806"/>
      <c r="AZ1738" s="806"/>
      <c r="BA1738" s="806"/>
      <c r="BB1738" s="806"/>
    </row>
    <row r="1739" spans="4:54">
      <c r="D1739" s="806"/>
      <c r="F1739" s="806"/>
      <c r="W1739" s="806"/>
      <c r="AZ1739" s="806"/>
      <c r="BA1739" s="806"/>
      <c r="BB1739" s="806"/>
    </row>
    <row r="1740" spans="4:54">
      <c r="D1740" s="806"/>
      <c r="F1740" s="806"/>
      <c r="W1740" s="806"/>
      <c r="AZ1740" s="806"/>
      <c r="BA1740" s="806"/>
      <c r="BB1740" s="806"/>
    </row>
    <row r="1741" spans="4:54">
      <c r="D1741" s="806"/>
      <c r="F1741" s="806"/>
      <c r="W1741" s="806"/>
      <c r="AZ1741" s="806"/>
      <c r="BA1741" s="806"/>
      <c r="BB1741" s="806"/>
    </row>
    <row r="1742" spans="4:54">
      <c r="D1742" s="806"/>
      <c r="F1742" s="806"/>
      <c r="W1742" s="806"/>
      <c r="AZ1742" s="806"/>
      <c r="BA1742" s="806"/>
      <c r="BB1742" s="806"/>
    </row>
    <row r="1743" spans="4:54">
      <c r="D1743" s="806"/>
      <c r="F1743" s="806"/>
      <c r="W1743" s="806"/>
      <c r="AZ1743" s="806"/>
      <c r="BA1743" s="806"/>
      <c r="BB1743" s="806"/>
    </row>
    <row r="1744" spans="4:54">
      <c r="D1744" s="806"/>
      <c r="F1744" s="806"/>
      <c r="W1744" s="806"/>
      <c r="AZ1744" s="806"/>
      <c r="BA1744" s="806"/>
      <c r="BB1744" s="806"/>
    </row>
    <row r="1745" spans="4:54">
      <c r="D1745" s="806"/>
      <c r="F1745" s="806"/>
      <c r="W1745" s="806"/>
      <c r="AZ1745" s="806"/>
      <c r="BA1745" s="806"/>
      <c r="BB1745" s="806"/>
    </row>
    <row r="1746" spans="4:54">
      <c r="D1746" s="806"/>
      <c r="F1746" s="806"/>
      <c r="W1746" s="806"/>
      <c r="AZ1746" s="806"/>
      <c r="BA1746" s="806"/>
      <c r="BB1746" s="806"/>
    </row>
    <row r="1747" spans="4:54">
      <c r="D1747" s="806"/>
      <c r="F1747" s="806"/>
      <c r="W1747" s="806"/>
      <c r="AZ1747" s="806"/>
      <c r="BA1747" s="806"/>
      <c r="BB1747" s="806"/>
    </row>
    <row r="1748" spans="4:54">
      <c r="D1748" s="806"/>
      <c r="F1748" s="806"/>
      <c r="W1748" s="806"/>
      <c r="AZ1748" s="806"/>
      <c r="BA1748" s="806"/>
      <c r="BB1748" s="806"/>
    </row>
    <row r="1749" spans="4:54">
      <c r="D1749" s="806"/>
      <c r="F1749" s="806"/>
      <c r="W1749" s="806"/>
      <c r="AZ1749" s="806"/>
      <c r="BA1749" s="806"/>
      <c r="BB1749" s="806"/>
    </row>
    <row r="1750" spans="4:54">
      <c r="D1750" s="806"/>
      <c r="F1750" s="806"/>
      <c r="W1750" s="806"/>
      <c r="AZ1750" s="806"/>
      <c r="BA1750" s="806"/>
      <c r="BB1750" s="806"/>
    </row>
    <row r="1751" spans="4:54">
      <c r="D1751" s="806"/>
      <c r="F1751" s="806"/>
      <c r="W1751" s="806"/>
      <c r="AZ1751" s="806"/>
      <c r="BA1751" s="806"/>
      <c r="BB1751" s="806"/>
    </row>
    <row r="1752" spans="4:54">
      <c r="D1752" s="806"/>
      <c r="F1752" s="806"/>
      <c r="W1752" s="806"/>
      <c r="AZ1752" s="806"/>
      <c r="BA1752" s="806"/>
      <c r="BB1752" s="806"/>
    </row>
    <row r="1753" spans="4:54">
      <c r="D1753" s="806"/>
      <c r="F1753" s="806"/>
      <c r="W1753" s="806"/>
      <c r="AZ1753" s="806"/>
      <c r="BA1753" s="806"/>
      <c r="BB1753" s="806"/>
    </row>
    <row r="1754" spans="4:54">
      <c r="D1754" s="806"/>
      <c r="F1754" s="806"/>
      <c r="W1754" s="806"/>
      <c r="AZ1754" s="806"/>
      <c r="BA1754" s="806"/>
      <c r="BB1754" s="806"/>
    </row>
    <row r="1755" spans="4:54">
      <c r="D1755" s="806"/>
      <c r="F1755" s="806"/>
      <c r="W1755" s="806"/>
      <c r="AZ1755" s="806"/>
      <c r="BA1755" s="806"/>
      <c r="BB1755" s="806"/>
    </row>
    <row r="1756" spans="4:54">
      <c r="D1756" s="806"/>
      <c r="F1756" s="806"/>
      <c r="W1756" s="806"/>
      <c r="AZ1756" s="806"/>
      <c r="BA1756" s="806"/>
      <c r="BB1756" s="806"/>
    </row>
    <row r="1757" spans="4:54">
      <c r="D1757" s="806"/>
      <c r="F1757" s="806"/>
      <c r="W1757" s="806"/>
      <c r="AZ1757" s="806"/>
      <c r="BA1757" s="806"/>
      <c r="BB1757" s="806"/>
    </row>
    <row r="1758" spans="4:54">
      <c r="D1758" s="806"/>
      <c r="F1758" s="806"/>
      <c r="W1758" s="806"/>
      <c r="AZ1758" s="806"/>
      <c r="BA1758" s="806"/>
      <c r="BB1758" s="806"/>
    </row>
    <row r="1759" spans="4:54">
      <c r="D1759" s="806"/>
      <c r="F1759" s="806"/>
      <c r="W1759" s="806"/>
      <c r="AZ1759" s="806"/>
      <c r="BA1759" s="806"/>
      <c r="BB1759" s="806"/>
    </row>
    <row r="1760" spans="4:54">
      <c r="D1760" s="806"/>
      <c r="F1760" s="806"/>
      <c r="W1760" s="806"/>
      <c r="AZ1760" s="806"/>
      <c r="BA1760" s="806"/>
      <c r="BB1760" s="806"/>
    </row>
    <row r="1761" spans="4:54">
      <c r="D1761" s="806"/>
      <c r="F1761" s="806"/>
      <c r="W1761" s="806"/>
      <c r="AZ1761" s="806"/>
      <c r="BA1761" s="806"/>
      <c r="BB1761" s="806"/>
    </row>
    <row r="1762" spans="4:54">
      <c r="D1762" s="806"/>
      <c r="F1762" s="806"/>
      <c r="W1762" s="806"/>
      <c r="AZ1762" s="806"/>
      <c r="BA1762" s="806"/>
      <c r="BB1762" s="806"/>
    </row>
    <row r="1763" spans="4:54">
      <c r="D1763" s="806"/>
      <c r="F1763" s="806"/>
      <c r="W1763" s="806"/>
      <c r="AZ1763" s="806"/>
      <c r="BA1763" s="806"/>
      <c r="BB1763" s="806"/>
    </row>
    <row r="1764" spans="4:54">
      <c r="D1764" s="806"/>
      <c r="F1764" s="806"/>
      <c r="W1764" s="806"/>
      <c r="AZ1764" s="806"/>
      <c r="BA1764" s="806"/>
      <c r="BB1764" s="806"/>
    </row>
    <row r="1765" spans="4:54">
      <c r="D1765" s="806"/>
      <c r="F1765" s="806"/>
      <c r="W1765" s="806"/>
      <c r="AZ1765" s="806"/>
      <c r="BA1765" s="806"/>
      <c r="BB1765" s="806"/>
    </row>
    <row r="1766" spans="4:54">
      <c r="D1766" s="806"/>
      <c r="F1766" s="806"/>
      <c r="W1766" s="806"/>
      <c r="AZ1766" s="806"/>
      <c r="BA1766" s="806"/>
      <c r="BB1766" s="806"/>
    </row>
    <row r="1767" spans="4:54">
      <c r="D1767" s="806"/>
      <c r="F1767" s="806"/>
      <c r="W1767" s="806"/>
      <c r="AZ1767" s="806"/>
      <c r="BA1767" s="806"/>
      <c r="BB1767" s="806"/>
    </row>
    <row r="1768" spans="4:54">
      <c r="D1768" s="806"/>
      <c r="F1768" s="806"/>
      <c r="W1768" s="806"/>
      <c r="AZ1768" s="806"/>
      <c r="BA1768" s="806"/>
      <c r="BB1768" s="806"/>
    </row>
    <row r="1769" spans="4:54">
      <c r="D1769" s="806"/>
      <c r="F1769" s="806"/>
      <c r="W1769" s="806"/>
      <c r="AZ1769" s="806"/>
      <c r="BA1769" s="806"/>
      <c r="BB1769" s="806"/>
    </row>
    <row r="1770" spans="4:54">
      <c r="D1770" s="806"/>
      <c r="F1770" s="806"/>
      <c r="W1770" s="806"/>
      <c r="AZ1770" s="806"/>
      <c r="BA1770" s="806"/>
      <c r="BB1770" s="806"/>
    </row>
    <row r="1771" spans="4:54">
      <c r="D1771" s="806"/>
      <c r="F1771" s="806"/>
      <c r="W1771" s="806"/>
      <c r="AZ1771" s="806"/>
      <c r="BA1771" s="806"/>
      <c r="BB1771" s="806"/>
    </row>
    <row r="1772" spans="4:54">
      <c r="D1772" s="806"/>
      <c r="F1772" s="806"/>
      <c r="W1772" s="806"/>
      <c r="AZ1772" s="806"/>
      <c r="BA1772" s="806"/>
      <c r="BB1772" s="806"/>
    </row>
    <row r="1773" spans="4:54">
      <c r="D1773" s="806"/>
      <c r="F1773" s="806"/>
      <c r="W1773" s="806"/>
      <c r="AZ1773" s="806"/>
      <c r="BA1773" s="806"/>
      <c r="BB1773" s="806"/>
    </row>
    <row r="1774" spans="4:54">
      <c r="D1774" s="806"/>
      <c r="F1774" s="806"/>
      <c r="W1774" s="806"/>
      <c r="AZ1774" s="806"/>
      <c r="BA1774" s="806"/>
      <c r="BB1774" s="806"/>
    </row>
    <row r="1775" spans="4:54">
      <c r="D1775" s="806"/>
      <c r="F1775" s="806"/>
      <c r="W1775" s="806"/>
      <c r="AZ1775" s="806"/>
      <c r="BA1775" s="806"/>
      <c r="BB1775" s="806"/>
    </row>
    <row r="1776" spans="4:54">
      <c r="D1776" s="806"/>
      <c r="F1776" s="806"/>
      <c r="W1776" s="806"/>
      <c r="AZ1776" s="806"/>
      <c r="BA1776" s="806"/>
      <c r="BB1776" s="806"/>
    </row>
    <row r="1777" spans="4:54">
      <c r="D1777" s="806"/>
      <c r="F1777" s="806"/>
      <c r="W1777" s="806"/>
      <c r="AZ1777" s="806"/>
      <c r="BA1777" s="806"/>
      <c r="BB1777" s="806"/>
    </row>
    <row r="1778" spans="4:54">
      <c r="D1778" s="806"/>
      <c r="F1778" s="806"/>
      <c r="W1778" s="806"/>
      <c r="AZ1778" s="806"/>
      <c r="BA1778" s="806"/>
      <c r="BB1778" s="806"/>
    </row>
    <row r="1779" spans="4:54">
      <c r="D1779" s="806"/>
      <c r="F1779" s="806"/>
      <c r="W1779" s="806"/>
      <c r="AZ1779" s="806"/>
      <c r="BA1779" s="806"/>
      <c r="BB1779" s="806"/>
    </row>
    <row r="1780" spans="4:54">
      <c r="D1780" s="806"/>
      <c r="F1780" s="806"/>
      <c r="W1780" s="806"/>
      <c r="AZ1780" s="806"/>
      <c r="BA1780" s="806"/>
      <c r="BB1780" s="806"/>
    </row>
    <row r="1781" spans="4:54">
      <c r="D1781" s="806"/>
      <c r="F1781" s="806"/>
      <c r="W1781" s="806"/>
      <c r="AZ1781" s="806"/>
      <c r="BA1781" s="806"/>
      <c r="BB1781" s="806"/>
    </row>
    <row r="1782" spans="4:54">
      <c r="D1782" s="806"/>
      <c r="F1782" s="806"/>
      <c r="W1782" s="806"/>
      <c r="AZ1782" s="806"/>
      <c r="BA1782" s="806"/>
      <c r="BB1782" s="806"/>
    </row>
    <row r="1783" spans="4:54">
      <c r="D1783" s="806"/>
      <c r="F1783" s="806"/>
      <c r="W1783" s="806"/>
      <c r="AZ1783" s="806"/>
      <c r="BA1783" s="806"/>
      <c r="BB1783" s="806"/>
    </row>
    <row r="1784" spans="4:54">
      <c r="D1784" s="806"/>
      <c r="F1784" s="806"/>
      <c r="W1784" s="806"/>
      <c r="AZ1784" s="806"/>
      <c r="BA1784" s="806"/>
      <c r="BB1784" s="806"/>
    </row>
    <row r="1785" spans="4:54">
      <c r="D1785" s="806"/>
      <c r="F1785" s="806"/>
      <c r="W1785" s="806"/>
      <c r="AZ1785" s="806"/>
      <c r="BA1785" s="806"/>
      <c r="BB1785" s="806"/>
    </row>
    <row r="1786" spans="4:54">
      <c r="D1786" s="806"/>
      <c r="F1786" s="806"/>
      <c r="W1786" s="806"/>
      <c r="AZ1786" s="806"/>
      <c r="BA1786" s="806"/>
      <c r="BB1786" s="806"/>
    </row>
    <row r="1787" spans="4:54">
      <c r="D1787" s="806"/>
      <c r="F1787" s="806"/>
      <c r="W1787" s="806"/>
      <c r="AZ1787" s="806"/>
      <c r="BA1787" s="806"/>
      <c r="BB1787" s="806"/>
    </row>
    <row r="1788" spans="4:54">
      <c r="D1788" s="806"/>
      <c r="F1788" s="806"/>
      <c r="W1788" s="806"/>
      <c r="AZ1788" s="806"/>
      <c r="BA1788" s="806"/>
      <c r="BB1788" s="806"/>
    </row>
    <row r="1789" spans="4:54">
      <c r="D1789" s="806"/>
      <c r="F1789" s="806"/>
      <c r="W1789" s="806"/>
      <c r="AZ1789" s="806"/>
      <c r="BA1789" s="806"/>
      <c r="BB1789" s="806"/>
    </row>
    <row r="1790" spans="4:54">
      <c r="D1790" s="806"/>
      <c r="F1790" s="806"/>
      <c r="W1790" s="806"/>
      <c r="AZ1790" s="806"/>
      <c r="BA1790" s="806"/>
      <c r="BB1790" s="806"/>
    </row>
    <row r="1791" spans="4:54">
      <c r="D1791" s="806"/>
      <c r="F1791" s="806"/>
      <c r="W1791" s="806"/>
      <c r="AZ1791" s="806"/>
      <c r="BA1791" s="806"/>
      <c r="BB1791" s="806"/>
    </row>
    <row r="1792" spans="4:54">
      <c r="D1792" s="806"/>
      <c r="F1792" s="806"/>
      <c r="W1792" s="806"/>
      <c r="AZ1792" s="806"/>
      <c r="BA1792" s="806"/>
      <c r="BB1792" s="806"/>
    </row>
    <row r="1793" spans="4:54">
      <c r="D1793" s="806"/>
      <c r="F1793" s="806"/>
      <c r="W1793" s="806"/>
      <c r="AZ1793" s="806"/>
      <c r="BA1793" s="806"/>
      <c r="BB1793" s="806"/>
    </row>
    <row r="1794" spans="4:54">
      <c r="D1794" s="806"/>
      <c r="F1794" s="806"/>
      <c r="W1794" s="806"/>
      <c r="AZ1794" s="806"/>
      <c r="BA1794" s="806"/>
      <c r="BB1794" s="806"/>
    </row>
    <row r="1795" spans="4:54">
      <c r="D1795" s="806"/>
      <c r="F1795" s="806"/>
      <c r="W1795" s="806"/>
      <c r="AZ1795" s="806"/>
      <c r="BA1795" s="806"/>
      <c r="BB1795" s="806"/>
    </row>
    <row r="1796" spans="4:54">
      <c r="D1796" s="806"/>
      <c r="F1796" s="806"/>
      <c r="W1796" s="806"/>
      <c r="AZ1796" s="806"/>
      <c r="BA1796" s="806"/>
      <c r="BB1796" s="806"/>
    </row>
    <row r="1797" spans="4:54">
      <c r="D1797" s="806"/>
      <c r="F1797" s="806"/>
      <c r="W1797" s="806"/>
      <c r="AZ1797" s="806"/>
      <c r="BA1797" s="806"/>
      <c r="BB1797" s="806"/>
    </row>
    <row r="1798" spans="4:54">
      <c r="D1798" s="806"/>
      <c r="F1798" s="806"/>
      <c r="W1798" s="806"/>
      <c r="AZ1798" s="806"/>
      <c r="BA1798" s="806"/>
      <c r="BB1798" s="806"/>
    </row>
    <row r="1799" spans="4:54">
      <c r="D1799" s="806"/>
      <c r="F1799" s="806"/>
      <c r="W1799" s="806"/>
      <c r="AZ1799" s="806"/>
      <c r="BA1799" s="806"/>
      <c r="BB1799" s="806"/>
    </row>
    <row r="1800" spans="4:54">
      <c r="D1800" s="806"/>
      <c r="F1800" s="806"/>
      <c r="W1800" s="806"/>
      <c r="AZ1800" s="806"/>
      <c r="BA1800" s="806"/>
      <c r="BB1800" s="806"/>
    </row>
    <row r="1801" spans="4:54">
      <c r="D1801" s="806"/>
      <c r="F1801" s="806"/>
      <c r="W1801" s="806"/>
      <c r="AZ1801" s="806"/>
      <c r="BA1801" s="806"/>
      <c r="BB1801" s="806"/>
    </row>
    <row r="1802" spans="4:54">
      <c r="D1802" s="806"/>
      <c r="F1802" s="806"/>
      <c r="W1802" s="806"/>
      <c r="AZ1802" s="806"/>
      <c r="BA1802" s="806"/>
      <c r="BB1802" s="806"/>
    </row>
    <row r="1803" spans="4:54">
      <c r="D1803" s="806"/>
      <c r="F1803" s="806"/>
      <c r="W1803" s="806"/>
      <c r="AZ1803" s="806"/>
      <c r="BA1803" s="806"/>
      <c r="BB1803" s="806"/>
    </row>
    <row r="1804" spans="4:54">
      <c r="D1804" s="806"/>
      <c r="F1804" s="806"/>
      <c r="W1804" s="806"/>
      <c r="AZ1804" s="806"/>
      <c r="BA1804" s="806"/>
      <c r="BB1804" s="806"/>
    </row>
    <row r="1805" spans="4:54">
      <c r="D1805" s="806"/>
      <c r="F1805" s="806"/>
      <c r="W1805" s="806"/>
      <c r="AZ1805" s="806"/>
      <c r="BA1805" s="806"/>
      <c r="BB1805" s="806"/>
    </row>
    <row r="1806" spans="4:54">
      <c r="D1806" s="806"/>
      <c r="F1806" s="806"/>
      <c r="W1806" s="806"/>
      <c r="AZ1806" s="806"/>
      <c r="BA1806" s="806"/>
      <c r="BB1806" s="806"/>
    </row>
    <row r="1807" spans="4:54">
      <c r="D1807" s="806"/>
      <c r="F1807" s="806"/>
      <c r="W1807" s="806"/>
      <c r="AZ1807" s="806"/>
      <c r="BA1807" s="806"/>
      <c r="BB1807" s="806"/>
    </row>
    <row r="1808" spans="4:54">
      <c r="D1808" s="806"/>
      <c r="F1808" s="806"/>
      <c r="W1808" s="806"/>
      <c r="AZ1808" s="806"/>
      <c r="BA1808" s="806"/>
      <c r="BB1808" s="806"/>
    </row>
    <row r="1809" spans="4:54">
      <c r="D1809" s="806"/>
      <c r="F1809" s="806"/>
      <c r="W1809" s="806"/>
      <c r="AZ1809" s="806"/>
      <c r="BA1809" s="806"/>
      <c r="BB1809" s="806"/>
    </row>
    <row r="1810" spans="4:54">
      <c r="D1810" s="806"/>
      <c r="F1810" s="806"/>
      <c r="W1810" s="806"/>
      <c r="AZ1810" s="806"/>
      <c r="BA1810" s="806"/>
      <c r="BB1810" s="806"/>
    </row>
    <row r="1811" spans="4:54">
      <c r="D1811" s="806"/>
      <c r="F1811" s="806"/>
      <c r="W1811" s="806"/>
      <c r="AZ1811" s="806"/>
      <c r="BA1811" s="806"/>
      <c r="BB1811" s="806"/>
    </row>
    <row r="1812" spans="4:54">
      <c r="D1812" s="806"/>
      <c r="F1812" s="806"/>
      <c r="W1812" s="806"/>
      <c r="AZ1812" s="806"/>
      <c r="BA1812" s="806"/>
      <c r="BB1812" s="806"/>
    </row>
    <row r="1813" spans="4:54">
      <c r="D1813" s="806"/>
      <c r="F1813" s="806"/>
      <c r="W1813" s="806"/>
      <c r="AZ1813" s="806"/>
      <c r="BA1813" s="806"/>
      <c r="BB1813" s="806"/>
    </row>
    <row r="1814" spans="4:54">
      <c r="D1814" s="806"/>
      <c r="F1814" s="806"/>
      <c r="W1814" s="806"/>
      <c r="AZ1814" s="806"/>
      <c r="BA1814" s="806"/>
      <c r="BB1814" s="806"/>
    </row>
    <row r="1815" spans="4:54">
      <c r="D1815" s="806"/>
      <c r="F1815" s="806"/>
      <c r="W1815" s="806"/>
      <c r="AZ1815" s="806"/>
      <c r="BA1815" s="806"/>
      <c r="BB1815" s="806"/>
    </row>
    <row r="1816" spans="4:54">
      <c r="D1816" s="806"/>
      <c r="F1816" s="806"/>
      <c r="W1816" s="806"/>
      <c r="AZ1816" s="806"/>
      <c r="BA1816" s="806"/>
      <c r="BB1816" s="806"/>
    </row>
    <row r="1817" spans="4:54">
      <c r="D1817" s="806"/>
      <c r="F1817" s="806"/>
      <c r="W1817" s="806"/>
      <c r="AZ1817" s="806"/>
      <c r="BA1817" s="806"/>
      <c r="BB1817" s="806"/>
    </row>
    <row r="1818" spans="4:54">
      <c r="D1818" s="806"/>
      <c r="F1818" s="806"/>
      <c r="W1818" s="806"/>
      <c r="AZ1818" s="806"/>
      <c r="BA1818" s="806"/>
      <c r="BB1818" s="806"/>
    </row>
    <row r="1819" spans="4:54">
      <c r="D1819" s="806"/>
      <c r="F1819" s="806"/>
      <c r="W1819" s="806"/>
      <c r="AZ1819" s="806"/>
      <c r="BA1819" s="806"/>
      <c r="BB1819" s="806"/>
    </row>
    <row r="1820" spans="4:54">
      <c r="D1820" s="806"/>
      <c r="F1820" s="806"/>
      <c r="W1820" s="806"/>
      <c r="AZ1820" s="806"/>
      <c r="BA1820" s="806"/>
      <c r="BB1820" s="806"/>
    </row>
    <row r="1821" spans="4:54">
      <c r="D1821" s="806"/>
      <c r="F1821" s="806"/>
      <c r="W1821" s="806"/>
      <c r="AZ1821" s="806"/>
      <c r="BA1821" s="806"/>
      <c r="BB1821" s="806"/>
    </row>
    <row r="1822" spans="4:54">
      <c r="D1822" s="806"/>
      <c r="F1822" s="806"/>
      <c r="W1822" s="806"/>
      <c r="AZ1822" s="806"/>
      <c r="BA1822" s="806"/>
      <c r="BB1822" s="806"/>
    </row>
    <row r="1823" spans="4:54">
      <c r="D1823" s="806"/>
      <c r="F1823" s="806"/>
      <c r="W1823" s="806"/>
      <c r="AZ1823" s="806"/>
      <c r="BA1823" s="806"/>
      <c r="BB1823" s="806"/>
    </row>
    <row r="1824" spans="4:54">
      <c r="D1824" s="806"/>
      <c r="F1824" s="806"/>
      <c r="W1824" s="806"/>
      <c r="AZ1824" s="806"/>
      <c r="BA1824" s="806"/>
      <c r="BB1824" s="806"/>
    </row>
    <row r="1825" spans="4:54">
      <c r="D1825" s="806"/>
      <c r="F1825" s="806"/>
      <c r="W1825" s="806"/>
      <c r="AZ1825" s="806"/>
      <c r="BA1825" s="806"/>
      <c r="BB1825" s="806"/>
    </row>
    <row r="1826" spans="4:54">
      <c r="D1826" s="806"/>
      <c r="F1826" s="806"/>
      <c r="W1826" s="806"/>
      <c r="AZ1826" s="806"/>
      <c r="BA1826" s="806"/>
      <c r="BB1826" s="806"/>
    </row>
    <row r="1827" spans="4:54">
      <c r="D1827" s="806"/>
      <c r="F1827" s="806"/>
      <c r="W1827" s="806"/>
      <c r="AZ1827" s="806"/>
      <c r="BA1827" s="806"/>
      <c r="BB1827" s="806"/>
    </row>
    <row r="1828" spans="4:54">
      <c r="D1828" s="806"/>
      <c r="F1828" s="806"/>
      <c r="W1828" s="806"/>
      <c r="AZ1828" s="806"/>
      <c r="BA1828" s="806"/>
      <c r="BB1828" s="806"/>
    </row>
    <row r="1829" spans="4:54">
      <c r="D1829" s="806"/>
      <c r="F1829" s="806"/>
      <c r="W1829" s="806"/>
      <c r="AZ1829" s="806"/>
      <c r="BA1829" s="806"/>
      <c r="BB1829" s="806"/>
    </row>
    <row r="1830" spans="4:54">
      <c r="D1830" s="806"/>
      <c r="F1830" s="806"/>
      <c r="W1830" s="806"/>
      <c r="AZ1830" s="806"/>
      <c r="BA1830" s="806"/>
      <c r="BB1830" s="806"/>
    </row>
    <row r="1831" spans="4:54">
      <c r="D1831" s="806"/>
      <c r="F1831" s="806"/>
      <c r="W1831" s="806"/>
      <c r="AZ1831" s="806"/>
      <c r="BA1831" s="806"/>
      <c r="BB1831" s="806"/>
    </row>
    <row r="1832" spans="4:54">
      <c r="D1832" s="806"/>
      <c r="F1832" s="806"/>
      <c r="W1832" s="806"/>
      <c r="AZ1832" s="806"/>
      <c r="BA1832" s="806"/>
      <c r="BB1832" s="806"/>
    </row>
    <row r="1833" spans="4:54">
      <c r="D1833" s="806"/>
      <c r="F1833" s="806"/>
      <c r="W1833" s="806"/>
      <c r="AZ1833" s="806"/>
      <c r="BA1833" s="806"/>
      <c r="BB1833" s="806"/>
    </row>
    <row r="1834" spans="4:54">
      <c r="D1834" s="806"/>
      <c r="F1834" s="806"/>
      <c r="W1834" s="806"/>
      <c r="AZ1834" s="806"/>
      <c r="BA1834" s="806"/>
      <c r="BB1834" s="806"/>
    </row>
    <row r="1835" spans="4:54">
      <c r="D1835" s="806"/>
      <c r="F1835" s="806"/>
      <c r="W1835" s="806"/>
      <c r="AZ1835" s="806"/>
      <c r="BA1835" s="806"/>
      <c r="BB1835" s="806"/>
    </row>
    <row r="1836" spans="4:54">
      <c r="D1836" s="806"/>
      <c r="F1836" s="806"/>
      <c r="W1836" s="806"/>
      <c r="AZ1836" s="806"/>
      <c r="BA1836" s="806"/>
      <c r="BB1836" s="806"/>
    </row>
    <row r="1837" spans="4:54">
      <c r="D1837" s="806"/>
      <c r="F1837" s="806"/>
      <c r="W1837" s="806"/>
      <c r="AZ1837" s="806"/>
      <c r="BA1837" s="806"/>
      <c r="BB1837" s="806"/>
    </row>
    <row r="1838" spans="4:54">
      <c r="D1838" s="806"/>
      <c r="F1838" s="806"/>
      <c r="W1838" s="806"/>
      <c r="AZ1838" s="806"/>
      <c r="BA1838" s="806"/>
      <c r="BB1838" s="806"/>
    </row>
    <row r="1839" spans="4:54">
      <c r="D1839" s="806"/>
      <c r="F1839" s="806"/>
      <c r="W1839" s="806"/>
      <c r="AZ1839" s="806"/>
      <c r="BA1839" s="806"/>
      <c r="BB1839" s="806"/>
    </row>
    <row r="1840" spans="4:54">
      <c r="D1840" s="806"/>
      <c r="F1840" s="806"/>
      <c r="W1840" s="806"/>
      <c r="AZ1840" s="806"/>
      <c r="BA1840" s="806"/>
      <c r="BB1840" s="806"/>
    </row>
    <row r="1841" spans="4:54">
      <c r="D1841" s="806"/>
      <c r="F1841" s="806"/>
      <c r="W1841" s="806"/>
      <c r="AZ1841" s="806"/>
      <c r="BA1841" s="806"/>
      <c r="BB1841" s="806"/>
    </row>
    <row r="1842" spans="4:54">
      <c r="D1842" s="806"/>
      <c r="F1842" s="806"/>
      <c r="W1842" s="806"/>
      <c r="AZ1842" s="806"/>
      <c r="BA1842" s="806"/>
      <c r="BB1842" s="806"/>
    </row>
    <row r="1843" spans="4:54">
      <c r="D1843" s="806"/>
      <c r="F1843" s="806"/>
      <c r="W1843" s="806"/>
      <c r="AZ1843" s="806"/>
      <c r="BA1843" s="806"/>
      <c r="BB1843" s="806"/>
    </row>
    <row r="1844" spans="4:54">
      <c r="D1844" s="806"/>
      <c r="F1844" s="806"/>
      <c r="W1844" s="806"/>
      <c r="AZ1844" s="806"/>
      <c r="BA1844" s="806"/>
      <c r="BB1844" s="806"/>
    </row>
    <row r="1845" spans="4:54">
      <c r="D1845" s="806"/>
      <c r="F1845" s="806"/>
      <c r="W1845" s="806"/>
      <c r="AZ1845" s="806"/>
      <c r="BA1845" s="806"/>
      <c r="BB1845" s="806"/>
    </row>
    <row r="1846" spans="4:54">
      <c r="D1846" s="806"/>
      <c r="F1846" s="806"/>
      <c r="W1846" s="806"/>
      <c r="AZ1846" s="806"/>
      <c r="BA1846" s="806"/>
      <c r="BB1846" s="806"/>
    </row>
    <row r="1847" spans="4:54">
      <c r="D1847" s="806"/>
      <c r="F1847" s="806"/>
      <c r="W1847" s="806"/>
      <c r="AZ1847" s="806"/>
      <c r="BA1847" s="806"/>
      <c r="BB1847" s="806"/>
    </row>
    <row r="1848" spans="4:54">
      <c r="D1848" s="806"/>
      <c r="F1848" s="806"/>
      <c r="W1848" s="806"/>
      <c r="AZ1848" s="806"/>
      <c r="BA1848" s="806"/>
      <c r="BB1848" s="806"/>
    </row>
    <row r="1849" spans="4:54">
      <c r="D1849" s="806"/>
      <c r="F1849" s="806"/>
      <c r="W1849" s="806"/>
      <c r="AZ1849" s="806"/>
      <c r="BA1849" s="806"/>
      <c r="BB1849" s="806"/>
    </row>
    <row r="1850" spans="4:54">
      <c r="D1850" s="806"/>
      <c r="F1850" s="806"/>
      <c r="W1850" s="806"/>
      <c r="AZ1850" s="806"/>
      <c r="BA1850" s="806"/>
      <c r="BB1850" s="806"/>
    </row>
    <row r="1851" spans="4:54">
      <c r="D1851" s="806"/>
      <c r="F1851" s="806"/>
      <c r="W1851" s="806"/>
      <c r="AZ1851" s="806"/>
      <c r="BA1851" s="806"/>
      <c r="BB1851" s="806"/>
    </row>
    <row r="1852" spans="4:54">
      <c r="D1852" s="806"/>
      <c r="F1852" s="806"/>
      <c r="W1852" s="806"/>
      <c r="AZ1852" s="806"/>
      <c r="BA1852" s="806"/>
      <c r="BB1852" s="806"/>
    </row>
    <row r="1853" spans="4:54">
      <c r="D1853" s="806"/>
      <c r="F1853" s="806"/>
      <c r="W1853" s="806"/>
      <c r="AZ1853" s="806"/>
      <c r="BA1853" s="806"/>
      <c r="BB1853" s="806"/>
    </row>
    <row r="1854" spans="4:54">
      <c r="D1854" s="806"/>
      <c r="F1854" s="806"/>
      <c r="W1854" s="806"/>
      <c r="AZ1854" s="806"/>
      <c r="BA1854" s="806"/>
      <c r="BB1854" s="806"/>
    </row>
    <row r="1855" spans="4:54">
      <c r="D1855" s="806"/>
      <c r="F1855" s="806"/>
      <c r="W1855" s="806"/>
      <c r="AZ1855" s="806"/>
      <c r="BA1855" s="806"/>
      <c r="BB1855" s="806"/>
    </row>
    <row r="1856" spans="4:54">
      <c r="D1856" s="806"/>
      <c r="F1856" s="806"/>
      <c r="W1856" s="806"/>
      <c r="AZ1856" s="806"/>
      <c r="BA1856" s="806"/>
      <c r="BB1856" s="806"/>
    </row>
    <row r="1857" spans="4:54">
      <c r="D1857" s="806"/>
      <c r="F1857" s="806"/>
      <c r="W1857" s="806"/>
      <c r="AZ1857" s="806"/>
      <c r="BA1857" s="806"/>
      <c r="BB1857" s="806"/>
    </row>
    <row r="1858" spans="4:54">
      <c r="D1858" s="806"/>
      <c r="F1858" s="806"/>
      <c r="W1858" s="806"/>
      <c r="AZ1858" s="806"/>
      <c r="BA1858" s="806"/>
      <c r="BB1858" s="806"/>
    </row>
    <row r="1859" spans="4:54">
      <c r="D1859" s="806"/>
      <c r="F1859" s="806"/>
      <c r="W1859" s="806"/>
      <c r="AZ1859" s="806"/>
      <c r="BA1859" s="806"/>
      <c r="BB1859" s="806"/>
    </row>
    <row r="1860" spans="4:54">
      <c r="D1860" s="806"/>
      <c r="F1860" s="806"/>
      <c r="W1860" s="806"/>
      <c r="AZ1860" s="806"/>
      <c r="BA1860" s="806"/>
      <c r="BB1860" s="806"/>
    </row>
    <row r="1861" spans="4:54">
      <c r="D1861" s="806"/>
      <c r="F1861" s="806"/>
      <c r="W1861" s="806"/>
      <c r="AZ1861" s="806"/>
      <c r="BA1861" s="806"/>
      <c r="BB1861" s="806"/>
    </row>
    <row r="1862" spans="4:54">
      <c r="D1862" s="806"/>
      <c r="F1862" s="806"/>
      <c r="W1862" s="806"/>
      <c r="AZ1862" s="806"/>
      <c r="BA1862" s="806"/>
      <c r="BB1862" s="806"/>
    </row>
    <row r="1863" spans="4:54">
      <c r="D1863" s="806"/>
      <c r="F1863" s="806"/>
      <c r="W1863" s="806"/>
      <c r="AZ1863" s="806"/>
      <c r="BA1863" s="806"/>
      <c r="BB1863" s="806"/>
    </row>
    <row r="1864" spans="4:54">
      <c r="D1864" s="806"/>
      <c r="F1864" s="806"/>
      <c r="W1864" s="806"/>
      <c r="AZ1864" s="806"/>
      <c r="BA1864" s="806"/>
      <c r="BB1864" s="806"/>
    </row>
    <row r="1865" spans="4:54">
      <c r="D1865" s="806"/>
      <c r="F1865" s="806"/>
      <c r="W1865" s="806"/>
      <c r="AZ1865" s="806"/>
      <c r="BA1865" s="806"/>
      <c r="BB1865" s="806"/>
    </row>
    <row r="1866" spans="4:54">
      <c r="D1866" s="806"/>
      <c r="F1866" s="806"/>
      <c r="W1866" s="806"/>
      <c r="AZ1866" s="806"/>
      <c r="BA1866" s="806"/>
      <c r="BB1866" s="806"/>
    </row>
    <row r="1867" spans="4:54">
      <c r="D1867" s="806"/>
      <c r="F1867" s="806"/>
      <c r="W1867" s="806"/>
      <c r="AZ1867" s="806"/>
      <c r="BA1867" s="806"/>
      <c r="BB1867" s="806"/>
    </row>
    <row r="1868" spans="4:54">
      <c r="D1868" s="806"/>
      <c r="F1868" s="806"/>
      <c r="W1868" s="806"/>
      <c r="AZ1868" s="806"/>
      <c r="BA1868" s="806"/>
      <c r="BB1868" s="806"/>
    </row>
    <row r="1869" spans="4:54">
      <c r="D1869" s="806"/>
      <c r="F1869" s="806"/>
      <c r="W1869" s="806"/>
      <c r="AZ1869" s="806"/>
      <c r="BA1869" s="806"/>
      <c r="BB1869" s="806"/>
    </row>
    <row r="1870" spans="4:54">
      <c r="D1870" s="806"/>
      <c r="F1870" s="806"/>
      <c r="W1870" s="806"/>
      <c r="AZ1870" s="806"/>
      <c r="BA1870" s="806"/>
      <c r="BB1870" s="806"/>
    </row>
    <row r="1871" spans="4:54">
      <c r="D1871" s="806"/>
      <c r="F1871" s="806"/>
      <c r="W1871" s="806"/>
      <c r="AZ1871" s="806"/>
      <c r="BA1871" s="806"/>
      <c r="BB1871" s="806"/>
    </row>
    <row r="1872" spans="4:54">
      <c r="D1872" s="806"/>
      <c r="F1872" s="806"/>
      <c r="W1872" s="806"/>
      <c r="AZ1872" s="806"/>
      <c r="BA1872" s="806"/>
      <c r="BB1872" s="806"/>
    </row>
    <row r="1873" spans="4:54">
      <c r="D1873" s="806"/>
      <c r="F1873" s="806"/>
      <c r="W1873" s="806"/>
      <c r="AZ1873" s="806"/>
      <c r="BA1873" s="806"/>
      <c r="BB1873" s="806"/>
    </row>
    <row r="1874" spans="4:54">
      <c r="D1874" s="806"/>
      <c r="F1874" s="806"/>
      <c r="W1874" s="806"/>
      <c r="AZ1874" s="806"/>
      <c r="BA1874" s="806"/>
      <c r="BB1874" s="806"/>
    </row>
    <row r="1875" spans="4:54">
      <c r="D1875" s="806"/>
      <c r="F1875" s="806"/>
      <c r="W1875" s="806"/>
      <c r="AZ1875" s="806"/>
      <c r="BA1875" s="806"/>
      <c r="BB1875" s="806"/>
    </row>
    <row r="1876" spans="4:54">
      <c r="D1876" s="806"/>
      <c r="F1876" s="806"/>
      <c r="W1876" s="806"/>
      <c r="AZ1876" s="806"/>
      <c r="BA1876" s="806"/>
      <c r="BB1876" s="806"/>
    </row>
    <row r="1877" spans="4:54">
      <c r="D1877" s="806"/>
      <c r="F1877" s="806"/>
      <c r="W1877" s="806"/>
      <c r="AZ1877" s="806"/>
      <c r="BA1877" s="806"/>
      <c r="BB1877" s="806"/>
    </row>
    <row r="1878" spans="4:54">
      <c r="D1878" s="806"/>
      <c r="F1878" s="806"/>
      <c r="W1878" s="806"/>
      <c r="AZ1878" s="806"/>
      <c r="BA1878" s="806"/>
      <c r="BB1878" s="806"/>
    </row>
    <row r="1879" spans="4:54">
      <c r="D1879" s="806"/>
      <c r="F1879" s="806"/>
      <c r="W1879" s="806"/>
      <c r="AZ1879" s="806"/>
      <c r="BA1879" s="806"/>
      <c r="BB1879" s="806"/>
    </row>
    <row r="1880" spans="4:54">
      <c r="D1880" s="806"/>
      <c r="F1880" s="806"/>
      <c r="W1880" s="806"/>
      <c r="AZ1880" s="806"/>
      <c r="BA1880" s="806"/>
      <c r="BB1880" s="806"/>
    </row>
    <row r="1881" spans="4:54">
      <c r="D1881" s="806"/>
      <c r="F1881" s="806"/>
      <c r="W1881" s="806"/>
      <c r="AZ1881" s="806"/>
      <c r="BA1881" s="806"/>
      <c r="BB1881" s="806"/>
    </row>
    <row r="1882" spans="4:54">
      <c r="D1882" s="806"/>
      <c r="F1882" s="806"/>
      <c r="W1882" s="806"/>
      <c r="AZ1882" s="806"/>
      <c r="BA1882" s="806"/>
      <c r="BB1882" s="806"/>
    </row>
    <row r="1883" spans="4:54">
      <c r="D1883" s="806"/>
      <c r="F1883" s="806"/>
      <c r="W1883" s="806"/>
      <c r="AZ1883" s="806"/>
      <c r="BA1883" s="806"/>
      <c r="BB1883" s="806"/>
    </row>
    <row r="1884" spans="4:54">
      <c r="D1884" s="806"/>
      <c r="F1884" s="806"/>
      <c r="W1884" s="806"/>
      <c r="AZ1884" s="806"/>
      <c r="BA1884" s="806"/>
      <c r="BB1884" s="806"/>
    </row>
    <row r="1885" spans="4:54">
      <c r="D1885" s="806"/>
      <c r="F1885" s="806"/>
      <c r="W1885" s="806"/>
      <c r="AZ1885" s="806"/>
      <c r="BA1885" s="806"/>
      <c r="BB1885" s="806"/>
    </row>
    <row r="1886" spans="4:54">
      <c r="D1886" s="806"/>
      <c r="F1886" s="806"/>
      <c r="W1886" s="806"/>
      <c r="AZ1886" s="806"/>
      <c r="BA1886" s="806"/>
      <c r="BB1886" s="806"/>
    </row>
    <row r="1887" spans="4:54">
      <c r="D1887" s="806"/>
      <c r="F1887" s="806"/>
      <c r="W1887" s="806"/>
      <c r="AZ1887" s="806"/>
      <c r="BA1887" s="806"/>
      <c r="BB1887" s="806"/>
    </row>
    <row r="1888" spans="4:54">
      <c r="D1888" s="806"/>
      <c r="F1888" s="806"/>
      <c r="W1888" s="806"/>
      <c r="AZ1888" s="806"/>
      <c r="BA1888" s="806"/>
      <c r="BB1888" s="806"/>
    </row>
    <row r="1889" spans="4:54">
      <c r="D1889" s="806"/>
      <c r="F1889" s="806"/>
      <c r="W1889" s="806"/>
      <c r="AZ1889" s="806"/>
      <c r="BA1889" s="806"/>
      <c r="BB1889" s="806"/>
    </row>
    <row r="1890" spans="4:54">
      <c r="D1890" s="806"/>
      <c r="F1890" s="806"/>
      <c r="W1890" s="806"/>
      <c r="AZ1890" s="806"/>
      <c r="BA1890" s="806"/>
      <c r="BB1890" s="806"/>
    </row>
    <row r="1891" spans="4:54">
      <c r="D1891" s="806"/>
      <c r="F1891" s="806"/>
      <c r="W1891" s="806"/>
      <c r="AZ1891" s="806"/>
      <c r="BA1891" s="806"/>
      <c r="BB1891" s="806"/>
    </row>
    <row r="1892" spans="4:54">
      <c r="D1892" s="806"/>
      <c r="F1892" s="806"/>
      <c r="W1892" s="806"/>
      <c r="AZ1892" s="806"/>
      <c r="BA1892" s="806"/>
      <c r="BB1892" s="806"/>
    </row>
    <row r="1893" spans="4:54">
      <c r="D1893" s="806"/>
      <c r="F1893" s="806"/>
      <c r="W1893" s="806"/>
      <c r="AZ1893" s="806"/>
      <c r="BA1893" s="806"/>
      <c r="BB1893" s="806"/>
    </row>
    <row r="1894" spans="4:54">
      <c r="D1894" s="806"/>
      <c r="F1894" s="806"/>
      <c r="W1894" s="806"/>
      <c r="AZ1894" s="806"/>
      <c r="BA1894" s="806"/>
      <c r="BB1894" s="806"/>
    </row>
    <row r="1895" spans="4:54">
      <c r="D1895" s="806"/>
      <c r="F1895" s="806"/>
      <c r="W1895" s="806"/>
      <c r="AZ1895" s="806"/>
      <c r="BA1895" s="806"/>
      <c r="BB1895" s="806"/>
    </row>
    <row r="1896" spans="4:54">
      <c r="D1896" s="806"/>
      <c r="F1896" s="806"/>
      <c r="W1896" s="806"/>
      <c r="AZ1896" s="806"/>
      <c r="BA1896" s="806"/>
      <c r="BB1896" s="806"/>
    </row>
    <row r="1897" spans="4:54">
      <c r="D1897" s="806"/>
      <c r="F1897" s="806"/>
      <c r="W1897" s="806"/>
      <c r="AZ1897" s="806"/>
      <c r="BA1897" s="806"/>
      <c r="BB1897" s="806"/>
    </row>
    <row r="1898" spans="4:54">
      <c r="D1898" s="806"/>
      <c r="F1898" s="806"/>
      <c r="W1898" s="806"/>
      <c r="AZ1898" s="806"/>
      <c r="BA1898" s="806"/>
      <c r="BB1898" s="806"/>
    </row>
    <row r="1899" spans="4:54">
      <c r="D1899" s="806"/>
      <c r="F1899" s="806"/>
      <c r="W1899" s="806"/>
      <c r="AZ1899" s="806"/>
      <c r="BA1899" s="806"/>
      <c r="BB1899" s="806"/>
    </row>
    <row r="1900" spans="4:54">
      <c r="D1900" s="806"/>
      <c r="F1900" s="806"/>
      <c r="W1900" s="806"/>
      <c r="AZ1900" s="806"/>
      <c r="BA1900" s="806"/>
      <c r="BB1900" s="806"/>
    </row>
    <row r="1901" spans="4:54">
      <c r="D1901" s="806"/>
      <c r="F1901" s="806"/>
      <c r="W1901" s="806"/>
      <c r="AZ1901" s="806"/>
      <c r="BA1901" s="806"/>
      <c r="BB1901" s="806"/>
    </row>
    <row r="1902" spans="4:54">
      <c r="D1902" s="806"/>
      <c r="F1902" s="806"/>
      <c r="W1902" s="806"/>
      <c r="AZ1902" s="806"/>
      <c r="BA1902" s="806"/>
      <c r="BB1902" s="806"/>
    </row>
    <row r="1903" spans="4:54">
      <c r="D1903" s="806"/>
      <c r="F1903" s="806"/>
      <c r="W1903" s="806"/>
      <c r="AZ1903" s="806"/>
      <c r="BA1903" s="806"/>
      <c r="BB1903" s="806"/>
    </row>
    <row r="1904" spans="4:54">
      <c r="D1904" s="806"/>
      <c r="F1904" s="806"/>
      <c r="W1904" s="806"/>
      <c r="AZ1904" s="806"/>
      <c r="BA1904" s="806"/>
      <c r="BB1904" s="806"/>
    </row>
    <row r="1905" spans="4:54">
      <c r="D1905" s="806"/>
      <c r="F1905" s="806"/>
      <c r="W1905" s="806"/>
      <c r="AZ1905" s="806"/>
      <c r="BA1905" s="806"/>
      <c r="BB1905" s="806"/>
    </row>
    <row r="1906" spans="4:54">
      <c r="D1906" s="806"/>
      <c r="F1906" s="806"/>
      <c r="W1906" s="806"/>
      <c r="AZ1906" s="806"/>
      <c r="BA1906" s="806"/>
      <c r="BB1906" s="806"/>
    </row>
    <row r="1907" spans="4:54">
      <c r="D1907" s="806"/>
      <c r="F1907" s="806"/>
      <c r="W1907" s="806"/>
      <c r="AZ1907" s="806"/>
      <c r="BA1907" s="806"/>
      <c r="BB1907" s="806"/>
    </row>
    <row r="1908" spans="4:54">
      <c r="D1908" s="806"/>
      <c r="F1908" s="806"/>
      <c r="W1908" s="806"/>
      <c r="AZ1908" s="806"/>
      <c r="BA1908" s="806"/>
      <c r="BB1908" s="806"/>
    </row>
    <row r="1909" spans="4:54">
      <c r="D1909" s="806"/>
      <c r="F1909" s="806"/>
      <c r="W1909" s="806"/>
      <c r="AZ1909" s="806"/>
      <c r="BA1909" s="806"/>
      <c r="BB1909" s="806"/>
    </row>
    <row r="1910" spans="4:54">
      <c r="D1910" s="806"/>
      <c r="F1910" s="806"/>
      <c r="W1910" s="806"/>
      <c r="AZ1910" s="806"/>
      <c r="BA1910" s="806"/>
      <c r="BB1910" s="806"/>
    </row>
    <row r="1911" spans="4:54">
      <c r="D1911" s="806"/>
      <c r="F1911" s="806"/>
      <c r="W1911" s="806"/>
      <c r="AZ1911" s="806"/>
      <c r="BA1911" s="806"/>
      <c r="BB1911" s="806"/>
    </row>
    <row r="1912" spans="4:54">
      <c r="D1912" s="806"/>
      <c r="F1912" s="806"/>
      <c r="W1912" s="806"/>
      <c r="AZ1912" s="806"/>
      <c r="BA1912" s="806"/>
      <c r="BB1912" s="806"/>
    </row>
    <row r="1913" spans="4:54">
      <c r="D1913" s="806"/>
      <c r="F1913" s="806"/>
      <c r="W1913" s="806"/>
      <c r="AZ1913" s="806"/>
      <c r="BA1913" s="806"/>
      <c r="BB1913" s="806"/>
    </row>
    <row r="1914" spans="4:54">
      <c r="D1914" s="806"/>
      <c r="F1914" s="806"/>
      <c r="W1914" s="806"/>
      <c r="AZ1914" s="806"/>
      <c r="BA1914" s="806"/>
      <c r="BB1914" s="806"/>
    </row>
    <row r="1915" spans="4:54">
      <c r="D1915" s="806"/>
      <c r="F1915" s="806"/>
      <c r="W1915" s="806"/>
      <c r="AZ1915" s="806"/>
      <c r="BA1915" s="806"/>
      <c r="BB1915" s="806"/>
    </row>
    <row r="1916" spans="4:54">
      <c r="D1916" s="806"/>
      <c r="F1916" s="806"/>
      <c r="W1916" s="806"/>
      <c r="AZ1916" s="806"/>
      <c r="BA1916" s="806"/>
      <c r="BB1916" s="806"/>
    </row>
    <row r="1917" spans="4:54">
      <c r="D1917" s="806"/>
      <c r="F1917" s="806"/>
      <c r="W1917" s="806"/>
      <c r="AZ1917" s="806"/>
      <c r="BA1917" s="806"/>
      <c r="BB1917" s="806"/>
    </row>
    <row r="1918" spans="4:54">
      <c r="D1918" s="806"/>
      <c r="F1918" s="806"/>
      <c r="W1918" s="806"/>
      <c r="AZ1918" s="806"/>
      <c r="BA1918" s="806"/>
      <c r="BB1918" s="806"/>
    </row>
    <row r="1919" spans="4:54">
      <c r="D1919" s="806"/>
      <c r="F1919" s="806"/>
      <c r="W1919" s="806"/>
      <c r="AZ1919" s="806"/>
      <c r="BA1919" s="806"/>
      <c r="BB1919" s="806"/>
    </row>
    <row r="1920" spans="4:54">
      <c r="D1920" s="806"/>
      <c r="F1920" s="806"/>
      <c r="W1920" s="806"/>
      <c r="AZ1920" s="806"/>
      <c r="BA1920" s="806"/>
      <c r="BB1920" s="806"/>
    </row>
    <row r="1921" spans="4:54">
      <c r="D1921" s="806"/>
      <c r="F1921" s="806"/>
      <c r="W1921" s="806"/>
      <c r="AZ1921" s="806"/>
      <c r="BA1921" s="806"/>
      <c r="BB1921" s="806"/>
    </row>
    <row r="1922" spans="4:54">
      <c r="D1922" s="806"/>
      <c r="F1922" s="806"/>
      <c r="W1922" s="806"/>
      <c r="AZ1922" s="806"/>
      <c r="BA1922" s="806"/>
      <c r="BB1922" s="806"/>
    </row>
    <row r="1923" spans="4:54">
      <c r="D1923" s="806"/>
      <c r="F1923" s="806"/>
      <c r="W1923" s="806"/>
      <c r="AZ1923" s="806"/>
      <c r="BA1923" s="806"/>
      <c r="BB1923" s="806"/>
    </row>
    <row r="1924" spans="4:54">
      <c r="D1924" s="806"/>
      <c r="F1924" s="806"/>
      <c r="W1924" s="806"/>
      <c r="AZ1924" s="806"/>
      <c r="BA1924" s="806"/>
      <c r="BB1924" s="806"/>
    </row>
    <row r="1925" spans="4:54">
      <c r="D1925" s="806"/>
      <c r="F1925" s="806"/>
      <c r="W1925" s="806"/>
      <c r="AZ1925" s="806"/>
      <c r="BA1925" s="806"/>
      <c r="BB1925" s="806"/>
    </row>
    <row r="1926" spans="4:54">
      <c r="D1926" s="806"/>
      <c r="F1926" s="806"/>
      <c r="W1926" s="806"/>
      <c r="AZ1926" s="806"/>
      <c r="BA1926" s="806"/>
      <c r="BB1926" s="806"/>
    </row>
    <row r="1927" spans="4:54">
      <c r="D1927" s="806"/>
      <c r="F1927" s="806"/>
      <c r="W1927" s="806"/>
      <c r="AZ1927" s="806"/>
      <c r="BA1927" s="806"/>
      <c r="BB1927" s="806"/>
    </row>
    <row r="1928" spans="4:54">
      <c r="D1928" s="806"/>
      <c r="F1928" s="806"/>
      <c r="W1928" s="806"/>
      <c r="AZ1928" s="806"/>
      <c r="BA1928" s="806"/>
      <c r="BB1928" s="806"/>
    </row>
    <row r="1929" spans="4:54">
      <c r="D1929" s="806"/>
      <c r="F1929" s="806"/>
      <c r="W1929" s="806"/>
      <c r="AZ1929" s="806"/>
      <c r="BA1929" s="806"/>
      <c r="BB1929" s="806"/>
    </row>
    <row r="1930" spans="4:54">
      <c r="D1930" s="806"/>
      <c r="F1930" s="806"/>
      <c r="W1930" s="806"/>
      <c r="AZ1930" s="806"/>
      <c r="BA1930" s="806"/>
      <c r="BB1930" s="806"/>
    </row>
    <row r="1931" spans="4:54">
      <c r="D1931" s="806"/>
      <c r="F1931" s="806"/>
      <c r="W1931" s="806"/>
      <c r="AZ1931" s="806"/>
      <c r="BA1931" s="806"/>
      <c r="BB1931" s="806"/>
    </row>
    <row r="1932" spans="4:54">
      <c r="D1932" s="806"/>
      <c r="F1932" s="806"/>
      <c r="W1932" s="806"/>
      <c r="AZ1932" s="806"/>
      <c r="BA1932" s="806"/>
      <c r="BB1932" s="806"/>
    </row>
    <row r="1933" spans="4:54">
      <c r="D1933" s="806"/>
      <c r="F1933" s="806"/>
      <c r="W1933" s="806"/>
      <c r="AZ1933" s="806"/>
      <c r="BA1933" s="806"/>
      <c r="BB1933" s="806"/>
    </row>
    <row r="1934" spans="4:54">
      <c r="D1934" s="806"/>
      <c r="F1934" s="806"/>
      <c r="W1934" s="806"/>
      <c r="AZ1934" s="806"/>
      <c r="BA1934" s="806"/>
      <c r="BB1934" s="806"/>
    </row>
    <row r="1935" spans="4:54">
      <c r="D1935" s="806"/>
      <c r="F1935" s="806"/>
      <c r="W1935" s="806"/>
      <c r="AZ1935" s="806"/>
      <c r="BA1935" s="806"/>
      <c r="BB1935" s="806"/>
    </row>
    <row r="1936" spans="4:54">
      <c r="D1936" s="806"/>
      <c r="F1936" s="806"/>
      <c r="W1936" s="806"/>
      <c r="AZ1936" s="806"/>
      <c r="BA1936" s="806"/>
      <c r="BB1936" s="806"/>
    </row>
    <row r="1937" spans="4:54">
      <c r="D1937" s="806"/>
      <c r="F1937" s="806"/>
      <c r="W1937" s="806"/>
      <c r="AZ1937" s="806"/>
      <c r="BA1937" s="806"/>
      <c r="BB1937" s="806"/>
    </row>
    <row r="1938" spans="4:54">
      <c r="D1938" s="806"/>
      <c r="F1938" s="806"/>
      <c r="W1938" s="806"/>
      <c r="AZ1938" s="806"/>
      <c r="BA1938" s="806"/>
      <c r="BB1938" s="806"/>
    </row>
    <row r="1939" spans="4:54">
      <c r="D1939" s="806"/>
      <c r="F1939" s="806"/>
      <c r="W1939" s="806"/>
      <c r="AZ1939" s="806"/>
      <c r="BA1939" s="806"/>
      <c r="BB1939" s="806"/>
    </row>
    <row r="1940" spans="4:54">
      <c r="D1940" s="806"/>
      <c r="F1940" s="806"/>
      <c r="W1940" s="806"/>
      <c r="AZ1940" s="806"/>
      <c r="BA1940" s="806"/>
      <c r="BB1940" s="806"/>
    </row>
    <row r="1941" spans="4:54">
      <c r="D1941" s="806"/>
      <c r="F1941" s="806"/>
      <c r="W1941" s="806"/>
      <c r="AZ1941" s="806"/>
      <c r="BA1941" s="806"/>
      <c r="BB1941" s="806"/>
    </row>
    <row r="1942" spans="4:54">
      <c r="D1942" s="806"/>
      <c r="F1942" s="806"/>
      <c r="W1942" s="806"/>
      <c r="AZ1942" s="806"/>
      <c r="BA1942" s="806"/>
      <c r="BB1942" s="806"/>
    </row>
    <row r="1943" spans="4:54">
      <c r="D1943" s="806"/>
      <c r="F1943" s="806"/>
      <c r="W1943" s="806"/>
      <c r="AZ1943" s="806"/>
      <c r="BA1943" s="806"/>
      <c r="BB1943" s="806"/>
    </row>
    <row r="1944" spans="4:54">
      <c r="D1944" s="806"/>
      <c r="F1944" s="806"/>
      <c r="W1944" s="806"/>
      <c r="AZ1944" s="806"/>
      <c r="BA1944" s="806"/>
      <c r="BB1944" s="806"/>
    </row>
    <row r="1945" spans="4:54">
      <c r="D1945" s="806"/>
      <c r="F1945" s="806"/>
      <c r="W1945" s="806"/>
      <c r="AZ1945" s="806"/>
      <c r="BA1945" s="806"/>
      <c r="BB1945" s="806"/>
    </row>
    <row r="1946" spans="4:54">
      <c r="D1946" s="806"/>
      <c r="F1946" s="806"/>
      <c r="W1946" s="806"/>
      <c r="AZ1946" s="806"/>
      <c r="BA1946" s="806"/>
      <c r="BB1946" s="806"/>
    </row>
    <row r="1947" spans="4:54">
      <c r="D1947" s="806"/>
      <c r="F1947" s="806"/>
      <c r="W1947" s="806"/>
      <c r="AZ1947" s="806"/>
      <c r="BA1947" s="806"/>
      <c r="BB1947" s="806"/>
    </row>
    <row r="1948" spans="4:54">
      <c r="D1948" s="806"/>
      <c r="F1948" s="806"/>
      <c r="W1948" s="806"/>
      <c r="AZ1948" s="806"/>
      <c r="BA1948" s="806"/>
      <c r="BB1948" s="806"/>
    </row>
    <row r="1949" spans="4:54">
      <c r="D1949" s="806"/>
      <c r="F1949" s="806"/>
      <c r="W1949" s="806"/>
      <c r="AZ1949" s="806"/>
      <c r="BA1949" s="806"/>
      <c r="BB1949" s="806"/>
    </row>
    <row r="1950" spans="4:54">
      <c r="D1950" s="806"/>
      <c r="F1950" s="806"/>
      <c r="W1950" s="806"/>
      <c r="AZ1950" s="806"/>
      <c r="BA1950" s="806"/>
      <c r="BB1950" s="806"/>
    </row>
    <row r="1951" spans="4:54">
      <c r="D1951" s="806"/>
      <c r="F1951" s="806"/>
      <c r="W1951" s="806"/>
      <c r="AZ1951" s="806"/>
      <c r="BA1951" s="806"/>
      <c r="BB1951" s="806"/>
    </row>
    <row r="1952" spans="4:54">
      <c r="D1952" s="806"/>
      <c r="F1952" s="806"/>
      <c r="W1952" s="806"/>
      <c r="AZ1952" s="806"/>
      <c r="BA1952" s="806"/>
      <c r="BB1952" s="806"/>
    </row>
    <row r="1953" spans="4:54">
      <c r="D1953" s="806"/>
      <c r="F1953" s="806"/>
      <c r="W1953" s="806"/>
      <c r="AZ1953" s="806"/>
      <c r="BA1953" s="806"/>
      <c r="BB1953" s="806"/>
    </row>
    <row r="1954" spans="4:54">
      <c r="D1954" s="806"/>
      <c r="F1954" s="806"/>
      <c r="W1954" s="806"/>
      <c r="AZ1954" s="806"/>
      <c r="BA1954" s="806"/>
      <c r="BB1954" s="806"/>
    </row>
    <row r="1955" spans="4:54">
      <c r="D1955" s="806"/>
      <c r="F1955" s="806"/>
      <c r="W1955" s="806"/>
      <c r="AZ1955" s="806"/>
      <c r="BA1955" s="806"/>
      <c r="BB1955" s="806"/>
    </row>
    <row r="1956" spans="4:54">
      <c r="D1956" s="806"/>
      <c r="F1956" s="806"/>
      <c r="W1956" s="806"/>
      <c r="AZ1956" s="806"/>
      <c r="BA1956" s="806"/>
      <c r="BB1956" s="806"/>
    </row>
    <row r="1957" spans="4:54">
      <c r="D1957" s="806"/>
      <c r="F1957" s="806"/>
      <c r="W1957" s="806"/>
      <c r="AZ1957" s="806"/>
      <c r="BA1957" s="806"/>
      <c r="BB1957" s="806"/>
    </row>
    <row r="1958" spans="4:54">
      <c r="D1958" s="806"/>
      <c r="F1958" s="806"/>
      <c r="W1958" s="806"/>
      <c r="AZ1958" s="806"/>
      <c r="BA1958" s="806"/>
      <c r="BB1958" s="806"/>
    </row>
    <row r="1959" spans="4:54">
      <c r="D1959" s="806"/>
      <c r="F1959" s="806"/>
      <c r="W1959" s="806"/>
      <c r="AZ1959" s="806"/>
      <c r="BA1959" s="806"/>
      <c r="BB1959" s="806"/>
    </row>
    <row r="1960" spans="4:54">
      <c r="D1960" s="806"/>
      <c r="F1960" s="806"/>
      <c r="W1960" s="806"/>
      <c r="AZ1960" s="806"/>
      <c r="BA1960" s="806"/>
      <c r="BB1960" s="806"/>
    </row>
    <row r="1961" spans="4:54">
      <c r="D1961" s="806"/>
      <c r="F1961" s="806"/>
      <c r="W1961" s="806"/>
      <c r="AZ1961" s="806"/>
      <c r="BA1961" s="806"/>
      <c r="BB1961" s="806"/>
    </row>
    <row r="1962" spans="4:54">
      <c r="D1962" s="806"/>
      <c r="F1962" s="806"/>
      <c r="W1962" s="806"/>
      <c r="AZ1962" s="806"/>
      <c r="BA1962" s="806"/>
      <c r="BB1962" s="806"/>
    </row>
    <row r="1963" spans="4:54">
      <c r="D1963" s="806"/>
      <c r="F1963" s="806"/>
      <c r="W1963" s="806"/>
      <c r="AZ1963" s="806"/>
      <c r="BA1963" s="806"/>
      <c r="BB1963" s="806"/>
    </row>
    <row r="1964" spans="4:54">
      <c r="D1964" s="806"/>
      <c r="F1964" s="806"/>
      <c r="W1964" s="806"/>
      <c r="AZ1964" s="806"/>
      <c r="BA1964" s="806"/>
      <c r="BB1964" s="806"/>
    </row>
    <row r="1965" spans="4:54">
      <c r="D1965" s="806"/>
      <c r="F1965" s="806"/>
      <c r="W1965" s="806"/>
      <c r="AZ1965" s="806"/>
      <c r="BA1965" s="806"/>
      <c r="BB1965" s="806"/>
    </row>
    <row r="1966" spans="4:54">
      <c r="D1966" s="806"/>
      <c r="F1966" s="806"/>
      <c r="W1966" s="806"/>
      <c r="AZ1966" s="806"/>
      <c r="BA1966" s="806"/>
      <c r="BB1966" s="806"/>
    </row>
    <row r="1967" spans="4:54">
      <c r="D1967" s="806"/>
      <c r="F1967" s="806"/>
      <c r="W1967" s="806"/>
      <c r="AZ1967" s="806"/>
      <c r="BA1967" s="806"/>
      <c r="BB1967" s="806"/>
    </row>
    <row r="1968" spans="4:54">
      <c r="D1968" s="806"/>
      <c r="F1968" s="806"/>
      <c r="W1968" s="806"/>
      <c r="AZ1968" s="806"/>
      <c r="BA1968" s="806"/>
      <c r="BB1968" s="806"/>
    </row>
    <row r="1969" spans="4:54">
      <c r="D1969" s="806"/>
      <c r="F1969" s="806"/>
      <c r="W1969" s="806"/>
      <c r="AZ1969" s="806"/>
      <c r="BA1969" s="806"/>
      <c r="BB1969" s="806"/>
    </row>
    <row r="1970" spans="4:54">
      <c r="D1970" s="806"/>
      <c r="F1970" s="806"/>
      <c r="W1970" s="806"/>
      <c r="AZ1970" s="806"/>
      <c r="BA1970" s="806"/>
      <c r="BB1970" s="806"/>
    </row>
    <row r="1971" spans="4:54">
      <c r="D1971" s="806"/>
      <c r="F1971" s="806"/>
      <c r="W1971" s="806"/>
      <c r="AZ1971" s="806"/>
      <c r="BA1971" s="806"/>
      <c r="BB1971" s="806"/>
    </row>
    <row r="1972" spans="4:54">
      <c r="D1972" s="806"/>
      <c r="F1972" s="806"/>
      <c r="W1972" s="806"/>
      <c r="AZ1972" s="806"/>
      <c r="BA1972" s="806"/>
      <c r="BB1972" s="806"/>
    </row>
    <row r="1973" spans="4:54">
      <c r="D1973" s="806"/>
      <c r="F1973" s="806"/>
      <c r="W1973" s="806"/>
      <c r="AZ1973" s="806"/>
      <c r="BA1973" s="806"/>
      <c r="BB1973" s="806"/>
    </row>
    <row r="1974" spans="4:54">
      <c r="D1974" s="806"/>
      <c r="F1974" s="806"/>
      <c r="W1974" s="806"/>
      <c r="AZ1974" s="806"/>
      <c r="BA1974" s="806"/>
      <c r="BB1974" s="806"/>
    </row>
    <row r="1975" spans="4:54">
      <c r="D1975" s="806"/>
      <c r="F1975" s="806"/>
      <c r="W1975" s="806"/>
      <c r="AZ1975" s="806"/>
      <c r="BA1975" s="806"/>
      <c r="BB1975" s="806"/>
    </row>
    <row r="1976" spans="4:54">
      <c r="D1976" s="806"/>
      <c r="F1976" s="806"/>
      <c r="W1976" s="806"/>
      <c r="AZ1976" s="806"/>
      <c r="BA1976" s="806"/>
      <c r="BB1976" s="806"/>
    </row>
    <row r="1977" spans="4:54">
      <c r="D1977" s="806"/>
      <c r="F1977" s="806"/>
      <c r="W1977" s="806"/>
      <c r="AZ1977" s="806"/>
      <c r="BA1977" s="806"/>
      <c r="BB1977" s="806"/>
    </row>
    <row r="1978" spans="4:54">
      <c r="D1978" s="806"/>
      <c r="F1978" s="806"/>
      <c r="W1978" s="806"/>
      <c r="AZ1978" s="806"/>
      <c r="BA1978" s="806"/>
      <c r="BB1978" s="806"/>
    </row>
    <row r="1979" spans="4:54">
      <c r="D1979" s="806"/>
      <c r="F1979" s="806"/>
      <c r="W1979" s="806"/>
      <c r="AZ1979" s="806"/>
      <c r="BA1979" s="806"/>
      <c r="BB1979" s="806"/>
    </row>
    <row r="1980" spans="4:54">
      <c r="D1980" s="806"/>
      <c r="F1980" s="806"/>
      <c r="W1980" s="806"/>
      <c r="AZ1980" s="806"/>
      <c r="BA1980" s="806"/>
      <c r="BB1980" s="806"/>
    </row>
    <row r="1981" spans="4:54">
      <c r="D1981" s="806"/>
      <c r="F1981" s="806"/>
      <c r="W1981" s="806"/>
      <c r="AZ1981" s="806"/>
      <c r="BA1981" s="806"/>
      <c r="BB1981" s="806"/>
    </row>
    <row r="1982" spans="4:54">
      <c r="D1982" s="806"/>
      <c r="F1982" s="806"/>
      <c r="W1982" s="806"/>
      <c r="AZ1982" s="806"/>
      <c r="BA1982" s="806"/>
      <c r="BB1982" s="806"/>
    </row>
    <row r="1983" spans="4:54">
      <c r="D1983" s="806"/>
      <c r="F1983" s="806"/>
      <c r="W1983" s="806"/>
      <c r="AZ1983" s="806"/>
      <c r="BA1983" s="806"/>
      <c r="BB1983" s="806"/>
    </row>
    <row r="1984" spans="4:54">
      <c r="D1984" s="806"/>
      <c r="F1984" s="806"/>
      <c r="W1984" s="806"/>
      <c r="AZ1984" s="806"/>
      <c r="BA1984" s="806"/>
      <c r="BB1984" s="806"/>
    </row>
    <row r="1985" spans="4:54">
      <c r="D1985" s="806"/>
      <c r="F1985" s="806"/>
      <c r="W1985" s="806"/>
      <c r="AZ1985" s="806"/>
      <c r="BA1985" s="806"/>
      <c r="BB1985" s="806"/>
    </row>
    <row r="1986" spans="4:54">
      <c r="D1986" s="806"/>
      <c r="F1986" s="806"/>
      <c r="W1986" s="806"/>
      <c r="AZ1986" s="806"/>
      <c r="BA1986" s="806"/>
      <c r="BB1986" s="806"/>
    </row>
    <row r="1987" spans="4:54">
      <c r="D1987" s="806"/>
      <c r="F1987" s="806"/>
      <c r="W1987" s="806"/>
      <c r="AZ1987" s="806"/>
      <c r="BA1987" s="806"/>
      <c r="BB1987" s="806"/>
    </row>
    <row r="1988" spans="4:54">
      <c r="D1988" s="806"/>
      <c r="F1988" s="806"/>
      <c r="W1988" s="806"/>
      <c r="AZ1988" s="806"/>
      <c r="BA1988" s="806"/>
      <c r="BB1988" s="806"/>
    </row>
    <row r="1989" spans="4:54">
      <c r="D1989" s="806"/>
      <c r="F1989" s="806"/>
      <c r="W1989" s="806"/>
      <c r="AZ1989" s="806"/>
      <c r="BA1989" s="806"/>
      <c r="BB1989" s="806"/>
    </row>
    <row r="1990" spans="4:54">
      <c r="D1990" s="806"/>
      <c r="F1990" s="806"/>
      <c r="W1990" s="806"/>
      <c r="AZ1990" s="806"/>
      <c r="BA1990" s="806"/>
      <c r="BB1990" s="806"/>
    </row>
    <row r="1991" spans="4:54">
      <c r="D1991" s="806"/>
      <c r="F1991" s="806"/>
      <c r="W1991" s="806"/>
      <c r="AZ1991" s="806"/>
      <c r="BA1991" s="806"/>
      <c r="BB1991" s="806"/>
    </row>
    <row r="1992" spans="4:54">
      <c r="D1992" s="806"/>
      <c r="F1992" s="806"/>
      <c r="W1992" s="806"/>
      <c r="AZ1992" s="806"/>
      <c r="BA1992" s="806"/>
      <c r="BB1992" s="806"/>
    </row>
    <row r="1993" spans="4:54">
      <c r="D1993" s="806"/>
      <c r="F1993" s="806"/>
      <c r="W1993" s="806"/>
      <c r="AZ1993" s="806"/>
      <c r="BA1993" s="806"/>
      <c r="BB1993" s="806"/>
    </row>
    <row r="1994" spans="4:54">
      <c r="D1994" s="806"/>
      <c r="F1994" s="806"/>
      <c r="W1994" s="806"/>
      <c r="AZ1994" s="806"/>
      <c r="BA1994" s="806"/>
      <c r="BB1994" s="806"/>
    </row>
    <row r="1995" spans="4:54">
      <c r="D1995" s="806"/>
      <c r="F1995" s="806"/>
      <c r="W1995" s="806"/>
      <c r="AZ1995" s="806"/>
      <c r="BA1995" s="806"/>
      <c r="BB1995" s="806"/>
    </row>
    <row r="1996" spans="4:54">
      <c r="D1996" s="806"/>
      <c r="F1996" s="806"/>
      <c r="W1996" s="806"/>
      <c r="AZ1996" s="806"/>
      <c r="BA1996" s="806"/>
      <c r="BB1996" s="806"/>
    </row>
    <row r="1997" spans="4:54">
      <c r="D1997" s="806"/>
      <c r="F1997" s="806"/>
      <c r="W1997" s="806"/>
      <c r="AZ1997" s="806"/>
      <c r="BA1997" s="806"/>
      <c r="BB1997" s="806"/>
    </row>
    <row r="1998" spans="4:54">
      <c r="D1998" s="806"/>
      <c r="F1998" s="806"/>
      <c r="W1998" s="806"/>
      <c r="AZ1998" s="806"/>
      <c r="BA1998" s="806"/>
      <c r="BB1998" s="806"/>
    </row>
    <row r="1999" spans="4:54">
      <c r="D1999" s="806"/>
      <c r="F1999" s="806"/>
      <c r="W1999" s="806"/>
      <c r="AZ1999" s="806"/>
      <c r="BA1999" s="806"/>
      <c r="BB1999" s="806"/>
    </row>
    <row r="2000" spans="4:54">
      <c r="D2000" s="806"/>
      <c r="F2000" s="806"/>
      <c r="W2000" s="806"/>
      <c r="AZ2000" s="806"/>
      <c r="BA2000" s="806"/>
      <c r="BB2000" s="806"/>
    </row>
    <row r="2001" spans="4:54">
      <c r="D2001" s="806"/>
      <c r="F2001" s="806"/>
      <c r="W2001" s="806"/>
      <c r="AZ2001" s="806"/>
      <c r="BA2001" s="806"/>
      <c r="BB2001" s="806"/>
    </row>
    <row r="2002" spans="4:54">
      <c r="D2002" s="806"/>
      <c r="F2002" s="806"/>
      <c r="W2002" s="806"/>
      <c r="AZ2002" s="806"/>
      <c r="BA2002" s="806"/>
      <c r="BB2002" s="806"/>
    </row>
    <row r="2003" spans="4:54">
      <c r="D2003" s="806"/>
      <c r="F2003" s="806"/>
      <c r="W2003" s="806"/>
      <c r="AZ2003" s="806"/>
      <c r="BA2003" s="806"/>
      <c r="BB2003" s="806"/>
    </row>
    <row r="2004" spans="4:54">
      <c r="D2004" s="806"/>
      <c r="F2004" s="806"/>
      <c r="W2004" s="806"/>
      <c r="AZ2004" s="806"/>
      <c r="BA2004" s="806"/>
      <c r="BB2004" s="806"/>
    </row>
    <row r="2005" spans="4:54">
      <c r="D2005" s="806"/>
      <c r="F2005" s="806"/>
      <c r="W2005" s="806"/>
      <c r="AZ2005" s="806"/>
      <c r="BA2005" s="806"/>
      <c r="BB2005" s="806"/>
    </row>
    <row r="2006" spans="4:54">
      <c r="D2006" s="806"/>
      <c r="F2006" s="806"/>
      <c r="W2006" s="806"/>
      <c r="AZ2006" s="806"/>
      <c r="BA2006" s="806"/>
      <c r="BB2006" s="806"/>
    </row>
    <row r="2007" spans="4:54">
      <c r="D2007" s="806"/>
      <c r="F2007" s="806"/>
      <c r="W2007" s="806"/>
      <c r="AZ2007" s="806"/>
      <c r="BA2007" s="806"/>
      <c r="BB2007" s="806"/>
    </row>
    <row r="2008" spans="4:54">
      <c r="D2008" s="806"/>
      <c r="F2008" s="806"/>
      <c r="W2008" s="806"/>
      <c r="AZ2008" s="806"/>
      <c r="BA2008" s="806"/>
      <c r="BB2008" s="806"/>
    </row>
    <row r="2009" spans="4:54">
      <c r="D2009" s="806"/>
      <c r="F2009" s="806"/>
      <c r="W2009" s="806"/>
      <c r="AZ2009" s="806"/>
      <c r="BA2009" s="806"/>
      <c r="BB2009" s="806"/>
    </row>
    <row r="2010" spans="4:54">
      <c r="D2010" s="806"/>
      <c r="F2010" s="806"/>
      <c r="W2010" s="806"/>
      <c r="AZ2010" s="806"/>
      <c r="BA2010" s="806"/>
      <c r="BB2010" s="806"/>
    </row>
    <row r="2011" spans="4:54">
      <c r="D2011" s="806"/>
      <c r="F2011" s="806"/>
      <c r="W2011" s="806"/>
      <c r="AZ2011" s="806"/>
      <c r="BA2011" s="806"/>
      <c r="BB2011" s="806"/>
    </row>
    <row r="2012" spans="4:54">
      <c r="D2012" s="806"/>
      <c r="F2012" s="806"/>
      <c r="W2012" s="806"/>
      <c r="AZ2012" s="806"/>
      <c r="BA2012" s="806"/>
      <c r="BB2012" s="806"/>
    </row>
    <row r="2013" spans="4:54">
      <c r="D2013" s="806"/>
      <c r="F2013" s="806"/>
      <c r="W2013" s="806"/>
      <c r="AZ2013" s="806"/>
      <c r="BA2013" s="806"/>
      <c r="BB2013" s="806"/>
    </row>
    <row r="2014" spans="4:54">
      <c r="D2014" s="806"/>
      <c r="F2014" s="806"/>
      <c r="W2014" s="806"/>
      <c r="AZ2014" s="806"/>
      <c r="BA2014" s="806"/>
      <c r="BB2014" s="806"/>
    </row>
    <row r="2015" spans="4:54">
      <c r="D2015" s="806"/>
      <c r="F2015" s="806"/>
      <c r="W2015" s="806"/>
      <c r="AZ2015" s="806"/>
      <c r="BA2015" s="806"/>
      <c r="BB2015" s="806"/>
    </row>
    <row r="2016" spans="4:54">
      <c r="D2016" s="806"/>
      <c r="F2016" s="806"/>
      <c r="W2016" s="806"/>
      <c r="AZ2016" s="806"/>
      <c r="BA2016" s="806"/>
      <c r="BB2016" s="806"/>
    </row>
    <row r="2017" spans="4:54">
      <c r="D2017" s="806"/>
      <c r="F2017" s="806"/>
      <c r="W2017" s="806"/>
      <c r="AZ2017" s="806"/>
      <c r="BA2017" s="806"/>
      <c r="BB2017" s="806"/>
    </row>
    <row r="2018" spans="4:54">
      <c r="D2018" s="806"/>
      <c r="F2018" s="806"/>
      <c r="W2018" s="806"/>
      <c r="AZ2018" s="806"/>
      <c r="BA2018" s="806"/>
      <c r="BB2018" s="806"/>
    </row>
    <row r="2019" spans="4:54">
      <c r="D2019" s="806"/>
      <c r="F2019" s="806"/>
      <c r="W2019" s="806"/>
      <c r="AZ2019" s="806"/>
      <c r="BA2019" s="806"/>
      <c r="BB2019" s="806"/>
    </row>
    <row r="2020" spans="4:54">
      <c r="D2020" s="806"/>
      <c r="F2020" s="806"/>
      <c r="W2020" s="806"/>
      <c r="AZ2020" s="806"/>
      <c r="BA2020" s="806"/>
      <c r="BB2020" s="806"/>
    </row>
    <row r="2021" spans="4:54">
      <c r="D2021" s="806"/>
      <c r="F2021" s="806"/>
      <c r="W2021" s="806"/>
      <c r="AZ2021" s="806"/>
      <c r="BA2021" s="806"/>
      <c r="BB2021" s="806"/>
    </row>
    <row r="2022" spans="4:54">
      <c r="D2022" s="806"/>
      <c r="F2022" s="806"/>
      <c r="W2022" s="806"/>
      <c r="AZ2022" s="806"/>
      <c r="BA2022" s="806"/>
      <c r="BB2022" s="806"/>
    </row>
    <row r="2023" spans="4:54">
      <c r="D2023" s="806"/>
      <c r="F2023" s="806"/>
      <c r="W2023" s="806"/>
      <c r="AZ2023" s="806"/>
      <c r="BA2023" s="806"/>
      <c r="BB2023" s="806"/>
    </row>
    <row r="2024" spans="4:54">
      <c r="D2024" s="806"/>
      <c r="F2024" s="806"/>
      <c r="W2024" s="806"/>
      <c r="AZ2024" s="806"/>
      <c r="BA2024" s="806"/>
      <c r="BB2024" s="806"/>
    </row>
    <row r="2025" spans="4:54">
      <c r="D2025" s="806"/>
      <c r="F2025" s="806"/>
      <c r="W2025" s="806"/>
      <c r="AZ2025" s="806"/>
      <c r="BA2025" s="806"/>
      <c r="BB2025" s="806"/>
    </row>
    <row r="2026" spans="4:54">
      <c r="D2026" s="806"/>
      <c r="F2026" s="806"/>
      <c r="W2026" s="806"/>
      <c r="AZ2026" s="806"/>
      <c r="BA2026" s="806"/>
      <c r="BB2026" s="806"/>
    </row>
    <row r="2027" spans="4:54">
      <c r="D2027" s="806"/>
      <c r="F2027" s="806"/>
      <c r="W2027" s="806"/>
      <c r="AZ2027" s="806"/>
      <c r="BA2027" s="806"/>
      <c r="BB2027" s="806"/>
    </row>
    <row r="2028" spans="4:54">
      <c r="D2028" s="806"/>
      <c r="F2028" s="806"/>
      <c r="W2028" s="806"/>
      <c r="AZ2028" s="806"/>
      <c r="BA2028" s="806"/>
      <c r="BB2028" s="806"/>
    </row>
    <row r="2029" spans="4:54">
      <c r="D2029" s="806"/>
      <c r="F2029" s="806"/>
      <c r="W2029" s="806"/>
      <c r="AZ2029" s="806"/>
      <c r="BA2029" s="806"/>
      <c r="BB2029" s="806"/>
    </row>
    <row r="2030" spans="4:54">
      <c r="D2030" s="806"/>
      <c r="F2030" s="806"/>
      <c r="W2030" s="806"/>
      <c r="AZ2030" s="806"/>
      <c r="BA2030" s="806"/>
      <c r="BB2030" s="806"/>
    </row>
    <row r="2031" spans="4:54">
      <c r="D2031" s="806"/>
      <c r="F2031" s="806"/>
      <c r="W2031" s="806"/>
      <c r="AZ2031" s="806"/>
      <c r="BA2031" s="806"/>
      <c r="BB2031" s="806"/>
    </row>
    <row r="2032" spans="4:54">
      <c r="D2032" s="806"/>
      <c r="F2032" s="806"/>
      <c r="W2032" s="806"/>
      <c r="AZ2032" s="806"/>
      <c r="BA2032" s="806"/>
      <c r="BB2032" s="806"/>
    </row>
    <row r="2033" spans="4:54">
      <c r="D2033" s="806"/>
      <c r="F2033" s="806"/>
      <c r="W2033" s="806"/>
      <c r="AZ2033" s="806"/>
      <c r="BA2033" s="806"/>
      <c r="BB2033" s="806"/>
    </row>
    <row r="2034" spans="4:54">
      <c r="D2034" s="806"/>
      <c r="F2034" s="806"/>
      <c r="W2034" s="806"/>
      <c r="AZ2034" s="806"/>
      <c r="BA2034" s="806"/>
      <c r="BB2034" s="806"/>
    </row>
    <row r="2035" spans="4:54">
      <c r="D2035" s="806"/>
      <c r="F2035" s="806"/>
      <c r="W2035" s="806"/>
      <c r="AZ2035" s="806"/>
      <c r="BA2035" s="806"/>
      <c r="BB2035" s="806"/>
    </row>
    <row r="2036" spans="4:54">
      <c r="D2036" s="806"/>
      <c r="F2036" s="806"/>
      <c r="W2036" s="806"/>
      <c r="AZ2036" s="806"/>
      <c r="BA2036" s="806"/>
      <c r="BB2036" s="806"/>
    </row>
    <row r="2037" spans="4:54">
      <c r="D2037" s="806"/>
      <c r="F2037" s="806"/>
      <c r="W2037" s="806"/>
      <c r="AZ2037" s="806"/>
      <c r="BA2037" s="806"/>
      <c r="BB2037" s="806"/>
    </row>
    <row r="2038" spans="4:54">
      <c r="D2038" s="806"/>
      <c r="F2038" s="806"/>
      <c r="W2038" s="806"/>
      <c r="AZ2038" s="806"/>
      <c r="BA2038" s="806"/>
      <c r="BB2038" s="806"/>
    </row>
    <row r="2039" spans="4:54">
      <c r="D2039" s="806"/>
      <c r="F2039" s="806"/>
      <c r="W2039" s="806"/>
      <c r="AZ2039" s="806"/>
      <c r="BA2039" s="806"/>
      <c r="BB2039" s="806"/>
    </row>
    <row r="2040" spans="4:54">
      <c r="D2040" s="806"/>
      <c r="F2040" s="806"/>
      <c r="W2040" s="806"/>
      <c r="AZ2040" s="806"/>
      <c r="BA2040" s="806"/>
      <c r="BB2040" s="806"/>
    </row>
    <row r="2041" spans="4:54">
      <c r="D2041" s="806"/>
      <c r="F2041" s="806"/>
      <c r="W2041" s="806"/>
      <c r="AZ2041" s="806"/>
      <c r="BA2041" s="806"/>
      <c r="BB2041" s="806"/>
    </row>
    <row r="2042" spans="4:54">
      <c r="D2042" s="806"/>
      <c r="F2042" s="806"/>
      <c r="W2042" s="806"/>
      <c r="AZ2042" s="806"/>
      <c r="BA2042" s="806"/>
      <c r="BB2042" s="806"/>
    </row>
    <row r="2043" spans="4:54">
      <c r="D2043" s="806"/>
      <c r="F2043" s="806"/>
      <c r="W2043" s="806"/>
      <c r="AZ2043" s="806"/>
      <c r="BA2043" s="806"/>
      <c r="BB2043" s="806"/>
    </row>
    <row r="2044" spans="4:54">
      <c r="D2044" s="806"/>
      <c r="F2044" s="806"/>
      <c r="W2044" s="806"/>
      <c r="AZ2044" s="806"/>
      <c r="BA2044" s="806"/>
      <c r="BB2044" s="806"/>
    </row>
    <row r="2045" spans="4:54">
      <c r="D2045" s="806"/>
      <c r="F2045" s="806"/>
      <c r="W2045" s="806"/>
      <c r="AZ2045" s="806"/>
      <c r="BA2045" s="806"/>
      <c r="BB2045" s="806"/>
    </row>
    <row r="2046" spans="4:54">
      <c r="D2046" s="806"/>
      <c r="F2046" s="806"/>
      <c r="W2046" s="806"/>
      <c r="AZ2046" s="806"/>
      <c r="BA2046" s="806"/>
      <c r="BB2046" s="806"/>
    </row>
    <row r="2047" spans="4:54">
      <c r="D2047" s="806"/>
      <c r="F2047" s="806"/>
      <c r="W2047" s="806"/>
      <c r="AZ2047" s="806"/>
      <c r="BA2047" s="806"/>
      <c r="BB2047" s="806"/>
    </row>
    <row r="2048" spans="4:54">
      <c r="D2048" s="806"/>
      <c r="F2048" s="806"/>
      <c r="W2048" s="806"/>
      <c r="AZ2048" s="806"/>
      <c r="BA2048" s="806"/>
      <c r="BB2048" s="806"/>
    </row>
    <row r="2049" spans="4:54">
      <c r="D2049" s="806"/>
      <c r="F2049" s="806"/>
      <c r="W2049" s="806"/>
      <c r="AZ2049" s="806"/>
      <c r="BA2049" s="806"/>
      <c r="BB2049" s="806"/>
    </row>
    <row r="2050" spans="4:54">
      <c r="D2050" s="806"/>
      <c r="F2050" s="806"/>
      <c r="W2050" s="806"/>
      <c r="AZ2050" s="806"/>
      <c r="BA2050" s="806"/>
      <c r="BB2050" s="806"/>
    </row>
    <row r="2051" spans="4:54">
      <c r="D2051" s="806"/>
      <c r="F2051" s="806"/>
      <c r="W2051" s="806"/>
      <c r="AZ2051" s="806"/>
      <c r="BA2051" s="806"/>
      <c r="BB2051" s="806"/>
    </row>
    <row r="2052" spans="4:54">
      <c r="D2052" s="806"/>
      <c r="F2052" s="806"/>
      <c r="W2052" s="806"/>
      <c r="AZ2052" s="806"/>
      <c r="BA2052" s="806"/>
      <c r="BB2052" s="806"/>
    </row>
    <row r="2053" spans="4:54">
      <c r="D2053" s="806"/>
      <c r="F2053" s="806"/>
      <c r="W2053" s="806"/>
      <c r="AZ2053" s="806"/>
      <c r="BA2053" s="806"/>
      <c r="BB2053" s="806"/>
    </row>
    <row r="2054" spans="4:54">
      <c r="D2054" s="806"/>
      <c r="F2054" s="806"/>
      <c r="W2054" s="806"/>
      <c r="AZ2054" s="806"/>
      <c r="BA2054" s="806"/>
      <c r="BB2054" s="806"/>
    </row>
    <row r="2055" spans="4:54">
      <c r="D2055" s="806"/>
      <c r="F2055" s="806"/>
      <c r="W2055" s="806"/>
      <c r="AZ2055" s="806"/>
      <c r="BA2055" s="806"/>
      <c r="BB2055" s="806"/>
    </row>
    <row r="2056" spans="4:54">
      <c r="D2056" s="806"/>
      <c r="F2056" s="806"/>
      <c r="W2056" s="806"/>
      <c r="AZ2056" s="806"/>
      <c r="BA2056" s="806"/>
      <c r="BB2056" s="806"/>
    </row>
    <row r="2057" spans="4:54">
      <c r="D2057" s="806"/>
      <c r="F2057" s="806"/>
      <c r="W2057" s="806"/>
      <c r="AZ2057" s="806"/>
      <c r="BA2057" s="806"/>
      <c r="BB2057" s="806"/>
    </row>
    <row r="2058" spans="4:54">
      <c r="D2058" s="806"/>
      <c r="F2058" s="806"/>
      <c r="W2058" s="806"/>
      <c r="AZ2058" s="806"/>
      <c r="BA2058" s="806"/>
      <c r="BB2058" s="806"/>
    </row>
    <row r="2059" spans="4:54">
      <c r="D2059" s="806"/>
      <c r="F2059" s="806"/>
      <c r="W2059" s="806"/>
      <c r="AZ2059" s="806"/>
      <c r="BA2059" s="806"/>
      <c r="BB2059" s="806"/>
    </row>
    <row r="2060" spans="4:54">
      <c r="D2060" s="806"/>
      <c r="F2060" s="806"/>
      <c r="W2060" s="806"/>
      <c r="AZ2060" s="806"/>
      <c r="BA2060" s="806"/>
      <c r="BB2060" s="806"/>
    </row>
    <row r="2061" spans="4:54">
      <c r="D2061" s="806"/>
      <c r="F2061" s="806"/>
      <c r="W2061" s="806"/>
      <c r="AZ2061" s="806"/>
      <c r="BA2061" s="806"/>
      <c r="BB2061" s="806"/>
    </row>
    <row r="2062" spans="4:54">
      <c r="D2062" s="806"/>
      <c r="F2062" s="806"/>
      <c r="W2062" s="806"/>
      <c r="AZ2062" s="806"/>
      <c r="BA2062" s="806"/>
      <c r="BB2062" s="806"/>
    </row>
    <row r="2063" spans="4:54">
      <c r="D2063" s="806"/>
      <c r="F2063" s="806"/>
      <c r="W2063" s="806"/>
      <c r="AZ2063" s="806"/>
      <c r="BA2063" s="806"/>
      <c r="BB2063" s="806"/>
    </row>
    <row r="2064" spans="4:54">
      <c r="D2064" s="806"/>
      <c r="F2064" s="806"/>
      <c r="W2064" s="806"/>
      <c r="AZ2064" s="806"/>
      <c r="BA2064" s="806"/>
      <c r="BB2064" s="806"/>
    </row>
    <row r="2065" spans="4:54">
      <c r="D2065" s="806"/>
      <c r="F2065" s="806"/>
      <c r="W2065" s="806"/>
      <c r="AZ2065" s="806"/>
      <c r="BA2065" s="806"/>
      <c r="BB2065" s="806"/>
    </row>
    <row r="2066" spans="4:54">
      <c r="D2066" s="806"/>
      <c r="F2066" s="806"/>
      <c r="W2066" s="806"/>
      <c r="AZ2066" s="806"/>
      <c r="BA2066" s="806"/>
      <c r="BB2066" s="806"/>
    </row>
    <row r="2067" spans="4:54">
      <c r="D2067" s="806"/>
      <c r="F2067" s="806"/>
      <c r="W2067" s="806"/>
      <c r="AZ2067" s="806"/>
      <c r="BA2067" s="806"/>
      <c r="BB2067" s="806"/>
    </row>
    <row r="2068" spans="4:54">
      <c r="D2068" s="806"/>
      <c r="F2068" s="806"/>
      <c r="W2068" s="806"/>
      <c r="AZ2068" s="806"/>
      <c r="BA2068" s="806"/>
      <c r="BB2068" s="806"/>
    </row>
    <row r="2069" spans="4:54">
      <c r="D2069" s="806"/>
      <c r="F2069" s="806"/>
      <c r="W2069" s="806"/>
      <c r="AZ2069" s="806"/>
      <c r="BA2069" s="806"/>
      <c r="BB2069" s="806"/>
    </row>
    <row r="2070" spans="4:54">
      <c r="D2070" s="806"/>
      <c r="F2070" s="806"/>
      <c r="W2070" s="806"/>
      <c r="AZ2070" s="806"/>
      <c r="BA2070" s="806"/>
      <c r="BB2070" s="806"/>
    </row>
    <row r="2071" spans="4:54">
      <c r="D2071" s="806"/>
      <c r="F2071" s="806"/>
      <c r="W2071" s="806"/>
      <c r="AZ2071" s="806"/>
      <c r="BA2071" s="806"/>
      <c r="BB2071" s="806"/>
    </row>
    <row r="2072" spans="4:54">
      <c r="D2072" s="806"/>
      <c r="F2072" s="806"/>
      <c r="W2072" s="806"/>
      <c r="AZ2072" s="806"/>
      <c r="BA2072" s="806"/>
      <c r="BB2072" s="806"/>
    </row>
    <row r="2073" spans="4:54">
      <c r="D2073" s="806"/>
      <c r="F2073" s="806"/>
      <c r="W2073" s="806"/>
      <c r="AZ2073" s="806"/>
      <c r="BA2073" s="806"/>
      <c r="BB2073" s="806"/>
    </row>
    <row r="2074" spans="4:54">
      <c r="D2074" s="806"/>
      <c r="F2074" s="806"/>
      <c r="W2074" s="806"/>
      <c r="AZ2074" s="806"/>
      <c r="BA2074" s="806"/>
      <c r="BB2074" s="806"/>
    </row>
    <row r="2075" spans="4:54">
      <c r="D2075" s="806"/>
      <c r="F2075" s="806"/>
      <c r="W2075" s="806"/>
      <c r="AZ2075" s="806"/>
      <c r="BA2075" s="806"/>
      <c r="BB2075" s="806"/>
    </row>
    <row r="2076" spans="4:54">
      <c r="D2076" s="806"/>
      <c r="F2076" s="806"/>
      <c r="W2076" s="806"/>
      <c r="AZ2076" s="806"/>
      <c r="BA2076" s="806"/>
      <c r="BB2076" s="806"/>
    </row>
    <row r="2077" spans="4:54">
      <c r="D2077" s="806"/>
      <c r="F2077" s="806"/>
      <c r="W2077" s="806"/>
      <c r="AZ2077" s="806"/>
      <c r="BA2077" s="806"/>
      <c r="BB2077" s="806"/>
    </row>
    <row r="2078" spans="4:54">
      <c r="D2078" s="806"/>
      <c r="F2078" s="806"/>
      <c r="W2078" s="806"/>
      <c r="AZ2078" s="806"/>
      <c r="BA2078" s="806"/>
      <c r="BB2078" s="806"/>
    </row>
    <row r="2079" spans="4:54">
      <c r="D2079" s="806"/>
      <c r="F2079" s="806"/>
      <c r="W2079" s="806"/>
      <c r="AZ2079" s="806"/>
      <c r="BA2079" s="806"/>
      <c r="BB2079" s="806"/>
    </row>
    <row r="2080" spans="4:54">
      <c r="D2080" s="806"/>
      <c r="F2080" s="806"/>
      <c r="W2080" s="806"/>
      <c r="AZ2080" s="806"/>
      <c r="BA2080" s="806"/>
      <c r="BB2080" s="806"/>
    </row>
    <row r="2081" spans="4:54">
      <c r="D2081" s="806"/>
      <c r="F2081" s="806"/>
      <c r="W2081" s="806"/>
      <c r="AZ2081" s="806"/>
      <c r="BA2081" s="806"/>
      <c r="BB2081" s="806"/>
    </row>
    <row r="2082" spans="4:54">
      <c r="D2082" s="806"/>
      <c r="F2082" s="806"/>
      <c r="W2082" s="806"/>
      <c r="AZ2082" s="806"/>
      <c r="BA2082" s="806"/>
      <c r="BB2082" s="806"/>
    </row>
    <row r="2083" spans="4:54">
      <c r="D2083" s="806"/>
      <c r="F2083" s="806"/>
      <c r="W2083" s="806"/>
      <c r="AZ2083" s="806"/>
      <c r="BA2083" s="806"/>
      <c r="BB2083" s="806"/>
    </row>
    <row r="2084" spans="4:54">
      <c r="D2084" s="806"/>
      <c r="F2084" s="806"/>
      <c r="W2084" s="806"/>
      <c r="AZ2084" s="806"/>
      <c r="BA2084" s="806"/>
      <c r="BB2084" s="806"/>
    </row>
    <row r="2085" spans="4:54">
      <c r="D2085" s="806"/>
      <c r="F2085" s="806"/>
      <c r="W2085" s="806"/>
      <c r="AZ2085" s="806"/>
      <c r="BA2085" s="806"/>
      <c r="BB2085" s="806"/>
    </row>
    <row r="2086" spans="4:54">
      <c r="D2086" s="806"/>
      <c r="F2086" s="806"/>
      <c r="W2086" s="806"/>
      <c r="AZ2086" s="806"/>
      <c r="BA2086" s="806"/>
      <c r="BB2086" s="806"/>
    </row>
    <row r="2087" spans="4:54">
      <c r="D2087" s="806"/>
      <c r="F2087" s="806"/>
      <c r="W2087" s="806"/>
      <c r="AZ2087" s="806"/>
      <c r="BA2087" s="806"/>
      <c r="BB2087" s="806"/>
    </row>
    <row r="2088" spans="4:54">
      <c r="D2088" s="806"/>
      <c r="F2088" s="806"/>
      <c r="W2088" s="806"/>
      <c r="AZ2088" s="806"/>
      <c r="BA2088" s="806"/>
      <c r="BB2088" s="806"/>
    </row>
    <row r="2089" spans="4:54">
      <c r="D2089" s="806"/>
      <c r="F2089" s="806"/>
      <c r="W2089" s="806"/>
      <c r="AZ2089" s="806"/>
      <c r="BA2089" s="806"/>
      <c r="BB2089" s="806"/>
    </row>
    <row r="2090" spans="4:54">
      <c r="D2090" s="806"/>
      <c r="F2090" s="806"/>
      <c r="W2090" s="806"/>
      <c r="AZ2090" s="806"/>
      <c r="BA2090" s="806"/>
      <c r="BB2090" s="806"/>
    </row>
    <row r="2091" spans="4:54">
      <c r="D2091" s="806"/>
      <c r="F2091" s="806"/>
      <c r="W2091" s="806"/>
      <c r="AZ2091" s="806"/>
      <c r="BA2091" s="806"/>
      <c r="BB2091" s="806"/>
    </row>
    <row r="2092" spans="4:54">
      <c r="D2092" s="806"/>
      <c r="F2092" s="806"/>
      <c r="W2092" s="806"/>
      <c r="AZ2092" s="806"/>
      <c r="BA2092" s="806"/>
      <c r="BB2092" s="806"/>
    </row>
    <row r="2093" spans="4:54">
      <c r="D2093" s="806"/>
      <c r="F2093" s="806"/>
      <c r="W2093" s="806"/>
      <c r="AZ2093" s="806"/>
      <c r="BA2093" s="806"/>
      <c r="BB2093" s="806"/>
    </row>
    <row r="2094" spans="4:54">
      <c r="D2094" s="806"/>
      <c r="F2094" s="806"/>
      <c r="W2094" s="806"/>
      <c r="AZ2094" s="806"/>
      <c r="BA2094" s="806"/>
      <c r="BB2094" s="806"/>
    </row>
    <row r="2095" spans="4:54">
      <c r="D2095" s="806"/>
      <c r="F2095" s="806"/>
      <c r="W2095" s="806"/>
      <c r="AZ2095" s="806"/>
      <c r="BA2095" s="806"/>
      <c r="BB2095" s="806"/>
    </row>
    <row r="2096" spans="4:54">
      <c r="D2096" s="806"/>
      <c r="F2096" s="806"/>
      <c r="W2096" s="806"/>
      <c r="AZ2096" s="806"/>
      <c r="BA2096" s="806"/>
      <c r="BB2096" s="806"/>
    </row>
    <row r="2097" spans="4:54">
      <c r="D2097" s="806"/>
      <c r="F2097" s="806"/>
      <c r="W2097" s="806"/>
      <c r="AZ2097" s="806"/>
      <c r="BA2097" s="806"/>
      <c r="BB2097" s="806"/>
    </row>
    <row r="2098" spans="4:54">
      <c r="D2098" s="806"/>
      <c r="F2098" s="806"/>
      <c r="W2098" s="806"/>
      <c r="AZ2098" s="806"/>
      <c r="BA2098" s="806"/>
      <c r="BB2098" s="806"/>
    </row>
    <row r="2099" spans="4:54">
      <c r="D2099" s="806"/>
      <c r="F2099" s="806"/>
      <c r="W2099" s="806"/>
      <c r="AZ2099" s="806"/>
      <c r="BA2099" s="806"/>
      <c r="BB2099" s="806"/>
    </row>
    <row r="2100" spans="4:54">
      <c r="D2100" s="806"/>
      <c r="F2100" s="806"/>
      <c r="W2100" s="806"/>
      <c r="AZ2100" s="806"/>
      <c r="BA2100" s="806"/>
      <c r="BB2100" s="806"/>
    </row>
    <row r="2101" spans="4:54">
      <c r="D2101" s="806"/>
      <c r="F2101" s="806"/>
      <c r="W2101" s="806"/>
      <c r="AZ2101" s="806"/>
      <c r="BA2101" s="806"/>
      <c r="BB2101" s="806"/>
    </row>
    <row r="2102" spans="4:54">
      <c r="D2102" s="806"/>
      <c r="F2102" s="806"/>
      <c r="W2102" s="806"/>
      <c r="AZ2102" s="806"/>
      <c r="BA2102" s="806"/>
      <c r="BB2102" s="806"/>
    </row>
    <row r="2103" spans="4:54">
      <c r="D2103" s="806"/>
      <c r="F2103" s="806"/>
      <c r="W2103" s="806"/>
      <c r="AZ2103" s="806"/>
      <c r="BA2103" s="806"/>
      <c r="BB2103" s="806"/>
    </row>
    <row r="2104" spans="4:54">
      <c r="D2104" s="806"/>
      <c r="F2104" s="806"/>
      <c r="W2104" s="806"/>
      <c r="AZ2104" s="806"/>
      <c r="BA2104" s="806"/>
      <c r="BB2104" s="806"/>
    </row>
    <row r="2105" spans="4:54">
      <c r="D2105" s="806"/>
      <c r="F2105" s="806"/>
      <c r="W2105" s="806"/>
      <c r="AZ2105" s="806"/>
      <c r="BA2105" s="806"/>
      <c r="BB2105" s="806"/>
    </row>
    <row r="2106" spans="4:54">
      <c r="D2106" s="806"/>
      <c r="F2106" s="806"/>
      <c r="W2106" s="806"/>
      <c r="AZ2106" s="806"/>
      <c r="BA2106" s="806"/>
      <c r="BB2106" s="806"/>
    </row>
    <row r="2107" spans="4:54">
      <c r="D2107" s="806"/>
      <c r="F2107" s="806"/>
      <c r="W2107" s="806"/>
      <c r="AZ2107" s="806"/>
      <c r="BA2107" s="806"/>
      <c r="BB2107" s="806"/>
    </row>
    <row r="2108" spans="4:54">
      <c r="D2108" s="806"/>
      <c r="F2108" s="806"/>
      <c r="W2108" s="806"/>
      <c r="AZ2108" s="806"/>
      <c r="BA2108" s="806"/>
      <c r="BB2108" s="806"/>
    </row>
    <row r="2109" spans="4:54">
      <c r="D2109" s="806"/>
      <c r="F2109" s="806"/>
      <c r="W2109" s="806"/>
      <c r="AZ2109" s="806"/>
      <c r="BA2109" s="806"/>
      <c r="BB2109" s="806"/>
    </row>
    <row r="2110" spans="4:54">
      <c r="D2110" s="806"/>
      <c r="F2110" s="806"/>
      <c r="W2110" s="806"/>
      <c r="AZ2110" s="806"/>
      <c r="BA2110" s="806"/>
      <c r="BB2110" s="806"/>
    </row>
    <row r="2111" spans="4:54">
      <c r="D2111" s="806"/>
      <c r="F2111" s="806"/>
      <c r="W2111" s="806"/>
      <c r="AZ2111" s="806"/>
      <c r="BA2111" s="806"/>
      <c r="BB2111" s="806"/>
    </row>
    <row r="2112" spans="4:54">
      <c r="D2112" s="806"/>
      <c r="F2112" s="806"/>
      <c r="W2112" s="806"/>
      <c r="AZ2112" s="806"/>
      <c r="BA2112" s="806"/>
      <c r="BB2112" s="806"/>
    </row>
    <row r="2113" spans="4:54">
      <c r="D2113" s="806"/>
      <c r="F2113" s="806"/>
      <c r="W2113" s="806"/>
      <c r="AZ2113" s="806"/>
      <c r="BA2113" s="806"/>
      <c r="BB2113" s="806"/>
    </row>
    <row r="2114" spans="4:54">
      <c r="D2114" s="806"/>
      <c r="F2114" s="806"/>
      <c r="W2114" s="806"/>
      <c r="AZ2114" s="806"/>
      <c r="BA2114" s="806"/>
      <c r="BB2114" s="806"/>
    </row>
    <row r="2115" spans="4:54">
      <c r="D2115" s="806"/>
      <c r="F2115" s="806"/>
      <c r="W2115" s="806"/>
      <c r="AZ2115" s="806"/>
      <c r="BA2115" s="806"/>
      <c r="BB2115" s="806"/>
    </row>
    <row r="2116" spans="4:54">
      <c r="D2116" s="806"/>
      <c r="F2116" s="806"/>
      <c r="W2116" s="806"/>
      <c r="AZ2116" s="806"/>
      <c r="BA2116" s="806"/>
      <c r="BB2116" s="806"/>
    </row>
    <row r="2117" spans="4:54">
      <c r="D2117" s="806"/>
      <c r="F2117" s="806"/>
      <c r="W2117" s="806"/>
      <c r="AZ2117" s="806"/>
      <c r="BA2117" s="806"/>
      <c r="BB2117" s="806"/>
    </row>
    <row r="2118" spans="4:54">
      <c r="D2118" s="806"/>
      <c r="F2118" s="806"/>
      <c r="W2118" s="806"/>
      <c r="AZ2118" s="806"/>
      <c r="BA2118" s="806"/>
      <c r="BB2118" s="806"/>
    </row>
    <row r="2119" spans="4:54">
      <c r="D2119" s="806"/>
      <c r="F2119" s="806"/>
      <c r="W2119" s="806"/>
      <c r="AZ2119" s="806"/>
      <c r="BA2119" s="806"/>
      <c r="BB2119" s="806"/>
    </row>
    <row r="2120" spans="4:54">
      <c r="D2120" s="806"/>
      <c r="F2120" s="806"/>
      <c r="W2120" s="806"/>
      <c r="AZ2120" s="806"/>
      <c r="BA2120" s="806"/>
      <c r="BB2120" s="806"/>
    </row>
    <row r="2121" spans="4:54">
      <c r="D2121" s="806"/>
      <c r="F2121" s="806"/>
      <c r="W2121" s="806"/>
      <c r="AZ2121" s="806"/>
      <c r="BA2121" s="806"/>
      <c r="BB2121" s="806"/>
    </row>
    <row r="2122" spans="4:54">
      <c r="D2122" s="806"/>
      <c r="F2122" s="806"/>
      <c r="W2122" s="806"/>
      <c r="AZ2122" s="806"/>
      <c r="BA2122" s="806"/>
      <c r="BB2122" s="806"/>
    </row>
    <row r="2123" spans="4:54">
      <c r="D2123" s="806"/>
      <c r="F2123" s="806"/>
      <c r="W2123" s="806"/>
      <c r="AZ2123" s="806"/>
      <c r="BA2123" s="806"/>
      <c r="BB2123" s="806"/>
    </row>
    <row r="2124" spans="4:54">
      <c r="D2124" s="806"/>
      <c r="F2124" s="806"/>
      <c r="W2124" s="806"/>
      <c r="AZ2124" s="806"/>
      <c r="BA2124" s="806"/>
      <c r="BB2124" s="806"/>
    </row>
    <row r="2125" spans="4:54">
      <c r="D2125" s="806"/>
      <c r="F2125" s="806"/>
      <c r="W2125" s="806"/>
      <c r="AZ2125" s="806"/>
      <c r="BA2125" s="806"/>
      <c r="BB2125" s="806"/>
    </row>
    <row r="2126" spans="4:54">
      <c r="D2126" s="806"/>
      <c r="F2126" s="806"/>
      <c r="W2126" s="806"/>
      <c r="AZ2126" s="806"/>
      <c r="BA2126" s="806"/>
      <c r="BB2126" s="806"/>
    </row>
    <row r="2127" spans="4:54">
      <c r="D2127" s="806"/>
      <c r="F2127" s="806"/>
      <c r="W2127" s="806"/>
      <c r="AZ2127" s="806"/>
      <c r="BA2127" s="806"/>
      <c r="BB2127" s="806"/>
    </row>
    <row r="2128" spans="4:54">
      <c r="D2128" s="806"/>
      <c r="F2128" s="806"/>
      <c r="W2128" s="806"/>
      <c r="AZ2128" s="806"/>
      <c r="BA2128" s="806"/>
      <c r="BB2128" s="806"/>
    </row>
    <row r="2129" spans="4:54">
      <c r="D2129" s="806"/>
      <c r="F2129" s="806"/>
      <c r="W2129" s="806"/>
      <c r="AZ2129" s="806"/>
      <c r="BA2129" s="806"/>
      <c r="BB2129" s="806"/>
    </row>
    <row r="2130" spans="4:54">
      <c r="D2130" s="806"/>
      <c r="F2130" s="806"/>
      <c r="W2130" s="806"/>
      <c r="AZ2130" s="806"/>
      <c r="BA2130" s="806"/>
      <c r="BB2130" s="806"/>
    </row>
    <row r="2131" spans="4:54">
      <c r="D2131" s="806"/>
      <c r="F2131" s="806"/>
      <c r="W2131" s="806"/>
      <c r="AZ2131" s="806"/>
      <c r="BA2131" s="806"/>
      <c r="BB2131" s="806"/>
    </row>
    <row r="2132" spans="4:54">
      <c r="D2132" s="806"/>
      <c r="F2132" s="806"/>
      <c r="W2132" s="806"/>
      <c r="AZ2132" s="806"/>
      <c r="BA2132" s="806"/>
      <c r="BB2132" s="806"/>
    </row>
    <row r="2133" spans="4:54">
      <c r="D2133" s="806"/>
      <c r="F2133" s="806"/>
      <c r="W2133" s="806"/>
      <c r="AZ2133" s="806"/>
      <c r="BA2133" s="806"/>
      <c r="BB2133" s="806"/>
    </row>
    <row r="2134" spans="4:54">
      <c r="D2134" s="806"/>
      <c r="F2134" s="806"/>
      <c r="W2134" s="806"/>
      <c r="AZ2134" s="806"/>
      <c r="BA2134" s="806"/>
      <c r="BB2134" s="806"/>
    </row>
    <row r="2135" spans="4:54">
      <c r="D2135" s="806"/>
      <c r="F2135" s="806"/>
      <c r="W2135" s="806"/>
      <c r="AZ2135" s="806"/>
      <c r="BA2135" s="806"/>
      <c r="BB2135" s="806"/>
    </row>
    <row r="2136" spans="4:54">
      <c r="D2136" s="806"/>
      <c r="F2136" s="806"/>
      <c r="W2136" s="806"/>
      <c r="AZ2136" s="806"/>
      <c r="BA2136" s="806"/>
      <c r="BB2136" s="806"/>
    </row>
    <row r="2137" spans="4:54">
      <c r="D2137" s="806"/>
      <c r="F2137" s="806"/>
      <c r="W2137" s="806"/>
      <c r="AZ2137" s="806"/>
      <c r="BA2137" s="806"/>
      <c r="BB2137" s="806"/>
    </row>
    <row r="2138" spans="4:54">
      <c r="D2138" s="806"/>
      <c r="F2138" s="806"/>
      <c r="W2138" s="806"/>
      <c r="AZ2138" s="806"/>
      <c r="BA2138" s="806"/>
      <c r="BB2138" s="806"/>
    </row>
    <row r="2139" spans="4:54">
      <c r="D2139" s="806"/>
      <c r="F2139" s="806"/>
      <c r="W2139" s="806"/>
      <c r="AZ2139" s="806"/>
      <c r="BA2139" s="806"/>
      <c r="BB2139" s="806"/>
    </row>
    <row r="2140" spans="4:54">
      <c r="D2140" s="806"/>
      <c r="F2140" s="806"/>
      <c r="W2140" s="806"/>
      <c r="AZ2140" s="806"/>
      <c r="BA2140" s="806"/>
      <c r="BB2140" s="806"/>
    </row>
    <row r="2141" spans="4:54">
      <c r="D2141" s="806"/>
      <c r="F2141" s="806"/>
      <c r="W2141" s="806"/>
      <c r="AZ2141" s="806"/>
      <c r="BA2141" s="806"/>
      <c r="BB2141" s="806"/>
    </row>
    <row r="2142" spans="4:54">
      <c r="D2142" s="806"/>
      <c r="F2142" s="806"/>
      <c r="W2142" s="806"/>
      <c r="AZ2142" s="806"/>
      <c r="BA2142" s="806"/>
      <c r="BB2142" s="806"/>
    </row>
    <row r="2143" spans="4:54">
      <c r="D2143" s="806"/>
      <c r="F2143" s="806"/>
      <c r="W2143" s="806"/>
      <c r="AZ2143" s="806"/>
      <c r="BA2143" s="806"/>
      <c r="BB2143" s="806"/>
    </row>
    <row r="2144" spans="4:54">
      <c r="D2144" s="806"/>
      <c r="F2144" s="806"/>
      <c r="W2144" s="806"/>
      <c r="AZ2144" s="806"/>
      <c r="BA2144" s="806"/>
      <c r="BB2144" s="806"/>
    </row>
    <row r="2145" spans="4:54">
      <c r="D2145" s="806"/>
      <c r="F2145" s="806"/>
      <c r="W2145" s="806"/>
      <c r="AZ2145" s="806"/>
      <c r="BA2145" s="806"/>
      <c r="BB2145" s="806"/>
    </row>
    <row r="2146" spans="4:54">
      <c r="D2146" s="806"/>
      <c r="F2146" s="806"/>
      <c r="W2146" s="806"/>
      <c r="AZ2146" s="806"/>
      <c r="BA2146" s="806"/>
      <c r="BB2146" s="806"/>
    </row>
    <row r="2147" spans="4:54">
      <c r="D2147" s="806"/>
      <c r="F2147" s="806"/>
      <c r="W2147" s="806"/>
      <c r="AZ2147" s="806"/>
      <c r="BA2147" s="806"/>
      <c r="BB2147" s="806"/>
    </row>
    <row r="2148" spans="4:54">
      <c r="D2148" s="806"/>
      <c r="F2148" s="806"/>
      <c r="W2148" s="806"/>
      <c r="AZ2148" s="806"/>
      <c r="BA2148" s="806"/>
      <c r="BB2148" s="806"/>
    </row>
    <row r="2149" spans="4:54">
      <c r="D2149" s="806"/>
      <c r="F2149" s="806"/>
      <c r="W2149" s="806"/>
      <c r="AZ2149" s="806"/>
      <c r="BA2149" s="806"/>
      <c r="BB2149" s="806"/>
    </row>
    <row r="2150" spans="4:54">
      <c r="D2150" s="806"/>
      <c r="F2150" s="806"/>
      <c r="W2150" s="806"/>
      <c r="AZ2150" s="806"/>
      <c r="BA2150" s="806"/>
      <c r="BB2150" s="806"/>
    </row>
    <row r="2151" spans="4:54">
      <c r="D2151" s="806"/>
      <c r="F2151" s="806"/>
      <c r="W2151" s="806"/>
      <c r="AZ2151" s="806"/>
      <c r="BA2151" s="806"/>
      <c r="BB2151" s="806"/>
    </row>
    <row r="2152" spans="4:54">
      <c r="D2152" s="806"/>
      <c r="F2152" s="806"/>
      <c r="W2152" s="806"/>
      <c r="AZ2152" s="806"/>
      <c r="BA2152" s="806"/>
      <c r="BB2152" s="806"/>
    </row>
    <row r="2153" spans="4:54">
      <c r="D2153" s="806"/>
      <c r="F2153" s="806"/>
      <c r="W2153" s="806"/>
      <c r="AZ2153" s="806"/>
      <c r="BA2153" s="806"/>
      <c r="BB2153" s="806"/>
    </row>
    <row r="2154" spans="4:54">
      <c r="D2154" s="806"/>
      <c r="F2154" s="806"/>
      <c r="W2154" s="806"/>
      <c r="AZ2154" s="806"/>
      <c r="BA2154" s="806"/>
      <c r="BB2154" s="806"/>
    </row>
    <row r="2155" spans="4:54">
      <c r="D2155" s="806"/>
      <c r="F2155" s="806"/>
      <c r="W2155" s="806"/>
      <c r="AZ2155" s="806"/>
      <c r="BA2155" s="806"/>
      <c r="BB2155" s="806"/>
    </row>
    <row r="2156" spans="4:54">
      <c r="D2156" s="806"/>
      <c r="F2156" s="806"/>
      <c r="W2156" s="806"/>
      <c r="AZ2156" s="806"/>
      <c r="BA2156" s="806"/>
      <c r="BB2156" s="806"/>
    </row>
    <row r="2157" spans="4:54">
      <c r="D2157" s="806"/>
      <c r="F2157" s="806"/>
      <c r="W2157" s="806"/>
      <c r="AZ2157" s="806"/>
      <c r="BA2157" s="806"/>
      <c r="BB2157" s="806"/>
    </row>
    <row r="2158" spans="4:54">
      <c r="D2158" s="806"/>
      <c r="F2158" s="806"/>
      <c r="W2158" s="806"/>
      <c r="AZ2158" s="806"/>
      <c r="BA2158" s="806"/>
      <c r="BB2158" s="806"/>
    </row>
    <row r="2159" spans="4:54">
      <c r="D2159" s="806"/>
      <c r="F2159" s="806"/>
      <c r="W2159" s="806"/>
      <c r="AZ2159" s="806"/>
      <c r="BA2159" s="806"/>
      <c r="BB2159" s="806"/>
    </row>
    <row r="2160" spans="4:54">
      <c r="D2160" s="806"/>
      <c r="F2160" s="806"/>
      <c r="W2160" s="806"/>
      <c r="AZ2160" s="806"/>
      <c r="BA2160" s="806"/>
      <c r="BB2160" s="806"/>
    </row>
    <row r="2161" spans="4:54">
      <c r="D2161" s="806"/>
      <c r="F2161" s="806"/>
      <c r="W2161" s="806"/>
      <c r="AZ2161" s="806"/>
      <c r="BA2161" s="806"/>
      <c r="BB2161" s="806"/>
    </row>
    <row r="2162" spans="4:54">
      <c r="D2162" s="806"/>
      <c r="F2162" s="806"/>
      <c r="W2162" s="806"/>
      <c r="AZ2162" s="806"/>
      <c r="BA2162" s="806"/>
      <c r="BB2162" s="806"/>
    </row>
    <row r="2163" spans="4:54">
      <c r="D2163" s="806"/>
      <c r="F2163" s="806"/>
      <c r="W2163" s="806"/>
      <c r="AZ2163" s="806"/>
      <c r="BA2163" s="806"/>
      <c r="BB2163" s="806"/>
    </row>
    <row r="2164" spans="4:54">
      <c r="D2164" s="806"/>
      <c r="F2164" s="806"/>
      <c r="W2164" s="806"/>
      <c r="AZ2164" s="806"/>
      <c r="BA2164" s="806"/>
      <c r="BB2164" s="806"/>
    </row>
    <row r="2165" spans="4:54">
      <c r="D2165" s="806"/>
      <c r="F2165" s="806"/>
      <c r="W2165" s="806"/>
      <c r="AZ2165" s="806"/>
      <c r="BA2165" s="806"/>
      <c r="BB2165" s="806"/>
    </row>
    <row r="2166" spans="4:54">
      <c r="D2166" s="806"/>
      <c r="F2166" s="806"/>
      <c r="W2166" s="806"/>
      <c r="AZ2166" s="806"/>
      <c r="BA2166" s="806"/>
      <c r="BB2166" s="806"/>
    </row>
    <row r="2167" spans="4:54">
      <c r="D2167" s="806"/>
      <c r="F2167" s="806"/>
      <c r="W2167" s="806"/>
      <c r="AZ2167" s="806"/>
      <c r="BA2167" s="806"/>
      <c r="BB2167" s="806"/>
    </row>
    <row r="2168" spans="4:54">
      <c r="D2168" s="806"/>
      <c r="F2168" s="806"/>
      <c r="W2168" s="806"/>
      <c r="AZ2168" s="806"/>
      <c r="BA2168" s="806"/>
      <c r="BB2168" s="806"/>
    </row>
    <row r="2169" spans="4:54">
      <c r="D2169" s="806"/>
      <c r="F2169" s="806"/>
      <c r="W2169" s="806"/>
      <c r="AZ2169" s="806"/>
      <c r="BA2169" s="806"/>
      <c r="BB2169" s="806"/>
    </row>
    <row r="2170" spans="4:54">
      <c r="D2170" s="806"/>
      <c r="F2170" s="806"/>
      <c r="W2170" s="806"/>
      <c r="AZ2170" s="806"/>
      <c r="BA2170" s="806"/>
      <c r="BB2170" s="806"/>
    </row>
    <row r="2171" spans="4:54">
      <c r="D2171" s="806"/>
      <c r="F2171" s="806"/>
      <c r="W2171" s="806"/>
      <c r="AZ2171" s="806"/>
      <c r="BA2171" s="806"/>
      <c r="BB2171" s="806"/>
    </row>
    <row r="2172" spans="4:54">
      <c r="D2172" s="806"/>
      <c r="F2172" s="806"/>
      <c r="W2172" s="806"/>
      <c r="AZ2172" s="806"/>
      <c r="BA2172" s="806"/>
      <c r="BB2172" s="806"/>
    </row>
    <row r="2173" spans="4:54">
      <c r="D2173" s="806"/>
      <c r="F2173" s="806"/>
      <c r="W2173" s="806"/>
      <c r="AZ2173" s="806"/>
      <c r="BA2173" s="806"/>
      <c r="BB2173" s="806"/>
    </row>
    <row r="2174" spans="4:54">
      <c r="D2174" s="806"/>
      <c r="F2174" s="806"/>
      <c r="W2174" s="806"/>
      <c r="AZ2174" s="806"/>
      <c r="BA2174" s="806"/>
      <c r="BB2174" s="806"/>
    </row>
    <row r="2175" spans="4:54">
      <c r="D2175" s="806"/>
      <c r="F2175" s="806"/>
      <c r="W2175" s="806"/>
      <c r="AZ2175" s="806"/>
      <c r="BA2175" s="806"/>
      <c r="BB2175" s="806"/>
    </row>
    <row r="2176" spans="4:54">
      <c r="D2176" s="806"/>
      <c r="F2176" s="806"/>
      <c r="W2176" s="806"/>
      <c r="AZ2176" s="806"/>
      <c r="BA2176" s="806"/>
      <c r="BB2176" s="806"/>
    </row>
    <row r="2177" spans="4:54">
      <c r="D2177" s="806"/>
      <c r="F2177" s="806"/>
      <c r="W2177" s="806"/>
      <c r="AZ2177" s="806"/>
      <c r="BA2177" s="806"/>
      <c r="BB2177" s="806"/>
    </row>
    <row r="2178" spans="4:54">
      <c r="D2178" s="806"/>
      <c r="F2178" s="806"/>
      <c r="W2178" s="806"/>
      <c r="AZ2178" s="806"/>
      <c r="BA2178" s="806"/>
      <c r="BB2178" s="806"/>
    </row>
    <row r="2179" spans="4:54">
      <c r="D2179" s="806"/>
      <c r="F2179" s="806"/>
      <c r="W2179" s="806"/>
      <c r="AZ2179" s="806"/>
      <c r="BA2179" s="806"/>
      <c r="BB2179" s="806"/>
    </row>
    <row r="2180" spans="4:54">
      <c r="D2180" s="806"/>
      <c r="F2180" s="806"/>
      <c r="W2180" s="806"/>
      <c r="AZ2180" s="806"/>
      <c r="BA2180" s="806"/>
      <c r="BB2180" s="806"/>
    </row>
    <row r="2181" spans="4:54">
      <c r="D2181" s="806"/>
      <c r="F2181" s="806"/>
      <c r="W2181" s="806"/>
      <c r="AZ2181" s="806"/>
      <c r="BA2181" s="806"/>
      <c r="BB2181" s="806"/>
    </row>
    <row r="2182" spans="4:54">
      <c r="D2182" s="806"/>
      <c r="F2182" s="806"/>
      <c r="W2182" s="806"/>
      <c r="AZ2182" s="806"/>
      <c r="BA2182" s="806"/>
      <c r="BB2182" s="806"/>
    </row>
    <row r="2183" spans="4:54">
      <c r="D2183" s="806"/>
      <c r="F2183" s="806"/>
      <c r="W2183" s="806"/>
      <c r="AZ2183" s="806"/>
      <c r="BA2183" s="806"/>
      <c r="BB2183" s="806"/>
    </row>
    <row r="2184" spans="4:54">
      <c r="D2184" s="806"/>
      <c r="F2184" s="806"/>
      <c r="W2184" s="806"/>
      <c r="AZ2184" s="806"/>
      <c r="BA2184" s="806"/>
      <c r="BB2184" s="806"/>
    </row>
    <row r="2185" spans="4:54">
      <c r="D2185" s="806"/>
      <c r="F2185" s="806"/>
      <c r="W2185" s="806"/>
      <c r="AZ2185" s="806"/>
      <c r="BA2185" s="806"/>
      <c r="BB2185" s="806"/>
    </row>
    <row r="2186" spans="4:54">
      <c r="D2186" s="806"/>
      <c r="F2186" s="806"/>
      <c r="W2186" s="806"/>
      <c r="AZ2186" s="806"/>
      <c r="BA2186" s="806"/>
      <c r="BB2186" s="806"/>
    </row>
    <row r="2187" spans="4:54">
      <c r="D2187" s="806"/>
      <c r="F2187" s="806"/>
      <c r="W2187" s="806"/>
      <c r="AZ2187" s="806"/>
      <c r="BA2187" s="806"/>
      <c r="BB2187" s="806"/>
    </row>
    <row r="2188" spans="4:54">
      <c r="D2188" s="806"/>
      <c r="F2188" s="806"/>
      <c r="W2188" s="806"/>
      <c r="AZ2188" s="806"/>
      <c r="BA2188" s="806"/>
      <c r="BB2188" s="806"/>
    </row>
    <row r="2189" spans="4:54">
      <c r="D2189" s="806"/>
      <c r="F2189" s="806"/>
      <c r="W2189" s="806"/>
      <c r="AZ2189" s="806"/>
      <c r="BA2189" s="806"/>
      <c r="BB2189" s="806"/>
    </row>
    <row r="2190" spans="4:54">
      <c r="D2190" s="806"/>
      <c r="F2190" s="806"/>
      <c r="W2190" s="806"/>
      <c r="AZ2190" s="806"/>
      <c r="BA2190" s="806"/>
      <c r="BB2190" s="806"/>
    </row>
    <row r="2191" spans="4:54">
      <c r="D2191" s="806"/>
      <c r="F2191" s="806"/>
      <c r="W2191" s="806"/>
      <c r="AZ2191" s="806"/>
      <c r="BA2191" s="806"/>
      <c r="BB2191" s="806"/>
    </row>
    <row r="2192" spans="4:54">
      <c r="D2192" s="806"/>
      <c r="F2192" s="806"/>
      <c r="W2192" s="806"/>
      <c r="AZ2192" s="806"/>
      <c r="BA2192" s="806"/>
      <c r="BB2192" s="806"/>
    </row>
    <row r="2193" spans="4:54">
      <c r="D2193" s="806"/>
      <c r="F2193" s="806"/>
      <c r="W2193" s="806"/>
      <c r="AZ2193" s="806"/>
      <c r="BA2193" s="806"/>
      <c r="BB2193" s="806"/>
    </row>
    <row r="2194" spans="4:54">
      <c r="D2194" s="806"/>
      <c r="F2194" s="806"/>
      <c r="W2194" s="806"/>
      <c r="AZ2194" s="806"/>
      <c r="BA2194" s="806"/>
      <c r="BB2194" s="806"/>
    </row>
    <row r="2195" spans="4:54">
      <c r="D2195" s="806"/>
      <c r="F2195" s="806"/>
      <c r="W2195" s="806"/>
      <c r="AZ2195" s="806"/>
      <c r="BA2195" s="806"/>
      <c r="BB2195" s="806"/>
    </row>
    <row r="2196" spans="4:54">
      <c r="D2196" s="806"/>
      <c r="F2196" s="806"/>
      <c r="W2196" s="806"/>
      <c r="AZ2196" s="806"/>
      <c r="BA2196" s="806"/>
      <c r="BB2196" s="806"/>
    </row>
    <row r="2197" spans="4:54">
      <c r="D2197" s="806"/>
      <c r="F2197" s="806"/>
      <c r="W2197" s="806"/>
      <c r="AZ2197" s="806"/>
      <c r="BA2197" s="806"/>
      <c r="BB2197" s="806"/>
    </row>
    <row r="2198" spans="4:54">
      <c r="D2198" s="806"/>
      <c r="F2198" s="806"/>
      <c r="W2198" s="806"/>
      <c r="AZ2198" s="806"/>
      <c r="BA2198" s="806"/>
      <c r="BB2198" s="806"/>
    </row>
    <row r="2199" spans="4:54">
      <c r="D2199" s="806"/>
      <c r="F2199" s="806"/>
      <c r="W2199" s="806"/>
      <c r="AZ2199" s="806"/>
      <c r="BA2199" s="806"/>
      <c r="BB2199" s="806"/>
    </row>
    <row r="2200" spans="4:54">
      <c r="D2200" s="806"/>
      <c r="F2200" s="806"/>
      <c r="W2200" s="806"/>
      <c r="AZ2200" s="806"/>
      <c r="BA2200" s="806"/>
      <c r="BB2200" s="806"/>
    </row>
    <row r="2201" spans="4:54">
      <c r="D2201" s="806"/>
      <c r="F2201" s="806"/>
      <c r="W2201" s="806"/>
      <c r="AZ2201" s="806"/>
      <c r="BA2201" s="806"/>
      <c r="BB2201" s="806"/>
    </row>
    <row r="2202" spans="4:54">
      <c r="D2202" s="806"/>
      <c r="F2202" s="806"/>
      <c r="W2202" s="806"/>
      <c r="AZ2202" s="806"/>
      <c r="BA2202" s="806"/>
      <c r="BB2202" s="806"/>
    </row>
    <row r="2203" spans="4:54">
      <c r="D2203" s="806"/>
      <c r="F2203" s="806"/>
      <c r="W2203" s="806"/>
      <c r="AZ2203" s="806"/>
      <c r="BA2203" s="806"/>
      <c r="BB2203" s="806"/>
    </row>
    <row r="2204" spans="4:54">
      <c r="D2204" s="806"/>
      <c r="F2204" s="806"/>
      <c r="W2204" s="806"/>
      <c r="AZ2204" s="806"/>
      <c r="BA2204" s="806"/>
      <c r="BB2204" s="806"/>
    </row>
    <row r="2205" spans="4:54">
      <c r="D2205" s="806"/>
      <c r="F2205" s="806"/>
      <c r="W2205" s="806"/>
      <c r="AZ2205" s="806"/>
      <c r="BA2205" s="806"/>
      <c r="BB2205" s="806"/>
    </row>
    <row r="2206" spans="4:54">
      <c r="D2206" s="806"/>
      <c r="F2206" s="806"/>
      <c r="W2206" s="806"/>
      <c r="AZ2206" s="806"/>
      <c r="BA2206" s="806"/>
      <c r="BB2206" s="806"/>
    </row>
    <row r="2207" spans="4:54">
      <c r="D2207" s="806"/>
      <c r="F2207" s="806"/>
      <c r="W2207" s="806"/>
      <c r="AZ2207" s="806"/>
      <c r="BA2207" s="806"/>
      <c r="BB2207" s="806"/>
    </row>
    <row r="2208" spans="4:54">
      <c r="D2208" s="806"/>
      <c r="F2208" s="806"/>
      <c r="W2208" s="806"/>
      <c r="AZ2208" s="806"/>
      <c r="BA2208" s="806"/>
      <c r="BB2208" s="806"/>
    </row>
    <row r="2209" spans="4:54">
      <c r="D2209" s="806"/>
      <c r="F2209" s="806"/>
      <c r="W2209" s="806"/>
      <c r="AZ2209" s="806"/>
      <c r="BA2209" s="806"/>
      <c r="BB2209" s="806"/>
    </row>
    <row r="2210" spans="4:54">
      <c r="D2210" s="806"/>
      <c r="F2210" s="806"/>
      <c r="W2210" s="806"/>
      <c r="AZ2210" s="806"/>
      <c r="BA2210" s="806"/>
      <c r="BB2210" s="806"/>
    </row>
    <row r="2211" spans="4:54">
      <c r="D2211" s="806"/>
      <c r="F2211" s="806"/>
      <c r="W2211" s="806"/>
      <c r="AZ2211" s="806"/>
      <c r="BA2211" s="806"/>
      <c r="BB2211" s="806"/>
    </row>
    <row r="2212" spans="4:54">
      <c r="D2212" s="806"/>
      <c r="F2212" s="806"/>
      <c r="W2212" s="806"/>
      <c r="AZ2212" s="806"/>
      <c r="BA2212" s="806"/>
      <c r="BB2212" s="806"/>
    </row>
    <row r="2213" spans="4:54">
      <c r="D2213" s="806"/>
      <c r="F2213" s="806"/>
      <c r="W2213" s="806"/>
      <c r="AZ2213" s="806"/>
      <c r="BA2213" s="806"/>
      <c r="BB2213" s="806"/>
    </row>
    <row r="2214" spans="4:54">
      <c r="D2214" s="806"/>
      <c r="F2214" s="806"/>
      <c r="W2214" s="806"/>
      <c r="AZ2214" s="806"/>
      <c r="BA2214" s="806"/>
      <c r="BB2214" s="806"/>
    </row>
    <row r="2215" spans="4:54">
      <c r="D2215" s="806"/>
      <c r="F2215" s="806"/>
      <c r="W2215" s="806"/>
      <c r="AZ2215" s="806"/>
      <c r="BA2215" s="806"/>
      <c r="BB2215" s="806"/>
    </row>
    <row r="2216" spans="4:54">
      <c r="D2216" s="806"/>
      <c r="F2216" s="806"/>
      <c r="W2216" s="806"/>
      <c r="AZ2216" s="806"/>
      <c r="BA2216" s="806"/>
      <c r="BB2216" s="806"/>
    </row>
    <row r="2217" spans="4:54">
      <c r="D2217" s="806"/>
      <c r="F2217" s="806"/>
      <c r="W2217" s="806"/>
      <c r="AZ2217" s="806"/>
      <c r="BA2217" s="806"/>
      <c r="BB2217" s="806"/>
    </row>
    <row r="2218" spans="4:54">
      <c r="D2218" s="806"/>
      <c r="F2218" s="806"/>
      <c r="W2218" s="806"/>
      <c r="AZ2218" s="806"/>
      <c r="BA2218" s="806"/>
      <c r="BB2218" s="806"/>
    </row>
    <row r="2219" spans="4:54">
      <c r="D2219" s="806"/>
      <c r="F2219" s="806"/>
      <c r="W2219" s="806"/>
      <c r="AZ2219" s="806"/>
      <c r="BA2219" s="806"/>
      <c r="BB2219" s="806"/>
    </row>
    <row r="2220" spans="4:54">
      <c r="D2220" s="806"/>
      <c r="F2220" s="806"/>
      <c r="W2220" s="806"/>
      <c r="AZ2220" s="806"/>
      <c r="BA2220" s="806"/>
      <c r="BB2220" s="806"/>
    </row>
    <row r="2221" spans="4:54">
      <c r="D2221" s="806"/>
      <c r="F2221" s="806"/>
      <c r="W2221" s="806"/>
      <c r="AZ2221" s="806"/>
      <c r="BA2221" s="806"/>
      <c r="BB2221" s="806"/>
    </row>
    <row r="2222" spans="4:54">
      <c r="D2222" s="806"/>
      <c r="F2222" s="806"/>
      <c r="W2222" s="806"/>
      <c r="AZ2222" s="806"/>
      <c r="BA2222" s="806"/>
      <c r="BB2222" s="806"/>
    </row>
    <row r="2223" spans="4:54">
      <c r="D2223" s="806"/>
      <c r="F2223" s="806"/>
      <c r="W2223" s="806"/>
      <c r="AZ2223" s="806"/>
      <c r="BA2223" s="806"/>
      <c r="BB2223" s="806"/>
    </row>
    <row r="2224" spans="4:54">
      <c r="D2224" s="806"/>
      <c r="F2224" s="806"/>
      <c r="W2224" s="806"/>
      <c r="AZ2224" s="806"/>
      <c r="BA2224" s="806"/>
      <c r="BB2224" s="806"/>
    </row>
    <row r="2225" spans="4:54">
      <c r="D2225" s="806"/>
      <c r="F2225" s="806"/>
      <c r="W2225" s="806"/>
      <c r="AZ2225" s="806"/>
      <c r="BA2225" s="806"/>
      <c r="BB2225" s="806"/>
    </row>
    <row r="2226" spans="4:54">
      <c r="D2226" s="806"/>
      <c r="F2226" s="806"/>
      <c r="W2226" s="806"/>
      <c r="AZ2226" s="806"/>
      <c r="BA2226" s="806"/>
      <c r="BB2226" s="806"/>
    </row>
    <row r="2227" spans="4:54">
      <c r="D2227" s="806"/>
      <c r="F2227" s="806"/>
      <c r="W2227" s="806"/>
      <c r="AZ2227" s="806"/>
      <c r="BA2227" s="806"/>
      <c r="BB2227" s="806"/>
    </row>
    <row r="2228" spans="4:54">
      <c r="D2228" s="806"/>
      <c r="F2228" s="806"/>
      <c r="W2228" s="806"/>
      <c r="AZ2228" s="806"/>
      <c r="BA2228" s="806"/>
      <c r="BB2228" s="806"/>
    </row>
    <row r="2229" spans="4:54">
      <c r="D2229" s="806"/>
      <c r="F2229" s="806"/>
      <c r="W2229" s="806"/>
      <c r="AZ2229" s="806"/>
      <c r="BA2229" s="806"/>
      <c r="BB2229" s="806"/>
    </row>
    <row r="2230" spans="4:54">
      <c r="D2230" s="806"/>
      <c r="F2230" s="806"/>
      <c r="W2230" s="806"/>
      <c r="AZ2230" s="806"/>
      <c r="BA2230" s="806"/>
      <c r="BB2230" s="806"/>
    </row>
    <row r="2231" spans="4:54">
      <c r="D2231" s="806"/>
      <c r="F2231" s="806"/>
      <c r="W2231" s="806"/>
      <c r="AZ2231" s="806"/>
      <c r="BA2231" s="806"/>
      <c r="BB2231" s="806"/>
    </row>
    <row r="2232" spans="4:54">
      <c r="D2232" s="806"/>
      <c r="F2232" s="806"/>
      <c r="W2232" s="806"/>
      <c r="AZ2232" s="806"/>
      <c r="BA2232" s="806"/>
      <c r="BB2232" s="806"/>
    </row>
    <row r="2233" spans="4:54">
      <c r="D2233" s="806"/>
      <c r="F2233" s="806"/>
      <c r="W2233" s="806"/>
      <c r="AZ2233" s="806"/>
      <c r="BA2233" s="806"/>
      <c r="BB2233" s="806"/>
    </row>
    <row r="2234" spans="4:54">
      <c r="D2234" s="806"/>
      <c r="F2234" s="806"/>
      <c r="W2234" s="806"/>
      <c r="AZ2234" s="806"/>
      <c r="BA2234" s="806"/>
      <c r="BB2234" s="806"/>
    </row>
    <row r="2235" spans="4:54">
      <c r="D2235" s="806"/>
      <c r="F2235" s="806"/>
      <c r="W2235" s="806"/>
      <c r="AZ2235" s="806"/>
      <c r="BA2235" s="806"/>
      <c r="BB2235" s="806"/>
    </row>
    <row r="2236" spans="4:54">
      <c r="D2236" s="806"/>
      <c r="F2236" s="806"/>
      <c r="W2236" s="806"/>
      <c r="AZ2236" s="806"/>
      <c r="BA2236" s="806"/>
      <c r="BB2236" s="806"/>
    </row>
    <row r="2237" spans="4:54">
      <c r="D2237" s="806"/>
      <c r="F2237" s="806"/>
      <c r="W2237" s="806"/>
      <c r="AZ2237" s="806"/>
      <c r="BA2237" s="806"/>
      <c r="BB2237" s="806"/>
    </row>
    <row r="2238" spans="4:54">
      <c r="D2238" s="806"/>
      <c r="F2238" s="806"/>
      <c r="W2238" s="806"/>
      <c r="AZ2238" s="806"/>
      <c r="BA2238" s="806"/>
      <c r="BB2238" s="806"/>
    </row>
    <row r="2239" spans="4:54">
      <c r="D2239" s="806"/>
      <c r="F2239" s="806"/>
      <c r="W2239" s="806"/>
      <c r="AZ2239" s="806"/>
      <c r="BA2239" s="806"/>
      <c r="BB2239" s="806"/>
    </row>
    <row r="2240" spans="4:54">
      <c r="D2240" s="806"/>
      <c r="F2240" s="806"/>
      <c r="W2240" s="806"/>
      <c r="AZ2240" s="806"/>
      <c r="BA2240" s="806"/>
      <c r="BB2240" s="806"/>
    </row>
    <row r="2241" spans="4:54">
      <c r="D2241" s="806"/>
      <c r="F2241" s="806"/>
      <c r="W2241" s="806"/>
      <c r="AZ2241" s="806"/>
      <c r="BA2241" s="806"/>
      <c r="BB2241" s="806"/>
    </row>
    <row r="2242" spans="4:54">
      <c r="D2242" s="806"/>
      <c r="F2242" s="806"/>
      <c r="W2242" s="806"/>
      <c r="AZ2242" s="806"/>
      <c r="BA2242" s="806"/>
      <c r="BB2242" s="806"/>
    </row>
    <row r="2243" spans="4:54">
      <c r="D2243" s="806"/>
      <c r="F2243" s="806"/>
      <c r="W2243" s="806"/>
      <c r="AZ2243" s="806"/>
      <c r="BA2243" s="806"/>
      <c r="BB2243" s="806"/>
    </row>
    <row r="2244" spans="4:54">
      <c r="D2244" s="806"/>
      <c r="F2244" s="806"/>
      <c r="W2244" s="806"/>
      <c r="AZ2244" s="806"/>
      <c r="BA2244" s="806"/>
      <c r="BB2244" s="806"/>
    </row>
    <row r="2245" spans="4:54">
      <c r="D2245" s="806"/>
      <c r="F2245" s="806"/>
      <c r="W2245" s="806"/>
      <c r="AZ2245" s="806"/>
      <c r="BA2245" s="806"/>
      <c r="BB2245" s="806"/>
    </row>
    <row r="2246" spans="4:54">
      <c r="D2246" s="806"/>
      <c r="F2246" s="806"/>
      <c r="W2246" s="806"/>
      <c r="AZ2246" s="806"/>
      <c r="BA2246" s="806"/>
      <c r="BB2246" s="806"/>
    </row>
    <row r="2247" spans="4:54">
      <c r="D2247" s="806"/>
      <c r="F2247" s="806"/>
      <c r="W2247" s="806"/>
      <c r="AZ2247" s="806"/>
      <c r="BA2247" s="806"/>
      <c r="BB2247" s="806"/>
    </row>
    <row r="2248" spans="4:54">
      <c r="D2248" s="806"/>
      <c r="F2248" s="806"/>
      <c r="W2248" s="806"/>
      <c r="AZ2248" s="806"/>
      <c r="BA2248" s="806"/>
      <c r="BB2248" s="806"/>
    </row>
    <row r="2249" spans="4:54">
      <c r="D2249" s="806"/>
      <c r="F2249" s="806"/>
      <c r="W2249" s="806"/>
      <c r="AZ2249" s="806"/>
      <c r="BA2249" s="806"/>
      <c r="BB2249" s="806"/>
    </row>
    <row r="2250" spans="4:54">
      <c r="D2250" s="806"/>
      <c r="F2250" s="806"/>
      <c r="W2250" s="806"/>
      <c r="AZ2250" s="806"/>
      <c r="BA2250" s="806"/>
      <c r="BB2250" s="806"/>
    </row>
    <row r="2251" spans="4:54">
      <c r="D2251" s="806"/>
      <c r="F2251" s="806"/>
      <c r="W2251" s="806"/>
      <c r="AZ2251" s="806"/>
      <c r="BA2251" s="806"/>
      <c r="BB2251" s="806"/>
    </row>
    <row r="2252" spans="4:54">
      <c r="D2252" s="806"/>
      <c r="F2252" s="806"/>
      <c r="W2252" s="806"/>
      <c r="AZ2252" s="806"/>
      <c r="BA2252" s="806"/>
      <c r="BB2252" s="806"/>
    </row>
    <row r="2253" spans="4:54">
      <c r="D2253" s="806"/>
      <c r="F2253" s="806"/>
      <c r="W2253" s="806"/>
      <c r="AZ2253" s="806"/>
      <c r="BA2253" s="806"/>
      <c r="BB2253" s="806"/>
    </row>
    <row r="2254" spans="4:54">
      <c r="D2254" s="806"/>
      <c r="F2254" s="806"/>
      <c r="W2254" s="806"/>
      <c r="AZ2254" s="806"/>
      <c r="BA2254" s="806"/>
      <c r="BB2254" s="806"/>
    </row>
    <row r="2255" spans="4:54">
      <c r="D2255" s="806"/>
      <c r="F2255" s="806"/>
      <c r="W2255" s="806"/>
      <c r="AZ2255" s="806"/>
      <c r="BA2255" s="806"/>
      <c r="BB2255" s="806"/>
    </row>
    <row r="2256" spans="4:54">
      <c r="D2256" s="806"/>
      <c r="F2256" s="806"/>
      <c r="W2256" s="806"/>
      <c r="AZ2256" s="806"/>
      <c r="BA2256" s="806"/>
      <c r="BB2256" s="806"/>
    </row>
    <row r="2257" spans="4:54">
      <c r="D2257" s="806"/>
      <c r="F2257" s="806"/>
      <c r="W2257" s="806"/>
      <c r="AZ2257" s="806"/>
      <c r="BA2257" s="806"/>
      <c r="BB2257" s="806"/>
    </row>
    <row r="2258" spans="4:54">
      <c r="D2258" s="806"/>
      <c r="F2258" s="806"/>
      <c r="W2258" s="806"/>
      <c r="AZ2258" s="806"/>
      <c r="BA2258" s="806"/>
      <c r="BB2258" s="806"/>
    </row>
    <row r="2259" spans="4:54">
      <c r="D2259" s="806"/>
      <c r="F2259" s="806"/>
      <c r="W2259" s="806"/>
      <c r="AZ2259" s="806"/>
      <c r="BA2259" s="806"/>
      <c r="BB2259" s="806"/>
    </row>
    <row r="2260" spans="4:54">
      <c r="D2260" s="806"/>
      <c r="F2260" s="806"/>
      <c r="W2260" s="806"/>
      <c r="AZ2260" s="806"/>
      <c r="BA2260" s="806"/>
      <c r="BB2260" s="806"/>
    </row>
    <row r="2261" spans="4:54">
      <c r="D2261" s="806"/>
      <c r="F2261" s="806"/>
      <c r="W2261" s="806"/>
      <c r="AZ2261" s="806"/>
      <c r="BA2261" s="806"/>
      <c r="BB2261" s="806"/>
    </row>
    <row r="2262" spans="4:54">
      <c r="D2262" s="806"/>
      <c r="F2262" s="806"/>
      <c r="W2262" s="806"/>
      <c r="AZ2262" s="806"/>
      <c r="BA2262" s="806"/>
      <c r="BB2262" s="806"/>
    </row>
    <row r="2263" spans="4:54">
      <c r="D2263" s="806"/>
      <c r="F2263" s="806"/>
      <c r="W2263" s="806"/>
      <c r="AZ2263" s="806"/>
      <c r="BA2263" s="806"/>
      <c r="BB2263" s="806"/>
    </row>
    <row r="2264" spans="4:54">
      <c r="D2264" s="806"/>
      <c r="F2264" s="806"/>
      <c r="W2264" s="806"/>
      <c r="AZ2264" s="806"/>
      <c r="BA2264" s="806"/>
      <c r="BB2264" s="806"/>
    </row>
    <row r="2265" spans="4:54">
      <c r="D2265" s="806"/>
      <c r="F2265" s="806"/>
      <c r="W2265" s="806"/>
      <c r="AZ2265" s="806"/>
      <c r="BA2265" s="806"/>
      <c r="BB2265" s="806"/>
    </row>
    <row r="2266" spans="4:54">
      <c r="D2266" s="806"/>
      <c r="F2266" s="806"/>
      <c r="W2266" s="806"/>
      <c r="AZ2266" s="806"/>
      <c r="BA2266" s="806"/>
      <c r="BB2266" s="806"/>
    </row>
    <row r="2267" spans="4:54">
      <c r="D2267" s="806"/>
      <c r="F2267" s="806"/>
      <c r="W2267" s="806"/>
      <c r="AZ2267" s="806"/>
      <c r="BA2267" s="806"/>
      <c r="BB2267" s="806"/>
    </row>
    <row r="2268" spans="4:54">
      <c r="D2268" s="806"/>
      <c r="F2268" s="806"/>
      <c r="W2268" s="806"/>
      <c r="AZ2268" s="806"/>
      <c r="BA2268" s="806"/>
      <c r="BB2268" s="806"/>
    </row>
    <row r="2269" spans="4:54">
      <c r="D2269" s="806"/>
      <c r="F2269" s="806"/>
      <c r="W2269" s="806"/>
      <c r="AZ2269" s="806"/>
      <c r="BA2269" s="806"/>
      <c r="BB2269" s="806"/>
    </row>
    <row r="2270" spans="4:54">
      <c r="D2270" s="806"/>
      <c r="F2270" s="806"/>
      <c r="W2270" s="806"/>
      <c r="AZ2270" s="806"/>
      <c r="BA2270" s="806"/>
      <c r="BB2270" s="806"/>
    </row>
    <row r="2271" spans="4:54">
      <c r="D2271" s="806"/>
      <c r="F2271" s="806"/>
      <c r="W2271" s="806"/>
      <c r="AZ2271" s="806"/>
      <c r="BA2271" s="806"/>
      <c r="BB2271" s="806"/>
    </row>
    <row r="2272" spans="4:54">
      <c r="D2272" s="806"/>
      <c r="F2272" s="806"/>
      <c r="W2272" s="806"/>
      <c r="AZ2272" s="806"/>
      <c r="BA2272" s="806"/>
      <c r="BB2272" s="806"/>
    </row>
    <row r="2273" spans="4:54">
      <c r="D2273" s="806"/>
      <c r="F2273" s="806"/>
      <c r="W2273" s="806"/>
      <c r="AZ2273" s="806"/>
      <c r="BA2273" s="806"/>
      <c r="BB2273" s="806"/>
    </row>
    <row r="2274" spans="4:54">
      <c r="D2274" s="806"/>
      <c r="F2274" s="806"/>
      <c r="W2274" s="806"/>
      <c r="AZ2274" s="806"/>
      <c r="BA2274" s="806"/>
      <c r="BB2274" s="806"/>
    </row>
    <row r="2275" spans="4:54">
      <c r="D2275" s="806"/>
      <c r="F2275" s="806"/>
      <c r="W2275" s="806"/>
      <c r="AZ2275" s="806"/>
      <c r="BA2275" s="806"/>
      <c r="BB2275" s="806"/>
    </row>
    <row r="2276" spans="4:54">
      <c r="D2276" s="806"/>
      <c r="F2276" s="806"/>
      <c r="W2276" s="806"/>
      <c r="AZ2276" s="806"/>
      <c r="BA2276" s="806"/>
      <c r="BB2276" s="806"/>
    </row>
    <row r="2277" spans="4:54">
      <c r="D2277" s="806"/>
      <c r="F2277" s="806"/>
      <c r="W2277" s="806"/>
      <c r="AZ2277" s="806"/>
      <c r="BA2277" s="806"/>
      <c r="BB2277" s="806"/>
    </row>
    <row r="2278" spans="4:54">
      <c r="D2278" s="806"/>
      <c r="F2278" s="806"/>
      <c r="W2278" s="806"/>
      <c r="AZ2278" s="806"/>
      <c r="BA2278" s="806"/>
      <c r="BB2278" s="806"/>
    </row>
    <row r="2279" spans="4:54">
      <c r="D2279" s="806"/>
      <c r="F2279" s="806"/>
      <c r="W2279" s="806"/>
      <c r="AZ2279" s="806"/>
      <c r="BA2279" s="806"/>
      <c r="BB2279" s="806"/>
    </row>
    <row r="2280" spans="4:54">
      <c r="D2280" s="806"/>
      <c r="F2280" s="806"/>
      <c r="W2280" s="806"/>
      <c r="AZ2280" s="806"/>
      <c r="BA2280" s="806"/>
      <c r="BB2280" s="806"/>
    </row>
    <row r="2281" spans="4:54">
      <c r="D2281" s="806"/>
      <c r="F2281" s="806"/>
      <c r="W2281" s="806"/>
      <c r="AZ2281" s="806"/>
      <c r="BA2281" s="806"/>
      <c r="BB2281" s="806"/>
    </row>
    <row r="2282" spans="4:54">
      <c r="D2282" s="806"/>
      <c r="F2282" s="806"/>
      <c r="W2282" s="806"/>
      <c r="AZ2282" s="806"/>
      <c r="BA2282" s="806"/>
      <c r="BB2282" s="806"/>
    </row>
    <row r="2283" spans="4:54">
      <c r="D2283" s="806"/>
      <c r="F2283" s="806"/>
      <c r="W2283" s="806"/>
      <c r="AZ2283" s="806"/>
      <c r="BA2283" s="806"/>
      <c r="BB2283" s="806"/>
    </row>
    <row r="2284" spans="4:54">
      <c r="D2284" s="806"/>
      <c r="F2284" s="806"/>
      <c r="W2284" s="806"/>
      <c r="AZ2284" s="806"/>
      <c r="BA2284" s="806"/>
      <c r="BB2284" s="806"/>
    </row>
    <row r="2285" spans="4:54">
      <c r="D2285" s="806"/>
      <c r="F2285" s="806"/>
      <c r="W2285" s="806"/>
      <c r="AZ2285" s="806"/>
      <c r="BA2285" s="806"/>
      <c r="BB2285" s="806"/>
    </row>
    <row r="2286" spans="4:54">
      <c r="D2286" s="806"/>
      <c r="F2286" s="806"/>
      <c r="W2286" s="806"/>
      <c r="AZ2286" s="806"/>
      <c r="BA2286" s="806"/>
      <c r="BB2286" s="806"/>
    </row>
    <row r="2287" spans="4:54">
      <c r="D2287" s="806"/>
      <c r="F2287" s="806"/>
      <c r="W2287" s="806"/>
      <c r="AZ2287" s="806"/>
      <c r="BA2287" s="806"/>
      <c r="BB2287" s="806"/>
    </row>
    <row r="2288" spans="4:54">
      <c r="D2288" s="806"/>
      <c r="F2288" s="806"/>
      <c r="W2288" s="806"/>
      <c r="AZ2288" s="806"/>
      <c r="BA2288" s="806"/>
      <c r="BB2288" s="806"/>
    </row>
    <row r="2289" spans="4:54">
      <c r="D2289" s="806"/>
      <c r="F2289" s="806"/>
      <c r="W2289" s="806"/>
      <c r="AZ2289" s="806"/>
      <c r="BA2289" s="806"/>
      <c r="BB2289" s="806"/>
    </row>
    <row r="2290" spans="4:54">
      <c r="D2290" s="806"/>
      <c r="F2290" s="806"/>
      <c r="W2290" s="806"/>
      <c r="AZ2290" s="806"/>
      <c r="BA2290" s="806"/>
      <c r="BB2290" s="806"/>
    </row>
    <row r="2291" spans="4:54">
      <c r="D2291" s="806"/>
      <c r="F2291" s="806"/>
      <c r="W2291" s="806"/>
      <c r="AZ2291" s="806"/>
      <c r="BA2291" s="806"/>
      <c r="BB2291" s="806"/>
    </row>
    <row r="2292" spans="4:54">
      <c r="D2292" s="806"/>
      <c r="F2292" s="806"/>
      <c r="W2292" s="806"/>
      <c r="AZ2292" s="806"/>
      <c r="BA2292" s="806"/>
      <c r="BB2292" s="806"/>
    </row>
    <row r="2293" spans="4:54">
      <c r="D2293" s="806"/>
      <c r="F2293" s="806"/>
      <c r="W2293" s="806"/>
      <c r="AZ2293" s="806"/>
      <c r="BA2293" s="806"/>
      <c r="BB2293" s="806"/>
    </row>
    <row r="2294" spans="4:54">
      <c r="D2294" s="806"/>
      <c r="F2294" s="806"/>
      <c r="W2294" s="806"/>
      <c r="AZ2294" s="806"/>
      <c r="BA2294" s="806"/>
      <c r="BB2294" s="806"/>
    </row>
    <row r="2295" spans="4:54">
      <c r="D2295" s="806"/>
      <c r="F2295" s="806"/>
      <c r="W2295" s="806"/>
      <c r="AZ2295" s="806"/>
      <c r="BA2295" s="806"/>
      <c r="BB2295" s="806"/>
    </row>
    <row r="2296" spans="4:54">
      <c r="D2296" s="806"/>
      <c r="F2296" s="806"/>
      <c r="W2296" s="806"/>
      <c r="AZ2296" s="806"/>
      <c r="BA2296" s="806"/>
      <c r="BB2296" s="806"/>
    </row>
    <row r="2297" spans="4:54">
      <c r="D2297" s="806"/>
      <c r="F2297" s="806"/>
      <c r="W2297" s="806"/>
      <c r="AZ2297" s="806"/>
      <c r="BA2297" s="806"/>
      <c r="BB2297" s="806"/>
    </row>
    <row r="2298" spans="4:54">
      <c r="D2298" s="806"/>
      <c r="F2298" s="806"/>
      <c r="W2298" s="806"/>
      <c r="AZ2298" s="806"/>
      <c r="BA2298" s="806"/>
      <c r="BB2298" s="806"/>
    </row>
    <row r="2299" spans="4:54">
      <c r="D2299" s="806"/>
      <c r="F2299" s="806"/>
      <c r="W2299" s="806"/>
      <c r="AZ2299" s="806"/>
      <c r="BA2299" s="806"/>
      <c r="BB2299" s="806"/>
    </row>
    <row r="2300" spans="4:54">
      <c r="D2300" s="806"/>
      <c r="F2300" s="806"/>
      <c r="W2300" s="806"/>
      <c r="AZ2300" s="806"/>
      <c r="BA2300" s="806"/>
      <c r="BB2300" s="806"/>
    </row>
    <row r="2301" spans="4:54">
      <c r="D2301" s="806"/>
      <c r="F2301" s="806"/>
      <c r="W2301" s="806"/>
      <c r="AZ2301" s="806"/>
      <c r="BA2301" s="806"/>
      <c r="BB2301" s="806"/>
    </row>
    <row r="2302" spans="4:54">
      <c r="D2302" s="806"/>
      <c r="F2302" s="806"/>
      <c r="W2302" s="806"/>
      <c r="AZ2302" s="806"/>
      <c r="BA2302" s="806"/>
      <c r="BB2302" s="806"/>
    </row>
    <row r="2303" spans="4:54">
      <c r="D2303" s="806"/>
      <c r="F2303" s="806"/>
      <c r="W2303" s="806"/>
      <c r="AZ2303" s="806"/>
      <c r="BA2303" s="806"/>
      <c r="BB2303" s="806"/>
    </row>
    <row r="2304" spans="4:54">
      <c r="D2304" s="806"/>
      <c r="F2304" s="806"/>
      <c r="W2304" s="806"/>
      <c r="AZ2304" s="806"/>
      <c r="BA2304" s="806"/>
      <c r="BB2304" s="806"/>
    </row>
    <row r="2305" spans="4:54">
      <c r="D2305" s="806"/>
      <c r="F2305" s="806"/>
      <c r="W2305" s="806"/>
      <c r="AZ2305" s="806"/>
      <c r="BA2305" s="806"/>
      <c r="BB2305" s="806"/>
    </row>
    <row r="2306" spans="4:54">
      <c r="D2306" s="806"/>
      <c r="F2306" s="806"/>
      <c r="W2306" s="806"/>
      <c r="AZ2306" s="806"/>
      <c r="BA2306" s="806"/>
      <c r="BB2306" s="806"/>
    </row>
    <row r="2307" spans="4:54">
      <c r="D2307" s="806"/>
      <c r="F2307" s="806"/>
      <c r="W2307" s="806"/>
      <c r="AZ2307" s="806"/>
      <c r="BA2307" s="806"/>
      <c r="BB2307" s="806"/>
    </row>
    <row r="2308" spans="4:54">
      <c r="D2308" s="806"/>
      <c r="F2308" s="806"/>
      <c r="W2308" s="806"/>
      <c r="AZ2308" s="806"/>
      <c r="BA2308" s="806"/>
      <c r="BB2308" s="806"/>
    </row>
    <row r="2309" spans="4:54">
      <c r="D2309" s="806"/>
      <c r="F2309" s="806"/>
      <c r="W2309" s="806"/>
      <c r="AZ2309" s="806"/>
      <c r="BA2309" s="806"/>
      <c r="BB2309" s="806"/>
    </row>
    <row r="2310" spans="4:54">
      <c r="D2310" s="806"/>
      <c r="F2310" s="806"/>
      <c r="W2310" s="806"/>
      <c r="AZ2310" s="806"/>
      <c r="BA2310" s="806"/>
      <c r="BB2310" s="806"/>
    </row>
    <row r="2311" spans="4:54">
      <c r="D2311" s="806"/>
      <c r="F2311" s="806"/>
      <c r="W2311" s="806"/>
      <c r="AZ2311" s="806"/>
      <c r="BA2311" s="806"/>
      <c r="BB2311" s="806"/>
    </row>
    <row r="2312" spans="4:54">
      <c r="D2312" s="806"/>
      <c r="F2312" s="806"/>
      <c r="W2312" s="806"/>
      <c r="AZ2312" s="806"/>
      <c r="BA2312" s="806"/>
      <c r="BB2312" s="806"/>
    </row>
    <row r="2313" spans="4:54">
      <c r="D2313" s="806"/>
      <c r="F2313" s="806"/>
      <c r="W2313" s="806"/>
      <c r="AZ2313" s="806"/>
      <c r="BA2313" s="806"/>
      <c r="BB2313" s="806"/>
    </row>
    <row r="2314" spans="4:54">
      <c r="D2314" s="806"/>
      <c r="F2314" s="806"/>
      <c r="W2314" s="806"/>
      <c r="AZ2314" s="806"/>
      <c r="BA2314" s="806"/>
      <c r="BB2314" s="806"/>
    </row>
    <row r="2315" spans="4:54">
      <c r="D2315" s="806"/>
      <c r="F2315" s="806"/>
      <c r="W2315" s="806"/>
      <c r="AZ2315" s="806"/>
      <c r="BA2315" s="806"/>
      <c r="BB2315" s="806"/>
    </row>
    <row r="2316" spans="4:54">
      <c r="D2316" s="806"/>
      <c r="F2316" s="806"/>
      <c r="W2316" s="806"/>
      <c r="AZ2316" s="806"/>
      <c r="BA2316" s="806"/>
      <c r="BB2316" s="806"/>
    </row>
    <row r="2317" spans="4:54">
      <c r="D2317" s="806"/>
      <c r="F2317" s="806"/>
      <c r="W2317" s="806"/>
      <c r="AZ2317" s="806"/>
      <c r="BA2317" s="806"/>
      <c r="BB2317" s="806"/>
    </row>
    <row r="2318" spans="4:54">
      <c r="D2318" s="806"/>
      <c r="F2318" s="806"/>
      <c r="W2318" s="806"/>
      <c r="AZ2318" s="806"/>
      <c r="BA2318" s="806"/>
      <c r="BB2318" s="806"/>
    </row>
    <row r="2319" spans="4:54">
      <c r="D2319" s="806"/>
      <c r="F2319" s="806"/>
      <c r="W2319" s="806"/>
      <c r="AZ2319" s="806"/>
      <c r="BA2319" s="806"/>
      <c r="BB2319" s="806"/>
    </row>
    <row r="2320" spans="4:54">
      <c r="D2320" s="806"/>
      <c r="F2320" s="806"/>
      <c r="W2320" s="806"/>
      <c r="AZ2320" s="806"/>
      <c r="BA2320" s="806"/>
      <c r="BB2320" s="806"/>
    </row>
    <row r="2321" spans="4:54">
      <c r="D2321" s="806"/>
      <c r="F2321" s="806"/>
      <c r="W2321" s="806"/>
      <c r="AZ2321" s="806"/>
      <c r="BA2321" s="806"/>
      <c r="BB2321" s="806"/>
    </row>
    <row r="2322" spans="4:54">
      <c r="D2322" s="806"/>
      <c r="F2322" s="806"/>
      <c r="W2322" s="806"/>
      <c r="AZ2322" s="806"/>
      <c r="BA2322" s="806"/>
      <c r="BB2322" s="806"/>
    </row>
    <row r="2323" spans="4:54">
      <c r="D2323" s="806"/>
      <c r="F2323" s="806"/>
      <c r="W2323" s="806"/>
      <c r="AZ2323" s="806"/>
      <c r="BA2323" s="806"/>
      <c r="BB2323" s="806"/>
    </row>
    <row r="2324" spans="4:54">
      <c r="D2324" s="806"/>
      <c r="F2324" s="806"/>
      <c r="W2324" s="806"/>
      <c r="AZ2324" s="806"/>
      <c r="BA2324" s="806"/>
      <c r="BB2324" s="806"/>
    </row>
    <row r="2325" spans="4:54">
      <c r="D2325" s="806"/>
      <c r="F2325" s="806"/>
      <c r="W2325" s="806"/>
      <c r="AZ2325" s="806"/>
      <c r="BA2325" s="806"/>
      <c r="BB2325" s="806"/>
    </row>
    <row r="2326" spans="4:54">
      <c r="D2326" s="806"/>
      <c r="F2326" s="806"/>
      <c r="W2326" s="806"/>
      <c r="AZ2326" s="806"/>
      <c r="BA2326" s="806"/>
      <c r="BB2326" s="806"/>
    </row>
    <row r="2327" spans="4:54">
      <c r="D2327" s="806"/>
      <c r="F2327" s="806"/>
      <c r="W2327" s="806"/>
      <c r="AZ2327" s="806"/>
      <c r="BA2327" s="806"/>
      <c r="BB2327" s="806"/>
    </row>
    <row r="2328" spans="4:54">
      <c r="D2328" s="806"/>
      <c r="F2328" s="806"/>
      <c r="W2328" s="806"/>
      <c r="AZ2328" s="806"/>
      <c r="BA2328" s="806"/>
      <c r="BB2328" s="806"/>
    </row>
    <row r="2329" spans="4:54">
      <c r="D2329" s="806"/>
      <c r="F2329" s="806"/>
      <c r="W2329" s="806"/>
      <c r="AZ2329" s="806"/>
      <c r="BA2329" s="806"/>
      <c r="BB2329" s="806"/>
    </row>
    <row r="2330" spans="4:54">
      <c r="D2330" s="806"/>
      <c r="F2330" s="806"/>
      <c r="W2330" s="806"/>
      <c r="AZ2330" s="806"/>
      <c r="BA2330" s="806"/>
      <c r="BB2330" s="806"/>
    </row>
    <row r="2331" spans="4:54">
      <c r="D2331" s="806"/>
      <c r="F2331" s="806"/>
      <c r="W2331" s="806"/>
      <c r="AZ2331" s="806"/>
      <c r="BA2331" s="806"/>
      <c r="BB2331" s="806"/>
    </row>
    <row r="2332" spans="4:54">
      <c r="D2332" s="806"/>
      <c r="F2332" s="806"/>
      <c r="W2332" s="806"/>
      <c r="AZ2332" s="806"/>
      <c r="BA2332" s="806"/>
      <c r="BB2332" s="806"/>
    </row>
    <row r="2333" spans="4:54">
      <c r="D2333" s="806"/>
      <c r="F2333" s="806"/>
      <c r="W2333" s="806"/>
      <c r="AZ2333" s="806"/>
      <c r="BA2333" s="806"/>
      <c r="BB2333" s="806"/>
    </row>
    <row r="2334" spans="4:54">
      <c r="D2334" s="806"/>
      <c r="F2334" s="806"/>
      <c r="W2334" s="806"/>
      <c r="AZ2334" s="806"/>
      <c r="BA2334" s="806"/>
      <c r="BB2334" s="806"/>
    </row>
    <row r="2335" spans="4:54">
      <c r="D2335" s="806"/>
      <c r="F2335" s="806"/>
      <c r="W2335" s="806"/>
      <c r="AZ2335" s="806"/>
      <c r="BA2335" s="806"/>
      <c r="BB2335" s="806"/>
    </row>
    <row r="2336" spans="4:54">
      <c r="D2336" s="806"/>
      <c r="F2336" s="806"/>
      <c r="W2336" s="806"/>
      <c r="AZ2336" s="806"/>
      <c r="BA2336" s="806"/>
      <c r="BB2336" s="806"/>
    </row>
    <row r="2337" spans="4:54">
      <c r="D2337" s="806"/>
      <c r="F2337" s="806"/>
      <c r="W2337" s="806"/>
      <c r="AZ2337" s="806"/>
      <c r="BA2337" s="806"/>
      <c r="BB2337" s="806"/>
    </row>
    <row r="2338" spans="4:54">
      <c r="D2338" s="806"/>
      <c r="F2338" s="806"/>
      <c r="W2338" s="806"/>
      <c r="AZ2338" s="806"/>
      <c r="BA2338" s="806"/>
      <c r="BB2338" s="806"/>
    </row>
    <row r="2339" spans="4:54">
      <c r="D2339" s="806"/>
      <c r="F2339" s="806"/>
      <c r="W2339" s="806"/>
      <c r="AZ2339" s="806"/>
      <c r="BA2339" s="806"/>
      <c r="BB2339" s="806"/>
    </row>
    <row r="2340" spans="4:54">
      <c r="D2340" s="806"/>
      <c r="F2340" s="806"/>
      <c r="W2340" s="806"/>
      <c r="AZ2340" s="806"/>
      <c r="BA2340" s="806"/>
      <c r="BB2340" s="806"/>
    </row>
    <row r="2341" spans="4:54">
      <c r="D2341" s="806"/>
      <c r="F2341" s="806"/>
      <c r="W2341" s="806"/>
      <c r="AZ2341" s="806"/>
      <c r="BA2341" s="806"/>
      <c r="BB2341" s="806"/>
    </row>
    <row r="2342" spans="4:54">
      <c r="D2342" s="806"/>
      <c r="F2342" s="806"/>
      <c r="W2342" s="806"/>
      <c r="AZ2342" s="806"/>
      <c r="BA2342" s="806"/>
      <c r="BB2342" s="806"/>
    </row>
    <row r="2343" spans="4:54">
      <c r="D2343" s="806"/>
      <c r="F2343" s="806"/>
      <c r="W2343" s="806"/>
      <c r="AZ2343" s="806"/>
      <c r="BA2343" s="806"/>
      <c r="BB2343" s="806"/>
    </row>
    <row r="2344" spans="4:54">
      <c r="D2344" s="806"/>
      <c r="F2344" s="806"/>
      <c r="W2344" s="806"/>
      <c r="AZ2344" s="806"/>
      <c r="BA2344" s="806"/>
      <c r="BB2344" s="806"/>
    </row>
    <row r="2345" spans="4:54">
      <c r="D2345" s="806"/>
      <c r="F2345" s="806"/>
      <c r="W2345" s="806"/>
      <c r="AZ2345" s="806"/>
      <c r="BA2345" s="806"/>
      <c r="BB2345" s="806"/>
    </row>
    <row r="2346" spans="4:54">
      <c r="D2346" s="806"/>
      <c r="F2346" s="806"/>
      <c r="W2346" s="806"/>
      <c r="AZ2346" s="806"/>
      <c r="BA2346" s="806"/>
      <c r="BB2346" s="806"/>
    </row>
    <row r="2347" spans="4:54">
      <c r="D2347" s="806"/>
      <c r="F2347" s="806"/>
      <c r="W2347" s="806"/>
      <c r="AZ2347" s="806"/>
      <c r="BA2347" s="806"/>
      <c r="BB2347" s="806"/>
    </row>
    <row r="2348" spans="4:54">
      <c r="D2348" s="806"/>
      <c r="F2348" s="806"/>
      <c r="W2348" s="806"/>
      <c r="AZ2348" s="806"/>
      <c r="BA2348" s="806"/>
      <c r="BB2348" s="806"/>
    </row>
    <row r="2349" spans="4:54">
      <c r="D2349" s="806"/>
      <c r="F2349" s="806"/>
      <c r="W2349" s="806"/>
      <c r="AZ2349" s="806"/>
      <c r="BA2349" s="806"/>
      <c r="BB2349" s="806"/>
    </row>
    <row r="2350" spans="4:54">
      <c r="D2350" s="806"/>
      <c r="F2350" s="806"/>
      <c r="W2350" s="806"/>
      <c r="AZ2350" s="806"/>
      <c r="BA2350" s="806"/>
      <c r="BB2350" s="806"/>
    </row>
    <row r="2351" spans="4:54">
      <c r="D2351" s="806"/>
      <c r="F2351" s="806"/>
      <c r="W2351" s="806"/>
      <c r="AZ2351" s="806"/>
      <c r="BA2351" s="806"/>
      <c r="BB2351" s="806"/>
    </row>
    <row r="2352" spans="4:54">
      <c r="D2352" s="806"/>
      <c r="F2352" s="806"/>
      <c r="W2352" s="806"/>
      <c r="AZ2352" s="806"/>
      <c r="BA2352" s="806"/>
      <c r="BB2352" s="806"/>
    </row>
    <row r="2353" spans="4:54">
      <c r="D2353" s="806"/>
      <c r="F2353" s="806"/>
      <c r="W2353" s="806"/>
      <c r="AZ2353" s="806"/>
      <c r="BA2353" s="806"/>
      <c r="BB2353" s="806"/>
    </row>
    <row r="2354" spans="4:54">
      <c r="D2354" s="806"/>
      <c r="F2354" s="806"/>
      <c r="W2354" s="806"/>
      <c r="AZ2354" s="806"/>
      <c r="BA2354" s="806"/>
      <c r="BB2354" s="806"/>
    </row>
    <row r="2355" spans="4:54">
      <c r="D2355" s="806"/>
      <c r="F2355" s="806"/>
      <c r="W2355" s="806"/>
      <c r="AZ2355" s="806"/>
      <c r="BA2355" s="806"/>
      <c r="BB2355" s="806"/>
    </row>
    <row r="2356" spans="4:54">
      <c r="D2356" s="806"/>
      <c r="F2356" s="806"/>
      <c r="W2356" s="806"/>
      <c r="AZ2356" s="806"/>
      <c r="BA2356" s="806"/>
      <c r="BB2356" s="806"/>
    </row>
    <row r="2357" spans="4:54">
      <c r="D2357" s="806"/>
      <c r="F2357" s="806"/>
      <c r="W2357" s="806"/>
      <c r="AZ2357" s="806"/>
      <c r="BA2357" s="806"/>
      <c r="BB2357" s="806"/>
    </row>
    <row r="2358" spans="4:54">
      <c r="D2358" s="806"/>
      <c r="F2358" s="806"/>
      <c r="W2358" s="806"/>
      <c r="AZ2358" s="806"/>
      <c r="BA2358" s="806"/>
      <c r="BB2358" s="806"/>
    </row>
    <row r="2359" spans="4:54">
      <c r="D2359" s="806"/>
      <c r="F2359" s="806"/>
      <c r="W2359" s="806"/>
      <c r="AZ2359" s="806"/>
      <c r="BA2359" s="806"/>
      <c r="BB2359" s="806"/>
    </row>
    <row r="2360" spans="4:54">
      <c r="D2360" s="806"/>
      <c r="F2360" s="806"/>
      <c r="W2360" s="806"/>
      <c r="AZ2360" s="806"/>
      <c r="BA2360" s="806"/>
      <c r="BB2360" s="806"/>
    </row>
    <row r="2361" spans="4:54">
      <c r="D2361" s="806"/>
      <c r="F2361" s="806"/>
      <c r="W2361" s="806"/>
      <c r="AZ2361" s="806"/>
      <c r="BA2361" s="806"/>
      <c r="BB2361" s="806"/>
    </row>
    <row r="2362" spans="4:54">
      <c r="D2362" s="806"/>
      <c r="F2362" s="806"/>
      <c r="W2362" s="806"/>
      <c r="AZ2362" s="806"/>
      <c r="BA2362" s="806"/>
      <c r="BB2362" s="806"/>
    </row>
    <row r="2363" spans="4:54">
      <c r="D2363" s="806"/>
      <c r="F2363" s="806"/>
      <c r="W2363" s="806"/>
      <c r="AZ2363" s="806"/>
      <c r="BA2363" s="806"/>
      <c r="BB2363" s="806"/>
    </row>
    <row r="2364" spans="4:54">
      <c r="D2364" s="806"/>
      <c r="F2364" s="806"/>
      <c r="W2364" s="806"/>
      <c r="AZ2364" s="806"/>
      <c r="BA2364" s="806"/>
      <c r="BB2364" s="806"/>
    </row>
    <row r="2365" spans="4:54">
      <c r="D2365" s="806"/>
      <c r="F2365" s="806"/>
      <c r="W2365" s="806"/>
      <c r="AZ2365" s="806"/>
      <c r="BA2365" s="806"/>
      <c r="BB2365" s="806"/>
    </row>
    <row r="2366" spans="4:54">
      <c r="D2366" s="806"/>
      <c r="F2366" s="806"/>
      <c r="W2366" s="806"/>
      <c r="AZ2366" s="806"/>
      <c r="BA2366" s="806"/>
      <c r="BB2366" s="806"/>
    </row>
    <row r="2367" spans="4:54">
      <c r="D2367" s="806"/>
      <c r="F2367" s="806"/>
      <c r="W2367" s="806"/>
      <c r="AZ2367" s="806"/>
      <c r="BA2367" s="806"/>
      <c r="BB2367" s="806"/>
    </row>
    <row r="2368" spans="4:54">
      <c r="D2368" s="806"/>
      <c r="F2368" s="806"/>
      <c r="W2368" s="806"/>
      <c r="AZ2368" s="806"/>
      <c r="BA2368" s="806"/>
      <c r="BB2368" s="806"/>
    </row>
    <row r="2369" spans="4:54">
      <c r="D2369" s="806"/>
      <c r="F2369" s="806"/>
      <c r="W2369" s="806"/>
      <c r="AZ2369" s="806"/>
      <c r="BA2369" s="806"/>
      <c r="BB2369" s="806"/>
    </row>
    <row r="2370" spans="4:54">
      <c r="D2370" s="806"/>
      <c r="F2370" s="806"/>
      <c r="W2370" s="806"/>
      <c r="AZ2370" s="806"/>
      <c r="BA2370" s="806"/>
      <c r="BB2370" s="806"/>
    </row>
    <row r="2371" spans="4:54">
      <c r="D2371" s="806"/>
      <c r="F2371" s="806"/>
      <c r="W2371" s="806"/>
      <c r="AZ2371" s="806"/>
      <c r="BA2371" s="806"/>
      <c r="BB2371" s="806"/>
    </row>
    <row r="2372" spans="4:54">
      <c r="D2372" s="806"/>
      <c r="F2372" s="806"/>
      <c r="W2372" s="806"/>
      <c r="AZ2372" s="806"/>
      <c r="BA2372" s="806"/>
      <c r="BB2372" s="806"/>
    </row>
    <row r="2373" spans="4:54">
      <c r="D2373" s="806"/>
      <c r="F2373" s="806"/>
      <c r="W2373" s="806"/>
      <c r="AZ2373" s="806"/>
      <c r="BA2373" s="806"/>
      <c r="BB2373" s="806"/>
    </row>
    <row r="2374" spans="4:54">
      <c r="D2374" s="806"/>
      <c r="F2374" s="806"/>
      <c r="W2374" s="806"/>
      <c r="AZ2374" s="806"/>
      <c r="BA2374" s="806"/>
      <c r="BB2374" s="806"/>
    </row>
    <row r="2375" spans="4:54">
      <c r="D2375" s="806"/>
      <c r="F2375" s="806"/>
      <c r="W2375" s="806"/>
      <c r="AZ2375" s="806"/>
      <c r="BA2375" s="806"/>
      <c r="BB2375" s="806"/>
    </row>
    <row r="2376" spans="4:54">
      <c r="D2376" s="806"/>
      <c r="F2376" s="806"/>
      <c r="W2376" s="806"/>
      <c r="AZ2376" s="806"/>
      <c r="BA2376" s="806"/>
      <c r="BB2376" s="806"/>
    </row>
    <row r="2377" spans="4:54">
      <c r="D2377" s="806"/>
      <c r="F2377" s="806"/>
      <c r="W2377" s="806"/>
      <c r="AZ2377" s="806"/>
      <c r="BA2377" s="806"/>
      <c r="BB2377" s="806"/>
    </row>
    <row r="2378" spans="4:54">
      <c r="D2378" s="806"/>
      <c r="F2378" s="806"/>
      <c r="W2378" s="806"/>
      <c r="AZ2378" s="806"/>
      <c r="BA2378" s="806"/>
      <c r="BB2378" s="806"/>
    </row>
    <row r="2379" spans="4:54">
      <c r="D2379" s="806"/>
      <c r="F2379" s="806"/>
      <c r="W2379" s="806"/>
      <c r="AZ2379" s="806"/>
      <c r="BA2379" s="806"/>
      <c r="BB2379" s="806"/>
    </row>
    <row r="2380" spans="4:54">
      <c r="D2380" s="806"/>
      <c r="F2380" s="806"/>
      <c r="W2380" s="806"/>
      <c r="AZ2380" s="806"/>
      <c r="BA2380" s="806"/>
      <c r="BB2380" s="806"/>
    </row>
    <row r="2381" spans="4:54">
      <c r="D2381" s="806"/>
      <c r="F2381" s="806"/>
      <c r="W2381" s="806"/>
      <c r="AZ2381" s="806"/>
      <c r="BA2381" s="806"/>
      <c r="BB2381" s="806"/>
    </row>
    <row r="2382" spans="4:54">
      <c r="D2382" s="806"/>
      <c r="F2382" s="806"/>
      <c r="W2382" s="806"/>
      <c r="AZ2382" s="806"/>
      <c r="BA2382" s="806"/>
      <c r="BB2382" s="806"/>
    </row>
    <row r="2383" spans="4:54">
      <c r="D2383" s="806"/>
      <c r="F2383" s="806"/>
      <c r="W2383" s="806"/>
      <c r="AZ2383" s="806"/>
      <c r="BA2383" s="806"/>
      <c r="BB2383" s="806"/>
    </row>
    <row r="2384" spans="4:54">
      <c r="D2384" s="806"/>
      <c r="F2384" s="806"/>
      <c r="W2384" s="806"/>
      <c r="AZ2384" s="806"/>
      <c r="BA2384" s="806"/>
      <c r="BB2384" s="806"/>
    </row>
    <row r="2385" spans="4:54">
      <c r="D2385" s="806"/>
      <c r="F2385" s="806"/>
      <c r="W2385" s="806"/>
      <c r="AZ2385" s="806"/>
      <c r="BA2385" s="806"/>
      <c r="BB2385" s="806"/>
    </row>
    <row r="2386" spans="4:54">
      <c r="D2386" s="806"/>
      <c r="F2386" s="806"/>
      <c r="W2386" s="806"/>
      <c r="AZ2386" s="806"/>
      <c r="BA2386" s="806"/>
      <c r="BB2386" s="806"/>
    </row>
    <row r="2387" spans="4:54">
      <c r="D2387" s="806"/>
      <c r="F2387" s="806"/>
      <c r="W2387" s="806"/>
      <c r="AZ2387" s="806"/>
      <c r="BA2387" s="806"/>
      <c r="BB2387" s="806"/>
    </row>
    <row r="2388" spans="4:54">
      <c r="D2388" s="806"/>
      <c r="F2388" s="806"/>
      <c r="W2388" s="806"/>
      <c r="AZ2388" s="806"/>
      <c r="BA2388" s="806"/>
      <c r="BB2388" s="806"/>
    </row>
    <row r="2389" spans="4:54">
      <c r="D2389" s="806"/>
      <c r="F2389" s="806"/>
      <c r="W2389" s="806"/>
      <c r="AZ2389" s="806"/>
      <c r="BA2389" s="806"/>
      <c r="BB2389" s="806"/>
    </row>
    <row r="2390" spans="4:54">
      <c r="D2390" s="806"/>
      <c r="F2390" s="806"/>
      <c r="W2390" s="806"/>
      <c r="AZ2390" s="806"/>
      <c r="BA2390" s="806"/>
      <c r="BB2390" s="806"/>
    </row>
    <row r="2391" spans="4:54">
      <c r="D2391" s="806"/>
      <c r="F2391" s="806"/>
      <c r="W2391" s="806"/>
      <c r="AZ2391" s="806"/>
      <c r="BA2391" s="806"/>
      <c r="BB2391" s="806"/>
    </row>
    <row r="2392" spans="4:54">
      <c r="D2392" s="806"/>
      <c r="F2392" s="806"/>
      <c r="W2392" s="806"/>
      <c r="AZ2392" s="806"/>
      <c r="BA2392" s="806"/>
      <c r="BB2392" s="806"/>
    </row>
    <row r="2393" spans="4:54">
      <c r="D2393" s="806"/>
      <c r="F2393" s="806"/>
      <c r="W2393" s="806"/>
      <c r="AZ2393" s="806"/>
      <c r="BA2393" s="806"/>
      <c r="BB2393" s="806"/>
    </row>
    <row r="2394" spans="4:54">
      <c r="D2394" s="806"/>
      <c r="F2394" s="806"/>
      <c r="W2394" s="806"/>
      <c r="AZ2394" s="806"/>
      <c r="BA2394" s="806"/>
      <c r="BB2394" s="806"/>
    </row>
    <row r="2395" spans="4:54">
      <c r="D2395" s="806"/>
      <c r="F2395" s="806"/>
      <c r="W2395" s="806"/>
      <c r="AZ2395" s="806"/>
      <c r="BA2395" s="806"/>
      <c r="BB2395" s="806"/>
    </row>
    <row r="2396" spans="4:54">
      <c r="D2396" s="806"/>
      <c r="F2396" s="806"/>
      <c r="W2396" s="806"/>
      <c r="AZ2396" s="806"/>
      <c r="BA2396" s="806"/>
      <c r="BB2396" s="806"/>
    </row>
    <row r="2397" spans="4:54">
      <c r="D2397" s="806"/>
      <c r="F2397" s="806"/>
      <c r="W2397" s="806"/>
      <c r="AZ2397" s="806"/>
      <c r="BA2397" s="806"/>
      <c r="BB2397" s="806"/>
    </row>
    <row r="2398" spans="4:54">
      <c r="D2398" s="806"/>
      <c r="F2398" s="806"/>
      <c r="W2398" s="806"/>
      <c r="AZ2398" s="806"/>
      <c r="BA2398" s="806"/>
      <c r="BB2398" s="806"/>
    </row>
    <row r="2399" spans="4:54">
      <c r="D2399" s="806"/>
      <c r="F2399" s="806"/>
      <c r="W2399" s="806"/>
      <c r="AZ2399" s="806"/>
      <c r="BA2399" s="806"/>
      <c r="BB2399" s="806"/>
    </row>
    <row r="2400" spans="4:54">
      <c r="D2400" s="806"/>
      <c r="F2400" s="806"/>
      <c r="W2400" s="806"/>
      <c r="AZ2400" s="806"/>
      <c r="BA2400" s="806"/>
      <c r="BB2400" s="806"/>
    </row>
    <row r="2401" spans="4:54">
      <c r="D2401" s="806"/>
      <c r="F2401" s="806"/>
      <c r="W2401" s="806"/>
      <c r="AZ2401" s="806"/>
      <c r="BA2401" s="806"/>
      <c r="BB2401" s="806"/>
    </row>
    <row r="2402" spans="4:54">
      <c r="D2402" s="806"/>
      <c r="F2402" s="806"/>
      <c r="W2402" s="806"/>
      <c r="AZ2402" s="806"/>
      <c r="BA2402" s="806"/>
      <c r="BB2402" s="806"/>
    </row>
    <row r="2403" spans="4:54">
      <c r="D2403" s="806"/>
      <c r="F2403" s="806"/>
      <c r="W2403" s="806"/>
      <c r="AZ2403" s="806"/>
      <c r="BA2403" s="806"/>
      <c r="BB2403" s="806"/>
    </row>
    <row r="2404" spans="4:54">
      <c r="D2404" s="806"/>
      <c r="F2404" s="806"/>
      <c r="W2404" s="806"/>
      <c r="AZ2404" s="806"/>
      <c r="BA2404" s="806"/>
      <c r="BB2404" s="806"/>
    </row>
    <row r="2405" spans="4:54">
      <c r="D2405" s="806"/>
      <c r="F2405" s="806"/>
      <c r="W2405" s="806"/>
      <c r="AZ2405" s="806"/>
      <c r="BA2405" s="806"/>
      <c r="BB2405" s="806"/>
    </row>
    <row r="2406" spans="4:54">
      <c r="D2406" s="806"/>
      <c r="F2406" s="806"/>
      <c r="W2406" s="806"/>
      <c r="AZ2406" s="806"/>
      <c r="BA2406" s="806"/>
      <c r="BB2406" s="806"/>
    </row>
    <row r="2407" spans="4:54">
      <c r="D2407" s="806"/>
      <c r="F2407" s="806"/>
      <c r="W2407" s="806"/>
      <c r="AZ2407" s="806"/>
      <c r="BA2407" s="806"/>
      <c r="BB2407" s="806"/>
    </row>
    <row r="2408" spans="4:54">
      <c r="D2408" s="806"/>
      <c r="F2408" s="806"/>
      <c r="W2408" s="806"/>
      <c r="AZ2408" s="806"/>
      <c r="BA2408" s="806"/>
      <c r="BB2408" s="806"/>
    </row>
    <row r="2409" spans="4:54">
      <c r="D2409" s="806"/>
      <c r="F2409" s="806"/>
      <c r="W2409" s="806"/>
      <c r="AZ2409" s="806"/>
      <c r="BA2409" s="806"/>
      <c r="BB2409" s="806"/>
    </row>
    <row r="2410" spans="4:54">
      <c r="D2410" s="806"/>
      <c r="F2410" s="806"/>
      <c r="W2410" s="806"/>
      <c r="AZ2410" s="806"/>
      <c r="BA2410" s="806"/>
      <c r="BB2410" s="806"/>
    </row>
    <row r="2411" spans="4:54">
      <c r="D2411" s="806"/>
      <c r="F2411" s="806"/>
      <c r="W2411" s="806"/>
      <c r="AZ2411" s="806"/>
      <c r="BA2411" s="806"/>
      <c r="BB2411" s="806"/>
    </row>
    <row r="2412" spans="4:54">
      <c r="D2412" s="806"/>
      <c r="F2412" s="806"/>
      <c r="W2412" s="806"/>
      <c r="AZ2412" s="806"/>
      <c r="BA2412" s="806"/>
      <c r="BB2412" s="806"/>
    </row>
    <row r="2413" spans="4:54">
      <c r="D2413" s="806"/>
      <c r="F2413" s="806"/>
      <c r="W2413" s="806"/>
      <c r="AZ2413" s="806"/>
      <c r="BA2413" s="806"/>
      <c r="BB2413" s="806"/>
    </row>
    <row r="2414" spans="4:54">
      <c r="D2414" s="806"/>
      <c r="F2414" s="806"/>
      <c r="W2414" s="806"/>
      <c r="AZ2414" s="806"/>
      <c r="BA2414" s="806"/>
      <c r="BB2414" s="806"/>
    </row>
    <row r="2415" spans="4:54">
      <c r="D2415" s="806"/>
      <c r="F2415" s="806"/>
      <c r="W2415" s="806"/>
      <c r="AZ2415" s="806"/>
      <c r="BA2415" s="806"/>
      <c r="BB2415" s="806"/>
    </row>
    <row r="2416" spans="4:54">
      <c r="D2416" s="806"/>
      <c r="F2416" s="806"/>
      <c r="W2416" s="806"/>
      <c r="AZ2416" s="806"/>
      <c r="BA2416" s="806"/>
      <c r="BB2416" s="806"/>
    </row>
    <row r="2422" spans="4:54">
      <c r="D2422" s="806"/>
      <c r="F2422" s="806"/>
      <c r="W2422" s="806"/>
      <c r="AZ2422" s="806"/>
      <c r="BA2422" s="806"/>
      <c r="BB2422" s="806"/>
    </row>
    <row r="2423" spans="4:54">
      <c r="D2423" s="806"/>
      <c r="F2423" s="806"/>
      <c r="W2423" s="806"/>
      <c r="AZ2423" s="806"/>
      <c r="BA2423" s="806"/>
      <c r="BB2423" s="806"/>
    </row>
    <row r="2424" spans="4:54">
      <c r="D2424" s="806"/>
      <c r="F2424" s="806"/>
      <c r="W2424" s="806"/>
      <c r="AZ2424" s="806"/>
      <c r="BA2424" s="806"/>
      <c r="BB2424" s="806"/>
    </row>
    <row r="2425" spans="4:54">
      <c r="D2425" s="806"/>
      <c r="F2425" s="806"/>
      <c r="W2425" s="806"/>
      <c r="AZ2425" s="806"/>
      <c r="BA2425" s="806"/>
      <c r="BB2425" s="806"/>
    </row>
    <row r="2426" spans="4:54">
      <c r="D2426" s="806"/>
      <c r="F2426" s="806"/>
      <c r="W2426" s="806"/>
      <c r="AZ2426" s="806"/>
      <c r="BA2426" s="806"/>
      <c r="BB2426" s="806"/>
    </row>
    <row r="2427" spans="4:54">
      <c r="D2427" s="806"/>
      <c r="F2427" s="806"/>
      <c r="W2427" s="806"/>
      <c r="AZ2427" s="806"/>
      <c r="BA2427" s="806"/>
      <c r="BB2427" s="806"/>
    </row>
    <row r="2428" spans="4:54">
      <c r="D2428" s="806"/>
      <c r="F2428" s="806"/>
      <c r="W2428" s="806"/>
      <c r="AZ2428" s="806"/>
      <c r="BA2428" s="806"/>
      <c r="BB2428" s="806"/>
    </row>
    <row r="2429" spans="4:54">
      <c r="D2429" s="806"/>
      <c r="F2429" s="806"/>
      <c r="W2429" s="806"/>
      <c r="AZ2429" s="806"/>
      <c r="BA2429" s="806"/>
      <c r="BB2429" s="806"/>
    </row>
    <row r="2430" spans="4:54">
      <c r="D2430" s="806"/>
      <c r="F2430" s="806"/>
      <c r="W2430" s="806"/>
      <c r="AZ2430" s="806"/>
      <c r="BA2430" s="806"/>
      <c r="BB2430" s="806"/>
    </row>
    <row r="2431" spans="4:54">
      <c r="D2431" s="806"/>
      <c r="F2431" s="806"/>
      <c r="W2431" s="806"/>
      <c r="AZ2431" s="806"/>
      <c r="BA2431" s="806"/>
      <c r="BB2431" s="806"/>
    </row>
    <row r="2432" spans="4:54">
      <c r="D2432" s="806"/>
      <c r="F2432" s="806"/>
      <c r="W2432" s="806"/>
      <c r="AZ2432" s="806"/>
      <c r="BA2432" s="806"/>
      <c r="BB2432" s="806"/>
    </row>
    <row r="2433" spans="4:54">
      <c r="D2433" s="806"/>
      <c r="F2433" s="806"/>
      <c r="W2433" s="806"/>
      <c r="AZ2433" s="806"/>
      <c r="BA2433" s="806"/>
      <c r="BB2433" s="806"/>
    </row>
    <row r="2434" spans="4:54">
      <c r="D2434" s="806"/>
      <c r="F2434" s="806"/>
      <c r="W2434" s="806"/>
      <c r="AZ2434" s="806"/>
      <c r="BA2434" s="806"/>
      <c r="BB2434" s="806"/>
    </row>
    <row r="2435" spans="4:54">
      <c r="D2435" s="806"/>
      <c r="F2435" s="806"/>
      <c r="W2435" s="806"/>
      <c r="AZ2435" s="806"/>
      <c r="BA2435" s="806"/>
      <c r="BB2435" s="806"/>
    </row>
    <row r="2436" spans="4:54">
      <c r="D2436" s="806"/>
      <c r="F2436" s="806"/>
      <c r="W2436" s="806"/>
      <c r="AZ2436" s="806"/>
      <c r="BA2436" s="806"/>
      <c r="BB2436" s="806"/>
    </row>
    <row r="2437" spans="4:54">
      <c r="D2437" s="806"/>
      <c r="F2437" s="806"/>
      <c r="W2437" s="806"/>
      <c r="AZ2437" s="806"/>
      <c r="BA2437" s="806"/>
      <c r="BB2437" s="806"/>
    </row>
    <row r="2438" spans="4:54">
      <c r="D2438" s="806"/>
      <c r="F2438" s="806"/>
      <c r="W2438" s="806"/>
      <c r="AZ2438" s="806"/>
      <c r="BA2438" s="806"/>
      <c r="BB2438" s="806"/>
    </row>
    <row r="2439" spans="4:54">
      <c r="D2439" s="806"/>
      <c r="F2439" s="806"/>
      <c r="W2439" s="806"/>
      <c r="AZ2439" s="806"/>
      <c r="BA2439" s="806"/>
      <c r="BB2439" s="806"/>
    </row>
    <row r="2440" spans="4:54">
      <c r="D2440" s="806"/>
      <c r="F2440" s="806"/>
      <c r="W2440" s="806"/>
      <c r="AZ2440" s="806"/>
      <c r="BA2440" s="806"/>
      <c r="BB2440" s="806"/>
    </row>
    <row r="2441" spans="4:54">
      <c r="D2441" s="806"/>
      <c r="F2441" s="806"/>
      <c r="W2441" s="806"/>
      <c r="AZ2441" s="806"/>
      <c r="BA2441" s="806"/>
      <c r="BB2441" s="806"/>
    </row>
    <row r="2442" spans="4:54">
      <c r="D2442" s="806"/>
      <c r="F2442" s="806"/>
      <c r="W2442" s="806"/>
      <c r="AZ2442" s="806"/>
      <c r="BA2442" s="806"/>
      <c r="BB2442" s="806"/>
    </row>
    <row r="2443" spans="4:54">
      <c r="D2443" s="806"/>
      <c r="F2443" s="806"/>
      <c r="W2443" s="806"/>
      <c r="AZ2443" s="806"/>
      <c r="BA2443" s="806"/>
      <c r="BB2443" s="806"/>
    </row>
    <row r="2444" spans="4:54">
      <c r="D2444" s="806"/>
      <c r="F2444" s="806"/>
      <c r="W2444" s="806"/>
      <c r="AZ2444" s="806"/>
      <c r="BA2444" s="806"/>
      <c r="BB2444" s="806"/>
    </row>
    <row r="2445" spans="4:54">
      <c r="D2445" s="806"/>
      <c r="F2445" s="806"/>
      <c r="W2445" s="806"/>
      <c r="AZ2445" s="806"/>
      <c r="BA2445" s="806"/>
      <c r="BB2445" s="806"/>
    </row>
    <row r="2446" spans="4:54">
      <c r="D2446" s="806"/>
      <c r="F2446" s="806"/>
      <c r="W2446" s="806"/>
      <c r="AZ2446" s="806"/>
      <c r="BA2446" s="806"/>
      <c r="BB2446" s="806"/>
    </row>
    <row r="2447" spans="4:54">
      <c r="D2447" s="806"/>
      <c r="F2447" s="806"/>
      <c r="W2447" s="806"/>
      <c r="AZ2447" s="806"/>
      <c r="BA2447" s="806"/>
      <c r="BB2447" s="806"/>
    </row>
    <row r="2448" spans="4:54">
      <c r="D2448" s="806"/>
      <c r="F2448" s="806"/>
      <c r="W2448" s="806"/>
      <c r="AZ2448" s="806"/>
      <c r="BA2448" s="806"/>
      <c r="BB2448" s="806"/>
    </row>
    <row r="2449" spans="4:54">
      <c r="D2449" s="806"/>
      <c r="F2449" s="806"/>
      <c r="W2449" s="806"/>
      <c r="AZ2449" s="806"/>
      <c r="BA2449" s="806"/>
      <c r="BB2449" s="806"/>
    </row>
    <row r="2450" spans="4:54">
      <c r="D2450" s="806"/>
      <c r="F2450" s="806"/>
      <c r="W2450" s="806"/>
      <c r="AZ2450" s="806"/>
      <c r="BA2450" s="806"/>
      <c r="BB2450" s="806"/>
    </row>
    <row r="2451" spans="4:54">
      <c r="D2451" s="806"/>
      <c r="F2451" s="806"/>
      <c r="W2451" s="806"/>
      <c r="AZ2451" s="806"/>
      <c r="BA2451" s="806"/>
      <c r="BB2451" s="806"/>
    </row>
    <row r="2452" spans="4:54">
      <c r="D2452" s="806"/>
      <c r="F2452" s="806"/>
      <c r="W2452" s="806"/>
      <c r="AZ2452" s="806"/>
      <c r="BA2452" s="806"/>
      <c r="BB2452" s="806"/>
    </row>
    <row r="2453" spans="4:54">
      <c r="D2453" s="806"/>
      <c r="F2453" s="806"/>
      <c r="W2453" s="806"/>
      <c r="AZ2453" s="806"/>
      <c r="BA2453" s="806"/>
      <c r="BB2453" s="806"/>
    </row>
    <row r="2454" spans="4:54">
      <c r="D2454" s="806"/>
      <c r="F2454" s="806"/>
      <c r="W2454" s="806"/>
      <c r="AZ2454" s="806"/>
      <c r="BA2454" s="806"/>
      <c r="BB2454" s="806"/>
    </row>
    <row r="2455" spans="4:54">
      <c r="D2455" s="806"/>
      <c r="F2455" s="806"/>
      <c r="W2455" s="806"/>
      <c r="AZ2455" s="806"/>
      <c r="BA2455" s="806"/>
      <c r="BB2455" s="806"/>
    </row>
    <row r="2456" spans="4:54">
      <c r="D2456" s="806"/>
      <c r="F2456" s="806"/>
      <c r="W2456" s="806"/>
      <c r="AZ2456" s="806"/>
      <c r="BA2456" s="806"/>
      <c r="BB2456" s="806"/>
    </row>
    <row r="2457" spans="4:54">
      <c r="D2457" s="806"/>
      <c r="F2457" s="806"/>
      <c r="W2457" s="806"/>
      <c r="AZ2457" s="806"/>
      <c r="BA2457" s="806"/>
      <c r="BB2457" s="806"/>
    </row>
    <row r="2458" spans="4:54">
      <c r="D2458" s="806"/>
      <c r="F2458" s="806"/>
      <c r="W2458" s="806"/>
      <c r="AZ2458" s="806"/>
      <c r="BA2458" s="806"/>
      <c r="BB2458" s="806"/>
    </row>
    <row r="2459" spans="4:54">
      <c r="D2459" s="806"/>
      <c r="F2459" s="806"/>
      <c r="W2459" s="806"/>
      <c r="AZ2459" s="806"/>
      <c r="BA2459" s="806"/>
      <c r="BB2459" s="806"/>
    </row>
    <row r="2460" spans="4:54">
      <c r="D2460" s="806"/>
      <c r="F2460" s="806"/>
      <c r="W2460" s="806"/>
      <c r="AZ2460" s="806"/>
      <c r="BA2460" s="806"/>
      <c r="BB2460" s="806"/>
    </row>
    <row r="2461" spans="4:54">
      <c r="D2461" s="806"/>
      <c r="F2461" s="806"/>
      <c r="W2461" s="806"/>
      <c r="AZ2461" s="806"/>
      <c r="BA2461" s="806"/>
      <c r="BB2461" s="806"/>
    </row>
    <row r="2462" spans="4:54">
      <c r="D2462" s="806"/>
      <c r="F2462" s="806"/>
      <c r="W2462" s="806"/>
      <c r="AZ2462" s="806"/>
      <c r="BA2462" s="806"/>
      <c r="BB2462" s="806"/>
    </row>
    <row r="2463" spans="4:54">
      <c r="D2463" s="806"/>
      <c r="F2463" s="806"/>
      <c r="W2463" s="806"/>
      <c r="AZ2463" s="806"/>
      <c r="BA2463" s="806"/>
      <c r="BB2463" s="806"/>
    </row>
    <row r="2464" spans="4:54">
      <c r="D2464" s="806"/>
      <c r="F2464" s="806"/>
      <c r="W2464" s="806"/>
      <c r="AZ2464" s="806"/>
      <c r="BA2464" s="806"/>
      <c r="BB2464" s="806"/>
    </row>
    <row r="2465" spans="4:54">
      <c r="D2465" s="806"/>
      <c r="F2465" s="806"/>
      <c r="W2465" s="806"/>
      <c r="AZ2465" s="806"/>
      <c r="BA2465" s="806"/>
      <c r="BB2465" s="806"/>
    </row>
    <row r="2466" spans="4:54">
      <c r="D2466" s="806"/>
      <c r="F2466" s="806"/>
      <c r="W2466" s="806"/>
      <c r="AZ2466" s="806"/>
      <c r="BA2466" s="806"/>
      <c r="BB2466" s="806"/>
    </row>
    <row r="2467" spans="4:54">
      <c r="D2467" s="806"/>
      <c r="F2467" s="806"/>
      <c r="W2467" s="806"/>
      <c r="AZ2467" s="806"/>
      <c r="BA2467" s="806"/>
      <c r="BB2467" s="806"/>
    </row>
    <row r="2468" spans="4:54">
      <c r="D2468" s="806"/>
      <c r="F2468" s="806"/>
      <c r="W2468" s="806"/>
      <c r="AZ2468" s="806"/>
      <c r="BA2468" s="806"/>
      <c r="BB2468" s="806"/>
    </row>
    <row r="2469" spans="4:54">
      <c r="D2469" s="806"/>
      <c r="F2469" s="806"/>
      <c r="W2469" s="806"/>
      <c r="AZ2469" s="806"/>
      <c r="BA2469" s="806"/>
      <c r="BB2469" s="806"/>
    </row>
    <row r="2470" spans="4:54">
      <c r="D2470" s="806"/>
      <c r="F2470" s="806"/>
      <c r="W2470" s="806"/>
      <c r="AZ2470" s="806"/>
      <c r="BA2470" s="806"/>
      <c r="BB2470" s="806"/>
    </row>
    <row r="2471" spans="4:54">
      <c r="D2471" s="806"/>
      <c r="F2471" s="806"/>
      <c r="W2471" s="806"/>
      <c r="AZ2471" s="806"/>
      <c r="BA2471" s="806"/>
      <c r="BB2471" s="806"/>
    </row>
    <row r="2472" spans="4:54">
      <c r="D2472" s="806"/>
      <c r="F2472" s="806"/>
      <c r="W2472" s="806"/>
      <c r="AZ2472" s="806"/>
      <c r="BA2472" s="806"/>
      <c r="BB2472" s="806"/>
    </row>
    <row r="2473" spans="4:54">
      <c r="D2473" s="806"/>
      <c r="F2473" s="806"/>
      <c r="W2473" s="806"/>
      <c r="AZ2473" s="806"/>
      <c r="BA2473" s="806"/>
      <c r="BB2473" s="806"/>
    </row>
    <row r="2474" spans="4:54">
      <c r="D2474" s="806"/>
      <c r="F2474" s="806"/>
      <c r="W2474" s="806"/>
      <c r="AZ2474" s="806"/>
      <c r="BA2474" s="806"/>
      <c r="BB2474" s="806"/>
    </row>
    <row r="2475" spans="4:54">
      <c r="D2475" s="806"/>
      <c r="F2475" s="806"/>
      <c r="W2475" s="806"/>
      <c r="AZ2475" s="806"/>
      <c r="BA2475" s="806"/>
      <c r="BB2475" s="806"/>
    </row>
    <row r="2476" spans="4:54">
      <c r="D2476" s="806"/>
      <c r="F2476" s="806"/>
      <c r="W2476" s="806"/>
      <c r="AZ2476" s="806"/>
      <c r="BA2476" s="806"/>
      <c r="BB2476" s="806"/>
    </row>
    <row r="2477" spans="4:54">
      <c r="D2477" s="806"/>
      <c r="F2477" s="806"/>
      <c r="W2477" s="806"/>
      <c r="AZ2477" s="806"/>
      <c r="BA2477" s="806"/>
      <c r="BB2477" s="806"/>
    </row>
    <row r="2478" spans="4:54">
      <c r="D2478" s="806"/>
      <c r="F2478" s="806"/>
      <c r="W2478" s="806"/>
      <c r="AZ2478" s="806"/>
      <c r="BA2478" s="806"/>
      <c r="BB2478" s="806"/>
    </row>
    <row r="2479" spans="4:54">
      <c r="D2479" s="806"/>
      <c r="F2479" s="806"/>
      <c r="W2479" s="806"/>
      <c r="AZ2479" s="806"/>
      <c r="BA2479" s="806"/>
      <c r="BB2479" s="806"/>
    </row>
    <row r="2480" spans="4:54">
      <c r="D2480" s="806"/>
      <c r="F2480" s="806"/>
      <c r="W2480" s="806"/>
      <c r="AZ2480" s="806"/>
      <c r="BA2480" s="806"/>
      <c r="BB2480" s="806"/>
    </row>
    <row r="2481" spans="4:54">
      <c r="D2481" s="806"/>
      <c r="F2481" s="806"/>
      <c r="W2481" s="806"/>
      <c r="AZ2481" s="806"/>
      <c r="BA2481" s="806"/>
      <c r="BB2481" s="806"/>
    </row>
    <row r="2482" spans="4:54">
      <c r="D2482" s="806"/>
      <c r="F2482" s="806"/>
      <c r="W2482" s="806"/>
      <c r="AZ2482" s="806"/>
      <c r="BA2482" s="806"/>
      <c r="BB2482" s="806"/>
    </row>
    <row r="2483" spans="4:54">
      <c r="D2483" s="806"/>
      <c r="F2483" s="806"/>
      <c r="W2483" s="806"/>
      <c r="AZ2483" s="806"/>
      <c r="BA2483" s="806"/>
      <c r="BB2483" s="806"/>
    </row>
    <row r="2484" spans="4:54">
      <c r="D2484" s="806"/>
      <c r="F2484" s="806"/>
      <c r="W2484" s="806"/>
      <c r="AZ2484" s="806"/>
      <c r="BA2484" s="806"/>
      <c r="BB2484" s="806"/>
    </row>
    <row r="2485" spans="4:54">
      <c r="D2485" s="806"/>
      <c r="F2485" s="806"/>
      <c r="W2485" s="806"/>
      <c r="AZ2485" s="806"/>
      <c r="BA2485" s="806"/>
      <c r="BB2485" s="806"/>
    </row>
    <row r="2486" spans="4:54">
      <c r="D2486" s="806"/>
      <c r="F2486" s="806"/>
      <c r="W2486" s="806"/>
      <c r="AZ2486" s="806"/>
      <c r="BA2486" s="806"/>
      <c r="BB2486" s="806"/>
    </row>
    <row r="2487" spans="4:54">
      <c r="D2487" s="806"/>
      <c r="F2487" s="806"/>
      <c r="W2487" s="806"/>
      <c r="AZ2487" s="806"/>
      <c r="BA2487" s="806"/>
      <c r="BB2487" s="806"/>
    </row>
    <row r="2488" spans="4:54">
      <c r="D2488" s="806"/>
      <c r="F2488" s="806"/>
      <c r="W2488" s="806"/>
      <c r="AZ2488" s="806"/>
      <c r="BA2488" s="806"/>
      <c r="BB2488" s="806"/>
    </row>
    <row r="2489" spans="4:54">
      <c r="D2489" s="806"/>
      <c r="F2489" s="806"/>
      <c r="W2489" s="806"/>
      <c r="AZ2489" s="806"/>
      <c r="BA2489" s="806"/>
      <c r="BB2489" s="806"/>
    </row>
    <row r="2490" spans="4:54">
      <c r="D2490" s="806"/>
      <c r="F2490" s="806"/>
      <c r="W2490" s="806"/>
      <c r="AZ2490" s="806"/>
      <c r="BA2490" s="806"/>
      <c r="BB2490" s="806"/>
    </row>
    <row r="2491" spans="4:54">
      <c r="D2491" s="806"/>
      <c r="F2491" s="806"/>
      <c r="W2491" s="806"/>
      <c r="AZ2491" s="806"/>
      <c r="BA2491" s="806"/>
      <c r="BB2491" s="806"/>
    </row>
    <row r="2492" spans="4:54">
      <c r="D2492" s="806"/>
      <c r="F2492" s="806"/>
      <c r="W2492" s="806"/>
      <c r="AZ2492" s="806"/>
      <c r="BA2492" s="806"/>
      <c r="BB2492" s="806"/>
    </row>
    <row r="2493" spans="4:54">
      <c r="D2493" s="806"/>
      <c r="F2493" s="806"/>
      <c r="W2493" s="806"/>
      <c r="AZ2493" s="806"/>
      <c r="BA2493" s="806"/>
      <c r="BB2493" s="806"/>
    </row>
    <row r="2494" spans="4:54">
      <c r="D2494" s="806"/>
      <c r="F2494" s="806"/>
      <c r="W2494" s="806"/>
      <c r="AZ2494" s="806"/>
      <c r="BA2494" s="806"/>
      <c r="BB2494" s="806"/>
    </row>
    <row r="2495" spans="4:54">
      <c r="D2495" s="806"/>
      <c r="F2495" s="806"/>
      <c r="W2495" s="806"/>
      <c r="AZ2495" s="806"/>
      <c r="BA2495" s="806"/>
      <c r="BB2495" s="806"/>
    </row>
    <row r="2496" spans="4:54">
      <c r="D2496" s="806"/>
      <c r="F2496" s="806"/>
      <c r="W2496" s="806"/>
      <c r="AZ2496" s="806"/>
      <c r="BA2496" s="806"/>
      <c r="BB2496" s="806"/>
    </row>
    <row r="2497" spans="4:54">
      <c r="D2497" s="806"/>
      <c r="F2497" s="806"/>
      <c r="W2497" s="806"/>
      <c r="AZ2497" s="806"/>
      <c r="BA2497" s="806"/>
      <c r="BB2497" s="806"/>
    </row>
    <row r="2498" spans="4:54">
      <c r="D2498" s="806"/>
      <c r="F2498" s="806"/>
      <c r="W2498" s="806"/>
      <c r="AZ2498" s="806"/>
      <c r="BA2498" s="806"/>
      <c r="BB2498" s="806"/>
    </row>
    <row r="2499" spans="4:54">
      <c r="D2499" s="806"/>
      <c r="F2499" s="806"/>
      <c r="W2499" s="806"/>
      <c r="AZ2499" s="806"/>
      <c r="BA2499" s="806"/>
      <c r="BB2499" s="806"/>
    </row>
    <row r="2500" spans="4:54">
      <c r="D2500" s="806"/>
      <c r="F2500" s="806"/>
      <c r="W2500" s="806"/>
      <c r="AZ2500" s="806"/>
      <c r="BA2500" s="806"/>
      <c r="BB2500" s="806"/>
    </row>
    <row r="2501" spans="4:54">
      <c r="D2501" s="806"/>
      <c r="F2501" s="806"/>
      <c r="W2501" s="806"/>
      <c r="AZ2501" s="806"/>
      <c r="BA2501" s="806"/>
      <c r="BB2501" s="806"/>
    </row>
    <row r="2502" spans="4:54">
      <c r="D2502" s="806"/>
      <c r="F2502" s="806"/>
      <c r="W2502" s="806"/>
      <c r="AZ2502" s="806"/>
      <c r="BA2502" s="806"/>
      <c r="BB2502" s="806"/>
    </row>
    <row r="2503" spans="4:54">
      <c r="D2503" s="806"/>
      <c r="F2503" s="806"/>
      <c r="W2503" s="806"/>
      <c r="AZ2503" s="806"/>
      <c r="BA2503" s="806"/>
      <c r="BB2503" s="806"/>
    </row>
    <row r="2504" spans="4:54">
      <c r="D2504" s="806"/>
      <c r="F2504" s="806"/>
      <c r="W2504" s="806"/>
      <c r="AZ2504" s="806"/>
      <c r="BA2504" s="806"/>
      <c r="BB2504" s="806"/>
    </row>
    <row r="2505" spans="4:54">
      <c r="D2505" s="806"/>
      <c r="F2505" s="806"/>
      <c r="W2505" s="806"/>
      <c r="AZ2505" s="806"/>
      <c r="BA2505" s="806"/>
      <c r="BB2505" s="806"/>
    </row>
    <row r="2506" spans="4:54">
      <c r="D2506" s="806"/>
      <c r="F2506" s="806"/>
      <c r="W2506" s="806"/>
      <c r="AZ2506" s="806"/>
      <c r="BA2506" s="806"/>
      <c r="BB2506" s="806"/>
    </row>
    <row r="2507" spans="4:54">
      <c r="D2507" s="806"/>
      <c r="F2507" s="806"/>
      <c r="W2507" s="806"/>
      <c r="AZ2507" s="806"/>
      <c r="BA2507" s="806"/>
      <c r="BB2507" s="806"/>
    </row>
    <row r="2508" spans="4:54">
      <c r="D2508" s="806"/>
      <c r="F2508" s="806"/>
      <c r="W2508" s="806"/>
      <c r="AZ2508" s="806"/>
      <c r="BA2508" s="806"/>
      <c r="BB2508" s="806"/>
    </row>
    <row r="2509" spans="4:54">
      <c r="D2509" s="806"/>
      <c r="F2509" s="806"/>
      <c r="W2509" s="806"/>
      <c r="AZ2509" s="806"/>
      <c r="BA2509" s="806"/>
      <c r="BB2509" s="806"/>
    </row>
    <row r="2510" spans="4:54">
      <c r="D2510" s="806"/>
      <c r="F2510" s="806"/>
      <c r="W2510" s="806"/>
      <c r="AZ2510" s="806"/>
      <c r="BA2510" s="806"/>
      <c r="BB2510" s="806"/>
    </row>
    <row r="2511" spans="4:54">
      <c r="D2511" s="806"/>
      <c r="F2511" s="806"/>
      <c r="W2511" s="806"/>
      <c r="AZ2511" s="806"/>
      <c r="BA2511" s="806"/>
      <c r="BB2511" s="806"/>
    </row>
    <row r="2512" spans="4:54">
      <c r="D2512" s="806"/>
      <c r="F2512" s="806"/>
      <c r="W2512" s="806"/>
      <c r="AZ2512" s="806"/>
      <c r="BA2512" s="806"/>
      <c r="BB2512" s="806"/>
    </row>
    <row r="2513" spans="4:54">
      <c r="D2513" s="806"/>
      <c r="F2513" s="806"/>
      <c r="W2513" s="806"/>
      <c r="AZ2513" s="806"/>
      <c r="BA2513" s="806"/>
      <c r="BB2513" s="806"/>
    </row>
    <row r="2514" spans="4:54">
      <c r="D2514" s="806"/>
      <c r="F2514" s="806"/>
      <c r="W2514" s="806"/>
      <c r="AZ2514" s="806"/>
      <c r="BA2514" s="806"/>
      <c r="BB2514" s="806"/>
    </row>
    <row r="2515" spans="4:54">
      <c r="D2515" s="806"/>
      <c r="F2515" s="806"/>
      <c r="W2515" s="806"/>
      <c r="AZ2515" s="806"/>
      <c r="BA2515" s="806"/>
      <c r="BB2515" s="806"/>
    </row>
    <row r="2516" spans="4:54">
      <c r="D2516" s="806"/>
      <c r="F2516" s="806"/>
      <c r="W2516" s="806"/>
      <c r="AZ2516" s="806"/>
      <c r="BA2516" s="806"/>
      <c r="BB2516" s="806"/>
    </row>
    <row r="2517" spans="4:54">
      <c r="D2517" s="806"/>
      <c r="F2517" s="806"/>
      <c r="W2517" s="806"/>
      <c r="AZ2517" s="806"/>
      <c r="BA2517" s="806"/>
      <c r="BB2517" s="806"/>
    </row>
    <row r="2518" spans="4:54">
      <c r="D2518" s="806"/>
      <c r="F2518" s="806"/>
      <c r="W2518" s="806"/>
      <c r="AZ2518" s="806"/>
      <c r="BA2518" s="806"/>
      <c r="BB2518" s="806"/>
    </row>
    <row r="2519" spans="4:54">
      <c r="D2519" s="806"/>
      <c r="F2519" s="806"/>
      <c r="W2519" s="806"/>
      <c r="AZ2519" s="806"/>
      <c r="BA2519" s="806"/>
      <c r="BB2519" s="806"/>
    </row>
    <row r="2520" spans="4:54">
      <c r="D2520" s="806"/>
      <c r="F2520" s="806"/>
      <c r="W2520" s="806"/>
      <c r="AZ2520" s="806"/>
      <c r="BA2520" s="806"/>
      <c r="BB2520" s="806"/>
    </row>
    <row r="2521" spans="4:54">
      <c r="D2521" s="806"/>
      <c r="F2521" s="806"/>
      <c r="W2521" s="806"/>
      <c r="AZ2521" s="806"/>
      <c r="BA2521" s="806"/>
      <c r="BB2521" s="806"/>
    </row>
    <row r="2522" spans="4:54">
      <c r="D2522" s="806"/>
      <c r="F2522" s="806"/>
      <c r="W2522" s="806"/>
      <c r="AZ2522" s="806"/>
      <c r="BA2522" s="806"/>
      <c r="BB2522" s="806"/>
    </row>
    <row r="2523" spans="4:54">
      <c r="D2523" s="806"/>
      <c r="F2523" s="806"/>
      <c r="W2523" s="806"/>
      <c r="AZ2523" s="806"/>
      <c r="BA2523" s="806"/>
      <c r="BB2523" s="806"/>
    </row>
    <row r="2524" spans="4:54">
      <c r="D2524" s="806"/>
      <c r="F2524" s="806"/>
      <c r="W2524" s="806"/>
      <c r="AZ2524" s="806"/>
      <c r="BA2524" s="806"/>
      <c r="BB2524" s="806"/>
    </row>
    <row r="2525" spans="4:54">
      <c r="D2525" s="806"/>
      <c r="F2525" s="806"/>
      <c r="W2525" s="806"/>
      <c r="AZ2525" s="806"/>
      <c r="BA2525" s="806"/>
      <c r="BB2525" s="806"/>
    </row>
    <row r="2526" spans="4:54">
      <c r="D2526" s="806"/>
      <c r="F2526" s="806"/>
      <c r="W2526" s="806"/>
      <c r="AZ2526" s="806"/>
      <c r="BA2526" s="806"/>
      <c r="BB2526" s="806"/>
    </row>
    <row r="2527" spans="4:54">
      <c r="D2527" s="806"/>
      <c r="F2527" s="806"/>
      <c r="W2527" s="806"/>
      <c r="AZ2527" s="806"/>
      <c r="BA2527" s="806"/>
      <c r="BB2527" s="806"/>
    </row>
    <row r="2528" spans="4:54">
      <c r="D2528" s="806"/>
      <c r="F2528" s="806"/>
      <c r="W2528" s="806"/>
      <c r="AZ2528" s="806"/>
      <c r="BA2528" s="806"/>
      <c r="BB2528" s="806"/>
    </row>
    <row r="2529" spans="4:54">
      <c r="D2529" s="806"/>
      <c r="F2529" s="806"/>
      <c r="W2529" s="806"/>
      <c r="AZ2529" s="806"/>
      <c r="BA2529" s="806"/>
      <c r="BB2529" s="806"/>
    </row>
    <row r="2530" spans="4:54">
      <c r="D2530" s="806"/>
      <c r="F2530" s="806"/>
      <c r="W2530" s="806"/>
      <c r="AZ2530" s="806"/>
      <c r="BA2530" s="806"/>
      <c r="BB2530" s="806"/>
    </row>
    <row r="2531" spans="4:54">
      <c r="D2531" s="806"/>
      <c r="F2531" s="806"/>
      <c r="W2531" s="806"/>
      <c r="AZ2531" s="806"/>
      <c r="BA2531" s="806"/>
      <c r="BB2531" s="806"/>
    </row>
    <row r="2532" spans="4:54">
      <c r="D2532" s="806"/>
      <c r="F2532" s="806"/>
      <c r="W2532" s="806"/>
      <c r="AZ2532" s="806"/>
      <c r="BA2532" s="806"/>
      <c r="BB2532" s="806"/>
    </row>
    <row r="2533" spans="4:54">
      <c r="D2533" s="806"/>
      <c r="F2533" s="806"/>
      <c r="W2533" s="806"/>
      <c r="AZ2533" s="806"/>
      <c r="BA2533" s="806"/>
      <c r="BB2533" s="806"/>
    </row>
    <row r="2534" spans="4:54">
      <c r="D2534" s="806"/>
      <c r="F2534" s="806"/>
      <c r="W2534" s="806"/>
      <c r="AZ2534" s="806"/>
      <c r="BA2534" s="806"/>
      <c r="BB2534" s="806"/>
    </row>
    <row r="2535" spans="4:54">
      <c r="D2535" s="806"/>
      <c r="F2535" s="806"/>
      <c r="W2535" s="806"/>
      <c r="AZ2535" s="806"/>
      <c r="BA2535" s="806"/>
      <c r="BB2535" s="806"/>
    </row>
    <row r="2536" spans="4:54">
      <c r="D2536" s="806"/>
      <c r="F2536" s="806"/>
      <c r="W2536" s="806"/>
      <c r="AZ2536" s="806"/>
      <c r="BA2536" s="806"/>
      <c r="BB2536" s="806"/>
    </row>
    <row r="2537" spans="4:54">
      <c r="D2537" s="806"/>
      <c r="F2537" s="806"/>
      <c r="W2537" s="806"/>
      <c r="AZ2537" s="806"/>
      <c r="BA2537" s="806"/>
      <c r="BB2537" s="806"/>
    </row>
    <row r="2538" spans="4:54">
      <c r="D2538" s="806"/>
      <c r="F2538" s="806"/>
      <c r="W2538" s="806"/>
      <c r="AZ2538" s="806"/>
      <c r="BA2538" s="806"/>
      <c r="BB2538" s="806"/>
    </row>
    <row r="2539" spans="4:54">
      <c r="D2539" s="806"/>
      <c r="F2539" s="806"/>
      <c r="W2539" s="806"/>
      <c r="AZ2539" s="806"/>
      <c r="BA2539" s="806"/>
      <c r="BB2539" s="806"/>
    </row>
    <row r="2540" spans="4:54">
      <c r="D2540" s="806"/>
      <c r="F2540" s="806"/>
      <c r="W2540" s="806"/>
      <c r="AZ2540" s="806"/>
      <c r="BA2540" s="806"/>
      <c r="BB2540" s="806"/>
    </row>
    <row r="2541" spans="4:54">
      <c r="D2541" s="806"/>
      <c r="F2541" s="806"/>
      <c r="W2541" s="806"/>
      <c r="AZ2541" s="806"/>
      <c r="BA2541" s="806"/>
      <c r="BB2541" s="806"/>
    </row>
    <row r="2542" spans="4:54">
      <c r="D2542" s="806"/>
      <c r="F2542" s="806"/>
      <c r="W2542" s="806"/>
      <c r="AZ2542" s="806"/>
      <c r="BA2542" s="806"/>
      <c r="BB2542" s="806"/>
    </row>
    <row r="2543" spans="4:54">
      <c r="D2543" s="806"/>
      <c r="F2543" s="806"/>
      <c r="W2543" s="806"/>
      <c r="AZ2543" s="806"/>
      <c r="BA2543" s="806"/>
      <c r="BB2543" s="806"/>
    </row>
    <row r="2544" spans="4:54">
      <c r="D2544" s="806"/>
      <c r="F2544" s="806"/>
      <c r="W2544" s="806"/>
      <c r="AZ2544" s="806"/>
      <c r="BA2544" s="806"/>
      <c r="BB2544" s="806"/>
    </row>
    <row r="2545" spans="4:54">
      <c r="D2545" s="806"/>
      <c r="F2545" s="806"/>
      <c r="W2545" s="806"/>
      <c r="AZ2545" s="806"/>
      <c r="BA2545" s="806"/>
      <c r="BB2545" s="806"/>
    </row>
    <row r="2546" spans="4:54">
      <c r="D2546" s="806"/>
      <c r="F2546" s="806"/>
      <c r="W2546" s="806"/>
      <c r="AZ2546" s="806"/>
      <c r="BA2546" s="806"/>
      <c r="BB2546" s="806"/>
    </row>
    <row r="2547" spans="4:54">
      <c r="D2547" s="806"/>
      <c r="F2547" s="806"/>
      <c r="W2547" s="806"/>
      <c r="AZ2547" s="806"/>
      <c r="BA2547" s="806"/>
      <c r="BB2547" s="806"/>
    </row>
    <row r="2548" spans="4:54">
      <c r="D2548" s="806"/>
      <c r="F2548" s="806"/>
      <c r="W2548" s="806"/>
      <c r="AZ2548" s="806"/>
      <c r="BA2548" s="806"/>
      <c r="BB2548" s="806"/>
    </row>
    <row r="2549" spans="4:54">
      <c r="D2549" s="806"/>
      <c r="F2549" s="806"/>
      <c r="W2549" s="806"/>
      <c r="AZ2549" s="806"/>
      <c r="BA2549" s="806"/>
      <c r="BB2549" s="806"/>
    </row>
    <row r="2550" spans="4:54">
      <c r="D2550" s="806"/>
      <c r="F2550" s="806"/>
      <c r="W2550" s="806"/>
      <c r="AZ2550" s="806"/>
      <c r="BA2550" s="806"/>
      <c r="BB2550" s="806"/>
    </row>
    <row r="2551" spans="4:54">
      <c r="D2551" s="806"/>
      <c r="F2551" s="806"/>
      <c r="W2551" s="806"/>
      <c r="AZ2551" s="806"/>
      <c r="BA2551" s="806"/>
      <c r="BB2551" s="806"/>
    </row>
    <row r="2552" spans="4:54">
      <c r="D2552" s="806"/>
      <c r="F2552" s="806"/>
      <c r="W2552" s="806"/>
      <c r="AZ2552" s="806"/>
      <c r="BA2552" s="806"/>
      <c r="BB2552" s="806"/>
    </row>
    <row r="2553" spans="4:54">
      <c r="D2553" s="806"/>
      <c r="F2553" s="806"/>
      <c r="W2553" s="806"/>
      <c r="AZ2553" s="806"/>
      <c r="BA2553" s="806"/>
      <c r="BB2553" s="806"/>
    </row>
    <row r="2554" spans="4:54">
      <c r="D2554" s="806"/>
      <c r="F2554" s="806"/>
      <c r="W2554" s="806"/>
      <c r="AZ2554" s="806"/>
      <c r="BA2554" s="806"/>
      <c r="BB2554" s="806"/>
    </row>
    <row r="2555" spans="4:54">
      <c r="D2555" s="806"/>
      <c r="F2555" s="806"/>
      <c r="W2555" s="806"/>
      <c r="AZ2555" s="806"/>
      <c r="BA2555" s="806"/>
      <c r="BB2555" s="806"/>
    </row>
    <row r="2556" spans="4:54">
      <c r="D2556" s="806"/>
      <c r="F2556" s="806"/>
      <c r="W2556" s="806"/>
      <c r="AZ2556" s="806"/>
      <c r="BA2556" s="806"/>
      <c r="BB2556" s="806"/>
    </row>
    <row r="2557" spans="4:54">
      <c r="D2557" s="806"/>
      <c r="F2557" s="806"/>
      <c r="W2557" s="806"/>
      <c r="AZ2557" s="806"/>
      <c r="BA2557" s="806"/>
      <c r="BB2557" s="806"/>
    </row>
    <row r="2558" spans="4:54">
      <c r="D2558" s="806"/>
      <c r="F2558" s="806"/>
      <c r="W2558" s="806"/>
      <c r="AZ2558" s="806"/>
      <c r="BA2558" s="806"/>
      <c r="BB2558" s="806"/>
    </row>
    <row r="2559" spans="4:54">
      <c r="D2559" s="806"/>
      <c r="F2559" s="806"/>
      <c r="W2559" s="806"/>
      <c r="AZ2559" s="806"/>
      <c r="BA2559" s="806"/>
      <c r="BB2559" s="806"/>
    </row>
    <row r="2560" spans="4:54">
      <c r="D2560" s="806"/>
      <c r="F2560" s="806"/>
      <c r="W2560" s="806"/>
      <c r="AZ2560" s="806"/>
      <c r="BA2560" s="806"/>
      <c r="BB2560" s="806"/>
    </row>
    <row r="2561" spans="4:54">
      <c r="D2561" s="806"/>
      <c r="F2561" s="806"/>
      <c r="W2561" s="806"/>
      <c r="AZ2561" s="806"/>
      <c r="BA2561" s="806"/>
      <c r="BB2561" s="806"/>
    </row>
    <row r="2562" spans="4:54">
      <c r="D2562" s="806"/>
      <c r="F2562" s="806"/>
      <c r="W2562" s="806"/>
      <c r="AZ2562" s="806"/>
      <c r="BA2562" s="806"/>
      <c r="BB2562" s="806"/>
    </row>
    <row r="2563" spans="4:54">
      <c r="D2563" s="806"/>
      <c r="F2563" s="806"/>
      <c r="W2563" s="806"/>
      <c r="AZ2563" s="806"/>
      <c r="BA2563" s="806"/>
      <c r="BB2563" s="806"/>
    </row>
    <row r="2564" spans="4:54">
      <c r="D2564" s="806"/>
      <c r="F2564" s="806"/>
      <c r="W2564" s="806"/>
      <c r="AZ2564" s="806"/>
      <c r="BA2564" s="806"/>
      <c r="BB2564" s="806"/>
    </row>
    <row r="2565" spans="4:54">
      <c r="D2565" s="806"/>
      <c r="F2565" s="806"/>
      <c r="W2565" s="806"/>
      <c r="AZ2565" s="806"/>
      <c r="BA2565" s="806"/>
      <c r="BB2565" s="806"/>
    </row>
    <row r="2566" spans="4:54">
      <c r="D2566" s="806"/>
      <c r="F2566" s="806"/>
      <c r="W2566" s="806"/>
      <c r="AZ2566" s="806"/>
      <c r="BA2566" s="806"/>
      <c r="BB2566" s="806"/>
    </row>
    <row r="2567" spans="4:54">
      <c r="D2567" s="806"/>
      <c r="F2567" s="806"/>
      <c r="W2567" s="806"/>
      <c r="AZ2567" s="806"/>
      <c r="BA2567" s="806"/>
      <c r="BB2567" s="806"/>
    </row>
    <row r="2568" spans="4:54">
      <c r="D2568" s="806"/>
      <c r="F2568" s="806"/>
      <c r="W2568" s="806"/>
      <c r="AZ2568" s="806"/>
      <c r="BA2568" s="806"/>
      <c r="BB2568" s="806"/>
    </row>
    <row r="2569" spans="4:54">
      <c r="D2569" s="806"/>
      <c r="F2569" s="806"/>
      <c r="W2569" s="806"/>
      <c r="AZ2569" s="806"/>
      <c r="BA2569" s="806"/>
      <c r="BB2569" s="806"/>
    </row>
    <row r="2570" spans="4:54">
      <c r="D2570" s="806"/>
      <c r="F2570" s="806"/>
      <c r="W2570" s="806"/>
      <c r="AZ2570" s="806"/>
      <c r="BA2570" s="806"/>
      <c r="BB2570" s="806"/>
    </row>
    <row r="2571" spans="4:54">
      <c r="D2571" s="806"/>
      <c r="F2571" s="806"/>
      <c r="W2571" s="806"/>
      <c r="AZ2571" s="806"/>
      <c r="BA2571" s="806"/>
      <c r="BB2571" s="806"/>
    </row>
    <row r="2572" spans="4:54">
      <c r="D2572" s="806"/>
      <c r="F2572" s="806"/>
      <c r="W2572" s="806"/>
      <c r="AZ2572" s="806"/>
      <c r="BA2572" s="806"/>
      <c r="BB2572" s="806"/>
    </row>
    <row r="2573" spans="4:54">
      <c r="D2573" s="806"/>
      <c r="F2573" s="806"/>
      <c r="W2573" s="806"/>
      <c r="AZ2573" s="806"/>
      <c r="BA2573" s="806"/>
      <c r="BB2573" s="806"/>
    </row>
    <row r="2574" spans="4:54">
      <c r="D2574" s="806"/>
      <c r="F2574" s="806"/>
      <c r="W2574" s="806"/>
      <c r="AZ2574" s="806"/>
      <c r="BA2574" s="806"/>
      <c r="BB2574" s="806"/>
    </row>
    <row r="2575" spans="4:54">
      <c r="D2575" s="806"/>
      <c r="F2575" s="806"/>
      <c r="W2575" s="806"/>
      <c r="AZ2575" s="806"/>
      <c r="BA2575" s="806"/>
      <c r="BB2575" s="806"/>
    </row>
    <row r="2576" spans="4:54">
      <c r="D2576" s="806"/>
      <c r="F2576" s="806"/>
      <c r="W2576" s="806"/>
      <c r="AZ2576" s="806"/>
      <c r="BA2576" s="806"/>
      <c r="BB2576" s="806"/>
    </row>
    <row r="2577" spans="4:54">
      <c r="D2577" s="806"/>
      <c r="F2577" s="806"/>
      <c r="W2577" s="806"/>
      <c r="AZ2577" s="806"/>
      <c r="BA2577" s="806"/>
      <c r="BB2577" s="806"/>
    </row>
    <row r="2578" spans="4:54">
      <c r="D2578" s="806"/>
      <c r="F2578" s="806"/>
      <c r="W2578" s="806"/>
      <c r="AZ2578" s="806"/>
      <c r="BA2578" s="806"/>
      <c r="BB2578" s="806"/>
    </row>
    <row r="2579" spans="4:54">
      <c r="D2579" s="806"/>
      <c r="F2579" s="806"/>
      <c r="W2579" s="806"/>
      <c r="AZ2579" s="806"/>
      <c r="BA2579" s="806"/>
      <c r="BB2579" s="806"/>
    </row>
    <row r="2580" spans="4:54">
      <c r="D2580" s="806"/>
      <c r="F2580" s="806"/>
      <c r="W2580" s="806"/>
      <c r="AZ2580" s="806"/>
      <c r="BA2580" s="806"/>
      <c r="BB2580" s="806"/>
    </row>
    <row r="2581" spans="4:54">
      <c r="D2581" s="806"/>
      <c r="F2581" s="806"/>
      <c r="W2581" s="806"/>
      <c r="AZ2581" s="806"/>
      <c r="BA2581" s="806"/>
      <c r="BB2581" s="806"/>
    </row>
    <row r="2582" spans="4:54">
      <c r="D2582" s="806"/>
      <c r="F2582" s="806"/>
      <c r="W2582" s="806"/>
      <c r="AZ2582" s="806"/>
      <c r="BA2582" s="806"/>
      <c r="BB2582" s="806"/>
    </row>
    <row r="2583" spans="4:54">
      <c r="D2583" s="806"/>
      <c r="F2583" s="806"/>
      <c r="W2583" s="806"/>
      <c r="AZ2583" s="806"/>
      <c r="BA2583" s="806"/>
      <c r="BB2583" s="806"/>
    </row>
    <row r="2584" spans="4:54">
      <c r="D2584" s="806"/>
      <c r="F2584" s="806"/>
      <c r="W2584" s="806"/>
      <c r="AZ2584" s="806"/>
      <c r="BA2584" s="806"/>
      <c r="BB2584" s="806"/>
    </row>
    <row r="2585" spans="4:54">
      <c r="D2585" s="806"/>
      <c r="F2585" s="806"/>
      <c r="W2585" s="806"/>
      <c r="AZ2585" s="806"/>
      <c r="BA2585" s="806"/>
      <c r="BB2585" s="806"/>
    </row>
    <row r="2586" spans="4:54">
      <c r="D2586" s="806"/>
      <c r="F2586" s="806"/>
      <c r="W2586" s="806"/>
      <c r="AZ2586" s="806"/>
      <c r="BA2586" s="806"/>
      <c r="BB2586" s="806"/>
    </row>
    <row r="2587" spans="4:54">
      <c r="D2587" s="806"/>
      <c r="F2587" s="806"/>
      <c r="W2587" s="806"/>
      <c r="AZ2587" s="806"/>
      <c r="BA2587" s="806"/>
      <c r="BB2587" s="806"/>
    </row>
    <row r="2588" spans="4:54">
      <c r="D2588" s="806"/>
      <c r="F2588" s="806"/>
      <c r="W2588" s="806"/>
      <c r="AZ2588" s="806"/>
      <c r="BA2588" s="806"/>
      <c r="BB2588" s="806"/>
    </row>
    <row r="2589" spans="4:54">
      <c r="D2589" s="806"/>
      <c r="F2589" s="806"/>
      <c r="W2589" s="806"/>
      <c r="AZ2589" s="806"/>
      <c r="BA2589" s="806"/>
      <c r="BB2589" s="806"/>
    </row>
    <row r="2590" spans="4:54">
      <c r="D2590" s="806"/>
      <c r="F2590" s="806"/>
      <c r="W2590" s="806"/>
      <c r="AZ2590" s="806"/>
      <c r="BA2590" s="806"/>
      <c r="BB2590" s="806"/>
    </row>
    <row r="2591" spans="4:54">
      <c r="D2591" s="806"/>
      <c r="F2591" s="806"/>
      <c r="W2591" s="806"/>
      <c r="AZ2591" s="806"/>
      <c r="BA2591" s="806"/>
      <c r="BB2591" s="806"/>
    </row>
    <row r="2592" spans="4:54">
      <c r="D2592" s="806"/>
      <c r="F2592" s="806"/>
      <c r="W2592" s="806"/>
      <c r="AZ2592" s="806"/>
      <c r="BA2592" s="806"/>
      <c r="BB2592" s="806"/>
    </row>
    <row r="2593" spans="4:54">
      <c r="D2593" s="806"/>
      <c r="F2593" s="806"/>
      <c r="W2593" s="806"/>
      <c r="AZ2593" s="806"/>
      <c r="BA2593" s="806"/>
      <c r="BB2593" s="806"/>
    </row>
    <row r="2594" spans="4:54">
      <c r="D2594" s="806"/>
      <c r="F2594" s="806"/>
      <c r="W2594" s="806"/>
      <c r="AZ2594" s="806"/>
      <c r="BA2594" s="806"/>
      <c r="BB2594" s="806"/>
    </row>
    <row r="2595" spans="4:54">
      <c r="D2595" s="806"/>
      <c r="F2595" s="806"/>
      <c r="W2595" s="806"/>
      <c r="AZ2595" s="806"/>
      <c r="BA2595" s="806"/>
      <c r="BB2595" s="806"/>
    </row>
    <row r="2596" spans="4:54">
      <c r="D2596" s="806"/>
      <c r="F2596" s="806"/>
      <c r="W2596" s="806"/>
      <c r="AZ2596" s="806"/>
      <c r="BA2596" s="806"/>
      <c r="BB2596" s="806"/>
    </row>
    <row r="2597" spans="4:54">
      <c r="D2597" s="806"/>
      <c r="F2597" s="806"/>
      <c r="W2597" s="806"/>
      <c r="AZ2597" s="806"/>
      <c r="BA2597" s="806"/>
      <c r="BB2597" s="806"/>
    </row>
    <row r="2598" spans="4:54">
      <c r="D2598" s="806"/>
      <c r="F2598" s="806"/>
      <c r="W2598" s="806"/>
      <c r="AZ2598" s="806"/>
      <c r="BA2598" s="806"/>
      <c r="BB2598" s="806"/>
    </row>
    <row r="2599" spans="4:54">
      <c r="D2599" s="806"/>
      <c r="F2599" s="806"/>
      <c r="W2599" s="806"/>
      <c r="AZ2599" s="806"/>
      <c r="BA2599" s="806"/>
      <c r="BB2599" s="806"/>
    </row>
    <row r="2600" spans="4:54">
      <c r="D2600" s="806"/>
      <c r="F2600" s="806"/>
      <c r="W2600" s="806"/>
      <c r="AZ2600" s="806"/>
      <c r="BA2600" s="806"/>
      <c r="BB2600" s="806"/>
    </row>
    <row r="2601" spans="4:54">
      <c r="D2601" s="806"/>
      <c r="F2601" s="806"/>
      <c r="W2601" s="806"/>
      <c r="AZ2601" s="806"/>
      <c r="BA2601" s="806"/>
      <c r="BB2601" s="806"/>
    </row>
    <row r="2602" spans="4:54">
      <c r="D2602" s="806"/>
      <c r="F2602" s="806"/>
      <c r="W2602" s="806"/>
      <c r="AZ2602" s="806"/>
      <c r="BA2602" s="806"/>
      <c r="BB2602" s="806"/>
    </row>
    <row r="2603" spans="4:54">
      <c r="D2603" s="806"/>
      <c r="F2603" s="806"/>
      <c r="W2603" s="806"/>
      <c r="AZ2603" s="806"/>
      <c r="BA2603" s="806"/>
      <c r="BB2603" s="806"/>
    </row>
    <row r="2604" spans="4:54">
      <c r="D2604" s="806"/>
      <c r="F2604" s="806"/>
      <c r="W2604" s="806"/>
      <c r="AZ2604" s="806"/>
      <c r="BA2604" s="806"/>
      <c r="BB2604" s="806"/>
    </row>
    <row r="2605" spans="4:54">
      <c r="D2605" s="806"/>
      <c r="F2605" s="806"/>
      <c r="W2605" s="806"/>
      <c r="AZ2605" s="806"/>
      <c r="BA2605" s="806"/>
      <c r="BB2605" s="806"/>
    </row>
    <row r="2606" spans="4:54">
      <c r="D2606" s="806"/>
      <c r="F2606" s="806"/>
      <c r="W2606" s="806"/>
      <c r="AZ2606" s="806"/>
      <c r="BA2606" s="806"/>
      <c r="BB2606" s="806"/>
    </row>
    <row r="2607" spans="4:54">
      <c r="D2607" s="806"/>
      <c r="F2607" s="806"/>
      <c r="W2607" s="806"/>
      <c r="AZ2607" s="806"/>
      <c r="BA2607" s="806"/>
      <c r="BB2607" s="806"/>
    </row>
    <row r="2608" spans="4:54">
      <c r="D2608" s="806"/>
      <c r="F2608" s="806"/>
      <c r="W2608" s="806"/>
      <c r="AZ2608" s="806"/>
      <c r="BA2608" s="806"/>
      <c r="BB2608" s="806"/>
    </row>
    <row r="2609" spans="4:54">
      <c r="D2609" s="806"/>
      <c r="F2609" s="806"/>
      <c r="W2609" s="806"/>
      <c r="AZ2609" s="806"/>
      <c r="BA2609" s="806"/>
      <c r="BB2609" s="806"/>
    </row>
    <row r="2610" spans="4:54">
      <c r="D2610" s="806"/>
      <c r="F2610" s="806"/>
      <c r="W2610" s="806"/>
      <c r="AZ2610" s="806"/>
      <c r="BA2610" s="806"/>
      <c r="BB2610" s="806"/>
    </row>
    <row r="2611" spans="4:54">
      <c r="D2611" s="806"/>
      <c r="F2611" s="806"/>
      <c r="W2611" s="806"/>
      <c r="AZ2611" s="806"/>
      <c r="BA2611" s="806"/>
      <c r="BB2611" s="806"/>
    </row>
    <row r="2612" spans="4:54">
      <c r="D2612" s="806"/>
      <c r="F2612" s="806"/>
      <c r="W2612" s="806"/>
      <c r="AZ2612" s="806"/>
      <c r="BA2612" s="806"/>
      <c r="BB2612" s="806"/>
    </row>
    <row r="2613" spans="4:54">
      <c r="D2613" s="806"/>
      <c r="F2613" s="806"/>
      <c r="W2613" s="806"/>
      <c r="AZ2613" s="806"/>
      <c r="BA2613" s="806"/>
      <c r="BB2613" s="806"/>
    </row>
    <row r="2614" spans="4:54">
      <c r="D2614" s="806"/>
      <c r="F2614" s="806"/>
      <c r="W2614" s="806"/>
      <c r="AZ2614" s="806"/>
      <c r="BA2614" s="806"/>
      <c r="BB2614" s="806"/>
    </row>
    <row r="2615" spans="4:54">
      <c r="D2615" s="806"/>
      <c r="F2615" s="806"/>
      <c r="W2615" s="806"/>
      <c r="AZ2615" s="806"/>
      <c r="BA2615" s="806"/>
      <c r="BB2615" s="806"/>
    </row>
    <row r="2616" spans="4:54">
      <c r="D2616" s="806"/>
      <c r="F2616" s="806"/>
      <c r="W2616" s="806"/>
      <c r="AZ2616" s="806"/>
      <c r="BA2616" s="806"/>
      <c r="BB2616" s="806"/>
    </row>
    <row r="2617" spans="4:54">
      <c r="D2617" s="806"/>
      <c r="F2617" s="806"/>
      <c r="W2617" s="806"/>
      <c r="AZ2617" s="806"/>
      <c r="BA2617" s="806"/>
      <c r="BB2617" s="806"/>
    </row>
    <row r="2618" spans="4:54">
      <c r="D2618" s="806"/>
      <c r="F2618" s="806"/>
      <c r="W2618" s="806"/>
      <c r="AZ2618" s="806"/>
      <c r="BA2618" s="806"/>
      <c r="BB2618" s="806"/>
    </row>
    <row r="2619" spans="4:54">
      <c r="D2619" s="806"/>
      <c r="F2619" s="806"/>
      <c r="W2619" s="806"/>
      <c r="AZ2619" s="806"/>
      <c r="BA2619" s="806"/>
      <c r="BB2619" s="806"/>
    </row>
    <row r="2620" spans="4:54">
      <c r="D2620" s="806"/>
      <c r="F2620" s="806"/>
      <c r="W2620" s="806"/>
      <c r="AZ2620" s="806"/>
      <c r="BA2620" s="806"/>
      <c r="BB2620" s="806"/>
    </row>
    <row r="2621" spans="4:54">
      <c r="D2621" s="806"/>
      <c r="F2621" s="806"/>
      <c r="W2621" s="806"/>
      <c r="AZ2621" s="806"/>
      <c r="BA2621" s="806"/>
      <c r="BB2621" s="806"/>
    </row>
    <row r="2622" spans="4:54">
      <c r="D2622" s="806"/>
      <c r="F2622" s="806"/>
      <c r="W2622" s="806"/>
      <c r="AZ2622" s="806"/>
      <c r="BA2622" s="806"/>
      <c r="BB2622" s="806"/>
    </row>
    <row r="2623" spans="4:54">
      <c r="D2623" s="806"/>
      <c r="F2623" s="806"/>
      <c r="W2623" s="806"/>
      <c r="AZ2623" s="806"/>
      <c r="BA2623" s="806"/>
      <c r="BB2623" s="806"/>
    </row>
    <row r="2624" spans="4:54">
      <c r="D2624" s="806"/>
      <c r="F2624" s="806"/>
      <c r="W2624" s="806"/>
      <c r="AZ2624" s="806"/>
      <c r="BA2624" s="806"/>
      <c r="BB2624" s="806"/>
    </row>
    <row r="2625" spans="4:54">
      <c r="D2625" s="806"/>
      <c r="F2625" s="806"/>
      <c r="W2625" s="806"/>
      <c r="AZ2625" s="806"/>
      <c r="BA2625" s="806"/>
      <c r="BB2625" s="806"/>
    </row>
    <row r="2626" spans="4:54">
      <c r="D2626" s="806"/>
      <c r="F2626" s="806"/>
      <c r="W2626" s="806"/>
      <c r="AZ2626" s="806"/>
      <c r="BA2626" s="806"/>
      <c r="BB2626" s="806"/>
    </row>
    <row r="2627" spans="4:54">
      <c r="D2627" s="806"/>
      <c r="F2627" s="806"/>
      <c r="W2627" s="806"/>
      <c r="AZ2627" s="806"/>
      <c r="BA2627" s="806"/>
      <c r="BB2627" s="806"/>
    </row>
    <row r="2628" spans="4:54">
      <c r="D2628" s="806"/>
      <c r="F2628" s="806"/>
      <c r="W2628" s="806"/>
      <c r="AZ2628" s="806"/>
      <c r="BA2628" s="806"/>
      <c r="BB2628" s="806"/>
    </row>
    <row r="2629" spans="4:54">
      <c r="D2629" s="806"/>
      <c r="F2629" s="806"/>
      <c r="W2629" s="806"/>
      <c r="AZ2629" s="806"/>
      <c r="BA2629" s="806"/>
      <c r="BB2629" s="806"/>
    </row>
    <row r="2630" spans="4:54">
      <c r="D2630" s="806"/>
      <c r="F2630" s="806"/>
      <c r="W2630" s="806"/>
      <c r="AZ2630" s="806"/>
      <c r="BA2630" s="806"/>
      <c r="BB2630" s="806"/>
    </row>
    <row r="2631" spans="4:54">
      <c r="D2631" s="806"/>
      <c r="F2631" s="806"/>
      <c r="W2631" s="806"/>
      <c r="AZ2631" s="806"/>
      <c r="BA2631" s="806"/>
      <c r="BB2631" s="806"/>
    </row>
    <row r="2632" spans="4:54">
      <c r="D2632" s="806"/>
      <c r="F2632" s="806"/>
      <c r="W2632" s="806"/>
      <c r="AZ2632" s="806"/>
      <c r="BA2632" s="806"/>
      <c r="BB2632" s="806"/>
    </row>
    <row r="2633" spans="4:54">
      <c r="D2633" s="806"/>
      <c r="F2633" s="806"/>
      <c r="W2633" s="806"/>
      <c r="AZ2633" s="806"/>
      <c r="BA2633" s="806"/>
      <c r="BB2633" s="806"/>
    </row>
    <row r="2634" spans="4:54">
      <c r="D2634" s="806"/>
      <c r="F2634" s="806"/>
      <c r="W2634" s="806"/>
      <c r="AZ2634" s="806"/>
      <c r="BA2634" s="806"/>
      <c r="BB2634" s="806"/>
    </row>
    <row r="2635" spans="4:54">
      <c r="D2635" s="806"/>
      <c r="F2635" s="806"/>
      <c r="W2635" s="806"/>
      <c r="AZ2635" s="806"/>
      <c r="BA2635" s="806"/>
      <c r="BB2635" s="806"/>
    </row>
    <row r="2636" spans="4:54">
      <c r="D2636" s="806"/>
      <c r="F2636" s="806"/>
      <c r="W2636" s="806"/>
      <c r="AZ2636" s="806"/>
      <c r="BA2636" s="806"/>
      <c r="BB2636" s="806"/>
    </row>
    <row r="2637" spans="4:54">
      <c r="D2637" s="806"/>
      <c r="F2637" s="806"/>
      <c r="W2637" s="806"/>
      <c r="AZ2637" s="806"/>
      <c r="BA2637" s="806"/>
      <c r="BB2637" s="806"/>
    </row>
    <row r="2638" spans="4:54">
      <c r="D2638" s="806"/>
      <c r="F2638" s="806"/>
      <c r="W2638" s="806"/>
      <c r="AZ2638" s="806"/>
      <c r="BA2638" s="806"/>
      <c r="BB2638" s="806"/>
    </row>
    <row r="2639" spans="4:54">
      <c r="D2639" s="806"/>
      <c r="F2639" s="806"/>
      <c r="W2639" s="806"/>
      <c r="AZ2639" s="806"/>
      <c r="BA2639" s="806"/>
      <c r="BB2639" s="806"/>
    </row>
    <row r="2640" spans="4:54">
      <c r="D2640" s="806"/>
      <c r="F2640" s="806"/>
      <c r="W2640" s="806"/>
      <c r="AZ2640" s="806"/>
      <c r="BA2640" s="806"/>
      <c r="BB2640" s="806"/>
    </row>
    <row r="2641" spans="4:54">
      <c r="D2641" s="806"/>
      <c r="F2641" s="806"/>
      <c r="W2641" s="806"/>
      <c r="AZ2641" s="806"/>
      <c r="BA2641" s="806"/>
      <c r="BB2641" s="806"/>
    </row>
    <row r="2642" spans="4:54">
      <c r="D2642" s="806"/>
      <c r="F2642" s="806"/>
      <c r="W2642" s="806"/>
      <c r="AZ2642" s="806"/>
      <c r="BA2642" s="806"/>
      <c r="BB2642" s="806"/>
    </row>
    <row r="2643" spans="4:54">
      <c r="D2643" s="806"/>
      <c r="F2643" s="806"/>
      <c r="W2643" s="806"/>
      <c r="AZ2643" s="806"/>
      <c r="BA2643" s="806"/>
      <c r="BB2643" s="806"/>
    </row>
    <row r="2644" spans="4:54">
      <c r="D2644" s="806"/>
      <c r="F2644" s="806"/>
      <c r="W2644" s="806"/>
      <c r="AZ2644" s="806"/>
      <c r="BA2644" s="806"/>
      <c r="BB2644" s="806"/>
    </row>
    <row r="2645" spans="4:54">
      <c r="D2645" s="806"/>
      <c r="F2645" s="806"/>
      <c r="W2645" s="806"/>
      <c r="AZ2645" s="806"/>
      <c r="BA2645" s="806"/>
      <c r="BB2645" s="806"/>
    </row>
    <row r="2646" spans="4:54">
      <c r="D2646" s="806"/>
      <c r="F2646" s="806"/>
      <c r="W2646" s="806"/>
      <c r="AZ2646" s="806"/>
      <c r="BA2646" s="806"/>
      <c r="BB2646" s="806"/>
    </row>
    <row r="2647" spans="4:54">
      <c r="D2647" s="806"/>
      <c r="F2647" s="806"/>
      <c r="W2647" s="806"/>
      <c r="AZ2647" s="806"/>
      <c r="BA2647" s="806"/>
      <c r="BB2647" s="806"/>
    </row>
    <row r="2648" spans="4:54">
      <c r="D2648" s="806"/>
      <c r="F2648" s="806"/>
      <c r="W2648" s="806"/>
      <c r="AZ2648" s="806"/>
      <c r="BA2648" s="806"/>
      <c r="BB2648" s="806"/>
    </row>
    <row r="2649" spans="4:54">
      <c r="D2649" s="806"/>
      <c r="F2649" s="806"/>
      <c r="W2649" s="806"/>
      <c r="AZ2649" s="806"/>
      <c r="BA2649" s="806"/>
      <c r="BB2649" s="806"/>
    </row>
    <row r="2650" spans="4:54">
      <c r="D2650" s="806"/>
      <c r="F2650" s="806"/>
      <c r="W2650" s="806"/>
      <c r="AZ2650" s="806"/>
      <c r="BA2650" s="806"/>
      <c r="BB2650" s="806"/>
    </row>
    <row r="2651" spans="4:54">
      <c r="D2651" s="806"/>
      <c r="F2651" s="806"/>
      <c r="W2651" s="806"/>
      <c r="AZ2651" s="806"/>
      <c r="BA2651" s="806"/>
      <c r="BB2651" s="806"/>
    </row>
    <row r="2652" spans="4:54">
      <c r="D2652" s="806"/>
      <c r="F2652" s="806"/>
      <c r="W2652" s="806"/>
      <c r="AZ2652" s="806"/>
      <c r="BA2652" s="806"/>
      <c r="BB2652" s="806"/>
    </row>
    <row r="2653" spans="4:54">
      <c r="D2653" s="806"/>
      <c r="F2653" s="806"/>
      <c r="W2653" s="806"/>
      <c r="AZ2653" s="806"/>
      <c r="BA2653" s="806"/>
      <c r="BB2653" s="806"/>
    </row>
    <row r="2654" spans="4:54">
      <c r="D2654" s="806"/>
      <c r="F2654" s="806"/>
      <c r="W2654" s="806"/>
      <c r="AZ2654" s="806"/>
      <c r="BA2654" s="806"/>
      <c r="BB2654" s="806"/>
    </row>
    <row r="2655" spans="4:54">
      <c r="D2655" s="806"/>
      <c r="F2655" s="806"/>
      <c r="W2655" s="806"/>
      <c r="AZ2655" s="806"/>
      <c r="BA2655" s="806"/>
      <c r="BB2655" s="806"/>
    </row>
    <row r="2656" spans="4:54">
      <c r="D2656" s="806"/>
      <c r="F2656" s="806"/>
      <c r="W2656" s="806"/>
      <c r="AZ2656" s="806"/>
      <c r="BA2656" s="806"/>
      <c r="BB2656" s="806"/>
    </row>
    <row r="2657" spans="4:54">
      <c r="D2657" s="806"/>
      <c r="F2657" s="806"/>
      <c r="W2657" s="806"/>
      <c r="AZ2657" s="806"/>
      <c r="BA2657" s="806"/>
      <c r="BB2657" s="806"/>
    </row>
    <row r="2658" spans="4:54">
      <c r="D2658" s="806"/>
      <c r="F2658" s="806"/>
      <c r="W2658" s="806"/>
      <c r="AZ2658" s="806"/>
      <c r="BA2658" s="806"/>
      <c r="BB2658" s="806"/>
    </row>
    <row r="2659" spans="4:54">
      <c r="D2659" s="806"/>
      <c r="F2659" s="806"/>
      <c r="W2659" s="806"/>
      <c r="AZ2659" s="806"/>
      <c r="BA2659" s="806"/>
      <c r="BB2659" s="806"/>
    </row>
    <row r="2660" spans="4:54">
      <c r="D2660" s="806"/>
      <c r="F2660" s="806"/>
      <c r="W2660" s="806"/>
      <c r="AZ2660" s="806"/>
      <c r="BA2660" s="806"/>
      <c r="BB2660" s="806"/>
    </row>
    <row r="2661" spans="4:54">
      <c r="D2661" s="806"/>
      <c r="F2661" s="806"/>
      <c r="W2661" s="806"/>
      <c r="AZ2661" s="806"/>
      <c r="BA2661" s="806"/>
      <c r="BB2661" s="806"/>
    </row>
    <row r="2662" spans="4:54">
      <c r="D2662" s="806"/>
      <c r="F2662" s="806"/>
      <c r="W2662" s="806"/>
      <c r="AZ2662" s="806"/>
      <c r="BA2662" s="806"/>
      <c r="BB2662" s="806"/>
    </row>
    <row r="2663" spans="4:54">
      <c r="D2663" s="806"/>
      <c r="F2663" s="806"/>
      <c r="W2663" s="806"/>
      <c r="AZ2663" s="806"/>
      <c r="BA2663" s="806"/>
      <c r="BB2663" s="806"/>
    </row>
    <row r="2664" spans="4:54">
      <c r="D2664" s="806"/>
      <c r="F2664" s="806"/>
      <c r="W2664" s="806"/>
      <c r="AZ2664" s="806"/>
      <c r="BA2664" s="806"/>
      <c r="BB2664" s="806"/>
    </row>
    <row r="2665" spans="4:54">
      <c r="D2665" s="806"/>
      <c r="F2665" s="806"/>
      <c r="W2665" s="806"/>
      <c r="AZ2665" s="806"/>
      <c r="BA2665" s="806"/>
      <c r="BB2665" s="806"/>
    </row>
    <row r="2666" spans="4:54">
      <c r="D2666" s="806"/>
      <c r="F2666" s="806"/>
      <c r="W2666" s="806"/>
      <c r="AZ2666" s="806"/>
      <c r="BA2666" s="806"/>
      <c r="BB2666" s="806"/>
    </row>
    <row r="2667" spans="4:54">
      <c r="D2667" s="806"/>
      <c r="F2667" s="806"/>
      <c r="W2667" s="806"/>
      <c r="AZ2667" s="806"/>
      <c r="BA2667" s="806"/>
      <c r="BB2667" s="806"/>
    </row>
    <row r="2668" spans="4:54">
      <c r="D2668" s="806"/>
      <c r="F2668" s="806"/>
      <c r="W2668" s="806"/>
      <c r="AZ2668" s="806"/>
      <c r="BA2668" s="806"/>
      <c r="BB2668" s="806"/>
    </row>
    <row r="2669" spans="4:54">
      <c r="D2669" s="806"/>
      <c r="F2669" s="806"/>
      <c r="W2669" s="806"/>
      <c r="AZ2669" s="806"/>
      <c r="BA2669" s="806"/>
      <c r="BB2669" s="806"/>
    </row>
    <row r="2670" spans="4:54">
      <c r="D2670" s="806"/>
      <c r="F2670" s="806"/>
      <c r="W2670" s="806"/>
      <c r="AZ2670" s="806"/>
      <c r="BA2670" s="806"/>
      <c r="BB2670" s="806"/>
    </row>
    <row r="2671" spans="4:54">
      <c r="D2671" s="806"/>
      <c r="F2671" s="806"/>
      <c r="W2671" s="806"/>
      <c r="AZ2671" s="806"/>
      <c r="BA2671" s="806"/>
      <c r="BB2671" s="806"/>
    </row>
    <row r="2672" spans="4:54">
      <c r="D2672" s="806"/>
      <c r="F2672" s="806"/>
      <c r="W2672" s="806"/>
      <c r="AZ2672" s="806"/>
      <c r="BA2672" s="806"/>
      <c r="BB2672" s="806"/>
    </row>
    <row r="2673" spans="4:54">
      <c r="D2673" s="806"/>
      <c r="F2673" s="806"/>
      <c r="W2673" s="806"/>
      <c r="AZ2673" s="806"/>
      <c r="BA2673" s="806"/>
      <c r="BB2673" s="806"/>
    </row>
    <row r="2674" spans="4:54">
      <c r="D2674" s="806"/>
      <c r="F2674" s="806"/>
      <c r="W2674" s="806"/>
      <c r="AZ2674" s="806"/>
      <c r="BA2674" s="806"/>
      <c r="BB2674" s="806"/>
    </row>
    <row r="2675" spans="4:54">
      <c r="D2675" s="806"/>
      <c r="F2675" s="806"/>
      <c r="W2675" s="806"/>
      <c r="AZ2675" s="806"/>
      <c r="BA2675" s="806"/>
      <c r="BB2675" s="806"/>
    </row>
    <row r="2676" spans="4:54">
      <c r="D2676" s="806"/>
      <c r="F2676" s="806"/>
      <c r="W2676" s="806"/>
      <c r="AZ2676" s="806"/>
      <c r="BA2676" s="806"/>
      <c r="BB2676" s="806"/>
    </row>
    <row r="2677" spans="4:54">
      <c r="D2677" s="806"/>
      <c r="F2677" s="806"/>
      <c r="W2677" s="806"/>
      <c r="AZ2677" s="806"/>
      <c r="BA2677" s="806"/>
      <c r="BB2677" s="806"/>
    </row>
    <row r="2678" spans="4:54">
      <c r="D2678" s="806"/>
      <c r="F2678" s="806"/>
      <c r="W2678" s="806"/>
      <c r="AZ2678" s="806"/>
      <c r="BA2678" s="806"/>
      <c r="BB2678" s="806"/>
    </row>
    <row r="2679" spans="4:54">
      <c r="D2679" s="806"/>
      <c r="F2679" s="806"/>
      <c r="W2679" s="806"/>
      <c r="AZ2679" s="806"/>
      <c r="BA2679" s="806"/>
      <c r="BB2679" s="806"/>
    </row>
    <row r="2680" spans="4:54">
      <c r="D2680" s="806"/>
      <c r="F2680" s="806"/>
      <c r="W2680" s="806"/>
      <c r="AZ2680" s="806"/>
      <c r="BA2680" s="806"/>
      <c r="BB2680" s="806"/>
    </row>
    <row r="2681" spans="4:54">
      <c r="D2681" s="806"/>
      <c r="F2681" s="806"/>
      <c r="W2681" s="806"/>
      <c r="AZ2681" s="806"/>
      <c r="BA2681" s="806"/>
      <c r="BB2681" s="806"/>
    </row>
    <row r="2682" spans="4:54">
      <c r="D2682" s="806"/>
      <c r="F2682" s="806"/>
      <c r="W2682" s="806"/>
      <c r="AZ2682" s="806"/>
      <c r="BA2682" s="806"/>
      <c r="BB2682" s="806"/>
    </row>
    <row r="2683" spans="4:54">
      <c r="D2683" s="806"/>
      <c r="F2683" s="806"/>
      <c r="W2683" s="806"/>
      <c r="AZ2683" s="806"/>
      <c r="BA2683" s="806"/>
      <c r="BB2683" s="806"/>
    </row>
    <row r="2684" spans="4:54">
      <c r="D2684" s="806"/>
      <c r="F2684" s="806"/>
      <c r="W2684" s="806"/>
      <c r="AZ2684" s="806"/>
      <c r="BA2684" s="806"/>
      <c r="BB2684" s="806"/>
    </row>
    <row r="2685" spans="4:54">
      <c r="D2685" s="806"/>
      <c r="F2685" s="806"/>
      <c r="W2685" s="806"/>
      <c r="AZ2685" s="806"/>
      <c r="BA2685" s="806"/>
      <c r="BB2685" s="806"/>
    </row>
    <row r="2686" spans="4:54">
      <c r="D2686" s="806"/>
      <c r="F2686" s="806"/>
      <c r="W2686" s="806"/>
      <c r="AZ2686" s="806"/>
      <c r="BA2686" s="806"/>
      <c r="BB2686" s="806"/>
    </row>
    <row r="2687" spans="4:54">
      <c r="D2687" s="806"/>
      <c r="F2687" s="806"/>
      <c r="W2687" s="806"/>
      <c r="AZ2687" s="806"/>
      <c r="BA2687" s="806"/>
      <c r="BB2687" s="806"/>
    </row>
    <row r="2688" spans="4:54">
      <c r="D2688" s="806"/>
      <c r="F2688" s="806"/>
      <c r="W2688" s="806"/>
      <c r="AZ2688" s="806"/>
      <c r="BA2688" s="806"/>
      <c r="BB2688" s="806"/>
    </row>
    <row r="2689" spans="4:54">
      <c r="D2689" s="806"/>
      <c r="F2689" s="806"/>
      <c r="W2689" s="806"/>
      <c r="AZ2689" s="806"/>
      <c r="BA2689" s="806"/>
      <c r="BB2689" s="806"/>
    </row>
    <row r="2690" spans="4:54">
      <c r="D2690" s="806"/>
      <c r="F2690" s="806"/>
      <c r="W2690" s="806"/>
      <c r="AZ2690" s="806"/>
      <c r="BA2690" s="806"/>
      <c r="BB2690" s="806"/>
    </row>
    <row r="2691" spans="4:54">
      <c r="D2691" s="806"/>
      <c r="F2691" s="806"/>
      <c r="W2691" s="806"/>
      <c r="AZ2691" s="806"/>
      <c r="BA2691" s="806"/>
      <c r="BB2691" s="806"/>
    </row>
    <row r="2692" spans="4:54">
      <c r="D2692" s="806"/>
      <c r="F2692" s="806"/>
      <c r="W2692" s="806"/>
      <c r="AZ2692" s="806"/>
      <c r="BA2692" s="806"/>
      <c r="BB2692" s="806"/>
    </row>
    <row r="2693" spans="4:54">
      <c r="D2693" s="806"/>
      <c r="F2693" s="806"/>
      <c r="W2693" s="806"/>
      <c r="AZ2693" s="806"/>
      <c r="BA2693" s="806"/>
      <c r="BB2693" s="806"/>
    </row>
    <row r="2694" spans="4:54">
      <c r="D2694" s="806"/>
      <c r="F2694" s="806"/>
      <c r="W2694" s="806"/>
      <c r="AZ2694" s="806"/>
      <c r="BA2694" s="806"/>
      <c r="BB2694" s="806"/>
    </row>
    <row r="2695" spans="4:54">
      <c r="D2695" s="806"/>
      <c r="F2695" s="806"/>
      <c r="W2695" s="806"/>
      <c r="AZ2695" s="806"/>
      <c r="BA2695" s="806"/>
      <c r="BB2695" s="806"/>
    </row>
    <row r="2696" spans="4:54">
      <c r="D2696" s="806"/>
      <c r="F2696" s="806"/>
      <c r="W2696" s="806"/>
      <c r="AZ2696" s="806"/>
      <c r="BA2696" s="806"/>
      <c r="BB2696" s="806"/>
    </row>
    <row r="2697" spans="4:54">
      <c r="D2697" s="806"/>
      <c r="F2697" s="806"/>
      <c r="W2697" s="806"/>
      <c r="AZ2697" s="806"/>
      <c r="BA2697" s="806"/>
      <c r="BB2697" s="806"/>
    </row>
    <row r="2698" spans="4:54">
      <c r="D2698" s="806"/>
      <c r="F2698" s="806"/>
      <c r="W2698" s="806"/>
      <c r="AZ2698" s="806"/>
      <c r="BA2698" s="806"/>
      <c r="BB2698" s="806"/>
    </row>
    <row r="2699" spans="4:54">
      <c r="D2699" s="806"/>
      <c r="F2699" s="806"/>
      <c r="W2699" s="806"/>
      <c r="AZ2699" s="806"/>
      <c r="BA2699" s="806"/>
      <c r="BB2699" s="806"/>
    </row>
    <row r="2700" spans="4:54">
      <c r="D2700" s="806"/>
      <c r="F2700" s="806"/>
      <c r="W2700" s="806"/>
      <c r="AZ2700" s="806"/>
      <c r="BA2700" s="806"/>
      <c r="BB2700" s="806"/>
    </row>
    <row r="2701" spans="4:54">
      <c r="D2701" s="806"/>
      <c r="F2701" s="806"/>
      <c r="W2701" s="806"/>
      <c r="AZ2701" s="806"/>
      <c r="BA2701" s="806"/>
      <c r="BB2701" s="806"/>
    </row>
    <row r="2702" spans="4:54">
      <c r="D2702" s="806"/>
      <c r="F2702" s="806"/>
      <c r="W2702" s="806"/>
      <c r="AZ2702" s="806"/>
      <c r="BA2702" s="806"/>
      <c r="BB2702" s="806"/>
    </row>
    <row r="2703" spans="4:54">
      <c r="D2703" s="806"/>
      <c r="F2703" s="806"/>
      <c r="W2703" s="806"/>
      <c r="AZ2703" s="806"/>
      <c r="BA2703" s="806"/>
      <c r="BB2703" s="806"/>
    </row>
    <row r="2704" spans="4:54">
      <c r="D2704" s="806"/>
      <c r="F2704" s="806"/>
      <c r="W2704" s="806"/>
      <c r="AZ2704" s="806"/>
      <c r="BA2704" s="806"/>
      <c r="BB2704" s="806"/>
    </row>
    <row r="2705" spans="4:54">
      <c r="D2705" s="806"/>
      <c r="F2705" s="806"/>
      <c r="W2705" s="806"/>
      <c r="AZ2705" s="806"/>
      <c r="BA2705" s="806"/>
      <c r="BB2705" s="806"/>
    </row>
    <row r="2706" spans="4:54">
      <c r="D2706" s="806"/>
      <c r="F2706" s="806"/>
      <c r="W2706" s="806"/>
      <c r="AZ2706" s="806"/>
      <c r="BA2706" s="806"/>
      <c r="BB2706" s="806"/>
    </row>
    <row r="2707" spans="4:54">
      <c r="D2707" s="806"/>
      <c r="F2707" s="806"/>
      <c r="W2707" s="806"/>
      <c r="AZ2707" s="806"/>
      <c r="BA2707" s="806"/>
      <c r="BB2707" s="806"/>
    </row>
    <row r="2708" spans="4:54">
      <c r="D2708" s="806"/>
      <c r="F2708" s="806"/>
      <c r="W2708" s="806"/>
      <c r="AZ2708" s="806"/>
      <c r="BA2708" s="806"/>
      <c r="BB2708" s="806"/>
    </row>
    <row r="2709" spans="4:54">
      <c r="D2709" s="806"/>
      <c r="F2709" s="806"/>
      <c r="W2709" s="806"/>
      <c r="AZ2709" s="806"/>
      <c r="BA2709" s="806"/>
      <c r="BB2709" s="806"/>
    </row>
    <row r="2710" spans="4:54">
      <c r="D2710" s="806"/>
      <c r="F2710" s="806"/>
      <c r="W2710" s="806"/>
      <c r="AZ2710" s="806"/>
      <c r="BA2710" s="806"/>
      <c r="BB2710" s="806"/>
    </row>
    <row r="2711" spans="4:54">
      <c r="D2711" s="806"/>
      <c r="F2711" s="806"/>
      <c r="W2711" s="806"/>
      <c r="AZ2711" s="806"/>
      <c r="BA2711" s="806"/>
      <c r="BB2711" s="806"/>
    </row>
    <row r="2712" spans="4:54">
      <c r="D2712" s="806"/>
      <c r="F2712" s="806"/>
      <c r="W2712" s="806"/>
      <c r="AZ2712" s="806"/>
      <c r="BA2712" s="806"/>
      <c r="BB2712" s="806"/>
    </row>
    <row r="2713" spans="4:54">
      <c r="D2713" s="806"/>
      <c r="F2713" s="806"/>
      <c r="W2713" s="806"/>
      <c r="AZ2713" s="806"/>
      <c r="BA2713" s="806"/>
      <c r="BB2713" s="806"/>
    </row>
    <row r="2714" spans="4:54">
      <c r="D2714" s="806"/>
      <c r="F2714" s="806"/>
      <c r="W2714" s="806"/>
      <c r="AZ2714" s="806"/>
      <c r="BA2714" s="806"/>
      <c r="BB2714" s="806"/>
    </row>
    <row r="2715" spans="4:54">
      <c r="D2715" s="806"/>
      <c r="F2715" s="806"/>
      <c r="W2715" s="806"/>
      <c r="AZ2715" s="806"/>
      <c r="BA2715" s="806"/>
      <c r="BB2715" s="806"/>
    </row>
    <row r="2716" spans="4:54">
      <c r="D2716" s="806"/>
      <c r="F2716" s="806"/>
      <c r="W2716" s="806"/>
      <c r="AZ2716" s="806"/>
      <c r="BA2716" s="806"/>
      <c r="BB2716" s="806"/>
    </row>
    <row r="2717" spans="4:54">
      <c r="D2717" s="806"/>
      <c r="F2717" s="806"/>
      <c r="W2717" s="806"/>
      <c r="AZ2717" s="806"/>
      <c r="BA2717" s="806"/>
      <c r="BB2717" s="806"/>
    </row>
    <row r="2718" spans="4:54">
      <c r="D2718" s="806"/>
      <c r="F2718" s="806"/>
      <c r="W2718" s="806"/>
      <c r="AZ2718" s="806"/>
      <c r="BA2718" s="806"/>
      <c r="BB2718" s="806"/>
    </row>
    <row r="2719" spans="4:54">
      <c r="D2719" s="806"/>
      <c r="F2719" s="806"/>
      <c r="W2719" s="806"/>
      <c r="AZ2719" s="806"/>
      <c r="BA2719" s="806"/>
      <c r="BB2719" s="806"/>
    </row>
    <row r="2720" spans="4:54">
      <c r="D2720" s="806"/>
      <c r="F2720" s="806"/>
      <c r="W2720" s="806"/>
      <c r="AZ2720" s="806"/>
      <c r="BA2720" s="806"/>
      <c r="BB2720" s="806"/>
    </row>
    <row r="2721" spans="4:54">
      <c r="D2721" s="806"/>
      <c r="F2721" s="806"/>
      <c r="W2721" s="806"/>
      <c r="AZ2721" s="806"/>
      <c r="BA2721" s="806"/>
      <c r="BB2721" s="806"/>
    </row>
    <row r="2722" spans="4:54">
      <c r="D2722" s="806"/>
      <c r="F2722" s="806"/>
      <c r="W2722" s="806"/>
      <c r="AZ2722" s="806"/>
      <c r="BA2722" s="806"/>
      <c r="BB2722" s="806"/>
    </row>
    <row r="2723" spans="4:54">
      <c r="D2723" s="806"/>
      <c r="F2723" s="806"/>
      <c r="W2723" s="806"/>
      <c r="AZ2723" s="806"/>
      <c r="BA2723" s="806"/>
      <c r="BB2723" s="806"/>
    </row>
    <row r="2724" spans="4:54">
      <c r="D2724" s="806"/>
      <c r="F2724" s="806"/>
      <c r="W2724" s="806"/>
      <c r="AZ2724" s="806"/>
      <c r="BA2724" s="806"/>
      <c r="BB2724" s="806"/>
    </row>
    <row r="2725" spans="4:54">
      <c r="D2725" s="806"/>
      <c r="F2725" s="806"/>
      <c r="W2725" s="806"/>
      <c r="AZ2725" s="806"/>
      <c r="BA2725" s="806"/>
      <c r="BB2725" s="806"/>
    </row>
    <row r="2726" spans="4:54">
      <c r="D2726" s="806"/>
      <c r="F2726" s="806"/>
      <c r="W2726" s="806"/>
      <c r="AZ2726" s="806"/>
      <c r="BA2726" s="806"/>
      <c r="BB2726" s="806"/>
    </row>
    <row r="2727" spans="4:54">
      <c r="D2727" s="806"/>
      <c r="F2727" s="806"/>
      <c r="W2727" s="806"/>
      <c r="AZ2727" s="806"/>
      <c r="BA2727" s="806"/>
      <c r="BB2727" s="806"/>
    </row>
    <row r="2728" spans="4:54">
      <c r="D2728" s="806"/>
      <c r="F2728" s="806"/>
      <c r="W2728" s="806"/>
      <c r="AZ2728" s="806"/>
      <c r="BA2728" s="806"/>
      <c r="BB2728" s="806"/>
    </row>
    <row r="2729" spans="4:54">
      <c r="D2729" s="806"/>
      <c r="F2729" s="806"/>
      <c r="W2729" s="806"/>
      <c r="AZ2729" s="806"/>
      <c r="BA2729" s="806"/>
      <c r="BB2729" s="806"/>
    </row>
    <row r="2730" spans="4:54">
      <c r="D2730" s="806"/>
      <c r="F2730" s="806"/>
      <c r="W2730" s="806"/>
      <c r="AZ2730" s="806"/>
      <c r="BA2730" s="806"/>
      <c r="BB2730" s="806"/>
    </row>
    <row r="2731" spans="4:54">
      <c r="D2731" s="806"/>
      <c r="F2731" s="806"/>
      <c r="W2731" s="806"/>
      <c r="AZ2731" s="806"/>
      <c r="BA2731" s="806"/>
      <c r="BB2731" s="806"/>
    </row>
    <row r="2732" spans="4:54">
      <c r="D2732" s="806"/>
      <c r="F2732" s="806"/>
      <c r="W2732" s="806"/>
      <c r="AZ2732" s="806"/>
      <c r="BA2732" s="806"/>
      <c r="BB2732" s="806"/>
    </row>
    <row r="2733" spans="4:54">
      <c r="D2733" s="806"/>
      <c r="F2733" s="806"/>
      <c r="W2733" s="806"/>
      <c r="AZ2733" s="806"/>
      <c r="BA2733" s="806"/>
      <c r="BB2733" s="806"/>
    </row>
    <row r="2734" spans="4:54">
      <c r="D2734" s="806"/>
      <c r="F2734" s="806"/>
      <c r="W2734" s="806"/>
      <c r="AZ2734" s="806"/>
      <c r="BA2734" s="806"/>
      <c r="BB2734" s="806"/>
    </row>
    <row r="2735" spans="4:54">
      <c r="D2735" s="806"/>
      <c r="F2735" s="806"/>
      <c r="W2735" s="806"/>
      <c r="AZ2735" s="806"/>
      <c r="BA2735" s="806"/>
      <c r="BB2735" s="806"/>
    </row>
    <row r="2736" spans="4:54">
      <c r="D2736" s="806"/>
      <c r="F2736" s="806"/>
      <c r="W2736" s="806"/>
      <c r="AZ2736" s="806"/>
      <c r="BA2736" s="806"/>
      <c r="BB2736" s="806"/>
    </row>
    <row r="2737" spans="4:54">
      <c r="D2737" s="806"/>
      <c r="F2737" s="806"/>
      <c r="W2737" s="806"/>
      <c r="AZ2737" s="806"/>
      <c r="BA2737" s="806"/>
      <c r="BB2737" s="806"/>
    </row>
    <row r="2738" spans="4:54">
      <c r="D2738" s="806"/>
      <c r="F2738" s="806"/>
      <c r="W2738" s="806"/>
      <c r="AZ2738" s="806"/>
      <c r="BA2738" s="806"/>
      <c r="BB2738" s="806"/>
    </row>
    <row r="2739" spans="4:54">
      <c r="D2739" s="806"/>
      <c r="F2739" s="806"/>
      <c r="W2739" s="806"/>
      <c r="AZ2739" s="806"/>
      <c r="BA2739" s="806"/>
      <c r="BB2739" s="806"/>
    </row>
    <row r="2740" spans="4:54">
      <c r="D2740" s="806"/>
      <c r="F2740" s="806"/>
      <c r="W2740" s="806"/>
      <c r="AZ2740" s="806"/>
      <c r="BA2740" s="806"/>
      <c r="BB2740" s="806"/>
    </row>
    <row r="2741" spans="4:54">
      <c r="D2741" s="806"/>
      <c r="F2741" s="806"/>
      <c r="W2741" s="806"/>
      <c r="AZ2741" s="806"/>
      <c r="BA2741" s="806"/>
      <c r="BB2741" s="806"/>
    </row>
    <row r="2742" spans="4:54">
      <c r="D2742" s="806"/>
      <c r="F2742" s="806"/>
      <c r="W2742" s="806"/>
      <c r="AZ2742" s="806"/>
      <c r="BA2742" s="806"/>
      <c r="BB2742" s="806"/>
    </row>
    <row r="2743" spans="4:54">
      <c r="D2743" s="806"/>
      <c r="F2743" s="806"/>
      <c r="W2743" s="806"/>
      <c r="AZ2743" s="806"/>
      <c r="BA2743" s="806"/>
      <c r="BB2743" s="806"/>
    </row>
    <row r="2744" spans="4:54">
      <c r="D2744" s="806"/>
      <c r="F2744" s="806"/>
      <c r="W2744" s="806"/>
      <c r="AZ2744" s="806"/>
      <c r="BA2744" s="806"/>
      <c r="BB2744" s="806"/>
    </row>
    <row r="2745" spans="4:54">
      <c r="D2745" s="806"/>
      <c r="F2745" s="806"/>
      <c r="W2745" s="806"/>
      <c r="AZ2745" s="806"/>
      <c r="BA2745" s="806"/>
      <c r="BB2745" s="806"/>
    </row>
    <row r="2746" spans="4:54">
      <c r="D2746" s="806"/>
      <c r="F2746" s="806"/>
      <c r="W2746" s="806"/>
      <c r="AZ2746" s="806"/>
      <c r="BA2746" s="806"/>
      <c r="BB2746" s="806"/>
    </row>
    <row r="2747" spans="4:54">
      <c r="D2747" s="806"/>
      <c r="F2747" s="806"/>
      <c r="W2747" s="806"/>
      <c r="AZ2747" s="806"/>
      <c r="BA2747" s="806"/>
      <c r="BB2747" s="806"/>
    </row>
    <row r="2748" spans="4:54">
      <c r="D2748" s="806"/>
      <c r="F2748" s="806"/>
      <c r="W2748" s="806"/>
      <c r="AZ2748" s="806"/>
      <c r="BA2748" s="806"/>
      <c r="BB2748" s="806"/>
    </row>
    <row r="2749" spans="4:54">
      <c r="D2749" s="806"/>
      <c r="F2749" s="806"/>
      <c r="W2749" s="806"/>
      <c r="AZ2749" s="806"/>
      <c r="BA2749" s="806"/>
      <c r="BB2749" s="806"/>
    </row>
    <row r="2750" spans="4:54">
      <c r="D2750" s="806"/>
      <c r="F2750" s="806"/>
      <c r="W2750" s="806"/>
      <c r="AZ2750" s="806"/>
      <c r="BA2750" s="806"/>
      <c r="BB2750" s="806"/>
    </row>
    <row r="2751" spans="4:54">
      <c r="D2751" s="806"/>
      <c r="F2751" s="806"/>
      <c r="W2751" s="806"/>
      <c r="AZ2751" s="806"/>
      <c r="BA2751" s="806"/>
      <c r="BB2751" s="806"/>
    </row>
    <row r="2752" spans="4:54">
      <c r="D2752" s="806"/>
      <c r="F2752" s="806"/>
      <c r="W2752" s="806"/>
      <c r="AZ2752" s="806"/>
      <c r="BA2752" s="806"/>
      <c r="BB2752" s="806"/>
    </row>
    <row r="2753" spans="4:54">
      <c r="D2753" s="806"/>
      <c r="F2753" s="806"/>
      <c r="W2753" s="806"/>
      <c r="AZ2753" s="806"/>
      <c r="BA2753" s="806"/>
      <c r="BB2753" s="806"/>
    </row>
    <row r="2754" spans="4:54">
      <c r="D2754" s="806"/>
      <c r="F2754" s="806"/>
      <c r="W2754" s="806"/>
      <c r="AZ2754" s="806"/>
      <c r="BA2754" s="806"/>
      <c r="BB2754" s="806"/>
    </row>
    <row r="2755" spans="4:54">
      <c r="D2755" s="806"/>
      <c r="F2755" s="806"/>
      <c r="W2755" s="806"/>
      <c r="AZ2755" s="806"/>
      <c r="BA2755" s="806"/>
      <c r="BB2755" s="806"/>
    </row>
    <row r="2756" spans="4:54">
      <c r="D2756" s="806"/>
      <c r="F2756" s="806"/>
      <c r="W2756" s="806"/>
      <c r="AZ2756" s="806"/>
      <c r="BA2756" s="806"/>
      <c r="BB2756" s="806"/>
    </row>
    <row r="2757" spans="4:54">
      <c r="D2757" s="806"/>
      <c r="F2757" s="806"/>
      <c r="W2757" s="806"/>
      <c r="AZ2757" s="806"/>
      <c r="BA2757" s="806"/>
      <c r="BB2757" s="806"/>
    </row>
    <row r="2758" spans="4:54">
      <c r="D2758" s="806"/>
      <c r="F2758" s="806"/>
      <c r="W2758" s="806"/>
      <c r="AZ2758" s="806"/>
      <c r="BA2758" s="806"/>
      <c r="BB2758" s="806"/>
    </row>
    <row r="2759" spans="4:54">
      <c r="D2759" s="806"/>
      <c r="F2759" s="806"/>
      <c r="W2759" s="806"/>
      <c r="AZ2759" s="806"/>
      <c r="BA2759" s="806"/>
      <c r="BB2759" s="806"/>
    </row>
    <row r="2760" spans="4:54">
      <c r="D2760" s="806"/>
      <c r="F2760" s="806"/>
      <c r="W2760" s="806"/>
      <c r="AZ2760" s="806"/>
      <c r="BA2760" s="806"/>
      <c r="BB2760" s="806"/>
    </row>
    <row r="2761" spans="4:54">
      <c r="D2761" s="806"/>
      <c r="F2761" s="806"/>
      <c r="W2761" s="806"/>
      <c r="AZ2761" s="806"/>
      <c r="BA2761" s="806"/>
      <c r="BB2761" s="806"/>
    </row>
    <row r="2762" spans="4:54">
      <c r="D2762" s="806"/>
      <c r="F2762" s="806"/>
      <c r="W2762" s="806"/>
      <c r="AZ2762" s="806"/>
      <c r="BA2762" s="806"/>
      <c r="BB2762" s="806"/>
    </row>
    <row r="2763" spans="4:54">
      <c r="D2763" s="806"/>
      <c r="F2763" s="806"/>
      <c r="W2763" s="806"/>
      <c r="AZ2763" s="806"/>
      <c r="BA2763" s="806"/>
      <c r="BB2763" s="806"/>
    </row>
    <row r="2764" spans="4:54">
      <c r="D2764" s="806"/>
      <c r="F2764" s="806"/>
      <c r="W2764" s="806"/>
      <c r="AZ2764" s="806"/>
      <c r="BA2764" s="806"/>
      <c r="BB2764" s="806"/>
    </row>
    <row r="2765" spans="4:54">
      <c r="D2765" s="806"/>
      <c r="F2765" s="806"/>
      <c r="W2765" s="806"/>
      <c r="AZ2765" s="806"/>
      <c r="BA2765" s="806"/>
      <c r="BB2765" s="806"/>
    </row>
    <row r="2766" spans="4:54">
      <c r="D2766" s="806"/>
      <c r="F2766" s="806"/>
      <c r="W2766" s="806"/>
      <c r="AZ2766" s="806"/>
      <c r="BA2766" s="806"/>
      <c r="BB2766" s="806"/>
    </row>
    <row r="2767" spans="4:54">
      <c r="D2767" s="806"/>
      <c r="F2767" s="806"/>
      <c r="W2767" s="806"/>
      <c r="AZ2767" s="806"/>
      <c r="BA2767" s="806"/>
      <c r="BB2767" s="806"/>
    </row>
    <row r="2768" spans="4:54">
      <c r="D2768" s="806"/>
      <c r="F2768" s="806"/>
      <c r="W2768" s="806"/>
      <c r="AZ2768" s="806"/>
      <c r="BA2768" s="806"/>
      <c r="BB2768" s="806"/>
    </row>
    <row r="2769" spans="4:54">
      <c r="D2769" s="806"/>
      <c r="F2769" s="806"/>
      <c r="W2769" s="806"/>
      <c r="AZ2769" s="806"/>
      <c r="BA2769" s="806"/>
      <c r="BB2769" s="806"/>
    </row>
    <row r="2770" spans="4:54">
      <c r="D2770" s="806"/>
      <c r="F2770" s="806"/>
      <c r="W2770" s="806"/>
      <c r="AZ2770" s="806"/>
      <c r="BA2770" s="806"/>
      <c r="BB2770" s="806"/>
    </row>
    <row r="2771" spans="4:54">
      <c r="D2771" s="806"/>
      <c r="F2771" s="806"/>
      <c r="W2771" s="806"/>
      <c r="AZ2771" s="806"/>
      <c r="BA2771" s="806"/>
      <c r="BB2771" s="806"/>
    </row>
    <row r="2772" spans="4:54">
      <c r="D2772" s="806"/>
      <c r="F2772" s="806"/>
      <c r="W2772" s="806"/>
      <c r="AZ2772" s="806"/>
      <c r="BA2772" s="806"/>
      <c r="BB2772" s="806"/>
    </row>
    <row r="2773" spans="4:54">
      <c r="D2773" s="806"/>
      <c r="F2773" s="806"/>
      <c r="W2773" s="806"/>
      <c r="AZ2773" s="806"/>
      <c r="BA2773" s="806"/>
      <c r="BB2773" s="806"/>
    </row>
    <row r="2774" spans="4:54">
      <c r="D2774" s="806"/>
      <c r="F2774" s="806"/>
      <c r="W2774" s="806"/>
      <c r="AZ2774" s="806"/>
      <c r="BA2774" s="806"/>
      <c r="BB2774" s="806"/>
    </row>
    <row r="2775" spans="4:54">
      <c r="D2775" s="806"/>
      <c r="F2775" s="806"/>
      <c r="W2775" s="806"/>
      <c r="AZ2775" s="806"/>
      <c r="BA2775" s="806"/>
      <c r="BB2775" s="806"/>
    </row>
    <row r="2776" spans="4:54">
      <c r="D2776" s="806"/>
      <c r="F2776" s="806"/>
      <c r="W2776" s="806"/>
      <c r="AZ2776" s="806"/>
      <c r="BA2776" s="806"/>
      <c r="BB2776" s="806"/>
    </row>
    <row r="2777" spans="4:54">
      <c r="D2777" s="806"/>
      <c r="F2777" s="806"/>
      <c r="W2777" s="806"/>
      <c r="AZ2777" s="806"/>
      <c r="BA2777" s="806"/>
      <c r="BB2777" s="806"/>
    </row>
    <row r="2778" spans="4:54">
      <c r="D2778" s="806"/>
      <c r="F2778" s="806"/>
      <c r="W2778" s="806"/>
      <c r="AZ2778" s="806"/>
      <c r="BA2778" s="806"/>
      <c r="BB2778" s="806"/>
    </row>
    <row r="2779" spans="4:54">
      <c r="D2779" s="806"/>
      <c r="F2779" s="806"/>
      <c r="W2779" s="806"/>
      <c r="AZ2779" s="806"/>
      <c r="BA2779" s="806"/>
      <c r="BB2779" s="806"/>
    </row>
    <row r="2780" spans="4:54">
      <c r="D2780" s="806"/>
      <c r="F2780" s="806"/>
      <c r="W2780" s="806"/>
      <c r="AZ2780" s="806"/>
      <c r="BA2780" s="806"/>
      <c r="BB2780" s="806"/>
    </row>
    <row r="2781" spans="4:54">
      <c r="D2781" s="806"/>
      <c r="F2781" s="806"/>
      <c r="W2781" s="806"/>
      <c r="AZ2781" s="806"/>
      <c r="BA2781" s="806"/>
      <c r="BB2781" s="806"/>
    </row>
    <row r="2782" spans="4:54">
      <c r="D2782" s="806"/>
      <c r="F2782" s="806"/>
      <c r="W2782" s="806"/>
      <c r="AZ2782" s="806"/>
      <c r="BA2782" s="806"/>
      <c r="BB2782" s="806"/>
    </row>
    <row r="2783" spans="4:54">
      <c r="D2783" s="806"/>
      <c r="F2783" s="806"/>
      <c r="W2783" s="806"/>
      <c r="AZ2783" s="806"/>
      <c r="BA2783" s="806"/>
      <c r="BB2783" s="806"/>
    </row>
    <row r="2784" spans="4:54">
      <c r="D2784" s="806"/>
      <c r="F2784" s="806"/>
      <c r="W2784" s="806"/>
      <c r="AZ2784" s="806"/>
      <c r="BA2784" s="806"/>
      <c r="BB2784" s="806"/>
    </row>
    <row r="2785" spans="4:54">
      <c r="D2785" s="806"/>
      <c r="F2785" s="806"/>
      <c r="W2785" s="806"/>
      <c r="AZ2785" s="806"/>
      <c r="BA2785" s="806"/>
      <c r="BB2785" s="806"/>
    </row>
    <row r="2786" spans="4:54">
      <c r="D2786" s="806"/>
      <c r="F2786" s="806"/>
      <c r="W2786" s="806"/>
      <c r="AZ2786" s="806"/>
      <c r="BA2786" s="806"/>
      <c r="BB2786" s="806"/>
    </row>
    <row r="2787" spans="4:54">
      <c r="D2787" s="806"/>
      <c r="F2787" s="806"/>
      <c r="W2787" s="806"/>
      <c r="AZ2787" s="806"/>
      <c r="BA2787" s="806"/>
      <c r="BB2787" s="806"/>
    </row>
    <row r="2788" spans="4:54">
      <c r="D2788" s="806"/>
      <c r="F2788" s="806"/>
      <c r="W2788" s="806"/>
      <c r="AZ2788" s="806"/>
      <c r="BA2788" s="806"/>
      <c r="BB2788" s="806"/>
    </row>
    <row r="2789" spans="4:54">
      <c r="D2789" s="806"/>
      <c r="F2789" s="806"/>
      <c r="W2789" s="806"/>
      <c r="AZ2789" s="806"/>
      <c r="BA2789" s="806"/>
      <c r="BB2789" s="806"/>
    </row>
    <row r="2790" spans="4:54">
      <c r="D2790" s="806"/>
      <c r="F2790" s="806"/>
      <c r="W2790" s="806"/>
      <c r="AZ2790" s="806"/>
      <c r="BA2790" s="806"/>
      <c r="BB2790" s="806"/>
    </row>
    <row r="2791" spans="4:54">
      <c r="D2791" s="806"/>
      <c r="F2791" s="806"/>
      <c r="W2791" s="806"/>
      <c r="AZ2791" s="806"/>
      <c r="BA2791" s="806"/>
      <c r="BB2791" s="806"/>
    </row>
    <row r="2792" spans="4:54">
      <c r="D2792" s="806"/>
      <c r="F2792" s="806"/>
      <c r="W2792" s="806"/>
      <c r="AZ2792" s="806"/>
      <c r="BA2792" s="806"/>
      <c r="BB2792" s="806"/>
    </row>
    <row r="2793" spans="4:54">
      <c r="D2793" s="806"/>
      <c r="F2793" s="806"/>
      <c r="W2793" s="806"/>
      <c r="AZ2793" s="806"/>
      <c r="BA2793" s="806"/>
      <c r="BB2793" s="806"/>
    </row>
    <row r="2794" spans="4:54">
      <c r="D2794" s="806"/>
      <c r="F2794" s="806"/>
      <c r="W2794" s="806"/>
      <c r="AZ2794" s="806"/>
      <c r="BA2794" s="806"/>
      <c r="BB2794" s="806"/>
    </row>
    <row r="2795" spans="4:54">
      <c r="D2795" s="806"/>
      <c r="F2795" s="806"/>
      <c r="W2795" s="806"/>
      <c r="AZ2795" s="806"/>
      <c r="BA2795" s="806"/>
      <c r="BB2795" s="806"/>
    </row>
    <row r="2796" spans="4:54">
      <c r="D2796" s="806"/>
      <c r="F2796" s="806"/>
      <c r="W2796" s="806"/>
      <c r="AZ2796" s="806"/>
      <c r="BA2796" s="806"/>
      <c r="BB2796" s="806"/>
    </row>
    <row r="2797" spans="4:54">
      <c r="D2797" s="806"/>
      <c r="F2797" s="806"/>
      <c r="W2797" s="806"/>
      <c r="AZ2797" s="806"/>
      <c r="BA2797" s="806"/>
      <c r="BB2797" s="806"/>
    </row>
    <row r="2798" spans="4:54">
      <c r="D2798" s="806"/>
      <c r="F2798" s="806"/>
      <c r="W2798" s="806"/>
      <c r="AZ2798" s="806"/>
      <c r="BA2798" s="806"/>
      <c r="BB2798" s="806"/>
    </row>
    <row r="2799" spans="4:54">
      <c r="D2799" s="806"/>
      <c r="F2799" s="806"/>
      <c r="W2799" s="806"/>
      <c r="AZ2799" s="806"/>
      <c r="BA2799" s="806"/>
      <c r="BB2799" s="806"/>
    </row>
    <row r="2800" spans="4:54">
      <c r="D2800" s="806"/>
      <c r="F2800" s="806"/>
      <c r="W2800" s="806"/>
      <c r="AZ2800" s="806"/>
      <c r="BA2800" s="806"/>
      <c r="BB2800" s="806"/>
    </row>
    <row r="2801" spans="4:54">
      <c r="D2801" s="806"/>
      <c r="F2801" s="806"/>
      <c r="W2801" s="806"/>
      <c r="AZ2801" s="806"/>
      <c r="BA2801" s="806"/>
      <c r="BB2801" s="806"/>
    </row>
    <row r="2802" spans="4:54">
      <c r="D2802" s="806"/>
      <c r="F2802" s="806"/>
      <c r="W2802" s="806"/>
      <c r="AZ2802" s="806"/>
      <c r="BA2802" s="806"/>
      <c r="BB2802" s="806"/>
    </row>
    <row r="2803" spans="4:54">
      <c r="D2803" s="806"/>
      <c r="F2803" s="806"/>
      <c r="W2803" s="806"/>
      <c r="AZ2803" s="806"/>
      <c r="BA2803" s="806"/>
      <c r="BB2803" s="806"/>
    </row>
    <row r="2804" spans="4:54">
      <c r="D2804" s="806"/>
      <c r="F2804" s="806"/>
      <c r="W2804" s="806"/>
      <c r="AZ2804" s="806"/>
      <c r="BA2804" s="806"/>
      <c r="BB2804" s="806"/>
    </row>
    <row r="2805" spans="4:54">
      <c r="D2805" s="806"/>
      <c r="F2805" s="806"/>
      <c r="W2805" s="806"/>
      <c r="AZ2805" s="806"/>
      <c r="BA2805" s="806"/>
      <c r="BB2805" s="806"/>
    </row>
    <row r="2806" spans="4:54">
      <c r="D2806" s="806"/>
      <c r="F2806" s="806"/>
      <c r="W2806" s="806"/>
      <c r="AZ2806" s="806"/>
      <c r="BA2806" s="806"/>
      <c r="BB2806" s="806"/>
    </row>
    <row r="2807" spans="4:54">
      <c r="D2807" s="806"/>
      <c r="F2807" s="806"/>
      <c r="W2807" s="806"/>
      <c r="AZ2807" s="806"/>
      <c r="BA2807" s="806"/>
      <c r="BB2807" s="806"/>
    </row>
    <row r="2808" spans="4:54">
      <c r="D2808" s="806"/>
      <c r="F2808" s="806"/>
      <c r="W2808" s="806"/>
      <c r="AZ2808" s="806"/>
      <c r="BA2808" s="806"/>
      <c r="BB2808" s="806"/>
    </row>
    <row r="2809" spans="4:54">
      <c r="D2809" s="806"/>
      <c r="F2809" s="806"/>
      <c r="W2809" s="806"/>
      <c r="AZ2809" s="806"/>
      <c r="BA2809" s="806"/>
      <c r="BB2809" s="806"/>
    </row>
    <row r="2810" spans="4:54">
      <c r="D2810" s="806"/>
      <c r="F2810" s="806"/>
      <c r="W2810" s="806"/>
      <c r="AZ2810" s="806"/>
      <c r="BA2810" s="806"/>
      <c r="BB2810" s="806"/>
    </row>
    <row r="2811" spans="4:54">
      <c r="D2811" s="806"/>
      <c r="F2811" s="806"/>
      <c r="W2811" s="806"/>
      <c r="AZ2811" s="806"/>
      <c r="BA2811" s="806"/>
      <c r="BB2811" s="806"/>
    </row>
    <row r="2812" spans="4:54">
      <c r="D2812" s="806"/>
      <c r="F2812" s="806"/>
      <c r="W2812" s="806"/>
      <c r="AZ2812" s="806"/>
      <c r="BA2812" s="806"/>
      <c r="BB2812" s="806"/>
    </row>
    <row r="2813" spans="4:54">
      <c r="D2813" s="806"/>
      <c r="F2813" s="806"/>
      <c r="W2813" s="806"/>
      <c r="AZ2813" s="806"/>
      <c r="BA2813" s="806"/>
      <c r="BB2813" s="806"/>
    </row>
    <row r="2814" spans="4:54">
      <c r="D2814" s="806"/>
      <c r="F2814" s="806"/>
      <c r="W2814" s="806"/>
      <c r="AZ2814" s="806"/>
      <c r="BA2814" s="806"/>
      <c r="BB2814" s="806"/>
    </row>
    <row r="2815" spans="4:54">
      <c r="D2815" s="806"/>
      <c r="F2815" s="806"/>
      <c r="W2815" s="806"/>
      <c r="AZ2815" s="806"/>
      <c r="BA2815" s="806"/>
      <c r="BB2815" s="806"/>
    </row>
    <row r="2816" spans="4:54">
      <c r="D2816" s="806"/>
      <c r="F2816" s="806"/>
      <c r="W2816" s="806"/>
      <c r="AZ2816" s="806"/>
      <c r="BA2816" s="806"/>
      <c r="BB2816" s="806"/>
    </row>
    <row r="2817" spans="4:54">
      <c r="D2817" s="806"/>
      <c r="F2817" s="806"/>
      <c r="W2817" s="806"/>
      <c r="AZ2817" s="806"/>
      <c r="BA2817" s="806"/>
      <c r="BB2817" s="806"/>
    </row>
    <row r="2818" spans="4:54">
      <c r="D2818" s="806"/>
      <c r="F2818" s="806"/>
      <c r="W2818" s="806"/>
      <c r="AZ2818" s="806"/>
      <c r="BA2818" s="806"/>
      <c r="BB2818" s="806"/>
    </row>
    <row r="2819" spans="4:54">
      <c r="D2819" s="806"/>
      <c r="F2819" s="806"/>
      <c r="W2819" s="806"/>
      <c r="AZ2819" s="806"/>
      <c r="BA2819" s="806"/>
      <c r="BB2819" s="806"/>
    </row>
    <row r="2820" spans="4:54">
      <c r="D2820" s="806"/>
      <c r="F2820" s="806"/>
      <c r="W2820" s="806"/>
      <c r="AZ2820" s="806"/>
      <c r="BA2820" s="806"/>
      <c r="BB2820" s="806"/>
    </row>
    <row r="2821" spans="4:54">
      <c r="D2821" s="806"/>
      <c r="F2821" s="806"/>
      <c r="W2821" s="806"/>
      <c r="AZ2821" s="806"/>
      <c r="BA2821" s="806"/>
      <c r="BB2821" s="806"/>
    </row>
    <row r="2822" spans="4:54">
      <c r="D2822" s="806"/>
      <c r="F2822" s="806"/>
      <c r="W2822" s="806"/>
      <c r="AZ2822" s="806"/>
      <c r="BA2822" s="806"/>
      <c r="BB2822" s="806"/>
    </row>
    <row r="2823" spans="4:54">
      <c r="D2823" s="806"/>
      <c r="F2823" s="806"/>
      <c r="W2823" s="806"/>
      <c r="AZ2823" s="806"/>
      <c r="BA2823" s="806"/>
      <c r="BB2823" s="806"/>
    </row>
    <row r="2824" spans="4:54">
      <c r="D2824" s="806"/>
      <c r="F2824" s="806"/>
      <c r="W2824" s="806"/>
      <c r="AZ2824" s="806"/>
      <c r="BA2824" s="806"/>
      <c r="BB2824" s="806"/>
    </row>
    <row r="2825" spans="4:54">
      <c r="D2825" s="806"/>
      <c r="F2825" s="806"/>
      <c r="W2825" s="806"/>
      <c r="AZ2825" s="806"/>
      <c r="BA2825" s="806"/>
      <c r="BB2825" s="806"/>
    </row>
    <row r="2826" spans="4:54">
      <c r="D2826" s="806"/>
      <c r="F2826" s="806"/>
      <c r="W2826" s="806"/>
      <c r="AZ2826" s="806"/>
      <c r="BA2826" s="806"/>
      <c r="BB2826" s="806"/>
    </row>
    <row r="2827" spans="4:54">
      <c r="D2827" s="806"/>
      <c r="F2827" s="806"/>
      <c r="W2827" s="806"/>
      <c r="AZ2827" s="806"/>
      <c r="BA2827" s="806"/>
      <c r="BB2827" s="806"/>
    </row>
    <row r="2828" spans="4:54">
      <c r="D2828" s="806"/>
      <c r="F2828" s="806"/>
      <c r="W2828" s="806"/>
      <c r="AZ2828" s="806"/>
      <c r="BA2828" s="806"/>
      <c r="BB2828" s="806"/>
    </row>
    <row r="2829" spans="4:54">
      <c r="D2829" s="806"/>
      <c r="F2829" s="806"/>
      <c r="W2829" s="806"/>
      <c r="AZ2829" s="806"/>
      <c r="BA2829" s="806"/>
      <c r="BB2829" s="806"/>
    </row>
    <row r="2830" spans="4:54">
      <c r="D2830" s="806"/>
      <c r="F2830" s="806"/>
      <c r="W2830" s="806"/>
      <c r="AZ2830" s="806"/>
      <c r="BA2830" s="806"/>
      <c r="BB2830" s="806"/>
    </row>
    <row r="2831" spans="4:54">
      <c r="D2831" s="806"/>
      <c r="F2831" s="806"/>
      <c r="W2831" s="806"/>
      <c r="AZ2831" s="806"/>
      <c r="BA2831" s="806"/>
      <c r="BB2831" s="806"/>
    </row>
    <row r="2832" spans="4:54">
      <c r="D2832" s="806"/>
      <c r="F2832" s="806"/>
      <c r="W2832" s="806"/>
      <c r="AZ2832" s="806"/>
      <c r="BA2832" s="806"/>
      <c r="BB2832" s="806"/>
    </row>
    <row r="2833" spans="4:54">
      <c r="D2833" s="806"/>
      <c r="F2833" s="806"/>
      <c r="W2833" s="806"/>
      <c r="AZ2833" s="806"/>
      <c r="BA2833" s="806"/>
      <c r="BB2833" s="806"/>
    </row>
    <row r="2834" spans="4:54">
      <c r="D2834" s="806"/>
      <c r="F2834" s="806"/>
      <c r="W2834" s="806"/>
      <c r="AZ2834" s="806"/>
      <c r="BA2834" s="806"/>
      <c r="BB2834" s="806"/>
    </row>
    <row r="2835" spans="4:54">
      <c r="D2835" s="806"/>
      <c r="F2835" s="806"/>
      <c r="W2835" s="806"/>
      <c r="AZ2835" s="806"/>
      <c r="BA2835" s="806"/>
      <c r="BB2835" s="806"/>
    </row>
    <row r="2836" spans="4:54">
      <c r="D2836" s="806"/>
      <c r="F2836" s="806"/>
      <c r="W2836" s="806"/>
      <c r="AZ2836" s="806"/>
      <c r="BA2836" s="806"/>
      <c r="BB2836" s="806"/>
    </row>
    <row r="2837" spans="4:54">
      <c r="D2837" s="806"/>
      <c r="F2837" s="806"/>
      <c r="W2837" s="806"/>
      <c r="AZ2837" s="806"/>
      <c r="BA2837" s="806"/>
      <c r="BB2837" s="806"/>
    </row>
    <row r="2838" spans="4:54">
      <c r="D2838" s="806"/>
      <c r="F2838" s="806"/>
      <c r="W2838" s="806"/>
      <c r="AZ2838" s="806"/>
      <c r="BA2838" s="806"/>
      <c r="BB2838" s="806"/>
    </row>
    <row r="2839" spans="4:54">
      <c r="D2839" s="806"/>
      <c r="F2839" s="806"/>
      <c r="W2839" s="806"/>
      <c r="AZ2839" s="806"/>
      <c r="BA2839" s="806"/>
      <c r="BB2839" s="806"/>
    </row>
    <row r="2840" spans="4:54">
      <c r="D2840" s="806"/>
      <c r="F2840" s="806"/>
      <c r="W2840" s="806"/>
      <c r="AZ2840" s="806"/>
      <c r="BA2840" s="806"/>
      <c r="BB2840" s="806"/>
    </row>
    <row r="2841" spans="4:54">
      <c r="D2841" s="806"/>
      <c r="F2841" s="806"/>
      <c r="W2841" s="806"/>
      <c r="AZ2841" s="806"/>
      <c r="BA2841" s="806"/>
      <c r="BB2841" s="806"/>
    </row>
    <row r="2842" spans="4:54">
      <c r="D2842" s="806"/>
      <c r="F2842" s="806"/>
      <c r="W2842" s="806"/>
      <c r="AZ2842" s="806"/>
      <c r="BA2842" s="806"/>
      <c r="BB2842" s="806"/>
    </row>
    <row r="2843" spans="4:54">
      <c r="D2843" s="806"/>
      <c r="F2843" s="806"/>
      <c r="W2843" s="806"/>
      <c r="AZ2843" s="806"/>
      <c r="BA2843" s="806"/>
      <c r="BB2843" s="806"/>
    </row>
    <row r="2844" spans="4:54">
      <c r="D2844" s="806"/>
      <c r="F2844" s="806"/>
      <c r="W2844" s="806"/>
      <c r="AZ2844" s="806"/>
      <c r="BA2844" s="806"/>
      <c r="BB2844" s="806"/>
    </row>
    <row r="2845" spans="4:54">
      <c r="D2845" s="806"/>
      <c r="F2845" s="806"/>
      <c r="W2845" s="806"/>
      <c r="AZ2845" s="806"/>
      <c r="BA2845" s="806"/>
      <c r="BB2845" s="806"/>
    </row>
    <row r="2846" spans="4:54">
      <c r="D2846" s="806"/>
      <c r="F2846" s="806"/>
      <c r="W2846" s="806"/>
      <c r="AZ2846" s="806"/>
      <c r="BA2846" s="806"/>
      <c r="BB2846" s="806"/>
    </row>
    <row r="2847" spans="4:54">
      <c r="D2847" s="806"/>
      <c r="F2847" s="806"/>
      <c r="W2847" s="806"/>
      <c r="AZ2847" s="806"/>
      <c r="BA2847" s="806"/>
      <c r="BB2847" s="806"/>
    </row>
    <row r="2848" spans="4:54">
      <c r="D2848" s="806"/>
      <c r="F2848" s="806"/>
      <c r="W2848" s="806"/>
      <c r="AZ2848" s="806"/>
      <c r="BA2848" s="806"/>
      <c r="BB2848" s="806"/>
    </row>
    <row r="2849" spans="4:54">
      <c r="D2849" s="806"/>
      <c r="F2849" s="806"/>
      <c r="W2849" s="806"/>
      <c r="AZ2849" s="806"/>
      <c r="BA2849" s="806"/>
      <c r="BB2849" s="806"/>
    </row>
    <row r="2850" spans="4:54">
      <c r="D2850" s="806"/>
      <c r="F2850" s="806"/>
      <c r="W2850" s="806"/>
      <c r="AZ2850" s="806"/>
      <c r="BA2850" s="806"/>
      <c r="BB2850" s="806"/>
    </row>
    <row r="2851" spans="4:54">
      <c r="D2851" s="806"/>
      <c r="F2851" s="806"/>
      <c r="W2851" s="806"/>
      <c r="AZ2851" s="806"/>
      <c r="BA2851" s="806"/>
      <c r="BB2851" s="806"/>
    </row>
    <row r="2852" spans="4:54">
      <c r="D2852" s="806"/>
      <c r="F2852" s="806"/>
      <c r="W2852" s="806"/>
      <c r="AZ2852" s="806"/>
      <c r="BA2852" s="806"/>
      <c r="BB2852" s="806"/>
    </row>
    <row r="2853" spans="4:54">
      <c r="D2853" s="806"/>
      <c r="F2853" s="806"/>
      <c r="W2853" s="806"/>
      <c r="AZ2853" s="806"/>
      <c r="BA2853" s="806"/>
      <c r="BB2853" s="806"/>
    </row>
    <row r="2854" spans="4:54">
      <c r="D2854" s="806"/>
      <c r="F2854" s="806"/>
      <c r="W2854" s="806"/>
      <c r="AZ2854" s="806"/>
      <c r="BA2854" s="806"/>
      <c r="BB2854" s="806"/>
    </row>
    <row r="2855" spans="4:54">
      <c r="D2855" s="806"/>
      <c r="F2855" s="806"/>
      <c r="W2855" s="806"/>
      <c r="AZ2855" s="806"/>
      <c r="BA2855" s="806"/>
      <c r="BB2855" s="806"/>
    </row>
    <row r="2856" spans="4:54">
      <c r="D2856" s="806"/>
      <c r="F2856" s="806"/>
      <c r="W2856" s="806"/>
      <c r="AZ2856" s="806"/>
      <c r="BA2856" s="806"/>
      <c r="BB2856" s="806"/>
    </row>
    <row r="2857" spans="4:54">
      <c r="D2857" s="806"/>
      <c r="F2857" s="806"/>
      <c r="W2857" s="806"/>
      <c r="AZ2857" s="806"/>
      <c r="BA2857" s="806"/>
      <c r="BB2857" s="806"/>
    </row>
    <row r="2858" spans="4:54">
      <c r="D2858" s="806"/>
      <c r="F2858" s="806"/>
      <c r="W2858" s="806"/>
      <c r="AZ2858" s="806"/>
      <c r="BA2858" s="806"/>
      <c r="BB2858" s="806"/>
    </row>
    <row r="2859" spans="4:54">
      <c r="D2859" s="806"/>
      <c r="F2859" s="806"/>
      <c r="W2859" s="806"/>
      <c r="AZ2859" s="806"/>
      <c r="BA2859" s="806"/>
      <c r="BB2859" s="806"/>
    </row>
    <row r="2860" spans="4:54">
      <c r="D2860" s="806"/>
      <c r="F2860" s="806"/>
      <c r="W2860" s="806"/>
      <c r="AZ2860" s="806"/>
      <c r="BA2860" s="806"/>
      <c r="BB2860" s="806"/>
    </row>
    <row r="2861" spans="4:54">
      <c r="D2861" s="806"/>
      <c r="F2861" s="806"/>
      <c r="W2861" s="806"/>
      <c r="AZ2861" s="806"/>
      <c r="BA2861" s="806"/>
      <c r="BB2861" s="806"/>
    </row>
    <row r="2862" spans="4:54">
      <c r="D2862" s="806"/>
      <c r="F2862" s="806"/>
      <c r="W2862" s="806"/>
      <c r="AZ2862" s="806"/>
      <c r="BA2862" s="806"/>
      <c r="BB2862" s="806"/>
    </row>
    <row r="2863" spans="4:54">
      <c r="D2863" s="806"/>
      <c r="F2863" s="806"/>
      <c r="W2863" s="806"/>
      <c r="AZ2863" s="806"/>
      <c r="BA2863" s="806"/>
      <c r="BB2863" s="806"/>
    </row>
    <row r="2864" spans="4:54">
      <c r="D2864" s="806"/>
      <c r="F2864" s="806"/>
      <c r="W2864" s="806"/>
      <c r="AZ2864" s="806"/>
      <c r="BA2864" s="806"/>
      <c r="BB2864" s="806"/>
    </row>
    <row r="2865" spans="4:54">
      <c r="D2865" s="806"/>
      <c r="F2865" s="806"/>
      <c r="W2865" s="806"/>
      <c r="AZ2865" s="806"/>
      <c r="BA2865" s="806"/>
      <c r="BB2865" s="806"/>
    </row>
    <row r="2866" spans="4:54">
      <c r="D2866" s="806"/>
      <c r="F2866" s="806"/>
      <c r="W2866" s="806"/>
      <c r="AZ2866" s="806"/>
      <c r="BA2866" s="806"/>
      <c r="BB2866" s="806"/>
    </row>
    <row r="2867" spans="4:54">
      <c r="D2867" s="806"/>
      <c r="F2867" s="806"/>
      <c r="W2867" s="806"/>
      <c r="AZ2867" s="806"/>
      <c r="BA2867" s="806"/>
      <c r="BB2867" s="806"/>
    </row>
    <row r="2868" spans="4:54">
      <c r="D2868" s="806"/>
      <c r="F2868" s="806"/>
      <c r="W2868" s="806"/>
      <c r="AZ2868" s="806"/>
      <c r="BA2868" s="806"/>
      <c r="BB2868" s="806"/>
    </row>
    <row r="2869" spans="4:54">
      <c r="D2869" s="806"/>
      <c r="F2869" s="806"/>
      <c r="W2869" s="806"/>
      <c r="AZ2869" s="806"/>
      <c r="BA2869" s="806"/>
      <c r="BB2869" s="806"/>
    </row>
    <row r="2870" spans="4:54">
      <c r="D2870" s="806"/>
      <c r="F2870" s="806"/>
      <c r="W2870" s="806"/>
      <c r="AZ2870" s="806"/>
      <c r="BA2870" s="806"/>
      <c r="BB2870" s="806"/>
    </row>
    <row r="2871" spans="4:54">
      <c r="D2871" s="806"/>
      <c r="F2871" s="806"/>
      <c r="W2871" s="806"/>
      <c r="AZ2871" s="806"/>
      <c r="BA2871" s="806"/>
      <c r="BB2871" s="806"/>
    </row>
    <row r="2872" spans="4:54">
      <c r="D2872" s="806"/>
      <c r="F2872" s="806"/>
      <c r="W2872" s="806"/>
      <c r="AZ2872" s="806"/>
      <c r="BA2872" s="806"/>
      <c r="BB2872" s="806"/>
    </row>
    <row r="2873" spans="4:54">
      <c r="D2873" s="806"/>
      <c r="F2873" s="806"/>
      <c r="W2873" s="806"/>
      <c r="AZ2873" s="806"/>
      <c r="BA2873" s="806"/>
      <c r="BB2873" s="806"/>
    </row>
    <row r="2874" spans="4:54">
      <c r="D2874" s="806"/>
      <c r="F2874" s="806"/>
      <c r="W2874" s="806"/>
      <c r="AZ2874" s="806"/>
      <c r="BA2874" s="806"/>
      <c r="BB2874" s="806"/>
    </row>
    <row r="2875" spans="4:54">
      <c r="D2875" s="806"/>
      <c r="F2875" s="806"/>
      <c r="W2875" s="806"/>
      <c r="AZ2875" s="806"/>
      <c r="BA2875" s="806"/>
      <c r="BB2875" s="806"/>
    </row>
    <row r="2876" spans="4:54">
      <c r="D2876" s="806"/>
      <c r="F2876" s="806"/>
      <c r="W2876" s="806"/>
      <c r="AZ2876" s="806"/>
      <c r="BA2876" s="806"/>
      <c r="BB2876" s="806"/>
    </row>
    <row r="2877" spans="4:54">
      <c r="D2877" s="806"/>
      <c r="F2877" s="806"/>
      <c r="W2877" s="806"/>
      <c r="AZ2877" s="806"/>
      <c r="BA2877" s="806"/>
      <c r="BB2877" s="806"/>
    </row>
    <row r="2878" spans="4:54">
      <c r="D2878" s="806"/>
      <c r="F2878" s="806"/>
      <c r="W2878" s="806"/>
      <c r="AZ2878" s="806"/>
      <c r="BA2878" s="806"/>
      <c r="BB2878" s="806"/>
    </row>
    <row r="2879" spans="4:54">
      <c r="D2879" s="806"/>
      <c r="F2879" s="806"/>
      <c r="W2879" s="806"/>
      <c r="AZ2879" s="806"/>
      <c r="BA2879" s="806"/>
      <c r="BB2879" s="806"/>
    </row>
    <row r="2880" spans="4:54">
      <c r="D2880" s="806"/>
      <c r="F2880" s="806"/>
      <c r="W2880" s="806"/>
      <c r="AZ2880" s="806"/>
      <c r="BA2880" s="806"/>
      <c r="BB2880" s="806"/>
    </row>
    <row r="2881" spans="4:54">
      <c r="D2881" s="806"/>
      <c r="F2881" s="806"/>
      <c r="W2881" s="806"/>
      <c r="AZ2881" s="806"/>
      <c r="BA2881" s="806"/>
      <c r="BB2881" s="806"/>
    </row>
    <row r="2882" spans="4:54">
      <c r="D2882" s="806"/>
      <c r="F2882" s="806"/>
      <c r="W2882" s="806"/>
      <c r="AZ2882" s="806"/>
      <c r="BA2882" s="806"/>
      <c r="BB2882" s="806"/>
    </row>
    <row r="2883" spans="4:54">
      <c r="D2883" s="806"/>
      <c r="F2883" s="806"/>
      <c r="W2883" s="806"/>
      <c r="AZ2883" s="806"/>
      <c r="BA2883" s="806"/>
      <c r="BB2883" s="806"/>
    </row>
    <row r="2884" spans="4:54">
      <c r="D2884" s="806"/>
      <c r="F2884" s="806"/>
      <c r="W2884" s="806"/>
      <c r="AZ2884" s="806"/>
      <c r="BA2884" s="806"/>
      <c r="BB2884" s="806"/>
    </row>
    <row r="2885" spans="4:54">
      <c r="D2885" s="806"/>
      <c r="F2885" s="806"/>
      <c r="W2885" s="806"/>
      <c r="AZ2885" s="806"/>
      <c r="BA2885" s="806"/>
      <c r="BB2885" s="806"/>
    </row>
    <row r="2886" spans="4:54">
      <c r="D2886" s="806"/>
      <c r="F2886" s="806"/>
      <c r="W2886" s="806"/>
      <c r="AZ2886" s="806"/>
      <c r="BA2886" s="806"/>
      <c r="BB2886" s="806"/>
    </row>
    <row r="2887" spans="4:54">
      <c r="D2887" s="806"/>
      <c r="F2887" s="806"/>
      <c r="W2887" s="806"/>
      <c r="AZ2887" s="806"/>
      <c r="BA2887" s="806"/>
      <c r="BB2887" s="806"/>
    </row>
    <row r="2888" spans="4:54">
      <c r="D2888" s="806"/>
      <c r="F2888" s="806"/>
      <c r="W2888" s="806"/>
      <c r="AZ2888" s="806"/>
      <c r="BA2888" s="806"/>
      <c r="BB2888" s="806"/>
    </row>
    <row r="2889" spans="4:54">
      <c r="D2889" s="806"/>
      <c r="F2889" s="806"/>
      <c r="W2889" s="806"/>
      <c r="AZ2889" s="806"/>
      <c r="BA2889" s="806"/>
      <c r="BB2889" s="806"/>
    </row>
    <row r="2890" spans="4:54">
      <c r="D2890" s="806"/>
      <c r="F2890" s="806"/>
      <c r="W2890" s="806"/>
      <c r="AZ2890" s="806"/>
      <c r="BA2890" s="806"/>
      <c r="BB2890" s="806"/>
    </row>
    <row r="2891" spans="4:54">
      <c r="D2891" s="806"/>
      <c r="F2891" s="806"/>
      <c r="W2891" s="806"/>
      <c r="AZ2891" s="806"/>
      <c r="BA2891" s="806"/>
      <c r="BB2891" s="806"/>
    </row>
    <row r="2892" spans="4:54">
      <c r="D2892" s="806"/>
      <c r="F2892" s="806"/>
      <c r="W2892" s="806"/>
      <c r="AZ2892" s="806"/>
      <c r="BA2892" s="806"/>
      <c r="BB2892" s="806"/>
    </row>
    <row r="2893" spans="4:54">
      <c r="D2893" s="806"/>
      <c r="F2893" s="806"/>
      <c r="W2893" s="806"/>
      <c r="AZ2893" s="806"/>
      <c r="BA2893" s="806"/>
      <c r="BB2893" s="806"/>
    </row>
    <row r="2894" spans="4:54">
      <c r="D2894" s="806"/>
      <c r="F2894" s="806"/>
      <c r="W2894" s="806"/>
      <c r="AZ2894" s="806"/>
      <c r="BA2894" s="806"/>
      <c r="BB2894" s="806"/>
    </row>
    <row r="2895" spans="4:54">
      <c r="D2895" s="806"/>
      <c r="F2895" s="806"/>
      <c r="W2895" s="806"/>
      <c r="AZ2895" s="806"/>
      <c r="BA2895" s="806"/>
      <c r="BB2895" s="806"/>
    </row>
    <row r="2896" spans="4:54">
      <c r="D2896" s="806"/>
      <c r="F2896" s="806"/>
      <c r="W2896" s="806"/>
      <c r="AZ2896" s="806"/>
      <c r="BA2896" s="806"/>
      <c r="BB2896" s="806"/>
    </row>
    <row r="2897" spans="4:54">
      <c r="D2897" s="806"/>
      <c r="F2897" s="806"/>
      <c r="W2897" s="806"/>
      <c r="AZ2897" s="806"/>
      <c r="BA2897" s="806"/>
      <c r="BB2897" s="806"/>
    </row>
    <row r="2898" spans="4:54">
      <c r="D2898" s="806"/>
      <c r="F2898" s="806"/>
      <c r="W2898" s="806"/>
      <c r="AZ2898" s="806"/>
      <c r="BA2898" s="806"/>
      <c r="BB2898" s="806"/>
    </row>
    <row r="2899" spans="4:54">
      <c r="D2899" s="806"/>
      <c r="F2899" s="806"/>
      <c r="W2899" s="806"/>
      <c r="AZ2899" s="806"/>
      <c r="BA2899" s="806"/>
      <c r="BB2899" s="806"/>
    </row>
    <row r="2900" spans="4:54">
      <c r="D2900" s="806"/>
      <c r="F2900" s="806"/>
      <c r="W2900" s="806"/>
      <c r="AZ2900" s="806"/>
      <c r="BA2900" s="806"/>
      <c r="BB2900" s="806"/>
    </row>
    <row r="2901" spans="4:54">
      <c r="D2901" s="806"/>
      <c r="F2901" s="806"/>
      <c r="W2901" s="806"/>
      <c r="AZ2901" s="806"/>
      <c r="BA2901" s="806"/>
      <c r="BB2901" s="806"/>
    </row>
    <row r="2902" spans="4:54">
      <c r="D2902" s="806"/>
      <c r="F2902" s="806"/>
      <c r="W2902" s="806"/>
      <c r="AZ2902" s="806"/>
      <c r="BA2902" s="806"/>
      <c r="BB2902" s="806"/>
    </row>
    <row r="2903" spans="4:54">
      <c r="D2903" s="806"/>
      <c r="F2903" s="806"/>
      <c r="W2903" s="806"/>
      <c r="AZ2903" s="806"/>
      <c r="BA2903" s="806"/>
      <c r="BB2903" s="806"/>
    </row>
    <row r="2904" spans="4:54">
      <c r="D2904" s="806"/>
      <c r="F2904" s="806"/>
      <c r="W2904" s="806"/>
      <c r="AZ2904" s="806"/>
      <c r="BA2904" s="806"/>
      <c r="BB2904" s="806"/>
    </row>
    <row r="2905" spans="4:54">
      <c r="D2905" s="806"/>
      <c r="F2905" s="806"/>
      <c r="W2905" s="806"/>
      <c r="AZ2905" s="806"/>
      <c r="BA2905" s="806"/>
      <c r="BB2905" s="806"/>
    </row>
    <row r="2906" spans="4:54">
      <c r="D2906" s="806"/>
      <c r="F2906" s="806"/>
      <c r="W2906" s="806"/>
      <c r="AZ2906" s="806"/>
      <c r="BA2906" s="806"/>
      <c r="BB2906" s="806"/>
    </row>
    <row r="2907" spans="4:54">
      <c r="D2907" s="806"/>
      <c r="F2907" s="806"/>
      <c r="W2907" s="806"/>
      <c r="AZ2907" s="806"/>
      <c r="BA2907" s="806"/>
      <c r="BB2907" s="806"/>
    </row>
    <row r="2908" spans="4:54">
      <c r="D2908" s="806"/>
      <c r="F2908" s="806"/>
      <c r="W2908" s="806"/>
      <c r="AZ2908" s="806"/>
      <c r="BA2908" s="806"/>
      <c r="BB2908" s="806"/>
    </row>
    <row r="2909" spans="4:54">
      <c r="D2909" s="806"/>
      <c r="F2909" s="806"/>
      <c r="W2909" s="806"/>
      <c r="AZ2909" s="806"/>
      <c r="BA2909" s="806"/>
      <c r="BB2909" s="806"/>
    </row>
    <row r="2910" spans="4:54">
      <c r="D2910" s="806"/>
      <c r="F2910" s="806"/>
      <c r="W2910" s="806"/>
      <c r="AZ2910" s="806"/>
      <c r="BA2910" s="806"/>
      <c r="BB2910" s="806"/>
    </row>
    <row r="2911" spans="4:54">
      <c r="D2911" s="806"/>
      <c r="F2911" s="806"/>
      <c r="W2911" s="806"/>
      <c r="AZ2911" s="806"/>
      <c r="BA2911" s="806"/>
      <c r="BB2911" s="806"/>
    </row>
    <row r="2912" spans="4:54">
      <c r="D2912" s="806"/>
      <c r="F2912" s="806"/>
      <c r="W2912" s="806"/>
      <c r="AZ2912" s="806"/>
      <c r="BA2912" s="806"/>
      <c r="BB2912" s="806"/>
    </row>
    <row r="2913" spans="4:54">
      <c r="D2913" s="806"/>
      <c r="F2913" s="806"/>
      <c r="W2913" s="806"/>
      <c r="AZ2913" s="806"/>
      <c r="BA2913" s="806"/>
      <c r="BB2913" s="806"/>
    </row>
    <row r="2914" spans="4:54">
      <c r="D2914" s="806"/>
      <c r="F2914" s="806"/>
      <c r="W2914" s="806"/>
      <c r="AZ2914" s="806"/>
      <c r="BA2914" s="806"/>
      <c r="BB2914" s="806"/>
    </row>
    <row r="2915" spans="4:54">
      <c r="D2915" s="806"/>
      <c r="F2915" s="806"/>
      <c r="W2915" s="806"/>
      <c r="AZ2915" s="806"/>
      <c r="BA2915" s="806"/>
      <c r="BB2915" s="806"/>
    </row>
    <row r="2916" spans="4:54">
      <c r="D2916" s="806"/>
      <c r="F2916" s="806"/>
      <c r="W2916" s="806"/>
      <c r="AZ2916" s="806"/>
      <c r="BA2916" s="806"/>
      <c r="BB2916" s="806"/>
    </row>
    <row r="2917" spans="4:54">
      <c r="D2917" s="806"/>
      <c r="F2917" s="806"/>
      <c r="W2917" s="806"/>
      <c r="AZ2917" s="806"/>
      <c r="BA2917" s="806"/>
      <c r="BB2917" s="806"/>
    </row>
    <row r="2918" spans="4:54">
      <c r="D2918" s="806"/>
      <c r="F2918" s="806"/>
      <c r="W2918" s="806"/>
      <c r="AZ2918" s="806"/>
      <c r="BA2918" s="806"/>
      <c r="BB2918" s="806"/>
    </row>
    <row r="2919" spans="4:54">
      <c r="D2919" s="806"/>
      <c r="F2919" s="806"/>
      <c r="W2919" s="806"/>
      <c r="AZ2919" s="806"/>
      <c r="BA2919" s="806"/>
      <c r="BB2919" s="806"/>
    </row>
    <row r="2920" spans="4:54">
      <c r="D2920" s="806"/>
      <c r="F2920" s="806"/>
      <c r="W2920" s="806"/>
      <c r="AZ2920" s="806"/>
      <c r="BA2920" s="806"/>
      <c r="BB2920" s="806"/>
    </row>
    <row r="2921" spans="4:54">
      <c r="D2921" s="806"/>
      <c r="F2921" s="806"/>
      <c r="W2921" s="806"/>
      <c r="AZ2921" s="806"/>
      <c r="BA2921" s="806"/>
      <c r="BB2921" s="806"/>
    </row>
    <row r="2922" spans="4:54">
      <c r="D2922" s="806"/>
      <c r="F2922" s="806"/>
      <c r="W2922" s="806"/>
      <c r="AZ2922" s="806"/>
      <c r="BA2922" s="806"/>
      <c r="BB2922" s="806"/>
    </row>
    <row r="2923" spans="4:54">
      <c r="D2923" s="806"/>
      <c r="F2923" s="806"/>
      <c r="W2923" s="806"/>
      <c r="AZ2923" s="806"/>
      <c r="BA2923" s="806"/>
      <c r="BB2923" s="806"/>
    </row>
    <row r="2924" spans="4:54">
      <c r="D2924" s="806"/>
      <c r="F2924" s="806"/>
      <c r="W2924" s="806"/>
      <c r="AZ2924" s="806"/>
      <c r="BA2924" s="806"/>
      <c r="BB2924" s="806"/>
    </row>
    <row r="2925" spans="4:54">
      <c r="D2925" s="806"/>
      <c r="F2925" s="806"/>
      <c r="W2925" s="806"/>
      <c r="AZ2925" s="806"/>
      <c r="BA2925" s="806"/>
      <c r="BB2925" s="806"/>
    </row>
    <row r="2926" spans="4:54">
      <c r="D2926" s="806"/>
      <c r="F2926" s="806"/>
      <c r="W2926" s="806"/>
      <c r="AZ2926" s="806"/>
      <c r="BA2926" s="806"/>
      <c r="BB2926" s="806"/>
    </row>
    <row r="2927" spans="4:54">
      <c r="D2927" s="806"/>
      <c r="F2927" s="806"/>
      <c r="W2927" s="806"/>
      <c r="AZ2927" s="806"/>
      <c r="BA2927" s="806"/>
      <c r="BB2927" s="806"/>
    </row>
    <row r="2928" spans="4:54">
      <c r="D2928" s="806"/>
      <c r="F2928" s="806"/>
      <c r="W2928" s="806"/>
      <c r="AZ2928" s="806"/>
      <c r="BA2928" s="806"/>
      <c r="BB2928" s="806"/>
    </row>
    <row r="2929" spans="4:54">
      <c r="D2929" s="806"/>
      <c r="F2929" s="806"/>
      <c r="W2929" s="806"/>
      <c r="AZ2929" s="806"/>
      <c r="BA2929" s="806"/>
      <c r="BB2929" s="806"/>
    </row>
    <row r="2930" spans="4:54">
      <c r="D2930" s="806"/>
      <c r="F2930" s="806"/>
      <c r="W2930" s="806"/>
      <c r="AZ2930" s="806"/>
      <c r="BA2930" s="806"/>
      <c r="BB2930" s="806"/>
    </row>
    <row r="2931" spans="4:54">
      <c r="D2931" s="806"/>
      <c r="F2931" s="806"/>
      <c r="W2931" s="806"/>
      <c r="AZ2931" s="806"/>
      <c r="BA2931" s="806"/>
      <c r="BB2931" s="806"/>
    </row>
    <row r="2932" spans="4:54">
      <c r="D2932" s="806"/>
      <c r="F2932" s="806"/>
      <c r="W2932" s="806"/>
      <c r="AZ2932" s="806"/>
      <c r="BA2932" s="806"/>
      <c r="BB2932" s="806"/>
    </row>
    <row r="2933" spans="4:54">
      <c r="D2933" s="806"/>
      <c r="F2933" s="806"/>
      <c r="W2933" s="806"/>
      <c r="AZ2933" s="806"/>
      <c r="BA2933" s="806"/>
      <c r="BB2933" s="806"/>
    </row>
    <row r="2934" spans="4:54">
      <c r="D2934" s="806"/>
      <c r="F2934" s="806"/>
      <c r="W2934" s="806"/>
      <c r="AZ2934" s="806"/>
      <c r="BA2934" s="806"/>
      <c r="BB2934" s="806"/>
    </row>
    <row r="2935" spans="4:54">
      <c r="D2935" s="806"/>
      <c r="F2935" s="806"/>
      <c r="W2935" s="806"/>
      <c r="AZ2935" s="806"/>
      <c r="BA2935" s="806"/>
      <c r="BB2935" s="806"/>
    </row>
    <row r="2936" spans="4:54">
      <c r="D2936" s="806"/>
      <c r="F2936" s="806"/>
      <c r="W2936" s="806"/>
      <c r="AZ2936" s="806"/>
      <c r="BA2936" s="806"/>
      <c r="BB2936" s="806"/>
    </row>
    <row r="2937" spans="4:54">
      <c r="D2937" s="806"/>
      <c r="F2937" s="806"/>
      <c r="W2937" s="806"/>
      <c r="AZ2937" s="806"/>
      <c r="BA2937" s="806"/>
      <c r="BB2937" s="806"/>
    </row>
    <row r="2938" spans="4:54">
      <c r="D2938" s="806"/>
      <c r="F2938" s="806"/>
      <c r="W2938" s="806"/>
      <c r="AZ2938" s="806"/>
      <c r="BA2938" s="806"/>
      <c r="BB2938" s="806"/>
    </row>
    <row r="2939" spans="4:54">
      <c r="D2939" s="806"/>
      <c r="F2939" s="806"/>
      <c r="W2939" s="806"/>
      <c r="AZ2939" s="806"/>
      <c r="BA2939" s="806"/>
      <c r="BB2939" s="806"/>
    </row>
    <row r="2940" spans="4:54">
      <c r="D2940" s="806"/>
      <c r="F2940" s="806"/>
      <c r="W2940" s="806"/>
      <c r="AZ2940" s="806"/>
      <c r="BA2940" s="806"/>
      <c r="BB2940" s="806"/>
    </row>
    <row r="2941" spans="4:54">
      <c r="D2941" s="806"/>
      <c r="F2941" s="806"/>
      <c r="W2941" s="806"/>
      <c r="AZ2941" s="806"/>
      <c r="BA2941" s="806"/>
      <c r="BB2941" s="806"/>
    </row>
    <row r="2942" spans="4:54">
      <c r="D2942" s="806"/>
      <c r="F2942" s="806"/>
      <c r="W2942" s="806"/>
      <c r="AZ2942" s="806"/>
      <c r="BA2942" s="806"/>
      <c r="BB2942" s="806"/>
    </row>
    <row r="2943" spans="4:54">
      <c r="D2943" s="806"/>
      <c r="F2943" s="806"/>
      <c r="W2943" s="806"/>
      <c r="AZ2943" s="806"/>
      <c r="BA2943" s="806"/>
      <c r="BB2943" s="806"/>
    </row>
    <row r="2944" spans="4:54">
      <c r="D2944" s="806"/>
      <c r="F2944" s="806"/>
      <c r="W2944" s="806"/>
      <c r="AZ2944" s="806"/>
      <c r="BA2944" s="806"/>
      <c r="BB2944" s="806"/>
    </row>
    <row r="2945" spans="4:54">
      <c r="D2945" s="806"/>
      <c r="F2945" s="806"/>
      <c r="W2945" s="806"/>
      <c r="AZ2945" s="806"/>
      <c r="BA2945" s="806"/>
      <c r="BB2945" s="806"/>
    </row>
    <row r="2946" spans="4:54">
      <c r="D2946" s="806"/>
      <c r="F2946" s="806"/>
      <c r="W2946" s="806"/>
      <c r="AZ2946" s="806"/>
      <c r="BA2946" s="806"/>
      <c r="BB2946" s="806"/>
    </row>
    <row r="2947" spans="4:54">
      <c r="D2947" s="806"/>
      <c r="F2947" s="806"/>
      <c r="W2947" s="806"/>
      <c r="AZ2947" s="806"/>
      <c r="BA2947" s="806"/>
      <c r="BB2947" s="806"/>
    </row>
    <row r="2948" spans="4:54">
      <c r="D2948" s="806"/>
      <c r="F2948" s="806"/>
      <c r="W2948" s="806"/>
      <c r="AZ2948" s="806"/>
      <c r="BA2948" s="806"/>
      <c r="BB2948" s="806"/>
    </row>
    <row r="2949" spans="4:54">
      <c r="D2949" s="806"/>
      <c r="F2949" s="806"/>
      <c r="W2949" s="806"/>
      <c r="AZ2949" s="806"/>
      <c r="BA2949" s="806"/>
      <c r="BB2949" s="806"/>
    </row>
    <row r="2950" spans="4:54">
      <c r="D2950" s="806"/>
      <c r="F2950" s="806"/>
      <c r="W2950" s="806"/>
      <c r="AZ2950" s="806"/>
      <c r="BA2950" s="806"/>
      <c r="BB2950" s="806"/>
    </row>
    <row r="2951" spans="4:54">
      <c r="D2951" s="806"/>
      <c r="F2951" s="806"/>
      <c r="W2951" s="806"/>
      <c r="AZ2951" s="806"/>
      <c r="BA2951" s="806"/>
      <c r="BB2951" s="806"/>
    </row>
    <row r="2952" spans="4:54">
      <c r="D2952" s="806"/>
      <c r="F2952" s="806"/>
      <c r="W2952" s="806"/>
      <c r="AZ2952" s="806"/>
      <c r="BA2952" s="806"/>
      <c r="BB2952" s="806"/>
    </row>
    <row r="2953" spans="4:54">
      <c r="D2953" s="806"/>
      <c r="F2953" s="806"/>
      <c r="W2953" s="806"/>
      <c r="AZ2953" s="806"/>
      <c r="BA2953" s="806"/>
      <c r="BB2953" s="806"/>
    </row>
    <row r="2954" spans="4:54">
      <c r="D2954" s="806"/>
      <c r="F2954" s="806"/>
      <c r="W2954" s="806"/>
      <c r="AZ2954" s="806"/>
      <c r="BA2954" s="806"/>
      <c r="BB2954" s="806"/>
    </row>
    <row r="2955" spans="4:54">
      <c r="D2955" s="806"/>
      <c r="F2955" s="806"/>
      <c r="W2955" s="806"/>
      <c r="AZ2955" s="806"/>
      <c r="BA2955" s="806"/>
      <c r="BB2955" s="806"/>
    </row>
    <row r="2956" spans="4:54">
      <c r="D2956" s="806"/>
      <c r="F2956" s="806"/>
      <c r="W2956" s="806"/>
      <c r="AZ2956" s="806"/>
      <c r="BA2956" s="806"/>
      <c r="BB2956" s="806"/>
    </row>
    <row r="2957" spans="4:54">
      <c r="D2957" s="806"/>
      <c r="F2957" s="806"/>
      <c r="W2957" s="806"/>
      <c r="AZ2957" s="806"/>
      <c r="BA2957" s="806"/>
      <c r="BB2957" s="806"/>
    </row>
    <row r="2958" spans="4:54">
      <c r="D2958" s="806"/>
      <c r="F2958" s="806"/>
      <c r="W2958" s="806"/>
      <c r="AZ2958" s="806"/>
      <c r="BA2958" s="806"/>
      <c r="BB2958" s="806"/>
    </row>
    <row r="2959" spans="4:54">
      <c r="D2959" s="806"/>
      <c r="F2959" s="806"/>
      <c r="W2959" s="806"/>
      <c r="AZ2959" s="806"/>
      <c r="BA2959" s="806"/>
      <c r="BB2959" s="806"/>
    </row>
    <row r="2960" spans="4:54">
      <c r="D2960" s="806"/>
      <c r="F2960" s="806"/>
      <c r="W2960" s="806"/>
      <c r="AZ2960" s="806"/>
      <c r="BA2960" s="806"/>
      <c r="BB2960" s="806"/>
    </row>
    <row r="2961" spans="4:54">
      <c r="D2961" s="806"/>
      <c r="F2961" s="806"/>
      <c r="W2961" s="806"/>
      <c r="AZ2961" s="806"/>
      <c r="BA2961" s="806"/>
      <c r="BB2961" s="806"/>
    </row>
    <row r="2962" spans="4:54">
      <c r="D2962" s="806"/>
      <c r="F2962" s="806"/>
      <c r="W2962" s="806"/>
      <c r="AZ2962" s="806"/>
      <c r="BA2962" s="806"/>
      <c r="BB2962" s="806"/>
    </row>
    <row r="2963" spans="4:54">
      <c r="D2963" s="806"/>
      <c r="F2963" s="806"/>
      <c r="W2963" s="806"/>
      <c r="AZ2963" s="806"/>
      <c r="BA2963" s="806"/>
      <c r="BB2963" s="806"/>
    </row>
    <row r="2964" spans="4:54">
      <c r="D2964" s="806"/>
      <c r="F2964" s="806"/>
      <c r="W2964" s="806"/>
      <c r="AZ2964" s="806"/>
      <c r="BA2964" s="806"/>
      <c r="BB2964" s="806"/>
    </row>
    <row r="2965" spans="4:54">
      <c r="D2965" s="806"/>
      <c r="F2965" s="806"/>
      <c r="W2965" s="806"/>
      <c r="AZ2965" s="806"/>
      <c r="BA2965" s="806"/>
      <c r="BB2965" s="806"/>
    </row>
    <row r="2966" spans="4:54">
      <c r="D2966" s="806"/>
      <c r="F2966" s="806"/>
      <c r="W2966" s="806"/>
      <c r="AZ2966" s="806"/>
      <c r="BA2966" s="806"/>
      <c r="BB2966" s="806"/>
    </row>
    <row r="2967" spans="4:54">
      <c r="D2967" s="806"/>
      <c r="F2967" s="806"/>
      <c r="W2967" s="806"/>
      <c r="AZ2967" s="806"/>
      <c r="BA2967" s="806"/>
      <c r="BB2967" s="806"/>
    </row>
    <row r="2968" spans="4:54">
      <c r="D2968" s="806"/>
      <c r="F2968" s="806"/>
      <c r="W2968" s="806"/>
      <c r="AZ2968" s="806"/>
      <c r="BA2968" s="806"/>
      <c r="BB2968" s="806"/>
    </row>
    <row r="2969" spans="4:54">
      <c r="D2969" s="806"/>
      <c r="F2969" s="806"/>
      <c r="W2969" s="806"/>
      <c r="AZ2969" s="806"/>
      <c r="BA2969" s="806"/>
      <c r="BB2969" s="806"/>
    </row>
    <row r="2970" spans="4:54">
      <c r="D2970" s="806"/>
      <c r="F2970" s="806"/>
      <c r="W2970" s="806"/>
      <c r="AZ2970" s="806"/>
      <c r="BA2970" s="806"/>
      <c r="BB2970" s="806"/>
    </row>
    <row r="2971" spans="4:54">
      <c r="D2971" s="806"/>
      <c r="F2971" s="806"/>
      <c r="W2971" s="806"/>
      <c r="AZ2971" s="806"/>
      <c r="BA2971" s="806"/>
      <c r="BB2971" s="806"/>
    </row>
    <row r="2972" spans="4:54">
      <c r="D2972" s="806"/>
      <c r="F2972" s="806"/>
      <c r="W2972" s="806"/>
      <c r="AZ2972" s="806"/>
      <c r="BA2972" s="806"/>
      <c r="BB2972" s="806"/>
    </row>
    <row r="2973" spans="4:54">
      <c r="D2973" s="806"/>
      <c r="F2973" s="806"/>
      <c r="W2973" s="806"/>
      <c r="AZ2973" s="806"/>
      <c r="BA2973" s="806"/>
      <c r="BB2973" s="806"/>
    </row>
    <row r="2974" spans="4:54">
      <c r="D2974" s="806"/>
      <c r="F2974" s="806"/>
      <c r="W2974" s="806"/>
      <c r="AZ2974" s="806"/>
      <c r="BA2974" s="806"/>
      <c r="BB2974" s="806"/>
    </row>
    <row r="2975" spans="4:54">
      <c r="D2975" s="806"/>
      <c r="F2975" s="806"/>
      <c r="W2975" s="806"/>
      <c r="AZ2975" s="806"/>
      <c r="BA2975" s="806"/>
      <c r="BB2975" s="806"/>
    </row>
    <row r="2976" spans="4:54">
      <c r="D2976" s="806"/>
      <c r="F2976" s="806"/>
      <c r="W2976" s="806"/>
      <c r="AZ2976" s="806"/>
      <c r="BA2976" s="806"/>
      <c r="BB2976" s="806"/>
    </row>
    <row r="2977" spans="4:54">
      <c r="D2977" s="806"/>
      <c r="F2977" s="806"/>
      <c r="W2977" s="806"/>
      <c r="AZ2977" s="806"/>
      <c r="BA2977" s="806"/>
      <c r="BB2977" s="806"/>
    </row>
    <row r="2978" spans="4:54">
      <c r="D2978" s="806"/>
      <c r="F2978" s="806"/>
      <c r="W2978" s="806"/>
      <c r="AZ2978" s="806"/>
      <c r="BA2978" s="806"/>
      <c r="BB2978" s="806"/>
    </row>
    <row r="2979" spans="4:54">
      <c r="D2979" s="806"/>
      <c r="F2979" s="806"/>
      <c r="W2979" s="806"/>
      <c r="AZ2979" s="806"/>
      <c r="BA2979" s="806"/>
      <c r="BB2979" s="806"/>
    </row>
    <row r="2980" spans="4:54">
      <c r="D2980" s="806"/>
      <c r="F2980" s="806"/>
      <c r="W2980" s="806"/>
      <c r="AZ2980" s="806"/>
      <c r="BA2980" s="806"/>
      <c r="BB2980" s="806"/>
    </row>
    <row r="2981" spans="4:54">
      <c r="D2981" s="806"/>
      <c r="F2981" s="806"/>
      <c r="W2981" s="806"/>
      <c r="AZ2981" s="806"/>
      <c r="BA2981" s="806"/>
      <c r="BB2981" s="806"/>
    </row>
    <row r="2982" spans="4:54">
      <c r="D2982" s="806"/>
      <c r="F2982" s="806"/>
      <c r="W2982" s="806"/>
      <c r="AZ2982" s="806"/>
      <c r="BA2982" s="806"/>
      <c r="BB2982" s="806"/>
    </row>
    <row r="2983" spans="4:54">
      <c r="D2983" s="806"/>
      <c r="F2983" s="806"/>
      <c r="W2983" s="806"/>
      <c r="AZ2983" s="806"/>
      <c r="BA2983" s="806"/>
      <c r="BB2983" s="806"/>
    </row>
    <row r="2984" spans="4:54">
      <c r="D2984" s="806"/>
      <c r="F2984" s="806"/>
      <c r="W2984" s="806"/>
      <c r="AZ2984" s="806"/>
      <c r="BA2984" s="806"/>
      <c r="BB2984" s="806"/>
    </row>
    <row r="2985" spans="4:54">
      <c r="D2985" s="806"/>
      <c r="F2985" s="806"/>
      <c r="W2985" s="806"/>
      <c r="AZ2985" s="806"/>
      <c r="BA2985" s="806"/>
      <c r="BB2985" s="806"/>
    </row>
    <row r="2986" spans="4:54">
      <c r="D2986" s="806"/>
      <c r="F2986" s="806"/>
      <c r="W2986" s="806"/>
      <c r="AZ2986" s="806"/>
      <c r="BA2986" s="806"/>
      <c r="BB2986" s="806"/>
    </row>
    <row r="2987" spans="4:54">
      <c r="D2987" s="806"/>
      <c r="F2987" s="806"/>
      <c r="W2987" s="806"/>
      <c r="AZ2987" s="806"/>
      <c r="BA2987" s="806"/>
      <c r="BB2987" s="806"/>
    </row>
    <row r="2988" spans="4:54">
      <c r="D2988" s="806"/>
      <c r="F2988" s="806"/>
      <c r="W2988" s="806"/>
      <c r="AZ2988" s="806"/>
      <c r="BA2988" s="806"/>
      <c r="BB2988" s="806"/>
    </row>
    <row r="2989" spans="4:54">
      <c r="D2989" s="806"/>
      <c r="F2989" s="806"/>
      <c r="W2989" s="806"/>
      <c r="AZ2989" s="806"/>
      <c r="BA2989" s="806"/>
      <c r="BB2989" s="806"/>
    </row>
    <row r="2990" spans="4:54">
      <c r="D2990" s="806"/>
      <c r="F2990" s="806"/>
      <c r="W2990" s="806"/>
      <c r="AZ2990" s="806"/>
      <c r="BA2990" s="806"/>
      <c r="BB2990" s="806"/>
    </row>
    <row r="2991" spans="4:54">
      <c r="D2991" s="806"/>
      <c r="F2991" s="806"/>
      <c r="W2991" s="806"/>
      <c r="AZ2991" s="806"/>
      <c r="BA2991" s="806"/>
      <c r="BB2991" s="806"/>
    </row>
    <row r="2992" spans="4:54">
      <c r="D2992" s="806"/>
      <c r="F2992" s="806"/>
      <c r="W2992" s="806"/>
      <c r="AZ2992" s="806"/>
      <c r="BA2992" s="806"/>
      <c r="BB2992" s="806"/>
    </row>
    <row r="2993" spans="4:54">
      <c r="D2993" s="806"/>
      <c r="F2993" s="806"/>
      <c r="W2993" s="806"/>
      <c r="AZ2993" s="806"/>
      <c r="BA2993" s="806"/>
      <c r="BB2993" s="806"/>
    </row>
    <row r="2994" spans="4:54">
      <c r="D2994" s="806"/>
      <c r="F2994" s="806"/>
      <c r="W2994" s="806"/>
      <c r="AZ2994" s="806"/>
      <c r="BA2994" s="806"/>
      <c r="BB2994" s="806"/>
    </row>
    <row r="2995" spans="4:54">
      <c r="D2995" s="806"/>
      <c r="F2995" s="806"/>
      <c r="W2995" s="806"/>
      <c r="AZ2995" s="806"/>
      <c r="BA2995" s="806"/>
      <c r="BB2995" s="806"/>
    </row>
    <row r="2996" spans="4:54">
      <c r="D2996" s="806"/>
      <c r="F2996" s="806"/>
      <c r="W2996" s="806"/>
      <c r="AZ2996" s="806"/>
      <c r="BA2996" s="806"/>
      <c r="BB2996" s="806"/>
    </row>
    <row r="2997" spans="4:54">
      <c r="D2997" s="806"/>
      <c r="F2997" s="806"/>
      <c r="W2997" s="806"/>
      <c r="AZ2997" s="806"/>
      <c r="BA2997" s="806"/>
      <c r="BB2997" s="806"/>
    </row>
    <row r="2998" spans="4:54">
      <c r="D2998" s="806"/>
      <c r="F2998" s="806"/>
      <c r="W2998" s="806"/>
      <c r="AZ2998" s="806"/>
      <c r="BA2998" s="806"/>
      <c r="BB2998" s="806"/>
    </row>
    <row r="2999" spans="4:54">
      <c r="D2999" s="806"/>
      <c r="F2999" s="806"/>
      <c r="W2999" s="806"/>
      <c r="AZ2999" s="806"/>
      <c r="BA2999" s="806"/>
      <c r="BB2999" s="806"/>
    </row>
    <row r="3000" spans="4:54">
      <c r="D3000" s="806"/>
      <c r="F3000" s="806"/>
      <c r="W3000" s="806"/>
      <c r="AZ3000" s="806"/>
      <c r="BA3000" s="806"/>
      <c r="BB3000" s="806"/>
    </row>
    <row r="3001" spans="4:54">
      <c r="D3001" s="806"/>
      <c r="F3001" s="806"/>
      <c r="W3001" s="806"/>
      <c r="AZ3001" s="806"/>
      <c r="BA3001" s="806"/>
      <c r="BB3001" s="806"/>
    </row>
    <row r="3002" spans="4:54">
      <c r="D3002" s="806"/>
      <c r="F3002" s="806"/>
      <c r="W3002" s="806"/>
      <c r="AZ3002" s="806"/>
      <c r="BA3002" s="806"/>
      <c r="BB3002" s="806"/>
    </row>
    <row r="3003" spans="4:54">
      <c r="D3003" s="806"/>
      <c r="F3003" s="806"/>
      <c r="W3003" s="806"/>
      <c r="AZ3003" s="806"/>
      <c r="BA3003" s="806"/>
      <c r="BB3003" s="806"/>
    </row>
    <row r="3004" spans="4:54">
      <c r="D3004" s="806"/>
      <c r="F3004" s="806"/>
      <c r="W3004" s="806"/>
      <c r="AZ3004" s="806"/>
      <c r="BA3004" s="806"/>
      <c r="BB3004" s="806"/>
    </row>
    <row r="3005" spans="4:54">
      <c r="D3005" s="806"/>
      <c r="F3005" s="806"/>
      <c r="W3005" s="806"/>
      <c r="AZ3005" s="806"/>
      <c r="BA3005" s="806"/>
      <c r="BB3005" s="806"/>
    </row>
    <row r="3006" spans="4:54">
      <c r="D3006" s="806"/>
      <c r="F3006" s="806"/>
      <c r="W3006" s="806"/>
      <c r="AZ3006" s="806"/>
      <c r="BA3006" s="806"/>
      <c r="BB3006" s="806"/>
    </row>
    <row r="3007" spans="4:54">
      <c r="D3007" s="806"/>
      <c r="F3007" s="806"/>
      <c r="W3007" s="806"/>
      <c r="AZ3007" s="806"/>
      <c r="BA3007" s="806"/>
      <c r="BB3007" s="806"/>
    </row>
    <row r="3008" spans="4:54">
      <c r="D3008" s="806"/>
      <c r="F3008" s="806"/>
      <c r="W3008" s="806"/>
      <c r="AZ3008" s="806"/>
      <c r="BA3008" s="806"/>
      <c r="BB3008" s="806"/>
    </row>
    <row r="3009" spans="4:54">
      <c r="D3009" s="806"/>
      <c r="F3009" s="806"/>
      <c r="W3009" s="806"/>
      <c r="AZ3009" s="806"/>
      <c r="BA3009" s="806"/>
      <c r="BB3009" s="806"/>
    </row>
    <row r="3010" spans="4:54">
      <c r="D3010" s="806"/>
      <c r="F3010" s="806"/>
      <c r="W3010" s="806"/>
      <c r="AZ3010" s="806"/>
      <c r="BA3010" s="806"/>
      <c r="BB3010" s="806"/>
    </row>
    <row r="3011" spans="4:54">
      <c r="D3011" s="806"/>
      <c r="F3011" s="806"/>
      <c r="W3011" s="806"/>
      <c r="AZ3011" s="806"/>
      <c r="BA3011" s="806"/>
      <c r="BB3011" s="806"/>
    </row>
    <row r="3012" spans="4:54">
      <c r="D3012" s="806"/>
      <c r="F3012" s="806"/>
      <c r="W3012" s="806"/>
      <c r="AZ3012" s="806"/>
      <c r="BA3012" s="806"/>
      <c r="BB3012" s="806"/>
    </row>
    <row r="3013" spans="4:54">
      <c r="D3013" s="806"/>
      <c r="F3013" s="806"/>
      <c r="W3013" s="806"/>
      <c r="AZ3013" s="806"/>
      <c r="BA3013" s="806"/>
      <c r="BB3013" s="806"/>
    </row>
    <row r="3014" spans="4:54">
      <c r="D3014" s="806"/>
      <c r="F3014" s="806"/>
      <c r="W3014" s="806"/>
      <c r="AZ3014" s="806"/>
      <c r="BA3014" s="806"/>
      <c r="BB3014" s="806"/>
    </row>
    <row r="3015" spans="4:54">
      <c r="D3015" s="806"/>
      <c r="F3015" s="806"/>
      <c r="W3015" s="806"/>
      <c r="AZ3015" s="806"/>
      <c r="BA3015" s="806"/>
      <c r="BB3015" s="806"/>
    </row>
    <row r="3016" spans="4:54">
      <c r="D3016" s="806"/>
      <c r="F3016" s="806"/>
      <c r="W3016" s="806"/>
      <c r="AZ3016" s="806"/>
      <c r="BA3016" s="806"/>
      <c r="BB3016" s="806"/>
    </row>
    <row r="3017" spans="4:54">
      <c r="D3017" s="806"/>
      <c r="F3017" s="806"/>
      <c r="W3017" s="806"/>
      <c r="AZ3017" s="806"/>
      <c r="BA3017" s="806"/>
      <c r="BB3017" s="806"/>
    </row>
    <row r="3018" spans="4:54">
      <c r="D3018" s="806"/>
      <c r="F3018" s="806"/>
      <c r="W3018" s="806"/>
      <c r="AZ3018" s="806"/>
      <c r="BA3018" s="806"/>
      <c r="BB3018" s="806"/>
    </row>
    <row r="3019" spans="4:54">
      <c r="D3019" s="806"/>
      <c r="F3019" s="806"/>
      <c r="W3019" s="806"/>
      <c r="AZ3019" s="806"/>
      <c r="BA3019" s="806"/>
      <c r="BB3019" s="806"/>
    </row>
    <row r="3026" spans="4:54">
      <c r="D3026" s="806"/>
      <c r="F3026" s="806"/>
      <c r="W3026" s="806"/>
      <c r="AZ3026" s="806"/>
      <c r="BA3026" s="806"/>
      <c r="BB3026" s="806"/>
    </row>
    <row r="3027" spans="4:54">
      <c r="D3027" s="806"/>
      <c r="F3027" s="806"/>
      <c r="W3027" s="806"/>
      <c r="AZ3027" s="806"/>
      <c r="BA3027" s="806"/>
      <c r="BB3027" s="806"/>
    </row>
    <row r="3028" spans="4:54">
      <c r="D3028" s="806"/>
      <c r="F3028" s="806"/>
      <c r="W3028" s="806"/>
      <c r="AZ3028" s="806"/>
      <c r="BA3028" s="806"/>
      <c r="BB3028" s="806"/>
    </row>
    <row r="3029" spans="4:54">
      <c r="D3029" s="806"/>
      <c r="F3029" s="806"/>
      <c r="W3029" s="806"/>
      <c r="AZ3029" s="806"/>
      <c r="BA3029" s="806"/>
      <c r="BB3029" s="806"/>
    </row>
    <row r="3030" spans="4:54">
      <c r="D3030" s="806"/>
      <c r="F3030" s="806"/>
      <c r="W3030" s="806"/>
      <c r="AZ3030" s="806"/>
      <c r="BA3030" s="806"/>
      <c r="BB3030" s="806"/>
    </row>
    <row r="3031" spans="4:54">
      <c r="D3031" s="806"/>
      <c r="F3031" s="806"/>
      <c r="W3031" s="806"/>
      <c r="AZ3031" s="806"/>
      <c r="BA3031" s="806"/>
      <c r="BB3031" s="806"/>
    </row>
    <row r="3032" spans="4:54">
      <c r="D3032" s="806"/>
      <c r="F3032" s="806"/>
      <c r="W3032" s="806"/>
      <c r="AZ3032" s="806"/>
      <c r="BA3032" s="806"/>
      <c r="BB3032" s="806"/>
    </row>
    <row r="3033" spans="4:54">
      <c r="D3033" s="806"/>
      <c r="F3033" s="806"/>
      <c r="W3033" s="806"/>
      <c r="AZ3033" s="806"/>
      <c r="BA3033" s="806"/>
      <c r="BB3033" s="806"/>
    </row>
    <row r="3034" spans="4:54">
      <c r="D3034" s="806"/>
      <c r="F3034" s="806"/>
      <c r="W3034" s="806"/>
      <c r="AZ3034" s="806"/>
      <c r="BA3034" s="806"/>
      <c r="BB3034" s="806"/>
    </row>
    <row r="3035" spans="4:54">
      <c r="D3035" s="806"/>
      <c r="F3035" s="806"/>
      <c r="W3035" s="806"/>
      <c r="AZ3035" s="806"/>
      <c r="BA3035" s="806"/>
      <c r="BB3035" s="806"/>
    </row>
    <row r="3036" spans="4:54">
      <c r="D3036" s="806"/>
      <c r="F3036" s="806"/>
      <c r="W3036" s="806"/>
      <c r="AZ3036" s="806"/>
      <c r="BA3036" s="806"/>
      <c r="BB3036" s="806"/>
    </row>
    <row r="3037" spans="4:54">
      <c r="D3037" s="806"/>
      <c r="F3037" s="806"/>
      <c r="W3037" s="806"/>
      <c r="AZ3037" s="806"/>
      <c r="BA3037" s="806"/>
      <c r="BB3037" s="806"/>
    </row>
    <row r="3038" spans="4:54">
      <c r="D3038" s="806"/>
      <c r="F3038" s="806"/>
      <c r="W3038" s="806"/>
      <c r="AZ3038" s="806"/>
      <c r="BA3038" s="806"/>
      <c r="BB3038" s="806"/>
    </row>
    <row r="3039" spans="4:54">
      <c r="D3039" s="806"/>
      <c r="F3039" s="806"/>
      <c r="W3039" s="806"/>
      <c r="AZ3039" s="806"/>
      <c r="BA3039" s="806"/>
      <c r="BB3039" s="806"/>
    </row>
    <row r="3040" spans="4:54">
      <c r="D3040" s="806"/>
      <c r="F3040" s="806"/>
      <c r="W3040" s="806"/>
      <c r="AZ3040" s="806"/>
      <c r="BA3040" s="806"/>
      <c r="BB3040" s="806"/>
    </row>
    <row r="3041" spans="4:54">
      <c r="D3041" s="806"/>
      <c r="F3041" s="806"/>
      <c r="W3041" s="806"/>
      <c r="AZ3041" s="806"/>
      <c r="BA3041" s="806"/>
      <c r="BB3041" s="806"/>
    </row>
    <row r="3042" spans="4:54">
      <c r="D3042" s="806"/>
      <c r="F3042" s="806"/>
      <c r="W3042" s="806"/>
      <c r="AZ3042" s="806"/>
      <c r="BA3042" s="806"/>
      <c r="BB3042" s="806"/>
    </row>
    <row r="3043" spans="4:54">
      <c r="D3043" s="806"/>
      <c r="F3043" s="806"/>
      <c r="W3043" s="806"/>
      <c r="AZ3043" s="806"/>
      <c r="BA3043" s="806"/>
      <c r="BB3043" s="806"/>
    </row>
    <row r="3044" spans="4:54">
      <c r="D3044" s="806"/>
      <c r="F3044" s="806"/>
      <c r="W3044" s="806"/>
      <c r="AZ3044" s="806"/>
      <c r="BA3044" s="806"/>
      <c r="BB3044" s="806"/>
    </row>
    <row r="3045" spans="4:54">
      <c r="D3045" s="806"/>
      <c r="F3045" s="806"/>
      <c r="W3045" s="806"/>
      <c r="AZ3045" s="806"/>
      <c r="BA3045" s="806"/>
      <c r="BB3045" s="806"/>
    </row>
    <row r="3046" spans="4:54">
      <c r="D3046" s="806"/>
      <c r="F3046" s="806"/>
      <c r="W3046" s="806"/>
      <c r="AZ3046" s="806"/>
      <c r="BA3046" s="806"/>
      <c r="BB3046" s="806"/>
    </row>
    <row r="3047" spans="4:54">
      <c r="D3047" s="806"/>
      <c r="F3047" s="806"/>
      <c r="W3047" s="806"/>
      <c r="AZ3047" s="806"/>
      <c r="BA3047" s="806"/>
      <c r="BB3047" s="806"/>
    </row>
    <row r="3048" spans="4:54">
      <c r="D3048" s="806"/>
      <c r="F3048" s="806"/>
      <c r="W3048" s="806"/>
      <c r="AZ3048" s="806"/>
      <c r="BA3048" s="806"/>
      <c r="BB3048" s="806"/>
    </row>
    <row r="3049" spans="4:54">
      <c r="D3049" s="806"/>
      <c r="F3049" s="806"/>
      <c r="W3049" s="806"/>
      <c r="AZ3049" s="806"/>
      <c r="BA3049" s="806"/>
      <c r="BB3049" s="806"/>
    </row>
    <row r="3050" spans="4:54">
      <c r="D3050" s="806"/>
      <c r="F3050" s="806"/>
      <c r="W3050" s="806"/>
      <c r="AZ3050" s="806"/>
      <c r="BA3050" s="806"/>
      <c r="BB3050" s="806"/>
    </row>
    <row r="3051" spans="4:54">
      <c r="D3051" s="806"/>
      <c r="F3051" s="806"/>
      <c r="W3051" s="806"/>
      <c r="AZ3051" s="806"/>
      <c r="BA3051" s="806"/>
      <c r="BB3051" s="806"/>
    </row>
    <row r="3052" spans="4:54">
      <c r="D3052" s="806"/>
      <c r="F3052" s="806"/>
      <c r="W3052" s="806"/>
      <c r="AZ3052" s="806"/>
      <c r="BA3052" s="806"/>
      <c r="BB3052" s="806"/>
    </row>
    <row r="3053" spans="4:54">
      <c r="D3053" s="806"/>
      <c r="F3053" s="806"/>
      <c r="W3053" s="806"/>
      <c r="AZ3053" s="806"/>
      <c r="BA3053" s="806"/>
      <c r="BB3053" s="806"/>
    </row>
    <row r="3054" spans="4:54">
      <c r="D3054" s="806"/>
      <c r="F3054" s="806"/>
      <c r="W3054" s="806"/>
      <c r="AZ3054" s="806"/>
      <c r="BA3054" s="806"/>
      <c r="BB3054" s="806"/>
    </row>
    <row r="3055" spans="4:54">
      <c r="D3055" s="806"/>
      <c r="F3055" s="806"/>
      <c r="W3055" s="806"/>
      <c r="AZ3055" s="806"/>
      <c r="BA3055" s="806"/>
      <c r="BB3055" s="806"/>
    </row>
    <row r="3056" spans="4:54">
      <c r="D3056" s="806"/>
      <c r="F3056" s="806"/>
      <c r="W3056" s="806"/>
      <c r="AZ3056" s="806"/>
      <c r="BA3056" s="806"/>
      <c r="BB3056" s="806"/>
    </row>
    <row r="3057" spans="4:54">
      <c r="D3057" s="806"/>
      <c r="F3057" s="806"/>
      <c r="W3057" s="806"/>
      <c r="AZ3057" s="806"/>
      <c r="BA3057" s="806"/>
      <c r="BB3057" s="806"/>
    </row>
    <row r="3058" spans="4:54">
      <c r="D3058" s="806"/>
      <c r="F3058" s="806"/>
      <c r="W3058" s="806"/>
      <c r="AZ3058" s="806"/>
      <c r="BA3058" s="806"/>
      <c r="BB3058" s="806"/>
    </row>
    <row r="3059" spans="4:54">
      <c r="D3059" s="806"/>
      <c r="F3059" s="806"/>
      <c r="W3059" s="806"/>
      <c r="AZ3059" s="806"/>
      <c r="BA3059" s="806"/>
      <c r="BB3059" s="806"/>
    </row>
    <row r="3060" spans="4:54">
      <c r="D3060" s="806"/>
      <c r="F3060" s="806"/>
      <c r="W3060" s="806"/>
      <c r="AZ3060" s="806"/>
      <c r="BA3060" s="806"/>
      <c r="BB3060" s="806"/>
    </row>
    <row r="3061" spans="4:54">
      <c r="D3061" s="806"/>
      <c r="F3061" s="806"/>
      <c r="W3061" s="806"/>
      <c r="AZ3061" s="806"/>
      <c r="BA3061" s="806"/>
      <c r="BB3061" s="806"/>
    </row>
    <row r="3062" spans="4:54">
      <c r="D3062" s="806"/>
      <c r="F3062" s="806"/>
      <c r="W3062" s="806"/>
      <c r="AZ3062" s="806"/>
      <c r="BA3062" s="806"/>
      <c r="BB3062" s="806"/>
    </row>
    <row r="3063" spans="4:54">
      <c r="D3063" s="806"/>
      <c r="F3063" s="806"/>
      <c r="W3063" s="806"/>
      <c r="AZ3063" s="806"/>
      <c r="BA3063" s="806"/>
      <c r="BB3063" s="806"/>
    </row>
    <row r="3064" spans="4:54">
      <c r="D3064" s="806"/>
      <c r="F3064" s="806"/>
      <c r="W3064" s="806"/>
      <c r="AZ3064" s="806"/>
      <c r="BA3064" s="806"/>
      <c r="BB3064" s="806"/>
    </row>
    <row r="3065" spans="4:54">
      <c r="D3065" s="806"/>
      <c r="F3065" s="806"/>
      <c r="W3065" s="806"/>
      <c r="AZ3065" s="806"/>
      <c r="BA3065" s="806"/>
      <c r="BB3065" s="806"/>
    </row>
    <row r="3066" spans="4:54">
      <c r="D3066" s="806"/>
      <c r="F3066" s="806"/>
      <c r="W3066" s="806"/>
      <c r="AZ3066" s="806"/>
      <c r="BA3066" s="806"/>
      <c r="BB3066" s="806"/>
    </row>
    <row r="3067" spans="4:54">
      <c r="D3067" s="806"/>
      <c r="F3067" s="806"/>
      <c r="W3067" s="806"/>
      <c r="AZ3067" s="806"/>
      <c r="BA3067" s="806"/>
      <c r="BB3067" s="806"/>
    </row>
    <row r="3068" spans="4:54">
      <c r="D3068" s="806"/>
      <c r="F3068" s="806"/>
      <c r="W3068" s="806"/>
      <c r="AZ3068" s="806"/>
      <c r="BA3068" s="806"/>
      <c r="BB3068" s="806"/>
    </row>
    <row r="3069" spans="4:54">
      <c r="D3069" s="806"/>
      <c r="F3069" s="806"/>
      <c r="W3069" s="806"/>
      <c r="AZ3069" s="806"/>
      <c r="BA3069" s="806"/>
      <c r="BB3069" s="806"/>
    </row>
    <row r="3070" spans="4:54">
      <c r="D3070" s="806"/>
      <c r="F3070" s="806"/>
      <c r="W3070" s="806"/>
      <c r="AZ3070" s="806"/>
      <c r="BA3070" s="806"/>
      <c r="BB3070" s="806"/>
    </row>
    <row r="3071" spans="4:54">
      <c r="D3071" s="806"/>
      <c r="F3071" s="806"/>
      <c r="W3071" s="806"/>
      <c r="AZ3071" s="806"/>
      <c r="BA3071" s="806"/>
      <c r="BB3071" s="806"/>
    </row>
    <row r="3072" spans="4:54">
      <c r="D3072" s="806"/>
      <c r="F3072" s="806"/>
      <c r="W3072" s="806"/>
      <c r="AZ3072" s="806"/>
      <c r="BA3072" s="806"/>
      <c r="BB3072" s="806"/>
    </row>
    <row r="3073" spans="4:54">
      <c r="D3073" s="806"/>
      <c r="F3073" s="806"/>
      <c r="W3073" s="806"/>
      <c r="AZ3073" s="806"/>
      <c r="BA3073" s="806"/>
      <c r="BB3073" s="806"/>
    </row>
    <row r="3074" spans="4:54">
      <c r="D3074" s="806"/>
      <c r="F3074" s="806"/>
      <c r="W3074" s="806"/>
      <c r="AZ3074" s="806"/>
      <c r="BA3074" s="806"/>
      <c r="BB3074" s="806"/>
    </row>
    <row r="3075" spans="4:54">
      <c r="D3075" s="806"/>
      <c r="F3075" s="806"/>
      <c r="W3075" s="806"/>
      <c r="AZ3075" s="806"/>
      <c r="BA3075" s="806"/>
      <c r="BB3075" s="806"/>
    </row>
    <row r="3076" spans="4:54">
      <c r="D3076" s="806"/>
      <c r="F3076" s="806"/>
      <c r="W3076" s="806"/>
      <c r="AZ3076" s="806"/>
      <c r="BA3076" s="806"/>
      <c r="BB3076" s="806"/>
    </row>
    <row r="3077" spans="4:54">
      <c r="D3077" s="806"/>
      <c r="F3077" s="806"/>
      <c r="W3077" s="806"/>
      <c r="AZ3077" s="806"/>
      <c r="BA3077" s="806"/>
      <c r="BB3077" s="806"/>
    </row>
    <row r="3078" spans="4:54">
      <c r="D3078" s="806"/>
      <c r="F3078" s="806"/>
      <c r="W3078" s="806"/>
      <c r="AZ3078" s="806"/>
      <c r="BA3078" s="806"/>
      <c r="BB3078" s="806"/>
    </row>
    <row r="3079" spans="4:54">
      <c r="D3079" s="806"/>
      <c r="F3079" s="806"/>
      <c r="W3079" s="806"/>
      <c r="AZ3079" s="806"/>
      <c r="BA3079" s="806"/>
      <c r="BB3079" s="806"/>
    </row>
    <row r="3080" spans="4:54">
      <c r="D3080" s="806"/>
      <c r="F3080" s="806"/>
      <c r="W3080" s="806"/>
      <c r="AZ3080" s="806"/>
      <c r="BA3080" s="806"/>
      <c r="BB3080" s="806"/>
    </row>
    <row r="3081" spans="4:54">
      <c r="D3081" s="806"/>
      <c r="F3081" s="806"/>
      <c r="W3081" s="806"/>
      <c r="AZ3081" s="806"/>
      <c r="BA3081" s="806"/>
      <c r="BB3081" s="806"/>
    </row>
    <row r="3082" spans="4:54">
      <c r="D3082" s="806"/>
      <c r="F3082" s="806"/>
      <c r="W3082" s="806"/>
      <c r="AZ3082" s="806"/>
      <c r="BA3082" s="806"/>
      <c r="BB3082" s="806"/>
    </row>
    <row r="3083" spans="4:54">
      <c r="D3083" s="806"/>
      <c r="F3083" s="806"/>
      <c r="W3083" s="806"/>
      <c r="AZ3083" s="806"/>
      <c r="BA3083" s="806"/>
      <c r="BB3083" s="806"/>
    </row>
    <row r="3084" spans="4:54">
      <c r="D3084" s="806"/>
      <c r="F3084" s="806"/>
      <c r="W3084" s="806"/>
      <c r="AZ3084" s="806"/>
      <c r="BA3084" s="806"/>
      <c r="BB3084" s="806"/>
    </row>
    <row r="3085" spans="4:54">
      <c r="D3085" s="806"/>
      <c r="F3085" s="806"/>
      <c r="W3085" s="806"/>
      <c r="AZ3085" s="806"/>
      <c r="BA3085" s="806"/>
      <c r="BB3085" s="806"/>
    </row>
    <row r="3086" spans="4:54">
      <c r="D3086" s="806"/>
      <c r="F3086" s="806"/>
      <c r="W3086" s="806"/>
      <c r="AZ3086" s="806"/>
      <c r="BA3086" s="806"/>
      <c r="BB3086" s="806"/>
    </row>
    <row r="3087" spans="4:54">
      <c r="D3087" s="806"/>
      <c r="F3087" s="806"/>
      <c r="W3087" s="806"/>
      <c r="AZ3087" s="806"/>
      <c r="BA3087" s="806"/>
      <c r="BB3087" s="806"/>
    </row>
    <row r="3088" spans="4:54">
      <c r="D3088" s="806"/>
      <c r="F3088" s="806"/>
      <c r="W3088" s="806"/>
      <c r="AZ3088" s="806"/>
      <c r="BA3088" s="806"/>
      <c r="BB3088" s="806"/>
    </row>
    <row r="3089" spans="4:54">
      <c r="D3089" s="806"/>
      <c r="F3089" s="806"/>
      <c r="W3089" s="806"/>
      <c r="AZ3089" s="806"/>
      <c r="BA3089" s="806"/>
      <c r="BB3089" s="806"/>
    </row>
    <row r="3090" spans="4:54">
      <c r="D3090" s="806"/>
      <c r="F3090" s="806"/>
      <c r="W3090" s="806"/>
      <c r="AZ3090" s="806"/>
      <c r="BA3090" s="806"/>
      <c r="BB3090" s="806"/>
    </row>
    <row r="3091" spans="4:54">
      <c r="D3091" s="806"/>
      <c r="F3091" s="806"/>
      <c r="W3091" s="806"/>
      <c r="AZ3091" s="806"/>
      <c r="BA3091" s="806"/>
      <c r="BB3091" s="806"/>
    </row>
    <row r="3092" spans="4:54">
      <c r="D3092" s="806"/>
      <c r="F3092" s="806"/>
      <c r="W3092" s="806"/>
      <c r="AZ3092" s="806"/>
      <c r="BA3092" s="806"/>
      <c r="BB3092" s="806"/>
    </row>
    <row r="3093" spans="4:54">
      <c r="D3093" s="806"/>
      <c r="F3093" s="806"/>
      <c r="W3093" s="806"/>
      <c r="AZ3093" s="806"/>
      <c r="BA3093" s="806"/>
      <c r="BB3093" s="806"/>
    </row>
    <row r="3094" spans="4:54">
      <c r="D3094" s="806"/>
      <c r="F3094" s="806"/>
      <c r="W3094" s="806"/>
      <c r="AZ3094" s="806"/>
      <c r="BA3094" s="806"/>
      <c r="BB3094" s="806"/>
    </row>
    <row r="3095" spans="4:54">
      <c r="D3095" s="806"/>
      <c r="F3095" s="806"/>
      <c r="W3095" s="806"/>
      <c r="AZ3095" s="806"/>
      <c r="BA3095" s="806"/>
      <c r="BB3095" s="806"/>
    </row>
    <row r="3096" spans="4:54">
      <c r="D3096" s="806"/>
      <c r="F3096" s="806"/>
      <c r="W3096" s="806"/>
      <c r="AZ3096" s="806"/>
      <c r="BA3096" s="806"/>
      <c r="BB3096" s="806"/>
    </row>
    <row r="3097" spans="4:54">
      <c r="D3097" s="806"/>
      <c r="F3097" s="806"/>
      <c r="W3097" s="806"/>
      <c r="AZ3097" s="806"/>
      <c r="BA3097" s="806"/>
      <c r="BB3097" s="806"/>
    </row>
    <row r="3098" spans="4:54">
      <c r="D3098" s="806"/>
      <c r="F3098" s="806"/>
      <c r="W3098" s="806"/>
      <c r="AZ3098" s="806"/>
      <c r="BA3098" s="806"/>
      <c r="BB3098" s="806"/>
    </row>
    <row r="3099" spans="4:54">
      <c r="D3099" s="806"/>
      <c r="F3099" s="806"/>
      <c r="W3099" s="806"/>
      <c r="AZ3099" s="806"/>
      <c r="BA3099" s="806"/>
      <c r="BB3099" s="806"/>
    </row>
    <row r="3100" spans="4:54">
      <c r="D3100" s="806"/>
      <c r="F3100" s="806"/>
      <c r="W3100" s="806"/>
      <c r="AZ3100" s="806"/>
      <c r="BA3100" s="806"/>
      <c r="BB3100" s="806"/>
    </row>
    <row r="3101" spans="4:54">
      <c r="D3101" s="806"/>
      <c r="F3101" s="806"/>
      <c r="W3101" s="806"/>
      <c r="AZ3101" s="806"/>
      <c r="BA3101" s="806"/>
      <c r="BB3101" s="806"/>
    </row>
    <row r="3102" spans="4:54">
      <c r="D3102" s="806"/>
      <c r="F3102" s="806"/>
      <c r="W3102" s="806"/>
      <c r="AZ3102" s="806"/>
      <c r="BA3102" s="806"/>
      <c r="BB3102" s="806"/>
    </row>
    <row r="3103" spans="4:54">
      <c r="D3103" s="806"/>
      <c r="F3103" s="806"/>
      <c r="W3103" s="806"/>
      <c r="AZ3103" s="806"/>
      <c r="BA3103" s="806"/>
      <c r="BB3103" s="806"/>
    </row>
    <row r="3104" spans="4:54">
      <c r="D3104" s="806"/>
      <c r="F3104" s="806"/>
      <c r="W3104" s="806"/>
      <c r="AZ3104" s="806"/>
      <c r="BA3104" s="806"/>
      <c r="BB3104" s="806"/>
    </row>
    <row r="3105" spans="4:54">
      <c r="D3105" s="806"/>
      <c r="F3105" s="806"/>
      <c r="W3105" s="806"/>
      <c r="AZ3105" s="806"/>
      <c r="BA3105" s="806"/>
      <c r="BB3105" s="806"/>
    </row>
    <row r="3106" spans="4:54">
      <c r="D3106" s="806"/>
      <c r="F3106" s="806"/>
      <c r="W3106" s="806"/>
      <c r="AZ3106" s="806"/>
      <c r="BA3106" s="806"/>
      <c r="BB3106" s="806"/>
    </row>
    <row r="3107" spans="4:54">
      <c r="D3107" s="806"/>
      <c r="F3107" s="806"/>
      <c r="W3107" s="806"/>
      <c r="AZ3107" s="806"/>
      <c r="BA3107" s="806"/>
      <c r="BB3107" s="806"/>
    </row>
    <row r="3108" spans="4:54">
      <c r="D3108" s="806"/>
      <c r="F3108" s="806"/>
      <c r="W3108" s="806"/>
      <c r="AZ3108" s="806"/>
      <c r="BA3108" s="806"/>
      <c r="BB3108" s="806"/>
    </row>
    <row r="3109" spans="4:54">
      <c r="D3109" s="806"/>
      <c r="F3109" s="806"/>
      <c r="W3109" s="806"/>
      <c r="AZ3109" s="806"/>
      <c r="BA3109" s="806"/>
      <c r="BB3109" s="806"/>
    </row>
    <row r="3110" spans="4:54">
      <c r="D3110" s="806"/>
      <c r="F3110" s="806"/>
      <c r="W3110" s="806"/>
      <c r="AZ3110" s="806"/>
      <c r="BA3110" s="806"/>
      <c r="BB3110" s="806"/>
    </row>
    <row r="3111" spans="4:54">
      <c r="D3111" s="806"/>
      <c r="F3111" s="806"/>
      <c r="W3111" s="806"/>
      <c r="AZ3111" s="806"/>
      <c r="BA3111" s="806"/>
      <c r="BB3111" s="806"/>
    </row>
    <row r="3112" spans="4:54">
      <c r="D3112" s="806"/>
      <c r="F3112" s="806"/>
      <c r="W3112" s="806"/>
      <c r="AZ3112" s="806"/>
      <c r="BA3112" s="806"/>
      <c r="BB3112" s="806"/>
    </row>
    <row r="3113" spans="4:54">
      <c r="D3113" s="806"/>
      <c r="F3113" s="806"/>
      <c r="W3113" s="806"/>
      <c r="AZ3113" s="806"/>
      <c r="BA3113" s="806"/>
      <c r="BB3113" s="806"/>
    </row>
    <row r="3114" spans="4:54">
      <c r="D3114" s="806"/>
      <c r="F3114" s="806"/>
      <c r="W3114" s="806"/>
      <c r="AZ3114" s="806"/>
      <c r="BA3114" s="806"/>
      <c r="BB3114" s="806"/>
    </row>
    <row r="3115" spans="4:54">
      <c r="D3115" s="806"/>
      <c r="F3115" s="806"/>
      <c r="W3115" s="806"/>
      <c r="AZ3115" s="806"/>
      <c r="BA3115" s="806"/>
      <c r="BB3115" s="806"/>
    </row>
    <row r="3116" spans="4:54">
      <c r="D3116" s="806"/>
      <c r="F3116" s="806"/>
      <c r="W3116" s="806"/>
      <c r="AZ3116" s="806"/>
      <c r="BA3116" s="806"/>
      <c r="BB3116" s="806"/>
    </row>
    <row r="3117" spans="4:54">
      <c r="D3117" s="806"/>
      <c r="F3117" s="806"/>
      <c r="W3117" s="806"/>
      <c r="AZ3117" s="806"/>
      <c r="BA3117" s="806"/>
      <c r="BB3117" s="806"/>
    </row>
    <row r="3118" spans="4:54">
      <c r="D3118" s="806"/>
      <c r="F3118" s="806"/>
      <c r="W3118" s="806"/>
      <c r="AZ3118" s="806"/>
      <c r="BA3118" s="806"/>
      <c r="BB3118" s="806"/>
    </row>
    <row r="3119" spans="4:54">
      <c r="D3119" s="806"/>
      <c r="F3119" s="806"/>
      <c r="W3119" s="806"/>
      <c r="AZ3119" s="806"/>
      <c r="BA3119" s="806"/>
      <c r="BB3119" s="806"/>
    </row>
    <row r="3120" spans="4:54">
      <c r="D3120" s="806"/>
      <c r="F3120" s="806"/>
      <c r="W3120" s="806"/>
      <c r="AZ3120" s="806"/>
      <c r="BA3120" s="806"/>
      <c r="BB3120" s="806"/>
    </row>
    <row r="3121" spans="4:54">
      <c r="D3121" s="806"/>
      <c r="F3121" s="806"/>
      <c r="W3121" s="806"/>
      <c r="AZ3121" s="806"/>
      <c r="BA3121" s="806"/>
      <c r="BB3121" s="806"/>
    </row>
    <row r="3122" spans="4:54">
      <c r="D3122" s="806"/>
      <c r="F3122" s="806"/>
      <c r="W3122" s="806"/>
      <c r="AZ3122" s="806"/>
      <c r="BA3122" s="806"/>
      <c r="BB3122" s="806"/>
    </row>
    <row r="3123" spans="4:54">
      <c r="D3123" s="806"/>
      <c r="F3123" s="806"/>
      <c r="W3123" s="806"/>
      <c r="AZ3123" s="806"/>
      <c r="BA3123" s="806"/>
      <c r="BB3123" s="806"/>
    </row>
    <row r="3124" spans="4:54">
      <c r="D3124" s="806"/>
      <c r="F3124" s="806"/>
      <c r="W3124" s="806"/>
      <c r="AZ3124" s="806"/>
      <c r="BA3124" s="806"/>
      <c r="BB3124" s="806"/>
    </row>
    <row r="3125" spans="4:54">
      <c r="D3125" s="806"/>
      <c r="F3125" s="806"/>
      <c r="W3125" s="806"/>
      <c r="AZ3125" s="806"/>
      <c r="BA3125" s="806"/>
      <c r="BB3125" s="806"/>
    </row>
    <row r="3126" spans="4:54">
      <c r="D3126" s="806"/>
      <c r="F3126" s="806"/>
      <c r="W3126" s="806"/>
      <c r="AZ3126" s="806"/>
      <c r="BA3126" s="806"/>
      <c r="BB3126" s="806"/>
    </row>
    <row r="3127" spans="4:54">
      <c r="D3127" s="806"/>
      <c r="F3127" s="806"/>
      <c r="W3127" s="806"/>
      <c r="AZ3127" s="806"/>
      <c r="BA3127" s="806"/>
      <c r="BB3127" s="806"/>
    </row>
    <row r="3128" spans="4:54">
      <c r="D3128" s="806"/>
      <c r="F3128" s="806"/>
      <c r="W3128" s="806"/>
      <c r="AZ3128" s="806"/>
      <c r="BA3128" s="806"/>
      <c r="BB3128" s="806"/>
    </row>
    <row r="3129" spans="4:54">
      <c r="D3129" s="806"/>
      <c r="F3129" s="806"/>
      <c r="W3129" s="806"/>
      <c r="AZ3129" s="806"/>
      <c r="BA3129" s="806"/>
      <c r="BB3129" s="806"/>
    </row>
    <row r="3130" spans="4:54">
      <c r="D3130" s="806"/>
      <c r="F3130" s="806"/>
      <c r="W3130" s="806"/>
      <c r="AZ3130" s="806"/>
      <c r="BA3130" s="806"/>
      <c r="BB3130" s="806"/>
    </row>
    <row r="3131" spans="4:54">
      <c r="D3131" s="806"/>
      <c r="F3131" s="806"/>
      <c r="W3131" s="806"/>
      <c r="AZ3131" s="806"/>
      <c r="BA3131" s="806"/>
      <c r="BB3131" s="806"/>
    </row>
    <row r="3132" spans="4:54">
      <c r="D3132" s="806"/>
      <c r="F3132" s="806"/>
      <c r="W3132" s="806"/>
      <c r="AZ3132" s="806"/>
      <c r="BA3132" s="806"/>
      <c r="BB3132" s="806"/>
    </row>
    <row r="3133" spans="4:54">
      <c r="D3133" s="806"/>
      <c r="F3133" s="806"/>
      <c r="W3133" s="806"/>
      <c r="AZ3133" s="806"/>
      <c r="BA3133" s="806"/>
      <c r="BB3133" s="806"/>
    </row>
    <row r="3134" spans="4:54">
      <c r="D3134" s="806"/>
      <c r="F3134" s="806"/>
      <c r="W3134" s="806"/>
      <c r="AZ3134" s="806"/>
      <c r="BA3134" s="806"/>
      <c r="BB3134" s="806"/>
    </row>
    <row r="3135" spans="4:54">
      <c r="D3135" s="806"/>
      <c r="F3135" s="806"/>
      <c r="W3135" s="806"/>
      <c r="AZ3135" s="806"/>
      <c r="BA3135" s="806"/>
      <c r="BB3135" s="806"/>
    </row>
    <row r="3136" spans="4:54">
      <c r="D3136" s="806"/>
      <c r="F3136" s="806"/>
      <c r="W3136" s="806"/>
      <c r="AZ3136" s="806"/>
      <c r="BA3136" s="806"/>
      <c r="BB3136" s="806"/>
    </row>
    <row r="3137" spans="4:54">
      <c r="D3137" s="806"/>
      <c r="F3137" s="806"/>
      <c r="W3137" s="806"/>
      <c r="AZ3137" s="806"/>
      <c r="BA3137" s="806"/>
      <c r="BB3137" s="806"/>
    </row>
    <row r="3138" spans="4:54">
      <c r="D3138" s="806"/>
      <c r="F3138" s="806"/>
      <c r="W3138" s="806"/>
      <c r="AZ3138" s="806"/>
      <c r="BA3138" s="806"/>
      <c r="BB3138" s="806"/>
    </row>
    <row r="3139" spans="4:54">
      <c r="D3139" s="806"/>
      <c r="F3139" s="806"/>
      <c r="W3139" s="806"/>
      <c r="AZ3139" s="806"/>
      <c r="BA3139" s="806"/>
      <c r="BB3139" s="806"/>
    </row>
    <row r="3140" spans="4:54">
      <c r="D3140" s="806"/>
      <c r="F3140" s="806"/>
      <c r="W3140" s="806"/>
      <c r="AZ3140" s="806"/>
      <c r="BA3140" s="806"/>
      <c r="BB3140" s="806"/>
    </row>
    <row r="3141" spans="4:54">
      <c r="D3141" s="806"/>
      <c r="F3141" s="806"/>
      <c r="W3141" s="806"/>
      <c r="AZ3141" s="806"/>
      <c r="BA3141" s="806"/>
      <c r="BB3141" s="806"/>
    </row>
    <row r="3142" spans="4:54">
      <c r="D3142" s="806"/>
      <c r="F3142" s="806"/>
      <c r="W3142" s="806"/>
      <c r="AZ3142" s="806"/>
      <c r="BA3142" s="806"/>
      <c r="BB3142" s="806"/>
    </row>
    <row r="3143" spans="4:54">
      <c r="D3143" s="806"/>
      <c r="F3143" s="806"/>
      <c r="W3143" s="806"/>
      <c r="AZ3143" s="806"/>
      <c r="BA3143" s="806"/>
      <c r="BB3143" s="806"/>
    </row>
    <row r="3144" spans="4:54">
      <c r="D3144" s="806"/>
      <c r="F3144" s="806"/>
      <c r="W3144" s="806"/>
      <c r="AZ3144" s="806"/>
      <c r="BA3144" s="806"/>
      <c r="BB3144" s="806"/>
    </row>
    <row r="3145" spans="4:54">
      <c r="D3145" s="806"/>
      <c r="F3145" s="806"/>
      <c r="W3145" s="806"/>
      <c r="AZ3145" s="806"/>
      <c r="BA3145" s="806"/>
      <c r="BB3145" s="806"/>
    </row>
    <row r="3146" spans="4:54">
      <c r="D3146" s="806"/>
      <c r="F3146" s="806"/>
      <c r="W3146" s="806"/>
      <c r="AZ3146" s="806"/>
      <c r="BA3146" s="806"/>
      <c r="BB3146" s="806"/>
    </row>
    <row r="3147" spans="4:54">
      <c r="D3147" s="806"/>
      <c r="F3147" s="806"/>
      <c r="W3147" s="806"/>
      <c r="AZ3147" s="806"/>
      <c r="BA3147" s="806"/>
      <c r="BB3147" s="806"/>
    </row>
    <row r="3148" spans="4:54">
      <c r="D3148" s="806"/>
      <c r="F3148" s="806"/>
      <c r="W3148" s="806"/>
      <c r="AZ3148" s="806"/>
      <c r="BA3148" s="806"/>
      <c r="BB3148" s="806"/>
    </row>
    <row r="3149" spans="4:54">
      <c r="D3149" s="806"/>
      <c r="F3149" s="806"/>
      <c r="W3149" s="806"/>
      <c r="AZ3149" s="806"/>
      <c r="BA3149" s="806"/>
      <c r="BB3149" s="806"/>
    </row>
    <row r="3150" spans="4:54">
      <c r="D3150" s="806"/>
      <c r="F3150" s="806"/>
      <c r="W3150" s="806"/>
      <c r="AZ3150" s="806"/>
      <c r="BA3150" s="806"/>
      <c r="BB3150" s="806"/>
    </row>
    <row r="3151" spans="4:54">
      <c r="D3151" s="806"/>
      <c r="F3151" s="806"/>
      <c r="W3151" s="806"/>
      <c r="AZ3151" s="806"/>
      <c r="BA3151" s="806"/>
      <c r="BB3151" s="806"/>
    </row>
    <row r="3152" spans="4:54">
      <c r="D3152" s="806"/>
      <c r="F3152" s="806"/>
      <c r="W3152" s="806"/>
      <c r="AZ3152" s="806"/>
      <c r="BA3152" s="806"/>
      <c r="BB3152" s="806"/>
    </row>
    <row r="3153" spans="4:54">
      <c r="D3153" s="806"/>
      <c r="F3153" s="806"/>
      <c r="W3153" s="806"/>
      <c r="AZ3153" s="806"/>
      <c r="BA3153" s="806"/>
      <c r="BB3153" s="806"/>
    </row>
    <row r="3154" spans="4:54">
      <c r="D3154" s="806"/>
      <c r="F3154" s="806"/>
      <c r="W3154" s="806"/>
      <c r="AZ3154" s="806"/>
      <c r="BA3154" s="806"/>
      <c r="BB3154" s="806"/>
    </row>
    <row r="3155" spans="4:54">
      <c r="D3155" s="806"/>
      <c r="F3155" s="806"/>
      <c r="W3155" s="806"/>
      <c r="AZ3155" s="806"/>
      <c r="BA3155" s="806"/>
      <c r="BB3155" s="806"/>
    </row>
    <row r="3156" spans="4:54">
      <c r="D3156" s="806"/>
      <c r="F3156" s="806"/>
      <c r="W3156" s="806"/>
      <c r="AZ3156" s="806"/>
      <c r="BA3156" s="806"/>
      <c r="BB3156" s="806"/>
    </row>
    <row r="3157" spans="4:54">
      <c r="D3157" s="806"/>
      <c r="F3157" s="806"/>
      <c r="W3157" s="806"/>
      <c r="AZ3157" s="806"/>
      <c r="BA3157" s="806"/>
      <c r="BB3157" s="806"/>
    </row>
    <row r="3158" spans="4:54">
      <c r="D3158" s="806"/>
      <c r="F3158" s="806"/>
      <c r="W3158" s="806"/>
      <c r="AZ3158" s="806"/>
      <c r="BA3158" s="806"/>
      <c r="BB3158" s="806"/>
    </row>
    <row r="3159" spans="4:54">
      <c r="D3159" s="806"/>
      <c r="F3159" s="806"/>
      <c r="W3159" s="806"/>
      <c r="AZ3159" s="806"/>
      <c r="BA3159" s="806"/>
      <c r="BB3159" s="806"/>
    </row>
    <row r="3160" spans="4:54">
      <c r="D3160" s="806"/>
      <c r="F3160" s="806"/>
      <c r="W3160" s="806"/>
      <c r="AZ3160" s="806"/>
      <c r="BA3160" s="806"/>
      <c r="BB3160" s="806"/>
    </row>
    <row r="3161" spans="4:54">
      <c r="D3161" s="806"/>
      <c r="F3161" s="806"/>
      <c r="W3161" s="806"/>
      <c r="AZ3161" s="806"/>
      <c r="BA3161" s="806"/>
      <c r="BB3161" s="806"/>
    </row>
    <row r="3162" spans="4:54">
      <c r="D3162" s="806"/>
      <c r="F3162" s="806"/>
      <c r="W3162" s="806"/>
      <c r="AZ3162" s="806"/>
      <c r="BA3162" s="806"/>
      <c r="BB3162" s="806"/>
    </row>
    <row r="3163" spans="4:54">
      <c r="D3163" s="806"/>
      <c r="F3163" s="806"/>
      <c r="W3163" s="806"/>
      <c r="AZ3163" s="806"/>
      <c r="BA3163" s="806"/>
      <c r="BB3163" s="806"/>
    </row>
    <row r="3164" spans="4:54">
      <c r="D3164" s="806"/>
      <c r="F3164" s="806"/>
      <c r="W3164" s="806"/>
      <c r="AZ3164" s="806"/>
      <c r="BA3164" s="806"/>
      <c r="BB3164" s="806"/>
    </row>
    <row r="3165" spans="4:54">
      <c r="D3165" s="806"/>
      <c r="F3165" s="806"/>
      <c r="W3165" s="806"/>
      <c r="AZ3165" s="806"/>
      <c r="BA3165" s="806"/>
      <c r="BB3165" s="806"/>
    </row>
    <row r="3166" spans="4:54">
      <c r="D3166" s="806"/>
      <c r="F3166" s="806"/>
      <c r="W3166" s="806"/>
      <c r="AZ3166" s="806"/>
      <c r="BA3166" s="806"/>
      <c r="BB3166" s="806"/>
    </row>
    <row r="3167" spans="4:54">
      <c r="D3167" s="806"/>
      <c r="F3167" s="806"/>
      <c r="W3167" s="806"/>
      <c r="AZ3167" s="806"/>
      <c r="BA3167" s="806"/>
      <c r="BB3167" s="806"/>
    </row>
    <row r="3168" spans="4:54">
      <c r="D3168" s="806"/>
      <c r="F3168" s="806"/>
      <c r="W3168" s="806"/>
      <c r="AZ3168" s="806"/>
      <c r="BA3168" s="806"/>
      <c r="BB3168" s="806"/>
    </row>
    <row r="3169" spans="4:54">
      <c r="D3169" s="806"/>
      <c r="F3169" s="806"/>
      <c r="W3169" s="806"/>
      <c r="AZ3169" s="806"/>
      <c r="BA3169" s="806"/>
      <c r="BB3169" s="806"/>
    </row>
    <row r="3170" spans="4:54">
      <c r="D3170" s="806"/>
      <c r="F3170" s="806"/>
      <c r="W3170" s="806"/>
      <c r="AZ3170" s="806"/>
      <c r="BA3170" s="806"/>
      <c r="BB3170" s="806"/>
    </row>
    <row r="3171" spans="4:54">
      <c r="D3171" s="806"/>
      <c r="F3171" s="806"/>
      <c r="W3171" s="806"/>
      <c r="AZ3171" s="806"/>
      <c r="BA3171" s="806"/>
      <c r="BB3171" s="806"/>
    </row>
    <row r="3172" spans="4:54">
      <c r="D3172" s="806"/>
      <c r="F3172" s="806"/>
      <c r="W3172" s="806"/>
      <c r="AZ3172" s="806"/>
      <c r="BA3172" s="806"/>
      <c r="BB3172" s="806"/>
    </row>
    <row r="3173" spans="4:54">
      <c r="D3173" s="806"/>
      <c r="F3173" s="806"/>
      <c r="W3173" s="806"/>
      <c r="AZ3173" s="806"/>
      <c r="BA3173" s="806"/>
      <c r="BB3173" s="806"/>
    </row>
    <row r="3174" spans="4:54">
      <c r="D3174" s="806"/>
      <c r="F3174" s="806"/>
      <c r="W3174" s="806"/>
      <c r="AZ3174" s="806"/>
      <c r="BA3174" s="806"/>
      <c r="BB3174" s="806"/>
    </row>
    <row r="3175" spans="4:54">
      <c r="D3175" s="806"/>
      <c r="F3175" s="806"/>
      <c r="W3175" s="806"/>
      <c r="AZ3175" s="806"/>
      <c r="BA3175" s="806"/>
      <c r="BB3175" s="806"/>
    </row>
    <row r="3176" spans="4:54">
      <c r="D3176" s="806"/>
      <c r="F3176" s="806"/>
      <c r="W3176" s="806"/>
      <c r="AZ3176" s="806"/>
      <c r="BA3176" s="806"/>
      <c r="BB3176" s="806"/>
    </row>
    <row r="3177" spans="4:54">
      <c r="D3177" s="806"/>
      <c r="F3177" s="806"/>
      <c r="W3177" s="806"/>
      <c r="AZ3177" s="806"/>
      <c r="BA3177" s="806"/>
      <c r="BB3177" s="806"/>
    </row>
    <row r="3178" spans="4:54">
      <c r="D3178" s="806"/>
      <c r="F3178" s="806"/>
      <c r="W3178" s="806"/>
      <c r="AZ3178" s="806"/>
      <c r="BA3178" s="806"/>
      <c r="BB3178" s="806"/>
    </row>
    <row r="3179" spans="4:54">
      <c r="D3179" s="806"/>
      <c r="F3179" s="806"/>
      <c r="W3179" s="806"/>
      <c r="AZ3179" s="806"/>
      <c r="BA3179" s="806"/>
      <c r="BB3179" s="806"/>
    </row>
    <row r="3180" spans="4:54">
      <c r="D3180" s="806"/>
      <c r="F3180" s="806"/>
      <c r="W3180" s="806"/>
      <c r="AZ3180" s="806"/>
      <c r="BA3180" s="806"/>
      <c r="BB3180" s="806"/>
    </row>
    <row r="3181" spans="4:54">
      <c r="D3181" s="806"/>
      <c r="F3181" s="806"/>
      <c r="W3181" s="806"/>
      <c r="AZ3181" s="806"/>
      <c r="BA3181" s="806"/>
      <c r="BB3181" s="806"/>
    </row>
    <row r="3182" spans="4:54">
      <c r="D3182" s="806"/>
      <c r="F3182" s="806"/>
      <c r="W3182" s="806"/>
      <c r="AZ3182" s="806"/>
      <c r="BA3182" s="806"/>
      <c r="BB3182" s="806"/>
    </row>
    <row r="3183" spans="4:54">
      <c r="D3183" s="806"/>
      <c r="F3183" s="806"/>
      <c r="W3183" s="806"/>
      <c r="AZ3183" s="806"/>
      <c r="BA3183" s="806"/>
      <c r="BB3183" s="806"/>
    </row>
    <row r="3184" spans="4:54">
      <c r="D3184" s="806"/>
      <c r="F3184" s="806"/>
      <c r="W3184" s="806"/>
      <c r="AZ3184" s="806"/>
      <c r="BA3184" s="806"/>
      <c r="BB3184" s="806"/>
    </row>
    <row r="3185" spans="4:54">
      <c r="D3185" s="806"/>
      <c r="F3185" s="806"/>
      <c r="W3185" s="806"/>
      <c r="AZ3185" s="806"/>
      <c r="BA3185" s="806"/>
      <c r="BB3185" s="806"/>
    </row>
    <row r="3186" spans="4:54">
      <c r="D3186" s="806"/>
      <c r="F3186" s="806"/>
      <c r="W3186" s="806"/>
      <c r="AZ3186" s="806"/>
      <c r="BA3186" s="806"/>
      <c r="BB3186" s="806"/>
    </row>
    <row r="3187" spans="4:54">
      <c r="D3187" s="806"/>
      <c r="F3187" s="806"/>
      <c r="W3187" s="806"/>
      <c r="AZ3187" s="806"/>
      <c r="BA3187" s="806"/>
      <c r="BB3187" s="806"/>
    </row>
    <row r="3188" spans="4:54">
      <c r="D3188" s="806"/>
      <c r="F3188" s="806"/>
      <c r="W3188" s="806"/>
      <c r="AZ3188" s="806"/>
      <c r="BA3188" s="806"/>
      <c r="BB3188" s="806"/>
    </row>
    <row r="3189" spans="4:54">
      <c r="D3189" s="806"/>
      <c r="F3189" s="806"/>
      <c r="W3189" s="806"/>
      <c r="AZ3189" s="806"/>
      <c r="BA3189" s="806"/>
      <c r="BB3189" s="806"/>
    </row>
    <row r="3190" spans="4:54">
      <c r="D3190" s="806"/>
      <c r="F3190" s="806"/>
      <c r="W3190" s="806"/>
      <c r="AZ3190" s="806"/>
      <c r="BA3190" s="806"/>
      <c r="BB3190" s="806"/>
    </row>
    <row r="3191" spans="4:54">
      <c r="D3191" s="806"/>
      <c r="F3191" s="806"/>
      <c r="W3191" s="806"/>
      <c r="AZ3191" s="806"/>
      <c r="BA3191" s="806"/>
      <c r="BB3191" s="806"/>
    </row>
    <row r="3192" spans="4:54">
      <c r="D3192" s="806"/>
      <c r="F3192" s="806"/>
      <c r="W3192" s="806"/>
      <c r="AZ3192" s="806"/>
      <c r="BA3192" s="806"/>
      <c r="BB3192" s="806"/>
    </row>
    <row r="3193" spans="4:54">
      <c r="D3193" s="806"/>
      <c r="F3193" s="806"/>
      <c r="W3193" s="806"/>
      <c r="AZ3193" s="806"/>
      <c r="BA3193" s="806"/>
      <c r="BB3193" s="806"/>
    </row>
    <row r="3194" spans="4:54">
      <c r="D3194" s="806"/>
      <c r="F3194" s="806"/>
      <c r="W3194" s="806"/>
      <c r="AZ3194" s="806"/>
      <c r="BA3194" s="806"/>
      <c r="BB3194" s="806"/>
    </row>
    <row r="3195" spans="4:54">
      <c r="D3195" s="806"/>
      <c r="F3195" s="806"/>
      <c r="W3195" s="806"/>
      <c r="AZ3195" s="806"/>
      <c r="BA3195" s="806"/>
      <c r="BB3195" s="806"/>
    </row>
    <row r="3196" spans="4:54">
      <c r="D3196" s="806"/>
      <c r="F3196" s="806"/>
      <c r="W3196" s="806"/>
      <c r="AZ3196" s="806"/>
      <c r="BA3196" s="806"/>
      <c r="BB3196" s="806"/>
    </row>
    <row r="3197" spans="4:54">
      <c r="D3197" s="806"/>
      <c r="F3197" s="806"/>
      <c r="W3197" s="806"/>
      <c r="AZ3197" s="806"/>
      <c r="BA3197" s="806"/>
      <c r="BB3197" s="806"/>
    </row>
    <row r="3198" spans="4:54">
      <c r="D3198" s="806"/>
      <c r="F3198" s="806"/>
      <c r="W3198" s="806"/>
      <c r="AZ3198" s="806"/>
      <c r="BA3198" s="806"/>
      <c r="BB3198" s="806"/>
    </row>
    <row r="3199" spans="4:54">
      <c r="D3199" s="806"/>
      <c r="F3199" s="806"/>
      <c r="W3199" s="806"/>
      <c r="AZ3199" s="806"/>
      <c r="BA3199" s="806"/>
      <c r="BB3199" s="806"/>
    </row>
    <row r="3200" spans="4:54">
      <c r="D3200" s="806"/>
      <c r="F3200" s="806"/>
      <c r="W3200" s="806"/>
      <c r="AZ3200" s="806"/>
      <c r="BA3200" s="806"/>
      <c r="BB3200" s="806"/>
    </row>
    <row r="3201" spans="4:54">
      <c r="D3201" s="806"/>
      <c r="F3201" s="806"/>
      <c r="W3201" s="806"/>
      <c r="AZ3201" s="806"/>
      <c r="BA3201" s="806"/>
      <c r="BB3201" s="806"/>
    </row>
    <row r="3202" spans="4:54">
      <c r="D3202" s="806"/>
      <c r="F3202" s="806"/>
      <c r="W3202" s="806"/>
      <c r="AZ3202" s="806"/>
      <c r="BA3202" s="806"/>
      <c r="BB3202" s="806"/>
    </row>
    <row r="3203" spans="4:54">
      <c r="D3203" s="806"/>
      <c r="F3203" s="806"/>
      <c r="W3203" s="806"/>
      <c r="AZ3203" s="806"/>
      <c r="BA3203" s="806"/>
      <c r="BB3203" s="806"/>
    </row>
    <row r="3204" spans="4:54">
      <c r="D3204" s="806"/>
      <c r="F3204" s="806"/>
      <c r="W3204" s="806"/>
      <c r="AZ3204" s="806"/>
      <c r="BA3204" s="806"/>
      <c r="BB3204" s="806"/>
    </row>
    <row r="3205" spans="4:54">
      <c r="D3205" s="806"/>
      <c r="F3205" s="806"/>
      <c r="W3205" s="806"/>
      <c r="AZ3205" s="806"/>
      <c r="BA3205" s="806"/>
      <c r="BB3205" s="806"/>
    </row>
    <row r="3206" spans="4:54">
      <c r="D3206" s="806"/>
      <c r="F3206" s="806"/>
      <c r="W3206" s="806"/>
      <c r="AZ3206" s="806"/>
      <c r="BA3206" s="806"/>
      <c r="BB3206" s="806"/>
    </row>
    <row r="3207" spans="4:54">
      <c r="D3207" s="806"/>
      <c r="F3207" s="806"/>
      <c r="W3207" s="806"/>
      <c r="AZ3207" s="806"/>
      <c r="BA3207" s="806"/>
      <c r="BB3207" s="806"/>
    </row>
    <row r="3208" spans="4:54">
      <c r="D3208" s="806"/>
      <c r="F3208" s="806"/>
      <c r="W3208" s="806"/>
      <c r="AZ3208" s="806"/>
      <c r="BA3208" s="806"/>
      <c r="BB3208" s="806"/>
    </row>
    <row r="3209" spans="4:54">
      <c r="D3209" s="806"/>
      <c r="F3209" s="806"/>
      <c r="W3209" s="806"/>
      <c r="AZ3209" s="806"/>
      <c r="BA3209" s="806"/>
      <c r="BB3209" s="806"/>
    </row>
    <row r="3210" spans="4:54">
      <c r="D3210" s="806"/>
      <c r="F3210" s="806"/>
      <c r="W3210" s="806"/>
      <c r="AZ3210" s="806"/>
      <c r="BA3210" s="806"/>
      <c r="BB3210" s="806"/>
    </row>
    <row r="3211" spans="4:54">
      <c r="D3211" s="806"/>
      <c r="F3211" s="806"/>
      <c r="W3211" s="806"/>
      <c r="AZ3211" s="806"/>
      <c r="BA3211" s="806"/>
      <c r="BB3211" s="806"/>
    </row>
    <row r="3212" spans="4:54">
      <c r="D3212" s="806"/>
      <c r="F3212" s="806"/>
      <c r="W3212" s="806"/>
      <c r="AZ3212" s="806"/>
      <c r="BA3212" s="806"/>
      <c r="BB3212" s="806"/>
    </row>
    <row r="3213" spans="4:54">
      <c r="D3213" s="806"/>
      <c r="F3213" s="806"/>
      <c r="W3213" s="806"/>
      <c r="AZ3213" s="806"/>
      <c r="BA3213" s="806"/>
      <c r="BB3213" s="806"/>
    </row>
    <row r="3214" spans="4:54">
      <c r="D3214" s="806"/>
      <c r="F3214" s="806"/>
      <c r="W3214" s="806"/>
      <c r="AZ3214" s="806"/>
      <c r="BA3214" s="806"/>
      <c r="BB3214" s="806"/>
    </row>
    <row r="3215" spans="4:54">
      <c r="D3215" s="806"/>
      <c r="F3215" s="806"/>
      <c r="W3215" s="806"/>
      <c r="AZ3215" s="806"/>
      <c r="BA3215" s="806"/>
      <c r="BB3215" s="806"/>
    </row>
    <row r="3216" spans="4:54">
      <c r="D3216" s="806"/>
      <c r="F3216" s="806"/>
      <c r="W3216" s="806"/>
      <c r="AZ3216" s="806"/>
      <c r="BA3216" s="806"/>
      <c r="BB3216" s="806"/>
    </row>
    <row r="3217" spans="4:54">
      <c r="D3217" s="806"/>
      <c r="F3217" s="806"/>
      <c r="W3217" s="806"/>
      <c r="AZ3217" s="806"/>
      <c r="BA3217" s="806"/>
      <c r="BB3217" s="806"/>
    </row>
    <row r="3218" spans="4:54">
      <c r="D3218" s="806"/>
      <c r="F3218" s="806"/>
      <c r="W3218" s="806"/>
      <c r="AZ3218" s="806"/>
      <c r="BA3218" s="806"/>
      <c r="BB3218" s="806"/>
    </row>
    <row r="3219" spans="4:54">
      <c r="D3219" s="806"/>
      <c r="F3219" s="806"/>
      <c r="W3219" s="806"/>
      <c r="AZ3219" s="806"/>
      <c r="BA3219" s="806"/>
      <c r="BB3219" s="806"/>
    </row>
    <row r="3220" spans="4:54">
      <c r="D3220" s="806"/>
      <c r="F3220" s="806"/>
      <c r="W3220" s="806"/>
      <c r="AZ3220" s="806"/>
      <c r="BA3220" s="806"/>
      <c r="BB3220" s="806"/>
    </row>
    <row r="3221" spans="4:54">
      <c r="D3221" s="806"/>
      <c r="F3221" s="806"/>
      <c r="W3221" s="806"/>
      <c r="AZ3221" s="806"/>
      <c r="BA3221" s="806"/>
      <c r="BB3221" s="806"/>
    </row>
    <row r="3222" spans="4:54">
      <c r="D3222" s="806"/>
      <c r="F3222" s="806"/>
      <c r="W3222" s="806"/>
      <c r="AZ3222" s="806"/>
      <c r="BA3222" s="806"/>
      <c r="BB3222" s="806"/>
    </row>
    <row r="3223" spans="4:54">
      <c r="D3223" s="806"/>
      <c r="F3223" s="806"/>
      <c r="W3223" s="806"/>
      <c r="AZ3223" s="806"/>
      <c r="BA3223" s="806"/>
      <c r="BB3223" s="806"/>
    </row>
    <row r="3224" spans="4:54">
      <c r="D3224" s="806"/>
      <c r="F3224" s="806"/>
      <c r="W3224" s="806"/>
      <c r="AZ3224" s="806"/>
      <c r="BA3224" s="806"/>
      <c r="BB3224" s="806"/>
    </row>
    <row r="3225" spans="4:54">
      <c r="D3225" s="806"/>
      <c r="F3225" s="806"/>
      <c r="W3225" s="806"/>
      <c r="AZ3225" s="806"/>
      <c r="BA3225" s="806"/>
      <c r="BB3225" s="806"/>
    </row>
    <row r="3226" spans="4:54">
      <c r="D3226" s="806"/>
      <c r="F3226" s="806"/>
      <c r="W3226" s="806"/>
      <c r="AZ3226" s="806"/>
      <c r="BA3226" s="806"/>
      <c r="BB3226" s="806"/>
    </row>
    <row r="3227" spans="4:54">
      <c r="D3227" s="806"/>
      <c r="F3227" s="806"/>
      <c r="W3227" s="806"/>
      <c r="AZ3227" s="806"/>
      <c r="BA3227" s="806"/>
      <c r="BB3227" s="806"/>
    </row>
    <row r="3228" spans="4:54">
      <c r="D3228" s="806"/>
      <c r="F3228" s="806"/>
      <c r="W3228" s="806"/>
      <c r="AZ3228" s="806"/>
      <c r="BA3228" s="806"/>
      <c r="BB3228" s="806"/>
    </row>
    <row r="3229" spans="4:54">
      <c r="D3229" s="806"/>
      <c r="F3229" s="806"/>
      <c r="W3229" s="806"/>
      <c r="AZ3229" s="806"/>
      <c r="BA3229" s="806"/>
      <c r="BB3229" s="806"/>
    </row>
    <row r="3230" spans="4:54">
      <c r="D3230" s="806"/>
      <c r="F3230" s="806"/>
      <c r="W3230" s="806"/>
      <c r="AZ3230" s="806"/>
      <c r="BA3230" s="806"/>
      <c r="BB3230" s="806"/>
    </row>
    <row r="3231" spans="4:54">
      <c r="D3231" s="806"/>
      <c r="F3231" s="806"/>
      <c r="W3231" s="806"/>
      <c r="AZ3231" s="806"/>
      <c r="BA3231" s="806"/>
      <c r="BB3231" s="806"/>
    </row>
    <row r="3232" spans="4:54">
      <c r="D3232" s="806"/>
      <c r="F3232" s="806"/>
      <c r="W3232" s="806"/>
      <c r="AZ3232" s="806"/>
      <c r="BA3232" s="806"/>
      <c r="BB3232" s="806"/>
    </row>
    <row r="3233" spans="4:54">
      <c r="D3233" s="806"/>
      <c r="F3233" s="806"/>
      <c r="W3233" s="806"/>
      <c r="AZ3233" s="806"/>
      <c r="BA3233" s="806"/>
      <c r="BB3233" s="806"/>
    </row>
    <row r="3234" spans="4:54">
      <c r="D3234" s="806"/>
      <c r="F3234" s="806"/>
      <c r="W3234" s="806"/>
      <c r="AZ3234" s="806"/>
      <c r="BA3234" s="806"/>
      <c r="BB3234" s="806"/>
    </row>
    <row r="3235" spans="4:54">
      <c r="D3235" s="806"/>
      <c r="F3235" s="806"/>
      <c r="W3235" s="806"/>
      <c r="AZ3235" s="806"/>
      <c r="BA3235" s="806"/>
      <c r="BB3235" s="806"/>
    </row>
    <row r="3236" spans="4:54">
      <c r="D3236" s="806"/>
      <c r="F3236" s="806"/>
      <c r="W3236" s="806"/>
      <c r="AZ3236" s="806"/>
      <c r="BA3236" s="806"/>
      <c r="BB3236" s="806"/>
    </row>
    <row r="3237" spans="4:54">
      <c r="D3237" s="806"/>
      <c r="F3237" s="806"/>
      <c r="W3237" s="806"/>
      <c r="AZ3237" s="806"/>
      <c r="BA3237" s="806"/>
      <c r="BB3237" s="806"/>
    </row>
    <row r="3238" spans="4:54">
      <c r="D3238" s="806"/>
      <c r="F3238" s="806"/>
      <c r="W3238" s="806"/>
      <c r="AZ3238" s="806"/>
      <c r="BA3238" s="806"/>
      <c r="BB3238" s="806"/>
    </row>
    <row r="3239" spans="4:54">
      <c r="D3239" s="806"/>
      <c r="F3239" s="806"/>
      <c r="W3239" s="806"/>
      <c r="AZ3239" s="806"/>
      <c r="BA3239" s="806"/>
      <c r="BB3239" s="806"/>
    </row>
    <row r="3240" spans="4:54">
      <c r="D3240" s="806"/>
      <c r="F3240" s="806"/>
      <c r="W3240" s="806"/>
      <c r="AZ3240" s="806"/>
      <c r="BA3240" s="806"/>
      <c r="BB3240" s="806"/>
    </row>
    <row r="3241" spans="4:54">
      <c r="D3241" s="806"/>
      <c r="F3241" s="806"/>
      <c r="W3241" s="806"/>
      <c r="AZ3241" s="806"/>
      <c r="BA3241" s="806"/>
      <c r="BB3241" s="806"/>
    </row>
    <row r="3242" spans="4:54">
      <c r="D3242" s="806"/>
      <c r="F3242" s="806"/>
      <c r="W3242" s="806"/>
      <c r="AZ3242" s="806"/>
      <c r="BA3242" s="806"/>
      <c r="BB3242" s="806"/>
    </row>
    <row r="3243" spans="4:54">
      <c r="D3243" s="806"/>
      <c r="F3243" s="806"/>
      <c r="W3243" s="806"/>
      <c r="AZ3243" s="806"/>
      <c r="BA3243" s="806"/>
      <c r="BB3243" s="806"/>
    </row>
    <row r="3244" spans="4:54">
      <c r="D3244" s="806"/>
      <c r="F3244" s="806"/>
      <c r="W3244" s="806"/>
      <c r="AZ3244" s="806"/>
      <c r="BA3244" s="806"/>
      <c r="BB3244" s="806"/>
    </row>
    <row r="3245" spans="4:54">
      <c r="D3245" s="806"/>
      <c r="F3245" s="806"/>
      <c r="W3245" s="806"/>
      <c r="AZ3245" s="806"/>
      <c r="BA3245" s="806"/>
      <c r="BB3245" s="806"/>
    </row>
    <row r="3246" spans="4:54">
      <c r="D3246" s="806"/>
      <c r="F3246" s="806"/>
      <c r="W3246" s="806"/>
      <c r="AZ3246" s="806"/>
      <c r="BA3246" s="806"/>
      <c r="BB3246" s="806"/>
    </row>
    <row r="3247" spans="4:54">
      <c r="D3247" s="806"/>
      <c r="F3247" s="806"/>
      <c r="W3247" s="806"/>
      <c r="AZ3247" s="806"/>
      <c r="BA3247" s="806"/>
      <c r="BB3247" s="806"/>
    </row>
    <row r="3248" spans="4:54">
      <c r="D3248" s="806"/>
      <c r="F3248" s="806"/>
      <c r="W3248" s="806"/>
      <c r="AZ3248" s="806"/>
      <c r="BA3248" s="806"/>
      <c r="BB3248" s="806"/>
    </row>
    <row r="3249" spans="4:54">
      <c r="D3249" s="806"/>
      <c r="F3249" s="806"/>
      <c r="W3249" s="806"/>
      <c r="AZ3249" s="806"/>
      <c r="BA3249" s="806"/>
      <c r="BB3249" s="806"/>
    </row>
    <row r="3250" spans="4:54">
      <c r="D3250" s="806"/>
      <c r="F3250" s="806"/>
      <c r="W3250" s="806"/>
      <c r="AZ3250" s="806"/>
      <c r="BA3250" s="806"/>
      <c r="BB3250" s="806"/>
    </row>
    <row r="3251" spans="4:54">
      <c r="D3251" s="806"/>
      <c r="F3251" s="806"/>
      <c r="W3251" s="806"/>
      <c r="AZ3251" s="806"/>
      <c r="BA3251" s="806"/>
      <c r="BB3251" s="806"/>
    </row>
    <row r="3252" spans="4:54">
      <c r="D3252" s="806"/>
      <c r="F3252" s="806"/>
      <c r="W3252" s="806"/>
      <c r="AZ3252" s="806"/>
      <c r="BA3252" s="806"/>
      <c r="BB3252" s="806"/>
    </row>
    <row r="3253" spans="4:54">
      <c r="D3253" s="806"/>
      <c r="F3253" s="806"/>
      <c r="W3253" s="806"/>
      <c r="AZ3253" s="806"/>
      <c r="BA3253" s="806"/>
      <c r="BB3253" s="806"/>
    </row>
    <row r="3254" spans="4:54">
      <c r="D3254" s="806"/>
      <c r="F3254" s="806"/>
      <c r="W3254" s="806"/>
      <c r="AZ3254" s="806"/>
      <c r="BA3254" s="806"/>
      <c r="BB3254" s="806"/>
    </row>
    <row r="3255" spans="4:54">
      <c r="D3255" s="806"/>
      <c r="F3255" s="806"/>
      <c r="W3255" s="806"/>
      <c r="AZ3255" s="806"/>
      <c r="BA3255" s="806"/>
      <c r="BB3255" s="806"/>
    </row>
    <row r="3256" spans="4:54">
      <c r="D3256" s="806"/>
      <c r="F3256" s="806"/>
      <c r="W3256" s="806"/>
      <c r="AZ3256" s="806"/>
      <c r="BA3256" s="806"/>
      <c r="BB3256" s="806"/>
    </row>
    <row r="3257" spans="4:54">
      <c r="D3257" s="806"/>
      <c r="F3257" s="806"/>
      <c r="W3257" s="806"/>
      <c r="AZ3257" s="806"/>
      <c r="BA3257" s="806"/>
      <c r="BB3257" s="806"/>
    </row>
    <row r="3258" spans="4:54">
      <c r="D3258" s="806"/>
      <c r="F3258" s="806"/>
      <c r="W3258" s="806"/>
      <c r="AZ3258" s="806"/>
      <c r="BA3258" s="806"/>
      <c r="BB3258" s="806"/>
    </row>
    <row r="3259" spans="4:54">
      <c r="D3259" s="806"/>
      <c r="F3259" s="806"/>
      <c r="W3259" s="806"/>
      <c r="AZ3259" s="806"/>
      <c r="BA3259" s="806"/>
      <c r="BB3259" s="806"/>
    </row>
    <row r="3260" spans="4:54">
      <c r="D3260" s="806"/>
      <c r="F3260" s="806"/>
      <c r="W3260" s="806"/>
      <c r="AZ3260" s="806"/>
      <c r="BA3260" s="806"/>
      <c r="BB3260" s="806"/>
    </row>
    <row r="3261" spans="4:54">
      <c r="D3261" s="806"/>
      <c r="F3261" s="806"/>
      <c r="W3261" s="806"/>
      <c r="AZ3261" s="806"/>
      <c r="BA3261" s="806"/>
      <c r="BB3261" s="806"/>
    </row>
    <row r="3262" spans="4:54">
      <c r="D3262" s="806"/>
      <c r="F3262" s="806"/>
      <c r="W3262" s="806"/>
      <c r="AZ3262" s="806"/>
      <c r="BA3262" s="806"/>
      <c r="BB3262" s="806"/>
    </row>
    <row r="3263" spans="4:54">
      <c r="D3263" s="806"/>
      <c r="F3263" s="806"/>
      <c r="W3263" s="806"/>
      <c r="AZ3263" s="806"/>
      <c r="BA3263" s="806"/>
      <c r="BB3263" s="806"/>
    </row>
    <row r="3264" spans="4:54">
      <c r="D3264" s="806"/>
      <c r="F3264" s="806"/>
      <c r="W3264" s="806"/>
      <c r="AZ3264" s="806"/>
      <c r="BA3264" s="806"/>
      <c r="BB3264" s="806"/>
    </row>
    <row r="3265" spans="4:54">
      <c r="D3265" s="806"/>
      <c r="F3265" s="806"/>
      <c r="W3265" s="806"/>
      <c r="AZ3265" s="806"/>
      <c r="BA3265" s="806"/>
      <c r="BB3265" s="806"/>
    </row>
    <row r="3266" spans="4:54">
      <c r="D3266" s="806"/>
      <c r="F3266" s="806"/>
      <c r="W3266" s="806"/>
      <c r="AZ3266" s="806"/>
      <c r="BA3266" s="806"/>
      <c r="BB3266" s="806"/>
    </row>
    <row r="3267" spans="4:54">
      <c r="D3267" s="806"/>
      <c r="F3267" s="806"/>
      <c r="W3267" s="806"/>
      <c r="AZ3267" s="806"/>
      <c r="BA3267" s="806"/>
      <c r="BB3267" s="806"/>
    </row>
    <row r="3268" spans="4:54">
      <c r="D3268" s="806"/>
      <c r="F3268" s="806"/>
      <c r="W3268" s="806"/>
      <c r="AZ3268" s="806"/>
      <c r="BA3268" s="806"/>
      <c r="BB3268" s="806"/>
    </row>
    <row r="3271" spans="4:54">
      <c r="D3271" s="806"/>
      <c r="F3271" s="806"/>
      <c r="W3271" s="806"/>
      <c r="AZ3271" s="806"/>
      <c r="BA3271" s="806"/>
      <c r="BB3271" s="806"/>
    </row>
    <row r="3272" spans="4:54">
      <c r="D3272" s="806"/>
      <c r="F3272" s="806"/>
      <c r="W3272" s="806"/>
      <c r="AZ3272" s="806"/>
      <c r="BA3272" s="806"/>
      <c r="BB3272" s="806"/>
    </row>
    <row r="3273" spans="4:54">
      <c r="D3273" s="806"/>
      <c r="F3273" s="806"/>
      <c r="W3273" s="806"/>
      <c r="AZ3273" s="806"/>
      <c r="BA3273" s="806"/>
      <c r="BB3273" s="806"/>
    </row>
    <row r="3274" spans="4:54">
      <c r="D3274" s="806"/>
      <c r="F3274" s="806"/>
      <c r="W3274" s="806"/>
      <c r="AZ3274" s="806"/>
      <c r="BA3274" s="806"/>
      <c r="BB3274" s="806"/>
    </row>
    <row r="3275" spans="4:54">
      <c r="D3275" s="806"/>
      <c r="F3275" s="806"/>
      <c r="W3275" s="806"/>
      <c r="AZ3275" s="806"/>
      <c r="BA3275" s="806"/>
      <c r="BB3275" s="806"/>
    </row>
    <row r="3276" spans="4:54">
      <c r="D3276" s="806"/>
      <c r="F3276" s="806"/>
      <c r="W3276" s="806"/>
      <c r="AZ3276" s="806"/>
      <c r="BA3276" s="806"/>
      <c r="BB3276" s="806"/>
    </row>
    <row r="3277" spans="4:54">
      <c r="D3277" s="806"/>
      <c r="F3277" s="806"/>
      <c r="W3277" s="806"/>
      <c r="AZ3277" s="806"/>
      <c r="BA3277" s="806"/>
      <c r="BB3277" s="806"/>
    </row>
    <row r="3278" spans="4:54">
      <c r="D3278" s="806"/>
      <c r="F3278" s="806"/>
      <c r="W3278" s="806"/>
      <c r="AZ3278" s="806"/>
      <c r="BA3278" s="806"/>
      <c r="BB3278" s="806"/>
    </row>
    <row r="3279" spans="4:54">
      <c r="D3279" s="806"/>
      <c r="F3279" s="806"/>
      <c r="W3279" s="806"/>
      <c r="AZ3279" s="806"/>
      <c r="BA3279" s="806"/>
      <c r="BB3279" s="806"/>
    </row>
    <row r="3280" spans="4:54">
      <c r="D3280" s="806"/>
      <c r="F3280" s="806"/>
      <c r="W3280" s="806"/>
      <c r="AZ3280" s="806"/>
      <c r="BA3280" s="806"/>
      <c r="BB3280" s="806"/>
    </row>
    <row r="3281" spans="4:54">
      <c r="D3281" s="806"/>
      <c r="F3281" s="806"/>
      <c r="W3281" s="806"/>
      <c r="AZ3281" s="806"/>
      <c r="BA3281" s="806"/>
      <c r="BB3281" s="806"/>
    </row>
    <row r="3282" spans="4:54">
      <c r="D3282" s="806"/>
      <c r="F3282" s="806"/>
      <c r="W3282" s="806"/>
      <c r="AZ3282" s="806"/>
      <c r="BA3282" s="806"/>
      <c r="BB3282" s="806"/>
    </row>
    <row r="3283" spans="4:54">
      <c r="D3283" s="806"/>
      <c r="F3283" s="806"/>
      <c r="W3283" s="806"/>
      <c r="AZ3283" s="806"/>
      <c r="BA3283" s="806"/>
      <c r="BB3283" s="806"/>
    </row>
    <row r="3284" spans="4:54">
      <c r="D3284" s="806"/>
      <c r="F3284" s="806"/>
      <c r="W3284" s="806"/>
      <c r="AZ3284" s="806"/>
      <c r="BA3284" s="806"/>
      <c r="BB3284" s="806"/>
    </row>
    <row r="3285" spans="4:54">
      <c r="D3285" s="806"/>
      <c r="F3285" s="806"/>
      <c r="W3285" s="806"/>
      <c r="AZ3285" s="806"/>
      <c r="BA3285" s="806"/>
      <c r="BB3285" s="806"/>
    </row>
    <row r="3286" spans="4:54">
      <c r="D3286" s="806"/>
      <c r="F3286" s="806"/>
      <c r="W3286" s="806"/>
      <c r="AZ3286" s="806"/>
      <c r="BA3286" s="806"/>
      <c r="BB3286" s="806"/>
    </row>
    <row r="3287" spans="4:54">
      <c r="D3287" s="806"/>
      <c r="F3287" s="806"/>
      <c r="W3287" s="806"/>
      <c r="AZ3287" s="806"/>
      <c r="BA3287" s="806"/>
      <c r="BB3287" s="806"/>
    </row>
    <row r="3288" spans="4:54">
      <c r="D3288" s="806"/>
      <c r="F3288" s="806"/>
      <c r="W3288" s="806"/>
      <c r="AZ3288" s="806"/>
      <c r="BA3288" s="806"/>
      <c r="BB3288" s="806"/>
    </row>
    <row r="3289" spans="4:54">
      <c r="D3289" s="806"/>
      <c r="F3289" s="806"/>
      <c r="W3289" s="806"/>
      <c r="AZ3289" s="806"/>
      <c r="BA3289" s="806"/>
      <c r="BB3289" s="806"/>
    </row>
    <row r="3290" spans="4:54">
      <c r="D3290" s="806"/>
      <c r="F3290" s="806"/>
      <c r="W3290" s="806"/>
      <c r="AZ3290" s="806"/>
      <c r="BA3290" s="806"/>
      <c r="BB3290" s="806"/>
    </row>
    <row r="3291" spans="4:54">
      <c r="D3291" s="806"/>
      <c r="F3291" s="806"/>
      <c r="W3291" s="806"/>
      <c r="AZ3291" s="806"/>
      <c r="BA3291" s="806"/>
      <c r="BB3291" s="806"/>
    </row>
    <row r="3292" spans="4:54">
      <c r="D3292" s="806"/>
      <c r="F3292" s="806"/>
      <c r="W3292" s="806"/>
      <c r="AZ3292" s="806"/>
      <c r="BA3292" s="806"/>
      <c r="BB3292" s="806"/>
    </row>
    <row r="3293" spans="4:54">
      <c r="D3293" s="806"/>
      <c r="F3293" s="806"/>
      <c r="W3293" s="806"/>
      <c r="AZ3293" s="806"/>
      <c r="BA3293" s="806"/>
      <c r="BB3293" s="806"/>
    </row>
    <row r="3294" spans="4:54">
      <c r="D3294" s="806"/>
      <c r="F3294" s="806"/>
      <c r="W3294" s="806"/>
      <c r="AZ3294" s="806"/>
      <c r="BA3294" s="806"/>
      <c r="BB3294" s="806"/>
    </row>
    <row r="3295" spans="4:54">
      <c r="D3295" s="806"/>
      <c r="F3295" s="806"/>
      <c r="W3295" s="806"/>
      <c r="AZ3295" s="806"/>
      <c r="BA3295" s="806"/>
      <c r="BB3295" s="806"/>
    </row>
    <row r="3296" spans="4:54">
      <c r="D3296" s="806"/>
      <c r="F3296" s="806"/>
      <c r="W3296" s="806"/>
      <c r="AZ3296" s="806"/>
      <c r="BA3296" s="806"/>
      <c r="BB3296" s="806"/>
    </row>
    <row r="3297" spans="4:54">
      <c r="D3297" s="806"/>
      <c r="F3297" s="806"/>
      <c r="W3297" s="806"/>
      <c r="AZ3297" s="806"/>
      <c r="BA3297" s="806"/>
      <c r="BB3297" s="806"/>
    </row>
    <row r="3298" spans="4:54">
      <c r="D3298" s="806"/>
      <c r="F3298" s="806"/>
      <c r="W3298" s="806"/>
      <c r="AZ3298" s="806"/>
      <c r="BA3298" s="806"/>
      <c r="BB3298" s="806"/>
    </row>
    <row r="3299" spans="4:54">
      <c r="D3299" s="806"/>
      <c r="F3299" s="806"/>
      <c r="W3299" s="806"/>
      <c r="AZ3299" s="806"/>
      <c r="BA3299" s="806"/>
      <c r="BB3299" s="806"/>
    </row>
    <row r="3300" spans="4:54">
      <c r="D3300" s="806"/>
      <c r="F3300" s="806"/>
      <c r="W3300" s="806"/>
      <c r="AZ3300" s="806"/>
      <c r="BA3300" s="806"/>
      <c r="BB3300" s="806"/>
    </row>
    <row r="3301" spans="4:54">
      <c r="D3301" s="806"/>
      <c r="F3301" s="806"/>
      <c r="W3301" s="806"/>
      <c r="AZ3301" s="806"/>
      <c r="BA3301" s="806"/>
      <c r="BB3301" s="806"/>
    </row>
    <row r="3302" spans="4:54">
      <c r="D3302" s="806"/>
      <c r="F3302" s="806"/>
      <c r="W3302" s="806"/>
      <c r="AZ3302" s="806"/>
      <c r="BA3302" s="806"/>
      <c r="BB3302" s="806"/>
    </row>
    <row r="3303" spans="4:54">
      <c r="D3303" s="806"/>
      <c r="F3303" s="806"/>
      <c r="W3303" s="806"/>
      <c r="AZ3303" s="806"/>
      <c r="BA3303" s="806"/>
      <c r="BB3303" s="806"/>
    </row>
    <row r="3304" spans="4:54">
      <c r="D3304" s="806"/>
      <c r="F3304" s="806"/>
      <c r="W3304" s="806"/>
      <c r="AZ3304" s="806"/>
      <c r="BA3304" s="806"/>
      <c r="BB3304" s="806"/>
    </row>
    <row r="3305" spans="4:54">
      <c r="D3305" s="806"/>
      <c r="F3305" s="806"/>
      <c r="W3305" s="806"/>
      <c r="AZ3305" s="806"/>
      <c r="BA3305" s="806"/>
      <c r="BB3305" s="806"/>
    </row>
    <row r="3306" spans="4:54">
      <c r="D3306" s="806"/>
      <c r="F3306" s="806"/>
      <c r="W3306" s="806"/>
      <c r="AZ3306" s="806"/>
      <c r="BA3306" s="806"/>
      <c r="BB3306" s="806"/>
    </row>
    <row r="3307" spans="4:54">
      <c r="D3307" s="806"/>
      <c r="F3307" s="806"/>
      <c r="W3307" s="806"/>
      <c r="AZ3307" s="806"/>
      <c r="BA3307" s="806"/>
      <c r="BB3307" s="806"/>
    </row>
    <row r="3308" spans="4:54">
      <c r="D3308" s="806"/>
      <c r="F3308" s="806"/>
      <c r="W3308" s="806"/>
      <c r="AZ3308" s="806"/>
      <c r="BA3308" s="806"/>
      <c r="BB3308" s="806"/>
    </row>
    <row r="3309" spans="4:54">
      <c r="D3309" s="806"/>
      <c r="F3309" s="806"/>
      <c r="W3309" s="806"/>
      <c r="AZ3309" s="806"/>
      <c r="BA3309" s="806"/>
      <c r="BB3309" s="806"/>
    </row>
    <row r="3310" spans="4:54">
      <c r="D3310" s="806"/>
      <c r="F3310" s="806"/>
      <c r="W3310" s="806"/>
      <c r="AZ3310" s="806"/>
      <c r="BA3310" s="806"/>
      <c r="BB3310" s="806"/>
    </row>
    <row r="3311" spans="4:54">
      <c r="D3311" s="806"/>
      <c r="F3311" s="806"/>
      <c r="W3311" s="806"/>
      <c r="AZ3311" s="806"/>
      <c r="BA3311" s="806"/>
      <c r="BB3311" s="806"/>
    </row>
    <row r="3312" spans="4:54">
      <c r="D3312" s="806"/>
      <c r="F3312" s="806"/>
      <c r="W3312" s="806"/>
      <c r="AZ3312" s="806"/>
      <c r="BA3312" s="806"/>
      <c r="BB3312" s="806"/>
    </row>
    <row r="3313" spans="4:54">
      <c r="D3313" s="806"/>
      <c r="F3313" s="806"/>
      <c r="W3313" s="806"/>
      <c r="AZ3313" s="806"/>
      <c r="BA3313" s="806"/>
      <c r="BB3313" s="806"/>
    </row>
    <row r="3314" spans="4:54">
      <c r="D3314" s="806"/>
      <c r="F3314" s="806"/>
      <c r="W3314" s="806"/>
      <c r="AZ3314" s="806"/>
      <c r="BA3314" s="806"/>
      <c r="BB3314" s="806"/>
    </row>
    <row r="3315" spans="4:54">
      <c r="D3315" s="806"/>
      <c r="F3315" s="806"/>
      <c r="W3315" s="806"/>
      <c r="AZ3315" s="806"/>
      <c r="BA3315" s="806"/>
      <c r="BB3315" s="806"/>
    </row>
    <row r="3316" spans="4:54">
      <c r="D3316" s="806"/>
      <c r="F3316" s="806"/>
      <c r="W3316" s="806"/>
      <c r="AZ3316" s="806"/>
      <c r="BA3316" s="806"/>
      <c r="BB3316" s="806"/>
    </row>
    <row r="3317" spans="4:54">
      <c r="D3317" s="806"/>
      <c r="F3317" s="806"/>
      <c r="W3317" s="806"/>
      <c r="AZ3317" s="806"/>
      <c r="BA3317" s="806"/>
      <c r="BB3317" s="806"/>
    </row>
    <row r="3318" spans="4:54">
      <c r="D3318" s="806"/>
      <c r="F3318" s="806"/>
      <c r="W3318" s="806"/>
      <c r="AZ3318" s="806"/>
      <c r="BA3318" s="806"/>
      <c r="BB3318" s="806"/>
    </row>
    <row r="3319" spans="4:54">
      <c r="D3319" s="806"/>
      <c r="F3319" s="806"/>
      <c r="W3319" s="806"/>
      <c r="AZ3319" s="806"/>
      <c r="BA3319" s="806"/>
      <c r="BB3319" s="806"/>
    </row>
    <row r="3320" spans="4:54">
      <c r="D3320" s="806"/>
      <c r="F3320" s="806"/>
      <c r="W3320" s="806"/>
      <c r="AZ3320" s="806"/>
      <c r="BA3320" s="806"/>
      <c r="BB3320" s="806"/>
    </row>
    <row r="3321" spans="4:54">
      <c r="D3321" s="806"/>
      <c r="F3321" s="806"/>
      <c r="W3321" s="806"/>
      <c r="AZ3321" s="806"/>
      <c r="BA3321" s="806"/>
      <c r="BB3321" s="806"/>
    </row>
    <row r="3322" spans="4:54">
      <c r="D3322" s="806"/>
      <c r="F3322" s="806"/>
      <c r="W3322" s="806"/>
      <c r="AZ3322" s="806"/>
      <c r="BA3322" s="806"/>
      <c r="BB3322" s="806"/>
    </row>
    <row r="3323" spans="4:54">
      <c r="D3323" s="806"/>
      <c r="F3323" s="806"/>
      <c r="W3323" s="806"/>
      <c r="AZ3323" s="806"/>
      <c r="BA3323" s="806"/>
      <c r="BB3323" s="806"/>
    </row>
    <row r="3324" spans="4:54">
      <c r="D3324" s="806"/>
      <c r="F3324" s="806"/>
      <c r="W3324" s="806"/>
      <c r="AZ3324" s="806"/>
      <c r="BA3324" s="806"/>
      <c r="BB3324" s="806"/>
    </row>
    <row r="3325" spans="4:54">
      <c r="D3325" s="806"/>
      <c r="F3325" s="806"/>
      <c r="W3325" s="806"/>
      <c r="AZ3325" s="806"/>
      <c r="BA3325" s="806"/>
      <c r="BB3325" s="806"/>
    </row>
    <row r="3326" spans="4:54">
      <c r="D3326" s="806"/>
      <c r="F3326" s="806"/>
      <c r="W3326" s="806"/>
      <c r="AZ3326" s="806"/>
      <c r="BA3326" s="806"/>
      <c r="BB3326" s="806"/>
    </row>
    <row r="3327" spans="4:54">
      <c r="D3327" s="806"/>
      <c r="F3327" s="806"/>
      <c r="W3327" s="806"/>
      <c r="AZ3327" s="806"/>
      <c r="BA3327" s="806"/>
      <c r="BB3327" s="806"/>
    </row>
    <row r="3328" spans="4:54">
      <c r="D3328" s="806"/>
      <c r="F3328" s="806"/>
      <c r="W3328" s="806"/>
      <c r="AZ3328" s="806"/>
      <c r="BA3328" s="806"/>
      <c r="BB3328" s="806"/>
    </row>
    <row r="3329" spans="4:54">
      <c r="D3329" s="806"/>
      <c r="F3329" s="806"/>
      <c r="W3329" s="806"/>
      <c r="AZ3329" s="806"/>
      <c r="BA3329" s="806"/>
      <c r="BB3329" s="806"/>
    </row>
    <row r="3330" spans="4:54">
      <c r="D3330" s="806"/>
      <c r="F3330" s="806"/>
      <c r="W3330" s="806"/>
      <c r="AZ3330" s="806"/>
      <c r="BA3330" s="806"/>
      <c r="BB3330" s="806"/>
    </row>
    <row r="3331" spans="4:54">
      <c r="D3331" s="806"/>
      <c r="F3331" s="806"/>
      <c r="W3331" s="806"/>
      <c r="AZ3331" s="806"/>
      <c r="BA3331" s="806"/>
      <c r="BB3331" s="806"/>
    </row>
    <row r="3332" spans="4:54">
      <c r="D3332" s="806"/>
      <c r="F3332" s="806"/>
      <c r="W3332" s="806"/>
      <c r="AZ3332" s="806"/>
      <c r="BA3332" s="806"/>
      <c r="BB3332" s="806"/>
    </row>
    <row r="3333" spans="4:54">
      <c r="D3333" s="806"/>
      <c r="F3333" s="806"/>
      <c r="W3333" s="806"/>
      <c r="AZ3333" s="806"/>
      <c r="BA3333" s="806"/>
      <c r="BB3333" s="806"/>
    </row>
    <row r="3334" spans="4:54">
      <c r="D3334" s="806"/>
      <c r="F3334" s="806"/>
      <c r="W3334" s="806"/>
      <c r="AZ3334" s="806"/>
      <c r="BA3334" s="806"/>
      <c r="BB3334" s="806"/>
    </row>
    <row r="3335" spans="4:54">
      <c r="D3335" s="806"/>
      <c r="F3335" s="806"/>
      <c r="W3335" s="806"/>
      <c r="AZ3335" s="806"/>
      <c r="BA3335" s="806"/>
      <c r="BB3335" s="806"/>
    </row>
    <row r="3336" spans="4:54">
      <c r="D3336" s="806"/>
      <c r="F3336" s="806"/>
      <c r="W3336" s="806"/>
      <c r="AZ3336" s="806"/>
      <c r="BA3336" s="806"/>
      <c r="BB3336" s="806"/>
    </row>
    <row r="3337" spans="4:54">
      <c r="D3337" s="806"/>
      <c r="F3337" s="806"/>
      <c r="W3337" s="806"/>
      <c r="AZ3337" s="806"/>
      <c r="BA3337" s="806"/>
      <c r="BB3337" s="806"/>
    </row>
    <row r="3338" spans="4:54">
      <c r="D3338" s="806"/>
      <c r="F3338" s="806"/>
      <c r="W3338" s="806"/>
      <c r="AZ3338" s="806"/>
      <c r="BA3338" s="806"/>
      <c r="BB3338" s="806"/>
    </row>
    <row r="3339" spans="4:54">
      <c r="D3339" s="806"/>
      <c r="F3339" s="806"/>
      <c r="W3339" s="806"/>
      <c r="AZ3339" s="806"/>
      <c r="BA3339" s="806"/>
      <c r="BB3339" s="806"/>
    </row>
    <row r="3340" spans="4:54">
      <c r="D3340" s="806"/>
      <c r="F3340" s="806"/>
      <c r="W3340" s="806"/>
      <c r="AZ3340" s="806"/>
      <c r="BA3340" s="806"/>
      <c r="BB3340" s="806"/>
    </row>
    <row r="3341" spans="4:54">
      <c r="D3341" s="806"/>
      <c r="F3341" s="806"/>
      <c r="W3341" s="806"/>
      <c r="AZ3341" s="806"/>
      <c r="BA3341" s="806"/>
      <c r="BB3341" s="806"/>
    </row>
    <row r="3342" spans="4:54">
      <c r="D3342" s="806"/>
      <c r="F3342" s="806"/>
      <c r="W3342" s="806"/>
      <c r="AZ3342" s="806"/>
      <c r="BA3342" s="806"/>
      <c r="BB3342" s="806"/>
    </row>
    <row r="3343" spans="4:54">
      <c r="D3343" s="806"/>
      <c r="F3343" s="806"/>
      <c r="W3343" s="806"/>
      <c r="AZ3343" s="806"/>
      <c r="BA3343" s="806"/>
      <c r="BB3343" s="806"/>
    </row>
    <row r="3344" spans="4:54">
      <c r="D3344" s="806"/>
      <c r="F3344" s="806"/>
      <c r="W3344" s="806"/>
      <c r="AZ3344" s="806"/>
      <c r="BA3344" s="806"/>
      <c r="BB3344" s="806"/>
    </row>
    <row r="3345" spans="4:54">
      <c r="D3345" s="806"/>
      <c r="F3345" s="806"/>
      <c r="W3345" s="806"/>
      <c r="AZ3345" s="806"/>
      <c r="BA3345" s="806"/>
      <c r="BB3345" s="806"/>
    </row>
    <row r="3346" spans="4:54">
      <c r="D3346" s="806"/>
      <c r="F3346" s="806"/>
      <c r="W3346" s="806"/>
      <c r="AZ3346" s="806"/>
      <c r="BA3346" s="806"/>
      <c r="BB3346" s="806"/>
    </row>
    <row r="3347" spans="4:54">
      <c r="D3347" s="806"/>
      <c r="F3347" s="806"/>
      <c r="W3347" s="806"/>
      <c r="AZ3347" s="806"/>
      <c r="BA3347" s="806"/>
      <c r="BB3347" s="806"/>
    </row>
    <row r="3348" spans="4:54">
      <c r="D3348" s="806"/>
      <c r="F3348" s="806"/>
      <c r="W3348" s="806"/>
      <c r="AZ3348" s="806"/>
      <c r="BA3348" s="806"/>
      <c r="BB3348" s="806"/>
    </row>
    <row r="3349" spans="4:54">
      <c r="D3349" s="806"/>
      <c r="F3349" s="806"/>
      <c r="W3349" s="806"/>
      <c r="AZ3349" s="806"/>
      <c r="BA3349" s="806"/>
      <c r="BB3349" s="806"/>
    </row>
    <row r="3350" spans="4:54">
      <c r="D3350" s="806"/>
      <c r="F3350" s="806"/>
      <c r="W3350" s="806"/>
      <c r="AZ3350" s="806"/>
      <c r="BA3350" s="806"/>
      <c r="BB3350" s="806"/>
    </row>
    <row r="3351" spans="4:54">
      <c r="D3351" s="806"/>
      <c r="F3351" s="806"/>
      <c r="W3351" s="806"/>
      <c r="AZ3351" s="806"/>
      <c r="BA3351" s="806"/>
      <c r="BB3351" s="806"/>
    </row>
    <row r="3352" spans="4:54">
      <c r="D3352" s="806"/>
      <c r="F3352" s="806"/>
      <c r="W3352" s="806"/>
      <c r="AZ3352" s="806"/>
      <c r="BA3352" s="806"/>
      <c r="BB3352" s="806"/>
    </row>
    <row r="3353" spans="4:54">
      <c r="D3353" s="806"/>
      <c r="F3353" s="806"/>
      <c r="W3353" s="806"/>
      <c r="AZ3353" s="806"/>
      <c r="BA3353" s="806"/>
      <c r="BB3353" s="806"/>
    </row>
    <row r="3354" spans="4:54">
      <c r="D3354" s="806"/>
      <c r="F3354" s="806"/>
      <c r="W3354" s="806"/>
      <c r="AZ3354" s="806"/>
      <c r="BA3354" s="806"/>
      <c r="BB3354" s="806"/>
    </row>
    <row r="3355" spans="4:54">
      <c r="D3355" s="806"/>
      <c r="F3355" s="806"/>
      <c r="W3355" s="806"/>
      <c r="AZ3355" s="806"/>
      <c r="BA3355" s="806"/>
      <c r="BB3355" s="806"/>
    </row>
    <row r="3356" spans="4:54">
      <c r="D3356" s="806"/>
      <c r="F3356" s="806"/>
      <c r="W3356" s="806"/>
      <c r="AZ3356" s="806"/>
      <c r="BA3356" s="806"/>
      <c r="BB3356" s="806"/>
    </row>
    <row r="3357" spans="4:54">
      <c r="D3357" s="806"/>
      <c r="F3357" s="806"/>
      <c r="W3357" s="806"/>
      <c r="AZ3357" s="806"/>
      <c r="BA3357" s="806"/>
      <c r="BB3357" s="806"/>
    </row>
    <row r="3358" spans="4:54">
      <c r="D3358" s="806"/>
      <c r="F3358" s="806"/>
      <c r="W3358" s="806"/>
      <c r="AZ3358" s="806"/>
      <c r="BA3358" s="806"/>
      <c r="BB3358" s="806"/>
    </row>
    <row r="3359" spans="4:54">
      <c r="D3359" s="806"/>
      <c r="F3359" s="806"/>
      <c r="W3359" s="806"/>
      <c r="AZ3359" s="806"/>
      <c r="BA3359" s="806"/>
      <c r="BB3359" s="806"/>
    </row>
    <row r="3360" spans="4:54">
      <c r="D3360" s="806"/>
      <c r="F3360" s="806"/>
      <c r="W3360" s="806"/>
      <c r="AZ3360" s="806"/>
      <c r="BA3360" s="806"/>
      <c r="BB3360" s="806"/>
    </row>
    <row r="3361" spans="4:54">
      <c r="D3361" s="806"/>
      <c r="F3361" s="806"/>
      <c r="W3361" s="806"/>
      <c r="AZ3361" s="806"/>
      <c r="BA3361" s="806"/>
      <c r="BB3361" s="806"/>
    </row>
    <row r="3362" spans="4:54">
      <c r="D3362" s="806"/>
      <c r="F3362" s="806"/>
      <c r="W3362" s="806"/>
      <c r="AZ3362" s="806"/>
      <c r="BA3362" s="806"/>
      <c r="BB3362" s="806"/>
    </row>
    <row r="3363" spans="4:54">
      <c r="D3363" s="806"/>
      <c r="F3363" s="806"/>
      <c r="W3363" s="806"/>
      <c r="AZ3363" s="806"/>
      <c r="BA3363" s="806"/>
      <c r="BB3363" s="806"/>
    </row>
    <row r="3364" spans="4:54">
      <c r="D3364" s="806"/>
      <c r="F3364" s="806"/>
      <c r="W3364" s="806"/>
      <c r="AZ3364" s="806"/>
      <c r="BA3364" s="806"/>
      <c r="BB3364" s="806"/>
    </row>
    <row r="3365" spans="4:54">
      <c r="D3365" s="806"/>
      <c r="F3365" s="806"/>
      <c r="W3365" s="806"/>
      <c r="AZ3365" s="806"/>
      <c r="BA3365" s="806"/>
      <c r="BB3365" s="806"/>
    </row>
    <row r="3366" spans="4:54">
      <c r="D3366" s="806"/>
      <c r="F3366" s="806"/>
      <c r="W3366" s="806"/>
      <c r="AZ3366" s="806"/>
      <c r="BA3366" s="806"/>
      <c r="BB3366" s="806"/>
    </row>
    <row r="3367" spans="4:54">
      <c r="D3367" s="806"/>
      <c r="F3367" s="806"/>
      <c r="W3367" s="806"/>
      <c r="AZ3367" s="806"/>
      <c r="BA3367" s="806"/>
      <c r="BB3367" s="806"/>
    </row>
    <row r="3368" spans="4:54">
      <c r="D3368" s="806"/>
      <c r="F3368" s="806"/>
      <c r="W3368" s="806"/>
      <c r="AZ3368" s="806"/>
      <c r="BA3368" s="806"/>
      <c r="BB3368" s="806"/>
    </row>
    <row r="3369" spans="4:54">
      <c r="D3369" s="806"/>
      <c r="F3369" s="806"/>
      <c r="W3369" s="806"/>
      <c r="AZ3369" s="806"/>
      <c r="BA3369" s="806"/>
      <c r="BB3369" s="806"/>
    </row>
    <row r="3370" spans="4:54">
      <c r="D3370" s="806"/>
      <c r="F3370" s="806"/>
      <c r="W3370" s="806"/>
      <c r="AZ3370" s="806"/>
      <c r="BA3370" s="806"/>
      <c r="BB3370" s="806"/>
    </row>
    <row r="3371" spans="4:54">
      <c r="D3371" s="806"/>
      <c r="F3371" s="806"/>
      <c r="W3371" s="806"/>
      <c r="AZ3371" s="806"/>
      <c r="BA3371" s="806"/>
      <c r="BB3371" s="806"/>
    </row>
    <row r="3372" spans="4:54">
      <c r="D3372" s="806"/>
      <c r="F3372" s="806"/>
      <c r="W3372" s="806"/>
      <c r="AZ3372" s="806"/>
      <c r="BA3372" s="806"/>
      <c r="BB3372" s="806"/>
    </row>
    <row r="3373" spans="4:54">
      <c r="D3373" s="806"/>
      <c r="F3373" s="806"/>
      <c r="W3373" s="806"/>
      <c r="AZ3373" s="806"/>
      <c r="BA3373" s="806"/>
      <c r="BB3373" s="806"/>
    </row>
    <row r="3374" spans="4:54">
      <c r="D3374" s="806"/>
      <c r="F3374" s="806"/>
      <c r="W3374" s="806"/>
      <c r="AZ3374" s="806"/>
      <c r="BA3374" s="806"/>
      <c r="BB3374" s="806"/>
    </row>
    <row r="3375" spans="4:54">
      <c r="D3375" s="806"/>
      <c r="F3375" s="806"/>
      <c r="W3375" s="806"/>
      <c r="AZ3375" s="806"/>
      <c r="BA3375" s="806"/>
      <c r="BB3375" s="806"/>
    </row>
    <row r="3376" spans="4:54">
      <c r="D3376" s="806"/>
      <c r="F3376" s="806"/>
      <c r="W3376" s="806"/>
      <c r="AZ3376" s="806"/>
      <c r="BA3376" s="806"/>
      <c r="BB3376" s="806"/>
    </row>
    <row r="3377" spans="4:54">
      <c r="D3377" s="806"/>
      <c r="F3377" s="806"/>
      <c r="W3377" s="806"/>
      <c r="AZ3377" s="806"/>
      <c r="BA3377" s="806"/>
      <c r="BB3377" s="806"/>
    </row>
    <row r="3378" spans="4:54">
      <c r="D3378" s="806"/>
      <c r="F3378" s="806"/>
      <c r="W3378" s="806"/>
      <c r="AZ3378" s="806"/>
      <c r="BA3378" s="806"/>
      <c r="BB3378" s="806"/>
    </row>
    <row r="3379" spans="4:54">
      <c r="D3379" s="806"/>
      <c r="F3379" s="806"/>
      <c r="W3379" s="806"/>
      <c r="AZ3379" s="806"/>
      <c r="BA3379" s="806"/>
      <c r="BB3379" s="806"/>
    </row>
    <row r="3380" spans="4:54">
      <c r="D3380" s="806"/>
      <c r="F3380" s="806"/>
      <c r="W3380" s="806"/>
      <c r="AZ3380" s="806"/>
      <c r="BA3380" s="806"/>
      <c r="BB3380" s="806"/>
    </row>
    <row r="3381" spans="4:54">
      <c r="D3381" s="806"/>
      <c r="F3381" s="806"/>
      <c r="W3381" s="806"/>
      <c r="AZ3381" s="806"/>
      <c r="BA3381" s="806"/>
      <c r="BB3381" s="806"/>
    </row>
    <row r="3382" spans="4:54">
      <c r="D3382" s="806"/>
      <c r="F3382" s="806"/>
      <c r="W3382" s="806"/>
      <c r="AZ3382" s="806"/>
      <c r="BA3382" s="806"/>
      <c r="BB3382" s="806"/>
    </row>
    <row r="3383" spans="4:54">
      <c r="D3383" s="806"/>
      <c r="F3383" s="806"/>
      <c r="W3383" s="806"/>
      <c r="AZ3383" s="806"/>
      <c r="BA3383" s="806"/>
      <c r="BB3383" s="806"/>
    </row>
    <row r="3384" spans="4:54">
      <c r="D3384" s="806"/>
      <c r="F3384" s="806"/>
      <c r="W3384" s="806"/>
      <c r="AZ3384" s="806"/>
      <c r="BA3384" s="806"/>
      <c r="BB3384" s="806"/>
    </row>
    <row r="3385" spans="4:54">
      <c r="D3385" s="806"/>
      <c r="F3385" s="806"/>
      <c r="W3385" s="806"/>
      <c r="AZ3385" s="806"/>
      <c r="BA3385" s="806"/>
      <c r="BB3385" s="806"/>
    </row>
    <row r="3386" spans="4:54">
      <c r="D3386" s="806"/>
      <c r="F3386" s="806"/>
      <c r="W3386" s="806"/>
      <c r="AZ3386" s="806"/>
      <c r="BA3386" s="806"/>
      <c r="BB3386" s="806"/>
    </row>
    <row r="3387" spans="4:54">
      <c r="D3387" s="806"/>
      <c r="F3387" s="806"/>
      <c r="W3387" s="806"/>
      <c r="AZ3387" s="806"/>
      <c r="BA3387" s="806"/>
      <c r="BB3387" s="806"/>
    </row>
    <row r="3388" spans="4:54">
      <c r="D3388" s="806"/>
      <c r="F3388" s="806"/>
      <c r="W3388" s="806"/>
      <c r="AZ3388" s="806"/>
      <c r="BA3388" s="806"/>
      <c r="BB3388" s="806"/>
    </row>
    <row r="3389" spans="4:54">
      <c r="D3389" s="806"/>
      <c r="F3389" s="806"/>
      <c r="W3389" s="806"/>
      <c r="AZ3389" s="806"/>
      <c r="BA3389" s="806"/>
      <c r="BB3389" s="806"/>
    </row>
    <row r="3390" spans="4:54">
      <c r="D3390" s="806"/>
      <c r="F3390" s="806"/>
      <c r="W3390" s="806"/>
      <c r="AZ3390" s="806"/>
      <c r="BA3390" s="806"/>
      <c r="BB3390" s="806"/>
    </row>
    <row r="3391" spans="4:54">
      <c r="D3391" s="806"/>
      <c r="F3391" s="806"/>
      <c r="W3391" s="806"/>
      <c r="AZ3391" s="806"/>
      <c r="BA3391" s="806"/>
      <c r="BB3391" s="806"/>
    </row>
    <row r="3392" spans="4:54">
      <c r="D3392" s="806"/>
      <c r="F3392" s="806"/>
      <c r="W3392" s="806"/>
      <c r="AZ3392" s="806"/>
      <c r="BA3392" s="806"/>
      <c r="BB3392" s="806"/>
    </row>
    <row r="3393" spans="4:54">
      <c r="D3393" s="806"/>
      <c r="F3393" s="806"/>
      <c r="W3393" s="806"/>
      <c r="AZ3393" s="806"/>
      <c r="BA3393" s="806"/>
      <c r="BB3393" s="806"/>
    </row>
    <row r="3394" spans="4:54">
      <c r="D3394" s="806"/>
      <c r="F3394" s="806"/>
      <c r="W3394" s="806"/>
      <c r="AZ3394" s="806"/>
      <c r="BA3394" s="806"/>
      <c r="BB3394" s="806"/>
    </row>
    <row r="3395" spans="4:54">
      <c r="D3395" s="806"/>
      <c r="F3395" s="806"/>
      <c r="W3395" s="806"/>
      <c r="AZ3395" s="806"/>
      <c r="BA3395" s="806"/>
      <c r="BB3395" s="806"/>
    </row>
    <row r="3396" spans="4:54">
      <c r="D3396" s="806"/>
      <c r="F3396" s="806"/>
      <c r="W3396" s="806"/>
      <c r="AZ3396" s="806"/>
      <c r="BA3396" s="806"/>
      <c r="BB3396" s="806"/>
    </row>
    <row r="3397" spans="4:54">
      <c r="D3397" s="806"/>
      <c r="F3397" s="806"/>
      <c r="W3397" s="806"/>
      <c r="AZ3397" s="806"/>
      <c r="BA3397" s="806"/>
      <c r="BB3397" s="806"/>
    </row>
    <row r="3398" spans="4:54">
      <c r="D3398" s="806"/>
      <c r="F3398" s="806"/>
      <c r="W3398" s="806"/>
      <c r="AZ3398" s="806"/>
      <c r="BA3398" s="806"/>
      <c r="BB3398" s="806"/>
    </row>
    <row r="3399" spans="4:54">
      <c r="D3399" s="806"/>
      <c r="F3399" s="806"/>
      <c r="W3399" s="806"/>
      <c r="AZ3399" s="806"/>
      <c r="BA3399" s="806"/>
      <c r="BB3399" s="806"/>
    </row>
    <row r="3400" spans="4:54">
      <c r="D3400" s="806"/>
      <c r="F3400" s="806"/>
      <c r="W3400" s="806"/>
      <c r="AZ3400" s="806"/>
      <c r="BA3400" s="806"/>
      <c r="BB3400" s="806"/>
    </row>
    <row r="3401" spans="4:54">
      <c r="D3401" s="806"/>
      <c r="F3401" s="806"/>
      <c r="W3401" s="806"/>
      <c r="AZ3401" s="806"/>
      <c r="BA3401" s="806"/>
      <c r="BB3401" s="806"/>
    </row>
    <row r="3402" spans="4:54">
      <c r="D3402" s="806"/>
      <c r="F3402" s="806"/>
      <c r="W3402" s="806"/>
      <c r="AZ3402" s="806"/>
      <c r="BA3402" s="806"/>
      <c r="BB3402" s="806"/>
    </row>
    <row r="3403" spans="4:54">
      <c r="D3403" s="806"/>
      <c r="F3403" s="806"/>
      <c r="W3403" s="806"/>
      <c r="AZ3403" s="806"/>
      <c r="BA3403" s="806"/>
      <c r="BB3403" s="806"/>
    </row>
    <row r="3404" spans="4:54">
      <c r="D3404" s="806"/>
      <c r="F3404" s="806"/>
      <c r="W3404" s="806"/>
      <c r="AZ3404" s="806"/>
      <c r="BA3404" s="806"/>
      <c r="BB3404" s="806"/>
    </row>
    <row r="3405" spans="4:54">
      <c r="D3405" s="806"/>
      <c r="F3405" s="806"/>
      <c r="W3405" s="806"/>
      <c r="AZ3405" s="806"/>
      <c r="BA3405" s="806"/>
      <c r="BB3405" s="806"/>
    </row>
    <row r="3406" spans="4:54">
      <c r="D3406" s="806"/>
      <c r="F3406" s="806"/>
      <c r="W3406" s="806"/>
      <c r="AZ3406" s="806"/>
      <c r="BA3406" s="806"/>
      <c r="BB3406" s="806"/>
    </row>
    <row r="3407" spans="4:54">
      <c r="D3407" s="806"/>
      <c r="F3407" s="806"/>
      <c r="W3407" s="806"/>
      <c r="AZ3407" s="806"/>
      <c r="BA3407" s="806"/>
      <c r="BB3407" s="806"/>
    </row>
    <row r="3408" spans="4:54">
      <c r="D3408" s="806"/>
      <c r="F3408" s="806"/>
      <c r="W3408" s="806"/>
      <c r="AZ3408" s="806"/>
      <c r="BA3408" s="806"/>
      <c r="BB3408" s="806"/>
    </row>
    <row r="3409" spans="4:54">
      <c r="D3409" s="806"/>
      <c r="F3409" s="806"/>
      <c r="W3409" s="806"/>
      <c r="AZ3409" s="806"/>
      <c r="BA3409" s="806"/>
      <c r="BB3409" s="806"/>
    </row>
    <row r="3410" spans="4:54">
      <c r="D3410" s="806"/>
      <c r="F3410" s="806"/>
      <c r="W3410" s="806"/>
      <c r="AZ3410" s="806"/>
      <c r="BA3410" s="806"/>
      <c r="BB3410" s="806"/>
    </row>
    <row r="3411" spans="4:54">
      <c r="D3411" s="806"/>
      <c r="F3411" s="806"/>
      <c r="W3411" s="806"/>
      <c r="AZ3411" s="806"/>
      <c r="BA3411" s="806"/>
      <c r="BB3411" s="806"/>
    </row>
    <row r="3412" spans="4:54">
      <c r="D3412" s="806"/>
      <c r="F3412" s="806"/>
      <c r="W3412" s="806"/>
      <c r="AZ3412" s="806"/>
      <c r="BA3412" s="806"/>
      <c r="BB3412" s="806"/>
    </row>
    <row r="3413" spans="4:54">
      <c r="D3413" s="806"/>
      <c r="F3413" s="806"/>
      <c r="W3413" s="806"/>
      <c r="AZ3413" s="806"/>
      <c r="BA3413" s="806"/>
      <c r="BB3413" s="806"/>
    </row>
    <row r="3414" spans="4:54">
      <c r="D3414" s="806"/>
      <c r="F3414" s="806"/>
      <c r="W3414" s="806"/>
      <c r="AZ3414" s="806"/>
      <c r="BA3414" s="806"/>
      <c r="BB3414" s="806"/>
    </row>
    <row r="3415" spans="4:54">
      <c r="D3415" s="806"/>
      <c r="F3415" s="806"/>
      <c r="W3415" s="806"/>
      <c r="AZ3415" s="806"/>
      <c r="BA3415" s="806"/>
      <c r="BB3415" s="806"/>
    </row>
    <row r="3416" spans="4:54">
      <c r="D3416" s="806"/>
      <c r="F3416" s="806"/>
      <c r="W3416" s="806"/>
      <c r="AZ3416" s="806"/>
      <c r="BA3416" s="806"/>
      <c r="BB3416" s="806"/>
    </row>
    <row r="3417" spans="4:54">
      <c r="D3417" s="806"/>
      <c r="F3417" s="806"/>
      <c r="W3417" s="806"/>
      <c r="AZ3417" s="806"/>
      <c r="BA3417" s="806"/>
      <c r="BB3417" s="806"/>
    </row>
    <row r="3418" spans="4:54">
      <c r="D3418" s="806"/>
      <c r="F3418" s="806"/>
      <c r="W3418" s="806"/>
      <c r="AZ3418" s="806"/>
      <c r="BA3418" s="806"/>
      <c r="BB3418" s="806"/>
    </row>
    <row r="3419" spans="4:54">
      <c r="D3419" s="806"/>
      <c r="F3419" s="806"/>
      <c r="W3419" s="806"/>
      <c r="AZ3419" s="806"/>
      <c r="BA3419" s="806"/>
      <c r="BB3419" s="806"/>
    </row>
    <row r="3420" spans="4:54">
      <c r="D3420" s="806"/>
      <c r="F3420" s="806"/>
      <c r="W3420" s="806"/>
      <c r="AZ3420" s="806"/>
      <c r="BA3420" s="806"/>
      <c r="BB3420" s="806"/>
    </row>
    <row r="3421" spans="4:54">
      <c r="D3421" s="806"/>
      <c r="F3421" s="806"/>
      <c r="W3421" s="806"/>
      <c r="AZ3421" s="806"/>
      <c r="BA3421" s="806"/>
      <c r="BB3421" s="806"/>
    </row>
    <row r="3422" spans="4:54">
      <c r="D3422" s="806"/>
      <c r="F3422" s="806"/>
      <c r="W3422" s="806"/>
      <c r="AZ3422" s="806"/>
      <c r="BA3422" s="806"/>
      <c r="BB3422" s="806"/>
    </row>
    <row r="3423" spans="4:54">
      <c r="D3423" s="806"/>
      <c r="F3423" s="806"/>
      <c r="W3423" s="806"/>
      <c r="AZ3423" s="806"/>
      <c r="BA3423" s="806"/>
      <c r="BB3423" s="806"/>
    </row>
    <row r="3424" spans="4:54">
      <c r="D3424" s="806"/>
      <c r="F3424" s="806"/>
      <c r="W3424" s="806"/>
      <c r="AZ3424" s="806"/>
      <c r="BA3424" s="806"/>
      <c r="BB3424" s="806"/>
    </row>
    <row r="3425" spans="4:54">
      <c r="D3425" s="806"/>
      <c r="F3425" s="806"/>
      <c r="W3425" s="806"/>
      <c r="AZ3425" s="806"/>
      <c r="BA3425" s="806"/>
      <c r="BB3425" s="806"/>
    </row>
    <row r="3426" spans="4:54">
      <c r="D3426" s="806"/>
      <c r="F3426" s="806"/>
      <c r="W3426" s="806"/>
      <c r="AZ3426" s="806"/>
      <c r="BA3426" s="806"/>
      <c r="BB3426" s="806"/>
    </row>
    <row r="3427" spans="4:54">
      <c r="D3427" s="806"/>
      <c r="F3427" s="806"/>
      <c r="W3427" s="806"/>
      <c r="AZ3427" s="806"/>
      <c r="BA3427" s="806"/>
      <c r="BB3427" s="806"/>
    </row>
    <row r="3428" spans="4:54">
      <c r="D3428" s="806"/>
      <c r="F3428" s="806"/>
      <c r="W3428" s="806"/>
      <c r="AZ3428" s="806"/>
      <c r="BA3428" s="806"/>
      <c r="BB3428" s="806"/>
    </row>
    <row r="3429" spans="4:54">
      <c r="D3429" s="806"/>
      <c r="F3429" s="806"/>
      <c r="W3429" s="806"/>
      <c r="AZ3429" s="806"/>
      <c r="BA3429" s="806"/>
      <c r="BB3429" s="806"/>
    </row>
    <row r="3430" spans="4:54">
      <c r="D3430" s="806"/>
      <c r="F3430" s="806"/>
      <c r="W3430" s="806"/>
      <c r="AZ3430" s="806"/>
      <c r="BA3430" s="806"/>
      <c r="BB3430" s="806"/>
    </row>
    <row r="3431" spans="4:54">
      <c r="D3431" s="806"/>
      <c r="F3431" s="806"/>
      <c r="W3431" s="806"/>
      <c r="AZ3431" s="806"/>
      <c r="BA3431" s="806"/>
      <c r="BB3431" s="806"/>
    </row>
    <row r="3432" spans="4:54">
      <c r="D3432" s="806"/>
      <c r="F3432" s="806"/>
      <c r="W3432" s="806"/>
      <c r="AZ3432" s="806"/>
      <c r="BA3432" s="806"/>
      <c r="BB3432" s="806"/>
    </row>
    <row r="3433" spans="4:54">
      <c r="D3433" s="806"/>
      <c r="F3433" s="806"/>
      <c r="W3433" s="806"/>
      <c r="AZ3433" s="806"/>
      <c r="BA3433" s="806"/>
      <c r="BB3433" s="806"/>
    </row>
    <row r="3434" spans="4:54">
      <c r="D3434" s="806"/>
      <c r="F3434" s="806"/>
      <c r="W3434" s="806"/>
      <c r="AZ3434" s="806"/>
      <c r="BA3434" s="806"/>
      <c r="BB3434" s="806"/>
    </row>
    <row r="3435" spans="4:54">
      <c r="D3435" s="806"/>
      <c r="F3435" s="806"/>
      <c r="W3435" s="806"/>
      <c r="AZ3435" s="806"/>
      <c r="BA3435" s="806"/>
      <c r="BB3435" s="806"/>
    </row>
    <row r="3436" spans="4:54">
      <c r="D3436" s="806"/>
      <c r="F3436" s="806"/>
      <c r="W3436" s="806"/>
      <c r="AZ3436" s="806"/>
      <c r="BA3436" s="806"/>
      <c r="BB3436" s="806"/>
    </row>
    <row r="3437" spans="4:54">
      <c r="D3437" s="806"/>
      <c r="F3437" s="806"/>
      <c r="W3437" s="806"/>
      <c r="AZ3437" s="806"/>
      <c r="BA3437" s="806"/>
      <c r="BB3437" s="806"/>
    </row>
    <row r="3438" spans="4:54">
      <c r="D3438" s="806"/>
      <c r="F3438" s="806"/>
      <c r="W3438" s="806"/>
      <c r="AZ3438" s="806"/>
      <c r="BA3438" s="806"/>
      <c r="BB3438" s="806"/>
    </row>
    <row r="3439" spans="4:54">
      <c r="D3439" s="806"/>
      <c r="F3439" s="806"/>
      <c r="W3439" s="806"/>
      <c r="AZ3439" s="806"/>
      <c r="BA3439" s="806"/>
      <c r="BB3439" s="806"/>
    </row>
    <row r="3440" spans="4:54">
      <c r="D3440" s="806"/>
      <c r="F3440" s="806"/>
      <c r="W3440" s="806"/>
      <c r="AZ3440" s="806"/>
      <c r="BA3440" s="806"/>
      <c r="BB3440" s="806"/>
    </row>
    <row r="3441" spans="4:54">
      <c r="D3441" s="806"/>
      <c r="F3441" s="806"/>
      <c r="W3441" s="806"/>
      <c r="AZ3441" s="806"/>
      <c r="BA3441" s="806"/>
      <c r="BB3441" s="806"/>
    </row>
    <row r="3442" spans="4:54">
      <c r="D3442" s="806"/>
      <c r="F3442" s="806"/>
      <c r="W3442" s="806"/>
      <c r="AZ3442" s="806"/>
      <c r="BA3442" s="806"/>
      <c r="BB3442" s="806"/>
    </row>
    <row r="3443" spans="4:54">
      <c r="D3443" s="806"/>
      <c r="F3443" s="806"/>
      <c r="W3443" s="806"/>
      <c r="AZ3443" s="806"/>
      <c r="BA3443" s="806"/>
      <c r="BB3443" s="806"/>
    </row>
    <row r="3444" spans="4:54">
      <c r="D3444" s="806"/>
      <c r="F3444" s="806"/>
      <c r="W3444" s="806"/>
      <c r="AZ3444" s="806"/>
      <c r="BA3444" s="806"/>
      <c r="BB3444" s="806"/>
    </row>
    <row r="3445" spans="4:54">
      <c r="D3445" s="806"/>
      <c r="F3445" s="806"/>
      <c r="W3445" s="806"/>
      <c r="AZ3445" s="806"/>
      <c r="BA3445" s="806"/>
      <c r="BB3445" s="806"/>
    </row>
    <row r="3446" spans="4:54">
      <c r="D3446" s="806"/>
      <c r="F3446" s="806"/>
      <c r="W3446" s="806"/>
      <c r="AZ3446" s="806"/>
      <c r="BA3446" s="806"/>
      <c r="BB3446" s="806"/>
    </row>
    <row r="3447" spans="4:54">
      <c r="D3447" s="806"/>
      <c r="F3447" s="806"/>
      <c r="W3447" s="806"/>
      <c r="AZ3447" s="806"/>
      <c r="BA3447" s="806"/>
      <c r="BB3447" s="806"/>
    </row>
    <row r="3448" spans="4:54">
      <c r="D3448" s="806"/>
      <c r="F3448" s="806"/>
      <c r="W3448" s="806"/>
      <c r="AZ3448" s="806"/>
      <c r="BA3448" s="806"/>
      <c r="BB3448" s="806"/>
    </row>
    <row r="3449" spans="4:54">
      <c r="D3449" s="806"/>
      <c r="F3449" s="806"/>
      <c r="W3449" s="806"/>
      <c r="AZ3449" s="806"/>
      <c r="BA3449" s="806"/>
      <c r="BB3449" s="806"/>
    </row>
    <row r="3450" spans="4:54">
      <c r="D3450" s="806"/>
      <c r="F3450" s="806"/>
      <c r="W3450" s="806"/>
      <c r="AZ3450" s="806"/>
      <c r="BA3450" s="806"/>
      <c r="BB3450" s="806"/>
    </row>
    <row r="3451" spans="4:54">
      <c r="D3451" s="806"/>
      <c r="F3451" s="806"/>
      <c r="W3451" s="806"/>
      <c r="AZ3451" s="806"/>
      <c r="BA3451" s="806"/>
      <c r="BB3451" s="806"/>
    </row>
    <row r="3452" spans="4:54">
      <c r="D3452" s="806"/>
      <c r="F3452" s="806"/>
      <c r="W3452" s="806"/>
      <c r="AZ3452" s="806"/>
      <c r="BA3452" s="806"/>
      <c r="BB3452" s="806"/>
    </row>
    <row r="3453" spans="4:54">
      <c r="D3453" s="806"/>
      <c r="F3453" s="806"/>
      <c r="W3453" s="806"/>
      <c r="AZ3453" s="806"/>
      <c r="BA3453" s="806"/>
      <c r="BB3453" s="806"/>
    </row>
    <row r="3454" spans="4:54">
      <c r="D3454" s="806"/>
      <c r="F3454" s="806"/>
      <c r="W3454" s="806"/>
      <c r="AZ3454" s="806"/>
      <c r="BA3454" s="806"/>
      <c r="BB3454" s="806"/>
    </row>
    <row r="3455" spans="4:54">
      <c r="D3455" s="806"/>
      <c r="F3455" s="806"/>
      <c r="W3455" s="806"/>
      <c r="AZ3455" s="806"/>
      <c r="BA3455" s="806"/>
      <c r="BB3455" s="806"/>
    </row>
    <row r="3456" spans="4:54">
      <c r="D3456" s="806"/>
      <c r="F3456" s="806"/>
      <c r="W3456" s="806"/>
      <c r="AZ3456" s="806"/>
      <c r="BA3456" s="806"/>
      <c r="BB3456" s="806"/>
    </row>
    <row r="3457" spans="4:54">
      <c r="D3457" s="806"/>
      <c r="F3457" s="806"/>
      <c r="W3457" s="806"/>
      <c r="AZ3457" s="806"/>
      <c r="BA3457" s="806"/>
      <c r="BB3457" s="806"/>
    </row>
    <row r="3458" spans="4:54">
      <c r="D3458" s="806"/>
      <c r="F3458" s="806"/>
      <c r="W3458" s="806"/>
      <c r="AZ3458" s="806"/>
      <c r="BA3458" s="806"/>
      <c r="BB3458" s="806"/>
    </row>
    <row r="3459" spans="4:54">
      <c r="D3459" s="806"/>
      <c r="F3459" s="806"/>
      <c r="W3459" s="806"/>
      <c r="AZ3459" s="806"/>
      <c r="BA3459" s="806"/>
      <c r="BB3459" s="806"/>
    </row>
    <row r="3460" spans="4:54">
      <c r="D3460" s="806"/>
      <c r="F3460" s="806"/>
      <c r="W3460" s="806"/>
      <c r="AZ3460" s="806"/>
      <c r="BA3460" s="806"/>
      <c r="BB3460" s="806"/>
    </row>
    <row r="3461" spans="4:54">
      <c r="D3461" s="806"/>
      <c r="F3461" s="806"/>
      <c r="W3461" s="806"/>
      <c r="AZ3461" s="806"/>
      <c r="BA3461" s="806"/>
      <c r="BB3461" s="806"/>
    </row>
    <row r="3462" spans="4:54">
      <c r="D3462" s="806"/>
      <c r="F3462" s="806"/>
      <c r="W3462" s="806"/>
      <c r="AZ3462" s="806"/>
      <c r="BA3462" s="806"/>
      <c r="BB3462" s="806"/>
    </row>
    <row r="3463" spans="4:54">
      <c r="D3463" s="806"/>
      <c r="F3463" s="806"/>
      <c r="W3463" s="806"/>
      <c r="AZ3463" s="806"/>
      <c r="BA3463" s="806"/>
      <c r="BB3463" s="806"/>
    </row>
    <row r="3464" spans="4:54">
      <c r="D3464" s="806"/>
      <c r="F3464" s="806"/>
      <c r="W3464" s="806"/>
      <c r="AZ3464" s="806"/>
      <c r="BA3464" s="806"/>
      <c r="BB3464" s="806"/>
    </row>
    <row r="3465" spans="4:54">
      <c r="D3465" s="806"/>
      <c r="F3465" s="806"/>
      <c r="W3465" s="806"/>
      <c r="AZ3465" s="806"/>
      <c r="BA3465" s="806"/>
      <c r="BB3465" s="806"/>
    </row>
    <row r="3466" spans="4:54">
      <c r="D3466" s="806"/>
      <c r="F3466" s="806"/>
      <c r="W3466" s="806"/>
      <c r="AZ3466" s="806"/>
      <c r="BA3466" s="806"/>
      <c r="BB3466" s="806"/>
    </row>
    <row r="3467" spans="4:54">
      <c r="D3467" s="806"/>
      <c r="F3467" s="806"/>
      <c r="W3467" s="806"/>
      <c r="AZ3467" s="806"/>
      <c r="BA3467" s="806"/>
      <c r="BB3467" s="806"/>
    </row>
    <row r="3468" spans="4:54">
      <c r="D3468" s="806"/>
      <c r="F3468" s="806"/>
      <c r="W3468" s="806"/>
      <c r="AZ3468" s="806"/>
      <c r="BA3468" s="806"/>
      <c r="BB3468" s="806"/>
    </row>
    <row r="3469" spans="4:54">
      <c r="D3469" s="806"/>
      <c r="F3469" s="806"/>
      <c r="W3469" s="806"/>
      <c r="AZ3469" s="806"/>
      <c r="BA3469" s="806"/>
      <c r="BB3469" s="806"/>
    </row>
    <row r="3470" spans="4:54">
      <c r="D3470" s="806"/>
      <c r="F3470" s="806"/>
      <c r="W3470" s="806"/>
      <c r="AZ3470" s="806"/>
      <c r="BA3470" s="806"/>
      <c r="BB3470" s="806"/>
    </row>
    <row r="3471" spans="4:54">
      <c r="D3471" s="806"/>
      <c r="F3471" s="806"/>
      <c r="W3471" s="806"/>
      <c r="AZ3471" s="806"/>
      <c r="BA3471" s="806"/>
      <c r="BB3471" s="806"/>
    </row>
    <row r="3472" spans="4:54">
      <c r="D3472" s="806"/>
      <c r="F3472" s="806"/>
      <c r="W3472" s="806"/>
      <c r="AZ3472" s="806"/>
      <c r="BA3472" s="806"/>
      <c r="BB3472" s="806"/>
    </row>
    <row r="3473" spans="4:54">
      <c r="D3473" s="806"/>
      <c r="F3473" s="806"/>
      <c r="W3473" s="806"/>
      <c r="AZ3473" s="806"/>
      <c r="BA3473" s="806"/>
      <c r="BB3473" s="806"/>
    </row>
    <row r="3474" spans="4:54">
      <c r="D3474" s="806"/>
      <c r="F3474" s="806"/>
      <c r="W3474" s="806"/>
      <c r="AZ3474" s="806"/>
      <c r="BA3474" s="806"/>
      <c r="BB3474" s="806"/>
    </row>
    <row r="3475" spans="4:54">
      <c r="D3475" s="806"/>
      <c r="F3475" s="806"/>
      <c r="W3475" s="806"/>
      <c r="AZ3475" s="806"/>
      <c r="BA3475" s="806"/>
      <c r="BB3475" s="806"/>
    </row>
    <row r="3476" spans="4:54">
      <c r="D3476" s="806"/>
      <c r="F3476" s="806"/>
      <c r="W3476" s="806"/>
      <c r="AZ3476" s="806"/>
      <c r="BA3476" s="806"/>
      <c r="BB3476" s="806"/>
    </row>
    <row r="3477" spans="4:54">
      <c r="D3477" s="806"/>
      <c r="F3477" s="806"/>
      <c r="W3477" s="806"/>
      <c r="AZ3477" s="806"/>
      <c r="BA3477" s="806"/>
      <c r="BB3477" s="806"/>
    </row>
    <row r="3478" spans="4:54">
      <c r="D3478" s="806"/>
      <c r="F3478" s="806"/>
      <c r="W3478" s="806"/>
      <c r="AZ3478" s="806"/>
      <c r="BA3478" s="806"/>
      <c r="BB3478" s="806"/>
    </row>
    <row r="3479" spans="4:54">
      <c r="D3479" s="806"/>
      <c r="F3479" s="806"/>
      <c r="W3479" s="806"/>
      <c r="AZ3479" s="806"/>
      <c r="BA3479" s="806"/>
      <c r="BB3479" s="806"/>
    </row>
    <row r="3480" spans="4:54">
      <c r="D3480" s="806"/>
      <c r="F3480" s="806"/>
      <c r="W3480" s="806"/>
      <c r="AZ3480" s="806"/>
      <c r="BA3480" s="806"/>
      <c r="BB3480" s="806"/>
    </row>
    <row r="3481" spans="4:54">
      <c r="D3481" s="806"/>
      <c r="F3481" s="806"/>
      <c r="W3481" s="806"/>
      <c r="AZ3481" s="806"/>
      <c r="BA3481" s="806"/>
      <c r="BB3481" s="806"/>
    </row>
    <row r="3482" spans="4:54">
      <c r="D3482" s="806"/>
      <c r="F3482" s="806"/>
      <c r="W3482" s="806"/>
      <c r="AZ3482" s="806"/>
      <c r="BA3482" s="806"/>
      <c r="BB3482" s="806"/>
    </row>
    <row r="3483" spans="4:54">
      <c r="D3483" s="806"/>
      <c r="F3483" s="806"/>
      <c r="W3483" s="806"/>
      <c r="AZ3483" s="806"/>
      <c r="BA3483" s="806"/>
      <c r="BB3483" s="806"/>
    </row>
    <row r="3484" spans="4:54">
      <c r="D3484" s="806"/>
      <c r="F3484" s="806"/>
      <c r="W3484" s="806"/>
      <c r="AZ3484" s="806"/>
      <c r="BA3484" s="806"/>
      <c r="BB3484" s="806"/>
    </row>
    <row r="3485" spans="4:54">
      <c r="D3485" s="806"/>
      <c r="F3485" s="806"/>
      <c r="W3485" s="806"/>
      <c r="AZ3485" s="806"/>
      <c r="BA3485" s="806"/>
      <c r="BB3485" s="806"/>
    </row>
    <row r="3486" spans="4:54">
      <c r="D3486" s="806"/>
      <c r="F3486" s="806"/>
      <c r="W3486" s="806"/>
      <c r="AZ3486" s="806"/>
      <c r="BA3486" s="806"/>
      <c r="BB3486" s="806"/>
    </row>
    <row r="3487" spans="4:54">
      <c r="D3487" s="806"/>
      <c r="F3487" s="806"/>
      <c r="W3487" s="806"/>
      <c r="AZ3487" s="806"/>
      <c r="BA3487" s="806"/>
      <c r="BB3487" s="806"/>
    </row>
    <row r="3488" spans="4:54">
      <c r="D3488" s="806"/>
      <c r="F3488" s="806"/>
      <c r="W3488" s="806"/>
      <c r="AZ3488" s="806"/>
      <c r="BA3488" s="806"/>
      <c r="BB3488" s="806"/>
    </row>
    <row r="3489" spans="4:54">
      <c r="D3489" s="806"/>
      <c r="F3489" s="806"/>
      <c r="W3489" s="806"/>
      <c r="AZ3489" s="806"/>
      <c r="BA3489" s="806"/>
      <c r="BB3489" s="806"/>
    </row>
    <row r="3490" spans="4:54">
      <c r="D3490" s="806"/>
      <c r="F3490" s="806"/>
      <c r="W3490" s="806"/>
      <c r="AZ3490" s="806"/>
      <c r="BA3490" s="806"/>
      <c r="BB3490" s="806"/>
    </row>
    <row r="3491" spans="4:54">
      <c r="D3491" s="806"/>
      <c r="F3491" s="806"/>
      <c r="W3491" s="806"/>
      <c r="AZ3491" s="806"/>
      <c r="BA3491" s="806"/>
      <c r="BB3491" s="806"/>
    </row>
    <row r="3492" spans="4:54">
      <c r="D3492" s="806"/>
      <c r="F3492" s="806"/>
      <c r="W3492" s="806"/>
      <c r="AZ3492" s="806"/>
      <c r="BA3492" s="806"/>
      <c r="BB3492" s="806"/>
    </row>
    <row r="3493" spans="4:54">
      <c r="D3493" s="806"/>
      <c r="F3493" s="806"/>
      <c r="W3493" s="806"/>
      <c r="AZ3493" s="806"/>
      <c r="BA3493" s="806"/>
      <c r="BB3493" s="806"/>
    </row>
    <row r="3494" spans="4:54">
      <c r="D3494" s="806"/>
      <c r="F3494" s="806"/>
      <c r="W3494" s="806"/>
      <c r="AZ3494" s="806"/>
      <c r="BA3494" s="806"/>
      <c r="BB3494" s="806"/>
    </row>
    <row r="3495" spans="4:54">
      <c r="D3495" s="806"/>
      <c r="F3495" s="806"/>
      <c r="W3495" s="806"/>
      <c r="AZ3495" s="806"/>
      <c r="BA3495" s="806"/>
      <c r="BB3495" s="806"/>
    </row>
    <row r="3496" spans="4:54">
      <c r="D3496" s="806"/>
      <c r="F3496" s="806"/>
      <c r="W3496" s="806"/>
      <c r="AZ3496" s="806"/>
      <c r="BA3496" s="806"/>
      <c r="BB3496" s="806"/>
    </row>
    <row r="3497" spans="4:54">
      <c r="D3497" s="806"/>
      <c r="F3497" s="806"/>
      <c r="W3497" s="806"/>
      <c r="AZ3497" s="806"/>
      <c r="BA3497" s="806"/>
      <c r="BB3497" s="806"/>
    </row>
    <row r="3498" spans="4:54">
      <c r="D3498" s="806"/>
      <c r="F3498" s="806"/>
      <c r="W3498" s="806"/>
      <c r="AZ3498" s="806"/>
      <c r="BA3498" s="806"/>
      <c r="BB3498" s="806"/>
    </row>
    <row r="3499" spans="4:54">
      <c r="D3499" s="806"/>
      <c r="F3499" s="806"/>
      <c r="W3499" s="806"/>
      <c r="AZ3499" s="806"/>
      <c r="BA3499" s="806"/>
      <c r="BB3499" s="806"/>
    </row>
    <row r="3500" spans="4:54">
      <c r="D3500" s="806"/>
      <c r="F3500" s="806"/>
      <c r="W3500" s="806"/>
      <c r="AZ3500" s="806"/>
      <c r="BA3500" s="806"/>
      <c r="BB3500" s="806"/>
    </row>
    <row r="3501" spans="4:54">
      <c r="D3501" s="806"/>
      <c r="F3501" s="806"/>
      <c r="W3501" s="806"/>
      <c r="AZ3501" s="806"/>
      <c r="BA3501" s="806"/>
      <c r="BB3501" s="806"/>
    </row>
    <row r="3502" spans="4:54">
      <c r="D3502" s="806"/>
      <c r="F3502" s="806"/>
      <c r="W3502" s="806"/>
      <c r="AZ3502" s="806"/>
      <c r="BA3502" s="806"/>
      <c r="BB3502" s="806"/>
    </row>
    <row r="3503" spans="4:54">
      <c r="D3503" s="806"/>
      <c r="F3503" s="806"/>
      <c r="W3503" s="806"/>
      <c r="AZ3503" s="806"/>
      <c r="BA3503" s="806"/>
      <c r="BB3503" s="806"/>
    </row>
    <row r="3504" spans="4:54">
      <c r="D3504" s="806"/>
      <c r="F3504" s="806"/>
      <c r="W3504" s="806"/>
      <c r="AZ3504" s="806"/>
      <c r="BA3504" s="806"/>
      <c r="BB3504" s="806"/>
    </row>
    <row r="3505" spans="4:54">
      <c r="D3505" s="806"/>
      <c r="F3505" s="806"/>
      <c r="W3505" s="806"/>
      <c r="AZ3505" s="806"/>
      <c r="BA3505" s="806"/>
      <c r="BB3505" s="806"/>
    </row>
    <row r="3506" spans="4:54">
      <c r="D3506" s="806"/>
      <c r="F3506" s="806"/>
      <c r="W3506" s="806"/>
      <c r="AZ3506" s="806"/>
      <c r="BA3506" s="806"/>
      <c r="BB3506" s="806"/>
    </row>
    <row r="3507" spans="4:54">
      <c r="D3507" s="806"/>
      <c r="F3507" s="806"/>
      <c r="W3507" s="806"/>
      <c r="AZ3507" s="806"/>
      <c r="BA3507" s="806"/>
      <c r="BB3507" s="806"/>
    </row>
    <row r="3508" spans="4:54">
      <c r="D3508" s="806"/>
      <c r="F3508" s="806"/>
      <c r="W3508" s="806"/>
      <c r="AZ3508" s="806"/>
      <c r="BA3508" s="806"/>
      <c r="BB3508" s="806"/>
    </row>
    <row r="3509" spans="4:54">
      <c r="D3509" s="806"/>
      <c r="F3509" s="806"/>
      <c r="W3509" s="806"/>
      <c r="AZ3509" s="806"/>
      <c r="BA3509" s="806"/>
      <c r="BB3509" s="806"/>
    </row>
    <row r="3510" spans="4:54">
      <c r="D3510" s="806"/>
      <c r="F3510" s="806"/>
      <c r="W3510" s="806"/>
      <c r="AZ3510" s="806"/>
      <c r="BA3510" s="806"/>
      <c r="BB3510" s="806"/>
    </row>
    <row r="3511" spans="4:54">
      <c r="D3511" s="806"/>
      <c r="F3511" s="806"/>
      <c r="W3511" s="806"/>
      <c r="AZ3511" s="806"/>
      <c r="BA3511" s="806"/>
      <c r="BB3511" s="806"/>
    </row>
    <row r="3512" spans="4:54">
      <c r="D3512" s="806"/>
      <c r="F3512" s="806"/>
      <c r="W3512" s="806"/>
      <c r="AZ3512" s="806"/>
      <c r="BA3512" s="806"/>
      <c r="BB3512" s="806"/>
    </row>
    <row r="3513" spans="4:54">
      <c r="D3513" s="806"/>
      <c r="F3513" s="806"/>
      <c r="W3513" s="806"/>
      <c r="AZ3513" s="806"/>
      <c r="BA3513" s="806"/>
      <c r="BB3513" s="806"/>
    </row>
    <row r="3514" spans="4:54">
      <c r="D3514" s="806"/>
      <c r="F3514" s="806"/>
      <c r="W3514" s="806"/>
      <c r="AZ3514" s="806"/>
      <c r="BA3514" s="806"/>
      <c r="BB3514" s="806"/>
    </row>
    <row r="3515" spans="4:54">
      <c r="D3515" s="806"/>
      <c r="F3515" s="806"/>
      <c r="W3515" s="806"/>
      <c r="AZ3515" s="806"/>
      <c r="BA3515" s="806"/>
      <c r="BB3515" s="806"/>
    </row>
    <row r="3516" spans="4:54">
      <c r="D3516" s="806"/>
      <c r="F3516" s="806"/>
      <c r="W3516" s="806"/>
      <c r="AZ3516" s="806"/>
      <c r="BA3516" s="806"/>
      <c r="BB3516" s="806"/>
    </row>
    <row r="3517" spans="4:54">
      <c r="D3517" s="806"/>
      <c r="F3517" s="806"/>
      <c r="W3517" s="806"/>
      <c r="AZ3517" s="806"/>
      <c r="BA3517" s="806"/>
      <c r="BB3517" s="806"/>
    </row>
    <row r="3518" spans="4:54">
      <c r="D3518" s="806"/>
      <c r="F3518" s="806"/>
      <c r="W3518" s="806"/>
      <c r="AZ3518" s="806"/>
      <c r="BA3518" s="806"/>
      <c r="BB3518" s="806"/>
    </row>
    <row r="3519" spans="4:54">
      <c r="D3519" s="806"/>
      <c r="F3519" s="806"/>
      <c r="W3519" s="806"/>
      <c r="AZ3519" s="806"/>
      <c r="BA3519" s="806"/>
      <c r="BB3519" s="806"/>
    </row>
    <row r="3520" spans="4:54">
      <c r="D3520" s="806"/>
      <c r="F3520" s="806"/>
      <c r="W3520" s="806"/>
      <c r="AZ3520" s="806"/>
      <c r="BA3520" s="806"/>
      <c r="BB3520" s="806"/>
    </row>
    <row r="3521" spans="4:54">
      <c r="D3521" s="806"/>
      <c r="F3521" s="806"/>
      <c r="W3521" s="806"/>
      <c r="AZ3521" s="806"/>
      <c r="BA3521" s="806"/>
      <c r="BB3521" s="806"/>
    </row>
    <row r="3522" spans="4:54">
      <c r="D3522" s="806"/>
      <c r="F3522" s="806"/>
      <c r="W3522" s="806"/>
      <c r="AZ3522" s="806"/>
      <c r="BA3522" s="806"/>
      <c r="BB3522" s="806"/>
    </row>
    <row r="3523" spans="4:54">
      <c r="D3523" s="806"/>
      <c r="F3523" s="806"/>
      <c r="W3523" s="806"/>
      <c r="AZ3523" s="806"/>
      <c r="BA3523" s="806"/>
      <c r="BB3523" s="806"/>
    </row>
    <row r="3524" spans="4:54">
      <c r="D3524" s="806"/>
      <c r="F3524" s="806"/>
      <c r="W3524" s="806"/>
      <c r="AZ3524" s="806"/>
      <c r="BA3524" s="806"/>
      <c r="BB3524" s="806"/>
    </row>
    <row r="3525" spans="4:54">
      <c r="D3525" s="806"/>
      <c r="F3525" s="806"/>
      <c r="W3525" s="806"/>
      <c r="AZ3525" s="806"/>
      <c r="BA3525" s="806"/>
      <c r="BB3525" s="806"/>
    </row>
    <row r="3526" spans="4:54">
      <c r="D3526" s="806"/>
      <c r="F3526" s="806"/>
      <c r="W3526" s="806"/>
      <c r="AZ3526" s="806"/>
      <c r="BA3526" s="806"/>
      <c r="BB3526" s="806"/>
    </row>
    <row r="3527" spans="4:54">
      <c r="D3527" s="806"/>
      <c r="F3527" s="806"/>
      <c r="W3527" s="806"/>
      <c r="AZ3527" s="806"/>
      <c r="BA3527" s="806"/>
      <c r="BB3527" s="806"/>
    </row>
    <row r="3528" spans="4:54">
      <c r="D3528" s="806"/>
      <c r="F3528" s="806"/>
      <c r="W3528" s="806"/>
      <c r="AZ3528" s="806"/>
      <c r="BA3528" s="806"/>
      <c r="BB3528" s="806"/>
    </row>
    <row r="3529" spans="4:54">
      <c r="D3529" s="806"/>
      <c r="F3529" s="806"/>
      <c r="W3529" s="806"/>
      <c r="AZ3529" s="806"/>
      <c r="BA3529" s="806"/>
      <c r="BB3529" s="806"/>
    </row>
    <row r="3530" spans="4:54">
      <c r="D3530" s="806"/>
      <c r="F3530" s="806"/>
      <c r="W3530" s="806"/>
      <c r="AZ3530" s="806"/>
      <c r="BA3530" s="806"/>
      <c r="BB3530" s="806"/>
    </row>
    <row r="3531" spans="4:54">
      <c r="D3531" s="806"/>
      <c r="F3531" s="806"/>
      <c r="W3531" s="806"/>
      <c r="AZ3531" s="806"/>
      <c r="BA3531" s="806"/>
      <c r="BB3531" s="806"/>
    </row>
    <row r="3532" spans="4:54">
      <c r="D3532" s="806"/>
      <c r="F3532" s="806"/>
      <c r="W3532" s="806"/>
      <c r="AZ3532" s="806"/>
      <c r="BA3532" s="806"/>
      <c r="BB3532" s="806"/>
    </row>
    <row r="3533" spans="4:54">
      <c r="D3533" s="806"/>
      <c r="F3533" s="806"/>
      <c r="W3533" s="806"/>
      <c r="AZ3533" s="806"/>
      <c r="BA3533" s="806"/>
      <c r="BB3533" s="806"/>
    </row>
    <row r="3534" spans="4:54">
      <c r="D3534" s="806"/>
      <c r="F3534" s="806"/>
      <c r="W3534" s="806"/>
      <c r="AZ3534" s="806"/>
      <c r="BA3534" s="806"/>
      <c r="BB3534" s="806"/>
    </row>
    <row r="3535" spans="4:54">
      <c r="D3535" s="806"/>
      <c r="F3535" s="806"/>
      <c r="W3535" s="806"/>
      <c r="AZ3535" s="806"/>
      <c r="BA3535" s="806"/>
      <c r="BB3535" s="806"/>
    </row>
    <row r="3536" spans="4:54">
      <c r="D3536" s="806"/>
      <c r="F3536" s="806"/>
      <c r="W3536" s="806"/>
      <c r="AZ3536" s="806"/>
      <c r="BA3536" s="806"/>
      <c r="BB3536" s="806"/>
    </row>
    <row r="3537" spans="4:54">
      <c r="D3537" s="806"/>
      <c r="F3537" s="806"/>
      <c r="W3537" s="806"/>
      <c r="AZ3537" s="806"/>
      <c r="BA3537" s="806"/>
      <c r="BB3537" s="806"/>
    </row>
    <row r="3538" spans="4:54">
      <c r="D3538" s="806"/>
      <c r="F3538" s="806"/>
      <c r="W3538" s="806"/>
      <c r="AZ3538" s="806"/>
      <c r="BA3538" s="806"/>
      <c r="BB3538" s="806"/>
    </row>
    <row r="3539" spans="4:54">
      <c r="D3539" s="806"/>
      <c r="F3539" s="806"/>
      <c r="W3539" s="806"/>
      <c r="AZ3539" s="806"/>
      <c r="BA3539" s="806"/>
      <c r="BB3539" s="806"/>
    </row>
    <row r="3540" spans="4:54">
      <c r="D3540" s="806"/>
      <c r="F3540" s="806"/>
      <c r="W3540" s="806"/>
      <c r="AZ3540" s="806"/>
      <c r="BA3540" s="806"/>
      <c r="BB3540" s="806"/>
    </row>
    <row r="3541" spans="4:54">
      <c r="D3541" s="806"/>
      <c r="F3541" s="806"/>
      <c r="W3541" s="806"/>
      <c r="AZ3541" s="806"/>
      <c r="BA3541" s="806"/>
      <c r="BB3541" s="806"/>
    </row>
    <row r="3542" spans="4:54">
      <c r="D3542" s="806"/>
      <c r="F3542" s="806"/>
      <c r="W3542" s="806"/>
      <c r="AZ3542" s="806"/>
      <c r="BA3542" s="806"/>
      <c r="BB3542" s="806"/>
    </row>
    <row r="3543" spans="4:54">
      <c r="D3543" s="806"/>
      <c r="F3543" s="806"/>
      <c r="W3543" s="806"/>
      <c r="AZ3543" s="806"/>
      <c r="BA3543" s="806"/>
      <c r="BB3543" s="806"/>
    </row>
    <row r="3544" spans="4:54">
      <c r="D3544" s="806"/>
      <c r="F3544" s="806"/>
      <c r="W3544" s="806"/>
      <c r="AZ3544" s="806"/>
      <c r="BA3544" s="806"/>
      <c r="BB3544" s="806"/>
    </row>
    <row r="3545" spans="4:54">
      <c r="D3545" s="806"/>
      <c r="F3545" s="806"/>
      <c r="W3545" s="806"/>
      <c r="AZ3545" s="806"/>
      <c r="BA3545" s="806"/>
      <c r="BB3545" s="806"/>
    </row>
    <row r="3546" spans="4:54">
      <c r="D3546" s="806"/>
      <c r="F3546" s="806"/>
      <c r="W3546" s="806"/>
      <c r="AZ3546" s="806"/>
      <c r="BA3546" s="806"/>
      <c r="BB3546" s="806"/>
    </row>
    <row r="3547" spans="4:54">
      <c r="D3547" s="806"/>
      <c r="F3547" s="806"/>
      <c r="W3547" s="806"/>
      <c r="AZ3547" s="806"/>
      <c r="BA3547" s="806"/>
      <c r="BB3547" s="806"/>
    </row>
    <row r="3548" spans="4:54">
      <c r="D3548" s="806"/>
      <c r="F3548" s="806"/>
      <c r="W3548" s="806"/>
      <c r="AZ3548" s="806"/>
      <c r="BA3548" s="806"/>
      <c r="BB3548" s="806"/>
    </row>
    <row r="3549" spans="4:54">
      <c r="D3549" s="806"/>
      <c r="F3549" s="806"/>
      <c r="W3549" s="806"/>
      <c r="AZ3549" s="806"/>
      <c r="BA3549" s="806"/>
      <c r="BB3549" s="806"/>
    </row>
    <row r="3550" spans="4:54">
      <c r="D3550" s="806"/>
      <c r="F3550" s="806"/>
      <c r="W3550" s="806"/>
      <c r="AZ3550" s="806"/>
      <c r="BA3550" s="806"/>
      <c r="BB3550" s="806"/>
    </row>
    <row r="3551" spans="4:54">
      <c r="D3551" s="806"/>
      <c r="F3551" s="806"/>
      <c r="W3551" s="806"/>
      <c r="AZ3551" s="806"/>
      <c r="BA3551" s="806"/>
      <c r="BB3551" s="806"/>
    </row>
    <row r="3552" spans="4:54">
      <c r="D3552" s="806"/>
      <c r="F3552" s="806"/>
      <c r="W3552" s="806"/>
      <c r="AZ3552" s="806"/>
      <c r="BA3552" s="806"/>
      <c r="BB3552" s="806"/>
    </row>
    <row r="3553" spans="4:54">
      <c r="D3553" s="806"/>
      <c r="F3553" s="806"/>
      <c r="W3553" s="806"/>
      <c r="AZ3553" s="806"/>
      <c r="BA3553" s="806"/>
      <c r="BB3553" s="806"/>
    </row>
    <row r="3554" spans="4:54">
      <c r="D3554" s="806"/>
      <c r="F3554" s="806"/>
      <c r="W3554" s="806"/>
      <c r="AZ3554" s="806"/>
      <c r="BA3554" s="806"/>
      <c r="BB3554" s="806"/>
    </row>
    <row r="3555" spans="4:54">
      <c r="D3555" s="806"/>
      <c r="F3555" s="806"/>
      <c r="W3555" s="806"/>
      <c r="AZ3555" s="806"/>
      <c r="BA3555" s="806"/>
      <c r="BB3555" s="806"/>
    </row>
    <row r="3556" spans="4:54">
      <c r="D3556" s="806"/>
      <c r="F3556" s="806"/>
      <c r="W3556" s="806"/>
      <c r="AZ3556" s="806"/>
      <c r="BA3556" s="806"/>
      <c r="BB3556" s="806"/>
    </row>
    <row r="3557" spans="4:54">
      <c r="D3557" s="806"/>
      <c r="F3557" s="806"/>
      <c r="W3557" s="806"/>
      <c r="AZ3557" s="806"/>
      <c r="BA3557" s="806"/>
      <c r="BB3557" s="806"/>
    </row>
    <row r="3558" spans="4:54">
      <c r="D3558" s="806"/>
      <c r="F3558" s="806"/>
      <c r="W3558" s="806"/>
      <c r="AZ3558" s="806"/>
      <c r="BA3558" s="806"/>
      <c r="BB3558" s="806"/>
    </row>
    <row r="3559" spans="4:54">
      <c r="D3559" s="806"/>
      <c r="F3559" s="806"/>
      <c r="W3559" s="806"/>
      <c r="AZ3559" s="806"/>
      <c r="BA3559" s="806"/>
      <c r="BB3559" s="806"/>
    </row>
    <row r="3560" spans="4:54">
      <c r="D3560" s="806"/>
      <c r="F3560" s="806"/>
      <c r="W3560" s="806"/>
      <c r="AZ3560" s="806"/>
      <c r="BA3560" s="806"/>
      <c r="BB3560" s="806"/>
    </row>
    <row r="3561" spans="4:54">
      <c r="D3561" s="806"/>
      <c r="F3561" s="806"/>
      <c r="W3561" s="806"/>
      <c r="AZ3561" s="806"/>
      <c r="BA3561" s="806"/>
      <c r="BB3561" s="806"/>
    </row>
    <row r="3562" spans="4:54">
      <c r="D3562" s="806"/>
      <c r="F3562" s="806"/>
      <c r="W3562" s="806"/>
      <c r="AZ3562" s="806"/>
      <c r="BA3562" s="806"/>
      <c r="BB3562" s="806"/>
    </row>
    <row r="3563" spans="4:54">
      <c r="D3563" s="806"/>
      <c r="F3563" s="806"/>
      <c r="W3563" s="806"/>
      <c r="AZ3563" s="806"/>
      <c r="BA3563" s="806"/>
      <c r="BB3563" s="806"/>
    </row>
    <row r="3564" spans="4:54">
      <c r="D3564" s="806"/>
      <c r="F3564" s="806"/>
      <c r="W3564" s="806"/>
      <c r="AZ3564" s="806"/>
      <c r="BA3564" s="806"/>
      <c r="BB3564" s="806"/>
    </row>
    <row r="3565" spans="4:54">
      <c r="D3565" s="806"/>
      <c r="F3565" s="806"/>
      <c r="W3565" s="806"/>
      <c r="AZ3565" s="806"/>
      <c r="BA3565" s="806"/>
      <c r="BB3565" s="806"/>
    </row>
    <row r="3566" spans="4:54">
      <c r="D3566" s="806"/>
      <c r="F3566" s="806"/>
      <c r="W3566" s="806"/>
      <c r="AZ3566" s="806"/>
      <c r="BA3566" s="806"/>
      <c r="BB3566" s="806"/>
    </row>
    <row r="3567" spans="4:54">
      <c r="D3567" s="806"/>
      <c r="F3567" s="806"/>
      <c r="W3567" s="806"/>
      <c r="AZ3567" s="806"/>
      <c r="BA3567" s="806"/>
      <c r="BB3567" s="806"/>
    </row>
    <row r="3568" spans="4:54">
      <c r="D3568" s="806"/>
      <c r="F3568" s="806"/>
      <c r="W3568" s="806"/>
      <c r="AZ3568" s="806"/>
      <c r="BA3568" s="806"/>
      <c r="BB3568" s="806"/>
    </row>
    <row r="3569" spans="4:54">
      <c r="D3569" s="806"/>
      <c r="F3569" s="806"/>
      <c r="W3569" s="806"/>
      <c r="AZ3569" s="806"/>
      <c r="BA3569" s="806"/>
      <c r="BB3569" s="806"/>
    </row>
    <row r="3570" spans="4:54">
      <c r="D3570" s="806"/>
      <c r="F3570" s="806"/>
      <c r="W3570" s="806"/>
      <c r="AZ3570" s="806"/>
      <c r="BA3570" s="806"/>
      <c r="BB3570" s="806"/>
    </row>
    <row r="3571" spans="4:54">
      <c r="D3571" s="806"/>
      <c r="F3571" s="806"/>
      <c r="W3571" s="806"/>
      <c r="AZ3571" s="806"/>
      <c r="BA3571" s="806"/>
      <c r="BB3571" s="806"/>
    </row>
    <row r="3572" spans="4:54">
      <c r="D3572" s="806"/>
      <c r="F3572" s="806"/>
      <c r="W3572" s="806"/>
      <c r="AZ3572" s="806"/>
      <c r="BA3572" s="806"/>
      <c r="BB3572" s="806"/>
    </row>
    <row r="3573" spans="4:54">
      <c r="D3573" s="806"/>
      <c r="F3573" s="806"/>
      <c r="W3573" s="806"/>
      <c r="AZ3573" s="806"/>
      <c r="BA3573" s="806"/>
      <c r="BB3573" s="806"/>
    </row>
    <row r="3574" spans="4:54">
      <c r="D3574" s="806"/>
      <c r="F3574" s="806"/>
      <c r="W3574" s="806"/>
      <c r="AZ3574" s="806"/>
      <c r="BA3574" s="806"/>
      <c r="BB3574" s="806"/>
    </row>
    <row r="3575" spans="4:54">
      <c r="D3575" s="806"/>
      <c r="F3575" s="806"/>
      <c r="W3575" s="806"/>
      <c r="AZ3575" s="806"/>
      <c r="BA3575" s="806"/>
      <c r="BB3575" s="806"/>
    </row>
    <row r="3576" spans="4:54">
      <c r="D3576" s="806"/>
      <c r="F3576" s="806"/>
      <c r="W3576" s="806"/>
      <c r="AZ3576" s="806"/>
      <c r="BA3576" s="806"/>
      <c r="BB3576" s="806"/>
    </row>
    <row r="3577" spans="4:54">
      <c r="D3577" s="806"/>
      <c r="F3577" s="806"/>
      <c r="W3577" s="806"/>
      <c r="AZ3577" s="806"/>
      <c r="BA3577" s="806"/>
      <c r="BB3577" s="806"/>
    </row>
    <row r="3578" spans="4:54">
      <c r="D3578" s="806"/>
      <c r="F3578" s="806"/>
      <c r="W3578" s="806"/>
      <c r="AZ3578" s="806"/>
      <c r="BA3578" s="806"/>
      <c r="BB3578" s="806"/>
    </row>
    <row r="3579" spans="4:54">
      <c r="D3579" s="806"/>
      <c r="F3579" s="806"/>
      <c r="W3579" s="806"/>
      <c r="AZ3579" s="806"/>
      <c r="BA3579" s="806"/>
      <c r="BB3579" s="806"/>
    </row>
    <row r="3580" spans="4:54">
      <c r="D3580" s="806"/>
      <c r="F3580" s="806"/>
      <c r="W3580" s="806"/>
      <c r="AZ3580" s="806"/>
      <c r="BA3580" s="806"/>
      <c r="BB3580" s="806"/>
    </row>
    <row r="3581" spans="4:54">
      <c r="D3581" s="806"/>
      <c r="F3581" s="806"/>
      <c r="W3581" s="806"/>
      <c r="AZ3581" s="806"/>
      <c r="BA3581" s="806"/>
      <c r="BB3581" s="806"/>
    </row>
    <row r="3582" spans="4:54">
      <c r="D3582" s="806"/>
      <c r="F3582" s="806"/>
      <c r="W3582" s="806"/>
      <c r="AZ3582" s="806"/>
      <c r="BA3582" s="806"/>
      <c r="BB3582" s="806"/>
    </row>
    <row r="3583" spans="4:54">
      <c r="D3583" s="806"/>
      <c r="F3583" s="806"/>
      <c r="W3583" s="806"/>
      <c r="AZ3583" s="806"/>
      <c r="BA3583" s="806"/>
      <c r="BB3583" s="806"/>
    </row>
    <row r="3584" spans="4:54">
      <c r="D3584" s="806"/>
      <c r="F3584" s="806"/>
      <c r="W3584" s="806"/>
      <c r="AZ3584" s="806"/>
      <c r="BA3584" s="806"/>
      <c r="BB3584" s="806"/>
    </row>
    <row r="3585" spans="4:54">
      <c r="D3585" s="806"/>
      <c r="F3585" s="806"/>
      <c r="W3585" s="806"/>
      <c r="AZ3585" s="806"/>
      <c r="BA3585" s="806"/>
      <c r="BB3585" s="806"/>
    </row>
    <row r="3586" spans="4:54">
      <c r="D3586" s="806"/>
      <c r="F3586" s="806"/>
      <c r="W3586" s="806"/>
      <c r="AZ3586" s="806"/>
      <c r="BA3586" s="806"/>
      <c r="BB3586" s="806"/>
    </row>
    <row r="3587" spans="4:54">
      <c r="D3587" s="806"/>
      <c r="F3587" s="806"/>
      <c r="W3587" s="806"/>
      <c r="AZ3587" s="806"/>
      <c r="BA3587" s="806"/>
      <c r="BB3587" s="806"/>
    </row>
    <row r="3588" spans="4:54">
      <c r="D3588" s="806"/>
      <c r="F3588" s="806"/>
      <c r="W3588" s="806"/>
      <c r="AZ3588" s="806"/>
      <c r="BA3588" s="806"/>
      <c r="BB3588" s="806"/>
    </row>
    <row r="3589" spans="4:54">
      <c r="D3589" s="806"/>
      <c r="F3589" s="806"/>
      <c r="W3589" s="806"/>
      <c r="AZ3589" s="806"/>
      <c r="BA3589" s="806"/>
      <c r="BB3589" s="806"/>
    </row>
    <row r="3590" spans="4:54">
      <c r="D3590" s="806"/>
      <c r="F3590" s="806"/>
      <c r="W3590" s="806"/>
      <c r="AZ3590" s="806"/>
      <c r="BA3590" s="806"/>
      <c r="BB3590" s="806"/>
    </row>
    <row r="3591" spans="4:54">
      <c r="D3591" s="806"/>
      <c r="F3591" s="806"/>
      <c r="W3591" s="806"/>
      <c r="AZ3591" s="806"/>
      <c r="BA3591" s="806"/>
      <c r="BB3591" s="806"/>
    </row>
    <row r="3592" spans="4:54">
      <c r="D3592" s="806"/>
      <c r="F3592" s="806"/>
      <c r="W3592" s="806"/>
      <c r="AZ3592" s="806"/>
      <c r="BA3592" s="806"/>
      <c r="BB3592" s="806"/>
    </row>
    <row r="3593" spans="4:54">
      <c r="D3593" s="806"/>
      <c r="F3593" s="806"/>
      <c r="W3593" s="806"/>
      <c r="AZ3593" s="806"/>
      <c r="BA3593" s="806"/>
      <c r="BB3593" s="806"/>
    </row>
    <row r="3594" spans="4:54">
      <c r="D3594" s="806"/>
      <c r="F3594" s="806"/>
      <c r="W3594" s="806"/>
      <c r="AZ3594" s="806"/>
      <c r="BA3594" s="806"/>
      <c r="BB3594" s="806"/>
    </row>
    <row r="3595" spans="4:54">
      <c r="D3595" s="806"/>
      <c r="F3595" s="806"/>
      <c r="W3595" s="806"/>
      <c r="AZ3595" s="806"/>
      <c r="BA3595" s="806"/>
      <c r="BB3595" s="806"/>
    </row>
    <row r="3596" spans="4:54">
      <c r="D3596" s="806"/>
      <c r="F3596" s="806"/>
      <c r="W3596" s="806"/>
      <c r="AZ3596" s="806"/>
      <c r="BA3596" s="806"/>
      <c r="BB3596" s="806"/>
    </row>
    <row r="3597" spans="4:54">
      <c r="D3597" s="806"/>
      <c r="F3597" s="806"/>
      <c r="W3597" s="806"/>
      <c r="AZ3597" s="806"/>
      <c r="BA3597" s="806"/>
      <c r="BB3597" s="806"/>
    </row>
    <row r="3598" spans="4:54">
      <c r="D3598" s="806"/>
      <c r="F3598" s="806"/>
      <c r="W3598" s="806"/>
      <c r="AZ3598" s="806"/>
      <c r="BA3598" s="806"/>
      <c r="BB3598" s="806"/>
    </row>
    <row r="3599" spans="4:54">
      <c r="D3599" s="806"/>
      <c r="F3599" s="806"/>
      <c r="W3599" s="806"/>
      <c r="AZ3599" s="806"/>
      <c r="BA3599" s="806"/>
      <c r="BB3599" s="806"/>
    </row>
    <row r="3600" spans="4:54">
      <c r="D3600" s="806"/>
      <c r="F3600" s="806"/>
      <c r="W3600" s="806"/>
      <c r="AZ3600" s="806"/>
      <c r="BA3600" s="806"/>
      <c r="BB3600" s="806"/>
    </row>
    <row r="3601" spans="4:54">
      <c r="D3601" s="806"/>
      <c r="F3601" s="806"/>
      <c r="W3601" s="806"/>
      <c r="AZ3601" s="806"/>
      <c r="BA3601" s="806"/>
      <c r="BB3601" s="806"/>
    </row>
    <row r="3602" spans="4:54">
      <c r="D3602" s="806"/>
      <c r="F3602" s="806"/>
      <c r="W3602" s="806"/>
      <c r="AZ3602" s="806"/>
      <c r="BA3602" s="806"/>
      <c r="BB3602" s="806"/>
    </row>
    <row r="3603" spans="4:54">
      <c r="D3603" s="806"/>
      <c r="F3603" s="806"/>
      <c r="W3603" s="806"/>
      <c r="AZ3603" s="806"/>
      <c r="BA3603" s="806"/>
      <c r="BB3603" s="806"/>
    </row>
    <row r="3604" spans="4:54">
      <c r="D3604" s="806"/>
      <c r="F3604" s="806"/>
      <c r="W3604" s="806"/>
      <c r="AZ3604" s="806"/>
      <c r="BA3604" s="806"/>
      <c r="BB3604" s="806"/>
    </row>
    <row r="3605" spans="4:54">
      <c r="D3605" s="806"/>
      <c r="F3605" s="806"/>
      <c r="W3605" s="806"/>
      <c r="AZ3605" s="806"/>
      <c r="BA3605" s="806"/>
      <c r="BB3605" s="806"/>
    </row>
    <row r="3606" spans="4:54">
      <c r="D3606" s="806"/>
      <c r="F3606" s="806"/>
      <c r="W3606" s="806"/>
      <c r="AZ3606" s="806"/>
      <c r="BA3606" s="806"/>
      <c r="BB3606" s="806"/>
    </row>
    <row r="3607" spans="4:54">
      <c r="D3607" s="806"/>
      <c r="F3607" s="806"/>
      <c r="W3607" s="806"/>
      <c r="AZ3607" s="806"/>
      <c r="BA3607" s="806"/>
      <c r="BB3607" s="806"/>
    </row>
    <row r="3608" spans="4:54">
      <c r="D3608" s="806"/>
      <c r="F3608" s="806"/>
      <c r="W3608" s="806"/>
      <c r="AZ3608" s="806"/>
      <c r="BA3608" s="806"/>
      <c r="BB3608" s="806"/>
    </row>
    <row r="3609" spans="4:54">
      <c r="D3609" s="806"/>
      <c r="F3609" s="806"/>
      <c r="W3609" s="806"/>
      <c r="AZ3609" s="806"/>
      <c r="BA3609" s="806"/>
      <c r="BB3609" s="806"/>
    </row>
    <row r="3610" spans="4:54">
      <c r="D3610" s="806"/>
      <c r="F3610" s="806"/>
      <c r="W3610" s="806"/>
      <c r="AZ3610" s="806"/>
      <c r="BA3610" s="806"/>
      <c r="BB3610" s="806"/>
    </row>
    <row r="3611" spans="4:54">
      <c r="D3611" s="806"/>
      <c r="F3611" s="806"/>
      <c r="W3611" s="806"/>
      <c r="AZ3611" s="806"/>
      <c r="BA3611" s="806"/>
      <c r="BB3611" s="806"/>
    </row>
    <row r="3612" spans="4:54">
      <c r="D3612" s="806"/>
      <c r="F3612" s="806"/>
      <c r="W3612" s="806"/>
      <c r="AZ3612" s="806"/>
      <c r="BA3612" s="806"/>
      <c r="BB3612" s="806"/>
    </row>
    <row r="3613" spans="4:54">
      <c r="D3613" s="806"/>
      <c r="F3613" s="806"/>
      <c r="W3613" s="806"/>
      <c r="AZ3613" s="806"/>
      <c r="BA3613" s="806"/>
      <c r="BB3613" s="806"/>
    </row>
    <row r="3614" spans="4:54">
      <c r="D3614" s="806"/>
      <c r="F3614" s="806"/>
      <c r="W3614" s="806"/>
      <c r="AZ3614" s="806"/>
      <c r="BA3614" s="806"/>
      <c r="BB3614" s="806"/>
    </row>
    <row r="3615" spans="4:54">
      <c r="D3615" s="806"/>
      <c r="F3615" s="806"/>
      <c r="W3615" s="806"/>
      <c r="AZ3615" s="806"/>
      <c r="BA3615" s="806"/>
      <c r="BB3615" s="806"/>
    </row>
    <row r="3616" spans="4:54">
      <c r="D3616" s="806"/>
      <c r="F3616" s="806"/>
      <c r="W3616" s="806"/>
      <c r="AZ3616" s="806"/>
      <c r="BA3616" s="806"/>
      <c r="BB3616" s="806"/>
    </row>
    <row r="3617" spans="4:54">
      <c r="D3617" s="806"/>
      <c r="F3617" s="806"/>
      <c r="W3617" s="806"/>
      <c r="AZ3617" s="806"/>
      <c r="BA3617" s="806"/>
      <c r="BB3617" s="806"/>
    </row>
    <row r="3618" spans="4:54">
      <c r="D3618" s="806"/>
      <c r="F3618" s="806"/>
      <c r="W3618" s="806"/>
      <c r="AZ3618" s="806"/>
      <c r="BA3618" s="806"/>
      <c r="BB3618" s="806"/>
    </row>
    <row r="3619" spans="4:54">
      <c r="D3619" s="806"/>
      <c r="F3619" s="806"/>
      <c r="W3619" s="806"/>
      <c r="AZ3619" s="806"/>
      <c r="BA3619" s="806"/>
      <c r="BB3619" s="806"/>
    </row>
    <row r="3620" spans="4:54">
      <c r="D3620" s="806"/>
      <c r="F3620" s="806"/>
      <c r="W3620" s="806"/>
      <c r="AZ3620" s="806"/>
      <c r="BA3620" s="806"/>
      <c r="BB3620" s="806"/>
    </row>
    <row r="3621" spans="4:54">
      <c r="D3621" s="806"/>
      <c r="F3621" s="806"/>
      <c r="W3621" s="806"/>
      <c r="AZ3621" s="806"/>
      <c r="BA3621" s="806"/>
      <c r="BB3621" s="806"/>
    </row>
    <row r="3622" spans="4:54">
      <c r="D3622" s="806"/>
      <c r="F3622" s="806"/>
      <c r="W3622" s="806"/>
      <c r="AZ3622" s="806"/>
      <c r="BA3622" s="806"/>
      <c r="BB3622" s="806"/>
    </row>
    <row r="3623" spans="4:54">
      <c r="D3623" s="806"/>
      <c r="F3623" s="806"/>
      <c r="W3623" s="806"/>
      <c r="AZ3623" s="806"/>
      <c r="BA3623" s="806"/>
      <c r="BB3623" s="806"/>
    </row>
    <row r="3624" spans="4:54">
      <c r="D3624" s="806"/>
      <c r="F3624" s="806"/>
      <c r="W3624" s="806"/>
      <c r="AZ3624" s="806"/>
      <c r="BA3624" s="806"/>
      <c r="BB3624" s="806"/>
    </row>
    <row r="3625" spans="4:54">
      <c r="D3625" s="806"/>
      <c r="F3625" s="806"/>
      <c r="W3625" s="806"/>
      <c r="AZ3625" s="806"/>
      <c r="BA3625" s="806"/>
      <c r="BB3625" s="806"/>
    </row>
    <row r="3626" spans="4:54">
      <c r="D3626" s="806"/>
      <c r="F3626" s="806"/>
      <c r="W3626" s="806"/>
      <c r="AZ3626" s="806"/>
      <c r="BA3626" s="806"/>
      <c r="BB3626" s="806"/>
    </row>
    <row r="3627" spans="4:54">
      <c r="D3627" s="806"/>
      <c r="F3627" s="806"/>
      <c r="W3627" s="806"/>
      <c r="AZ3627" s="806"/>
      <c r="BA3627" s="806"/>
      <c r="BB3627" s="806"/>
    </row>
    <row r="3628" spans="4:54">
      <c r="D3628" s="806"/>
      <c r="F3628" s="806"/>
      <c r="W3628" s="806"/>
      <c r="AZ3628" s="806"/>
      <c r="BA3628" s="806"/>
      <c r="BB3628" s="806"/>
    </row>
    <row r="3629" spans="4:54">
      <c r="D3629" s="806"/>
      <c r="F3629" s="806"/>
      <c r="W3629" s="806"/>
      <c r="AZ3629" s="806"/>
      <c r="BA3629" s="806"/>
      <c r="BB3629" s="806"/>
    </row>
    <row r="3630" spans="4:54">
      <c r="D3630" s="806"/>
      <c r="F3630" s="806"/>
      <c r="W3630" s="806"/>
      <c r="AZ3630" s="806"/>
      <c r="BA3630" s="806"/>
      <c r="BB3630" s="806"/>
    </row>
    <row r="3631" spans="4:54">
      <c r="D3631" s="806"/>
      <c r="F3631" s="806"/>
      <c r="W3631" s="806"/>
      <c r="AZ3631" s="806"/>
      <c r="BA3631" s="806"/>
      <c r="BB3631" s="806"/>
    </row>
    <row r="3632" spans="4:54">
      <c r="D3632" s="806"/>
      <c r="F3632" s="806"/>
      <c r="W3632" s="806"/>
      <c r="AZ3632" s="806"/>
      <c r="BA3632" s="806"/>
      <c r="BB3632" s="806"/>
    </row>
    <row r="3633" spans="4:54">
      <c r="D3633" s="806"/>
      <c r="F3633" s="806"/>
      <c r="W3633" s="806"/>
      <c r="AZ3633" s="806"/>
      <c r="BA3633" s="806"/>
      <c r="BB3633" s="806"/>
    </row>
    <row r="3634" spans="4:54">
      <c r="D3634" s="806"/>
      <c r="F3634" s="806"/>
      <c r="W3634" s="806"/>
      <c r="AZ3634" s="806"/>
      <c r="BA3634" s="806"/>
      <c r="BB3634" s="806"/>
    </row>
    <row r="3635" spans="4:54">
      <c r="D3635" s="806"/>
      <c r="F3635" s="806"/>
      <c r="W3635" s="806"/>
      <c r="AZ3635" s="806"/>
      <c r="BA3635" s="806"/>
      <c r="BB3635" s="806"/>
    </row>
    <row r="3636" spans="4:54">
      <c r="D3636" s="806"/>
      <c r="F3636" s="806"/>
      <c r="W3636" s="806"/>
      <c r="AZ3636" s="806"/>
      <c r="BA3636" s="806"/>
      <c r="BB3636" s="806"/>
    </row>
    <row r="3643" spans="4:54">
      <c r="D3643" s="806"/>
      <c r="F3643" s="806"/>
      <c r="W3643" s="806"/>
      <c r="AZ3643" s="806"/>
      <c r="BA3643" s="806"/>
      <c r="BB3643" s="806"/>
    </row>
    <row r="3644" spans="4:54">
      <c r="D3644" s="806"/>
      <c r="F3644" s="806"/>
      <c r="W3644" s="806"/>
      <c r="AZ3644" s="806"/>
      <c r="BA3644" s="806"/>
      <c r="BB3644" s="806"/>
    </row>
    <row r="3645" spans="4:54">
      <c r="D3645" s="806"/>
      <c r="F3645" s="806"/>
      <c r="W3645" s="806"/>
      <c r="AZ3645" s="806"/>
      <c r="BA3645" s="806"/>
      <c r="BB3645" s="806"/>
    </row>
    <row r="3646" spans="4:54">
      <c r="D3646" s="806"/>
      <c r="F3646" s="806"/>
      <c r="W3646" s="806"/>
      <c r="AZ3646" s="806"/>
      <c r="BA3646" s="806"/>
      <c r="BB3646" s="806"/>
    </row>
    <row r="3647" spans="4:54">
      <c r="D3647" s="806"/>
      <c r="F3647" s="806"/>
      <c r="W3647" s="806"/>
      <c r="AZ3647" s="806"/>
      <c r="BA3647" s="806"/>
      <c r="BB3647" s="806"/>
    </row>
    <row r="3648" spans="4:54">
      <c r="D3648" s="806"/>
      <c r="F3648" s="806"/>
      <c r="W3648" s="806"/>
      <c r="AZ3648" s="806"/>
      <c r="BA3648" s="806"/>
      <c r="BB3648" s="806"/>
    </row>
    <row r="3649" spans="4:54">
      <c r="D3649" s="806"/>
      <c r="F3649" s="806"/>
      <c r="W3649" s="806"/>
      <c r="AZ3649" s="806"/>
      <c r="BA3649" s="806"/>
      <c r="BB3649" s="806"/>
    </row>
    <row r="3650" spans="4:54">
      <c r="D3650" s="806"/>
      <c r="F3650" s="806"/>
      <c r="W3650" s="806"/>
      <c r="AZ3650" s="806"/>
      <c r="BA3650" s="806"/>
      <c r="BB3650" s="806"/>
    </row>
    <row r="3651" spans="4:54">
      <c r="D3651" s="806"/>
      <c r="F3651" s="806"/>
      <c r="W3651" s="806"/>
      <c r="AZ3651" s="806"/>
      <c r="BA3651" s="806"/>
      <c r="BB3651" s="806"/>
    </row>
    <row r="3652" spans="4:54">
      <c r="D3652" s="806"/>
      <c r="F3652" s="806"/>
      <c r="W3652" s="806"/>
      <c r="AZ3652" s="806"/>
      <c r="BA3652" s="806"/>
      <c r="BB3652" s="806"/>
    </row>
    <row r="3653" spans="4:54">
      <c r="D3653" s="806"/>
      <c r="F3653" s="806"/>
      <c r="W3653" s="806"/>
      <c r="AZ3653" s="806"/>
      <c r="BA3653" s="806"/>
      <c r="BB3653" s="806"/>
    </row>
    <row r="3654" spans="4:54">
      <c r="D3654" s="806"/>
      <c r="F3654" s="806"/>
      <c r="W3654" s="806"/>
      <c r="AZ3654" s="806"/>
      <c r="BA3654" s="806"/>
      <c r="BB3654" s="806"/>
    </row>
    <row r="3655" spans="4:54">
      <c r="D3655" s="806"/>
      <c r="F3655" s="806"/>
      <c r="W3655" s="806"/>
      <c r="AZ3655" s="806"/>
      <c r="BA3655" s="806"/>
      <c r="BB3655" s="806"/>
    </row>
    <row r="3656" spans="4:54">
      <c r="D3656" s="806"/>
      <c r="F3656" s="806"/>
      <c r="W3656" s="806"/>
      <c r="AZ3656" s="806"/>
      <c r="BA3656" s="806"/>
      <c r="BB3656" s="806"/>
    </row>
    <row r="3657" spans="4:54">
      <c r="D3657" s="806"/>
      <c r="F3657" s="806"/>
      <c r="W3657" s="806"/>
      <c r="AZ3657" s="806"/>
      <c r="BA3657" s="806"/>
      <c r="BB3657" s="806"/>
    </row>
    <row r="3658" spans="4:54">
      <c r="D3658" s="806"/>
      <c r="F3658" s="806"/>
      <c r="W3658" s="806"/>
      <c r="AZ3658" s="806"/>
      <c r="BA3658" s="806"/>
      <c r="BB3658" s="806"/>
    </row>
    <row r="3659" spans="4:54">
      <c r="D3659" s="806"/>
      <c r="F3659" s="806"/>
      <c r="W3659" s="806"/>
      <c r="AZ3659" s="806"/>
      <c r="BA3659" s="806"/>
      <c r="BB3659" s="806"/>
    </row>
    <row r="3660" spans="4:54">
      <c r="D3660" s="806"/>
      <c r="F3660" s="806"/>
      <c r="W3660" s="806"/>
      <c r="AZ3660" s="806"/>
      <c r="BA3660" s="806"/>
      <c r="BB3660" s="806"/>
    </row>
    <row r="3661" spans="4:54">
      <c r="D3661" s="806"/>
      <c r="F3661" s="806"/>
      <c r="W3661" s="806"/>
      <c r="AZ3661" s="806"/>
      <c r="BA3661" s="806"/>
      <c r="BB3661" s="806"/>
    </row>
    <row r="3662" spans="4:54">
      <c r="D3662" s="806"/>
      <c r="F3662" s="806"/>
      <c r="W3662" s="806"/>
      <c r="AZ3662" s="806"/>
      <c r="BA3662" s="806"/>
      <c r="BB3662" s="806"/>
    </row>
    <row r="3663" spans="4:54">
      <c r="D3663" s="806"/>
      <c r="F3663" s="806"/>
      <c r="W3663" s="806"/>
      <c r="AZ3663" s="806"/>
      <c r="BA3663" s="806"/>
      <c r="BB3663" s="806"/>
    </row>
    <row r="3664" spans="4:54">
      <c r="D3664" s="806"/>
      <c r="F3664" s="806"/>
      <c r="W3664" s="806"/>
      <c r="AZ3664" s="806"/>
      <c r="BA3664" s="806"/>
      <c r="BB3664" s="806"/>
    </row>
    <row r="3665" spans="4:54">
      <c r="D3665" s="806"/>
      <c r="F3665" s="806"/>
      <c r="W3665" s="806"/>
      <c r="AZ3665" s="806"/>
      <c r="BA3665" s="806"/>
      <c r="BB3665" s="806"/>
    </row>
    <row r="3666" spans="4:54">
      <c r="D3666" s="806"/>
      <c r="F3666" s="806"/>
      <c r="W3666" s="806"/>
      <c r="AZ3666" s="806"/>
      <c r="BA3666" s="806"/>
      <c r="BB3666" s="806"/>
    </row>
    <row r="3667" spans="4:54">
      <c r="D3667" s="806"/>
      <c r="F3667" s="806"/>
      <c r="W3667" s="806"/>
      <c r="AZ3667" s="806"/>
      <c r="BA3667" s="806"/>
      <c r="BB3667" s="806"/>
    </row>
    <row r="3668" spans="4:54">
      <c r="D3668" s="806"/>
      <c r="F3668" s="806"/>
      <c r="W3668" s="806"/>
      <c r="AZ3668" s="806"/>
      <c r="BA3668" s="806"/>
      <c r="BB3668" s="806"/>
    </row>
    <row r="3669" spans="4:54">
      <c r="D3669" s="806"/>
      <c r="F3669" s="806"/>
      <c r="W3669" s="806"/>
      <c r="AZ3669" s="806"/>
      <c r="BA3669" s="806"/>
      <c r="BB3669" s="806"/>
    </row>
    <row r="3670" spans="4:54">
      <c r="D3670" s="806"/>
      <c r="F3670" s="806"/>
      <c r="W3670" s="806"/>
      <c r="AZ3670" s="806"/>
      <c r="BA3670" s="806"/>
      <c r="BB3670" s="806"/>
    </row>
    <row r="3671" spans="4:54">
      <c r="D3671" s="806"/>
      <c r="F3671" s="806"/>
      <c r="W3671" s="806"/>
      <c r="AZ3671" s="806"/>
      <c r="BA3671" s="806"/>
      <c r="BB3671" s="806"/>
    </row>
    <row r="3672" spans="4:54">
      <c r="D3672" s="806"/>
      <c r="F3672" s="806"/>
      <c r="W3672" s="806"/>
      <c r="AZ3672" s="806"/>
      <c r="BA3672" s="806"/>
      <c r="BB3672" s="806"/>
    </row>
    <row r="3673" spans="4:54">
      <c r="D3673" s="806"/>
      <c r="F3673" s="806"/>
      <c r="W3673" s="806"/>
      <c r="AZ3673" s="806"/>
      <c r="BA3673" s="806"/>
      <c r="BB3673" s="806"/>
    </row>
    <row r="3674" spans="4:54">
      <c r="D3674" s="806"/>
      <c r="F3674" s="806"/>
      <c r="W3674" s="806"/>
      <c r="AZ3674" s="806"/>
      <c r="BA3674" s="806"/>
      <c r="BB3674" s="806"/>
    </row>
    <row r="3675" spans="4:54">
      <c r="D3675" s="806"/>
      <c r="F3675" s="806"/>
      <c r="W3675" s="806"/>
      <c r="AZ3675" s="806"/>
      <c r="BA3675" s="806"/>
      <c r="BB3675" s="806"/>
    </row>
    <row r="3676" spans="4:54">
      <c r="D3676" s="806"/>
      <c r="F3676" s="806"/>
      <c r="W3676" s="806"/>
      <c r="AZ3676" s="806"/>
      <c r="BA3676" s="806"/>
      <c r="BB3676" s="806"/>
    </row>
    <row r="3677" spans="4:54">
      <c r="D3677" s="806"/>
      <c r="F3677" s="806"/>
      <c r="W3677" s="806"/>
      <c r="AZ3677" s="806"/>
      <c r="BA3677" s="806"/>
      <c r="BB3677" s="806"/>
    </row>
    <row r="3678" spans="4:54">
      <c r="D3678" s="806"/>
      <c r="F3678" s="806"/>
      <c r="W3678" s="806"/>
      <c r="AZ3678" s="806"/>
      <c r="BA3678" s="806"/>
      <c r="BB3678" s="806"/>
    </row>
    <row r="3679" spans="4:54">
      <c r="D3679" s="806"/>
      <c r="F3679" s="806"/>
      <c r="W3679" s="806"/>
      <c r="AZ3679" s="806"/>
      <c r="BA3679" s="806"/>
      <c r="BB3679" s="806"/>
    </row>
    <row r="3680" spans="4:54">
      <c r="D3680" s="806"/>
      <c r="F3680" s="806"/>
      <c r="W3680" s="806"/>
      <c r="AZ3680" s="806"/>
      <c r="BA3680" s="806"/>
      <c r="BB3680" s="806"/>
    </row>
    <row r="3681" spans="4:54">
      <c r="D3681" s="806"/>
      <c r="F3681" s="806"/>
      <c r="W3681" s="806"/>
      <c r="AZ3681" s="806"/>
      <c r="BA3681" s="806"/>
      <c r="BB3681" s="806"/>
    </row>
    <row r="3682" spans="4:54">
      <c r="D3682" s="806"/>
      <c r="F3682" s="806"/>
      <c r="W3682" s="806"/>
      <c r="AZ3682" s="806"/>
      <c r="BA3682" s="806"/>
      <c r="BB3682" s="806"/>
    </row>
    <row r="3683" spans="4:54">
      <c r="D3683" s="806"/>
      <c r="F3683" s="806"/>
      <c r="W3683" s="806"/>
      <c r="AZ3683" s="806"/>
      <c r="BA3683" s="806"/>
      <c r="BB3683" s="806"/>
    </row>
    <row r="3684" spans="4:54">
      <c r="D3684" s="806"/>
      <c r="F3684" s="806"/>
      <c r="W3684" s="806"/>
      <c r="AZ3684" s="806"/>
      <c r="BA3684" s="806"/>
      <c r="BB3684" s="806"/>
    </row>
    <row r="3685" spans="4:54">
      <c r="D3685" s="806"/>
      <c r="F3685" s="806"/>
      <c r="W3685" s="806"/>
      <c r="AZ3685" s="806"/>
      <c r="BA3685" s="806"/>
      <c r="BB3685" s="806"/>
    </row>
    <row r="3686" spans="4:54">
      <c r="D3686" s="806"/>
      <c r="F3686" s="806"/>
      <c r="W3686" s="806"/>
      <c r="AZ3686" s="806"/>
      <c r="BA3686" s="806"/>
      <c r="BB3686" s="806"/>
    </row>
    <row r="3687" spans="4:54">
      <c r="D3687" s="806"/>
      <c r="F3687" s="806"/>
      <c r="W3687" s="806"/>
      <c r="AZ3687" s="806"/>
      <c r="BA3687" s="806"/>
      <c r="BB3687" s="806"/>
    </row>
    <row r="3688" spans="4:54">
      <c r="D3688" s="806"/>
      <c r="F3688" s="806"/>
      <c r="W3688" s="806"/>
      <c r="AZ3688" s="806"/>
      <c r="BA3688" s="806"/>
      <c r="BB3688" s="806"/>
    </row>
    <row r="3689" spans="4:54">
      <c r="D3689" s="806"/>
      <c r="F3689" s="806"/>
      <c r="W3689" s="806"/>
      <c r="AZ3689" s="806"/>
      <c r="BA3689" s="806"/>
      <c r="BB3689" s="806"/>
    </row>
    <row r="3690" spans="4:54">
      <c r="D3690" s="806"/>
      <c r="F3690" s="806"/>
      <c r="W3690" s="806"/>
      <c r="AZ3690" s="806"/>
      <c r="BA3690" s="806"/>
      <c r="BB3690" s="806"/>
    </row>
    <row r="3691" spans="4:54">
      <c r="D3691" s="806"/>
      <c r="F3691" s="806"/>
      <c r="W3691" s="806"/>
      <c r="AZ3691" s="806"/>
      <c r="BA3691" s="806"/>
      <c r="BB3691" s="806"/>
    </row>
    <row r="3692" spans="4:54">
      <c r="D3692" s="806"/>
      <c r="F3692" s="806"/>
      <c r="W3692" s="806"/>
      <c r="AZ3692" s="806"/>
      <c r="BA3692" s="806"/>
      <c r="BB3692" s="806"/>
    </row>
    <row r="3693" spans="4:54">
      <c r="D3693" s="806"/>
      <c r="F3693" s="806"/>
      <c r="W3693" s="806"/>
      <c r="AZ3693" s="806"/>
      <c r="BA3693" s="806"/>
      <c r="BB3693" s="806"/>
    </row>
    <row r="3694" spans="4:54">
      <c r="D3694" s="806"/>
      <c r="F3694" s="806"/>
      <c r="W3694" s="806"/>
      <c r="AZ3694" s="806"/>
      <c r="BA3694" s="806"/>
      <c r="BB3694" s="806"/>
    </row>
    <row r="3695" spans="4:54">
      <c r="D3695" s="806"/>
      <c r="F3695" s="806"/>
      <c r="W3695" s="806"/>
      <c r="AZ3695" s="806"/>
      <c r="BA3695" s="806"/>
      <c r="BB3695" s="806"/>
    </row>
    <row r="3696" spans="4:54">
      <c r="D3696" s="806"/>
      <c r="F3696" s="806"/>
      <c r="W3696" s="806"/>
      <c r="AZ3696" s="806"/>
      <c r="BA3696" s="806"/>
      <c r="BB3696" s="806"/>
    </row>
    <row r="3697" spans="4:54">
      <c r="D3697" s="806"/>
      <c r="F3697" s="806"/>
      <c r="W3697" s="806"/>
      <c r="AZ3697" s="806"/>
      <c r="BA3697" s="806"/>
      <c r="BB3697" s="806"/>
    </row>
    <row r="3698" spans="4:54">
      <c r="D3698" s="806"/>
      <c r="F3698" s="806"/>
      <c r="W3698" s="806"/>
      <c r="AZ3698" s="806"/>
      <c r="BA3698" s="806"/>
      <c r="BB3698" s="806"/>
    </row>
    <row r="3699" spans="4:54">
      <c r="D3699" s="806"/>
      <c r="F3699" s="806"/>
      <c r="W3699" s="806"/>
      <c r="AZ3699" s="806"/>
      <c r="BA3699" s="806"/>
      <c r="BB3699" s="806"/>
    </row>
    <row r="3700" spans="4:54">
      <c r="D3700" s="806"/>
      <c r="F3700" s="806"/>
      <c r="W3700" s="806"/>
      <c r="AZ3700" s="806"/>
      <c r="BA3700" s="806"/>
      <c r="BB3700" s="806"/>
    </row>
    <row r="3701" spans="4:54">
      <c r="D3701" s="806"/>
      <c r="F3701" s="806"/>
      <c r="W3701" s="806"/>
      <c r="AZ3701" s="806"/>
      <c r="BA3701" s="806"/>
      <c r="BB3701" s="806"/>
    </row>
    <row r="3702" spans="4:54">
      <c r="D3702" s="806"/>
      <c r="F3702" s="806"/>
      <c r="W3702" s="806"/>
      <c r="AZ3702" s="806"/>
      <c r="BA3702" s="806"/>
      <c r="BB3702" s="806"/>
    </row>
    <row r="3703" spans="4:54">
      <c r="D3703" s="806"/>
      <c r="F3703" s="806"/>
      <c r="W3703" s="806"/>
      <c r="AZ3703" s="806"/>
      <c r="BA3703" s="806"/>
      <c r="BB3703" s="806"/>
    </row>
    <row r="3704" spans="4:54">
      <c r="D3704" s="806"/>
      <c r="F3704" s="806"/>
      <c r="W3704" s="806"/>
      <c r="AZ3704" s="806"/>
      <c r="BA3704" s="806"/>
      <c r="BB3704" s="806"/>
    </row>
    <row r="3705" spans="4:54">
      <c r="D3705" s="806"/>
      <c r="F3705" s="806"/>
      <c r="W3705" s="806"/>
      <c r="AZ3705" s="806"/>
      <c r="BA3705" s="806"/>
      <c r="BB3705" s="806"/>
    </row>
    <row r="3706" spans="4:54">
      <c r="D3706" s="806"/>
      <c r="F3706" s="806"/>
      <c r="W3706" s="806"/>
      <c r="AZ3706" s="806"/>
      <c r="BA3706" s="806"/>
      <c r="BB3706" s="806"/>
    </row>
    <row r="3707" spans="4:54">
      <c r="D3707" s="806"/>
      <c r="F3707" s="806"/>
      <c r="W3707" s="806"/>
      <c r="AZ3707" s="806"/>
      <c r="BA3707" s="806"/>
      <c r="BB3707" s="806"/>
    </row>
    <row r="3708" spans="4:54">
      <c r="D3708" s="806"/>
      <c r="F3708" s="806"/>
      <c r="W3708" s="806"/>
      <c r="AZ3708" s="806"/>
      <c r="BA3708" s="806"/>
      <c r="BB3708" s="806"/>
    </row>
    <row r="3709" spans="4:54">
      <c r="D3709" s="806"/>
      <c r="F3709" s="806"/>
      <c r="W3709" s="806"/>
      <c r="AZ3709" s="806"/>
      <c r="BA3709" s="806"/>
      <c r="BB3709" s="806"/>
    </row>
    <row r="3710" spans="4:54">
      <c r="D3710" s="806"/>
      <c r="F3710" s="806"/>
      <c r="W3710" s="806"/>
      <c r="AZ3710" s="806"/>
      <c r="BA3710" s="806"/>
      <c r="BB3710" s="806"/>
    </row>
    <row r="3711" spans="4:54">
      <c r="D3711" s="806"/>
      <c r="F3711" s="806"/>
      <c r="W3711" s="806"/>
      <c r="AZ3711" s="806"/>
      <c r="BA3711" s="806"/>
      <c r="BB3711" s="806"/>
    </row>
    <row r="3712" spans="4:54">
      <c r="D3712" s="806"/>
      <c r="F3712" s="806"/>
      <c r="W3712" s="806"/>
      <c r="AZ3712" s="806"/>
      <c r="BA3712" s="806"/>
      <c r="BB3712" s="806"/>
    </row>
    <row r="3713" spans="4:54">
      <c r="D3713" s="806"/>
      <c r="F3713" s="806"/>
      <c r="W3713" s="806"/>
      <c r="AZ3713" s="806"/>
      <c r="BA3713" s="806"/>
      <c r="BB3713" s="806"/>
    </row>
    <row r="3714" spans="4:54">
      <c r="D3714" s="806"/>
      <c r="F3714" s="806"/>
      <c r="W3714" s="806"/>
      <c r="AZ3714" s="806"/>
      <c r="BA3714" s="806"/>
      <c r="BB3714" s="806"/>
    </row>
    <row r="3715" spans="4:54">
      <c r="D3715" s="806"/>
      <c r="F3715" s="806"/>
      <c r="W3715" s="806"/>
      <c r="AZ3715" s="806"/>
      <c r="BA3715" s="806"/>
      <c r="BB3715" s="806"/>
    </row>
    <row r="3716" spans="4:54">
      <c r="D3716" s="806"/>
      <c r="F3716" s="806"/>
      <c r="W3716" s="806"/>
      <c r="AZ3716" s="806"/>
      <c r="BA3716" s="806"/>
      <c r="BB3716" s="806"/>
    </row>
    <row r="3717" spans="4:54">
      <c r="D3717" s="806"/>
      <c r="F3717" s="806"/>
      <c r="W3717" s="806"/>
      <c r="AZ3717" s="806"/>
      <c r="BA3717" s="806"/>
      <c r="BB3717" s="806"/>
    </row>
    <row r="3718" spans="4:54">
      <c r="D3718" s="806"/>
      <c r="F3718" s="806"/>
      <c r="W3718" s="806"/>
      <c r="AZ3718" s="806"/>
      <c r="BA3718" s="806"/>
      <c r="BB3718" s="806"/>
    </row>
    <row r="3719" spans="4:54">
      <c r="D3719" s="806"/>
      <c r="F3719" s="806"/>
      <c r="W3719" s="806"/>
      <c r="AZ3719" s="806"/>
      <c r="BA3719" s="806"/>
      <c r="BB3719" s="806"/>
    </row>
    <row r="3720" spans="4:54">
      <c r="D3720" s="806"/>
      <c r="F3720" s="806"/>
      <c r="W3720" s="806"/>
      <c r="AZ3720" s="806"/>
      <c r="BA3720" s="806"/>
      <c r="BB3720" s="806"/>
    </row>
    <row r="3721" spans="4:54">
      <c r="D3721" s="806"/>
      <c r="F3721" s="806"/>
      <c r="W3721" s="806"/>
      <c r="AZ3721" s="806"/>
      <c r="BA3721" s="806"/>
      <c r="BB3721" s="806"/>
    </row>
    <row r="3722" spans="4:54">
      <c r="D3722" s="806"/>
      <c r="F3722" s="806"/>
      <c r="W3722" s="806"/>
      <c r="AZ3722" s="806"/>
      <c r="BA3722" s="806"/>
      <c r="BB3722" s="806"/>
    </row>
    <row r="3723" spans="4:54">
      <c r="D3723" s="806"/>
      <c r="F3723" s="806"/>
      <c r="W3723" s="806"/>
      <c r="AZ3723" s="806"/>
      <c r="BA3723" s="806"/>
      <c r="BB3723" s="806"/>
    </row>
    <row r="3724" spans="4:54">
      <c r="D3724" s="806"/>
      <c r="F3724" s="806"/>
      <c r="W3724" s="806"/>
      <c r="AZ3724" s="806"/>
      <c r="BA3724" s="806"/>
      <c r="BB3724" s="806"/>
    </row>
    <row r="3725" spans="4:54">
      <c r="D3725" s="806"/>
      <c r="F3725" s="806"/>
      <c r="W3725" s="806"/>
      <c r="AZ3725" s="806"/>
      <c r="BA3725" s="806"/>
      <c r="BB3725" s="806"/>
    </row>
    <row r="3726" spans="4:54">
      <c r="D3726" s="806"/>
      <c r="F3726" s="806"/>
      <c r="W3726" s="806"/>
      <c r="AZ3726" s="806"/>
      <c r="BA3726" s="806"/>
      <c r="BB3726" s="806"/>
    </row>
    <row r="3727" spans="4:54">
      <c r="D3727" s="806"/>
      <c r="F3727" s="806"/>
      <c r="W3727" s="806"/>
      <c r="AZ3727" s="806"/>
      <c r="BA3727" s="806"/>
      <c r="BB3727" s="806"/>
    </row>
    <row r="3728" spans="4:54">
      <c r="D3728" s="806"/>
      <c r="F3728" s="806"/>
      <c r="W3728" s="806"/>
      <c r="AZ3728" s="806"/>
      <c r="BA3728" s="806"/>
      <c r="BB3728" s="806"/>
    </row>
    <row r="3729" spans="4:54">
      <c r="D3729" s="806"/>
      <c r="F3729" s="806"/>
      <c r="W3729" s="806"/>
      <c r="AZ3729" s="806"/>
      <c r="BA3729" s="806"/>
      <c r="BB3729" s="806"/>
    </row>
    <row r="3730" spans="4:54">
      <c r="D3730" s="806"/>
      <c r="F3730" s="806"/>
      <c r="W3730" s="806"/>
      <c r="AZ3730" s="806"/>
      <c r="BA3730" s="806"/>
      <c r="BB3730" s="806"/>
    </row>
    <row r="3731" spans="4:54">
      <c r="D3731" s="806"/>
      <c r="F3731" s="806"/>
      <c r="W3731" s="806"/>
      <c r="AZ3731" s="806"/>
      <c r="BA3731" s="806"/>
      <c r="BB3731" s="806"/>
    </row>
    <row r="3732" spans="4:54">
      <c r="D3732" s="806"/>
      <c r="F3732" s="806"/>
      <c r="W3732" s="806"/>
      <c r="AZ3732" s="806"/>
      <c r="BA3732" s="806"/>
      <c r="BB3732" s="806"/>
    </row>
    <row r="3733" spans="4:54">
      <c r="D3733" s="806"/>
      <c r="F3733" s="806"/>
      <c r="W3733" s="806"/>
      <c r="AZ3733" s="806"/>
      <c r="BA3733" s="806"/>
      <c r="BB3733" s="806"/>
    </row>
    <row r="3734" spans="4:54">
      <c r="D3734" s="806"/>
      <c r="F3734" s="806"/>
      <c r="W3734" s="806"/>
      <c r="AZ3734" s="806"/>
      <c r="BA3734" s="806"/>
      <c r="BB3734" s="806"/>
    </row>
    <row r="3735" spans="4:54">
      <c r="D3735" s="806"/>
      <c r="F3735" s="806"/>
      <c r="W3735" s="806"/>
      <c r="AZ3735" s="806"/>
      <c r="BA3735" s="806"/>
      <c r="BB3735" s="806"/>
    </row>
    <row r="3736" spans="4:54">
      <c r="D3736" s="806"/>
      <c r="F3736" s="806"/>
      <c r="W3736" s="806"/>
      <c r="AZ3736" s="806"/>
      <c r="BA3736" s="806"/>
      <c r="BB3736" s="806"/>
    </row>
    <row r="3737" spans="4:54">
      <c r="D3737" s="806"/>
      <c r="F3737" s="806"/>
      <c r="W3737" s="806"/>
      <c r="AZ3737" s="806"/>
      <c r="BA3737" s="806"/>
      <c r="BB3737" s="806"/>
    </row>
    <row r="3738" spans="4:54">
      <c r="D3738" s="806"/>
      <c r="F3738" s="806"/>
      <c r="W3738" s="806"/>
      <c r="AZ3738" s="806"/>
      <c r="BA3738" s="806"/>
      <c r="BB3738" s="806"/>
    </row>
    <row r="3739" spans="4:54">
      <c r="D3739" s="806"/>
      <c r="F3739" s="806"/>
      <c r="W3739" s="806"/>
      <c r="AZ3739" s="806"/>
      <c r="BA3739" s="806"/>
      <c r="BB3739" s="806"/>
    </row>
    <row r="3740" spans="4:54">
      <c r="D3740" s="806"/>
      <c r="F3740" s="806"/>
      <c r="W3740" s="806"/>
      <c r="AZ3740" s="806"/>
      <c r="BA3740" s="806"/>
      <c r="BB3740" s="806"/>
    </row>
    <row r="3741" spans="4:54">
      <c r="D3741" s="806"/>
      <c r="F3741" s="806"/>
      <c r="W3741" s="806"/>
      <c r="AZ3741" s="806"/>
      <c r="BA3741" s="806"/>
      <c r="BB3741" s="806"/>
    </row>
    <row r="3742" spans="4:54">
      <c r="D3742" s="806"/>
      <c r="F3742" s="806"/>
      <c r="W3742" s="806"/>
      <c r="AZ3742" s="806"/>
      <c r="BA3742" s="806"/>
      <c r="BB3742" s="806"/>
    </row>
    <row r="3743" spans="4:54">
      <c r="D3743" s="806"/>
      <c r="F3743" s="806"/>
      <c r="W3743" s="806"/>
      <c r="AZ3743" s="806"/>
      <c r="BA3743" s="806"/>
      <c r="BB3743" s="806"/>
    </row>
    <row r="3744" spans="4:54">
      <c r="D3744" s="806"/>
      <c r="F3744" s="806"/>
      <c r="W3744" s="806"/>
      <c r="AZ3744" s="806"/>
      <c r="BA3744" s="806"/>
      <c r="BB3744" s="806"/>
    </row>
    <row r="3745" spans="4:54">
      <c r="D3745" s="806"/>
      <c r="F3745" s="806"/>
      <c r="W3745" s="806"/>
      <c r="AZ3745" s="806"/>
      <c r="BA3745" s="806"/>
      <c r="BB3745" s="806"/>
    </row>
    <row r="3746" spans="4:54">
      <c r="D3746" s="806"/>
      <c r="F3746" s="806"/>
      <c r="W3746" s="806"/>
      <c r="AZ3746" s="806"/>
      <c r="BA3746" s="806"/>
      <c r="BB3746" s="806"/>
    </row>
    <row r="3747" spans="4:54">
      <c r="D3747" s="806"/>
      <c r="F3747" s="806"/>
      <c r="W3747" s="806"/>
      <c r="AZ3747" s="806"/>
      <c r="BA3747" s="806"/>
      <c r="BB3747" s="806"/>
    </row>
    <row r="3748" spans="4:54">
      <c r="D3748" s="806"/>
      <c r="F3748" s="806"/>
      <c r="W3748" s="806"/>
      <c r="AZ3748" s="806"/>
      <c r="BA3748" s="806"/>
      <c r="BB3748" s="806"/>
    </row>
    <row r="3749" spans="4:54">
      <c r="D3749" s="806"/>
      <c r="F3749" s="806"/>
      <c r="W3749" s="806"/>
      <c r="AZ3749" s="806"/>
      <c r="BA3749" s="806"/>
      <c r="BB3749" s="806"/>
    </row>
    <row r="3750" spans="4:54">
      <c r="D3750" s="806"/>
      <c r="F3750" s="806"/>
      <c r="W3750" s="806"/>
      <c r="AZ3750" s="806"/>
      <c r="BA3750" s="806"/>
      <c r="BB3750" s="806"/>
    </row>
    <row r="3751" spans="4:54">
      <c r="D3751" s="806"/>
      <c r="F3751" s="806"/>
      <c r="W3751" s="806"/>
      <c r="AZ3751" s="806"/>
      <c r="BA3751" s="806"/>
      <c r="BB3751" s="806"/>
    </row>
    <row r="3752" spans="4:54">
      <c r="D3752" s="806"/>
      <c r="F3752" s="806"/>
      <c r="W3752" s="806"/>
      <c r="AZ3752" s="806"/>
      <c r="BA3752" s="806"/>
      <c r="BB3752" s="806"/>
    </row>
    <row r="3753" spans="4:54">
      <c r="D3753" s="806"/>
      <c r="F3753" s="806"/>
      <c r="W3753" s="806"/>
      <c r="AZ3753" s="806"/>
      <c r="BA3753" s="806"/>
      <c r="BB3753" s="806"/>
    </row>
    <row r="3754" spans="4:54">
      <c r="D3754" s="806"/>
      <c r="F3754" s="806"/>
      <c r="W3754" s="806"/>
      <c r="AZ3754" s="806"/>
      <c r="BA3754" s="806"/>
      <c r="BB3754" s="806"/>
    </row>
    <row r="3755" spans="4:54">
      <c r="D3755" s="806"/>
      <c r="F3755" s="806"/>
      <c r="W3755" s="806"/>
      <c r="AZ3755" s="806"/>
      <c r="BA3755" s="806"/>
      <c r="BB3755" s="806"/>
    </row>
    <row r="3756" spans="4:54">
      <c r="D3756" s="806"/>
      <c r="F3756" s="806"/>
      <c r="W3756" s="806"/>
      <c r="AZ3756" s="806"/>
      <c r="BA3756" s="806"/>
      <c r="BB3756" s="806"/>
    </row>
    <row r="3757" spans="4:54">
      <c r="D3757" s="806"/>
      <c r="F3757" s="806"/>
      <c r="W3757" s="806"/>
      <c r="AZ3757" s="806"/>
      <c r="BA3757" s="806"/>
      <c r="BB3757" s="806"/>
    </row>
    <row r="3758" spans="4:54">
      <c r="D3758" s="806"/>
      <c r="F3758" s="806"/>
      <c r="W3758" s="806"/>
      <c r="AZ3758" s="806"/>
      <c r="BA3758" s="806"/>
      <c r="BB3758" s="806"/>
    </row>
    <row r="3759" spans="4:54">
      <c r="D3759" s="806"/>
      <c r="F3759" s="806"/>
      <c r="W3759" s="806"/>
      <c r="AZ3759" s="806"/>
      <c r="BA3759" s="806"/>
      <c r="BB3759" s="806"/>
    </row>
    <row r="3760" spans="4:54">
      <c r="D3760" s="806"/>
      <c r="F3760" s="806"/>
      <c r="W3760" s="806"/>
      <c r="AZ3760" s="806"/>
      <c r="BA3760" s="806"/>
      <c r="BB3760" s="806"/>
    </row>
    <row r="3761" spans="4:54">
      <c r="D3761" s="806"/>
      <c r="F3761" s="806"/>
      <c r="W3761" s="806"/>
      <c r="AZ3761" s="806"/>
      <c r="BA3761" s="806"/>
      <c r="BB3761" s="806"/>
    </row>
    <row r="3762" spans="4:54">
      <c r="D3762" s="806"/>
      <c r="F3762" s="806"/>
      <c r="W3762" s="806"/>
      <c r="AZ3762" s="806"/>
      <c r="BA3762" s="806"/>
      <c r="BB3762" s="806"/>
    </row>
    <row r="3763" spans="4:54">
      <c r="D3763" s="806"/>
      <c r="F3763" s="806"/>
      <c r="W3763" s="806"/>
      <c r="AZ3763" s="806"/>
      <c r="BA3763" s="806"/>
      <c r="BB3763" s="806"/>
    </row>
    <row r="3764" spans="4:54">
      <c r="D3764" s="806"/>
      <c r="F3764" s="806"/>
      <c r="W3764" s="806"/>
      <c r="AZ3764" s="806"/>
      <c r="BA3764" s="806"/>
      <c r="BB3764" s="806"/>
    </row>
    <row r="3765" spans="4:54">
      <c r="D3765" s="806"/>
      <c r="F3765" s="806"/>
      <c r="W3765" s="806"/>
      <c r="AZ3765" s="806"/>
      <c r="BA3765" s="806"/>
      <c r="BB3765" s="806"/>
    </row>
    <row r="3766" spans="4:54">
      <c r="D3766" s="806"/>
      <c r="F3766" s="806"/>
      <c r="W3766" s="806"/>
      <c r="AZ3766" s="806"/>
      <c r="BA3766" s="806"/>
      <c r="BB3766" s="806"/>
    </row>
    <row r="3767" spans="4:54">
      <c r="D3767" s="806"/>
      <c r="F3767" s="806"/>
      <c r="W3767" s="806"/>
      <c r="AZ3767" s="806"/>
      <c r="BA3767" s="806"/>
      <c r="BB3767" s="806"/>
    </row>
    <row r="3768" spans="4:54">
      <c r="D3768" s="806"/>
      <c r="F3768" s="806"/>
      <c r="W3768" s="806"/>
      <c r="AZ3768" s="806"/>
      <c r="BA3768" s="806"/>
      <c r="BB3768" s="806"/>
    </row>
    <row r="3769" spans="4:54">
      <c r="D3769" s="806"/>
      <c r="F3769" s="806"/>
      <c r="W3769" s="806"/>
      <c r="AZ3769" s="806"/>
      <c r="BA3769" s="806"/>
      <c r="BB3769" s="806"/>
    </row>
    <row r="3770" spans="4:54">
      <c r="D3770" s="806"/>
      <c r="F3770" s="806"/>
      <c r="W3770" s="806"/>
      <c r="AZ3770" s="806"/>
      <c r="BA3770" s="806"/>
      <c r="BB3770" s="806"/>
    </row>
    <row r="3771" spans="4:54">
      <c r="D3771" s="806"/>
      <c r="F3771" s="806"/>
      <c r="W3771" s="806"/>
      <c r="AZ3771" s="806"/>
      <c r="BA3771" s="806"/>
      <c r="BB3771" s="806"/>
    </row>
    <row r="3772" spans="4:54">
      <c r="D3772" s="806"/>
      <c r="F3772" s="806"/>
      <c r="W3772" s="806"/>
      <c r="AZ3772" s="806"/>
      <c r="BA3772" s="806"/>
      <c r="BB3772" s="806"/>
    </row>
    <row r="3773" spans="4:54">
      <c r="D3773" s="806"/>
      <c r="F3773" s="806"/>
      <c r="W3773" s="806"/>
      <c r="AZ3773" s="806"/>
      <c r="BA3773" s="806"/>
      <c r="BB3773" s="806"/>
    </row>
    <row r="3774" spans="4:54">
      <c r="D3774" s="806"/>
      <c r="F3774" s="806"/>
      <c r="W3774" s="806"/>
      <c r="AZ3774" s="806"/>
      <c r="BA3774" s="806"/>
      <c r="BB3774" s="806"/>
    </row>
    <row r="3775" spans="4:54">
      <c r="D3775" s="806"/>
      <c r="F3775" s="806"/>
      <c r="W3775" s="806"/>
      <c r="AZ3775" s="806"/>
      <c r="BA3775" s="806"/>
      <c r="BB3775" s="806"/>
    </row>
    <row r="3776" spans="4:54">
      <c r="D3776" s="806"/>
      <c r="F3776" s="806"/>
      <c r="W3776" s="806"/>
      <c r="AZ3776" s="806"/>
      <c r="BA3776" s="806"/>
      <c r="BB3776" s="806"/>
    </row>
    <row r="3777" spans="4:54">
      <c r="D3777" s="806"/>
      <c r="F3777" s="806"/>
      <c r="W3777" s="806"/>
      <c r="AZ3777" s="806"/>
      <c r="BA3777" s="806"/>
      <c r="BB3777" s="806"/>
    </row>
    <row r="3778" spans="4:54">
      <c r="D3778" s="806"/>
      <c r="F3778" s="806"/>
      <c r="W3778" s="806"/>
      <c r="AZ3778" s="806"/>
      <c r="BA3778" s="806"/>
      <c r="BB3778" s="806"/>
    </row>
    <row r="3779" spans="4:54">
      <c r="D3779" s="806"/>
      <c r="F3779" s="806"/>
      <c r="W3779" s="806"/>
      <c r="AZ3779" s="806"/>
      <c r="BA3779" s="806"/>
      <c r="BB3779" s="806"/>
    </row>
    <row r="3780" spans="4:54">
      <c r="D3780" s="806"/>
      <c r="F3780" s="806"/>
      <c r="W3780" s="806"/>
      <c r="AZ3780" s="806"/>
      <c r="BA3780" s="806"/>
      <c r="BB3780" s="806"/>
    </row>
    <row r="3781" spans="4:54">
      <c r="D3781" s="806"/>
      <c r="F3781" s="806"/>
      <c r="W3781" s="806"/>
      <c r="AZ3781" s="806"/>
      <c r="BA3781" s="806"/>
      <c r="BB3781" s="806"/>
    </row>
    <row r="3782" spans="4:54">
      <c r="D3782" s="806"/>
      <c r="F3782" s="806"/>
      <c r="W3782" s="806"/>
      <c r="AZ3782" s="806"/>
      <c r="BA3782" s="806"/>
      <c r="BB3782" s="806"/>
    </row>
    <row r="3783" spans="4:54">
      <c r="D3783" s="806"/>
      <c r="F3783" s="806"/>
      <c r="W3783" s="806"/>
      <c r="AZ3783" s="806"/>
      <c r="BA3783" s="806"/>
      <c r="BB3783" s="806"/>
    </row>
    <row r="3784" spans="4:54">
      <c r="D3784" s="806"/>
      <c r="F3784" s="806"/>
      <c r="W3784" s="806"/>
      <c r="AZ3784" s="806"/>
      <c r="BA3784" s="806"/>
      <c r="BB3784" s="806"/>
    </row>
    <row r="3785" spans="4:54">
      <c r="D3785" s="806"/>
      <c r="F3785" s="806"/>
      <c r="W3785" s="806"/>
      <c r="AZ3785" s="806"/>
      <c r="BA3785" s="806"/>
      <c r="BB3785" s="806"/>
    </row>
    <row r="3786" spans="4:54">
      <c r="D3786" s="806"/>
      <c r="F3786" s="806"/>
      <c r="W3786" s="806"/>
      <c r="AZ3786" s="806"/>
      <c r="BA3786" s="806"/>
      <c r="BB3786" s="806"/>
    </row>
    <row r="3787" spans="4:54">
      <c r="D3787" s="806"/>
      <c r="F3787" s="806"/>
      <c r="W3787" s="806"/>
      <c r="AZ3787" s="806"/>
      <c r="BA3787" s="806"/>
      <c r="BB3787" s="806"/>
    </row>
    <row r="3788" spans="4:54">
      <c r="D3788" s="806"/>
      <c r="F3788" s="806"/>
      <c r="W3788" s="806"/>
      <c r="AZ3788" s="806"/>
      <c r="BA3788" s="806"/>
      <c r="BB3788" s="806"/>
    </row>
    <row r="3789" spans="4:54">
      <c r="D3789" s="806"/>
      <c r="F3789" s="806"/>
      <c r="W3789" s="806"/>
      <c r="AZ3789" s="806"/>
      <c r="BA3789" s="806"/>
      <c r="BB3789" s="806"/>
    </row>
    <row r="3790" spans="4:54">
      <c r="D3790" s="806"/>
      <c r="F3790" s="806"/>
      <c r="W3790" s="806"/>
      <c r="AZ3790" s="806"/>
      <c r="BA3790" s="806"/>
      <c r="BB3790" s="806"/>
    </row>
    <row r="3791" spans="4:54">
      <c r="D3791" s="806"/>
      <c r="F3791" s="806"/>
      <c r="W3791" s="806"/>
      <c r="AZ3791" s="806"/>
      <c r="BA3791" s="806"/>
      <c r="BB3791" s="806"/>
    </row>
    <row r="3792" spans="4:54">
      <c r="D3792" s="806"/>
      <c r="F3792" s="806"/>
      <c r="W3792" s="806"/>
      <c r="AZ3792" s="806"/>
      <c r="BA3792" s="806"/>
      <c r="BB3792" s="806"/>
    </row>
    <row r="3793" spans="4:54">
      <c r="D3793" s="806"/>
      <c r="F3793" s="806"/>
      <c r="W3793" s="806"/>
      <c r="AZ3793" s="806"/>
      <c r="BA3793" s="806"/>
      <c r="BB3793" s="806"/>
    </row>
    <row r="3794" spans="4:54">
      <c r="D3794" s="806"/>
      <c r="F3794" s="806"/>
      <c r="W3794" s="806"/>
      <c r="AZ3794" s="806"/>
      <c r="BA3794" s="806"/>
      <c r="BB3794" s="806"/>
    </row>
    <row r="3795" spans="4:54">
      <c r="D3795" s="806"/>
      <c r="F3795" s="806"/>
      <c r="W3795" s="806"/>
      <c r="AZ3795" s="806"/>
      <c r="BA3795" s="806"/>
      <c r="BB3795" s="806"/>
    </row>
    <row r="3796" spans="4:54">
      <c r="D3796" s="806"/>
      <c r="F3796" s="806"/>
      <c r="W3796" s="806"/>
      <c r="AZ3796" s="806"/>
      <c r="BA3796" s="806"/>
      <c r="BB3796" s="806"/>
    </row>
    <row r="3797" spans="4:54">
      <c r="D3797" s="806"/>
      <c r="F3797" s="806"/>
      <c r="W3797" s="806"/>
      <c r="AZ3797" s="806"/>
      <c r="BA3797" s="806"/>
      <c r="BB3797" s="806"/>
    </row>
    <row r="3798" spans="4:54">
      <c r="D3798" s="806"/>
      <c r="F3798" s="806"/>
      <c r="W3798" s="806"/>
      <c r="AZ3798" s="806"/>
      <c r="BA3798" s="806"/>
      <c r="BB3798" s="806"/>
    </row>
    <row r="3799" spans="4:54">
      <c r="D3799" s="806"/>
      <c r="F3799" s="806"/>
      <c r="W3799" s="806"/>
      <c r="AZ3799" s="806"/>
      <c r="BA3799" s="806"/>
      <c r="BB3799" s="806"/>
    </row>
    <row r="3800" spans="4:54">
      <c r="D3800" s="806"/>
      <c r="F3800" s="806"/>
      <c r="W3800" s="806"/>
      <c r="AZ3800" s="806"/>
      <c r="BA3800" s="806"/>
      <c r="BB3800" s="806"/>
    </row>
    <row r="3801" spans="4:54">
      <c r="D3801" s="806"/>
      <c r="F3801" s="806"/>
      <c r="W3801" s="806"/>
      <c r="AZ3801" s="806"/>
      <c r="BA3801" s="806"/>
      <c r="BB3801" s="806"/>
    </row>
    <row r="3802" spans="4:54">
      <c r="D3802" s="806"/>
      <c r="F3802" s="806"/>
      <c r="W3802" s="806"/>
      <c r="AZ3802" s="806"/>
      <c r="BA3802" s="806"/>
      <c r="BB3802" s="806"/>
    </row>
    <row r="3803" spans="4:54">
      <c r="D3803" s="806"/>
      <c r="F3803" s="806"/>
      <c r="W3803" s="806"/>
      <c r="AZ3803" s="806"/>
      <c r="BA3803" s="806"/>
      <c r="BB3803" s="806"/>
    </row>
    <row r="3804" spans="4:54">
      <c r="D3804" s="806"/>
      <c r="F3804" s="806"/>
      <c r="W3804" s="806"/>
      <c r="AZ3804" s="806"/>
      <c r="BA3804" s="806"/>
      <c r="BB3804" s="806"/>
    </row>
    <row r="3805" spans="4:54">
      <c r="D3805" s="806"/>
      <c r="F3805" s="806"/>
      <c r="W3805" s="806"/>
      <c r="AZ3805" s="806"/>
      <c r="BA3805" s="806"/>
      <c r="BB3805" s="806"/>
    </row>
    <row r="3806" spans="4:54">
      <c r="D3806" s="806"/>
      <c r="F3806" s="806"/>
      <c r="W3806" s="806"/>
      <c r="AZ3806" s="806"/>
      <c r="BA3806" s="806"/>
      <c r="BB3806" s="806"/>
    </row>
    <row r="3807" spans="4:54">
      <c r="D3807" s="806"/>
      <c r="F3807" s="806"/>
      <c r="W3807" s="806"/>
      <c r="AZ3807" s="806"/>
      <c r="BA3807" s="806"/>
      <c r="BB3807" s="806"/>
    </row>
    <row r="3808" spans="4:54">
      <c r="D3808" s="806"/>
      <c r="F3808" s="806"/>
      <c r="W3808" s="806"/>
      <c r="AZ3808" s="806"/>
      <c r="BA3808" s="806"/>
      <c r="BB3808" s="806"/>
    </row>
    <row r="3809" spans="4:54">
      <c r="D3809" s="806"/>
      <c r="F3809" s="806"/>
      <c r="W3809" s="806"/>
      <c r="AZ3809" s="806"/>
      <c r="BA3809" s="806"/>
      <c r="BB3809" s="806"/>
    </row>
    <row r="3810" spans="4:54">
      <c r="D3810" s="806"/>
      <c r="F3810" s="806"/>
      <c r="W3810" s="806"/>
      <c r="AZ3810" s="806"/>
      <c r="BA3810" s="806"/>
      <c r="BB3810" s="806"/>
    </row>
    <row r="3811" spans="4:54">
      <c r="D3811" s="806"/>
      <c r="F3811" s="806"/>
      <c r="W3811" s="806"/>
      <c r="AZ3811" s="806"/>
      <c r="BA3811" s="806"/>
      <c r="BB3811" s="806"/>
    </row>
    <row r="3812" spans="4:54">
      <c r="D3812" s="806"/>
      <c r="F3812" s="806"/>
      <c r="W3812" s="806"/>
      <c r="AZ3812" s="806"/>
      <c r="BA3812" s="806"/>
      <c r="BB3812" s="806"/>
    </row>
    <row r="3813" spans="4:54">
      <c r="D3813" s="806"/>
      <c r="F3813" s="806"/>
      <c r="W3813" s="806"/>
      <c r="AZ3813" s="806"/>
      <c r="BA3813" s="806"/>
      <c r="BB3813" s="806"/>
    </row>
    <row r="3814" spans="4:54">
      <c r="D3814" s="806"/>
      <c r="F3814" s="806"/>
      <c r="W3814" s="806"/>
      <c r="AZ3814" s="806"/>
      <c r="BA3814" s="806"/>
      <c r="BB3814" s="806"/>
    </row>
    <row r="3815" spans="4:54">
      <c r="D3815" s="806"/>
      <c r="F3815" s="806"/>
      <c r="W3815" s="806"/>
      <c r="AZ3815" s="806"/>
      <c r="BA3815" s="806"/>
      <c r="BB3815" s="806"/>
    </row>
    <row r="3816" spans="4:54">
      <c r="D3816" s="806"/>
      <c r="F3816" s="806"/>
      <c r="W3816" s="806"/>
      <c r="AZ3816" s="806"/>
      <c r="BA3816" s="806"/>
      <c r="BB3816" s="806"/>
    </row>
    <row r="3817" spans="4:54">
      <c r="D3817" s="806"/>
      <c r="F3817" s="806"/>
      <c r="W3817" s="806"/>
      <c r="AZ3817" s="806"/>
      <c r="BA3817" s="806"/>
      <c r="BB3817" s="806"/>
    </row>
    <row r="3818" spans="4:54">
      <c r="D3818" s="806"/>
      <c r="F3818" s="806"/>
      <c r="W3818" s="806"/>
      <c r="AZ3818" s="806"/>
      <c r="BA3818" s="806"/>
      <c r="BB3818" s="806"/>
    </row>
    <row r="3819" spans="4:54">
      <c r="D3819" s="806"/>
      <c r="F3819" s="806"/>
      <c r="W3819" s="806"/>
      <c r="AZ3819" s="806"/>
      <c r="BA3819" s="806"/>
      <c r="BB3819" s="806"/>
    </row>
    <row r="3820" spans="4:54">
      <c r="D3820" s="806"/>
      <c r="F3820" s="806"/>
      <c r="W3820" s="806"/>
      <c r="AZ3820" s="806"/>
      <c r="BA3820" s="806"/>
      <c r="BB3820" s="806"/>
    </row>
    <row r="3821" spans="4:54">
      <c r="D3821" s="806"/>
      <c r="F3821" s="806"/>
      <c r="W3821" s="806"/>
      <c r="AZ3821" s="806"/>
      <c r="BA3821" s="806"/>
      <c r="BB3821" s="806"/>
    </row>
    <row r="3822" spans="4:54">
      <c r="D3822" s="806"/>
      <c r="F3822" s="806"/>
      <c r="W3822" s="806"/>
      <c r="AZ3822" s="806"/>
      <c r="BA3822" s="806"/>
      <c r="BB3822" s="806"/>
    </row>
    <row r="3823" spans="4:54">
      <c r="D3823" s="806"/>
      <c r="F3823" s="806"/>
      <c r="W3823" s="806"/>
      <c r="AZ3823" s="806"/>
      <c r="BA3823" s="806"/>
      <c r="BB3823" s="806"/>
    </row>
    <row r="3824" spans="4:54">
      <c r="D3824" s="806"/>
      <c r="F3824" s="806"/>
      <c r="W3824" s="806"/>
      <c r="AZ3824" s="806"/>
      <c r="BA3824" s="806"/>
      <c r="BB3824" s="806"/>
    </row>
    <row r="3825" spans="4:54">
      <c r="D3825" s="806"/>
      <c r="F3825" s="806"/>
      <c r="W3825" s="806"/>
      <c r="AZ3825" s="806"/>
      <c r="BA3825" s="806"/>
      <c r="BB3825" s="806"/>
    </row>
    <row r="3826" spans="4:54">
      <c r="D3826" s="806"/>
      <c r="F3826" s="806"/>
      <c r="W3826" s="806"/>
      <c r="AZ3826" s="806"/>
      <c r="BA3826" s="806"/>
      <c r="BB3826" s="806"/>
    </row>
    <row r="3827" spans="4:54">
      <c r="D3827" s="806"/>
      <c r="F3827" s="806"/>
      <c r="W3827" s="806"/>
      <c r="AZ3827" s="806"/>
      <c r="BA3827" s="806"/>
      <c r="BB3827" s="806"/>
    </row>
    <row r="3828" spans="4:54">
      <c r="D3828" s="806"/>
      <c r="F3828" s="806"/>
      <c r="W3828" s="806"/>
      <c r="AZ3828" s="806"/>
      <c r="BA3828" s="806"/>
      <c r="BB3828" s="806"/>
    </row>
    <row r="3829" spans="4:54">
      <c r="D3829" s="806"/>
      <c r="F3829" s="806"/>
      <c r="W3829" s="806"/>
      <c r="AZ3829" s="806"/>
      <c r="BA3829" s="806"/>
      <c r="BB3829" s="806"/>
    </row>
    <row r="3830" spans="4:54">
      <c r="D3830" s="806"/>
      <c r="F3830" s="806"/>
      <c r="W3830" s="806"/>
      <c r="AZ3830" s="806"/>
      <c r="BA3830" s="806"/>
      <c r="BB3830" s="806"/>
    </row>
    <row r="3831" spans="4:54">
      <c r="D3831" s="806"/>
      <c r="F3831" s="806"/>
      <c r="W3831" s="806"/>
      <c r="AZ3831" s="806"/>
      <c r="BA3831" s="806"/>
      <c r="BB3831" s="806"/>
    </row>
    <row r="3832" spans="4:54">
      <c r="D3832" s="806"/>
      <c r="F3832" s="806"/>
      <c r="W3832" s="806"/>
      <c r="AZ3832" s="806"/>
      <c r="BA3832" s="806"/>
      <c r="BB3832" s="806"/>
    </row>
    <row r="3833" spans="4:54">
      <c r="D3833" s="806"/>
      <c r="F3833" s="806"/>
      <c r="W3833" s="806"/>
      <c r="AZ3833" s="806"/>
      <c r="BA3833" s="806"/>
      <c r="BB3833" s="806"/>
    </row>
    <row r="3834" spans="4:54">
      <c r="D3834" s="806"/>
      <c r="F3834" s="806"/>
      <c r="W3834" s="806"/>
      <c r="AZ3834" s="806"/>
      <c r="BA3834" s="806"/>
      <c r="BB3834" s="806"/>
    </row>
    <row r="3835" spans="4:54">
      <c r="D3835" s="806"/>
      <c r="F3835" s="806"/>
      <c r="W3835" s="806"/>
      <c r="AZ3835" s="806"/>
      <c r="BA3835" s="806"/>
      <c r="BB3835" s="806"/>
    </row>
    <row r="3836" spans="4:54">
      <c r="D3836" s="806"/>
      <c r="F3836" s="806"/>
      <c r="W3836" s="806"/>
      <c r="AZ3836" s="806"/>
      <c r="BA3836" s="806"/>
      <c r="BB3836" s="806"/>
    </row>
    <row r="3837" spans="4:54">
      <c r="D3837" s="806"/>
      <c r="F3837" s="806"/>
      <c r="W3837" s="806"/>
      <c r="AZ3837" s="806"/>
      <c r="BA3837" s="806"/>
      <c r="BB3837" s="806"/>
    </row>
    <row r="3838" spans="4:54">
      <c r="D3838" s="806"/>
      <c r="F3838" s="806"/>
      <c r="W3838" s="806"/>
      <c r="AZ3838" s="806"/>
      <c r="BA3838" s="806"/>
      <c r="BB3838" s="806"/>
    </row>
    <row r="3839" spans="4:54">
      <c r="D3839" s="806"/>
      <c r="F3839" s="806"/>
      <c r="W3839" s="806"/>
      <c r="AZ3839" s="806"/>
      <c r="BA3839" s="806"/>
      <c r="BB3839" s="806"/>
    </row>
    <row r="3840" spans="4:54">
      <c r="D3840" s="806"/>
      <c r="F3840" s="806"/>
      <c r="W3840" s="806"/>
      <c r="AZ3840" s="806"/>
      <c r="BA3840" s="806"/>
      <c r="BB3840" s="806"/>
    </row>
    <row r="3841" spans="4:54">
      <c r="D3841" s="806"/>
      <c r="F3841" s="806"/>
      <c r="W3841" s="806"/>
      <c r="AZ3841" s="806"/>
      <c r="BA3841" s="806"/>
      <c r="BB3841" s="806"/>
    </row>
    <row r="3842" spans="4:54">
      <c r="D3842" s="806"/>
      <c r="F3842" s="806"/>
      <c r="W3842" s="806"/>
      <c r="AZ3842" s="806"/>
      <c r="BA3842" s="806"/>
      <c r="BB3842" s="806"/>
    </row>
    <row r="3843" spans="4:54">
      <c r="D3843" s="806"/>
      <c r="F3843" s="806"/>
      <c r="W3843" s="806"/>
      <c r="AZ3843" s="806"/>
      <c r="BA3843" s="806"/>
      <c r="BB3843" s="806"/>
    </row>
    <row r="3844" spans="4:54">
      <c r="D3844" s="806"/>
      <c r="F3844" s="806"/>
      <c r="W3844" s="806"/>
      <c r="AZ3844" s="806"/>
      <c r="BA3844" s="806"/>
      <c r="BB3844" s="806"/>
    </row>
    <row r="3845" spans="4:54">
      <c r="D3845" s="806"/>
      <c r="F3845" s="806"/>
      <c r="W3845" s="806"/>
      <c r="AZ3845" s="806"/>
      <c r="BA3845" s="806"/>
      <c r="BB3845" s="806"/>
    </row>
    <row r="3846" spans="4:54">
      <c r="D3846" s="806"/>
      <c r="F3846" s="806"/>
      <c r="W3846" s="806"/>
      <c r="AZ3846" s="806"/>
      <c r="BA3846" s="806"/>
      <c r="BB3846" s="806"/>
    </row>
    <row r="3847" spans="4:54">
      <c r="D3847" s="806"/>
      <c r="F3847" s="806"/>
      <c r="W3847" s="806"/>
      <c r="AZ3847" s="806"/>
      <c r="BA3847" s="806"/>
      <c r="BB3847" s="806"/>
    </row>
    <row r="3848" spans="4:54">
      <c r="D3848" s="806"/>
      <c r="F3848" s="806"/>
      <c r="W3848" s="806"/>
      <c r="AZ3848" s="806"/>
      <c r="BA3848" s="806"/>
      <c r="BB3848" s="806"/>
    </row>
    <row r="3849" spans="4:54">
      <c r="D3849" s="806"/>
      <c r="F3849" s="806"/>
      <c r="W3849" s="806"/>
      <c r="AZ3849" s="806"/>
      <c r="BA3849" s="806"/>
      <c r="BB3849" s="806"/>
    </row>
    <row r="3850" spans="4:54">
      <c r="D3850" s="806"/>
      <c r="F3850" s="806"/>
      <c r="W3850" s="806"/>
      <c r="AZ3850" s="806"/>
      <c r="BA3850" s="806"/>
      <c r="BB3850" s="806"/>
    </row>
    <row r="3851" spans="4:54">
      <c r="D3851" s="806"/>
      <c r="F3851" s="806"/>
      <c r="W3851" s="806"/>
      <c r="AZ3851" s="806"/>
      <c r="BA3851" s="806"/>
      <c r="BB3851" s="806"/>
    </row>
    <row r="3852" spans="4:54">
      <c r="D3852" s="806"/>
      <c r="F3852" s="806"/>
      <c r="W3852" s="806"/>
      <c r="AZ3852" s="806"/>
      <c r="BA3852" s="806"/>
      <c r="BB3852" s="806"/>
    </row>
    <row r="3853" spans="4:54">
      <c r="D3853" s="806"/>
      <c r="F3853" s="806"/>
      <c r="W3853" s="806"/>
      <c r="AZ3853" s="806"/>
      <c r="BA3853" s="806"/>
      <c r="BB3853" s="806"/>
    </row>
    <row r="3854" spans="4:54">
      <c r="D3854" s="806"/>
      <c r="F3854" s="806"/>
      <c r="W3854" s="806"/>
      <c r="AZ3854" s="806"/>
      <c r="BA3854" s="806"/>
      <c r="BB3854" s="806"/>
    </row>
    <row r="3855" spans="4:54">
      <c r="D3855" s="806"/>
      <c r="F3855" s="806"/>
      <c r="W3855" s="806"/>
      <c r="AZ3855" s="806"/>
      <c r="BA3855" s="806"/>
      <c r="BB3855" s="806"/>
    </row>
    <row r="3856" spans="4:54">
      <c r="D3856" s="806"/>
      <c r="F3856" s="806"/>
      <c r="W3856" s="806"/>
      <c r="AZ3856" s="806"/>
      <c r="BA3856" s="806"/>
      <c r="BB3856" s="806"/>
    </row>
    <row r="3857" spans="4:54">
      <c r="D3857" s="806"/>
      <c r="F3857" s="806"/>
      <c r="W3857" s="806"/>
      <c r="AZ3857" s="806"/>
      <c r="BA3857" s="806"/>
      <c r="BB3857" s="806"/>
    </row>
    <row r="3858" spans="4:54">
      <c r="D3858" s="806"/>
      <c r="F3858" s="806"/>
      <c r="W3858" s="806"/>
      <c r="AZ3858" s="806"/>
      <c r="BA3858" s="806"/>
      <c r="BB3858" s="806"/>
    </row>
    <row r="3859" spans="4:54">
      <c r="D3859" s="806"/>
      <c r="F3859" s="806"/>
      <c r="W3859" s="806"/>
      <c r="AZ3859" s="806"/>
      <c r="BA3859" s="806"/>
      <c r="BB3859" s="806"/>
    </row>
    <row r="3860" spans="4:54">
      <c r="D3860" s="806"/>
      <c r="F3860" s="806"/>
      <c r="W3860" s="806"/>
      <c r="AZ3860" s="806"/>
      <c r="BA3860" s="806"/>
      <c r="BB3860" s="806"/>
    </row>
    <row r="3861" spans="4:54">
      <c r="D3861" s="806"/>
      <c r="F3861" s="806"/>
      <c r="W3861" s="806"/>
      <c r="AZ3861" s="806"/>
      <c r="BA3861" s="806"/>
      <c r="BB3861" s="806"/>
    </row>
    <row r="3862" spans="4:54">
      <c r="D3862" s="806"/>
      <c r="F3862" s="806"/>
      <c r="W3862" s="806"/>
      <c r="AZ3862" s="806"/>
      <c r="BA3862" s="806"/>
      <c r="BB3862" s="806"/>
    </row>
    <row r="3863" spans="4:54">
      <c r="D3863" s="806"/>
      <c r="F3863" s="806"/>
      <c r="W3863" s="806"/>
      <c r="AZ3863" s="806"/>
      <c r="BA3863" s="806"/>
      <c r="BB3863" s="806"/>
    </row>
    <row r="3864" spans="4:54">
      <c r="D3864" s="806"/>
      <c r="F3864" s="806"/>
      <c r="W3864" s="806"/>
      <c r="AZ3864" s="806"/>
      <c r="BA3864" s="806"/>
      <c r="BB3864" s="806"/>
    </row>
    <row r="3865" spans="4:54">
      <c r="D3865" s="806"/>
      <c r="F3865" s="806"/>
      <c r="W3865" s="806"/>
      <c r="AZ3865" s="806"/>
      <c r="BA3865" s="806"/>
      <c r="BB3865" s="806"/>
    </row>
    <row r="3866" spans="4:54">
      <c r="D3866" s="806"/>
      <c r="F3866" s="806"/>
      <c r="W3866" s="806"/>
      <c r="AZ3866" s="806"/>
      <c r="BA3866" s="806"/>
      <c r="BB3866" s="806"/>
    </row>
    <row r="3867" spans="4:54">
      <c r="D3867" s="806"/>
      <c r="F3867" s="806"/>
      <c r="W3867" s="806"/>
      <c r="AZ3867" s="806"/>
      <c r="BA3867" s="806"/>
      <c r="BB3867" s="806"/>
    </row>
    <row r="3868" spans="4:54">
      <c r="D3868" s="806"/>
      <c r="F3868" s="806"/>
      <c r="W3868" s="806"/>
      <c r="AZ3868" s="806"/>
      <c r="BA3868" s="806"/>
      <c r="BB3868" s="806"/>
    </row>
    <row r="3869" spans="4:54">
      <c r="D3869" s="806"/>
      <c r="F3869" s="806"/>
      <c r="W3869" s="806"/>
      <c r="AZ3869" s="806"/>
      <c r="BA3869" s="806"/>
      <c r="BB3869" s="806"/>
    </row>
    <row r="3870" spans="4:54">
      <c r="D3870" s="806"/>
      <c r="F3870" s="806"/>
      <c r="W3870" s="806"/>
      <c r="AZ3870" s="806"/>
      <c r="BA3870" s="806"/>
      <c r="BB3870" s="806"/>
    </row>
    <row r="3871" spans="4:54">
      <c r="D3871" s="806"/>
      <c r="F3871" s="806"/>
      <c r="W3871" s="806"/>
      <c r="AZ3871" s="806"/>
      <c r="BA3871" s="806"/>
      <c r="BB3871" s="806"/>
    </row>
    <row r="3872" spans="4:54">
      <c r="D3872" s="806"/>
      <c r="F3872" s="806"/>
      <c r="W3872" s="806"/>
      <c r="AZ3872" s="806"/>
      <c r="BA3872" s="806"/>
      <c r="BB3872" s="806"/>
    </row>
    <row r="3873" spans="4:54">
      <c r="D3873" s="806"/>
      <c r="F3873" s="806"/>
      <c r="W3873" s="806"/>
      <c r="AZ3873" s="806"/>
      <c r="BA3873" s="806"/>
      <c r="BB3873" s="806"/>
    </row>
    <row r="3874" spans="4:54">
      <c r="D3874" s="806"/>
      <c r="F3874" s="806"/>
      <c r="W3874" s="806"/>
      <c r="AZ3874" s="806"/>
      <c r="BA3874" s="806"/>
      <c r="BB3874" s="806"/>
    </row>
    <row r="3875" spans="4:54">
      <c r="D3875" s="806"/>
      <c r="F3875" s="806"/>
      <c r="W3875" s="806"/>
      <c r="AZ3875" s="806"/>
      <c r="BA3875" s="806"/>
      <c r="BB3875" s="806"/>
    </row>
    <row r="3876" spans="4:54">
      <c r="D3876" s="806"/>
      <c r="F3876" s="806"/>
      <c r="W3876" s="806"/>
      <c r="AZ3876" s="806"/>
      <c r="BA3876" s="806"/>
      <c r="BB3876" s="806"/>
    </row>
    <row r="3877" spans="4:54">
      <c r="D3877" s="806"/>
      <c r="F3877" s="806"/>
      <c r="W3877" s="806"/>
      <c r="AZ3877" s="806"/>
      <c r="BA3877" s="806"/>
      <c r="BB3877" s="806"/>
    </row>
    <row r="3878" spans="4:54">
      <c r="D3878" s="806"/>
      <c r="F3878" s="806"/>
      <c r="W3878" s="806"/>
      <c r="AZ3878" s="806"/>
      <c r="BA3878" s="806"/>
      <c r="BB3878" s="806"/>
    </row>
    <row r="3879" spans="4:54">
      <c r="D3879" s="806"/>
      <c r="F3879" s="806"/>
      <c r="W3879" s="806"/>
      <c r="AZ3879" s="806"/>
      <c r="BA3879" s="806"/>
      <c r="BB3879" s="806"/>
    </row>
    <row r="3880" spans="4:54">
      <c r="D3880" s="806"/>
      <c r="F3880" s="806"/>
      <c r="W3880" s="806"/>
      <c r="AZ3880" s="806"/>
      <c r="BA3880" s="806"/>
      <c r="BB3880" s="806"/>
    </row>
    <row r="3881" spans="4:54">
      <c r="D3881" s="806"/>
      <c r="F3881" s="806"/>
      <c r="W3881" s="806"/>
      <c r="AZ3881" s="806"/>
      <c r="BA3881" s="806"/>
      <c r="BB3881" s="806"/>
    </row>
    <row r="3882" spans="4:54">
      <c r="D3882" s="806"/>
      <c r="F3882" s="806"/>
      <c r="W3882" s="806"/>
      <c r="AZ3882" s="806"/>
      <c r="BA3882" s="806"/>
      <c r="BB3882" s="806"/>
    </row>
    <row r="3883" spans="4:54">
      <c r="D3883" s="806"/>
      <c r="F3883" s="806"/>
      <c r="W3883" s="806"/>
      <c r="AZ3883" s="806"/>
      <c r="BA3883" s="806"/>
      <c r="BB3883" s="806"/>
    </row>
    <row r="3884" spans="4:54">
      <c r="D3884" s="806"/>
      <c r="F3884" s="806"/>
      <c r="W3884" s="806"/>
      <c r="AZ3884" s="806"/>
      <c r="BA3884" s="806"/>
      <c r="BB3884" s="806"/>
    </row>
    <row r="3885" spans="4:54">
      <c r="D3885" s="806"/>
      <c r="F3885" s="806"/>
      <c r="W3885" s="806"/>
      <c r="AZ3885" s="806"/>
      <c r="BA3885" s="806"/>
      <c r="BB3885" s="806"/>
    </row>
    <row r="3893" spans="4:54">
      <c r="D3893" s="806"/>
      <c r="F3893" s="806"/>
      <c r="W3893" s="806"/>
      <c r="AZ3893" s="806"/>
      <c r="BA3893" s="806"/>
      <c r="BB3893" s="806"/>
    </row>
    <row r="3894" spans="4:54">
      <c r="D3894" s="806"/>
      <c r="F3894" s="806"/>
      <c r="W3894" s="806"/>
      <c r="AZ3894" s="806"/>
      <c r="BA3894" s="806"/>
      <c r="BB3894" s="806"/>
    </row>
    <row r="3895" spans="4:54">
      <c r="D3895" s="806"/>
      <c r="F3895" s="806"/>
      <c r="W3895" s="806"/>
      <c r="AZ3895" s="806"/>
      <c r="BA3895" s="806"/>
      <c r="BB3895" s="806"/>
    </row>
    <row r="3896" spans="4:54">
      <c r="D3896" s="806"/>
      <c r="F3896" s="806"/>
      <c r="W3896" s="806"/>
      <c r="AZ3896" s="806"/>
      <c r="BA3896" s="806"/>
      <c r="BB3896" s="806"/>
    </row>
    <row r="3897" spans="4:54">
      <c r="D3897" s="806"/>
      <c r="F3897" s="806"/>
      <c r="W3897" s="806"/>
      <c r="AZ3897" s="806"/>
      <c r="BA3897" s="806"/>
      <c r="BB3897" s="806"/>
    </row>
    <row r="3898" spans="4:54">
      <c r="D3898" s="806"/>
      <c r="F3898" s="806"/>
      <c r="W3898" s="806"/>
      <c r="AZ3898" s="806"/>
      <c r="BA3898" s="806"/>
      <c r="BB3898" s="806"/>
    </row>
    <row r="3899" spans="4:54">
      <c r="D3899" s="806"/>
      <c r="F3899" s="806"/>
      <c r="W3899" s="806"/>
      <c r="AZ3899" s="806"/>
      <c r="BA3899" s="806"/>
      <c r="BB3899" s="806"/>
    </row>
    <row r="3900" spans="4:54">
      <c r="D3900" s="806"/>
      <c r="F3900" s="806"/>
      <c r="W3900" s="806"/>
      <c r="AZ3900" s="806"/>
      <c r="BA3900" s="806"/>
      <c r="BB3900" s="806"/>
    </row>
    <row r="3901" spans="4:54">
      <c r="D3901" s="806"/>
      <c r="F3901" s="806"/>
      <c r="W3901" s="806"/>
      <c r="AZ3901" s="806"/>
      <c r="BA3901" s="806"/>
      <c r="BB3901" s="806"/>
    </row>
    <row r="3902" spans="4:54">
      <c r="D3902" s="806"/>
      <c r="F3902" s="806"/>
      <c r="W3902" s="806"/>
      <c r="AZ3902" s="806"/>
      <c r="BA3902" s="806"/>
      <c r="BB3902" s="806"/>
    </row>
    <row r="3903" spans="4:54">
      <c r="D3903" s="806"/>
      <c r="F3903" s="806"/>
      <c r="W3903" s="806"/>
      <c r="AZ3903" s="806"/>
      <c r="BA3903" s="806"/>
      <c r="BB3903" s="806"/>
    </row>
    <row r="3904" spans="4:54">
      <c r="D3904" s="806"/>
      <c r="F3904" s="806"/>
      <c r="W3904" s="806"/>
      <c r="AZ3904" s="806"/>
      <c r="BA3904" s="806"/>
      <c r="BB3904" s="806"/>
    </row>
    <row r="3905" spans="4:54">
      <c r="D3905" s="806"/>
      <c r="F3905" s="806"/>
      <c r="W3905" s="806"/>
      <c r="AZ3905" s="806"/>
      <c r="BA3905" s="806"/>
      <c r="BB3905" s="806"/>
    </row>
    <row r="3906" spans="4:54">
      <c r="D3906" s="806"/>
      <c r="F3906" s="806"/>
      <c r="W3906" s="806"/>
      <c r="AZ3906" s="806"/>
      <c r="BA3906" s="806"/>
      <c r="BB3906" s="806"/>
    </row>
    <row r="3907" spans="4:54">
      <c r="D3907" s="806"/>
      <c r="F3907" s="806"/>
      <c r="W3907" s="806"/>
      <c r="AZ3907" s="806"/>
      <c r="BA3907" s="806"/>
      <c r="BB3907" s="806"/>
    </row>
    <row r="3908" spans="4:54">
      <c r="D3908" s="806"/>
      <c r="F3908" s="806"/>
      <c r="W3908" s="806"/>
      <c r="AZ3908" s="806"/>
      <c r="BA3908" s="806"/>
      <c r="BB3908" s="806"/>
    </row>
    <row r="3909" spans="4:54">
      <c r="D3909" s="806"/>
      <c r="F3909" s="806"/>
      <c r="W3909" s="806"/>
      <c r="AZ3909" s="806"/>
      <c r="BA3909" s="806"/>
      <c r="BB3909" s="806"/>
    </row>
    <row r="3910" spans="4:54">
      <c r="D3910" s="806"/>
      <c r="F3910" s="806"/>
      <c r="W3910" s="806"/>
      <c r="AZ3910" s="806"/>
      <c r="BA3910" s="806"/>
      <c r="BB3910" s="806"/>
    </row>
    <row r="3911" spans="4:54">
      <c r="D3911" s="806"/>
      <c r="F3911" s="806"/>
      <c r="W3911" s="806"/>
      <c r="AZ3911" s="806"/>
      <c r="BA3911" s="806"/>
      <c r="BB3911" s="806"/>
    </row>
    <row r="3912" spans="4:54">
      <c r="D3912" s="806"/>
      <c r="F3912" s="806"/>
      <c r="W3912" s="806"/>
      <c r="AZ3912" s="806"/>
      <c r="BA3912" s="806"/>
      <c r="BB3912" s="806"/>
    </row>
    <row r="3913" spans="4:54">
      <c r="D3913" s="806"/>
      <c r="F3913" s="806"/>
      <c r="W3913" s="806"/>
      <c r="AZ3913" s="806"/>
      <c r="BA3913" s="806"/>
      <c r="BB3913" s="806"/>
    </row>
    <row r="3914" spans="4:54">
      <c r="D3914" s="806"/>
      <c r="F3914" s="806"/>
      <c r="W3914" s="806"/>
      <c r="AZ3914" s="806"/>
      <c r="BA3914" s="806"/>
      <c r="BB3914" s="806"/>
    </row>
    <row r="3915" spans="4:54">
      <c r="D3915" s="806"/>
      <c r="F3915" s="806"/>
      <c r="W3915" s="806"/>
      <c r="AZ3915" s="806"/>
      <c r="BA3915" s="806"/>
      <c r="BB3915" s="806"/>
    </row>
    <row r="3916" spans="4:54">
      <c r="D3916" s="806"/>
      <c r="F3916" s="806"/>
      <c r="W3916" s="806"/>
      <c r="AZ3916" s="806"/>
      <c r="BA3916" s="806"/>
      <c r="BB3916" s="806"/>
    </row>
    <row r="3917" spans="4:54">
      <c r="D3917" s="806"/>
      <c r="F3917" s="806"/>
      <c r="W3917" s="806"/>
      <c r="AZ3917" s="806"/>
      <c r="BA3917" s="806"/>
      <c r="BB3917" s="806"/>
    </row>
    <row r="3918" spans="4:54">
      <c r="D3918" s="806"/>
      <c r="F3918" s="806"/>
      <c r="W3918" s="806"/>
      <c r="AZ3918" s="806"/>
      <c r="BA3918" s="806"/>
      <c r="BB3918" s="806"/>
    </row>
    <row r="3919" spans="4:54">
      <c r="D3919" s="806"/>
      <c r="F3919" s="806"/>
      <c r="W3919" s="806"/>
      <c r="AZ3919" s="806"/>
      <c r="BA3919" s="806"/>
      <c r="BB3919" s="806"/>
    </row>
    <row r="3920" spans="4:54">
      <c r="D3920" s="806"/>
      <c r="F3920" s="806"/>
      <c r="W3920" s="806"/>
      <c r="AZ3920" s="806"/>
      <c r="BA3920" s="806"/>
      <c r="BB3920" s="806"/>
    </row>
    <row r="3921" spans="4:54">
      <c r="D3921" s="806"/>
      <c r="F3921" s="806"/>
      <c r="W3921" s="806"/>
      <c r="AZ3921" s="806"/>
      <c r="BA3921" s="806"/>
      <c r="BB3921" s="806"/>
    </row>
    <row r="3922" spans="4:54">
      <c r="D3922" s="806"/>
      <c r="F3922" s="806"/>
      <c r="W3922" s="806"/>
      <c r="AZ3922" s="806"/>
      <c r="BA3922" s="806"/>
      <c r="BB3922" s="806"/>
    </row>
    <row r="3923" spans="4:54">
      <c r="D3923" s="806"/>
      <c r="F3923" s="806"/>
      <c r="W3923" s="806"/>
      <c r="AZ3923" s="806"/>
      <c r="BA3923" s="806"/>
      <c r="BB3923" s="806"/>
    </row>
    <row r="3924" spans="4:54">
      <c r="D3924" s="806"/>
      <c r="F3924" s="806"/>
      <c r="W3924" s="806"/>
      <c r="AZ3924" s="806"/>
      <c r="BA3924" s="806"/>
      <c r="BB3924" s="806"/>
    </row>
    <row r="3925" spans="4:54">
      <c r="D3925" s="806"/>
      <c r="F3925" s="806"/>
      <c r="W3925" s="806"/>
      <c r="AZ3925" s="806"/>
      <c r="BA3925" s="806"/>
      <c r="BB3925" s="806"/>
    </row>
    <row r="3926" spans="4:54">
      <c r="D3926" s="806"/>
      <c r="F3926" s="806"/>
      <c r="W3926" s="806"/>
      <c r="AZ3926" s="806"/>
      <c r="BA3926" s="806"/>
      <c r="BB3926" s="806"/>
    </row>
    <row r="3927" spans="4:54">
      <c r="D3927" s="806"/>
      <c r="F3927" s="806"/>
      <c r="W3927" s="806"/>
      <c r="AZ3927" s="806"/>
      <c r="BA3927" s="806"/>
      <c r="BB3927" s="806"/>
    </row>
    <row r="3928" spans="4:54">
      <c r="D3928" s="806"/>
      <c r="F3928" s="806"/>
      <c r="W3928" s="806"/>
      <c r="AZ3928" s="806"/>
      <c r="BA3928" s="806"/>
      <c r="BB3928" s="806"/>
    </row>
    <row r="3929" spans="4:54">
      <c r="D3929" s="806"/>
      <c r="F3929" s="806"/>
      <c r="W3929" s="806"/>
      <c r="AZ3929" s="806"/>
      <c r="BA3929" s="806"/>
      <c r="BB3929" s="806"/>
    </row>
    <row r="3930" spans="4:54">
      <c r="D3930" s="806"/>
      <c r="F3930" s="806"/>
      <c r="W3930" s="806"/>
      <c r="AZ3930" s="806"/>
      <c r="BA3930" s="806"/>
      <c r="BB3930" s="806"/>
    </row>
    <row r="3931" spans="4:54">
      <c r="D3931" s="806"/>
      <c r="F3931" s="806"/>
      <c r="W3931" s="806"/>
      <c r="AZ3931" s="806"/>
      <c r="BA3931" s="806"/>
      <c r="BB3931" s="806"/>
    </row>
    <row r="3932" spans="4:54">
      <c r="D3932" s="806"/>
      <c r="F3932" s="806"/>
      <c r="W3932" s="806"/>
      <c r="AZ3932" s="806"/>
      <c r="BA3932" s="806"/>
      <c r="BB3932" s="806"/>
    </row>
    <row r="3933" spans="4:54">
      <c r="D3933" s="806"/>
      <c r="F3933" s="806"/>
      <c r="W3933" s="806"/>
      <c r="AZ3933" s="806"/>
      <c r="BA3933" s="806"/>
      <c r="BB3933" s="806"/>
    </row>
    <row r="3934" spans="4:54">
      <c r="D3934" s="806"/>
      <c r="F3934" s="806"/>
      <c r="W3934" s="806"/>
      <c r="AZ3934" s="806"/>
      <c r="BA3934" s="806"/>
      <c r="BB3934" s="806"/>
    </row>
    <row r="3935" spans="4:54">
      <c r="D3935" s="806"/>
      <c r="F3935" s="806"/>
      <c r="W3935" s="806"/>
      <c r="AZ3935" s="806"/>
      <c r="BA3935" s="806"/>
      <c r="BB3935" s="806"/>
    </row>
    <row r="3936" spans="4:54">
      <c r="D3936" s="806"/>
      <c r="F3936" s="806"/>
      <c r="W3936" s="806"/>
      <c r="AZ3936" s="806"/>
      <c r="BA3936" s="806"/>
      <c r="BB3936" s="806"/>
    </row>
    <row r="3937" spans="4:54">
      <c r="D3937" s="806"/>
      <c r="F3937" s="806"/>
      <c r="W3937" s="806"/>
      <c r="AZ3937" s="806"/>
      <c r="BA3937" s="806"/>
      <c r="BB3937" s="806"/>
    </row>
    <row r="3938" spans="4:54">
      <c r="D3938" s="806"/>
      <c r="F3938" s="806"/>
      <c r="W3938" s="806"/>
      <c r="AZ3938" s="806"/>
      <c r="BA3938" s="806"/>
      <c r="BB3938" s="806"/>
    </row>
    <row r="3939" spans="4:54">
      <c r="D3939" s="806"/>
      <c r="F3939" s="806"/>
      <c r="W3939" s="806"/>
      <c r="AZ3939" s="806"/>
      <c r="BA3939" s="806"/>
      <c r="BB3939" s="806"/>
    </row>
    <row r="3940" spans="4:54">
      <c r="D3940" s="806"/>
      <c r="F3940" s="806"/>
      <c r="W3940" s="806"/>
      <c r="AZ3940" s="806"/>
      <c r="BA3940" s="806"/>
      <c r="BB3940" s="806"/>
    </row>
    <row r="3941" spans="4:54">
      <c r="D3941" s="806"/>
      <c r="F3941" s="806"/>
      <c r="W3941" s="806"/>
      <c r="AZ3941" s="806"/>
      <c r="BA3941" s="806"/>
      <c r="BB3941" s="806"/>
    </row>
    <row r="3942" spans="4:54">
      <c r="D3942" s="806"/>
      <c r="F3942" s="806"/>
      <c r="W3942" s="806"/>
      <c r="AZ3942" s="806"/>
      <c r="BA3942" s="806"/>
      <c r="BB3942" s="806"/>
    </row>
    <row r="3943" spans="4:54">
      <c r="D3943" s="806"/>
      <c r="F3943" s="806"/>
      <c r="W3943" s="806"/>
      <c r="AZ3943" s="806"/>
      <c r="BA3943" s="806"/>
      <c r="BB3943" s="806"/>
    </row>
    <row r="3944" spans="4:54">
      <c r="D3944" s="806"/>
      <c r="F3944" s="806"/>
      <c r="W3944" s="806"/>
      <c r="AZ3944" s="806"/>
      <c r="BA3944" s="806"/>
      <c r="BB3944" s="806"/>
    </row>
    <row r="3945" spans="4:54">
      <c r="D3945" s="806"/>
      <c r="F3945" s="806"/>
      <c r="W3945" s="806"/>
      <c r="AZ3945" s="806"/>
      <c r="BA3945" s="806"/>
      <c r="BB3945" s="806"/>
    </row>
    <row r="3946" spans="4:54">
      <c r="D3946" s="806"/>
      <c r="F3946" s="806"/>
      <c r="W3946" s="806"/>
      <c r="AZ3946" s="806"/>
      <c r="BA3946" s="806"/>
      <c r="BB3946" s="806"/>
    </row>
    <row r="3947" spans="4:54">
      <c r="D3947" s="806"/>
      <c r="F3947" s="806"/>
      <c r="W3947" s="806"/>
      <c r="AZ3947" s="806"/>
      <c r="BA3947" s="806"/>
      <c r="BB3947" s="806"/>
    </row>
    <row r="3948" spans="4:54">
      <c r="D3948" s="806"/>
      <c r="F3948" s="806"/>
      <c r="W3948" s="806"/>
      <c r="AZ3948" s="806"/>
      <c r="BA3948" s="806"/>
      <c r="BB3948" s="806"/>
    </row>
    <row r="3949" spans="4:54">
      <c r="D3949" s="806"/>
      <c r="F3949" s="806"/>
      <c r="W3949" s="806"/>
      <c r="AZ3949" s="806"/>
      <c r="BA3949" s="806"/>
      <c r="BB3949" s="806"/>
    </row>
    <row r="3950" spans="4:54">
      <c r="D3950" s="806"/>
      <c r="F3950" s="806"/>
      <c r="W3950" s="806"/>
      <c r="AZ3950" s="806"/>
      <c r="BA3950" s="806"/>
      <c r="BB3950" s="806"/>
    </row>
    <row r="3951" spans="4:54">
      <c r="D3951" s="806"/>
      <c r="F3951" s="806"/>
      <c r="W3951" s="806"/>
      <c r="AZ3951" s="806"/>
      <c r="BA3951" s="806"/>
      <c r="BB3951" s="806"/>
    </row>
    <row r="3952" spans="4:54">
      <c r="D3952" s="806"/>
      <c r="F3952" s="806"/>
      <c r="W3952" s="806"/>
      <c r="AZ3952" s="806"/>
      <c r="BA3952" s="806"/>
      <c r="BB3952" s="806"/>
    </row>
    <row r="3953" spans="4:54">
      <c r="D3953" s="806"/>
      <c r="F3953" s="806"/>
      <c r="W3953" s="806"/>
      <c r="AZ3953" s="806"/>
      <c r="BA3953" s="806"/>
      <c r="BB3953" s="806"/>
    </row>
    <row r="3954" spans="4:54">
      <c r="D3954" s="806"/>
      <c r="F3954" s="806"/>
      <c r="W3954" s="806"/>
      <c r="AZ3954" s="806"/>
      <c r="BA3954" s="806"/>
      <c r="BB3954" s="806"/>
    </row>
    <row r="3955" spans="4:54">
      <c r="D3955" s="806"/>
      <c r="F3955" s="806"/>
      <c r="W3955" s="806"/>
      <c r="AZ3955" s="806"/>
      <c r="BA3955" s="806"/>
      <c r="BB3955" s="806"/>
    </row>
    <row r="3956" spans="4:54">
      <c r="D3956" s="806"/>
      <c r="F3956" s="806"/>
      <c r="W3956" s="806"/>
      <c r="AZ3956" s="806"/>
      <c r="BA3956" s="806"/>
      <c r="BB3956" s="806"/>
    </row>
    <row r="3957" spans="4:54">
      <c r="D3957" s="806"/>
      <c r="F3957" s="806"/>
      <c r="W3957" s="806"/>
      <c r="AZ3957" s="806"/>
      <c r="BA3957" s="806"/>
      <c r="BB3957" s="806"/>
    </row>
    <row r="3958" spans="4:54">
      <c r="D3958" s="806"/>
      <c r="F3958" s="806"/>
      <c r="W3958" s="806"/>
      <c r="AZ3958" s="806"/>
      <c r="BA3958" s="806"/>
      <c r="BB3958" s="806"/>
    </row>
    <row r="3959" spans="4:54">
      <c r="D3959" s="806"/>
      <c r="F3959" s="806"/>
      <c r="W3959" s="806"/>
      <c r="AZ3959" s="806"/>
      <c r="BA3959" s="806"/>
      <c r="BB3959" s="806"/>
    </row>
    <row r="3960" spans="4:54">
      <c r="D3960" s="806"/>
      <c r="F3960" s="806"/>
      <c r="W3960" s="806"/>
      <c r="AZ3960" s="806"/>
      <c r="BA3960" s="806"/>
      <c r="BB3960" s="806"/>
    </row>
    <row r="3961" spans="4:54">
      <c r="D3961" s="806"/>
      <c r="F3961" s="806"/>
      <c r="W3961" s="806"/>
      <c r="AZ3961" s="806"/>
      <c r="BA3961" s="806"/>
      <c r="BB3961" s="806"/>
    </row>
    <row r="3962" spans="4:54">
      <c r="D3962" s="806"/>
      <c r="F3962" s="806"/>
      <c r="W3962" s="806"/>
      <c r="AZ3962" s="806"/>
      <c r="BA3962" s="806"/>
      <c r="BB3962" s="806"/>
    </row>
    <row r="3963" spans="4:54">
      <c r="D3963" s="806"/>
      <c r="F3963" s="806"/>
      <c r="W3963" s="806"/>
      <c r="AZ3963" s="806"/>
      <c r="BA3963" s="806"/>
      <c r="BB3963" s="806"/>
    </row>
    <row r="3964" spans="4:54">
      <c r="D3964" s="806"/>
      <c r="F3964" s="806"/>
      <c r="W3964" s="806"/>
      <c r="AZ3964" s="806"/>
      <c r="BA3964" s="806"/>
      <c r="BB3964" s="806"/>
    </row>
    <row r="3965" spans="4:54">
      <c r="D3965" s="806"/>
      <c r="F3965" s="806"/>
      <c r="W3965" s="806"/>
      <c r="AZ3965" s="806"/>
      <c r="BA3965" s="806"/>
      <c r="BB3965" s="806"/>
    </row>
    <row r="3966" spans="4:54">
      <c r="D3966" s="806"/>
      <c r="F3966" s="806"/>
      <c r="W3966" s="806"/>
      <c r="AZ3966" s="806"/>
      <c r="BA3966" s="806"/>
      <c r="BB3966" s="806"/>
    </row>
    <row r="3967" spans="4:54">
      <c r="D3967" s="806"/>
      <c r="F3967" s="806"/>
      <c r="W3967" s="806"/>
      <c r="AZ3967" s="806"/>
      <c r="BA3967" s="806"/>
      <c r="BB3967" s="806"/>
    </row>
    <row r="3968" spans="4:54">
      <c r="D3968" s="806"/>
      <c r="F3968" s="806"/>
      <c r="W3968" s="806"/>
      <c r="AZ3968" s="806"/>
      <c r="BA3968" s="806"/>
      <c r="BB3968" s="806"/>
    </row>
    <row r="3969" spans="4:54">
      <c r="D3969" s="806"/>
      <c r="F3969" s="806"/>
      <c r="W3969" s="806"/>
      <c r="AZ3969" s="806"/>
      <c r="BA3969" s="806"/>
      <c r="BB3969" s="806"/>
    </row>
    <row r="3970" spans="4:54">
      <c r="D3970" s="806"/>
      <c r="F3970" s="806"/>
      <c r="W3970" s="806"/>
      <c r="AZ3970" s="806"/>
      <c r="BA3970" s="806"/>
      <c r="BB3970" s="806"/>
    </row>
    <row r="3971" spans="4:54">
      <c r="D3971" s="806"/>
      <c r="F3971" s="806"/>
      <c r="W3971" s="806"/>
      <c r="AZ3971" s="806"/>
      <c r="BA3971" s="806"/>
      <c r="BB3971" s="806"/>
    </row>
    <row r="3972" spans="4:54">
      <c r="D3972" s="806"/>
      <c r="F3972" s="806"/>
      <c r="W3972" s="806"/>
      <c r="AZ3972" s="806"/>
      <c r="BA3972" s="806"/>
      <c r="BB3972" s="806"/>
    </row>
    <row r="3973" spans="4:54">
      <c r="D3973" s="806"/>
      <c r="F3973" s="806"/>
      <c r="W3973" s="806"/>
      <c r="AZ3973" s="806"/>
      <c r="BA3973" s="806"/>
      <c r="BB3973" s="806"/>
    </row>
    <row r="3974" spans="4:54">
      <c r="D3974" s="806"/>
      <c r="F3974" s="806"/>
      <c r="W3974" s="806"/>
      <c r="AZ3974" s="806"/>
      <c r="BA3974" s="806"/>
      <c r="BB3974" s="806"/>
    </row>
    <row r="3975" spans="4:54">
      <c r="D3975" s="806"/>
      <c r="F3975" s="806"/>
      <c r="W3975" s="806"/>
      <c r="AZ3975" s="806"/>
      <c r="BA3975" s="806"/>
      <c r="BB3975" s="806"/>
    </row>
    <row r="3976" spans="4:54">
      <c r="D3976" s="806"/>
      <c r="F3976" s="806"/>
      <c r="W3976" s="806"/>
      <c r="AZ3976" s="806"/>
      <c r="BA3976" s="806"/>
      <c r="BB3976" s="806"/>
    </row>
    <row r="3977" spans="4:54">
      <c r="D3977" s="806"/>
      <c r="F3977" s="806"/>
      <c r="W3977" s="806"/>
      <c r="AZ3977" s="806"/>
      <c r="BA3977" s="806"/>
      <c r="BB3977" s="806"/>
    </row>
    <row r="3978" spans="4:54">
      <c r="D3978" s="806"/>
      <c r="F3978" s="806"/>
      <c r="W3978" s="806"/>
      <c r="AZ3978" s="806"/>
      <c r="BA3978" s="806"/>
      <c r="BB3978" s="806"/>
    </row>
    <row r="3979" spans="4:54">
      <c r="D3979" s="806"/>
      <c r="F3979" s="806"/>
      <c r="W3979" s="806"/>
      <c r="AZ3979" s="806"/>
      <c r="BA3979" s="806"/>
      <c r="BB3979" s="806"/>
    </row>
    <row r="3980" spans="4:54">
      <c r="D3980" s="806"/>
      <c r="F3980" s="806"/>
      <c r="W3980" s="806"/>
      <c r="AZ3980" s="806"/>
      <c r="BA3980" s="806"/>
      <c r="BB3980" s="806"/>
    </row>
    <row r="3981" spans="4:54">
      <c r="D3981" s="806"/>
      <c r="F3981" s="806"/>
      <c r="W3981" s="806"/>
      <c r="AZ3981" s="806"/>
      <c r="BA3981" s="806"/>
      <c r="BB3981" s="806"/>
    </row>
    <row r="3982" spans="4:54">
      <c r="D3982" s="806"/>
      <c r="F3982" s="806"/>
      <c r="W3982" s="806"/>
      <c r="AZ3982" s="806"/>
      <c r="BA3982" s="806"/>
      <c r="BB3982" s="806"/>
    </row>
    <row r="3983" spans="4:54">
      <c r="D3983" s="806"/>
      <c r="F3983" s="806"/>
      <c r="W3983" s="806"/>
      <c r="AZ3983" s="806"/>
      <c r="BA3983" s="806"/>
      <c r="BB3983" s="806"/>
    </row>
    <row r="3984" spans="4:54">
      <c r="D3984" s="806"/>
      <c r="F3984" s="806"/>
      <c r="W3984" s="806"/>
      <c r="AZ3984" s="806"/>
      <c r="BA3984" s="806"/>
      <c r="BB3984" s="806"/>
    </row>
    <row r="3985" spans="4:54">
      <c r="D3985" s="806"/>
      <c r="F3985" s="806"/>
      <c r="W3985" s="806"/>
      <c r="AZ3985" s="806"/>
      <c r="BA3985" s="806"/>
      <c r="BB3985" s="806"/>
    </row>
    <row r="3986" spans="4:54">
      <c r="D3986" s="806"/>
      <c r="F3986" s="806"/>
      <c r="W3986" s="806"/>
      <c r="AZ3986" s="806"/>
      <c r="BA3986" s="806"/>
      <c r="BB3986" s="806"/>
    </row>
    <row r="3987" spans="4:54">
      <c r="D3987" s="806"/>
      <c r="F3987" s="806"/>
      <c r="W3987" s="806"/>
      <c r="AZ3987" s="806"/>
      <c r="BA3987" s="806"/>
      <c r="BB3987" s="806"/>
    </row>
    <row r="3988" spans="4:54">
      <c r="D3988" s="806"/>
      <c r="F3988" s="806"/>
      <c r="W3988" s="806"/>
      <c r="AZ3988" s="806"/>
      <c r="BA3988" s="806"/>
      <c r="BB3988" s="806"/>
    </row>
    <row r="3989" spans="4:54">
      <c r="D3989" s="806"/>
      <c r="F3989" s="806"/>
      <c r="W3989" s="806"/>
      <c r="AZ3989" s="806"/>
      <c r="BA3989" s="806"/>
      <c r="BB3989" s="806"/>
    </row>
    <row r="3990" spans="4:54">
      <c r="D3990" s="806"/>
      <c r="F3990" s="806"/>
      <c r="W3990" s="806"/>
      <c r="AZ3990" s="806"/>
      <c r="BA3990" s="806"/>
      <c r="BB3990" s="806"/>
    </row>
    <row r="3991" spans="4:54">
      <c r="D3991" s="806"/>
      <c r="F3991" s="806"/>
      <c r="W3991" s="806"/>
      <c r="AZ3991" s="806"/>
      <c r="BA3991" s="806"/>
      <c r="BB3991" s="806"/>
    </row>
    <row r="3992" spans="4:54">
      <c r="D3992" s="806"/>
      <c r="F3992" s="806"/>
      <c r="W3992" s="806"/>
      <c r="AZ3992" s="806"/>
      <c r="BA3992" s="806"/>
      <c r="BB3992" s="806"/>
    </row>
    <row r="3993" spans="4:54">
      <c r="D3993" s="806"/>
      <c r="F3993" s="806"/>
      <c r="W3993" s="806"/>
      <c r="AZ3993" s="806"/>
      <c r="BA3993" s="806"/>
      <c r="BB3993" s="806"/>
    </row>
    <row r="3994" spans="4:54">
      <c r="D3994" s="806"/>
      <c r="F3994" s="806"/>
      <c r="W3994" s="806"/>
      <c r="AZ3994" s="806"/>
      <c r="BA3994" s="806"/>
      <c r="BB3994" s="806"/>
    </row>
    <row r="3995" spans="4:54">
      <c r="D3995" s="806"/>
      <c r="F3995" s="806"/>
      <c r="W3995" s="806"/>
      <c r="AZ3995" s="806"/>
      <c r="BA3995" s="806"/>
      <c r="BB3995" s="806"/>
    </row>
    <row r="3996" spans="4:54">
      <c r="D3996" s="806"/>
      <c r="F3996" s="806"/>
      <c r="W3996" s="806"/>
      <c r="AZ3996" s="806"/>
      <c r="BA3996" s="806"/>
      <c r="BB3996" s="806"/>
    </row>
    <row r="3997" spans="4:54">
      <c r="D3997" s="806"/>
      <c r="F3997" s="806"/>
      <c r="W3997" s="806"/>
      <c r="AZ3997" s="806"/>
      <c r="BA3997" s="806"/>
      <c r="BB3997" s="806"/>
    </row>
    <row r="3998" spans="4:54">
      <c r="D3998" s="806"/>
      <c r="F3998" s="806"/>
      <c r="W3998" s="806"/>
      <c r="AZ3998" s="806"/>
      <c r="BA3998" s="806"/>
      <c r="BB3998" s="806"/>
    </row>
    <row r="3999" spans="4:54">
      <c r="D3999" s="806"/>
      <c r="F3999" s="806"/>
      <c r="W3999" s="806"/>
      <c r="AZ3999" s="806"/>
      <c r="BA3999" s="806"/>
      <c r="BB3999" s="806"/>
    </row>
    <row r="4000" spans="4:54">
      <c r="D4000" s="806"/>
      <c r="F4000" s="806"/>
      <c r="W4000" s="806"/>
      <c r="AZ4000" s="806"/>
      <c r="BA4000" s="806"/>
      <c r="BB4000" s="806"/>
    </row>
    <row r="4001" spans="4:54">
      <c r="D4001" s="806"/>
      <c r="F4001" s="806"/>
      <c r="W4001" s="806"/>
      <c r="AZ4001" s="806"/>
      <c r="BA4001" s="806"/>
      <c r="BB4001" s="806"/>
    </row>
    <row r="4002" spans="4:54">
      <c r="D4002" s="806"/>
      <c r="F4002" s="806"/>
      <c r="W4002" s="806"/>
      <c r="AZ4002" s="806"/>
      <c r="BA4002" s="806"/>
      <c r="BB4002" s="806"/>
    </row>
    <row r="4003" spans="4:54">
      <c r="D4003" s="806"/>
      <c r="F4003" s="806"/>
      <c r="W4003" s="806"/>
      <c r="AZ4003" s="806"/>
      <c r="BA4003" s="806"/>
      <c r="BB4003" s="806"/>
    </row>
    <row r="4004" spans="4:54">
      <c r="D4004" s="806"/>
      <c r="F4004" s="806"/>
      <c r="W4004" s="806"/>
      <c r="AZ4004" s="806"/>
      <c r="BA4004" s="806"/>
      <c r="BB4004" s="806"/>
    </row>
    <row r="4005" spans="4:54">
      <c r="D4005" s="806"/>
      <c r="F4005" s="806"/>
      <c r="W4005" s="806"/>
      <c r="AZ4005" s="806"/>
      <c r="BA4005" s="806"/>
      <c r="BB4005" s="806"/>
    </row>
    <row r="4006" spans="4:54">
      <c r="D4006" s="806"/>
      <c r="F4006" s="806"/>
      <c r="W4006" s="806"/>
      <c r="AZ4006" s="806"/>
      <c r="BA4006" s="806"/>
      <c r="BB4006" s="806"/>
    </row>
    <row r="4007" spans="4:54">
      <c r="D4007" s="806"/>
      <c r="F4007" s="806"/>
      <c r="W4007" s="806"/>
      <c r="AZ4007" s="806"/>
      <c r="BA4007" s="806"/>
      <c r="BB4007" s="806"/>
    </row>
    <row r="4008" spans="4:54">
      <c r="D4008" s="806"/>
      <c r="F4008" s="806"/>
      <c r="W4008" s="806"/>
      <c r="AZ4008" s="806"/>
      <c r="BA4008" s="806"/>
      <c r="BB4008" s="806"/>
    </row>
    <row r="4009" spans="4:54">
      <c r="D4009" s="806"/>
      <c r="F4009" s="806"/>
      <c r="W4009" s="806"/>
      <c r="AZ4009" s="806"/>
      <c r="BA4009" s="806"/>
      <c r="BB4009" s="806"/>
    </row>
    <row r="4010" spans="4:54">
      <c r="D4010" s="806"/>
      <c r="F4010" s="806"/>
      <c r="W4010" s="806"/>
      <c r="AZ4010" s="806"/>
      <c r="BA4010" s="806"/>
      <c r="BB4010" s="806"/>
    </row>
    <row r="4011" spans="4:54">
      <c r="D4011" s="806"/>
      <c r="F4011" s="806"/>
      <c r="W4011" s="806"/>
      <c r="AZ4011" s="806"/>
      <c r="BA4011" s="806"/>
      <c r="BB4011" s="806"/>
    </row>
    <row r="4012" spans="4:54">
      <c r="D4012" s="806"/>
      <c r="F4012" s="806"/>
      <c r="W4012" s="806"/>
      <c r="AZ4012" s="806"/>
      <c r="BA4012" s="806"/>
      <c r="BB4012" s="806"/>
    </row>
    <row r="4013" spans="4:54">
      <c r="D4013" s="806"/>
      <c r="F4013" s="806"/>
      <c r="W4013" s="806"/>
      <c r="AZ4013" s="806"/>
      <c r="BA4013" s="806"/>
      <c r="BB4013" s="806"/>
    </row>
    <row r="4014" spans="4:54">
      <c r="D4014" s="806"/>
      <c r="F4014" s="806"/>
      <c r="W4014" s="806"/>
      <c r="AZ4014" s="806"/>
      <c r="BA4014" s="806"/>
      <c r="BB4014" s="806"/>
    </row>
    <row r="4015" spans="4:54">
      <c r="D4015" s="806"/>
      <c r="F4015" s="806"/>
      <c r="W4015" s="806"/>
      <c r="AZ4015" s="806"/>
      <c r="BA4015" s="806"/>
      <c r="BB4015" s="806"/>
    </row>
    <row r="4016" spans="4:54">
      <c r="D4016" s="806"/>
      <c r="F4016" s="806"/>
      <c r="W4016" s="806"/>
      <c r="AZ4016" s="806"/>
      <c r="BA4016" s="806"/>
      <c r="BB4016" s="806"/>
    </row>
    <row r="4017" spans="4:54">
      <c r="D4017" s="806"/>
      <c r="F4017" s="806"/>
      <c r="W4017" s="806"/>
      <c r="AZ4017" s="806"/>
      <c r="BA4017" s="806"/>
      <c r="BB4017" s="806"/>
    </row>
    <row r="4018" spans="4:54">
      <c r="D4018" s="806"/>
      <c r="F4018" s="806"/>
      <c r="W4018" s="806"/>
      <c r="AZ4018" s="806"/>
      <c r="BA4018" s="806"/>
      <c r="BB4018" s="806"/>
    </row>
    <row r="4019" spans="4:54">
      <c r="D4019" s="806"/>
      <c r="F4019" s="806"/>
      <c r="W4019" s="806"/>
      <c r="AZ4019" s="806"/>
      <c r="BA4019" s="806"/>
      <c r="BB4019" s="806"/>
    </row>
    <row r="4020" spans="4:54">
      <c r="D4020" s="806"/>
      <c r="F4020" s="806"/>
      <c r="W4020" s="806"/>
      <c r="AZ4020" s="806"/>
      <c r="BA4020" s="806"/>
      <c r="BB4020" s="806"/>
    </row>
    <row r="4021" spans="4:54">
      <c r="D4021" s="806"/>
      <c r="F4021" s="806"/>
      <c r="W4021" s="806"/>
      <c r="AZ4021" s="806"/>
      <c r="BA4021" s="806"/>
      <c r="BB4021" s="806"/>
    </row>
    <row r="4022" spans="4:54">
      <c r="D4022" s="806"/>
      <c r="F4022" s="806"/>
      <c r="W4022" s="806"/>
      <c r="AZ4022" s="806"/>
      <c r="BA4022" s="806"/>
      <c r="BB4022" s="806"/>
    </row>
    <row r="4023" spans="4:54">
      <c r="D4023" s="806"/>
      <c r="F4023" s="806"/>
      <c r="W4023" s="806"/>
      <c r="AZ4023" s="806"/>
      <c r="BA4023" s="806"/>
      <c r="BB4023" s="806"/>
    </row>
    <row r="4024" spans="4:54">
      <c r="D4024" s="806"/>
      <c r="F4024" s="806"/>
      <c r="W4024" s="806"/>
      <c r="AZ4024" s="806"/>
      <c r="BA4024" s="806"/>
      <c r="BB4024" s="806"/>
    </row>
    <row r="4025" spans="4:54">
      <c r="D4025" s="806"/>
      <c r="F4025" s="806"/>
      <c r="W4025" s="806"/>
      <c r="AZ4025" s="806"/>
      <c r="BA4025" s="806"/>
      <c r="BB4025" s="806"/>
    </row>
    <row r="4026" spans="4:54">
      <c r="D4026" s="806"/>
      <c r="F4026" s="806"/>
      <c r="W4026" s="806"/>
      <c r="AZ4026" s="806"/>
      <c r="BA4026" s="806"/>
      <c r="BB4026" s="806"/>
    </row>
    <row r="4027" spans="4:54">
      <c r="D4027" s="806"/>
      <c r="F4027" s="806"/>
      <c r="W4027" s="806"/>
      <c r="AZ4027" s="806"/>
      <c r="BA4027" s="806"/>
      <c r="BB4027" s="806"/>
    </row>
    <row r="4028" spans="4:54">
      <c r="D4028" s="806"/>
      <c r="F4028" s="806"/>
      <c r="W4028" s="806"/>
      <c r="AZ4028" s="806"/>
      <c r="BA4028" s="806"/>
      <c r="BB4028" s="806"/>
    </row>
    <row r="4029" spans="4:54">
      <c r="D4029" s="806"/>
      <c r="F4029" s="806"/>
      <c r="W4029" s="806"/>
      <c r="AZ4029" s="806"/>
      <c r="BA4029" s="806"/>
      <c r="BB4029" s="806"/>
    </row>
    <row r="4030" spans="4:54">
      <c r="D4030" s="806"/>
      <c r="F4030" s="806"/>
      <c r="W4030" s="806"/>
      <c r="AZ4030" s="806"/>
      <c r="BA4030" s="806"/>
      <c r="BB4030" s="806"/>
    </row>
    <row r="4031" spans="4:54">
      <c r="D4031" s="806"/>
      <c r="F4031" s="806"/>
      <c r="W4031" s="806"/>
      <c r="AZ4031" s="806"/>
      <c r="BA4031" s="806"/>
      <c r="BB4031" s="806"/>
    </row>
    <row r="4032" spans="4:54">
      <c r="D4032" s="806"/>
      <c r="F4032" s="806"/>
      <c r="W4032" s="806"/>
      <c r="AZ4032" s="806"/>
      <c r="BA4032" s="806"/>
      <c r="BB4032" s="806"/>
    </row>
    <row r="4033" spans="4:54">
      <c r="D4033" s="806"/>
      <c r="F4033" s="806"/>
      <c r="W4033" s="806"/>
      <c r="AZ4033" s="806"/>
      <c r="BA4033" s="806"/>
      <c r="BB4033" s="806"/>
    </row>
    <row r="4034" spans="4:54">
      <c r="D4034" s="806"/>
      <c r="F4034" s="806"/>
      <c r="W4034" s="806"/>
      <c r="AZ4034" s="806"/>
      <c r="BA4034" s="806"/>
      <c r="BB4034" s="806"/>
    </row>
    <row r="4035" spans="4:54">
      <c r="D4035" s="806"/>
      <c r="F4035" s="806"/>
      <c r="W4035" s="806"/>
      <c r="AZ4035" s="806"/>
      <c r="BA4035" s="806"/>
      <c r="BB4035" s="806"/>
    </row>
    <row r="4036" spans="4:54">
      <c r="D4036" s="806"/>
      <c r="F4036" s="806"/>
      <c r="W4036" s="806"/>
      <c r="AZ4036" s="806"/>
      <c r="BA4036" s="806"/>
      <c r="BB4036" s="806"/>
    </row>
    <row r="4037" spans="4:54">
      <c r="D4037" s="806"/>
      <c r="F4037" s="806"/>
      <c r="W4037" s="806"/>
      <c r="AZ4037" s="806"/>
      <c r="BA4037" s="806"/>
      <c r="BB4037" s="806"/>
    </row>
    <row r="4038" spans="4:54">
      <c r="D4038" s="806"/>
      <c r="F4038" s="806"/>
      <c r="W4038" s="806"/>
      <c r="AZ4038" s="806"/>
      <c r="BA4038" s="806"/>
      <c r="BB4038" s="806"/>
    </row>
    <row r="4039" spans="4:54">
      <c r="D4039" s="806"/>
      <c r="F4039" s="806"/>
      <c r="W4039" s="806"/>
      <c r="AZ4039" s="806"/>
      <c r="BA4039" s="806"/>
      <c r="BB4039" s="806"/>
    </row>
    <row r="4040" spans="4:54">
      <c r="D4040" s="806"/>
      <c r="F4040" s="806"/>
      <c r="W4040" s="806"/>
      <c r="AZ4040" s="806"/>
      <c r="BA4040" s="806"/>
      <c r="BB4040" s="806"/>
    </row>
    <row r="4041" spans="4:54">
      <c r="D4041" s="806"/>
      <c r="F4041" s="806"/>
      <c r="W4041" s="806"/>
      <c r="AZ4041" s="806"/>
      <c r="BA4041" s="806"/>
      <c r="BB4041" s="806"/>
    </row>
    <row r="4042" spans="4:54">
      <c r="D4042" s="806"/>
      <c r="F4042" s="806"/>
      <c r="W4042" s="806"/>
      <c r="AZ4042" s="806"/>
      <c r="BA4042" s="806"/>
      <c r="BB4042" s="806"/>
    </row>
    <row r="4043" spans="4:54">
      <c r="D4043" s="806"/>
      <c r="F4043" s="806"/>
      <c r="W4043" s="806"/>
      <c r="AZ4043" s="806"/>
      <c r="BA4043" s="806"/>
      <c r="BB4043" s="806"/>
    </row>
    <row r="4044" spans="4:54">
      <c r="D4044" s="806"/>
      <c r="F4044" s="806"/>
      <c r="W4044" s="806"/>
      <c r="AZ4044" s="806"/>
      <c r="BA4044" s="806"/>
      <c r="BB4044" s="806"/>
    </row>
    <row r="4045" spans="4:54">
      <c r="D4045" s="806"/>
      <c r="F4045" s="806"/>
      <c r="W4045" s="806"/>
      <c r="AZ4045" s="806"/>
      <c r="BA4045" s="806"/>
      <c r="BB4045" s="806"/>
    </row>
    <row r="4046" spans="4:54">
      <c r="D4046" s="806"/>
      <c r="F4046" s="806"/>
      <c r="W4046" s="806"/>
      <c r="AZ4046" s="806"/>
      <c r="BA4046" s="806"/>
      <c r="BB4046" s="806"/>
    </row>
    <row r="4047" spans="4:54">
      <c r="D4047" s="806"/>
      <c r="F4047" s="806"/>
      <c r="W4047" s="806"/>
      <c r="AZ4047" s="806"/>
      <c r="BA4047" s="806"/>
      <c r="BB4047" s="806"/>
    </row>
    <row r="4048" spans="4:54">
      <c r="D4048" s="806"/>
      <c r="F4048" s="806"/>
      <c r="W4048" s="806"/>
      <c r="AZ4048" s="806"/>
      <c r="BA4048" s="806"/>
      <c r="BB4048" s="806"/>
    </row>
    <row r="4049" spans="4:54">
      <c r="D4049" s="806"/>
      <c r="F4049" s="806"/>
      <c r="W4049" s="806"/>
      <c r="AZ4049" s="806"/>
      <c r="BA4049" s="806"/>
      <c r="BB4049" s="806"/>
    </row>
    <row r="4050" spans="4:54">
      <c r="D4050" s="806"/>
      <c r="F4050" s="806"/>
      <c r="W4050" s="806"/>
      <c r="AZ4050" s="806"/>
      <c r="BA4050" s="806"/>
      <c r="BB4050" s="806"/>
    </row>
    <row r="4051" spans="4:54">
      <c r="D4051" s="806"/>
      <c r="F4051" s="806"/>
      <c r="W4051" s="806"/>
      <c r="AZ4051" s="806"/>
      <c r="BA4051" s="806"/>
      <c r="BB4051" s="806"/>
    </row>
    <row r="4052" spans="4:54">
      <c r="D4052" s="806"/>
      <c r="F4052" s="806"/>
      <c r="W4052" s="806"/>
      <c r="AZ4052" s="806"/>
      <c r="BA4052" s="806"/>
      <c r="BB4052" s="806"/>
    </row>
    <row r="4053" spans="4:54">
      <c r="D4053" s="806"/>
      <c r="F4053" s="806"/>
      <c r="W4053" s="806"/>
      <c r="AZ4053" s="806"/>
      <c r="BA4053" s="806"/>
      <c r="BB4053" s="806"/>
    </row>
    <row r="4054" spans="4:54">
      <c r="D4054" s="806"/>
      <c r="F4054" s="806"/>
      <c r="W4054" s="806"/>
      <c r="AZ4054" s="806"/>
      <c r="BA4054" s="806"/>
      <c r="BB4054" s="806"/>
    </row>
    <row r="4055" spans="4:54">
      <c r="D4055" s="806"/>
      <c r="F4055" s="806"/>
      <c r="W4055" s="806"/>
      <c r="AZ4055" s="806"/>
      <c r="BA4055" s="806"/>
      <c r="BB4055" s="806"/>
    </row>
    <row r="4056" spans="4:54">
      <c r="D4056" s="806"/>
      <c r="F4056" s="806"/>
      <c r="W4056" s="806"/>
      <c r="AZ4056" s="806"/>
      <c r="BA4056" s="806"/>
      <c r="BB4056" s="806"/>
    </row>
    <row r="4057" spans="4:54">
      <c r="D4057" s="806"/>
      <c r="F4057" s="806"/>
      <c r="W4057" s="806"/>
      <c r="AZ4057" s="806"/>
      <c r="BA4057" s="806"/>
      <c r="BB4057" s="806"/>
    </row>
    <row r="4058" spans="4:54">
      <c r="D4058" s="806"/>
      <c r="F4058" s="806"/>
      <c r="W4058" s="806"/>
      <c r="AZ4058" s="806"/>
      <c r="BA4058" s="806"/>
      <c r="BB4058" s="806"/>
    </row>
    <row r="4059" spans="4:54">
      <c r="D4059" s="806"/>
      <c r="F4059" s="806"/>
      <c r="W4059" s="806"/>
      <c r="AZ4059" s="806"/>
      <c r="BA4059" s="806"/>
      <c r="BB4059" s="806"/>
    </row>
    <row r="4060" spans="4:54">
      <c r="D4060" s="806"/>
      <c r="F4060" s="806"/>
      <c r="W4060" s="806"/>
      <c r="AZ4060" s="806"/>
      <c r="BA4060" s="806"/>
      <c r="BB4060" s="806"/>
    </row>
    <row r="4061" spans="4:54">
      <c r="D4061" s="806"/>
      <c r="F4061" s="806"/>
      <c r="W4061" s="806"/>
      <c r="AZ4061" s="806"/>
      <c r="BA4061" s="806"/>
      <c r="BB4061" s="806"/>
    </row>
    <row r="4062" spans="4:54">
      <c r="D4062" s="806"/>
      <c r="F4062" s="806"/>
      <c r="W4062" s="806"/>
      <c r="AZ4062" s="806"/>
      <c r="BA4062" s="806"/>
      <c r="BB4062" s="806"/>
    </row>
    <row r="4063" spans="4:54">
      <c r="D4063" s="806"/>
      <c r="F4063" s="806"/>
      <c r="W4063" s="806"/>
      <c r="AZ4063" s="806"/>
      <c r="BA4063" s="806"/>
      <c r="BB4063" s="806"/>
    </row>
    <row r="4064" spans="4:54">
      <c r="D4064" s="806"/>
      <c r="F4064" s="806"/>
      <c r="W4064" s="806"/>
      <c r="AZ4064" s="806"/>
      <c r="BA4064" s="806"/>
      <c r="BB4064" s="806"/>
    </row>
    <row r="4065" spans="4:54">
      <c r="D4065" s="806"/>
      <c r="F4065" s="806"/>
      <c r="W4065" s="806"/>
      <c r="AZ4065" s="806"/>
      <c r="BA4065" s="806"/>
      <c r="BB4065" s="806"/>
    </row>
    <row r="4066" spans="4:54">
      <c r="D4066" s="806"/>
      <c r="F4066" s="806"/>
      <c r="W4066" s="806"/>
      <c r="AZ4066" s="806"/>
      <c r="BA4066" s="806"/>
      <c r="BB4066" s="806"/>
    </row>
    <row r="4067" spans="4:54">
      <c r="D4067" s="806"/>
      <c r="F4067" s="806"/>
      <c r="W4067" s="806"/>
      <c r="AZ4067" s="806"/>
      <c r="BA4067" s="806"/>
      <c r="BB4067" s="806"/>
    </row>
    <row r="4068" spans="4:54">
      <c r="D4068" s="806"/>
      <c r="F4068" s="806"/>
      <c r="W4068" s="806"/>
      <c r="AZ4068" s="806"/>
      <c r="BA4068" s="806"/>
      <c r="BB4068" s="806"/>
    </row>
    <row r="4069" spans="4:54">
      <c r="D4069" s="806"/>
      <c r="F4069" s="806"/>
      <c r="W4069" s="806"/>
      <c r="AZ4069" s="806"/>
      <c r="BA4069" s="806"/>
      <c r="BB4069" s="806"/>
    </row>
    <row r="4070" spans="4:54">
      <c r="D4070" s="806"/>
      <c r="F4070" s="806"/>
      <c r="W4070" s="806"/>
      <c r="AZ4070" s="806"/>
      <c r="BA4070" s="806"/>
      <c r="BB4070" s="806"/>
    </row>
    <row r="4071" spans="4:54">
      <c r="D4071" s="806"/>
      <c r="F4071" s="806"/>
      <c r="W4071" s="806"/>
      <c r="AZ4071" s="806"/>
      <c r="BA4071" s="806"/>
      <c r="BB4071" s="806"/>
    </row>
    <row r="4072" spans="4:54">
      <c r="D4072" s="806"/>
      <c r="F4072" s="806"/>
      <c r="W4072" s="806"/>
      <c r="AZ4072" s="806"/>
      <c r="BA4072" s="806"/>
      <c r="BB4072" s="806"/>
    </row>
    <row r="4073" spans="4:54">
      <c r="D4073" s="806"/>
      <c r="F4073" s="806"/>
      <c r="W4073" s="806"/>
      <c r="AZ4073" s="806"/>
      <c r="BA4073" s="806"/>
      <c r="BB4073" s="806"/>
    </row>
    <row r="4074" spans="4:54">
      <c r="D4074" s="806"/>
      <c r="F4074" s="806"/>
      <c r="W4074" s="806"/>
      <c r="AZ4074" s="806"/>
      <c r="BA4074" s="806"/>
      <c r="BB4074" s="806"/>
    </row>
    <row r="4075" spans="4:54">
      <c r="D4075" s="806"/>
      <c r="F4075" s="806"/>
      <c r="W4075" s="806"/>
      <c r="AZ4075" s="806"/>
      <c r="BA4075" s="806"/>
      <c r="BB4075" s="806"/>
    </row>
    <row r="4076" spans="4:54">
      <c r="D4076" s="806"/>
      <c r="F4076" s="806"/>
      <c r="W4076" s="806"/>
      <c r="AZ4076" s="806"/>
      <c r="BA4076" s="806"/>
      <c r="BB4076" s="806"/>
    </row>
    <row r="4077" spans="4:54">
      <c r="D4077" s="806"/>
      <c r="F4077" s="806"/>
      <c r="W4077" s="806"/>
      <c r="AZ4077" s="806"/>
      <c r="BA4077" s="806"/>
      <c r="BB4077" s="806"/>
    </row>
    <row r="4078" spans="4:54">
      <c r="D4078" s="806"/>
      <c r="F4078" s="806"/>
      <c r="W4078" s="806"/>
      <c r="AZ4078" s="806"/>
      <c r="BA4078" s="806"/>
      <c r="BB4078" s="806"/>
    </row>
    <row r="4079" spans="4:54">
      <c r="D4079" s="806"/>
      <c r="F4079" s="806"/>
      <c r="W4079" s="806"/>
      <c r="AZ4079" s="806"/>
      <c r="BA4079" s="806"/>
      <c r="BB4079" s="806"/>
    </row>
    <row r="4080" spans="4:54">
      <c r="D4080" s="806"/>
      <c r="F4080" s="806"/>
      <c r="W4080" s="806"/>
      <c r="AZ4080" s="806"/>
      <c r="BA4080" s="806"/>
      <c r="BB4080" s="806"/>
    </row>
    <row r="4081" spans="4:54">
      <c r="D4081" s="806"/>
      <c r="F4081" s="806"/>
      <c r="W4081" s="806"/>
      <c r="AZ4081" s="806"/>
      <c r="BA4081" s="806"/>
      <c r="BB4081" s="806"/>
    </row>
    <row r="4082" spans="4:54">
      <c r="D4082" s="806"/>
      <c r="F4082" s="806"/>
      <c r="W4082" s="806"/>
      <c r="AZ4082" s="806"/>
      <c r="BA4082" s="806"/>
      <c r="BB4082" s="806"/>
    </row>
    <row r="4083" spans="4:54">
      <c r="D4083" s="806"/>
      <c r="F4083" s="806"/>
      <c r="W4083" s="806"/>
      <c r="AZ4083" s="806"/>
      <c r="BA4083" s="806"/>
      <c r="BB4083" s="806"/>
    </row>
    <row r="4084" spans="4:54">
      <c r="D4084" s="806"/>
      <c r="F4084" s="806"/>
      <c r="W4084" s="806"/>
      <c r="AZ4084" s="806"/>
      <c r="BA4084" s="806"/>
      <c r="BB4084" s="806"/>
    </row>
    <row r="4085" spans="4:54">
      <c r="D4085" s="806"/>
      <c r="F4085" s="806"/>
      <c r="W4085" s="806"/>
      <c r="AZ4085" s="806"/>
      <c r="BA4085" s="806"/>
      <c r="BB4085" s="806"/>
    </row>
    <row r="4086" spans="4:54">
      <c r="D4086" s="806"/>
      <c r="F4086" s="806"/>
      <c r="W4086" s="806"/>
      <c r="AZ4086" s="806"/>
      <c r="BA4086" s="806"/>
      <c r="BB4086" s="806"/>
    </row>
    <row r="4087" spans="4:54">
      <c r="D4087" s="806"/>
      <c r="F4087" s="806"/>
      <c r="W4087" s="806"/>
      <c r="AZ4087" s="806"/>
      <c r="BA4087" s="806"/>
      <c r="BB4087" s="806"/>
    </row>
    <row r="4088" spans="4:54">
      <c r="D4088" s="806"/>
      <c r="F4088" s="806"/>
      <c r="W4088" s="806"/>
      <c r="AZ4088" s="806"/>
      <c r="BA4088" s="806"/>
      <c r="BB4088" s="806"/>
    </row>
    <row r="4089" spans="4:54">
      <c r="D4089" s="806"/>
      <c r="F4089" s="806"/>
      <c r="W4089" s="806"/>
      <c r="AZ4089" s="806"/>
      <c r="BA4089" s="806"/>
      <c r="BB4089" s="806"/>
    </row>
    <row r="4090" spans="4:54">
      <c r="D4090" s="806"/>
      <c r="F4090" s="806"/>
      <c r="W4090" s="806"/>
      <c r="AZ4090" s="806"/>
      <c r="BA4090" s="806"/>
      <c r="BB4090" s="806"/>
    </row>
    <row r="4091" spans="4:54">
      <c r="D4091" s="806"/>
      <c r="F4091" s="806"/>
      <c r="W4091" s="806"/>
      <c r="AZ4091" s="806"/>
      <c r="BA4091" s="806"/>
      <c r="BB4091" s="806"/>
    </row>
    <row r="4092" spans="4:54">
      <c r="D4092" s="806"/>
      <c r="F4092" s="806"/>
      <c r="W4092" s="806"/>
      <c r="AZ4092" s="806"/>
      <c r="BA4092" s="806"/>
      <c r="BB4092" s="806"/>
    </row>
    <row r="4093" spans="4:54">
      <c r="D4093" s="806"/>
      <c r="F4093" s="806"/>
      <c r="W4093" s="806"/>
      <c r="AZ4093" s="806"/>
      <c r="BA4093" s="806"/>
      <c r="BB4093" s="806"/>
    </row>
    <row r="4094" spans="4:54">
      <c r="D4094" s="806"/>
      <c r="F4094" s="806"/>
      <c r="W4094" s="806"/>
      <c r="AZ4094" s="806"/>
      <c r="BA4094" s="806"/>
      <c r="BB4094" s="806"/>
    </row>
    <row r="4095" spans="4:54">
      <c r="D4095" s="806"/>
      <c r="F4095" s="806"/>
      <c r="W4095" s="806"/>
      <c r="AZ4095" s="806"/>
      <c r="BA4095" s="806"/>
      <c r="BB4095" s="806"/>
    </row>
    <row r="4096" spans="4:54">
      <c r="D4096" s="806"/>
      <c r="F4096" s="806"/>
      <c r="W4096" s="806"/>
      <c r="AZ4096" s="806"/>
      <c r="BA4096" s="806"/>
      <c r="BB4096" s="806"/>
    </row>
    <row r="4097" spans="4:54">
      <c r="D4097" s="806"/>
      <c r="F4097" s="806"/>
      <c r="W4097" s="806"/>
      <c r="AZ4097" s="806"/>
      <c r="BA4097" s="806"/>
      <c r="BB4097" s="806"/>
    </row>
    <row r="4098" spans="4:54">
      <c r="D4098" s="806"/>
      <c r="F4098" s="806"/>
      <c r="W4098" s="806"/>
      <c r="AZ4098" s="806"/>
      <c r="BA4098" s="806"/>
      <c r="BB4098" s="806"/>
    </row>
    <row r="4099" spans="4:54">
      <c r="D4099" s="806"/>
      <c r="F4099" s="806"/>
      <c r="W4099" s="806"/>
      <c r="AZ4099" s="806"/>
      <c r="BA4099" s="806"/>
      <c r="BB4099" s="806"/>
    </row>
    <row r="4100" spans="4:54">
      <c r="D4100" s="806"/>
      <c r="F4100" s="806"/>
      <c r="W4100" s="806"/>
      <c r="AZ4100" s="806"/>
      <c r="BA4100" s="806"/>
      <c r="BB4100" s="806"/>
    </row>
    <row r="4101" spans="4:54">
      <c r="D4101" s="806"/>
      <c r="F4101" s="806"/>
      <c r="W4101" s="806"/>
      <c r="AZ4101" s="806"/>
      <c r="BA4101" s="806"/>
      <c r="BB4101" s="806"/>
    </row>
    <row r="4102" spans="4:54">
      <c r="D4102" s="806"/>
      <c r="F4102" s="806"/>
      <c r="W4102" s="806"/>
      <c r="AZ4102" s="806"/>
      <c r="BA4102" s="806"/>
      <c r="BB4102" s="806"/>
    </row>
    <row r="4103" spans="4:54">
      <c r="D4103" s="806"/>
      <c r="F4103" s="806"/>
      <c r="W4103" s="806"/>
      <c r="AZ4103" s="806"/>
      <c r="BA4103" s="806"/>
      <c r="BB4103" s="806"/>
    </row>
    <row r="4104" spans="4:54">
      <c r="D4104" s="806"/>
      <c r="F4104" s="806"/>
      <c r="W4104" s="806"/>
      <c r="AZ4104" s="806"/>
      <c r="BA4104" s="806"/>
      <c r="BB4104" s="806"/>
    </row>
    <row r="4105" spans="4:54">
      <c r="D4105" s="806"/>
      <c r="F4105" s="806"/>
      <c r="W4105" s="806"/>
      <c r="AZ4105" s="806"/>
      <c r="BA4105" s="806"/>
      <c r="BB4105" s="806"/>
    </row>
    <row r="4106" spans="4:54">
      <c r="D4106" s="806"/>
      <c r="F4106" s="806"/>
      <c r="W4106" s="806"/>
      <c r="AZ4106" s="806"/>
      <c r="BA4106" s="806"/>
      <c r="BB4106" s="806"/>
    </row>
    <row r="4107" spans="4:54">
      <c r="D4107" s="806"/>
      <c r="F4107" s="806"/>
      <c r="W4107" s="806"/>
      <c r="AZ4107" s="806"/>
      <c r="BA4107" s="806"/>
      <c r="BB4107" s="806"/>
    </row>
    <row r="4108" spans="4:54">
      <c r="D4108" s="806"/>
      <c r="F4108" s="806"/>
      <c r="W4108" s="806"/>
      <c r="AZ4108" s="806"/>
      <c r="BA4108" s="806"/>
      <c r="BB4108" s="806"/>
    </row>
    <row r="4109" spans="4:54">
      <c r="D4109" s="806"/>
      <c r="F4109" s="806"/>
      <c r="W4109" s="806"/>
      <c r="AZ4109" s="806"/>
      <c r="BA4109" s="806"/>
      <c r="BB4109" s="806"/>
    </row>
    <row r="4110" spans="4:54">
      <c r="D4110" s="806"/>
      <c r="F4110" s="806"/>
      <c r="W4110" s="806"/>
      <c r="AZ4110" s="806"/>
      <c r="BA4110" s="806"/>
      <c r="BB4110" s="806"/>
    </row>
    <row r="4111" spans="4:54">
      <c r="D4111" s="806"/>
      <c r="F4111" s="806"/>
      <c r="W4111" s="806"/>
      <c r="AZ4111" s="806"/>
      <c r="BA4111" s="806"/>
      <c r="BB4111" s="806"/>
    </row>
    <row r="4112" spans="4:54">
      <c r="D4112" s="806"/>
      <c r="F4112" s="806"/>
      <c r="W4112" s="806"/>
      <c r="AZ4112" s="806"/>
      <c r="BA4112" s="806"/>
      <c r="BB4112" s="806"/>
    </row>
    <row r="4113" spans="4:54">
      <c r="D4113" s="806"/>
      <c r="F4113" s="806"/>
      <c r="W4113" s="806"/>
      <c r="AZ4113" s="806"/>
      <c r="BA4113" s="806"/>
      <c r="BB4113" s="806"/>
    </row>
    <row r="4114" spans="4:54">
      <c r="D4114" s="806"/>
      <c r="F4114" s="806"/>
      <c r="W4114" s="806"/>
      <c r="AZ4114" s="806"/>
      <c r="BA4114" s="806"/>
      <c r="BB4114" s="806"/>
    </row>
    <row r="4115" spans="4:54">
      <c r="D4115" s="806"/>
      <c r="F4115" s="806"/>
      <c r="W4115" s="806"/>
      <c r="AZ4115" s="806"/>
      <c r="BA4115" s="806"/>
      <c r="BB4115" s="806"/>
    </row>
    <row r="4116" spans="4:54">
      <c r="D4116" s="806"/>
      <c r="F4116" s="806"/>
      <c r="W4116" s="806"/>
      <c r="AZ4116" s="806"/>
      <c r="BA4116" s="806"/>
      <c r="BB4116" s="806"/>
    </row>
    <row r="4117" spans="4:54">
      <c r="D4117" s="806"/>
      <c r="F4117" s="806"/>
      <c r="W4117" s="806"/>
      <c r="AZ4117" s="806"/>
      <c r="BA4117" s="806"/>
      <c r="BB4117" s="806"/>
    </row>
    <row r="4118" spans="4:54">
      <c r="D4118" s="806"/>
      <c r="F4118" s="806"/>
      <c r="W4118" s="806"/>
      <c r="AZ4118" s="806"/>
      <c r="BA4118" s="806"/>
      <c r="BB4118" s="806"/>
    </row>
    <row r="4119" spans="4:54">
      <c r="D4119" s="806"/>
      <c r="F4119" s="806"/>
      <c r="W4119" s="806"/>
      <c r="AZ4119" s="806"/>
      <c r="BA4119" s="806"/>
      <c r="BB4119" s="806"/>
    </row>
    <row r="4120" spans="4:54">
      <c r="D4120" s="806"/>
      <c r="F4120" s="806"/>
      <c r="W4120" s="806"/>
      <c r="AZ4120" s="806"/>
      <c r="BA4120" s="806"/>
      <c r="BB4120" s="806"/>
    </row>
    <row r="4121" spans="4:54">
      <c r="D4121" s="806"/>
      <c r="F4121" s="806"/>
      <c r="W4121" s="806"/>
      <c r="AZ4121" s="806"/>
      <c r="BA4121" s="806"/>
      <c r="BB4121" s="806"/>
    </row>
    <row r="4122" spans="4:54">
      <c r="D4122" s="806"/>
      <c r="F4122" s="806"/>
      <c r="W4122" s="806"/>
      <c r="AZ4122" s="806"/>
      <c r="BA4122" s="806"/>
      <c r="BB4122" s="806"/>
    </row>
    <row r="4123" spans="4:54">
      <c r="D4123" s="806"/>
      <c r="F4123" s="806"/>
      <c r="W4123" s="806"/>
      <c r="AZ4123" s="806"/>
      <c r="BA4123" s="806"/>
      <c r="BB4123" s="806"/>
    </row>
    <row r="4124" spans="4:54">
      <c r="D4124" s="806"/>
      <c r="F4124" s="806"/>
      <c r="W4124" s="806"/>
      <c r="AZ4124" s="806"/>
      <c r="BA4124" s="806"/>
      <c r="BB4124" s="806"/>
    </row>
    <row r="4125" spans="4:54">
      <c r="D4125" s="806"/>
      <c r="F4125" s="806"/>
      <c r="W4125" s="806"/>
      <c r="AZ4125" s="806"/>
      <c r="BA4125" s="806"/>
      <c r="BB4125" s="806"/>
    </row>
    <row r="4126" spans="4:54">
      <c r="D4126" s="806"/>
      <c r="F4126" s="806"/>
      <c r="W4126" s="806"/>
      <c r="AZ4126" s="806"/>
      <c r="BA4126" s="806"/>
      <c r="BB4126" s="806"/>
    </row>
    <row r="4127" spans="4:54">
      <c r="D4127" s="806"/>
      <c r="F4127" s="806"/>
      <c r="W4127" s="806"/>
      <c r="AZ4127" s="806"/>
      <c r="BA4127" s="806"/>
      <c r="BB4127" s="806"/>
    </row>
    <row r="4128" spans="4:54">
      <c r="D4128" s="806"/>
      <c r="F4128" s="806"/>
      <c r="W4128" s="806"/>
      <c r="AZ4128" s="806"/>
      <c r="BA4128" s="806"/>
      <c r="BB4128" s="806"/>
    </row>
    <row r="4129" spans="4:54">
      <c r="D4129" s="806"/>
      <c r="F4129" s="806"/>
      <c r="W4129" s="806"/>
      <c r="AZ4129" s="806"/>
      <c r="BA4129" s="806"/>
      <c r="BB4129" s="806"/>
    </row>
    <row r="4130" spans="4:54">
      <c r="D4130" s="806"/>
      <c r="F4130" s="806"/>
      <c r="W4130" s="806"/>
      <c r="AZ4130" s="806"/>
      <c r="BA4130" s="806"/>
      <c r="BB4130" s="806"/>
    </row>
    <row r="4131" spans="4:54">
      <c r="D4131" s="806"/>
      <c r="F4131" s="806"/>
      <c r="W4131" s="806"/>
      <c r="AZ4131" s="806"/>
      <c r="BA4131" s="806"/>
      <c r="BB4131" s="806"/>
    </row>
    <row r="4132" spans="4:54">
      <c r="D4132" s="806"/>
      <c r="F4132" s="806"/>
      <c r="W4132" s="806"/>
      <c r="AZ4132" s="806"/>
      <c r="BA4132" s="806"/>
      <c r="BB4132" s="806"/>
    </row>
    <row r="4133" spans="4:54">
      <c r="D4133" s="806"/>
      <c r="F4133" s="806"/>
      <c r="W4133" s="806"/>
      <c r="AZ4133" s="806"/>
      <c r="BA4133" s="806"/>
      <c r="BB4133" s="806"/>
    </row>
    <row r="4134" spans="4:54">
      <c r="D4134" s="806"/>
      <c r="F4134" s="806"/>
      <c r="W4134" s="806"/>
      <c r="AZ4134" s="806"/>
      <c r="BA4134" s="806"/>
      <c r="BB4134" s="806"/>
    </row>
    <row r="4135" spans="4:54">
      <c r="D4135" s="806"/>
      <c r="F4135" s="806"/>
      <c r="W4135" s="806"/>
      <c r="AZ4135" s="806"/>
      <c r="BA4135" s="806"/>
      <c r="BB4135" s="806"/>
    </row>
    <row r="4136" spans="4:54">
      <c r="D4136" s="806"/>
      <c r="F4136" s="806"/>
      <c r="W4136" s="806"/>
      <c r="AZ4136" s="806"/>
      <c r="BA4136" s="806"/>
      <c r="BB4136" s="806"/>
    </row>
    <row r="4137" spans="4:54">
      <c r="D4137" s="806"/>
      <c r="F4137" s="806"/>
      <c r="W4137" s="806"/>
      <c r="AZ4137" s="806"/>
      <c r="BA4137" s="806"/>
      <c r="BB4137" s="806"/>
    </row>
    <row r="4138" spans="4:54">
      <c r="D4138" s="806"/>
      <c r="F4138" s="806"/>
      <c r="W4138" s="806"/>
      <c r="AZ4138" s="806"/>
      <c r="BA4138" s="806"/>
      <c r="BB4138" s="806"/>
    </row>
    <row r="4139" spans="4:54">
      <c r="D4139" s="806"/>
      <c r="F4139" s="806"/>
      <c r="W4139" s="806"/>
      <c r="AZ4139" s="806"/>
      <c r="BA4139" s="806"/>
      <c r="BB4139" s="806"/>
    </row>
    <row r="4140" spans="4:54">
      <c r="D4140" s="806"/>
      <c r="F4140" s="806"/>
      <c r="W4140" s="806"/>
      <c r="AZ4140" s="806"/>
      <c r="BA4140" s="806"/>
      <c r="BB4140" s="806"/>
    </row>
    <row r="4141" spans="4:54">
      <c r="D4141" s="806"/>
      <c r="F4141" s="806"/>
      <c r="W4141" s="806"/>
      <c r="AZ4141" s="806"/>
      <c r="BA4141" s="806"/>
      <c r="BB4141" s="806"/>
    </row>
    <row r="4142" spans="4:54">
      <c r="D4142" s="806"/>
      <c r="F4142" s="806"/>
      <c r="W4142" s="806"/>
      <c r="AZ4142" s="806"/>
      <c r="BA4142" s="806"/>
      <c r="BB4142" s="806"/>
    </row>
    <row r="4143" spans="4:54">
      <c r="D4143" s="806"/>
      <c r="F4143" s="806"/>
      <c r="W4143" s="806"/>
      <c r="AZ4143" s="806"/>
      <c r="BA4143" s="806"/>
      <c r="BB4143" s="806"/>
    </row>
    <row r="4144" spans="4:54">
      <c r="D4144" s="806"/>
      <c r="F4144" s="806"/>
      <c r="W4144" s="806"/>
      <c r="AZ4144" s="806"/>
      <c r="BA4144" s="806"/>
      <c r="BB4144" s="806"/>
    </row>
    <row r="4145" spans="4:54">
      <c r="D4145" s="806"/>
      <c r="F4145" s="806"/>
      <c r="W4145" s="806"/>
      <c r="AZ4145" s="806"/>
      <c r="BA4145" s="806"/>
      <c r="BB4145" s="806"/>
    </row>
    <row r="4146" spans="4:54">
      <c r="D4146" s="806"/>
      <c r="F4146" s="806"/>
      <c r="W4146" s="806"/>
      <c r="AZ4146" s="806"/>
      <c r="BA4146" s="806"/>
      <c r="BB4146" s="806"/>
    </row>
    <row r="4147" spans="4:54">
      <c r="D4147" s="806"/>
      <c r="F4147" s="806"/>
      <c r="W4147" s="806"/>
      <c r="AZ4147" s="806"/>
      <c r="BA4147" s="806"/>
      <c r="BB4147" s="806"/>
    </row>
    <row r="4148" spans="4:54">
      <c r="D4148" s="806"/>
      <c r="F4148" s="806"/>
      <c r="W4148" s="806"/>
      <c r="AZ4148" s="806"/>
      <c r="BA4148" s="806"/>
      <c r="BB4148" s="806"/>
    </row>
    <row r="4149" spans="4:54">
      <c r="D4149" s="806"/>
      <c r="F4149" s="806"/>
      <c r="W4149" s="806"/>
      <c r="AZ4149" s="806"/>
      <c r="BA4149" s="806"/>
      <c r="BB4149" s="806"/>
    </row>
    <row r="4150" spans="4:54">
      <c r="D4150" s="806"/>
      <c r="F4150" s="806"/>
      <c r="W4150" s="806"/>
      <c r="AZ4150" s="806"/>
      <c r="BA4150" s="806"/>
      <c r="BB4150" s="806"/>
    </row>
    <row r="4151" spans="4:54">
      <c r="D4151" s="806"/>
      <c r="F4151" s="806"/>
      <c r="W4151" s="806"/>
      <c r="AZ4151" s="806"/>
      <c r="BA4151" s="806"/>
      <c r="BB4151" s="806"/>
    </row>
    <row r="4152" spans="4:54">
      <c r="D4152" s="806"/>
      <c r="F4152" s="806"/>
      <c r="W4152" s="806"/>
      <c r="AZ4152" s="806"/>
      <c r="BA4152" s="806"/>
      <c r="BB4152" s="806"/>
    </row>
    <row r="4153" spans="4:54">
      <c r="D4153" s="806"/>
      <c r="F4153" s="806"/>
      <c r="W4153" s="806"/>
      <c r="AZ4153" s="806"/>
      <c r="BA4153" s="806"/>
      <c r="BB4153" s="806"/>
    </row>
    <row r="4154" spans="4:54">
      <c r="D4154" s="806"/>
      <c r="F4154" s="806"/>
      <c r="W4154" s="806"/>
      <c r="AZ4154" s="806"/>
      <c r="BA4154" s="806"/>
      <c r="BB4154" s="806"/>
    </row>
    <row r="4155" spans="4:54">
      <c r="D4155" s="806"/>
      <c r="F4155" s="806"/>
      <c r="W4155" s="806"/>
      <c r="AZ4155" s="806"/>
      <c r="BA4155" s="806"/>
      <c r="BB4155" s="806"/>
    </row>
    <row r="4156" spans="4:54">
      <c r="D4156" s="806"/>
      <c r="F4156" s="806"/>
      <c r="W4156" s="806"/>
      <c r="AZ4156" s="806"/>
      <c r="BA4156" s="806"/>
      <c r="BB4156" s="806"/>
    </row>
    <row r="4157" spans="4:54">
      <c r="D4157" s="806"/>
      <c r="F4157" s="806"/>
      <c r="W4157" s="806"/>
      <c r="AZ4157" s="806"/>
      <c r="BA4157" s="806"/>
      <c r="BB4157" s="806"/>
    </row>
    <row r="4158" spans="4:54">
      <c r="D4158" s="806"/>
      <c r="F4158" s="806"/>
      <c r="W4158" s="806"/>
      <c r="AZ4158" s="806"/>
      <c r="BA4158" s="806"/>
      <c r="BB4158" s="806"/>
    </row>
    <row r="4159" spans="4:54">
      <c r="D4159" s="806"/>
      <c r="F4159" s="806"/>
      <c r="W4159" s="806"/>
      <c r="AZ4159" s="806"/>
      <c r="BA4159" s="806"/>
      <c r="BB4159" s="806"/>
    </row>
    <row r="4160" spans="4:54">
      <c r="D4160" s="806"/>
      <c r="F4160" s="806"/>
      <c r="W4160" s="806"/>
      <c r="AZ4160" s="806"/>
      <c r="BA4160" s="806"/>
      <c r="BB4160" s="806"/>
    </row>
    <row r="4161" spans="4:54">
      <c r="D4161" s="806"/>
      <c r="F4161" s="806"/>
      <c r="W4161" s="806"/>
      <c r="AZ4161" s="806"/>
      <c r="BA4161" s="806"/>
      <c r="BB4161" s="806"/>
    </row>
    <row r="4162" spans="4:54">
      <c r="D4162" s="806"/>
      <c r="F4162" s="806"/>
      <c r="W4162" s="806"/>
      <c r="AZ4162" s="806"/>
      <c r="BA4162" s="806"/>
      <c r="BB4162" s="806"/>
    </row>
    <row r="4163" spans="4:54">
      <c r="D4163" s="806"/>
      <c r="F4163" s="806"/>
      <c r="W4163" s="806"/>
      <c r="AZ4163" s="806"/>
      <c r="BA4163" s="806"/>
      <c r="BB4163" s="806"/>
    </row>
    <row r="4164" spans="4:54">
      <c r="D4164" s="806"/>
      <c r="F4164" s="806"/>
      <c r="W4164" s="806"/>
      <c r="AZ4164" s="806"/>
      <c r="BA4164" s="806"/>
      <c r="BB4164" s="806"/>
    </row>
    <row r="4165" spans="4:54">
      <c r="D4165" s="806"/>
      <c r="F4165" s="806"/>
      <c r="W4165" s="806"/>
      <c r="AZ4165" s="806"/>
      <c r="BA4165" s="806"/>
      <c r="BB4165" s="806"/>
    </row>
    <row r="4166" spans="4:54">
      <c r="D4166" s="806"/>
      <c r="F4166" s="806"/>
      <c r="W4166" s="806"/>
      <c r="AZ4166" s="806"/>
      <c r="BA4166" s="806"/>
      <c r="BB4166" s="806"/>
    </row>
    <row r="4167" spans="4:54">
      <c r="D4167" s="806"/>
      <c r="F4167" s="806"/>
      <c r="W4167" s="806"/>
      <c r="AZ4167" s="806"/>
      <c r="BA4167" s="806"/>
      <c r="BB4167" s="806"/>
    </row>
    <row r="4168" spans="4:54">
      <c r="D4168" s="806"/>
      <c r="F4168" s="806"/>
      <c r="W4168" s="806"/>
      <c r="AZ4168" s="806"/>
      <c r="BA4168" s="806"/>
      <c r="BB4168" s="806"/>
    </row>
    <row r="4169" spans="4:54">
      <c r="D4169" s="806"/>
      <c r="F4169" s="806"/>
      <c r="W4169" s="806"/>
      <c r="AZ4169" s="806"/>
      <c r="BA4169" s="806"/>
      <c r="BB4169" s="806"/>
    </row>
    <row r="4170" spans="4:54">
      <c r="D4170" s="806"/>
      <c r="F4170" s="806"/>
      <c r="W4170" s="806"/>
      <c r="AZ4170" s="806"/>
      <c r="BA4170" s="806"/>
      <c r="BB4170" s="806"/>
    </row>
    <row r="4171" spans="4:54">
      <c r="D4171" s="806"/>
      <c r="F4171" s="806"/>
      <c r="W4171" s="806"/>
      <c r="AZ4171" s="806"/>
      <c r="BA4171" s="806"/>
      <c r="BB4171" s="806"/>
    </row>
    <row r="4172" spans="4:54">
      <c r="D4172" s="806"/>
      <c r="F4172" s="806"/>
      <c r="W4172" s="806"/>
      <c r="AZ4172" s="806"/>
      <c r="BA4172" s="806"/>
      <c r="BB4172" s="806"/>
    </row>
    <row r="4173" spans="4:54">
      <c r="D4173" s="806"/>
      <c r="F4173" s="806"/>
      <c r="W4173" s="806"/>
      <c r="AZ4173" s="806"/>
      <c r="BA4173" s="806"/>
      <c r="BB4173" s="806"/>
    </row>
    <row r="4174" spans="4:54">
      <c r="D4174" s="806"/>
      <c r="F4174" s="806"/>
      <c r="W4174" s="806"/>
      <c r="AZ4174" s="806"/>
      <c r="BA4174" s="806"/>
      <c r="BB4174" s="806"/>
    </row>
    <row r="4175" spans="4:54">
      <c r="D4175" s="806"/>
      <c r="F4175" s="806"/>
      <c r="W4175" s="806"/>
      <c r="AZ4175" s="806"/>
      <c r="BA4175" s="806"/>
      <c r="BB4175" s="806"/>
    </row>
    <row r="4176" spans="4:54">
      <c r="D4176" s="806"/>
      <c r="F4176" s="806"/>
      <c r="W4176" s="806"/>
      <c r="AZ4176" s="806"/>
      <c r="BA4176" s="806"/>
      <c r="BB4176" s="806"/>
    </row>
    <row r="4177" spans="4:54">
      <c r="D4177" s="806"/>
      <c r="F4177" s="806"/>
      <c r="W4177" s="806"/>
      <c r="AZ4177" s="806"/>
      <c r="BA4177" s="806"/>
      <c r="BB4177" s="806"/>
    </row>
    <row r="4178" spans="4:54">
      <c r="D4178" s="806"/>
      <c r="F4178" s="806"/>
      <c r="W4178" s="806"/>
      <c r="AZ4178" s="806"/>
      <c r="BA4178" s="806"/>
      <c r="BB4178" s="806"/>
    </row>
    <row r="4179" spans="4:54">
      <c r="D4179" s="806"/>
      <c r="F4179" s="806"/>
      <c r="W4179" s="806"/>
      <c r="AZ4179" s="806"/>
      <c r="BA4179" s="806"/>
      <c r="BB4179" s="806"/>
    </row>
    <row r="4180" spans="4:54">
      <c r="D4180" s="806"/>
      <c r="F4180" s="806"/>
      <c r="W4180" s="806"/>
      <c r="AZ4180" s="806"/>
      <c r="BA4180" s="806"/>
      <c r="BB4180" s="806"/>
    </row>
    <row r="4181" spans="4:54">
      <c r="D4181" s="806"/>
      <c r="F4181" s="806"/>
      <c r="W4181" s="806"/>
      <c r="AZ4181" s="806"/>
      <c r="BA4181" s="806"/>
      <c r="BB4181" s="806"/>
    </row>
    <row r="4182" spans="4:54">
      <c r="D4182" s="806"/>
      <c r="F4182" s="806"/>
      <c r="W4182" s="806"/>
      <c r="AZ4182" s="806"/>
      <c r="BA4182" s="806"/>
      <c r="BB4182" s="806"/>
    </row>
    <row r="4183" spans="4:54">
      <c r="D4183" s="806"/>
      <c r="F4183" s="806"/>
      <c r="W4183" s="806"/>
      <c r="AZ4183" s="806"/>
      <c r="BA4183" s="806"/>
      <c r="BB4183" s="806"/>
    </row>
    <row r="4184" spans="4:54">
      <c r="D4184" s="806"/>
      <c r="F4184" s="806"/>
      <c r="W4184" s="806"/>
      <c r="AZ4184" s="806"/>
      <c r="BA4184" s="806"/>
      <c r="BB4184" s="806"/>
    </row>
    <row r="4185" spans="4:54">
      <c r="D4185" s="806"/>
      <c r="F4185" s="806"/>
      <c r="W4185" s="806"/>
      <c r="AZ4185" s="806"/>
      <c r="BA4185" s="806"/>
      <c r="BB4185" s="806"/>
    </row>
    <row r="4186" spans="4:54">
      <c r="D4186" s="806"/>
      <c r="F4186" s="806"/>
      <c r="W4186" s="806"/>
      <c r="AZ4186" s="806"/>
      <c r="BA4186" s="806"/>
      <c r="BB4186" s="806"/>
    </row>
    <row r="4187" spans="4:54">
      <c r="D4187" s="806"/>
      <c r="F4187" s="806"/>
      <c r="W4187" s="806"/>
      <c r="AZ4187" s="806"/>
      <c r="BA4187" s="806"/>
      <c r="BB4187" s="806"/>
    </row>
    <row r="4188" spans="4:54">
      <c r="D4188" s="806"/>
      <c r="F4188" s="806"/>
      <c r="W4188" s="806"/>
      <c r="AZ4188" s="806"/>
      <c r="BA4188" s="806"/>
      <c r="BB4188" s="806"/>
    </row>
    <row r="4189" spans="4:54">
      <c r="D4189" s="806"/>
      <c r="F4189" s="806"/>
      <c r="W4189" s="806"/>
      <c r="AZ4189" s="806"/>
      <c r="BA4189" s="806"/>
      <c r="BB4189" s="806"/>
    </row>
    <row r="4190" spans="4:54">
      <c r="D4190" s="806"/>
      <c r="F4190" s="806"/>
      <c r="W4190" s="806"/>
      <c r="AZ4190" s="806"/>
      <c r="BA4190" s="806"/>
      <c r="BB4190" s="806"/>
    </row>
    <row r="4191" spans="4:54">
      <c r="D4191" s="806"/>
      <c r="F4191" s="806"/>
      <c r="W4191" s="806"/>
      <c r="AZ4191" s="806"/>
      <c r="BA4191" s="806"/>
      <c r="BB4191" s="806"/>
    </row>
    <row r="4192" spans="4:54">
      <c r="D4192" s="806"/>
      <c r="F4192" s="806"/>
      <c r="W4192" s="806"/>
      <c r="AZ4192" s="806"/>
      <c r="BA4192" s="806"/>
      <c r="BB4192" s="806"/>
    </row>
    <row r="4193" spans="4:54">
      <c r="D4193" s="806"/>
      <c r="F4193" s="806"/>
      <c r="W4193" s="806"/>
      <c r="AZ4193" s="806"/>
      <c r="BA4193" s="806"/>
      <c r="BB4193" s="806"/>
    </row>
    <row r="4194" spans="4:54">
      <c r="D4194" s="806"/>
      <c r="F4194" s="806"/>
      <c r="W4194" s="806"/>
      <c r="AZ4194" s="806"/>
      <c r="BA4194" s="806"/>
      <c r="BB4194" s="806"/>
    </row>
    <row r="4195" spans="4:54">
      <c r="D4195" s="806"/>
      <c r="F4195" s="806"/>
      <c r="W4195" s="806"/>
      <c r="AZ4195" s="806"/>
      <c r="BA4195" s="806"/>
      <c r="BB4195" s="806"/>
    </row>
    <row r="4196" spans="4:54">
      <c r="D4196" s="806"/>
      <c r="F4196" s="806"/>
      <c r="W4196" s="806"/>
      <c r="AZ4196" s="806"/>
      <c r="BA4196" s="806"/>
      <c r="BB4196" s="806"/>
    </row>
    <row r="4197" spans="4:54">
      <c r="D4197" s="806"/>
      <c r="F4197" s="806"/>
      <c r="W4197" s="806"/>
      <c r="AZ4197" s="806"/>
      <c r="BA4197" s="806"/>
      <c r="BB4197" s="806"/>
    </row>
    <row r="4198" spans="4:54">
      <c r="D4198" s="806"/>
      <c r="F4198" s="806"/>
      <c r="W4198" s="806"/>
      <c r="AZ4198" s="806"/>
      <c r="BA4198" s="806"/>
      <c r="BB4198" s="806"/>
    </row>
    <row r="4199" spans="4:54">
      <c r="D4199" s="806"/>
      <c r="F4199" s="806"/>
      <c r="W4199" s="806"/>
      <c r="AZ4199" s="806"/>
      <c r="BA4199" s="806"/>
      <c r="BB4199" s="806"/>
    </row>
    <row r="4200" spans="4:54">
      <c r="D4200" s="806"/>
      <c r="F4200" s="806"/>
      <c r="W4200" s="806"/>
      <c r="AZ4200" s="806"/>
      <c r="BA4200" s="806"/>
      <c r="BB4200" s="806"/>
    </row>
    <row r="4201" spans="4:54">
      <c r="D4201" s="806"/>
      <c r="F4201" s="806"/>
      <c r="W4201" s="806"/>
      <c r="AZ4201" s="806"/>
      <c r="BA4201" s="806"/>
      <c r="BB4201" s="806"/>
    </row>
    <row r="4202" spans="4:54">
      <c r="D4202" s="806"/>
      <c r="F4202" s="806"/>
      <c r="W4202" s="806"/>
      <c r="AZ4202" s="806"/>
      <c r="BA4202" s="806"/>
      <c r="BB4202" s="806"/>
    </row>
    <row r="4203" spans="4:54">
      <c r="D4203" s="806"/>
      <c r="F4203" s="806"/>
      <c r="W4203" s="806"/>
      <c r="AZ4203" s="806"/>
      <c r="BA4203" s="806"/>
      <c r="BB4203" s="806"/>
    </row>
    <row r="4204" spans="4:54">
      <c r="D4204" s="806"/>
      <c r="F4204" s="806"/>
      <c r="W4204" s="806"/>
      <c r="AZ4204" s="806"/>
      <c r="BA4204" s="806"/>
      <c r="BB4204" s="806"/>
    </row>
    <row r="4206" spans="4:54">
      <c r="D4206" s="806"/>
      <c r="F4206" s="806"/>
      <c r="W4206" s="806"/>
      <c r="AZ4206" s="806"/>
      <c r="BA4206" s="806"/>
      <c r="BB4206" s="806"/>
    </row>
    <row r="4207" spans="4:54">
      <c r="D4207" s="806"/>
      <c r="F4207" s="806"/>
      <c r="W4207" s="806"/>
      <c r="AZ4207" s="806"/>
      <c r="BA4207" s="806"/>
      <c r="BB4207" s="806"/>
    </row>
    <row r="4209" spans="4:54">
      <c r="D4209" s="806"/>
      <c r="F4209" s="806"/>
      <c r="W4209" s="806"/>
      <c r="AZ4209" s="806"/>
      <c r="BA4209" s="806"/>
      <c r="BB4209" s="806"/>
    </row>
    <row r="4210" spans="4:54">
      <c r="D4210" s="806"/>
      <c r="F4210" s="806"/>
      <c r="W4210" s="806"/>
      <c r="AZ4210" s="806"/>
      <c r="BA4210" s="806"/>
      <c r="BB4210" s="806"/>
    </row>
    <row r="4211" spans="4:54">
      <c r="D4211" s="806"/>
      <c r="F4211" s="806"/>
      <c r="W4211" s="806"/>
      <c r="AZ4211" s="806"/>
      <c r="BA4211" s="806"/>
      <c r="BB4211" s="806"/>
    </row>
    <row r="4212" spans="4:54">
      <c r="D4212" s="806"/>
      <c r="F4212" s="806"/>
      <c r="W4212" s="806"/>
      <c r="AZ4212" s="806"/>
      <c r="BA4212" s="806"/>
      <c r="BB4212" s="806"/>
    </row>
    <row r="4213" spans="4:54">
      <c r="D4213" s="806"/>
      <c r="F4213" s="806"/>
      <c r="W4213" s="806"/>
      <c r="AZ4213" s="806"/>
      <c r="BA4213" s="806"/>
      <c r="BB4213" s="806"/>
    </row>
    <row r="4214" spans="4:54">
      <c r="D4214" s="806"/>
      <c r="F4214" s="806"/>
      <c r="W4214" s="806"/>
      <c r="AZ4214" s="806"/>
      <c r="BA4214" s="806"/>
      <c r="BB4214" s="806"/>
    </row>
    <row r="4215" spans="4:54">
      <c r="D4215" s="806"/>
      <c r="F4215" s="806"/>
      <c r="W4215" s="806"/>
      <c r="AZ4215" s="806"/>
      <c r="BA4215" s="806"/>
      <c r="BB4215" s="806"/>
    </row>
    <row r="4216" spans="4:54">
      <c r="D4216" s="806"/>
      <c r="F4216" s="806"/>
      <c r="W4216" s="806"/>
      <c r="AZ4216" s="806"/>
      <c r="BA4216" s="806"/>
      <c r="BB4216" s="806"/>
    </row>
    <row r="4217" spans="4:54">
      <c r="D4217" s="806"/>
      <c r="F4217" s="806"/>
      <c r="W4217" s="806"/>
      <c r="AZ4217" s="806"/>
      <c r="BA4217" s="806"/>
      <c r="BB4217" s="806"/>
    </row>
    <row r="4218" spans="4:54">
      <c r="D4218" s="806"/>
      <c r="F4218" s="806"/>
      <c r="W4218" s="806"/>
      <c r="AZ4218" s="806"/>
      <c r="BA4218" s="806"/>
      <c r="BB4218" s="806"/>
    </row>
    <row r="4219" spans="4:54">
      <c r="D4219" s="806"/>
      <c r="F4219" s="806"/>
      <c r="W4219" s="806"/>
      <c r="AZ4219" s="806"/>
      <c r="BA4219" s="806"/>
      <c r="BB4219" s="806"/>
    </row>
    <row r="4220" spans="4:54">
      <c r="D4220" s="806"/>
      <c r="F4220" s="806"/>
      <c r="W4220" s="806"/>
      <c r="AZ4220" s="806"/>
      <c r="BA4220" s="806"/>
      <c r="BB4220" s="806"/>
    </row>
    <row r="4221" spans="4:54">
      <c r="D4221" s="806"/>
      <c r="F4221" s="806"/>
      <c r="W4221" s="806"/>
      <c r="AZ4221" s="806"/>
      <c r="BA4221" s="806"/>
      <c r="BB4221" s="806"/>
    </row>
    <row r="4222" spans="4:54">
      <c r="D4222" s="806"/>
      <c r="F4222" s="806"/>
      <c r="W4222" s="806"/>
      <c r="AZ4222" s="806"/>
      <c r="BA4222" s="806"/>
      <c r="BB4222" s="806"/>
    </row>
    <row r="4223" spans="4:54">
      <c r="D4223" s="806"/>
      <c r="F4223" s="806"/>
      <c r="W4223" s="806"/>
      <c r="AZ4223" s="806"/>
      <c r="BA4223" s="806"/>
      <c r="BB4223" s="806"/>
    </row>
    <row r="4224" spans="4:54">
      <c r="D4224" s="806"/>
      <c r="F4224" s="806"/>
      <c r="W4224" s="806"/>
      <c r="AZ4224" s="806"/>
      <c r="BA4224" s="806"/>
      <c r="BB4224" s="806"/>
    </row>
    <row r="4225" spans="4:54">
      <c r="D4225" s="806"/>
      <c r="F4225" s="806"/>
      <c r="W4225" s="806"/>
      <c r="AZ4225" s="806"/>
      <c r="BA4225" s="806"/>
      <c r="BB4225" s="806"/>
    </row>
    <row r="4226" spans="4:54">
      <c r="D4226" s="806"/>
      <c r="F4226" s="806"/>
      <c r="W4226" s="806"/>
      <c r="AZ4226" s="806"/>
      <c r="BA4226" s="806"/>
      <c r="BB4226" s="806"/>
    </row>
    <row r="4227" spans="4:54">
      <c r="D4227" s="806"/>
      <c r="F4227" s="806"/>
      <c r="W4227" s="806"/>
      <c r="AZ4227" s="806"/>
      <c r="BA4227" s="806"/>
      <c r="BB4227" s="806"/>
    </row>
    <row r="4228" spans="4:54">
      <c r="D4228" s="806"/>
      <c r="F4228" s="806"/>
      <c r="W4228" s="806"/>
      <c r="AZ4228" s="806"/>
      <c r="BA4228" s="806"/>
      <c r="BB4228" s="806"/>
    </row>
    <row r="4229" spans="4:54">
      <c r="D4229" s="806"/>
      <c r="F4229" s="806"/>
      <c r="W4229" s="806"/>
      <c r="AZ4229" s="806"/>
      <c r="BA4229" s="806"/>
      <c r="BB4229" s="806"/>
    </row>
    <row r="4230" spans="4:54">
      <c r="D4230" s="806"/>
      <c r="F4230" s="806"/>
      <c r="W4230" s="806"/>
      <c r="AZ4230" s="806"/>
      <c r="BA4230" s="806"/>
      <c r="BB4230" s="806"/>
    </row>
    <row r="4231" spans="4:54">
      <c r="D4231" s="806"/>
      <c r="F4231" s="806"/>
      <c r="W4231" s="806"/>
      <c r="AZ4231" s="806"/>
      <c r="BA4231" s="806"/>
      <c r="BB4231" s="806"/>
    </row>
    <row r="4232" spans="4:54">
      <c r="D4232" s="806"/>
      <c r="F4232" s="806"/>
      <c r="W4232" s="806"/>
      <c r="AZ4232" s="806"/>
      <c r="BA4232" s="806"/>
      <c r="BB4232" s="806"/>
    </row>
    <row r="4233" spans="4:54">
      <c r="D4233" s="806"/>
      <c r="F4233" s="806"/>
      <c r="W4233" s="806"/>
      <c r="AZ4233" s="806"/>
      <c r="BA4233" s="806"/>
      <c r="BB4233" s="806"/>
    </row>
    <row r="4234" spans="4:54">
      <c r="D4234" s="806"/>
      <c r="F4234" s="806"/>
      <c r="W4234" s="806"/>
      <c r="AZ4234" s="806"/>
      <c r="BA4234" s="806"/>
      <c r="BB4234" s="806"/>
    </row>
    <row r="4235" spans="4:54">
      <c r="D4235" s="806"/>
      <c r="F4235" s="806"/>
      <c r="W4235" s="806"/>
      <c r="AZ4235" s="806"/>
      <c r="BA4235" s="806"/>
      <c r="BB4235" s="806"/>
    </row>
    <row r="4236" spans="4:54">
      <c r="D4236" s="806"/>
      <c r="F4236" s="806"/>
      <c r="W4236" s="806"/>
      <c r="AZ4236" s="806"/>
      <c r="BA4236" s="806"/>
      <c r="BB4236" s="806"/>
    </row>
    <row r="4237" spans="4:54">
      <c r="D4237" s="806"/>
      <c r="F4237" s="806"/>
      <c r="W4237" s="806"/>
      <c r="AZ4237" s="806"/>
      <c r="BA4237" s="806"/>
      <c r="BB4237" s="806"/>
    </row>
    <row r="4238" spans="4:54">
      <c r="D4238" s="806"/>
      <c r="F4238" s="806"/>
      <c r="W4238" s="806"/>
      <c r="AZ4238" s="806"/>
      <c r="BA4238" s="806"/>
      <c r="BB4238" s="806"/>
    </row>
    <row r="4239" spans="4:54">
      <c r="D4239" s="806"/>
      <c r="F4239" s="806"/>
      <c r="W4239" s="806"/>
      <c r="AZ4239" s="806"/>
      <c r="BA4239" s="806"/>
      <c r="BB4239" s="806"/>
    </row>
    <row r="4240" spans="4:54">
      <c r="D4240" s="806"/>
      <c r="F4240" s="806"/>
      <c r="W4240" s="806"/>
      <c r="AZ4240" s="806"/>
      <c r="BA4240" s="806"/>
      <c r="BB4240" s="806"/>
    </row>
    <row r="4241" spans="4:54">
      <c r="D4241" s="806"/>
      <c r="F4241" s="806"/>
      <c r="W4241" s="806"/>
      <c r="AZ4241" s="806"/>
      <c r="BA4241" s="806"/>
      <c r="BB4241" s="806"/>
    </row>
    <row r="4242" spans="4:54">
      <c r="D4242" s="806"/>
      <c r="F4242" s="806"/>
      <c r="W4242" s="806"/>
      <c r="AZ4242" s="806"/>
      <c r="BA4242" s="806"/>
      <c r="BB4242" s="806"/>
    </row>
    <row r="4243" spans="4:54">
      <c r="D4243" s="806"/>
      <c r="F4243" s="806"/>
      <c r="W4243" s="806"/>
      <c r="AZ4243" s="806"/>
      <c r="BA4243" s="806"/>
      <c r="BB4243" s="806"/>
    </row>
    <row r="4244" spans="4:54">
      <c r="D4244" s="806"/>
      <c r="F4244" s="806"/>
      <c r="W4244" s="806"/>
      <c r="AZ4244" s="806"/>
      <c r="BA4244" s="806"/>
      <c r="BB4244" s="806"/>
    </row>
    <row r="4245" spans="4:54">
      <c r="D4245" s="806"/>
      <c r="F4245" s="806"/>
      <c r="W4245" s="806"/>
      <c r="AZ4245" s="806"/>
      <c r="BA4245" s="806"/>
      <c r="BB4245" s="806"/>
    </row>
    <row r="4246" spans="4:54">
      <c r="D4246" s="806"/>
      <c r="F4246" s="806"/>
      <c r="W4246" s="806"/>
      <c r="AZ4246" s="806"/>
      <c r="BA4246" s="806"/>
      <c r="BB4246" s="806"/>
    </row>
    <row r="4247" spans="4:54">
      <c r="D4247" s="806"/>
      <c r="F4247" s="806"/>
      <c r="W4247" s="806"/>
      <c r="AZ4247" s="806"/>
      <c r="BA4247" s="806"/>
      <c r="BB4247" s="806"/>
    </row>
    <row r="4248" spans="4:54">
      <c r="D4248" s="806"/>
      <c r="F4248" s="806"/>
      <c r="W4248" s="806"/>
      <c r="AZ4248" s="806"/>
      <c r="BA4248" s="806"/>
      <c r="BB4248" s="806"/>
    </row>
    <row r="4249" spans="4:54">
      <c r="D4249" s="806"/>
      <c r="F4249" s="806"/>
      <c r="W4249" s="806"/>
      <c r="AZ4249" s="806"/>
      <c r="BA4249" s="806"/>
      <c r="BB4249" s="806"/>
    </row>
    <row r="4250" spans="4:54">
      <c r="D4250" s="806"/>
      <c r="F4250" s="806"/>
      <c r="W4250" s="806"/>
      <c r="AZ4250" s="806"/>
      <c r="BA4250" s="806"/>
      <c r="BB4250" s="806"/>
    </row>
    <row r="4251" spans="4:54">
      <c r="D4251" s="806"/>
      <c r="F4251" s="806"/>
      <c r="W4251" s="806"/>
      <c r="AZ4251" s="806"/>
      <c r="BA4251" s="806"/>
      <c r="BB4251" s="806"/>
    </row>
    <row r="4252" spans="4:54">
      <c r="D4252" s="806"/>
      <c r="F4252" s="806"/>
      <c r="W4252" s="806"/>
      <c r="AZ4252" s="806"/>
      <c r="BA4252" s="806"/>
      <c r="BB4252" s="806"/>
    </row>
    <row r="4253" spans="4:54">
      <c r="D4253" s="806"/>
      <c r="F4253" s="806"/>
      <c r="W4253" s="806"/>
      <c r="AZ4253" s="806"/>
      <c r="BA4253" s="806"/>
      <c r="BB4253" s="806"/>
    </row>
    <row r="4254" spans="4:54">
      <c r="D4254" s="806"/>
      <c r="F4254" s="806"/>
      <c r="W4254" s="806"/>
      <c r="AZ4254" s="806"/>
      <c r="BA4254" s="806"/>
      <c r="BB4254" s="806"/>
    </row>
    <row r="4255" spans="4:54">
      <c r="D4255" s="806"/>
      <c r="F4255" s="806"/>
      <c r="W4255" s="806"/>
      <c r="AZ4255" s="806"/>
      <c r="BA4255" s="806"/>
      <c r="BB4255" s="806"/>
    </row>
    <row r="4256" spans="4:54">
      <c r="D4256" s="806"/>
      <c r="F4256" s="806"/>
      <c r="W4256" s="806"/>
      <c r="AZ4256" s="806"/>
      <c r="BA4256" s="806"/>
      <c r="BB4256" s="806"/>
    </row>
    <row r="4257" spans="4:54">
      <c r="D4257" s="806"/>
      <c r="F4257" s="806"/>
      <c r="W4257" s="806"/>
      <c r="AZ4257" s="806"/>
      <c r="BA4257" s="806"/>
      <c r="BB4257" s="806"/>
    </row>
    <row r="4258" spans="4:54">
      <c r="D4258" s="806"/>
      <c r="F4258" s="806"/>
      <c r="W4258" s="806"/>
      <c r="AZ4258" s="806"/>
      <c r="BA4258" s="806"/>
      <c r="BB4258" s="806"/>
    </row>
    <row r="4259" spans="4:54">
      <c r="D4259" s="806"/>
      <c r="F4259" s="806"/>
      <c r="W4259" s="806"/>
      <c r="AZ4259" s="806"/>
      <c r="BA4259" s="806"/>
      <c r="BB4259" s="806"/>
    </row>
    <row r="4260" spans="4:54">
      <c r="D4260" s="806"/>
      <c r="F4260" s="806"/>
      <c r="W4260" s="806"/>
      <c r="AZ4260" s="806"/>
      <c r="BA4260" s="806"/>
      <c r="BB4260" s="806"/>
    </row>
    <row r="4261" spans="4:54">
      <c r="D4261" s="806"/>
      <c r="F4261" s="806"/>
      <c r="W4261" s="806"/>
      <c r="AZ4261" s="806"/>
      <c r="BA4261" s="806"/>
      <c r="BB4261" s="806"/>
    </row>
    <row r="4262" spans="4:54">
      <c r="D4262" s="806"/>
      <c r="F4262" s="806"/>
      <c r="W4262" s="806"/>
      <c r="AZ4262" s="806"/>
      <c r="BA4262" s="806"/>
      <c r="BB4262" s="806"/>
    </row>
    <row r="4263" spans="4:54">
      <c r="D4263" s="806"/>
      <c r="F4263" s="806"/>
      <c r="W4263" s="806"/>
      <c r="AZ4263" s="806"/>
      <c r="BA4263" s="806"/>
      <c r="BB4263" s="806"/>
    </row>
    <row r="4264" spans="4:54">
      <c r="D4264" s="806"/>
      <c r="F4264" s="806"/>
      <c r="W4264" s="806"/>
      <c r="AZ4264" s="806"/>
      <c r="BA4264" s="806"/>
      <c r="BB4264" s="806"/>
    </row>
    <row r="4265" spans="4:54">
      <c r="D4265" s="806"/>
      <c r="F4265" s="806"/>
      <c r="W4265" s="806"/>
      <c r="AZ4265" s="806"/>
      <c r="BA4265" s="806"/>
      <c r="BB4265" s="806"/>
    </row>
    <row r="4266" spans="4:54">
      <c r="D4266" s="806"/>
      <c r="F4266" s="806"/>
      <c r="W4266" s="806"/>
      <c r="AZ4266" s="806"/>
      <c r="BA4266" s="806"/>
      <c r="BB4266" s="806"/>
    </row>
    <row r="4267" spans="4:54">
      <c r="D4267" s="806"/>
      <c r="F4267" s="806"/>
      <c r="W4267" s="806"/>
      <c r="AZ4267" s="806"/>
      <c r="BA4267" s="806"/>
      <c r="BB4267" s="806"/>
    </row>
    <row r="4268" spans="4:54">
      <c r="D4268" s="806"/>
      <c r="F4268" s="806"/>
      <c r="W4268" s="806"/>
      <c r="AZ4268" s="806"/>
      <c r="BA4268" s="806"/>
      <c r="BB4268" s="806"/>
    </row>
    <row r="4269" spans="4:54">
      <c r="D4269" s="806"/>
      <c r="F4269" s="806"/>
      <c r="W4269" s="806"/>
      <c r="AZ4269" s="806"/>
      <c r="BA4269" s="806"/>
      <c r="BB4269" s="806"/>
    </row>
    <row r="4270" spans="4:54">
      <c r="D4270" s="806"/>
      <c r="F4270" s="806"/>
      <c r="W4270" s="806"/>
      <c r="AZ4270" s="806"/>
      <c r="BA4270" s="806"/>
      <c r="BB4270" s="806"/>
    </row>
    <row r="4271" spans="4:54">
      <c r="D4271" s="806"/>
      <c r="F4271" s="806"/>
      <c r="W4271" s="806"/>
      <c r="AZ4271" s="806"/>
      <c r="BA4271" s="806"/>
      <c r="BB4271" s="806"/>
    </row>
    <row r="4272" spans="4:54">
      <c r="D4272" s="806"/>
      <c r="F4272" s="806"/>
      <c r="W4272" s="806"/>
      <c r="AZ4272" s="806"/>
      <c r="BA4272" s="806"/>
      <c r="BB4272" s="806"/>
    </row>
    <row r="4273" spans="4:54">
      <c r="D4273" s="806"/>
      <c r="F4273" s="806"/>
      <c r="W4273" s="806"/>
      <c r="AZ4273" s="806"/>
      <c r="BA4273" s="806"/>
      <c r="BB4273" s="806"/>
    </row>
    <row r="4274" spans="4:54">
      <c r="D4274" s="806"/>
      <c r="F4274" s="806"/>
      <c r="W4274" s="806"/>
      <c r="AZ4274" s="806"/>
      <c r="BA4274" s="806"/>
      <c r="BB4274" s="806"/>
    </row>
    <row r="4275" spans="4:54">
      <c r="D4275" s="806"/>
      <c r="F4275" s="806"/>
      <c r="W4275" s="806"/>
      <c r="AZ4275" s="806"/>
      <c r="BA4275" s="806"/>
      <c r="BB4275" s="806"/>
    </row>
    <row r="4276" spans="4:54">
      <c r="D4276" s="806"/>
      <c r="F4276" s="806"/>
      <c r="W4276" s="806"/>
      <c r="AZ4276" s="806"/>
      <c r="BA4276" s="806"/>
      <c r="BB4276" s="806"/>
    </row>
    <row r="4277" spans="4:54">
      <c r="D4277" s="806"/>
      <c r="F4277" s="806"/>
      <c r="W4277" s="806"/>
      <c r="AZ4277" s="806"/>
      <c r="BA4277" s="806"/>
      <c r="BB4277" s="806"/>
    </row>
    <row r="4278" spans="4:54">
      <c r="D4278" s="806"/>
      <c r="F4278" s="806"/>
      <c r="W4278" s="806"/>
      <c r="AZ4278" s="806"/>
      <c r="BA4278" s="806"/>
      <c r="BB4278" s="806"/>
    </row>
    <row r="4279" spans="4:54">
      <c r="D4279" s="806"/>
      <c r="F4279" s="806"/>
      <c r="W4279" s="806"/>
      <c r="AZ4279" s="806"/>
      <c r="BA4279" s="806"/>
      <c r="BB4279" s="806"/>
    </row>
    <row r="4280" spans="4:54">
      <c r="D4280" s="806"/>
      <c r="F4280" s="806"/>
      <c r="W4280" s="806"/>
      <c r="AZ4280" s="806"/>
      <c r="BA4280" s="806"/>
      <c r="BB4280" s="806"/>
    </row>
    <row r="4281" spans="4:54">
      <c r="D4281" s="806"/>
      <c r="F4281" s="806"/>
      <c r="W4281" s="806"/>
      <c r="AZ4281" s="806"/>
      <c r="BA4281" s="806"/>
      <c r="BB4281" s="806"/>
    </row>
    <row r="4282" spans="4:54">
      <c r="D4282" s="806"/>
      <c r="F4282" s="806"/>
      <c r="W4282" s="806"/>
      <c r="AZ4282" s="806"/>
      <c r="BA4282" s="806"/>
      <c r="BB4282" s="806"/>
    </row>
    <row r="4283" spans="4:54">
      <c r="D4283" s="806"/>
      <c r="F4283" s="806"/>
      <c r="W4283" s="806"/>
      <c r="AZ4283" s="806"/>
      <c r="BA4283" s="806"/>
      <c r="BB4283" s="806"/>
    </row>
    <row r="4284" spans="4:54">
      <c r="D4284" s="806"/>
      <c r="F4284" s="806"/>
      <c r="W4284" s="806"/>
      <c r="AZ4284" s="806"/>
      <c r="BA4284" s="806"/>
      <c r="BB4284" s="806"/>
    </row>
    <row r="4285" spans="4:54">
      <c r="D4285" s="806"/>
      <c r="F4285" s="806"/>
      <c r="W4285" s="806"/>
      <c r="AZ4285" s="806"/>
      <c r="BA4285" s="806"/>
      <c r="BB4285" s="806"/>
    </row>
    <row r="4286" spans="4:54">
      <c r="D4286" s="806"/>
      <c r="F4286" s="806"/>
      <c r="W4286" s="806"/>
      <c r="AZ4286" s="806"/>
      <c r="BA4286" s="806"/>
      <c r="BB4286" s="806"/>
    </row>
    <row r="4287" spans="4:54">
      <c r="D4287" s="806"/>
      <c r="F4287" s="806"/>
      <c r="W4287" s="806"/>
      <c r="AZ4287" s="806"/>
      <c r="BA4287" s="806"/>
      <c r="BB4287" s="806"/>
    </row>
    <row r="4288" spans="4:54">
      <c r="D4288" s="806"/>
      <c r="F4288" s="806"/>
      <c r="W4288" s="806"/>
      <c r="AZ4288" s="806"/>
      <c r="BA4288" s="806"/>
      <c r="BB4288" s="806"/>
    </row>
    <row r="4289" spans="4:54">
      <c r="D4289" s="806"/>
      <c r="F4289" s="806"/>
      <c r="W4289" s="806"/>
      <c r="AZ4289" s="806"/>
      <c r="BA4289" s="806"/>
      <c r="BB4289" s="806"/>
    </row>
    <row r="4290" spans="4:54">
      <c r="D4290" s="806"/>
      <c r="F4290" s="806"/>
      <c r="W4290" s="806"/>
      <c r="AZ4290" s="806"/>
      <c r="BA4290" s="806"/>
      <c r="BB4290" s="806"/>
    </row>
    <row r="4291" spans="4:54">
      <c r="D4291" s="806"/>
      <c r="F4291" s="806"/>
      <c r="W4291" s="806"/>
      <c r="AZ4291" s="806"/>
      <c r="BA4291" s="806"/>
      <c r="BB4291" s="806"/>
    </row>
    <row r="4292" spans="4:54">
      <c r="D4292" s="806"/>
      <c r="F4292" s="806"/>
      <c r="W4292" s="806"/>
      <c r="AZ4292" s="806"/>
      <c r="BA4292" s="806"/>
      <c r="BB4292" s="806"/>
    </row>
    <row r="4293" spans="4:54">
      <c r="D4293" s="806"/>
      <c r="F4293" s="806"/>
      <c r="W4293" s="806"/>
      <c r="AZ4293" s="806"/>
      <c r="BA4293" s="806"/>
      <c r="BB4293" s="806"/>
    </row>
    <row r="4294" spans="4:54">
      <c r="D4294" s="806"/>
      <c r="F4294" s="806"/>
      <c r="W4294" s="806"/>
      <c r="AZ4294" s="806"/>
      <c r="BA4294" s="806"/>
      <c r="BB4294" s="806"/>
    </row>
    <row r="4295" spans="4:54">
      <c r="D4295" s="806"/>
      <c r="F4295" s="806"/>
      <c r="W4295" s="806"/>
      <c r="AZ4295" s="806"/>
      <c r="BA4295" s="806"/>
      <c r="BB4295" s="806"/>
    </row>
    <row r="4296" spans="4:54">
      <c r="D4296" s="806"/>
      <c r="F4296" s="806"/>
      <c r="W4296" s="806"/>
      <c r="AZ4296" s="806"/>
      <c r="BA4296" s="806"/>
      <c r="BB4296" s="806"/>
    </row>
    <row r="4297" spans="4:54">
      <c r="D4297" s="806"/>
      <c r="F4297" s="806"/>
      <c r="W4297" s="806"/>
      <c r="AZ4297" s="806"/>
      <c r="BA4297" s="806"/>
      <c r="BB4297" s="806"/>
    </row>
    <row r="4298" spans="4:54">
      <c r="D4298" s="806"/>
      <c r="F4298" s="806"/>
      <c r="W4298" s="806"/>
      <c r="AZ4298" s="806"/>
      <c r="BA4298" s="806"/>
      <c r="BB4298" s="806"/>
    </row>
    <row r="4299" spans="4:54">
      <c r="D4299" s="806"/>
      <c r="F4299" s="806"/>
      <c r="W4299" s="806"/>
      <c r="AZ4299" s="806"/>
      <c r="BA4299" s="806"/>
      <c r="BB4299" s="806"/>
    </row>
    <row r="4300" spans="4:54">
      <c r="D4300" s="806"/>
      <c r="F4300" s="806"/>
      <c r="W4300" s="806"/>
      <c r="AZ4300" s="806"/>
      <c r="BA4300" s="806"/>
      <c r="BB4300" s="806"/>
    </row>
    <row r="4301" spans="4:54">
      <c r="D4301" s="806"/>
      <c r="F4301" s="806"/>
      <c r="W4301" s="806"/>
      <c r="AZ4301" s="806"/>
      <c r="BA4301" s="806"/>
      <c r="BB4301" s="806"/>
    </row>
    <row r="4302" spans="4:54">
      <c r="D4302" s="806"/>
      <c r="F4302" s="806"/>
      <c r="W4302" s="806"/>
      <c r="AZ4302" s="806"/>
      <c r="BA4302" s="806"/>
      <c r="BB4302" s="806"/>
    </row>
    <row r="4303" spans="4:54">
      <c r="D4303" s="806"/>
      <c r="F4303" s="806"/>
      <c r="W4303" s="806"/>
      <c r="AZ4303" s="806"/>
      <c r="BA4303" s="806"/>
      <c r="BB4303" s="806"/>
    </row>
    <row r="4304" spans="4:54">
      <c r="D4304" s="806"/>
      <c r="F4304" s="806"/>
      <c r="W4304" s="806"/>
      <c r="AZ4304" s="806"/>
      <c r="BA4304" s="806"/>
      <c r="BB4304" s="806"/>
    </row>
    <row r="4305" spans="4:54">
      <c r="D4305" s="806"/>
      <c r="F4305" s="806"/>
      <c r="W4305" s="806"/>
      <c r="AZ4305" s="806"/>
      <c r="BA4305" s="806"/>
      <c r="BB4305" s="806"/>
    </row>
    <row r="4306" spans="4:54">
      <c r="D4306" s="806"/>
      <c r="F4306" s="806"/>
      <c r="W4306" s="806"/>
      <c r="AZ4306" s="806"/>
      <c r="BA4306" s="806"/>
      <c r="BB4306" s="806"/>
    </row>
    <row r="4307" spans="4:54">
      <c r="D4307" s="806"/>
      <c r="F4307" s="806"/>
      <c r="W4307" s="806"/>
      <c r="AZ4307" s="806"/>
      <c r="BA4307" s="806"/>
      <c r="BB4307" s="806"/>
    </row>
    <row r="4308" spans="4:54">
      <c r="D4308" s="806"/>
      <c r="F4308" s="806"/>
      <c r="W4308" s="806"/>
      <c r="AZ4308" s="806"/>
      <c r="BA4308" s="806"/>
      <c r="BB4308" s="806"/>
    </row>
    <row r="4309" spans="4:54">
      <c r="D4309" s="806"/>
      <c r="F4309" s="806"/>
      <c r="W4309" s="806"/>
      <c r="AZ4309" s="806"/>
      <c r="BA4309" s="806"/>
      <c r="BB4309" s="806"/>
    </row>
    <row r="4310" spans="4:54">
      <c r="D4310" s="806"/>
      <c r="F4310" s="806"/>
      <c r="W4310" s="806"/>
      <c r="AZ4310" s="806"/>
      <c r="BA4310" s="806"/>
      <c r="BB4310" s="806"/>
    </row>
    <row r="4311" spans="4:54">
      <c r="D4311" s="806"/>
      <c r="F4311" s="806"/>
      <c r="W4311" s="806"/>
      <c r="AZ4311" s="806"/>
      <c r="BA4311" s="806"/>
      <c r="BB4311" s="806"/>
    </row>
    <row r="4312" spans="4:54">
      <c r="D4312" s="806"/>
      <c r="F4312" s="806"/>
      <c r="W4312" s="806"/>
      <c r="AZ4312" s="806"/>
      <c r="BA4312" s="806"/>
      <c r="BB4312" s="806"/>
    </row>
    <row r="4313" spans="4:54">
      <c r="D4313" s="806"/>
      <c r="F4313" s="806"/>
      <c r="W4313" s="806"/>
      <c r="AZ4313" s="806"/>
      <c r="BA4313" s="806"/>
      <c r="BB4313" s="806"/>
    </row>
    <row r="4314" spans="4:54">
      <c r="D4314" s="806"/>
      <c r="F4314" s="806"/>
      <c r="W4314" s="806"/>
      <c r="AZ4314" s="806"/>
      <c r="BA4314" s="806"/>
      <c r="BB4314" s="806"/>
    </row>
    <row r="4315" spans="4:54">
      <c r="D4315" s="806"/>
      <c r="F4315" s="806"/>
      <c r="W4315" s="806"/>
      <c r="AZ4315" s="806"/>
      <c r="BA4315" s="806"/>
      <c r="BB4315" s="806"/>
    </row>
    <row r="4316" spans="4:54">
      <c r="D4316" s="806"/>
      <c r="F4316" s="806"/>
      <c r="W4316" s="806"/>
      <c r="AZ4316" s="806"/>
      <c r="BA4316" s="806"/>
      <c r="BB4316" s="806"/>
    </row>
    <row r="4317" spans="4:54">
      <c r="D4317" s="806"/>
      <c r="F4317" s="806"/>
      <c r="W4317" s="806"/>
      <c r="AZ4317" s="806"/>
      <c r="BA4317" s="806"/>
      <c r="BB4317" s="806"/>
    </row>
    <row r="4318" spans="4:54">
      <c r="D4318" s="806"/>
      <c r="F4318" s="806"/>
      <c r="W4318" s="806"/>
      <c r="AZ4318" s="806"/>
      <c r="BA4318" s="806"/>
      <c r="BB4318" s="806"/>
    </row>
    <row r="4319" spans="4:54">
      <c r="D4319" s="806"/>
      <c r="F4319" s="806"/>
      <c r="W4319" s="806"/>
      <c r="AZ4319" s="806"/>
      <c r="BA4319" s="806"/>
      <c r="BB4319" s="806"/>
    </row>
    <row r="4320" spans="4:54">
      <c r="D4320" s="806"/>
      <c r="F4320" s="806"/>
      <c r="W4320" s="806"/>
      <c r="AZ4320" s="806"/>
      <c r="BA4320" s="806"/>
      <c r="BB4320" s="806"/>
    </row>
    <row r="4321" spans="4:54">
      <c r="D4321" s="806"/>
      <c r="F4321" s="806"/>
      <c r="W4321" s="806"/>
      <c r="AZ4321" s="806"/>
      <c r="BA4321" s="806"/>
      <c r="BB4321" s="806"/>
    </row>
    <row r="4322" spans="4:54">
      <c r="D4322" s="806"/>
      <c r="F4322" s="806"/>
      <c r="W4322" s="806"/>
      <c r="AZ4322" s="806"/>
      <c r="BA4322" s="806"/>
      <c r="BB4322" s="806"/>
    </row>
    <row r="4323" spans="4:54">
      <c r="D4323" s="806"/>
      <c r="F4323" s="806"/>
      <c r="W4323" s="806"/>
      <c r="AZ4323" s="806"/>
      <c r="BA4323" s="806"/>
      <c r="BB4323" s="806"/>
    </row>
    <row r="4324" spans="4:54">
      <c r="D4324" s="806"/>
      <c r="F4324" s="806"/>
      <c r="W4324" s="806"/>
      <c r="AZ4324" s="806"/>
      <c r="BA4324" s="806"/>
      <c r="BB4324" s="806"/>
    </row>
    <row r="4325" spans="4:54">
      <c r="D4325" s="806"/>
      <c r="F4325" s="806"/>
      <c r="W4325" s="806"/>
      <c r="AZ4325" s="806"/>
      <c r="BA4325" s="806"/>
      <c r="BB4325" s="806"/>
    </row>
    <row r="4326" spans="4:54">
      <c r="D4326" s="806"/>
      <c r="F4326" s="806"/>
      <c r="W4326" s="806"/>
      <c r="AZ4326" s="806"/>
      <c r="BA4326" s="806"/>
      <c r="BB4326" s="806"/>
    </row>
    <row r="4327" spans="4:54">
      <c r="D4327" s="806"/>
      <c r="F4327" s="806"/>
      <c r="W4327" s="806"/>
      <c r="AZ4327" s="806"/>
      <c r="BA4327" s="806"/>
      <c r="BB4327" s="806"/>
    </row>
    <row r="4328" spans="4:54">
      <c r="D4328" s="806"/>
      <c r="F4328" s="806"/>
      <c r="W4328" s="806"/>
      <c r="AZ4328" s="806"/>
      <c r="BA4328" s="806"/>
      <c r="BB4328" s="806"/>
    </row>
    <row r="4329" spans="4:54">
      <c r="D4329" s="806"/>
      <c r="F4329" s="806"/>
      <c r="W4329" s="806"/>
      <c r="AZ4329" s="806"/>
      <c r="BA4329" s="806"/>
      <c r="BB4329" s="806"/>
    </row>
    <row r="4330" spans="4:54">
      <c r="D4330" s="806"/>
      <c r="F4330" s="806"/>
      <c r="W4330" s="806"/>
      <c r="AZ4330" s="806"/>
      <c r="BA4330" s="806"/>
      <c r="BB4330" s="806"/>
    </row>
    <row r="4331" spans="4:54">
      <c r="D4331" s="806"/>
      <c r="F4331" s="806"/>
      <c r="W4331" s="806"/>
      <c r="AZ4331" s="806"/>
      <c r="BA4331" s="806"/>
      <c r="BB4331" s="806"/>
    </row>
    <row r="4332" spans="4:54">
      <c r="D4332" s="806"/>
      <c r="F4332" s="806"/>
      <c r="W4332" s="806"/>
      <c r="AZ4332" s="806"/>
      <c r="BA4332" s="806"/>
      <c r="BB4332" s="806"/>
    </row>
    <row r="4333" spans="4:54">
      <c r="D4333" s="806"/>
      <c r="F4333" s="806"/>
      <c r="W4333" s="806"/>
      <c r="AZ4333" s="806"/>
      <c r="BA4333" s="806"/>
      <c r="BB4333" s="806"/>
    </row>
    <row r="4334" spans="4:54">
      <c r="D4334" s="806"/>
      <c r="F4334" s="806"/>
      <c r="W4334" s="806"/>
      <c r="AZ4334" s="806"/>
      <c r="BA4334" s="806"/>
      <c r="BB4334" s="806"/>
    </row>
    <row r="4335" spans="4:54">
      <c r="D4335" s="806"/>
      <c r="F4335" s="806"/>
      <c r="W4335" s="806"/>
      <c r="AZ4335" s="806"/>
      <c r="BA4335" s="806"/>
      <c r="BB4335" s="806"/>
    </row>
    <row r="4336" spans="4:54">
      <c r="D4336" s="806"/>
      <c r="F4336" s="806"/>
      <c r="W4336" s="806"/>
      <c r="AZ4336" s="806"/>
      <c r="BA4336" s="806"/>
      <c r="BB4336" s="806"/>
    </row>
    <row r="4337" spans="4:54">
      <c r="D4337" s="806"/>
      <c r="F4337" s="806"/>
      <c r="W4337" s="806"/>
      <c r="AZ4337" s="806"/>
      <c r="BA4337" s="806"/>
      <c r="BB4337" s="806"/>
    </row>
    <row r="4338" spans="4:54">
      <c r="D4338" s="806"/>
      <c r="F4338" s="806"/>
      <c r="W4338" s="806"/>
      <c r="AZ4338" s="806"/>
      <c r="BA4338" s="806"/>
      <c r="BB4338" s="806"/>
    </row>
    <row r="4339" spans="4:54">
      <c r="D4339" s="806"/>
      <c r="F4339" s="806"/>
      <c r="W4339" s="806"/>
      <c r="AZ4339" s="806"/>
      <c r="BA4339" s="806"/>
      <c r="BB4339" s="806"/>
    </row>
    <row r="4340" spans="4:54">
      <c r="D4340" s="806"/>
      <c r="F4340" s="806"/>
      <c r="W4340" s="806"/>
      <c r="AZ4340" s="806"/>
      <c r="BA4340" s="806"/>
      <c r="BB4340" s="806"/>
    </row>
    <row r="4341" spans="4:54">
      <c r="D4341" s="806"/>
      <c r="F4341" s="806"/>
      <c r="W4341" s="806"/>
      <c r="AZ4341" s="806"/>
      <c r="BA4341" s="806"/>
      <c r="BB4341" s="806"/>
    </row>
    <row r="4342" spans="4:54">
      <c r="D4342" s="806"/>
      <c r="F4342" s="806"/>
      <c r="W4342" s="806"/>
      <c r="AZ4342" s="806"/>
      <c r="BA4342" s="806"/>
      <c r="BB4342" s="806"/>
    </row>
    <row r="4343" spans="4:54">
      <c r="D4343" s="806"/>
      <c r="F4343" s="806"/>
      <c r="W4343" s="806"/>
      <c r="AZ4343" s="806"/>
      <c r="BA4343" s="806"/>
      <c r="BB4343" s="806"/>
    </row>
    <row r="4344" spans="4:54">
      <c r="D4344" s="806"/>
      <c r="F4344" s="806"/>
      <c r="W4344" s="806"/>
      <c r="AZ4344" s="806"/>
      <c r="BA4344" s="806"/>
      <c r="BB4344" s="806"/>
    </row>
    <row r="4345" spans="4:54">
      <c r="D4345" s="806"/>
      <c r="F4345" s="806"/>
      <c r="W4345" s="806"/>
      <c r="AZ4345" s="806"/>
      <c r="BA4345" s="806"/>
      <c r="BB4345" s="806"/>
    </row>
    <row r="4346" spans="4:54">
      <c r="D4346" s="806"/>
      <c r="F4346" s="806"/>
      <c r="W4346" s="806"/>
      <c r="AZ4346" s="806"/>
      <c r="BA4346" s="806"/>
      <c r="BB4346" s="806"/>
    </row>
    <row r="4347" spans="4:54">
      <c r="D4347" s="806"/>
      <c r="F4347" s="806"/>
      <c r="W4347" s="806"/>
      <c r="AZ4347" s="806"/>
      <c r="BA4347" s="806"/>
      <c r="BB4347" s="806"/>
    </row>
    <row r="4348" spans="4:54">
      <c r="D4348" s="806"/>
      <c r="F4348" s="806"/>
      <c r="W4348" s="806"/>
      <c r="AZ4348" s="806"/>
      <c r="BA4348" s="806"/>
      <c r="BB4348" s="806"/>
    </row>
    <row r="4349" spans="4:54">
      <c r="D4349" s="806"/>
      <c r="F4349" s="806"/>
      <c r="W4349" s="806"/>
      <c r="AZ4349" s="806"/>
      <c r="BA4349" s="806"/>
      <c r="BB4349" s="806"/>
    </row>
    <row r="4350" spans="4:54">
      <c r="D4350" s="806"/>
      <c r="F4350" s="806"/>
      <c r="W4350" s="806"/>
      <c r="AZ4350" s="806"/>
      <c r="BA4350" s="806"/>
      <c r="BB4350" s="806"/>
    </row>
    <row r="4351" spans="4:54">
      <c r="D4351" s="806"/>
      <c r="F4351" s="806"/>
      <c r="W4351" s="806"/>
      <c r="AZ4351" s="806"/>
      <c r="BA4351" s="806"/>
      <c r="BB4351" s="806"/>
    </row>
    <row r="4352" spans="4:54">
      <c r="D4352" s="806"/>
      <c r="F4352" s="806"/>
      <c r="W4352" s="806"/>
      <c r="AZ4352" s="806"/>
      <c r="BA4352" s="806"/>
      <c r="BB4352" s="806"/>
    </row>
    <row r="4353" spans="4:54">
      <c r="D4353" s="806"/>
      <c r="F4353" s="806"/>
      <c r="W4353" s="806"/>
      <c r="AZ4353" s="806"/>
      <c r="BA4353" s="806"/>
      <c r="BB4353" s="806"/>
    </row>
    <row r="4354" spans="4:54">
      <c r="D4354" s="806"/>
      <c r="F4354" s="806"/>
      <c r="W4354" s="806"/>
      <c r="AZ4354" s="806"/>
      <c r="BA4354" s="806"/>
      <c r="BB4354" s="806"/>
    </row>
    <row r="4355" spans="4:54">
      <c r="D4355" s="806"/>
      <c r="F4355" s="806"/>
      <c r="W4355" s="806"/>
      <c r="AZ4355" s="806"/>
      <c r="BA4355" s="806"/>
      <c r="BB4355" s="806"/>
    </row>
    <row r="4356" spans="4:54">
      <c r="D4356" s="806"/>
      <c r="F4356" s="806"/>
      <c r="W4356" s="806"/>
      <c r="AZ4356" s="806"/>
      <c r="BA4356" s="806"/>
      <c r="BB4356" s="806"/>
    </row>
    <row r="4357" spans="4:54">
      <c r="D4357" s="806"/>
      <c r="F4357" s="806"/>
      <c r="W4357" s="806"/>
      <c r="AZ4357" s="806"/>
      <c r="BA4357" s="806"/>
      <c r="BB4357" s="806"/>
    </row>
    <row r="4358" spans="4:54">
      <c r="D4358" s="806"/>
      <c r="F4358" s="806"/>
      <c r="W4358" s="806"/>
      <c r="AZ4358" s="806"/>
      <c r="BA4358" s="806"/>
      <c r="BB4358" s="806"/>
    </row>
    <row r="4359" spans="4:54">
      <c r="D4359" s="806"/>
      <c r="F4359" s="806"/>
      <c r="W4359" s="806"/>
      <c r="AZ4359" s="806"/>
      <c r="BA4359" s="806"/>
      <c r="BB4359" s="806"/>
    </row>
    <row r="4360" spans="4:54">
      <c r="D4360" s="806"/>
      <c r="F4360" s="806"/>
      <c r="W4360" s="806"/>
      <c r="AZ4360" s="806"/>
      <c r="BA4360" s="806"/>
      <c r="BB4360" s="806"/>
    </row>
    <row r="4361" spans="4:54">
      <c r="D4361" s="806"/>
      <c r="F4361" s="806"/>
      <c r="W4361" s="806"/>
      <c r="AZ4361" s="806"/>
      <c r="BA4361" s="806"/>
      <c r="BB4361" s="806"/>
    </row>
    <row r="4362" spans="4:54">
      <c r="D4362" s="806"/>
      <c r="F4362" s="806"/>
      <c r="W4362" s="806"/>
      <c r="AZ4362" s="806"/>
      <c r="BA4362" s="806"/>
      <c r="BB4362" s="806"/>
    </row>
    <row r="4363" spans="4:54">
      <c r="D4363" s="806"/>
      <c r="F4363" s="806"/>
      <c r="W4363" s="806"/>
      <c r="AZ4363" s="806"/>
      <c r="BA4363" s="806"/>
      <c r="BB4363" s="806"/>
    </row>
    <row r="4364" spans="4:54">
      <c r="D4364" s="806"/>
      <c r="F4364" s="806"/>
      <c r="W4364" s="806"/>
      <c r="AZ4364" s="806"/>
      <c r="BA4364" s="806"/>
      <c r="BB4364" s="806"/>
    </row>
    <row r="4365" spans="4:54">
      <c r="D4365" s="806"/>
      <c r="F4365" s="806"/>
      <c r="W4365" s="806"/>
      <c r="AZ4365" s="806"/>
      <c r="BA4365" s="806"/>
      <c r="BB4365" s="806"/>
    </row>
    <row r="4366" spans="4:54">
      <c r="D4366" s="806"/>
      <c r="F4366" s="806"/>
      <c r="W4366" s="806"/>
      <c r="AZ4366" s="806"/>
      <c r="BA4366" s="806"/>
      <c r="BB4366" s="806"/>
    </row>
    <row r="4367" spans="4:54">
      <c r="D4367" s="806"/>
      <c r="F4367" s="806"/>
      <c r="W4367" s="806"/>
      <c r="AZ4367" s="806"/>
      <c r="BA4367" s="806"/>
      <c r="BB4367" s="806"/>
    </row>
    <row r="4368" spans="4:54">
      <c r="D4368" s="806"/>
      <c r="F4368" s="806"/>
      <c r="W4368" s="806"/>
      <c r="AZ4368" s="806"/>
      <c r="BA4368" s="806"/>
      <c r="BB4368" s="806"/>
    </row>
    <row r="4369" spans="4:54">
      <c r="D4369" s="806"/>
      <c r="F4369" s="806"/>
      <c r="W4369" s="806"/>
      <c r="AZ4369" s="806"/>
      <c r="BA4369" s="806"/>
      <c r="BB4369" s="806"/>
    </row>
    <row r="4370" spans="4:54">
      <c r="D4370" s="806"/>
      <c r="F4370" s="806"/>
      <c r="W4370" s="806"/>
      <c r="AZ4370" s="806"/>
      <c r="BA4370" s="806"/>
      <c r="BB4370" s="806"/>
    </row>
    <row r="4371" spans="4:54">
      <c r="D4371" s="806"/>
      <c r="F4371" s="806"/>
      <c r="W4371" s="806"/>
      <c r="AZ4371" s="806"/>
      <c r="BA4371" s="806"/>
      <c r="BB4371" s="806"/>
    </row>
    <row r="4372" spans="4:54">
      <c r="D4372" s="806"/>
      <c r="F4372" s="806"/>
      <c r="W4372" s="806"/>
      <c r="AZ4372" s="806"/>
      <c r="BA4372" s="806"/>
      <c r="BB4372" s="806"/>
    </row>
    <row r="4373" spans="4:54">
      <c r="D4373" s="806"/>
      <c r="F4373" s="806"/>
      <c r="W4373" s="806"/>
      <c r="AZ4373" s="806"/>
      <c r="BA4373" s="806"/>
      <c r="BB4373" s="806"/>
    </row>
    <row r="4374" spans="4:54">
      <c r="D4374" s="806"/>
      <c r="F4374" s="806"/>
      <c r="W4374" s="806"/>
      <c r="AZ4374" s="806"/>
      <c r="BA4374" s="806"/>
      <c r="BB4374" s="806"/>
    </row>
    <row r="4375" spans="4:54">
      <c r="D4375" s="806"/>
      <c r="F4375" s="806"/>
      <c r="W4375" s="806"/>
      <c r="AZ4375" s="806"/>
      <c r="BA4375" s="806"/>
      <c r="BB4375" s="806"/>
    </row>
    <row r="4376" spans="4:54">
      <c r="D4376" s="806"/>
      <c r="F4376" s="806"/>
      <c r="W4376" s="806"/>
      <c r="AZ4376" s="806"/>
      <c r="BA4376" s="806"/>
      <c r="BB4376" s="806"/>
    </row>
    <row r="4377" spans="4:54">
      <c r="D4377" s="806"/>
      <c r="F4377" s="806"/>
      <c r="W4377" s="806"/>
      <c r="AZ4377" s="806"/>
      <c r="BA4377" s="806"/>
      <c r="BB4377" s="806"/>
    </row>
    <row r="4378" spans="4:54">
      <c r="D4378" s="806"/>
      <c r="F4378" s="806"/>
      <c r="W4378" s="806"/>
      <c r="AZ4378" s="806"/>
      <c r="BA4378" s="806"/>
      <c r="BB4378" s="806"/>
    </row>
    <row r="4379" spans="4:54">
      <c r="D4379" s="806"/>
      <c r="F4379" s="806"/>
      <c r="W4379" s="806"/>
      <c r="AZ4379" s="806"/>
      <c r="BA4379" s="806"/>
      <c r="BB4379" s="806"/>
    </row>
    <row r="4380" spans="4:54">
      <c r="D4380" s="806"/>
      <c r="F4380" s="806"/>
      <c r="W4380" s="806"/>
      <c r="AZ4380" s="806"/>
      <c r="BA4380" s="806"/>
      <c r="BB4380" s="806"/>
    </row>
    <row r="4381" spans="4:54">
      <c r="D4381" s="806"/>
      <c r="F4381" s="806"/>
      <c r="W4381" s="806"/>
      <c r="AZ4381" s="806"/>
      <c r="BA4381" s="806"/>
      <c r="BB4381" s="806"/>
    </row>
    <row r="4382" spans="4:54">
      <c r="D4382" s="806"/>
      <c r="F4382" s="806"/>
      <c r="W4382" s="806"/>
      <c r="AZ4382" s="806"/>
      <c r="BA4382" s="806"/>
      <c r="BB4382" s="806"/>
    </row>
    <row r="4383" spans="4:54">
      <c r="D4383" s="806"/>
      <c r="F4383" s="806"/>
      <c r="W4383" s="806"/>
      <c r="AZ4383" s="806"/>
      <c r="BA4383" s="806"/>
      <c r="BB4383" s="806"/>
    </row>
    <row r="4384" spans="4:54">
      <c r="D4384" s="806"/>
      <c r="F4384" s="806"/>
      <c r="W4384" s="806"/>
      <c r="AZ4384" s="806"/>
      <c r="BA4384" s="806"/>
      <c r="BB4384" s="806"/>
    </row>
    <row r="4385" spans="4:54">
      <c r="D4385" s="806"/>
      <c r="F4385" s="806"/>
      <c r="W4385" s="806"/>
      <c r="AZ4385" s="806"/>
      <c r="BA4385" s="806"/>
      <c r="BB4385" s="806"/>
    </row>
    <row r="4386" spans="4:54">
      <c r="D4386" s="806"/>
      <c r="F4386" s="806"/>
      <c r="W4386" s="806"/>
      <c r="AZ4386" s="806"/>
      <c r="BA4386" s="806"/>
      <c r="BB4386" s="806"/>
    </row>
    <row r="4387" spans="4:54">
      <c r="D4387" s="806"/>
      <c r="F4387" s="806"/>
      <c r="W4387" s="806"/>
      <c r="AZ4387" s="806"/>
      <c r="BA4387" s="806"/>
      <c r="BB4387" s="806"/>
    </row>
    <row r="4388" spans="4:54">
      <c r="D4388" s="806"/>
      <c r="F4388" s="806"/>
      <c r="W4388" s="806"/>
      <c r="AZ4388" s="806"/>
      <c r="BA4388" s="806"/>
      <c r="BB4388" s="806"/>
    </row>
    <row r="4389" spans="4:54">
      <c r="D4389" s="806"/>
      <c r="F4389" s="806"/>
      <c r="W4389" s="806"/>
      <c r="AZ4389" s="806"/>
      <c r="BA4389" s="806"/>
      <c r="BB4389" s="806"/>
    </row>
    <row r="4390" spans="4:54">
      <c r="D4390" s="806"/>
      <c r="F4390" s="806"/>
      <c r="W4390" s="806"/>
      <c r="AZ4390" s="806"/>
      <c r="BA4390" s="806"/>
      <c r="BB4390" s="806"/>
    </row>
    <row r="4391" spans="4:54">
      <c r="D4391" s="806"/>
      <c r="F4391" s="806"/>
      <c r="W4391" s="806"/>
      <c r="AZ4391" s="806"/>
      <c r="BA4391" s="806"/>
      <c r="BB4391" s="806"/>
    </row>
    <row r="4392" spans="4:54">
      <c r="D4392" s="806"/>
      <c r="F4392" s="806"/>
      <c r="W4392" s="806"/>
      <c r="AZ4392" s="806"/>
      <c r="BA4392" s="806"/>
      <c r="BB4392" s="806"/>
    </row>
    <row r="4393" spans="4:54">
      <c r="D4393" s="806"/>
      <c r="F4393" s="806"/>
      <c r="W4393" s="806"/>
      <c r="AZ4393" s="806"/>
      <c r="BA4393" s="806"/>
      <c r="BB4393" s="806"/>
    </row>
    <row r="4394" spans="4:54">
      <c r="D4394" s="806"/>
      <c r="F4394" s="806"/>
      <c r="W4394" s="806"/>
      <c r="AZ4394" s="806"/>
      <c r="BA4394" s="806"/>
      <c r="BB4394" s="806"/>
    </row>
    <row r="4395" spans="4:54">
      <c r="D4395" s="806"/>
      <c r="F4395" s="806"/>
      <c r="W4395" s="806"/>
      <c r="AZ4395" s="806"/>
      <c r="BA4395" s="806"/>
      <c r="BB4395" s="806"/>
    </row>
    <row r="4396" spans="4:54">
      <c r="D4396" s="806"/>
      <c r="F4396" s="806"/>
      <c r="W4396" s="806"/>
      <c r="AZ4396" s="806"/>
      <c r="BA4396" s="806"/>
      <c r="BB4396" s="806"/>
    </row>
    <row r="4397" spans="4:54">
      <c r="D4397" s="806"/>
      <c r="F4397" s="806"/>
      <c r="W4397" s="806"/>
      <c r="AZ4397" s="806"/>
      <c r="BA4397" s="806"/>
      <c r="BB4397" s="806"/>
    </row>
    <row r="4398" spans="4:54">
      <c r="D4398" s="806"/>
      <c r="F4398" s="806"/>
      <c r="W4398" s="806"/>
      <c r="AZ4398" s="806"/>
      <c r="BA4398" s="806"/>
      <c r="BB4398" s="806"/>
    </row>
    <row r="4399" spans="4:54">
      <c r="D4399" s="806"/>
      <c r="F4399" s="806"/>
      <c r="W4399" s="806"/>
      <c r="AZ4399" s="806"/>
      <c r="BA4399" s="806"/>
      <c r="BB4399" s="806"/>
    </row>
    <row r="4400" spans="4:54">
      <c r="D4400" s="806"/>
      <c r="F4400" s="806"/>
      <c r="W4400" s="806"/>
      <c r="AZ4400" s="806"/>
      <c r="BA4400" s="806"/>
      <c r="BB4400" s="806"/>
    </row>
    <row r="4401" spans="4:54">
      <c r="D4401" s="806"/>
      <c r="F4401" s="806"/>
      <c r="W4401" s="806"/>
      <c r="AZ4401" s="806"/>
      <c r="BA4401" s="806"/>
      <c r="BB4401" s="806"/>
    </row>
    <row r="4402" spans="4:54">
      <c r="D4402" s="806"/>
      <c r="F4402" s="806"/>
      <c r="W4402" s="806"/>
      <c r="AZ4402" s="806"/>
      <c r="BA4402" s="806"/>
      <c r="BB4402" s="806"/>
    </row>
    <row r="4403" spans="4:54">
      <c r="D4403" s="806"/>
      <c r="F4403" s="806"/>
      <c r="W4403" s="806"/>
      <c r="AZ4403" s="806"/>
      <c r="BA4403" s="806"/>
      <c r="BB4403" s="806"/>
    </row>
    <row r="4404" spans="4:54">
      <c r="D4404" s="806"/>
      <c r="F4404" s="806"/>
      <c r="W4404" s="806"/>
      <c r="AZ4404" s="806"/>
      <c r="BA4404" s="806"/>
      <c r="BB4404" s="806"/>
    </row>
    <row r="4405" spans="4:54">
      <c r="D4405" s="806"/>
      <c r="F4405" s="806"/>
      <c r="W4405" s="806"/>
      <c r="AZ4405" s="806"/>
      <c r="BA4405" s="806"/>
      <c r="BB4405" s="806"/>
    </row>
    <row r="4406" spans="4:54">
      <c r="D4406" s="806"/>
      <c r="F4406" s="806"/>
      <c r="W4406" s="806"/>
      <c r="AZ4406" s="806"/>
      <c r="BA4406" s="806"/>
      <c r="BB4406" s="806"/>
    </row>
    <row r="4407" spans="4:54">
      <c r="D4407" s="806"/>
      <c r="F4407" s="806"/>
      <c r="W4407" s="806"/>
      <c r="AZ4407" s="806"/>
      <c r="BA4407" s="806"/>
      <c r="BB4407" s="806"/>
    </row>
    <row r="4408" spans="4:54">
      <c r="D4408" s="806"/>
      <c r="F4408" s="806"/>
      <c r="W4408" s="806"/>
      <c r="AZ4408" s="806"/>
      <c r="BA4408" s="806"/>
      <c r="BB4408" s="806"/>
    </row>
    <row r="4409" spans="4:54">
      <c r="D4409" s="806"/>
      <c r="F4409" s="806"/>
      <c r="W4409" s="806"/>
      <c r="AZ4409" s="806"/>
      <c r="BA4409" s="806"/>
      <c r="BB4409" s="806"/>
    </row>
    <row r="4410" spans="4:54">
      <c r="D4410" s="806"/>
      <c r="F4410" s="806"/>
      <c r="W4410" s="806"/>
      <c r="AZ4410" s="806"/>
      <c r="BA4410" s="806"/>
      <c r="BB4410" s="806"/>
    </row>
    <row r="4411" spans="4:54">
      <c r="D4411" s="806"/>
      <c r="F4411" s="806"/>
      <c r="W4411" s="806"/>
      <c r="AZ4411" s="806"/>
      <c r="BA4411" s="806"/>
      <c r="BB4411" s="806"/>
    </row>
    <row r="4412" spans="4:54">
      <c r="D4412" s="806"/>
      <c r="F4412" s="806"/>
      <c r="W4412" s="806"/>
      <c r="AZ4412" s="806"/>
      <c r="BA4412" s="806"/>
      <c r="BB4412" s="806"/>
    </row>
    <row r="4413" spans="4:54">
      <c r="D4413" s="806"/>
      <c r="F4413" s="806"/>
      <c r="W4413" s="806"/>
      <c r="AZ4413" s="806"/>
      <c r="BA4413" s="806"/>
      <c r="BB4413" s="806"/>
    </row>
    <row r="4414" spans="4:54">
      <c r="D4414" s="806"/>
      <c r="F4414" s="806"/>
      <c r="W4414" s="806"/>
      <c r="AZ4414" s="806"/>
      <c r="BA4414" s="806"/>
      <c r="BB4414" s="806"/>
    </row>
    <row r="4415" spans="4:54">
      <c r="D4415" s="806"/>
      <c r="F4415" s="806"/>
      <c r="W4415" s="806"/>
      <c r="AZ4415" s="806"/>
      <c r="BA4415" s="806"/>
      <c r="BB4415" s="806"/>
    </row>
    <row r="4416" spans="4:54">
      <c r="D4416" s="806"/>
      <c r="F4416" s="806"/>
      <c r="W4416" s="806"/>
      <c r="AZ4416" s="806"/>
      <c r="BA4416" s="806"/>
      <c r="BB4416" s="806"/>
    </row>
    <row r="4417" spans="4:54">
      <c r="D4417" s="806"/>
      <c r="F4417" s="806"/>
      <c r="W4417" s="806"/>
      <c r="AZ4417" s="806"/>
      <c r="BA4417" s="806"/>
      <c r="BB4417" s="806"/>
    </row>
    <row r="4418" spans="4:54">
      <c r="D4418" s="806"/>
      <c r="F4418" s="806"/>
      <c r="W4418" s="806"/>
      <c r="AZ4418" s="806"/>
      <c r="BA4418" s="806"/>
      <c r="BB4418" s="806"/>
    </row>
    <row r="4419" spans="4:54">
      <c r="D4419" s="806"/>
      <c r="F4419" s="806"/>
      <c r="W4419" s="806"/>
      <c r="AZ4419" s="806"/>
      <c r="BA4419" s="806"/>
      <c r="BB4419" s="806"/>
    </row>
    <row r="4420" spans="4:54">
      <c r="D4420" s="806"/>
      <c r="F4420" s="806"/>
      <c r="W4420" s="806"/>
      <c r="AZ4420" s="806"/>
      <c r="BA4420" s="806"/>
      <c r="BB4420" s="806"/>
    </row>
    <row r="4421" spans="4:54">
      <c r="D4421" s="806"/>
      <c r="F4421" s="806"/>
      <c r="W4421" s="806"/>
      <c r="AZ4421" s="806"/>
      <c r="BA4421" s="806"/>
      <c r="BB4421" s="806"/>
    </row>
    <row r="4422" spans="4:54">
      <c r="D4422" s="806"/>
      <c r="F4422" s="806"/>
      <c r="W4422" s="806"/>
      <c r="AZ4422" s="806"/>
      <c r="BA4422" s="806"/>
      <c r="BB4422" s="806"/>
    </row>
    <row r="4423" spans="4:54">
      <c r="D4423" s="806"/>
      <c r="F4423" s="806"/>
      <c r="W4423" s="806"/>
      <c r="AZ4423" s="806"/>
      <c r="BA4423" s="806"/>
      <c r="BB4423" s="806"/>
    </row>
    <row r="4424" spans="4:54">
      <c r="D4424" s="806"/>
      <c r="F4424" s="806"/>
      <c r="W4424" s="806"/>
      <c r="AZ4424" s="806"/>
      <c r="BA4424" s="806"/>
      <c r="BB4424" s="806"/>
    </row>
    <row r="4425" spans="4:54">
      <c r="D4425" s="806"/>
      <c r="F4425" s="806"/>
      <c r="W4425" s="806"/>
      <c r="AZ4425" s="806"/>
      <c r="BA4425" s="806"/>
      <c r="BB4425" s="806"/>
    </row>
    <row r="4426" spans="4:54">
      <c r="D4426" s="806"/>
      <c r="F4426" s="806"/>
      <c r="W4426" s="806"/>
      <c r="AZ4426" s="806"/>
      <c r="BA4426" s="806"/>
      <c r="BB4426" s="806"/>
    </row>
    <row r="4427" spans="4:54">
      <c r="D4427" s="806"/>
      <c r="F4427" s="806"/>
      <c r="W4427" s="806"/>
      <c r="AZ4427" s="806"/>
      <c r="BA4427" s="806"/>
      <c r="BB4427" s="806"/>
    </row>
    <row r="4428" spans="4:54">
      <c r="D4428" s="806"/>
      <c r="F4428" s="806"/>
      <c r="W4428" s="806"/>
      <c r="AZ4428" s="806"/>
      <c r="BA4428" s="806"/>
      <c r="BB4428" s="806"/>
    </row>
    <row r="4429" spans="4:54">
      <c r="D4429" s="806"/>
      <c r="F4429" s="806"/>
      <c r="W4429" s="806"/>
      <c r="AZ4429" s="806"/>
      <c r="BA4429" s="806"/>
      <c r="BB4429" s="806"/>
    </row>
    <row r="4430" spans="4:54">
      <c r="D4430" s="806"/>
      <c r="F4430" s="806"/>
      <c r="W4430" s="806"/>
      <c r="AZ4430" s="806"/>
      <c r="BA4430" s="806"/>
      <c r="BB4430" s="806"/>
    </row>
    <row r="4431" spans="4:54">
      <c r="D4431" s="806"/>
      <c r="F4431" s="806"/>
      <c r="W4431" s="806"/>
      <c r="AZ4431" s="806"/>
      <c r="BA4431" s="806"/>
      <c r="BB4431" s="806"/>
    </row>
    <row r="4432" spans="4:54">
      <c r="D4432" s="806"/>
      <c r="F4432" s="806"/>
      <c r="W4432" s="806"/>
      <c r="AZ4432" s="806"/>
      <c r="BA4432" s="806"/>
      <c r="BB4432" s="806"/>
    </row>
    <row r="4433" spans="4:54">
      <c r="D4433" s="806"/>
      <c r="F4433" s="806"/>
      <c r="W4433" s="806"/>
      <c r="AZ4433" s="806"/>
      <c r="BA4433" s="806"/>
      <c r="BB4433" s="806"/>
    </row>
    <row r="4434" spans="4:54">
      <c r="D4434" s="806"/>
      <c r="F4434" s="806"/>
      <c r="W4434" s="806"/>
      <c r="AZ4434" s="806"/>
      <c r="BA4434" s="806"/>
      <c r="BB4434" s="806"/>
    </row>
    <row r="4435" spans="4:54">
      <c r="D4435" s="806"/>
      <c r="F4435" s="806"/>
      <c r="W4435" s="806"/>
      <c r="AZ4435" s="806"/>
      <c r="BA4435" s="806"/>
      <c r="BB4435" s="806"/>
    </row>
    <row r="4436" spans="4:54">
      <c r="D4436" s="806"/>
      <c r="F4436" s="806"/>
      <c r="W4436" s="806"/>
      <c r="AZ4436" s="806"/>
      <c r="BA4436" s="806"/>
      <c r="BB4436" s="806"/>
    </row>
    <row r="4437" spans="4:54">
      <c r="D4437" s="806"/>
      <c r="F4437" s="806"/>
      <c r="W4437" s="806"/>
      <c r="AZ4437" s="806"/>
      <c r="BA4437" s="806"/>
      <c r="BB4437" s="806"/>
    </row>
    <row r="4438" spans="4:54">
      <c r="D4438" s="806"/>
      <c r="F4438" s="806"/>
      <c r="W4438" s="806"/>
      <c r="AZ4438" s="806"/>
      <c r="BA4438" s="806"/>
      <c r="BB4438" s="806"/>
    </row>
    <row r="4439" spans="4:54">
      <c r="D4439" s="806"/>
      <c r="F4439" s="806"/>
      <c r="W4439" s="806"/>
      <c r="AZ4439" s="806"/>
      <c r="BA4439" s="806"/>
      <c r="BB4439" s="806"/>
    </row>
    <row r="4440" spans="4:54">
      <c r="D4440" s="806"/>
      <c r="F4440" s="806"/>
      <c r="W4440" s="806"/>
      <c r="AZ4440" s="806"/>
      <c r="BA4440" s="806"/>
      <c r="BB4440" s="806"/>
    </row>
    <row r="4441" spans="4:54">
      <c r="D4441" s="806"/>
      <c r="F4441" s="806"/>
      <c r="W4441" s="806"/>
      <c r="AZ4441" s="806"/>
      <c r="BA4441" s="806"/>
      <c r="BB4441" s="806"/>
    </row>
    <row r="4442" spans="4:54">
      <c r="D4442" s="806"/>
      <c r="F4442" s="806"/>
      <c r="W4442" s="806"/>
      <c r="AZ4442" s="806"/>
      <c r="BA4442" s="806"/>
      <c r="BB4442" s="806"/>
    </row>
    <row r="4443" spans="4:54">
      <c r="D4443" s="806"/>
      <c r="F4443" s="806"/>
      <c r="W4443" s="806"/>
      <c r="AZ4443" s="806"/>
      <c r="BA4443" s="806"/>
      <c r="BB4443" s="806"/>
    </row>
    <row r="4444" spans="4:54">
      <c r="D4444" s="806"/>
      <c r="F4444" s="806"/>
      <c r="W4444" s="806"/>
      <c r="AZ4444" s="806"/>
      <c r="BA4444" s="806"/>
      <c r="BB4444" s="806"/>
    </row>
    <row r="4445" spans="4:54">
      <c r="D4445" s="806"/>
      <c r="F4445" s="806"/>
      <c r="W4445" s="806"/>
      <c r="AZ4445" s="806"/>
      <c r="BA4445" s="806"/>
      <c r="BB4445" s="806"/>
    </row>
    <row r="4446" spans="4:54">
      <c r="D4446" s="806"/>
      <c r="F4446" s="806"/>
      <c r="W4446" s="806"/>
      <c r="AZ4446" s="806"/>
      <c r="BA4446" s="806"/>
      <c r="BB4446" s="806"/>
    </row>
    <row r="4447" spans="4:54">
      <c r="D4447" s="806"/>
      <c r="F4447" s="806"/>
      <c r="W4447" s="806"/>
      <c r="AZ4447" s="806"/>
      <c r="BA4447" s="806"/>
      <c r="BB4447" s="806"/>
    </row>
    <row r="4448" spans="4:54">
      <c r="D4448" s="806"/>
      <c r="F4448" s="806"/>
      <c r="W4448" s="806"/>
      <c r="AZ4448" s="806"/>
      <c r="BA4448" s="806"/>
      <c r="BB4448" s="806"/>
    </row>
    <row r="4449" spans="4:54">
      <c r="D4449" s="806"/>
      <c r="F4449" s="806"/>
      <c r="W4449" s="806"/>
      <c r="AZ4449" s="806"/>
      <c r="BA4449" s="806"/>
      <c r="BB4449" s="806"/>
    </row>
    <row r="4450" spans="4:54">
      <c r="D4450" s="806"/>
      <c r="F4450" s="806"/>
      <c r="W4450" s="806"/>
      <c r="AZ4450" s="806"/>
      <c r="BA4450" s="806"/>
      <c r="BB4450" s="806"/>
    </row>
    <row r="4451" spans="4:54">
      <c r="D4451" s="806"/>
      <c r="F4451" s="806"/>
      <c r="W4451" s="806"/>
      <c r="AZ4451" s="806"/>
      <c r="BA4451" s="806"/>
      <c r="BB4451" s="806"/>
    </row>
    <row r="4452" spans="4:54">
      <c r="D4452" s="806"/>
      <c r="F4452" s="806"/>
      <c r="W4452" s="806"/>
      <c r="AZ4452" s="806"/>
      <c r="BA4452" s="806"/>
      <c r="BB4452" s="806"/>
    </row>
    <row r="4453" spans="4:54">
      <c r="D4453" s="806"/>
      <c r="F4453" s="806"/>
      <c r="W4453" s="806"/>
      <c r="AZ4453" s="806"/>
      <c r="BA4453" s="806"/>
      <c r="BB4453" s="806"/>
    </row>
    <row r="4454" spans="4:54">
      <c r="D4454" s="806"/>
      <c r="F4454" s="806"/>
      <c r="W4454" s="806"/>
      <c r="AZ4454" s="806"/>
      <c r="BA4454" s="806"/>
      <c r="BB4454" s="806"/>
    </row>
    <row r="4455" spans="4:54">
      <c r="D4455" s="806"/>
      <c r="F4455" s="806"/>
      <c r="W4455" s="806"/>
      <c r="AZ4455" s="806"/>
      <c r="BA4455" s="806"/>
      <c r="BB4455" s="806"/>
    </row>
    <row r="4456" spans="4:54">
      <c r="D4456" s="806"/>
      <c r="F4456" s="806"/>
      <c r="W4456" s="806"/>
      <c r="AZ4456" s="806"/>
      <c r="BA4456" s="806"/>
      <c r="BB4456" s="806"/>
    </row>
    <row r="4457" spans="4:54">
      <c r="D4457" s="806"/>
      <c r="F4457" s="806"/>
      <c r="W4457" s="806"/>
      <c r="AZ4457" s="806"/>
      <c r="BA4457" s="806"/>
      <c r="BB4457" s="806"/>
    </row>
    <row r="4458" spans="4:54">
      <c r="D4458" s="806"/>
      <c r="F4458" s="806"/>
      <c r="W4458" s="806"/>
      <c r="AZ4458" s="806"/>
      <c r="BA4458" s="806"/>
      <c r="BB4458" s="806"/>
    </row>
    <row r="4459" spans="4:54">
      <c r="D4459" s="806"/>
      <c r="F4459" s="806"/>
      <c r="W4459" s="806"/>
      <c r="AZ4459" s="806"/>
      <c r="BA4459" s="806"/>
      <c r="BB4459" s="806"/>
    </row>
    <row r="4460" spans="4:54">
      <c r="D4460" s="806"/>
      <c r="F4460" s="806"/>
      <c r="W4460" s="806"/>
      <c r="AZ4460" s="806"/>
      <c r="BA4460" s="806"/>
      <c r="BB4460" s="806"/>
    </row>
    <row r="4461" spans="4:54">
      <c r="D4461" s="806"/>
      <c r="F4461" s="806"/>
      <c r="W4461" s="806"/>
      <c r="AZ4461" s="806"/>
      <c r="BA4461" s="806"/>
      <c r="BB4461" s="806"/>
    </row>
    <row r="4462" spans="4:54">
      <c r="D4462" s="806"/>
      <c r="F4462" s="806"/>
      <c r="W4462" s="806"/>
      <c r="AZ4462" s="806"/>
      <c r="BA4462" s="806"/>
      <c r="BB4462" s="806"/>
    </row>
    <row r="4463" spans="4:54">
      <c r="D4463" s="806"/>
      <c r="F4463" s="806"/>
      <c r="W4463" s="806"/>
      <c r="AZ4463" s="806"/>
      <c r="BA4463" s="806"/>
      <c r="BB4463" s="806"/>
    </row>
    <row r="4464" spans="4:54">
      <c r="D4464" s="806"/>
      <c r="F4464" s="806"/>
      <c r="W4464" s="806"/>
      <c r="AZ4464" s="806"/>
      <c r="BA4464" s="806"/>
      <c r="BB4464" s="806"/>
    </row>
    <row r="4465" spans="4:54">
      <c r="D4465" s="806"/>
      <c r="F4465" s="806"/>
      <c r="W4465" s="806"/>
      <c r="AZ4465" s="806"/>
      <c r="BA4465" s="806"/>
      <c r="BB4465" s="806"/>
    </row>
    <row r="4466" spans="4:54">
      <c r="D4466" s="806"/>
      <c r="F4466" s="806"/>
      <c r="W4466" s="806"/>
      <c r="AZ4466" s="806"/>
      <c r="BA4466" s="806"/>
      <c r="BB4466" s="806"/>
    </row>
    <row r="4467" spans="4:54">
      <c r="D4467" s="806"/>
      <c r="F4467" s="806"/>
      <c r="W4467" s="806"/>
      <c r="AZ4467" s="806"/>
      <c r="BA4467" s="806"/>
      <c r="BB4467" s="806"/>
    </row>
    <row r="4468" spans="4:54">
      <c r="D4468" s="806"/>
      <c r="F4468" s="806"/>
      <c r="W4468" s="806"/>
      <c r="AZ4468" s="806"/>
      <c r="BA4468" s="806"/>
      <c r="BB4468" s="806"/>
    </row>
    <row r="4469" spans="4:54">
      <c r="D4469" s="806"/>
      <c r="F4469" s="806"/>
      <c r="W4469" s="806"/>
      <c r="AZ4469" s="806"/>
      <c r="BA4469" s="806"/>
      <c r="BB4469" s="806"/>
    </row>
    <row r="4470" spans="4:54">
      <c r="D4470" s="806"/>
      <c r="F4470" s="806"/>
      <c r="W4470" s="806"/>
      <c r="AZ4470" s="806"/>
      <c r="BA4470" s="806"/>
      <c r="BB4470" s="806"/>
    </row>
    <row r="4471" spans="4:54">
      <c r="D4471" s="806"/>
      <c r="F4471" s="806"/>
      <c r="W4471" s="806"/>
      <c r="AZ4471" s="806"/>
      <c r="BA4471" s="806"/>
      <c r="BB4471" s="806"/>
    </row>
    <row r="4472" spans="4:54">
      <c r="D4472" s="806"/>
      <c r="F4472" s="806"/>
      <c r="W4472" s="806"/>
      <c r="AZ4472" s="806"/>
      <c r="BA4472" s="806"/>
      <c r="BB4472" s="806"/>
    </row>
    <row r="4473" spans="4:54">
      <c r="D4473" s="806"/>
      <c r="F4473" s="806"/>
      <c r="W4473" s="806"/>
      <c r="AZ4473" s="806"/>
      <c r="BA4473" s="806"/>
      <c r="BB4473" s="806"/>
    </row>
    <row r="4474" spans="4:54">
      <c r="D4474" s="806"/>
      <c r="F4474" s="806"/>
      <c r="W4474" s="806"/>
      <c r="AZ4474" s="806"/>
      <c r="BA4474" s="806"/>
      <c r="BB4474" s="806"/>
    </row>
    <row r="4475" spans="4:54">
      <c r="D4475" s="806"/>
      <c r="F4475" s="806"/>
      <c r="W4475" s="806"/>
      <c r="AZ4475" s="806"/>
      <c r="BA4475" s="806"/>
      <c r="BB4475" s="806"/>
    </row>
    <row r="4476" spans="4:54">
      <c r="D4476" s="806"/>
      <c r="F4476" s="806"/>
      <c r="W4476" s="806"/>
      <c r="AZ4476" s="806"/>
      <c r="BA4476" s="806"/>
      <c r="BB4476" s="806"/>
    </row>
    <row r="4477" spans="4:54">
      <c r="D4477" s="806"/>
      <c r="F4477" s="806"/>
      <c r="W4477" s="806"/>
      <c r="AZ4477" s="806"/>
      <c r="BA4477" s="806"/>
      <c r="BB4477" s="806"/>
    </row>
    <row r="4478" spans="4:54">
      <c r="D4478" s="806"/>
      <c r="F4478" s="806"/>
      <c r="W4478" s="806"/>
      <c r="AZ4478" s="806"/>
      <c r="BA4478" s="806"/>
      <c r="BB4478" s="806"/>
    </row>
    <row r="4479" spans="4:54">
      <c r="D4479" s="806"/>
      <c r="F4479" s="806"/>
      <c r="W4479" s="806"/>
      <c r="AZ4479" s="806"/>
      <c r="BA4479" s="806"/>
      <c r="BB4479" s="806"/>
    </row>
    <row r="4480" spans="4:54">
      <c r="D4480" s="806"/>
      <c r="F4480" s="806"/>
      <c r="W4480" s="806"/>
      <c r="AZ4480" s="806"/>
      <c r="BA4480" s="806"/>
      <c r="BB4480" s="806"/>
    </row>
    <row r="4481" spans="4:54">
      <c r="D4481" s="806"/>
      <c r="F4481" s="806"/>
      <c r="W4481" s="806"/>
      <c r="AZ4481" s="806"/>
      <c r="BA4481" s="806"/>
      <c r="BB4481" s="806"/>
    </row>
    <row r="4482" spans="4:54">
      <c r="D4482" s="806"/>
      <c r="F4482" s="806"/>
      <c r="W4482" s="806"/>
      <c r="AZ4482" s="806"/>
      <c r="BA4482" s="806"/>
      <c r="BB4482" s="806"/>
    </row>
    <row r="4483" spans="4:54">
      <c r="D4483" s="806"/>
      <c r="F4483" s="806"/>
      <c r="W4483" s="806"/>
      <c r="AZ4483" s="806"/>
      <c r="BA4483" s="806"/>
      <c r="BB4483" s="806"/>
    </row>
    <row r="4484" spans="4:54">
      <c r="D4484" s="806"/>
      <c r="F4484" s="806"/>
      <c r="W4484" s="806"/>
      <c r="AZ4484" s="806"/>
      <c r="BA4484" s="806"/>
      <c r="BB4484" s="806"/>
    </row>
    <row r="4485" spans="4:54">
      <c r="D4485" s="806"/>
      <c r="F4485" s="806"/>
      <c r="W4485" s="806"/>
      <c r="AZ4485" s="806"/>
      <c r="BA4485" s="806"/>
      <c r="BB4485" s="806"/>
    </row>
    <row r="4486" spans="4:54">
      <c r="D4486" s="806"/>
      <c r="F4486" s="806"/>
      <c r="W4486" s="806"/>
      <c r="AZ4486" s="806"/>
      <c r="BA4486" s="806"/>
      <c r="BB4486" s="806"/>
    </row>
    <row r="4487" spans="4:54">
      <c r="D4487" s="806"/>
      <c r="F4487" s="806"/>
      <c r="W4487" s="806"/>
      <c r="AZ4487" s="806"/>
      <c r="BA4487" s="806"/>
      <c r="BB4487" s="806"/>
    </row>
    <row r="4488" spans="4:54">
      <c r="D4488" s="806"/>
      <c r="F4488" s="806"/>
      <c r="W4488" s="806"/>
      <c r="AZ4488" s="806"/>
      <c r="BA4488" s="806"/>
      <c r="BB4488" s="806"/>
    </row>
    <row r="4489" spans="4:54">
      <c r="D4489" s="806"/>
      <c r="F4489" s="806"/>
      <c r="W4489" s="806"/>
      <c r="AZ4489" s="806"/>
      <c r="BA4489" s="806"/>
      <c r="BB4489" s="806"/>
    </row>
    <row r="4490" spans="4:54">
      <c r="D4490" s="806"/>
      <c r="F4490" s="806"/>
      <c r="W4490" s="806"/>
      <c r="AZ4490" s="806"/>
      <c r="BA4490" s="806"/>
      <c r="BB4490" s="806"/>
    </row>
    <row r="4491" spans="4:54">
      <c r="D4491" s="806"/>
      <c r="F4491" s="806"/>
      <c r="W4491" s="806"/>
      <c r="AZ4491" s="806"/>
      <c r="BA4491" s="806"/>
      <c r="BB4491" s="806"/>
    </row>
    <row r="4492" spans="4:54">
      <c r="D4492" s="806"/>
      <c r="F4492" s="806"/>
      <c r="W4492" s="806"/>
      <c r="AZ4492" s="806"/>
      <c r="BA4492" s="806"/>
      <c r="BB4492" s="806"/>
    </row>
    <row r="4493" spans="4:54">
      <c r="D4493" s="806"/>
      <c r="F4493" s="806"/>
      <c r="W4493" s="806"/>
      <c r="AZ4493" s="806"/>
      <c r="BA4493" s="806"/>
      <c r="BB4493" s="806"/>
    </row>
    <row r="4494" spans="4:54">
      <c r="D4494" s="806"/>
      <c r="F4494" s="806"/>
      <c r="W4494" s="806"/>
      <c r="AZ4494" s="806"/>
      <c r="BA4494" s="806"/>
      <c r="BB4494" s="806"/>
    </row>
    <row r="4495" spans="4:54">
      <c r="D4495" s="806"/>
      <c r="F4495" s="806"/>
      <c r="W4495" s="806"/>
      <c r="AZ4495" s="806"/>
      <c r="BA4495" s="806"/>
      <c r="BB4495" s="806"/>
    </row>
    <row r="4496" spans="4:54">
      <c r="D4496" s="806"/>
      <c r="F4496" s="806"/>
      <c r="W4496" s="806"/>
      <c r="AZ4496" s="806"/>
      <c r="BA4496" s="806"/>
      <c r="BB4496" s="806"/>
    </row>
    <row r="4497" spans="4:54">
      <c r="D4497" s="806"/>
      <c r="F4497" s="806"/>
      <c r="W4497" s="806"/>
      <c r="AZ4497" s="806"/>
      <c r="BA4497" s="806"/>
      <c r="BB4497" s="806"/>
    </row>
    <row r="4498" spans="4:54">
      <c r="D4498" s="806"/>
      <c r="F4498" s="806"/>
      <c r="W4498" s="806"/>
      <c r="AZ4498" s="806"/>
      <c r="BA4498" s="806"/>
      <c r="BB4498" s="806"/>
    </row>
    <row r="4499" spans="4:54">
      <c r="D4499" s="806"/>
      <c r="F4499" s="806"/>
      <c r="W4499" s="806"/>
      <c r="AZ4499" s="806"/>
      <c r="BA4499" s="806"/>
      <c r="BB4499" s="806"/>
    </row>
    <row r="4500" spans="4:54">
      <c r="D4500" s="806"/>
      <c r="F4500" s="806"/>
      <c r="W4500" s="806"/>
      <c r="AZ4500" s="806"/>
      <c r="BA4500" s="806"/>
      <c r="BB4500" s="806"/>
    </row>
    <row r="4501" spans="4:54">
      <c r="D4501" s="806"/>
      <c r="F4501" s="806"/>
      <c r="W4501" s="806"/>
      <c r="AZ4501" s="806"/>
      <c r="BA4501" s="806"/>
      <c r="BB4501" s="806"/>
    </row>
    <row r="4502" spans="4:54">
      <c r="D4502" s="806"/>
      <c r="F4502" s="806"/>
      <c r="W4502" s="806"/>
      <c r="AZ4502" s="806"/>
      <c r="BA4502" s="806"/>
      <c r="BB4502" s="806"/>
    </row>
    <row r="4503" spans="4:54">
      <c r="D4503" s="806"/>
      <c r="F4503" s="806"/>
      <c r="W4503" s="806"/>
      <c r="AZ4503" s="806"/>
      <c r="BA4503" s="806"/>
      <c r="BB4503" s="806"/>
    </row>
    <row r="4504" spans="4:54">
      <c r="D4504" s="806"/>
      <c r="F4504" s="806"/>
      <c r="W4504" s="806"/>
      <c r="AZ4504" s="806"/>
      <c r="BA4504" s="806"/>
      <c r="BB4504" s="806"/>
    </row>
    <row r="4505" spans="4:54">
      <c r="D4505" s="806"/>
      <c r="F4505" s="806"/>
      <c r="W4505" s="806"/>
      <c r="AZ4505" s="806"/>
      <c r="BA4505" s="806"/>
      <c r="BB4505" s="806"/>
    </row>
    <row r="4506" spans="4:54">
      <c r="D4506" s="806"/>
      <c r="F4506" s="806"/>
      <c r="W4506" s="806"/>
      <c r="AZ4506" s="806"/>
      <c r="BA4506" s="806"/>
      <c r="BB4506" s="806"/>
    </row>
    <row r="4507" spans="4:54">
      <c r="D4507" s="806"/>
      <c r="F4507" s="806"/>
      <c r="W4507" s="806"/>
      <c r="AZ4507" s="806"/>
      <c r="BA4507" s="806"/>
      <c r="BB4507" s="806"/>
    </row>
    <row r="4508" spans="4:54">
      <c r="D4508" s="806"/>
      <c r="F4508" s="806"/>
      <c r="W4508" s="806"/>
      <c r="AZ4508" s="806"/>
      <c r="BA4508" s="806"/>
      <c r="BB4508" s="806"/>
    </row>
    <row r="4509" spans="4:54">
      <c r="D4509" s="806"/>
      <c r="F4509" s="806"/>
      <c r="W4509" s="806"/>
      <c r="AZ4509" s="806"/>
      <c r="BA4509" s="806"/>
      <c r="BB4509" s="806"/>
    </row>
    <row r="4510" spans="4:54">
      <c r="D4510" s="806"/>
      <c r="F4510" s="806"/>
      <c r="W4510" s="806"/>
      <c r="AZ4510" s="806"/>
      <c r="BA4510" s="806"/>
      <c r="BB4510" s="806"/>
    </row>
    <row r="4511" spans="4:54">
      <c r="D4511" s="806"/>
      <c r="F4511" s="806"/>
      <c r="W4511" s="806"/>
      <c r="AZ4511" s="806"/>
      <c r="BA4511" s="806"/>
      <c r="BB4511" s="806"/>
    </row>
    <row r="4512" spans="4:54">
      <c r="D4512" s="806"/>
      <c r="F4512" s="806"/>
      <c r="W4512" s="806"/>
      <c r="AZ4512" s="806"/>
      <c r="BA4512" s="806"/>
      <c r="BB4512" s="806"/>
    </row>
    <row r="4513" spans="4:54">
      <c r="D4513" s="806"/>
      <c r="F4513" s="806"/>
      <c r="W4513" s="806"/>
      <c r="AZ4513" s="806"/>
      <c r="BA4513" s="806"/>
      <c r="BB4513" s="806"/>
    </row>
    <row r="4514" spans="4:54">
      <c r="D4514" s="806"/>
      <c r="F4514" s="806"/>
      <c r="W4514" s="806"/>
      <c r="AZ4514" s="806"/>
      <c r="BA4514" s="806"/>
      <c r="BB4514" s="806"/>
    </row>
    <row r="4515" spans="4:54">
      <c r="D4515" s="806"/>
      <c r="F4515" s="806"/>
      <c r="W4515" s="806"/>
      <c r="AZ4515" s="806"/>
      <c r="BA4515" s="806"/>
      <c r="BB4515" s="806"/>
    </row>
    <row r="4516" spans="4:54">
      <c r="D4516" s="806"/>
      <c r="F4516" s="806"/>
      <c r="W4516" s="806"/>
      <c r="AZ4516" s="806"/>
      <c r="BA4516" s="806"/>
      <c r="BB4516" s="806"/>
    </row>
    <row r="4517" spans="4:54">
      <c r="D4517" s="806"/>
      <c r="F4517" s="806"/>
      <c r="W4517" s="806"/>
      <c r="AZ4517" s="806"/>
      <c r="BA4517" s="806"/>
      <c r="BB4517" s="806"/>
    </row>
    <row r="4518" spans="4:54">
      <c r="D4518" s="806"/>
      <c r="F4518" s="806"/>
      <c r="W4518" s="806"/>
      <c r="AZ4518" s="806"/>
      <c r="BA4518" s="806"/>
      <c r="BB4518" s="806"/>
    </row>
    <row r="4519" spans="4:54">
      <c r="D4519" s="806"/>
      <c r="F4519" s="806"/>
      <c r="W4519" s="806"/>
      <c r="AZ4519" s="806"/>
      <c r="BA4519" s="806"/>
      <c r="BB4519" s="806"/>
    </row>
    <row r="4520" spans="4:54">
      <c r="D4520" s="806"/>
      <c r="F4520" s="806"/>
      <c r="W4520" s="806"/>
      <c r="AZ4520" s="806"/>
      <c r="BA4520" s="806"/>
      <c r="BB4520" s="806"/>
    </row>
    <row r="4522" spans="4:54">
      <c r="D4522" s="806"/>
      <c r="F4522" s="806"/>
      <c r="W4522" s="806"/>
      <c r="AZ4522" s="806"/>
      <c r="BA4522" s="806"/>
      <c r="BB4522" s="806"/>
    </row>
    <row r="4526" spans="4:54">
      <c r="D4526" s="806"/>
      <c r="F4526" s="806"/>
      <c r="W4526" s="806"/>
      <c r="AZ4526" s="806"/>
      <c r="BA4526" s="806"/>
      <c r="BB4526" s="806"/>
    </row>
    <row r="4527" spans="4:54">
      <c r="D4527" s="806"/>
      <c r="F4527" s="806"/>
      <c r="W4527" s="806"/>
      <c r="AZ4527" s="806"/>
      <c r="BA4527" s="806"/>
      <c r="BB4527" s="806"/>
    </row>
    <row r="4528" spans="4:54">
      <c r="D4528" s="806"/>
      <c r="F4528" s="806"/>
      <c r="W4528" s="806"/>
      <c r="AZ4528" s="806"/>
      <c r="BA4528" s="806"/>
      <c r="BB4528" s="806"/>
    </row>
    <row r="4529" spans="4:54">
      <c r="D4529" s="806"/>
      <c r="F4529" s="806"/>
      <c r="W4529" s="806"/>
      <c r="AZ4529" s="806"/>
      <c r="BA4529" s="806"/>
      <c r="BB4529" s="806"/>
    </row>
    <row r="4530" spans="4:54">
      <c r="D4530" s="806"/>
      <c r="F4530" s="806"/>
      <c r="W4530" s="806"/>
      <c r="AZ4530" s="806"/>
      <c r="BA4530" s="806"/>
      <c r="BB4530" s="806"/>
    </row>
    <row r="4531" spans="4:54">
      <c r="D4531" s="806"/>
      <c r="F4531" s="806"/>
      <c r="W4531" s="806"/>
      <c r="AZ4531" s="806"/>
      <c r="BA4531" s="806"/>
      <c r="BB4531" s="806"/>
    </row>
    <row r="4532" spans="4:54">
      <c r="D4532" s="806"/>
      <c r="F4532" s="806"/>
      <c r="W4532" s="806"/>
      <c r="AZ4532" s="806"/>
      <c r="BA4532" s="806"/>
      <c r="BB4532" s="806"/>
    </row>
    <row r="4533" spans="4:54">
      <c r="D4533" s="806"/>
      <c r="F4533" s="806"/>
      <c r="W4533" s="806"/>
      <c r="AZ4533" s="806"/>
      <c r="BA4533" s="806"/>
      <c r="BB4533" s="806"/>
    </row>
    <row r="4534" spans="4:54">
      <c r="D4534" s="806"/>
      <c r="F4534" s="806"/>
      <c r="W4534" s="806"/>
      <c r="AZ4534" s="806"/>
      <c r="BA4534" s="806"/>
      <c r="BB4534" s="806"/>
    </row>
    <row r="4535" spans="4:54">
      <c r="D4535" s="806"/>
      <c r="F4535" s="806"/>
      <c r="W4535" s="806"/>
      <c r="AZ4535" s="806"/>
      <c r="BA4535" s="806"/>
      <c r="BB4535" s="806"/>
    </row>
    <row r="4536" spans="4:54">
      <c r="D4536" s="806"/>
      <c r="F4536" s="806"/>
      <c r="W4536" s="806"/>
      <c r="AZ4536" s="806"/>
      <c r="BA4536" s="806"/>
      <c r="BB4536" s="806"/>
    </row>
    <row r="4537" spans="4:54">
      <c r="D4537" s="806"/>
      <c r="F4537" s="806"/>
      <c r="W4537" s="806"/>
      <c r="AZ4537" s="806"/>
      <c r="BA4537" s="806"/>
      <c r="BB4537" s="806"/>
    </row>
    <row r="4538" spans="4:54">
      <c r="D4538" s="806"/>
      <c r="F4538" s="806"/>
      <c r="W4538" s="806"/>
      <c r="AZ4538" s="806"/>
      <c r="BA4538" s="806"/>
      <c r="BB4538" s="806"/>
    </row>
    <row r="4539" spans="4:54">
      <c r="D4539" s="806"/>
      <c r="F4539" s="806"/>
      <c r="W4539" s="806"/>
      <c r="AZ4539" s="806"/>
      <c r="BA4539" s="806"/>
      <c r="BB4539" s="806"/>
    </row>
    <row r="4540" spans="4:54">
      <c r="D4540" s="806"/>
      <c r="F4540" s="806"/>
      <c r="W4540" s="806"/>
      <c r="AZ4540" s="806"/>
      <c r="BA4540" s="806"/>
      <c r="BB4540" s="806"/>
    </row>
    <row r="4541" spans="4:54">
      <c r="D4541" s="806"/>
      <c r="F4541" s="806"/>
      <c r="W4541" s="806"/>
      <c r="AZ4541" s="806"/>
      <c r="BA4541" s="806"/>
      <c r="BB4541" s="806"/>
    </row>
    <row r="4542" spans="4:54">
      <c r="D4542" s="806"/>
      <c r="F4542" s="806"/>
      <c r="W4542" s="806"/>
      <c r="AZ4542" s="806"/>
      <c r="BA4542" s="806"/>
      <c r="BB4542" s="806"/>
    </row>
    <row r="4543" spans="4:54">
      <c r="D4543" s="806"/>
      <c r="F4543" s="806"/>
      <c r="W4543" s="806"/>
      <c r="AZ4543" s="806"/>
      <c r="BA4543" s="806"/>
      <c r="BB4543" s="806"/>
    </row>
    <row r="4544" spans="4:54">
      <c r="D4544" s="806"/>
      <c r="F4544" s="806"/>
      <c r="W4544" s="806"/>
      <c r="AZ4544" s="806"/>
      <c r="BA4544" s="806"/>
      <c r="BB4544" s="806"/>
    </row>
    <row r="4545" spans="4:54">
      <c r="D4545" s="806"/>
      <c r="F4545" s="806"/>
      <c r="W4545" s="806"/>
      <c r="AZ4545" s="806"/>
      <c r="BA4545" s="806"/>
      <c r="BB4545" s="806"/>
    </row>
    <row r="4546" spans="4:54">
      <c r="D4546" s="806"/>
      <c r="F4546" s="806"/>
      <c r="W4546" s="806"/>
      <c r="AZ4546" s="806"/>
      <c r="BA4546" s="806"/>
      <c r="BB4546" s="806"/>
    </row>
    <row r="4547" spans="4:54">
      <c r="D4547" s="806"/>
      <c r="F4547" s="806"/>
      <c r="W4547" s="806"/>
      <c r="AZ4547" s="806"/>
      <c r="BA4547" s="806"/>
      <c r="BB4547" s="806"/>
    </row>
    <row r="4548" spans="4:54">
      <c r="D4548" s="806"/>
      <c r="F4548" s="806"/>
      <c r="W4548" s="806"/>
      <c r="AZ4548" s="806"/>
      <c r="BA4548" s="806"/>
      <c r="BB4548" s="806"/>
    </row>
    <row r="4549" spans="4:54">
      <c r="D4549" s="806"/>
      <c r="F4549" s="806"/>
      <c r="W4549" s="806"/>
      <c r="AZ4549" s="806"/>
      <c r="BA4549" s="806"/>
      <c r="BB4549" s="806"/>
    </row>
    <row r="4550" spans="4:54">
      <c r="D4550" s="806"/>
      <c r="F4550" s="806"/>
      <c r="W4550" s="806"/>
      <c r="AZ4550" s="806"/>
      <c r="BA4550" s="806"/>
      <c r="BB4550" s="806"/>
    </row>
    <row r="4551" spans="4:54">
      <c r="D4551" s="806"/>
      <c r="F4551" s="806"/>
      <c r="W4551" s="806"/>
      <c r="AZ4551" s="806"/>
      <c r="BA4551" s="806"/>
      <c r="BB4551" s="806"/>
    </row>
    <row r="4552" spans="4:54">
      <c r="D4552" s="806"/>
      <c r="F4552" s="806"/>
      <c r="W4552" s="806"/>
      <c r="AZ4552" s="806"/>
      <c r="BA4552" s="806"/>
      <c r="BB4552" s="806"/>
    </row>
    <row r="4553" spans="4:54">
      <c r="D4553" s="806"/>
      <c r="F4553" s="806"/>
      <c r="W4553" s="806"/>
      <c r="AZ4553" s="806"/>
      <c r="BA4553" s="806"/>
      <c r="BB4553" s="806"/>
    </row>
    <row r="4554" spans="4:54">
      <c r="D4554" s="806"/>
      <c r="F4554" s="806"/>
      <c r="W4554" s="806"/>
      <c r="AZ4554" s="806"/>
      <c r="BA4554" s="806"/>
      <c r="BB4554" s="806"/>
    </row>
    <row r="4555" spans="4:54">
      <c r="D4555" s="806"/>
      <c r="F4555" s="806"/>
      <c r="W4555" s="806"/>
      <c r="AZ4555" s="806"/>
      <c r="BA4555" s="806"/>
      <c r="BB4555" s="806"/>
    </row>
    <row r="4556" spans="4:54">
      <c r="D4556" s="806"/>
      <c r="F4556" s="806"/>
      <c r="W4556" s="806"/>
      <c r="AZ4556" s="806"/>
      <c r="BA4556" s="806"/>
      <c r="BB4556" s="806"/>
    </row>
    <row r="4557" spans="4:54">
      <c r="D4557" s="806"/>
      <c r="F4557" s="806"/>
      <c r="W4557" s="806"/>
      <c r="AZ4557" s="806"/>
      <c r="BA4557" s="806"/>
      <c r="BB4557" s="806"/>
    </row>
    <row r="4558" spans="4:54">
      <c r="D4558" s="806"/>
      <c r="F4558" s="806"/>
      <c r="W4558" s="806"/>
      <c r="AZ4558" s="806"/>
      <c r="BA4558" s="806"/>
      <c r="BB4558" s="806"/>
    </row>
    <row r="4559" spans="4:54">
      <c r="D4559" s="806"/>
      <c r="F4559" s="806"/>
      <c r="W4559" s="806"/>
      <c r="AZ4559" s="806"/>
      <c r="BA4559" s="806"/>
      <c r="BB4559" s="806"/>
    </row>
    <row r="4560" spans="4:54">
      <c r="D4560" s="806"/>
      <c r="F4560" s="806"/>
      <c r="W4560" s="806"/>
      <c r="AZ4560" s="806"/>
      <c r="BA4560" s="806"/>
      <c r="BB4560" s="806"/>
    </row>
    <row r="4561" spans="4:54">
      <c r="D4561" s="806"/>
      <c r="F4561" s="806"/>
      <c r="W4561" s="806"/>
      <c r="AZ4561" s="806"/>
      <c r="BA4561" s="806"/>
      <c r="BB4561" s="806"/>
    </row>
    <row r="4562" spans="4:54">
      <c r="D4562" s="806"/>
      <c r="F4562" s="806"/>
      <c r="W4562" s="806"/>
      <c r="AZ4562" s="806"/>
      <c r="BA4562" s="806"/>
      <c r="BB4562" s="806"/>
    </row>
    <row r="4563" spans="4:54">
      <c r="D4563" s="806"/>
      <c r="F4563" s="806"/>
      <c r="W4563" s="806"/>
      <c r="AZ4563" s="806"/>
      <c r="BA4563" s="806"/>
      <c r="BB4563" s="806"/>
    </row>
    <row r="4564" spans="4:54">
      <c r="D4564" s="806"/>
      <c r="F4564" s="806"/>
      <c r="W4564" s="806"/>
      <c r="AZ4564" s="806"/>
      <c r="BA4564" s="806"/>
      <c r="BB4564" s="806"/>
    </row>
    <row r="4565" spans="4:54">
      <c r="D4565" s="806"/>
      <c r="F4565" s="806"/>
      <c r="W4565" s="806"/>
      <c r="AZ4565" s="806"/>
      <c r="BA4565" s="806"/>
      <c r="BB4565" s="806"/>
    </row>
    <row r="4566" spans="4:54">
      <c r="D4566" s="806"/>
      <c r="F4566" s="806"/>
      <c r="W4566" s="806"/>
      <c r="AZ4566" s="806"/>
      <c r="BA4566" s="806"/>
      <c r="BB4566" s="806"/>
    </row>
    <row r="4567" spans="4:54">
      <c r="D4567" s="806"/>
      <c r="F4567" s="806"/>
      <c r="W4567" s="806"/>
      <c r="AZ4567" s="806"/>
      <c r="BA4567" s="806"/>
      <c r="BB4567" s="806"/>
    </row>
    <row r="4568" spans="4:54">
      <c r="D4568" s="806"/>
      <c r="F4568" s="806"/>
      <c r="W4568" s="806"/>
      <c r="AZ4568" s="806"/>
      <c r="BA4568" s="806"/>
      <c r="BB4568" s="806"/>
    </row>
    <row r="4569" spans="4:54">
      <c r="D4569" s="806"/>
      <c r="F4569" s="806"/>
      <c r="W4569" s="806"/>
      <c r="AZ4569" s="806"/>
      <c r="BA4569" s="806"/>
      <c r="BB4569" s="806"/>
    </row>
    <row r="4570" spans="4:54">
      <c r="D4570" s="806"/>
      <c r="F4570" s="806"/>
      <c r="W4570" s="806"/>
      <c r="AZ4570" s="806"/>
      <c r="BA4570" s="806"/>
      <c r="BB4570" s="806"/>
    </row>
    <row r="4571" spans="4:54">
      <c r="D4571" s="806"/>
      <c r="F4571" s="806"/>
      <c r="W4571" s="806"/>
      <c r="AZ4571" s="806"/>
      <c r="BA4571" s="806"/>
      <c r="BB4571" s="806"/>
    </row>
    <row r="4572" spans="4:54">
      <c r="D4572" s="806"/>
      <c r="F4572" s="806"/>
      <c r="W4572" s="806"/>
      <c r="AZ4572" s="806"/>
      <c r="BA4572" s="806"/>
      <c r="BB4572" s="806"/>
    </row>
    <row r="4573" spans="4:54">
      <c r="D4573" s="806"/>
      <c r="F4573" s="806"/>
      <c r="W4573" s="806"/>
      <c r="AZ4573" s="806"/>
      <c r="BA4573" s="806"/>
      <c r="BB4573" s="806"/>
    </row>
    <row r="4574" spans="4:54">
      <c r="D4574" s="806"/>
      <c r="F4574" s="806"/>
      <c r="W4574" s="806"/>
      <c r="AZ4574" s="806"/>
      <c r="BA4574" s="806"/>
      <c r="BB4574" s="806"/>
    </row>
    <row r="4575" spans="4:54">
      <c r="D4575" s="806"/>
      <c r="F4575" s="806"/>
      <c r="W4575" s="806"/>
      <c r="AZ4575" s="806"/>
      <c r="BA4575" s="806"/>
      <c r="BB4575" s="806"/>
    </row>
    <row r="4576" spans="4:54">
      <c r="D4576" s="806"/>
      <c r="F4576" s="806"/>
      <c r="W4576" s="806"/>
      <c r="AZ4576" s="806"/>
      <c r="BA4576" s="806"/>
      <c r="BB4576" s="806"/>
    </row>
    <row r="4577" spans="4:54">
      <c r="D4577" s="806"/>
      <c r="F4577" s="806"/>
      <c r="W4577" s="806"/>
      <c r="AZ4577" s="806"/>
      <c r="BA4577" s="806"/>
      <c r="BB4577" s="806"/>
    </row>
    <row r="4578" spans="4:54">
      <c r="D4578" s="806"/>
      <c r="F4578" s="806"/>
      <c r="W4578" s="806"/>
      <c r="AZ4578" s="806"/>
      <c r="BA4578" s="806"/>
      <c r="BB4578" s="806"/>
    </row>
    <row r="4579" spans="4:54">
      <c r="D4579" s="806"/>
      <c r="F4579" s="806"/>
      <c r="W4579" s="806"/>
      <c r="AZ4579" s="806"/>
      <c r="BA4579" s="806"/>
      <c r="BB4579" s="806"/>
    </row>
    <row r="4580" spans="4:54">
      <c r="D4580" s="806"/>
      <c r="F4580" s="806"/>
      <c r="W4580" s="806"/>
      <c r="AZ4580" s="806"/>
      <c r="BA4580" s="806"/>
      <c r="BB4580" s="806"/>
    </row>
    <row r="4581" spans="4:54">
      <c r="D4581" s="806"/>
      <c r="F4581" s="806"/>
      <c r="W4581" s="806"/>
      <c r="AZ4581" s="806"/>
      <c r="BA4581" s="806"/>
      <c r="BB4581" s="806"/>
    </row>
    <row r="4582" spans="4:54">
      <c r="D4582" s="806"/>
      <c r="F4582" s="806"/>
      <c r="W4582" s="806"/>
      <c r="AZ4582" s="806"/>
      <c r="BA4582" s="806"/>
      <c r="BB4582" s="806"/>
    </row>
    <row r="4583" spans="4:54">
      <c r="D4583" s="806"/>
      <c r="F4583" s="806"/>
      <c r="W4583" s="806"/>
      <c r="AZ4583" s="806"/>
      <c r="BA4583" s="806"/>
      <c r="BB4583" s="806"/>
    </row>
    <row r="4584" spans="4:54">
      <c r="D4584" s="806"/>
      <c r="F4584" s="806"/>
      <c r="W4584" s="806"/>
      <c r="AZ4584" s="806"/>
      <c r="BA4584" s="806"/>
      <c r="BB4584" s="806"/>
    </row>
    <row r="4585" spans="4:54">
      <c r="D4585" s="806"/>
      <c r="F4585" s="806"/>
      <c r="W4585" s="806"/>
      <c r="AZ4585" s="806"/>
      <c r="BA4585" s="806"/>
      <c r="BB4585" s="806"/>
    </row>
    <row r="4586" spans="4:54">
      <c r="D4586" s="806"/>
      <c r="F4586" s="806"/>
      <c r="W4586" s="806"/>
      <c r="AZ4586" s="806"/>
      <c r="BA4586" s="806"/>
      <c r="BB4586" s="806"/>
    </row>
    <row r="4587" spans="4:54">
      <c r="D4587" s="806"/>
      <c r="F4587" s="806"/>
      <c r="W4587" s="806"/>
      <c r="AZ4587" s="806"/>
      <c r="BA4587" s="806"/>
      <c r="BB4587" s="806"/>
    </row>
    <row r="4588" spans="4:54">
      <c r="D4588" s="806"/>
      <c r="F4588" s="806"/>
      <c r="W4588" s="806"/>
      <c r="AZ4588" s="806"/>
      <c r="BA4588" s="806"/>
      <c r="BB4588" s="806"/>
    </row>
    <row r="4589" spans="4:54">
      <c r="D4589" s="806"/>
      <c r="F4589" s="806"/>
      <c r="W4589" s="806"/>
      <c r="AZ4589" s="806"/>
      <c r="BA4589" s="806"/>
      <c r="BB4589" s="806"/>
    </row>
    <row r="4590" spans="4:54">
      <c r="D4590" s="806"/>
      <c r="F4590" s="806"/>
      <c r="W4590" s="806"/>
      <c r="AZ4590" s="806"/>
      <c r="BA4590" s="806"/>
      <c r="BB4590" s="806"/>
    </row>
    <row r="4591" spans="4:54">
      <c r="D4591" s="806"/>
      <c r="F4591" s="806"/>
      <c r="W4591" s="806"/>
      <c r="AZ4591" s="806"/>
      <c r="BA4591" s="806"/>
      <c r="BB4591" s="806"/>
    </row>
    <row r="4592" spans="4:54">
      <c r="D4592" s="806"/>
      <c r="F4592" s="806"/>
      <c r="W4592" s="806"/>
      <c r="AZ4592" s="806"/>
      <c r="BA4592" s="806"/>
      <c r="BB4592" s="806"/>
    </row>
    <row r="4593" spans="4:54">
      <c r="D4593" s="806"/>
      <c r="F4593" s="806"/>
      <c r="W4593" s="806"/>
      <c r="AZ4593" s="806"/>
      <c r="BA4593" s="806"/>
      <c r="BB4593" s="806"/>
    </row>
    <row r="4594" spans="4:54">
      <c r="D4594" s="806"/>
      <c r="F4594" s="806"/>
      <c r="W4594" s="806"/>
      <c r="AZ4594" s="806"/>
      <c r="BA4594" s="806"/>
      <c r="BB4594" s="806"/>
    </row>
    <row r="4595" spans="4:54">
      <c r="D4595" s="806"/>
      <c r="F4595" s="806"/>
      <c r="W4595" s="806"/>
      <c r="AZ4595" s="806"/>
      <c r="BA4595" s="806"/>
      <c r="BB4595" s="806"/>
    </row>
    <row r="4596" spans="4:54">
      <c r="D4596" s="806"/>
      <c r="F4596" s="806"/>
      <c r="W4596" s="806"/>
      <c r="AZ4596" s="806"/>
      <c r="BA4596" s="806"/>
      <c r="BB4596" s="806"/>
    </row>
    <row r="4597" spans="4:54">
      <c r="D4597" s="806"/>
      <c r="F4597" s="806"/>
      <c r="W4597" s="806"/>
      <c r="AZ4597" s="806"/>
      <c r="BA4597" s="806"/>
      <c r="BB4597" s="806"/>
    </row>
    <row r="4598" spans="4:54">
      <c r="D4598" s="806"/>
      <c r="F4598" s="806"/>
      <c r="W4598" s="806"/>
      <c r="AZ4598" s="806"/>
      <c r="BA4598" s="806"/>
      <c r="BB4598" s="806"/>
    </row>
    <row r="4599" spans="4:54">
      <c r="D4599" s="806"/>
      <c r="F4599" s="806"/>
      <c r="W4599" s="806"/>
      <c r="AZ4599" s="806"/>
      <c r="BA4599" s="806"/>
      <c r="BB4599" s="806"/>
    </row>
    <row r="4600" spans="4:54">
      <c r="D4600" s="806"/>
      <c r="F4600" s="806"/>
      <c r="W4600" s="806"/>
      <c r="AZ4600" s="806"/>
      <c r="BA4600" s="806"/>
      <c r="BB4600" s="806"/>
    </row>
    <row r="4601" spans="4:54">
      <c r="D4601" s="806"/>
      <c r="F4601" s="806"/>
      <c r="W4601" s="806"/>
      <c r="AZ4601" s="806"/>
      <c r="BA4601" s="806"/>
      <c r="BB4601" s="806"/>
    </row>
    <row r="4602" spans="4:54">
      <c r="D4602" s="806"/>
      <c r="F4602" s="806"/>
      <c r="W4602" s="806"/>
      <c r="AZ4602" s="806"/>
      <c r="BA4602" s="806"/>
      <c r="BB4602" s="806"/>
    </row>
    <row r="4603" spans="4:54">
      <c r="D4603" s="806"/>
      <c r="F4603" s="806"/>
      <c r="W4603" s="806"/>
      <c r="AZ4603" s="806"/>
      <c r="BA4603" s="806"/>
      <c r="BB4603" s="806"/>
    </row>
    <row r="4604" spans="4:54">
      <c r="D4604" s="806"/>
      <c r="F4604" s="806"/>
      <c r="W4604" s="806"/>
      <c r="AZ4604" s="806"/>
      <c r="BA4604" s="806"/>
      <c r="BB4604" s="806"/>
    </row>
    <row r="4605" spans="4:54">
      <c r="D4605" s="806"/>
      <c r="F4605" s="806"/>
      <c r="W4605" s="806"/>
      <c r="AZ4605" s="806"/>
      <c r="BA4605" s="806"/>
      <c r="BB4605" s="806"/>
    </row>
    <row r="4606" spans="4:54">
      <c r="D4606" s="806"/>
      <c r="F4606" s="806"/>
      <c r="W4606" s="806"/>
      <c r="AZ4606" s="806"/>
      <c r="BA4606" s="806"/>
      <c r="BB4606" s="806"/>
    </row>
    <row r="4607" spans="4:54">
      <c r="D4607" s="806"/>
      <c r="F4607" s="806"/>
      <c r="W4607" s="806"/>
      <c r="AZ4607" s="806"/>
      <c r="BA4607" s="806"/>
      <c r="BB4607" s="806"/>
    </row>
    <row r="4608" spans="4:54">
      <c r="D4608" s="806"/>
      <c r="F4608" s="806"/>
      <c r="W4608" s="806"/>
      <c r="AZ4608" s="806"/>
      <c r="BA4608" s="806"/>
      <c r="BB4608" s="806"/>
    </row>
    <row r="4609" spans="4:54">
      <c r="D4609" s="806"/>
      <c r="F4609" s="806"/>
      <c r="W4609" s="806"/>
      <c r="AZ4609" s="806"/>
      <c r="BA4609" s="806"/>
      <c r="BB4609" s="806"/>
    </row>
    <row r="4610" spans="4:54">
      <c r="D4610" s="806"/>
      <c r="F4610" s="806"/>
      <c r="W4610" s="806"/>
      <c r="AZ4610" s="806"/>
      <c r="BA4610" s="806"/>
      <c r="BB4610" s="806"/>
    </row>
    <row r="4611" spans="4:54">
      <c r="D4611" s="806"/>
      <c r="F4611" s="806"/>
      <c r="W4611" s="806"/>
      <c r="AZ4611" s="806"/>
      <c r="BA4611" s="806"/>
      <c r="BB4611" s="806"/>
    </row>
    <row r="4612" spans="4:54">
      <c r="D4612" s="806"/>
      <c r="F4612" s="806"/>
      <c r="W4612" s="806"/>
      <c r="AZ4612" s="806"/>
      <c r="BA4612" s="806"/>
      <c r="BB4612" s="806"/>
    </row>
    <row r="4613" spans="4:54">
      <c r="D4613" s="806"/>
      <c r="F4613" s="806"/>
      <c r="W4613" s="806"/>
      <c r="AZ4613" s="806"/>
      <c r="BA4613" s="806"/>
      <c r="BB4613" s="806"/>
    </row>
    <row r="4614" spans="4:54">
      <c r="D4614" s="806"/>
      <c r="F4614" s="806"/>
      <c r="W4614" s="806"/>
      <c r="AZ4614" s="806"/>
      <c r="BA4614" s="806"/>
      <c r="BB4614" s="806"/>
    </row>
    <row r="4615" spans="4:54">
      <c r="D4615" s="806"/>
      <c r="F4615" s="806"/>
      <c r="W4615" s="806"/>
      <c r="AZ4615" s="806"/>
      <c r="BA4615" s="806"/>
      <c r="BB4615" s="806"/>
    </row>
    <row r="4616" spans="4:54">
      <c r="D4616" s="806"/>
      <c r="F4616" s="806"/>
      <c r="W4616" s="806"/>
      <c r="AZ4616" s="806"/>
      <c r="BA4616" s="806"/>
      <c r="BB4616" s="806"/>
    </row>
    <row r="4617" spans="4:54">
      <c r="D4617" s="806"/>
      <c r="F4617" s="806"/>
      <c r="W4617" s="806"/>
      <c r="AZ4617" s="806"/>
      <c r="BA4617" s="806"/>
      <c r="BB4617" s="806"/>
    </row>
    <row r="4618" spans="4:54">
      <c r="D4618" s="806"/>
      <c r="F4618" s="806"/>
      <c r="W4618" s="806"/>
      <c r="AZ4618" s="806"/>
      <c r="BA4618" s="806"/>
      <c r="BB4618" s="806"/>
    </row>
    <row r="4619" spans="4:54">
      <c r="D4619" s="806"/>
      <c r="F4619" s="806"/>
      <c r="W4619" s="806"/>
      <c r="AZ4619" s="806"/>
      <c r="BA4619" s="806"/>
      <c r="BB4619" s="806"/>
    </row>
    <row r="4620" spans="4:54">
      <c r="D4620" s="806"/>
      <c r="F4620" s="806"/>
      <c r="W4620" s="806"/>
      <c r="AZ4620" s="806"/>
      <c r="BA4620" s="806"/>
      <c r="BB4620" s="806"/>
    </row>
    <row r="4621" spans="4:54">
      <c r="D4621" s="806"/>
      <c r="F4621" s="806"/>
      <c r="W4621" s="806"/>
      <c r="AZ4621" s="806"/>
      <c r="BA4621" s="806"/>
      <c r="BB4621" s="806"/>
    </row>
    <row r="4622" spans="4:54">
      <c r="D4622" s="806"/>
      <c r="F4622" s="806"/>
      <c r="W4622" s="806"/>
      <c r="AZ4622" s="806"/>
      <c r="BA4622" s="806"/>
      <c r="BB4622" s="806"/>
    </row>
    <row r="4623" spans="4:54">
      <c r="D4623" s="806"/>
      <c r="F4623" s="806"/>
      <c r="W4623" s="806"/>
      <c r="AZ4623" s="806"/>
      <c r="BA4623" s="806"/>
      <c r="BB4623" s="806"/>
    </row>
    <row r="4624" spans="4:54">
      <c r="D4624" s="806"/>
      <c r="F4624" s="806"/>
      <c r="W4624" s="806"/>
      <c r="AZ4624" s="806"/>
      <c r="BA4624" s="806"/>
      <c r="BB4624" s="806"/>
    </row>
    <row r="4625" spans="4:54">
      <c r="D4625" s="806"/>
      <c r="F4625" s="806"/>
      <c r="W4625" s="806"/>
      <c r="AZ4625" s="806"/>
      <c r="BA4625" s="806"/>
      <c r="BB4625" s="806"/>
    </row>
    <row r="4626" spans="4:54">
      <c r="D4626" s="806"/>
      <c r="F4626" s="806"/>
      <c r="W4626" s="806"/>
      <c r="AZ4626" s="806"/>
      <c r="BA4626" s="806"/>
      <c r="BB4626" s="806"/>
    </row>
    <row r="4627" spans="4:54">
      <c r="D4627" s="806"/>
      <c r="F4627" s="806"/>
      <c r="W4627" s="806"/>
      <c r="AZ4627" s="806"/>
      <c r="BA4627" s="806"/>
      <c r="BB4627" s="806"/>
    </row>
    <row r="4628" spans="4:54">
      <c r="D4628" s="806"/>
      <c r="F4628" s="806"/>
      <c r="W4628" s="806"/>
      <c r="AZ4628" s="806"/>
      <c r="BA4628" s="806"/>
      <c r="BB4628" s="806"/>
    </row>
    <row r="4629" spans="4:54">
      <c r="D4629" s="806"/>
      <c r="F4629" s="806"/>
      <c r="W4629" s="806"/>
      <c r="AZ4629" s="806"/>
      <c r="BA4629" s="806"/>
      <c r="BB4629" s="806"/>
    </row>
    <row r="4630" spans="4:54">
      <c r="D4630" s="806"/>
      <c r="F4630" s="806"/>
      <c r="W4630" s="806"/>
      <c r="AZ4630" s="806"/>
      <c r="BA4630" s="806"/>
      <c r="BB4630" s="806"/>
    </row>
    <row r="4631" spans="4:54">
      <c r="D4631" s="806"/>
      <c r="F4631" s="806"/>
      <c r="W4631" s="806"/>
      <c r="AZ4631" s="806"/>
      <c r="BA4631" s="806"/>
      <c r="BB4631" s="806"/>
    </row>
    <row r="4632" spans="4:54">
      <c r="D4632" s="806"/>
      <c r="F4632" s="806"/>
      <c r="W4632" s="806"/>
      <c r="AZ4632" s="806"/>
      <c r="BA4632" s="806"/>
      <c r="BB4632" s="806"/>
    </row>
    <row r="4633" spans="4:54">
      <c r="D4633" s="806"/>
      <c r="F4633" s="806"/>
      <c r="W4633" s="806"/>
      <c r="AZ4633" s="806"/>
      <c r="BA4633" s="806"/>
      <c r="BB4633" s="806"/>
    </row>
    <row r="4634" spans="4:54">
      <c r="D4634" s="806"/>
      <c r="F4634" s="806"/>
      <c r="W4634" s="806"/>
      <c r="AZ4634" s="806"/>
      <c r="BA4634" s="806"/>
      <c r="BB4634" s="806"/>
    </row>
    <row r="4635" spans="4:54">
      <c r="D4635" s="806"/>
      <c r="F4635" s="806"/>
      <c r="W4635" s="806"/>
      <c r="AZ4635" s="806"/>
      <c r="BA4635" s="806"/>
      <c r="BB4635" s="806"/>
    </row>
    <row r="4636" spans="4:54">
      <c r="D4636" s="806"/>
      <c r="F4636" s="806"/>
      <c r="W4636" s="806"/>
      <c r="AZ4636" s="806"/>
      <c r="BA4636" s="806"/>
      <c r="BB4636" s="806"/>
    </row>
    <row r="4637" spans="4:54">
      <c r="D4637" s="806"/>
      <c r="F4637" s="806"/>
      <c r="W4637" s="806"/>
      <c r="AZ4637" s="806"/>
      <c r="BA4637" s="806"/>
      <c r="BB4637" s="806"/>
    </row>
    <row r="4638" spans="4:54">
      <c r="D4638" s="806"/>
      <c r="F4638" s="806"/>
      <c r="W4638" s="806"/>
      <c r="AZ4638" s="806"/>
      <c r="BA4638" s="806"/>
      <c r="BB4638" s="806"/>
    </row>
    <row r="4639" spans="4:54">
      <c r="D4639" s="806"/>
      <c r="F4639" s="806"/>
      <c r="W4639" s="806"/>
      <c r="AZ4639" s="806"/>
      <c r="BA4639" s="806"/>
      <c r="BB4639" s="806"/>
    </row>
    <row r="4640" spans="4:54">
      <c r="D4640" s="806"/>
      <c r="F4640" s="806"/>
      <c r="W4640" s="806"/>
      <c r="AZ4640" s="806"/>
      <c r="BA4640" s="806"/>
      <c r="BB4640" s="806"/>
    </row>
    <row r="4641" spans="4:54">
      <c r="D4641" s="806"/>
      <c r="F4641" s="806"/>
      <c r="W4641" s="806"/>
      <c r="AZ4641" s="806"/>
      <c r="BA4641" s="806"/>
      <c r="BB4641" s="806"/>
    </row>
    <row r="4642" spans="4:54">
      <c r="D4642" s="806"/>
      <c r="F4642" s="806"/>
      <c r="W4642" s="806"/>
      <c r="AZ4642" s="806"/>
      <c r="BA4642" s="806"/>
      <c r="BB4642" s="806"/>
    </row>
    <row r="4643" spans="4:54">
      <c r="D4643" s="806"/>
      <c r="F4643" s="806"/>
      <c r="W4643" s="806"/>
      <c r="AZ4643" s="806"/>
      <c r="BA4643" s="806"/>
      <c r="BB4643" s="806"/>
    </row>
    <row r="4644" spans="4:54">
      <c r="D4644" s="806"/>
      <c r="F4644" s="806"/>
      <c r="W4644" s="806"/>
      <c r="AZ4644" s="806"/>
      <c r="BA4644" s="806"/>
      <c r="BB4644" s="806"/>
    </row>
    <row r="4645" spans="4:54">
      <c r="D4645" s="806"/>
      <c r="F4645" s="806"/>
      <c r="W4645" s="806"/>
      <c r="AZ4645" s="806"/>
      <c r="BA4645" s="806"/>
      <c r="BB4645" s="806"/>
    </row>
    <row r="4646" spans="4:54">
      <c r="D4646" s="806"/>
      <c r="F4646" s="806"/>
      <c r="W4646" s="806"/>
      <c r="AZ4646" s="806"/>
      <c r="BA4646" s="806"/>
      <c r="BB4646" s="806"/>
    </row>
    <row r="4647" spans="4:54">
      <c r="D4647" s="806"/>
      <c r="F4647" s="806"/>
      <c r="W4647" s="806"/>
      <c r="AZ4647" s="806"/>
      <c r="BA4647" s="806"/>
      <c r="BB4647" s="806"/>
    </row>
    <row r="4648" spans="4:54">
      <c r="D4648" s="806"/>
      <c r="F4648" s="806"/>
      <c r="W4648" s="806"/>
      <c r="AZ4648" s="806"/>
      <c r="BA4648" s="806"/>
      <c r="BB4648" s="806"/>
    </row>
    <row r="4649" spans="4:54">
      <c r="D4649" s="806"/>
      <c r="F4649" s="806"/>
      <c r="W4649" s="806"/>
      <c r="AZ4649" s="806"/>
      <c r="BA4649" s="806"/>
      <c r="BB4649" s="806"/>
    </row>
    <row r="4650" spans="4:54">
      <c r="D4650" s="806"/>
      <c r="F4650" s="806"/>
      <c r="W4650" s="806"/>
      <c r="AZ4650" s="806"/>
      <c r="BA4650" s="806"/>
      <c r="BB4650" s="806"/>
    </row>
    <row r="4651" spans="4:54">
      <c r="D4651" s="806"/>
      <c r="F4651" s="806"/>
      <c r="W4651" s="806"/>
      <c r="AZ4651" s="806"/>
      <c r="BA4651" s="806"/>
      <c r="BB4651" s="806"/>
    </row>
    <row r="4652" spans="4:54">
      <c r="D4652" s="806"/>
      <c r="F4652" s="806"/>
      <c r="W4652" s="806"/>
      <c r="AZ4652" s="806"/>
      <c r="BA4652" s="806"/>
      <c r="BB4652" s="806"/>
    </row>
    <row r="4653" spans="4:54">
      <c r="D4653" s="806"/>
      <c r="F4653" s="806"/>
      <c r="W4653" s="806"/>
      <c r="AZ4653" s="806"/>
      <c r="BA4653" s="806"/>
      <c r="BB4653" s="806"/>
    </row>
    <row r="4654" spans="4:54">
      <c r="D4654" s="806"/>
      <c r="F4654" s="806"/>
      <c r="W4654" s="806"/>
      <c r="AZ4654" s="806"/>
      <c r="BA4654" s="806"/>
      <c r="BB4654" s="806"/>
    </row>
    <row r="4655" spans="4:54">
      <c r="D4655" s="806"/>
      <c r="F4655" s="806"/>
      <c r="W4655" s="806"/>
      <c r="AZ4655" s="806"/>
      <c r="BA4655" s="806"/>
      <c r="BB4655" s="806"/>
    </row>
    <row r="4656" spans="4:54">
      <c r="D4656" s="806"/>
      <c r="F4656" s="806"/>
      <c r="W4656" s="806"/>
      <c r="AZ4656" s="806"/>
      <c r="BA4656" s="806"/>
      <c r="BB4656" s="806"/>
    </row>
    <row r="4657" spans="4:54">
      <c r="D4657" s="806"/>
      <c r="F4657" s="806"/>
      <c r="W4657" s="806"/>
      <c r="AZ4657" s="806"/>
      <c r="BA4657" s="806"/>
      <c r="BB4657" s="806"/>
    </row>
    <row r="4658" spans="4:54">
      <c r="D4658" s="806"/>
      <c r="F4658" s="806"/>
      <c r="W4658" s="806"/>
      <c r="AZ4658" s="806"/>
      <c r="BA4658" s="806"/>
      <c r="BB4658" s="806"/>
    </row>
    <row r="4659" spans="4:54">
      <c r="D4659" s="806"/>
      <c r="F4659" s="806"/>
      <c r="W4659" s="806"/>
      <c r="AZ4659" s="806"/>
      <c r="BA4659" s="806"/>
      <c r="BB4659" s="806"/>
    </row>
    <row r="4660" spans="4:54">
      <c r="D4660" s="806"/>
      <c r="F4660" s="806"/>
      <c r="W4660" s="806"/>
      <c r="AZ4660" s="806"/>
      <c r="BA4660" s="806"/>
      <c r="BB4660" s="806"/>
    </row>
    <row r="4661" spans="4:54">
      <c r="D4661" s="806"/>
      <c r="F4661" s="806"/>
      <c r="W4661" s="806"/>
      <c r="AZ4661" s="806"/>
      <c r="BA4661" s="806"/>
      <c r="BB4661" s="806"/>
    </row>
    <row r="4662" spans="4:54">
      <c r="D4662" s="806"/>
      <c r="F4662" s="806"/>
      <c r="W4662" s="806"/>
      <c r="AZ4662" s="806"/>
      <c r="BA4662" s="806"/>
      <c r="BB4662" s="806"/>
    </row>
    <row r="4663" spans="4:54">
      <c r="D4663" s="806"/>
      <c r="F4663" s="806"/>
      <c r="W4663" s="806"/>
      <c r="AZ4663" s="806"/>
      <c r="BA4663" s="806"/>
      <c r="BB4663" s="806"/>
    </row>
    <row r="4664" spans="4:54">
      <c r="D4664" s="806"/>
      <c r="F4664" s="806"/>
      <c r="W4664" s="806"/>
      <c r="AZ4664" s="806"/>
      <c r="BA4664" s="806"/>
      <c r="BB4664" s="806"/>
    </row>
    <row r="4665" spans="4:54">
      <c r="D4665" s="806"/>
      <c r="F4665" s="806"/>
      <c r="W4665" s="806"/>
      <c r="AZ4665" s="806"/>
      <c r="BA4665" s="806"/>
      <c r="BB4665" s="806"/>
    </row>
    <row r="4666" spans="4:54">
      <c r="D4666" s="806"/>
      <c r="F4666" s="806"/>
      <c r="W4666" s="806"/>
      <c r="AZ4666" s="806"/>
      <c r="BA4666" s="806"/>
      <c r="BB4666" s="806"/>
    </row>
    <row r="4667" spans="4:54">
      <c r="D4667" s="806"/>
      <c r="F4667" s="806"/>
      <c r="W4667" s="806"/>
      <c r="AZ4667" s="806"/>
      <c r="BA4667" s="806"/>
      <c r="BB4667" s="806"/>
    </row>
    <row r="4668" spans="4:54">
      <c r="D4668" s="806"/>
      <c r="F4668" s="806"/>
      <c r="W4668" s="806"/>
      <c r="AZ4668" s="806"/>
      <c r="BA4668" s="806"/>
      <c r="BB4668" s="806"/>
    </row>
    <row r="4669" spans="4:54">
      <c r="D4669" s="806"/>
      <c r="F4669" s="806"/>
      <c r="W4669" s="806"/>
      <c r="AZ4669" s="806"/>
      <c r="BA4669" s="806"/>
      <c r="BB4669" s="806"/>
    </row>
    <row r="4670" spans="4:54">
      <c r="D4670" s="806"/>
      <c r="F4670" s="806"/>
      <c r="W4670" s="806"/>
      <c r="AZ4670" s="806"/>
      <c r="BA4670" s="806"/>
      <c r="BB4670" s="806"/>
    </row>
    <row r="4671" spans="4:54">
      <c r="D4671" s="806"/>
      <c r="F4671" s="806"/>
      <c r="W4671" s="806"/>
      <c r="AZ4671" s="806"/>
      <c r="BA4671" s="806"/>
      <c r="BB4671" s="806"/>
    </row>
    <row r="4672" spans="4:54">
      <c r="D4672" s="806"/>
      <c r="F4672" s="806"/>
      <c r="W4672" s="806"/>
      <c r="AZ4672" s="806"/>
      <c r="BA4672" s="806"/>
      <c r="BB4672" s="806"/>
    </row>
    <row r="4673" spans="4:54">
      <c r="D4673" s="806"/>
      <c r="F4673" s="806"/>
      <c r="W4673" s="806"/>
      <c r="AZ4673" s="806"/>
      <c r="BA4673" s="806"/>
      <c r="BB4673" s="806"/>
    </row>
    <row r="4674" spans="4:54">
      <c r="D4674" s="806"/>
      <c r="F4674" s="806"/>
      <c r="W4674" s="806"/>
      <c r="AZ4674" s="806"/>
      <c r="BA4674" s="806"/>
      <c r="BB4674" s="806"/>
    </row>
    <row r="4675" spans="4:54">
      <c r="D4675" s="806"/>
      <c r="F4675" s="806"/>
      <c r="W4675" s="806"/>
      <c r="AZ4675" s="806"/>
      <c r="BA4675" s="806"/>
      <c r="BB4675" s="806"/>
    </row>
    <row r="4676" spans="4:54">
      <c r="D4676" s="806"/>
      <c r="F4676" s="806"/>
      <c r="W4676" s="806"/>
      <c r="AZ4676" s="806"/>
      <c r="BA4676" s="806"/>
      <c r="BB4676" s="806"/>
    </row>
    <row r="4677" spans="4:54">
      <c r="D4677" s="806"/>
      <c r="F4677" s="806"/>
      <c r="W4677" s="806"/>
      <c r="AZ4677" s="806"/>
      <c r="BA4677" s="806"/>
      <c r="BB4677" s="806"/>
    </row>
    <row r="4678" spans="4:54">
      <c r="D4678" s="806"/>
      <c r="F4678" s="806"/>
      <c r="W4678" s="806"/>
      <c r="AZ4678" s="806"/>
      <c r="BA4678" s="806"/>
      <c r="BB4678" s="806"/>
    </row>
    <row r="4679" spans="4:54">
      <c r="D4679" s="806"/>
      <c r="F4679" s="806"/>
      <c r="W4679" s="806"/>
      <c r="AZ4679" s="806"/>
      <c r="BA4679" s="806"/>
      <c r="BB4679" s="806"/>
    </row>
    <row r="4680" spans="4:54">
      <c r="D4680" s="806"/>
      <c r="F4680" s="806"/>
      <c r="W4680" s="806"/>
      <c r="AZ4680" s="806"/>
      <c r="BA4680" s="806"/>
      <c r="BB4680" s="806"/>
    </row>
    <row r="4681" spans="4:54">
      <c r="D4681" s="806"/>
      <c r="F4681" s="806"/>
      <c r="W4681" s="806"/>
      <c r="AZ4681" s="806"/>
      <c r="BA4681" s="806"/>
      <c r="BB4681" s="806"/>
    </row>
    <row r="4682" spans="4:54">
      <c r="D4682" s="806"/>
      <c r="F4682" s="806"/>
      <c r="W4682" s="806"/>
      <c r="AZ4682" s="806"/>
      <c r="BA4682" s="806"/>
      <c r="BB4682" s="806"/>
    </row>
    <row r="4683" spans="4:54">
      <c r="D4683" s="806"/>
      <c r="F4683" s="806"/>
      <c r="W4683" s="806"/>
      <c r="AZ4683" s="806"/>
      <c r="BA4683" s="806"/>
      <c r="BB4683" s="806"/>
    </row>
    <row r="4684" spans="4:54">
      <c r="D4684" s="806"/>
      <c r="F4684" s="806"/>
      <c r="W4684" s="806"/>
      <c r="AZ4684" s="806"/>
      <c r="BA4684" s="806"/>
      <c r="BB4684" s="806"/>
    </row>
    <row r="4685" spans="4:54">
      <c r="D4685" s="806"/>
      <c r="F4685" s="806"/>
      <c r="W4685" s="806"/>
      <c r="AZ4685" s="806"/>
      <c r="BA4685" s="806"/>
      <c r="BB4685" s="806"/>
    </row>
    <row r="4686" spans="4:54">
      <c r="D4686" s="806"/>
      <c r="F4686" s="806"/>
      <c r="W4686" s="806"/>
      <c r="AZ4686" s="806"/>
      <c r="BA4686" s="806"/>
      <c r="BB4686" s="806"/>
    </row>
    <row r="4687" spans="4:54">
      <c r="D4687" s="806"/>
      <c r="F4687" s="806"/>
      <c r="W4687" s="806"/>
      <c r="AZ4687" s="806"/>
      <c r="BA4687" s="806"/>
      <c r="BB4687" s="806"/>
    </row>
    <row r="4688" spans="4:54">
      <c r="D4688" s="806"/>
      <c r="F4688" s="806"/>
      <c r="W4688" s="806"/>
      <c r="AZ4688" s="806"/>
      <c r="BA4688" s="806"/>
      <c r="BB4688" s="806"/>
    </row>
    <row r="4689" spans="4:54">
      <c r="D4689" s="806"/>
      <c r="F4689" s="806"/>
      <c r="W4689" s="806"/>
      <c r="AZ4689" s="806"/>
      <c r="BA4689" s="806"/>
      <c r="BB4689" s="806"/>
    </row>
    <row r="4690" spans="4:54">
      <c r="D4690" s="806"/>
      <c r="F4690" s="806"/>
      <c r="W4690" s="806"/>
      <c r="AZ4690" s="806"/>
      <c r="BA4690" s="806"/>
      <c r="BB4690" s="806"/>
    </row>
    <row r="4691" spans="4:54">
      <c r="D4691" s="806"/>
      <c r="F4691" s="806"/>
      <c r="W4691" s="806"/>
      <c r="AZ4691" s="806"/>
      <c r="BA4691" s="806"/>
      <c r="BB4691" s="806"/>
    </row>
    <row r="4692" spans="4:54">
      <c r="D4692" s="806"/>
      <c r="F4692" s="806"/>
      <c r="W4692" s="806"/>
      <c r="AZ4692" s="806"/>
      <c r="BA4692" s="806"/>
      <c r="BB4692" s="806"/>
    </row>
    <row r="4693" spans="4:54">
      <c r="D4693" s="806"/>
      <c r="F4693" s="806"/>
      <c r="W4693" s="806"/>
      <c r="AZ4693" s="806"/>
      <c r="BA4693" s="806"/>
      <c r="BB4693" s="806"/>
    </row>
    <row r="4694" spans="4:54">
      <c r="D4694" s="806"/>
      <c r="F4694" s="806"/>
      <c r="W4694" s="806"/>
      <c r="AZ4694" s="806"/>
      <c r="BA4694" s="806"/>
      <c r="BB4694" s="806"/>
    </row>
    <row r="4695" spans="4:54">
      <c r="D4695" s="806"/>
      <c r="F4695" s="806"/>
      <c r="W4695" s="806"/>
      <c r="AZ4695" s="806"/>
      <c r="BA4695" s="806"/>
      <c r="BB4695" s="806"/>
    </row>
    <row r="4696" spans="4:54">
      <c r="D4696" s="806"/>
      <c r="F4696" s="806"/>
      <c r="W4696" s="806"/>
      <c r="AZ4696" s="806"/>
      <c r="BA4696" s="806"/>
      <c r="BB4696" s="806"/>
    </row>
    <row r="4697" spans="4:54">
      <c r="D4697" s="806"/>
      <c r="F4697" s="806"/>
      <c r="W4697" s="806"/>
      <c r="AZ4697" s="806"/>
      <c r="BA4697" s="806"/>
      <c r="BB4697" s="806"/>
    </row>
    <row r="4698" spans="4:54">
      <c r="D4698" s="806"/>
      <c r="F4698" s="806"/>
      <c r="W4698" s="806"/>
      <c r="AZ4698" s="806"/>
      <c r="BA4698" s="806"/>
      <c r="BB4698" s="806"/>
    </row>
    <row r="4699" spans="4:54">
      <c r="D4699" s="806"/>
      <c r="F4699" s="806"/>
      <c r="W4699" s="806"/>
      <c r="AZ4699" s="806"/>
      <c r="BA4699" s="806"/>
      <c r="BB4699" s="806"/>
    </row>
    <row r="4700" spans="4:54">
      <c r="D4700" s="806"/>
      <c r="F4700" s="806"/>
      <c r="W4700" s="806"/>
      <c r="AZ4700" s="806"/>
      <c r="BA4700" s="806"/>
      <c r="BB4700" s="806"/>
    </row>
    <row r="4701" spans="4:54">
      <c r="D4701" s="806"/>
      <c r="F4701" s="806"/>
      <c r="W4701" s="806"/>
      <c r="AZ4701" s="806"/>
      <c r="BA4701" s="806"/>
      <c r="BB4701" s="806"/>
    </row>
    <row r="4702" spans="4:54">
      <c r="D4702" s="806"/>
      <c r="F4702" s="806"/>
      <c r="W4702" s="806"/>
      <c r="AZ4702" s="806"/>
      <c r="BA4702" s="806"/>
      <c r="BB4702" s="806"/>
    </row>
    <row r="4703" spans="4:54">
      <c r="D4703" s="806"/>
      <c r="F4703" s="806"/>
      <c r="W4703" s="806"/>
      <c r="AZ4703" s="806"/>
      <c r="BA4703" s="806"/>
      <c r="BB4703" s="806"/>
    </row>
    <row r="4704" spans="4:54">
      <c r="D4704" s="806"/>
      <c r="F4704" s="806"/>
      <c r="W4704" s="806"/>
      <c r="AZ4704" s="806"/>
      <c r="BA4704" s="806"/>
      <c r="BB4704" s="806"/>
    </row>
    <row r="4705" spans="4:54">
      <c r="D4705" s="806"/>
      <c r="F4705" s="806"/>
      <c r="W4705" s="806"/>
      <c r="AZ4705" s="806"/>
      <c r="BA4705" s="806"/>
      <c r="BB4705" s="806"/>
    </row>
    <row r="4706" spans="4:54">
      <c r="D4706" s="806"/>
      <c r="F4706" s="806"/>
      <c r="W4706" s="806"/>
      <c r="AZ4706" s="806"/>
      <c r="BA4706" s="806"/>
      <c r="BB4706" s="806"/>
    </row>
    <row r="4707" spans="4:54">
      <c r="D4707" s="806"/>
      <c r="F4707" s="806"/>
      <c r="W4707" s="806"/>
      <c r="AZ4707" s="806"/>
      <c r="BA4707" s="806"/>
      <c r="BB4707" s="806"/>
    </row>
    <row r="4708" spans="4:54">
      <c r="D4708" s="806"/>
      <c r="F4708" s="806"/>
      <c r="W4708" s="806"/>
      <c r="AZ4708" s="806"/>
      <c r="BA4708" s="806"/>
      <c r="BB4708" s="806"/>
    </row>
    <row r="4709" spans="4:54">
      <c r="D4709" s="806"/>
      <c r="F4709" s="806"/>
      <c r="W4709" s="806"/>
      <c r="AZ4709" s="806"/>
      <c r="BA4709" s="806"/>
      <c r="BB4709" s="806"/>
    </row>
    <row r="4710" spans="4:54">
      <c r="D4710" s="806"/>
      <c r="F4710" s="806"/>
      <c r="W4710" s="806"/>
      <c r="AZ4710" s="806"/>
      <c r="BA4710" s="806"/>
      <c r="BB4710" s="806"/>
    </row>
    <row r="4711" spans="4:54">
      <c r="D4711" s="806"/>
      <c r="F4711" s="806"/>
      <c r="W4711" s="806"/>
      <c r="AZ4711" s="806"/>
      <c r="BA4711" s="806"/>
      <c r="BB4711" s="806"/>
    </row>
    <row r="4712" spans="4:54">
      <c r="D4712" s="806"/>
      <c r="F4712" s="806"/>
      <c r="W4712" s="806"/>
      <c r="AZ4712" s="806"/>
      <c r="BA4712" s="806"/>
      <c r="BB4712" s="806"/>
    </row>
    <row r="4713" spans="4:54">
      <c r="D4713" s="806"/>
      <c r="F4713" s="806"/>
      <c r="W4713" s="806"/>
      <c r="AZ4713" s="806"/>
      <c r="BA4713" s="806"/>
      <c r="BB4713" s="806"/>
    </row>
    <row r="4714" spans="4:54">
      <c r="D4714" s="806"/>
      <c r="F4714" s="806"/>
      <c r="W4714" s="806"/>
      <c r="AZ4714" s="806"/>
      <c r="BA4714" s="806"/>
      <c r="BB4714" s="806"/>
    </row>
    <row r="4715" spans="4:54">
      <c r="D4715" s="806"/>
      <c r="F4715" s="806"/>
      <c r="W4715" s="806"/>
      <c r="AZ4715" s="806"/>
      <c r="BA4715" s="806"/>
      <c r="BB4715" s="806"/>
    </row>
    <row r="4716" spans="4:54">
      <c r="D4716" s="806"/>
      <c r="F4716" s="806"/>
      <c r="W4716" s="806"/>
      <c r="AZ4716" s="806"/>
      <c r="BA4716" s="806"/>
      <c r="BB4716" s="806"/>
    </row>
    <row r="4717" spans="4:54">
      <c r="D4717" s="806"/>
      <c r="F4717" s="806"/>
      <c r="W4717" s="806"/>
      <c r="AZ4717" s="806"/>
      <c r="BA4717" s="806"/>
      <c r="BB4717" s="806"/>
    </row>
    <row r="4718" spans="4:54">
      <c r="D4718" s="806"/>
      <c r="F4718" s="806"/>
      <c r="W4718" s="806"/>
      <c r="AZ4718" s="806"/>
      <c r="BA4718" s="806"/>
      <c r="BB4718" s="806"/>
    </row>
    <row r="4719" spans="4:54">
      <c r="D4719" s="806"/>
      <c r="F4719" s="806"/>
      <c r="W4719" s="806"/>
      <c r="AZ4719" s="806"/>
      <c r="BA4719" s="806"/>
      <c r="BB4719" s="806"/>
    </row>
    <row r="4720" spans="4:54">
      <c r="D4720" s="806"/>
      <c r="F4720" s="806"/>
      <c r="W4720" s="806"/>
      <c r="AZ4720" s="806"/>
      <c r="BA4720" s="806"/>
      <c r="BB4720" s="806"/>
    </row>
    <row r="4721" spans="4:54">
      <c r="D4721" s="806"/>
      <c r="F4721" s="806"/>
      <c r="W4721" s="806"/>
      <c r="AZ4721" s="806"/>
      <c r="BA4721" s="806"/>
      <c r="BB4721" s="806"/>
    </row>
    <row r="4722" spans="4:54">
      <c r="D4722" s="806"/>
      <c r="F4722" s="806"/>
      <c r="W4722" s="806"/>
      <c r="AZ4722" s="806"/>
      <c r="BA4722" s="806"/>
      <c r="BB4722" s="806"/>
    </row>
    <row r="4723" spans="4:54">
      <c r="D4723" s="806"/>
      <c r="F4723" s="806"/>
      <c r="W4723" s="806"/>
      <c r="AZ4723" s="806"/>
      <c r="BA4723" s="806"/>
      <c r="BB4723" s="806"/>
    </row>
    <row r="4724" spans="4:54">
      <c r="D4724" s="806"/>
      <c r="F4724" s="806"/>
      <c r="W4724" s="806"/>
      <c r="AZ4724" s="806"/>
      <c r="BA4724" s="806"/>
      <c r="BB4724" s="806"/>
    </row>
    <row r="4725" spans="4:54">
      <c r="D4725" s="806"/>
      <c r="F4725" s="806"/>
      <c r="W4725" s="806"/>
      <c r="AZ4725" s="806"/>
      <c r="BA4725" s="806"/>
      <c r="BB4725" s="806"/>
    </row>
    <row r="4726" spans="4:54">
      <c r="D4726" s="806"/>
      <c r="F4726" s="806"/>
      <c r="W4726" s="806"/>
      <c r="AZ4726" s="806"/>
      <c r="BA4726" s="806"/>
      <c r="BB4726" s="806"/>
    </row>
    <row r="4727" spans="4:54">
      <c r="D4727" s="806"/>
      <c r="F4727" s="806"/>
      <c r="W4727" s="806"/>
      <c r="AZ4727" s="806"/>
      <c r="BA4727" s="806"/>
      <c r="BB4727" s="806"/>
    </row>
    <row r="4728" spans="4:54">
      <c r="D4728" s="806"/>
      <c r="F4728" s="806"/>
      <c r="W4728" s="806"/>
      <c r="AZ4728" s="806"/>
      <c r="BA4728" s="806"/>
      <c r="BB4728" s="806"/>
    </row>
    <row r="4729" spans="4:54">
      <c r="D4729" s="806"/>
      <c r="F4729" s="806"/>
      <c r="W4729" s="806"/>
      <c r="AZ4729" s="806"/>
      <c r="BA4729" s="806"/>
      <c r="BB4729" s="806"/>
    </row>
    <row r="4730" spans="4:54">
      <c r="D4730" s="806"/>
      <c r="F4730" s="806"/>
      <c r="W4730" s="806"/>
      <c r="AZ4730" s="806"/>
      <c r="BA4730" s="806"/>
      <c r="BB4730" s="806"/>
    </row>
    <row r="4731" spans="4:54">
      <c r="D4731" s="806"/>
      <c r="F4731" s="806"/>
      <c r="W4731" s="806"/>
      <c r="AZ4731" s="806"/>
      <c r="BA4731" s="806"/>
      <c r="BB4731" s="806"/>
    </row>
    <row r="4732" spans="4:54">
      <c r="D4732" s="806"/>
      <c r="F4732" s="806"/>
      <c r="W4732" s="806"/>
      <c r="AZ4732" s="806"/>
      <c r="BA4732" s="806"/>
      <c r="BB4732" s="806"/>
    </row>
    <row r="4733" spans="4:54">
      <c r="D4733" s="806"/>
      <c r="F4733" s="806"/>
      <c r="W4733" s="806"/>
      <c r="AZ4733" s="806"/>
      <c r="BA4733" s="806"/>
      <c r="BB4733" s="806"/>
    </row>
    <row r="4734" spans="4:54">
      <c r="D4734" s="806"/>
      <c r="F4734" s="806"/>
      <c r="W4734" s="806"/>
      <c r="AZ4734" s="806"/>
      <c r="BA4734" s="806"/>
      <c r="BB4734" s="806"/>
    </row>
    <row r="4735" spans="4:54">
      <c r="D4735" s="806"/>
      <c r="F4735" s="806"/>
      <c r="W4735" s="806"/>
      <c r="AZ4735" s="806"/>
      <c r="BA4735" s="806"/>
      <c r="BB4735" s="806"/>
    </row>
    <row r="4736" spans="4:54">
      <c r="D4736" s="806"/>
      <c r="F4736" s="806"/>
      <c r="W4736" s="806"/>
      <c r="AZ4736" s="806"/>
      <c r="BA4736" s="806"/>
      <c r="BB4736" s="806"/>
    </row>
    <row r="4737" spans="4:54">
      <c r="D4737" s="806"/>
      <c r="F4737" s="806"/>
      <c r="W4737" s="806"/>
      <c r="AZ4737" s="806"/>
      <c r="BA4737" s="806"/>
      <c r="BB4737" s="806"/>
    </row>
    <row r="4738" spans="4:54">
      <c r="D4738" s="806"/>
      <c r="F4738" s="806"/>
      <c r="W4738" s="806"/>
      <c r="AZ4738" s="806"/>
      <c r="BA4738" s="806"/>
      <c r="BB4738" s="806"/>
    </row>
    <row r="4739" spans="4:54">
      <c r="D4739" s="806"/>
      <c r="F4739" s="806"/>
      <c r="W4739" s="806"/>
      <c r="AZ4739" s="806"/>
      <c r="BA4739" s="806"/>
      <c r="BB4739" s="806"/>
    </row>
    <row r="4740" spans="4:54">
      <c r="D4740" s="806"/>
      <c r="F4740" s="806"/>
      <c r="W4740" s="806"/>
      <c r="AZ4740" s="806"/>
      <c r="BA4740" s="806"/>
      <c r="BB4740" s="806"/>
    </row>
    <row r="4741" spans="4:54">
      <c r="D4741" s="806"/>
      <c r="F4741" s="806"/>
      <c r="W4741" s="806"/>
      <c r="AZ4741" s="806"/>
      <c r="BA4741" s="806"/>
      <c r="BB4741" s="806"/>
    </row>
    <row r="4742" spans="4:54">
      <c r="D4742" s="806"/>
      <c r="F4742" s="806"/>
      <c r="W4742" s="806"/>
      <c r="AZ4742" s="806"/>
      <c r="BA4742" s="806"/>
      <c r="BB4742" s="806"/>
    </row>
    <row r="4743" spans="4:54">
      <c r="D4743" s="806"/>
      <c r="F4743" s="806"/>
      <c r="W4743" s="806"/>
      <c r="AZ4743" s="806"/>
      <c r="BA4743" s="806"/>
      <c r="BB4743" s="806"/>
    </row>
    <row r="4744" spans="4:54">
      <c r="D4744" s="806"/>
      <c r="F4744" s="806"/>
      <c r="W4744" s="806"/>
      <c r="AZ4744" s="806"/>
      <c r="BA4744" s="806"/>
      <c r="BB4744" s="806"/>
    </row>
    <row r="4745" spans="4:54">
      <c r="D4745" s="806"/>
      <c r="F4745" s="806"/>
      <c r="W4745" s="806"/>
      <c r="AZ4745" s="806"/>
      <c r="BA4745" s="806"/>
      <c r="BB4745" s="806"/>
    </row>
    <row r="4746" spans="4:54">
      <c r="D4746" s="806"/>
      <c r="F4746" s="806"/>
      <c r="W4746" s="806"/>
      <c r="AZ4746" s="806"/>
      <c r="BA4746" s="806"/>
      <c r="BB4746" s="806"/>
    </row>
    <row r="4747" spans="4:54">
      <c r="D4747" s="806"/>
      <c r="F4747" s="806"/>
      <c r="W4747" s="806"/>
      <c r="AZ4747" s="806"/>
      <c r="BA4747" s="806"/>
      <c r="BB4747" s="806"/>
    </row>
    <row r="4748" spans="4:54">
      <c r="D4748" s="806"/>
      <c r="F4748" s="806"/>
      <c r="W4748" s="806"/>
      <c r="AZ4748" s="806"/>
      <c r="BA4748" s="806"/>
      <c r="BB4748" s="806"/>
    </row>
    <row r="4749" spans="4:54">
      <c r="D4749" s="806"/>
      <c r="F4749" s="806"/>
      <c r="W4749" s="806"/>
      <c r="AZ4749" s="806"/>
      <c r="BA4749" s="806"/>
      <c r="BB4749" s="806"/>
    </row>
    <row r="4750" spans="4:54">
      <c r="D4750" s="806"/>
      <c r="F4750" s="806"/>
      <c r="W4750" s="806"/>
      <c r="AZ4750" s="806"/>
      <c r="BA4750" s="806"/>
      <c r="BB4750" s="806"/>
    </row>
    <row r="4751" spans="4:54">
      <c r="D4751" s="806"/>
      <c r="F4751" s="806"/>
      <c r="W4751" s="806"/>
      <c r="AZ4751" s="806"/>
      <c r="BA4751" s="806"/>
      <c r="BB4751" s="806"/>
    </row>
    <row r="4752" spans="4:54">
      <c r="D4752" s="806"/>
      <c r="F4752" s="806"/>
      <c r="W4752" s="806"/>
      <c r="AZ4752" s="806"/>
      <c r="BA4752" s="806"/>
      <c r="BB4752" s="806"/>
    </row>
    <row r="4753" spans="4:54">
      <c r="D4753" s="806"/>
      <c r="F4753" s="806"/>
      <c r="W4753" s="806"/>
      <c r="AZ4753" s="806"/>
      <c r="BA4753" s="806"/>
      <c r="BB4753" s="806"/>
    </row>
    <row r="4754" spans="4:54">
      <c r="D4754" s="806"/>
      <c r="F4754" s="806"/>
      <c r="W4754" s="806"/>
      <c r="AZ4754" s="806"/>
      <c r="BA4754" s="806"/>
      <c r="BB4754" s="806"/>
    </row>
    <row r="4755" spans="4:54">
      <c r="D4755" s="806"/>
      <c r="F4755" s="806"/>
      <c r="W4755" s="806"/>
      <c r="AZ4755" s="806"/>
      <c r="BA4755" s="806"/>
      <c r="BB4755" s="806"/>
    </row>
    <row r="4756" spans="4:54">
      <c r="D4756" s="806"/>
      <c r="F4756" s="806"/>
      <c r="W4756" s="806"/>
      <c r="AZ4756" s="806"/>
      <c r="BA4756" s="806"/>
      <c r="BB4756" s="806"/>
    </row>
    <row r="4757" spans="4:54">
      <c r="D4757" s="806"/>
      <c r="F4757" s="806"/>
      <c r="W4757" s="806"/>
      <c r="AZ4757" s="806"/>
      <c r="BA4757" s="806"/>
      <c r="BB4757" s="806"/>
    </row>
    <row r="4758" spans="4:54">
      <c r="D4758" s="806"/>
      <c r="F4758" s="806"/>
      <c r="W4758" s="806"/>
      <c r="AZ4758" s="806"/>
      <c r="BA4758" s="806"/>
      <c r="BB4758" s="806"/>
    </row>
    <row r="4759" spans="4:54">
      <c r="D4759" s="806"/>
      <c r="F4759" s="806"/>
      <c r="W4759" s="806"/>
      <c r="AZ4759" s="806"/>
      <c r="BA4759" s="806"/>
      <c r="BB4759" s="806"/>
    </row>
    <row r="4760" spans="4:54">
      <c r="D4760" s="806"/>
      <c r="F4760" s="806"/>
      <c r="W4760" s="806"/>
      <c r="AZ4760" s="806"/>
      <c r="BA4760" s="806"/>
      <c r="BB4760" s="806"/>
    </row>
    <row r="4761" spans="4:54">
      <c r="D4761" s="806"/>
      <c r="F4761" s="806"/>
      <c r="W4761" s="806"/>
      <c r="AZ4761" s="806"/>
      <c r="BA4761" s="806"/>
      <c r="BB4761" s="806"/>
    </row>
    <row r="4762" spans="4:54">
      <c r="D4762" s="806"/>
      <c r="F4762" s="806"/>
      <c r="W4762" s="806"/>
      <c r="AZ4762" s="806"/>
      <c r="BA4762" s="806"/>
      <c r="BB4762" s="806"/>
    </row>
    <row r="4763" spans="4:54">
      <c r="D4763" s="806"/>
      <c r="F4763" s="806"/>
      <c r="W4763" s="806"/>
      <c r="AZ4763" s="806"/>
      <c r="BA4763" s="806"/>
      <c r="BB4763" s="806"/>
    </row>
    <row r="4764" spans="4:54">
      <c r="D4764" s="806"/>
      <c r="F4764" s="806"/>
      <c r="W4764" s="806"/>
      <c r="AZ4764" s="806"/>
      <c r="BA4764" s="806"/>
      <c r="BB4764" s="806"/>
    </row>
    <row r="4765" spans="4:54">
      <c r="D4765" s="806"/>
      <c r="F4765" s="806"/>
      <c r="W4765" s="806"/>
      <c r="AZ4765" s="806"/>
      <c r="BA4765" s="806"/>
      <c r="BB4765" s="806"/>
    </row>
    <row r="4766" spans="4:54">
      <c r="D4766" s="806"/>
      <c r="F4766" s="806"/>
      <c r="W4766" s="806"/>
      <c r="AZ4766" s="806"/>
      <c r="BA4766" s="806"/>
      <c r="BB4766" s="806"/>
    </row>
    <row r="4767" spans="4:54">
      <c r="D4767" s="806"/>
      <c r="F4767" s="806"/>
      <c r="W4767" s="806"/>
      <c r="AZ4767" s="806"/>
      <c r="BA4767" s="806"/>
      <c r="BB4767" s="806"/>
    </row>
    <row r="4768" spans="4:54">
      <c r="D4768" s="806"/>
      <c r="F4768" s="806"/>
      <c r="W4768" s="806"/>
      <c r="AZ4768" s="806"/>
      <c r="BA4768" s="806"/>
      <c r="BB4768" s="806"/>
    </row>
    <row r="4769" spans="4:54">
      <c r="D4769" s="806"/>
      <c r="F4769" s="806"/>
      <c r="W4769" s="806"/>
      <c r="AZ4769" s="806"/>
      <c r="BA4769" s="806"/>
      <c r="BB4769" s="806"/>
    </row>
    <row r="4770" spans="4:54">
      <c r="D4770" s="806"/>
      <c r="F4770" s="806"/>
      <c r="W4770" s="806"/>
      <c r="AZ4770" s="806"/>
      <c r="BA4770" s="806"/>
      <c r="BB4770" s="806"/>
    </row>
    <row r="4771" spans="4:54">
      <c r="D4771" s="806"/>
      <c r="F4771" s="806"/>
      <c r="W4771" s="806"/>
      <c r="AZ4771" s="806"/>
      <c r="BA4771" s="806"/>
      <c r="BB4771" s="806"/>
    </row>
    <row r="4772" spans="4:54">
      <c r="D4772" s="806"/>
      <c r="F4772" s="806"/>
      <c r="W4772" s="806"/>
      <c r="AZ4772" s="806"/>
      <c r="BA4772" s="806"/>
      <c r="BB4772" s="806"/>
    </row>
    <row r="4773" spans="4:54">
      <c r="D4773" s="806"/>
      <c r="F4773" s="806"/>
      <c r="W4773" s="806"/>
      <c r="AZ4773" s="806"/>
      <c r="BA4773" s="806"/>
      <c r="BB4773" s="806"/>
    </row>
    <row r="4774" spans="4:54">
      <c r="D4774" s="806"/>
      <c r="F4774" s="806"/>
      <c r="W4774" s="806"/>
      <c r="AZ4774" s="806"/>
      <c r="BA4774" s="806"/>
      <c r="BB4774" s="806"/>
    </row>
    <row r="4775" spans="4:54">
      <c r="D4775" s="806"/>
      <c r="F4775" s="806"/>
      <c r="W4775" s="806"/>
      <c r="AZ4775" s="806"/>
      <c r="BA4775" s="806"/>
      <c r="BB4775" s="806"/>
    </row>
    <row r="4776" spans="4:54">
      <c r="D4776" s="806"/>
      <c r="F4776" s="806"/>
      <c r="W4776" s="806"/>
      <c r="AZ4776" s="806"/>
      <c r="BA4776" s="806"/>
      <c r="BB4776" s="806"/>
    </row>
    <row r="4777" spans="4:54">
      <c r="D4777" s="806"/>
      <c r="F4777" s="806"/>
      <c r="W4777" s="806"/>
      <c r="AZ4777" s="806"/>
      <c r="BA4777" s="806"/>
      <c r="BB4777" s="806"/>
    </row>
    <row r="4778" spans="4:54">
      <c r="D4778" s="806"/>
      <c r="F4778" s="806"/>
      <c r="W4778" s="806"/>
      <c r="AZ4778" s="806"/>
      <c r="BA4778" s="806"/>
      <c r="BB4778" s="806"/>
    </row>
    <row r="4779" spans="4:54">
      <c r="D4779" s="806"/>
      <c r="F4779" s="806"/>
      <c r="W4779" s="806"/>
      <c r="AZ4779" s="806"/>
      <c r="BA4779" s="806"/>
      <c r="BB4779" s="806"/>
    </row>
    <row r="4780" spans="4:54">
      <c r="D4780" s="806"/>
      <c r="F4780" s="806"/>
      <c r="W4780" s="806"/>
      <c r="AZ4780" s="806"/>
      <c r="BA4780" s="806"/>
      <c r="BB4780" s="806"/>
    </row>
    <row r="4781" spans="4:54">
      <c r="D4781" s="806"/>
      <c r="F4781" s="806"/>
      <c r="W4781" s="806"/>
      <c r="AZ4781" s="806"/>
      <c r="BA4781" s="806"/>
      <c r="BB4781" s="806"/>
    </row>
    <row r="4782" spans="4:54">
      <c r="D4782" s="806"/>
      <c r="F4782" s="806"/>
      <c r="W4782" s="806"/>
      <c r="AZ4782" s="806"/>
      <c r="BA4782" s="806"/>
      <c r="BB4782" s="806"/>
    </row>
    <row r="4783" spans="4:54">
      <c r="D4783" s="806"/>
      <c r="F4783" s="806"/>
      <c r="W4783" s="806"/>
      <c r="AZ4783" s="806"/>
      <c r="BA4783" s="806"/>
      <c r="BB4783" s="806"/>
    </row>
    <row r="4784" spans="4:54">
      <c r="D4784" s="806"/>
      <c r="F4784" s="806"/>
      <c r="W4784" s="806"/>
      <c r="AZ4784" s="806"/>
      <c r="BA4784" s="806"/>
      <c r="BB4784" s="806"/>
    </row>
    <row r="4785" spans="4:54">
      <c r="D4785" s="806"/>
      <c r="F4785" s="806"/>
      <c r="W4785" s="806"/>
      <c r="AZ4785" s="806"/>
      <c r="BA4785" s="806"/>
      <c r="BB4785" s="806"/>
    </row>
    <row r="4786" spans="4:54">
      <c r="D4786" s="806"/>
      <c r="F4786" s="806"/>
      <c r="W4786" s="806"/>
      <c r="AZ4786" s="806"/>
      <c r="BA4786" s="806"/>
      <c r="BB4786" s="806"/>
    </row>
    <row r="4787" spans="4:54">
      <c r="D4787" s="806"/>
      <c r="F4787" s="806"/>
      <c r="W4787" s="806"/>
      <c r="AZ4787" s="806"/>
      <c r="BA4787" s="806"/>
      <c r="BB4787" s="806"/>
    </row>
    <row r="4788" spans="4:54">
      <c r="D4788" s="806"/>
      <c r="F4788" s="806"/>
      <c r="W4788" s="806"/>
      <c r="AZ4788" s="806"/>
      <c r="BA4788" s="806"/>
      <c r="BB4788" s="806"/>
    </row>
    <row r="4789" spans="4:54">
      <c r="D4789" s="806"/>
      <c r="F4789" s="806"/>
      <c r="W4789" s="806"/>
      <c r="AZ4789" s="806"/>
      <c r="BA4789" s="806"/>
      <c r="BB4789" s="806"/>
    </row>
    <row r="4790" spans="4:54">
      <c r="D4790" s="806"/>
      <c r="F4790" s="806"/>
      <c r="W4790" s="806"/>
      <c r="AZ4790" s="806"/>
      <c r="BA4790" s="806"/>
      <c r="BB4790" s="806"/>
    </row>
    <row r="4791" spans="4:54">
      <c r="D4791" s="806"/>
      <c r="F4791" s="806"/>
      <c r="W4791" s="806"/>
      <c r="AZ4791" s="806"/>
      <c r="BA4791" s="806"/>
      <c r="BB4791" s="806"/>
    </row>
    <row r="4792" spans="4:54">
      <c r="D4792" s="806"/>
      <c r="F4792" s="806"/>
      <c r="W4792" s="806"/>
      <c r="AZ4792" s="806"/>
      <c r="BA4792" s="806"/>
      <c r="BB4792" s="806"/>
    </row>
    <row r="4793" spans="4:54">
      <c r="D4793" s="806"/>
      <c r="F4793" s="806"/>
      <c r="W4793" s="806"/>
      <c r="AZ4793" s="806"/>
      <c r="BA4793" s="806"/>
      <c r="BB4793" s="806"/>
    </row>
    <row r="4794" spans="4:54">
      <c r="D4794" s="806"/>
      <c r="F4794" s="806"/>
      <c r="W4794" s="806"/>
      <c r="AZ4794" s="806"/>
      <c r="BA4794" s="806"/>
      <c r="BB4794" s="806"/>
    </row>
    <row r="4795" spans="4:54">
      <c r="D4795" s="806"/>
      <c r="F4795" s="806"/>
      <c r="W4795" s="806"/>
      <c r="AZ4795" s="806"/>
      <c r="BA4795" s="806"/>
      <c r="BB4795" s="806"/>
    </row>
    <row r="4796" spans="4:54">
      <c r="D4796" s="806"/>
      <c r="F4796" s="806"/>
      <c r="W4796" s="806"/>
      <c r="AZ4796" s="806"/>
      <c r="BA4796" s="806"/>
      <c r="BB4796" s="806"/>
    </row>
    <row r="4797" spans="4:54">
      <c r="D4797" s="806"/>
      <c r="F4797" s="806"/>
      <c r="W4797" s="806"/>
      <c r="AZ4797" s="806"/>
      <c r="BA4797" s="806"/>
      <c r="BB4797" s="806"/>
    </row>
    <row r="4798" spans="4:54">
      <c r="D4798" s="806"/>
      <c r="F4798" s="806"/>
      <c r="W4798" s="806"/>
      <c r="AZ4798" s="806"/>
      <c r="BA4798" s="806"/>
      <c r="BB4798" s="806"/>
    </row>
    <row r="4799" spans="4:54">
      <c r="D4799" s="806"/>
      <c r="F4799" s="806"/>
      <c r="W4799" s="806"/>
      <c r="AZ4799" s="806"/>
      <c r="BA4799" s="806"/>
      <c r="BB4799" s="806"/>
    </row>
    <row r="4800" spans="4:54">
      <c r="D4800" s="806"/>
      <c r="F4800" s="806"/>
      <c r="W4800" s="806"/>
      <c r="AZ4800" s="806"/>
      <c r="BA4800" s="806"/>
      <c r="BB4800" s="806"/>
    </row>
    <row r="4801" spans="4:54">
      <c r="D4801" s="806"/>
      <c r="F4801" s="806"/>
      <c r="W4801" s="806"/>
      <c r="AZ4801" s="806"/>
      <c r="BA4801" s="806"/>
      <c r="BB4801" s="806"/>
    </row>
    <row r="4802" spans="4:54">
      <c r="D4802" s="806"/>
      <c r="F4802" s="806"/>
      <c r="W4802" s="806"/>
      <c r="AZ4802" s="806"/>
      <c r="BA4802" s="806"/>
      <c r="BB4802" s="806"/>
    </row>
    <row r="4803" spans="4:54">
      <c r="D4803" s="806"/>
      <c r="F4803" s="806"/>
      <c r="W4803" s="806"/>
      <c r="AZ4803" s="806"/>
      <c r="BA4803" s="806"/>
      <c r="BB4803" s="806"/>
    </row>
    <row r="4804" spans="4:54">
      <c r="D4804" s="806"/>
      <c r="F4804" s="806"/>
      <c r="W4804" s="806"/>
      <c r="AZ4804" s="806"/>
      <c r="BA4804" s="806"/>
      <c r="BB4804" s="806"/>
    </row>
    <row r="4805" spans="4:54">
      <c r="D4805" s="806"/>
      <c r="F4805" s="806"/>
      <c r="W4805" s="806"/>
      <c r="AZ4805" s="806"/>
      <c r="BA4805" s="806"/>
      <c r="BB4805" s="806"/>
    </row>
    <row r="4806" spans="4:54">
      <c r="D4806" s="806"/>
      <c r="F4806" s="806"/>
      <c r="W4806" s="806"/>
      <c r="AZ4806" s="806"/>
      <c r="BA4806" s="806"/>
      <c r="BB4806" s="806"/>
    </row>
    <row r="4807" spans="4:54">
      <c r="D4807" s="806"/>
      <c r="F4807" s="806"/>
      <c r="W4807" s="806"/>
      <c r="AZ4807" s="806"/>
      <c r="BA4807" s="806"/>
      <c r="BB4807" s="806"/>
    </row>
    <row r="4808" spans="4:54">
      <c r="D4808" s="806"/>
      <c r="F4808" s="806"/>
      <c r="W4808" s="806"/>
      <c r="AZ4808" s="806"/>
      <c r="BA4808" s="806"/>
      <c r="BB4808" s="806"/>
    </row>
    <row r="4809" spans="4:54">
      <c r="D4809" s="806"/>
      <c r="F4809" s="806"/>
      <c r="W4809" s="806"/>
      <c r="AZ4809" s="806"/>
      <c r="BA4809" s="806"/>
      <c r="BB4809" s="806"/>
    </row>
    <row r="4810" spans="4:54">
      <c r="D4810" s="806"/>
      <c r="F4810" s="806"/>
      <c r="W4810" s="806"/>
      <c r="AZ4810" s="806"/>
      <c r="BA4810" s="806"/>
      <c r="BB4810" s="806"/>
    </row>
    <row r="4811" spans="4:54">
      <c r="D4811" s="806"/>
      <c r="F4811" s="806"/>
      <c r="W4811" s="806"/>
      <c r="AZ4811" s="806"/>
      <c r="BA4811" s="806"/>
      <c r="BB4811" s="806"/>
    </row>
    <row r="4812" spans="4:54">
      <c r="D4812" s="806"/>
      <c r="F4812" s="806"/>
      <c r="W4812" s="806"/>
      <c r="AZ4812" s="806"/>
      <c r="BA4812" s="806"/>
      <c r="BB4812" s="806"/>
    </row>
    <row r="4813" spans="4:54">
      <c r="D4813" s="806"/>
      <c r="F4813" s="806"/>
      <c r="W4813" s="806"/>
      <c r="AZ4813" s="806"/>
      <c r="BA4813" s="806"/>
      <c r="BB4813" s="806"/>
    </row>
    <row r="4814" spans="4:54">
      <c r="D4814" s="806"/>
      <c r="F4814" s="806"/>
      <c r="W4814" s="806"/>
      <c r="AZ4814" s="806"/>
      <c r="BA4814" s="806"/>
      <c r="BB4814" s="806"/>
    </row>
    <row r="4815" spans="4:54">
      <c r="D4815" s="806"/>
      <c r="F4815" s="806"/>
      <c r="W4815" s="806"/>
      <c r="AZ4815" s="806"/>
      <c r="BA4815" s="806"/>
      <c r="BB4815" s="806"/>
    </row>
    <row r="4816" spans="4:54">
      <c r="D4816" s="806"/>
      <c r="F4816" s="806"/>
      <c r="W4816" s="806"/>
      <c r="AZ4816" s="806"/>
      <c r="BA4816" s="806"/>
      <c r="BB4816" s="806"/>
    </row>
    <row r="4817" spans="4:54">
      <c r="D4817" s="806"/>
      <c r="F4817" s="806"/>
      <c r="W4817" s="806"/>
      <c r="AZ4817" s="806"/>
      <c r="BA4817" s="806"/>
      <c r="BB4817" s="806"/>
    </row>
    <row r="4818" spans="4:54">
      <c r="D4818" s="806"/>
      <c r="F4818" s="806"/>
      <c r="W4818" s="806"/>
      <c r="AZ4818" s="806"/>
      <c r="BA4818" s="806"/>
      <c r="BB4818" s="806"/>
    </row>
    <row r="4819" spans="4:54">
      <c r="D4819" s="806"/>
      <c r="F4819" s="806"/>
      <c r="W4819" s="806"/>
      <c r="AZ4819" s="806"/>
      <c r="BA4819" s="806"/>
      <c r="BB4819" s="806"/>
    </row>
    <row r="4820" spans="4:54">
      <c r="D4820" s="806"/>
      <c r="F4820" s="806"/>
      <c r="W4820" s="806"/>
      <c r="AZ4820" s="806"/>
      <c r="BA4820" s="806"/>
      <c r="BB4820" s="806"/>
    </row>
    <row r="4821" spans="4:54">
      <c r="D4821" s="806"/>
      <c r="F4821" s="806"/>
      <c r="W4821" s="806"/>
      <c r="AZ4821" s="806"/>
      <c r="BA4821" s="806"/>
      <c r="BB4821" s="806"/>
    </row>
    <row r="4822" spans="4:54">
      <c r="D4822" s="806"/>
      <c r="F4822" s="806"/>
      <c r="W4822" s="806"/>
      <c r="AZ4822" s="806"/>
      <c r="BA4822" s="806"/>
      <c r="BB4822" s="806"/>
    </row>
    <row r="4823" spans="4:54">
      <c r="D4823" s="806"/>
      <c r="F4823" s="806"/>
      <c r="W4823" s="806"/>
      <c r="AZ4823" s="806"/>
      <c r="BA4823" s="806"/>
      <c r="BB4823" s="806"/>
    </row>
    <row r="4824" spans="4:54">
      <c r="D4824" s="806"/>
      <c r="F4824" s="806"/>
      <c r="W4824" s="806"/>
      <c r="AZ4824" s="806"/>
      <c r="BA4824" s="806"/>
      <c r="BB4824" s="806"/>
    </row>
    <row r="4825" spans="4:54">
      <c r="D4825" s="806"/>
      <c r="F4825" s="806"/>
      <c r="W4825" s="806"/>
      <c r="AZ4825" s="806"/>
      <c r="BA4825" s="806"/>
      <c r="BB4825" s="806"/>
    </row>
    <row r="4826" spans="4:54">
      <c r="D4826" s="806"/>
      <c r="F4826" s="806"/>
      <c r="W4826" s="806"/>
      <c r="AZ4826" s="806"/>
      <c r="BA4826" s="806"/>
      <c r="BB4826" s="806"/>
    </row>
    <row r="4827" spans="4:54">
      <c r="D4827" s="806"/>
      <c r="F4827" s="806"/>
      <c r="W4827" s="806"/>
      <c r="AZ4827" s="806"/>
      <c r="BA4827" s="806"/>
      <c r="BB4827" s="806"/>
    </row>
    <row r="4828" spans="4:54">
      <c r="D4828" s="806"/>
      <c r="F4828" s="806"/>
      <c r="W4828" s="806"/>
      <c r="AZ4828" s="806"/>
      <c r="BA4828" s="806"/>
      <c r="BB4828" s="806"/>
    </row>
    <row r="4829" spans="4:54">
      <c r="D4829" s="806"/>
      <c r="F4829" s="806"/>
      <c r="W4829" s="806"/>
      <c r="AZ4829" s="806"/>
      <c r="BA4829" s="806"/>
      <c r="BB4829" s="806"/>
    </row>
    <row r="4830" spans="4:54">
      <c r="D4830" s="806"/>
      <c r="F4830" s="806"/>
      <c r="W4830" s="806"/>
      <c r="AZ4830" s="806"/>
      <c r="BA4830" s="806"/>
      <c r="BB4830" s="806"/>
    </row>
    <row r="4831" spans="4:54">
      <c r="D4831" s="806"/>
      <c r="F4831" s="806"/>
      <c r="W4831" s="806"/>
      <c r="AZ4831" s="806"/>
      <c r="BA4831" s="806"/>
      <c r="BB4831" s="806"/>
    </row>
    <row r="4832" spans="4:54">
      <c r="D4832" s="806"/>
      <c r="F4832" s="806"/>
      <c r="W4832" s="806"/>
      <c r="AZ4832" s="806"/>
      <c r="BA4832" s="806"/>
      <c r="BB4832" s="806"/>
    </row>
    <row r="4833" spans="4:54">
      <c r="D4833" s="806"/>
      <c r="F4833" s="806"/>
      <c r="W4833" s="806"/>
      <c r="AZ4833" s="806"/>
      <c r="BA4833" s="806"/>
      <c r="BB4833" s="806"/>
    </row>
    <row r="4834" spans="4:54">
      <c r="D4834" s="806"/>
      <c r="F4834" s="806"/>
      <c r="W4834" s="806"/>
      <c r="AZ4834" s="806"/>
      <c r="BA4834" s="806"/>
      <c r="BB4834" s="806"/>
    </row>
    <row r="4835" spans="4:54">
      <c r="D4835" s="806"/>
      <c r="F4835" s="806"/>
      <c r="W4835" s="806"/>
      <c r="AZ4835" s="806"/>
      <c r="BA4835" s="806"/>
      <c r="BB4835" s="806"/>
    </row>
    <row r="4836" spans="4:54">
      <c r="D4836" s="806"/>
      <c r="F4836" s="806"/>
      <c r="W4836" s="806"/>
      <c r="AZ4836" s="806"/>
      <c r="BA4836" s="806"/>
      <c r="BB4836" s="806"/>
    </row>
    <row r="4838" spans="4:54">
      <c r="D4838" s="806"/>
      <c r="F4838" s="806"/>
      <c r="W4838" s="806"/>
      <c r="AZ4838" s="806"/>
      <c r="BA4838" s="806"/>
      <c r="BB4838" s="806"/>
    </row>
    <row r="4842" spans="4:54">
      <c r="D4842" s="806"/>
      <c r="F4842" s="806"/>
      <c r="W4842" s="806"/>
      <c r="AZ4842" s="806"/>
      <c r="BA4842" s="806"/>
      <c r="BB4842" s="806"/>
    </row>
    <row r="4843" spans="4:54">
      <c r="D4843" s="806"/>
      <c r="F4843" s="806"/>
      <c r="W4843" s="806"/>
      <c r="AZ4843" s="806"/>
      <c r="BA4843" s="806"/>
      <c r="BB4843" s="806"/>
    </row>
    <row r="4844" spans="4:54">
      <c r="D4844" s="806"/>
      <c r="F4844" s="806"/>
      <c r="W4844" s="806"/>
      <c r="AZ4844" s="806"/>
      <c r="BA4844" s="806"/>
      <c r="BB4844" s="806"/>
    </row>
    <row r="4845" spans="4:54">
      <c r="D4845" s="806"/>
      <c r="F4845" s="806"/>
      <c r="W4845" s="806"/>
      <c r="AZ4845" s="806"/>
      <c r="BA4845" s="806"/>
      <c r="BB4845" s="806"/>
    </row>
    <row r="4846" spans="4:54">
      <c r="D4846" s="806"/>
      <c r="F4846" s="806"/>
      <c r="W4846" s="806"/>
      <c r="AZ4846" s="806"/>
      <c r="BA4846" s="806"/>
      <c r="BB4846" s="806"/>
    </row>
    <row r="4847" spans="4:54">
      <c r="D4847" s="806"/>
      <c r="F4847" s="806"/>
      <c r="W4847" s="806"/>
      <c r="AZ4847" s="806"/>
      <c r="BA4847" s="806"/>
      <c r="BB4847" s="806"/>
    </row>
    <row r="4848" spans="4:54">
      <c r="D4848" s="806"/>
      <c r="F4848" s="806"/>
      <c r="W4848" s="806"/>
      <c r="AZ4848" s="806"/>
      <c r="BA4848" s="806"/>
      <c r="BB4848" s="806"/>
    </row>
    <row r="4849" spans="4:54">
      <c r="D4849" s="806"/>
      <c r="F4849" s="806"/>
      <c r="W4849" s="806"/>
      <c r="AZ4849" s="806"/>
      <c r="BA4849" s="806"/>
      <c r="BB4849" s="806"/>
    </row>
    <row r="4850" spans="4:54">
      <c r="D4850" s="806"/>
      <c r="F4850" s="806"/>
      <c r="W4850" s="806"/>
      <c r="AZ4850" s="806"/>
      <c r="BA4850" s="806"/>
      <c r="BB4850" s="806"/>
    </row>
    <row r="4851" spans="4:54">
      <c r="D4851" s="806"/>
      <c r="F4851" s="806"/>
      <c r="W4851" s="806"/>
      <c r="AZ4851" s="806"/>
      <c r="BA4851" s="806"/>
      <c r="BB4851" s="806"/>
    </row>
    <row r="4852" spans="4:54">
      <c r="D4852" s="806"/>
      <c r="F4852" s="806"/>
      <c r="W4852" s="806"/>
      <c r="AZ4852" s="806"/>
      <c r="BA4852" s="806"/>
      <c r="BB4852" s="806"/>
    </row>
    <row r="4853" spans="4:54">
      <c r="D4853" s="806"/>
      <c r="F4853" s="806"/>
      <c r="W4853" s="806"/>
      <c r="AZ4853" s="806"/>
      <c r="BA4853" s="806"/>
      <c r="BB4853" s="806"/>
    </row>
    <row r="4854" spans="4:54">
      <c r="D4854" s="806"/>
      <c r="F4854" s="806"/>
      <c r="W4854" s="806"/>
      <c r="AZ4854" s="806"/>
      <c r="BA4854" s="806"/>
      <c r="BB4854" s="806"/>
    </row>
    <row r="4855" spans="4:54">
      <c r="D4855" s="806"/>
      <c r="F4855" s="806"/>
      <c r="W4855" s="806"/>
      <c r="AZ4855" s="806"/>
      <c r="BA4855" s="806"/>
      <c r="BB4855" s="806"/>
    </row>
    <row r="4856" spans="4:54">
      <c r="D4856" s="806"/>
      <c r="F4856" s="806"/>
      <c r="W4856" s="806"/>
      <c r="AZ4856" s="806"/>
      <c r="BA4856" s="806"/>
      <c r="BB4856" s="806"/>
    </row>
    <row r="4857" spans="4:54">
      <c r="D4857" s="806"/>
      <c r="F4857" s="806"/>
      <c r="W4857" s="806"/>
      <c r="AZ4857" s="806"/>
      <c r="BA4857" s="806"/>
      <c r="BB4857" s="806"/>
    </row>
    <row r="4858" spans="4:54">
      <c r="D4858" s="806"/>
      <c r="F4858" s="806"/>
      <c r="W4858" s="806"/>
      <c r="AZ4858" s="806"/>
      <c r="BA4858" s="806"/>
      <c r="BB4858" s="806"/>
    </row>
    <row r="4859" spans="4:54">
      <c r="D4859" s="806"/>
      <c r="F4859" s="806"/>
      <c r="W4859" s="806"/>
      <c r="AZ4859" s="806"/>
      <c r="BA4859" s="806"/>
      <c r="BB4859" s="806"/>
    </row>
    <row r="4860" spans="4:54">
      <c r="D4860" s="806"/>
      <c r="F4860" s="806"/>
      <c r="W4860" s="806"/>
      <c r="AZ4860" s="806"/>
      <c r="BA4860" s="806"/>
      <c r="BB4860" s="806"/>
    </row>
    <row r="4861" spans="4:54">
      <c r="D4861" s="806"/>
      <c r="F4861" s="806"/>
      <c r="W4861" s="806"/>
      <c r="AZ4861" s="806"/>
      <c r="BA4861" s="806"/>
      <c r="BB4861" s="806"/>
    </row>
    <row r="4862" spans="4:54">
      <c r="D4862" s="806"/>
      <c r="F4862" s="806"/>
      <c r="W4862" s="806"/>
      <c r="AZ4862" s="806"/>
      <c r="BA4862" s="806"/>
      <c r="BB4862" s="806"/>
    </row>
    <row r="4863" spans="4:54">
      <c r="D4863" s="806"/>
      <c r="F4863" s="806"/>
      <c r="W4863" s="806"/>
      <c r="AZ4863" s="806"/>
      <c r="BA4863" s="806"/>
      <c r="BB4863" s="806"/>
    </row>
    <row r="4864" spans="4:54">
      <c r="D4864" s="806"/>
      <c r="F4864" s="806"/>
      <c r="W4864" s="806"/>
      <c r="AZ4864" s="806"/>
      <c r="BA4864" s="806"/>
      <c r="BB4864" s="806"/>
    </row>
    <row r="4865" spans="4:54">
      <c r="D4865" s="806"/>
      <c r="F4865" s="806"/>
      <c r="W4865" s="806"/>
      <c r="AZ4865" s="806"/>
      <c r="BA4865" s="806"/>
      <c r="BB4865" s="806"/>
    </row>
    <row r="4866" spans="4:54">
      <c r="D4866" s="806"/>
      <c r="F4866" s="806"/>
      <c r="W4866" s="806"/>
      <c r="AZ4866" s="806"/>
      <c r="BA4866" s="806"/>
      <c r="BB4866" s="806"/>
    </row>
    <row r="4867" spans="4:54">
      <c r="D4867" s="806"/>
      <c r="F4867" s="806"/>
      <c r="W4867" s="806"/>
      <c r="AZ4867" s="806"/>
      <c r="BA4867" s="806"/>
      <c r="BB4867" s="806"/>
    </row>
    <row r="4868" spans="4:54">
      <c r="D4868" s="806"/>
      <c r="F4868" s="806"/>
      <c r="W4868" s="806"/>
      <c r="AZ4868" s="806"/>
      <c r="BA4868" s="806"/>
      <c r="BB4868" s="806"/>
    </row>
    <row r="4869" spans="4:54">
      <c r="D4869" s="806"/>
      <c r="F4869" s="806"/>
      <c r="W4869" s="806"/>
      <c r="AZ4869" s="806"/>
      <c r="BA4869" s="806"/>
      <c r="BB4869" s="806"/>
    </row>
    <row r="4870" spans="4:54">
      <c r="D4870" s="806"/>
      <c r="F4870" s="806"/>
      <c r="W4870" s="806"/>
      <c r="AZ4870" s="806"/>
      <c r="BA4870" s="806"/>
      <c r="BB4870" s="806"/>
    </row>
    <row r="4871" spans="4:54">
      <c r="D4871" s="806"/>
      <c r="F4871" s="806"/>
      <c r="W4871" s="806"/>
      <c r="AZ4871" s="806"/>
      <c r="BA4871" s="806"/>
      <c r="BB4871" s="806"/>
    </row>
    <row r="4872" spans="4:54">
      <c r="D4872" s="806"/>
      <c r="F4872" s="806"/>
      <c r="W4872" s="806"/>
      <c r="AZ4872" s="806"/>
      <c r="BA4872" s="806"/>
      <c r="BB4872" s="806"/>
    </row>
    <row r="4873" spans="4:54">
      <c r="D4873" s="806"/>
      <c r="F4873" s="806"/>
      <c r="W4873" s="806"/>
      <c r="AZ4873" s="806"/>
      <c r="BA4873" s="806"/>
      <c r="BB4873" s="806"/>
    </row>
    <row r="4874" spans="4:54">
      <c r="D4874" s="806"/>
      <c r="F4874" s="806"/>
      <c r="W4874" s="806"/>
      <c r="AZ4874" s="806"/>
      <c r="BA4874" s="806"/>
      <c r="BB4874" s="806"/>
    </row>
    <row r="4875" spans="4:54">
      <c r="D4875" s="806"/>
      <c r="F4875" s="806"/>
      <c r="W4875" s="806"/>
      <c r="AZ4875" s="806"/>
      <c r="BA4875" s="806"/>
      <c r="BB4875" s="806"/>
    </row>
    <row r="4876" spans="4:54">
      <c r="D4876" s="806"/>
      <c r="F4876" s="806"/>
      <c r="W4876" s="806"/>
      <c r="AZ4876" s="806"/>
      <c r="BA4876" s="806"/>
      <c r="BB4876" s="806"/>
    </row>
    <row r="4877" spans="4:54">
      <c r="D4877" s="806"/>
      <c r="F4877" s="806"/>
      <c r="W4877" s="806"/>
      <c r="AZ4877" s="806"/>
      <c r="BA4877" s="806"/>
      <c r="BB4877" s="806"/>
    </row>
    <row r="4878" spans="4:54">
      <c r="D4878" s="806"/>
      <c r="F4878" s="806"/>
      <c r="W4878" s="806"/>
      <c r="AZ4878" s="806"/>
      <c r="BA4878" s="806"/>
      <c r="BB4878" s="806"/>
    </row>
    <row r="4879" spans="4:54">
      <c r="D4879" s="806"/>
      <c r="F4879" s="806"/>
      <c r="W4879" s="806"/>
      <c r="AZ4879" s="806"/>
      <c r="BA4879" s="806"/>
      <c r="BB4879" s="806"/>
    </row>
    <row r="4880" spans="4:54">
      <c r="D4880" s="806"/>
      <c r="F4880" s="806"/>
      <c r="W4880" s="806"/>
      <c r="AZ4880" s="806"/>
      <c r="BA4880" s="806"/>
      <c r="BB4880" s="806"/>
    </row>
    <row r="4881" spans="4:54">
      <c r="D4881" s="806"/>
      <c r="F4881" s="806"/>
      <c r="W4881" s="806"/>
      <c r="AZ4881" s="806"/>
      <c r="BA4881" s="806"/>
      <c r="BB4881" s="806"/>
    </row>
    <row r="4882" spans="4:54">
      <c r="D4882" s="806"/>
      <c r="F4882" s="806"/>
      <c r="W4882" s="806"/>
      <c r="AZ4882" s="806"/>
      <c r="BA4882" s="806"/>
      <c r="BB4882" s="806"/>
    </row>
    <row r="4883" spans="4:54">
      <c r="D4883" s="806"/>
      <c r="F4883" s="806"/>
      <c r="W4883" s="806"/>
      <c r="AZ4883" s="806"/>
      <c r="BA4883" s="806"/>
      <c r="BB4883" s="806"/>
    </row>
    <row r="4884" spans="4:54">
      <c r="D4884" s="806"/>
      <c r="F4884" s="806"/>
      <c r="W4884" s="806"/>
      <c r="AZ4884" s="806"/>
      <c r="BA4884" s="806"/>
      <c r="BB4884" s="806"/>
    </row>
    <row r="4891" spans="4:54">
      <c r="D4891" s="806"/>
      <c r="F4891" s="806"/>
      <c r="W4891" s="806"/>
      <c r="AZ4891" s="806"/>
      <c r="BA4891" s="806"/>
      <c r="BB4891" s="806"/>
    </row>
    <row r="4892" spans="4:54">
      <c r="D4892" s="806"/>
      <c r="F4892" s="806"/>
      <c r="W4892" s="806"/>
      <c r="AZ4892" s="806"/>
      <c r="BA4892" s="806"/>
      <c r="BB4892" s="806"/>
    </row>
    <row r="4893" spans="4:54">
      <c r="D4893" s="806"/>
      <c r="F4893" s="806"/>
      <c r="W4893" s="806"/>
      <c r="AZ4893" s="806"/>
      <c r="BA4893" s="806"/>
      <c r="BB4893" s="806"/>
    </row>
    <row r="4894" spans="4:54">
      <c r="D4894" s="806"/>
      <c r="F4894" s="806"/>
      <c r="W4894" s="806"/>
      <c r="AZ4894" s="806"/>
      <c r="BA4894" s="806"/>
      <c r="BB4894" s="806"/>
    </row>
    <row r="4895" spans="4:54">
      <c r="D4895" s="806"/>
      <c r="F4895" s="806"/>
      <c r="W4895" s="806"/>
      <c r="AZ4895" s="806"/>
      <c r="BA4895" s="806"/>
      <c r="BB4895" s="806"/>
    </row>
    <row r="4896" spans="4:54">
      <c r="D4896" s="806"/>
      <c r="F4896" s="806"/>
      <c r="W4896" s="806"/>
      <c r="AZ4896" s="806"/>
      <c r="BA4896" s="806"/>
      <c r="BB4896" s="806"/>
    </row>
    <row r="4897" spans="4:54">
      <c r="D4897" s="806"/>
      <c r="F4897" s="806"/>
      <c r="W4897" s="806"/>
      <c r="AZ4897" s="806"/>
      <c r="BA4897" s="806"/>
      <c r="BB4897" s="806"/>
    </row>
    <row r="4898" spans="4:54">
      <c r="D4898" s="806"/>
      <c r="F4898" s="806"/>
      <c r="W4898" s="806"/>
      <c r="AZ4898" s="806"/>
      <c r="BA4898" s="806"/>
      <c r="BB4898" s="806"/>
    </row>
    <row r="4899" spans="4:54">
      <c r="D4899" s="806"/>
      <c r="F4899" s="806"/>
      <c r="W4899" s="806"/>
      <c r="AZ4899" s="806"/>
      <c r="BA4899" s="806"/>
      <c r="BB4899" s="806"/>
    </row>
    <row r="4900" spans="4:54">
      <c r="D4900" s="806"/>
      <c r="F4900" s="806"/>
      <c r="W4900" s="806"/>
      <c r="AZ4900" s="806"/>
      <c r="BA4900" s="806"/>
      <c r="BB4900" s="806"/>
    </row>
    <row r="4901" spans="4:54">
      <c r="D4901" s="806"/>
      <c r="F4901" s="806"/>
      <c r="W4901" s="806"/>
      <c r="AZ4901" s="806"/>
      <c r="BA4901" s="806"/>
      <c r="BB4901" s="806"/>
    </row>
    <row r="4902" spans="4:54">
      <c r="D4902" s="806"/>
      <c r="F4902" s="806"/>
      <c r="W4902" s="806"/>
      <c r="AZ4902" s="806"/>
      <c r="BA4902" s="806"/>
      <c r="BB4902" s="806"/>
    </row>
    <row r="4903" spans="4:54">
      <c r="D4903" s="806"/>
      <c r="F4903" s="806"/>
      <c r="W4903" s="806"/>
      <c r="AZ4903" s="806"/>
      <c r="BA4903" s="806"/>
      <c r="BB4903" s="806"/>
    </row>
    <row r="4904" spans="4:54">
      <c r="D4904" s="806"/>
      <c r="F4904" s="806"/>
      <c r="W4904" s="806"/>
      <c r="AZ4904" s="806"/>
      <c r="BA4904" s="806"/>
      <c r="BB4904" s="806"/>
    </row>
    <row r="4905" spans="4:54">
      <c r="D4905" s="806"/>
      <c r="F4905" s="806"/>
      <c r="W4905" s="806"/>
      <c r="AZ4905" s="806"/>
      <c r="BA4905" s="806"/>
      <c r="BB4905" s="806"/>
    </row>
    <row r="4906" spans="4:54">
      <c r="D4906" s="806"/>
      <c r="F4906" s="806"/>
      <c r="W4906" s="806"/>
      <c r="AZ4906" s="806"/>
      <c r="BA4906" s="806"/>
      <c r="BB4906" s="806"/>
    </row>
    <row r="4907" spans="4:54">
      <c r="D4907" s="806"/>
      <c r="F4907" s="806"/>
      <c r="W4907" s="806"/>
      <c r="AZ4907" s="806"/>
      <c r="BA4907" s="806"/>
      <c r="BB4907" s="806"/>
    </row>
    <row r="4908" spans="4:54">
      <c r="D4908" s="806"/>
      <c r="F4908" s="806"/>
      <c r="W4908" s="806"/>
      <c r="AZ4908" s="806"/>
      <c r="BA4908" s="806"/>
      <c r="BB4908" s="806"/>
    </row>
    <row r="4909" spans="4:54">
      <c r="D4909" s="806"/>
      <c r="F4909" s="806"/>
      <c r="W4909" s="806"/>
      <c r="AZ4909" s="806"/>
      <c r="BA4909" s="806"/>
      <c r="BB4909" s="806"/>
    </row>
    <row r="4910" spans="4:54">
      <c r="D4910" s="806"/>
      <c r="F4910" s="806"/>
      <c r="W4910" s="806"/>
      <c r="AZ4910" s="806"/>
      <c r="BA4910" s="806"/>
      <c r="BB4910" s="806"/>
    </row>
    <row r="4911" spans="4:54">
      <c r="D4911" s="806"/>
      <c r="F4911" s="806"/>
      <c r="W4911" s="806"/>
      <c r="AZ4911" s="806"/>
      <c r="BA4911" s="806"/>
      <c r="BB4911" s="806"/>
    </row>
    <row r="4912" spans="4:54">
      <c r="D4912" s="806"/>
      <c r="F4912" s="806"/>
      <c r="W4912" s="806"/>
      <c r="AZ4912" s="806"/>
      <c r="BA4912" s="806"/>
      <c r="BB4912" s="806"/>
    </row>
    <row r="4913" spans="4:54">
      <c r="D4913" s="806"/>
      <c r="F4913" s="806"/>
      <c r="W4913" s="806"/>
      <c r="AZ4913" s="806"/>
      <c r="BA4913" s="806"/>
      <c r="BB4913" s="806"/>
    </row>
    <row r="4914" spans="4:54">
      <c r="D4914" s="806"/>
      <c r="F4914" s="806"/>
      <c r="W4914" s="806"/>
      <c r="AZ4914" s="806"/>
      <c r="BA4914" s="806"/>
      <c r="BB4914" s="806"/>
    </row>
    <row r="4915" spans="4:54">
      <c r="D4915" s="806"/>
      <c r="F4915" s="806"/>
      <c r="W4915" s="806"/>
      <c r="AZ4915" s="806"/>
      <c r="BA4915" s="806"/>
      <c r="BB4915" s="806"/>
    </row>
    <row r="4916" spans="4:54">
      <c r="D4916" s="806"/>
      <c r="F4916" s="806"/>
      <c r="W4916" s="806"/>
      <c r="AZ4916" s="806"/>
      <c r="BA4916" s="806"/>
      <c r="BB4916" s="806"/>
    </row>
    <row r="4917" spans="4:54">
      <c r="D4917" s="806"/>
      <c r="F4917" s="806"/>
      <c r="W4917" s="806"/>
      <c r="AZ4917" s="806"/>
      <c r="BA4917" s="806"/>
      <c r="BB4917" s="806"/>
    </row>
    <row r="4918" spans="4:54">
      <c r="D4918" s="806"/>
      <c r="F4918" s="806"/>
      <c r="W4918" s="806"/>
      <c r="AZ4918" s="806"/>
      <c r="BA4918" s="806"/>
      <c r="BB4918" s="806"/>
    </row>
    <row r="4919" spans="4:54">
      <c r="D4919" s="806"/>
      <c r="F4919" s="806"/>
      <c r="W4919" s="806"/>
      <c r="AZ4919" s="806"/>
      <c r="BA4919" s="806"/>
      <c r="BB4919" s="806"/>
    </row>
    <row r="4920" spans="4:54">
      <c r="D4920" s="806"/>
      <c r="F4920" s="806"/>
      <c r="W4920" s="806"/>
      <c r="AZ4920" s="806"/>
      <c r="BA4920" s="806"/>
      <c r="BB4920" s="806"/>
    </row>
    <row r="4921" spans="4:54">
      <c r="D4921" s="806"/>
      <c r="F4921" s="806"/>
      <c r="W4921" s="806"/>
      <c r="AZ4921" s="806"/>
      <c r="BA4921" s="806"/>
      <c r="BB4921" s="806"/>
    </row>
    <row r="4922" spans="4:54">
      <c r="D4922" s="806"/>
      <c r="F4922" s="806"/>
      <c r="W4922" s="806"/>
      <c r="AZ4922" s="806"/>
      <c r="BA4922" s="806"/>
      <c r="BB4922" s="806"/>
    </row>
    <row r="4923" spans="4:54">
      <c r="D4923" s="806"/>
      <c r="F4923" s="806"/>
      <c r="W4923" s="806"/>
      <c r="AZ4923" s="806"/>
      <c r="BA4923" s="806"/>
      <c r="BB4923" s="806"/>
    </row>
    <row r="4924" spans="4:54">
      <c r="D4924" s="806"/>
      <c r="F4924" s="806"/>
      <c r="W4924" s="806"/>
      <c r="AZ4924" s="806"/>
      <c r="BA4924" s="806"/>
      <c r="BB4924" s="806"/>
    </row>
    <row r="4925" spans="4:54">
      <c r="D4925" s="806"/>
      <c r="F4925" s="806"/>
      <c r="W4925" s="806"/>
      <c r="AZ4925" s="806"/>
      <c r="BA4925" s="806"/>
      <c r="BB4925" s="806"/>
    </row>
    <row r="4926" spans="4:54">
      <c r="D4926" s="806"/>
      <c r="F4926" s="806"/>
      <c r="W4926" s="806"/>
      <c r="AZ4926" s="806"/>
      <c r="BA4926" s="806"/>
      <c r="BB4926" s="806"/>
    </row>
    <row r="4927" spans="4:54">
      <c r="D4927" s="806"/>
      <c r="F4927" s="806"/>
      <c r="W4927" s="806"/>
      <c r="AZ4927" s="806"/>
      <c r="BA4927" s="806"/>
      <c r="BB4927" s="806"/>
    </row>
    <row r="4928" spans="4:54">
      <c r="D4928" s="806"/>
      <c r="F4928" s="806"/>
      <c r="W4928" s="806"/>
      <c r="AZ4928" s="806"/>
      <c r="BA4928" s="806"/>
      <c r="BB4928" s="806"/>
    </row>
    <row r="4929" spans="4:54">
      <c r="D4929" s="806"/>
      <c r="F4929" s="806"/>
      <c r="W4929" s="806"/>
      <c r="AZ4929" s="806"/>
      <c r="BA4929" s="806"/>
      <c r="BB4929" s="806"/>
    </row>
    <row r="4930" spans="4:54">
      <c r="D4930" s="806"/>
      <c r="F4930" s="806"/>
      <c r="W4930" s="806"/>
      <c r="AZ4930" s="806"/>
      <c r="BA4930" s="806"/>
      <c r="BB4930" s="806"/>
    </row>
    <row r="4931" spans="4:54">
      <c r="D4931" s="806"/>
      <c r="F4931" s="806"/>
      <c r="W4931" s="806"/>
      <c r="AZ4931" s="806"/>
      <c r="BA4931" s="806"/>
      <c r="BB4931" s="806"/>
    </row>
    <row r="4932" spans="4:54">
      <c r="D4932" s="806"/>
      <c r="F4932" s="806"/>
      <c r="W4932" s="806"/>
      <c r="AZ4932" s="806"/>
      <c r="BA4932" s="806"/>
      <c r="BB4932" s="806"/>
    </row>
    <row r="4933" spans="4:54">
      <c r="D4933" s="806"/>
      <c r="F4933" s="806"/>
      <c r="W4933" s="806"/>
      <c r="AZ4933" s="806"/>
      <c r="BA4933" s="806"/>
      <c r="BB4933" s="806"/>
    </row>
    <row r="4934" spans="4:54">
      <c r="D4934" s="806"/>
      <c r="F4934" s="806"/>
      <c r="W4934" s="806"/>
      <c r="AZ4934" s="806"/>
      <c r="BA4934" s="806"/>
      <c r="BB4934" s="806"/>
    </row>
    <row r="4935" spans="4:54">
      <c r="D4935" s="806"/>
      <c r="F4935" s="806"/>
      <c r="W4935" s="806"/>
      <c r="AZ4935" s="806"/>
      <c r="BA4935" s="806"/>
      <c r="BB4935" s="806"/>
    </row>
    <row r="4936" spans="4:54">
      <c r="D4936" s="806"/>
      <c r="F4936" s="806"/>
      <c r="W4936" s="806"/>
      <c r="AZ4936" s="806"/>
      <c r="BA4936" s="806"/>
      <c r="BB4936" s="806"/>
    </row>
    <row r="4937" spans="4:54">
      <c r="D4937" s="806"/>
      <c r="F4937" s="806"/>
      <c r="W4937" s="806"/>
      <c r="AZ4937" s="806"/>
      <c r="BA4937" s="806"/>
      <c r="BB4937" s="806"/>
    </row>
    <row r="4938" spans="4:54">
      <c r="D4938" s="806"/>
      <c r="F4938" s="806"/>
      <c r="W4938" s="806"/>
      <c r="AZ4938" s="806"/>
      <c r="BA4938" s="806"/>
      <c r="BB4938" s="806"/>
    </row>
    <row r="4939" spans="4:54">
      <c r="D4939" s="806"/>
      <c r="F4939" s="806"/>
      <c r="W4939" s="806"/>
      <c r="AZ4939" s="806"/>
      <c r="BA4939" s="806"/>
      <c r="BB4939" s="806"/>
    </row>
    <row r="4940" spans="4:54">
      <c r="D4940" s="806"/>
      <c r="F4940" s="806"/>
      <c r="W4940" s="806"/>
      <c r="AZ4940" s="806"/>
      <c r="BA4940" s="806"/>
      <c r="BB4940" s="806"/>
    </row>
    <row r="4941" spans="4:54">
      <c r="D4941" s="806"/>
      <c r="F4941" s="806"/>
      <c r="W4941" s="806"/>
      <c r="AZ4941" s="806"/>
      <c r="BA4941" s="806"/>
      <c r="BB4941" s="806"/>
    </row>
    <row r="4942" spans="4:54">
      <c r="D4942" s="806"/>
      <c r="F4942" s="806"/>
      <c r="W4942" s="806"/>
      <c r="AZ4942" s="806"/>
      <c r="BA4942" s="806"/>
      <c r="BB4942" s="806"/>
    </row>
    <row r="4943" spans="4:54">
      <c r="D4943" s="806"/>
      <c r="F4943" s="806"/>
      <c r="W4943" s="806"/>
      <c r="AZ4943" s="806"/>
      <c r="BA4943" s="806"/>
      <c r="BB4943" s="806"/>
    </row>
    <row r="4944" spans="4:54">
      <c r="D4944" s="806"/>
      <c r="F4944" s="806"/>
      <c r="W4944" s="806"/>
      <c r="AZ4944" s="806"/>
      <c r="BA4944" s="806"/>
      <c r="BB4944" s="806"/>
    </row>
    <row r="4945" spans="4:54">
      <c r="D4945" s="806"/>
      <c r="F4945" s="806"/>
      <c r="W4945" s="806"/>
      <c r="AZ4945" s="806"/>
      <c r="BA4945" s="806"/>
      <c r="BB4945" s="806"/>
    </row>
    <row r="4946" spans="4:54">
      <c r="D4946" s="806"/>
      <c r="F4946" s="806"/>
      <c r="W4946" s="806"/>
      <c r="AZ4946" s="806"/>
      <c r="BA4946" s="806"/>
      <c r="BB4946" s="806"/>
    </row>
    <row r="4947" spans="4:54">
      <c r="D4947" s="806"/>
      <c r="F4947" s="806"/>
      <c r="W4947" s="806"/>
      <c r="AZ4947" s="806"/>
      <c r="BA4947" s="806"/>
      <c r="BB4947" s="806"/>
    </row>
    <row r="4948" spans="4:54">
      <c r="D4948" s="806"/>
      <c r="F4948" s="806"/>
      <c r="W4948" s="806"/>
      <c r="AZ4948" s="806"/>
      <c r="BA4948" s="806"/>
      <c r="BB4948" s="806"/>
    </row>
    <row r="4949" spans="4:54">
      <c r="D4949" s="806"/>
      <c r="F4949" s="806"/>
      <c r="W4949" s="806"/>
      <c r="AZ4949" s="806"/>
      <c r="BA4949" s="806"/>
      <c r="BB4949" s="806"/>
    </row>
    <row r="4950" spans="4:54">
      <c r="D4950" s="806"/>
      <c r="F4950" s="806"/>
      <c r="W4950" s="806"/>
      <c r="AZ4950" s="806"/>
      <c r="BA4950" s="806"/>
      <c r="BB4950" s="806"/>
    </row>
    <row r="4951" spans="4:54">
      <c r="D4951" s="806"/>
      <c r="F4951" s="806"/>
      <c r="W4951" s="806"/>
      <c r="AZ4951" s="806"/>
      <c r="BA4951" s="806"/>
      <c r="BB4951" s="806"/>
    </row>
    <row r="4952" spans="4:54">
      <c r="D4952" s="806"/>
      <c r="F4952" s="806"/>
      <c r="W4952" s="806"/>
      <c r="AZ4952" s="806"/>
      <c r="BA4952" s="806"/>
      <c r="BB4952" s="806"/>
    </row>
    <row r="4953" spans="4:54">
      <c r="D4953" s="806"/>
      <c r="F4953" s="806"/>
      <c r="W4953" s="806"/>
      <c r="AZ4953" s="806"/>
      <c r="BA4953" s="806"/>
      <c r="BB4953" s="806"/>
    </row>
    <row r="4954" spans="4:54">
      <c r="D4954" s="806"/>
      <c r="F4954" s="806"/>
      <c r="W4954" s="806"/>
      <c r="AZ4954" s="806"/>
      <c r="BA4954" s="806"/>
      <c r="BB4954" s="806"/>
    </row>
    <row r="4955" spans="4:54">
      <c r="D4955" s="806"/>
      <c r="F4955" s="806"/>
      <c r="W4955" s="806"/>
      <c r="AZ4955" s="806"/>
      <c r="BA4955" s="806"/>
      <c r="BB4955" s="806"/>
    </row>
    <row r="4956" spans="4:54">
      <c r="D4956" s="806"/>
      <c r="F4956" s="806"/>
      <c r="W4956" s="806"/>
      <c r="AZ4956" s="806"/>
      <c r="BA4956" s="806"/>
      <c r="BB4956" s="806"/>
    </row>
    <row r="4957" spans="4:54">
      <c r="D4957" s="806"/>
      <c r="F4957" s="806"/>
      <c r="W4957" s="806"/>
      <c r="AZ4957" s="806"/>
      <c r="BA4957" s="806"/>
      <c r="BB4957" s="806"/>
    </row>
    <row r="4958" spans="4:54">
      <c r="D4958" s="806"/>
      <c r="F4958" s="806"/>
      <c r="W4958" s="806"/>
      <c r="AZ4958" s="806"/>
      <c r="BA4958" s="806"/>
      <c r="BB4958" s="806"/>
    </row>
    <row r="4959" spans="4:54">
      <c r="D4959" s="806"/>
      <c r="F4959" s="806"/>
      <c r="W4959" s="806"/>
      <c r="AZ4959" s="806"/>
      <c r="BA4959" s="806"/>
      <c r="BB4959" s="806"/>
    </row>
    <row r="4960" spans="4:54">
      <c r="D4960" s="806"/>
      <c r="F4960" s="806"/>
      <c r="W4960" s="806"/>
      <c r="AZ4960" s="806"/>
      <c r="BA4960" s="806"/>
      <c r="BB4960" s="806"/>
    </row>
    <row r="4961" spans="4:54">
      <c r="D4961" s="806"/>
      <c r="F4961" s="806"/>
      <c r="W4961" s="806"/>
      <c r="AZ4961" s="806"/>
      <c r="BA4961" s="806"/>
      <c r="BB4961" s="806"/>
    </row>
    <row r="4962" spans="4:54">
      <c r="D4962" s="806"/>
      <c r="F4962" s="806"/>
      <c r="W4962" s="806"/>
      <c r="AZ4962" s="806"/>
      <c r="BA4962" s="806"/>
      <c r="BB4962" s="806"/>
    </row>
    <row r="4963" spans="4:54">
      <c r="D4963" s="806"/>
      <c r="F4963" s="806"/>
      <c r="W4963" s="806"/>
      <c r="AZ4963" s="806"/>
      <c r="BA4963" s="806"/>
      <c r="BB4963" s="806"/>
    </row>
    <row r="4964" spans="4:54">
      <c r="D4964" s="806"/>
      <c r="F4964" s="806"/>
      <c r="W4964" s="806"/>
      <c r="AZ4964" s="806"/>
      <c r="BA4964" s="806"/>
      <c r="BB4964" s="806"/>
    </row>
    <row r="4965" spans="4:54">
      <c r="D4965" s="806"/>
      <c r="F4965" s="806"/>
      <c r="W4965" s="806"/>
      <c r="AZ4965" s="806"/>
      <c r="BA4965" s="806"/>
      <c r="BB4965" s="806"/>
    </row>
    <row r="4966" spans="4:54">
      <c r="D4966" s="806"/>
      <c r="F4966" s="806"/>
      <c r="W4966" s="806"/>
      <c r="AZ4966" s="806"/>
      <c r="BA4966" s="806"/>
      <c r="BB4966" s="806"/>
    </row>
    <row r="4967" spans="4:54">
      <c r="D4967" s="806"/>
      <c r="F4967" s="806"/>
      <c r="W4967" s="806"/>
      <c r="AZ4967" s="806"/>
      <c r="BA4967" s="806"/>
      <c r="BB4967" s="806"/>
    </row>
    <row r="4968" spans="4:54">
      <c r="D4968" s="806"/>
      <c r="F4968" s="806"/>
      <c r="W4968" s="806"/>
      <c r="AZ4968" s="806"/>
      <c r="BA4968" s="806"/>
      <c r="BB4968" s="806"/>
    </row>
    <row r="4969" spans="4:54">
      <c r="D4969" s="806"/>
      <c r="F4969" s="806"/>
      <c r="W4969" s="806"/>
      <c r="AZ4969" s="806"/>
      <c r="BA4969" s="806"/>
      <c r="BB4969" s="806"/>
    </row>
    <row r="4970" spans="4:54">
      <c r="D4970" s="806"/>
      <c r="F4970" s="806"/>
      <c r="W4970" s="806"/>
      <c r="AZ4970" s="806"/>
      <c r="BA4970" s="806"/>
      <c r="BB4970" s="806"/>
    </row>
    <row r="4971" spans="4:54">
      <c r="D4971" s="806"/>
      <c r="F4971" s="806"/>
      <c r="W4971" s="806"/>
      <c r="AZ4971" s="806"/>
      <c r="BA4971" s="806"/>
      <c r="BB4971" s="806"/>
    </row>
    <row r="4972" spans="4:54">
      <c r="D4972" s="806"/>
      <c r="F4972" s="806"/>
      <c r="W4972" s="806"/>
      <c r="AZ4972" s="806"/>
      <c r="BA4972" s="806"/>
      <c r="BB4972" s="806"/>
    </row>
    <row r="4973" spans="4:54">
      <c r="D4973" s="806"/>
      <c r="F4973" s="806"/>
      <c r="W4973" s="806"/>
      <c r="AZ4973" s="806"/>
      <c r="BA4973" s="806"/>
      <c r="BB4973" s="806"/>
    </row>
    <row r="4974" spans="4:54">
      <c r="D4974" s="806"/>
      <c r="F4974" s="806"/>
      <c r="W4974" s="806"/>
      <c r="AZ4974" s="806"/>
      <c r="BA4974" s="806"/>
      <c r="BB4974" s="806"/>
    </row>
    <row r="4975" spans="4:54">
      <c r="D4975" s="806"/>
      <c r="F4975" s="806"/>
      <c r="W4975" s="806"/>
      <c r="AZ4975" s="806"/>
      <c r="BA4975" s="806"/>
      <c r="BB4975" s="806"/>
    </row>
    <row r="4976" spans="4:54">
      <c r="D4976" s="806"/>
      <c r="F4976" s="806"/>
      <c r="W4976" s="806"/>
      <c r="AZ4976" s="806"/>
      <c r="BA4976" s="806"/>
      <c r="BB4976" s="806"/>
    </row>
    <row r="4977" spans="4:54">
      <c r="D4977" s="806"/>
      <c r="F4977" s="806"/>
      <c r="W4977" s="806"/>
      <c r="AZ4977" s="806"/>
      <c r="BA4977" s="806"/>
      <c r="BB4977" s="806"/>
    </row>
    <row r="4978" spans="4:54">
      <c r="D4978" s="806"/>
      <c r="F4978" s="806"/>
      <c r="W4978" s="806"/>
      <c r="AZ4978" s="806"/>
      <c r="BA4978" s="806"/>
      <c r="BB4978" s="806"/>
    </row>
    <row r="4979" spans="4:54">
      <c r="D4979" s="806"/>
      <c r="F4979" s="806"/>
      <c r="W4979" s="806"/>
      <c r="AZ4979" s="806"/>
      <c r="BA4979" s="806"/>
      <c r="BB4979" s="806"/>
    </row>
    <row r="4980" spans="4:54">
      <c r="D4980" s="806"/>
      <c r="F4980" s="806"/>
      <c r="W4980" s="806"/>
      <c r="AZ4980" s="806"/>
      <c r="BA4980" s="806"/>
      <c r="BB4980" s="806"/>
    </row>
    <row r="4981" spans="4:54">
      <c r="D4981" s="806"/>
      <c r="F4981" s="806"/>
      <c r="W4981" s="806"/>
      <c r="AZ4981" s="806"/>
      <c r="BA4981" s="806"/>
      <c r="BB4981" s="806"/>
    </row>
    <row r="4982" spans="4:54">
      <c r="D4982" s="806"/>
      <c r="F4982" s="806"/>
      <c r="W4982" s="806"/>
      <c r="AZ4982" s="806"/>
      <c r="BA4982" s="806"/>
      <c r="BB4982" s="806"/>
    </row>
    <row r="4983" spans="4:54">
      <c r="D4983" s="806"/>
      <c r="F4983" s="806"/>
      <c r="W4983" s="806"/>
      <c r="AZ4983" s="806"/>
      <c r="BA4983" s="806"/>
      <c r="BB4983" s="806"/>
    </row>
    <row r="4984" spans="4:54">
      <c r="D4984" s="806"/>
      <c r="F4984" s="806"/>
      <c r="W4984" s="806"/>
      <c r="AZ4984" s="806"/>
      <c r="BA4984" s="806"/>
      <c r="BB4984" s="806"/>
    </row>
    <row r="4985" spans="4:54">
      <c r="D4985" s="806"/>
      <c r="F4985" s="806"/>
      <c r="W4985" s="806"/>
      <c r="AZ4985" s="806"/>
      <c r="BA4985" s="806"/>
      <c r="BB4985" s="806"/>
    </row>
    <row r="4986" spans="4:54">
      <c r="D4986" s="806"/>
      <c r="F4986" s="806"/>
      <c r="W4986" s="806"/>
      <c r="AZ4986" s="806"/>
      <c r="BA4986" s="806"/>
      <c r="BB4986" s="806"/>
    </row>
    <row r="4987" spans="4:54">
      <c r="D4987" s="806"/>
      <c r="F4987" s="806"/>
      <c r="W4987" s="806"/>
      <c r="AZ4987" s="806"/>
      <c r="BA4987" s="806"/>
      <c r="BB4987" s="806"/>
    </row>
    <row r="4988" spans="4:54">
      <c r="D4988" s="806"/>
      <c r="F4988" s="806"/>
      <c r="W4988" s="806"/>
      <c r="AZ4988" s="806"/>
      <c r="BA4988" s="806"/>
      <c r="BB4988" s="806"/>
    </row>
    <row r="4989" spans="4:54">
      <c r="D4989" s="806"/>
      <c r="F4989" s="806"/>
      <c r="W4989" s="806"/>
      <c r="AZ4989" s="806"/>
      <c r="BA4989" s="806"/>
      <c r="BB4989" s="806"/>
    </row>
    <row r="4990" spans="4:54">
      <c r="D4990" s="806"/>
      <c r="F4990" s="806"/>
      <c r="W4990" s="806"/>
      <c r="AZ4990" s="806"/>
      <c r="BA4990" s="806"/>
      <c r="BB4990" s="806"/>
    </row>
    <row r="4991" spans="4:54">
      <c r="D4991" s="806"/>
      <c r="F4991" s="806"/>
      <c r="W4991" s="806"/>
      <c r="AZ4991" s="806"/>
      <c r="BA4991" s="806"/>
      <c r="BB4991" s="806"/>
    </row>
    <row r="4992" spans="4:54">
      <c r="D4992" s="806"/>
      <c r="F4992" s="806"/>
      <c r="W4992" s="806"/>
      <c r="AZ4992" s="806"/>
      <c r="BA4992" s="806"/>
      <c r="BB4992" s="806"/>
    </row>
    <row r="4993" spans="4:54">
      <c r="D4993" s="806"/>
      <c r="F4993" s="806"/>
      <c r="W4993" s="806"/>
      <c r="AZ4993" s="806"/>
      <c r="BA4993" s="806"/>
      <c r="BB4993" s="806"/>
    </row>
    <row r="4994" spans="4:54">
      <c r="D4994" s="806"/>
      <c r="F4994" s="806"/>
      <c r="W4994" s="806"/>
      <c r="AZ4994" s="806"/>
      <c r="BA4994" s="806"/>
      <c r="BB4994" s="806"/>
    </row>
    <row r="4995" spans="4:54">
      <c r="D4995" s="806"/>
      <c r="F4995" s="806"/>
      <c r="W4995" s="806"/>
      <c r="AZ4995" s="806"/>
      <c r="BA4995" s="806"/>
      <c r="BB4995" s="806"/>
    </row>
    <row r="4996" spans="4:54">
      <c r="D4996" s="806"/>
      <c r="F4996" s="806"/>
      <c r="W4996" s="806"/>
      <c r="AZ4996" s="806"/>
      <c r="BA4996" s="806"/>
      <c r="BB4996" s="806"/>
    </row>
    <row r="4997" spans="4:54">
      <c r="D4997" s="806"/>
      <c r="F4997" s="806"/>
      <c r="W4997" s="806"/>
      <c r="AZ4997" s="806"/>
      <c r="BA4997" s="806"/>
      <c r="BB4997" s="806"/>
    </row>
    <row r="4998" spans="4:54">
      <c r="D4998" s="806"/>
      <c r="F4998" s="806"/>
      <c r="W4998" s="806"/>
      <c r="AZ4998" s="806"/>
      <c r="BA4998" s="806"/>
      <c r="BB4998" s="806"/>
    </row>
    <row r="4999" spans="4:54">
      <c r="D4999" s="806"/>
      <c r="F4999" s="806"/>
      <c r="W4999" s="806"/>
      <c r="AZ4999" s="806"/>
      <c r="BA4999" s="806"/>
      <c r="BB4999" s="806"/>
    </row>
    <row r="5000" spans="4:54">
      <c r="D5000" s="806"/>
      <c r="F5000" s="806"/>
      <c r="W5000" s="806"/>
      <c r="AZ5000" s="806"/>
      <c r="BA5000" s="806"/>
      <c r="BB5000" s="806"/>
    </row>
    <row r="5001" spans="4:54">
      <c r="D5001" s="806"/>
      <c r="F5001" s="806"/>
      <c r="W5001" s="806"/>
      <c r="AZ5001" s="806"/>
      <c r="BA5001" s="806"/>
      <c r="BB5001" s="806"/>
    </row>
    <row r="5002" spans="4:54">
      <c r="D5002" s="806"/>
      <c r="F5002" s="806"/>
      <c r="W5002" s="806"/>
      <c r="AZ5002" s="806"/>
      <c r="BA5002" s="806"/>
      <c r="BB5002" s="806"/>
    </row>
    <row r="5003" spans="4:54">
      <c r="D5003" s="806"/>
      <c r="F5003" s="806"/>
      <c r="W5003" s="806"/>
      <c r="AZ5003" s="806"/>
      <c r="BA5003" s="806"/>
      <c r="BB5003" s="806"/>
    </row>
    <row r="5004" spans="4:54">
      <c r="D5004" s="806"/>
      <c r="F5004" s="806"/>
      <c r="W5004" s="806"/>
      <c r="AZ5004" s="806"/>
      <c r="BA5004" s="806"/>
      <c r="BB5004" s="806"/>
    </row>
    <row r="5005" spans="4:54">
      <c r="D5005" s="806"/>
      <c r="F5005" s="806"/>
      <c r="W5005" s="806"/>
      <c r="AZ5005" s="806"/>
      <c r="BA5005" s="806"/>
      <c r="BB5005" s="806"/>
    </row>
    <row r="5006" spans="4:54">
      <c r="D5006" s="806"/>
      <c r="F5006" s="806"/>
      <c r="W5006" s="806"/>
      <c r="AZ5006" s="806"/>
      <c r="BA5006" s="806"/>
      <c r="BB5006" s="806"/>
    </row>
    <row r="5007" spans="4:54">
      <c r="D5007" s="806"/>
      <c r="F5007" s="806"/>
      <c r="W5007" s="806"/>
      <c r="AZ5007" s="806"/>
      <c r="BA5007" s="806"/>
      <c r="BB5007" s="806"/>
    </row>
    <row r="5008" spans="4:54">
      <c r="D5008" s="806"/>
      <c r="F5008" s="806"/>
      <c r="W5008" s="806"/>
      <c r="AZ5008" s="806"/>
      <c r="BA5008" s="806"/>
      <c r="BB5008" s="806"/>
    </row>
    <row r="5009" spans="4:54">
      <c r="D5009" s="806"/>
      <c r="F5009" s="806"/>
      <c r="W5009" s="806"/>
      <c r="AZ5009" s="806"/>
      <c r="BA5009" s="806"/>
      <c r="BB5009" s="806"/>
    </row>
    <row r="5010" spans="4:54">
      <c r="D5010" s="806"/>
      <c r="F5010" s="806"/>
      <c r="W5010" s="806"/>
      <c r="AZ5010" s="806"/>
      <c r="BA5010" s="806"/>
      <c r="BB5010" s="806"/>
    </row>
    <row r="5011" spans="4:54">
      <c r="D5011" s="806"/>
      <c r="F5011" s="806"/>
      <c r="W5011" s="806"/>
      <c r="AZ5011" s="806"/>
      <c r="BA5011" s="806"/>
      <c r="BB5011" s="806"/>
    </row>
    <row r="5012" spans="4:54">
      <c r="D5012" s="806"/>
      <c r="F5012" s="806"/>
      <c r="W5012" s="806"/>
      <c r="AZ5012" s="806"/>
      <c r="BA5012" s="806"/>
      <c r="BB5012" s="806"/>
    </row>
    <row r="5013" spans="4:54">
      <c r="D5013" s="806"/>
      <c r="F5013" s="806"/>
      <c r="W5013" s="806"/>
      <c r="AZ5013" s="806"/>
      <c r="BA5013" s="806"/>
      <c r="BB5013" s="806"/>
    </row>
    <row r="5014" spans="4:54">
      <c r="D5014" s="806"/>
      <c r="F5014" s="806"/>
      <c r="W5014" s="806"/>
      <c r="AZ5014" s="806"/>
      <c r="BA5014" s="806"/>
      <c r="BB5014" s="806"/>
    </row>
    <row r="5015" spans="4:54">
      <c r="D5015" s="806"/>
      <c r="F5015" s="806"/>
      <c r="W5015" s="806"/>
      <c r="AZ5015" s="806"/>
      <c r="BA5015" s="806"/>
      <c r="BB5015" s="806"/>
    </row>
    <row r="5016" spans="4:54">
      <c r="D5016" s="806"/>
      <c r="F5016" s="806"/>
      <c r="W5016" s="806"/>
      <c r="AZ5016" s="806"/>
      <c r="BA5016" s="806"/>
      <c r="BB5016" s="806"/>
    </row>
    <row r="5017" spans="4:54">
      <c r="D5017" s="806"/>
      <c r="F5017" s="806"/>
      <c r="W5017" s="806"/>
      <c r="AZ5017" s="806"/>
      <c r="BA5017" s="806"/>
      <c r="BB5017" s="806"/>
    </row>
    <row r="5018" spans="4:54">
      <c r="D5018" s="806"/>
      <c r="F5018" s="806"/>
      <c r="W5018" s="806"/>
      <c r="AZ5018" s="806"/>
      <c r="BA5018" s="806"/>
      <c r="BB5018" s="806"/>
    </row>
    <row r="5019" spans="4:54">
      <c r="D5019" s="806"/>
      <c r="F5019" s="806"/>
      <c r="W5019" s="806"/>
      <c r="AZ5019" s="806"/>
      <c r="BA5019" s="806"/>
      <c r="BB5019" s="806"/>
    </row>
    <row r="5020" spans="4:54">
      <c r="D5020" s="806"/>
      <c r="F5020" s="806"/>
      <c r="W5020" s="806"/>
      <c r="AZ5020" s="806"/>
      <c r="BA5020" s="806"/>
      <c r="BB5020" s="806"/>
    </row>
    <row r="5021" spans="4:54">
      <c r="D5021" s="806"/>
      <c r="F5021" s="806"/>
      <c r="W5021" s="806"/>
      <c r="AZ5021" s="806"/>
      <c r="BA5021" s="806"/>
      <c r="BB5021" s="806"/>
    </row>
    <row r="5022" spans="4:54">
      <c r="D5022" s="806"/>
      <c r="F5022" s="806"/>
      <c r="W5022" s="806"/>
      <c r="AZ5022" s="806"/>
      <c r="BA5022" s="806"/>
      <c r="BB5022" s="806"/>
    </row>
    <row r="5023" spans="4:54">
      <c r="D5023" s="806"/>
      <c r="F5023" s="806"/>
      <c r="W5023" s="806"/>
      <c r="AZ5023" s="806"/>
      <c r="BA5023" s="806"/>
      <c r="BB5023" s="806"/>
    </row>
    <row r="5024" spans="4:54">
      <c r="D5024" s="806"/>
      <c r="F5024" s="806"/>
      <c r="W5024" s="806"/>
      <c r="AZ5024" s="806"/>
      <c r="BA5024" s="806"/>
      <c r="BB5024" s="806"/>
    </row>
    <row r="5025" spans="4:54">
      <c r="D5025" s="806"/>
      <c r="F5025" s="806"/>
      <c r="W5025" s="806"/>
      <c r="AZ5025" s="806"/>
      <c r="BA5025" s="806"/>
      <c r="BB5025" s="806"/>
    </row>
    <row r="5026" spans="4:54">
      <c r="D5026" s="806"/>
      <c r="F5026" s="806"/>
      <c r="W5026" s="806"/>
      <c r="AZ5026" s="806"/>
      <c r="BA5026" s="806"/>
      <c r="BB5026" s="806"/>
    </row>
    <row r="5027" spans="4:54">
      <c r="D5027" s="806"/>
      <c r="F5027" s="806"/>
      <c r="W5027" s="806"/>
      <c r="AZ5027" s="806"/>
      <c r="BA5027" s="806"/>
      <c r="BB5027" s="806"/>
    </row>
    <row r="5028" spans="4:54">
      <c r="D5028" s="806"/>
      <c r="F5028" s="806"/>
      <c r="W5028" s="806"/>
      <c r="AZ5028" s="806"/>
      <c r="BA5028" s="806"/>
      <c r="BB5028" s="806"/>
    </row>
    <row r="5029" spans="4:54">
      <c r="D5029" s="806"/>
      <c r="F5029" s="806"/>
      <c r="W5029" s="806"/>
      <c r="AZ5029" s="806"/>
      <c r="BA5029" s="806"/>
      <c r="BB5029" s="806"/>
    </row>
    <row r="5030" spans="4:54">
      <c r="D5030" s="806"/>
      <c r="F5030" s="806"/>
      <c r="W5030" s="806"/>
      <c r="AZ5030" s="806"/>
      <c r="BA5030" s="806"/>
      <c r="BB5030" s="806"/>
    </row>
    <row r="5031" spans="4:54">
      <c r="D5031" s="806"/>
      <c r="F5031" s="806"/>
      <c r="W5031" s="806"/>
      <c r="AZ5031" s="806"/>
      <c r="BA5031" s="806"/>
      <c r="BB5031" s="806"/>
    </row>
    <row r="5032" spans="4:54">
      <c r="D5032" s="806"/>
      <c r="F5032" s="806"/>
      <c r="W5032" s="806"/>
      <c r="AZ5032" s="806"/>
      <c r="BA5032" s="806"/>
      <c r="BB5032" s="806"/>
    </row>
    <row r="5033" spans="4:54">
      <c r="D5033" s="806"/>
      <c r="F5033" s="806"/>
      <c r="W5033" s="806"/>
      <c r="AZ5033" s="806"/>
      <c r="BA5033" s="806"/>
      <c r="BB5033" s="806"/>
    </row>
    <row r="5034" spans="4:54">
      <c r="D5034" s="806"/>
      <c r="F5034" s="806"/>
      <c r="W5034" s="806"/>
      <c r="AZ5034" s="806"/>
      <c r="BA5034" s="806"/>
      <c r="BB5034" s="806"/>
    </row>
    <row r="5035" spans="4:54">
      <c r="D5035" s="806"/>
      <c r="F5035" s="806"/>
      <c r="W5035" s="806"/>
      <c r="AZ5035" s="806"/>
      <c r="BA5035" s="806"/>
      <c r="BB5035" s="806"/>
    </row>
    <row r="5036" spans="4:54">
      <c r="D5036" s="806"/>
      <c r="F5036" s="806"/>
      <c r="W5036" s="806"/>
      <c r="AZ5036" s="806"/>
      <c r="BA5036" s="806"/>
      <c r="BB5036" s="806"/>
    </row>
    <row r="5037" spans="4:54">
      <c r="D5037" s="806"/>
      <c r="F5037" s="806"/>
      <c r="W5037" s="806"/>
      <c r="AZ5037" s="806"/>
      <c r="BA5037" s="806"/>
      <c r="BB5037" s="806"/>
    </row>
    <row r="5038" spans="4:54">
      <c r="D5038" s="806"/>
      <c r="F5038" s="806"/>
      <c r="W5038" s="806"/>
      <c r="AZ5038" s="806"/>
      <c r="BA5038" s="806"/>
      <c r="BB5038" s="806"/>
    </row>
    <row r="5039" spans="4:54">
      <c r="D5039" s="806"/>
      <c r="F5039" s="806"/>
      <c r="W5039" s="806"/>
      <c r="AZ5039" s="806"/>
      <c r="BA5039" s="806"/>
      <c r="BB5039" s="806"/>
    </row>
    <row r="5040" spans="4:54">
      <c r="D5040" s="806"/>
      <c r="F5040" s="806"/>
      <c r="W5040" s="806"/>
      <c r="AZ5040" s="806"/>
      <c r="BA5040" s="806"/>
      <c r="BB5040" s="806"/>
    </row>
    <row r="5041" spans="4:54">
      <c r="D5041" s="806"/>
      <c r="F5041" s="806"/>
      <c r="W5041" s="806"/>
      <c r="AZ5041" s="806"/>
      <c r="BA5041" s="806"/>
      <c r="BB5041" s="806"/>
    </row>
    <row r="5042" spans="4:54">
      <c r="D5042" s="806"/>
      <c r="F5042" s="806"/>
      <c r="W5042" s="806"/>
      <c r="AZ5042" s="806"/>
      <c r="BA5042" s="806"/>
      <c r="BB5042" s="806"/>
    </row>
    <row r="5043" spans="4:54">
      <c r="D5043" s="806"/>
      <c r="F5043" s="806"/>
      <c r="W5043" s="806"/>
      <c r="AZ5043" s="806"/>
      <c r="BA5043" s="806"/>
      <c r="BB5043" s="806"/>
    </row>
    <row r="5044" spans="4:54">
      <c r="D5044" s="806"/>
      <c r="F5044" s="806"/>
      <c r="W5044" s="806"/>
      <c r="AZ5044" s="806"/>
      <c r="BA5044" s="806"/>
      <c r="BB5044" s="806"/>
    </row>
    <row r="5045" spans="4:54">
      <c r="D5045" s="806"/>
      <c r="F5045" s="806"/>
      <c r="W5045" s="806"/>
      <c r="AZ5045" s="806"/>
      <c r="BA5045" s="806"/>
      <c r="BB5045" s="806"/>
    </row>
    <row r="5046" spans="4:54">
      <c r="D5046" s="806"/>
      <c r="F5046" s="806"/>
      <c r="W5046" s="806"/>
      <c r="AZ5046" s="806"/>
      <c r="BA5046" s="806"/>
      <c r="BB5046" s="806"/>
    </row>
    <row r="5047" spans="4:54">
      <c r="D5047" s="806"/>
      <c r="F5047" s="806"/>
      <c r="W5047" s="806"/>
      <c r="AZ5047" s="806"/>
      <c r="BA5047" s="806"/>
      <c r="BB5047" s="806"/>
    </row>
    <row r="5048" spans="4:54">
      <c r="D5048" s="806"/>
      <c r="F5048" s="806"/>
      <c r="W5048" s="806"/>
      <c r="AZ5048" s="806"/>
      <c r="BA5048" s="806"/>
      <c r="BB5048" s="806"/>
    </row>
    <row r="5049" spans="4:54">
      <c r="D5049" s="806"/>
      <c r="F5049" s="806"/>
      <c r="W5049" s="806"/>
      <c r="AZ5049" s="806"/>
      <c r="BA5049" s="806"/>
      <c r="BB5049" s="806"/>
    </row>
    <row r="5050" spans="4:54">
      <c r="D5050" s="806"/>
      <c r="F5050" s="806"/>
      <c r="W5050" s="806"/>
      <c r="AZ5050" s="806"/>
      <c r="BA5050" s="806"/>
      <c r="BB5050" s="806"/>
    </row>
    <row r="5051" spans="4:54">
      <c r="D5051" s="806"/>
      <c r="F5051" s="806"/>
      <c r="W5051" s="806"/>
      <c r="AZ5051" s="806"/>
      <c r="BA5051" s="806"/>
      <c r="BB5051" s="806"/>
    </row>
    <row r="5052" spans="4:54">
      <c r="D5052" s="806"/>
      <c r="F5052" s="806"/>
      <c r="W5052" s="806"/>
      <c r="AZ5052" s="806"/>
      <c r="BA5052" s="806"/>
      <c r="BB5052" s="806"/>
    </row>
    <row r="5053" spans="4:54">
      <c r="D5053" s="806"/>
      <c r="F5053" s="806"/>
      <c r="W5053" s="806"/>
      <c r="AZ5053" s="806"/>
      <c r="BA5053" s="806"/>
      <c r="BB5053" s="806"/>
    </row>
    <row r="5054" spans="4:54">
      <c r="D5054" s="806"/>
      <c r="F5054" s="806"/>
      <c r="W5054" s="806"/>
      <c r="AZ5054" s="806"/>
      <c r="BA5054" s="806"/>
      <c r="BB5054" s="806"/>
    </row>
    <row r="5055" spans="4:54">
      <c r="D5055" s="806"/>
      <c r="F5055" s="806"/>
      <c r="W5055" s="806"/>
      <c r="AZ5055" s="806"/>
      <c r="BA5055" s="806"/>
      <c r="BB5055" s="806"/>
    </row>
    <row r="5056" spans="4:54">
      <c r="D5056" s="806"/>
      <c r="F5056" s="806"/>
      <c r="W5056" s="806"/>
      <c r="AZ5056" s="806"/>
      <c r="BA5056" s="806"/>
      <c r="BB5056" s="806"/>
    </row>
    <row r="5057" spans="4:54">
      <c r="D5057" s="806"/>
      <c r="F5057" s="806"/>
      <c r="W5057" s="806"/>
      <c r="AZ5057" s="806"/>
      <c r="BA5057" s="806"/>
      <c r="BB5057" s="806"/>
    </row>
    <row r="5058" spans="4:54">
      <c r="D5058" s="806"/>
      <c r="F5058" s="806"/>
      <c r="W5058" s="806"/>
      <c r="AZ5058" s="806"/>
      <c r="BA5058" s="806"/>
      <c r="BB5058" s="806"/>
    </row>
    <row r="5059" spans="4:54">
      <c r="D5059" s="806"/>
      <c r="F5059" s="806"/>
      <c r="W5059" s="806"/>
      <c r="AZ5059" s="806"/>
      <c r="BA5059" s="806"/>
      <c r="BB5059" s="806"/>
    </row>
    <row r="5060" spans="4:54">
      <c r="D5060" s="806"/>
      <c r="F5060" s="806"/>
      <c r="W5060" s="806"/>
      <c r="AZ5060" s="806"/>
      <c r="BA5060" s="806"/>
      <c r="BB5060" s="806"/>
    </row>
    <row r="5061" spans="4:54">
      <c r="D5061" s="806"/>
      <c r="F5061" s="806"/>
      <c r="W5061" s="806"/>
      <c r="AZ5061" s="806"/>
      <c r="BA5061" s="806"/>
      <c r="BB5061" s="806"/>
    </row>
    <row r="5062" spans="4:54">
      <c r="D5062" s="806"/>
      <c r="F5062" s="806"/>
      <c r="W5062" s="806"/>
      <c r="AZ5062" s="806"/>
      <c r="BA5062" s="806"/>
      <c r="BB5062" s="806"/>
    </row>
    <row r="5063" spans="4:54">
      <c r="D5063" s="806"/>
      <c r="F5063" s="806"/>
      <c r="W5063" s="806"/>
      <c r="AZ5063" s="806"/>
      <c r="BA5063" s="806"/>
      <c r="BB5063" s="806"/>
    </row>
    <row r="5064" spans="4:54">
      <c r="D5064" s="806"/>
      <c r="F5064" s="806"/>
      <c r="W5064" s="806"/>
      <c r="AZ5064" s="806"/>
      <c r="BA5064" s="806"/>
      <c r="BB5064" s="806"/>
    </row>
    <row r="5065" spans="4:54">
      <c r="D5065" s="806"/>
      <c r="F5065" s="806"/>
      <c r="W5065" s="806"/>
      <c r="AZ5065" s="806"/>
      <c r="BA5065" s="806"/>
      <c r="BB5065" s="806"/>
    </row>
    <row r="5066" spans="4:54">
      <c r="D5066" s="806"/>
      <c r="F5066" s="806"/>
      <c r="W5066" s="806"/>
      <c r="AZ5066" s="806"/>
      <c r="BA5066" s="806"/>
      <c r="BB5066" s="806"/>
    </row>
    <row r="5067" spans="4:54">
      <c r="D5067" s="806"/>
      <c r="F5067" s="806"/>
      <c r="W5067" s="806"/>
      <c r="AZ5067" s="806"/>
      <c r="BA5067" s="806"/>
      <c r="BB5067" s="806"/>
    </row>
    <row r="5068" spans="4:54">
      <c r="D5068" s="806"/>
      <c r="F5068" s="806"/>
      <c r="W5068" s="806"/>
      <c r="AZ5068" s="806"/>
      <c r="BA5068" s="806"/>
      <c r="BB5068" s="806"/>
    </row>
    <row r="5069" spans="4:54">
      <c r="D5069" s="806"/>
      <c r="F5069" s="806"/>
      <c r="W5069" s="806"/>
      <c r="AZ5069" s="806"/>
      <c r="BA5069" s="806"/>
      <c r="BB5069" s="806"/>
    </row>
    <row r="5070" spans="4:54">
      <c r="D5070" s="806"/>
      <c r="F5070" s="806"/>
      <c r="W5070" s="806"/>
      <c r="AZ5070" s="806"/>
      <c r="BA5070" s="806"/>
      <c r="BB5070" s="806"/>
    </row>
    <row r="5071" spans="4:54">
      <c r="D5071" s="806"/>
      <c r="F5071" s="806"/>
      <c r="W5071" s="806"/>
      <c r="AZ5071" s="806"/>
      <c r="BA5071" s="806"/>
      <c r="BB5071" s="806"/>
    </row>
    <row r="5072" spans="4:54">
      <c r="D5072" s="806"/>
      <c r="F5072" s="806"/>
      <c r="W5072" s="806"/>
      <c r="AZ5072" s="806"/>
      <c r="BA5072" s="806"/>
      <c r="BB5072" s="806"/>
    </row>
    <row r="5073" spans="4:54">
      <c r="D5073" s="806"/>
      <c r="F5073" s="806"/>
      <c r="W5073" s="806"/>
      <c r="AZ5073" s="806"/>
      <c r="BA5073" s="806"/>
      <c r="BB5073" s="806"/>
    </row>
    <row r="5074" spans="4:54">
      <c r="D5074" s="806"/>
      <c r="F5074" s="806"/>
      <c r="W5074" s="806"/>
      <c r="AZ5074" s="806"/>
      <c r="BA5074" s="806"/>
      <c r="BB5074" s="806"/>
    </row>
    <row r="5075" spans="4:54">
      <c r="D5075" s="806"/>
      <c r="F5075" s="806"/>
      <c r="W5075" s="806"/>
      <c r="AZ5075" s="806"/>
      <c r="BA5075" s="806"/>
      <c r="BB5075" s="806"/>
    </row>
    <row r="5076" spans="4:54">
      <c r="D5076" s="806"/>
      <c r="F5076" s="806"/>
      <c r="W5076" s="806"/>
      <c r="AZ5076" s="806"/>
      <c r="BA5076" s="806"/>
      <c r="BB5076" s="806"/>
    </row>
    <row r="5077" spans="4:54">
      <c r="D5077" s="806"/>
      <c r="F5077" s="806"/>
      <c r="W5077" s="806"/>
      <c r="AZ5077" s="806"/>
      <c r="BA5077" s="806"/>
      <c r="BB5077" s="806"/>
    </row>
    <row r="5078" spans="4:54">
      <c r="D5078" s="806"/>
      <c r="F5078" s="806"/>
      <c r="W5078" s="806"/>
      <c r="AZ5078" s="806"/>
      <c r="BA5078" s="806"/>
      <c r="BB5078" s="806"/>
    </row>
    <row r="5079" spans="4:54">
      <c r="D5079" s="806"/>
      <c r="F5079" s="806"/>
      <c r="W5079" s="806"/>
      <c r="AZ5079" s="806"/>
      <c r="BA5079" s="806"/>
      <c r="BB5079" s="806"/>
    </row>
    <row r="5080" spans="4:54">
      <c r="D5080" s="806"/>
      <c r="F5080" s="806"/>
      <c r="W5080" s="806"/>
      <c r="AZ5080" s="806"/>
      <c r="BA5080" s="806"/>
      <c r="BB5080" s="806"/>
    </row>
    <row r="5081" spans="4:54">
      <c r="D5081" s="806"/>
      <c r="F5081" s="806"/>
      <c r="W5081" s="806"/>
      <c r="AZ5081" s="806"/>
      <c r="BA5081" s="806"/>
      <c r="BB5081" s="806"/>
    </row>
    <row r="5082" spans="4:54">
      <c r="D5082" s="806"/>
      <c r="F5082" s="806"/>
      <c r="W5082" s="806"/>
      <c r="AZ5082" s="806"/>
      <c r="BA5082" s="806"/>
      <c r="BB5082" s="806"/>
    </row>
    <row r="5083" spans="4:54">
      <c r="D5083" s="806"/>
      <c r="F5083" s="806"/>
      <c r="W5083" s="806"/>
      <c r="AZ5083" s="806"/>
      <c r="BA5083" s="806"/>
      <c r="BB5083" s="806"/>
    </row>
    <row r="5084" spans="4:54">
      <c r="D5084" s="806"/>
      <c r="F5084" s="806"/>
      <c r="W5084" s="806"/>
      <c r="AZ5084" s="806"/>
      <c r="BA5084" s="806"/>
      <c r="BB5084" s="806"/>
    </row>
    <row r="5085" spans="4:54">
      <c r="D5085" s="806"/>
      <c r="F5085" s="806"/>
      <c r="W5085" s="806"/>
      <c r="AZ5085" s="806"/>
      <c r="BA5085" s="806"/>
      <c r="BB5085" s="806"/>
    </row>
    <row r="5086" spans="4:54">
      <c r="D5086" s="806"/>
      <c r="F5086" s="806"/>
      <c r="W5086" s="806"/>
      <c r="AZ5086" s="806"/>
      <c r="BA5086" s="806"/>
      <c r="BB5086" s="806"/>
    </row>
    <row r="5087" spans="4:54">
      <c r="D5087" s="806"/>
      <c r="F5087" s="806"/>
      <c r="W5087" s="806"/>
      <c r="AZ5087" s="806"/>
      <c r="BA5087" s="806"/>
      <c r="BB5087" s="806"/>
    </row>
    <row r="5088" spans="4:54">
      <c r="D5088" s="806"/>
      <c r="F5088" s="806"/>
      <c r="W5088" s="806"/>
      <c r="AZ5088" s="806"/>
      <c r="BA5088" s="806"/>
      <c r="BB5088" s="806"/>
    </row>
    <row r="5089" spans="4:54">
      <c r="D5089" s="806"/>
      <c r="F5089" s="806"/>
      <c r="W5089" s="806"/>
      <c r="AZ5089" s="806"/>
      <c r="BA5089" s="806"/>
      <c r="BB5089" s="806"/>
    </row>
    <row r="5090" spans="4:54">
      <c r="D5090" s="806"/>
      <c r="F5090" s="806"/>
      <c r="W5090" s="806"/>
      <c r="AZ5090" s="806"/>
      <c r="BA5090" s="806"/>
      <c r="BB5090" s="806"/>
    </row>
    <row r="5091" spans="4:54">
      <c r="D5091" s="806"/>
      <c r="F5091" s="806"/>
      <c r="W5091" s="806"/>
      <c r="AZ5091" s="806"/>
      <c r="BA5091" s="806"/>
      <c r="BB5091" s="806"/>
    </row>
    <row r="5092" spans="4:54">
      <c r="D5092" s="806"/>
      <c r="F5092" s="806"/>
      <c r="W5092" s="806"/>
      <c r="AZ5092" s="806"/>
      <c r="BA5092" s="806"/>
      <c r="BB5092" s="806"/>
    </row>
    <row r="5093" spans="4:54">
      <c r="D5093" s="806"/>
      <c r="F5093" s="806"/>
      <c r="W5093" s="806"/>
      <c r="AZ5093" s="806"/>
      <c r="BA5093" s="806"/>
      <c r="BB5093" s="806"/>
    </row>
    <row r="5094" spans="4:54">
      <c r="D5094" s="806"/>
      <c r="F5094" s="806"/>
      <c r="W5094" s="806"/>
      <c r="AZ5094" s="806"/>
      <c r="BA5094" s="806"/>
      <c r="BB5094" s="806"/>
    </row>
    <row r="5095" spans="4:54">
      <c r="D5095" s="806"/>
      <c r="F5095" s="806"/>
      <c r="W5095" s="806"/>
      <c r="AZ5095" s="806"/>
      <c r="BA5095" s="806"/>
      <c r="BB5095" s="806"/>
    </row>
    <row r="5096" spans="4:54">
      <c r="D5096" s="806"/>
      <c r="F5096" s="806"/>
      <c r="W5096" s="806"/>
      <c r="AZ5096" s="806"/>
      <c r="BA5096" s="806"/>
      <c r="BB5096" s="806"/>
    </row>
    <row r="5097" spans="4:54">
      <c r="D5097" s="806"/>
      <c r="F5097" s="806"/>
      <c r="W5097" s="806"/>
      <c r="AZ5097" s="806"/>
      <c r="BA5097" s="806"/>
      <c r="BB5097" s="806"/>
    </row>
    <row r="5098" spans="4:54">
      <c r="D5098" s="806"/>
      <c r="F5098" s="806"/>
      <c r="W5098" s="806"/>
      <c r="AZ5098" s="806"/>
      <c r="BA5098" s="806"/>
      <c r="BB5098" s="806"/>
    </row>
    <row r="5099" spans="4:54">
      <c r="D5099" s="806"/>
      <c r="F5099" s="806"/>
      <c r="W5099" s="806"/>
      <c r="AZ5099" s="806"/>
      <c r="BA5099" s="806"/>
      <c r="BB5099" s="806"/>
    </row>
    <row r="5100" spans="4:54">
      <c r="D5100" s="806"/>
      <c r="F5100" s="806"/>
      <c r="W5100" s="806"/>
      <c r="AZ5100" s="806"/>
      <c r="BA5100" s="806"/>
      <c r="BB5100" s="806"/>
    </row>
    <row r="5101" spans="4:54">
      <c r="D5101" s="806"/>
      <c r="F5101" s="806"/>
      <c r="W5101" s="806"/>
      <c r="AZ5101" s="806"/>
      <c r="BA5101" s="806"/>
      <c r="BB5101" s="806"/>
    </row>
    <row r="5102" spans="4:54">
      <c r="D5102" s="806"/>
      <c r="F5102" s="806"/>
      <c r="W5102" s="806"/>
      <c r="AZ5102" s="806"/>
      <c r="BA5102" s="806"/>
      <c r="BB5102" s="806"/>
    </row>
    <row r="5103" spans="4:54">
      <c r="D5103" s="806"/>
      <c r="F5103" s="806"/>
      <c r="W5103" s="806"/>
      <c r="AZ5103" s="806"/>
      <c r="BA5103" s="806"/>
      <c r="BB5103" s="806"/>
    </row>
    <row r="5104" spans="4:54">
      <c r="D5104" s="806"/>
      <c r="F5104" s="806"/>
      <c r="W5104" s="806"/>
      <c r="AZ5104" s="806"/>
      <c r="BA5104" s="806"/>
      <c r="BB5104" s="806"/>
    </row>
    <row r="5105" spans="4:54">
      <c r="D5105" s="806"/>
      <c r="F5105" s="806"/>
      <c r="W5105" s="806"/>
      <c r="AZ5105" s="806"/>
      <c r="BA5105" s="806"/>
      <c r="BB5105" s="806"/>
    </row>
    <row r="5106" spans="4:54">
      <c r="D5106" s="806"/>
      <c r="F5106" s="806"/>
      <c r="W5106" s="806"/>
      <c r="AZ5106" s="806"/>
      <c r="BA5106" s="806"/>
      <c r="BB5106" s="806"/>
    </row>
    <row r="5107" spans="4:54">
      <c r="D5107" s="806"/>
      <c r="F5107" s="806"/>
      <c r="W5107" s="806"/>
      <c r="AZ5107" s="806"/>
      <c r="BA5107" s="806"/>
      <c r="BB5107" s="806"/>
    </row>
    <row r="5108" spans="4:54">
      <c r="D5108" s="806"/>
      <c r="F5108" s="806"/>
      <c r="W5108" s="806"/>
      <c r="AZ5108" s="806"/>
      <c r="BA5108" s="806"/>
      <c r="BB5108" s="806"/>
    </row>
    <row r="5109" spans="4:54">
      <c r="D5109" s="806"/>
      <c r="F5109" s="806"/>
      <c r="W5109" s="806"/>
      <c r="AZ5109" s="806"/>
      <c r="BA5109" s="806"/>
      <c r="BB5109" s="806"/>
    </row>
    <row r="5110" spans="4:54">
      <c r="D5110" s="806"/>
      <c r="F5110" s="806"/>
      <c r="W5110" s="806"/>
      <c r="AZ5110" s="806"/>
      <c r="BA5110" s="806"/>
      <c r="BB5110" s="806"/>
    </row>
    <row r="5111" spans="4:54">
      <c r="D5111" s="806"/>
      <c r="F5111" s="806"/>
      <c r="W5111" s="806"/>
      <c r="AZ5111" s="806"/>
      <c r="BA5111" s="806"/>
      <c r="BB5111" s="806"/>
    </row>
    <row r="5112" spans="4:54">
      <c r="D5112" s="806"/>
      <c r="F5112" s="806"/>
      <c r="W5112" s="806"/>
      <c r="AZ5112" s="806"/>
      <c r="BA5112" s="806"/>
      <c r="BB5112" s="806"/>
    </row>
    <row r="5113" spans="4:54">
      <c r="D5113" s="806"/>
      <c r="F5113" s="806"/>
      <c r="W5113" s="806"/>
      <c r="AZ5113" s="806"/>
      <c r="BA5113" s="806"/>
      <c r="BB5113" s="806"/>
    </row>
    <row r="5114" spans="4:54">
      <c r="D5114" s="806"/>
      <c r="F5114" s="806"/>
      <c r="W5114" s="806"/>
      <c r="AZ5114" s="806"/>
      <c r="BA5114" s="806"/>
      <c r="BB5114" s="806"/>
    </row>
    <row r="5115" spans="4:54">
      <c r="D5115" s="806"/>
      <c r="F5115" s="806"/>
      <c r="W5115" s="806"/>
      <c r="AZ5115" s="806"/>
      <c r="BA5115" s="806"/>
      <c r="BB5115" s="806"/>
    </row>
    <row r="5116" spans="4:54">
      <c r="D5116" s="806"/>
      <c r="F5116" s="806"/>
      <c r="W5116" s="806"/>
      <c r="AZ5116" s="806"/>
      <c r="BA5116" s="806"/>
      <c r="BB5116" s="806"/>
    </row>
    <row r="5117" spans="4:54">
      <c r="D5117" s="806"/>
      <c r="F5117" s="806"/>
      <c r="W5117" s="806"/>
      <c r="AZ5117" s="806"/>
      <c r="BA5117" s="806"/>
      <c r="BB5117" s="806"/>
    </row>
    <row r="5118" spans="4:54">
      <c r="D5118" s="806"/>
      <c r="F5118" s="806"/>
      <c r="W5118" s="806"/>
      <c r="AZ5118" s="806"/>
      <c r="BA5118" s="806"/>
      <c r="BB5118" s="806"/>
    </row>
    <row r="5119" spans="4:54">
      <c r="D5119" s="806"/>
      <c r="F5119" s="806"/>
      <c r="W5119" s="806"/>
      <c r="AZ5119" s="806"/>
      <c r="BA5119" s="806"/>
      <c r="BB5119" s="806"/>
    </row>
    <row r="5120" spans="4:54">
      <c r="D5120" s="806"/>
      <c r="F5120" s="806"/>
      <c r="W5120" s="806"/>
      <c r="AZ5120" s="806"/>
      <c r="BA5120" s="806"/>
      <c r="BB5120" s="806"/>
    </row>
    <row r="5121" spans="4:54">
      <c r="D5121" s="806"/>
      <c r="F5121" s="806"/>
      <c r="W5121" s="806"/>
      <c r="AZ5121" s="806"/>
      <c r="BA5121" s="806"/>
      <c r="BB5121" s="806"/>
    </row>
    <row r="5122" spans="4:54">
      <c r="D5122" s="806"/>
      <c r="F5122" s="806"/>
      <c r="W5122" s="806"/>
      <c r="AZ5122" s="806"/>
      <c r="BA5122" s="806"/>
      <c r="BB5122" s="806"/>
    </row>
    <row r="5123" spans="4:54">
      <c r="D5123" s="806"/>
      <c r="F5123" s="806"/>
      <c r="W5123" s="806"/>
      <c r="AZ5123" s="806"/>
      <c r="BA5123" s="806"/>
      <c r="BB5123" s="806"/>
    </row>
    <row r="5124" spans="4:54">
      <c r="D5124" s="806"/>
      <c r="F5124" s="806"/>
      <c r="W5124" s="806"/>
      <c r="AZ5124" s="806"/>
      <c r="BA5124" s="806"/>
      <c r="BB5124" s="806"/>
    </row>
    <row r="5125" spans="4:54">
      <c r="D5125" s="806"/>
      <c r="F5125" s="806"/>
      <c r="W5125" s="806"/>
      <c r="AZ5125" s="806"/>
      <c r="BA5125" s="806"/>
      <c r="BB5125" s="806"/>
    </row>
    <row r="5126" spans="4:54">
      <c r="D5126" s="806"/>
      <c r="F5126" s="806"/>
      <c r="W5126" s="806"/>
      <c r="AZ5126" s="806"/>
      <c r="BA5126" s="806"/>
      <c r="BB5126" s="806"/>
    </row>
    <row r="5127" spans="4:54">
      <c r="D5127" s="806"/>
      <c r="F5127" s="806"/>
      <c r="W5127" s="806"/>
      <c r="AZ5127" s="806"/>
      <c r="BA5127" s="806"/>
      <c r="BB5127" s="806"/>
    </row>
    <row r="5128" spans="4:54">
      <c r="D5128" s="806"/>
      <c r="F5128" s="806"/>
      <c r="W5128" s="806"/>
      <c r="AZ5128" s="806"/>
      <c r="BA5128" s="806"/>
      <c r="BB5128" s="806"/>
    </row>
    <row r="5129" spans="4:54">
      <c r="D5129" s="806"/>
      <c r="F5129" s="806"/>
      <c r="W5129" s="806"/>
      <c r="AZ5129" s="806"/>
      <c r="BA5129" s="806"/>
      <c r="BB5129" s="806"/>
    </row>
    <row r="5130" spans="4:54">
      <c r="D5130" s="806"/>
      <c r="F5130" s="806"/>
      <c r="W5130" s="806"/>
      <c r="AZ5130" s="806"/>
      <c r="BA5130" s="806"/>
      <c r="BB5130" s="806"/>
    </row>
    <row r="5131" spans="4:54">
      <c r="D5131" s="806"/>
      <c r="F5131" s="806"/>
      <c r="W5131" s="806"/>
      <c r="AZ5131" s="806"/>
      <c r="BA5131" s="806"/>
      <c r="BB5131" s="806"/>
    </row>
    <row r="5132" spans="4:54">
      <c r="D5132" s="806"/>
      <c r="F5132" s="806"/>
      <c r="W5132" s="806"/>
      <c r="AZ5132" s="806"/>
      <c r="BA5132" s="806"/>
      <c r="BB5132" s="806"/>
    </row>
    <row r="5133" spans="4:54">
      <c r="D5133" s="806"/>
      <c r="F5133" s="806"/>
      <c r="W5133" s="806"/>
      <c r="AZ5133" s="806"/>
      <c r="BA5133" s="806"/>
      <c r="BB5133" s="806"/>
    </row>
    <row r="5135" spans="4:54">
      <c r="D5135" s="806"/>
      <c r="F5135" s="806"/>
      <c r="W5135" s="806"/>
      <c r="AZ5135" s="806"/>
      <c r="BA5135" s="806"/>
      <c r="BB5135" s="806"/>
    </row>
    <row r="5136" spans="4:54">
      <c r="D5136" s="806"/>
      <c r="F5136" s="806"/>
      <c r="W5136" s="806"/>
      <c r="AZ5136" s="806"/>
      <c r="BA5136" s="806"/>
      <c r="BB5136" s="806"/>
    </row>
    <row r="5137" spans="4:54">
      <c r="D5137" s="806"/>
      <c r="F5137" s="806"/>
      <c r="W5137" s="806"/>
      <c r="AZ5137" s="806"/>
      <c r="BA5137" s="806"/>
      <c r="BB5137" s="806"/>
    </row>
    <row r="5138" spans="4:54">
      <c r="D5138" s="806"/>
      <c r="F5138" s="806"/>
      <c r="W5138" s="806"/>
      <c r="AZ5138" s="806"/>
      <c r="BA5138" s="806"/>
      <c r="BB5138" s="806"/>
    </row>
    <row r="5139" spans="4:54">
      <c r="D5139" s="806"/>
      <c r="F5139" s="806"/>
      <c r="W5139" s="806"/>
      <c r="AZ5139" s="806"/>
      <c r="BA5139" s="806"/>
      <c r="BB5139" s="806"/>
    </row>
    <row r="5140" spans="4:54">
      <c r="D5140" s="806"/>
      <c r="F5140" s="806"/>
      <c r="W5140" s="806"/>
      <c r="AZ5140" s="806"/>
      <c r="BA5140" s="806"/>
      <c r="BB5140" s="806"/>
    </row>
    <row r="5141" spans="4:54">
      <c r="D5141" s="806"/>
      <c r="F5141" s="806"/>
      <c r="W5141" s="806"/>
      <c r="AZ5141" s="806"/>
      <c r="BA5141" s="806"/>
      <c r="BB5141" s="806"/>
    </row>
    <row r="5142" spans="4:54">
      <c r="D5142" s="806"/>
      <c r="F5142" s="806"/>
      <c r="W5142" s="806"/>
      <c r="AZ5142" s="806"/>
      <c r="BA5142" s="806"/>
      <c r="BB5142" s="806"/>
    </row>
    <row r="5143" spans="4:54">
      <c r="D5143" s="806"/>
      <c r="F5143" s="806"/>
      <c r="W5143" s="806"/>
      <c r="AZ5143" s="806"/>
      <c r="BA5143" s="806"/>
      <c r="BB5143" s="806"/>
    </row>
    <row r="5144" spans="4:54">
      <c r="D5144" s="806"/>
      <c r="F5144" s="806"/>
      <c r="W5144" s="806"/>
      <c r="AZ5144" s="806"/>
      <c r="BA5144" s="806"/>
      <c r="BB5144" s="806"/>
    </row>
    <row r="5145" spans="4:54">
      <c r="D5145" s="806"/>
      <c r="F5145" s="806"/>
      <c r="W5145" s="806"/>
      <c r="AZ5145" s="806"/>
      <c r="BA5145" s="806"/>
      <c r="BB5145" s="806"/>
    </row>
    <row r="5152" spans="4:54">
      <c r="D5152" s="806"/>
      <c r="F5152" s="806"/>
      <c r="W5152" s="806"/>
      <c r="AZ5152" s="806"/>
      <c r="BA5152" s="806"/>
      <c r="BB5152" s="806"/>
    </row>
    <row r="5153" spans="4:54">
      <c r="D5153" s="806"/>
      <c r="F5153" s="806"/>
      <c r="W5153" s="806"/>
      <c r="AZ5153" s="806"/>
      <c r="BA5153" s="806"/>
      <c r="BB5153" s="806"/>
    </row>
    <row r="5154" spans="4:54">
      <c r="D5154" s="806"/>
      <c r="F5154" s="806"/>
      <c r="W5154" s="806"/>
      <c r="AZ5154" s="806"/>
      <c r="BA5154" s="806"/>
      <c r="BB5154" s="806"/>
    </row>
    <row r="5155" spans="4:54">
      <c r="D5155" s="806"/>
      <c r="F5155" s="806"/>
      <c r="W5155" s="806"/>
      <c r="AZ5155" s="806"/>
      <c r="BA5155" s="806"/>
      <c r="BB5155" s="806"/>
    </row>
    <row r="5156" spans="4:54">
      <c r="D5156" s="806"/>
      <c r="F5156" s="806"/>
      <c r="W5156" s="806"/>
      <c r="AZ5156" s="806"/>
      <c r="BA5156" s="806"/>
      <c r="BB5156" s="806"/>
    </row>
    <row r="5157" spans="4:54">
      <c r="D5157" s="806"/>
      <c r="F5157" s="806"/>
      <c r="W5157" s="806"/>
      <c r="AZ5157" s="806"/>
      <c r="BA5157" s="806"/>
      <c r="BB5157" s="806"/>
    </row>
    <row r="5158" spans="4:54">
      <c r="D5158" s="806"/>
      <c r="F5158" s="806"/>
      <c r="W5158" s="806"/>
      <c r="AZ5158" s="806"/>
      <c r="BA5158" s="806"/>
      <c r="BB5158" s="806"/>
    </row>
    <row r="5159" spans="4:54">
      <c r="D5159" s="806"/>
      <c r="F5159" s="806"/>
      <c r="W5159" s="806"/>
      <c r="AZ5159" s="806"/>
      <c r="BA5159" s="806"/>
      <c r="BB5159" s="806"/>
    </row>
    <row r="5160" spans="4:54">
      <c r="D5160" s="806"/>
      <c r="F5160" s="806"/>
      <c r="W5160" s="806"/>
      <c r="AZ5160" s="806"/>
      <c r="BA5160" s="806"/>
      <c r="BB5160" s="806"/>
    </row>
    <row r="5161" spans="4:54">
      <c r="D5161" s="806"/>
      <c r="F5161" s="806"/>
      <c r="W5161" s="806"/>
      <c r="AZ5161" s="806"/>
      <c r="BA5161" s="806"/>
      <c r="BB5161" s="806"/>
    </row>
    <row r="5162" spans="4:54">
      <c r="D5162" s="806"/>
      <c r="F5162" s="806"/>
      <c r="W5162" s="806"/>
      <c r="AZ5162" s="806"/>
      <c r="BA5162" s="806"/>
      <c r="BB5162" s="806"/>
    </row>
    <row r="5163" spans="4:54">
      <c r="D5163" s="806"/>
      <c r="F5163" s="806"/>
      <c r="W5163" s="806"/>
      <c r="AZ5163" s="806"/>
      <c r="BA5163" s="806"/>
      <c r="BB5163" s="806"/>
    </row>
    <row r="5164" spans="4:54">
      <c r="D5164" s="806"/>
      <c r="F5164" s="806"/>
      <c r="W5164" s="806"/>
      <c r="AZ5164" s="806"/>
      <c r="BA5164" s="806"/>
      <c r="BB5164" s="806"/>
    </row>
    <row r="5165" spans="4:54">
      <c r="D5165" s="806"/>
      <c r="F5165" s="806"/>
      <c r="W5165" s="806"/>
      <c r="AZ5165" s="806"/>
      <c r="BA5165" s="806"/>
      <c r="BB5165" s="806"/>
    </row>
    <row r="5166" spans="4:54">
      <c r="D5166" s="806"/>
      <c r="F5166" s="806"/>
      <c r="W5166" s="806"/>
      <c r="AZ5166" s="806"/>
      <c r="BA5166" s="806"/>
      <c r="BB5166" s="806"/>
    </row>
    <row r="5167" spans="4:54">
      <c r="D5167" s="806"/>
      <c r="F5167" s="806"/>
      <c r="W5167" s="806"/>
      <c r="AZ5167" s="806"/>
      <c r="BA5167" s="806"/>
      <c r="BB5167" s="806"/>
    </row>
    <row r="5168" spans="4:54">
      <c r="D5168" s="806"/>
      <c r="F5168" s="806"/>
      <c r="W5168" s="806"/>
      <c r="AZ5168" s="806"/>
      <c r="BA5168" s="806"/>
      <c r="BB5168" s="806"/>
    </row>
    <row r="5169" spans="4:54">
      <c r="D5169" s="806"/>
      <c r="F5169" s="806"/>
      <c r="W5169" s="806"/>
      <c r="AZ5169" s="806"/>
      <c r="BA5169" s="806"/>
      <c r="BB5169" s="806"/>
    </row>
    <row r="5170" spans="4:54">
      <c r="D5170" s="806"/>
      <c r="F5170" s="806"/>
      <c r="W5170" s="806"/>
      <c r="AZ5170" s="806"/>
      <c r="BA5170" s="806"/>
      <c r="BB5170" s="806"/>
    </row>
    <row r="5171" spans="4:54">
      <c r="D5171" s="806"/>
      <c r="F5171" s="806"/>
      <c r="W5171" s="806"/>
      <c r="AZ5171" s="806"/>
      <c r="BA5171" s="806"/>
      <c r="BB5171" s="806"/>
    </row>
    <row r="5172" spans="4:54">
      <c r="D5172" s="806"/>
      <c r="F5172" s="806"/>
      <c r="W5172" s="806"/>
      <c r="AZ5172" s="806"/>
      <c r="BA5172" s="806"/>
      <c r="BB5172" s="806"/>
    </row>
    <row r="5173" spans="4:54">
      <c r="D5173" s="806"/>
      <c r="F5173" s="806"/>
      <c r="W5173" s="806"/>
      <c r="AZ5173" s="806"/>
      <c r="BA5173" s="806"/>
      <c r="BB5173" s="806"/>
    </row>
    <row r="5174" spans="4:54">
      <c r="D5174" s="806"/>
      <c r="F5174" s="806"/>
      <c r="W5174" s="806"/>
      <c r="AZ5174" s="806"/>
      <c r="BA5174" s="806"/>
      <c r="BB5174" s="806"/>
    </row>
    <row r="5175" spans="4:54">
      <c r="D5175" s="806"/>
      <c r="F5175" s="806"/>
      <c r="W5175" s="806"/>
      <c r="AZ5175" s="806"/>
      <c r="BA5175" s="806"/>
      <c r="BB5175" s="806"/>
    </row>
    <row r="5176" spans="4:54">
      <c r="D5176" s="806"/>
      <c r="F5176" s="806"/>
      <c r="W5176" s="806"/>
      <c r="AZ5176" s="806"/>
      <c r="BA5176" s="806"/>
      <c r="BB5176" s="806"/>
    </row>
    <row r="5177" spans="4:54">
      <c r="D5177" s="806"/>
      <c r="F5177" s="806"/>
      <c r="W5177" s="806"/>
      <c r="AZ5177" s="806"/>
      <c r="BA5177" s="806"/>
      <c r="BB5177" s="806"/>
    </row>
    <row r="5178" spans="4:54">
      <c r="D5178" s="806"/>
      <c r="F5178" s="806"/>
      <c r="W5178" s="806"/>
      <c r="AZ5178" s="806"/>
      <c r="BA5178" s="806"/>
      <c r="BB5178" s="806"/>
    </row>
    <row r="5179" spans="4:54">
      <c r="D5179" s="806"/>
      <c r="F5179" s="806"/>
      <c r="W5179" s="806"/>
      <c r="AZ5179" s="806"/>
      <c r="BA5179" s="806"/>
      <c r="BB5179" s="806"/>
    </row>
    <row r="5180" spans="4:54">
      <c r="D5180" s="806"/>
      <c r="F5180" s="806"/>
      <c r="W5180" s="806"/>
      <c r="AZ5180" s="806"/>
      <c r="BA5180" s="806"/>
      <c r="BB5180" s="806"/>
    </row>
    <row r="5181" spans="4:54">
      <c r="D5181" s="806"/>
      <c r="F5181" s="806"/>
      <c r="W5181" s="806"/>
      <c r="AZ5181" s="806"/>
      <c r="BA5181" s="806"/>
      <c r="BB5181" s="806"/>
    </row>
    <row r="5182" spans="4:54">
      <c r="D5182" s="806"/>
      <c r="F5182" s="806"/>
      <c r="W5182" s="806"/>
      <c r="AZ5182" s="806"/>
      <c r="BA5182" s="806"/>
      <c r="BB5182" s="806"/>
    </row>
    <row r="5183" spans="4:54">
      <c r="D5183" s="806"/>
      <c r="F5183" s="806"/>
      <c r="W5183" s="806"/>
      <c r="AZ5183" s="806"/>
      <c r="BA5183" s="806"/>
      <c r="BB5183" s="806"/>
    </row>
    <row r="5184" spans="4:54">
      <c r="D5184" s="806"/>
      <c r="F5184" s="806"/>
      <c r="W5184" s="806"/>
      <c r="AZ5184" s="806"/>
      <c r="BA5184" s="806"/>
      <c r="BB5184" s="806"/>
    </row>
    <row r="5185" spans="4:54">
      <c r="D5185" s="806"/>
      <c r="F5185" s="806"/>
      <c r="W5185" s="806"/>
      <c r="AZ5185" s="806"/>
      <c r="BA5185" s="806"/>
      <c r="BB5185" s="806"/>
    </row>
    <row r="5186" spans="4:54">
      <c r="D5186" s="806"/>
      <c r="F5186" s="806"/>
      <c r="W5186" s="806"/>
      <c r="AZ5186" s="806"/>
      <c r="BA5186" s="806"/>
      <c r="BB5186" s="806"/>
    </row>
    <row r="5187" spans="4:54">
      <c r="D5187" s="806"/>
      <c r="F5187" s="806"/>
      <c r="W5187" s="806"/>
      <c r="AZ5187" s="806"/>
      <c r="BA5187" s="806"/>
      <c r="BB5187" s="806"/>
    </row>
    <row r="5188" spans="4:54">
      <c r="D5188" s="806"/>
      <c r="F5188" s="806"/>
      <c r="W5188" s="806"/>
      <c r="AZ5188" s="806"/>
      <c r="BA5188" s="806"/>
      <c r="BB5188" s="806"/>
    </row>
    <row r="5189" spans="4:54">
      <c r="D5189" s="806"/>
      <c r="F5189" s="806"/>
      <c r="W5189" s="806"/>
      <c r="AZ5189" s="806"/>
      <c r="BA5189" s="806"/>
      <c r="BB5189" s="806"/>
    </row>
    <row r="5190" spans="4:54">
      <c r="D5190" s="806"/>
      <c r="F5190" s="806"/>
      <c r="W5190" s="806"/>
      <c r="AZ5190" s="806"/>
      <c r="BA5190" s="806"/>
      <c r="BB5190" s="806"/>
    </row>
    <row r="5191" spans="4:54">
      <c r="D5191" s="806"/>
      <c r="F5191" s="806"/>
      <c r="W5191" s="806"/>
      <c r="AZ5191" s="806"/>
      <c r="BA5191" s="806"/>
      <c r="BB5191" s="806"/>
    </row>
    <row r="5192" spans="4:54">
      <c r="D5192" s="806"/>
      <c r="F5192" s="806"/>
      <c r="W5192" s="806"/>
      <c r="AZ5192" s="806"/>
      <c r="BA5192" s="806"/>
      <c r="BB5192" s="806"/>
    </row>
    <row r="5193" spans="4:54">
      <c r="D5193" s="806"/>
      <c r="F5193" s="806"/>
      <c r="W5193" s="806"/>
      <c r="AZ5193" s="806"/>
      <c r="BA5193" s="806"/>
      <c r="BB5193" s="806"/>
    </row>
    <row r="5194" spans="4:54">
      <c r="D5194" s="806"/>
      <c r="F5194" s="806"/>
      <c r="W5194" s="806"/>
      <c r="AZ5194" s="806"/>
      <c r="BA5194" s="806"/>
      <c r="BB5194" s="806"/>
    </row>
    <row r="5195" spans="4:54">
      <c r="D5195" s="806"/>
      <c r="F5195" s="806"/>
      <c r="W5195" s="806"/>
      <c r="AZ5195" s="806"/>
      <c r="BA5195" s="806"/>
      <c r="BB5195" s="806"/>
    </row>
    <row r="5196" spans="4:54">
      <c r="D5196" s="806"/>
      <c r="F5196" s="806"/>
      <c r="W5196" s="806"/>
      <c r="AZ5196" s="806"/>
      <c r="BA5196" s="806"/>
      <c r="BB5196" s="806"/>
    </row>
    <row r="5197" spans="4:54">
      <c r="D5197" s="806"/>
      <c r="F5197" s="806"/>
      <c r="W5197" s="806"/>
      <c r="AZ5197" s="806"/>
      <c r="BA5197" s="806"/>
      <c r="BB5197" s="806"/>
    </row>
    <row r="5198" spans="4:54">
      <c r="D5198" s="806"/>
      <c r="F5198" s="806"/>
      <c r="W5198" s="806"/>
      <c r="AZ5198" s="806"/>
      <c r="BA5198" s="806"/>
      <c r="BB5198" s="806"/>
    </row>
    <row r="5199" spans="4:54">
      <c r="D5199" s="806"/>
      <c r="F5199" s="806"/>
      <c r="W5199" s="806"/>
      <c r="AZ5199" s="806"/>
      <c r="BA5199" s="806"/>
      <c r="BB5199" s="806"/>
    </row>
    <row r="5200" spans="4:54">
      <c r="D5200" s="806"/>
      <c r="F5200" s="806"/>
      <c r="W5200" s="806"/>
      <c r="AZ5200" s="806"/>
      <c r="BA5200" s="806"/>
      <c r="BB5200" s="806"/>
    </row>
    <row r="5201" spans="4:54">
      <c r="D5201" s="806"/>
      <c r="F5201" s="806"/>
      <c r="W5201" s="806"/>
      <c r="AZ5201" s="806"/>
      <c r="BA5201" s="806"/>
      <c r="BB5201" s="806"/>
    </row>
    <row r="5202" spans="4:54">
      <c r="D5202" s="806"/>
      <c r="F5202" s="806"/>
      <c r="W5202" s="806"/>
      <c r="AZ5202" s="806"/>
      <c r="BA5202" s="806"/>
      <c r="BB5202" s="806"/>
    </row>
    <row r="5203" spans="4:54">
      <c r="D5203" s="806"/>
      <c r="F5203" s="806"/>
      <c r="W5203" s="806"/>
      <c r="AZ5203" s="806"/>
      <c r="BA5203" s="806"/>
      <c r="BB5203" s="806"/>
    </row>
    <row r="5204" spans="4:54">
      <c r="D5204" s="806"/>
      <c r="F5204" s="806"/>
      <c r="W5204" s="806"/>
      <c r="AZ5204" s="806"/>
      <c r="BA5204" s="806"/>
      <c r="BB5204" s="806"/>
    </row>
    <row r="5205" spans="4:54">
      <c r="D5205" s="806"/>
      <c r="F5205" s="806"/>
      <c r="W5205" s="806"/>
      <c r="AZ5205" s="806"/>
      <c r="BA5205" s="806"/>
      <c r="BB5205" s="806"/>
    </row>
    <row r="5206" spans="4:54">
      <c r="D5206" s="806"/>
      <c r="F5206" s="806"/>
      <c r="W5206" s="806"/>
      <c r="AZ5206" s="806"/>
      <c r="BA5206" s="806"/>
      <c r="BB5206" s="806"/>
    </row>
    <row r="5207" spans="4:54">
      <c r="D5207" s="806"/>
      <c r="F5207" s="806"/>
      <c r="W5207" s="806"/>
      <c r="AZ5207" s="806"/>
      <c r="BA5207" s="806"/>
      <c r="BB5207" s="806"/>
    </row>
    <row r="5208" spans="4:54">
      <c r="D5208" s="806"/>
      <c r="F5208" s="806"/>
      <c r="W5208" s="806"/>
      <c r="AZ5208" s="806"/>
      <c r="BA5208" s="806"/>
      <c r="BB5208" s="806"/>
    </row>
    <row r="5209" spans="4:54">
      <c r="D5209" s="806"/>
      <c r="F5209" s="806"/>
      <c r="W5209" s="806"/>
      <c r="AZ5209" s="806"/>
      <c r="BA5209" s="806"/>
      <c r="BB5209" s="806"/>
    </row>
    <row r="5210" spans="4:54">
      <c r="D5210" s="806"/>
      <c r="F5210" s="806"/>
      <c r="W5210" s="806"/>
      <c r="AZ5210" s="806"/>
      <c r="BA5210" s="806"/>
      <c r="BB5210" s="806"/>
    </row>
    <row r="5211" spans="4:54">
      <c r="D5211" s="806"/>
      <c r="F5211" s="806"/>
      <c r="W5211" s="806"/>
      <c r="AZ5211" s="806"/>
      <c r="BA5211" s="806"/>
      <c r="BB5211" s="806"/>
    </row>
    <row r="5212" spans="4:54">
      <c r="D5212" s="806"/>
      <c r="F5212" s="806"/>
      <c r="W5212" s="806"/>
      <c r="AZ5212" s="806"/>
      <c r="BA5212" s="806"/>
      <c r="BB5212" s="806"/>
    </row>
    <row r="5213" spans="4:54">
      <c r="D5213" s="806"/>
      <c r="F5213" s="806"/>
      <c r="W5213" s="806"/>
      <c r="AZ5213" s="806"/>
      <c r="BA5213" s="806"/>
      <c r="BB5213" s="806"/>
    </row>
    <row r="5214" spans="4:54">
      <c r="D5214" s="806"/>
      <c r="F5214" s="806"/>
      <c r="W5214" s="806"/>
      <c r="AZ5214" s="806"/>
      <c r="BA5214" s="806"/>
      <c r="BB5214" s="806"/>
    </row>
    <row r="5215" spans="4:54">
      <c r="D5215" s="806"/>
      <c r="F5215" s="806"/>
      <c r="W5215" s="806"/>
      <c r="AZ5215" s="806"/>
      <c r="BA5215" s="806"/>
      <c r="BB5215" s="806"/>
    </row>
    <row r="5216" spans="4:54">
      <c r="D5216" s="806"/>
      <c r="F5216" s="806"/>
      <c r="W5216" s="806"/>
      <c r="AZ5216" s="806"/>
      <c r="BA5216" s="806"/>
      <c r="BB5216" s="806"/>
    </row>
    <row r="5217" spans="4:54">
      <c r="D5217" s="806"/>
      <c r="F5217" s="806"/>
      <c r="W5217" s="806"/>
      <c r="AZ5217" s="806"/>
      <c r="BA5217" s="806"/>
      <c r="BB5217" s="806"/>
    </row>
    <row r="5218" spans="4:54">
      <c r="D5218" s="806"/>
      <c r="F5218" s="806"/>
      <c r="W5218" s="806"/>
      <c r="AZ5218" s="806"/>
      <c r="BA5218" s="806"/>
      <c r="BB5218" s="806"/>
    </row>
    <row r="5219" spans="4:54">
      <c r="D5219" s="806"/>
      <c r="F5219" s="806"/>
      <c r="W5219" s="806"/>
      <c r="AZ5219" s="806"/>
      <c r="BA5219" s="806"/>
      <c r="BB5219" s="806"/>
    </row>
    <row r="5220" spans="4:54">
      <c r="D5220" s="806"/>
      <c r="F5220" s="806"/>
      <c r="W5220" s="806"/>
      <c r="AZ5220" s="806"/>
      <c r="BA5220" s="806"/>
      <c r="BB5220" s="806"/>
    </row>
    <row r="5221" spans="4:54">
      <c r="D5221" s="806"/>
      <c r="F5221" s="806"/>
      <c r="W5221" s="806"/>
      <c r="AZ5221" s="806"/>
      <c r="BA5221" s="806"/>
      <c r="BB5221" s="806"/>
    </row>
    <row r="5222" spans="4:54">
      <c r="D5222" s="806"/>
      <c r="F5222" s="806"/>
      <c r="W5222" s="806"/>
      <c r="AZ5222" s="806"/>
      <c r="BA5222" s="806"/>
      <c r="BB5222" s="806"/>
    </row>
    <row r="5223" spans="4:54">
      <c r="D5223" s="806"/>
      <c r="F5223" s="806"/>
      <c r="W5223" s="806"/>
      <c r="AZ5223" s="806"/>
      <c r="BA5223" s="806"/>
      <c r="BB5223" s="806"/>
    </row>
    <row r="5224" spans="4:54">
      <c r="D5224" s="806"/>
      <c r="F5224" s="806"/>
      <c r="W5224" s="806"/>
      <c r="AZ5224" s="806"/>
      <c r="BA5224" s="806"/>
      <c r="BB5224" s="806"/>
    </row>
    <row r="5225" spans="4:54">
      <c r="D5225" s="806"/>
      <c r="F5225" s="806"/>
      <c r="W5225" s="806"/>
      <c r="AZ5225" s="806"/>
      <c r="BA5225" s="806"/>
      <c r="BB5225" s="806"/>
    </row>
    <row r="5226" spans="4:54">
      <c r="D5226" s="806"/>
      <c r="F5226" s="806"/>
      <c r="W5226" s="806"/>
      <c r="AZ5226" s="806"/>
      <c r="BA5226" s="806"/>
      <c r="BB5226" s="806"/>
    </row>
    <row r="5227" spans="4:54">
      <c r="D5227" s="806"/>
      <c r="F5227" s="806"/>
      <c r="W5227" s="806"/>
      <c r="AZ5227" s="806"/>
      <c r="BA5227" s="806"/>
      <c r="BB5227" s="806"/>
    </row>
    <row r="5228" spans="4:54">
      <c r="D5228" s="806"/>
      <c r="F5228" s="806"/>
      <c r="W5228" s="806"/>
      <c r="AZ5228" s="806"/>
      <c r="BA5228" s="806"/>
      <c r="BB5228" s="806"/>
    </row>
    <row r="5229" spans="4:54">
      <c r="D5229" s="806"/>
      <c r="F5229" s="806"/>
      <c r="W5229" s="806"/>
      <c r="AZ5229" s="806"/>
      <c r="BA5229" s="806"/>
      <c r="BB5229" s="806"/>
    </row>
    <row r="5230" spans="4:54">
      <c r="D5230" s="806"/>
      <c r="F5230" s="806"/>
      <c r="W5230" s="806"/>
      <c r="AZ5230" s="806"/>
      <c r="BA5230" s="806"/>
      <c r="BB5230" s="806"/>
    </row>
    <row r="5231" spans="4:54">
      <c r="D5231" s="806"/>
      <c r="F5231" s="806"/>
      <c r="W5231" s="806"/>
      <c r="AZ5231" s="806"/>
      <c r="BA5231" s="806"/>
      <c r="BB5231" s="806"/>
    </row>
    <row r="5232" spans="4:54">
      <c r="D5232" s="806"/>
      <c r="F5232" s="806"/>
      <c r="W5232" s="806"/>
      <c r="AZ5232" s="806"/>
      <c r="BA5232" s="806"/>
      <c r="BB5232" s="806"/>
    </row>
    <row r="5233" spans="4:54">
      <c r="D5233" s="806"/>
      <c r="F5233" s="806"/>
      <c r="W5233" s="806"/>
      <c r="AZ5233" s="806"/>
      <c r="BA5233" s="806"/>
      <c r="BB5233" s="806"/>
    </row>
    <row r="5234" spans="4:54">
      <c r="D5234" s="806"/>
      <c r="F5234" s="806"/>
      <c r="W5234" s="806"/>
      <c r="AZ5234" s="806"/>
      <c r="BA5234" s="806"/>
      <c r="BB5234" s="806"/>
    </row>
    <row r="5235" spans="4:54">
      <c r="D5235" s="806"/>
      <c r="F5235" s="806"/>
      <c r="W5235" s="806"/>
      <c r="AZ5235" s="806"/>
      <c r="BA5235" s="806"/>
      <c r="BB5235" s="806"/>
    </row>
    <row r="5236" spans="4:54">
      <c r="D5236" s="806"/>
      <c r="F5236" s="806"/>
      <c r="W5236" s="806"/>
      <c r="AZ5236" s="806"/>
      <c r="BA5236" s="806"/>
      <c r="BB5236" s="806"/>
    </row>
    <row r="5237" spans="4:54">
      <c r="D5237" s="806"/>
      <c r="F5237" s="806"/>
      <c r="W5237" s="806"/>
      <c r="AZ5237" s="806"/>
      <c r="BA5237" s="806"/>
      <c r="BB5237" s="806"/>
    </row>
    <row r="5238" spans="4:54">
      <c r="D5238" s="806"/>
      <c r="F5238" s="806"/>
      <c r="W5238" s="806"/>
      <c r="AZ5238" s="806"/>
      <c r="BA5238" s="806"/>
      <c r="BB5238" s="806"/>
    </row>
    <row r="5239" spans="4:54">
      <c r="D5239" s="806"/>
      <c r="F5239" s="806"/>
      <c r="W5239" s="806"/>
      <c r="AZ5239" s="806"/>
      <c r="BA5239" s="806"/>
      <c r="BB5239" s="806"/>
    </row>
    <row r="5240" spans="4:54">
      <c r="D5240" s="806"/>
      <c r="F5240" s="806"/>
      <c r="W5240" s="806"/>
      <c r="AZ5240" s="806"/>
      <c r="BA5240" s="806"/>
      <c r="BB5240" s="806"/>
    </row>
    <row r="5241" spans="4:54">
      <c r="D5241" s="806"/>
      <c r="F5241" s="806"/>
      <c r="W5241" s="806"/>
      <c r="AZ5241" s="806"/>
      <c r="BA5241" s="806"/>
      <c r="BB5241" s="806"/>
    </row>
    <row r="5242" spans="4:54">
      <c r="D5242" s="806"/>
      <c r="F5242" s="806"/>
      <c r="W5242" s="806"/>
      <c r="AZ5242" s="806"/>
      <c r="BA5242" s="806"/>
      <c r="BB5242" s="806"/>
    </row>
    <row r="5243" spans="4:54">
      <c r="D5243" s="806"/>
      <c r="F5243" s="806"/>
      <c r="W5243" s="806"/>
      <c r="AZ5243" s="806"/>
      <c r="BA5243" s="806"/>
      <c r="BB5243" s="806"/>
    </row>
    <row r="5244" spans="4:54">
      <c r="D5244" s="806"/>
      <c r="F5244" s="806"/>
      <c r="W5244" s="806"/>
      <c r="AZ5244" s="806"/>
      <c r="BA5244" s="806"/>
      <c r="BB5244" s="806"/>
    </row>
    <row r="5245" spans="4:54">
      <c r="D5245" s="806"/>
      <c r="F5245" s="806"/>
      <c r="W5245" s="806"/>
      <c r="AZ5245" s="806"/>
      <c r="BA5245" s="806"/>
      <c r="BB5245" s="806"/>
    </row>
    <row r="5246" spans="4:54">
      <c r="D5246" s="806"/>
      <c r="F5246" s="806"/>
      <c r="W5246" s="806"/>
      <c r="AZ5246" s="806"/>
      <c r="BA5246" s="806"/>
      <c r="BB5246" s="806"/>
    </row>
    <row r="5247" spans="4:54">
      <c r="D5247" s="806"/>
      <c r="F5247" s="806"/>
      <c r="W5247" s="806"/>
      <c r="AZ5247" s="806"/>
      <c r="BA5247" s="806"/>
      <c r="BB5247" s="806"/>
    </row>
    <row r="5248" spans="4:54">
      <c r="D5248" s="806"/>
      <c r="F5248" s="806"/>
      <c r="W5248" s="806"/>
      <c r="AZ5248" s="806"/>
      <c r="BA5248" s="806"/>
      <c r="BB5248" s="806"/>
    </row>
    <row r="5249" spans="4:54">
      <c r="D5249" s="806"/>
      <c r="F5249" s="806"/>
      <c r="W5249" s="806"/>
      <c r="AZ5249" s="806"/>
      <c r="BA5249" s="806"/>
      <c r="BB5249" s="806"/>
    </row>
    <row r="5250" spans="4:54">
      <c r="D5250" s="806"/>
      <c r="F5250" s="806"/>
      <c r="W5250" s="806"/>
      <c r="AZ5250" s="806"/>
      <c r="BA5250" s="806"/>
      <c r="BB5250" s="806"/>
    </row>
    <row r="5251" spans="4:54">
      <c r="D5251" s="806"/>
      <c r="F5251" s="806"/>
      <c r="W5251" s="806"/>
      <c r="AZ5251" s="806"/>
      <c r="BA5251" s="806"/>
      <c r="BB5251" s="806"/>
    </row>
    <row r="5252" spans="4:54">
      <c r="D5252" s="806"/>
      <c r="F5252" s="806"/>
      <c r="W5252" s="806"/>
      <c r="AZ5252" s="806"/>
      <c r="BA5252" s="806"/>
      <c r="BB5252" s="806"/>
    </row>
    <row r="5253" spans="4:54">
      <c r="D5253" s="806"/>
      <c r="F5253" s="806"/>
      <c r="W5253" s="806"/>
      <c r="AZ5253" s="806"/>
      <c r="BA5253" s="806"/>
      <c r="BB5253" s="806"/>
    </row>
    <row r="5254" spans="4:54">
      <c r="D5254" s="806"/>
      <c r="F5254" s="806"/>
      <c r="W5254" s="806"/>
      <c r="AZ5254" s="806"/>
      <c r="BA5254" s="806"/>
      <c r="BB5254" s="806"/>
    </row>
    <row r="5255" spans="4:54">
      <c r="D5255" s="806"/>
      <c r="F5255" s="806"/>
      <c r="W5255" s="806"/>
      <c r="AZ5255" s="806"/>
      <c r="BA5255" s="806"/>
      <c r="BB5255" s="806"/>
    </row>
    <row r="5256" spans="4:54">
      <c r="D5256" s="806"/>
      <c r="F5256" s="806"/>
      <c r="W5256" s="806"/>
      <c r="AZ5256" s="806"/>
      <c r="BA5256" s="806"/>
      <c r="BB5256" s="806"/>
    </row>
    <row r="5257" spans="4:54">
      <c r="D5257" s="806"/>
      <c r="F5257" s="806"/>
      <c r="W5257" s="806"/>
      <c r="AZ5257" s="806"/>
      <c r="BA5257" s="806"/>
      <c r="BB5257" s="806"/>
    </row>
    <row r="5258" spans="4:54">
      <c r="D5258" s="806"/>
      <c r="F5258" s="806"/>
      <c r="W5258" s="806"/>
      <c r="AZ5258" s="806"/>
      <c r="BA5258" s="806"/>
      <c r="BB5258" s="806"/>
    </row>
    <row r="5259" spans="4:54">
      <c r="D5259" s="806"/>
      <c r="F5259" s="806"/>
      <c r="W5259" s="806"/>
      <c r="AZ5259" s="806"/>
      <c r="BA5259" s="806"/>
      <c r="BB5259" s="806"/>
    </row>
    <row r="5260" spans="4:54">
      <c r="D5260" s="806"/>
      <c r="F5260" s="806"/>
      <c r="W5260" s="806"/>
      <c r="AZ5260" s="806"/>
      <c r="BA5260" s="806"/>
      <c r="BB5260" s="806"/>
    </row>
    <row r="5261" spans="4:54">
      <c r="D5261" s="806"/>
      <c r="F5261" s="806"/>
      <c r="W5261" s="806"/>
      <c r="AZ5261" s="806"/>
      <c r="BA5261" s="806"/>
      <c r="BB5261" s="806"/>
    </row>
    <row r="5262" spans="4:54">
      <c r="D5262" s="806"/>
      <c r="F5262" s="806"/>
      <c r="W5262" s="806"/>
      <c r="AZ5262" s="806"/>
      <c r="BA5262" s="806"/>
      <c r="BB5262" s="806"/>
    </row>
    <row r="5263" spans="4:54">
      <c r="D5263" s="806"/>
      <c r="F5263" s="806"/>
      <c r="W5263" s="806"/>
      <c r="AZ5263" s="806"/>
      <c r="BA5263" s="806"/>
      <c r="BB5263" s="806"/>
    </row>
    <row r="5264" spans="4:54">
      <c r="D5264" s="806"/>
      <c r="F5264" s="806"/>
      <c r="W5264" s="806"/>
      <c r="AZ5264" s="806"/>
      <c r="BA5264" s="806"/>
      <c r="BB5264" s="806"/>
    </row>
    <row r="5265" spans="4:54">
      <c r="D5265" s="806"/>
      <c r="F5265" s="806"/>
      <c r="W5265" s="806"/>
      <c r="AZ5265" s="806"/>
      <c r="BA5265" s="806"/>
      <c r="BB5265" s="806"/>
    </row>
    <row r="5266" spans="4:54">
      <c r="D5266" s="806"/>
      <c r="F5266" s="806"/>
      <c r="W5266" s="806"/>
      <c r="AZ5266" s="806"/>
      <c r="BA5266" s="806"/>
      <c r="BB5266" s="806"/>
    </row>
    <row r="5267" spans="4:54">
      <c r="D5267" s="806"/>
      <c r="F5267" s="806"/>
      <c r="W5267" s="806"/>
      <c r="AZ5267" s="806"/>
      <c r="BA5267" s="806"/>
      <c r="BB5267" s="806"/>
    </row>
    <row r="5268" spans="4:54">
      <c r="D5268" s="806"/>
      <c r="F5268" s="806"/>
      <c r="W5268" s="806"/>
      <c r="AZ5268" s="806"/>
      <c r="BA5268" s="806"/>
      <c r="BB5268" s="806"/>
    </row>
    <row r="5269" spans="4:54">
      <c r="D5269" s="806"/>
      <c r="F5269" s="806"/>
      <c r="W5269" s="806"/>
      <c r="AZ5269" s="806"/>
      <c r="BA5269" s="806"/>
      <c r="BB5269" s="806"/>
    </row>
    <row r="5270" spans="4:54">
      <c r="D5270" s="806"/>
      <c r="F5270" s="806"/>
      <c r="W5270" s="806"/>
      <c r="AZ5270" s="806"/>
      <c r="BA5270" s="806"/>
      <c r="BB5270" s="806"/>
    </row>
    <row r="5271" spans="4:54">
      <c r="D5271" s="806"/>
      <c r="F5271" s="806"/>
      <c r="W5271" s="806"/>
      <c r="AZ5271" s="806"/>
      <c r="BA5271" s="806"/>
      <c r="BB5271" s="806"/>
    </row>
    <row r="5272" spans="4:54">
      <c r="D5272" s="806"/>
      <c r="F5272" s="806"/>
      <c r="W5272" s="806"/>
      <c r="AZ5272" s="806"/>
      <c r="BA5272" s="806"/>
      <c r="BB5272" s="806"/>
    </row>
    <row r="5273" spans="4:54">
      <c r="D5273" s="806"/>
      <c r="F5273" s="806"/>
      <c r="W5273" s="806"/>
      <c r="AZ5273" s="806"/>
      <c r="BA5273" s="806"/>
      <c r="BB5273" s="806"/>
    </row>
    <row r="5274" spans="4:54">
      <c r="D5274" s="806"/>
      <c r="F5274" s="806"/>
      <c r="W5274" s="806"/>
      <c r="AZ5274" s="806"/>
      <c r="BA5274" s="806"/>
      <c r="BB5274" s="806"/>
    </row>
    <row r="5275" spans="4:54">
      <c r="D5275" s="806"/>
      <c r="F5275" s="806"/>
      <c r="W5275" s="806"/>
      <c r="AZ5275" s="806"/>
      <c r="BA5275" s="806"/>
      <c r="BB5275" s="806"/>
    </row>
    <row r="5276" spans="4:54">
      <c r="D5276" s="806"/>
      <c r="F5276" s="806"/>
      <c r="W5276" s="806"/>
      <c r="AZ5276" s="806"/>
      <c r="BA5276" s="806"/>
      <c r="BB5276" s="806"/>
    </row>
    <row r="5277" spans="4:54">
      <c r="D5277" s="806"/>
      <c r="F5277" s="806"/>
      <c r="W5277" s="806"/>
      <c r="AZ5277" s="806"/>
      <c r="BA5277" s="806"/>
      <c r="BB5277" s="806"/>
    </row>
    <row r="5278" spans="4:54">
      <c r="D5278" s="806"/>
      <c r="F5278" s="806"/>
      <c r="W5278" s="806"/>
      <c r="AZ5278" s="806"/>
      <c r="BA5278" s="806"/>
      <c r="BB5278" s="806"/>
    </row>
    <row r="5279" spans="4:54">
      <c r="D5279" s="806"/>
      <c r="F5279" s="806"/>
      <c r="W5279" s="806"/>
      <c r="AZ5279" s="806"/>
      <c r="BA5279" s="806"/>
      <c r="BB5279" s="806"/>
    </row>
    <row r="5280" spans="4:54">
      <c r="D5280" s="806"/>
      <c r="F5280" s="806"/>
      <c r="W5280" s="806"/>
      <c r="AZ5280" s="806"/>
      <c r="BA5280" s="806"/>
      <c r="BB5280" s="806"/>
    </row>
    <row r="5281" spans="4:54">
      <c r="D5281" s="806"/>
      <c r="F5281" s="806"/>
      <c r="W5281" s="806"/>
      <c r="AZ5281" s="806"/>
      <c r="BA5281" s="806"/>
      <c r="BB5281" s="806"/>
    </row>
    <row r="5282" spans="4:54">
      <c r="D5282" s="806"/>
      <c r="F5282" s="806"/>
      <c r="W5282" s="806"/>
      <c r="AZ5282" s="806"/>
      <c r="BA5282" s="806"/>
      <c r="BB5282" s="806"/>
    </row>
    <row r="5283" spans="4:54">
      <c r="D5283" s="806"/>
      <c r="F5283" s="806"/>
      <c r="W5283" s="806"/>
      <c r="AZ5283" s="806"/>
      <c r="BA5283" s="806"/>
      <c r="BB5283" s="806"/>
    </row>
    <row r="5284" spans="4:54">
      <c r="D5284" s="806"/>
      <c r="F5284" s="806"/>
      <c r="W5284" s="806"/>
      <c r="AZ5284" s="806"/>
      <c r="BA5284" s="806"/>
      <c r="BB5284" s="806"/>
    </row>
    <row r="5285" spans="4:54">
      <c r="D5285" s="806"/>
      <c r="F5285" s="806"/>
      <c r="W5285" s="806"/>
      <c r="AZ5285" s="806"/>
      <c r="BA5285" s="806"/>
      <c r="BB5285" s="806"/>
    </row>
    <row r="5286" spans="4:54">
      <c r="D5286" s="806"/>
      <c r="F5286" s="806"/>
      <c r="W5286" s="806"/>
      <c r="AZ5286" s="806"/>
      <c r="BA5286" s="806"/>
      <c r="BB5286" s="806"/>
    </row>
    <row r="5287" spans="4:54">
      <c r="D5287" s="806"/>
      <c r="F5287" s="806"/>
      <c r="W5287" s="806"/>
      <c r="AZ5287" s="806"/>
      <c r="BA5287" s="806"/>
      <c r="BB5287" s="806"/>
    </row>
    <row r="5288" spans="4:54">
      <c r="D5288" s="806"/>
      <c r="F5288" s="806"/>
      <c r="W5288" s="806"/>
      <c r="AZ5288" s="806"/>
      <c r="BA5288" s="806"/>
      <c r="BB5288" s="806"/>
    </row>
    <row r="5289" spans="4:54">
      <c r="D5289" s="806"/>
      <c r="F5289" s="806"/>
      <c r="W5289" s="806"/>
      <c r="AZ5289" s="806"/>
      <c r="BA5289" s="806"/>
      <c r="BB5289" s="806"/>
    </row>
    <row r="5290" spans="4:54">
      <c r="D5290" s="806"/>
      <c r="F5290" s="806"/>
      <c r="W5290" s="806"/>
      <c r="AZ5290" s="806"/>
      <c r="BA5290" s="806"/>
      <c r="BB5290" s="806"/>
    </row>
    <row r="5291" spans="4:54">
      <c r="D5291" s="806"/>
      <c r="F5291" s="806"/>
      <c r="W5291" s="806"/>
      <c r="AZ5291" s="806"/>
      <c r="BA5291" s="806"/>
      <c r="BB5291" s="806"/>
    </row>
    <row r="5292" spans="4:54">
      <c r="D5292" s="806"/>
      <c r="F5292" s="806"/>
      <c r="W5292" s="806"/>
      <c r="AZ5292" s="806"/>
      <c r="BA5292" s="806"/>
      <c r="BB5292" s="806"/>
    </row>
    <row r="5293" spans="4:54">
      <c r="D5293" s="806"/>
      <c r="F5293" s="806"/>
      <c r="W5293" s="806"/>
      <c r="AZ5293" s="806"/>
      <c r="BA5293" s="806"/>
      <c r="BB5293" s="806"/>
    </row>
    <row r="5294" spans="4:54">
      <c r="D5294" s="806"/>
      <c r="F5294" s="806"/>
      <c r="W5294" s="806"/>
      <c r="AZ5294" s="806"/>
      <c r="BA5294" s="806"/>
      <c r="BB5294" s="806"/>
    </row>
    <row r="5295" spans="4:54">
      <c r="D5295" s="806"/>
      <c r="F5295" s="806"/>
      <c r="W5295" s="806"/>
      <c r="AZ5295" s="806"/>
      <c r="BA5295" s="806"/>
      <c r="BB5295" s="806"/>
    </row>
    <row r="5296" spans="4:54">
      <c r="D5296" s="806"/>
      <c r="F5296" s="806"/>
      <c r="W5296" s="806"/>
      <c r="AZ5296" s="806"/>
      <c r="BA5296" s="806"/>
      <c r="BB5296" s="806"/>
    </row>
    <row r="5297" spans="4:54">
      <c r="D5297" s="806"/>
      <c r="F5297" s="806"/>
      <c r="W5297" s="806"/>
      <c r="AZ5297" s="806"/>
      <c r="BA5297" s="806"/>
      <c r="BB5297" s="806"/>
    </row>
    <row r="5298" spans="4:54">
      <c r="D5298" s="806"/>
      <c r="F5298" s="806"/>
      <c r="W5298" s="806"/>
      <c r="AZ5298" s="806"/>
      <c r="BA5298" s="806"/>
      <c r="BB5298" s="806"/>
    </row>
    <row r="5299" spans="4:54">
      <c r="D5299" s="806"/>
      <c r="F5299" s="806"/>
      <c r="W5299" s="806"/>
      <c r="AZ5299" s="806"/>
      <c r="BA5299" s="806"/>
      <c r="BB5299" s="806"/>
    </row>
    <row r="5300" spans="4:54">
      <c r="D5300" s="806"/>
      <c r="F5300" s="806"/>
      <c r="W5300" s="806"/>
      <c r="AZ5300" s="806"/>
      <c r="BA5300" s="806"/>
      <c r="BB5300" s="806"/>
    </row>
    <row r="5301" spans="4:54">
      <c r="D5301" s="806"/>
      <c r="F5301" s="806"/>
      <c r="W5301" s="806"/>
      <c r="AZ5301" s="806"/>
      <c r="BA5301" s="806"/>
      <c r="BB5301" s="806"/>
    </row>
    <row r="5302" spans="4:54">
      <c r="D5302" s="806"/>
      <c r="F5302" s="806"/>
      <c r="W5302" s="806"/>
      <c r="AZ5302" s="806"/>
      <c r="BA5302" s="806"/>
      <c r="BB5302" s="806"/>
    </row>
    <row r="5303" spans="4:54">
      <c r="D5303" s="806"/>
      <c r="F5303" s="806"/>
      <c r="W5303" s="806"/>
      <c r="AZ5303" s="806"/>
      <c r="BA5303" s="806"/>
      <c r="BB5303" s="806"/>
    </row>
    <row r="5304" spans="4:54">
      <c r="D5304" s="806"/>
      <c r="F5304" s="806"/>
      <c r="W5304" s="806"/>
      <c r="AZ5304" s="806"/>
      <c r="BA5304" s="806"/>
      <c r="BB5304" s="806"/>
    </row>
    <row r="5305" spans="4:54">
      <c r="D5305" s="806"/>
      <c r="F5305" s="806"/>
      <c r="W5305" s="806"/>
      <c r="AZ5305" s="806"/>
      <c r="BA5305" s="806"/>
      <c r="BB5305" s="806"/>
    </row>
    <row r="5306" spans="4:54">
      <c r="D5306" s="806"/>
      <c r="F5306" s="806"/>
      <c r="W5306" s="806"/>
      <c r="AZ5306" s="806"/>
      <c r="BA5306" s="806"/>
      <c r="BB5306" s="806"/>
    </row>
    <row r="5307" spans="4:54">
      <c r="D5307" s="806"/>
      <c r="F5307" s="806"/>
      <c r="W5307" s="806"/>
      <c r="AZ5307" s="806"/>
      <c r="BA5307" s="806"/>
      <c r="BB5307" s="806"/>
    </row>
    <row r="5308" spans="4:54">
      <c r="D5308" s="806"/>
      <c r="F5308" s="806"/>
      <c r="W5308" s="806"/>
      <c r="AZ5308" s="806"/>
      <c r="BA5308" s="806"/>
      <c r="BB5308" s="806"/>
    </row>
    <row r="5309" spans="4:54">
      <c r="D5309" s="806"/>
      <c r="F5309" s="806"/>
      <c r="W5309" s="806"/>
      <c r="AZ5309" s="806"/>
      <c r="BA5309" s="806"/>
      <c r="BB5309" s="806"/>
    </row>
    <row r="5310" spans="4:54">
      <c r="D5310" s="806"/>
      <c r="F5310" s="806"/>
      <c r="W5310" s="806"/>
      <c r="AZ5310" s="806"/>
      <c r="BA5310" s="806"/>
      <c r="BB5310" s="806"/>
    </row>
    <row r="5311" spans="4:54">
      <c r="D5311" s="806"/>
      <c r="F5311" s="806"/>
      <c r="W5311" s="806"/>
      <c r="AZ5311" s="806"/>
      <c r="BA5311" s="806"/>
      <c r="BB5311" s="806"/>
    </row>
    <row r="5312" spans="4:54">
      <c r="D5312" s="806"/>
      <c r="F5312" s="806"/>
      <c r="W5312" s="806"/>
      <c r="AZ5312" s="806"/>
      <c r="BA5312" s="806"/>
      <c r="BB5312" s="806"/>
    </row>
    <row r="5313" spans="4:54">
      <c r="D5313" s="806"/>
      <c r="F5313" s="806"/>
      <c r="W5313" s="806"/>
      <c r="AZ5313" s="806"/>
      <c r="BA5313" s="806"/>
      <c r="BB5313" s="806"/>
    </row>
    <row r="5314" spans="4:54">
      <c r="D5314" s="806"/>
      <c r="F5314" s="806"/>
      <c r="W5314" s="806"/>
      <c r="AZ5314" s="806"/>
      <c r="BA5314" s="806"/>
      <c r="BB5314" s="806"/>
    </row>
    <row r="5315" spans="4:54">
      <c r="D5315" s="806"/>
      <c r="F5315" s="806"/>
      <c r="W5315" s="806"/>
      <c r="AZ5315" s="806"/>
      <c r="BA5315" s="806"/>
      <c r="BB5315" s="806"/>
    </row>
    <row r="5316" spans="4:54">
      <c r="D5316" s="806"/>
      <c r="F5316" s="806"/>
      <c r="W5316" s="806"/>
      <c r="AZ5316" s="806"/>
      <c r="BA5316" s="806"/>
      <c r="BB5316" s="806"/>
    </row>
    <row r="5317" spans="4:54">
      <c r="D5317" s="806"/>
      <c r="F5317" s="806"/>
      <c r="W5317" s="806"/>
      <c r="AZ5317" s="806"/>
      <c r="BA5317" s="806"/>
      <c r="BB5317" s="806"/>
    </row>
    <row r="5318" spans="4:54">
      <c r="D5318" s="806"/>
      <c r="F5318" s="806"/>
      <c r="W5318" s="806"/>
      <c r="AZ5318" s="806"/>
      <c r="BA5318" s="806"/>
      <c r="BB5318" s="806"/>
    </row>
    <row r="5319" spans="4:54">
      <c r="D5319" s="806"/>
      <c r="F5319" s="806"/>
      <c r="W5319" s="806"/>
      <c r="AZ5319" s="806"/>
      <c r="BA5319" s="806"/>
      <c r="BB5319" s="806"/>
    </row>
    <row r="5320" spans="4:54">
      <c r="D5320" s="806"/>
      <c r="F5320" s="806"/>
      <c r="W5320" s="806"/>
      <c r="AZ5320" s="806"/>
      <c r="BA5320" s="806"/>
      <c r="BB5320" s="806"/>
    </row>
    <row r="5321" spans="4:54">
      <c r="D5321" s="806"/>
      <c r="F5321" s="806"/>
      <c r="W5321" s="806"/>
      <c r="AZ5321" s="806"/>
      <c r="BA5321" s="806"/>
      <c r="BB5321" s="806"/>
    </row>
    <row r="5322" spans="4:54">
      <c r="D5322" s="806"/>
      <c r="F5322" s="806"/>
      <c r="W5322" s="806"/>
      <c r="AZ5322" s="806"/>
      <c r="BA5322" s="806"/>
      <c r="BB5322" s="806"/>
    </row>
    <row r="5323" spans="4:54">
      <c r="D5323" s="806"/>
      <c r="F5323" s="806"/>
      <c r="W5323" s="806"/>
      <c r="AZ5323" s="806"/>
      <c r="BA5323" s="806"/>
      <c r="BB5323" s="806"/>
    </row>
    <row r="5324" spans="4:54">
      <c r="D5324" s="806"/>
      <c r="F5324" s="806"/>
      <c r="W5324" s="806"/>
      <c r="AZ5324" s="806"/>
      <c r="BA5324" s="806"/>
      <c r="BB5324" s="806"/>
    </row>
    <row r="5325" spans="4:54">
      <c r="D5325" s="806"/>
      <c r="F5325" s="806"/>
      <c r="W5325" s="806"/>
      <c r="AZ5325" s="806"/>
      <c r="BA5325" s="806"/>
      <c r="BB5325" s="806"/>
    </row>
    <row r="5326" spans="4:54">
      <c r="D5326" s="806"/>
      <c r="F5326" s="806"/>
      <c r="W5326" s="806"/>
      <c r="AZ5326" s="806"/>
      <c r="BA5326" s="806"/>
      <c r="BB5326" s="806"/>
    </row>
    <row r="5327" spans="4:54">
      <c r="D5327" s="806"/>
      <c r="F5327" s="806"/>
      <c r="W5327" s="806"/>
      <c r="AZ5327" s="806"/>
      <c r="BA5327" s="806"/>
      <c r="BB5327" s="806"/>
    </row>
    <row r="5328" spans="4:54">
      <c r="D5328" s="806"/>
      <c r="F5328" s="806"/>
      <c r="W5328" s="806"/>
      <c r="AZ5328" s="806"/>
      <c r="BA5328" s="806"/>
      <c r="BB5328" s="806"/>
    </row>
    <row r="5329" spans="4:54">
      <c r="D5329" s="806"/>
      <c r="F5329" s="806"/>
      <c r="W5329" s="806"/>
      <c r="AZ5329" s="806"/>
      <c r="BA5329" s="806"/>
      <c r="BB5329" s="806"/>
    </row>
    <row r="5330" spans="4:54">
      <c r="D5330" s="806"/>
      <c r="F5330" s="806"/>
      <c r="W5330" s="806"/>
      <c r="AZ5330" s="806"/>
      <c r="BA5330" s="806"/>
      <c r="BB5330" s="806"/>
    </row>
    <row r="5331" spans="4:54">
      <c r="D5331" s="806"/>
      <c r="F5331" s="806"/>
      <c r="W5331" s="806"/>
      <c r="AZ5331" s="806"/>
      <c r="BA5331" s="806"/>
      <c r="BB5331" s="806"/>
    </row>
    <row r="5332" spans="4:54">
      <c r="D5332" s="806"/>
      <c r="F5332" s="806"/>
      <c r="W5332" s="806"/>
      <c r="AZ5332" s="806"/>
      <c r="BA5332" s="806"/>
      <c r="BB5332" s="806"/>
    </row>
    <row r="5333" spans="4:54">
      <c r="D5333" s="806"/>
      <c r="F5333" s="806"/>
      <c r="W5333" s="806"/>
      <c r="AZ5333" s="806"/>
      <c r="BA5333" s="806"/>
      <c r="BB5333" s="806"/>
    </row>
    <row r="5334" spans="4:54">
      <c r="D5334" s="806"/>
      <c r="F5334" s="806"/>
      <c r="W5334" s="806"/>
      <c r="AZ5334" s="806"/>
      <c r="BA5334" s="806"/>
      <c r="BB5334" s="806"/>
    </row>
    <row r="5335" spans="4:54">
      <c r="D5335" s="806"/>
      <c r="F5335" s="806"/>
      <c r="W5335" s="806"/>
      <c r="AZ5335" s="806"/>
      <c r="BA5335" s="806"/>
      <c r="BB5335" s="806"/>
    </row>
    <row r="5336" spans="4:54">
      <c r="D5336" s="806"/>
      <c r="F5336" s="806"/>
      <c r="W5336" s="806"/>
      <c r="AZ5336" s="806"/>
      <c r="BA5336" s="806"/>
      <c r="BB5336" s="806"/>
    </row>
    <row r="5337" spans="4:54">
      <c r="D5337" s="806"/>
      <c r="F5337" s="806"/>
      <c r="W5337" s="806"/>
      <c r="AZ5337" s="806"/>
      <c r="BA5337" s="806"/>
      <c r="BB5337" s="806"/>
    </row>
    <row r="5338" spans="4:54">
      <c r="D5338" s="806"/>
      <c r="F5338" s="806"/>
      <c r="W5338" s="806"/>
      <c r="AZ5338" s="806"/>
      <c r="BA5338" s="806"/>
      <c r="BB5338" s="806"/>
    </row>
    <row r="5339" spans="4:54">
      <c r="D5339" s="806"/>
      <c r="F5339" s="806"/>
      <c r="W5339" s="806"/>
      <c r="AZ5339" s="806"/>
      <c r="BA5339" s="806"/>
      <c r="BB5339" s="806"/>
    </row>
    <row r="5340" spans="4:54">
      <c r="D5340" s="806"/>
      <c r="F5340" s="806"/>
      <c r="W5340" s="806"/>
      <c r="AZ5340" s="806"/>
      <c r="BA5340" s="806"/>
      <c r="BB5340" s="806"/>
    </row>
    <row r="5341" spans="4:54">
      <c r="D5341" s="806"/>
      <c r="F5341" s="806"/>
      <c r="W5341" s="806"/>
      <c r="AZ5341" s="806"/>
      <c r="BA5341" s="806"/>
      <c r="BB5341" s="806"/>
    </row>
    <row r="5342" spans="4:54">
      <c r="D5342" s="806"/>
      <c r="F5342" s="806"/>
      <c r="W5342" s="806"/>
      <c r="AZ5342" s="806"/>
      <c r="BA5342" s="806"/>
      <c r="BB5342" s="806"/>
    </row>
    <row r="5343" spans="4:54">
      <c r="D5343" s="806"/>
      <c r="F5343" s="806"/>
      <c r="W5343" s="806"/>
      <c r="AZ5343" s="806"/>
      <c r="BA5343" s="806"/>
      <c r="BB5343" s="806"/>
    </row>
    <row r="5344" spans="4:54">
      <c r="D5344" s="806"/>
      <c r="F5344" s="806"/>
      <c r="W5344" s="806"/>
      <c r="AZ5344" s="806"/>
      <c r="BA5344" s="806"/>
      <c r="BB5344" s="806"/>
    </row>
    <row r="5345" spans="4:54">
      <c r="D5345" s="806"/>
      <c r="F5345" s="806"/>
      <c r="W5345" s="806"/>
      <c r="AZ5345" s="806"/>
      <c r="BA5345" s="806"/>
      <c r="BB5345" s="806"/>
    </row>
    <row r="5346" spans="4:54">
      <c r="D5346" s="806"/>
      <c r="F5346" s="806"/>
      <c r="W5346" s="806"/>
      <c r="AZ5346" s="806"/>
      <c r="BA5346" s="806"/>
      <c r="BB5346" s="806"/>
    </row>
    <row r="5347" spans="4:54">
      <c r="D5347" s="806"/>
      <c r="F5347" s="806"/>
      <c r="W5347" s="806"/>
      <c r="AZ5347" s="806"/>
      <c r="BA5347" s="806"/>
      <c r="BB5347" s="806"/>
    </row>
    <row r="5348" spans="4:54">
      <c r="D5348" s="806"/>
      <c r="F5348" s="806"/>
      <c r="W5348" s="806"/>
      <c r="AZ5348" s="806"/>
      <c r="BA5348" s="806"/>
      <c r="BB5348" s="806"/>
    </row>
    <row r="5349" spans="4:54">
      <c r="D5349" s="806"/>
      <c r="F5349" s="806"/>
      <c r="W5349" s="806"/>
      <c r="AZ5349" s="806"/>
      <c r="BA5349" s="806"/>
      <c r="BB5349" s="806"/>
    </row>
    <row r="5350" spans="4:54">
      <c r="D5350" s="806"/>
      <c r="F5350" s="806"/>
      <c r="W5350" s="806"/>
      <c r="AZ5350" s="806"/>
      <c r="BA5350" s="806"/>
      <c r="BB5350" s="806"/>
    </row>
    <row r="5351" spans="4:54">
      <c r="D5351" s="806"/>
      <c r="F5351" s="806"/>
      <c r="W5351" s="806"/>
      <c r="AZ5351" s="806"/>
      <c r="BA5351" s="806"/>
      <c r="BB5351" s="806"/>
    </row>
    <row r="5352" spans="4:54">
      <c r="D5352" s="806"/>
      <c r="F5352" s="806"/>
      <c r="W5352" s="806"/>
      <c r="AZ5352" s="806"/>
      <c r="BA5352" s="806"/>
      <c r="BB5352" s="806"/>
    </row>
    <row r="5353" spans="4:54">
      <c r="D5353" s="806"/>
      <c r="F5353" s="806"/>
      <c r="W5353" s="806"/>
      <c r="AZ5353" s="806"/>
      <c r="BA5353" s="806"/>
      <c r="BB5353" s="806"/>
    </row>
    <row r="5354" spans="4:54">
      <c r="D5354" s="806"/>
      <c r="F5354" s="806"/>
      <c r="W5354" s="806"/>
      <c r="AZ5354" s="806"/>
      <c r="BA5354" s="806"/>
      <c r="BB5354" s="806"/>
    </row>
    <row r="5355" spans="4:54">
      <c r="D5355" s="806"/>
      <c r="F5355" s="806"/>
      <c r="W5355" s="806"/>
      <c r="AZ5355" s="806"/>
      <c r="BA5355" s="806"/>
      <c r="BB5355" s="806"/>
    </row>
    <row r="5356" spans="4:54">
      <c r="D5356" s="806"/>
      <c r="F5356" s="806"/>
      <c r="W5356" s="806"/>
      <c r="AZ5356" s="806"/>
      <c r="BA5356" s="806"/>
      <c r="BB5356" s="806"/>
    </row>
    <row r="5357" spans="4:54">
      <c r="D5357" s="806"/>
      <c r="F5357" s="806"/>
      <c r="W5357" s="806"/>
      <c r="AZ5357" s="806"/>
      <c r="BA5357" s="806"/>
      <c r="BB5357" s="806"/>
    </row>
    <row r="5358" spans="4:54">
      <c r="D5358" s="806"/>
      <c r="F5358" s="806"/>
      <c r="W5358" s="806"/>
      <c r="AZ5358" s="806"/>
      <c r="BA5358" s="806"/>
      <c r="BB5358" s="806"/>
    </row>
    <row r="5359" spans="4:54">
      <c r="D5359" s="806"/>
      <c r="F5359" s="806"/>
      <c r="W5359" s="806"/>
      <c r="AZ5359" s="806"/>
      <c r="BA5359" s="806"/>
      <c r="BB5359" s="806"/>
    </row>
    <row r="5360" spans="4:54">
      <c r="D5360" s="806"/>
      <c r="F5360" s="806"/>
      <c r="W5360" s="806"/>
      <c r="AZ5360" s="806"/>
      <c r="BA5360" s="806"/>
      <c r="BB5360" s="806"/>
    </row>
    <row r="5361" spans="4:54">
      <c r="D5361" s="806"/>
      <c r="F5361" s="806"/>
      <c r="W5361" s="806"/>
      <c r="AZ5361" s="806"/>
      <c r="BA5361" s="806"/>
      <c r="BB5361" s="806"/>
    </row>
    <row r="5362" spans="4:54">
      <c r="D5362" s="806"/>
      <c r="F5362" s="806"/>
      <c r="W5362" s="806"/>
      <c r="AZ5362" s="806"/>
      <c r="BA5362" s="806"/>
      <c r="BB5362" s="806"/>
    </row>
    <row r="5363" spans="4:54">
      <c r="D5363" s="806"/>
      <c r="F5363" s="806"/>
      <c r="W5363" s="806"/>
      <c r="AZ5363" s="806"/>
      <c r="BA5363" s="806"/>
      <c r="BB5363" s="806"/>
    </row>
    <row r="5364" spans="4:54">
      <c r="D5364" s="806"/>
      <c r="F5364" s="806"/>
      <c r="W5364" s="806"/>
      <c r="AZ5364" s="806"/>
      <c r="BA5364" s="806"/>
      <c r="BB5364" s="806"/>
    </row>
    <row r="5365" spans="4:54">
      <c r="D5365" s="806"/>
      <c r="F5365" s="806"/>
      <c r="W5365" s="806"/>
      <c r="AZ5365" s="806"/>
      <c r="BA5365" s="806"/>
      <c r="BB5365" s="806"/>
    </row>
    <row r="5366" spans="4:54">
      <c r="D5366" s="806"/>
      <c r="F5366" s="806"/>
      <c r="W5366" s="806"/>
      <c r="AZ5366" s="806"/>
      <c r="BA5366" s="806"/>
      <c r="BB5366" s="806"/>
    </row>
    <row r="5367" spans="4:54">
      <c r="D5367" s="806"/>
      <c r="F5367" s="806"/>
      <c r="W5367" s="806"/>
      <c r="AZ5367" s="806"/>
      <c r="BA5367" s="806"/>
      <c r="BB5367" s="806"/>
    </row>
    <row r="5368" spans="4:54">
      <c r="D5368" s="806"/>
      <c r="F5368" s="806"/>
      <c r="W5368" s="806"/>
      <c r="AZ5368" s="806"/>
      <c r="BA5368" s="806"/>
      <c r="BB5368" s="806"/>
    </row>
    <row r="5369" spans="4:54">
      <c r="D5369" s="806"/>
      <c r="F5369" s="806"/>
      <c r="W5369" s="806"/>
      <c r="AZ5369" s="806"/>
      <c r="BA5369" s="806"/>
      <c r="BB5369" s="806"/>
    </row>
    <row r="5370" spans="4:54">
      <c r="D5370" s="806"/>
      <c r="F5370" s="806"/>
      <c r="W5370" s="806"/>
      <c r="AZ5370" s="806"/>
      <c r="BA5370" s="806"/>
      <c r="BB5370" s="806"/>
    </row>
    <row r="5371" spans="4:54">
      <c r="D5371" s="806"/>
      <c r="F5371" s="806"/>
      <c r="W5371" s="806"/>
      <c r="AZ5371" s="806"/>
      <c r="BA5371" s="806"/>
      <c r="BB5371" s="806"/>
    </row>
    <row r="5372" spans="4:54">
      <c r="D5372" s="806"/>
      <c r="F5372" s="806"/>
      <c r="W5372" s="806"/>
      <c r="AZ5372" s="806"/>
      <c r="BA5372" s="806"/>
      <c r="BB5372" s="806"/>
    </row>
    <row r="5373" spans="4:54">
      <c r="D5373" s="806"/>
      <c r="F5373" s="806"/>
      <c r="W5373" s="806"/>
      <c r="AZ5373" s="806"/>
      <c r="BA5373" s="806"/>
      <c r="BB5373" s="806"/>
    </row>
    <row r="5374" spans="4:54">
      <c r="D5374" s="806"/>
      <c r="F5374" s="806"/>
      <c r="W5374" s="806"/>
      <c r="AZ5374" s="806"/>
      <c r="BA5374" s="806"/>
      <c r="BB5374" s="806"/>
    </row>
    <row r="5375" spans="4:54">
      <c r="D5375" s="806"/>
      <c r="F5375" s="806"/>
      <c r="W5375" s="806"/>
      <c r="AZ5375" s="806"/>
      <c r="BA5375" s="806"/>
      <c r="BB5375" s="806"/>
    </row>
    <row r="5376" spans="4:54">
      <c r="D5376" s="806"/>
      <c r="F5376" s="806"/>
      <c r="W5376" s="806"/>
      <c r="AZ5376" s="806"/>
      <c r="BA5376" s="806"/>
      <c r="BB5376" s="806"/>
    </row>
    <row r="5377" spans="4:54">
      <c r="D5377" s="806"/>
      <c r="F5377" s="806"/>
      <c r="W5377" s="806"/>
      <c r="AZ5377" s="806"/>
      <c r="BA5377" s="806"/>
      <c r="BB5377" s="806"/>
    </row>
    <row r="5378" spans="4:54">
      <c r="D5378" s="806"/>
      <c r="F5378" s="806"/>
      <c r="W5378" s="806"/>
      <c r="AZ5378" s="806"/>
      <c r="BA5378" s="806"/>
      <c r="BB5378" s="806"/>
    </row>
    <row r="5379" spans="4:54">
      <c r="D5379" s="806"/>
      <c r="F5379" s="806"/>
      <c r="W5379" s="806"/>
      <c r="AZ5379" s="806"/>
      <c r="BA5379" s="806"/>
      <c r="BB5379" s="806"/>
    </row>
    <row r="5380" spans="4:54">
      <c r="D5380" s="806"/>
      <c r="F5380" s="806"/>
      <c r="W5380" s="806"/>
      <c r="AZ5380" s="806"/>
      <c r="BA5380" s="806"/>
      <c r="BB5380" s="806"/>
    </row>
    <row r="5381" spans="4:54">
      <c r="D5381" s="806"/>
      <c r="F5381" s="806"/>
      <c r="W5381" s="806"/>
      <c r="AZ5381" s="806"/>
      <c r="BA5381" s="806"/>
      <c r="BB5381" s="806"/>
    </row>
    <row r="5382" spans="4:54">
      <c r="D5382" s="806"/>
      <c r="F5382" s="806"/>
      <c r="W5382" s="806"/>
      <c r="AZ5382" s="806"/>
      <c r="BA5382" s="806"/>
      <c r="BB5382" s="806"/>
    </row>
    <row r="5383" spans="4:54">
      <c r="D5383" s="806"/>
      <c r="F5383" s="806"/>
      <c r="W5383" s="806"/>
      <c r="AZ5383" s="806"/>
      <c r="BA5383" s="806"/>
      <c r="BB5383" s="806"/>
    </row>
    <row r="5384" spans="4:54">
      <c r="D5384" s="806"/>
      <c r="F5384" s="806"/>
      <c r="W5384" s="806"/>
      <c r="AZ5384" s="806"/>
      <c r="BA5384" s="806"/>
      <c r="BB5384" s="806"/>
    </row>
    <row r="5385" spans="4:54">
      <c r="D5385" s="806"/>
      <c r="F5385" s="806"/>
      <c r="W5385" s="806"/>
      <c r="AZ5385" s="806"/>
      <c r="BA5385" s="806"/>
      <c r="BB5385" s="806"/>
    </row>
    <row r="5386" spans="4:54">
      <c r="D5386" s="806"/>
      <c r="F5386" s="806"/>
      <c r="W5386" s="806"/>
      <c r="AZ5386" s="806"/>
      <c r="BA5386" s="806"/>
      <c r="BB5386" s="806"/>
    </row>
    <row r="5387" spans="4:54">
      <c r="D5387" s="806"/>
      <c r="F5387" s="806"/>
      <c r="W5387" s="806"/>
      <c r="AZ5387" s="806"/>
      <c r="BA5387" s="806"/>
      <c r="BB5387" s="806"/>
    </row>
    <row r="5388" spans="4:54">
      <c r="D5388" s="806"/>
      <c r="F5388" s="806"/>
      <c r="W5388" s="806"/>
      <c r="AZ5388" s="806"/>
      <c r="BA5388" s="806"/>
      <c r="BB5388" s="806"/>
    </row>
    <row r="5389" spans="4:54">
      <c r="D5389" s="806"/>
      <c r="F5389" s="806"/>
      <c r="W5389" s="806"/>
      <c r="AZ5389" s="806"/>
      <c r="BA5389" s="806"/>
      <c r="BB5389" s="806"/>
    </row>
    <row r="5390" spans="4:54">
      <c r="D5390" s="806"/>
      <c r="F5390" s="806"/>
      <c r="W5390" s="806"/>
      <c r="AZ5390" s="806"/>
      <c r="BA5390" s="806"/>
      <c r="BB5390" s="806"/>
    </row>
    <row r="5391" spans="4:54">
      <c r="D5391" s="806"/>
      <c r="F5391" s="806"/>
      <c r="W5391" s="806"/>
      <c r="AZ5391" s="806"/>
      <c r="BA5391" s="806"/>
      <c r="BB5391" s="806"/>
    </row>
    <row r="5392" spans="4:54">
      <c r="D5392" s="806"/>
      <c r="F5392" s="806"/>
      <c r="W5392" s="806"/>
      <c r="AZ5392" s="806"/>
      <c r="BA5392" s="806"/>
      <c r="BB5392" s="806"/>
    </row>
    <row r="5393" spans="4:54">
      <c r="D5393" s="806"/>
      <c r="F5393" s="806"/>
      <c r="W5393" s="806"/>
      <c r="AZ5393" s="806"/>
      <c r="BA5393" s="806"/>
      <c r="BB5393" s="806"/>
    </row>
    <row r="5394" spans="4:54">
      <c r="D5394" s="806"/>
      <c r="F5394" s="806"/>
      <c r="W5394" s="806"/>
      <c r="AZ5394" s="806"/>
      <c r="BA5394" s="806"/>
      <c r="BB5394" s="806"/>
    </row>
    <row r="5397" spans="4:54">
      <c r="D5397" s="806"/>
      <c r="F5397" s="806"/>
      <c r="W5397" s="806"/>
      <c r="AZ5397" s="806"/>
      <c r="BA5397" s="806"/>
      <c r="BB5397" s="806"/>
    </row>
    <row r="5398" spans="4:54">
      <c r="D5398" s="806"/>
      <c r="F5398" s="806"/>
      <c r="W5398" s="806"/>
      <c r="AZ5398" s="806"/>
      <c r="BA5398" s="806"/>
      <c r="BB5398" s="806"/>
    </row>
    <row r="5399" spans="4:54">
      <c r="D5399" s="806"/>
      <c r="F5399" s="806"/>
      <c r="W5399" s="806"/>
      <c r="AZ5399" s="806"/>
      <c r="BA5399" s="806"/>
      <c r="BB5399" s="806"/>
    </row>
    <row r="5400" spans="4:54">
      <c r="D5400" s="806"/>
      <c r="F5400" s="806"/>
      <c r="W5400" s="806"/>
      <c r="AZ5400" s="806"/>
      <c r="BA5400" s="806"/>
      <c r="BB5400" s="806"/>
    </row>
    <row r="5401" spans="4:54">
      <c r="D5401" s="806"/>
      <c r="F5401" s="806"/>
      <c r="W5401" s="806"/>
      <c r="AZ5401" s="806"/>
      <c r="BA5401" s="806"/>
      <c r="BB5401" s="806"/>
    </row>
    <row r="5402" spans="4:54">
      <c r="D5402" s="806"/>
      <c r="F5402" s="806"/>
      <c r="W5402" s="806"/>
      <c r="AZ5402" s="806"/>
      <c r="BA5402" s="806"/>
      <c r="BB5402" s="806"/>
    </row>
    <row r="5403" spans="4:54">
      <c r="D5403" s="806"/>
      <c r="F5403" s="806"/>
      <c r="W5403" s="806"/>
      <c r="AZ5403" s="806"/>
      <c r="BA5403" s="806"/>
      <c r="BB5403" s="806"/>
    </row>
    <row r="5404" spans="4:54">
      <c r="D5404" s="806"/>
      <c r="F5404" s="806"/>
      <c r="W5404" s="806"/>
      <c r="AZ5404" s="806"/>
      <c r="BA5404" s="806"/>
      <c r="BB5404" s="806"/>
    </row>
    <row r="5405" spans="4:54">
      <c r="D5405" s="806"/>
      <c r="F5405" s="806"/>
      <c r="W5405" s="806"/>
      <c r="AZ5405" s="806"/>
      <c r="BA5405" s="806"/>
      <c r="BB5405" s="806"/>
    </row>
    <row r="5406" spans="4:54">
      <c r="D5406" s="806"/>
      <c r="F5406" s="806"/>
      <c r="W5406" s="806"/>
      <c r="AZ5406" s="806"/>
      <c r="BA5406" s="806"/>
      <c r="BB5406" s="806"/>
    </row>
    <row r="5407" spans="4:54">
      <c r="D5407" s="806"/>
      <c r="F5407" s="806"/>
      <c r="W5407" s="806"/>
      <c r="AZ5407" s="806"/>
      <c r="BA5407" s="806"/>
      <c r="BB5407" s="806"/>
    </row>
    <row r="5408" spans="4:54">
      <c r="D5408" s="806"/>
      <c r="F5408" s="806"/>
      <c r="W5408" s="806"/>
      <c r="AZ5408" s="806"/>
      <c r="BA5408" s="806"/>
      <c r="BB5408" s="806"/>
    </row>
    <row r="5409" spans="4:54">
      <c r="D5409" s="806"/>
      <c r="F5409" s="806"/>
      <c r="W5409" s="806"/>
      <c r="AZ5409" s="806"/>
      <c r="BA5409" s="806"/>
      <c r="BB5409" s="806"/>
    </row>
    <row r="5410" spans="4:54">
      <c r="D5410" s="806"/>
      <c r="F5410" s="806"/>
      <c r="W5410" s="806"/>
      <c r="AZ5410" s="806"/>
      <c r="BA5410" s="806"/>
      <c r="BB5410" s="806"/>
    </row>
    <row r="5411" spans="4:54">
      <c r="D5411" s="806"/>
      <c r="F5411" s="806"/>
      <c r="W5411" s="806"/>
      <c r="AZ5411" s="806"/>
      <c r="BA5411" s="806"/>
      <c r="BB5411" s="806"/>
    </row>
    <row r="5412" spans="4:54">
      <c r="D5412" s="806"/>
      <c r="F5412" s="806"/>
      <c r="W5412" s="806"/>
      <c r="AZ5412" s="806"/>
      <c r="BA5412" s="806"/>
      <c r="BB5412" s="806"/>
    </row>
    <row r="5413" spans="4:54">
      <c r="D5413" s="806"/>
      <c r="F5413" s="806"/>
      <c r="W5413" s="806"/>
      <c r="AZ5413" s="806"/>
      <c r="BA5413" s="806"/>
      <c r="BB5413" s="806"/>
    </row>
    <row r="5414" spans="4:54">
      <c r="D5414" s="806"/>
      <c r="F5414" s="806"/>
      <c r="W5414" s="806"/>
      <c r="AZ5414" s="806"/>
      <c r="BA5414" s="806"/>
      <c r="BB5414" s="806"/>
    </row>
    <row r="5415" spans="4:54">
      <c r="D5415" s="806"/>
      <c r="F5415" s="806"/>
      <c r="W5415" s="806"/>
      <c r="AZ5415" s="806"/>
      <c r="BA5415" s="806"/>
      <c r="BB5415" s="806"/>
    </row>
    <row r="5416" spans="4:54">
      <c r="D5416" s="806"/>
      <c r="F5416" s="806"/>
      <c r="W5416" s="806"/>
      <c r="AZ5416" s="806"/>
      <c r="BA5416" s="806"/>
      <c r="BB5416" s="806"/>
    </row>
    <row r="5417" spans="4:54">
      <c r="D5417" s="806"/>
      <c r="F5417" s="806"/>
      <c r="W5417" s="806"/>
      <c r="AZ5417" s="806"/>
      <c r="BA5417" s="806"/>
      <c r="BB5417" s="806"/>
    </row>
    <row r="5418" spans="4:54">
      <c r="D5418" s="806"/>
      <c r="F5418" s="806"/>
      <c r="W5418" s="806"/>
      <c r="AZ5418" s="806"/>
      <c r="BA5418" s="806"/>
      <c r="BB5418" s="806"/>
    </row>
    <row r="5419" spans="4:54">
      <c r="D5419" s="806"/>
      <c r="F5419" s="806"/>
      <c r="W5419" s="806"/>
      <c r="AZ5419" s="806"/>
      <c r="BA5419" s="806"/>
      <c r="BB5419" s="806"/>
    </row>
    <row r="5420" spans="4:54">
      <c r="D5420" s="806"/>
      <c r="F5420" s="806"/>
      <c r="W5420" s="806"/>
      <c r="AZ5420" s="806"/>
      <c r="BA5420" s="806"/>
      <c r="BB5420" s="806"/>
    </row>
    <row r="5422" spans="4:54">
      <c r="D5422" s="806"/>
      <c r="F5422" s="806"/>
      <c r="W5422" s="806"/>
      <c r="AZ5422" s="806"/>
      <c r="BA5422" s="806"/>
      <c r="BB5422" s="806"/>
    </row>
    <row r="5426" spans="4:54">
      <c r="D5426" s="806"/>
      <c r="F5426" s="806"/>
      <c r="W5426" s="806"/>
      <c r="AZ5426" s="806"/>
      <c r="BA5426" s="806"/>
      <c r="BB5426" s="806"/>
    </row>
    <row r="5427" spans="4:54">
      <c r="D5427" s="806"/>
      <c r="F5427" s="806"/>
      <c r="W5427" s="806"/>
      <c r="AZ5427" s="806"/>
      <c r="BA5427" s="806"/>
      <c r="BB5427" s="806"/>
    </row>
    <row r="5428" spans="4:54">
      <c r="D5428" s="806"/>
      <c r="F5428" s="806"/>
      <c r="W5428" s="806"/>
      <c r="AZ5428" s="806"/>
      <c r="BA5428" s="806"/>
      <c r="BB5428" s="806"/>
    </row>
    <row r="5429" spans="4:54">
      <c r="D5429" s="806"/>
      <c r="F5429" s="806"/>
      <c r="W5429" s="806"/>
      <c r="AZ5429" s="806"/>
      <c r="BA5429" s="806"/>
      <c r="BB5429" s="806"/>
    </row>
    <row r="5430" spans="4:54">
      <c r="D5430" s="806"/>
      <c r="F5430" s="806"/>
      <c r="W5430" s="806"/>
      <c r="AZ5430" s="806"/>
      <c r="BA5430" s="806"/>
      <c r="BB5430" s="806"/>
    </row>
    <row r="5431" spans="4:54">
      <c r="D5431" s="806"/>
      <c r="F5431" s="806"/>
      <c r="W5431" s="806"/>
      <c r="AZ5431" s="806"/>
      <c r="BA5431" s="806"/>
      <c r="BB5431" s="806"/>
    </row>
    <row r="5432" spans="4:54">
      <c r="D5432" s="806"/>
      <c r="F5432" s="806"/>
      <c r="W5432" s="806"/>
      <c r="AZ5432" s="806"/>
      <c r="BA5432" s="806"/>
      <c r="BB5432" s="806"/>
    </row>
    <row r="5433" spans="4:54">
      <c r="D5433" s="806"/>
      <c r="F5433" s="806"/>
      <c r="W5433" s="806"/>
      <c r="AZ5433" s="806"/>
      <c r="BA5433" s="806"/>
      <c r="BB5433" s="806"/>
    </row>
    <row r="5434" spans="4:54">
      <c r="D5434" s="806"/>
      <c r="F5434" s="806"/>
      <c r="W5434" s="806"/>
      <c r="AZ5434" s="806"/>
      <c r="BA5434" s="806"/>
      <c r="BB5434" s="806"/>
    </row>
    <row r="5435" spans="4:54">
      <c r="D5435" s="806"/>
      <c r="F5435" s="806"/>
      <c r="W5435" s="806"/>
      <c r="AZ5435" s="806"/>
      <c r="BA5435" s="806"/>
      <c r="BB5435" s="806"/>
    </row>
    <row r="5436" spans="4:54">
      <c r="D5436" s="806"/>
      <c r="F5436" s="806"/>
      <c r="W5436" s="806"/>
      <c r="AZ5436" s="806"/>
      <c r="BA5436" s="806"/>
      <c r="BB5436" s="806"/>
    </row>
    <row r="5437" spans="4:54">
      <c r="D5437" s="806"/>
      <c r="F5437" s="806"/>
      <c r="W5437" s="806"/>
      <c r="AZ5437" s="806"/>
      <c r="BA5437" s="806"/>
      <c r="BB5437" s="806"/>
    </row>
    <row r="5438" spans="4:54">
      <c r="D5438" s="806"/>
      <c r="F5438" s="806"/>
      <c r="W5438" s="806"/>
      <c r="AZ5438" s="806"/>
      <c r="BA5438" s="806"/>
      <c r="BB5438" s="806"/>
    </row>
    <row r="5439" spans="4:54">
      <c r="D5439" s="806"/>
      <c r="F5439" s="806"/>
      <c r="W5439" s="806"/>
      <c r="AZ5439" s="806"/>
      <c r="BA5439" s="806"/>
      <c r="BB5439" s="806"/>
    </row>
    <row r="5440" spans="4:54">
      <c r="D5440" s="806"/>
      <c r="F5440" s="806"/>
      <c r="W5440" s="806"/>
      <c r="AZ5440" s="806"/>
      <c r="BA5440" s="806"/>
      <c r="BB5440" s="806"/>
    </row>
    <row r="5441" spans="4:54">
      <c r="D5441" s="806"/>
      <c r="F5441" s="806"/>
      <c r="W5441" s="806"/>
      <c r="AZ5441" s="806"/>
      <c r="BA5441" s="806"/>
      <c r="BB5441" s="806"/>
    </row>
    <row r="5442" spans="4:54">
      <c r="D5442" s="806"/>
      <c r="F5442" s="806"/>
      <c r="W5442" s="806"/>
      <c r="AZ5442" s="806"/>
      <c r="BA5442" s="806"/>
      <c r="BB5442" s="806"/>
    </row>
    <row r="5443" spans="4:54">
      <c r="D5443" s="806"/>
      <c r="F5443" s="806"/>
      <c r="W5443" s="806"/>
      <c r="AZ5443" s="806"/>
      <c r="BA5443" s="806"/>
      <c r="BB5443" s="806"/>
    </row>
    <row r="5444" spans="4:54">
      <c r="D5444" s="806"/>
      <c r="F5444" s="806"/>
      <c r="W5444" s="806"/>
      <c r="AZ5444" s="806"/>
      <c r="BA5444" s="806"/>
      <c r="BB5444" s="806"/>
    </row>
    <row r="5445" spans="4:54">
      <c r="D5445" s="806"/>
      <c r="F5445" s="806"/>
      <c r="W5445" s="806"/>
      <c r="AZ5445" s="806"/>
      <c r="BA5445" s="806"/>
      <c r="BB5445" s="806"/>
    </row>
    <row r="5446" spans="4:54">
      <c r="D5446" s="806"/>
      <c r="F5446" s="806"/>
      <c r="W5446" s="806"/>
      <c r="AZ5446" s="806"/>
      <c r="BA5446" s="806"/>
      <c r="BB5446" s="806"/>
    </row>
    <row r="5447" spans="4:54">
      <c r="D5447" s="806"/>
      <c r="F5447" s="806"/>
      <c r="W5447" s="806"/>
      <c r="AZ5447" s="806"/>
      <c r="BA5447" s="806"/>
      <c r="BB5447" s="806"/>
    </row>
    <row r="5448" spans="4:54">
      <c r="D5448" s="806"/>
      <c r="F5448" s="806"/>
      <c r="W5448" s="806"/>
      <c r="AZ5448" s="806"/>
      <c r="BA5448" s="806"/>
      <c r="BB5448" s="806"/>
    </row>
    <row r="5449" spans="4:54">
      <c r="D5449" s="806"/>
      <c r="F5449" s="806"/>
      <c r="W5449" s="806"/>
      <c r="AZ5449" s="806"/>
      <c r="BA5449" s="806"/>
      <c r="BB5449" s="806"/>
    </row>
    <row r="5450" spans="4:54">
      <c r="D5450" s="806"/>
      <c r="F5450" s="806"/>
      <c r="W5450" s="806"/>
      <c r="AZ5450" s="806"/>
      <c r="BA5450" s="806"/>
      <c r="BB5450" s="806"/>
    </row>
    <row r="5451" spans="4:54">
      <c r="D5451" s="806"/>
      <c r="F5451" s="806"/>
      <c r="W5451" s="806"/>
      <c r="AZ5451" s="806"/>
      <c r="BA5451" s="806"/>
      <c r="BB5451" s="806"/>
    </row>
    <row r="5452" spans="4:54">
      <c r="D5452" s="806"/>
      <c r="F5452" s="806"/>
      <c r="W5452" s="806"/>
      <c r="AZ5452" s="806"/>
      <c r="BA5452" s="806"/>
      <c r="BB5452" s="806"/>
    </row>
    <row r="5453" spans="4:54">
      <c r="D5453" s="806"/>
      <c r="F5453" s="806"/>
      <c r="W5453" s="806"/>
      <c r="AZ5453" s="806"/>
      <c r="BA5453" s="806"/>
      <c r="BB5453" s="806"/>
    </row>
    <row r="5454" spans="4:54">
      <c r="D5454" s="806"/>
      <c r="F5454" s="806"/>
      <c r="W5454" s="806"/>
      <c r="AZ5454" s="806"/>
      <c r="BA5454" s="806"/>
      <c r="BB5454" s="806"/>
    </row>
    <row r="5455" spans="4:54">
      <c r="D5455" s="806"/>
      <c r="F5455" s="806"/>
      <c r="W5455" s="806"/>
      <c r="AZ5455" s="806"/>
      <c r="BA5455" s="806"/>
      <c r="BB5455" s="806"/>
    </row>
    <row r="5456" spans="4:54">
      <c r="D5456" s="806"/>
      <c r="F5456" s="806"/>
      <c r="W5456" s="806"/>
      <c r="AZ5456" s="806"/>
      <c r="BA5456" s="806"/>
      <c r="BB5456" s="806"/>
    </row>
    <row r="5457" spans="4:54">
      <c r="D5457" s="806"/>
      <c r="F5457" s="806"/>
      <c r="W5457" s="806"/>
      <c r="AZ5457" s="806"/>
      <c r="BA5457" s="806"/>
      <c r="BB5457" s="806"/>
    </row>
    <row r="5458" spans="4:54">
      <c r="D5458" s="806"/>
      <c r="F5458" s="806"/>
      <c r="W5458" s="806"/>
      <c r="AZ5458" s="806"/>
      <c r="BA5458" s="806"/>
      <c r="BB5458" s="806"/>
    </row>
    <row r="5459" spans="4:54">
      <c r="D5459" s="806"/>
      <c r="F5459" s="806"/>
      <c r="W5459" s="806"/>
      <c r="AZ5459" s="806"/>
      <c r="BA5459" s="806"/>
      <c r="BB5459" s="806"/>
    </row>
    <row r="5460" spans="4:54">
      <c r="D5460" s="806"/>
      <c r="F5460" s="806"/>
      <c r="W5460" s="806"/>
      <c r="AZ5460" s="806"/>
      <c r="BA5460" s="806"/>
      <c r="BB5460" s="806"/>
    </row>
    <row r="5461" spans="4:54">
      <c r="D5461" s="806"/>
      <c r="F5461" s="806"/>
      <c r="W5461" s="806"/>
      <c r="AZ5461" s="806"/>
      <c r="BA5461" s="806"/>
      <c r="BB5461" s="806"/>
    </row>
    <row r="5462" spans="4:54">
      <c r="D5462" s="806"/>
      <c r="F5462" s="806"/>
      <c r="W5462" s="806"/>
      <c r="AZ5462" s="806"/>
      <c r="BA5462" s="806"/>
      <c r="BB5462" s="806"/>
    </row>
    <row r="5463" spans="4:54">
      <c r="D5463" s="806"/>
      <c r="F5463" s="806"/>
      <c r="W5463" s="806"/>
      <c r="AZ5463" s="806"/>
      <c r="BA5463" s="806"/>
      <c r="BB5463" s="806"/>
    </row>
    <row r="5464" spans="4:54">
      <c r="D5464" s="806"/>
      <c r="F5464" s="806"/>
      <c r="W5464" s="806"/>
      <c r="AZ5464" s="806"/>
      <c r="BA5464" s="806"/>
      <c r="BB5464" s="806"/>
    </row>
    <row r="5465" spans="4:54">
      <c r="D5465" s="806"/>
      <c r="F5465" s="806"/>
      <c r="W5465" s="806"/>
      <c r="AZ5465" s="806"/>
      <c r="BA5465" s="806"/>
      <c r="BB5465" s="806"/>
    </row>
    <row r="5466" spans="4:54">
      <c r="D5466" s="806"/>
      <c r="F5466" s="806"/>
      <c r="W5466" s="806"/>
      <c r="AZ5466" s="806"/>
      <c r="BA5466" s="806"/>
      <c r="BB5466" s="806"/>
    </row>
    <row r="5467" spans="4:54">
      <c r="D5467" s="806"/>
      <c r="F5467" s="806"/>
      <c r="W5467" s="806"/>
      <c r="AZ5467" s="806"/>
      <c r="BA5467" s="806"/>
      <c r="BB5467" s="806"/>
    </row>
    <row r="5468" spans="4:54">
      <c r="D5468" s="806"/>
      <c r="F5468" s="806"/>
      <c r="W5468" s="806"/>
      <c r="AZ5468" s="806"/>
      <c r="BA5468" s="806"/>
      <c r="BB5468" s="806"/>
    </row>
    <row r="5475" spans="4:54">
      <c r="D5475" s="806"/>
      <c r="F5475" s="806"/>
      <c r="W5475" s="806"/>
      <c r="AZ5475" s="806"/>
      <c r="BA5475" s="806"/>
      <c r="BB5475" s="806"/>
    </row>
    <row r="5476" spans="4:54">
      <c r="D5476" s="806"/>
      <c r="F5476" s="806"/>
      <c r="W5476" s="806"/>
      <c r="AZ5476" s="806"/>
      <c r="BA5476" s="806"/>
      <c r="BB5476" s="806"/>
    </row>
    <row r="5477" spans="4:54">
      <c r="D5477" s="806"/>
      <c r="F5477" s="806"/>
      <c r="W5477" s="806"/>
      <c r="AZ5477" s="806"/>
      <c r="BA5477" s="806"/>
      <c r="BB5477" s="806"/>
    </row>
    <row r="5478" spans="4:54">
      <c r="D5478" s="806"/>
      <c r="F5478" s="806"/>
      <c r="W5478" s="806"/>
      <c r="AZ5478" s="806"/>
      <c r="BA5478" s="806"/>
      <c r="BB5478" s="806"/>
    </row>
    <row r="5479" spans="4:54">
      <c r="D5479" s="806"/>
      <c r="F5479" s="806"/>
      <c r="W5479" s="806"/>
      <c r="AZ5479" s="806"/>
      <c r="BA5479" s="806"/>
      <c r="BB5479" s="806"/>
    </row>
    <row r="5480" spans="4:54">
      <c r="D5480" s="806"/>
      <c r="F5480" s="806"/>
      <c r="W5480" s="806"/>
      <c r="AZ5480" s="806"/>
      <c r="BA5480" s="806"/>
      <c r="BB5480" s="806"/>
    </row>
    <row r="5481" spans="4:54">
      <c r="D5481" s="806"/>
      <c r="F5481" s="806"/>
      <c r="W5481" s="806"/>
      <c r="AZ5481" s="806"/>
      <c r="BA5481" s="806"/>
      <c r="BB5481" s="806"/>
    </row>
    <row r="5482" spans="4:54">
      <c r="D5482" s="806"/>
      <c r="F5482" s="806"/>
      <c r="W5482" s="806"/>
      <c r="AZ5482" s="806"/>
      <c r="BA5482" s="806"/>
      <c r="BB5482" s="806"/>
    </row>
    <row r="5483" spans="4:54">
      <c r="D5483" s="806"/>
      <c r="F5483" s="806"/>
      <c r="W5483" s="806"/>
      <c r="AZ5483" s="806"/>
      <c r="BA5483" s="806"/>
      <c r="BB5483" s="806"/>
    </row>
    <row r="5484" spans="4:54">
      <c r="D5484" s="806"/>
      <c r="F5484" s="806"/>
      <c r="W5484" s="806"/>
      <c r="AZ5484" s="806"/>
      <c r="BA5484" s="806"/>
      <c r="BB5484" s="806"/>
    </row>
    <row r="5485" spans="4:54">
      <c r="D5485" s="806"/>
      <c r="F5485" s="806"/>
      <c r="W5485" s="806"/>
      <c r="AZ5485" s="806"/>
      <c r="BA5485" s="806"/>
      <c r="BB5485" s="806"/>
    </row>
    <row r="5486" spans="4:54">
      <c r="D5486" s="806"/>
      <c r="F5486" s="806"/>
      <c r="W5486" s="806"/>
      <c r="AZ5486" s="806"/>
      <c r="BA5486" s="806"/>
      <c r="BB5486" s="806"/>
    </row>
    <row r="5487" spans="4:54">
      <c r="D5487" s="806"/>
      <c r="F5487" s="806"/>
      <c r="W5487" s="806"/>
      <c r="AZ5487" s="806"/>
      <c r="BA5487" s="806"/>
      <c r="BB5487" s="806"/>
    </row>
    <row r="5488" spans="4:54">
      <c r="D5488" s="806"/>
      <c r="F5488" s="806"/>
      <c r="W5488" s="806"/>
      <c r="AZ5488" s="806"/>
      <c r="BA5488" s="806"/>
      <c r="BB5488" s="806"/>
    </row>
    <row r="5489" spans="4:54">
      <c r="D5489" s="806"/>
      <c r="F5489" s="806"/>
      <c r="W5489" s="806"/>
      <c r="AZ5489" s="806"/>
      <c r="BA5489" s="806"/>
      <c r="BB5489" s="806"/>
    </row>
    <row r="5490" spans="4:54">
      <c r="D5490" s="806"/>
      <c r="F5490" s="806"/>
      <c r="W5490" s="806"/>
      <c r="AZ5490" s="806"/>
      <c r="BA5490" s="806"/>
      <c r="BB5490" s="806"/>
    </row>
    <row r="5491" spans="4:54">
      <c r="D5491" s="806"/>
      <c r="F5491" s="806"/>
      <c r="W5491" s="806"/>
      <c r="AZ5491" s="806"/>
      <c r="BA5491" s="806"/>
      <c r="BB5491" s="806"/>
    </row>
    <row r="5492" spans="4:54">
      <c r="D5492" s="806"/>
      <c r="F5492" s="806"/>
      <c r="W5492" s="806"/>
      <c r="AZ5492" s="806"/>
      <c r="BA5492" s="806"/>
      <c r="BB5492" s="806"/>
    </row>
    <row r="5493" spans="4:54">
      <c r="D5493" s="806"/>
      <c r="F5493" s="806"/>
      <c r="W5493" s="806"/>
      <c r="AZ5493" s="806"/>
      <c r="BA5493" s="806"/>
      <c r="BB5493" s="806"/>
    </row>
    <row r="5494" spans="4:54">
      <c r="D5494" s="806"/>
      <c r="F5494" s="806"/>
      <c r="W5494" s="806"/>
      <c r="AZ5494" s="806"/>
      <c r="BA5494" s="806"/>
      <c r="BB5494" s="806"/>
    </row>
    <row r="5495" spans="4:54">
      <c r="D5495" s="806"/>
      <c r="F5495" s="806"/>
      <c r="W5495" s="806"/>
      <c r="AZ5495" s="806"/>
      <c r="BA5495" s="806"/>
      <c r="BB5495" s="806"/>
    </row>
    <row r="5496" spans="4:54">
      <c r="D5496" s="806"/>
      <c r="F5496" s="806"/>
      <c r="W5496" s="806"/>
      <c r="AZ5496" s="806"/>
      <c r="BA5496" s="806"/>
      <c r="BB5496" s="806"/>
    </row>
    <row r="5497" spans="4:54">
      <c r="D5497" s="806"/>
      <c r="F5497" s="806"/>
      <c r="W5497" s="806"/>
      <c r="AZ5497" s="806"/>
      <c r="BA5497" s="806"/>
      <c r="BB5497" s="806"/>
    </row>
    <row r="5498" spans="4:54">
      <c r="D5498" s="806"/>
      <c r="F5498" s="806"/>
      <c r="W5498" s="806"/>
      <c r="AZ5498" s="806"/>
      <c r="BA5498" s="806"/>
      <c r="BB5498" s="806"/>
    </row>
    <row r="5499" spans="4:54">
      <c r="D5499" s="806"/>
      <c r="F5499" s="806"/>
      <c r="W5499" s="806"/>
      <c r="AZ5499" s="806"/>
      <c r="BA5499" s="806"/>
      <c r="BB5499" s="806"/>
    </row>
    <row r="5500" spans="4:54">
      <c r="D5500" s="806"/>
      <c r="F5500" s="806"/>
      <c r="W5500" s="806"/>
      <c r="AZ5500" s="806"/>
      <c r="BA5500" s="806"/>
      <c r="BB5500" s="806"/>
    </row>
    <row r="5501" spans="4:54">
      <c r="D5501" s="806"/>
      <c r="F5501" s="806"/>
      <c r="W5501" s="806"/>
      <c r="AZ5501" s="806"/>
      <c r="BA5501" s="806"/>
      <c r="BB5501" s="806"/>
    </row>
    <row r="5502" spans="4:54">
      <c r="D5502" s="806"/>
      <c r="F5502" s="806"/>
      <c r="W5502" s="806"/>
      <c r="AZ5502" s="806"/>
      <c r="BA5502" s="806"/>
      <c r="BB5502" s="806"/>
    </row>
    <row r="5503" spans="4:54">
      <c r="D5503" s="806"/>
      <c r="F5503" s="806"/>
      <c r="W5503" s="806"/>
      <c r="AZ5503" s="806"/>
      <c r="BA5503" s="806"/>
      <c r="BB5503" s="806"/>
    </row>
    <row r="5504" spans="4:54">
      <c r="D5504" s="806"/>
      <c r="F5504" s="806"/>
      <c r="W5504" s="806"/>
      <c r="AZ5504" s="806"/>
      <c r="BA5504" s="806"/>
      <c r="BB5504" s="806"/>
    </row>
    <row r="5505" spans="4:54">
      <c r="D5505" s="806"/>
      <c r="F5505" s="806"/>
      <c r="W5505" s="806"/>
      <c r="AZ5505" s="806"/>
      <c r="BA5505" s="806"/>
      <c r="BB5505" s="806"/>
    </row>
    <row r="5506" spans="4:54">
      <c r="D5506" s="806"/>
      <c r="F5506" s="806"/>
      <c r="W5506" s="806"/>
      <c r="AZ5506" s="806"/>
      <c r="BA5506" s="806"/>
      <c r="BB5506" s="806"/>
    </row>
    <row r="5507" spans="4:54">
      <c r="D5507" s="806"/>
      <c r="F5507" s="806"/>
      <c r="W5507" s="806"/>
      <c r="AZ5507" s="806"/>
      <c r="BA5507" s="806"/>
      <c r="BB5507" s="806"/>
    </row>
    <row r="5508" spans="4:54">
      <c r="D5508" s="806"/>
      <c r="F5508" s="806"/>
      <c r="W5508" s="806"/>
      <c r="AZ5508" s="806"/>
      <c r="BA5508" s="806"/>
      <c r="BB5508" s="806"/>
    </row>
    <row r="5509" spans="4:54">
      <c r="D5509" s="806"/>
      <c r="F5509" s="806"/>
      <c r="W5509" s="806"/>
      <c r="AZ5509" s="806"/>
      <c r="BA5509" s="806"/>
      <c r="BB5509" s="806"/>
    </row>
    <row r="5510" spans="4:54">
      <c r="D5510" s="806"/>
      <c r="F5510" s="806"/>
      <c r="W5510" s="806"/>
      <c r="AZ5510" s="806"/>
      <c r="BA5510" s="806"/>
      <c r="BB5510" s="806"/>
    </row>
    <row r="5511" spans="4:54">
      <c r="D5511" s="806"/>
      <c r="F5511" s="806"/>
      <c r="W5511" s="806"/>
      <c r="AZ5511" s="806"/>
      <c r="BA5511" s="806"/>
      <c r="BB5511" s="806"/>
    </row>
    <row r="5512" spans="4:54">
      <c r="D5512" s="806"/>
      <c r="F5512" s="806"/>
      <c r="W5512" s="806"/>
      <c r="AZ5512" s="806"/>
      <c r="BA5512" s="806"/>
      <c r="BB5512" s="806"/>
    </row>
    <row r="5513" spans="4:54">
      <c r="D5513" s="806"/>
      <c r="F5513" s="806"/>
      <c r="W5513" s="806"/>
      <c r="AZ5513" s="806"/>
      <c r="BA5513" s="806"/>
      <c r="BB5513" s="806"/>
    </row>
    <row r="5514" spans="4:54">
      <c r="D5514" s="806"/>
      <c r="F5514" s="806"/>
      <c r="W5514" s="806"/>
      <c r="AZ5514" s="806"/>
      <c r="BA5514" s="806"/>
      <c r="BB5514" s="806"/>
    </row>
    <row r="5515" spans="4:54">
      <c r="D5515" s="806"/>
      <c r="F5515" s="806"/>
      <c r="W5515" s="806"/>
      <c r="AZ5515" s="806"/>
      <c r="BA5515" s="806"/>
      <c r="BB5515" s="806"/>
    </row>
    <row r="5516" spans="4:54">
      <c r="D5516" s="806"/>
      <c r="F5516" s="806"/>
      <c r="W5516" s="806"/>
      <c r="AZ5516" s="806"/>
      <c r="BA5516" s="806"/>
      <c r="BB5516" s="806"/>
    </row>
    <row r="5517" spans="4:54">
      <c r="D5517" s="806"/>
      <c r="F5517" s="806"/>
      <c r="W5517" s="806"/>
      <c r="AZ5517" s="806"/>
      <c r="BA5517" s="806"/>
      <c r="BB5517" s="806"/>
    </row>
    <row r="5518" spans="4:54">
      <c r="D5518" s="806"/>
      <c r="F5518" s="806"/>
      <c r="W5518" s="806"/>
      <c r="AZ5518" s="806"/>
      <c r="BA5518" s="806"/>
      <c r="BB5518" s="806"/>
    </row>
    <row r="5519" spans="4:54">
      <c r="D5519" s="806"/>
      <c r="F5519" s="806"/>
      <c r="W5519" s="806"/>
      <c r="AZ5519" s="806"/>
      <c r="BA5519" s="806"/>
      <c r="BB5519" s="806"/>
    </row>
    <row r="5520" spans="4:54">
      <c r="D5520" s="806"/>
      <c r="F5520" s="806"/>
      <c r="W5520" s="806"/>
      <c r="AZ5520" s="806"/>
      <c r="BA5520" s="806"/>
      <c r="BB5520" s="806"/>
    </row>
    <row r="5521" spans="4:54">
      <c r="D5521" s="806"/>
      <c r="F5521" s="806"/>
      <c r="W5521" s="806"/>
      <c r="AZ5521" s="806"/>
      <c r="BA5521" s="806"/>
      <c r="BB5521" s="806"/>
    </row>
    <row r="5522" spans="4:54">
      <c r="D5522" s="806"/>
      <c r="F5522" s="806"/>
      <c r="W5522" s="806"/>
      <c r="AZ5522" s="806"/>
      <c r="BA5522" s="806"/>
      <c r="BB5522" s="806"/>
    </row>
    <row r="5523" spans="4:54">
      <c r="D5523" s="806"/>
      <c r="F5523" s="806"/>
      <c r="W5523" s="806"/>
      <c r="AZ5523" s="806"/>
      <c r="BA5523" s="806"/>
      <c r="BB5523" s="806"/>
    </row>
    <row r="5524" spans="4:54">
      <c r="D5524" s="806"/>
      <c r="F5524" s="806"/>
      <c r="W5524" s="806"/>
      <c r="AZ5524" s="806"/>
      <c r="BA5524" s="806"/>
      <c r="BB5524" s="806"/>
    </row>
    <row r="5525" spans="4:54">
      <c r="D5525" s="806"/>
      <c r="F5525" s="806"/>
      <c r="W5525" s="806"/>
      <c r="AZ5525" s="806"/>
      <c r="BA5525" s="806"/>
      <c r="BB5525" s="806"/>
    </row>
    <row r="5526" spans="4:54">
      <c r="D5526" s="806"/>
      <c r="F5526" s="806"/>
      <c r="W5526" s="806"/>
      <c r="AZ5526" s="806"/>
      <c r="BA5526" s="806"/>
      <c r="BB5526" s="806"/>
    </row>
    <row r="5527" spans="4:54">
      <c r="D5527" s="806"/>
      <c r="F5527" s="806"/>
      <c r="W5527" s="806"/>
      <c r="AZ5527" s="806"/>
      <c r="BA5527" s="806"/>
      <c r="BB5527" s="806"/>
    </row>
    <row r="5528" spans="4:54">
      <c r="D5528" s="806"/>
      <c r="F5528" s="806"/>
      <c r="W5528" s="806"/>
      <c r="AZ5528" s="806"/>
      <c r="BA5528" s="806"/>
      <c r="BB5528" s="806"/>
    </row>
    <row r="5529" spans="4:54">
      <c r="D5529" s="806"/>
      <c r="F5529" s="806"/>
      <c r="W5529" s="806"/>
      <c r="AZ5529" s="806"/>
      <c r="BA5529" s="806"/>
      <c r="BB5529" s="806"/>
    </row>
    <row r="5530" spans="4:54">
      <c r="D5530" s="806"/>
      <c r="F5530" s="806"/>
      <c r="W5530" s="806"/>
      <c r="AZ5530" s="806"/>
      <c r="BA5530" s="806"/>
      <c r="BB5530" s="806"/>
    </row>
    <row r="5531" spans="4:54">
      <c r="D5531" s="806"/>
      <c r="F5531" s="806"/>
      <c r="W5531" s="806"/>
      <c r="AZ5531" s="806"/>
      <c r="BA5531" s="806"/>
      <c r="BB5531" s="806"/>
    </row>
    <row r="5532" spans="4:54">
      <c r="D5532" s="806"/>
      <c r="F5532" s="806"/>
      <c r="W5532" s="806"/>
      <c r="AZ5532" s="806"/>
      <c r="BA5532" s="806"/>
      <c r="BB5532" s="806"/>
    </row>
    <row r="5533" spans="4:54">
      <c r="D5533" s="806"/>
      <c r="F5533" s="806"/>
      <c r="W5533" s="806"/>
      <c r="AZ5533" s="806"/>
      <c r="BA5533" s="806"/>
      <c r="BB5533" s="806"/>
    </row>
    <row r="5534" spans="4:54">
      <c r="D5534" s="806"/>
      <c r="F5534" s="806"/>
      <c r="W5534" s="806"/>
      <c r="AZ5534" s="806"/>
      <c r="BA5534" s="806"/>
      <c r="BB5534" s="806"/>
    </row>
    <row r="5535" spans="4:54">
      <c r="D5535" s="806"/>
      <c r="F5535" s="806"/>
      <c r="W5535" s="806"/>
      <c r="AZ5535" s="806"/>
      <c r="BA5535" s="806"/>
      <c r="BB5535" s="806"/>
    </row>
    <row r="5536" spans="4:54">
      <c r="D5536" s="806"/>
      <c r="F5536" s="806"/>
      <c r="W5536" s="806"/>
      <c r="AZ5536" s="806"/>
      <c r="BA5536" s="806"/>
      <c r="BB5536" s="806"/>
    </row>
    <row r="5537" spans="4:54">
      <c r="D5537" s="806"/>
      <c r="F5537" s="806"/>
      <c r="W5537" s="806"/>
      <c r="AZ5537" s="806"/>
      <c r="BA5537" s="806"/>
      <c r="BB5537" s="806"/>
    </row>
    <row r="5538" spans="4:54">
      <c r="D5538" s="806"/>
      <c r="F5538" s="806"/>
      <c r="W5538" s="806"/>
      <c r="AZ5538" s="806"/>
      <c r="BA5538" s="806"/>
      <c r="BB5538" s="806"/>
    </row>
    <row r="5539" spans="4:54">
      <c r="D5539" s="806"/>
      <c r="F5539" s="806"/>
      <c r="W5539" s="806"/>
      <c r="AZ5539" s="806"/>
      <c r="BA5539" s="806"/>
      <c r="BB5539" s="806"/>
    </row>
    <row r="5540" spans="4:54">
      <c r="D5540" s="806"/>
      <c r="F5540" s="806"/>
      <c r="W5540" s="806"/>
      <c r="AZ5540" s="806"/>
      <c r="BA5540" s="806"/>
      <c r="BB5540" s="806"/>
    </row>
    <row r="5541" spans="4:54">
      <c r="D5541" s="806"/>
      <c r="F5541" s="806"/>
      <c r="W5541" s="806"/>
      <c r="AZ5541" s="806"/>
      <c r="BA5541" s="806"/>
      <c r="BB5541" s="806"/>
    </row>
    <row r="5542" spans="4:54">
      <c r="D5542" s="806"/>
      <c r="F5542" s="806"/>
      <c r="W5542" s="806"/>
      <c r="AZ5542" s="806"/>
      <c r="BA5542" s="806"/>
      <c r="BB5542" s="806"/>
    </row>
    <row r="5543" spans="4:54">
      <c r="D5543" s="806"/>
      <c r="F5543" s="806"/>
      <c r="W5543" s="806"/>
      <c r="AZ5543" s="806"/>
      <c r="BA5543" s="806"/>
      <c r="BB5543" s="806"/>
    </row>
    <row r="5544" spans="4:54">
      <c r="D5544" s="806"/>
      <c r="F5544" s="806"/>
      <c r="W5544" s="806"/>
      <c r="AZ5544" s="806"/>
      <c r="BA5544" s="806"/>
      <c r="BB5544" s="806"/>
    </row>
    <row r="5545" spans="4:54">
      <c r="D5545" s="806"/>
      <c r="F5545" s="806"/>
      <c r="W5545" s="806"/>
      <c r="AZ5545" s="806"/>
      <c r="BA5545" s="806"/>
      <c r="BB5545" s="806"/>
    </row>
    <row r="5546" spans="4:54">
      <c r="D5546" s="806"/>
      <c r="F5546" s="806"/>
      <c r="W5546" s="806"/>
      <c r="AZ5546" s="806"/>
      <c r="BA5546" s="806"/>
      <c r="BB5546" s="806"/>
    </row>
    <row r="5547" spans="4:54">
      <c r="D5547" s="806"/>
      <c r="F5547" s="806"/>
      <c r="W5547" s="806"/>
      <c r="AZ5547" s="806"/>
      <c r="BA5547" s="806"/>
      <c r="BB5547" s="806"/>
    </row>
    <row r="5548" spans="4:54">
      <c r="D5548" s="806"/>
      <c r="F5548" s="806"/>
      <c r="W5548" s="806"/>
      <c r="AZ5548" s="806"/>
      <c r="BA5548" s="806"/>
      <c r="BB5548" s="806"/>
    </row>
    <row r="5549" spans="4:54">
      <c r="D5549" s="806"/>
      <c r="F5549" s="806"/>
      <c r="W5549" s="806"/>
      <c r="AZ5549" s="806"/>
      <c r="BA5549" s="806"/>
      <c r="BB5549" s="806"/>
    </row>
    <row r="5550" spans="4:54">
      <c r="D5550" s="806"/>
      <c r="F5550" s="806"/>
      <c r="W5550" s="806"/>
      <c r="AZ5550" s="806"/>
      <c r="BA5550" s="806"/>
      <c r="BB5550" s="806"/>
    </row>
    <row r="5551" spans="4:54">
      <c r="D5551" s="806"/>
      <c r="F5551" s="806"/>
      <c r="W5551" s="806"/>
      <c r="AZ5551" s="806"/>
      <c r="BA5551" s="806"/>
      <c r="BB5551" s="806"/>
    </row>
    <row r="5552" spans="4:54">
      <c r="D5552" s="806"/>
      <c r="F5552" s="806"/>
      <c r="W5552" s="806"/>
      <c r="AZ5552" s="806"/>
      <c r="BA5552" s="806"/>
      <c r="BB5552" s="806"/>
    </row>
    <row r="5553" spans="4:54">
      <c r="D5553" s="806"/>
      <c r="F5553" s="806"/>
      <c r="W5553" s="806"/>
      <c r="AZ5553" s="806"/>
      <c r="BA5553" s="806"/>
      <c r="BB5553" s="806"/>
    </row>
    <row r="5554" spans="4:54">
      <c r="D5554" s="806"/>
      <c r="F5554" s="806"/>
      <c r="W5554" s="806"/>
      <c r="AZ5554" s="806"/>
      <c r="BA5554" s="806"/>
      <c r="BB5554" s="806"/>
    </row>
    <row r="5555" spans="4:54">
      <c r="D5555" s="806"/>
      <c r="F5555" s="806"/>
      <c r="W5555" s="806"/>
      <c r="AZ5555" s="806"/>
      <c r="BA5555" s="806"/>
      <c r="BB5555" s="806"/>
    </row>
    <row r="5556" spans="4:54">
      <c r="D5556" s="806"/>
      <c r="F5556" s="806"/>
      <c r="W5556" s="806"/>
      <c r="AZ5556" s="806"/>
      <c r="BA5556" s="806"/>
      <c r="BB5556" s="806"/>
    </row>
    <row r="5557" spans="4:54">
      <c r="D5557" s="806"/>
      <c r="F5557" s="806"/>
      <c r="W5557" s="806"/>
      <c r="AZ5557" s="806"/>
      <c r="BA5557" s="806"/>
      <c r="BB5557" s="806"/>
    </row>
    <row r="5558" spans="4:54">
      <c r="D5558" s="806"/>
      <c r="F5558" s="806"/>
      <c r="W5558" s="806"/>
      <c r="AZ5558" s="806"/>
      <c r="BA5558" s="806"/>
      <c r="BB5558" s="806"/>
    </row>
    <row r="5559" spans="4:54">
      <c r="D5559" s="806"/>
      <c r="F5559" s="806"/>
      <c r="W5559" s="806"/>
      <c r="AZ5559" s="806"/>
      <c r="BA5559" s="806"/>
      <c r="BB5559" s="806"/>
    </row>
    <row r="5560" spans="4:54">
      <c r="D5560" s="806"/>
      <c r="F5560" s="806"/>
      <c r="W5560" s="806"/>
      <c r="AZ5560" s="806"/>
      <c r="BA5560" s="806"/>
      <c r="BB5560" s="806"/>
    </row>
    <row r="5561" spans="4:54">
      <c r="D5561" s="806"/>
      <c r="F5561" s="806"/>
      <c r="W5561" s="806"/>
      <c r="AZ5561" s="806"/>
      <c r="BA5561" s="806"/>
      <c r="BB5561" s="806"/>
    </row>
    <row r="5562" spans="4:54">
      <c r="D5562" s="806"/>
      <c r="F5562" s="806"/>
      <c r="W5562" s="806"/>
      <c r="AZ5562" s="806"/>
      <c r="BA5562" s="806"/>
      <c r="BB5562" s="806"/>
    </row>
    <row r="5563" spans="4:54">
      <c r="D5563" s="806"/>
      <c r="F5563" s="806"/>
      <c r="W5563" s="806"/>
      <c r="AZ5563" s="806"/>
      <c r="BA5563" s="806"/>
      <c r="BB5563" s="806"/>
    </row>
    <row r="5564" spans="4:54">
      <c r="D5564" s="806"/>
      <c r="F5564" s="806"/>
      <c r="W5564" s="806"/>
      <c r="AZ5564" s="806"/>
      <c r="BA5564" s="806"/>
      <c r="BB5564" s="806"/>
    </row>
    <row r="5565" spans="4:54">
      <c r="D5565" s="806"/>
      <c r="F5565" s="806"/>
      <c r="W5565" s="806"/>
      <c r="AZ5565" s="806"/>
      <c r="BA5565" s="806"/>
      <c r="BB5565" s="806"/>
    </row>
    <row r="5566" spans="4:54">
      <c r="D5566" s="806"/>
      <c r="F5566" s="806"/>
      <c r="W5566" s="806"/>
      <c r="AZ5566" s="806"/>
      <c r="BA5566" s="806"/>
      <c r="BB5566" s="806"/>
    </row>
    <row r="5567" spans="4:54">
      <c r="D5567" s="806"/>
      <c r="F5567" s="806"/>
      <c r="W5567" s="806"/>
      <c r="AZ5567" s="806"/>
      <c r="BA5567" s="806"/>
      <c r="BB5567" s="806"/>
    </row>
    <row r="5568" spans="4:54">
      <c r="D5568" s="806"/>
      <c r="F5568" s="806"/>
      <c r="W5568" s="806"/>
      <c r="AZ5568" s="806"/>
      <c r="BA5568" s="806"/>
      <c r="BB5568" s="806"/>
    </row>
    <row r="5569" spans="4:54">
      <c r="D5569" s="806"/>
      <c r="F5569" s="806"/>
      <c r="W5569" s="806"/>
      <c r="AZ5569" s="806"/>
      <c r="BA5569" s="806"/>
      <c r="BB5569" s="806"/>
    </row>
    <row r="5570" spans="4:54">
      <c r="D5570" s="806"/>
      <c r="F5570" s="806"/>
      <c r="W5570" s="806"/>
      <c r="AZ5570" s="806"/>
      <c r="BA5570" s="806"/>
      <c r="BB5570" s="806"/>
    </row>
    <row r="5571" spans="4:54">
      <c r="D5571" s="806"/>
      <c r="F5571" s="806"/>
      <c r="W5571" s="806"/>
      <c r="AZ5571" s="806"/>
      <c r="BA5571" s="806"/>
      <c r="BB5571" s="806"/>
    </row>
    <row r="5572" spans="4:54">
      <c r="D5572" s="806"/>
      <c r="F5572" s="806"/>
      <c r="W5572" s="806"/>
      <c r="AZ5572" s="806"/>
      <c r="BA5572" s="806"/>
      <c r="BB5572" s="806"/>
    </row>
    <row r="5573" spans="4:54">
      <c r="D5573" s="806"/>
      <c r="F5573" s="806"/>
      <c r="W5573" s="806"/>
      <c r="AZ5573" s="806"/>
      <c r="BA5573" s="806"/>
      <c r="BB5573" s="806"/>
    </row>
    <row r="5574" spans="4:54">
      <c r="D5574" s="806"/>
      <c r="F5574" s="806"/>
      <c r="W5574" s="806"/>
      <c r="AZ5574" s="806"/>
      <c r="BA5574" s="806"/>
      <c r="BB5574" s="806"/>
    </row>
    <row r="5575" spans="4:54">
      <c r="D5575" s="806"/>
      <c r="F5575" s="806"/>
      <c r="W5575" s="806"/>
      <c r="AZ5575" s="806"/>
      <c r="BA5575" s="806"/>
      <c r="BB5575" s="806"/>
    </row>
    <row r="5576" spans="4:54">
      <c r="D5576" s="806"/>
      <c r="F5576" s="806"/>
      <c r="W5576" s="806"/>
      <c r="AZ5576" s="806"/>
      <c r="BA5576" s="806"/>
      <c r="BB5576" s="806"/>
    </row>
    <row r="5577" spans="4:54">
      <c r="D5577" s="806"/>
      <c r="F5577" s="806"/>
      <c r="W5577" s="806"/>
      <c r="AZ5577" s="806"/>
      <c r="BA5577" s="806"/>
      <c r="BB5577" s="806"/>
    </row>
    <row r="5578" spans="4:54">
      <c r="D5578" s="806"/>
      <c r="F5578" s="806"/>
      <c r="W5578" s="806"/>
      <c r="AZ5578" s="806"/>
      <c r="BA5578" s="806"/>
      <c r="BB5578" s="806"/>
    </row>
    <row r="5579" spans="4:54">
      <c r="D5579" s="806"/>
      <c r="F5579" s="806"/>
      <c r="W5579" s="806"/>
      <c r="AZ5579" s="806"/>
      <c r="BA5579" s="806"/>
      <c r="BB5579" s="806"/>
    </row>
    <row r="5580" spans="4:54">
      <c r="D5580" s="806"/>
      <c r="F5580" s="806"/>
      <c r="W5580" s="806"/>
      <c r="AZ5580" s="806"/>
      <c r="BA5580" s="806"/>
      <c r="BB5580" s="806"/>
    </row>
    <row r="5581" spans="4:54">
      <c r="D5581" s="806"/>
      <c r="F5581" s="806"/>
      <c r="W5581" s="806"/>
      <c r="AZ5581" s="806"/>
      <c r="BA5581" s="806"/>
      <c r="BB5581" s="806"/>
    </row>
    <row r="5582" spans="4:54">
      <c r="D5582" s="806"/>
      <c r="F5582" s="806"/>
      <c r="W5582" s="806"/>
      <c r="AZ5582" s="806"/>
      <c r="BA5582" s="806"/>
      <c r="BB5582" s="806"/>
    </row>
    <row r="5583" spans="4:54">
      <c r="D5583" s="806"/>
      <c r="F5583" s="806"/>
      <c r="W5583" s="806"/>
      <c r="AZ5583" s="806"/>
      <c r="BA5583" s="806"/>
      <c r="BB5583" s="806"/>
    </row>
    <row r="5584" spans="4:54">
      <c r="D5584" s="806"/>
      <c r="F5584" s="806"/>
      <c r="W5584" s="806"/>
      <c r="AZ5584" s="806"/>
      <c r="BA5584" s="806"/>
      <c r="BB5584" s="806"/>
    </row>
    <row r="5585" spans="4:54">
      <c r="D5585" s="806"/>
      <c r="F5585" s="806"/>
      <c r="W5585" s="806"/>
      <c r="AZ5585" s="806"/>
      <c r="BA5585" s="806"/>
      <c r="BB5585" s="806"/>
    </row>
    <row r="5586" spans="4:54">
      <c r="D5586" s="806"/>
      <c r="F5586" s="806"/>
      <c r="W5586" s="806"/>
      <c r="AZ5586" s="806"/>
      <c r="BA5586" s="806"/>
      <c r="BB5586" s="806"/>
    </row>
    <row r="5587" spans="4:54">
      <c r="D5587" s="806"/>
      <c r="F5587" s="806"/>
      <c r="W5587" s="806"/>
      <c r="AZ5587" s="806"/>
      <c r="BA5587" s="806"/>
      <c r="BB5587" s="806"/>
    </row>
    <row r="5588" spans="4:54">
      <c r="D5588" s="806"/>
      <c r="F5588" s="806"/>
      <c r="W5588" s="806"/>
      <c r="AZ5588" s="806"/>
      <c r="BA5588" s="806"/>
      <c r="BB5588" s="806"/>
    </row>
    <row r="5589" spans="4:54">
      <c r="D5589" s="806"/>
      <c r="F5589" s="806"/>
      <c r="W5589" s="806"/>
      <c r="AZ5589" s="806"/>
      <c r="BA5589" s="806"/>
      <c r="BB5589" s="806"/>
    </row>
    <row r="5590" spans="4:54">
      <c r="D5590" s="806"/>
      <c r="F5590" s="806"/>
      <c r="W5590" s="806"/>
      <c r="AZ5590" s="806"/>
      <c r="BA5590" s="806"/>
      <c r="BB5590" s="806"/>
    </row>
    <row r="5591" spans="4:54">
      <c r="D5591" s="806"/>
      <c r="F5591" s="806"/>
      <c r="W5591" s="806"/>
      <c r="AZ5591" s="806"/>
      <c r="BA5591" s="806"/>
      <c r="BB5591" s="806"/>
    </row>
    <row r="5592" spans="4:54">
      <c r="D5592" s="806"/>
      <c r="F5592" s="806"/>
      <c r="W5592" s="806"/>
      <c r="AZ5592" s="806"/>
      <c r="BA5592" s="806"/>
      <c r="BB5592" s="806"/>
    </row>
    <row r="5593" spans="4:54">
      <c r="D5593" s="806"/>
      <c r="F5593" s="806"/>
      <c r="W5593" s="806"/>
      <c r="AZ5593" s="806"/>
      <c r="BA5593" s="806"/>
      <c r="BB5593" s="806"/>
    </row>
    <row r="5594" spans="4:54">
      <c r="D5594" s="806"/>
      <c r="F5594" s="806"/>
      <c r="W5594" s="806"/>
      <c r="AZ5594" s="806"/>
      <c r="BA5594" s="806"/>
      <c r="BB5594" s="806"/>
    </row>
    <row r="5595" spans="4:54">
      <c r="D5595" s="806"/>
      <c r="F5595" s="806"/>
      <c r="W5595" s="806"/>
      <c r="AZ5595" s="806"/>
      <c r="BA5595" s="806"/>
      <c r="BB5595" s="806"/>
    </row>
    <row r="5596" spans="4:54">
      <c r="D5596" s="806"/>
      <c r="F5596" s="806"/>
      <c r="W5596" s="806"/>
      <c r="AZ5596" s="806"/>
      <c r="BA5596" s="806"/>
      <c r="BB5596" s="806"/>
    </row>
    <row r="5597" spans="4:54">
      <c r="D5597" s="806"/>
      <c r="F5597" s="806"/>
      <c r="W5597" s="806"/>
      <c r="AZ5597" s="806"/>
      <c r="BA5597" s="806"/>
      <c r="BB5597" s="806"/>
    </row>
    <row r="5598" spans="4:54">
      <c r="D5598" s="806"/>
      <c r="F5598" s="806"/>
      <c r="W5598" s="806"/>
      <c r="AZ5598" s="806"/>
      <c r="BA5598" s="806"/>
      <c r="BB5598" s="806"/>
    </row>
    <row r="5599" spans="4:54">
      <c r="D5599" s="806"/>
      <c r="F5599" s="806"/>
      <c r="W5599" s="806"/>
      <c r="AZ5599" s="806"/>
      <c r="BA5599" s="806"/>
      <c r="BB5599" s="806"/>
    </row>
    <row r="5600" spans="4:54">
      <c r="D5600" s="806"/>
      <c r="F5600" s="806"/>
      <c r="W5600" s="806"/>
      <c r="AZ5600" s="806"/>
      <c r="BA5600" s="806"/>
      <c r="BB5600" s="806"/>
    </row>
    <row r="5601" spans="4:54">
      <c r="D5601" s="806"/>
      <c r="F5601" s="806"/>
      <c r="W5601" s="806"/>
      <c r="AZ5601" s="806"/>
      <c r="BA5601" s="806"/>
      <c r="BB5601" s="806"/>
    </row>
    <row r="5602" spans="4:54">
      <c r="D5602" s="806"/>
      <c r="F5602" s="806"/>
      <c r="W5602" s="806"/>
      <c r="AZ5602" s="806"/>
      <c r="BA5602" s="806"/>
      <c r="BB5602" s="806"/>
    </row>
    <row r="5603" spans="4:54">
      <c r="D5603" s="806"/>
      <c r="F5603" s="806"/>
      <c r="W5603" s="806"/>
      <c r="AZ5603" s="806"/>
      <c r="BA5603" s="806"/>
      <c r="BB5603" s="806"/>
    </row>
    <row r="5604" spans="4:54">
      <c r="D5604" s="806"/>
      <c r="F5604" s="806"/>
      <c r="W5604" s="806"/>
      <c r="AZ5604" s="806"/>
      <c r="BA5604" s="806"/>
      <c r="BB5604" s="806"/>
    </row>
    <row r="5605" spans="4:54">
      <c r="D5605" s="806"/>
      <c r="F5605" s="806"/>
      <c r="W5605" s="806"/>
      <c r="AZ5605" s="806"/>
      <c r="BA5605" s="806"/>
      <c r="BB5605" s="806"/>
    </row>
    <row r="5606" spans="4:54">
      <c r="D5606" s="806"/>
      <c r="F5606" s="806"/>
      <c r="W5606" s="806"/>
      <c r="AZ5606" s="806"/>
      <c r="BA5606" s="806"/>
      <c r="BB5606" s="806"/>
    </row>
    <row r="5607" spans="4:54">
      <c r="D5607" s="806"/>
      <c r="F5607" s="806"/>
      <c r="W5607" s="806"/>
      <c r="AZ5607" s="806"/>
      <c r="BA5607" s="806"/>
      <c r="BB5607" s="806"/>
    </row>
    <row r="5608" spans="4:54">
      <c r="D5608" s="806"/>
      <c r="F5608" s="806"/>
      <c r="W5608" s="806"/>
      <c r="AZ5608" s="806"/>
      <c r="BA5608" s="806"/>
      <c r="BB5608" s="806"/>
    </row>
    <row r="5609" spans="4:54">
      <c r="D5609" s="806"/>
      <c r="F5609" s="806"/>
      <c r="W5609" s="806"/>
      <c r="AZ5609" s="806"/>
      <c r="BA5609" s="806"/>
      <c r="BB5609" s="806"/>
    </row>
    <row r="5610" spans="4:54">
      <c r="D5610" s="806"/>
      <c r="F5610" s="806"/>
      <c r="W5610" s="806"/>
      <c r="AZ5610" s="806"/>
      <c r="BA5610" s="806"/>
      <c r="BB5610" s="806"/>
    </row>
    <row r="5611" spans="4:54">
      <c r="D5611" s="806"/>
      <c r="F5611" s="806"/>
      <c r="W5611" s="806"/>
      <c r="AZ5611" s="806"/>
      <c r="BA5611" s="806"/>
      <c r="BB5611" s="806"/>
    </row>
    <row r="5612" spans="4:54">
      <c r="D5612" s="806"/>
      <c r="F5612" s="806"/>
      <c r="W5612" s="806"/>
      <c r="AZ5612" s="806"/>
      <c r="BA5612" s="806"/>
      <c r="BB5612" s="806"/>
    </row>
    <row r="5613" spans="4:54">
      <c r="D5613" s="806"/>
      <c r="F5613" s="806"/>
      <c r="W5613" s="806"/>
      <c r="AZ5613" s="806"/>
      <c r="BA5613" s="806"/>
      <c r="BB5613" s="806"/>
    </row>
    <row r="5614" spans="4:54">
      <c r="D5614" s="806"/>
      <c r="F5614" s="806"/>
      <c r="W5614" s="806"/>
      <c r="AZ5614" s="806"/>
      <c r="BA5614" s="806"/>
      <c r="BB5614" s="806"/>
    </row>
    <row r="5615" spans="4:54">
      <c r="D5615" s="806"/>
      <c r="F5615" s="806"/>
      <c r="W5615" s="806"/>
      <c r="AZ5615" s="806"/>
      <c r="BA5615" s="806"/>
      <c r="BB5615" s="806"/>
    </row>
    <row r="5616" spans="4:54">
      <c r="D5616" s="806"/>
      <c r="F5616" s="806"/>
      <c r="W5616" s="806"/>
      <c r="AZ5616" s="806"/>
      <c r="BA5616" s="806"/>
      <c r="BB5616" s="806"/>
    </row>
    <row r="5617" spans="4:54">
      <c r="D5617" s="806"/>
      <c r="F5617" s="806"/>
      <c r="W5617" s="806"/>
      <c r="AZ5617" s="806"/>
      <c r="BA5617" s="806"/>
      <c r="BB5617" s="806"/>
    </row>
    <row r="5618" spans="4:54">
      <c r="D5618" s="806"/>
      <c r="F5618" s="806"/>
      <c r="W5618" s="806"/>
      <c r="AZ5618" s="806"/>
      <c r="BA5618" s="806"/>
      <c r="BB5618" s="806"/>
    </row>
    <row r="5619" spans="4:54">
      <c r="D5619" s="806"/>
      <c r="F5619" s="806"/>
      <c r="W5619" s="806"/>
      <c r="AZ5619" s="806"/>
      <c r="BA5619" s="806"/>
      <c r="BB5619" s="806"/>
    </row>
    <row r="5620" spans="4:54">
      <c r="D5620" s="806"/>
      <c r="F5620" s="806"/>
      <c r="W5620" s="806"/>
      <c r="AZ5620" s="806"/>
      <c r="BA5620" s="806"/>
      <c r="BB5620" s="806"/>
    </row>
    <row r="5621" spans="4:54">
      <c r="D5621" s="806"/>
      <c r="F5621" s="806"/>
      <c r="W5621" s="806"/>
      <c r="AZ5621" s="806"/>
      <c r="BA5621" s="806"/>
      <c r="BB5621" s="806"/>
    </row>
    <row r="5622" spans="4:54">
      <c r="D5622" s="806"/>
      <c r="F5622" s="806"/>
      <c r="W5622" s="806"/>
      <c r="AZ5622" s="806"/>
      <c r="BA5622" s="806"/>
      <c r="BB5622" s="806"/>
    </row>
    <row r="5623" spans="4:54">
      <c r="D5623" s="806"/>
      <c r="F5623" s="806"/>
      <c r="W5623" s="806"/>
      <c r="AZ5623" s="806"/>
      <c r="BA5623" s="806"/>
      <c r="BB5623" s="806"/>
    </row>
    <row r="5624" spans="4:54">
      <c r="D5624" s="806"/>
      <c r="F5624" s="806"/>
      <c r="W5624" s="806"/>
      <c r="AZ5624" s="806"/>
      <c r="BA5624" s="806"/>
      <c r="BB5624" s="806"/>
    </row>
    <row r="5625" spans="4:54">
      <c r="D5625" s="806"/>
      <c r="F5625" s="806"/>
      <c r="W5625" s="806"/>
      <c r="AZ5625" s="806"/>
      <c r="BA5625" s="806"/>
      <c r="BB5625" s="806"/>
    </row>
    <row r="5626" spans="4:54">
      <c r="D5626" s="806"/>
      <c r="F5626" s="806"/>
      <c r="W5626" s="806"/>
      <c r="AZ5626" s="806"/>
      <c r="BA5626" s="806"/>
      <c r="BB5626" s="806"/>
    </row>
    <row r="5627" spans="4:54">
      <c r="D5627" s="806"/>
      <c r="F5627" s="806"/>
      <c r="W5627" s="806"/>
      <c r="AZ5627" s="806"/>
      <c r="BA5627" s="806"/>
      <c r="BB5627" s="806"/>
    </row>
    <row r="5628" spans="4:54">
      <c r="D5628" s="806"/>
      <c r="F5628" s="806"/>
      <c r="W5628" s="806"/>
      <c r="AZ5628" s="806"/>
      <c r="BA5628" s="806"/>
      <c r="BB5628" s="806"/>
    </row>
    <row r="5629" spans="4:54">
      <c r="D5629" s="806"/>
      <c r="F5629" s="806"/>
      <c r="W5629" s="806"/>
      <c r="AZ5629" s="806"/>
      <c r="BA5629" s="806"/>
      <c r="BB5629" s="806"/>
    </row>
    <row r="5630" spans="4:54">
      <c r="D5630" s="806"/>
      <c r="F5630" s="806"/>
      <c r="W5630" s="806"/>
      <c r="AZ5630" s="806"/>
      <c r="BA5630" s="806"/>
      <c r="BB5630" s="806"/>
    </row>
    <row r="5631" spans="4:54">
      <c r="D5631" s="806"/>
      <c r="F5631" s="806"/>
      <c r="W5631" s="806"/>
      <c r="AZ5631" s="806"/>
      <c r="BA5631" s="806"/>
      <c r="BB5631" s="806"/>
    </row>
    <row r="5632" spans="4:54">
      <c r="D5632" s="806"/>
      <c r="F5632" s="806"/>
      <c r="W5632" s="806"/>
      <c r="AZ5632" s="806"/>
      <c r="BA5632" s="806"/>
      <c r="BB5632" s="806"/>
    </row>
    <row r="5633" spans="4:54">
      <c r="D5633" s="806"/>
      <c r="F5633" s="806"/>
      <c r="W5633" s="806"/>
      <c r="AZ5633" s="806"/>
      <c r="BA5633" s="806"/>
      <c r="BB5633" s="806"/>
    </row>
    <row r="5634" spans="4:54">
      <c r="D5634" s="806"/>
      <c r="F5634" s="806"/>
      <c r="W5634" s="806"/>
      <c r="AZ5634" s="806"/>
      <c r="BA5634" s="806"/>
      <c r="BB5634" s="806"/>
    </row>
    <row r="5635" spans="4:54">
      <c r="D5635" s="806"/>
      <c r="F5635" s="806"/>
      <c r="W5635" s="806"/>
      <c r="AZ5635" s="806"/>
      <c r="BA5635" s="806"/>
      <c r="BB5635" s="806"/>
    </row>
    <row r="5636" spans="4:54">
      <c r="D5636" s="806"/>
      <c r="F5636" s="806"/>
      <c r="W5636" s="806"/>
      <c r="AZ5636" s="806"/>
      <c r="BA5636" s="806"/>
      <c r="BB5636" s="806"/>
    </row>
    <row r="5637" spans="4:54">
      <c r="D5637" s="806"/>
      <c r="F5637" s="806"/>
      <c r="W5637" s="806"/>
      <c r="AZ5637" s="806"/>
      <c r="BA5637" s="806"/>
      <c r="BB5637" s="806"/>
    </row>
    <row r="5638" spans="4:54">
      <c r="D5638" s="806"/>
      <c r="F5638" s="806"/>
      <c r="W5638" s="806"/>
      <c r="AZ5638" s="806"/>
      <c r="BA5638" s="806"/>
      <c r="BB5638" s="806"/>
    </row>
    <row r="5639" spans="4:54">
      <c r="D5639" s="806"/>
      <c r="F5639" s="806"/>
      <c r="W5639" s="806"/>
      <c r="AZ5639" s="806"/>
      <c r="BA5639" s="806"/>
      <c r="BB5639" s="806"/>
    </row>
    <row r="5640" spans="4:54">
      <c r="D5640" s="806"/>
      <c r="F5640" s="806"/>
      <c r="W5640" s="806"/>
      <c r="AZ5640" s="806"/>
      <c r="BA5640" s="806"/>
      <c r="BB5640" s="806"/>
    </row>
    <row r="5641" spans="4:54">
      <c r="D5641" s="806"/>
      <c r="F5641" s="806"/>
      <c r="W5641" s="806"/>
      <c r="AZ5641" s="806"/>
      <c r="BA5641" s="806"/>
      <c r="BB5641" s="806"/>
    </row>
    <row r="5642" spans="4:54">
      <c r="D5642" s="806"/>
      <c r="F5642" s="806"/>
      <c r="W5642" s="806"/>
      <c r="AZ5642" s="806"/>
      <c r="BA5642" s="806"/>
      <c r="BB5642" s="806"/>
    </row>
    <row r="5643" spans="4:54">
      <c r="D5643" s="806"/>
      <c r="F5643" s="806"/>
      <c r="W5643" s="806"/>
      <c r="AZ5643" s="806"/>
      <c r="BA5643" s="806"/>
      <c r="BB5643" s="806"/>
    </row>
    <row r="5644" spans="4:54">
      <c r="D5644" s="806"/>
      <c r="F5644" s="806"/>
      <c r="W5644" s="806"/>
      <c r="AZ5644" s="806"/>
      <c r="BA5644" s="806"/>
      <c r="BB5644" s="806"/>
    </row>
    <row r="5645" spans="4:54">
      <c r="D5645" s="806"/>
      <c r="F5645" s="806"/>
      <c r="W5645" s="806"/>
      <c r="AZ5645" s="806"/>
      <c r="BA5645" s="806"/>
      <c r="BB5645" s="806"/>
    </row>
    <row r="5646" spans="4:54">
      <c r="D5646" s="806"/>
      <c r="F5646" s="806"/>
      <c r="W5646" s="806"/>
      <c r="AZ5646" s="806"/>
      <c r="BA5646" s="806"/>
      <c r="BB5646" s="806"/>
    </row>
    <row r="5647" spans="4:54">
      <c r="D5647" s="806"/>
      <c r="F5647" s="806"/>
      <c r="W5647" s="806"/>
      <c r="AZ5647" s="806"/>
      <c r="BA5647" s="806"/>
      <c r="BB5647" s="806"/>
    </row>
    <row r="5648" spans="4:54">
      <c r="D5648" s="806"/>
      <c r="F5648" s="806"/>
      <c r="W5648" s="806"/>
      <c r="AZ5648" s="806"/>
      <c r="BA5648" s="806"/>
      <c r="BB5648" s="806"/>
    </row>
    <row r="5649" spans="4:54">
      <c r="D5649" s="806"/>
      <c r="F5649" s="806"/>
      <c r="W5649" s="806"/>
      <c r="AZ5649" s="806"/>
      <c r="BA5649" s="806"/>
      <c r="BB5649" s="806"/>
    </row>
    <row r="5650" spans="4:54">
      <c r="D5650" s="806"/>
      <c r="F5650" s="806"/>
      <c r="W5650" s="806"/>
      <c r="AZ5650" s="806"/>
      <c r="BA5650" s="806"/>
      <c r="BB5650" s="806"/>
    </row>
    <row r="5651" spans="4:54">
      <c r="D5651" s="806"/>
      <c r="F5651" s="806"/>
      <c r="W5651" s="806"/>
      <c r="AZ5651" s="806"/>
      <c r="BA5651" s="806"/>
      <c r="BB5651" s="806"/>
    </row>
    <row r="5652" spans="4:54">
      <c r="D5652" s="806"/>
      <c r="F5652" s="806"/>
      <c r="W5652" s="806"/>
      <c r="AZ5652" s="806"/>
      <c r="BA5652" s="806"/>
      <c r="BB5652" s="806"/>
    </row>
    <row r="5653" spans="4:54">
      <c r="D5653" s="806"/>
      <c r="F5653" s="806"/>
      <c r="W5653" s="806"/>
      <c r="AZ5653" s="806"/>
      <c r="BA5653" s="806"/>
      <c r="BB5653" s="806"/>
    </row>
    <row r="5654" spans="4:54">
      <c r="D5654" s="806"/>
      <c r="F5654" s="806"/>
      <c r="W5654" s="806"/>
      <c r="AZ5654" s="806"/>
      <c r="BA5654" s="806"/>
      <c r="BB5654" s="806"/>
    </row>
    <row r="5655" spans="4:54">
      <c r="D5655" s="806"/>
      <c r="F5655" s="806"/>
      <c r="W5655" s="806"/>
      <c r="AZ5655" s="806"/>
      <c r="BA5655" s="806"/>
      <c r="BB5655" s="806"/>
    </row>
    <row r="5656" spans="4:54">
      <c r="D5656" s="806"/>
      <c r="F5656" s="806"/>
      <c r="W5656" s="806"/>
      <c r="AZ5656" s="806"/>
      <c r="BA5656" s="806"/>
      <c r="BB5656" s="806"/>
    </row>
    <row r="5657" spans="4:54">
      <c r="D5657" s="806"/>
      <c r="F5657" s="806"/>
      <c r="W5657" s="806"/>
      <c r="AZ5657" s="806"/>
      <c r="BA5657" s="806"/>
      <c r="BB5657" s="806"/>
    </row>
    <row r="5658" spans="4:54">
      <c r="D5658" s="806"/>
      <c r="F5658" s="806"/>
      <c r="W5658" s="806"/>
      <c r="AZ5658" s="806"/>
      <c r="BA5658" s="806"/>
      <c r="BB5658" s="806"/>
    </row>
    <row r="5659" spans="4:54">
      <c r="D5659" s="806"/>
      <c r="F5659" s="806"/>
      <c r="W5659" s="806"/>
      <c r="AZ5659" s="806"/>
      <c r="BA5659" s="806"/>
      <c r="BB5659" s="806"/>
    </row>
    <row r="5660" spans="4:54">
      <c r="D5660" s="806"/>
      <c r="F5660" s="806"/>
      <c r="W5660" s="806"/>
      <c r="AZ5660" s="806"/>
      <c r="BA5660" s="806"/>
      <c r="BB5660" s="806"/>
    </row>
    <row r="5661" spans="4:54">
      <c r="D5661" s="806"/>
      <c r="F5661" s="806"/>
      <c r="W5661" s="806"/>
      <c r="AZ5661" s="806"/>
      <c r="BA5661" s="806"/>
      <c r="BB5661" s="806"/>
    </row>
    <row r="5662" spans="4:54">
      <c r="D5662" s="806"/>
      <c r="F5662" s="806"/>
      <c r="W5662" s="806"/>
      <c r="AZ5662" s="806"/>
      <c r="BA5662" s="806"/>
      <c r="BB5662" s="806"/>
    </row>
    <row r="5663" spans="4:54">
      <c r="D5663" s="806"/>
      <c r="F5663" s="806"/>
      <c r="W5663" s="806"/>
      <c r="AZ5663" s="806"/>
      <c r="BA5663" s="806"/>
      <c r="BB5663" s="806"/>
    </row>
    <row r="5664" spans="4:54">
      <c r="D5664" s="806"/>
      <c r="F5664" s="806"/>
      <c r="W5664" s="806"/>
      <c r="AZ5664" s="806"/>
      <c r="BA5664" s="806"/>
      <c r="BB5664" s="806"/>
    </row>
    <row r="5665" spans="4:54">
      <c r="D5665" s="806"/>
      <c r="F5665" s="806"/>
      <c r="W5665" s="806"/>
      <c r="AZ5665" s="806"/>
      <c r="BA5665" s="806"/>
      <c r="BB5665" s="806"/>
    </row>
    <row r="5666" spans="4:54">
      <c r="D5666" s="806"/>
      <c r="F5666" s="806"/>
      <c r="W5666" s="806"/>
      <c r="AZ5666" s="806"/>
      <c r="BA5666" s="806"/>
      <c r="BB5666" s="806"/>
    </row>
    <row r="5667" spans="4:54">
      <c r="D5667" s="806"/>
      <c r="F5667" s="806"/>
      <c r="W5667" s="806"/>
      <c r="AZ5667" s="806"/>
      <c r="BA5667" s="806"/>
      <c r="BB5667" s="806"/>
    </row>
    <row r="5668" spans="4:54">
      <c r="D5668" s="806"/>
      <c r="F5668" s="806"/>
      <c r="W5668" s="806"/>
      <c r="AZ5668" s="806"/>
      <c r="BA5668" s="806"/>
      <c r="BB5668" s="806"/>
    </row>
    <row r="5669" spans="4:54">
      <c r="D5669" s="806"/>
      <c r="F5669" s="806"/>
      <c r="W5669" s="806"/>
      <c r="AZ5669" s="806"/>
      <c r="BA5669" s="806"/>
      <c r="BB5669" s="806"/>
    </row>
    <row r="5670" spans="4:54">
      <c r="D5670" s="806"/>
      <c r="F5670" s="806"/>
      <c r="W5670" s="806"/>
      <c r="AZ5670" s="806"/>
      <c r="BA5670" s="806"/>
      <c r="BB5670" s="806"/>
    </row>
    <row r="5671" spans="4:54">
      <c r="D5671" s="806"/>
      <c r="F5671" s="806"/>
      <c r="W5671" s="806"/>
      <c r="AZ5671" s="806"/>
      <c r="BA5671" s="806"/>
      <c r="BB5671" s="806"/>
    </row>
    <row r="5672" spans="4:54">
      <c r="D5672" s="806"/>
      <c r="F5672" s="806"/>
      <c r="W5672" s="806"/>
      <c r="AZ5672" s="806"/>
      <c r="BA5672" s="806"/>
      <c r="BB5672" s="806"/>
    </row>
    <row r="5673" spans="4:54">
      <c r="D5673" s="806"/>
      <c r="F5673" s="806"/>
      <c r="W5673" s="806"/>
      <c r="AZ5673" s="806"/>
      <c r="BA5673" s="806"/>
      <c r="BB5673" s="806"/>
    </row>
    <row r="5674" spans="4:54">
      <c r="D5674" s="806"/>
      <c r="F5674" s="806"/>
      <c r="W5674" s="806"/>
      <c r="AZ5674" s="806"/>
      <c r="BA5674" s="806"/>
      <c r="BB5674" s="806"/>
    </row>
    <row r="5675" spans="4:54">
      <c r="D5675" s="806"/>
      <c r="F5675" s="806"/>
      <c r="W5675" s="806"/>
      <c r="AZ5675" s="806"/>
      <c r="BA5675" s="806"/>
      <c r="BB5675" s="806"/>
    </row>
    <row r="5676" spans="4:54">
      <c r="D5676" s="806"/>
      <c r="F5676" s="806"/>
      <c r="W5676" s="806"/>
      <c r="AZ5676" s="806"/>
      <c r="BA5676" s="806"/>
      <c r="BB5676" s="806"/>
    </row>
    <row r="5677" spans="4:54">
      <c r="D5677" s="806"/>
      <c r="F5677" s="806"/>
      <c r="W5677" s="806"/>
      <c r="AZ5677" s="806"/>
      <c r="BA5677" s="806"/>
      <c r="BB5677" s="806"/>
    </row>
    <row r="5678" spans="4:54">
      <c r="D5678" s="806"/>
      <c r="F5678" s="806"/>
      <c r="W5678" s="806"/>
      <c r="AZ5678" s="806"/>
      <c r="BA5678" s="806"/>
      <c r="BB5678" s="806"/>
    </row>
    <row r="5679" spans="4:54">
      <c r="D5679" s="806"/>
      <c r="F5679" s="806"/>
      <c r="W5679" s="806"/>
      <c r="AZ5679" s="806"/>
      <c r="BA5679" s="806"/>
      <c r="BB5679" s="806"/>
    </row>
    <row r="5680" spans="4:54">
      <c r="D5680" s="806"/>
      <c r="F5680" s="806"/>
      <c r="W5680" s="806"/>
      <c r="AZ5680" s="806"/>
      <c r="BA5680" s="806"/>
      <c r="BB5680" s="806"/>
    </row>
    <row r="5681" spans="4:54">
      <c r="D5681" s="806"/>
      <c r="F5681" s="806"/>
      <c r="W5681" s="806"/>
      <c r="AZ5681" s="806"/>
      <c r="BA5681" s="806"/>
      <c r="BB5681" s="806"/>
    </row>
    <row r="5682" spans="4:54">
      <c r="D5682" s="806"/>
      <c r="F5682" s="806"/>
      <c r="W5682" s="806"/>
      <c r="AZ5682" s="806"/>
      <c r="BA5682" s="806"/>
      <c r="BB5682" s="806"/>
    </row>
    <row r="5683" spans="4:54">
      <c r="D5683" s="806"/>
      <c r="F5683" s="806"/>
      <c r="W5683" s="806"/>
      <c r="AZ5683" s="806"/>
      <c r="BA5683" s="806"/>
      <c r="BB5683" s="806"/>
    </row>
    <row r="5684" spans="4:54">
      <c r="D5684" s="806"/>
      <c r="F5684" s="806"/>
      <c r="W5684" s="806"/>
      <c r="AZ5684" s="806"/>
      <c r="BA5684" s="806"/>
      <c r="BB5684" s="806"/>
    </row>
    <row r="5685" spans="4:54">
      <c r="D5685" s="806"/>
      <c r="F5685" s="806"/>
      <c r="W5685" s="806"/>
      <c r="AZ5685" s="806"/>
      <c r="BA5685" s="806"/>
      <c r="BB5685" s="806"/>
    </row>
    <row r="5686" spans="4:54">
      <c r="D5686" s="806"/>
      <c r="F5686" s="806"/>
      <c r="W5686" s="806"/>
      <c r="AZ5686" s="806"/>
      <c r="BA5686" s="806"/>
      <c r="BB5686" s="806"/>
    </row>
    <row r="5687" spans="4:54">
      <c r="D5687" s="806"/>
      <c r="F5687" s="806"/>
      <c r="W5687" s="806"/>
      <c r="AZ5687" s="806"/>
      <c r="BA5687" s="806"/>
      <c r="BB5687" s="806"/>
    </row>
    <row r="5688" spans="4:54">
      <c r="D5688" s="806"/>
      <c r="F5688" s="806"/>
      <c r="W5688" s="806"/>
      <c r="AZ5688" s="806"/>
      <c r="BA5688" s="806"/>
      <c r="BB5688" s="806"/>
    </row>
    <row r="5689" spans="4:54">
      <c r="D5689" s="806"/>
      <c r="F5689" s="806"/>
      <c r="W5689" s="806"/>
      <c r="AZ5689" s="806"/>
      <c r="BA5689" s="806"/>
      <c r="BB5689" s="806"/>
    </row>
    <row r="5690" spans="4:54">
      <c r="D5690" s="806"/>
      <c r="F5690" s="806"/>
      <c r="W5690" s="806"/>
      <c r="AZ5690" s="806"/>
      <c r="BA5690" s="806"/>
      <c r="BB5690" s="806"/>
    </row>
    <row r="5691" spans="4:54">
      <c r="D5691" s="806"/>
      <c r="F5691" s="806"/>
      <c r="W5691" s="806"/>
      <c r="AZ5691" s="806"/>
      <c r="BA5691" s="806"/>
      <c r="BB5691" s="806"/>
    </row>
    <row r="5692" spans="4:54">
      <c r="D5692" s="806"/>
      <c r="F5692" s="806"/>
      <c r="W5692" s="806"/>
      <c r="AZ5692" s="806"/>
      <c r="BA5692" s="806"/>
      <c r="BB5692" s="806"/>
    </row>
    <row r="5693" spans="4:54">
      <c r="D5693" s="806"/>
      <c r="F5693" s="806"/>
      <c r="W5693" s="806"/>
      <c r="AZ5693" s="806"/>
      <c r="BA5693" s="806"/>
      <c r="BB5693" s="806"/>
    </row>
    <row r="5694" spans="4:54">
      <c r="D5694" s="806"/>
      <c r="F5694" s="806"/>
      <c r="W5694" s="806"/>
      <c r="AZ5694" s="806"/>
      <c r="BA5694" s="806"/>
      <c r="BB5694" s="806"/>
    </row>
    <row r="5695" spans="4:54">
      <c r="D5695" s="806"/>
      <c r="F5695" s="806"/>
      <c r="W5695" s="806"/>
      <c r="AZ5695" s="806"/>
      <c r="BA5695" s="806"/>
      <c r="BB5695" s="806"/>
    </row>
    <row r="5696" spans="4:54">
      <c r="D5696" s="806"/>
      <c r="F5696" s="806"/>
      <c r="W5696" s="806"/>
      <c r="AZ5696" s="806"/>
      <c r="BA5696" s="806"/>
      <c r="BB5696" s="806"/>
    </row>
    <row r="5697" spans="4:54">
      <c r="D5697" s="806"/>
      <c r="F5697" s="806"/>
      <c r="W5697" s="806"/>
      <c r="AZ5697" s="806"/>
      <c r="BA5697" s="806"/>
      <c r="BB5697" s="806"/>
    </row>
    <row r="5698" spans="4:54">
      <c r="D5698" s="806"/>
      <c r="F5698" s="806"/>
      <c r="W5698" s="806"/>
      <c r="AZ5698" s="806"/>
      <c r="BA5698" s="806"/>
      <c r="BB5698" s="806"/>
    </row>
    <row r="5699" spans="4:54">
      <c r="D5699" s="806"/>
      <c r="F5699" s="806"/>
      <c r="W5699" s="806"/>
      <c r="AZ5699" s="806"/>
      <c r="BA5699" s="806"/>
      <c r="BB5699" s="806"/>
    </row>
    <row r="5700" spans="4:54">
      <c r="D5700" s="806"/>
      <c r="F5700" s="806"/>
      <c r="W5700" s="806"/>
      <c r="AZ5700" s="806"/>
      <c r="BA5700" s="806"/>
      <c r="BB5700" s="806"/>
    </row>
    <row r="5701" spans="4:54">
      <c r="D5701" s="806"/>
      <c r="F5701" s="806"/>
      <c r="W5701" s="806"/>
      <c r="AZ5701" s="806"/>
      <c r="BA5701" s="806"/>
      <c r="BB5701" s="806"/>
    </row>
    <row r="5702" spans="4:54">
      <c r="D5702" s="806"/>
      <c r="F5702" s="806"/>
      <c r="W5702" s="806"/>
      <c r="AZ5702" s="806"/>
      <c r="BA5702" s="806"/>
      <c r="BB5702" s="806"/>
    </row>
    <row r="5703" spans="4:54">
      <c r="D5703" s="806"/>
      <c r="F5703" s="806"/>
      <c r="W5703" s="806"/>
      <c r="AZ5703" s="806"/>
      <c r="BA5703" s="806"/>
      <c r="BB5703" s="806"/>
    </row>
    <row r="5704" spans="4:54">
      <c r="D5704" s="806"/>
      <c r="F5704" s="806"/>
      <c r="W5704" s="806"/>
      <c r="AZ5704" s="806"/>
      <c r="BA5704" s="806"/>
      <c r="BB5704" s="806"/>
    </row>
    <row r="5705" spans="4:54">
      <c r="D5705" s="806"/>
      <c r="F5705" s="806"/>
      <c r="W5705" s="806"/>
      <c r="AZ5705" s="806"/>
      <c r="BA5705" s="806"/>
      <c r="BB5705" s="806"/>
    </row>
    <row r="5706" spans="4:54">
      <c r="D5706" s="806"/>
      <c r="F5706" s="806"/>
      <c r="W5706" s="806"/>
      <c r="AZ5706" s="806"/>
      <c r="BA5706" s="806"/>
      <c r="BB5706" s="806"/>
    </row>
    <row r="5707" spans="4:54">
      <c r="D5707" s="806"/>
      <c r="F5707" s="806"/>
      <c r="W5707" s="806"/>
      <c r="AZ5707" s="806"/>
      <c r="BA5707" s="806"/>
      <c r="BB5707" s="806"/>
    </row>
    <row r="5708" spans="4:54">
      <c r="D5708" s="806"/>
      <c r="F5708" s="806"/>
      <c r="W5708" s="806"/>
      <c r="AZ5708" s="806"/>
      <c r="BA5708" s="806"/>
      <c r="BB5708" s="806"/>
    </row>
    <row r="5709" spans="4:54">
      <c r="D5709" s="806"/>
      <c r="F5709" s="806"/>
      <c r="W5709" s="806"/>
      <c r="AZ5709" s="806"/>
      <c r="BA5709" s="806"/>
      <c r="BB5709" s="806"/>
    </row>
    <row r="5710" spans="4:54">
      <c r="D5710" s="806"/>
      <c r="F5710" s="806"/>
      <c r="W5710" s="806"/>
      <c r="AZ5710" s="806"/>
      <c r="BA5710" s="806"/>
      <c r="BB5710" s="806"/>
    </row>
    <row r="5711" spans="4:54">
      <c r="D5711" s="806"/>
      <c r="F5711" s="806"/>
      <c r="W5711" s="806"/>
      <c r="AZ5711" s="806"/>
      <c r="BA5711" s="806"/>
      <c r="BB5711" s="806"/>
    </row>
    <row r="5712" spans="4:54">
      <c r="D5712" s="806"/>
      <c r="F5712" s="806"/>
      <c r="W5712" s="806"/>
      <c r="AZ5712" s="806"/>
      <c r="BA5712" s="806"/>
      <c r="BB5712" s="806"/>
    </row>
    <row r="5713" spans="4:54">
      <c r="D5713" s="806"/>
      <c r="F5713" s="806"/>
      <c r="W5713" s="806"/>
      <c r="AZ5713" s="806"/>
      <c r="BA5713" s="806"/>
      <c r="BB5713" s="806"/>
    </row>
    <row r="5714" spans="4:54">
      <c r="D5714" s="806"/>
      <c r="F5714" s="806"/>
      <c r="W5714" s="806"/>
      <c r="AZ5714" s="806"/>
      <c r="BA5714" s="806"/>
      <c r="BB5714" s="806"/>
    </row>
    <row r="5715" spans="4:54">
      <c r="D5715" s="806"/>
      <c r="F5715" s="806"/>
      <c r="W5715" s="806"/>
      <c r="AZ5715" s="806"/>
      <c r="BA5715" s="806"/>
      <c r="BB5715" s="806"/>
    </row>
    <row r="5716" spans="4:54">
      <c r="D5716" s="806"/>
      <c r="F5716" s="806"/>
      <c r="W5716" s="806"/>
      <c r="AZ5716" s="806"/>
      <c r="BA5716" s="806"/>
      <c r="BB5716" s="806"/>
    </row>
    <row r="5717" spans="4:54">
      <c r="D5717" s="806"/>
      <c r="F5717" s="806"/>
      <c r="W5717" s="806"/>
      <c r="AZ5717" s="806"/>
      <c r="BA5717" s="806"/>
      <c r="BB5717" s="806"/>
    </row>
    <row r="5733" spans="4:54">
      <c r="D5733" s="806"/>
      <c r="F5733" s="806"/>
      <c r="W5733" s="806"/>
      <c r="AZ5733" s="806"/>
      <c r="BA5733" s="806"/>
      <c r="BB5733" s="806"/>
    </row>
    <row r="5734" spans="4:54">
      <c r="D5734" s="806"/>
      <c r="F5734" s="806"/>
      <c r="W5734" s="806"/>
      <c r="AZ5734" s="806"/>
      <c r="BA5734" s="806"/>
      <c r="BB5734" s="806"/>
    </row>
    <row r="5735" spans="4:54">
      <c r="D5735" s="806"/>
      <c r="F5735" s="806"/>
      <c r="W5735" s="806"/>
      <c r="AZ5735" s="806"/>
      <c r="BA5735" s="806"/>
      <c r="BB5735" s="806"/>
    </row>
    <row r="5736" spans="4:54">
      <c r="D5736" s="806"/>
      <c r="F5736" s="806"/>
      <c r="W5736" s="806"/>
      <c r="AZ5736" s="806"/>
      <c r="BA5736" s="806"/>
      <c r="BB5736" s="806"/>
    </row>
    <row r="5737" spans="4:54">
      <c r="D5737" s="806"/>
      <c r="F5737" s="806"/>
      <c r="W5737" s="806"/>
      <c r="AZ5737" s="806"/>
      <c r="BA5737" s="806"/>
      <c r="BB5737" s="806"/>
    </row>
    <row r="5738" spans="4:54">
      <c r="D5738" s="806"/>
      <c r="F5738" s="806"/>
      <c r="W5738" s="806"/>
      <c r="AZ5738" s="806"/>
      <c r="BA5738" s="806"/>
      <c r="BB5738" s="806"/>
    </row>
    <row r="5739" spans="4:54">
      <c r="D5739" s="806"/>
      <c r="F5739" s="806"/>
      <c r="W5739" s="806"/>
      <c r="AZ5739" s="806"/>
      <c r="BA5739" s="806"/>
      <c r="BB5739" s="806"/>
    </row>
    <row r="5740" spans="4:54">
      <c r="D5740" s="806"/>
      <c r="F5740" s="806"/>
      <c r="W5740" s="806"/>
      <c r="AZ5740" s="806"/>
      <c r="BA5740" s="806"/>
      <c r="BB5740" s="806"/>
    </row>
    <row r="5741" spans="4:54">
      <c r="D5741" s="806"/>
      <c r="F5741" s="806"/>
      <c r="W5741" s="806"/>
      <c r="AZ5741" s="806"/>
      <c r="BA5741" s="806"/>
      <c r="BB5741" s="806"/>
    </row>
    <row r="5742" spans="4:54">
      <c r="D5742" s="806"/>
      <c r="F5742" s="806"/>
      <c r="W5742" s="806"/>
      <c r="AZ5742" s="806"/>
      <c r="BA5742" s="806"/>
      <c r="BB5742" s="806"/>
    </row>
    <row r="5743" spans="4:54">
      <c r="D5743" s="806"/>
      <c r="F5743" s="806"/>
      <c r="W5743" s="806"/>
      <c r="AZ5743" s="806"/>
      <c r="BA5743" s="806"/>
      <c r="BB5743" s="806"/>
    </row>
    <row r="5744" spans="4:54">
      <c r="D5744" s="806"/>
      <c r="F5744" s="806"/>
      <c r="W5744" s="806"/>
      <c r="AZ5744" s="806"/>
      <c r="BA5744" s="806"/>
      <c r="BB5744" s="806"/>
    </row>
    <row r="5745" spans="4:54">
      <c r="D5745" s="806"/>
      <c r="F5745" s="806"/>
      <c r="W5745" s="806"/>
      <c r="AZ5745" s="806"/>
      <c r="BA5745" s="806"/>
      <c r="BB5745" s="806"/>
    </row>
    <row r="5746" spans="4:54">
      <c r="D5746" s="806"/>
      <c r="F5746" s="806"/>
      <c r="W5746" s="806"/>
      <c r="AZ5746" s="806"/>
      <c r="BA5746" s="806"/>
      <c r="BB5746" s="806"/>
    </row>
    <row r="5747" spans="4:54">
      <c r="D5747" s="806"/>
      <c r="F5747" s="806"/>
      <c r="W5747" s="806"/>
      <c r="AZ5747" s="806"/>
      <c r="BA5747" s="806"/>
      <c r="BB5747" s="806"/>
    </row>
    <row r="5748" spans="4:54">
      <c r="D5748" s="806"/>
      <c r="F5748" s="806"/>
      <c r="W5748" s="806"/>
      <c r="AZ5748" s="806"/>
      <c r="BA5748" s="806"/>
      <c r="BB5748" s="806"/>
    </row>
    <row r="5749" spans="4:54">
      <c r="D5749" s="806"/>
      <c r="F5749" s="806"/>
      <c r="W5749" s="806"/>
      <c r="AZ5749" s="806"/>
      <c r="BA5749" s="806"/>
      <c r="BB5749" s="806"/>
    </row>
    <row r="5750" spans="4:54">
      <c r="D5750" s="806"/>
      <c r="F5750" s="806"/>
      <c r="W5750" s="806"/>
      <c r="AZ5750" s="806"/>
      <c r="BA5750" s="806"/>
      <c r="BB5750" s="806"/>
    </row>
    <row r="5751" spans="4:54">
      <c r="D5751" s="806"/>
      <c r="F5751" s="806"/>
      <c r="W5751" s="806"/>
      <c r="AZ5751" s="806"/>
      <c r="BA5751" s="806"/>
      <c r="BB5751" s="806"/>
    </row>
    <row r="5752" spans="4:54">
      <c r="D5752" s="806"/>
      <c r="F5752" s="806"/>
      <c r="W5752" s="806"/>
      <c r="AZ5752" s="806"/>
      <c r="BA5752" s="806"/>
      <c r="BB5752" s="806"/>
    </row>
    <row r="5753" spans="4:54">
      <c r="D5753" s="806"/>
      <c r="F5753" s="806"/>
      <c r="W5753" s="806"/>
      <c r="AZ5753" s="806"/>
      <c r="BA5753" s="806"/>
      <c r="BB5753" s="806"/>
    </row>
    <row r="5754" spans="4:54">
      <c r="D5754" s="806"/>
      <c r="F5754" s="806"/>
      <c r="W5754" s="806"/>
      <c r="AZ5754" s="806"/>
      <c r="BA5754" s="806"/>
      <c r="BB5754" s="806"/>
    </row>
    <row r="5755" spans="4:54">
      <c r="D5755" s="806"/>
      <c r="F5755" s="806"/>
      <c r="W5755" s="806"/>
      <c r="AZ5755" s="806"/>
      <c r="BA5755" s="806"/>
      <c r="BB5755" s="806"/>
    </row>
    <row r="5756" spans="4:54">
      <c r="D5756" s="806"/>
      <c r="F5756" s="806"/>
      <c r="W5756" s="806"/>
      <c r="AZ5756" s="806"/>
      <c r="BA5756" s="806"/>
      <c r="BB5756" s="806"/>
    </row>
    <row r="5757" spans="4:54">
      <c r="D5757" s="806"/>
      <c r="F5757" s="806"/>
      <c r="W5757" s="806"/>
      <c r="AZ5757" s="806"/>
      <c r="BA5757" s="806"/>
      <c r="BB5757" s="806"/>
    </row>
    <row r="5758" spans="4:54">
      <c r="D5758" s="806"/>
      <c r="F5758" s="806"/>
      <c r="W5758" s="806"/>
      <c r="AZ5758" s="806"/>
      <c r="BA5758" s="806"/>
      <c r="BB5758" s="806"/>
    </row>
    <row r="5759" spans="4:54">
      <c r="D5759" s="806"/>
      <c r="F5759" s="806"/>
      <c r="W5759" s="806"/>
      <c r="AZ5759" s="806"/>
      <c r="BA5759" s="806"/>
      <c r="BB5759" s="806"/>
    </row>
    <row r="5760" spans="4:54">
      <c r="D5760" s="806"/>
      <c r="F5760" s="806"/>
      <c r="W5760" s="806"/>
      <c r="AZ5760" s="806"/>
      <c r="BA5760" s="806"/>
      <c r="BB5760" s="806"/>
    </row>
    <row r="5761" spans="4:54">
      <c r="D5761" s="806"/>
      <c r="F5761" s="806"/>
      <c r="W5761" s="806"/>
      <c r="AZ5761" s="806"/>
      <c r="BA5761" s="806"/>
      <c r="BB5761" s="806"/>
    </row>
    <row r="5762" spans="4:54">
      <c r="D5762" s="806"/>
      <c r="F5762" s="806"/>
      <c r="W5762" s="806"/>
      <c r="AZ5762" s="806"/>
      <c r="BA5762" s="806"/>
      <c r="BB5762" s="806"/>
    </row>
    <row r="5763" spans="4:54">
      <c r="D5763" s="806"/>
      <c r="F5763" s="806"/>
      <c r="W5763" s="806"/>
      <c r="AZ5763" s="806"/>
      <c r="BA5763" s="806"/>
      <c r="BB5763" s="806"/>
    </row>
    <row r="5764" spans="4:54">
      <c r="D5764" s="806"/>
      <c r="F5764" s="806"/>
      <c r="W5764" s="806"/>
      <c r="AZ5764" s="806"/>
      <c r="BA5764" s="806"/>
      <c r="BB5764" s="806"/>
    </row>
    <row r="5765" spans="4:54">
      <c r="D5765" s="806"/>
      <c r="F5765" s="806"/>
      <c r="W5765" s="806"/>
      <c r="AZ5765" s="806"/>
      <c r="BA5765" s="806"/>
      <c r="BB5765" s="806"/>
    </row>
    <row r="5766" spans="4:54">
      <c r="D5766" s="806"/>
      <c r="F5766" s="806"/>
      <c r="W5766" s="806"/>
      <c r="AZ5766" s="806"/>
      <c r="BA5766" s="806"/>
      <c r="BB5766" s="806"/>
    </row>
    <row r="5767" spans="4:54">
      <c r="D5767" s="806"/>
      <c r="F5767" s="806"/>
      <c r="W5767" s="806"/>
      <c r="AZ5767" s="806"/>
      <c r="BA5767" s="806"/>
      <c r="BB5767" s="806"/>
    </row>
    <row r="5768" spans="4:54">
      <c r="D5768" s="806"/>
      <c r="F5768" s="806"/>
      <c r="W5768" s="806"/>
      <c r="AZ5768" s="806"/>
      <c r="BA5768" s="806"/>
      <c r="BB5768" s="806"/>
    </row>
    <row r="5769" spans="4:54">
      <c r="D5769" s="806"/>
      <c r="F5769" s="806"/>
      <c r="W5769" s="806"/>
      <c r="AZ5769" s="806"/>
      <c r="BA5769" s="806"/>
      <c r="BB5769" s="806"/>
    </row>
    <row r="5770" spans="4:54">
      <c r="D5770" s="806"/>
      <c r="F5770" s="806"/>
      <c r="W5770" s="806"/>
      <c r="AZ5770" s="806"/>
      <c r="BA5770" s="806"/>
      <c r="BB5770" s="806"/>
    </row>
    <row r="5771" spans="4:54">
      <c r="D5771" s="806"/>
      <c r="F5771" s="806"/>
      <c r="W5771" s="806"/>
      <c r="AZ5771" s="806"/>
      <c r="BA5771" s="806"/>
      <c r="BB5771" s="806"/>
    </row>
    <row r="5772" spans="4:54">
      <c r="D5772" s="806"/>
      <c r="F5772" s="806"/>
      <c r="W5772" s="806"/>
      <c r="AZ5772" s="806"/>
      <c r="BA5772" s="806"/>
      <c r="BB5772" s="806"/>
    </row>
    <row r="5773" spans="4:54">
      <c r="D5773" s="806"/>
      <c r="F5773" s="806"/>
      <c r="W5773" s="806"/>
      <c r="AZ5773" s="806"/>
      <c r="BA5773" s="806"/>
      <c r="BB5773" s="806"/>
    </row>
    <row r="5774" spans="4:54">
      <c r="D5774" s="806"/>
      <c r="F5774" s="806"/>
      <c r="W5774" s="806"/>
      <c r="AZ5774" s="806"/>
      <c r="BA5774" s="806"/>
      <c r="BB5774" s="806"/>
    </row>
    <row r="5775" spans="4:54">
      <c r="D5775" s="806"/>
      <c r="F5775" s="806"/>
      <c r="W5775" s="806"/>
      <c r="AZ5775" s="806"/>
      <c r="BA5775" s="806"/>
      <c r="BB5775" s="806"/>
    </row>
    <row r="5776" spans="4:54">
      <c r="D5776" s="806"/>
      <c r="F5776" s="806"/>
      <c r="W5776" s="806"/>
      <c r="AZ5776" s="806"/>
      <c r="BA5776" s="806"/>
      <c r="BB5776" s="806"/>
    </row>
    <row r="5777" spans="4:54">
      <c r="D5777" s="806"/>
      <c r="F5777" s="806"/>
      <c r="W5777" s="806"/>
      <c r="AZ5777" s="806"/>
      <c r="BA5777" s="806"/>
      <c r="BB5777" s="806"/>
    </row>
    <row r="5778" spans="4:54">
      <c r="D5778" s="806"/>
      <c r="F5778" s="806"/>
      <c r="W5778" s="806"/>
      <c r="AZ5778" s="806"/>
      <c r="BA5778" s="806"/>
      <c r="BB5778" s="806"/>
    </row>
    <row r="5779" spans="4:54">
      <c r="D5779" s="806"/>
      <c r="F5779" s="806"/>
      <c r="W5779" s="806"/>
      <c r="AZ5779" s="806"/>
      <c r="BA5779" s="806"/>
      <c r="BB5779" s="806"/>
    </row>
    <row r="5780" spans="4:54">
      <c r="D5780" s="806"/>
      <c r="F5780" s="806"/>
      <c r="W5780" s="806"/>
      <c r="AZ5780" s="806"/>
      <c r="BA5780" s="806"/>
      <c r="BB5780" s="806"/>
    </row>
    <row r="5781" spans="4:54">
      <c r="D5781" s="806"/>
      <c r="F5781" s="806"/>
      <c r="W5781" s="806"/>
      <c r="AZ5781" s="806"/>
      <c r="BA5781" s="806"/>
      <c r="BB5781" s="806"/>
    </row>
    <row r="5782" spans="4:54">
      <c r="D5782" s="806"/>
      <c r="F5782" s="806"/>
      <c r="W5782" s="806"/>
      <c r="AZ5782" s="806"/>
      <c r="BA5782" s="806"/>
      <c r="BB5782" s="806"/>
    </row>
    <row r="5783" spans="4:54">
      <c r="D5783" s="806"/>
      <c r="F5783" s="806"/>
      <c r="W5783" s="806"/>
      <c r="AZ5783" s="806"/>
      <c r="BA5783" s="806"/>
      <c r="BB5783" s="806"/>
    </row>
    <row r="5784" spans="4:54">
      <c r="D5784" s="806"/>
      <c r="F5784" s="806"/>
      <c r="W5784" s="806"/>
      <c r="AZ5784" s="806"/>
      <c r="BA5784" s="806"/>
      <c r="BB5784" s="806"/>
    </row>
    <row r="5785" spans="4:54">
      <c r="D5785" s="806"/>
      <c r="F5785" s="806"/>
      <c r="W5785" s="806"/>
      <c r="AZ5785" s="806"/>
      <c r="BA5785" s="806"/>
      <c r="BB5785" s="806"/>
    </row>
    <row r="5786" spans="4:54">
      <c r="D5786" s="806"/>
      <c r="F5786" s="806"/>
      <c r="W5786" s="806"/>
      <c r="AZ5786" s="806"/>
      <c r="BA5786" s="806"/>
      <c r="BB5786" s="806"/>
    </row>
    <row r="5787" spans="4:54">
      <c r="D5787" s="806"/>
      <c r="F5787" s="806"/>
      <c r="W5787" s="806"/>
      <c r="AZ5787" s="806"/>
      <c r="BA5787" s="806"/>
      <c r="BB5787" s="806"/>
    </row>
    <row r="5788" spans="4:54">
      <c r="D5788" s="806"/>
      <c r="F5788" s="806"/>
      <c r="W5788" s="806"/>
      <c r="AZ5788" s="806"/>
      <c r="BA5788" s="806"/>
      <c r="BB5788" s="806"/>
    </row>
    <row r="5789" spans="4:54">
      <c r="D5789" s="806"/>
      <c r="F5789" s="806"/>
      <c r="W5789" s="806"/>
      <c r="AZ5789" s="806"/>
      <c r="BA5789" s="806"/>
      <c r="BB5789" s="806"/>
    </row>
    <row r="5790" spans="4:54">
      <c r="D5790" s="806"/>
      <c r="F5790" s="806"/>
      <c r="W5790" s="806"/>
      <c r="AZ5790" s="806"/>
      <c r="BA5790" s="806"/>
      <c r="BB5790" s="806"/>
    </row>
    <row r="5791" spans="4:54">
      <c r="D5791" s="806"/>
      <c r="F5791" s="806"/>
      <c r="W5791" s="806"/>
      <c r="AZ5791" s="806"/>
      <c r="BA5791" s="806"/>
      <c r="BB5791" s="806"/>
    </row>
    <row r="5792" spans="4:54">
      <c r="D5792" s="806"/>
      <c r="F5792" s="806"/>
      <c r="W5792" s="806"/>
      <c r="AZ5792" s="806"/>
      <c r="BA5792" s="806"/>
      <c r="BB5792" s="806"/>
    </row>
    <row r="5793" spans="4:54">
      <c r="D5793" s="806"/>
      <c r="F5793" s="806"/>
      <c r="W5793" s="806"/>
      <c r="AZ5793" s="806"/>
      <c r="BA5793" s="806"/>
      <c r="BB5793" s="806"/>
    </row>
    <row r="5794" spans="4:54">
      <c r="D5794" s="806"/>
      <c r="F5794" s="806"/>
      <c r="W5794" s="806"/>
      <c r="AZ5794" s="806"/>
      <c r="BA5794" s="806"/>
      <c r="BB5794" s="806"/>
    </row>
    <row r="5795" spans="4:54">
      <c r="D5795" s="806"/>
      <c r="F5795" s="806"/>
      <c r="W5795" s="806"/>
      <c r="AZ5795" s="806"/>
      <c r="BA5795" s="806"/>
      <c r="BB5795" s="806"/>
    </row>
    <row r="5796" spans="4:54">
      <c r="D5796" s="806"/>
      <c r="F5796" s="806"/>
      <c r="W5796" s="806"/>
      <c r="AZ5796" s="806"/>
      <c r="BA5796" s="806"/>
      <c r="BB5796" s="806"/>
    </row>
    <row r="5797" spans="4:54">
      <c r="D5797" s="806"/>
      <c r="F5797" s="806"/>
      <c r="W5797" s="806"/>
      <c r="AZ5797" s="806"/>
      <c r="BA5797" s="806"/>
      <c r="BB5797" s="806"/>
    </row>
    <row r="5798" spans="4:54">
      <c r="D5798" s="806"/>
      <c r="F5798" s="806"/>
      <c r="W5798" s="806"/>
      <c r="AZ5798" s="806"/>
      <c r="BA5798" s="806"/>
      <c r="BB5798" s="806"/>
    </row>
    <row r="5799" spans="4:54">
      <c r="D5799" s="806"/>
      <c r="F5799" s="806"/>
      <c r="W5799" s="806"/>
      <c r="AZ5799" s="806"/>
      <c r="BA5799" s="806"/>
      <c r="BB5799" s="806"/>
    </row>
    <row r="5800" spans="4:54">
      <c r="D5800" s="806"/>
      <c r="F5800" s="806"/>
      <c r="W5800" s="806"/>
      <c r="AZ5800" s="806"/>
      <c r="BA5800" s="806"/>
      <c r="BB5800" s="806"/>
    </row>
    <row r="5801" spans="4:54">
      <c r="D5801" s="806"/>
      <c r="F5801" s="806"/>
      <c r="W5801" s="806"/>
      <c r="AZ5801" s="806"/>
      <c r="BA5801" s="806"/>
      <c r="BB5801" s="806"/>
    </row>
    <row r="5802" spans="4:54">
      <c r="D5802" s="806"/>
      <c r="F5802" s="806"/>
      <c r="W5802" s="806"/>
      <c r="AZ5802" s="806"/>
      <c r="BA5802" s="806"/>
      <c r="BB5802" s="806"/>
    </row>
    <row r="5803" spans="4:54">
      <c r="D5803" s="806"/>
      <c r="F5803" s="806"/>
      <c r="W5803" s="806"/>
      <c r="AZ5803" s="806"/>
      <c r="BA5803" s="806"/>
      <c r="BB5803" s="806"/>
    </row>
    <row r="5804" spans="4:54">
      <c r="D5804" s="806"/>
      <c r="F5804" s="806"/>
      <c r="W5804" s="806"/>
      <c r="AZ5804" s="806"/>
      <c r="BA5804" s="806"/>
      <c r="BB5804" s="806"/>
    </row>
    <row r="5805" spans="4:54">
      <c r="D5805" s="806"/>
      <c r="F5805" s="806"/>
      <c r="W5805" s="806"/>
      <c r="AZ5805" s="806"/>
      <c r="BA5805" s="806"/>
      <c r="BB5805" s="806"/>
    </row>
    <row r="5806" spans="4:54">
      <c r="D5806" s="806"/>
      <c r="F5806" s="806"/>
      <c r="W5806" s="806"/>
      <c r="AZ5806" s="806"/>
      <c r="BA5806" s="806"/>
      <c r="BB5806" s="806"/>
    </row>
    <row r="5807" spans="4:54">
      <c r="D5807" s="806"/>
      <c r="F5807" s="806"/>
      <c r="W5807" s="806"/>
      <c r="AZ5807" s="806"/>
      <c r="BA5807" s="806"/>
      <c r="BB5807" s="806"/>
    </row>
    <row r="5808" spans="4:54">
      <c r="D5808" s="806"/>
      <c r="F5808" s="806"/>
      <c r="W5808" s="806"/>
      <c r="AZ5808" s="806"/>
      <c r="BA5808" s="806"/>
      <c r="BB5808" s="806"/>
    </row>
    <row r="5809" spans="4:54">
      <c r="D5809" s="806"/>
      <c r="F5809" s="806"/>
      <c r="W5809" s="806"/>
      <c r="AZ5809" s="806"/>
      <c r="BA5809" s="806"/>
      <c r="BB5809" s="806"/>
    </row>
    <row r="5810" spans="4:54">
      <c r="D5810" s="806"/>
      <c r="F5810" s="806"/>
      <c r="W5810" s="806"/>
      <c r="AZ5810" s="806"/>
      <c r="BA5810" s="806"/>
      <c r="BB5810" s="806"/>
    </row>
    <row r="5811" spans="4:54">
      <c r="D5811" s="806"/>
      <c r="F5811" s="806"/>
      <c r="W5811" s="806"/>
      <c r="AZ5811" s="806"/>
      <c r="BA5811" s="806"/>
      <c r="BB5811" s="806"/>
    </row>
    <row r="5812" spans="4:54">
      <c r="D5812" s="806"/>
      <c r="F5812" s="806"/>
      <c r="W5812" s="806"/>
      <c r="AZ5812" s="806"/>
      <c r="BA5812" s="806"/>
      <c r="BB5812" s="806"/>
    </row>
    <row r="5813" spans="4:54">
      <c r="D5813" s="806"/>
      <c r="F5813" s="806"/>
      <c r="W5813" s="806"/>
      <c r="AZ5813" s="806"/>
      <c r="BA5813" s="806"/>
      <c r="BB5813" s="806"/>
    </row>
    <row r="5814" spans="4:54">
      <c r="D5814" s="806"/>
      <c r="F5814" s="806"/>
      <c r="W5814" s="806"/>
      <c r="AZ5814" s="806"/>
      <c r="BA5814" s="806"/>
      <c r="BB5814" s="806"/>
    </row>
    <row r="5815" spans="4:54">
      <c r="D5815" s="806"/>
      <c r="F5815" s="806"/>
      <c r="W5815" s="806"/>
      <c r="AZ5815" s="806"/>
      <c r="BA5815" s="806"/>
      <c r="BB5815" s="806"/>
    </row>
    <row r="5816" spans="4:54">
      <c r="D5816" s="806"/>
      <c r="F5816" s="806"/>
      <c r="W5816" s="806"/>
      <c r="AZ5816" s="806"/>
      <c r="BA5816" s="806"/>
      <c r="BB5816" s="806"/>
    </row>
    <row r="5817" spans="4:54">
      <c r="D5817" s="806"/>
      <c r="F5817" s="806"/>
      <c r="W5817" s="806"/>
      <c r="AZ5817" s="806"/>
      <c r="BA5817" s="806"/>
      <c r="BB5817" s="806"/>
    </row>
    <row r="5818" spans="4:54">
      <c r="D5818" s="806"/>
      <c r="F5818" s="806"/>
      <c r="W5818" s="806"/>
      <c r="AZ5818" s="806"/>
      <c r="BA5818" s="806"/>
      <c r="BB5818" s="806"/>
    </row>
    <row r="5819" spans="4:54">
      <c r="D5819" s="806"/>
      <c r="F5819" s="806"/>
      <c r="W5819" s="806"/>
      <c r="AZ5819" s="806"/>
      <c r="BA5819" s="806"/>
      <c r="BB5819" s="806"/>
    </row>
    <row r="5820" spans="4:54">
      <c r="D5820" s="806"/>
      <c r="F5820" s="806"/>
      <c r="W5820" s="806"/>
      <c r="AZ5820" s="806"/>
      <c r="BA5820" s="806"/>
      <c r="BB5820" s="806"/>
    </row>
    <row r="5821" spans="4:54">
      <c r="D5821" s="806"/>
      <c r="F5821" s="806"/>
      <c r="W5821" s="806"/>
      <c r="AZ5821" s="806"/>
      <c r="BA5821" s="806"/>
      <c r="BB5821" s="806"/>
    </row>
    <row r="5822" spans="4:54">
      <c r="D5822" s="806"/>
      <c r="F5822" s="806"/>
      <c r="W5822" s="806"/>
      <c r="AZ5822" s="806"/>
      <c r="BA5822" s="806"/>
      <c r="BB5822" s="806"/>
    </row>
    <row r="5823" spans="4:54">
      <c r="D5823" s="806"/>
      <c r="F5823" s="806"/>
      <c r="W5823" s="806"/>
      <c r="AZ5823" s="806"/>
      <c r="BA5823" s="806"/>
      <c r="BB5823" s="806"/>
    </row>
    <row r="5824" spans="4:54">
      <c r="D5824" s="806"/>
      <c r="F5824" s="806"/>
      <c r="W5824" s="806"/>
      <c r="AZ5824" s="806"/>
      <c r="BA5824" s="806"/>
      <c r="BB5824" s="806"/>
    </row>
    <row r="5825" spans="4:54">
      <c r="D5825" s="806"/>
      <c r="F5825" s="806"/>
      <c r="W5825" s="806"/>
      <c r="AZ5825" s="806"/>
      <c r="BA5825" s="806"/>
      <c r="BB5825" s="806"/>
    </row>
    <row r="5826" spans="4:54">
      <c r="D5826" s="806"/>
      <c r="F5826" s="806"/>
      <c r="W5826" s="806"/>
      <c r="AZ5826" s="806"/>
      <c r="BA5826" s="806"/>
      <c r="BB5826" s="806"/>
    </row>
    <row r="5827" spans="4:54">
      <c r="D5827" s="806"/>
      <c r="F5827" s="806"/>
      <c r="W5827" s="806"/>
      <c r="AZ5827" s="806"/>
      <c r="BA5827" s="806"/>
      <c r="BB5827" s="806"/>
    </row>
    <row r="5828" spans="4:54">
      <c r="D5828" s="806"/>
      <c r="F5828" s="806"/>
      <c r="W5828" s="806"/>
      <c r="AZ5828" s="806"/>
      <c r="BA5828" s="806"/>
      <c r="BB5828" s="806"/>
    </row>
    <row r="5829" spans="4:54">
      <c r="D5829" s="806"/>
      <c r="F5829" s="806"/>
      <c r="W5829" s="806"/>
      <c r="AZ5829" s="806"/>
      <c r="BA5829" s="806"/>
      <c r="BB5829" s="806"/>
    </row>
    <row r="5830" spans="4:54">
      <c r="D5830" s="806"/>
      <c r="F5830" s="806"/>
      <c r="W5830" s="806"/>
      <c r="AZ5830" s="806"/>
      <c r="BA5830" s="806"/>
      <c r="BB5830" s="806"/>
    </row>
    <row r="5831" spans="4:54">
      <c r="D5831" s="806"/>
      <c r="F5831" s="806"/>
      <c r="W5831" s="806"/>
      <c r="AZ5831" s="806"/>
      <c r="BA5831" s="806"/>
      <c r="BB5831" s="806"/>
    </row>
    <row r="5832" spans="4:54">
      <c r="D5832" s="806"/>
      <c r="F5832" s="806"/>
      <c r="W5832" s="806"/>
      <c r="AZ5832" s="806"/>
      <c r="BA5832" s="806"/>
      <c r="BB5832" s="806"/>
    </row>
    <row r="5833" spans="4:54">
      <c r="D5833" s="806"/>
      <c r="F5833" s="806"/>
      <c r="W5833" s="806"/>
      <c r="AZ5833" s="806"/>
      <c r="BA5833" s="806"/>
      <c r="BB5833" s="806"/>
    </row>
    <row r="5834" spans="4:54">
      <c r="D5834" s="806"/>
      <c r="F5834" s="806"/>
      <c r="W5834" s="806"/>
      <c r="AZ5834" s="806"/>
      <c r="BA5834" s="806"/>
      <c r="BB5834" s="806"/>
    </row>
    <row r="5835" spans="4:54">
      <c r="D5835" s="806"/>
      <c r="F5835" s="806"/>
      <c r="W5835" s="806"/>
      <c r="AZ5835" s="806"/>
      <c r="BA5835" s="806"/>
      <c r="BB5835" s="806"/>
    </row>
    <row r="5836" spans="4:54">
      <c r="D5836" s="806"/>
      <c r="F5836" s="806"/>
      <c r="W5836" s="806"/>
      <c r="AZ5836" s="806"/>
      <c r="BA5836" s="806"/>
      <c r="BB5836" s="806"/>
    </row>
    <row r="5837" spans="4:54">
      <c r="D5837" s="806"/>
      <c r="F5837" s="806"/>
      <c r="W5837" s="806"/>
      <c r="AZ5837" s="806"/>
      <c r="BA5837" s="806"/>
      <c r="BB5837" s="806"/>
    </row>
    <row r="5838" spans="4:54">
      <c r="D5838" s="806"/>
      <c r="F5838" s="806"/>
      <c r="W5838" s="806"/>
      <c r="AZ5838" s="806"/>
      <c r="BA5838" s="806"/>
      <c r="BB5838" s="806"/>
    </row>
    <row r="5839" spans="4:54">
      <c r="D5839" s="806"/>
      <c r="F5839" s="806"/>
      <c r="W5839" s="806"/>
      <c r="AZ5839" s="806"/>
      <c r="BA5839" s="806"/>
      <c r="BB5839" s="806"/>
    </row>
    <row r="5840" spans="4:54">
      <c r="D5840" s="806"/>
      <c r="F5840" s="806"/>
      <c r="W5840" s="806"/>
      <c r="AZ5840" s="806"/>
      <c r="BA5840" s="806"/>
      <c r="BB5840" s="806"/>
    </row>
    <row r="5841" spans="4:54">
      <c r="D5841" s="806"/>
      <c r="F5841" s="806"/>
      <c r="W5841" s="806"/>
      <c r="AZ5841" s="806"/>
      <c r="BA5841" s="806"/>
      <c r="BB5841" s="806"/>
    </row>
    <row r="5842" spans="4:54">
      <c r="D5842" s="806"/>
      <c r="F5842" s="806"/>
      <c r="W5842" s="806"/>
      <c r="AZ5842" s="806"/>
      <c r="BA5842" s="806"/>
      <c r="BB5842" s="806"/>
    </row>
    <row r="5843" spans="4:54">
      <c r="D5843" s="806"/>
      <c r="F5843" s="806"/>
      <c r="W5843" s="806"/>
      <c r="AZ5843" s="806"/>
      <c r="BA5843" s="806"/>
      <c r="BB5843" s="806"/>
    </row>
    <row r="5844" spans="4:54">
      <c r="D5844" s="806"/>
      <c r="F5844" s="806"/>
      <c r="W5844" s="806"/>
      <c r="AZ5844" s="806"/>
      <c r="BA5844" s="806"/>
      <c r="BB5844" s="806"/>
    </row>
    <row r="5845" spans="4:54">
      <c r="D5845" s="806"/>
      <c r="F5845" s="806"/>
      <c r="W5845" s="806"/>
      <c r="AZ5845" s="806"/>
      <c r="BA5845" s="806"/>
      <c r="BB5845" s="806"/>
    </row>
    <row r="5846" spans="4:54">
      <c r="D5846" s="806"/>
      <c r="F5846" s="806"/>
      <c r="W5846" s="806"/>
      <c r="AZ5846" s="806"/>
      <c r="BA5846" s="806"/>
      <c r="BB5846" s="806"/>
    </row>
    <row r="5847" spans="4:54">
      <c r="D5847" s="806"/>
      <c r="F5847" s="806"/>
      <c r="W5847" s="806"/>
      <c r="AZ5847" s="806"/>
      <c r="BA5847" s="806"/>
      <c r="BB5847" s="806"/>
    </row>
    <row r="5848" spans="4:54">
      <c r="D5848" s="806"/>
      <c r="F5848" s="806"/>
      <c r="W5848" s="806"/>
      <c r="AZ5848" s="806"/>
      <c r="BA5848" s="806"/>
      <c r="BB5848" s="806"/>
    </row>
    <row r="5849" spans="4:54">
      <c r="D5849" s="806"/>
      <c r="F5849" s="806"/>
      <c r="W5849" s="806"/>
      <c r="AZ5849" s="806"/>
      <c r="BA5849" s="806"/>
      <c r="BB5849" s="806"/>
    </row>
    <row r="5850" spans="4:54">
      <c r="D5850" s="806"/>
      <c r="F5850" s="806"/>
      <c r="W5850" s="806"/>
      <c r="AZ5850" s="806"/>
      <c r="BA5850" s="806"/>
      <c r="BB5850" s="806"/>
    </row>
    <row r="5851" spans="4:54">
      <c r="D5851" s="806"/>
      <c r="F5851" s="806"/>
      <c r="W5851" s="806"/>
      <c r="AZ5851" s="806"/>
      <c r="BA5851" s="806"/>
      <c r="BB5851" s="806"/>
    </row>
    <row r="5852" spans="4:54">
      <c r="D5852" s="806"/>
      <c r="F5852" s="806"/>
      <c r="W5852" s="806"/>
      <c r="AZ5852" s="806"/>
      <c r="BA5852" s="806"/>
      <c r="BB5852" s="806"/>
    </row>
    <row r="5853" spans="4:54">
      <c r="D5853" s="806"/>
      <c r="F5853" s="806"/>
      <c r="W5853" s="806"/>
      <c r="AZ5853" s="806"/>
      <c r="BA5853" s="806"/>
      <c r="BB5853" s="806"/>
    </row>
    <row r="5854" spans="4:54">
      <c r="D5854" s="806"/>
      <c r="F5854" s="806"/>
      <c r="W5854" s="806"/>
      <c r="AZ5854" s="806"/>
      <c r="BA5854" s="806"/>
      <c r="BB5854" s="806"/>
    </row>
    <row r="5855" spans="4:54">
      <c r="D5855" s="806"/>
      <c r="F5855" s="806"/>
      <c r="W5855" s="806"/>
      <c r="AZ5855" s="806"/>
      <c r="BA5855" s="806"/>
      <c r="BB5855" s="806"/>
    </row>
    <row r="5856" spans="4:54">
      <c r="D5856" s="806"/>
      <c r="F5856" s="806"/>
      <c r="W5856" s="806"/>
      <c r="AZ5856" s="806"/>
      <c r="BA5856" s="806"/>
      <c r="BB5856" s="806"/>
    </row>
    <row r="5857" spans="4:54">
      <c r="D5857" s="806"/>
      <c r="F5857" s="806"/>
      <c r="W5857" s="806"/>
      <c r="AZ5857" s="806"/>
      <c r="BA5857" s="806"/>
      <c r="BB5857" s="806"/>
    </row>
    <row r="5858" spans="4:54">
      <c r="D5858" s="806"/>
      <c r="F5858" s="806"/>
      <c r="W5858" s="806"/>
      <c r="AZ5858" s="806"/>
      <c r="BA5858" s="806"/>
      <c r="BB5858" s="806"/>
    </row>
    <row r="5859" spans="4:54">
      <c r="D5859" s="806"/>
      <c r="F5859" s="806"/>
      <c r="W5859" s="806"/>
      <c r="AZ5859" s="806"/>
      <c r="BA5859" s="806"/>
      <c r="BB5859" s="806"/>
    </row>
    <row r="5860" spans="4:54">
      <c r="D5860" s="806"/>
      <c r="F5860" s="806"/>
      <c r="W5860" s="806"/>
      <c r="AZ5860" s="806"/>
      <c r="BA5860" s="806"/>
      <c r="BB5860" s="806"/>
    </row>
    <row r="5861" spans="4:54">
      <c r="D5861" s="806"/>
      <c r="F5861" s="806"/>
      <c r="W5861" s="806"/>
      <c r="AZ5861" s="806"/>
      <c r="BA5861" s="806"/>
      <c r="BB5861" s="806"/>
    </row>
    <row r="5862" spans="4:54">
      <c r="D5862" s="806"/>
      <c r="F5862" s="806"/>
      <c r="W5862" s="806"/>
      <c r="AZ5862" s="806"/>
      <c r="BA5862" s="806"/>
      <c r="BB5862" s="806"/>
    </row>
    <row r="5863" spans="4:54">
      <c r="D5863" s="806"/>
      <c r="F5863" s="806"/>
      <c r="W5863" s="806"/>
      <c r="AZ5863" s="806"/>
      <c r="BA5863" s="806"/>
      <c r="BB5863" s="806"/>
    </row>
    <row r="5864" spans="4:54">
      <c r="D5864" s="806"/>
      <c r="F5864" s="806"/>
      <c r="W5864" s="806"/>
      <c r="AZ5864" s="806"/>
      <c r="BA5864" s="806"/>
      <c r="BB5864" s="806"/>
    </row>
    <row r="5865" spans="4:54">
      <c r="D5865" s="806"/>
      <c r="F5865" s="806"/>
      <c r="W5865" s="806"/>
      <c r="AZ5865" s="806"/>
      <c r="BA5865" s="806"/>
      <c r="BB5865" s="806"/>
    </row>
    <row r="5866" spans="4:54">
      <c r="D5866" s="806"/>
      <c r="F5866" s="806"/>
      <c r="W5866" s="806"/>
      <c r="AZ5866" s="806"/>
      <c r="BA5866" s="806"/>
      <c r="BB5866" s="806"/>
    </row>
    <row r="5867" spans="4:54">
      <c r="D5867" s="806"/>
      <c r="F5867" s="806"/>
      <c r="W5867" s="806"/>
      <c r="AZ5867" s="806"/>
      <c r="BA5867" s="806"/>
      <c r="BB5867" s="806"/>
    </row>
    <row r="5868" spans="4:54">
      <c r="D5868" s="806"/>
      <c r="F5868" s="806"/>
      <c r="W5868" s="806"/>
      <c r="AZ5868" s="806"/>
      <c r="BA5868" s="806"/>
      <c r="BB5868" s="806"/>
    </row>
    <row r="5869" spans="4:54">
      <c r="D5869" s="806"/>
      <c r="F5869" s="806"/>
      <c r="W5869" s="806"/>
      <c r="AZ5869" s="806"/>
      <c r="BA5869" s="806"/>
      <c r="BB5869" s="806"/>
    </row>
    <row r="5870" spans="4:54">
      <c r="D5870" s="806"/>
      <c r="F5870" s="806"/>
      <c r="W5870" s="806"/>
      <c r="AZ5870" s="806"/>
      <c r="BA5870" s="806"/>
      <c r="BB5870" s="806"/>
    </row>
    <row r="5871" spans="4:54">
      <c r="D5871" s="806"/>
      <c r="F5871" s="806"/>
      <c r="W5871" s="806"/>
      <c r="AZ5871" s="806"/>
      <c r="BA5871" s="806"/>
      <c r="BB5871" s="806"/>
    </row>
    <row r="5872" spans="4:54">
      <c r="D5872" s="806"/>
      <c r="F5872" s="806"/>
      <c r="W5872" s="806"/>
      <c r="AZ5872" s="806"/>
      <c r="BA5872" s="806"/>
      <c r="BB5872" s="806"/>
    </row>
    <row r="5873" spans="4:54">
      <c r="D5873" s="806"/>
      <c r="F5873" s="806"/>
      <c r="W5873" s="806"/>
      <c r="AZ5873" s="806"/>
      <c r="BA5873" s="806"/>
      <c r="BB5873" s="806"/>
    </row>
    <row r="5874" spans="4:54">
      <c r="D5874" s="806"/>
      <c r="F5874" s="806"/>
      <c r="W5874" s="806"/>
      <c r="AZ5874" s="806"/>
      <c r="BA5874" s="806"/>
      <c r="BB5874" s="806"/>
    </row>
    <row r="5875" spans="4:54">
      <c r="D5875" s="806"/>
      <c r="F5875" s="806"/>
      <c r="W5875" s="806"/>
      <c r="AZ5875" s="806"/>
      <c r="BA5875" s="806"/>
      <c r="BB5875" s="806"/>
    </row>
    <row r="5876" spans="4:54">
      <c r="D5876" s="806"/>
      <c r="F5876" s="806"/>
      <c r="W5876" s="806"/>
      <c r="AZ5876" s="806"/>
      <c r="BA5876" s="806"/>
      <c r="BB5876" s="806"/>
    </row>
    <row r="5877" spans="4:54">
      <c r="D5877" s="806"/>
      <c r="F5877" s="806"/>
      <c r="W5877" s="806"/>
      <c r="AZ5877" s="806"/>
      <c r="BA5877" s="806"/>
      <c r="BB5877" s="806"/>
    </row>
    <row r="5878" spans="4:54">
      <c r="D5878" s="806"/>
      <c r="F5878" s="806"/>
      <c r="W5878" s="806"/>
      <c r="AZ5878" s="806"/>
      <c r="BA5878" s="806"/>
      <c r="BB5878" s="806"/>
    </row>
    <row r="5879" spans="4:54">
      <c r="D5879" s="806"/>
      <c r="F5879" s="806"/>
      <c r="W5879" s="806"/>
      <c r="AZ5879" s="806"/>
      <c r="BA5879" s="806"/>
      <c r="BB5879" s="806"/>
    </row>
    <row r="5880" spans="4:54">
      <c r="D5880" s="806"/>
      <c r="F5880" s="806"/>
      <c r="W5880" s="806"/>
      <c r="AZ5880" s="806"/>
      <c r="BA5880" s="806"/>
      <c r="BB5880" s="806"/>
    </row>
    <row r="5881" spans="4:54">
      <c r="D5881" s="806"/>
      <c r="F5881" s="806"/>
      <c r="W5881" s="806"/>
      <c r="AZ5881" s="806"/>
      <c r="BA5881" s="806"/>
      <c r="BB5881" s="806"/>
    </row>
    <row r="5882" spans="4:54">
      <c r="D5882" s="806"/>
      <c r="F5882" s="806"/>
      <c r="W5882" s="806"/>
      <c r="AZ5882" s="806"/>
      <c r="BA5882" s="806"/>
      <c r="BB5882" s="806"/>
    </row>
    <row r="5883" spans="4:54">
      <c r="D5883" s="806"/>
      <c r="F5883" s="806"/>
      <c r="W5883" s="806"/>
      <c r="AZ5883" s="806"/>
      <c r="BA5883" s="806"/>
      <c r="BB5883" s="806"/>
    </row>
    <row r="5884" spans="4:54">
      <c r="D5884" s="806"/>
      <c r="F5884" s="806"/>
      <c r="W5884" s="806"/>
      <c r="AZ5884" s="806"/>
      <c r="BA5884" s="806"/>
      <c r="BB5884" s="806"/>
    </row>
    <row r="5885" spans="4:54">
      <c r="D5885" s="806"/>
      <c r="F5885" s="806"/>
      <c r="W5885" s="806"/>
      <c r="AZ5885" s="806"/>
      <c r="BA5885" s="806"/>
      <c r="BB5885" s="806"/>
    </row>
    <row r="5886" spans="4:54">
      <c r="D5886" s="806"/>
      <c r="F5886" s="806"/>
      <c r="W5886" s="806"/>
      <c r="AZ5886" s="806"/>
      <c r="BA5886" s="806"/>
      <c r="BB5886" s="806"/>
    </row>
    <row r="5887" spans="4:54">
      <c r="D5887" s="806"/>
      <c r="F5887" s="806"/>
      <c r="W5887" s="806"/>
      <c r="AZ5887" s="806"/>
      <c r="BA5887" s="806"/>
      <c r="BB5887" s="806"/>
    </row>
    <row r="5888" spans="4:54">
      <c r="D5888" s="806"/>
      <c r="F5888" s="806"/>
      <c r="W5888" s="806"/>
      <c r="AZ5888" s="806"/>
      <c r="BA5888" s="806"/>
      <c r="BB5888" s="806"/>
    </row>
    <row r="5889" spans="4:54">
      <c r="D5889" s="806"/>
      <c r="F5889" s="806"/>
      <c r="W5889" s="806"/>
      <c r="AZ5889" s="806"/>
      <c r="BA5889" s="806"/>
      <c r="BB5889" s="806"/>
    </row>
    <row r="5890" spans="4:54">
      <c r="D5890" s="806"/>
      <c r="F5890" s="806"/>
      <c r="W5890" s="806"/>
      <c r="AZ5890" s="806"/>
      <c r="BA5890" s="806"/>
      <c r="BB5890" s="806"/>
    </row>
    <row r="5891" spans="4:54">
      <c r="D5891" s="806"/>
      <c r="F5891" s="806"/>
      <c r="W5891" s="806"/>
      <c r="AZ5891" s="806"/>
      <c r="BA5891" s="806"/>
      <c r="BB5891" s="806"/>
    </row>
    <row r="5892" spans="4:54">
      <c r="D5892" s="806"/>
      <c r="F5892" s="806"/>
      <c r="W5892" s="806"/>
      <c r="AZ5892" s="806"/>
      <c r="BA5892" s="806"/>
      <c r="BB5892" s="806"/>
    </row>
    <row r="5893" spans="4:54">
      <c r="D5893" s="806"/>
      <c r="F5893" s="806"/>
      <c r="W5893" s="806"/>
      <c r="AZ5893" s="806"/>
      <c r="BA5893" s="806"/>
      <c r="BB5893" s="806"/>
    </row>
    <row r="5894" spans="4:54">
      <c r="D5894" s="806"/>
      <c r="F5894" s="806"/>
      <c r="W5894" s="806"/>
      <c r="AZ5894" s="806"/>
      <c r="BA5894" s="806"/>
      <c r="BB5894" s="806"/>
    </row>
    <row r="5895" spans="4:54">
      <c r="D5895" s="806"/>
      <c r="F5895" s="806"/>
      <c r="W5895" s="806"/>
      <c r="AZ5895" s="806"/>
      <c r="BA5895" s="806"/>
      <c r="BB5895" s="806"/>
    </row>
    <row r="5896" spans="4:54">
      <c r="D5896" s="806"/>
      <c r="F5896" s="806"/>
      <c r="W5896" s="806"/>
      <c r="AZ5896" s="806"/>
      <c r="BA5896" s="806"/>
      <c r="BB5896" s="806"/>
    </row>
    <row r="5897" spans="4:54">
      <c r="D5897" s="806"/>
      <c r="F5897" s="806"/>
      <c r="W5897" s="806"/>
      <c r="AZ5897" s="806"/>
      <c r="BA5897" s="806"/>
      <c r="BB5897" s="806"/>
    </row>
    <row r="5898" spans="4:54">
      <c r="D5898" s="806"/>
      <c r="F5898" s="806"/>
      <c r="W5898" s="806"/>
      <c r="AZ5898" s="806"/>
      <c r="BA5898" s="806"/>
      <c r="BB5898" s="806"/>
    </row>
    <row r="5899" spans="4:54">
      <c r="D5899" s="806"/>
      <c r="F5899" s="806"/>
      <c r="W5899" s="806"/>
      <c r="AZ5899" s="806"/>
      <c r="BA5899" s="806"/>
      <c r="BB5899" s="806"/>
    </row>
    <row r="5900" spans="4:54">
      <c r="D5900" s="806"/>
      <c r="F5900" s="806"/>
      <c r="W5900" s="806"/>
      <c r="AZ5900" s="806"/>
      <c r="BA5900" s="806"/>
      <c r="BB5900" s="806"/>
    </row>
    <row r="5901" spans="4:54">
      <c r="D5901" s="806"/>
      <c r="F5901" s="806"/>
      <c r="W5901" s="806"/>
      <c r="AZ5901" s="806"/>
      <c r="BA5901" s="806"/>
      <c r="BB5901" s="806"/>
    </row>
    <row r="5902" spans="4:54">
      <c r="D5902" s="806"/>
      <c r="F5902" s="806"/>
      <c r="W5902" s="806"/>
      <c r="AZ5902" s="806"/>
      <c r="BA5902" s="806"/>
      <c r="BB5902" s="806"/>
    </row>
    <row r="5903" spans="4:54">
      <c r="D5903" s="806"/>
      <c r="F5903" s="806"/>
      <c r="W5903" s="806"/>
      <c r="AZ5903" s="806"/>
      <c r="BA5903" s="806"/>
      <c r="BB5903" s="806"/>
    </row>
    <row r="5904" spans="4:54">
      <c r="D5904" s="806"/>
      <c r="F5904" s="806"/>
      <c r="W5904" s="806"/>
      <c r="AZ5904" s="806"/>
      <c r="BA5904" s="806"/>
      <c r="BB5904" s="806"/>
    </row>
    <row r="5905" spans="4:54">
      <c r="D5905" s="806"/>
      <c r="F5905" s="806"/>
      <c r="W5905" s="806"/>
      <c r="AZ5905" s="806"/>
      <c r="BA5905" s="806"/>
      <c r="BB5905" s="806"/>
    </row>
    <row r="5906" spans="4:54">
      <c r="D5906" s="806"/>
      <c r="F5906" s="806"/>
      <c r="W5906" s="806"/>
      <c r="AZ5906" s="806"/>
      <c r="BA5906" s="806"/>
      <c r="BB5906" s="806"/>
    </row>
    <row r="5907" spans="4:54">
      <c r="D5907" s="806"/>
      <c r="F5907" s="806"/>
      <c r="W5907" s="806"/>
      <c r="AZ5907" s="806"/>
      <c r="BA5907" s="806"/>
      <c r="BB5907" s="806"/>
    </row>
    <row r="5908" spans="4:54">
      <c r="D5908" s="806"/>
      <c r="F5908" s="806"/>
      <c r="W5908" s="806"/>
      <c r="AZ5908" s="806"/>
      <c r="BA5908" s="806"/>
      <c r="BB5908" s="806"/>
    </row>
    <row r="5909" spans="4:54">
      <c r="D5909" s="806"/>
      <c r="F5909" s="806"/>
      <c r="W5909" s="806"/>
      <c r="AZ5909" s="806"/>
      <c r="BA5909" s="806"/>
      <c r="BB5909" s="806"/>
    </row>
    <row r="5910" spans="4:54">
      <c r="D5910" s="806"/>
      <c r="F5910" s="806"/>
      <c r="W5910" s="806"/>
      <c r="AZ5910" s="806"/>
      <c r="BA5910" s="806"/>
      <c r="BB5910" s="806"/>
    </row>
    <row r="5911" spans="4:54">
      <c r="D5911" s="806"/>
      <c r="F5911" s="806"/>
      <c r="W5911" s="806"/>
      <c r="AZ5911" s="806"/>
      <c r="BA5911" s="806"/>
      <c r="BB5911" s="806"/>
    </row>
    <row r="5912" spans="4:54">
      <c r="D5912" s="806"/>
      <c r="F5912" s="806"/>
      <c r="W5912" s="806"/>
      <c r="AZ5912" s="806"/>
      <c r="BA5912" s="806"/>
      <c r="BB5912" s="806"/>
    </row>
    <row r="5913" spans="4:54">
      <c r="D5913" s="806"/>
      <c r="F5913" s="806"/>
      <c r="W5913" s="806"/>
      <c r="AZ5913" s="806"/>
      <c r="BA5913" s="806"/>
      <c r="BB5913" s="806"/>
    </row>
    <row r="5914" spans="4:54">
      <c r="D5914" s="806"/>
      <c r="F5914" s="806"/>
      <c r="W5914" s="806"/>
      <c r="AZ5914" s="806"/>
      <c r="BA5914" s="806"/>
      <c r="BB5914" s="806"/>
    </row>
    <row r="5915" spans="4:54">
      <c r="D5915" s="806"/>
      <c r="F5915" s="806"/>
      <c r="W5915" s="806"/>
      <c r="AZ5915" s="806"/>
      <c r="BA5915" s="806"/>
      <c r="BB5915" s="806"/>
    </row>
    <row r="5916" spans="4:54">
      <c r="D5916" s="806"/>
      <c r="F5916" s="806"/>
      <c r="W5916" s="806"/>
      <c r="AZ5916" s="806"/>
      <c r="BA5916" s="806"/>
      <c r="BB5916" s="806"/>
    </row>
    <row r="5917" spans="4:54">
      <c r="D5917" s="806"/>
      <c r="F5917" s="806"/>
      <c r="W5917" s="806"/>
      <c r="AZ5917" s="806"/>
      <c r="BA5917" s="806"/>
      <c r="BB5917" s="806"/>
    </row>
    <row r="5918" spans="4:54">
      <c r="D5918" s="806"/>
      <c r="F5918" s="806"/>
      <c r="W5918" s="806"/>
      <c r="AZ5918" s="806"/>
      <c r="BA5918" s="806"/>
      <c r="BB5918" s="806"/>
    </row>
    <row r="5919" spans="4:54">
      <c r="D5919" s="806"/>
      <c r="F5919" s="806"/>
      <c r="W5919" s="806"/>
      <c r="AZ5919" s="806"/>
      <c r="BA5919" s="806"/>
      <c r="BB5919" s="806"/>
    </row>
    <row r="5920" spans="4:54">
      <c r="D5920" s="806"/>
      <c r="F5920" s="806"/>
      <c r="W5920" s="806"/>
      <c r="AZ5920" s="806"/>
      <c r="BA5920" s="806"/>
      <c r="BB5920" s="806"/>
    </row>
    <row r="5921" spans="4:54">
      <c r="D5921" s="806"/>
      <c r="F5921" s="806"/>
      <c r="W5921" s="806"/>
      <c r="AZ5921" s="806"/>
      <c r="BA5921" s="806"/>
      <c r="BB5921" s="806"/>
    </row>
    <row r="5922" spans="4:54">
      <c r="D5922" s="806"/>
      <c r="F5922" s="806"/>
      <c r="W5922" s="806"/>
      <c r="AZ5922" s="806"/>
      <c r="BA5922" s="806"/>
      <c r="BB5922" s="806"/>
    </row>
    <row r="5923" spans="4:54">
      <c r="D5923" s="806"/>
      <c r="F5923" s="806"/>
      <c r="W5923" s="806"/>
      <c r="AZ5923" s="806"/>
      <c r="BA5923" s="806"/>
      <c r="BB5923" s="806"/>
    </row>
    <row r="5924" spans="4:54">
      <c r="D5924" s="806"/>
      <c r="F5924" s="806"/>
      <c r="W5924" s="806"/>
      <c r="AZ5924" s="806"/>
      <c r="BA5924" s="806"/>
      <c r="BB5924" s="806"/>
    </row>
    <row r="5925" spans="4:54">
      <c r="D5925" s="806"/>
      <c r="F5925" s="806"/>
      <c r="W5925" s="806"/>
      <c r="AZ5925" s="806"/>
      <c r="BA5925" s="806"/>
      <c r="BB5925" s="806"/>
    </row>
    <row r="5926" spans="4:54">
      <c r="D5926" s="806"/>
      <c r="F5926" s="806"/>
      <c r="W5926" s="806"/>
      <c r="AZ5926" s="806"/>
      <c r="BA5926" s="806"/>
      <c r="BB5926" s="806"/>
    </row>
    <row r="5927" spans="4:54">
      <c r="D5927" s="806"/>
      <c r="F5927" s="806"/>
      <c r="W5927" s="806"/>
      <c r="AZ5927" s="806"/>
      <c r="BA5927" s="806"/>
      <c r="BB5927" s="806"/>
    </row>
    <row r="5928" spans="4:54">
      <c r="D5928" s="806"/>
      <c r="F5928" s="806"/>
      <c r="W5928" s="806"/>
      <c r="AZ5928" s="806"/>
      <c r="BA5928" s="806"/>
      <c r="BB5928" s="806"/>
    </row>
    <row r="5929" spans="4:54">
      <c r="D5929" s="806"/>
      <c r="F5929" s="806"/>
      <c r="W5929" s="806"/>
      <c r="AZ5929" s="806"/>
      <c r="BA5929" s="806"/>
      <c r="BB5929" s="806"/>
    </row>
    <row r="5930" spans="4:54">
      <c r="D5930" s="806"/>
      <c r="F5930" s="806"/>
      <c r="W5930" s="806"/>
      <c r="AZ5930" s="806"/>
      <c r="BA5930" s="806"/>
      <c r="BB5930" s="806"/>
    </row>
    <row r="5931" spans="4:54">
      <c r="D5931" s="806"/>
      <c r="F5931" s="806"/>
      <c r="W5931" s="806"/>
      <c r="AZ5931" s="806"/>
      <c r="BA5931" s="806"/>
      <c r="BB5931" s="806"/>
    </row>
    <row r="5932" spans="4:54">
      <c r="D5932" s="806"/>
      <c r="F5932" s="806"/>
      <c r="W5932" s="806"/>
      <c r="AZ5932" s="806"/>
      <c r="BA5932" s="806"/>
      <c r="BB5932" s="806"/>
    </row>
    <row r="5933" spans="4:54">
      <c r="D5933" s="806"/>
      <c r="F5933" s="806"/>
      <c r="W5933" s="806"/>
      <c r="AZ5933" s="806"/>
      <c r="BA5933" s="806"/>
      <c r="BB5933" s="806"/>
    </row>
    <row r="5934" spans="4:54">
      <c r="D5934" s="806"/>
      <c r="F5934" s="806"/>
      <c r="W5934" s="806"/>
      <c r="AZ5934" s="806"/>
      <c r="BA5934" s="806"/>
      <c r="BB5934" s="806"/>
    </row>
    <row r="5935" spans="4:54">
      <c r="D5935" s="806"/>
      <c r="F5935" s="806"/>
      <c r="W5935" s="806"/>
      <c r="AZ5935" s="806"/>
      <c r="BA5935" s="806"/>
      <c r="BB5935" s="806"/>
    </row>
    <row r="5936" spans="4:54">
      <c r="D5936" s="806"/>
      <c r="F5936" s="806"/>
      <c r="W5936" s="806"/>
      <c r="AZ5936" s="806"/>
      <c r="BA5936" s="806"/>
      <c r="BB5936" s="806"/>
    </row>
    <row r="5937" spans="4:54">
      <c r="D5937" s="806"/>
      <c r="F5937" s="806"/>
      <c r="W5937" s="806"/>
      <c r="AZ5937" s="806"/>
      <c r="BA5937" s="806"/>
      <c r="BB5937" s="806"/>
    </row>
    <row r="5938" spans="4:54">
      <c r="D5938" s="806"/>
      <c r="F5938" s="806"/>
      <c r="W5938" s="806"/>
      <c r="AZ5938" s="806"/>
      <c r="BA5938" s="806"/>
      <c r="BB5938" s="806"/>
    </row>
    <row r="5939" spans="4:54">
      <c r="D5939" s="806"/>
      <c r="F5939" s="806"/>
      <c r="W5939" s="806"/>
      <c r="AZ5939" s="806"/>
      <c r="BA5939" s="806"/>
      <c r="BB5939" s="806"/>
    </row>
    <row r="5940" spans="4:54">
      <c r="D5940" s="806"/>
      <c r="F5940" s="806"/>
      <c r="W5940" s="806"/>
      <c r="AZ5940" s="806"/>
      <c r="BA5940" s="806"/>
      <c r="BB5940" s="806"/>
    </row>
    <row r="5941" spans="4:54">
      <c r="D5941" s="806"/>
      <c r="F5941" s="806"/>
      <c r="W5941" s="806"/>
      <c r="AZ5941" s="806"/>
      <c r="BA5941" s="806"/>
      <c r="BB5941" s="806"/>
    </row>
    <row r="5942" spans="4:54">
      <c r="D5942" s="806"/>
      <c r="F5942" s="806"/>
      <c r="W5942" s="806"/>
      <c r="AZ5942" s="806"/>
      <c r="BA5942" s="806"/>
      <c r="BB5942" s="806"/>
    </row>
    <row r="5943" spans="4:54">
      <c r="D5943" s="806"/>
      <c r="F5943" s="806"/>
      <c r="W5943" s="806"/>
      <c r="AZ5943" s="806"/>
      <c r="BA5943" s="806"/>
      <c r="BB5943" s="806"/>
    </row>
    <row r="5944" spans="4:54">
      <c r="D5944" s="806"/>
      <c r="F5944" s="806"/>
      <c r="W5944" s="806"/>
      <c r="AZ5944" s="806"/>
      <c r="BA5944" s="806"/>
      <c r="BB5944" s="806"/>
    </row>
    <row r="5945" spans="4:54">
      <c r="D5945" s="806"/>
      <c r="F5945" s="806"/>
      <c r="W5945" s="806"/>
      <c r="AZ5945" s="806"/>
      <c r="BA5945" s="806"/>
      <c r="BB5945" s="806"/>
    </row>
    <row r="5946" spans="4:54">
      <c r="D5946" s="806"/>
      <c r="F5946" s="806"/>
      <c r="W5946" s="806"/>
      <c r="AZ5946" s="806"/>
      <c r="BA5946" s="806"/>
      <c r="BB5946" s="806"/>
    </row>
    <row r="5947" spans="4:54">
      <c r="D5947" s="806"/>
      <c r="F5947" s="806"/>
      <c r="W5947" s="806"/>
      <c r="AZ5947" s="806"/>
      <c r="BA5947" s="806"/>
      <c r="BB5947" s="806"/>
    </row>
    <row r="5948" spans="4:54">
      <c r="D5948" s="806"/>
      <c r="F5948" s="806"/>
      <c r="W5948" s="806"/>
      <c r="AZ5948" s="806"/>
      <c r="BA5948" s="806"/>
      <c r="BB5948" s="806"/>
    </row>
    <row r="5949" spans="4:54">
      <c r="D5949" s="806"/>
      <c r="F5949" s="806"/>
      <c r="W5949" s="806"/>
      <c r="AZ5949" s="806"/>
      <c r="BA5949" s="806"/>
      <c r="BB5949" s="806"/>
    </row>
    <row r="5950" spans="4:54">
      <c r="D5950" s="806"/>
      <c r="F5950" s="806"/>
      <c r="W5950" s="806"/>
      <c r="AZ5950" s="806"/>
      <c r="BA5950" s="806"/>
      <c r="BB5950" s="806"/>
    </row>
    <row r="5951" spans="4:54">
      <c r="D5951" s="806"/>
      <c r="F5951" s="806"/>
      <c r="W5951" s="806"/>
      <c r="AZ5951" s="806"/>
      <c r="BA5951" s="806"/>
      <c r="BB5951" s="806"/>
    </row>
    <row r="5952" spans="4:54">
      <c r="D5952" s="806"/>
      <c r="F5952" s="806"/>
      <c r="W5952" s="806"/>
      <c r="AZ5952" s="806"/>
      <c r="BA5952" s="806"/>
      <c r="BB5952" s="806"/>
    </row>
    <row r="5953" spans="4:54">
      <c r="D5953" s="806"/>
      <c r="F5953" s="806"/>
      <c r="W5953" s="806"/>
      <c r="AZ5953" s="806"/>
      <c r="BA5953" s="806"/>
      <c r="BB5953" s="806"/>
    </row>
    <row r="5954" spans="4:54">
      <c r="D5954" s="806"/>
      <c r="F5954" s="806"/>
      <c r="W5954" s="806"/>
      <c r="AZ5954" s="806"/>
      <c r="BA5954" s="806"/>
      <c r="BB5954" s="806"/>
    </row>
    <row r="5955" spans="4:54">
      <c r="D5955" s="806"/>
      <c r="F5955" s="806"/>
      <c r="W5955" s="806"/>
      <c r="AZ5955" s="806"/>
      <c r="BA5955" s="806"/>
      <c r="BB5955" s="806"/>
    </row>
    <row r="5956" spans="4:54">
      <c r="D5956" s="806"/>
      <c r="F5956" s="806"/>
      <c r="W5956" s="806"/>
      <c r="AZ5956" s="806"/>
      <c r="BA5956" s="806"/>
      <c r="BB5956" s="806"/>
    </row>
    <row r="5957" spans="4:54">
      <c r="D5957" s="806"/>
      <c r="F5957" s="806"/>
      <c r="W5957" s="806"/>
      <c r="AZ5957" s="806"/>
      <c r="BA5957" s="806"/>
      <c r="BB5957" s="806"/>
    </row>
    <row r="5958" spans="4:54">
      <c r="D5958" s="806"/>
      <c r="F5958" s="806"/>
      <c r="W5958" s="806"/>
      <c r="AZ5958" s="806"/>
      <c r="BA5958" s="806"/>
      <c r="BB5958" s="806"/>
    </row>
    <row r="5959" spans="4:54">
      <c r="D5959" s="806"/>
      <c r="F5959" s="806"/>
      <c r="W5959" s="806"/>
      <c r="AZ5959" s="806"/>
      <c r="BA5959" s="806"/>
      <c r="BB5959" s="806"/>
    </row>
    <row r="5960" spans="4:54">
      <c r="D5960" s="806"/>
      <c r="F5960" s="806"/>
      <c r="W5960" s="806"/>
      <c r="AZ5960" s="806"/>
      <c r="BA5960" s="806"/>
      <c r="BB5960" s="806"/>
    </row>
    <row r="5961" spans="4:54">
      <c r="D5961" s="806"/>
      <c r="F5961" s="806"/>
      <c r="W5961" s="806"/>
      <c r="AZ5961" s="806"/>
      <c r="BA5961" s="806"/>
      <c r="BB5961" s="806"/>
    </row>
    <row r="5962" spans="4:54">
      <c r="D5962" s="806"/>
      <c r="F5962" s="806"/>
      <c r="W5962" s="806"/>
      <c r="AZ5962" s="806"/>
      <c r="BA5962" s="806"/>
      <c r="BB5962" s="806"/>
    </row>
    <row r="5963" spans="4:54">
      <c r="D5963" s="806"/>
      <c r="F5963" s="806"/>
      <c r="W5963" s="806"/>
      <c r="AZ5963" s="806"/>
      <c r="BA5963" s="806"/>
      <c r="BB5963" s="806"/>
    </row>
    <row r="5964" spans="4:54">
      <c r="D5964" s="806"/>
      <c r="F5964" s="806"/>
      <c r="W5964" s="806"/>
      <c r="AZ5964" s="806"/>
      <c r="BA5964" s="806"/>
      <c r="BB5964" s="806"/>
    </row>
    <row r="5965" spans="4:54">
      <c r="D5965" s="806"/>
      <c r="F5965" s="806"/>
      <c r="W5965" s="806"/>
      <c r="AZ5965" s="806"/>
      <c r="BA5965" s="806"/>
      <c r="BB5965" s="806"/>
    </row>
    <row r="5966" spans="4:54">
      <c r="D5966" s="806"/>
      <c r="F5966" s="806"/>
      <c r="W5966" s="806"/>
      <c r="AZ5966" s="806"/>
      <c r="BA5966" s="806"/>
      <c r="BB5966" s="806"/>
    </row>
    <row r="5967" spans="4:54">
      <c r="D5967" s="806"/>
      <c r="F5967" s="806"/>
      <c r="W5967" s="806"/>
      <c r="AZ5967" s="806"/>
      <c r="BA5967" s="806"/>
      <c r="BB5967" s="806"/>
    </row>
    <row r="5968" spans="4:54">
      <c r="D5968" s="806"/>
      <c r="F5968" s="806"/>
      <c r="W5968" s="806"/>
      <c r="AZ5968" s="806"/>
      <c r="BA5968" s="806"/>
      <c r="BB5968" s="806"/>
    </row>
    <row r="5969" spans="4:54">
      <c r="D5969" s="806"/>
      <c r="F5969" s="806"/>
      <c r="W5969" s="806"/>
      <c r="AZ5969" s="806"/>
      <c r="BA5969" s="806"/>
      <c r="BB5969" s="806"/>
    </row>
    <row r="5970" spans="4:54">
      <c r="D5970" s="806"/>
      <c r="F5970" s="806"/>
      <c r="W5970" s="806"/>
      <c r="AZ5970" s="806"/>
      <c r="BA5970" s="806"/>
      <c r="BB5970" s="806"/>
    </row>
    <row r="5971" spans="4:54">
      <c r="D5971" s="806"/>
      <c r="F5971" s="806"/>
      <c r="W5971" s="806"/>
      <c r="AZ5971" s="806"/>
      <c r="BA5971" s="806"/>
      <c r="BB5971" s="806"/>
    </row>
    <row r="5972" spans="4:54">
      <c r="D5972" s="806"/>
      <c r="F5972" s="806"/>
      <c r="W5972" s="806"/>
      <c r="AZ5972" s="806"/>
      <c r="BA5972" s="806"/>
      <c r="BB5972" s="806"/>
    </row>
    <row r="5973" spans="4:54">
      <c r="D5973" s="806"/>
      <c r="F5973" s="806"/>
      <c r="W5973" s="806"/>
      <c r="AZ5973" s="806"/>
      <c r="BA5973" s="806"/>
      <c r="BB5973" s="806"/>
    </row>
    <row r="5974" spans="4:54">
      <c r="D5974" s="806"/>
      <c r="F5974" s="806"/>
      <c r="W5974" s="806"/>
      <c r="AZ5974" s="806"/>
      <c r="BA5974" s="806"/>
      <c r="BB5974" s="806"/>
    </row>
    <row r="5975" spans="4:54">
      <c r="D5975" s="806"/>
      <c r="F5975" s="806"/>
      <c r="W5975" s="806"/>
      <c r="AZ5975" s="806"/>
      <c r="BA5975" s="806"/>
      <c r="BB5975" s="806"/>
    </row>
    <row r="5978" spans="4:54">
      <c r="D5978" s="806"/>
      <c r="F5978" s="806"/>
      <c r="W5978" s="806"/>
      <c r="AZ5978" s="806"/>
      <c r="BA5978" s="806"/>
      <c r="BB5978" s="806"/>
    </row>
    <row r="5979" spans="4:54">
      <c r="D5979" s="806"/>
      <c r="F5979" s="806"/>
      <c r="W5979" s="806"/>
      <c r="AZ5979" s="806"/>
      <c r="BA5979" s="806"/>
      <c r="BB5979" s="806"/>
    </row>
    <row r="5987" spans="4:54">
      <c r="D5987" s="806"/>
      <c r="F5987" s="806"/>
      <c r="W5987" s="806"/>
      <c r="AZ5987" s="806"/>
      <c r="BA5987" s="806"/>
      <c r="BB5987" s="806"/>
    </row>
    <row r="5988" spans="4:54">
      <c r="D5988" s="806"/>
      <c r="F5988" s="806"/>
      <c r="W5988" s="806"/>
      <c r="AZ5988" s="806"/>
      <c r="BA5988" s="806"/>
      <c r="BB5988" s="806"/>
    </row>
    <row r="5989" spans="4:54">
      <c r="D5989" s="806"/>
      <c r="F5989" s="806"/>
      <c r="W5989" s="806"/>
      <c r="AZ5989" s="806"/>
      <c r="BA5989" s="806"/>
      <c r="BB5989" s="806"/>
    </row>
    <row r="5990" spans="4:54">
      <c r="D5990" s="806"/>
      <c r="F5990" s="806"/>
      <c r="W5990" s="806"/>
      <c r="AZ5990" s="806"/>
      <c r="BA5990" s="806"/>
      <c r="BB5990" s="806"/>
    </row>
    <row r="5991" spans="4:54">
      <c r="D5991" s="806"/>
      <c r="F5991" s="806"/>
      <c r="W5991" s="806"/>
      <c r="AZ5991" s="806"/>
      <c r="BA5991" s="806"/>
      <c r="BB5991" s="806"/>
    </row>
    <row r="5992" spans="4:54">
      <c r="D5992" s="806"/>
      <c r="F5992" s="806"/>
      <c r="W5992" s="806"/>
      <c r="AZ5992" s="806"/>
      <c r="BA5992" s="806"/>
      <c r="BB5992" s="806"/>
    </row>
    <row r="5993" spans="4:54">
      <c r="D5993" s="806"/>
      <c r="F5993" s="806"/>
      <c r="W5993" s="806"/>
      <c r="AZ5993" s="806"/>
      <c r="BA5993" s="806"/>
      <c r="BB5993" s="806"/>
    </row>
    <row r="5994" spans="4:54">
      <c r="D5994" s="806"/>
      <c r="F5994" s="806"/>
      <c r="W5994" s="806"/>
      <c r="AZ5994" s="806"/>
      <c r="BA5994" s="806"/>
      <c r="BB5994" s="806"/>
    </row>
    <row r="5995" spans="4:54">
      <c r="D5995" s="806"/>
      <c r="F5995" s="806"/>
      <c r="W5995" s="806"/>
      <c r="AZ5995" s="806"/>
      <c r="BA5995" s="806"/>
      <c r="BB5995" s="806"/>
    </row>
    <row r="5996" spans="4:54">
      <c r="D5996" s="806"/>
      <c r="F5996" s="806"/>
      <c r="W5996" s="806"/>
      <c r="AZ5996" s="806"/>
      <c r="BA5996" s="806"/>
      <c r="BB5996" s="806"/>
    </row>
    <row r="5997" spans="4:54">
      <c r="D5997" s="806"/>
      <c r="F5997" s="806"/>
      <c r="W5997" s="806"/>
      <c r="AZ5997" s="806"/>
      <c r="BA5997" s="806"/>
      <c r="BB5997" s="806"/>
    </row>
    <row r="5998" spans="4:54">
      <c r="D5998" s="806"/>
      <c r="F5998" s="806"/>
      <c r="W5998" s="806"/>
      <c r="AZ5998" s="806"/>
      <c r="BA5998" s="806"/>
      <c r="BB5998" s="806"/>
    </row>
    <row r="5999" spans="4:54">
      <c r="D5999" s="806"/>
      <c r="F5999" s="806"/>
      <c r="W5999" s="806"/>
      <c r="AZ5999" s="806"/>
      <c r="BA5999" s="806"/>
      <c r="BB5999" s="806"/>
    </row>
    <row r="6000" spans="4:54">
      <c r="D6000" s="806"/>
      <c r="F6000" s="806"/>
      <c r="W6000" s="806"/>
      <c r="AZ6000" s="806"/>
      <c r="BA6000" s="806"/>
      <c r="BB6000" s="806"/>
    </row>
    <row r="6001" spans="4:54">
      <c r="D6001" s="806"/>
      <c r="F6001" s="806"/>
      <c r="W6001" s="806"/>
      <c r="AZ6001" s="806"/>
      <c r="BA6001" s="806"/>
      <c r="BB6001" s="806"/>
    </row>
    <row r="6002" spans="4:54">
      <c r="D6002" s="806"/>
      <c r="F6002" s="806"/>
      <c r="W6002" s="806"/>
      <c r="AZ6002" s="806"/>
      <c r="BA6002" s="806"/>
      <c r="BB6002" s="806"/>
    </row>
    <row r="6003" spans="4:54">
      <c r="D6003" s="806"/>
      <c r="F6003" s="806"/>
      <c r="W6003" s="806"/>
      <c r="AZ6003" s="806"/>
      <c r="BA6003" s="806"/>
      <c r="BB6003" s="806"/>
    </row>
    <row r="6004" spans="4:54">
      <c r="D6004" s="806"/>
      <c r="F6004" s="806"/>
      <c r="W6004" s="806"/>
      <c r="AZ6004" s="806"/>
      <c r="BA6004" s="806"/>
      <c r="BB6004" s="806"/>
    </row>
    <row r="6005" spans="4:54">
      <c r="D6005" s="806"/>
      <c r="F6005" s="806"/>
      <c r="W6005" s="806"/>
      <c r="AZ6005" s="806"/>
      <c r="BA6005" s="806"/>
      <c r="BB6005" s="806"/>
    </row>
    <row r="6006" spans="4:54">
      <c r="D6006" s="806"/>
      <c r="F6006" s="806"/>
      <c r="W6006" s="806"/>
      <c r="AZ6006" s="806"/>
      <c r="BA6006" s="806"/>
      <c r="BB6006" s="806"/>
    </row>
    <row r="6007" spans="4:54">
      <c r="D6007" s="806"/>
      <c r="F6007" s="806"/>
      <c r="W6007" s="806"/>
      <c r="AZ6007" s="806"/>
      <c r="BA6007" s="806"/>
      <c r="BB6007" s="806"/>
    </row>
    <row r="6008" spans="4:54">
      <c r="D6008" s="806"/>
      <c r="F6008" s="806"/>
      <c r="W6008" s="806"/>
      <c r="AZ6008" s="806"/>
      <c r="BA6008" s="806"/>
      <c r="BB6008" s="806"/>
    </row>
    <row r="6009" spans="4:54">
      <c r="D6009" s="806"/>
      <c r="F6009" s="806"/>
      <c r="W6009" s="806"/>
      <c r="AZ6009" s="806"/>
      <c r="BA6009" s="806"/>
      <c r="BB6009" s="806"/>
    </row>
    <row r="6010" spans="4:54">
      <c r="D6010" s="806"/>
      <c r="F6010" s="806"/>
      <c r="W6010" s="806"/>
      <c r="AZ6010" s="806"/>
      <c r="BA6010" s="806"/>
      <c r="BB6010" s="806"/>
    </row>
    <row r="6011" spans="4:54">
      <c r="D6011" s="806"/>
      <c r="F6011" s="806"/>
      <c r="W6011" s="806"/>
      <c r="AZ6011" s="806"/>
      <c r="BA6011" s="806"/>
      <c r="BB6011" s="806"/>
    </row>
    <row r="6012" spans="4:54">
      <c r="D6012" s="806"/>
      <c r="F6012" s="806"/>
      <c r="W6012" s="806"/>
      <c r="AZ6012" s="806"/>
      <c r="BA6012" s="806"/>
      <c r="BB6012" s="806"/>
    </row>
    <row r="6013" spans="4:54">
      <c r="D6013" s="806"/>
      <c r="F6013" s="806"/>
      <c r="W6013" s="806"/>
      <c r="AZ6013" s="806"/>
      <c r="BA6013" s="806"/>
      <c r="BB6013" s="806"/>
    </row>
    <row r="6014" spans="4:54">
      <c r="D6014" s="806"/>
      <c r="F6014" s="806"/>
      <c r="W6014" s="806"/>
      <c r="AZ6014" s="806"/>
      <c r="BA6014" s="806"/>
      <c r="BB6014" s="806"/>
    </row>
    <row r="6015" spans="4:54">
      <c r="D6015" s="806"/>
      <c r="F6015" s="806"/>
      <c r="W6015" s="806"/>
      <c r="AZ6015" s="806"/>
      <c r="BA6015" s="806"/>
      <c r="BB6015" s="806"/>
    </row>
    <row r="6016" spans="4:54">
      <c r="D6016" s="806"/>
      <c r="F6016" s="806"/>
      <c r="W6016" s="806"/>
      <c r="AZ6016" s="806"/>
      <c r="BA6016" s="806"/>
      <c r="BB6016" s="806"/>
    </row>
    <row r="6017" spans="4:54">
      <c r="D6017" s="806"/>
      <c r="F6017" s="806"/>
      <c r="W6017" s="806"/>
      <c r="AZ6017" s="806"/>
      <c r="BA6017" s="806"/>
      <c r="BB6017" s="806"/>
    </row>
    <row r="6018" spans="4:54">
      <c r="D6018" s="806"/>
      <c r="F6018" s="806"/>
      <c r="W6018" s="806"/>
      <c r="AZ6018" s="806"/>
      <c r="BA6018" s="806"/>
      <c r="BB6018" s="806"/>
    </row>
    <row r="6019" spans="4:54">
      <c r="D6019" s="806"/>
      <c r="F6019" s="806"/>
      <c r="W6019" s="806"/>
      <c r="AZ6019" s="806"/>
      <c r="BA6019" s="806"/>
      <c r="BB6019" s="806"/>
    </row>
    <row r="6020" spans="4:54">
      <c r="D6020" s="806"/>
      <c r="F6020" s="806"/>
      <c r="W6020" s="806"/>
      <c r="AZ6020" s="806"/>
      <c r="BA6020" s="806"/>
      <c r="BB6020" s="806"/>
    </row>
    <row r="6021" spans="4:54">
      <c r="D6021" s="806"/>
      <c r="F6021" s="806"/>
      <c r="W6021" s="806"/>
      <c r="AZ6021" s="806"/>
      <c r="BA6021" s="806"/>
      <c r="BB6021" s="806"/>
    </row>
    <row r="6022" spans="4:54">
      <c r="D6022" s="806"/>
      <c r="F6022" s="806"/>
      <c r="W6022" s="806"/>
      <c r="AZ6022" s="806"/>
      <c r="BA6022" s="806"/>
      <c r="BB6022" s="806"/>
    </row>
    <row r="6023" spans="4:54">
      <c r="D6023" s="806"/>
      <c r="F6023" s="806"/>
      <c r="W6023" s="806"/>
      <c r="AZ6023" s="806"/>
      <c r="BA6023" s="806"/>
      <c r="BB6023" s="806"/>
    </row>
    <row r="6024" spans="4:54">
      <c r="D6024" s="806"/>
      <c r="F6024" s="806"/>
      <c r="W6024" s="806"/>
      <c r="AZ6024" s="806"/>
      <c r="BA6024" s="806"/>
      <c r="BB6024" s="806"/>
    </row>
    <row r="6025" spans="4:54">
      <c r="D6025" s="806"/>
      <c r="F6025" s="806"/>
      <c r="W6025" s="806"/>
      <c r="AZ6025" s="806"/>
      <c r="BA6025" s="806"/>
      <c r="BB6025" s="806"/>
    </row>
    <row r="6026" spans="4:54">
      <c r="D6026" s="806"/>
      <c r="F6026" s="806"/>
      <c r="W6026" s="806"/>
      <c r="AZ6026" s="806"/>
      <c r="BA6026" s="806"/>
      <c r="BB6026" s="806"/>
    </row>
    <row r="6027" spans="4:54">
      <c r="D6027" s="806"/>
      <c r="F6027" s="806"/>
      <c r="W6027" s="806"/>
      <c r="AZ6027" s="806"/>
      <c r="BA6027" s="806"/>
      <c r="BB6027" s="806"/>
    </row>
    <row r="6028" spans="4:54">
      <c r="D6028" s="806"/>
      <c r="F6028" s="806"/>
      <c r="W6028" s="806"/>
      <c r="AZ6028" s="806"/>
      <c r="BA6028" s="806"/>
      <c r="BB6028" s="806"/>
    </row>
    <row r="6029" spans="4:54">
      <c r="D6029" s="806"/>
      <c r="F6029" s="806"/>
      <c r="W6029" s="806"/>
      <c r="AZ6029" s="806"/>
      <c r="BA6029" s="806"/>
      <c r="BB6029" s="806"/>
    </row>
    <row r="6030" spans="4:54">
      <c r="D6030" s="806"/>
      <c r="F6030" s="806"/>
      <c r="W6030" s="806"/>
      <c r="AZ6030" s="806"/>
      <c r="BA6030" s="806"/>
      <c r="BB6030" s="806"/>
    </row>
    <row r="6031" spans="4:54">
      <c r="D6031" s="806"/>
      <c r="F6031" s="806"/>
      <c r="W6031" s="806"/>
      <c r="AZ6031" s="806"/>
      <c r="BA6031" s="806"/>
      <c r="BB6031" s="806"/>
    </row>
    <row r="6032" spans="4:54">
      <c r="D6032" s="806"/>
      <c r="F6032" s="806"/>
      <c r="W6032" s="806"/>
      <c r="AZ6032" s="806"/>
      <c r="BA6032" s="806"/>
      <c r="BB6032" s="806"/>
    </row>
    <row r="6033" spans="4:54">
      <c r="D6033" s="806"/>
      <c r="F6033" s="806"/>
      <c r="W6033" s="806"/>
      <c r="AZ6033" s="806"/>
      <c r="BA6033" s="806"/>
      <c r="BB6033" s="806"/>
    </row>
    <row r="6034" spans="4:54">
      <c r="D6034" s="806"/>
      <c r="F6034" s="806"/>
      <c r="W6034" s="806"/>
      <c r="AZ6034" s="806"/>
      <c r="BA6034" s="806"/>
      <c r="BB6034" s="806"/>
    </row>
    <row r="6035" spans="4:54">
      <c r="D6035" s="806"/>
      <c r="F6035" s="806"/>
      <c r="W6035" s="806"/>
      <c r="AZ6035" s="806"/>
      <c r="BA6035" s="806"/>
      <c r="BB6035" s="806"/>
    </row>
    <row r="6036" spans="4:54">
      <c r="D6036" s="806"/>
      <c r="F6036" s="806"/>
      <c r="W6036" s="806"/>
      <c r="AZ6036" s="806"/>
      <c r="BA6036" s="806"/>
      <c r="BB6036" s="806"/>
    </row>
    <row r="6037" spans="4:54">
      <c r="D6037" s="806"/>
      <c r="F6037" s="806"/>
      <c r="W6037" s="806"/>
      <c r="AZ6037" s="806"/>
      <c r="BA6037" s="806"/>
      <c r="BB6037" s="806"/>
    </row>
    <row r="6038" spans="4:54">
      <c r="D6038" s="806"/>
      <c r="F6038" s="806"/>
      <c r="W6038" s="806"/>
      <c r="AZ6038" s="806"/>
      <c r="BA6038" s="806"/>
      <c r="BB6038" s="806"/>
    </row>
    <row r="6039" spans="4:54">
      <c r="D6039" s="806"/>
      <c r="F6039" s="806"/>
      <c r="W6039" s="806"/>
      <c r="AZ6039" s="806"/>
      <c r="BA6039" s="806"/>
      <c r="BB6039" s="806"/>
    </row>
    <row r="6040" spans="4:54">
      <c r="D6040" s="806"/>
      <c r="F6040" s="806"/>
      <c r="W6040" s="806"/>
      <c r="AZ6040" s="806"/>
      <c r="BA6040" s="806"/>
      <c r="BB6040" s="806"/>
    </row>
    <row r="6041" spans="4:54">
      <c r="D6041" s="806"/>
      <c r="F6041" s="806"/>
      <c r="W6041" s="806"/>
      <c r="AZ6041" s="806"/>
      <c r="BA6041" s="806"/>
      <c r="BB6041" s="806"/>
    </row>
    <row r="6042" spans="4:54">
      <c r="D6042" s="806"/>
      <c r="F6042" s="806"/>
      <c r="W6042" s="806"/>
      <c r="AZ6042" s="806"/>
      <c r="BA6042" s="806"/>
      <c r="BB6042" s="806"/>
    </row>
    <row r="6043" spans="4:54">
      <c r="D6043" s="806"/>
      <c r="F6043" s="806"/>
      <c r="W6043" s="806"/>
      <c r="AZ6043" s="806"/>
      <c r="BA6043" s="806"/>
      <c r="BB6043" s="806"/>
    </row>
    <row r="6044" spans="4:54">
      <c r="D6044" s="806"/>
      <c r="F6044" s="806"/>
      <c r="W6044" s="806"/>
      <c r="AZ6044" s="806"/>
      <c r="BA6044" s="806"/>
      <c r="BB6044" s="806"/>
    </row>
    <row r="6045" spans="4:54">
      <c r="D6045" s="806"/>
      <c r="F6045" s="806"/>
      <c r="W6045" s="806"/>
      <c r="AZ6045" s="806"/>
      <c r="BA6045" s="806"/>
      <c r="BB6045" s="806"/>
    </row>
    <row r="6046" spans="4:54">
      <c r="D6046" s="806"/>
      <c r="F6046" s="806"/>
      <c r="W6046" s="806"/>
      <c r="AZ6046" s="806"/>
      <c r="BA6046" s="806"/>
      <c r="BB6046" s="806"/>
    </row>
    <row r="6047" spans="4:54">
      <c r="D6047" s="806"/>
      <c r="F6047" s="806"/>
      <c r="W6047" s="806"/>
      <c r="AZ6047" s="806"/>
      <c r="BA6047" s="806"/>
      <c r="BB6047" s="806"/>
    </row>
    <row r="6048" spans="4:54">
      <c r="D6048" s="806"/>
      <c r="F6048" s="806"/>
      <c r="W6048" s="806"/>
      <c r="AZ6048" s="806"/>
      <c r="BA6048" s="806"/>
      <c r="BB6048" s="806"/>
    </row>
    <row r="6049" spans="4:54">
      <c r="D6049" s="806"/>
      <c r="F6049" s="806"/>
      <c r="W6049" s="806"/>
      <c r="AZ6049" s="806"/>
      <c r="BA6049" s="806"/>
      <c r="BB6049" s="806"/>
    </row>
    <row r="6050" spans="4:54">
      <c r="D6050" s="806"/>
      <c r="F6050" s="806"/>
      <c r="W6050" s="806"/>
      <c r="AZ6050" s="806"/>
      <c r="BA6050" s="806"/>
      <c r="BB6050" s="806"/>
    </row>
    <row r="6051" spans="4:54">
      <c r="D6051" s="806"/>
      <c r="F6051" s="806"/>
      <c r="W6051" s="806"/>
      <c r="AZ6051" s="806"/>
      <c r="BA6051" s="806"/>
      <c r="BB6051" s="806"/>
    </row>
    <row r="6052" spans="4:54">
      <c r="D6052" s="806"/>
      <c r="F6052" s="806"/>
      <c r="W6052" s="806"/>
      <c r="AZ6052" s="806"/>
      <c r="BA6052" s="806"/>
      <c r="BB6052" s="806"/>
    </row>
    <row r="6053" spans="4:54">
      <c r="D6053" s="806"/>
      <c r="F6053" s="806"/>
      <c r="W6053" s="806"/>
      <c r="AZ6053" s="806"/>
      <c r="BA6053" s="806"/>
      <c r="BB6053" s="806"/>
    </row>
    <row r="6054" spans="4:54">
      <c r="D6054" s="806"/>
      <c r="F6054" s="806"/>
      <c r="W6054" s="806"/>
      <c r="AZ6054" s="806"/>
      <c r="BA6054" s="806"/>
      <c r="BB6054" s="806"/>
    </row>
    <row r="6055" spans="4:54">
      <c r="D6055" s="806"/>
      <c r="F6055" s="806"/>
      <c r="W6055" s="806"/>
      <c r="AZ6055" s="806"/>
      <c r="BA6055" s="806"/>
      <c r="BB6055" s="806"/>
    </row>
    <row r="6056" spans="4:54">
      <c r="D6056" s="806"/>
      <c r="F6056" s="806"/>
      <c r="W6056" s="806"/>
      <c r="AZ6056" s="806"/>
      <c r="BA6056" s="806"/>
      <c r="BB6056" s="806"/>
    </row>
    <row r="6057" spans="4:54">
      <c r="D6057" s="806"/>
      <c r="F6057" s="806"/>
      <c r="W6057" s="806"/>
      <c r="AZ6057" s="806"/>
      <c r="BA6057" s="806"/>
      <c r="BB6057" s="806"/>
    </row>
    <row r="6058" spans="4:54">
      <c r="D6058" s="806"/>
      <c r="F6058" s="806"/>
      <c r="W6058" s="806"/>
      <c r="AZ6058" s="806"/>
      <c r="BA6058" s="806"/>
      <c r="BB6058" s="806"/>
    </row>
    <row r="6059" spans="4:54">
      <c r="D6059" s="806"/>
      <c r="F6059" s="806"/>
      <c r="W6059" s="806"/>
      <c r="AZ6059" s="806"/>
      <c r="BA6059" s="806"/>
      <c r="BB6059" s="806"/>
    </row>
    <row r="6060" spans="4:54">
      <c r="D6060" s="806"/>
      <c r="F6060" s="806"/>
      <c r="W6060" s="806"/>
      <c r="AZ6060" s="806"/>
      <c r="BA6060" s="806"/>
      <c r="BB6060" s="806"/>
    </row>
    <row r="6061" spans="4:54">
      <c r="D6061" s="806"/>
      <c r="F6061" s="806"/>
      <c r="W6061" s="806"/>
      <c r="AZ6061" s="806"/>
      <c r="BA6061" s="806"/>
      <c r="BB6061" s="806"/>
    </row>
    <row r="6062" spans="4:54">
      <c r="D6062" s="806"/>
      <c r="F6062" s="806"/>
      <c r="W6062" s="806"/>
      <c r="AZ6062" s="806"/>
      <c r="BA6062" s="806"/>
      <c r="BB6062" s="806"/>
    </row>
    <row r="6063" spans="4:54">
      <c r="D6063" s="806"/>
      <c r="F6063" s="806"/>
      <c r="W6063" s="806"/>
      <c r="AZ6063" s="806"/>
      <c r="BA6063" s="806"/>
      <c r="BB6063" s="806"/>
    </row>
    <row r="6064" spans="4:54">
      <c r="D6064" s="806"/>
      <c r="F6064" s="806"/>
      <c r="W6064" s="806"/>
      <c r="AZ6064" s="806"/>
      <c r="BA6064" s="806"/>
      <c r="BB6064" s="806"/>
    </row>
    <row r="6065" spans="4:54">
      <c r="D6065" s="806"/>
      <c r="F6065" s="806"/>
      <c r="W6065" s="806"/>
      <c r="AZ6065" s="806"/>
      <c r="BA6065" s="806"/>
      <c r="BB6065" s="806"/>
    </row>
    <row r="6066" spans="4:54">
      <c r="D6066" s="806"/>
      <c r="F6066" s="806"/>
      <c r="W6066" s="806"/>
      <c r="AZ6066" s="806"/>
      <c r="BA6066" s="806"/>
      <c r="BB6066" s="806"/>
    </row>
    <row r="6067" spans="4:54">
      <c r="D6067" s="806"/>
      <c r="F6067" s="806"/>
      <c r="W6067" s="806"/>
      <c r="AZ6067" s="806"/>
      <c r="BA6067" s="806"/>
      <c r="BB6067" s="806"/>
    </row>
    <row r="6068" spans="4:54">
      <c r="D6068" s="806"/>
      <c r="F6068" s="806"/>
      <c r="W6068" s="806"/>
      <c r="AZ6068" s="806"/>
      <c r="BA6068" s="806"/>
      <c r="BB6068" s="806"/>
    </row>
    <row r="6069" spans="4:54">
      <c r="D6069" s="806"/>
      <c r="F6069" s="806"/>
      <c r="W6069" s="806"/>
      <c r="AZ6069" s="806"/>
      <c r="BA6069" s="806"/>
      <c r="BB6069" s="806"/>
    </row>
    <row r="6070" spans="4:54">
      <c r="D6070" s="806"/>
      <c r="F6070" s="806"/>
      <c r="W6070" s="806"/>
      <c r="AZ6070" s="806"/>
      <c r="BA6070" s="806"/>
      <c r="BB6070" s="806"/>
    </row>
    <row r="6071" spans="4:54">
      <c r="D6071" s="806"/>
      <c r="F6071" s="806"/>
      <c r="W6071" s="806"/>
      <c r="AZ6071" s="806"/>
      <c r="BA6071" s="806"/>
      <c r="BB6071" s="806"/>
    </row>
    <row r="6072" spans="4:54">
      <c r="D6072" s="806"/>
      <c r="F6072" s="806"/>
      <c r="W6072" s="806"/>
      <c r="AZ6072" s="806"/>
      <c r="BA6072" s="806"/>
      <c r="BB6072" s="806"/>
    </row>
    <row r="6073" spans="4:54">
      <c r="D6073" s="806"/>
      <c r="F6073" s="806"/>
      <c r="W6073" s="806"/>
      <c r="AZ6073" s="806"/>
      <c r="BA6073" s="806"/>
      <c r="BB6073" s="806"/>
    </row>
    <row r="6074" spans="4:54">
      <c r="D6074" s="806"/>
      <c r="F6074" s="806"/>
      <c r="W6074" s="806"/>
      <c r="AZ6074" s="806"/>
      <c r="BA6074" s="806"/>
      <c r="BB6074" s="806"/>
    </row>
    <row r="6075" spans="4:54">
      <c r="D6075" s="806"/>
      <c r="F6075" s="806"/>
      <c r="W6075" s="806"/>
      <c r="AZ6075" s="806"/>
      <c r="BA6075" s="806"/>
      <c r="BB6075" s="806"/>
    </row>
    <row r="6076" spans="4:54">
      <c r="D6076" s="806"/>
      <c r="F6076" s="806"/>
      <c r="W6076" s="806"/>
      <c r="AZ6076" s="806"/>
      <c r="BA6076" s="806"/>
      <c r="BB6076" s="806"/>
    </row>
    <row r="6077" spans="4:54">
      <c r="D6077" s="806"/>
      <c r="F6077" s="806"/>
      <c r="W6077" s="806"/>
      <c r="AZ6077" s="806"/>
      <c r="BA6077" s="806"/>
      <c r="BB6077" s="806"/>
    </row>
    <row r="6078" spans="4:54">
      <c r="D6078" s="806"/>
      <c r="F6078" s="806"/>
      <c r="W6078" s="806"/>
      <c r="AZ6078" s="806"/>
      <c r="BA6078" s="806"/>
      <c r="BB6078" s="806"/>
    </row>
    <row r="6079" spans="4:54">
      <c r="D6079" s="806"/>
      <c r="F6079" s="806"/>
      <c r="W6079" s="806"/>
      <c r="AZ6079" s="806"/>
      <c r="BA6079" s="806"/>
      <c r="BB6079" s="806"/>
    </row>
    <row r="6080" spans="4:54">
      <c r="D6080" s="806"/>
      <c r="F6080" s="806"/>
      <c r="W6080" s="806"/>
      <c r="AZ6080" s="806"/>
      <c r="BA6080" s="806"/>
      <c r="BB6080" s="806"/>
    </row>
    <row r="6081" spans="4:54">
      <c r="D6081" s="806"/>
      <c r="F6081" s="806"/>
      <c r="W6081" s="806"/>
      <c r="AZ6081" s="806"/>
      <c r="BA6081" s="806"/>
      <c r="BB6081" s="806"/>
    </row>
    <row r="6082" spans="4:54">
      <c r="D6082" s="806"/>
      <c r="F6082" s="806"/>
      <c r="W6082" s="806"/>
      <c r="AZ6082" s="806"/>
      <c r="BA6082" s="806"/>
      <c r="BB6082" s="806"/>
    </row>
    <row r="6083" spans="4:54">
      <c r="D6083" s="806"/>
      <c r="F6083" s="806"/>
      <c r="W6083" s="806"/>
      <c r="AZ6083" s="806"/>
      <c r="BA6083" s="806"/>
      <c r="BB6083" s="806"/>
    </row>
    <row r="6084" spans="4:54">
      <c r="D6084" s="806"/>
      <c r="F6084" s="806"/>
      <c r="W6084" s="806"/>
      <c r="AZ6084" s="806"/>
      <c r="BA6084" s="806"/>
      <c r="BB6084" s="806"/>
    </row>
    <row r="6085" spans="4:54">
      <c r="D6085" s="806"/>
      <c r="F6085" s="806"/>
      <c r="W6085" s="806"/>
      <c r="AZ6085" s="806"/>
      <c r="BA6085" s="806"/>
      <c r="BB6085" s="806"/>
    </row>
    <row r="6086" spans="4:54">
      <c r="D6086" s="806"/>
      <c r="F6086" s="806"/>
      <c r="W6086" s="806"/>
      <c r="AZ6086" s="806"/>
      <c r="BA6086" s="806"/>
      <c r="BB6086" s="806"/>
    </row>
    <row r="6087" spans="4:54">
      <c r="D6087" s="806"/>
      <c r="F6087" s="806"/>
      <c r="W6087" s="806"/>
      <c r="AZ6087" s="806"/>
      <c r="BA6087" s="806"/>
      <c r="BB6087" s="806"/>
    </row>
    <row r="6088" spans="4:54">
      <c r="D6088" s="806"/>
      <c r="F6088" s="806"/>
      <c r="W6088" s="806"/>
      <c r="AZ6088" s="806"/>
      <c r="BA6088" s="806"/>
      <c r="BB6088" s="806"/>
    </row>
    <row r="6089" spans="4:54">
      <c r="D6089" s="806"/>
      <c r="F6089" s="806"/>
      <c r="W6089" s="806"/>
      <c r="AZ6089" s="806"/>
      <c r="BA6089" s="806"/>
      <c r="BB6089" s="806"/>
    </row>
    <row r="6090" spans="4:54">
      <c r="D6090" s="806"/>
      <c r="F6090" s="806"/>
      <c r="W6090" s="806"/>
      <c r="AZ6090" s="806"/>
      <c r="BA6090" s="806"/>
      <c r="BB6090" s="806"/>
    </row>
    <row r="6091" spans="4:54">
      <c r="D6091" s="806"/>
      <c r="F6091" s="806"/>
      <c r="W6091" s="806"/>
      <c r="AZ6091" s="806"/>
      <c r="BA6091" s="806"/>
      <c r="BB6091" s="806"/>
    </row>
    <row r="6092" spans="4:54">
      <c r="D6092" s="806"/>
      <c r="F6092" s="806"/>
      <c r="W6092" s="806"/>
      <c r="AZ6092" s="806"/>
      <c r="BA6092" s="806"/>
      <c r="BB6092" s="806"/>
    </row>
    <row r="6093" spans="4:54">
      <c r="D6093" s="806"/>
      <c r="F6093" s="806"/>
      <c r="W6093" s="806"/>
      <c r="AZ6093" s="806"/>
      <c r="BA6093" s="806"/>
      <c r="BB6093" s="806"/>
    </row>
    <row r="6094" spans="4:54">
      <c r="D6094" s="806"/>
      <c r="F6094" s="806"/>
      <c r="W6094" s="806"/>
      <c r="AZ6094" s="806"/>
      <c r="BA6094" s="806"/>
      <c r="BB6094" s="806"/>
    </row>
    <row r="6095" spans="4:54">
      <c r="D6095" s="806"/>
      <c r="F6095" s="806"/>
      <c r="W6095" s="806"/>
      <c r="AZ6095" s="806"/>
      <c r="BA6095" s="806"/>
      <c r="BB6095" s="806"/>
    </row>
    <row r="6096" spans="4:54">
      <c r="D6096" s="806"/>
      <c r="F6096" s="806"/>
      <c r="W6096" s="806"/>
      <c r="AZ6096" s="806"/>
      <c r="BA6096" s="806"/>
      <c r="BB6096" s="806"/>
    </row>
    <row r="6097" spans="4:54">
      <c r="D6097" s="806"/>
      <c r="F6097" s="806"/>
      <c r="W6097" s="806"/>
      <c r="AZ6097" s="806"/>
      <c r="BA6097" s="806"/>
      <c r="BB6097" s="806"/>
    </row>
    <row r="6098" spans="4:54">
      <c r="D6098" s="806"/>
      <c r="F6098" s="806"/>
      <c r="W6098" s="806"/>
      <c r="AZ6098" s="806"/>
      <c r="BA6098" s="806"/>
      <c r="BB6098" s="806"/>
    </row>
    <row r="6099" spans="4:54">
      <c r="D6099" s="806"/>
      <c r="F6099" s="806"/>
      <c r="W6099" s="806"/>
      <c r="AZ6099" s="806"/>
      <c r="BA6099" s="806"/>
      <c r="BB6099" s="806"/>
    </row>
    <row r="6100" spans="4:54">
      <c r="D6100" s="806"/>
      <c r="F6100" s="806"/>
      <c r="W6100" s="806"/>
      <c r="AZ6100" s="806"/>
      <c r="BA6100" s="806"/>
      <c r="BB6100" s="806"/>
    </row>
    <row r="6101" spans="4:54">
      <c r="D6101" s="806"/>
      <c r="F6101" s="806"/>
      <c r="W6101" s="806"/>
      <c r="AZ6101" s="806"/>
      <c r="BA6101" s="806"/>
      <c r="BB6101" s="806"/>
    </row>
    <row r="6102" spans="4:54">
      <c r="D6102" s="806"/>
      <c r="F6102" s="806"/>
      <c r="W6102" s="806"/>
      <c r="AZ6102" s="806"/>
      <c r="BA6102" s="806"/>
      <c r="BB6102" s="806"/>
    </row>
    <row r="6103" spans="4:54">
      <c r="D6103" s="806"/>
      <c r="F6103" s="806"/>
      <c r="W6103" s="806"/>
      <c r="AZ6103" s="806"/>
      <c r="BA6103" s="806"/>
      <c r="BB6103" s="806"/>
    </row>
    <row r="6104" spans="4:54">
      <c r="D6104" s="806"/>
      <c r="F6104" s="806"/>
      <c r="W6104" s="806"/>
      <c r="AZ6104" s="806"/>
      <c r="BA6104" s="806"/>
      <c r="BB6104" s="806"/>
    </row>
    <row r="6105" spans="4:54">
      <c r="D6105" s="806"/>
      <c r="F6105" s="806"/>
      <c r="W6105" s="806"/>
      <c r="AZ6105" s="806"/>
      <c r="BA6105" s="806"/>
      <c r="BB6105" s="806"/>
    </row>
    <row r="6106" spans="4:54">
      <c r="D6106" s="806"/>
      <c r="F6106" s="806"/>
      <c r="W6106" s="806"/>
      <c r="AZ6106" s="806"/>
      <c r="BA6106" s="806"/>
      <c r="BB6106" s="806"/>
    </row>
    <row r="6107" spans="4:54">
      <c r="D6107" s="806"/>
      <c r="F6107" s="806"/>
      <c r="W6107" s="806"/>
      <c r="AZ6107" s="806"/>
      <c r="BA6107" s="806"/>
      <c r="BB6107" s="806"/>
    </row>
    <row r="6108" spans="4:54">
      <c r="D6108" s="806"/>
      <c r="F6108" s="806"/>
      <c r="W6108" s="806"/>
      <c r="AZ6108" s="806"/>
      <c r="BA6108" s="806"/>
      <c r="BB6108" s="806"/>
    </row>
    <row r="6109" spans="4:54">
      <c r="D6109" s="806"/>
      <c r="F6109" s="806"/>
      <c r="W6109" s="806"/>
      <c r="AZ6109" s="806"/>
      <c r="BA6109" s="806"/>
      <c r="BB6109" s="806"/>
    </row>
    <row r="6110" spans="4:54">
      <c r="D6110" s="806"/>
      <c r="F6110" s="806"/>
      <c r="W6110" s="806"/>
      <c r="AZ6110" s="806"/>
      <c r="BA6110" s="806"/>
      <c r="BB6110" s="806"/>
    </row>
    <row r="6111" spans="4:54">
      <c r="D6111" s="806"/>
      <c r="F6111" s="806"/>
      <c r="W6111" s="806"/>
      <c r="AZ6111" s="806"/>
      <c r="BA6111" s="806"/>
      <c r="BB6111" s="806"/>
    </row>
    <row r="6112" spans="4:54">
      <c r="D6112" s="806"/>
      <c r="F6112" s="806"/>
      <c r="W6112" s="806"/>
      <c r="AZ6112" s="806"/>
      <c r="BA6112" s="806"/>
      <c r="BB6112" s="806"/>
    </row>
    <row r="6113" spans="4:54">
      <c r="D6113" s="806"/>
      <c r="F6113" s="806"/>
      <c r="W6113" s="806"/>
      <c r="AZ6113" s="806"/>
      <c r="BA6113" s="806"/>
      <c r="BB6113" s="806"/>
    </row>
    <row r="6114" spans="4:54">
      <c r="D6114" s="806"/>
      <c r="F6114" s="806"/>
      <c r="W6114" s="806"/>
      <c r="AZ6114" s="806"/>
      <c r="BA6114" s="806"/>
      <c r="BB6114" s="806"/>
    </row>
    <row r="6115" spans="4:54">
      <c r="D6115" s="806"/>
      <c r="F6115" s="806"/>
      <c r="W6115" s="806"/>
      <c r="AZ6115" s="806"/>
      <c r="BA6115" s="806"/>
      <c r="BB6115" s="806"/>
    </row>
    <row r="6116" spans="4:54">
      <c r="D6116" s="806"/>
      <c r="F6116" s="806"/>
      <c r="W6116" s="806"/>
      <c r="AZ6116" s="806"/>
      <c r="BA6116" s="806"/>
      <c r="BB6116" s="806"/>
    </row>
    <row r="6117" spans="4:54">
      <c r="D6117" s="806"/>
      <c r="F6117" s="806"/>
      <c r="W6117" s="806"/>
      <c r="AZ6117" s="806"/>
      <c r="BA6117" s="806"/>
      <c r="BB6117" s="806"/>
    </row>
    <row r="6118" spans="4:54">
      <c r="D6118" s="806"/>
      <c r="F6118" s="806"/>
      <c r="W6118" s="806"/>
      <c r="AZ6118" s="806"/>
      <c r="BA6118" s="806"/>
      <c r="BB6118" s="806"/>
    </row>
    <row r="6119" spans="4:54">
      <c r="D6119" s="806"/>
      <c r="F6119" s="806"/>
      <c r="W6119" s="806"/>
      <c r="AZ6119" s="806"/>
      <c r="BA6119" s="806"/>
      <c r="BB6119" s="806"/>
    </row>
    <row r="6120" spans="4:54">
      <c r="D6120" s="806"/>
      <c r="F6120" s="806"/>
      <c r="W6120" s="806"/>
      <c r="AZ6120" s="806"/>
      <c r="BA6120" s="806"/>
      <c r="BB6120" s="806"/>
    </row>
    <row r="6121" spans="4:54">
      <c r="D6121" s="806"/>
      <c r="F6121" s="806"/>
      <c r="W6121" s="806"/>
      <c r="AZ6121" s="806"/>
      <c r="BA6121" s="806"/>
      <c r="BB6121" s="806"/>
    </row>
    <row r="6122" spans="4:54">
      <c r="D6122" s="806"/>
      <c r="F6122" s="806"/>
      <c r="W6122" s="806"/>
      <c r="AZ6122" s="806"/>
      <c r="BA6122" s="806"/>
      <c r="BB6122" s="806"/>
    </row>
    <row r="6123" spans="4:54">
      <c r="D6123" s="806"/>
      <c r="F6123" s="806"/>
      <c r="W6123" s="806"/>
      <c r="AZ6123" s="806"/>
      <c r="BA6123" s="806"/>
      <c r="BB6123" s="806"/>
    </row>
    <row r="6124" spans="4:54">
      <c r="D6124" s="806"/>
      <c r="F6124" s="806"/>
      <c r="W6124" s="806"/>
      <c r="AZ6124" s="806"/>
      <c r="BA6124" s="806"/>
      <c r="BB6124" s="806"/>
    </row>
    <row r="6125" spans="4:54">
      <c r="D6125" s="806"/>
      <c r="F6125" s="806"/>
      <c r="W6125" s="806"/>
      <c r="AZ6125" s="806"/>
      <c r="BA6125" s="806"/>
      <c r="BB6125" s="806"/>
    </row>
    <row r="6126" spans="4:54">
      <c r="D6126" s="806"/>
      <c r="F6126" s="806"/>
      <c r="W6126" s="806"/>
      <c r="AZ6126" s="806"/>
      <c r="BA6126" s="806"/>
      <c r="BB6126" s="806"/>
    </row>
    <row r="6127" spans="4:54">
      <c r="D6127" s="806"/>
      <c r="F6127" s="806"/>
      <c r="W6127" s="806"/>
      <c r="AZ6127" s="806"/>
      <c r="BA6127" s="806"/>
      <c r="BB6127" s="806"/>
    </row>
    <row r="6128" spans="4:54">
      <c r="D6128" s="806"/>
      <c r="F6128" s="806"/>
      <c r="W6128" s="806"/>
      <c r="AZ6128" s="806"/>
      <c r="BA6128" s="806"/>
      <c r="BB6128" s="806"/>
    </row>
    <row r="6129" spans="4:54">
      <c r="D6129" s="806"/>
      <c r="F6129" s="806"/>
      <c r="W6129" s="806"/>
      <c r="AZ6129" s="806"/>
      <c r="BA6129" s="806"/>
      <c r="BB6129" s="806"/>
    </row>
    <row r="6130" spans="4:54">
      <c r="D6130" s="806"/>
      <c r="F6130" s="806"/>
      <c r="W6130" s="806"/>
      <c r="AZ6130" s="806"/>
      <c r="BA6130" s="806"/>
      <c r="BB6130" s="806"/>
    </row>
    <row r="6131" spans="4:54">
      <c r="D6131" s="806"/>
      <c r="F6131" s="806"/>
      <c r="W6131" s="806"/>
      <c r="AZ6131" s="806"/>
      <c r="BA6131" s="806"/>
      <c r="BB6131" s="806"/>
    </row>
    <row r="6132" spans="4:54">
      <c r="D6132" s="806"/>
      <c r="F6132" s="806"/>
      <c r="W6132" s="806"/>
      <c r="AZ6132" s="806"/>
      <c r="BA6132" s="806"/>
      <c r="BB6132" s="806"/>
    </row>
    <row r="6133" spans="4:54">
      <c r="D6133" s="806"/>
      <c r="F6133" s="806"/>
      <c r="W6133" s="806"/>
      <c r="AZ6133" s="806"/>
      <c r="BA6133" s="806"/>
      <c r="BB6133" s="806"/>
    </row>
    <row r="6134" spans="4:54">
      <c r="D6134" s="806"/>
      <c r="F6134" s="806"/>
      <c r="W6134" s="806"/>
      <c r="AZ6134" s="806"/>
      <c r="BA6134" s="806"/>
      <c r="BB6134" s="806"/>
    </row>
    <row r="6135" spans="4:54">
      <c r="D6135" s="806"/>
      <c r="F6135" s="806"/>
      <c r="W6135" s="806"/>
      <c r="AZ6135" s="806"/>
      <c r="BA6135" s="806"/>
      <c r="BB6135" s="806"/>
    </row>
    <row r="6136" spans="4:54">
      <c r="D6136" s="806"/>
      <c r="F6136" s="806"/>
      <c r="W6136" s="806"/>
      <c r="AZ6136" s="806"/>
      <c r="BA6136" s="806"/>
      <c r="BB6136" s="806"/>
    </row>
    <row r="6137" spans="4:54">
      <c r="D6137" s="806"/>
      <c r="F6137" s="806"/>
      <c r="W6137" s="806"/>
      <c r="AZ6137" s="806"/>
      <c r="BA6137" s="806"/>
      <c r="BB6137" s="806"/>
    </row>
    <row r="6138" spans="4:54">
      <c r="D6138" s="806"/>
      <c r="F6138" s="806"/>
      <c r="W6138" s="806"/>
      <c r="AZ6138" s="806"/>
      <c r="BA6138" s="806"/>
      <c r="BB6138" s="806"/>
    </row>
    <row r="6139" spans="4:54">
      <c r="D6139" s="806"/>
      <c r="F6139" s="806"/>
      <c r="W6139" s="806"/>
      <c r="AZ6139" s="806"/>
      <c r="BA6139" s="806"/>
      <c r="BB6139" s="806"/>
    </row>
    <row r="6140" spans="4:54">
      <c r="D6140" s="806"/>
      <c r="F6140" s="806"/>
      <c r="W6140" s="806"/>
      <c r="AZ6140" s="806"/>
      <c r="BA6140" s="806"/>
      <c r="BB6140" s="806"/>
    </row>
    <row r="6141" spans="4:54">
      <c r="D6141" s="806"/>
      <c r="F6141" s="806"/>
      <c r="W6141" s="806"/>
      <c r="AZ6141" s="806"/>
      <c r="BA6141" s="806"/>
      <c r="BB6141" s="806"/>
    </row>
    <row r="6142" spans="4:54">
      <c r="D6142" s="806"/>
      <c r="F6142" s="806"/>
      <c r="W6142" s="806"/>
      <c r="AZ6142" s="806"/>
      <c r="BA6142" s="806"/>
      <c r="BB6142" s="806"/>
    </row>
    <row r="6143" spans="4:54">
      <c r="D6143" s="806"/>
      <c r="F6143" s="806"/>
      <c r="W6143" s="806"/>
      <c r="AZ6143" s="806"/>
      <c r="BA6143" s="806"/>
      <c r="BB6143" s="806"/>
    </row>
    <row r="6144" spans="4:54">
      <c r="D6144" s="806"/>
      <c r="F6144" s="806"/>
      <c r="W6144" s="806"/>
      <c r="AZ6144" s="806"/>
      <c r="BA6144" s="806"/>
      <c r="BB6144" s="806"/>
    </row>
    <row r="6145" spans="4:54">
      <c r="D6145" s="806"/>
      <c r="F6145" s="806"/>
      <c r="W6145" s="806"/>
      <c r="AZ6145" s="806"/>
      <c r="BA6145" s="806"/>
      <c r="BB6145" s="806"/>
    </row>
    <row r="6146" spans="4:54">
      <c r="D6146" s="806"/>
      <c r="F6146" s="806"/>
      <c r="W6146" s="806"/>
      <c r="AZ6146" s="806"/>
      <c r="BA6146" s="806"/>
      <c r="BB6146" s="806"/>
    </row>
    <row r="6147" spans="4:54">
      <c r="D6147" s="806"/>
      <c r="F6147" s="806"/>
      <c r="W6147" s="806"/>
      <c r="AZ6147" s="806"/>
      <c r="BA6147" s="806"/>
      <c r="BB6147" s="806"/>
    </row>
    <row r="6148" spans="4:54">
      <c r="D6148" s="806"/>
      <c r="F6148" s="806"/>
      <c r="W6148" s="806"/>
      <c r="AZ6148" s="806"/>
      <c r="BA6148" s="806"/>
      <c r="BB6148" s="806"/>
    </row>
    <row r="6149" spans="4:54">
      <c r="D6149" s="806"/>
      <c r="F6149" s="806"/>
      <c r="W6149" s="806"/>
      <c r="AZ6149" s="806"/>
      <c r="BA6149" s="806"/>
      <c r="BB6149" s="806"/>
    </row>
    <row r="6150" spans="4:54">
      <c r="D6150" s="806"/>
      <c r="F6150" s="806"/>
      <c r="W6150" s="806"/>
      <c r="AZ6150" s="806"/>
      <c r="BA6150" s="806"/>
      <c r="BB6150" s="806"/>
    </row>
    <row r="6151" spans="4:54">
      <c r="D6151" s="806"/>
      <c r="F6151" s="806"/>
      <c r="W6151" s="806"/>
      <c r="AZ6151" s="806"/>
      <c r="BA6151" s="806"/>
      <c r="BB6151" s="806"/>
    </row>
    <row r="6152" spans="4:54">
      <c r="D6152" s="806"/>
      <c r="F6152" s="806"/>
      <c r="W6152" s="806"/>
      <c r="AZ6152" s="806"/>
      <c r="BA6152" s="806"/>
      <c r="BB6152" s="806"/>
    </row>
    <row r="6153" spans="4:54">
      <c r="D6153" s="806"/>
      <c r="F6153" s="806"/>
      <c r="W6153" s="806"/>
      <c r="AZ6153" s="806"/>
      <c r="BA6153" s="806"/>
      <c r="BB6153" s="806"/>
    </row>
    <row r="6154" spans="4:54">
      <c r="D6154" s="806"/>
      <c r="F6154" s="806"/>
      <c r="W6154" s="806"/>
      <c r="AZ6154" s="806"/>
      <c r="BA6154" s="806"/>
      <c r="BB6154" s="806"/>
    </row>
    <row r="6155" spans="4:54">
      <c r="D6155" s="806"/>
      <c r="F6155" s="806"/>
      <c r="W6155" s="806"/>
      <c r="AZ6155" s="806"/>
      <c r="BA6155" s="806"/>
      <c r="BB6155" s="806"/>
    </row>
    <row r="6156" spans="4:54">
      <c r="D6156" s="806"/>
      <c r="F6156" s="806"/>
      <c r="W6156" s="806"/>
      <c r="AZ6156" s="806"/>
      <c r="BA6156" s="806"/>
      <c r="BB6156" s="806"/>
    </row>
    <row r="6157" spans="4:54">
      <c r="D6157" s="806"/>
      <c r="F6157" s="806"/>
      <c r="W6157" s="806"/>
      <c r="AZ6157" s="806"/>
      <c r="BA6157" s="806"/>
      <c r="BB6157" s="806"/>
    </row>
    <row r="6158" spans="4:54">
      <c r="D6158" s="806"/>
      <c r="F6158" s="806"/>
      <c r="W6158" s="806"/>
      <c r="AZ6158" s="806"/>
      <c r="BA6158" s="806"/>
      <c r="BB6158" s="806"/>
    </row>
    <row r="6159" spans="4:54">
      <c r="D6159" s="806"/>
      <c r="F6159" s="806"/>
      <c r="W6159" s="806"/>
      <c r="AZ6159" s="806"/>
      <c r="BA6159" s="806"/>
      <c r="BB6159" s="806"/>
    </row>
    <row r="6160" spans="4:54">
      <c r="D6160" s="806"/>
      <c r="F6160" s="806"/>
      <c r="W6160" s="806"/>
      <c r="AZ6160" s="806"/>
      <c r="BA6160" s="806"/>
      <c r="BB6160" s="806"/>
    </row>
    <row r="6161" spans="4:54">
      <c r="D6161" s="806"/>
      <c r="F6161" s="806"/>
      <c r="W6161" s="806"/>
      <c r="AZ6161" s="806"/>
      <c r="BA6161" s="806"/>
      <c r="BB6161" s="806"/>
    </row>
    <row r="6162" spans="4:54">
      <c r="D6162" s="806"/>
      <c r="F6162" s="806"/>
      <c r="W6162" s="806"/>
      <c r="AZ6162" s="806"/>
      <c r="BA6162" s="806"/>
      <c r="BB6162" s="806"/>
    </row>
    <row r="6163" spans="4:54">
      <c r="D6163" s="806"/>
      <c r="F6163" s="806"/>
      <c r="W6163" s="806"/>
      <c r="AZ6163" s="806"/>
      <c r="BA6163" s="806"/>
      <c r="BB6163" s="806"/>
    </row>
    <row r="6164" spans="4:54">
      <c r="D6164" s="806"/>
      <c r="F6164" s="806"/>
      <c r="W6164" s="806"/>
      <c r="AZ6164" s="806"/>
      <c r="BA6164" s="806"/>
      <c r="BB6164" s="806"/>
    </row>
    <row r="6165" spans="4:54">
      <c r="D6165" s="806"/>
      <c r="F6165" s="806"/>
      <c r="W6165" s="806"/>
      <c r="AZ6165" s="806"/>
      <c r="BA6165" s="806"/>
      <c r="BB6165" s="806"/>
    </row>
    <row r="6166" spans="4:54">
      <c r="D6166" s="806"/>
      <c r="F6166" s="806"/>
      <c r="W6166" s="806"/>
      <c r="AZ6166" s="806"/>
      <c r="BA6166" s="806"/>
      <c r="BB6166" s="806"/>
    </row>
    <row r="6167" spans="4:54">
      <c r="D6167" s="806"/>
      <c r="F6167" s="806"/>
      <c r="W6167" s="806"/>
      <c r="AZ6167" s="806"/>
      <c r="BA6167" s="806"/>
      <c r="BB6167" s="806"/>
    </row>
    <row r="6168" spans="4:54">
      <c r="D6168" s="806"/>
      <c r="F6168" s="806"/>
      <c r="W6168" s="806"/>
      <c r="AZ6168" s="806"/>
      <c r="BA6168" s="806"/>
      <c r="BB6168" s="806"/>
    </row>
    <row r="6169" spans="4:54">
      <c r="D6169" s="806"/>
      <c r="F6169" s="806"/>
      <c r="W6169" s="806"/>
      <c r="AZ6169" s="806"/>
      <c r="BA6169" s="806"/>
      <c r="BB6169" s="806"/>
    </row>
    <row r="6170" spans="4:54">
      <c r="D6170" s="806"/>
      <c r="F6170" s="806"/>
      <c r="W6170" s="806"/>
      <c r="AZ6170" s="806"/>
      <c r="BA6170" s="806"/>
      <c r="BB6170" s="806"/>
    </row>
    <row r="6171" spans="4:54">
      <c r="D6171" s="806"/>
      <c r="F6171" s="806"/>
      <c r="W6171" s="806"/>
      <c r="AZ6171" s="806"/>
      <c r="BA6171" s="806"/>
      <c r="BB6171" s="806"/>
    </row>
    <row r="6172" spans="4:54">
      <c r="D6172" s="806"/>
      <c r="F6172" s="806"/>
      <c r="W6172" s="806"/>
      <c r="AZ6172" s="806"/>
      <c r="BA6172" s="806"/>
      <c r="BB6172" s="806"/>
    </row>
    <row r="6173" spans="4:54">
      <c r="D6173" s="806"/>
      <c r="F6173" s="806"/>
      <c r="W6173" s="806"/>
      <c r="AZ6173" s="806"/>
      <c r="BA6173" s="806"/>
      <c r="BB6173" s="806"/>
    </row>
    <row r="6174" spans="4:54">
      <c r="D6174" s="806"/>
      <c r="F6174" s="806"/>
      <c r="W6174" s="806"/>
      <c r="AZ6174" s="806"/>
      <c r="BA6174" s="806"/>
      <c r="BB6174" s="806"/>
    </row>
    <row r="6175" spans="4:54">
      <c r="D6175" s="806"/>
      <c r="F6175" s="806"/>
      <c r="W6175" s="806"/>
      <c r="AZ6175" s="806"/>
      <c r="BA6175" s="806"/>
      <c r="BB6175" s="806"/>
    </row>
    <row r="6176" spans="4:54">
      <c r="D6176" s="806"/>
      <c r="F6176" s="806"/>
      <c r="W6176" s="806"/>
      <c r="AZ6176" s="806"/>
      <c r="BA6176" s="806"/>
      <c r="BB6176" s="806"/>
    </row>
    <row r="6177" spans="4:54">
      <c r="D6177" s="806"/>
      <c r="F6177" s="806"/>
      <c r="W6177" s="806"/>
      <c r="AZ6177" s="806"/>
      <c r="BA6177" s="806"/>
      <c r="BB6177" s="806"/>
    </row>
    <row r="6178" spans="4:54">
      <c r="D6178" s="806"/>
      <c r="F6178" s="806"/>
      <c r="W6178" s="806"/>
      <c r="AZ6178" s="806"/>
      <c r="BA6178" s="806"/>
      <c r="BB6178" s="806"/>
    </row>
    <row r="6179" spans="4:54">
      <c r="D6179" s="806"/>
      <c r="F6179" s="806"/>
      <c r="W6179" s="806"/>
      <c r="AZ6179" s="806"/>
      <c r="BA6179" s="806"/>
      <c r="BB6179" s="806"/>
    </row>
    <row r="6180" spans="4:54">
      <c r="D6180" s="806"/>
      <c r="F6180" s="806"/>
      <c r="W6180" s="806"/>
      <c r="AZ6180" s="806"/>
      <c r="BA6180" s="806"/>
      <c r="BB6180" s="806"/>
    </row>
    <row r="6181" spans="4:54">
      <c r="D6181" s="806"/>
      <c r="F6181" s="806"/>
      <c r="W6181" s="806"/>
      <c r="AZ6181" s="806"/>
      <c r="BA6181" s="806"/>
      <c r="BB6181" s="806"/>
    </row>
    <row r="6182" spans="4:54">
      <c r="D6182" s="806"/>
      <c r="F6182" s="806"/>
      <c r="W6182" s="806"/>
      <c r="AZ6182" s="806"/>
      <c r="BA6182" s="806"/>
      <c r="BB6182" s="806"/>
    </row>
    <row r="6183" spans="4:54">
      <c r="D6183" s="806"/>
      <c r="F6183" s="806"/>
      <c r="W6183" s="806"/>
      <c r="AZ6183" s="806"/>
      <c r="BA6183" s="806"/>
      <c r="BB6183" s="806"/>
    </row>
    <row r="6184" spans="4:54">
      <c r="D6184" s="806"/>
      <c r="F6184" s="806"/>
      <c r="W6184" s="806"/>
      <c r="AZ6184" s="806"/>
      <c r="BA6184" s="806"/>
      <c r="BB6184" s="806"/>
    </row>
    <row r="6185" spans="4:54">
      <c r="D6185" s="806"/>
      <c r="F6185" s="806"/>
      <c r="W6185" s="806"/>
      <c r="AZ6185" s="806"/>
      <c r="BA6185" s="806"/>
      <c r="BB6185" s="806"/>
    </row>
    <row r="6186" spans="4:54">
      <c r="D6186" s="806"/>
      <c r="F6186" s="806"/>
      <c r="W6186" s="806"/>
      <c r="AZ6186" s="806"/>
      <c r="BA6186" s="806"/>
      <c r="BB6186" s="806"/>
    </row>
    <row r="6187" spans="4:54">
      <c r="D6187" s="806"/>
      <c r="F6187" s="806"/>
      <c r="W6187" s="806"/>
      <c r="AZ6187" s="806"/>
      <c r="BA6187" s="806"/>
      <c r="BB6187" s="806"/>
    </row>
    <row r="6188" spans="4:54">
      <c r="D6188" s="806"/>
      <c r="F6188" s="806"/>
      <c r="W6188" s="806"/>
      <c r="AZ6188" s="806"/>
      <c r="BA6188" s="806"/>
      <c r="BB6188" s="806"/>
    </row>
    <row r="6189" spans="4:54">
      <c r="D6189" s="806"/>
      <c r="F6189" s="806"/>
      <c r="W6189" s="806"/>
      <c r="AZ6189" s="806"/>
      <c r="BA6189" s="806"/>
      <c r="BB6189" s="806"/>
    </row>
    <row r="6190" spans="4:54">
      <c r="D6190" s="806"/>
      <c r="F6190" s="806"/>
      <c r="W6190" s="806"/>
      <c r="AZ6190" s="806"/>
      <c r="BA6190" s="806"/>
      <c r="BB6190" s="806"/>
    </row>
    <row r="6191" spans="4:54">
      <c r="D6191" s="806"/>
      <c r="F6191" s="806"/>
      <c r="W6191" s="806"/>
      <c r="AZ6191" s="806"/>
      <c r="BA6191" s="806"/>
      <c r="BB6191" s="806"/>
    </row>
    <row r="6192" spans="4:54">
      <c r="D6192" s="806"/>
      <c r="F6192" s="806"/>
      <c r="W6192" s="806"/>
      <c r="AZ6192" s="806"/>
      <c r="BA6192" s="806"/>
      <c r="BB6192" s="806"/>
    </row>
    <row r="6193" spans="4:54">
      <c r="D6193" s="806"/>
      <c r="F6193" s="806"/>
      <c r="W6193" s="806"/>
      <c r="AZ6193" s="806"/>
      <c r="BA6193" s="806"/>
      <c r="BB6193" s="806"/>
    </row>
    <row r="6194" spans="4:54">
      <c r="D6194" s="806"/>
      <c r="F6194" s="806"/>
      <c r="W6194" s="806"/>
      <c r="AZ6194" s="806"/>
      <c r="BA6194" s="806"/>
      <c r="BB6194" s="806"/>
    </row>
    <row r="6195" spans="4:54">
      <c r="D6195" s="806"/>
      <c r="F6195" s="806"/>
      <c r="W6195" s="806"/>
      <c r="AZ6195" s="806"/>
      <c r="BA6195" s="806"/>
      <c r="BB6195" s="806"/>
    </row>
    <row r="6196" spans="4:54">
      <c r="D6196" s="806"/>
      <c r="F6196" s="806"/>
      <c r="W6196" s="806"/>
      <c r="AZ6196" s="806"/>
      <c r="BA6196" s="806"/>
      <c r="BB6196" s="806"/>
    </row>
    <row r="6197" spans="4:54">
      <c r="D6197" s="806"/>
      <c r="F6197" s="806"/>
      <c r="W6197" s="806"/>
      <c r="AZ6197" s="806"/>
      <c r="BA6197" s="806"/>
      <c r="BB6197" s="806"/>
    </row>
    <row r="6198" spans="4:54">
      <c r="D6198" s="806"/>
      <c r="F6198" s="806"/>
      <c r="W6198" s="806"/>
      <c r="AZ6198" s="806"/>
      <c r="BA6198" s="806"/>
      <c r="BB6198" s="806"/>
    </row>
    <row r="6199" spans="4:54">
      <c r="D6199" s="806"/>
      <c r="F6199" s="806"/>
      <c r="W6199" s="806"/>
      <c r="AZ6199" s="806"/>
      <c r="BA6199" s="806"/>
      <c r="BB6199" s="806"/>
    </row>
    <row r="6200" spans="4:54">
      <c r="D6200" s="806"/>
      <c r="F6200" s="806"/>
      <c r="W6200" s="806"/>
      <c r="AZ6200" s="806"/>
      <c r="BA6200" s="806"/>
      <c r="BB6200" s="806"/>
    </row>
    <row r="6201" spans="4:54">
      <c r="D6201" s="806"/>
      <c r="F6201" s="806"/>
      <c r="W6201" s="806"/>
      <c r="AZ6201" s="806"/>
      <c r="BA6201" s="806"/>
      <c r="BB6201" s="806"/>
    </row>
    <row r="6202" spans="4:54">
      <c r="D6202" s="806"/>
      <c r="F6202" s="806"/>
      <c r="W6202" s="806"/>
      <c r="AZ6202" s="806"/>
      <c r="BA6202" s="806"/>
      <c r="BB6202" s="806"/>
    </row>
    <row r="6203" spans="4:54">
      <c r="D6203" s="806"/>
      <c r="F6203" s="806"/>
      <c r="W6203" s="806"/>
      <c r="AZ6203" s="806"/>
      <c r="BA6203" s="806"/>
      <c r="BB6203" s="806"/>
    </row>
    <row r="6204" spans="4:54">
      <c r="D6204" s="806"/>
      <c r="F6204" s="806"/>
      <c r="W6204" s="806"/>
      <c r="AZ6204" s="806"/>
      <c r="BA6204" s="806"/>
      <c r="BB6204" s="806"/>
    </row>
    <row r="6205" spans="4:54">
      <c r="D6205" s="806"/>
      <c r="F6205" s="806"/>
      <c r="W6205" s="806"/>
      <c r="AZ6205" s="806"/>
      <c r="BA6205" s="806"/>
      <c r="BB6205" s="806"/>
    </row>
    <row r="6206" spans="4:54">
      <c r="D6206" s="806"/>
      <c r="F6206" s="806"/>
      <c r="W6206" s="806"/>
      <c r="AZ6206" s="806"/>
      <c r="BA6206" s="806"/>
      <c r="BB6206" s="806"/>
    </row>
    <row r="6207" spans="4:54">
      <c r="D6207" s="806"/>
      <c r="F6207" s="806"/>
      <c r="W6207" s="806"/>
      <c r="AZ6207" s="806"/>
      <c r="BA6207" s="806"/>
      <c r="BB6207" s="806"/>
    </row>
    <row r="6208" spans="4:54">
      <c r="D6208" s="806"/>
      <c r="F6208" s="806"/>
      <c r="W6208" s="806"/>
      <c r="AZ6208" s="806"/>
      <c r="BA6208" s="806"/>
      <c r="BB6208" s="806"/>
    </row>
    <row r="6209" spans="4:54">
      <c r="D6209" s="806"/>
      <c r="F6209" s="806"/>
      <c r="W6209" s="806"/>
      <c r="AZ6209" s="806"/>
      <c r="BA6209" s="806"/>
      <c r="BB6209" s="806"/>
    </row>
    <row r="6210" spans="4:54">
      <c r="D6210" s="806"/>
      <c r="F6210" s="806"/>
      <c r="W6210" s="806"/>
      <c r="AZ6210" s="806"/>
      <c r="BA6210" s="806"/>
      <c r="BB6210" s="806"/>
    </row>
    <row r="6211" spans="4:54">
      <c r="D6211" s="806"/>
      <c r="F6211" s="806"/>
      <c r="W6211" s="806"/>
      <c r="AZ6211" s="806"/>
      <c r="BA6211" s="806"/>
      <c r="BB6211" s="806"/>
    </row>
    <row r="6212" spans="4:54">
      <c r="D6212" s="806"/>
      <c r="F6212" s="806"/>
      <c r="W6212" s="806"/>
      <c r="AZ6212" s="806"/>
      <c r="BA6212" s="806"/>
      <c r="BB6212" s="806"/>
    </row>
    <row r="6213" spans="4:54">
      <c r="D6213" s="806"/>
      <c r="F6213" s="806"/>
      <c r="W6213" s="806"/>
      <c r="AZ6213" s="806"/>
      <c r="BA6213" s="806"/>
      <c r="BB6213" s="806"/>
    </row>
    <row r="6214" spans="4:54">
      <c r="D6214" s="806"/>
      <c r="F6214" s="806"/>
      <c r="W6214" s="806"/>
      <c r="AZ6214" s="806"/>
      <c r="BA6214" s="806"/>
      <c r="BB6214" s="806"/>
    </row>
    <row r="6215" spans="4:54">
      <c r="D6215" s="806"/>
      <c r="F6215" s="806"/>
      <c r="W6215" s="806"/>
      <c r="AZ6215" s="806"/>
      <c r="BA6215" s="806"/>
      <c r="BB6215" s="806"/>
    </row>
    <row r="6216" spans="4:54">
      <c r="D6216" s="806"/>
      <c r="F6216" s="806"/>
      <c r="W6216" s="806"/>
      <c r="AZ6216" s="806"/>
      <c r="BA6216" s="806"/>
      <c r="BB6216" s="806"/>
    </row>
    <row r="6217" spans="4:54">
      <c r="D6217" s="806"/>
      <c r="F6217" s="806"/>
      <c r="W6217" s="806"/>
      <c r="AZ6217" s="806"/>
      <c r="BA6217" s="806"/>
      <c r="BB6217" s="806"/>
    </row>
    <row r="6218" spans="4:54">
      <c r="D6218" s="806"/>
      <c r="F6218" s="806"/>
      <c r="W6218" s="806"/>
      <c r="AZ6218" s="806"/>
      <c r="BA6218" s="806"/>
      <c r="BB6218" s="806"/>
    </row>
    <row r="6219" spans="4:54">
      <c r="D6219" s="806"/>
      <c r="F6219" s="806"/>
      <c r="W6219" s="806"/>
      <c r="AZ6219" s="806"/>
      <c r="BA6219" s="806"/>
      <c r="BB6219" s="806"/>
    </row>
    <row r="6220" spans="4:54">
      <c r="D6220" s="806"/>
      <c r="F6220" s="806"/>
      <c r="W6220" s="806"/>
      <c r="AZ6220" s="806"/>
      <c r="BA6220" s="806"/>
      <c r="BB6220" s="806"/>
    </row>
    <row r="6221" spans="4:54">
      <c r="D6221" s="806"/>
      <c r="F6221" s="806"/>
      <c r="W6221" s="806"/>
      <c r="AZ6221" s="806"/>
      <c r="BA6221" s="806"/>
      <c r="BB6221" s="806"/>
    </row>
    <row r="6222" spans="4:54">
      <c r="D6222" s="806"/>
      <c r="F6222" s="806"/>
      <c r="W6222" s="806"/>
      <c r="AZ6222" s="806"/>
      <c r="BA6222" s="806"/>
      <c r="BB6222" s="806"/>
    </row>
    <row r="6223" spans="4:54">
      <c r="D6223" s="806"/>
      <c r="F6223" s="806"/>
      <c r="W6223" s="806"/>
      <c r="AZ6223" s="806"/>
      <c r="BA6223" s="806"/>
      <c r="BB6223" s="806"/>
    </row>
    <row r="6224" spans="4:54">
      <c r="D6224" s="806"/>
      <c r="F6224" s="806"/>
      <c r="W6224" s="806"/>
      <c r="AZ6224" s="806"/>
      <c r="BA6224" s="806"/>
      <c r="BB6224" s="806"/>
    </row>
    <row r="6225" spans="4:54">
      <c r="D6225" s="806"/>
      <c r="F6225" s="806"/>
      <c r="W6225" s="806"/>
      <c r="AZ6225" s="806"/>
      <c r="BA6225" s="806"/>
      <c r="BB6225" s="806"/>
    </row>
    <row r="6226" spans="4:54">
      <c r="D6226" s="806"/>
      <c r="F6226" s="806"/>
      <c r="W6226" s="806"/>
      <c r="AZ6226" s="806"/>
      <c r="BA6226" s="806"/>
      <c r="BB6226" s="806"/>
    </row>
    <row r="6227" spans="4:54">
      <c r="D6227" s="806"/>
      <c r="F6227" s="806"/>
      <c r="W6227" s="806"/>
      <c r="AZ6227" s="806"/>
      <c r="BA6227" s="806"/>
      <c r="BB6227" s="806"/>
    </row>
    <row r="6228" spans="4:54">
      <c r="D6228" s="806"/>
      <c r="F6228" s="806"/>
      <c r="W6228" s="806"/>
      <c r="AZ6228" s="806"/>
      <c r="BA6228" s="806"/>
      <c r="BB6228" s="806"/>
    </row>
    <row r="6229" spans="4:54">
      <c r="D6229" s="806"/>
      <c r="F6229" s="806"/>
      <c r="W6229" s="806"/>
      <c r="AZ6229" s="806"/>
      <c r="BA6229" s="806"/>
      <c r="BB6229" s="806"/>
    </row>
    <row r="6243" spans="4:54">
      <c r="D6243" s="806"/>
      <c r="F6243" s="806"/>
      <c r="W6243" s="806"/>
      <c r="AZ6243" s="806"/>
      <c r="BA6243" s="806"/>
      <c r="BB6243" s="806"/>
    </row>
    <row r="6244" spans="4:54">
      <c r="D6244" s="806"/>
      <c r="F6244" s="806"/>
      <c r="W6244" s="806"/>
      <c r="AZ6244" s="806"/>
      <c r="BA6244" s="806"/>
      <c r="BB6244" s="806"/>
    </row>
    <row r="6245" spans="4:54">
      <c r="D6245" s="806"/>
      <c r="F6245" s="806"/>
      <c r="W6245" s="806"/>
      <c r="AZ6245" s="806"/>
      <c r="BA6245" s="806"/>
      <c r="BB6245" s="806"/>
    </row>
    <row r="6246" spans="4:54">
      <c r="D6246" s="806"/>
      <c r="F6246" s="806"/>
      <c r="W6246" s="806"/>
      <c r="AZ6246" s="806"/>
      <c r="BA6246" s="806"/>
      <c r="BB6246" s="806"/>
    </row>
    <row r="6247" spans="4:54">
      <c r="D6247" s="806"/>
      <c r="F6247" s="806"/>
      <c r="W6247" s="806"/>
      <c r="AZ6247" s="806"/>
      <c r="BA6247" s="806"/>
      <c r="BB6247" s="806"/>
    </row>
    <row r="6248" spans="4:54">
      <c r="D6248" s="806"/>
      <c r="F6248" s="806"/>
      <c r="W6248" s="806"/>
      <c r="AZ6248" s="806"/>
      <c r="BA6248" s="806"/>
      <c r="BB6248" s="806"/>
    </row>
    <row r="6249" spans="4:54">
      <c r="D6249" s="806"/>
      <c r="F6249" s="806"/>
      <c r="W6249" s="806"/>
      <c r="AZ6249" s="806"/>
      <c r="BA6249" s="806"/>
      <c r="BB6249" s="806"/>
    </row>
    <row r="6250" spans="4:54">
      <c r="D6250" s="806"/>
      <c r="F6250" s="806"/>
      <c r="W6250" s="806"/>
      <c r="AZ6250" s="806"/>
      <c r="BA6250" s="806"/>
      <c r="BB6250" s="806"/>
    </row>
    <row r="6251" spans="4:54">
      <c r="D6251" s="806"/>
      <c r="F6251" s="806"/>
      <c r="W6251" s="806"/>
      <c r="AZ6251" s="806"/>
      <c r="BA6251" s="806"/>
      <c r="BB6251" s="806"/>
    </row>
    <row r="6252" spans="4:54">
      <c r="D6252" s="806"/>
      <c r="F6252" s="806"/>
      <c r="W6252" s="806"/>
      <c r="AZ6252" s="806"/>
      <c r="BA6252" s="806"/>
      <c r="BB6252" s="806"/>
    </row>
    <row r="6253" spans="4:54">
      <c r="D6253" s="806"/>
      <c r="F6253" s="806"/>
      <c r="W6253" s="806"/>
      <c r="AZ6253" s="806"/>
      <c r="BA6253" s="806"/>
      <c r="BB6253" s="806"/>
    </row>
    <row r="6254" spans="4:54">
      <c r="D6254" s="806"/>
      <c r="F6254" s="806"/>
      <c r="W6254" s="806"/>
      <c r="AZ6254" s="806"/>
      <c r="BA6254" s="806"/>
      <c r="BB6254" s="806"/>
    </row>
    <row r="6255" spans="4:54">
      <c r="D6255" s="806"/>
      <c r="F6255" s="806"/>
      <c r="W6255" s="806"/>
      <c r="AZ6255" s="806"/>
      <c r="BA6255" s="806"/>
      <c r="BB6255" s="806"/>
    </row>
    <row r="6256" spans="4:54">
      <c r="D6256" s="806"/>
      <c r="F6256" s="806"/>
      <c r="W6256" s="806"/>
      <c r="AZ6256" s="806"/>
      <c r="BA6256" s="806"/>
      <c r="BB6256" s="806"/>
    </row>
    <row r="6257" spans="4:54">
      <c r="D6257" s="806"/>
      <c r="F6257" s="806"/>
      <c r="W6257" s="806"/>
      <c r="AZ6257" s="806"/>
      <c r="BA6257" s="806"/>
      <c r="BB6257" s="806"/>
    </row>
    <row r="6258" spans="4:54">
      <c r="D6258" s="806"/>
      <c r="F6258" s="806"/>
      <c r="W6258" s="806"/>
      <c r="AZ6258" s="806"/>
      <c r="BA6258" s="806"/>
      <c r="BB6258" s="806"/>
    </row>
    <row r="6259" spans="4:54">
      <c r="D6259" s="806"/>
      <c r="F6259" s="806"/>
      <c r="W6259" s="806"/>
      <c r="AZ6259" s="806"/>
      <c r="BA6259" s="806"/>
      <c r="BB6259" s="806"/>
    </row>
    <row r="6260" spans="4:54">
      <c r="D6260" s="806"/>
      <c r="F6260" s="806"/>
      <c r="W6260" s="806"/>
      <c r="AZ6260" s="806"/>
      <c r="BA6260" s="806"/>
      <c r="BB6260" s="806"/>
    </row>
    <row r="6261" spans="4:54">
      <c r="D6261" s="806"/>
      <c r="F6261" s="806"/>
      <c r="W6261" s="806"/>
      <c r="AZ6261" s="806"/>
      <c r="BA6261" s="806"/>
      <c r="BB6261" s="806"/>
    </row>
    <row r="6262" spans="4:54">
      <c r="D6262" s="806"/>
      <c r="F6262" s="806"/>
      <c r="W6262" s="806"/>
      <c r="AZ6262" s="806"/>
      <c r="BA6262" s="806"/>
      <c r="BB6262" s="806"/>
    </row>
    <row r="6263" spans="4:54">
      <c r="D6263" s="806"/>
      <c r="F6263" s="806"/>
      <c r="W6263" s="806"/>
      <c r="AZ6263" s="806"/>
      <c r="BA6263" s="806"/>
      <c r="BB6263" s="806"/>
    </row>
    <row r="6264" spans="4:54">
      <c r="D6264" s="806"/>
      <c r="F6264" s="806"/>
      <c r="W6264" s="806"/>
      <c r="AZ6264" s="806"/>
      <c r="BA6264" s="806"/>
      <c r="BB6264" s="806"/>
    </row>
    <row r="6265" spans="4:54">
      <c r="D6265" s="806"/>
      <c r="F6265" s="806"/>
      <c r="W6265" s="806"/>
      <c r="AZ6265" s="806"/>
      <c r="BA6265" s="806"/>
      <c r="BB6265" s="806"/>
    </row>
    <row r="6266" spans="4:54">
      <c r="D6266" s="806"/>
      <c r="F6266" s="806"/>
      <c r="W6266" s="806"/>
      <c r="AZ6266" s="806"/>
      <c r="BA6266" s="806"/>
      <c r="BB6266" s="806"/>
    </row>
    <row r="6267" spans="4:54">
      <c r="D6267" s="806"/>
      <c r="F6267" s="806"/>
      <c r="W6267" s="806"/>
      <c r="AZ6267" s="806"/>
      <c r="BA6267" s="806"/>
      <c r="BB6267" s="806"/>
    </row>
    <row r="6268" spans="4:54">
      <c r="D6268" s="806"/>
      <c r="F6268" s="806"/>
      <c r="W6268" s="806"/>
      <c r="AZ6268" s="806"/>
      <c r="BA6268" s="806"/>
      <c r="BB6268" s="806"/>
    </row>
    <row r="6269" spans="4:54">
      <c r="D6269" s="806"/>
      <c r="F6269" s="806"/>
      <c r="W6269" s="806"/>
      <c r="AZ6269" s="806"/>
      <c r="BA6269" s="806"/>
      <c r="BB6269" s="806"/>
    </row>
    <row r="6270" spans="4:54">
      <c r="D6270" s="806"/>
      <c r="F6270" s="806"/>
      <c r="W6270" s="806"/>
      <c r="AZ6270" s="806"/>
      <c r="BA6270" s="806"/>
      <c r="BB6270" s="806"/>
    </row>
    <row r="6271" spans="4:54">
      <c r="D6271" s="806"/>
      <c r="F6271" s="806"/>
      <c r="W6271" s="806"/>
      <c r="AZ6271" s="806"/>
      <c r="BA6271" s="806"/>
      <c r="BB6271" s="806"/>
    </row>
    <row r="6272" spans="4:54">
      <c r="D6272" s="806"/>
      <c r="F6272" s="806"/>
      <c r="W6272" s="806"/>
      <c r="AZ6272" s="806"/>
      <c r="BA6272" s="806"/>
      <c r="BB6272" s="806"/>
    </row>
    <row r="6273" spans="4:54">
      <c r="D6273" s="806"/>
      <c r="F6273" s="806"/>
      <c r="W6273" s="806"/>
      <c r="AZ6273" s="806"/>
      <c r="BA6273" s="806"/>
      <c r="BB6273" s="806"/>
    </row>
    <row r="6274" spans="4:54">
      <c r="D6274" s="806"/>
      <c r="F6274" s="806"/>
      <c r="W6274" s="806"/>
      <c r="AZ6274" s="806"/>
      <c r="BA6274" s="806"/>
      <c r="BB6274" s="806"/>
    </row>
    <row r="6275" spans="4:54">
      <c r="D6275" s="806"/>
      <c r="F6275" s="806"/>
      <c r="W6275" s="806"/>
      <c r="AZ6275" s="806"/>
      <c r="BA6275" s="806"/>
      <c r="BB6275" s="806"/>
    </row>
    <row r="6276" spans="4:54">
      <c r="D6276" s="806"/>
      <c r="F6276" s="806"/>
      <c r="W6276" s="806"/>
      <c r="AZ6276" s="806"/>
      <c r="BA6276" s="806"/>
      <c r="BB6276" s="806"/>
    </row>
    <row r="6277" spans="4:54">
      <c r="D6277" s="806"/>
      <c r="F6277" s="806"/>
      <c r="W6277" s="806"/>
      <c r="AZ6277" s="806"/>
      <c r="BA6277" s="806"/>
      <c r="BB6277" s="806"/>
    </row>
    <row r="6278" spans="4:54">
      <c r="D6278" s="806"/>
      <c r="F6278" s="806"/>
      <c r="W6278" s="806"/>
      <c r="AZ6278" s="806"/>
      <c r="BA6278" s="806"/>
      <c r="BB6278" s="806"/>
    </row>
    <row r="6279" spans="4:54">
      <c r="D6279" s="806"/>
      <c r="F6279" s="806"/>
      <c r="W6279" s="806"/>
      <c r="AZ6279" s="806"/>
      <c r="BA6279" s="806"/>
      <c r="BB6279" s="806"/>
    </row>
    <row r="6280" spans="4:54">
      <c r="D6280" s="806"/>
      <c r="F6280" s="806"/>
      <c r="W6280" s="806"/>
      <c r="AZ6280" s="806"/>
      <c r="BA6280" s="806"/>
      <c r="BB6280" s="806"/>
    </row>
    <row r="6281" spans="4:54">
      <c r="D6281" s="806"/>
      <c r="F6281" s="806"/>
      <c r="W6281" s="806"/>
      <c r="AZ6281" s="806"/>
      <c r="BA6281" s="806"/>
      <c r="BB6281" s="806"/>
    </row>
    <row r="6282" spans="4:54">
      <c r="D6282" s="806"/>
      <c r="F6282" s="806"/>
      <c r="W6282" s="806"/>
      <c r="AZ6282" s="806"/>
      <c r="BA6282" s="806"/>
      <c r="BB6282" s="806"/>
    </row>
    <row r="6283" spans="4:54">
      <c r="D6283" s="806"/>
      <c r="F6283" s="806"/>
      <c r="W6283" s="806"/>
      <c r="AZ6283" s="806"/>
      <c r="BA6283" s="806"/>
      <c r="BB6283" s="806"/>
    </row>
    <row r="6284" spans="4:54">
      <c r="D6284" s="806"/>
      <c r="F6284" s="806"/>
      <c r="W6284" s="806"/>
      <c r="AZ6284" s="806"/>
      <c r="BA6284" s="806"/>
      <c r="BB6284" s="806"/>
    </row>
    <row r="6285" spans="4:54">
      <c r="D6285" s="806"/>
      <c r="F6285" s="806"/>
      <c r="W6285" s="806"/>
      <c r="AZ6285" s="806"/>
      <c r="BA6285" s="806"/>
      <c r="BB6285" s="806"/>
    </row>
    <row r="6286" spans="4:54">
      <c r="D6286" s="806"/>
      <c r="F6286" s="806"/>
      <c r="W6286" s="806"/>
      <c r="AZ6286" s="806"/>
      <c r="BA6286" s="806"/>
      <c r="BB6286" s="806"/>
    </row>
    <row r="6287" spans="4:54">
      <c r="D6287" s="806"/>
      <c r="F6287" s="806"/>
      <c r="W6287" s="806"/>
      <c r="AZ6287" s="806"/>
      <c r="BA6287" s="806"/>
      <c r="BB6287" s="806"/>
    </row>
    <row r="6288" spans="4:54">
      <c r="D6288" s="806"/>
      <c r="F6288" s="806"/>
      <c r="W6288" s="806"/>
      <c r="AZ6288" s="806"/>
      <c r="BA6288" s="806"/>
      <c r="BB6288" s="806"/>
    </row>
    <row r="6289" spans="4:54">
      <c r="D6289" s="806"/>
      <c r="F6289" s="806"/>
      <c r="W6289" s="806"/>
      <c r="AZ6289" s="806"/>
      <c r="BA6289" s="806"/>
      <c r="BB6289" s="806"/>
    </row>
    <row r="6290" spans="4:54">
      <c r="D6290" s="806"/>
      <c r="F6290" s="806"/>
      <c r="W6290" s="806"/>
      <c r="AZ6290" s="806"/>
      <c r="BA6290" s="806"/>
      <c r="BB6290" s="806"/>
    </row>
    <row r="6291" spans="4:54">
      <c r="D6291" s="806"/>
      <c r="F6291" s="806"/>
      <c r="W6291" s="806"/>
      <c r="AZ6291" s="806"/>
      <c r="BA6291" s="806"/>
      <c r="BB6291" s="806"/>
    </row>
    <row r="6292" spans="4:54">
      <c r="D6292" s="806"/>
      <c r="F6292" s="806"/>
      <c r="W6292" s="806"/>
      <c r="AZ6292" s="806"/>
      <c r="BA6292" s="806"/>
      <c r="BB6292" s="806"/>
    </row>
    <row r="6293" spans="4:54">
      <c r="D6293" s="806"/>
      <c r="F6293" s="806"/>
      <c r="W6293" s="806"/>
      <c r="AZ6293" s="806"/>
      <c r="BA6293" s="806"/>
      <c r="BB6293" s="806"/>
    </row>
    <row r="6294" spans="4:54">
      <c r="D6294" s="806"/>
      <c r="F6294" s="806"/>
      <c r="W6294" s="806"/>
      <c r="AZ6294" s="806"/>
      <c r="BA6294" s="806"/>
      <c r="BB6294" s="806"/>
    </row>
    <row r="6295" spans="4:54">
      <c r="D6295" s="806"/>
      <c r="F6295" s="806"/>
      <c r="W6295" s="806"/>
      <c r="AZ6295" s="806"/>
      <c r="BA6295" s="806"/>
      <c r="BB6295" s="806"/>
    </row>
    <row r="6296" spans="4:54">
      <c r="D6296" s="806"/>
      <c r="F6296" s="806"/>
      <c r="W6296" s="806"/>
      <c r="AZ6296" s="806"/>
      <c r="BA6296" s="806"/>
      <c r="BB6296" s="806"/>
    </row>
    <row r="6297" spans="4:54">
      <c r="D6297" s="806"/>
      <c r="F6297" s="806"/>
      <c r="W6297" s="806"/>
      <c r="AZ6297" s="806"/>
      <c r="BA6297" s="806"/>
      <c r="BB6297" s="806"/>
    </row>
    <row r="6298" spans="4:54">
      <c r="D6298" s="806"/>
      <c r="F6298" s="806"/>
      <c r="W6298" s="806"/>
      <c r="AZ6298" s="806"/>
      <c r="BA6298" s="806"/>
      <c r="BB6298" s="806"/>
    </row>
    <row r="6299" spans="4:54">
      <c r="D6299" s="806"/>
      <c r="F6299" s="806"/>
      <c r="W6299" s="806"/>
      <c r="AZ6299" s="806"/>
      <c r="BA6299" s="806"/>
      <c r="BB6299" s="806"/>
    </row>
    <row r="6300" spans="4:54">
      <c r="D6300" s="806"/>
      <c r="F6300" s="806"/>
      <c r="W6300" s="806"/>
      <c r="AZ6300" s="806"/>
      <c r="BA6300" s="806"/>
      <c r="BB6300" s="806"/>
    </row>
    <row r="6301" spans="4:54">
      <c r="D6301" s="806"/>
      <c r="F6301" s="806"/>
      <c r="W6301" s="806"/>
      <c r="AZ6301" s="806"/>
      <c r="BA6301" s="806"/>
      <c r="BB6301" s="806"/>
    </row>
    <row r="6302" spans="4:54">
      <c r="D6302" s="806"/>
      <c r="F6302" s="806"/>
      <c r="W6302" s="806"/>
      <c r="AZ6302" s="806"/>
      <c r="BA6302" s="806"/>
      <c r="BB6302" s="806"/>
    </row>
    <row r="6303" spans="4:54">
      <c r="D6303" s="806"/>
      <c r="F6303" s="806"/>
      <c r="W6303" s="806"/>
      <c r="AZ6303" s="806"/>
      <c r="BA6303" s="806"/>
      <c r="BB6303" s="806"/>
    </row>
    <row r="6304" spans="4:54">
      <c r="D6304" s="806"/>
      <c r="F6304" s="806"/>
      <c r="W6304" s="806"/>
      <c r="AZ6304" s="806"/>
      <c r="BA6304" s="806"/>
      <c r="BB6304" s="806"/>
    </row>
    <row r="6305" spans="4:54">
      <c r="D6305" s="806"/>
      <c r="F6305" s="806"/>
      <c r="W6305" s="806"/>
      <c r="AZ6305" s="806"/>
      <c r="BA6305" s="806"/>
      <c r="BB6305" s="806"/>
    </row>
    <row r="6306" spans="4:54">
      <c r="D6306" s="806"/>
      <c r="F6306" s="806"/>
      <c r="W6306" s="806"/>
      <c r="AZ6306" s="806"/>
      <c r="BA6306" s="806"/>
      <c r="BB6306" s="806"/>
    </row>
    <row r="6307" spans="4:54">
      <c r="D6307" s="806"/>
      <c r="F6307" s="806"/>
      <c r="W6307" s="806"/>
      <c r="AZ6307" s="806"/>
      <c r="BA6307" s="806"/>
      <c r="BB6307" s="806"/>
    </row>
    <row r="6308" spans="4:54">
      <c r="D6308" s="806"/>
      <c r="F6308" s="806"/>
      <c r="W6308" s="806"/>
      <c r="AZ6308" s="806"/>
      <c r="BA6308" s="806"/>
      <c r="BB6308" s="806"/>
    </row>
    <row r="6309" spans="4:54">
      <c r="D6309" s="806"/>
      <c r="F6309" s="806"/>
      <c r="W6309" s="806"/>
      <c r="AZ6309" s="806"/>
      <c r="BA6309" s="806"/>
      <c r="BB6309" s="806"/>
    </row>
    <row r="6310" spans="4:54">
      <c r="D6310" s="806"/>
      <c r="F6310" s="806"/>
      <c r="W6310" s="806"/>
      <c r="AZ6310" s="806"/>
      <c r="BA6310" s="806"/>
      <c r="BB6310" s="806"/>
    </row>
    <row r="6311" spans="4:54">
      <c r="D6311" s="806"/>
      <c r="F6311" s="806"/>
      <c r="W6311" s="806"/>
      <c r="AZ6311" s="806"/>
      <c r="BA6311" s="806"/>
      <c r="BB6311" s="806"/>
    </row>
    <row r="6312" spans="4:54">
      <c r="D6312" s="806"/>
      <c r="F6312" s="806"/>
      <c r="W6312" s="806"/>
      <c r="AZ6312" s="806"/>
      <c r="BA6312" s="806"/>
      <c r="BB6312" s="806"/>
    </row>
    <row r="6313" spans="4:54">
      <c r="D6313" s="806"/>
      <c r="F6313" s="806"/>
      <c r="W6313" s="806"/>
      <c r="AZ6313" s="806"/>
      <c r="BA6313" s="806"/>
      <c r="BB6313" s="806"/>
    </row>
    <row r="6314" spans="4:54">
      <c r="D6314" s="806"/>
      <c r="F6314" s="806"/>
      <c r="W6314" s="806"/>
      <c r="AZ6314" s="806"/>
      <c r="BA6314" s="806"/>
      <c r="BB6314" s="806"/>
    </row>
    <row r="6315" spans="4:54">
      <c r="D6315" s="806"/>
      <c r="F6315" s="806"/>
      <c r="W6315" s="806"/>
      <c r="AZ6315" s="806"/>
      <c r="BA6315" s="806"/>
      <c r="BB6315" s="806"/>
    </row>
    <row r="6316" spans="4:54">
      <c r="D6316" s="806"/>
      <c r="F6316" s="806"/>
      <c r="W6316" s="806"/>
      <c r="AZ6316" s="806"/>
      <c r="BA6316" s="806"/>
      <c r="BB6316" s="806"/>
    </row>
    <row r="6317" spans="4:54">
      <c r="D6317" s="806"/>
      <c r="F6317" s="806"/>
      <c r="W6317" s="806"/>
      <c r="AZ6317" s="806"/>
      <c r="BA6317" s="806"/>
      <c r="BB6317" s="806"/>
    </row>
    <row r="6318" spans="4:54">
      <c r="D6318" s="806"/>
      <c r="F6318" s="806"/>
      <c r="W6318" s="806"/>
      <c r="AZ6318" s="806"/>
      <c r="BA6318" s="806"/>
      <c r="BB6318" s="806"/>
    </row>
    <row r="6319" spans="4:54">
      <c r="D6319" s="806"/>
      <c r="F6319" s="806"/>
      <c r="W6319" s="806"/>
      <c r="AZ6319" s="806"/>
      <c r="BA6319" s="806"/>
      <c r="BB6319" s="806"/>
    </row>
    <row r="6320" spans="4:54">
      <c r="D6320" s="806"/>
      <c r="F6320" s="806"/>
      <c r="W6320" s="806"/>
      <c r="AZ6320" s="806"/>
      <c r="BA6320" s="806"/>
      <c r="BB6320" s="806"/>
    </row>
    <row r="6321" spans="4:54">
      <c r="D6321" s="806"/>
      <c r="F6321" s="806"/>
      <c r="W6321" s="806"/>
      <c r="AZ6321" s="806"/>
      <c r="BA6321" s="806"/>
      <c r="BB6321" s="806"/>
    </row>
    <row r="6322" spans="4:54">
      <c r="D6322" s="806"/>
      <c r="F6322" s="806"/>
      <c r="W6322" s="806"/>
      <c r="AZ6322" s="806"/>
      <c r="BA6322" s="806"/>
      <c r="BB6322" s="806"/>
    </row>
    <row r="6323" spans="4:54">
      <c r="D6323" s="806"/>
      <c r="F6323" s="806"/>
      <c r="W6323" s="806"/>
      <c r="AZ6323" s="806"/>
      <c r="BA6323" s="806"/>
      <c r="BB6323" s="806"/>
    </row>
    <row r="6324" spans="4:54">
      <c r="D6324" s="806"/>
      <c r="F6324" s="806"/>
      <c r="W6324" s="806"/>
      <c r="AZ6324" s="806"/>
      <c r="BA6324" s="806"/>
      <c r="BB6324" s="806"/>
    </row>
    <row r="6325" spans="4:54">
      <c r="D6325" s="806"/>
      <c r="F6325" s="806"/>
      <c r="W6325" s="806"/>
      <c r="AZ6325" s="806"/>
      <c r="BA6325" s="806"/>
      <c r="BB6325" s="806"/>
    </row>
    <row r="6326" spans="4:54">
      <c r="D6326" s="806"/>
      <c r="F6326" s="806"/>
      <c r="W6326" s="806"/>
      <c r="AZ6326" s="806"/>
      <c r="BA6326" s="806"/>
      <c r="BB6326" s="806"/>
    </row>
    <row r="6327" spans="4:54">
      <c r="D6327" s="806"/>
      <c r="F6327" s="806"/>
      <c r="W6327" s="806"/>
      <c r="AZ6327" s="806"/>
      <c r="BA6327" s="806"/>
      <c r="BB6327" s="806"/>
    </row>
    <row r="6328" spans="4:54">
      <c r="D6328" s="806"/>
      <c r="F6328" s="806"/>
      <c r="W6328" s="806"/>
      <c r="AZ6328" s="806"/>
      <c r="BA6328" s="806"/>
      <c r="BB6328" s="806"/>
    </row>
    <row r="6329" spans="4:54">
      <c r="D6329" s="806"/>
      <c r="F6329" s="806"/>
      <c r="W6329" s="806"/>
      <c r="AZ6329" s="806"/>
      <c r="BA6329" s="806"/>
      <c r="BB6329" s="806"/>
    </row>
    <row r="6330" spans="4:54">
      <c r="D6330" s="806"/>
      <c r="F6330" s="806"/>
      <c r="W6330" s="806"/>
      <c r="AZ6330" s="806"/>
      <c r="BA6330" s="806"/>
      <c r="BB6330" s="806"/>
    </row>
    <row r="6331" spans="4:54">
      <c r="D6331" s="806"/>
      <c r="F6331" s="806"/>
      <c r="W6331" s="806"/>
      <c r="AZ6331" s="806"/>
      <c r="BA6331" s="806"/>
      <c r="BB6331" s="806"/>
    </row>
    <row r="6332" spans="4:54">
      <c r="D6332" s="806"/>
      <c r="F6332" s="806"/>
      <c r="W6332" s="806"/>
      <c r="AZ6332" s="806"/>
      <c r="BA6332" s="806"/>
      <c r="BB6332" s="806"/>
    </row>
    <row r="6333" spans="4:54">
      <c r="D6333" s="806"/>
      <c r="F6333" s="806"/>
      <c r="W6333" s="806"/>
      <c r="AZ6333" s="806"/>
      <c r="BA6333" s="806"/>
      <c r="BB6333" s="806"/>
    </row>
    <row r="6334" spans="4:54">
      <c r="D6334" s="806"/>
      <c r="F6334" s="806"/>
      <c r="W6334" s="806"/>
      <c r="AZ6334" s="806"/>
      <c r="BA6334" s="806"/>
      <c r="BB6334" s="806"/>
    </row>
    <row r="6335" spans="4:54">
      <c r="D6335" s="806"/>
      <c r="F6335" s="806"/>
      <c r="W6335" s="806"/>
      <c r="AZ6335" s="806"/>
      <c r="BA6335" s="806"/>
      <c r="BB6335" s="806"/>
    </row>
    <row r="6336" spans="4:54">
      <c r="D6336" s="806"/>
      <c r="F6336" s="806"/>
      <c r="W6336" s="806"/>
      <c r="AZ6336" s="806"/>
      <c r="BA6336" s="806"/>
      <c r="BB6336" s="806"/>
    </row>
    <row r="6337" spans="4:54">
      <c r="D6337" s="806"/>
      <c r="F6337" s="806"/>
      <c r="W6337" s="806"/>
      <c r="AZ6337" s="806"/>
      <c r="BA6337" s="806"/>
      <c r="BB6337" s="806"/>
    </row>
    <row r="6338" spans="4:54">
      <c r="D6338" s="806"/>
      <c r="F6338" s="806"/>
      <c r="W6338" s="806"/>
      <c r="AZ6338" s="806"/>
      <c r="BA6338" s="806"/>
      <c r="BB6338" s="806"/>
    </row>
    <row r="6339" spans="4:54">
      <c r="D6339" s="806"/>
      <c r="F6339" s="806"/>
      <c r="W6339" s="806"/>
      <c r="AZ6339" s="806"/>
      <c r="BA6339" s="806"/>
      <c r="BB6339" s="806"/>
    </row>
    <row r="6340" spans="4:54">
      <c r="D6340" s="806"/>
      <c r="F6340" s="806"/>
      <c r="W6340" s="806"/>
      <c r="AZ6340" s="806"/>
      <c r="BA6340" s="806"/>
      <c r="BB6340" s="806"/>
    </row>
    <row r="6341" spans="4:54">
      <c r="D6341" s="806"/>
      <c r="F6341" s="806"/>
      <c r="W6341" s="806"/>
      <c r="AZ6341" s="806"/>
      <c r="BA6341" s="806"/>
      <c r="BB6341" s="806"/>
    </row>
    <row r="6342" spans="4:54">
      <c r="D6342" s="806"/>
      <c r="F6342" s="806"/>
      <c r="W6342" s="806"/>
      <c r="AZ6342" s="806"/>
      <c r="BA6342" s="806"/>
      <c r="BB6342" s="806"/>
    </row>
    <row r="6343" spans="4:54">
      <c r="D6343" s="806"/>
      <c r="F6343" s="806"/>
      <c r="W6343" s="806"/>
      <c r="AZ6343" s="806"/>
      <c r="BA6343" s="806"/>
      <c r="BB6343" s="806"/>
    </row>
    <row r="6344" spans="4:54">
      <c r="D6344" s="806"/>
      <c r="F6344" s="806"/>
      <c r="W6344" s="806"/>
      <c r="AZ6344" s="806"/>
      <c r="BA6344" s="806"/>
      <c r="BB6344" s="806"/>
    </row>
    <row r="6345" spans="4:54">
      <c r="D6345" s="806"/>
      <c r="F6345" s="806"/>
      <c r="W6345" s="806"/>
      <c r="AZ6345" s="806"/>
      <c r="BA6345" s="806"/>
      <c r="BB6345" s="806"/>
    </row>
    <row r="6346" spans="4:54">
      <c r="D6346" s="806"/>
      <c r="F6346" s="806"/>
      <c r="W6346" s="806"/>
      <c r="AZ6346" s="806"/>
      <c r="BA6346" s="806"/>
      <c r="BB6346" s="806"/>
    </row>
    <row r="6347" spans="4:54">
      <c r="D6347" s="806"/>
      <c r="F6347" s="806"/>
      <c r="W6347" s="806"/>
      <c r="AZ6347" s="806"/>
      <c r="BA6347" s="806"/>
      <c r="BB6347" s="806"/>
    </row>
    <row r="6348" spans="4:54">
      <c r="D6348" s="806"/>
      <c r="F6348" s="806"/>
      <c r="W6348" s="806"/>
      <c r="AZ6348" s="806"/>
      <c r="BA6348" s="806"/>
      <c r="BB6348" s="806"/>
    </row>
    <row r="6349" spans="4:54">
      <c r="D6349" s="806"/>
      <c r="F6349" s="806"/>
      <c r="W6349" s="806"/>
      <c r="AZ6349" s="806"/>
      <c r="BA6349" s="806"/>
      <c r="BB6349" s="806"/>
    </row>
    <row r="6350" spans="4:54">
      <c r="D6350" s="806"/>
      <c r="F6350" s="806"/>
      <c r="W6350" s="806"/>
      <c r="AZ6350" s="806"/>
      <c r="BA6350" s="806"/>
      <c r="BB6350" s="806"/>
    </row>
    <row r="6351" spans="4:54">
      <c r="D6351" s="806"/>
      <c r="F6351" s="806"/>
      <c r="W6351" s="806"/>
      <c r="AZ6351" s="806"/>
      <c r="BA6351" s="806"/>
      <c r="BB6351" s="806"/>
    </row>
    <row r="6352" spans="4:54">
      <c r="D6352" s="806"/>
      <c r="F6352" s="806"/>
      <c r="W6352" s="806"/>
      <c r="AZ6352" s="806"/>
      <c r="BA6352" s="806"/>
      <c r="BB6352" s="806"/>
    </row>
    <row r="6353" spans="4:54">
      <c r="D6353" s="806"/>
      <c r="F6353" s="806"/>
      <c r="W6353" s="806"/>
      <c r="AZ6353" s="806"/>
      <c r="BA6353" s="806"/>
      <c r="BB6353" s="806"/>
    </row>
    <row r="6354" spans="4:54">
      <c r="D6354" s="806"/>
      <c r="F6354" s="806"/>
      <c r="W6354" s="806"/>
      <c r="AZ6354" s="806"/>
      <c r="BA6354" s="806"/>
      <c r="BB6354" s="806"/>
    </row>
    <row r="6355" spans="4:54">
      <c r="D6355" s="806"/>
      <c r="F6355" s="806"/>
      <c r="W6355" s="806"/>
      <c r="AZ6355" s="806"/>
      <c r="BA6355" s="806"/>
      <c r="BB6355" s="806"/>
    </row>
    <row r="6356" spans="4:54">
      <c r="D6356" s="806"/>
      <c r="F6356" s="806"/>
      <c r="W6356" s="806"/>
      <c r="AZ6356" s="806"/>
      <c r="BA6356" s="806"/>
      <c r="BB6356" s="806"/>
    </row>
    <row r="6357" spans="4:54">
      <c r="D6357" s="806"/>
      <c r="F6357" s="806"/>
      <c r="W6357" s="806"/>
      <c r="AZ6357" s="806"/>
      <c r="BA6357" s="806"/>
      <c r="BB6357" s="806"/>
    </row>
    <row r="6358" spans="4:54">
      <c r="D6358" s="806"/>
      <c r="F6358" s="806"/>
      <c r="W6358" s="806"/>
      <c r="AZ6358" s="806"/>
      <c r="BA6358" s="806"/>
      <c r="BB6358" s="806"/>
    </row>
    <row r="6359" spans="4:54">
      <c r="D6359" s="806"/>
      <c r="F6359" s="806"/>
      <c r="W6359" s="806"/>
      <c r="AZ6359" s="806"/>
      <c r="BA6359" s="806"/>
      <c r="BB6359" s="806"/>
    </row>
    <row r="6360" spans="4:54">
      <c r="D6360" s="806"/>
      <c r="F6360" s="806"/>
      <c r="W6360" s="806"/>
      <c r="AZ6360" s="806"/>
      <c r="BA6360" s="806"/>
      <c r="BB6360" s="806"/>
    </row>
    <row r="6361" spans="4:54">
      <c r="D6361" s="806"/>
      <c r="F6361" s="806"/>
      <c r="W6361" s="806"/>
      <c r="AZ6361" s="806"/>
      <c r="BA6361" s="806"/>
      <c r="BB6361" s="806"/>
    </row>
    <row r="6362" spans="4:54">
      <c r="D6362" s="806"/>
      <c r="F6362" s="806"/>
      <c r="W6362" s="806"/>
      <c r="AZ6362" s="806"/>
      <c r="BA6362" s="806"/>
      <c r="BB6362" s="806"/>
    </row>
    <row r="6363" spans="4:54">
      <c r="D6363" s="806"/>
      <c r="F6363" s="806"/>
      <c r="W6363" s="806"/>
      <c r="AZ6363" s="806"/>
      <c r="BA6363" s="806"/>
      <c r="BB6363" s="806"/>
    </row>
    <row r="6364" spans="4:54">
      <c r="D6364" s="806"/>
      <c r="F6364" s="806"/>
      <c r="W6364" s="806"/>
      <c r="AZ6364" s="806"/>
      <c r="BA6364" s="806"/>
      <c r="BB6364" s="806"/>
    </row>
    <row r="6365" spans="4:54">
      <c r="D6365" s="806"/>
      <c r="F6365" s="806"/>
      <c r="W6365" s="806"/>
      <c r="AZ6365" s="806"/>
      <c r="BA6365" s="806"/>
      <c r="BB6365" s="806"/>
    </row>
    <row r="6366" spans="4:54">
      <c r="D6366" s="806"/>
      <c r="F6366" s="806"/>
      <c r="W6366" s="806"/>
      <c r="AZ6366" s="806"/>
      <c r="BA6366" s="806"/>
      <c r="BB6366" s="806"/>
    </row>
    <row r="6367" spans="4:54">
      <c r="D6367" s="806"/>
      <c r="F6367" s="806"/>
      <c r="W6367" s="806"/>
      <c r="AZ6367" s="806"/>
      <c r="BA6367" s="806"/>
      <c r="BB6367" s="806"/>
    </row>
    <row r="6368" spans="4:54">
      <c r="D6368" s="806"/>
      <c r="F6368" s="806"/>
      <c r="W6368" s="806"/>
      <c r="AZ6368" s="806"/>
      <c r="BA6368" s="806"/>
      <c r="BB6368" s="806"/>
    </row>
    <row r="6369" spans="4:54">
      <c r="D6369" s="806"/>
      <c r="F6369" s="806"/>
      <c r="W6369" s="806"/>
      <c r="AZ6369" s="806"/>
      <c r="BA6369" s="806"/>
      <c r="BB6369" s="806"/>
    </row>
    <row r="6370" spans="4:54">
      <c r="D6370" s="806"/>
      <c r="F6370" s="806"/>
      <c r="W6370" s="806"/>
      <c r="AZ6370" s="806"/>
      <c r="BA6370" s="806"/>
      <c r="BB6370" s="806"/>
    </row>
    <row r="6371" spans="4:54">
      <c r="D6371" s="806"/>
      <c r="F6371" s="806"/>
      <c r="W6371" s="806"/>
      <c r="AZ6371" s="806"/>
      <c r="BA6371" s="806"/>
      <c r="BB6371" s="806"/>
    </row>
    <row r="6372" spans="4:54">
      <c r="D6372" s="806"/>
      <c r="F6372" s="806"/>
      <c r="W6372" s="806"/>
      <c r="AZ6372" s="806"/>
      <c r="BA6372" s="806"/>
      <c r="BB6372" s="806"/>
    </row>
    <row r="6373" spans="4:54">
      <c r="D6373" s="806"/>
      <c r="F6373" s="806"/>
      <c r="W6373" s="806"/>
      <c r="AZ6373" s="806"/>
      <c r="BA6373" s="806"/>
      <c r="BB6373" s="806"/>
    </row>
    <row r="6374" spans="4:54">
      <c r="D6374" s="806"/>
      <c r="F6374" s="806"/>
      <c r="W6374" s="806"/>
      <c r="AZ6374" s="806"/>
      <c r="BA6374" s="806"/>
      <c r="BB6374" s="806"/>
    </row>
    <row r="6375" spans="4:54">
      <c r="D6375" s="806"/>
      <c r="F6375" s="806"/>
      <c r="W6375" s="806"/>
      <c r="AZ6375" s="806"/>
      <c r="BA6375" s="806"/>
      <c r="BB6375" s="806"/>
    </row>
    <row r="6376" spans="4:54">
      <c r="D6376" s="806"/>
      <c r="F6376" s="806"/>
      <c r="W6376" s="806"/>
      <c r="AZ6376" s="806"/>
      <c r="BA6376" s="806"/>
      <c r="BB6376" s="806"/>
    </row>
    <row r="6377" spans="4:54">
      <c r="D6377" s="806"/>
      <c r="F6377" s="806"/>
      <c r="W6377" s="806"/>
      <c r="AZ6377" s="806"/>
      <c r="BA6377" s="806"/>
      <c r="BB6377" s="806"/>
    </row>
    <row r="6378" spans="4:54">
      <c r="D6378" s="806"/>
      <c r="F6378" s="806"/>
      <c r="W6378" s="806"/>
      <c r="AZ6378" s="806"/>
      <c r="BA6378" s="806"/>
      <c r="BB6378" s="806"/>
    </row>
    <row r="6379" spans="4:54">
      <c r="D6379" s="806"/>
      <c r="F6379" s="806"/>
      <c r="W6379" s="806"/>
      <c r="AZ6379" s="806"/>
      <c r="BA6379" s="806"/>
      <c r="BB6379" s="806"/>
    </row>
    <row r="6380" spans="4:54">
      <c r="D6380" s="806"/>
      <c r="F6380" s="806"/>
      <c r="W6380" s="806"/>
      <c r="AZ6380" s="806"/>
      <c r="BA6380" s="806"/>
      <c r="BB6380" s="806"/>
    </row>
    <row r="6381" spans="4:54">
      <c r="D6381" s="806"/>
      <c r="F6381" s="806"/>
      <c r="W6381" s="806"/>
      <c r="AZ6381" s="806"/>
      <c r="BA6381" s="806"/>
      <c r="BB6381" s="806"/>
    </row>
    <row r="6382" spans="4:54">
      <c r="D6382" s="806"/>
      <c r="F6382" s="806"/>
      <c r="W6382" s="806"/>
      <c r="AZ6382" s="806"/>
      <c r="BA6382" s="806"/>
      <c r="BB6382" s="806"/>
    </row>
    <row r="6383" spans="4:54">
      <c r="D6383" s="806"/>
      <c r="F6383" s="806"/>
      <c r="W6383" s="806"/>
      <c r="AZ6383" s="806"/>
      <c r="BA6383" s="806"/>
      <c r="BB6383" s="806"/>
    </row>
    <row r="6384" spans="4:54">
      <c r="D6384" s="806"/>
      <c r="F6384" s="806"/>
      <c r="W6384" s="806"/>
      <c r="AZ6384" s="806"/>
      <c r="BA6384" s="806"/>
      <c r="BB6384" s="806"/>
    </row>
    <row r="6385" spans="4:54">
      <c r="D6385" s="806"/>
      <c r="F6385" s="806"/>
      <c r="W6385" s="806"/>
      <c r="AZ6385" s="806"/>
      <c r="BA6385" s="806"/>
      <c r="BB6385" s="806"/>
    </row>
    <row r="6386" spans="4:54">
      <c r="D6386" s="806"/>
      <c r="F6386" s="806"/>
      <c r="W6386" s="806"/>
      <c r="AZ6386" s="806"/>
      <c r="BA6386" s="806"/>
      <c r="BB6386" s="806"/>
    </row>
    <row r="6387" spans="4:54">
      <c r="D6387" s="806"/>
      <c r="F6387" s="806"/>
      <c r="W6387" s="806"/>
      <c r="AZ6387" s="806"/>
      <c r="BA6387" s="806"/>
      <c r="BB6387" s="806"/>
    </row>
    <row r="6388" spans="4:54">
      <c r="D6388" s="806"/>
      <c r="F6388" s="806"/>
      <c r="W6388" s="806"/>
      <c r="AZ6388" s="806"/>
      <c r="BA6388" s="806"/>
      <c r="BB6388" s="806"/>
    </row>
    <row r="6389" spans="4:54">
      <c r="D6389" s="806"/>
      <c r="F6389" s="806"/>
      <c r="W6389" s="806"/>
      <c r="AZ6389" s="806"/>
      <c r="BA6389" s="806"/>
      <c r="BB6389" s="806"/>
    </row>
    <row r="6390" spans="4:54">
      <c r="D6390" s="806"/>
      <c r="F6390" s="806"/>
      <c r="W6390" s="806"/>
      <c r="AZ6390" s="806"/>
      <c r="BA6390" s="806"/>
      <c r="BB6390" s="806"/>
    </row>
    <row r="6391" spans="4:54">
      <c r="D6391" s="806"/>
      <c r="F6391" s="806"/>
      <c r="W6391" s="806"/>
      <c r="AZ6391" s="806"/>
      <c r="BA6391" s="806"/>
      <c r="BB6391" s="806"/>
    </row>
    <row r="6392" spans="4:54">
      <c r="D6392" s="806"/>
      <c r="F6392" s="806"/>
      <c r="W6392" s="806"/>
      <c r="AZ6392" s="806"/>
      <c r="BA6392" s="806"/>
      <c r="BB6392" s="806"/>
    </row>
    <row r="6393" spans="4:54">
      <c r="D6393" s="806"/>
      <c r="F6393" s="806"/>
      <c r="W6393" s="806"/>
      <c r="AZ6393" s="806"/>
      <c r="BA6393" s="806"/>
      <c r="BB6393" s="806"/>
    </row>
    <row r="6394" spans="4:54">
      <c r="D6394" s="806"/>
      <c r="F6394" s="806"/>
      <c r="W6394" s="806"/>
      <c r="AZ6394" s="806"/>
      <c r="BA6394" s="806"/>
      <c r="BB6394" s="806"/>
    </row>
    <row r="6395" spans="4:54">
      <c r="D6395" s="806"/>
      <c r="F6395" s="806"/>
      <c r="W6395" s="806"/>
      <c r="AZ6395" s="806"/>
      <c r="BA6395" s="806"/>
      <c r="BB6395" s="806"/>
    </row>
    <row r="6396" spans="4:54">
      <c r="D6396" s="806"/>
      <c r="F6396" s="806"/>
      <c r="W6396" s="806"/>
      <c r="AZ6396" s="806"/>
      <c r="BA6396" s="806"/>
      <c r="BB6396" s="806"/>
    </row>
    <row r="6397" spans="4:54">
      <c r="D6397" s="806"/>
      <c r="F6397" s="806"/>
      <c r="W6397" s="806"/>
      <c r="AZ6397" s="806"/>
      <c r="BA6397" s="806"/>
      <c r="BB6397" s="806"/>
    </row>
    <row r="6398" spans="4:54">
      <c r="D6398" s="806"/>
      <c r="F6398" s="806"/>
      <c r="W6398" s="806"/>
      <c r="AZ6398" s="806"/>
      <c r="BA6398" s="806"/>
      <c r="BB6398" s="806"/>
    </row>
    <row r="6399" spans="4:54">
      <c r="D6399" s="806"/>
      <c r="F6399" s="806"/>
      <c r="W6399" s="806"/>
      <c r="AZ6399" s="806"/>
      <c r="BA6399" s="806"/>
      <c r="BB6399" s="806"/>
    </row>
    <row r="6400" spans="4:54">
      <c r="D6400" s="806"/>
      <c r="F6400" s="806"/>
      <c r="W6400" s="806"/>
      <c r="AZ6400" s="806"/>
      <c r="BA6400" s="806"/>
      <c r="BB6400" s="806"/>
    </row>
    <row r="6401" spans="4:54">
      <c r="D6401" s="806"/>
      <c r="F6401" s="806"/>
      <c r="W6401" s="806"/>
      <c r="AZ6401" s="806"/>
      <c r="BA6401" s="806"/>
      <c r="BB6401" s="806"/>
    </row>
    <row r="6402" spans="4:54">
      <c r="D6402" s="806"/>
      <c r="F6402" s="806"/>
      <c r="W6402" s="806"/>
      <c r="AZ6402" s="806"/>
      <c r="BA6402" s="806"/>
      <c r="BB6402" s="806"/>
    </row>
    <row r="6403" spans="4:54">
      <c r="D6403" s="806"/>
      <c r="F6403" s="806"/>
      <c r="W6403" s="806"/>
      <c r="AZ6403" s="806"/>
      <c r="BA6403" s="806"/>
      <c r="BB6403" s="806"/>
    </row>
    <row r="6404" spans="4:54">
      <c r="D6404" s="806"/>
      <c r="F6404" s="806"/>
      <c r="W6404" s="806"/>
      <c r="AZ6404" s="806"/>
      <c r="BA6404" s="806"/>
      <c r="BB6404" s="806"/>
    </row>
    <row r="6405" spans="4:54">
      <c r="D6405" s="806"/>
      <c r="F6405" s="806"/>
      <c r="W6405" s="806"/>
      <c r="AZ6405" s="806"/>
      <c r="BA6405" s="806"/>
      <c r="BB6405" s="806"/>
    </row>
    <row r="6406" spans="4:54">
      <c r="D6406" s="806"/>
      <c r="F6406" s="806"/>
      <c r="W6406" s="806"/>
      <c r="AZ6406" s="806"/>
      <c r="BA6406" s="806"/>
      <c r="BB6406" s="806"/>
    </row>
    <row r="6407" spans="4:54">
      <c r="D6407" s="806"/>
      <c r="F6407" s="806"/>
      <c r="W6407" s="806"/>
      <c r="AZ6407" s="806"/>
      <c r="BA6407" s="806"/>
      <c r="BB6407" s="806"/>
    </row>
    <row r="6408" spans="4:54">
      <c r="D6408" s="806"/>
      <c r="F6408" s="806"/>
      <c r="W6408" s="806"/>
      <c r="AZ6408" s="806"/>
      <c r="BA6408" s="806"/>
      <c r="BB6408" s="806"/>
    </row>
    <row r="6409" spans="4:54">
      <c r="D6409" s="806"/>
      <c r="F6409" s="806"/>
      <c r="W6409" s="806"/>
      <c r="AZ6409" s="806"/>
      <c r="BA6409" s="806"/>
      <c r="BB6409" s="806"/>
    </row>
    <row r="6410" spans="4:54">
      <c r="D6410" s="806"/>
      <c r="F6410" s="806"/>
      <c r="W6410" s="806"/>
      <c r="AZ6410" s="806"/>
      <c r="BA6410" s="806"/>
      <c r="BB6410" s="806"/>
    </row>
    <row r="6411" spans="4:54">
      <c r="D6411" s="806"/>
      <c r="F6411" s="806"/>
      <c r="W6411" s="806"/>
      <c r="AZ6411" s="806"/>
      <c r="BA6411" s="806"/>
      <c r="BB6411" s="806"/>
    </row>
    <row r="6412" spans="4:54">
      <c r="D6412" s="806"/>
      <c r="F6412" s="806"/>
      <c r="W6412" s="806"/>
      <c r="AZ6412" s="806"/>
      <c r="BA6412" s="806"/>
      <c r="BB6412" s="806"/>
    </row>
    <row r="6413" spans="4:54">
      <c r="D6413" s="806"/>
      <c r="F6413" s="806"/>
      <c r="W6413" s="806"/>
      <c r="AZ6413" s="806"/>
      <c r="BA6413" s="806"/>
      <c r="BB6413" s="806"/>
    </row>
    <row r="6414" spans="4:54">
      <c r="D6414" s="806"/>
      <c r="F6414" s="806"/>
      <c r="W6414" s="806"/>
      <c r="AZ6414" s="806"/>
      <c r="BA6414" s="806"/>
      <c r="BB6414" s="806"/>
    </row>
    <row r="6415" spans="4:54">
      <c r="D6415" s="806"/>
      <c r="F6415" s="806"/>
      <c r="W6415" s="806"/>
      <c r="AZ6415" s="806"/>
      <c r="BA6415" s="806"/>
      <c r="BB6415" s="806"/>
    </row>
    <row r="6416" spans="4:54">
      <c r="D6416" s="806"/>
      <c r="F6416" s="806"/>
      <c r="W6416" s="806"/>
      <c r="AZ6416" s="806"/>
      <c r="BA6416" s="806"/>
      <c r="BB6416" s="806"/>
    </row>
    <row r="6417" spans="4:54">
      <c r="D6417" s="806"/>
      <c r="F6417" s="806"/>
      <c r="W6417" s="806"/>
      <c r="AZ6417" s="806"/>
      <c r="BA6417" s="806"/>
      <c r="BB6417" s="806"/>
    </row>
    <row r="6418" spans="4:54">
      <c r="D6418" s="806"/>
      <c r="F6418" s="806"/>
      <c r="W6418" s="806"/>
      <c r="AZ6418" s="806"/>
      <c r="BA6418" s="806"/>
      <c r="BB6418" s="806"/>
    </row>
    <row r="6419" spans="4:54">
      <c r="D6419" s="806"/>
      <c r="F6419" s="806"/>
      <c r="W6419" s="806"/>
      <c r="AZ6419" s="806"/>
      <c r="BA6419" s="806"/>
      <c r="BB6419" s="806"/>
    </row>
    <row r="6420" spans="4:54">
      <c r="D6420" s="806"/>
      <c r="F6420" s="806"/>
      <c r="W6420" s="806"/>
      <c r="AZ6420" s="806"/>
      <c r="BA6420" s="806"/>
      <c r="BB6420" s="806"/>
    </row>
    <row r="6421" spans="4:54">
      <c r="D6421" s="806"/>
      <c r="F6421" s="806"/>
      <c r="W6421" s="806"/>
      <c r="AZ6421" s="806"/>
      <c r="BA6421" s="806"/>
      <c r="BB6421" s="806"/>
    </row>
    <row r="6422" spans="4:54">
      <c r="D6422" s="806"/>
      <c r="F6422" s="806"/>
      <c r="W6422" s="806"/>
      <c r="AZ6422" s="806"/>
      <c r="BA6422" s="806"/>
      <c r="BB6422" s="806"/>
    </row>
    <row r="6423" spans="4:54">
      <c r="D6423" s="806"/>
      <c r="F6423" s="806"/>
      <c r="W6423" s="806"/>
      <c r="AZ6423" s="806"/>
      <c r="BA6423" s="806"/>
      <c r="BB6423" s="806"/>
    </row>
    <row r="6424" spans="4:54">
      <c r="D6424" s="806"/>
      <c r="F6424" s="806"/>
      <c r="W6424" s="806"/>
      <c r="AZ6424" s="806"/>
      <c r="BA6424" s="806"/>
      <c r="BB6424" s="806"/>
    </row>
    <row r="6425" spans="4:54">
      <c r="D6425" s="806"/>
      <c r="F6425" s="806"/>
      <c r="W6425" s="806"/>
      <c r="AZ6425" s="806"/>
      <c r="BA6425" s="806"/>
      <c r="BB6425" s="806"/>
    </row>
    <row r="6426" spans="4:54">
      <c r="D6426" s="806"/>
      <c r="F6426" s="806"/>
      <c r="W6426" s="806"/>
      <c r="AZ6426" s="806"/>
      <c r="BA6426" s="806"/>
      <c r="BB6426" s="806"/>
    </row>
    <row r="6427" spans="4:54">
      <c r="D6427" s="806"/>
      <c r="F6427" s="806"/>
      <c r="W6427" s="806"/>
      <c r="AZ6427" s="806"/>
      <c r="BA6427" s="806"/>
      <c r="BB6427" s="806"/>
    </row>
    <row r="6428" spans="4:54">
      <c r="D6428" s="806"/>
      <c r="F6428" s="806"/>
      <c r="W6428" s="806"/>
      <c r="AZ6428" s="806"/>
      <c r="BA6428" s="806"/>
      <c r="BB6428" s="806"/>
    </row>
    <row r="6429" spans="4:54">
      <c r="D6429" s="806"/>
      <c r="F6429" s="806"/>
      <c r="W6429" s="806"/>
      <c r="AZ6429" s="806"/>
      <c r="BA6429" s="806"/>
      <c r="BB6429" s="806"/>
    </row>
    <row r="6430" spans="4:54">
      <c r="D6430" s="806"/>
      <c r="F6430" s="806"/>
      <c r="W6430" s="806"/>
      <c r="AZ6430" s="806"/>
      <c r="BA6430" s="806"/>
      <c r="BB6430" s="806"/>
    </row>
    <row r="6431" spans="4:54">
      <c r="D6431" s="806"/>
      <c r="F6431" s="806"/>
      <c r="W6431" s="806"/>
      <c r="AZ6431" s="806"/>
      <c r="BA6431" s="806"/>
      <c r="BB6431" s="806"/>
    </row>
    <row r="6432" spans="4:54">
      <c r="D6432" s="806"/>
      <c r="F6432" s="806"/>
      <c r="W6432" s="806"/>
      <c r="AZ6432" s="806"/>
      <c r="BA6432" s="806"/>
      <c r="BB6432" s="806"/>
    </row>
    <row r="6433" spans="4:54">
      <c r="D6433" s="806"/>
      <c r="F6433" s="806"/>
      <c r="W6433" s="806"/>
      <c r="AZ6433" s="806"/>
      <c r="BA6433" s="806"/>
      <c r="BB6433" s="806"/>
    </row>
    <row r="6434" spans="4:54">
      <c r="D6434" s="806"/>
      <c r="F6434" s="806"/>
      <c r="W6434" s="806"/>
      <c r="AZ6434" s="806"/>
      <c r="BA6434" s="806"/>
      <c r="BB6434" s="806"/>
    </row>
    <row r="6435" spans="4:54">
      <c r="D6435" s="806"/>
      <c r="F6435" s="806"/>
      <c r="W6435" s="806"/>
      <c r="AZ6435" s="806"/>
      <c r="BA6435" s="806"/>
      <c r="BB6435" s="806"/>
    </row>
    <row r="6436" spans="4:54">
      <c r="D6436" s="806"/>
      <c r="F6436" s="806"/>
      <c r="W6436" s="806"/>
      <c r="AZ6436" s="806"/>
      <c r="BA6436" s="806"/>
      <c r="BB6436" s="806"/>
    </row>
    <row r="6437" spans="4:54">
      <c r="D6437" s="806"/>
      <c r="F6437" s="806"/>
      <c r="W6437" s="806"/>
      <c r="AZ6437" s="806"/>
      <c r="BA6437" s="806"/>
      <c r="BB6437" s="806"/>
    </row>
    <row r="6438" spans="4:54">
      <c r="D6438" s="806"/>
      <c r="F6438" s="806"/>
      <c r="W6438" s="806"/>
      <c r="AZ6438" s="806"/>
      <c r="BA6438" s="806"/>
      <c r="BB6438" s="806"/>
    </row>
    <row r="6439" spans="4:54">
      <c r="D6439" s="806"/>
      <c r="F6439" s="806"/>
      <c r="W6439" s="806"/>
      <c r="AZ6439" s="806"/>
      <c r="BA6439" s="806"/>
      <c r="BB6439" s="806"/>
    </row>
    <row r="6440" spans="4:54">
      <c r="D6440" s="806"/>
      <c r="F6440" s="806"/>
      <c r="W6440" s="806"/>
      <c r="AZ6440" s="806"/>
      <c r="BA6440" s="806"/>
      <c r="BB6440" s="806"/>
    </row>
    <row r="6441" spans="4:54">
      <c r="D6441" s="806"/>
      <c r="F6441" s="806"/>
      <c r="W6441" s="806"/>
      <c r="AZ6441" s="806"/>
      <c r="BA6441" s="806"/>
      <c r="BB6441" s="806"/>
    </row>
    <row r="6442" spans="4:54">
      <c r="D6442" s="806"/>
      <c r="F6442" s="806"/>
      <c r="W6442" s="806"/>
      <c r="AZ6442" s="806"/>
      <c r="BA6442" s="806"/>
      <c r="BB6442" s="806"/>
    </row>
    <row r="6443" spans="4:54">
      <c r="D6443" s="806"/>
      <c r="F6443" s="806"/>
      <c r="W6443" s="806"/>
      <c r="AZ6443" s="806"/>
      <c r="BA6443" s="806"/>
      <c r="BB6443" s="806"/>
    </row>
    <row r="6444" spans="4:54">
      <c r="D6444" s="806"/>
      <c r="F6444" s="806"/>
      <c r="W6444" s="806"/>
      <c r="AZ6444" s="806"/>
      <c r="BA6444" s="806"/>
      <c r="BB6444" s="806"/>
    </row>
    <row r="6445" spans="4:54">
      <c r="D6445" s="806"/>
      <c r="F6445" s="806"/>
      <c r="W6445" s="806"/>
      <c r="AZ6445" s="806"/>
      <c r="BA6445" s="806"/>
      <c r="BB6445" s="806"/>
    </row>
    <row r="6446" spans="4:54">
      <c r="D6446" s="806"/>
      <c r="F6446" s="806"/>
      <c r="W6446" s="806"/>
      <c r="AZ6446" s="806"/>
      <c r="BA6446" s="806"/>
      <c r="BB6446" s="806"/>
    </row>
    <row r="6447" spans="4:54">
      <c r="D6447" s="806"/>
      <c r="F6447" s="806"/>
      <c r="W6447" s="806"/>
      <c r="AZ6447" s="806"/>
      <c r="BA6447" s="806"/>
      <c r="BB6447" s="806"/>
    </row>
    <row r="6448" spans="4:54">
      <c r="D6448" s="806"/>
      <c r="F6448" s="806"/>
      <c r="W6448" s="806"/>
      <c r="AZ6448" s="806"/>
      <c r="BA6448" s="806"/>
      <c r="BB6448" s="806"/>
    </row>
    <row r="6449" spans="4:54">
      <c r="D6449" s="806"/>
      <c r="F6449" s="806"/>
      <c r="W6449" s="806"/>
      <c r="AZ6449" s="806"/>
      <c r="BA6449" s="806"/>
      <c r="BB6449" s="806"/>
    </row>
    <row r="6450" spans="4:54">
      <c r="D6450" s="806"/>
      <c r="F6450" s="806"/>
      <c r="W6450" s="806"/>
      <c r="AZ6450" s="806"/>
      <c r="BA6450" s="806"/>
      <c r="BB6450" s="806"/>
    </row>
    <row r="6451" spans="4:54">
      <c r="D6451" s="806"/>
      <c r="F6451" s="806"/>
      <c r="W6451" s="806"/>
      <c r="AZ6451" s="806"/>
      <c r="BA6451" s="806"/>
      <c r="BB6451" s="806"/>
    </row>
    <row r="6452" spans="4:54">
      <c r="D6452" s="806"/>
      <c r="F6452" s="806"/>
      <c r="W6452" s="806"/>
      <c r="AZ6452" s="806"/>
      <c r="BA6452" s="806"/>
      <c r="BB6452" s="806"/>
    </row>
    <row r="6453" spans="4:54">
      <c r="D6453" s="806"/>
      <c r="F6453" s="806"/>
      <c r="W6453" s="806"/>
      <c r="AZ6453" s="806"/>
      <c r="BA6453" s="806"/>
      <c r="BB6453" s="806"/>
    </row>
    <row r="6454" spans="4:54">
      <c r="D6454" s="806"/>
      <c r="F6454" s="806"/>
      <c r="W6454" s="806"/>
      <c r="AZ6454" s="806"/>
      <c r="BA6454" s="806"/>
      <c r="BB6454" s="806"/>
    </row>
    <row r="6455" spans="4:54">
      <c r="D6455" s="806"/>
      <c r="F6455" s="806"/>
      <c r="W6455" s="806"/>
      <c r="AZ6455" s="806"/>
      <c r="BA6455" s="806"/>
      <c r="BB6455" s="806"/>
    </row>
    <row r="6456" spans="4:54">
      <c r="D6456" s="806"/>
      <c r="F6456" s="806"/>
      <c r="W6456" s="806"/>
      <c r="AZ6456" s="806"/>
      <c r="BA6456" s="806"/>
      <c r="BB6456" s="806"/>
    </row>
    <row r="6457" spans="4:54">
      <c r="D6457" s="806"/>
      <c r="F6457" s="806"/>
      <c r="W6457" s="806"/>
      <c r="AZ6457" s="806"/>
      <c r="BA6457" s="806"/>
      <c r="BB6457" s="806"/>
    </row>
    <row r="6458" spans="4:54">
      <c r="D6458" s="806"/>
      <c r="F6458" s="806"/>
      <c r="W6458" s="806"/>
      <c r="AZ6458" s="806"/>
      <c r="BA6458" s="806"/>
      <c r="BB6458" s="806"/>
    </row>
    <row r="6459" spans="4:54">
      <c r="D6459" s="806"/>
      <c r="F6459" s="806"/>
      <c r="W6459" s="806"/>
      <c r="AZ6459" s="806"/>
      <c r="BA6459" s="806"/>
      <c r="BB6459" s="806"/>
    </row>
    <row r="6460" spans="4:54">
      <c r="D6460" s="806"/>
      <c r="F6460" s="806"/>
      <c r="W6460" s="806"/>
      <c r="AZ6460" s="806"/>
      <c r="BA6460" s="806"/>
      <c r="BB6460" s="806"/>
    </row>
    <row r="6461" spans="4:54">
      <c r="D6461" s="806"/>
      <c r="F6461" s="806"/>
      <c r="W6461" s="806"/>
      <c r="AZ6461" s="806"/>
      <c r="BA6461" s="806"/>
      <c r="BB6461" s="806"/>
    </row>
    <row r="6462" spans="4:54">
      <c r="D6462" s="806"/>
      <c r="F6462" s="806"/>
      <c r="W6462" s="806"/>
      <c r="AZ6462" s="806"/>
      <c r="BA6462" s="806"/>
      <c r="BB6462" s="806"/>
    </row>
    <row r="6463" spans="4:54">
      <c r="D6463" s="806"/>
      <c r="F6463" s="806"/>
      <c r="W6463" s="806"/>
      <c r="AZ6463" s="806"/>
      <c r="BA6463" s="806"/>
      <c r="BB6463" s="806"/>
    </row>
    <row r="6464" spans="4:54">
      <c r="D6464" s="806"/>
      <c r="F6464" s="806"/>
      <c r="W6464" s="806"/>
      <c r="AZ6464" s="806"/>
      <c r="BA6464" s="806"/>
      <c r="BB6464" s="806"/>
    </row>
    <row r="6465" spans="4:54">
      <c r="D6465" s="806"/>
      <c r="F6465" s="806"/>
      <c r="W6465" s="806"/>
      <c r="AZ6465" s="806"/>
      <c r="BA6465" s="806"/>
      <c r="BB6465" s="806"/>
    </row>
    <row r="6466" spans="4:54">
      <c r="D6466" s="806"/>
      <c r="F6466" s="806"/>
      <c r="W6466" s="806"/>
      <c r="AZ6466" s="806"/>
      <c r="BA6466" s="806"/>
      <c r="BB6466" s="806"/>
    </row>
    <row r="6467" spans="4:54">
      <c r="D6467" s="806"/>
      <c r="F6467" s="806"/>
      <c r="W6467" s="806"/>
      <c r="AZ6467" s="806"/>
      <c r="BA6467" s="806"/>
      <c r="BB6467" s="806"/>
    </row>
    <row r="6468" spans="4:54">
      <c r="D6468" s="806"/>
      <c r="F6468" s="806"/>
      <c r="W6468" s="806"/>
      <c r="AZ6468" s="806"/>
      <c r="BA6468" s="806"/>
      <c r="BB6468" s="806"/>
    </row>
    <row r="6469" spans="4:54">
      <c r="D6469" s="806"/>
      <c r="F6469" s="806"/>
      <c r="W6469" s="806"/>
      <c r="AZ6469" s="806"/>
      <c r="BA6469" s="806"/>
      <c r="BB6469" s="806"/>
    </row>
    <row r="6470" spans="4:54">
      <c r="D6470" s="806"/>
      <c r="F6470" s="806"/>
      <c r="W6470" s="806"/>
      <c r="AZ6470" s="806"/>
      <c r="BA6470" s="806"/>
      <c r="BB6470" s="806"/>
    </row>
    <row r="6471" spans="4:54">
      <c r="D6471" s="806"/>
      <c r="F6471" s="806"/>
      <c r="W6471" s="806"/>
      <c r="AZ6471" s="806"/>
      <c r="BA6471" s="806"/>
      <c r="BB6471" s="806"/>
    </row>
    <row r="6472" spans="4:54">
      <c r="D6472" s="806"/>
      <c r="F6472" s="806"/>
      <c r="W6472" s="806"/>
      <c r="AZ6472" s="806"/>
      <c r="BA6472" s="806"/>
      <c r="BB6472" s="806"/>
    </row>
    <row r="6473" spans="4:54">
      <c r="D6473" s="806"/>
      <c r="F6473" s="806"/>
      <c r="W6473" s="806"/>
      <c r="AZ6473" s="806"/>
      <c r="BA6473" s="806"/>
      <c r="BB6473" s="806"/>
    </row>
    <row r="6474" spans="4:54">
      <c r="D6474" s="806"/>
      <c r="F6474" s="806"/>
      <c r="W6474" s="806"/>
      <c r="AZ6474" s="806"/>
      <c r="BA6474" s="806"/>
      <c r="BB6474" s="806"/>
    </row>
    <row r="6475" spans="4:54">
      <c r="D6475" s="806"/>
      <c r="F6475" s="806"/>
      <c r="W6475" s="806"/>
      <c r="AZ6475" s="806"/>
      <c r="BA6475" s="806"/>
      <c r="BB6475" s="806"/>
    </row>
    <row r="6476" spans="4:54">
      <c r="D6476" s="806"/>
      <c r="F6476" s="806"/>
      <c r="W6476" s="806"/>
      <c r="AZ6476" s="806"/>
      <c r="BA6476" s="806"/>
      <c r="BB6476" s="806"/>
    </row>
    <row r="6477" spans="4:54">
      <c r="D6477" s="806"/>
      <c r="F6477" s="806"/>
      <c r="W6477" s="806"/>
      <c r="AZ6477" s="806"/>
      <c r="BA6477" s="806"/>
      <c r="BB6477" s="806"/>
    </row>
    <row r="6478" spans="4:54">
      <c r="D6478" s="806"/>
      <c r="F6478" s="806"/>
      <c r="W6478" s="806"/>
      <c r="AZ6478" s="806"/>
      <c r="BA6478" s="806"/>
      <c r="BB6478" s="806"/>
    </row>
    <row r="6479" spans="4:54">
      <c r="D6479" s="806"/>
      <c r="F6479" s="806"/>
      <c r="W6479" s="806"/>
      <c r="AZ6479" s="806"/>
      <c r="BA6479" s="806"/>
      <c r="BB6479" s="806"/>
    </row>
    <row r="6480" spans="4:54">
      <c r="D6480" s="806"/>
      <c r="F6480" s="806"/>
      <c r="W6480" s="806"/>
      <c r="AZ6480" s="806"/>
      <c r="BA6480" s="806"/>
      <c r="BB6480" s="806"/>
    </row>
    <row r="6481" spans="4:54">
      <c r="D6481" s="806"/>
      <c r="F6481" s="806"/>
      <c r="W6481" s="806"/>
      <c r="AZ6481" s="806"/>
      <c r="BA6481" s="806"/>
      <c r="BB6481" s="806"/>
    </row>
    <row r="6482" spans="4:54">
      <c r="D6482" s="806"/>
      <c r="F6482" s="806"/>
      <c r="W6482" s="806"/>
      <c r="AZ6482" s="806"/>
      <c r="BA6482" s="806"/>
      <c r="BB6482" s="806"/>
    </row>
    <row r="6483" spans="4:54">
      <c r="D6483" s="806"/>
      <c r="F6483" s="806"/>
      <c r="W6483" s="806"/>
      <c r="AZ6483" s="806"/>
      <c r="BA6483" s="806"/>
      <c r="BB6483" s="806"/>
    </row>
    <row r="6484" spans="4:54">
      <c r="D6484" s="806"/>
      <c r="F6484" s="806"/>
      <c r="W6484" s="806"/>
      <c r="AZ6484" s="806"/>
      <c r="BA6484" s="806"/>
      <c r="BB6484" s="806"/>
    </row>
    <row r="6485" spans="4:54">
      <c r="D6485" s="806"/>
      <c r="F6485" s="806"/>
      <c r="W6485" s="806"/>
      <c r="AZ6485" s="806"/>
      <c r="BA6485" s="806"/>
      <c r="BB6485" s="806"/>
    </row>
    <row r="6497" spans="4:54">
      <c r="D6497" s="806"/>
      <c r="F6497" s="806"/>
      <c r="W6497" s="806"/>
      <c r="AZ6497" s="806"/>
      <c r="BA6497" s="806"/>
      <c r="BB6497" s="806"/>
    </row>
    <row r="6498" spans="4:54">
      <c r="D6498" s="806"/>
      <c r="F6498" s="806"/>
      <c r="W6498" s="806"/>
      <c r="AZ6498" s="806"/>
      <c r="BA6498" s="806"/>
      <c r="BB6498" s="806"/>
    </row>
    <row r="6499" spans="4:54">
      <c r="D6499" s="806"/>
      <c r="F6499" s="806"/>
      <c r="W6499" s="806"/>
      <c r="AZ6499" s="806"/>
      <c r="BA6499" s="806"/>
      <c r="BB6499" s="806"/>
    </row>
    <row r="6500" spans="4:54">
      <c r="D6500" s="806"/>
      <c r="F6500" s="806"/>
      <c r="W6500" s="806"/>
      <c r="AZ6500" s="806"/>
      <c r="BA6500" s="806"/>
      <c r="BB6500" s="806"/>
    </row>
    <row r="6501" spans="4:54">
      <c r="D6501" s="806"/>
      <c r="F6501" s="806"/>
      <c r="W6501" s="806"/>
      <c r="AZ6501" s="806"/>
      <c r="BA6501" s="806"/>
      <c r="BB6501" s="806"/>
    </row>
    <row r="6502" spans="4:54">
      <c r="D6502" s="806"/>
      <c r="F6502" s="806"/>
      <c r="W6502" s="806"/>
      <c r="AZ6502" s="806"/>
      <c r="BA6502" s="806"/>
      <c r="BB6502" s="806"/>
    </row>
    <row r="6503" spans="4:54">
      <c r="D6503" s="806"/>
      <c r="F6503" s="806"/>
      <c r="W6503" s="806"/>
      <c r="AZ6503" s="806"/>
      <c r="BA6503" s="806"/>
      <c r="BB6503" s="806"/>
    </row>
    <row r="6504" spans="4:54">
      <c r="D6504" s="806"/>
      <c r="F6504" s="806"/>
      <c r="W6504" s="806"/>
      <c r="AZ6504" s="806"/>
      <c r="BA6504" s="806"/>
      <c r="BB6504" s="806"/>
    </row>
    <row r="6505" spans="4:54">
      <c r="D6505" s="806"/>
      <c r="F6505" s="806"/>
      <c r="W6505" s="806"/>
      <c r="AZ6505" s="806"/>
      <c r="BA6505" s="806"/>
      <c r="BB6505" s="806"/>
    </row>
    <row r="6506" spans="4:54">
      <c r="D6506" s="806"/>
      <c r="F6506" s="806"/>
      <c r="W6506" s="806"/>
      <c r="AZ6506" s="806"/>
      <c r="BA6506" s="806"/>
      <c r="BB6506" s="806"/>
    </row>
    <row r="6507" spans="4:54">
      <c r="D6507" s="806"/>
      <c r="F6507" s="806"/>
      <c r="W6507" s="806"/>
      <c r="AZ6507" s="806"/>
      <c r="BA6507" s="806"/>
      <c r="BB6507" s="806"/>
    </row>
    <row r="6508" spans="4:54">
      <c r="D6508" s="806"/>
      <c r="F6508" s="806"/>
      <c r="W6508" s="806"/>
      <c r="AZ6508" s="806"/>
      <c r="BA6508" s="806"/>
      <c r="BB6508" s="806"/>
    </row>
    <row r="6509" spans="4:54">
      <c r="D6509" s="806"/>
      <c r="F6509" s="806"/>
      <c r="W6509" s="806"/>
      <c r="AZ6509" s="806"/>
      <c r="BA6509" s="806"/>
      <c r="BB6509" s="806"/>
    </row>
    <row r="6510" spans="4:54">
      <c r="D6510" s="806"/>
      <c r="F6510" s="806"/>
      <c r="W6510" s="806"/>
      <c r="AZ6510" s="806"/>
      <c r="BA6510" s="806"/>
      <c r="BB6510" s="806"/>
    </row>
    <row r="6511" spans="4:54">
      <c r="D6511" s="806"/>
      <c r="F6511" s="806"/>
      <c r="W6511" s="806"/>
      <c r="AZ6511" s="806"/>
      <c r="BA6511" s="806"/>
      <c r="BB6511" s="806"/>
    </row>
    <row r="6512" spans="4:54">
      <c r="D6512" s="806"/>
      <c r="F6512" s="806"/>
      <c r="W6512" s="806"/>
      <c r="AZ6512" s="806"/>
      <c r="BA6512" s="806"/>
      <c r="BB6512" s="806"/>
    </row>
    <row r="6513" spans="4:54">
      <c r="D6513" s="806"/>
      <c r="F6513" s="806"/>
      <c r="W6513" s="806"/>
      <c r="AZ6513" s="806"/>
      <c r="BA6513" s="806"/>
      <c r="BB6513" s="806"/>
    </row>
    <row r="6514" spans="4:54">
      <c r="D6514" s="806"/>
      <c r="F6514" s="806"/>
      <c r="W6514" s="806"/>
      <c r="AZ6514" s="806"/>
      <c r="BA6514" s="806"/>
      <c r="BB6514" s="806"/>
    </row>
    <row r="6515" spans="4:54">
      <c r="D6515" s="806"/>
      <c r="F6515" s="806"/>
      <c r="W6515" s="806"/>
      <c r="AZ6515" s="806"/>
      <c r="BA6515" s="806"/>
      <c r="BB6515" s="806"/>
    </row>
    <row r="6516" spans="4:54">
      <c r="D6516" s="806"/>
      <c r="F6516" s="806"/>
      <c r="W6516" s="806"/>
      <c r="AZ6516" s="806"/>
      <c r="BA6516" s="806"/>
      <c r="BB6516" s="806"/>
    </row>
    <row r="6517" spans="4:54">
      <c r="D6517" s="806"/>
      <c r="F6517" s="806"/>
      <c r="W6517" s="806"/>
      <c r="AZ6517" s="806"/>
      <c r="BA6517" s="806"/>
      <c r="BB6517" s="806"/>
    </row>
    <row r="6518" spans="4:54">
      <c r="D6518" s="806"/>
      <c r="F6518" s="806"/>
      <c r="W6518" s="806"/>
      <c r="AZ6518" s="806"/>
      <c r="BA6518" s="806"/>
      <c r="BB6518" s="806"/>
    </row>
    <row r="6519" spans="4:54">
      <c r="D6519" s="806"/>
      <c r="F6519" s="806"/>
      <c r="W6519" s="806"/>
      <c r="AZ6519" s="806"/>
      <c r="BA6519" s="806"/>
      <c r="BB6519" s="806"/>
    </row>
    <row r="6520" spans="4:54">
      <c r="D6520" s="806"/>
      <c r="F6520" s="806"/>
      <c r="W6520" s="806"/>
      <c r="AZ6520" s="806"/>
      <c r="BA6520" s="806"/>
      <c r="BB6520" s="806"/>
    </row>
    <row r="6521" spans="4:54">
      <c r="D6521" s="806"/>
      <c r="F6521" s="806"/>
      <c r="W6521" s="806"/>
      <c r="AZ6521" s="806"/>
      <c r="BA6521" s="806"/>
      <c r="BB6521" s="806"/>
    </row>
    <row r="6522" spans="4:54">
      <c r="D6522" s="806"/>
      <c r="F6522" s="806"/>
      <c r="W6522" s="806"/>
      <c r="AZ6522" s="806"/>
      <c r="BA6522" s="806"/>
      <c r="BB6522" s="806"/>
    </row>
    <row r="6523" spans="4:54">
      <c r="D6523" s="806"/>
      <c r="F6523" s="806"/>
      <c r="W6523" s="806"/>
      <c r="AZ6523" s="806"/>
      <c r="BA6523" s="806"/>
      <c r="BB6523" s="806"/>
    </row>
    <row r="6524" spans="4:54">
      <c r="D6524" s="806"/>
      <c r="F6524" s="806"/>
      <c r="W6524" s="806"/>
      <c r="AZ6524" s="806"/>
      <c r="BA6524" s="806"/>
      <c r="BB6524" s="806"/>
    </row>
    <row r="6525" spans="4:54">
      <c r="D6525" s="806"/>
      <c r="F6525" s="806"/>
      <c r="W6525" s="806"/>
      <c r="AZ6525" s="806"/>
      <c r="BA6525" s="806"/>
      <c r="BB6525" s="806"/>
    </row>
    <row r="6526" spans="4:54">
      <c r="D6526" s="806"/>
      <c r="F6526" s="806"/>
      <c r="W6526" s="806"/>
      <c r="AZ6526" s="806"/>
      <c r="BA6526" s="806"/>
      <c r="BB6526" s="806"/>
    </row>
    <row r="6527" spans="4:54">
      <c r="D6527" s="806"/>
      <c r="F6527" s="806"/>
      <c r="W6527" s="806"/>
      <c r="AZ6527" s="806"/>
      <c r="BA6527" s="806"/>
      <c r="BB6527" s="806"/>
    </row>
    <row r="6528" spans="4:54">
      <c r="D6528" s="806"/>
      <c r="F6528" s="806"/>
      <c r="W6528" s="806"/>
      <c r="AZ6528" s="806"/>
      <c r="BA6528" s="806"/>
      <c r="BB6528" s="806"/>
    </row>
    <row r="6529" spans="4:54">
      <c r="D6529" s="806"/>
      <c r="F6529" s="806"/>
      <c r="W6529" s="806"/>
      <c r="AZ6529" s="806"/>
      <c r="BA6529" s="806"/>
      <c r="BB6529" s="806"/>
    </row>
    <row r="6530" spans="4:54">
      <c r="D6530" s="806"/>
      <c r="F6530" s="806"/>
      <c r="W6530" s="806"/>
      <c r="AZ6530" s="806"/>
      <c r="BA6530" s="806"/>
      <c r="BB6530" s="806"/>
    </row>
    <row r="6531" spans="4:54">
      <c r="D6531" s="806"/>
      <c r="F6531" s="806"/>
      <c r="W6531" s="806"/>
      <c r="AZ6531" s="806"/>
      <c r="BA6531" s="806"/>
      <c r="BB6531" s="806"/>
    </row>
    <row r="6532" spans="4:54">
      <c r="D6532" s="806"/>
      <c r="F6532" s="806"/>
      <c r="W6532" s="806"/>
      <c r="AZ6532" s="806"/>
      <c r="BA6532" s="806"/>
      <c r="BB6532" s="806"/>
    </row>
    <row r="6533" spans="4:54">
      <c r="D6533" s="806"/>
      <c r="F6533" s="806"/>
      <c r="W6533" s="806"/>
      <c r="AZ6533" s="806"/>
      <c r="BA6533" s="806"/>
      <c r="BB6533" s="806"/>
    </row>
    <row r="6534" spans="4:54">
      <c r="D6534" s="806"/>
      <c r="F6534" s="806"/>
      <c r="W6534" s="806"/>
      <c r="AZ6534" s="806"/>
      <c r="BA6534" s="806"/>
      <c r="BB6534" s="806"/>
    </row>
    <row r="6535" spans="4:54">
      <c r="D6535" s="806"/>
      <c r="F6535" s="806"/>
      <c r="W6535" s="806"/>
      <c r="AZ6535" s="806"/>
      <c r="BA6535" s="806"/>
      <c r="BB6535" s="806"/>
    </row>
    <row r="6536" spans="4:54">
      <c r="D6536" s="806"/>
      <c r="F6536" s="806"/>
      <c r="W6536" s="806"/>
      <c r="AZ6536" s="806"/>
      <c r="BA6536" s="806"/>
      <c r="BB6536" s="806"/>
    </row>
    <row r="6537" spans="4:54">
      <c r="D6537" s="806"/>
      <c r="F6537" s="806"/>
      <c r="W6537" s="806"/>
      <c r="AZ6537" s="806"/>
      <c r="BA6537" s="806"/>
      <c r="BB6537" s="806"/>
    </row>
    <row r="6538" spans="4:54">
      <c r="D6538" s="806"/>
      <c r="F6538" s="806"/>
      <c r="W6538" s="806"/>
      <c r="AZ6538" s="806"/>
      <c r="BA6538" s="806"/>
      <c r="BB6538" s="806"/>
    </row>
    <row r="6539" spans="4:54">
      <c r="D6539" s="806"/>
      <c r="F6539" s="806"/>
      <c r="W6539" s="806"/>
      <c r="AZ6539" s="806"/>
      <c r="BA6539" s="806"/>
      <c r="BB6539" s="806"/>
    </row>
    <row r="6540" spans="4:54">
      <c r="D6540" s="806"/>
      <c r="F6540" s="806"/>
      <c r="W6540" s="806"/>
      <c r="AZ6540" s="806"/>
      <c r="BA6540" s="806"/>
      <c r="BB6540" s="806"/>
    </row>
    <row r="6541" spans="4:54">
      <c r="D6541" s="806"/>
      <c r="F6541" s="806"/>
      <c r="W6541" s="806"/>
      <c r="AZ6541" s="806"/>
      <c r="BA6541" s="806"/>
      <c r="BB6541" s="806"/>
    </row>
    <row r="6542" spans="4:54">
      <c r="D6542" s="806"/>
      <c r="F6542" s="806"/>
      <c r="W6542" s="806"/>
      <c r="AZ6542" s="806"/>
      <c r="BA6542" s="806"/>
      <c r="BB6542" s="806"/>
    </row>
    <row r="6543" spans="4:54">
      <c r="D6543" s="806"/>
      <c r="F6543" s="806"/>
      <c r="W6543" s="806"/>
      <c r="AZ6543" s="806"/>
      <c r="BA6543" s="806"/>
      <c r="BB6543" s="806"/>
    </row>
    <row r="6544" spans="4:54">
      <c r="D6544" s="806"/>
      <c r="F6544" s="806"/>
      <c r="W6544" s="806"/>
      <c r="AZ6544" s="806"/>
      <c r="BA6544" s="806"/>
      <c r="BB6544" s="806"/>
    </row>
    <row r="6545" spans="4:54">
      <c r="D6545" s="806"/>
      <c r="F6545" s="806"/>
      <c r="W6545" s="806"/>
      <c r="AZ6545" s="806"/>
      <c r="BA6545" s="806"/>
      <c r="BB6545" s="806"/>
    </row>
    <row r="6546" spans="4:54">
      <c r="D6546" s="806"/>
      <c r="F6546" s="806"/>
      <c r="W6546" s="806"/>
      <c r="AZ6546" s="806"/>
      <c r="BA6546" s="806"/>
      <c r="BB6546" s="806"/>
    </row>
    <row r="6547" spans="4:54">
      <c r="D6547" s="806"/>
      <c r="F6547" s="806"/>
      <c r="W6547" s="806"/>
      <c r="AZ6547" s="806"/>
      <c r="BA6547" s="806"/>
      <c r="BB6547" s="806"/>
    </row>
    <row r="6548" spans="4:54">
      <c r="D6548" s="806"/>
      <c r="F6548" s="806"/>
      <c r="W6548" s="806"/>
      <c r="AZ6548" s="806"/>
      <c r="BA6548" s="806"/>
      <c r="BB6548" s="806"/>
    </row>
    <row r="6549" spans="4:54">
      <c r="D6549" s="806"/>
      <c r="F6549" s="806"/>
      <c r="W6549" s="806"/>
      <c r="AZ6549" s="806"/>
      <c r="BA6549" s="806"/>
      <c r="BB6549" s="806"/>
    </row>
    <row r="6550" spans="4:54">
      <c r="D6550" s="806"/>
      <c r="F6550" s="806"/>
      <c r="W6550" s="806"/>
      <c r="AZ6550" s="806"/>
      <c r="BA6550" s="806"/>
      <c r="BB6550" s="806"/>
    </row>
    <row r="6551" spans="4:54">
      <c r="D6551" s="806"/>
      <c r="F6551" s="806"/>
      <c r="W6551" s="806"/>
      <c r="AZ6551" s="806"/>
      <c r="BA6551" s="806"/>
      <c r="BB6551" s="806"/>
    </row>
    <row r="6552" spans="4:54">
      <c r="D6552" s="806"/>
      <c r="F6552" s="806"/>
      <c r="W6552" s="806"/>
      <c r="AZ6552" s="806"/>
      <c r="BA6552" s="806"/>
      <c r="BB6552" s="806"/>
    </row>
    <row r="6553" spans="4:54">
      <c r="D6553" s="806"/>
      <c r="F6553" s="806"/>
      <c r="W6553" s="806"/>
      <c r="AZ6553" s="806"/>
      <c r="BA6553" s="806"/>
      <c r="BB6553" s="806"/>
    </row>
    <row r="6554" spans="4:54">
      <c r="D6554" s="806"/>
      <c r="F6554" s="806"/>
      <c r="W6554" s="806"/>
      <c r="AZ6554" s="806"/>
      <c r="BA6554" s="806"/>
      <c r="BB6554" s="806"/>
    </row>
    <row r="6555" spans="4:54">
      <c r="D6555" s="806"/>
      <c r="F6555" s="806"/>
      <c r="W6555" s="806"/>
      <c r="AZ6555" s="806"/>
      <c r="BA6555" s="806"/>
      <c r="BB6555" s="806"/>
    </row>
    <row r="6556" spans="4:54">
      <c r="D6556" s="806"/>
      <c r="F6556" s="806"/>
      <c r="W6556" s="806"/>
      <c r="AZ6556" s="806"/>
      <c r="BA6556" s="806"/>
      <c r="BB6556" s="806"/>
    </row>
    <row r="6557" spans="4:54">
      <c r="D6557" s="806"/>
      <c r="F6557" s="806"/>
      <c r="W6557" s="806"/>
      <c r="AZ6557" s="806"/>
      <c r="BA6557" s="806"/>
      <c r="BB6557" s="806"/>
    </row>
    <row r="6558" spans="4:54">
      <c r="D6558" s="806"/>
      <c r="F6558" s="806"/>
      <c r="W6558" s="806"/>
      <c r="AZ6558" s="806"/>
      <c r="BA6558" s="806"/>
      <c r="BB6558" s="806"/>
    </row>
    <row r="6559" spans="4:54">
      <c r="D6559" s="806"/>
      <c r="F6559" s="806"/>
      <c r="W6559" s="806"/>
      <c r="AZ6559" s="806"/>
      <c r="BA6559" s="806"/>
      <c r="BB6559" s="806"/>
    </row>
    <row r="6560" spans="4:54">
      <c r="D6560" s="806"/>
      <c r="F6560" s="806"/>
      <c r="W6560" s="806"/>
      <c r="AZ6560" s="806"/>
      <c r="BA6560" s="806"/>
      <c r="BB6560" s="806"/>
    </row>
    <row r="6561" spans="4:54">
      <c r="D6561" s="806"/>
      <c r="F6561" s="806"/>
      <c r="W6561" s="806"/>
      <c r="AZ6561" s="806"/>
      <c r="BA6561" s="806"/>
      <c r="BB6561" s="806"/>
    </row>
    <row r="6562" spans="4:54">
      <c r="D6562" s="806"/>
      <c r="F6562" s="806"/>
      <c r="W6562" s="806"/>
      <c r="AZ6562" s="806"/>
      <c r="BA6562" s="806"/>
      <c r="BB6562" s="806"/>
    </row>
    <row r="6563" spans="4:54">
      <c r="D6563" s="806"/>
      <c r="F6563" s="806"/>
      <c r="W6563" s="806"/>
      <c r="AZ6563" s="806"/>
      <c r="BA6563" s="806"/>
      <c r="BB6563" s="806"/>
    </row>
    <row r="6564" spans="4:54">
      <c r="D6564" s="806"/>
      <c r="F6564" s="806"/>
      <c r="W6564" s="806"/>
      <c r="AZ6564" s="806"/>
      <c r="BA6564" s="806"/>
      <c r="BB6564" s="806"/>
    </row>
    <row r="6565" spans="4:54">
      <c r="D6565" s="806"/>
      <c r="F6565" s="806"/>
      <c r="W6565" s="806"/>
      <c r="AZ6565" s="806"/>
      <c r="BA6565" s="806"/>
      <c r="BB6565" s="806"/>
    </row>
    <row r="6566" spans="4:54">
      <c r="D6566" s="806"/>
      <c r="F6566" s="806"/>
      <c r="W6566" s="806"/>
      <c r="AZ6566" s="806"/>
      <c r="BA6566" s="806"/>
      <c r="BB6566" s="806"/>
    </row>
    <row r="6567" spans="4:54">
      <c r="D6567" s="806"/>
      <c r="F6567" s="806"/>
      <c r="W6567" s="806"/>
      <c r="AZ6567" s="806"/>
      <c r="BA6567" s="806"/>
      <c r="BB6567" s="806"/>
    </row>
    <row r="6568" spans="4:54">
      <c r="D6568" s="806"/>
      <c r="F6568" s="806"/>
      <c r="W6568" s="806"/>
      <c r="AZ6568" s="806"/>
      <c r="BA6568" s="806"/>
      <c r="BB6568" s="806"/>
    </row>
    <row r="6569" spans="4:54">
      <c r="D6569" s="806"/>
      <c r="F6569" s="806"/>
      <c r="W6569" s="806"/>
      <c r="AZ6569" s="806"/>
      <c r="BA6569" s="806"/>
      <c r="BB6569" s="806"/>
    </row>
    <row r="6570" spans="4:54">
      <c r="D6570" s="806"/>
      <c r="F6570" s="806"/>
      <c r="W6570" s="806"/>
      <c r="AZ6570" s="806"/>
      <c r="BA6570" s="806"/>
      <c r="BB6570" s="806"/>
    </row>
    <row r="6571" spans="4:54">
      <c r="D6571" s="806"/>
      <c r="F6571" s="806"/>
      <c r="W6571" s="806"/>
      <c r="AZ6571" s="806"/>
      <c r="BA6571" s="806"/>
      <c r="BB6571" s="806"/>
    </row>
    <row r="6572" spans="4:54">
      <c r="D6572" s="806"/>
      <c r="F6572" s="806"/>
      <c r="W6572" s="806"/>
      <c r="AZ6572" s="806"/>
      <c r="BA6572" s="806"/>
      <c r="BB6572" s="806"/>
    </row>
    <row r="6573" spans="4:54">
      <c r="D6573" s="806"/>
      <c r="F6573" s="806"/>
      <c r="W6573" s="806"/>
      <c r="AZ6573" s="806"/>
      <c r="BA6573" s="806"/>
      <c r="BB6573" s="806"/>
    </row>
    <row r="6574" spans="4:54">
      <c r="D6574" s="806"/>
      <c r="F6574" s="806"/>
      <c r="W6574" s="806"/>
      <c r="AZ6574" s="806"/>
      <c r="BA6574" s="806"/>
      <c r="BB6574" s="806"/>
    </row>
    <row r="6575" spans="4:54">
      <c r="D6575" s="806"/>
      <c r="F6575" s="806"/>
      <c r="W6575" s="806"/>
      <c r="AZ6575" s="806"/>
      <c r="BA6575" s="806"/>
      <c r="BB6575" s="806"/>
    </row>
    <row r="6576" spans="4:54">
      <c r="D6576" s="806"/>
      <c r="F6576" s="806"/>
      <c r="W6576" s="806"/>
      <c r="AZ6576" s="806"/>
      <c r="BA6576" s="806"/>
      <c r="BB6576" s="806"/>
    </row>
    <row r="6577" spans="4:54">
      <c r="D6577" s="806"/>
      <c r="F6577" s="806"/>
      <c r="W6577" s="806"/>
      <c r="AZ6577" s="806"/>
      <c r="BA6577" s="806"/>
      <c r="BB6577" s="806"/>
    </row>
    <row r="6578" spans="4:54">
      <c r="D6578" s="806"/>
      <c r="F6578" s="806"/>
      <c r="W6578" s="806"/>
      <c r="AZ6578" s="806"/>
      <c r="BA6578" s="806"/>
      <c r="BB6578" s="806"/>
    </row>
    <row r="6579" spans="4:54">
      <c r="D6579" s="806"/>
      <c r="F6579" s="806"/>
      <c r="W6579" s="806"/>
      <c r="AZ6579" s="806"/>
      <c r="BA6579" s="806"/>
      <c r="BB6579" s="806"/>
    </row>
    <row r="6580" spans="4:54">
      <c r="D6580" s="806"/>
      <c r="F6580" s="806"/>
      <c r="W6580" s="806"/>
      <c r="AZ6580" s="806"/>
      <c r="BA6580" s="806"/>
      <c r="BB6580" s="806"/>
    </row>
    <row r="6581" spans="4:54">
      <c r="D6581" s="806"/>
      <c r="F6581" s="806"/>
      <c r="W6581" s="806"/>
      <c r="AZ6581" s="806"/>
      <c r="BA6581" s="806"/>
      <c r="BB6581" s="806"/>
    </row>
    <row r="6582" spans="4:54">
      <c r="D6582" s="806"/>
      <c r="F6582" s="806"/>
      <c r="W6582" s="806"/>
      <c r="AZ6582" s="806"/>
      <c r="BA6582" s="806"/>
      <c r="BB6582" s="806"/>
    </row>
    <row r="6583" spans="4:54">
      <c r="D6583" s="806"/>
      <c r="F6583" s="806"/>
      <c r="W6583" s="806"/>
      <c r="AZ6583" s="806"/>
      <c r="BA6583" s="806"/>
      <c r="BB6583" s="806"/>
    </row>
    <row r="6584" spans="4:54">
      <c r="D6584" s="806"/>
      <c r="F6584" s="806"/>
      <c r="W6584" s="806"/>
      <c r="AZ6584" s="806"/>
      <c r="BA6584" s="806"/>
      <c r="BB6584" s="806"/>
    </row>
    <row r="6585" spans="4:54">
      <c r="D6585" s="806"/>
      <c r="F6585" s="806"/>
      <c r="W6585" s="806"/>
      <c r="AZ6585" s="806"/>
      <c r="BA6585" s="806"/>
      <c r="BB6585" s="806"/>
    </row>
    <row r="6586" spans="4:54">
      <c r="D6586" s="806"/>
      <c r="F6586" s="806"/>
      <c r="W6586" s="806"/>
      <c r="AZ6586" s="806"/>
      <c r="BA6586" s="806"/>
      <c r="BB6586" s="806"/>
    </row>
    <row r="6587" spans="4:54">
      <c r="D6587" s="806"/>
      <c r="F6587" s="806"/>
      <c r="W6587" s="806"/>
      <c r="AZ6587" s="806"/>
      <c r="BA6587" s="806"/>
      <c r="BB6587" s="806"/>
    </row>
    <row r="6588" spans="4:54">
      <c r="D6588" s="806"/>
      <c r="F6588" s="806"/>
      <c r="W6588" s="806"/>
      <c r="AZ6588" s="806"/>
      <c r="BA6588" s="806"/>
      <c r="BB6588" s="806"/>
    </row>
    <row r="6589" spans="4:54">
      <c r="D6589" s="806"/>
      <c r="F6589" s="806"/>
      <c r="W6589" s="806"/>
      <c r="AZ6589" s="806"/>
      <c r="BA6589" s="806"/>
      <c r="BB6589" s="806"/>
    </row>
    <row r="6590" spans="4:54">
      <c r="D6590" s="806"/>
      <c r="F6590" s="806"/>
      <c r="W6590" s="806"/>
      <c r="AZ6590" s="806"/>
      <c r="BA6590" s="806"/>
      <c r="BB6590" s="806"/>
    </row>
    <row r="6591" spans="4:54">
      <c r="D6591" s="806"/>
      <c r="F6591" s="806"/>
      <c r="W6591" s="806"/>
      <c r="AZ6591" s="806"/>
      <c r="BA6591" s="806"/>
      <c r="BB6591" s="806"/>
    </row>
    <row r="6592" spans="4:54">
      <c r="D6592" s="806"/>
      <c r="F6592" s="806"/>
      <c r="W6592" s="806"/>
      <c r="AZ6592" s="806"/>
      <c r="BA6592" s="806"/>
      <c r="BB6592" s="806"/>
    </row>
    <row r="6593" spans="4:54">
      <c r="D6593" s="806"/>
      <c r="F6593" s="806"/>
      <c r="W6593" s="806"/>
      <c r="AZ6593" s="806"/>
      <c r="BA6593" s="806"/>
      <c r="BB6593" s="806"/>
    </row>
    <row r="6594" spans="4:54">
      <c r="D6594" s="806"/>
      <c r="F6594" s="806"/>
      <c r="W6594" s="806"/>
      <c r="AZ6594" s="806"/>
      <c r="BA6594" s="806"/>
      <c r="BB6594" s="806"/>
    </row>
    <row r="6595" spans="4:54">
      <c r="D6595" s="806"/>
      <c r="F6595" s="806"/>
      <c r="W6595" s="806"/>
      <c r="AZ6595" s="806"/>
      <c r="BA6595" s="806"/>
      <c r="BB6595" s="806"/>
    </row>
    <row r="6596" spans="4:54">
      <c r="D6596" s="806"/>
      <c r="F6596" s="806"/>
      <c r="W6596" s="806"/>
      <c r="AZ6596" s="806"/>
      <c r="BA6596" s="806"/>
      <c r="BB6596" s="806"/>
    </row>
    <row r="6597" spans="4:54">
      <c r="D6597" s="806"/>
      <c r="F6597" s="806"/>
      <c r="W6597" s="806"/>
      <c r="AZ6597" s="806"/>
      <c r="BA6597" s="806"/>
      <c r="BB6597" s="806"/>
    </row>
    <row r="6598" spans="4:54">
      <c r="D6598" s="806"/>
      <c r="F6598" s="806"/>
      <c r="W6598" s="806"/>
      <c r="AZ6598" s="806"/>
      <c r="BA6598" s="806"/>
      <c r="BB6598" s="806"/>
    </row>
    <row r="6599" spans="4:54">
      <c r="D6599" s="806"/>
      <c r="F6599" s="806"/>
      <c r="W6599" s="806"/>
      <c r="AZ6599" s="806"/>
      <c r="BA6599" s="806"/>
      <c r="BB6599" s="806"/>
    </row>
    <row r="6600" spans="4:54">
      <c r="D6600" s="806"/>
      <c r="F6600" s="806"/>
      <c r="W6600" s="806"/>
      <c r="AZ6600" s="806"/>
      <c r="BA6600" s="806"/>
      <c r="BB6600" s="806"/>
    </row>
    <row r="6601" spans="4:54">
      <c r="D6601" s="806"/>
      <c r="F6601" s="806"/>
      <c r="W6601" s="806"/>
      <c r="AZ6601" s="806"/>
      <c r="BA6601" s="806"/>
      <c r="BB6601" s="806"/>
    </row>
    <row r="6602" spans="4:54">
      <c r="D6602" s="806"/>
      <c r="F6602" s="806"/>
      <c r="W6602" s="806"/>
      <c r="AZ6602" s="806"/>
      <c r="BA6602" s="806"/>
      <c r="BB6602" s="806"/>
    </row>
    <row r="6603" spans="4:54">
      <c r="D6603" s="806"/>
      <c r="F6603" s="806"/>
      <c r="W6603" s="806"/>
      <c r="AZ6603" s="806"/>
      <c r="BA6603" s="806"/>
      <c r="BB6603" s="806"/>
    </row>
    <row r="6604" spans="4:54">
      <c r="D6604" s="806"/>
      <c r="F6604" s="806"/>
      <c r="W6604" s="806"/>
      <c r="AZ6604" s="806"/>
      <c r="BA6604" s="806"/>
      <c r="BB6604" s="806"/>
    </row>
    <row r="6605" spans="4:54">
      <c r="D6605" s="806"/>
      <c r="F6605" s="806"/>
      <c r="W6605" s="806"/>
      <c r="AZ6605" s="806"/>
      <c r="BA6605" s="806"/>
      <c r="BB6605" s="806"/>
    </row>
    <row r="6606" spans="4:54">
      <c r="D6606" s="806"/>
      <c r="F6606" s="806"/>
      <c r="W6606" s="806"/>
      <c r="AZ6606" s="806"/>
      <c r="BA6606" s="806"/>
      <c r="BB6606" s="806"/>
    </row>
    <row r="6607" spans="4:54">
      <c r="D6607" s="806"/>
      <c r="F6607" s="806"/>
      <c r="W6607" s="806"/>
      <c r="AZ6607" s="806"/>
      <c r="BA6607" s="806"/>
      <c r="BB6607" s="806"/>
    </row>
    <row r="6608" spans="4:54">
      <c r="D6608" s="806"/>
      <c r="F6608" s="806"/>
      <c r="W6608" s="806"/>
      <c r="AZ6608" s="806"/>
      <c r="BA6608" s="806"/>
      <c r="BB6608" s="806"/>
    </row>
    <row r="6609" spans="4:54">
      <c r="D6609" s="806"/>
      <c r="F6609" s="806"/>
      <c r="W6609" s="806"/>
      <c r="AZ6609" s="806"/>
      <c r="BA6609" s="806"/>
      <c r="BB6609" s="806"/>
    </row>
    <row r="6610" spans="4:54">
      <c r="D6610" s="806"/>
      <c r="F6610" s="806"/>
      <c r="W6610" s="806"/>
      <c r="AZ6610" s="806"/>
      <c r="BA6610" s="806"/>
      <c r="BB6610" s="806"/>
    </row>
    <row r="6611" spans="4:54">
      <c r="D6611" s="806"/>
      <c r="F6611" s="806"/>
      <c r="W6611" s="806"/>
      <c r="AZ6611" s="806"/>
      <c r="BA6611" s="806"/>
      <c r="BB6611" s="806"/>
    </row>
    <row r="6612" spans="4:54">
      <c r="D6612" s="806"/>
      <c r="F6612" s="806"/>
      <c r="W6612" s="806"/>
      <c r="AZ6612" s="806"/>
      <c r="BA6612" s="806"/>
      <c r="BB6612" s="806"/>
    </row>
    <row r="6613" spans="4:54">
      <c r="D6613" s="806"/>
      <c r="F6613" s="806"/>
      <c r="W6613" s="806"/>
      <c r="AZ6613" s="806"/>
      <c r="BA6613" s="806"/>
      <c r="BB6613" s="806"/>
    </row>
    <row r="6614" spans="4:54">
      <c r="D6614" s="806"/>
      <c r="F6614" s="806"/>
      <c r="W6614" s="806"/>
      <c r="AZ6614" s="806"/>
      <c r="BA6614" s="806"/>
      <c r="BB6614" s="806"/>
    </row>
    <row r="6615" spans="4:54">
      <c r="D6615" s="806"/>
      <c r="F6615" s="806"/>
      <c r="W6615" s="806"/>
      <c r="AZ6615" s="806"/>
      <c r="BA6615" s="806"/>
      <c r="BB6615" s="806"/>
    </row>
    <row r="6616" spans="4:54">
      <c r="D6616" s="806"/>
      <c r="F6616" s="806"/>
      <c r="W6616" s="806"/>
      <c r="AZ6616" s="806"/>
      <c r="BA6616" s="806"/>
      <c r="BB6616" s="806"/>
    </row>
    <row r="6617" spans="4:54">
      <c r="D6617" s="806"/>
      <c r="F6617" s="806"/>
      <c r="W6617" s="806"/>
      <c r="AZ6617" s="806"/>
      <c r="BA6617" s="806"/>
      <c r="BB6617" s="806"/>
    </row>
    <row r="6618" spans="4:54">
      <c r="D6618" s="806"/>
      <c r="F6618" s="806"/>
      <c r="W6618" s="806"/>
      <c r="AZ6618" s="806"/>
      <c r="BA6618" s="806"/>
      <c r="BB6618" s="806"/>
    </row>
    <row r="6619" spans="4:54">
      <c r="D6619" s="806"/>
      <c r="F6619" s="806"/>
      <c r="W6619" s="806"/>
      <c r="AZ6619" s="806"/>
      <c r="BA6619" s="806"/>
      <c r="BB6619" s="806"/>
    </row>
    <row r="6620" spans="4:54">
      <c r="D6620" s="806"/>
      <c r="F6620" s="806"/>
      <c r="W6620" s="806"/>
      <c r="AZ6620" s="806"/>
      <c r="BA6620" s="806"/>
      <c r="BB6620" s="806"/>
    </row>
    <row r="6621" spans="4:54">
      <c r="D6621" s="806"/>
      <c r="F6621" s="806"/>
      <c r="W6621" s="806"/>
      <c r="AZ6621" s="806"/>
      <c r="BA6621" s="806"/>
      <c r="BB6621" s="806"/>
    </row>
    <row r="6622" spans="4:54">
      <c r="D6622" s="806"/>
      <c r="F6622" s="806"/>
      <c r="W6622" s="806"/>
      <c r="AZ6622" s="806"/>
      <c r="BA6622" s="806"/>
      <c r="BB6622" s="806"/>
    </row>
    <row r="6623" spans="4:54">
      <c r="D6623" s="806"/>
      <c r="F6623" s="806"/>
      <c r="W6623" s="806"/>
      <c r="AZ6623" s="806"/>
      <c r="BA6623" s="806"/>
      <c r="BB6623" s="806"/>
    </row>
    <row r="6624" spans="4:54">
      <c r="D6624" s="806"/>
      <c r="F6624" s="806"/>
      <c r="W6624" s="806"/>
      <c r="AZ6624" s="806"/>
      <c r="BA6624" s="806"/>
      <c r="BB6624" s="806"/>
    </row>
    <row r="6625" spans="4:54">
      <c r="D6625" s="806"/>
      <c r="F6625" s="806"/>
      <c r="W6625" s="806"/>
      <c r="AZ6625" s="806"/>
      <c r="BA6625" s="806"/>
      <c r="BB6625" s="806"/>
    </row>
    <row r="6626" spans="4:54">
      <c r="D6626" s="806"/>
      <c r="F6626" s="806"/>
      <c r="W6626" s="806"/>
      <c r="AZ6626" s="806"/>
      <c r="BA6626" s="806"/>
      <c r="BB6626" s="806"/>
    </row>
    <row r="6627" spans="4:54">
      <c r="D6627" s="806"/>
      <c r="F6627" s="806"/>
      <c r="W6627" s="806"/>
      <c r="AZ6627" s="806"/>
      <c r="BA6627" s="806"/>
      <c r="BB6627" s="806"/>
    </row>
    <row r="6628" spans="4:54">
      <c r="D6628" s="806"/>
      <c r="F6628" s="806"/>
      <c r="W6628" s="806"/>
      <c r="AZ6628" s="806"/>
      <c r="BA6628" s="806"/>
      <c r="BB6628" s="806"/>
    </row>
    <row r="6629" spans="4:54">
      <c r="D6629" s="806"/>
      <c r="F6629" s="806"/>
      <c r="W6629" s="806"/>
      <c r="AZ6629" s="806"/>
      <c r="BA6629" s="806"/>
      <c r="BB6629" s="806"/>
    </row>
    <row r="6630" spans="4:54">
      <c r="D6630" s="806"/>
      <c r="F6630" s="806"/>
      <c r="W6630" s="806"/>
      <c r="AZ6630" s="806"/>
      <c r="BA6630" s="806"/>
      <c r="BB6630" s="806"/>
    </row>
    <row r="6631" spans="4:54">
      <c r="D6631" s="806"/>
      <c r="F6631" s="806"/>
      <c r="W6631" s="806"/>
      <c r="AZ6631" s="806"/>
      <c r="BA6631" s="806"/>
      <c r="BB6631" s="806"/>
    </row>
    <row r="6632" spans="4:54">
      <c r="D6632" s="806"/>
      <c r="F6632" s="806"/>
      <c r="W6632" s="806"/>
      <c r="AZ6632" s="806"/>
      <c r="BA6632" s="806"/>
      <c r="BB6632" s="806"/>
    </row>
    <row r="6633" spans="4:54">
      <c r="D6633" s="806"/>
      <c r="F6633" s="806"/>
      <c r="W6633" s="806"/>
      <c r="AZ6633" s="806"/>
      <c r="BA6633" s="806"/>
      <c r="BB6633" s="806"/>
    </row>
    <row r="6634" spans="4:54">
      <c r="D6634" s="806"/>
      <c r="F6634" s="806"/>
      <c r="W6634" s="806"/>
      <c r="AZ6634" s="806"/>
      <c r="BA6634" s="806"/>
      <c r="BB6634" s="806"/>
    </row>
    <row r="6635" spans="4:54">
      <c r="D6635" s="806"/>
      <c r="F6635" s="806"/>
      <c r="W6635" s="806"/>
      <c r="AZ6635" s="806"/>
      <c r="BA6635" s="806"/>
      <c r="BB6635" s="806"/>
    </row>
    <row r="6636" spans="4:54">
      <c r="D6636" s="806"/>
      <c r="F6636" s="806"/>
      <c r="W6636" s="806"/>
      <c r="AZ6636" s="806"/>
      <c r="BA6636" s="806"/>
      <c r="BB6636" s="806"/>
    </row>
    <row r="6637" spans="4:54">
      <c r="D6637" s="806"/>
      <c r="F6637" s="806"/>
      <c r="W6637" s="806"/>
      <c r="AZ6637" s="806"/>
      <c r="BA6637" s="806"/>
      <c r="BB6637" s="806"/>
    </row>
    <row r="6638" spans="4:54">
      <c r="D6638" s="806"/>
      <c r="F6638" s="806"/>
      <c r="W6638" s="806"/>
      <c r="AZ6638" s="806"/>
      <c r="BA6638" s="806"/>
      <c r="BB6638" s="806"/>
    </row>
    <row r="6639" spans="4:54">
      <c r="D6639" s="806"/>
      <c r="F6639" s="806"/>
      <c r="W6639" s="806"/>
      <c r="AZ6639" s="806"/>
      <c r="BA6639" s="806"/>
      <c r="BB6639" s="806"/>
    </row>
    <row r="6640" spans="4:54">
      <c r="D6640" s="806"/>
      <c r="F6640" s="806"/>
      <c r="W6640" s="806"/>
      <c r="AZ6640" s="806"/>
      <c r="BA6640" s="806"/>
      <c r="BB6640" s="806"/>
    </row>
    <row r="6641" spans="4:54">
      <c r="D6641" s="806"/>
      <c r="F6641" s="806"/>
      <c r="W6641" s="806"/>
      <c r="AZ6641" s="806"/>
      <c r="BA6641" s="806"/>
      <c r="BB6641" s="806"/>
    </row>
    <row r="6642" spans="4:54">
      <c r="D6642" s="806"/>
      <c r="F6642" s="806"/>
      <c r="W6642" s="806"/>
      <c r="AZ6642" s="806"/>
      <c r="BA6642" s="806"/>
      <c r="BB6642" s="806"/>
    </row>
    <row r="6643" spans="4:54">
      <c r="D6643" s="806"/>
      <c r="F6643" s="806"/>
      <c r="W6643" s="806"/>
      <c r="AZ6643" s="806"/>
      <c r="BA6643" s="806"/>
      <c r="BB6643" s="806"/>
    </row>
    <row r="6644" spans="4:54">
      <c r="D6644" s="806"/>
      <c r="F6644" s="806"/>
      <c r="W6644" s="806"/>
      <c r="AZ6644" s="806"/>
      <c r="BA6644" s="806"/>
      <c r="BB6644" s="806"/>
    </row>
    <row r="6645" spans="4:54">
      <c r="D6645" s="806"/>
      <c r="F6645" s="806"/>
      <c r="W6645" s="806"/>
      <c r="AZ6645" s="806"/>
      <c r="BA6645" s="806"/>
      <c r="BB6645" s="806"/>
    </row>
    <row r="6646" spans="4:54">
      <c r="D6646" s="806"/>
      <c r="F6646" s="806"/>
      <c r="W6646" s="806"/>
      <c r="AZ6646" s="806"/>
      <c r="BA6646" s="806"/>
      <c r="BB6646" s="806"/>
    </row>
    <row r="6647" spans="4:54">
      <c r="D6647" s="806"/>
      <c r="F6647" s="806"/>
      <c r="W6647" s="806"/>
      <c r="AZ6647" s="806"/>
      <c r="BA6647" s="806"/>
      <c r="BB6647" s="806"/>
    </row>
    <row r="6648" spans="4:54">
      <c r="D6648" s="806"/>
      <c r="F6648" s="806"/>
      <c r="W6648" s="806"/>
      <c r="AZ6648" s="806"/>
      <c r="BA6648" s="806"/>
      <c r="BB6648" s="806"/>
    </row>
    <row r="6649" spans="4:54">
      <c r="D6649" s="806"/>
      <c r="F6649" s="806"/>
      <c r="W6649" s="806"/>
      <c r="AZ6649" s="806"/>
      <c r="BA6649" s="806"/>
      <c r="BB6649" s="806"/>
    </row>
    <row r="6650" spans="4:54">
      <c r="D6650" s="806"/>
      <c r="F6650" s="806"/>
      <c r="W6650" s="806"/>
      <c r="AZ6650" s="806"/>
      <c r="BA6650" s="806"/>
      <c r="BB6650" s="806"/>
    </row>
    <row r="6651" spans="4:54">
      <c r="D6651" s="806"/>
      <c r="F6651" s="806"/>
      <c r="W6651" s="806"/>
      <c r="AZ6651" s="806"/>
      <c r="BA6651" s="806"/>
      <c r="BB6651" s="806"/>
    </row>
    <row r="6652" spans="4:54">
      <c r="D6652" s="806"/>
      <c r="F6652" s="806"/>
      <c r="W6652" s="806"/>
      <c r="AZ6652" s="806"/>
      <c r="BA6652" s="806"/>
      <c r="BB6652" s="806"/>
    </row>
    <row r="6653" spans="4:54">
      <c r="D6653" s="806"/>
      <c r="F6653" s="806"/>
      <c r="W6653" s="806"/>
      <c r="AZ6653" s="806"/>
      <c r="BA6653" s="806"/>
      <c r="BB6653" s="806"/>
    </row>
    <row r="6654" spans="4:54">
      <c r="D6654" s="806"/>
      <c r="F6654" s="806"/>
      <c r="W6654" s="806"/>
      <c r="AZ6654" s="806"/>
      <c r="BA6654" s="806"/>
      <c r="BB6654" s="806"/>
    </row>
    <row r="6655" spans="4:54">
      <c r="D6655" s="806"/>
      <c r="F6655" s="806"/>
      <c r="W6655" s="806"/>
      <c r="AZ6655" s="806"/>
      <c r="BA6655" s="806"/>
      <c r="BB6655" s="806"/>
    </row>
    <row r="6656" spans="4:54">
      <c r="D6656" s="806"/>
      <c r="F6656" s="806"/>
      <c r="W6656" s="806"/>
      <c r="AZ6656" s="806"/>
      <c r="BA6656" s="806"/>
      <c r="BB6656" s="806"/>
    </row>
    <row r="6657" spans="4:54">
      <c r="D6657" s="806"/>
      <c r="F6657" s="806"/>
      <c r="W6657" s="806"/>
      <c r="AZ6657" s="806"/>
      <c r="BA6657" s="806"/>
      <c r="BB6657" s="806"/>
    </row>
    <row r="6658" spans="4:54">
      <c r="D6658" s="806"/>
      <c r="F6658" s="806"/>
      <c r="W6658" s="806"/>
      <c r="AZ6658" s="806"/>
      <c r="BA6658" s="806"/>
      <c r="BB6658" s="806"/>
    </row>
    <row r="6659" spans="4:54">
      <c r="D6659" s="806"/>
      <c r="F6659" s="806"/>
      <c r="W6659" s="806"/>
      <c r="AZ6659" s="806"/>
      <c r="BA6659" s="806"/>
      <c r="BB6659" s="806"/>
    </row>
    <row r="6660" spans="4:54">
      <c r="D6660" s="806"/>
      <c r="F6660" s="806"/>
      <c r="W6660" s="806"/>
      <c r="AZ6660" s="806"/>
      <c r="BA6660" s="806"/>
      <c r="BB6660" s="806"/>
    </row>
    <row r="6661" spans="4:54">
      <c r="D6661" s="806"/>
      <c r="F6661" s="806"/>
      <c r="W6661" s="806"/>
      <c r="AZ6661" s="806"/>
      <c r="BA6661" s="806"/>
      <c r="BB6661" s="806"/>
    </row>
    <row r="6662" spans="4:54">
      <c r="D6662" s="806"/>
      <c r="F6662" s="806"/>
      <c r="W6662" s="806"/>
      <c r="AZ6662" s="806"/>
      <c r="BA6662" s="806"/>
      <c r="BB6662" s="806"/>
    </row>
    <row r="6663" spans="4:54">
      <c r="D6663" s="806"/>
      <c r="F6663" s="806"/>
      <c r="W6663" s="806"/>
      <c r="AZ6663" s="806"/>
      <c r="BA6663" s="806"/>
      <c r="BB6663" s="806"/>
    </row>
    <row r="6664" spans="4:54">
      <c r="D6664" s="806"/>
      <c r="F6664" s="806"/>
      <c r="W6664" s="806"/>
      <c r="AZ6664" s="806"/>
      <c r="BA6664" s="806"/>
      <c r="BB6664" s="806"/>
    </row>
    <row r="6665" spans="4:54">
      <c r="D6665" s="806"/>
      <c r="F6665" s="806"/>
      <c r="W6665" s="806"/>
      <c r="AZ6665" s="806"/>
      <c r="BA6665" s="806"/>
      <c r="BB6665" s="806"/>
    </row>
    <row r="6666" spans="4:54">
      <c r="D6666" s="806"/>
      <c r="F6666" s="806"/>
      <c r="W6666" s="806"/>
      <c r="AZ6666" s="806"/>
      <c r="BA6666" s="806"/>
      <c r="BB6666" s="806"/>
    </row>
    <row r="6667" spans="4:54">
      <c r="D6667" s="806"/>
      <c r="F6667" s="806"/>
      <c r="W6667" s="806"/>
      <c r="AZ6667" s="806"/>
      <c r="BA6667" s="806"/>
      <c r="BB6667" s="806"/>
    </row>
    <row r="6668" spans="4:54">
      <c r="D6668" s="806"/>
      <c r="F6668" s="806"/>
      <c r="W6668" s="806"/>
      <c r="AZ6668" s="806"/>
      <c r="BA6668" s="806"/>
      <c r="BB6668" s="806"/>
    </row>
    <row r="6669" spans="4:54">
      <c r="D6669" s="806"/>
      <c r="F6669" s="806"/>
      <c r="W6669" s="806"/>
      <c r="AZ6669" s="806"/>
      <c r="BA6669" s="806"/>
      <c r="BB6669" s="806"/>
    </row>
    <row r="6670" spans="4:54">
      <c r="D6670" s="806"/>
      <c r="F6670" s="806"/>
      <c r="W6670" s="806"/>
      <c r="AZ6670" s="806"/>
      <c r="BA6670" s="806"/>
      <c r="BB6670" s="806"/>
    </row>
    <row r="6671" spans="4:54">
      <c r="D6671" s="806"/>
      <c r="F6671" s="806"/>
      <c r="W6671" s="806"/>
      <c r="AZ6671" s="806"/>
      <c r="BA6671" s="806"/>
      <c r="BB6671" s="806"/>
    </row>
    <row r="6672" spans="4:54">
      <c r="D6672" s="806"/>
      <c r="F6672" s="806"/>
      <c r="W6672" s="806"/>
      <c r="AZ6672" s="806"/>
      <c r="BA6672" s="806"/>
      <c r="BB6672" s="806"/>
    </row>
    <row r="6673" spans="4:54">
      <c r="D6673" s="806"/>
      <c r="F6673" s="806"/>
      <c r="W6673" s="806"/>
      <c r="AZ6673" s="806"/>
      <c r="BA6673" s="806"/>
      <c r="BB6673" s="806"/>
    </row>
    <row r="6674" spans="4:54">
      <c r="D6674" s="806"/>
      <c r="F6674" s="806"/>
      <c r="W6674" s="806"/>
      <c r="AZ6674" s="806"/>
      <c r="BA6674" s="806"/>
      <c r="BB6674" s="806"/>
    </row>
    <row r="6675" spans="4:54">
      <c r="D6675" s="806"/>
      <c r="F6675" s="806"/>
      <c r="W6675" s="806"/>
      <c r="AZ6675" s="806"/>
      <c r="BA6675" s="806"/>
      <c r="BB6675" s="806"/>
    </row>
    <row r="6676" spans="4:54">
      <c r="D6676" s="806"/>
      <c r="F6676" s="806"/>
      <c r="W6676" s="806"/>
      <c r="AZ6676" s="806"/>
      <c r="BA6676" s="806"/>
      <c r="BB6676" s="806"/>
    </row>
    <row r="6677" spans="4:54">
      <c r="D6677" s="806"/>
      <c r="F6677" s="806"/>
      <c r="W6677" s="806"/>
      <c r="AZ6677" s="806"/>
      <c r="BA6677" s="806"/>
      <c r="BB6677" s="806"/>
    </row>
    <row r="6678" spans="4:54">
      <c r="D6678" s="806"/>
      <c r="F6678" s="806"/>
      <c r="W6678" s="806"/>
      <c r="AZ6678" s="806"/>
      <c r="BA6678" s="806"/>
      <c r="BB6678" s="806"/>
    </row>
    <row r="6679" spans="4:54">
      <c r="D6679" s="806"/>
      <c r="F6679" s="806"/>
      <c r="W6679" s="806"/>
      <c r="AZ6679" s="806"/>
      <c r="BA6679" s="806"/>
      <c r="BB6679" s="806"/>
    </row>
    <row r="6680" spans="4:54">
      <c r="D6680" s="806"/>
      <c r="F6680" s="806"/>
      <c r="W6680" s="806"/>
      <c r="AZ6680" s="806"/>
      <c r="BA6680" s="806"/>
      <c r="BB6680" s="806"/>
    </row>
    <row r="6681" spans="4:54">
      <c r="D6681" s="806"/>
      <c r="F6681" s="806"/>
      <c r="W6681" s="806"/>
      <c r="AZ6681" s="806"/>
      <c r="BA6681" s="806"/>
      <c r="BB6681" s="806"/>
    </row>
    <row r="6682" spans="4:54">
      <c r="D6682" s="806"/>
      <c r="F6682" s="806"/>
      <c r="W6682" s="806"/>
      <c r="AZ6682" s="806"/>
      <c r="BA6682" s="806"/>
      <c r="BB6682" s="806"/>
    </row>
    <row r="6683" spans="4:54">
      <c r="D6683" s="806"/>
      <c r="F6683" s="806"/>
      <c r="W6683" s="806"/>
      <c r="AZ6683" s="806"/>
      <c r="BA6683" s="806"/>
      <c r="BB6683" s="806"/>
    </row>
    <row r="6684" spans="4:54">
      <c r="D6684" s="806"/>
      <c r="F6684" s="806"/>
      <c r="W6684" s="806"/>
      <c r="AZ6684" s="806"/>
      <c r="BA6684" s="806"/>
      <c r="BB6684" s="806"/>
    </row>
    <row r="6685" spans="4:54">
      <c r="D6685" s="806"/>
      <c r="F6685" s="806"/>
      <c r="W6685" s="806"/>
      <c r="AZ6685" s="806"/>
      <c r="BA6685" s="806"/>
      <c r="BB6685" s="806"/>
    </row>
    <row r="6686" spans="4:54">
      <c r="D6686" s="806"/>
      <c r="F6686" s="806"/>
      <c r="W6686" s="806"/>
      <c r="AZ6686" s="806"/>
      <c r="BA6686" s="806"/>
      <c r="BB6686" s="806"/>
    </row>
    <row r="6687" spans="4:54">
      <c r="D6687" s="806"/>
      <c r="F6687" s="806"/>
      <c r="W6687" s="806"/>
      <c r="AZ6687" s="806"/>
      <c r="BA6687" s="806"/>
      <c r="BB6687" s="806"/>
    </row>
    <row r="6688" spans="4:54">
      <c r="D6688" s="806"/>
      <c r="F6688" s="806"/>
      <c r="W6688" s="806"/>
      <c r="AZ6688" s="806"/>
      <c r="BA6688" s="806"/>
      <c r="BB6688" s="806"/>
    </row>
    <row r="6689" spans="4:54">
      <c r="D6689" s="806"/>
      <c r="F6689" s="806"/>
      <c r="W6689" s="806"/>
      <c r="AZ6689" s="806"/>
      <c r="BA6689" s="806"/>
      <c r="BB6689" s="806"/>
    </row>
    <row r="6690" spans="4:54">
      <c r="D6690" s="806"/>
      <c r="F6690" s="806"/>
      <c r="W6690" s="806"/>
      <c r="AZ6690" s="806"/>
      <c r="BA6690" s="806"/>
      <c r="BB6690" s="806"/>
    </row>
    <row r="6691" spans="4:54">
      <c r="D6691" s="806"/>
      <c r="F6691" s="806"/>
      <c r="W6691" s="806"/>
      <c r="AZ6691" s="806"/>
      <c r="BA6691" s="806"/>
      <c r="BB6691" s="806"/>
    </row>
    <row r="6692" spans="4:54">
      <c r="D6692" s="806"/>
      <c r="F6692" s="806"/>
      <c r="W6692" s="806"/>
      <c r="AZ6692" s="806"/>
      <c r="BA6692" s="806"/>
      <c r="BB6692" s="806"/>
    </row>
    <row r="6693" spans="4:54">
      <c r="D6693" s="806"/>
      <c r="F6693" s="806"/>
      <c r="W6693" s="806"/>
      <c r="AZ6693" s="806"/>
      <c r="BA6693" s="806"/>
      <c r="BB6693" s="806"/>
    </row>
    <row r="6694" spans="4:54">
      <c r="D6694" s="806"/>
      <c r="F6694" s="806"/>
      <c r="W6694" s="806"/>
      <c r="AZ6694" s="806"/>
      <c r="BA6694" s="806"/>
      <c r="BB6694" s="806"/>
    </row>
    <row r="6695" spans="4:54">
      <c r="D6695" s="806"/>
      <c r="F6695" s="806"/>
      <c r="W6695" s="806"/>
      <c r="AZ6695" s="806"/>
      <c r="BA6695" s="806"/>
      <c r="BB6695" s="806"/>
    </row>
    <row r="6696" spans="4:54">
      <c r="D6696" s="806"/>
      <c r="F6696" s="806"/>
      <c r="W6696" s="806"/>
      <c r="AZ6696" s="806"/>
      <c r="BA6696" s="806"/>
      <c r="BB6696" s="806"/>
    </row>
    <row r="6697" spans="4:54">
      <c r="D6697" s="806"/>
      <c r="F6697" s="806"/>
      <c r="W6697" s="806"/>
      <c r="AZ6697" s="806"/>
      <c r="BA6697" s="806"/>
      <c r="BB6697" s="806"/>
    </row>
    <row r="6698" spans="4:54">
      <c r="D6698" s="806"/>
      <c r="F6698" s="806"/>
      <c r="W6698" s="806"/>
      <c r="AZ6698" s="806"/>
      <c r="BA6698" s="806"/>
      <c r="BB6698" s="806"/>
    </row>
    <row r="6699" spans="4:54">
      <c r="D6699" s="806"/>
      <c r="F6699" s="806"/>
      <c r="W6699" s="806"/>
      <c r="AZ6699" s="806"/>
      <c r="BA6699" s="806"/>
      <c r="BB6699" s="806"/>
    </row>
    <row r="6700" spans="4:54">
      <c r="D6700" s="806"/>
      <c r="F6700" s="806"/>
      <c r="W6700" s="806"/>
      <c r="AZ6700" s="806"/>
      <c r="BA6700" s="806"/>
      <c r="BB6700" s="806"/>
    </row>
    <row r="6701" spans="4:54">
      <c r="D6701" s="806"/>
      <c r="F6701" s="806"/>
      <c r="W6701" s="806"/>
      <c r="AZ6701" s="806"/>
      <c r="BA6701" s="806"/>
      <c r="BB6701" s="806"/>
    </row>
    <row r="6702" spans="4:54">
      <c r="D6702" s="806"/>
      <c r="F6702" s="806"/>
      <c r="W6702" s="806"/>
      <c r="AZ6702" s="806"/>
      <c r="BA6702" s="806"/>
      <c r="BB6702" s="806"/>
    </row>
    <row r="6703" spans="4:54">
      <c r="D6703" s="806"/>
      <c r="F6703" s="806"/>
      <c r="W6703" s="806"/>
      <c r="AZ6703" s="806"/>
      <c r="BA6703" s="806"/>
      <c r="BB6703" s="806"/>
    </row>
    <row r="6704" spans="4:54">
      <c r="D6704" s="806"/>
      <c r="F6704" s="806"/>
      <c r="W6704" s="806"/>
      <c r="AZ6704" s="806"/>
      <c r="BA6704" s="806"/>
      <c r="BB6704" s="806"/>
    </row>
    <row r="6705" spans="4:54">
      <c r="D6705" s="806"/>
      <c r="F6705" s="806"/>
      <c r="W6705" s="806"/>
      <c r="AZ6705" s="806"/>
      <c r="BA6705" s="806"/>
      <c r="BB6705" s="806"/>
    </row>
    <row r="6706" spans="4:54">
      <c r="D6706" s="806"/>
      <c r="F6706" s="806"/>
      <c r="W6706" s="806"/>
      <c r="AZ6706" s="806"/>
      <c r="BA6706" s="806"/>
      <c r="BB6706" s="806"/>
    </row>
    <row r="6707" spans="4:54">
      <c r="D6707" s="806"/>
      <c r="F6707" s="806"/>
      <c r="W6707" s="806"/>
      <c r="AZ6707" s="806"/>
      <c r="BA6707" s="806"/>
      <c r="BB6707" s="806"/>
    </row>
    <row r="6708" spans="4:54">
      <c r="D6708" s="806"/>
      <c r="F6708" s="806"/>
      <c r="W6708" s="806"/>
      <c r="AZ6708" s="806"/>
      <c r="BA6708" s="806"/>
      <c r="BB6708" s="806"/>
    </row>
    <row r="6709" spans="4:54">
      <c r="D6709" s="806"/>
      <c r="F6709" s="806"/>
      <c r="W6709" s="806"/>
      <c r="AZ6709" s="806"/>
      <c r="BA6709" s="806"/>
      <c r="BB6709" s="806"/>
    </row>
    <row r="6710" spans="4:54">
      <c r="D6710" s="806"/>
      <c r="F6710" s="806"/>
      <c r="W6710" s="806"/>
      <c r="AZ6710" s="806"/>
      <c r="BA6710" s="806"/>
      <c r="BB6710" s="806"/>
    </row>
    <row r="6711" spans="4:54">
      <c r="D6711" s="806"/>
      <c r="F6711" s="806"/>
      <c r="W6711" s="806"/>
      <c r="AZ6711" s="806"/>
      <c r="BA6711" s="806"/>
      <c r="BB6711" s="806"/>
    </row>
    <row r="6712" spans="4:54">
      <c r="D6712" s="806"/>
      <c r="F6712" s="806"/>
      <c r="W6712" s="806"/>
      <c r="AZ6712" s="806"/>
      <c r="BA6712" s="806"/>
      <c r="BB6712" s="806"/>
    </row>
    <row r="6713" spans="4:54">
      <c r="D6713" s="806"/>
      <c r="F6713" s="806"/>
      <c r="W6713" s="806"/>
      <c r="AZ6713" s="806"/>
      <c r="BA6713" s="806"/>
      <c r="BB6713" s="806"/>
    </row>
    <row r="6714" spans="4:54">
      <c r="D6714" s="806"/>
      <c r="F6714" s="806"/>
      <c r="W6714" s="806"/>
      <c r="AZ6714" s="806"/>
      <c r="BA6714" s="806"/>
      <c r="BB6714" s="806"/>
    </row>
    <row r="6715" spans="4:54">
      <c r="D6715" s="806"/>
      <c r="F6715" s="806"/>
      <c r="W6715" s="806"/>
      <c r="AZ6715" s="806"/>
      <c r="BA6715" s="806"/>
      <c r="BB6715" s="806"/>
    </row>
    <row r="6716" spans="4:54">
      <c r="D6716" s="806"/>
      <c r="F6716" s="806"/>
      <c r="W6716" s="806"/>
      <c r="AZ6716" s="806"/>
      <c r="BA6716" s="806"/>
      <c r="BB6716" s="806"/>
    </row>
    <row r="6717" spans="4:54">
      <c r="D6717" s="806"/>
      <c r="F6717" s="806"/>
      <c r="W6717" s="806"/>
      <c r="AZ6717" s="806"/>
      <c r="BA6717" s="806"/>
      <c r="BB6717" s="806"/>
    </row>
    <row r="6718" spans="4:54">
      <c r="D6718" s="806"/>
      <c r="F6718" s="806"/>
      <c r="W6718" s="806"/>
      <c r="AZ6718" s="806"/>
      <c r="BA6718" s="806"/>
      <c r="BB6718" s="806"/>
    </row>
    <row r="6719" spans="4:54">
      <c r="D6719" s="806"/>
      <c r="F6719" s="806"/>
      <c r="W6719" s="806"/>
      <c r="AZ6719" s="806"/>
      <c r="BA6719" s="806"/>
      <c r="BB6719" s="806"/>
    </row>
    <row r="6720" spans="4:54">
      <c r="D6720" s="806"/>
      <c r="F6720" s="806"/>
      <c r="W6720" s="806"/>
      <c r="AZ6720" s="806"/>
      <c r="BA6720" s="806"/>
      <c r="BB6720" s="806"/>
    </row>
    <row r="6721" spans="4:54">
      <c r="D6721" s="806"/>
      <c r="F6721" s="806"/>
      <c r="W6721" s="806"/>
      <c r="AZ6721" s="806"/>
      <c r="BA6721" s="806"/>
      <c r="BB6721" s="806"/>
    </row>
    <row r="6722" spans="4:54">
      <c r="D6722" s="806"/>
      <c r="F6722" s="806"/>
      <c r="W6722" s="806"/>
      <c r="AZ6722" s="806"/>
      <c r="BA6722" s="806"/>
      <c r="BB6722" s="806"/>
    </row>
    <row r="6723" spans="4:54">
      <c r="D6723" s="806"/>
      <c r="F6723" s="806"/>
      <c r="W6723" s="806"/>
      <c r="AZ6723" s="806"/>
      <c r="BA6723" s="806"/>
      <c r="BB6723" s="806"/>
    </row>
    <row r="6724" spans="4:54">
      <c r="D6724" s="806"/>
      <c r="F6724" s="806"/>
      <c r="W6724" s="806"/>
      <c r="AZ6724" s="806"/>
      <c r="BA6724" s="806"/>
      <c r="BB6724" s="806"/>
    </row>
    <row r="6725" spans="4:54">
      <c r="D6725" s="806"/>
      <c r="F6725" s="806"/>
      <c r="W6725" s="806"/>
      <c r="AZ6725" s="806"/>
      <c r="BA6725" s="806"/>
      <c r="BB6725" s="806"/>
    </row>
    <row r="6726" spans="4:54">
      <c r="D6726" s="806"/>
      <c r="F6726" s="806"/>
      <c r="W6726" s="806"/>
      <c r="AZ6726" s="806"/>
      <c r="BA6726" s="806"/>
      <c r="BB6726" s="806"/>
    </row>
    <row r="6727" spans="4:54">
      <c r="D6727" s="806"/>
      <c r="F6727" s="806"/>
      <c r="W6727" s="806"/>
      <c r="AZ6727" s="806"/>
      <c r="BA6727" s="806"/>
      <c r="BB6727" s="806"/>
    </row>
    <row r="6728" spans="4:54">
      <c r="D6728" s="806"/>
      <c r="F6728" s="806"/>
      <c r="W6728" s="806"/>
      <c r="AZ6728" s="806"/>
      <c r="BA6728" s="806"/>
      <c r="BB6728" s="806"/>
    </row>
    <row r="6729" spans="4:54">
      <c r="D6729" s="806"/>
      <c r="F6729" s="806"/>
      <c r="W6729" s="806"/>
      <c r="AZ6729" s="806"/>
      <c r="BA6729" s="806"/>
      <c r="BB6729" s="806"/>
    </row>
    <row r="6730" spans="4:54">
      <c r="D6730" s="806"/>
      <c r="F6730" s="806"/>
      <c r="W6730" s="806"/>
      <c r="AZ6730" s="806"/>
      <c r="BA6730" s="806"/>
      <c r="BB6730" s="806"/>
    </row>
    <row r="6731" spans="4:54">
      <c r="D6731" s="806"/>
      <c r="F6731" s="806"/>
      <c r="W6731" s="806"/>
      <c r="AZ6731" s="806"/>
      <c r="BA6731" s="806"/>
      <c r="BB6731" s="806"/>
    </row>
    <row r="6732" spans="4:54">
      <c r="D6732" s="806"/>
      <c r="F6732" s="806"/>
      <c r="W6732" s="806"/>
      <c r="AZ6732" s="806"/>
      <c r="BA6732" s="806"/>
      <c r="BB6732" s="806"/>
    </row>
    <row r="6733" spans="4:54">
      <c r="D6733" s="806"/>
      <c r="F6733" s="806"/>
      <c r="W6733" s="806"/>
      <c r="AZ6733" s="806"/>
      <c r="BA6733" s="806"/>
      <c r="BB6733" s="806"/>
    </row>
    <row r="6734" spans="4:54">
      <c r="D6734" s="806"/>
      <c r="F6734" s="806"/>
      <c r="W6734" s="806"/>
      <c r="AZ6734" s="806"/>
      <c r="BA6734" s="806"/>
      <c r="BB6734" s="806"/>
    </row>
    <row r="6735" spans="4:54">
      <c r="D6735" s="806"/>
      <c r="F6735" s="806"/>
      <c r="W6735" s="806"/>
      <c r="AZ6735" s="806"/>
      <c r="BA6735" s="806"/>
      <c r="BB6735" s="806"/>
    </row>
    <row r="6736" spans="4:54">
      <c r="D6736" s="806"/>
      <c r="F6736" s="806"/>
      <c r="W6736" s="806"/>
      <c r="AZ6736" s="806"/>
      <c r="BA6736" s="806"/>
      <c r="BB6736" s="806"/>
    </row>
    <row r="6737" spans="4:54">
      <c r="D6737" s="806"/>
      <c r="F6737" s="806"/>
      <c r="W6737" s="806"/>
      <c r="AZ6737" s="806"/>
      <c r="BA6737" s="806"/>
      <c r="BB6737" s="806"/>
    </row>
    <row r="6738" spans="4:54">
      <c r="D6738" s="806"/>
      <c r="F6738" s="806"/>
      <c r="W6738" s="806"/>
      <c r="AZ6738" s="806"/>
      <c r="BA6738" s="806"/>
      <c r="BB6738" s="806"/>
    </row>
    <row r="6739" spans="4:54">
      <c r="D6739" s="806"/>
      <c r="F6739" s="806"/>
      <c r="W6739" s="806"/>
      <c r="AZ6739" s="806"/>
      <c r="BA6739" s="806"/>
      <c r="BB6739" s="806"/>
    </row>
    <row r="6740" spans="4:54">
      <c r="D6740" s="806"/>
      <c r="F6740" s="806"/>
      <c r="W6740" s="806"/>
      <c r="AZ6740" s="806"/>
      <c r="BA6740" s="806"/>
      <c r="BB6740" s="806"/>
    </row>
    <row r="6741" spans="4:54">
      <c r="D6741" s="806"/>
      <c r="F6741" s="806"/>
      <c r="W6741" s="806"/>
      <c r="AZ6741" s="806"/>
      <c r="BA6741" s="806"/>
      <c r="BB6741" s="806"/>
    </row>
    <row r="6742" spans="4:54">
      <c r="D6742" s="806"/>
      <c r="F6742" s="806"/>
      <c r="W6742" s="806"/>
      <c r="AZ6742" s="806"/>
      <c r="BA6742" s="806"/>
      <c r="BB6742" s="806"/>
    </row>
    <row r="6743" spans="4:54">
      <c r="D6743" s="806"/>
      <c r="F6743" s="806"/>
      <c r="W6743" s="806"/>
      <c r="AZ6743" s="806"/>
      <c r="BA6743" s="806"/>
      <c r="BB6743" s="806"/>
    </row>
    <row r="6744" spans="4:54">
      <c r="D6744" s="806"/>
      <c r="F6744" s="806"/>
      <c r="W6744" s="806"/>
      <c r="AZ6744" s="806"/>
      <c r="BA6744" s="806"/>
      <c r="BB6744" s="806"/>
    </row>
    <row r="6745" spans="4:54">
      <c r="D6745" s="806"/>
      <c r="F6745" s="806"/>
      <c r="W6745" s="806"/>
      <c r="AZ6745" s="806"/>
      <c r="BA6745" s="806"/>
      <c r="BB6745" s="806"/>
    </row>
    <row r="6746" spans="4:54">
      <c r="D6746" s="806"/>
      <c r="F6746" s="806"/>
      <c r="W6746" s="806"/>
      <c r="AZ6746" s="806"/>
      <c r="BA6746" s="806"/>
      <c r="BB6746" s="806"/>
    </row>
    <row r="6747" spans="4:54">
      <c r="D6747" s="806"/>
      <c r="F6747" s="806"/>
      <c r="W6747" s="806"/>
      <c r="AZ6747" s="806"/>
      <c r="BA6747" s="806"/>
      <c r="BB6747" s="806"/>
    </row>
    <row r="6748" spans="4:54">
      <c r="D6748" s="806"/>
      <c r="F6748" s="806"/>
      <c r="W6748" s="806"/>
      <c r="AZ6748" s="806"/>
      <c r="BA6748" s="806"/>
      <c r="BB6748" s="806"/>
    </row>
    <row r="6749" spans="4:54">
      <c r="D6749" s="806"/>
      <c r="F6749" s="806"/>
      <c r="W6749" s="806"/>
      <c r="AZ6749" s="806"/>
      <c r="BA6749" s="806"/>
      <c r="BB6749" s="806"/>
    </row>
    <row r="6750" spans="4:54">
      <c r="D6750" s="806"/>
      <c r="F6750" s="806"/>
      <c r="W6750" s="806"/>
      <c r="AZ6750" s="806"/>
      <c r="BA6750" s="806"/>
      <c r="BB6750" s="806"/>
    </row>
    <row r="6751" spans="4:54">
      <c r="D6751" s="806"/>
      <c r="F6751" s="806"/>
      <c r="W6751" s="806"/>
      <c r="AZ6751" s="806"/>
      <c r="BA6751" s="806"/>
      <c r="BB6751" s="806"/>
    </row>
    <row r="6752" spans="4:54">
      <c r="D6752" s="806"/>
      <c r="F6752" s="806"/>
      <c r="W6752" s="806"/>
      <c r="AZ6752" s="806"/>
      <c r="BA6752" s="806"/>
      <c r="BB6752" s="806"/>
    </row>
    <row r="6753" spans="4:54">
      <c r="D6753" s="806"/>
      <c r="F6753" s="806"/>
      <c r="W6753" s="806"/>
      <c r="AZ6753" s="806"/>
      <c r="BA6753" s="806"/>
      <c r="BB6753" s="806"/>
    </row>
    <row r="6754" spans="4:54">
      <c r="D6754" s="806"/>
      <c r="F6754" s="806"/>
      <c r="W6754" s="806"/>
      <c r="AZ6754" s="806"/>
      <c r="BA6754" s="806"/>
      <c r="BB6754" s="806"/>
    </row>
    <row r="6755" spans="4:54">
      <c r="D6755" s="806"/>
      <c r="F6755" s="806"/>
      <c r="W6755" s="806"/>
      <c r="AZ6755" s="806"/>
      <c r="BA6755" s="806"/>
      <c r="BB6755" s="806"/>
    </row>
    <row r="6756" spans="4:54">
      <c r="D6756" s="806"/>
      <c r="F6756" s="806"/>
      <c r="W6756" s="806"/>
      <c r="AZ6756" s="806"/>
      <c r="BA6756" s="806"/>
      <c r="BB6756" s="806"/>
    </row>
    <row r="6757" spans="4:54">
      <c r="D6757" s="806"/>
      <c r="F6757" s="806"/>
      <c r="W6757" s="806"/>
      <c r="AZ6757" s="806"/>
      <c r="BA6757" s="806"/>
      <c r="BB6757" s="806"/>
    </row>
    <row r="6758" spans="4:54">
      <c r="D6758" s="806"/>
      <c r="F6758" s="806"/>
      <c r="W6758" s="806"/>
      <c r="AZ6758" s="806"/>
      <c r="BA6758" s="806"/>
      <c r="BB6758" s="806"/>
    </row>
    <row r="6759" spans="4:54">
      <c r="D6759" s="806"/>
      <c r="F6759" s="806"/>
      <c r="W6759" s="806"/>
      <c r="AZ6759" s="806"/>
      <c r="BA6759" s="806"/>
      <c r="BB6759" s="806"/>
    </row>
    <row r="6760" spans="4:54">
      <c r="D6760" s="806"/>
      <c r="F6760" s="806"/>
      <c r="W6760" s="806"/>
      <c r="AZ6760" s="806"/>
      <c r="BA6760" s="806"/>
      <c r="BB6760" s="806"/>
    </row>
    <row r="6761" spans="4:54">
      <c r="D6761" s="806"/>
      <c r="F6761" s="806"/>
      <c r="W6761" s="806"/>
      <c r="AZ6761" s="806"/>
      <c r="BA6761" s="806"/>
      <c r="BB6761" s="806"/>
    </row>
    <row r="6762" spans="4:54">
      <c r="D6762" s="806"/>
      <c r="F6762" s="806"/>
      <c r="W6762" s="806"/>
      <c r="AZ6762" s="806"/>
      <c r="BA6762" s="806"/>
      <c r="BB6762" s="806"/>
    </row>
    <row r="6763" spans="4:54">
      <c r="D6763" s="806"/>
      <c r="F6763" s="806"/>
      <c r="W6763" s="806"/>
      <c r="AZ6763" s="806"/>
      <c r="BA6763" s="806"/>
      <c r="BB6763" s="806"/>
    </row>
    <row r="6764" spans="4:54">
      <c r="D6764" s="806"/>
      <c r="F6764" s="806"/>
      <c r="W6764" s="806"/>
      <c r="AZ6764" s="806"/>
      <c r="BA6764" s="806"/>
      <c r="BB6764" s="806"/>
    </row>
    <row r="6765" spans="4:54">
      <c r="D6765" s="806"/>
      <c r="F6765" s="806"/>
      <c r="W6765" s="806"/>
      <c r="AZ6765" s="806"/>
      <c r="BA6765" s="806"/>
      <c r="BB6765" s="806"/>
    </row>
    <row r="6766" spans="4:54">
      <c r="D6766" s="806"/>
      <c r="F6766" s="806"/>
      <c r="W6766" s="806"/>
      <c r="AZ6766" s="806"/>
      <c r="BA6766" s="806"/>
      <c r="BB6766" s="806"/>
    </row>
    <row r="6767" spans="4:54">
      <c r="D6767" s="806"/>
      <c r="F6767" s="806"/>
      <c r="W6767" s="806"/>
      <c r="AZ6767" s="806"/>
      <c r="BA6767" s="806"/>
      <c r="BB6767" s="806"/>
    </row>
    <row r="6768" spans="4:54">
      <c r="D6768" s="806"/>
      <c r="F6768" s="806"/>
      <c r="W6768" s="806"/>
      <c r="AZ6768" s="806"/>
      <c r="BA6768" s="806"/>
      <c r="BB6768" s="806"/>
    </row>
    <row r="6769" spans="4:54">
      <c r="D6769" s="806"/>
      <c r="F6769" s="806"/>
      <c r="W6769" s="806"/>
      <c r="AZ6769" s="806"/>
      <c r="BA6769" s="806"/>
      <c r="BB6769" s="806"/>
    </row>
    <row r="6770" spans="4:54">
      <c r="D6770" s="806"/>
      <c r="F6770" s="806"/>
      <c r="W6770" s="806"/>
      <c r="AZ6770" s="806"/>
      <c r="BA6770" s="806"/>
      <c r="BB6770" s="806"/>
    </row>
    <row r="6771" spans="4:54">
      <c r="D6771" s="806"/>
      <c r="F6771" s="806"/>
      <c r="W6771" s="806"/>
      <c r="AZ6771" s="806"/>
      <c r="BA6771" s="806"/>
      <c r="BB6771" s="806"/>
    </row>
    <row r="6772" spans="4:54">
      <c r="D6772" s="806"/>
      <c r="F6772" s="806"/>
      <c r="W6772" s="806"/>
      <c r="AZ6772" s="806"/>
      <c r="BA6772" s="806"/>
      <c r="BB6772" s="806"/>
    </row>
    <row r="6773" spans="4:54">
      <c r="D6773" s="806"/>
      <c r="F6773" s="806"/>
      <c r="W6773" s="806"/>
      <c r="AZ6773" s="806"/>
      <c r="BA6773" s="806"/>
      <c r="BB6773" s="806"/>
    </row>
    <row r="6774" spans="4:54">
      <c r="D6774" s="806"/>
      <c r="F6774" s="806"/>
      <c r="W6774" s="806"/>
      <c r="AZ6774" s="806"/>
      <c r="BA6774" s="806"/>
      <c r="BB6774" s="806"/>
    </row>
    <row r="6775" spans="4:54">
      <c r="D6775" s="806"/>
      <c r="F6775" s="806"/>
      <c r="W6775" s="806"/>
      <c r="AZ6775" s="806"/>
      <c r="BA6775" s="806"/>
      <c r="BB6775" s="806"/>
    </row>
    <row r="6776" spans="4:54">
      <c r="D6776" s="806"/>
      <c r="F6776" s="806"/>
      <c r="W6776" s="806"/>
      <c r="AZ6776" s="806"/>
      <c r="BA6776" s="806"/>
      <c r="BB6776" s="806"/>
    </row>
    <row r="6777" spans="4:54">
      <c r="D6777" s="806"/>
      <c r="F6777" s="806"/>
      <c r="W6777" s="806"/>
      <c r="AZ6777" s="806"/>
      <c r="BA6777" s="806"/>
      <c r="BB6777" s="806"/>
    </row>
    <row r="6778" spans="4:54">
      <c r="D6778" s="806"/>
      <c r="F6778" s="806"/>
      <c r="W6778" s="806"/>
      <c r="AZ6778" s="806"/>
      <c r="BA6778" s="806"/>
      <c r="BB6778" s="806"/>
    </row>
    <row r="6779" spans="4:54">
      <c r="D6779" s="806"/>
      <c r="F6779" s="806"/>
      <c r="W6779" s="806"/>
      <c r="AZ6779" s="806"/>
      <c r="BA6779" s="806"/>
      <c r="BB6779" s="806"/>
    </row>
    <row r="6780" spans="4:54">
      <c r="D6780" s="806"/>
      <c r="F6780" s="806"/>
      <c r="W6780" s="806"/>
      <c r="AZ6780" s="806"/>
      <c r="BA6780" s="806"/>
      <c r="BB6780" s="806"/>
    </row>
    <row r="6781" spans="4:54">
      <c r="D6781" s="806"/>
      <c r="F6781" s="806"/>
      <c r="W6781" s="806"/>
      <c r="AZ6781" s="806"/>
      <c r="BA6781" s="806"/>
      <c r="BB6781" s="806"/>
    </row>
    <row r="6782" spans="4:54">
      <c r="D6782" s="806"/>
      <c r="F6782" s="806"/>
      <c r="W6782" s="806"/>
      <c r="AZ6782" s="806"/>
      <c r="BA6782" s="806"/>
      <c r="BB6782" s="806"/>
    </row>
    <row r="6783" spans="4:54">
      <c r="D6783" s="806"/>
      <c r="F6783" s="806"/>
      <c r="W6783" s="806"/>
      <c r="AZ6783" s="806"/>
      <c r="BA6783" s="806"/>
      <c r="BB6783" s="806"/>
    </row>
    <row r="6784" spans="4:54">
      <c r="D6784" s="806"/>
      <c r="F6784" s="806"/>
      <c r="W6784" s="806"/>
      <c r="AZ6784" s="806"/>
      <c r="BA6784" s="806"/>
      <c r="BB6784" s="806"/>
    </row>
    <row r="6785" spans="4:54">
      <c r="D6785" s="806"/>
      <c r="F6785" s="806"/>
      <c r="W6785" s="806"/>
      <c r="AZ6785" s="806"/>
      <c r="BA6785" s="806"/>
      <c r="BB6785" s="806"/>
    </row>
    <row r="6786" spans="4:54">
      <c r="D6786" s="806"/>
      <c r="F6786" s="806"/>
      <c r="W6786" s="806"/>
      <c r="AZ6786" s="806"/>
      <c r="BA6786" s="806"/>
      <c r="BB6786" s="806"/>
    </row>
    <row r="6787" spans="4:54">
      <c r="D6787" s="806"/>
      <c r="F6787" s="806"/>
      <c r="W6787" s="806"/>
      <c r="AZ6787" s="806"/>
      <c r="BA6787" s="806"/>
      <c r="BB6787" s="806"/>
    </row>
    <row r="6788" spans="4:54">
      <c r="D6788" s="806"/>
      <c r="F6788" s="806"/>
      <c r="W6788" s="806"/>
      <c r="AZ6788" s="806"/>
      <c r="BA6788" s="806"/>
      <c r="BB6788" s="806"/>
    </row>
    <row r="6789" spans="4:54">
      <c r="D6789" s="806"/>
      <c r="F6789" s="806"/>
      <c r="W6789" s="806"/>
      <c r="AZ6789" s="806"/>
      <c r="BA6789" s="806"/>
      <c r="BB6789" s="806"/>
    </row>
    <row r="6790" spans="4:54">
      <c r="D6790" s="806"/>
      <c r="F6790" s="806"/>
      <c r="W6790" s="806"/>
      <c r="AZ6790" s="806"/>
      <c r="BA6790" s="806"/>
      <c r="BB6790" s="806"/>
    </row>
    <row r="6791" spans="4:54">
      <c r="D6791" s="806"/>
      <c r="F6791" s="806"/>
      <c r="W6791" s="806"/>
      <c r="AZ6791" s="806"/>
      <c r="BA6791" s="806"/>
      <c r="BB6791" s="806"/>
    </row>
    <row r="6792" spans="4:54">
      <c r="D6792" s="806"/>
      <c r="F6792" s="806"/>
      <c r="W6792" s="806"/>
      <c r="AZ6792" s="806"/>
      <c r="BA6792" s="806"/>
      <c r="BB6792" s="806"/>
    </row>
    <row r="6793" spans="4:54">
      <c r="D6793" s="806"/>
      <c r="F6793" s="806"/>
      <c r="W6793" s="806"/>
      <c r="AZ6793" s="806"/>
      <c r="BA6793" s="806"/>
      <c r="BB6793" s="806"/>
    </row>
    <row r="6794" spans="4:54">
      <c r="D6794" s="806"/>
      <c r="F6794" s="806"/>
      <c r="W6794" s="806"/>
      <c r="AZ6794" s="806"/>
      <c r="BA6794" s="806"/>
      <c r="BB6794" s="806"/>
    </row>
    <row r="6795" spans="4:54">
      <c r="D6795" s="806"/>
      <c r="F6795" s="806"/>
      <c r="W6795" s="806"/>
      <c r="AZ6795" s="806"/>
      <c r="BA6795" s="806"/>
      <c r="BB6795" s="806"/>
    </row>
    <row r="6796" spans="4:54">
      <c r="D6796" s="806"/>
      <c r="F6796" s="806"/>
      <c r="W6796" s="806"/>
      <c r="AZ6796" s="806"/>
      <c r="BA6796" s="806"/>
      <c r="BB6796" s="806"/>
    </row>
    <row r="6797" spans="4:54">
      <c r="D6797" s="806"/>
      <c r="F6797" s="806"/>
      <c r="W6797" s="806"/>
      <c r="AZ6797" s="806"/>
      <c r="BA6797" s="806"/>
      <c r="BB6797" s="806"/>
    </row>
    <row r="6798" spans="4:54">
      <c r="D6798" s="806"/>
      <c r="F6798" s="806"/>
      <c r="W6798" s="806"/>
      <c r="AZ6798" s="806"/>
      <c r="BA6798" s="806"/>
      <c r="BB6798" s="806"/>
    </row>
    <row r="6799" spans="4:54">
      <c r="D6799" s="806"/>
      <c r="F6799" s="806"/>
      <c r="W6799" s="806"/>
      <c r="AZ6799" s="806"/>
      <c r="BA6799" s="806"/>
      <c r="BB6799" s="806"/>
    </row>
    <row r="6800" spans="4:54">
      <c r="D6800" s="806"/>
      <c r="F6800" s="806"/>
      <c r="W6800" s="806"/>
      <c r="AZ6800" s="806"/>
      <c r="BA6800" s="806"/>
      <c r="BB6800" s="806"/>
    </row>
    <row r="6801" spans="4:54">
      <c r="D6801" s="806"/>
      <c r="F6801" s="806"/>
      <c r="W6801" s="806"/>
      <c r="AZ6801" s="806"/>
      <c r="BA6801" s="806"/>
      <c r="BB6801" s="806"/>
    </row>
    <row r="6802" spans="4:54">
      <c r="D6802" s="806"/>
      <c r="F6802" s="806"/>
      <c r="W6802" s="806"/>
      <c r="AZ6802" s="806"/>
      <c r="BA6802" s="806"/>
      <c r="BB6802" s="806"/>
    </row>
    <row r="6803" spans="4:54">
      <c r="D6803" s="806"/>
      <c r="F6803" s="806"/>
      <c r="W6803" s="806"/>
      <c r="AZ6803" s="806"/>
      <c r="BA6803" s="806"/>
      <c r="BB6803" s="806"/>
    </row>
    <row r="6804" spans="4:54">
      <c r="D6804" s="806"/>
      <c r="F6804" s="806"/>
      <c r="W6804" s="806"/>
      <c r="AZ6804" s="806"/>
      <c r="BA6804" s="806"/>
      <c r="BB6804" s="806"/>
    </row>
    <row r="6805" spans="4:54">
      <c r="D6805" s="806"/>
      <c r="F6805" s="806"/>
      <c r="W6805" s="806"/>
      <c r="AZ6805" s="806"/>
      <c r="BA6805" s="806"/>
      <c r="BB6805" s="806"/>
    </row>
    <row r="6806" spans="4:54">
      <c r="D6806" s="806"/>
      <c r="F6806" s="806"/>
      <c r="W6806" s="806"/>
      <c r="AZ6806" s="806"/>
      <c r="BA6806" s="806"/>
      <c r="BB6806" s="806"/>
    </row>
    <row r="6807" spans="4:54">
      <c r="D6807" s="806"/>
      <c r="F6807" s="806"/>
      <c r="W6807" s="806"/>
      <c r="AZ6807" s="806"/>
      <c r="BA6807" s="806"/>
      <c r="BB6807" s="806"/>
    </row>
    <row r="6808" spans="4:54">
      <c r="D6808" s="806"/>
      <c r="F6808" s="806"/>
      <c r="W6808" s="806"/>
      <c r="AZ6808" s="806"/>
      <c r="BA6808" s="806"/>
      <c r="BB6808" s="806"/>
    </row>
    <row r="6809" spans="4:54">
      <c r="D6809" s="806"/>
      <c r="F6809" s="806"/>
      <c r="W6809" s="806"/>
      <c r="AZ6809" s="806"/>
      <c r="BA6809" s="806"/>
      <c r="BB6809" s="806"/>
    </row>
    <row r="6810" spans="4:54">
      <c r="D6810" s="806"/>
      <c r="F6810" s="806"/>
      <c r="W6810" s="806"/>
      <c r="AZ6810" s="806"/>
      <c r="BA6810" s="806"/>
      <c r="BB6810" s="806"/>
    </row>
    <row r="6811" spans="4:54">
      <c r="D6811" s="806"/>
      <c r="F6811" s="806"/>
      <c r="W6811" s="806"/>
      <c r="AZ6811" s="806"/>
      <c r="BA6811" s="806"/>
      <c r="BB6811" s="806"/>
    </row>
    <row r="6812" spans="4:54">
      <c r="D6812" s="806"/>
      <c r="F6812" s="806"/>
      <c r="W6812" s="806"/>
      <c r="AZ6812" s="806"/>
      <c r="BA6812" s="806"/>
      <c r="BB6812" s="806"/>
    </row>
    <row r="6813" spans="4:54">
      <c r="D6813" s="806"/>
      <c r="F6813" s="806"/>
      <c r="W6813" s="806"/>
      <c r="AZ6813" s="806"/>
      <c r="BA6813" s="806"/>
      <c r="BB6813" s="806"/>
    </row>
    <row r="6814" spans="4:54">
      <c r="D6814" s="806"/>
      <c r="F6814" s="806"/>
      <c r="W6814" s="806"/>
      <c r="AZ6814" s="806"/>
      <c r="BA6814" s="806"/>
      <c r="BB6814" s="806"/>
    </row>
    <row r="6815" spans="4:54">
      <c r="D6815" s="806"/>
      <c r="F6815" s="806"/>
      <c r="W6815" s="806"/>
      <c r="AZ6815" s="806"/>
      <c r="BA6815" s="806"/>
      <c r="BB6815" s="806"/>
    </row>
    <row r="6816" spans="4:54">
      <c r="D6816" s="806"/>
      <c r="F6816" s="806"/>
      <c r="W6816" s="806"/>
      <c r="AZ6816" s="806"/>
      <c r="BA6816" s="806"/>
      <c r="BB6816" s="806"/>
    </row>
    <row r="6817" spans="4:54">
      <c r="D6817" s="806"/>
      <c r="F6817" s="806"/>
      <c r="W6817" s="806"/>
      <c r="AZ6817" s="806"/>
      <c r="BA6817" s="806"/>
      <c r="BB6817" s="806"/>
    </row>
    <row r="6818" spans="4:54">
      <c r="D6818" s="806"/>
      <c r="F6818" s="806"/>
      <c r="W6818" s="806"/>
      <c r="AZ6818" s="806"/>
      <c r="BA6818" s="806"/>
      <c r="BB6818" s="806"/>
    </row>
    <row r="6819" spans="4:54">
      <c r="D6819" s="806"/>
      <c r="F6819" s="806"/>
      <c r="W6819" s="806"/>
      <c r="AZ6819" s="806"/>
      <c r="BA6819" s="806"/>
      <c r="BB6819" s="806"/>
    </row>
    <row r="6820" spans="4:54">
      <c r="D6820" s="806"/>
      <c r="F6820" s="806"/>
      <c r="W6820" s="806"/>
      <c r="AZ6820" s="806"/>
      <c r="BA6820" s="806"/>
      <c r="BB6820" s="806"/>
    </row>
    <row r="6821" spans="4:54">
      <c r="D6821" s="806"/>
      <c r="F6821" s="806"/>
      <c r="W6821" s="806"/>
      <c r="AZ6821" s="806"/>
      <c r="BA6821" s="806"/>
      <c r="BB6821" s="806"/>
    </row>
    <row r="6822" spans="4:54">
      <c r="D6822" s="806"/>
      <c r="F6822" s="806"/>
      <c r="W6822" s="806"/>
      <c r="AZ6822" s="806"/>
      <c r="BA6822" s="806"/>
      <c r="BB6822" s="806"/>
    </row>
    <row r="6823" spans="4:54">
      <c r="D6823" s="806"/>
      <c r="F6823" s="806"/>
      <c r="W6823" s="806"/>
      <c r="AZ6823" s="806"/>
      <c r="BA6823" s="806"/>
      <c r="BB6823" s="806"/>
    </row>
    <row r="6824" spans="4:54">
      <c r="D6824" s="806"/>
      <c r="F6824" s="806"/>
      <c r="W6824" s="806"/>
      <c r="AZ6824" s="806"/>
      <c r="BA6824" s="806"/>
      <c r="BB6824" s="806"/>
    </row>
    <row r="6825" spans="4:54">
      <c r="D6825" s="806"/>
      <c r="F6825" s="806"/>
      <c r="W6825" s="806"/>
      <c r="AZ6825" s="806"/>
      <c r="BA6825" s="806"/>
      <c r="BB6825" s="806"/>
    </row>
    <row r="6826" spans="4:54">
      <c r="D6826" s="806"/>
      <c r="F6826" s="806"/>
      <c r="W6826" s="806"/>
      <c r="AZ6826" s="806"/>
      <c r="BA6826" s="806"/>
      <c r="BB6826" s="806"/>
    </row>
    <row r="6827" spans="4:54">
      <c r="D6827" s="806"/>
      <c r="F6827" s="806"/>
      <c r="W6827" s="806"/>
      <c r="AZ6827" s="806"/>
      <c r="BA6827" s="806"/>
      <c r="BB6827" s="806"/>
    </row>
    <row r="6828" spans="4:54">
      <c r="D6828" s="806"/>
      <c r="F6828" s="806"/>
      <c r="W6828" s="806"/>
      <c r="AZ6828" s="806"/>
      <c r="BA6828" s="806"/>
      <c r="BB6828" s="806"/>
    </row>
    <row r="6829" spans="4:54">
      <c r="D6829" s="806"/>
      <c r="F6829" s="806"/>
      <c r="W6829" s="806"/>
      <c r="AZ6829" s="806"/>
      <c r="BA6829" s="806"/>
      <c r="BB6829" s="806"/>
    </row>
    <row r="6830" spans="4:54">
      <c r="D6830" s="806"/>
      <c r="F6830" s="806"/>
      <c r="W6830" s="806"/>
      <c r="AZ6830" s="806"/>
      <c r="BA6830" s="806"/>
      <c r="BB6830" s="806"/>
    </row>
    <row r="6831" spans="4:54">
      <c r="D6831" s="806"/>
      <c r="F6831" s="806"/>
      <c r="W6831" s="806"/>
      <c r="AZ6831" s="806"/>
      <c r="BA6831" s="806"/>
      <c r="BB6831" s="806"/>
    </row>
    <row r="6832" spans="4:54">
      <c r="D6832" s="806"/>
      <c r="F6832" s="806"/>
      <c r="W6832" s="806"/>
      <c r="AZ6832" s="806"/>
      <c r="BA6832" s="806"/>
      <c r="BB6832" s="806"/>
    </row>
    <row r="6833" spans="4:54">
      <c r="D6833" s="806"/>
      <c r="F6833" s="806"/>
      <c r="W6833" s="806"/>
      <c r="AZ6833" s="806"/>
      <c r="BA6833" s="806"/>
      <c r="BB6833" s="806"/>
    </row>
    <row r="6834" spans="4:54">
      <c r="D6834" s="806"/>
      <c r="F6834" s="806"/>
      <c r="W6834" s="806"/>
      <c r="AZ6834" s="806"/>
      <c r="BA6834" s="806"/>
      <c r="BB6834" s="806"/>
    </row>
    <row r="6835" spans="4:54">
      <c r="D6835" s="806"/>
      <c r="F6835" s="806"/>
      <c r="W6835" s="806"/>
      <c r="AZ6835" s="806"/>
      <c r="BA6835" s="806"/>
      <c r="BB6835" s="806"/>
    </row>
    <row r="6836" spans="4:54">
      <c r="D6836" s="806"/>
      <c r="F6836" s="806"/>
      <c r="W6836" s="806"/>
      <c r="AZ6836" s="806"/>
      <c r="BA6836" s="806"/>
      <c r="BB6836" s="806"/>
    </row>
    <row r="6837" spans="4:54">
      <c r="D6837" s="806"/>
      <c r="F6837" s="806"/>
      <c r="W6837" s="806"/>
      <c r="AZ6837" s="806"/>
      <c r="BA6837" s="806"/>
      <c r="BB6837" s="806"/>
    </row>
    <row r="6838" spans="4:54">
      <c r="D6838" s="806"/>
      <c r="F6838" s="806"/>
      <c r="W6838" s="806"/>
      <c r="AZ6838" s="806"/>
      <c r="BA6838" s="806"/>
      <c r="BB6838" s="806"/>
    </row>
    <row r="6839" spans="4:54">
      <c r="D6839" s="806"/>
      <c r="F6839" s="806"/>
      <c r="W6839" s="806"/>
      <c r="AZ6839" s="806"/>
      <c r="BA6839" s="806"/>
      <c r="BB6839" s="806"/>
    </row>
    <row r="6840" spans="4:54">
      <c r="D6840" s="806"/>
      <c r="F6840" s="806"/>
      <c r="W6840" s="806"/>
      <c r="AZ6840" s="806"/>
      <c r="BA6840" s="806"/>
      <c r="BB6840" s="806"/>
    </row>
    <row r="6841" spans="4:54">
      <c r="D6841" s="806"/>
      <c r="F6841" s="806"/>
      <c r="W6841" s="806"/>
      <c r="AZ6841" s="806"/>
      <c r="BA6841" s="806"/>
      <c r="BB6841" s="806"/>
    </row>
    <row r="6842" spans="4:54">
      <c r="D6842" s="806"/>
      <c r="F6842" s="806"/>
      <c r="W6842" s="806"/>
      <c r="AZ6842" s="806"/>
      <c r="BA6842" s="806"/>
      <c r="BB6842" s="806"/>
    </row>
    <row r="6843" spans="4:54">
      <c r="D6843" s="806"/>
      <c r="F6843" s="806"/>
      <c r="W6843" s="806"/>
      <c r="AZ6843" s="806"/>
      <c r="BA6843" s="806"/>
      <c r="BB6843" s="806"/>
    </row>
    <row r="6844" spans="4:54">
      <c r="D6844" s="806"/>
      <c r="F6844" s="806"/>
      <c r="W6844" s="806"/>
      <c r="AZ6844" s="806"/>
      <c r="BA6844" s="806"/>
      <c r="BB6844" s="806"/>
    </row>
    <row r="6845" spans="4:54">
      <c r="D6845" s="806"/>
      <c r="F6845" s="806"/>
      <c r="W6845" s="806"/>
      <c r="AZ6845" s="806"/>
      <c r="BA6845" s="806"/>
      <c r="BB6845" s="806"/>
    </row>
    <row r="6846" spans="4:54">
      <c r="D6846" s="806"/>
      <c r="F6846" s="806"/>
      <c r="W6846" s="806"/>
      <c r="AZ6846" s="806"/>
      <c r="BA6846" s="806"/>
      <c r="BB6846" s="806"/>
    </row>
    <row r="6847" spans="4:54">
      <c r="D6847" s="806"/>
      <c r="F6847" s="806"/>
      <c r="W6847" s="806"/>
      <c r="AZ6847" s="806"/>
      <c r="BA6847" s="806"/>
      <c r="BB6847" s="806"/>
    </row>
    <row r="6848" spans="4:54">
      <c r="D6848" s="806"/>
      <c r="F6848" s="806"/>
      <c r="W6848" s="806"/>
      <c r="AZ6848" s="806"/>
      <c r="BA6848" s="806"/>
      <c r="BB6848" s="806"/>
    </row>
    <row r="6849" spans="4:54">
      <c r="D6849" s="806"/>
      <c r="F6849" s="806"/>
      <c r="W6849" s="806"/>
      <c r="AZ6849" s="806"/>
      <c r="BA6849" s="806"/>
      <c r="BB6849" s="806"/>
    </row>
    <row r="6850" spans="4:54">
      <c r="D6850" s="806"/>
      <c r="F6850" s="806"/>
      <c r="W6850" s="806"/>
      <c r="AZ6850" s="806"/>
      <c r="BA6850" s="806"/>
      <c r="BB6850" s="806"/>
    </row>
    <row r="6851" spans="4:54">
      <c r="D6851" s="806"/>
      <c r="F6851" s="806"/>
      <c r="W6851" s="806"/>
      <c r="AZ6851" s="806"/>
      <c r="BA6851" s="806"/>
      <c r="BB6851" s="806"/>
    </row>
    <row r="6852" spans="4:54">
      <c r="D6852" s="806"/>
      <c r="F6852" s="806"/>
      <c r="W6852" s="806"/>
      <c r="AZ6852" s="806"/>
      <c r="BA6852" s="806"/>
      <c r="BB6852" s="806"/>
    </row>
    <row r="6853" spans="4:54">
      <c r="D6853" s="806"/>
      <c r="F6853" s="806"/>
      <c r="W6853" s="806"/>
      <c r="AZ6853" s="806"/>
      <c r="BA6853" s="806"/>
      <c r="BB6853" s="806"/>
    </row>
    <row r="6854" spans="4:54">
      <c r="D6854" s="806"/>
      <c r="F6854" s="806"/>
      <c r="W6854" s="806"/>
      <c r="AZ6854" s="806"/>
      <c r="BA6854" s="806"/>
      <c r="BB6854" s="806"/>
    </row>
    <row r="6855" spans="4:54">
      <c r="D6855" s="806"/>
      <c r="F6855" s="806"/>
      <c r="W6855" s="806"/>
      <c r="AZ6855" s="806"/>
      <c r="BA6855" s="806"/>
      <c r="BB6855" s="806"/>
    </row>
    <row r="6856" spans="4:54">
      <c r="D6856" s="806"/>
      <c r="F6856" s="806"/>
      <c r="W6856" s="806"/>
      <c r="AZ6856" s="806"/>
      <c r="BA6856" s="806"/>
      <c r="BB6856" s="806"/>
    </row>
    <row r="6857" spans="4:54">
      <c r="D6857" s="806"/>
      <c r="F6857" s="806"/>
      <c r="W6857" s="806"/>
      <c r="AZ6857" s="806"/>
      <c r="BA6857" s="806"/>
      <c r="BB6857" s="806"/>
    </row>
    <row r="6858" spans="4:54">
      <c r="D6858" s="806"/>
      <c r="F6858" s="806"/>
      <c r="W6858" s="806"/>
      <c r="AZ6858" s="806"/>
      <c r="BA6858" s="806"/>
      <c r="BB6858" s="806"/>
    </row>
    <row r="6859" spans="4:54">
      <c r="D6859" s="806"/>
      <c r="F6859" s="806"/>
      <c r="W6859" s="806"/>
      <c r="AZ6859" s="806"/>
      <c r="BA6859" s="806"/>
      <c r="BB6859" s="806"/>
    </row>
    <row r="6860" spans="4:54">
      <c r="D6860" s="806"/>
      <c r="F6860" s="806"/>
      <c r="W6860" s="806"/>
      <c r="AZ6860" s="806"/>
      <c r="BA6860" s="806"/>
      <c r="BB6860" s="806"/>
    </row>
    <row r="6861" spans="4:54">
      <c r="D6861" s="806"/>
      <c r="F6861" s="806"/>
      <c r="W6861" s="806"/>
      <c r="AZ6861" s="806"/>
      <c r="BA6861" s="806"/>
      <c r="BB6861" s="806"/>
    </row>
    <row r="6862" spans="4:54">
      <c r="D6862" s="806"/>
      <c r="F6862" s="806"/>
      <c r="W6862" s="806"/>
      <c r="AZ6862" s="806"/>
      <c r="BA6862" s="806"/>
      <c r="BB6862" s="806"/>
    </row>
    <row r="6863" spans="4:54">
      <c r="D6863" s="806"/>
      <c r="F6863" s="806"/>
      <c r="W6863" s="806"/>
      <c r="AZ6863" s="806"/>
      <c r="BA6863" s="806"/>
      <c r="BB6863" s="806"/>
    </row>
    <row r="6864" spans="4:54">
      <c r="D6864" s="806"/>
      <c r="F6864" s="806"/>
      <c r="W6864" s="806"/>
      <c r="AZ6864" s="806"/>
      <c r="BA6864" s="806"/>
      <c r="BB6864" s="806"/>
    </row>
    <row r="6865" spans="4:54">
      <c r="D6865" s="806"/>
      <c r="F6865" s="806"/>
      <c r="W6865" s="806"/>
      <c r="AZ6865" s="806"/>
      <c r="BA6865" s="806"/>
      <c r="BB6865" s="806"/>
    </row>
    <row r="6866" spans="4:54">
      <c r="D6866" s="806"/>
      <c r="F6866" s="806"/>
      <c r="W6866" s="806"/>
      <c r="AZ6866" s="806"/>
      <c r="BA6866" s="806"/>
      <c r="BB6866" s="806"/>
    </row>
    <row r="6867" spans="4:54">
      <c r="D6867" s="806"/>
      <c r="F6867" s="806"/>
      <c r="W6867" s="806"/>
      <c r="AZ6867" s="806"/>
      <c r="BA6867" s="806"/>
      <c r="BB6867" s="806"/>
    </row>
    <row r="6868" spans="4:54">
      <c r="D6868" s="806"/>
      <c r="F6868" s="806"/>
      <c r="W6868" s="806"/>
      <c r="AZ6868" s="806"/>
      <c r="BA6868" s="806"/>
      <c r="BB6868" s="806"/>
    </row>
    <row r="6869" spans="4:54">
      <c r="D6869" s="806"/>
      <c r="F6869" s="806"/>
      <c r="W6869" s="806"/>
      <c r="AZ6869" s="806"/>
      <c r="BA6869" s="806"/>
      <c r="BB6869" s="806"/>
    </row>
    <row r="6870" spans="4:54">
      <c r="D6870" s="806"/>
      <c r="F6870" s="806"/>
      <c r="W6870" s="806"/>
      <c r="AZ6870" s="806"/>
      <c r="BA6870" s="806"/>
      <c r="BB6870" s="806"/>
    </row>
    <row r="6871" spans="4:54">
      <c r="D6871" s="806"/>
      <c r="F6871" s="806"/>
      <c r="W6871" s="806"/>
      <c r="AZ6871" s="806"/>
      <c r="BA6871" s="806"/>
      <c r="BB6871" s="806"/>
    </row>
    <row r="6872" spans="4:54">
      <c r="D6872" s="806"/>
      <c r="F6872" s="806"/>
      <c r="W6872" s="806"/>
      <c r="AZ6872" s="806"/>
      <c r="BA6872" s="806"/>
      <c r="BB6872" s="806"/>
    </row>
    <row r="6873" spans="4:54">
      <c r="D6873" s="806"/>
      <c r="F6873" s="806"/>
      <c r="W6873" s="806"/>
      <c r="AZ6873" s="806"/>
      <c r="BA6873" s="806"/>
      <c r="BB6873" s="806"/>
    </row>
    <row r="6874" spans="4:54">
      <c r="D6874" s="806"/>
      <c r="F6874" s="806"/>
      <c r="W6874" s="806"/>
      <c r="AZ6874" s="806"/>
      <c r="BA6874" s="806"/>
      <c r="BB6874" s="806"/>
    </row>
    <row r="6875" spans="4:54">
      <c r="D6875" s="806"/>
      <c r="F6875" s="806"/>
      <c r="W6875" s="806"/>
      <c r="AZ6875" s="806"/>
      <c r="BA6875" s="806"/>
      <c r="BB6875" s="806"/>
    </row>
    <row r="6876" spans="4:54">
      <c r="D6876" s="806"/>
      <c r="F6876" s="806"/>
      <c r="W6876" s="806"/>
      <c r="AZ6876" s="806"/>
      <c r="BA6876" s="806"/>
      <c r="BB6876" s="806"/>
    </row>
    <row r="6877" spans="4:54">
      <c r="D6877" s="806"/>
      <c r="F6877" s="806"/>
      <c r="W6877" s="806"/>
      <c r="AZ6877" s="806"/>
      <c r="BA6877" s="806"/>
      <c r="BB6877" s="806"/>
    </row>
    <row r="6878" spans="4:54">
      <c r="D6878" s="806"/>
      <c r="F6878" s="806"/>
      <c r="W6878" s="806"/>
      <c r="AZ6878" s="806"/>
      <c r="BA6878" s="806"/>
      <c r="BB6878" s="806"/>
    </row>
    <row r="6879" spans="4:54">
      <c r="D6879" s="806"/>
      <c r="F6879" s="806"/>
      <c r="W6879" s="806"/>
      <c r="AZ6879" s="806"/>
      <c r="BA6879" s="806"/>
      <c r="BB6879" s="806"/>
    </row>
    <row r="6880" spans="4:54">
      <c r="D6880" s="806"/>
      <c r="F6880" s="806"/>
      <c r="W6880" s="806"/>
      <c r="AZ6880" s="806"/>
      <c r="BA6880" s="806"/>
      <c r="BB6880" s="806"/>
    </row>
    <row r="6881" spans="4:54">
      <c r="D6881" s="806"/>
      <c r="F6881" s="806"/>
      <c r="W6881" s="806"/>
      <c r="AZ6881" s="806"/>
      <c r="BA6881" s="806"/>
      <c r="BB6881" s="806"/>
    </row>
    <row r="6882" spans="4:54">
      <c r="D6882" s="806"/>
      <c r="F6882" s="806"/>
      <c r="W6882" s="806"/>
      <c r="AZ6882" s="806"/>
      <c r="BA6882" s="806"/>
      <c r="BB6882" s="806"/>
    </row>
    <row r="6883" spans="4:54">
      <c r="D6883" s="806"/>
      <c r="F6883" s="806"/>
      <c r="W6883" s="806"/>
      <c r="AZ6883" s="806"/>
      <c r="BA6883" s="806"/>
      <c r="BB6883" s="806"/>
    </row>
    <row r="6884" spans="4:54">
      <c r="D6884" s="806"/>
      <c r="F6884" s="806"/>
      <c r="W6884" s="806"/>
      <c r="AZ6884" s="806"/>
      <c r="BA6884" s="806"/>
      <c r="BB6884" s="806"/>
    </row>
    <row r="6885" spans="4:54">
      <c r="D6885" s="806"/>
      <c r="F6885" s="806"/>
      <c r="W6885" s="806"/>
      <c r="AZ6885" s="806"/>
      <c r="BA6885" s="806"/>
      <c r="BB6885" s="806"/>
    </row>
    <row r="6886" spans="4:54">
      <c r="D6886" s="806"/>
      <c r="F6886" s="806"/>
      <c r="W6886" s="806"/>
      <c r="AZ6886" s="806"/>
      <c r="BA6886" s="806"/>
      <c r="BB6886" s="806"/>
    </row>
    <row r="6887" spans="4:54">
      <c r="D6887" s="806"/>
      <c r="F6887" s="806"/>
      <c r="W6887" s="806"/>
      <c r="AZ6887" s="806"/>
      <c r="BA6887" s="806"/>
      <c r="BB6887" s="806"/>
    </row>
    <row r="6888" spans="4:54">
      <c r="D6888" s="806"/>
      <c r="F6888" s="806"/>
      <c r="W6888" s="806"/>
      <c r="AZ6888" s="806"/>
      <c r="BA6888" s="806"/>
      <c r="BB6888" s="806"/>
    </row>
    <row r="6889" spans="4:54">
      <c r="D6889" s="806"/>
      <c r="F6889" s="806"/>
      <c r="W6889" s="806"/>
      <c r="AZ6889" s="806"/>
      <c r="BA6889" s="806"/>
      <c r="BB6889" s="806"/>
    </row>
    <row r="6890" spans="4:54">
      <c r="D6890" s="806"/>
      <c r="F6890" s="806"/>
      <c r="W6890" s="806"/>
      <c r="AZ6890" s="806"/>
      <c r="BA6890" s="806"/>
      <c r="BB6890" s="806"/>
    </row>
    <row r="6891" spans="4:54">
      <c r="D6891" s="806"/>
      <c r="F6891" s="806"/>
      <c r="W6891" s="806"/>
      <c r="AZ6891" s="806"/>
      <c r="BA6891" s="806"/>
      <c r="BB6891" s="806"/>
    </row>
    <row r="6892" spans="4:54">
      <c r="D6892" s="806"/>
      <c r="F6892" s="806"/>
      <c r="W6892" s="806"/>
      <c r="AZ6892" s="806"/>
      <c r="BA6892" s="806"/>
      <c r="BB6892" s="806"/>
    </row>
    <row r="6893" spans="4:54">
      <c r="D6893" s="806"/>
      <c r="F6893" s="806"/>
      <c r="W6893" s="806"/>
      <c r="AZ6893" s="806"/>
      <c r="BA6893" s="806"/>
      <c r="BB6893" s="806"/>
    </row>
    <row r="6894" spans="4:54">
      <c r="D6894" s="806"/>
      <c r="F6894" s="806"/>
      <c r="W6894" s="806"/>
      <c r="AZ6894" s="806"/>
      <c r="BA6894" s="806"/>
      <c r="BB6894" s="806"/>
    </row>
    <row r="6895" spans="4:54">
      <c r="D6895" s="806"/>
      <c r="F6895" s="806"/>
      <c r="W6895" s="806"/>
      <c r="AZ6895" s="806"/>
      <c r="BA6895" s="806"/>
      <c r="BB6895" s="806"/>
    </row>
    <row r="6896" spans="4:54">
      <c r="D6896" s="806"/>
      <c r="F6896" s="806"/>
      <c r="W6896" s="806"/>
      <c r="AZ6896" s="806"/>
      <c r="BA6896" s="806"/>
      <c r="BB6896" s="806"/>
    </row>
    <row r="6897" spans="4:54">
      <c r="D6897" s="806"/>
      <c r="F6897" s="806"/>
      <c r="W6897" s="806"/>
      <c r="AZ6897" s="806"/>
      <c r="BA6897" s="806"/>
      <c r="BB6897" s="806"/>
    </row>
    <row r="6898" spans="4:54">
      <c r="D6898" s="806"/>
      <c r="F6898" s="806"/>
      <c r="W6898" s="806"/>
      <c r="AZ6898" s="806"/>
      <c r="BA6898" s="806"/>
      <c r="BB6898" s="806"/>
    </row>
    <row r="6899" spans="4:54">
      <c r="D6899" s="806"/>
      <c r="F6899" s="806"/>
      <c r="W6899" s="806"/>
      <c r="AZ6899" s="806"/>
      <c r="BA6899" s="806"/>
      <c r="BB6899" s="806"/>
    </row>
    <row r="6900" spans="4:54">
      <c r="D6900" s="806"/>
      <c r="F6900" s="806"/>
      <c r="W6900" s="806"/>
      <c r="AZ6900" s="806"/>
      <c r="BA6900" s="806"/>
      <c r="BB6900" s="806"/>
    </row>
    <row r="6901" spans="4:54">
      <c r="D6901" s="806"/>
      <c r="F6901" s="806"/>
      <c r="W6901" s="806"/>
      <c r="AZ6901" s="806"/>
      <c r="BA6901" s="806"/>
      <c r="BB6901" s="806"/>
    </row>
    <row r="6902" spans="4:54">
      <c r="D6902" s="806"/>
      <c r="F6902" s="806"/>
      <c r="W6902" s="806"/>
      <c r="AZ6902" s="806"/>
      <c r="BA6902" s="806"/>
      <c r="BB6902" s="806"/>
    </row>
    <row r="6903" spans="4:54">
      <c r="D6903" s="806"/>
      <c r="F6903" s="806"/>
      <c r="W6903" s="806"/>
      <c r="AZ6903" s="806"/>
      <c r="BA6903" s="806"/>
      <c r="BB6903" s="806"/>
    </row>
    <row r="6904" spans="4:54">
      <c r="D6904" s="806"/>
      <c r="F6904" s="806"/>
      <c r="W6904" s="806"/>
      <c r="AZ6904" s="806"/>
      <c r="BA6904" s="806"/>
      <c r="BB6904" s="806"/>
    </row>
    <row r="6905" spans="4:54">
      <c r="D6905" s="806"/>
      <c r="F6905" s="806"/>
      <c r="W6905" s="806"/>
      <c r="AZ6905" s="806"/>
      <c r="BA6905" s="806"/>
      <c r="BB6905" s="806"/>
    </row>
    <row r="6906" spans="4:54">
      <c r="D6906" s="806"/>
      <c r="F6906" s="806"/>
      <c r="W6906" s="806"/>
      <c r="AZ6906" s="806"/>
      <c r="BA6906" s="806"/>
      <c r="BB6906" s="806"/>
    </row>
    <row r="6907" spans="4:54">
      <c r="D6907" s="806"/>
      <c r="F6907" s="806"/>
      <c r="W6907" s="806"/>
      <c r="AZ6907" s="806"/>
      <c r="BA6907" s="806"/>
      <c r="BB6907" s="806"/>
    </row>
    <row r="6908" spans="4:54">
      <c r="D6908" s="806"/>
      <c r="F6908" s="806"/>
      <c r="W6908" s="806"/>
      <c r="AZ6908" s="806"/>
      <c r="BA6908" s="806"/>
      <c r="BB6908" s="806"/>
    </row>
    <row r="6909" spans="4:54">
      <c r="D6909" s="806"/>
      <c r="F6909" s="806"/>
      <c r="W6909" s="806"/>
      <c r="AZ6909" s="806"/>
      <c r="BA6909" s="806"/>
      <c r="BB6909" s="806"/>
    </row>
    <row r="6910" spans="4:54">
      <c r="D6910" s="806"/>
      <c r="F6910" s="806"/>
      <c r="W6910" s="806"/>
      <c r="AZ6910" s="806"/>
      <c r="BA6910" s="806"/>
      <c r="BB6910" s="806"/>
    </row>
    <row r="6911" spans="4:54">
      <c r="D6911" s="806"/>
      <c r="F6911" s="806"/>
      <c r="W6911" s="806"/>
      <c r="AZ6911" s="806"/>
      <c r="BA6911" s="806"/>
      <c r="BB6911" s="806"/>
    </row>
    <row r="6912" spans="4:54">
      <c r="D6912" s="806"/>
      <c r="F6912" s="806"/>
      <c r="W6912" s="806"/>
      <c r="AZ6912" s="806"/>
      <c r="BA6912" s="806"/>
      <c r="BB6912" s="806"/>
    </row>
    <row r="6913" spans="4:54">
      <c r="D6913" s="806"/>
      <c r="F6913" s="806"/>
      <c r="W6913" s="806"/>
      <c r="AZ6913" s="806"/>
      <c r="BA6913" s="806"/>
      <c r="BB6913" s="806"/>
    </row>
    <row r="6914" spans="4:54">
      <c r="D6914" s="806"/>
      <c r="F6914" s="806"/>
      <c r="W6914" s="806"/>
      <c r="AZ6914" s="806"/>
      <c r="BA6914" s="806"/>
      <c r="BB6914" s="806"/>
    </row>
    <row r="6915" spans="4:54">
      <c r="D6915" s="806"/>
      <c r="F6915" s="806"/>
      <c r="W6915" s="806"/>
      <c r="AZ6915" s="806"/>
      <c r="BA6915" s="806"/>
      <c r="BB6915" s="806"/>
    </row>
    <row r="6916" spans="4:54">
      <c r="D6916" s="806"/>
      <c r="F6916" s="806"/>
      <c r="W6916" s="806"/>
      <c r="AZ6916" s="806"/>
      <c r="BA6916" s="806"/>
      <c r="BB6916" s="806"/>
    </row>
    <row r="6917" spans="4:54">
      <c r="D6917" s="806"/>
      <c r="F6917" s="806"/>
      <c r="W6917" s="806"/>
      <c r="AZ6917" s="806"/>
      <c r="BA6917" s="806"/>
      <c r="BB6917" s="806"/>
    </row>
    <row r="6918" spans="4:54">
      <c r="D6918" s="806"/>
      <c r="F6918" s="806"/>
      <c r="W6918" s="806"/>
      <c r="AZ6918" s="806"/>
      <c r="BA6918" s="806"/>
      <c r="BB6918" s="806"/>
    </row>
    <row r="6919" spans="4:54">
      <c r="D6919" s="806"/>
      <c r="F6919" s="806"/>
      <c r="W6919" s="806"/>
      <c r="AZ6919" s="806"/>
      <c r="BA6919" s="806"/>
      <c r="BB6919" s="806"/>
    </row>
    <row r="6920" spans="4:54">
      <c r="D6920" s="806"/>
      <c r="F6920" s="806"/>
      <c r="W6920" s="806"/>
      <c r="AZ6920" s="806"/>
      <c r="BA6920" s="806"/>
      <c r="BB6920" s="806"/>
    </row>
    <row r="6921" spans="4:54">
      <c r="D6921" s="806"/>
      <c r="F6921" s="806"/>
      <c r="W6921" s="806"/>
      <c r="AZ6921" s="806"/>
      <c r="BA6921" s="806"/>
      <c r="BB6921" s="806"/>
    </row>
    <row r="6922" spans="4:54">
      <c r="D6922" s="806"/>
      <c r="F6922" s="806"/>
      <c r="W6922" s="806"/>
      <c r="AZ6922" s="806"/>
      <c r="BA6922" s="806"/>
      <c r="BB6922" s="806"/>
    </row>
    <row r="6923" spans="4:54">
      <c r="D6923" s="806"/>
      <c r="F6923" s="806"/>
      <c r="W6923" s="806"/>
      <c r="AZ6923" s="806"/>
      <c r="BA6923" s="806"/>
      <c r="BB6923" s="806"/>
    </row>
    <row r="6924" spans="4:54">
      <c r="D6924" s="806"/>
      <c r="F6924" s="806"/>
      <c r="W6924" s="806"/>
      <c r="AZ6924" s="806"/>
      <c r="BA6924" s="806"/>
      <c r="BB6924" s="806"/>
    </row>
    <row r="6925" spans="4:54">
      <c r="D6925" s="806"/>
      <c r="F6925" s="806"/>
      <c r="W6925" s="806"/>
      <c r="AZ6925" s="806"/>
      <c r="BA6925" s="806"/>
      <c r="BB6925" s="806"/>
    </row>
    <row r="6926" spans="4:54">
      <c r="D6926" s="806"/>
      <c r="F6926" s="806"/>
      <c r="W6926" s="806"/>
      <c r="AZ6926" s="806"/>
      <c r="BA6926" s="806"/>
      <c r="BB6926" s="806"/>
    </row>
    <row r="6927" spans="4:54">
      <c r="D6927" s="806"/>
      <c r="F6927" s="806"/>
      <c r="W6927" s="806"/>
      <c r="AZ6927" s="806"/>
      <c r="BA6927" s="806"/>
      <c r="BB6927" s="806"/>
    </row>
    <row r="6928" spans="4:54">
      <c r="D6928" s="806"/>
      <c r="F6928" s="806"/>
      <c r="W6928" s="806"/>
      <c r="AZ6928" s="806"/>
      <c r="BA6928" s="806"/>
      <c r="BB6928" s="806"/>
    </row>
    <row r="6929" spans="4:54">
      <c r="D6929" s="806"/>
      <c r="F6929" s="806"/>
      <c r="W6929" s="806"/>
      <c r="AZ6929" s="806"/>
      <c r="BA6929" s="806"/>
      <c r="BB6929" s="806"/>
    </row>
    <row r="6930" spans="4:54">
      <c r="D6930" s="806"/>
      <c r="F6930" s="806"/>
      <c r="W6930" s="806"/>
      <c r="AZ6930" s="806"/>
      <c r="BA6930" s="806"/>
      <c r="BB6930" s="806"/>
    </row>
    <row r="6931" spans="4:54">
      <c r="D6931" s="806"/>
      <c r="F6931" s="806"/>
      <c r="W6931" s="806"/>
      <c r="AZ6931" s="806"/>
      <c r="BA6931" s="806"/>
      <c r="BB6931" s="806"/>
    </row>
    <row r="6932" spans="4:54">
      <c r="D6932" s="806"/>
      <c r="F6932" s="806"/>
      <c r="W6932" s="806"/>
      <c r="AZ6932" s="806"/>
      <c r="BA6932" s="806"/>
      <c r="BB6932" s="806"/>
    </row>
    <row r="6933" spans="4:54">
      <c r="D6933" s="806"/>
      <c r="F6933" s="806"/>
      <c r="W6933" s="806"/>
      <c r="AZ6933" s="806"/>
      <c r="BA6933" s="806"/>
      <c r="BB6933" s="806"/>
    </row>
    <row r="6934" spans="4:54">
      <c r="D6934" s="806"/>
      <c r="F6934" s="806"/>
      <c r="W6934" s="806"/>
      <c r="AZ6934" s="806"/>
      <c r="BA6934" s="806"/>
      <c r="BB6934" s="806"/>
    </row>
    <row r="6935" spans="4:54">
      <c r="D6935" s="806"/>
      <c r="F6935" s="806"/>
      <c r="W6935" s="806"/>
      <c r="AZ6935" s="806"/>
      <c r="BA6935" s="806"/>
      <c r="BB6935" s="806"/>
    </row>
    <row r="6936" spans="4:54">
      <c r="D6936" s="806"/>
      <c r="F6936" s="806"/>
      <c r="W6936" s="806"/>
      <c r="AZ6936" s="806"/>
      <c r="BA6936" s="806"/>
      <c r="BB6936" s="806"/>
    </row>
    <row r="6937" spans="4:54">
      <c r="D6937" s="806"/>
      <c r="F6937" s="806"/>
      <c r="W6937" s="806"/>
      <c r="AZ6937" s="806"/>
      <c r="BA6937" s="806"/>
      <c r="BB6937" s="806"/>
    </row>
    <row r="6938" spans="4:54">
      <c r="D6938" s="806"/>
      <c r="F6938" s="806"/>
      <c r="W6938" s="806"/>
      <c r="AZ6938" s="806"/>
      <c r="BA6938" s="806"/>
      <c r="BB6938" s="806"/>
    </row>
    <row r="6939" spans="4:54">
      <c r="D6939" s="806"/>
      <c r="F6939" s="806"/>
      <c r="W6939" s="806"/>
      <c r="AZ6939" s="806"/>
      <c r="BA6939" s="806"/>
      <c r="BB6939" s="806"/>
    </row>
    <row r="6940" spans="4:54">
      <c r="D6940" s="806"/>
      <c r="F6940" s="806"/>
      <c r="W6940" s="806"/>
      <c r="AZ6940" s="806"/>
      <c r="BA6940" s="806"/>
      <c r="BB6940" s="806"/>
    </row>
    <row r="6941" spans="4:54">
      <c r="D6941" s="806"/>
      <c r="F6941" s="806"/>
      <c r="W6941" s="806"/>
      <c r="AZ6941" s="806"/>
      <c r="BA6941" s="806"/>
      <c r="BB6941" s="806"/>
    </row>
    <row r="6942" spans="4:54">
      <c r="D6942" s="806"/>
      <c r="F6942" s="806"/>
      <c r="W6942" s="806"/>
      <c r="AZ6942" s="806"/>
      <c r="BA6942" s="806"/>
      <c r="BB6942" s="806"/>
    </row>
    <row r="6943" spans="4:54">
      <c r="D6943" s="806"/>
      <c r="F6943" s="806"/>
      <c r="W6943" s="806"/>
      <c r="AZ6943" s="806"/>
      <c r="BA6943" s="806"/>
      <c r="BB6943" s="806"/>
    </row>
    <row r="6944" spans="4:54">
      <c r="D6944" s="806"/>
      <c r="F6944" s="806"/>
      <c r="W6944" s="806"/>
      <c r="AZ6944" s="806"/>
      <c r="BA6944" s="806"/>
      <c r="BB6944" s="806"/>
    </row>
    <row r="6945" spans="4:54">
      <c r="D6945" s="806"/>
      <c r="F6945" s="806"/>
      <c r="W6945" s="806"/>
      <c r="AZ6945" s="806"/>
      <c r="BA6945" s="806"/>
      <c r="BB6945" s="806"/>
    </row>
    <row r="6946" spans="4:54">
      <c r="D6946" s="806"/>
      <c r="F6946" s="806"/>
      <c r="W6946" s="806"/>
      <c r="AZ6946" s="806"/>
      <c r="BA6946" s="806"/>
      <c r="BB6946" s="806"/>
    </row>
    <row r="6947" spans="4:54">
      <c r="D6947" s="806"/>
      <c r="F6947" s="806"/>
      <c r="W6947" s="806"/>
      <c r="AZ6947" s="806"/>
      <c r="BA6947" s="806"/>
      <c r="BB6947" s="806"/>
    </row>
    <row r="6948" spans="4:54">
      <c r="D6948" s="806"/>
      <c r="F6948" s="806"/>
      <c r="W6948" s="806"/>
      <c r="AZ6948" s="806"/>
      <c r="BA6948" s="806"/>
      <c r="BB6948" s="806"/>
    </row>
    <row r="6949" spans="4:54">
      <c r="D6949" s="806"/>
      <c r="F6949" s="806"/>
      <c r="W6949" s="806"/>
      <c r="AZ6949" s="806"/>
      <c r="BA6949" s="806"/>
      <c r="BB6949" s="806"/>
    </row>
    <row r="6950" spans="4:54">
      <c r="D6950" s="806"/>
      <c r="F6950" s="806"/>
      <c r="W6950" s="806"/>
      <c r="AZ6950" s="806"/>
      <c r="BA6950" s="806"/>
      <c r="BB6950" s="806"/>
    </row>
    <row r="6951" spans="4:54">
      <c r="D6951" s="806"/>
      <c r="F6951" s="806"/>
      <c r="W6951" s="806"/>
      <c r="AZ6951" s="806"/>
      <c r="BA6951" s="806"/>
      <c r="BB6951" s="806"/>
    </row>
    <row r="6952" spans="4:54">
      <c r="D6952" s="806"/>
      <c r="F6952" s="806"/>
      <c r="W6952" s="806"/>
      <c r="AZ6952" s="806"/>
      <c r="BA6952" s="806"/>
      <c r="BB6952" s="806"/>
    </row>
    <row r="6953" spans="4:54">
      <c r="D6953" s="806"/>
      <c r="F6953" s="806"/>
      <c r="W6953" s="806"/>
      <c r="AZ6953" s="806"/>
      <c r="BA6953" s="806"/>
      <c r="BB6953" s="806"/>
    </row>
    <row r="6954" spans="4:54">
      <c r="D6954" s="806"/>
      <c r="F6954" s="806"/>
      <c r="W6954" s="806"/>
      <c r="AZ6954" s="806"/>
      <c r="BA6954" s="806"/>
      <c r="BB6954" s="806"/>
    </row>
    <row r="6955" spans="4:54">
      <c r="D6955" s="806"/>
      <c r="F6955" s="806"/>
      <c r="W6955" s="806"/>
      <c r="AZ6955" s="806"/>
      <c r="BA6955" s="806"/>
      <c r="BB6955" s="806"/>
    </row>
    <row r="6956" spans="4:54">
      <c r="D6956" s="806"/>
      <c r="F6956" s="806"/>
      <c r="W6956" s="806"/>
      <c r="AZ6956" s="806"/>
      <c r="BA6956" s="806"/>
      <c r="BB6956" s="806"/>
    </row>
    <row r="6957" spans="4:54">
      <c r="D6957" s="806"/>
      <c r="F6957" s="806"/>
      <c r="W6957" s="806"/>
      <c r="AZ6957" s="806"/>
      <c r="BA6957" s="806"/>
      <c r="BB6957" s="806"/>
    </row>
    <row r="6958" spans="4:54">
      <c r="D6958" s="806"/>
      <c r="F6958" s="806"/>
      <c r="W6958" s="806"/>
      <c r="AZ6958" s="806"/>
      <c r="BA6958" s="806"/>
      <c r="BB6958" s="806"/>
    </row>
    <row r="6959" spans="4:54">
      <c r="D6959" s="806"/>
      <c r="F6959" s="806"/>
      <c r="W6959" s="806"/>
      <c r="AZ6959" s="806"/>
      <c r="BA6959" s="806"/>
      <c r="BB6959" s="806"/>
    </row>
    <row r="6960" spans="4:54">
      <c r="D6960" s="806"/>
      <c r="F6960" s="806"/>
      <c r="W6960" s="806"/>
      <c r="AZ6960" s="806"/>
      <c r="BA6960" s="806"/>
      <c r="BB6960" s="806"/>
    </row>
    <row r="6961" spans="4:54">
      <c r="D6961" s="806"/>
      <c r="F6961" s="806"/>
      <c r="W6961" s="806"/>
      <c r="AZ6961" s="806"/>
      <c r="BA6961" s="806"/>
      <c r="BB6961" s="806"/>
    </row>
    <row r="6962" spans="4:54">
      <c r="D6962" s="806"/>
      <c r="F6962" s="806"/>
      <c r="W6962" s="806"/>
      <c r="AZ6962" s="806"/>
      <c r="BA6962" s="806"/>
      <c r="BB6962" s="806"/>
    </row>
    <row r="6963" spans="4:54">
      <c r="D6963" s="806"/>
      <c r="F6963" s="806"/>
      <c r="W6963" s="806"/>
      <c r="AZ6963" s="806"/>
      <c r="BA6963" s="806"/>
      <c r="BB6963" s="806"/>
    </row>
    <row r="6964" spans="4:54">
      <c r="D6964" s="806"/>
      <c r="F6964" s="806"/>
      <c r="W6964" s="806"/>
      <c r="AZ6964" s="806"/>
      <c r="BA6964" s="806"/>
      <c r="BB6964" s="806"/>
    </row>
    <row r="6965" spans="4:54">
      <c r="D6965" s="806"/>
      <c r="F6965" s="806"/>
      <c r="W6965" s="806"/>
      <c r="AZ6965" s="806"/>
      <c r="BA6965" s="806"/>
      <c r="BB6965" s="806"/>
    </row>
    <row r="6966" spans="4:54">
      <c r="D6966" s="806"/>
      <c r="F6966" s="806"/>
      <c r="W6966" s="806"/>
      <c r="AZ6966" s="806"/>
      <c r="BA6966" s="806"/>
      <c r="BB6966" s="806"/>
    </row>
    <row r="6967" spans="4:54">
      <c r="D6967" s="806"/>
      <c r="F6967" s="806"/>
      <c r="W6967" s="806"/>
      <c r="AZ6967" s="806"/>
      <c r="BA6967" s="806"/>
      <c r="BB6967" s="806"/>
    </row>
    <row r="6968" spans="4:54">
      <c r="D6968" s="806"/>
      <c r="F6968" s="806"/>
      <c r="W6968" s="806"/>
      <c r="AZ6968" s="806"/>
      <c r="BA6968" s="806"/>
      <c r="BB6968" s="806"/>
    </row>
    <row r="6969" spans="4:54">
      <c r="D6969" s="806"/>
      <c r="F6969" s="806"/>
      <c r="W6969" s="806"/>
      <c r="AZ6969" s="806"/>
      <c r="BA6969" s="806"/>
      <c r="BB6969" s="806"/>
    </row>
    <row r="6970" spans="4:54">
      <c r="D6970" s="806"/>
      <c r="F6970" s="806"/>
      <c r="W6970" s="806"/>
      <c r="AZ6970" s="806"/>
      <c r="BA6970" s="806"/>
      <c r="BB6970" s="806"/>
    </row>
    <row r="6971" spans="4:54">
      <c r="D6971" s="806"/>
      <c r="F6971" s="806"/>
      <c r="W6971" s="806"/>
      <c r="AZ6971" s="806"/>
      <c r="BA6971" s="806"/>
      <c r="BB6971" s="806"/>
    </row>
    <row r="6972" spans="4:54">
      <c r="D6972" s="806"/>
      <c r="F6972" s="806"/>
      <c r="W6972" s="806"/>
      <c r="AZ6972" s="806"/>
      <c r="BA6972" s="806"/>
      <c r="BB6972" s="806"/>
    </row>
    <row r="6973" spans="4:54">
      <c r="D6973" s="806"/>
      <c r="F6973" s="806"/>
      <c r="W6973" s="806"/>
      <c r="AZ6973" s="806"/>
      <c r="BA6973" s="806"/>
      <c r="BB6973" s="806"/>
    </row>
    <row r="6974" spans="4:54">
      <c r="D6974" s="806"/>
      <c r="F6974" s="806"/>
      <c r="W6974" s="806"/>
      <c r="AZ6974" s="806"/>
      <c r="BA6974" s="806"/>
      <c r="BB6974" s="806"/>
    </row>
    <row r="6975" spans="4:54">
      <c r="D6975" s="806"/>
      <c r="F6975" s="806"/>
      <c r="W6975" s="806"/>
      <c r="AZ6975" s="806"/>
      <c r="BA6975" s="806"/>
      <c r="BB6975" s="806"/>
    </row>
    <row r="6976" spans="4:54">
      <c r="D6976" s="806"/>
      <c r="F6976" s="806"/>
      <c r="W6976" s="806"/>
      <c r="AZ6976" s="806"/>
      <c r="BA6976" s="806"/>
      <c r="BB6976" s="806"/>
    </row>
    <row r="6977" spans="4:54">
      <c r="D6977" s="806"/>
      <c r="F6977" s="806"/>
      <c r="W6977" s="806"/>
      <c r="AZ6977" s="806"/>
      <c r="BA6977" s="806"/>
      <c r="BB6977" s="806"/>
    </row>
    <row r="6978" spans="4:54">
      <c r="D6978" s="806"/>
      <c r="F6978" s="806"/>
      <c r="W6978" s="806"/>
      <c r="AZ6978" s="806"/>
      <c r="BA6978" s="806"/>
      <c r="BB6978" s="806"/>
    </row>
    <row r="6979" spans="4:54">
      <c r="D6979" s="806"/>
      <c r="F6979" s="806"/>
      <c r="W6979" s="806"/>
      <c r="AZ6979" s="806"/>
      <c r="BA6979" s="806"/>
      <c r="BB6979" s="806"/>
    </row>
    <row r="6980" spans="4:54">
      <c r="D6980" s="806"/>
      <c r="F6980" s="806"/>
      <c r="W6980" s="806"/>
      <c r="AZ6980" s="806"/>
      <c r="BA6980" s="806"/>
      <c r="BB6980" s="806"/>
    </row>
    <row r="6981" spans="4:54">
      <c r="D6981" s="806"/>
      <c r="F6981" s="806"/>
      <c r="W6981" s="806"/>
      <c r="AZ6981" s="806"/>
      <c r="BA6981" s="806"/>
      <c r="BB6981" s="806"/>
    </row>
    <row r="6982" spans="4:54">
      <c r="D6982" s="806"/>
      <c r="F6982" s="806"/>
      <c r="W6982" s="806"/>
      <c r="AZ6982" s="806"/>
      <c r="BA6982" s="806"/>
      <c r="BB6982" s="806"/>
    </row>
    <row r="6983" spans="4:54">
      <c r="D6983" s="806"/>
      <c r="F6983" s="806"/>
      <c r="W6983" s="806"/>
      <c r="AZ6983" s="806"/>
      <c r="BA6983" s="806"/>
      <c r="BB6983" s="806"/>
    </row>
    <row r="6984" spans="4:54">
      <c r="D6984" s="806"/>
      <c r="F6984" s="806"/>
      <c r="W6984" s="806"/>
      <c r="AZ6984" s="806"/>
      <c r="BA6984" s="806"/>
      <c r="BB6984" s="806"/>
    </row>
    <row r="6985" spans="4:54">
      <c r="D6985" s="806"/>
      <c r="F6985" s="806"/>
      <c r="W6985" s="806"/>
      <c r="AZ6985" s="806"/>
      <c r="BA6985" s="806"/>
      <c r="BB6985" s="806"/>
    </row>
    <row r="6986" spans="4:54">
      <c r="D6986" s="806"/>
      <c r="F6986" s="806"/>
      <c r="W6986" s="806"/>
      <c r="AZ6986" s="806"/>
      <c r="BA6986" s="806"/>
      <c r="BB6986" s="806"/>
    </row>
    <row r="6987" spans="4:54">
      <c r="D6987" s="806"/>
      <c r="F6987" s="806"/>
      <c r="W6987" s="806"/>
      <c r="AZ6987" s="806"/>
      <c r="BA6987" s="806"/>
      <c r="BB6987" s="806"/>
    </row>
    <row r="6988" spans="4:54">
      <c r="D6988" s="806"/>
      <c r="F6988" s="806"/>
      <c r="W6988" s="806"/>
      <c r="AZ6988" s="806"/>
      <c r="BA6988" s="806"/>
      <c r="BB6988" s="806"/>
    </row>
    <row r="6989" spans="4:54">
      <c r="D6989" s="806"/>
      <c r="F6989" s="806"/>
      <c r="W6989" s="806"/>
      <c r="AZ6989" s="806"/>
      <c r="BA6989" s="806"/>
      <c r="BB6989" s="806"/>
    </row>
    <row r="6990" spans="4:54">
      <c r="D6990" s="806"/>
      <c r="F6990" s="806"/>
      <c r="W6990" s="806"/>
      <c r="AZ6990" s="806"/>
      <c r="BA6990" s="806"/>
      <c r="BB6990" s="806"/>
    </row>
    <row r="6991" spans="4:54">
      <c r="D6991" s="806"/>
      <c r="F6991" s="806"/>
      <c r="W6991" s="806"/>
      <c r="AZ6991" s="806"/>
      <c r="BA6991" s="806"/>
      <c r="BB6991" s="806"/>
    </row>
    <row r="6992" spans="4:54">
      <c r="D6992" s="806"/>
      <c r="F6992" s="806"/>
      <c r="W6992" s="806"/>
      <c r="AZ6992" s="806"/>
      <c r="BA6992" s="806"/>
      <c r="BB6992" s="806"/>
    </row>
    <row r="6993" spans="4:54">
      <c r="D6993" s="806"/>
      <c r="F6993" s="806"/>
      <c r="W6993" s="806"/>
      <c r="AZ6993" s="806"/>
      <c r="BA6993" s="806"/>
      <c r="BB6993" s="806"/>
    </row>
    <row r="6994" spans="4:54">
      <c r="D6994" s="806"/>
      <c r="F6994" s="806"/>
      <c r="W6994" s="806"/>
      <c r="AZ6994" s="806"/>
      <c r="BA6994" s="806"/>
      <c r="BB6994" s="806"/>
    </row>
    <row r="6995" spans="4:54">
      <c r="D6995" s="806"/>
      <c r="F6995" s="806"/>
      <c r="W6995" s="806"/>
      <c r="AZ6995" s="806"/>
      <c r="BA6995" s="806"/>
      <c r="BB6995" s="806"/>
    </row>
    <row r="6996" spans="4:54">
      <c r="D6996" s="806"/>
      <c r="F6996" s="806"/>
      <c r="W6996" s="806"/>
      <c r="AZ6996" s="806"/>
      <c r="BA6996" s="806"/>
      <c r="BB6996" s="806"/>
    </row>
    <row r="6997" spans="4:54">
      <c r="D6997" s="806"/>
      <c r="F6997" s="806"/>
      <c r="W6997" s="806"/>
      <c r="AZ6997" s="806"/>
      <c r="BA6997" s="806"/>
      <c r="BB6997" s="806"/>
    </row>
    <row r="6998" spans="4:54">
      <c r="D6998" s="806"/>
      <c r="F6998" s="806"/>
      <c r="W6998" s="806"/>
      <c r="AZ6998" s="806"/>
      <c r="BA6998" s="806"/>
      <c r="BB6998" s="806"/>
    </row>
    <row r="6999" spans="4:54">
      <c r="D6999" s="806"/>
      <c r="F6999" s="806"/>
      <c r="W6999" s="806"/>
      <c r="AZ6999" s="806"/>
      <c r="BA6999" s="806"/>
      <c r="BB6999" s="806"/>
    </row>
    <row r="7000" spans="4:54">
      <c r="D7000" s="806"/>
      <c r="F7000" s="806"/>
      <c r="W7000" s="806"/>
      <c r="AZ7000" s="806"/>
      <c r="BA7000" s="806"/>
      <c r="BB7000" s="806"/>
    </row>
    <row r="7001" spans="4:54">
      <c r="D7001" s="806"/>
      <c r="F7001" s="806"/>
      <c r="W7001" s="806"/>
      <c r="AZ7001" s="806"/>
      <c r="BA7001" s="806"/>
      <c r="BB7001" s="806"/>
    </row>
    <row r="7002" spans="4:54">
      <c r="D7002" s="806"/>
      <c r="F7002" s="806"/>
      <c r="W7002" s="806"/>
      <c r="AZ7002" s="806"/>
      <c r="BA7002" s="806"/>
      <c r="BB7002" s="806"/>
    </row>
    <row r="7003" spans="4:54">
      <c r="D7003" s="806"/>
      <c r="F7003" s="806"/>
      <c r="W7003" s="806"/>
      <c r="AZ7003" s="806"/>
      <c r="BA7003" s="806"/>
      <c r="BB7003" s="806"/>
    </row>
    <row r="7004" spans="4:54">
      <c r="D7004" s="806"/>
      <c r="F7004" s="806"/>
      <c r="W7004" s="806"/>
      <c r="AZ7004" s="806"/>
      <c r="BA7004" s="806"/>
      <c r="BB7004" s="806"/>
    </row>
    <row r="7005" spans="4:54">
      <c r="D7005" s="806"/>
      <c r="F7005" s="806"/>
      <c r="W7005" s="806"/>
      <c r="AZ7005" s="806"/>
      <c r="BA7005" s="806"/>
      <c r="BB7005" s="806"/>
    </row>
    <row r="7006" spans="4:54">
      <c r="D7006" s="806"/>
      <c r="F7006" s="806"/>
      <c r="W7006" s="806"/>
      <c r="AZ7006" s="806"/>
      <c r="BA7006" s="806"/>
      <c r="BB7006" s="806"/>
    </row>
    <row r="7007" spans="4:54">
      <c r="D7007" s="806"/>
      <c r="F7007" s="806"/>
      <c r="W7007" s="806"/>
      <c r="AZ7007" s="806"/>
      <c r="BA7007" s="806"/>
      <c r="BB7007" s="806"/>
    </row>
    <row r="7008" spans="4:54">
      <c r="D7008" s="806"/>
      <c r="F7008" s="806"/>
      <c r="W7008" s="806"/>
      <c r="AZ7008" s="806"/>
      <c r="BA7008" s="806"/>
      <c r="BB7008" s="806"/>
    </row>
    <row r="7009" spans="4:54">
      <c r="D7009" s="806"/>
      <c r="F7009" s="806"/>
      <c r="W7009" s="806"/>
      <c r="AZ7009" s="806"/>
      <c r="BA7009" s="806"/>
      <c r="BB7009" s="806"/>
    </row>
    <row r="7010" spans="4:54">
      <c r="D7010" s="806"/>
      <c r="F7010" s="806"/>
      <c r="W7010" s="806"/>
      <c r="AZ7010" s="806"/>
      <c r="BA7010" s="806"/>
      <c r="BB7010" s="806"/>
    </row>
    <row r="7011" spans="4:54">
      <c r="D7011" s="806"/>
      <c r="F7011" s="806"/>
      <c r="W7011" s="806"/>
      <c r="AZ7011" s="806"/>
      <c r="BA7011" s="806"/>
      <c r="BB7011" s="806"/>
    </row>
    <row r="7012" spans="4:54">
      <c r="D7012" s="806"/>
      <c r="F7012" s="806"/>
      <c r="W7012" s="806"/>
      <c r="AZ7012" s="806"/>
      <c r="BA7012" s="806"/>
      <c r="BB7012" s="806"/>
    </row>
    <row r="7013" spans="4:54">
      <c r="D7013" s="806"/>
      <c r="F7013" s="806"/>
      <c r="W7013" s="806"/>
      <c r="AZ7013" s="806"/>
      <c r="BA7013" s="806"/>
      <c r="BB7013" s="806"/>
    </row>
    <row r="7014" spans="4:54">
      <c r="D7014" s="806"/>
      <c r="F7014" s="806"/>
      <c r="W7014" s="806"/>
      <c r="AZ7014" s="806"/>
      <c r="BA7014" s="806"/>
      <c r="BB7014" s="806"/>
    </row>
    <row r="7015" spans="4:54">
      <c r="D7015" s="806"/>
      <c r="F7015" s="806"/>
      <c r="W7015" s="806"/>
      <c r="AZ7015" s="806"/>
      <c r="BA7015" s="806"/>
      <c r="BB7015" s="806"/>
    </row>
    <row r="7016" spans="4:54">
      <c r="D7016" s="806"/>
      <c r="F7016" s="806"/>
      <c r="W7016" s="806"/>
      <c r="AZ7016" s="806"/>
      <c r="BA7016" s="806"/>
      <c r="BB7016" s="806"/>
    </row>
    <row r="7017" spans="4:54">
      <c r="D7017" s="806"/>
      <c r="F7017" s="806"/>
      <c r="W7017" s="806"/>
      <c r="AZ7017" s="806"/>
      <c r="BA7017" s="806"/>
      <c r="BB7017" s="806"/>
    </row>
    <row r="7018" spans="4:54">
      <c r="D7018" s="806"/>
      <c r="F7018" s="806"/>
      <c r="W7018" s="806"/>
      <c r="AZ7018" s="806"/>
      <c r="BA7018" s="806"/>
      <c r="BB7018" s="806"/>
    </row>
    <row r="7019" spans="4:54">
      <c r="D7019" s="806"/>
      <c r="F7019" s="806"/>
      <c r="W7019" s="806"/>
      <c r="AZ7019" s="806"/>
      <c r="BA7019" s="806"/>
      <c r="BB7019" s="806"/>
    </row>
    <row r="7020" spans="4:54">
      <c r="D7020" s="806"/>
      <c r="F7020" s="806"/>
      <c r="W7020" s="806"/>
      <c r="AZ7020" s="806"/>
      <c r="BA7020" s="806"/>
      <c r="BB7020" s="806"/>
    </row>
    <row r="7021" spans="4:54">
      <c r="D7021" s="806"/>
      <c r="F7021" s="806"/>
      <c r="W7021" s="806"/>
      <c r="AZ7021" s="806"/>
      <c r="BA7021" s="806"/>
      <c r="BB7021" s="806"/>
    </row>
    <row r="7022" spans="4:54">
      <c r="D7022" s="806"/>
      <c r="F7022" s="806"/>
      <c r="W7022" s="806"/>
      <c r="AZ7022" s="806"/>
      <c r="BA7022" s="806"/>
      <c r="BB7022" s="806"/>
    </row>
    <row r="7023" spans="4:54">
      <c r="D7023" s="806"/>
      <c r="F7023" s="806"/>
      <c r="W7023" s="806"/>
      <c r="AZ7023" s="806"/>
      <c r="BA7023" s="806"/>
      <c r="BB7023" s="806"/>
    </row>
    <row r="7024" spans="4:54">
      <c r="D7024" s="806"/>
      <c r="F7024" s="806"/>
      <c r="W7024" s="806"/>
      <c r="AZ7024" s="806"/>
      <c r="BA7024" s="806"/>
      <c r="BB7024" s="806"/>
    </row>
    <row r="7025" spans="4:54">
      <c r="D7025" s="806"/>
      <c r="F7025" s="806"/>
      <c r="W7025" s="806"/>
      <c r="AZ7025" s="806"/>
      <c r="BA7025" s="806"/>
      <c r="BB7025" s="806"/>
    </row>
    <row r="7026" spans="4:54">
      <c r="D7026" s="806"/>
      <c r="F7026" s="806"/>
      <c r="W7026" s="806"/>
      <c r="AZ7026" s="806"/>
      <c r="BA7026" s="806"/>
      <c r="BB7026" s="806"/>
    </row>
    <row r="7027" spans="4:54">
      <c r="D7027" s="806"/>
      <c r="F7027" s="806"/>
      <c r="W7027" s="806"/>
      <c r="AZ7027" s="806"/>
      <c r="BA7027" s="806"/>
      <c r="BB7027" s="806"/>
    </row>
    <row r="7028" spans="4:54">
      <c r="D7028" s="806"/>
      <c r="F7028" s="806"/>
      <c r="W7028" s="806"/>
      <c r="AZ7028" s="806"/>
      <c r="BA7028" s="806"/>
      <c r="BB7028" s="806"/>
    </row>
    <row r="7029" spans="4:54">
      <c r="D7029" s="806"/>
      <c r="F7029" s="806"/>
      <c r="W7029" s="806"/>
      <c r="AZ7029" s="806"/>
      <c r="BA7029" s="806"/>
      <c r="BB7029" s="806"/>
    </row>
    <row r="7030" spans="4:54">
      <c r="D7030" s="806"/>
      <c r="F7030" s="806"/>
      <c r="W7030" s="806"/>
      <c r="AZ7030" s="806"/>
      <c r="BA7030" s="806"/>
      <c r="BB7030" s="806"/>
    </row>
    <row r="7031" spans="4:54">
      <c r="D7031" s="806"/>
      <c r="F7031" s="806"/>
      <c r="W7031" s="806"/>
      <c r="AZ7031" s="806"/>
      <c r="BA7031" s="806"/>
      <c r="BB7031" s="806"/>
    </row>
    <row r="7032" spans="4:54">
      <c r="D7032" s="806"/>
      <c r="F7032" s="806"/>
      <c r="W7032" s="806"/>
      <c r="AZ7032" s="806"/>
      <c r="BA7032" s="806"/>
      <c r="BB7032" s="806"/>
    </row>
    <row r="7033" spans="4:54">
      <c r="D7033" s="806"/>
      <c r="F7033" s="806"/>
      <c r="W7033" s="806"/>
      <c r="AZ7033" s="806"/>
      <c r="BA7033" s="806"/>
      <c r="BB7033" s="806"/>
    </row>
    <row r="7034" spans="4:54">
      <c r="D7034" s="806"/>
      <c r="F7034" s="806"/>
      <c r="W7034" s="806"/>
      <c r="AZ7034" s="806"/>
      <c r="BA7034" s="806"/>
      <c r="BB7034" s="806"/>
    </row>
    <row r="7035" spans="4:54">
      <c r="D7035" s="806"/>
      <c r="F7035" s="806"/>
      <c r="W7035" s="806"/>
      <c r="AZ7035" s="806"/>
      <c r="BA7035" s="806"/>
      <c r="BB7035" s="806"/>
    </row>
    <row r="7036" spans="4:54">
      <c r="D7036" s="806"/>
      <c r="F7036" s="806"/>
      <c r="W7036" s="806"/>
      <c r="AZ7036" s="806"/>
      <c r="BA7036" s="806"/>
      <c r="BB7036" s="806"/>
    </row>
    <row r="7037" spans="4:54">
      <c r="D7037" s="806"/>
      <c r="F7037" s="806"/>
      <c r="W7037" s="806"/>
      <c r="AZ7037" s="806"/>
      <c r="BA7037" s="806"/>
      <c r="BB7037" s="806"/>
    </row>
    <row r="7038" spans="4:54">
      <c r="D7038" s="806"/>
      <c r="F7038" s="806"/>
      <c r="W7038" s="806"/>
      <c r="AZ7038" s="806"/>
      <c r="BA7038" s="806"/>
      <c r="BB7038" s="806"/>
    </row>
    <row r="7039" spans="4:54">
      <c r="D7039" s="806"/>
      <c r="F7039" s="806"/>
      <c r="W7039" s="806"/>
      <c r="AZ7039" s="806"/>
      <c r="BA7039" s="806"/>
      <c r="BB7039" s="806"/>
    </row>
    <row r="7040" spans="4:54">
      <c r="D7040" s="806"/>
      <c r="F7040" s="806"/>
      <c r="W7040" s="806"/>
      <c r="AZ7040" s="806"/>
      <c r="BA7040" s="806"/>
      <c r="BB7040" s="806"/>
    </row>
    <row r="7041" spans="4:54">
      <c r="D7041" s="806"/>
      <c r="F7041" s="806"/>
      <c r="W7041" s="806"/>
      <c r="AZ7041" s="806"/>
      <c r="BA7041" s="806"/>
      <c r="BB7041" s="806"/>
    </row>
    <row r="7042" spans="4:54">
      <c r="D7042" s="806"/>
      <c r="F7042" s="806"/>
      <c r="W7042" s="806"/>
      <c r="AZ7042" s="806"/>
      <c r="BA7042" s="806"/>
      <c r="BB7042" s="806"/>
    </row>
    <row r="7043" spans="4:54">
      <c r="D7043" s="806"/>
      <c r="F7043" s="806"/>
      <c r="W7043" s="806"/>
      <c r="AZ7043" s="806"/>
      <c r="BA7043" s="806"/>
      <c r="BB7043" s="806"/>
    </row>
    <row r="7044" spans="4:54">
      <c r="D7044" s="806"/>
      <c r="F7044" s="806"/>
      <c r="W7044" s="806"/>
      <c r="AZ7044" s="806"/>
      <c r="BA7044" s="806"/>
      <c r="BB7044" s="806"/>
    </row>
    <row r="7045" spans="4:54">
      <c r="D7045" s="806"/>
      <c r="F7045" s="806"/>
      <c r="W7045" s="806"/>
      <c r="AZ7045" s="806"/>
      <c r="BA7045" s="806"/>
      <c r="BB7045" s="806"/>
    </row>
    <row r="7046" spans="4:54">
      <c r="D7046" s="806"/>
      <c r="F7046" s="806"/>
      <c r="W7046" s="806"/>
      <c r="AZ7046" s="806"/>
      <c r="BA7046" s="806"/>
      <c r="BB7046" s="806"/>
    </row>
    <row r="7047" spans="4:54">
      <c r="D7047" s="806"/>
      <c r="F7047" s="806"/>
      <c r="W7047" s="806"/>
      <c r="AZ7047" s="806"/>
      <c r="BA7047" s="806"/>
      <c r="BB7047" s="806"/>
    </row>
    <row r="7048" spans="4:54">
      <c r="D7048" s="806"/>
      <c r="F7048" s="806"/>
      <c r="W7048" s="806"/>
      <c r="AZ7048" s="806"/>
      <c r="BA7048" s="806"/>
      <c r="BB7048" s="806"/>
    </row>
    <row r="7049" spans="4:54">
      <c r="D7049" s="806"/>
      <c r="F7049" s="806"/>
      <c r="W7049" s="806"/>
      <c r="AZ7049" s="806"/>
      <c r="BA7049" s="806"/>
      <c r="BB7049" s="806"/>
    </row>
    <row r="7050" spans="4:54">
      <c r="D7050" s="806"/>
      <c r="F7050" s="806"/>
      <c r="W7050" s="806"/>
      <c r="AZ7050" s="806"/>
      <c r="BA7050" s="806"/>
      <c r="BB7050" s="806"/>
    </row>
    <row r="7051" spans="4:54">
      <c r="D7051" s="806"/>
      <c r="F7051" s="806"/>
      <c r="W7051" s="806"/>
      <c r="AZ7051" s="806"/>
      <c r="BA7051" s="806"/>
      <c r="BB7051" s="806"/>
    </row>
    <row r="7052" spans="4:54">
      <c r="D7052" s="806"/>
      <c r="F7052" s="806"/>
      <c r="W7052" s="806"/>
      <c r="AZ7052" s="806"/>
      <c r="BA7052" s="806"/>
      <c r="BB7052" s="806"/>
    </row>
    <row r="7053" spans="4:54">
      <c r="D7053" s="806"/>
      <c r="F7053" s="806"/>
      <c r="W7053" s="806"/>
      <c r="AZ7053" s="806"/>
      <c r="BA7053" s="806"/>
      <c r="BB7053" s="806"/>
    </row>
    <row r="7054" spans="4:54">
      <c r="D7054" s="806"/>
      <c r="F7054" s="806"/>
      <c r="W7054" s="806"/>
      <c r="AZ7054" s="806"/>
      <c r="BA7054" s="806"/>
      <c r="BB7054" s="806"/>
    </row>
    <row r="7055" spans="4:54">
      <c r="D7055" s="806"/>
      <c r="F7055" s="806"/>
      <c r="W7055" s="806"/>
      <c r="AZ7055" s="806"/>
      <c r="BA7055" s="806"/>
      <c r="BB7055" s="806"/>
    </row>
    <row r="7056" spans="4:54">
      <c r="D7056" s="806"/>
      <c r="F7056" s="806"/>
      <c r="W7056" s="806"/>
      <c r="AZ7056" s="806"/>
      <c r="BA7056" s="806"/>
      <c r="BB7056" s="806"/>
    </row>
    <row r="7057" spans="4:54">
      <c r="D7057" s="806"/>
      <c r="F7057" s="806"/>
      <c r="W7057" s="806"/>
      <c r="AZ7057" s="806"/>
      <c r="BA7057" s="806"/>
      <c r="BB7057" s="806"/>
    </row>
    <row r="7058" spans="4:54">
      <c r="D7058" s="806"/>
      <c r="F7058" s="806"/>
      <c r="W7058" s="806"/>
      <c r="AZ7058" s="806"/>
      <c r="BA7058" s="806"/>
      <c r="BB7058" s="806"/>
    </row>
    <row r="7059" spans="4:54">
      <c r="D7059" s="806"/>
      <c r="F7059" s="806"/>
      <c r="W7059" s="806"/>
      <c r="AZ7059" s="806"/>
      <c r="BA7059" s="806"/>
      <c r="BB7059" s="806"/>
    </row>
    <row r="7060" spans="4:54">
      <c r="D7060" s="806"/>
      <c r="F7060" s="806"/>
      <c r="W7060" s="806"/>
      <c r="AZ7060" s="806"/>
      <c r="BA7060" s="806"/>
      <c r="BB7060" s="806"/>
    </row>
    <row r="7061" spans="4:54">
      <c r="D7061" s="806"/>
      <c r="F7061" s="806"/>
      <c r="W7061" s="806"/>
      <c r="AZ7061" s="806"/>
      <c r="BA7061" s="806"/>
      <c r="BB7061" s="806"/>
    </row>
    <row r="7062" spans="4:54">
      <c r="D7062" s="806"/>
      <c r="F7062" s="806"/>
      <c r="W7062" s="806"/>
      <c r="AZ7062" s="806"/>
      <c r="BA7062" s="806"/>
      <c r="BB7062" s="806"/>
    </row>
    <row r="7063" spans="4:54">
      <c r="D7063" s="806"/>
      <c r="F7063" s="806"/>
      <c r="W7063" s="806"/>
      <c r="AZ7063" s="806"/>
      <c r="BA7063" s="806"/>
      <c r="BB7063" s="806"/>
    </row>
    <row r="7064" spans="4:54">
      <c r="D7064" s="806"/>
      <c r="F7064" s="806"/>
      <c r="W7064" s="806"/>
      <c r="AZ7064" s="806"/>
      <c r="BA7064" s="806"/>
      <c r="BB7064" s="806"/>
    </row>
    <row r="7065" spans="4:54">
      <c r="D7065" s="806"/>
      <c r="F7065" s="806"/>
      <c r="W7065" s="806"/>
      <c r="AZ7065" s="806"/>
      <c r="BA7065" s="806"/>
      <c r="BB7065" s="806"/>
    </row>
    <row r="7066" spans="4:54">
      <c r="D7066" s="806"/>
      <c r="F7066" s="806"/>
      <c r="W7066" s="806"/>
      <c r="AZ7066" s="806"/>
      <c r="BA7066" s="806"/>
      <c r="BB7066" s="806"/>
    </row>
    <row r="7067" spans="4:54">
      <c r="D7067" s="806"/>
      <c r="F7067" s="806"/>
      <c r="W7067" s="806"/>
      <c r="AZ7067" s="806"/>
      <c r="BA7067" s="806"/>
      <c r="BB7067" s="806"/>
    </row>
    <row r="7068" spans="4:54">
      <c r="D7068" s="806"/>
      <c r="F7068" s="806"/>
      <c r="W7068" s="806"/>
      <c r="AZ7068" s="806"/>
      <c r="BA7068" s="806"/>
      <c r="BB7068" s="806"/>
    </row>
    <row r="7069" spans="4:54">
      <c r="D7069" s="806"/>
      <c r="F7069" s="806"/>
      <c r="W7069" s="806"/>
      <c r="AZ7069" s="806"/>
      <c r="BA7069" s="806"/>
      <c r="BB7069" s="806"/>
    </row>
    <row r="7070" spans="4:54">
      <c r="D7070" s="806"/>
      <c r="F7070" s="806"/>
      <c r="W7070" s="806"/>
      <c r="AZ7070" s="806"/>
      <c r="BA7070" s="806"/>
      <c r="BB7070" s="806"/>
    </row>
    <row r="7071" spans="4:54">
      <c r="D7071" s="806"/>
      <c r="F7071" s="806"/>
      <c r="W7071" s="806"/>
      <c r="AZ7071" s="806"/>
      <c r="BA7071" s="806"/>
      <c r="BB7071" s="806"/>
    </row>
    <row r="7072" spans="4:54">
      <c r="D7072" s="806"/>
      <c r="F7072" s="806"/>
      <c r="W7072" s="806"/>
      <c r="AZ7072" s="806"/>
      <c r="BA7072" s="806"/>
      <c r="BB7072" s="806"/>
    </row>
    <row r="7073" spans="4:54">
      <c r="D7073" s="806"/>
      <c r="F7073" s="806"/>
      <c r="W7073" s="806"/>
      <c r="AZ7073" s="806"/>
      <c r="BA7073" s="806"/>
      <c r="BB7073" s="806"/>
    </row>
    <row r="7074" spans="4:54">
      <c r="D7074" s="806"/>
      <c r="F7074" s="806"/>
      <c r="W7074" s="806"/>
      <c r="AZ7074" s="806"/>
      <c r="BA7074" s="806"/>
      <c r="BB7074" s="806"/>
    </row>
    <row r="7075" spans="4:54">
      <c r="D7075" s="806"/>
      <c r="F7075" s="806"/>
      <c r="W7075" s="806"/>
      <c r="AZ7075" s="806"/>
      <c r="BA7075" s="806"/>
      <c r="BB7075" s="806"/>
    </row>
    <row r="7076" spans="4:54">
      <c r="D7076" s="806"/>
      <c r="F7076" s="806"/>
      <c r="W7076" s="806"/>
      <c r="AZ7076" s="806"/>
      <c r="BA7076" s="806"/>
      <c r="BB7076" s="806"/>
    </row>
    <row r="7077" spans="4:54">
      <c r="D7077" s="806"/>
      <c r="F7077" s="806"/>
      <c r="W7077" s="806"/>
      <c r="AZ7077" s="806"/>
      <c r="BA7077" s="806"/>
      <c r="BB7077" s="806"/>
    </row>
    <row r="7078" spans="4:54">
      <c r="D7078" s="806"/>
      <c r="F7078" s="806"/>
      <c r="W7078" s="806"/>
      <c r="AZ7078" s="806"/>
      <c r="BA7078" s="806"/>
      <c r="BB7078" s="806"/>
    </row>
    <row r="7079" spans="4:54">
      <c r="D7079" s="806"/>
      <c r="F7079" s="806"/>
      <c r="W7079" s="806"/>
      <c r="AZ7079" s="806"/>
      <c r="BA7079" s="806"/>
      <c r="BB7079" s="806"/>
    </row>
    <row r="7080" spans="4:54">
      <c r="D7080" s="806"/>
      <c r="F7080" s="806"/>
      <c r="W7080" s="806"/>
      <c r="AZ7080" s="806"/>
      <c r="BA7080" s="806"/>
      <c r="BB7080" s="806"/>
    </row>
    <row r="7081" spans="4:54">
      <c r="D7081" s="806"/>
      <c r="F7081" s="806"/>
      <c r="W7081" s="806"/>
      <c r="AZ7081" s="806"/>
      <c r="BA7081" s="806"/>
      <c r="BB7081" s="806"/>
    </row>
    <row r="7082" spans="4:54">
      <c r="D7082" s="806"/>
      <c r="F7082" s="806"/>
      <c r="W7082" s="806"/>
      <c r="AZ7082" s="806"/>
      <c r="BA7082" s="806"/>
      <c r="BB7082" s="806"/>
    </row>
    <row r="7083" spans="4:54">
      <c r="D7083" s="806"/>
      <c r="F7083" s="806"/>
      <c r="W7083" s="806"/>
      <c r="AZ7083" s="806"/>
      <c r="BA7083" s="806"/>
      <c r="BB7083" s="806"/>
    </row>
    <row r="7084" spans="4:54">
      <c r="D7084" s="806"/>
      <c r="F7084" s="806"/>
      <c r="W7084" s="806"/>
      <c r="AZ7084" s="806"/>
      <c r="BA7084" s="806"/>
      <c r="BB7084" s="806"/>
    </row>
    <row r="7085" spans="4:54">
      <c r="D7085" s="806"/>
      <c r="F7085" s="806"/>
      <c r="W7085" s="806"/>
      <c r="AZ7085" s="806"/>
      <c r="BA7085" s="806"/>
      <c r="BB7085" s="806"/>
    </row>
    <row r="7086" spans="4:54">
      <c r="D7086" s="806"/>
      <c r="F7086" s="806"/>
      <c r="W7086" s="806"/>
      <c r="AZ7086" s="806"/>
      <c r="BA7086" s="806"/>
      <c r="BB7086" s="806"/>
    </row>
    <row r="7087" spans="4:54">
      <c r="D7087" s="806"/>
      <c r="F7087" s="806"/>
      <c r="W7087" s="806"/>
      <c r="AZ7087" s="806"/>
      <c r="BA7087" s="806"/>
      <c r="BB7087" s="806"/>
    </row>
    <row r="7088" spans="4:54">
      <c r="D7088" s="806"/>
      <c r="F7088" s="806"/>
      <c r="W7088" s="806"/>
      <c r="AZ7088" s="806"/>
      <c r="BA7088" s="806"/>
      <c r="BB7088" s="806"/>
    </row>
    <row r="7089" spans="4:54">
      <c r="D7089" s="806"/>
      <c r="F7089" s="806"/>
      <c r="W7089" s="806"/>
      <c r="AZ7089" s="806"/>
      <c r="BA7089" s="806"/>
      <c r="BB7089" s="806"/>
    </row>
    <row r="7090" spans="4:54">
      <c r="D7090" s="806"/>
      <c r="F7090" s="806"/>
      <c r="W7090" s="806"/>
      <c r="AZ7090" s="806"/>
      <c r="BA7090" s="806"/>
      <c r="BB7090" s="806"/>
    </row>
    <row r="7091" spans="4:54">
      <c r="D7091" s="806"/>
      <c r="F7091" s="806"/>
      <c r="W7091" s="806"/>
      <c r="AZ7091" s="806"/>
      <c r="BA7091" s="806"/>
      <c r="BB7091" s="806"/>
    </row>
    <row r="7092" spans="4:54">
      <c r="D7092" s="806"/>
      <c r="F7092" s="806"/>
      <c r="W7092" s="806"/>
      <c r="AZ7092" s="806"/>
      <c r="BA7092" s="806"/>
      <c r="BB7092" s="806"/>
    </row>
    <row r="7093" spans="4:54">
      <c r="D7093" s="806"/>
      <c r="F7093" s="806"/>
      <c r="W7093" s="806"/>
      <c r="AZ7093" s="806"/>
      <c r="BA7093" s="806"/>
      <c r="BB7093" s="806"/>
    </row>
    <row r="7094" spans="4:54">
      <c r="D7094" s="806"/>
      <c r="F7094" s="806"/>
      <c r="W7094" s="806"/>
      <c r="AZ7094" s="806"/>
      <c r="BA7094" s="806"/>
      <c r="BB7094" s="806"/>
    </row>
    <row r="7095" spans="4:54">
      <c r="D7095" s="806"/>
      <c r="F7095" s="806"/>
      <c r="W7095" s="806"/>
      <c r="AZ7095" s="806"/>
      <c r="BA7095" s="806"/>
      <c r="BB7095" s="806"/>
    </row>
    <row r="7096" spans="4:54">
      <c r="D7096" s="806"/>
      <c r="F7096" s="806"/>
      <c r="W7096" s="806"/>
      <c r="AZ7096" s="806"/>
      <c r="BA7096" s="806"/>
      <c r="BB7096" s="806"/>
    </row>
    <row r="7097" spans="4:54">
      <c r="D7097" s="806"/>
      <c r="F7097" s="806"/>
      <c r="W7097" s="806"/>
      <c r="AZ7097" s="806"/>
      <c r="BA7097" s="806"/>
      <c r="BB7097" s="806"/>
    </row>
    <row r="7098" spans="4:54">
      <c r="D7098" s="806"/>
      <c r="F7098" s="806"/>
      <c r="W7098" s="806"/>
      <c r="AZ7098" s="806"/>
      <c r="BA7098" s="806"/>
      <c r="BB7098" s="806"/>
    </row>
    <row r="7099" spans="4:54">
      <c r="D7099" s="806"/>
      <c r="F7099" s="806"/>
      <c r="W7099" s="806"/>
      <c r="AZ7099" s="806"/>
      <c r="BA7099" s="806"/>
      <c r="BB7099" s="806"/>
    </row>
    <row r="7100" spans="4:54">
      <c r="D7100" s="806"/>
      <c r="F7100" s="806"/>
      <c r="W7100" s="806"/>
      <c r="AZ7100" s="806"/>
      <c r="BA7100" s="806"/>
      <c r="BB7100" s="806"/>
    </row>
    <row r="7101" spans="4:54">
      <c r="D7101" s="806"/>
      <c r="F7101" s="806"/>
      <c r="W7101" s="806"/>
      <c r="AZ7101" s="806"/>
      <c r="BA7101" s="806"/>
      <c r="BB7101" s="806"/>
    </row>
    <row r="7102" spans="4:54">
      <c r="D7102" s="806"/>
      <c r="F7102" s="806"/>
      <c r="W7102" s="806"/>
      <c r="AZ7102" s="806"/>
      <c r="BA7102" s="806"/>
      <c r="BB7102" s="806"/>
    </row>
    <row r="7103" spans="4:54">
      <c r="D7103" s="806"/>
      <c r="F7103" s="806"/>
      <c r="W7103" s="806"/>
      <c r="AZ7103" s="806"/>
      <c r="BA7103" s="806"/>
      <c r="BB7103" s="806"/>
    </row>
    <row r="7104" spans="4:54">
      <c r="D7104" s="806"/>
      <c r="F7104" s="806"/>
      <c r="W7104" s="806"/>
      <c r="AZ7104" s="806"/>
      <c r="BA7104" s="806"/>
      <c r="BB7104" s="806"/>
    </row>
    <row r="7105" spans="4:54">
      <c r="D7105" s="806"/>
      <c r="F7105" s="806"/>
      <c r="W7105" s="806"/>
      <c r="AZ7105" s="806"/>
      <c r="BA7105" s="806"/>
      <c r="BB7105" s="806"/>
    </row>
    <row r="7106" spans="4:54">
      <c r="D7106" s="806"/>
      <c r="F7106" s="806"/>
      <c r="W7106" s="806"/>
      <c r="AZ7106" s="806"/>
      <c r="BA7106" s="806"/>
      <c r="BB7106" s="806"/>
    </row>
    <row r="7107" spans="4:54">
      <c r="D7107" s="806"/>
      <c r="F7107" s="806"/>
      <c r="W7107" s="806"/>
      <c r="AZ7107" s="806"/>
      <c r="BA7107" s="806"/>
      <c r="BB7107" s="806"/>
    </row>
    <row r="7108" spans="4:54">
      <c r="D7108" s="806"/>
      <c r="F7108" s="806"/>
      <c r="W7108" s="806"/>
      <c r="AZ7108" s="806"/>
      <c r="BA7108" s="806"/>
      <c r="BB7108" s="806"/>
    </row>
    <row r="7109" spans="4:54">
      <c r="D7109" s="806"/>
      <c r="F7109" s="806"/>
      <c r="W7109" s="806"/>
      <c r="AZ7109" s="806"/>
      <c r="BA7109" s="806"/>
      <c r="BB7109" s="806"/>
    </row>
    <row r="7110" spans="4:54">
      <c r="D7110" s="806"/>
      <c r="F7110" s="806"/>
      <c r="W7110" s="806"/>
      <c r="AZ7110" s="806"/>
      <c r="BA7110" s="806"/>
      <c r="BB7110" s="806"/>
    </row>
    <row r="7111" spans="4:54">
      <c r="D7111" s="806"/>
      <c r="F7111" s="806"/>
      <c r="W7111" s="806"/>
      <c r="AZ7111" s="806"/>
      <c r="BA7111" s="806"/>
      <c r="BB7111" s="806"/>
    </row>
    <row r="7112" spans="4:54">
      <c r="D7112" s="806"/>
      <c r="F7112" s="806"/>
      <c r="W7112" s="806"/>
      <c r="AZ7112" s="806"/>
      <c r="BA7112" s="806"/>
      <c r="BB7112" s="806"/>
    </row>
    <row r="7113" spans="4:54">
      <c r="D7113" s="806"/>
      <c r="F7113" s="806"/>
      <c r="W7113" s="806"/>
      <c r="AZ7113" s="806"/>
      <c r="BA7113" s="806"/>
      <c r="BB7113" s="806"/>
    </row>
    <row r="7114" spans="4:54">
      <c r="D7114" s="806"/>
      <c r="F7114" s="806"/>
      <c r="W7114" s="806"/>
      <c r="AZ7114" s="806"/>
      <c r="BA7114" s="806"/>
      <c r="BB7114" s="806"/>
    </row>
    <row r="7115" spans="4:54">
      <c r="D7115" s="806"/>
      <c r="F7115" s="806"/>
      <c r="W7115" s="806"/>
      <c r="AZ7115" s="806"/>
      <c r="BA7115" s="806"/>
      <c r="BB7115" s="806"/>
    </row>
    <row r="7116" spans="4:54">
      <c r="D7116" s="806"/>
      <c r="F7116" s="806"/>
      <c r="W7116" s="806"/>
      <c r="AZ7116" s="806"/>
      <c r="BA7116" s="806"/>
      <c r="BB7116" s="806"/>
    </row>
    <row r="7117" spans="4:54">
      <c r="D7117" s="806"/>
      <c r="F7117" s="806"/>
      <c r="W7117" s="806"/>
      <c r="AZ7117" s="806"/>
      <c r="BA7117" s="806"/>
      <c r="BB7117" s="806"/>
    </row>
    <row r="7118" spans="4:54">
      <c r="D7118" s="806"/>
      <c r="F7118" s="806"/>
      <c r="W7118" s="806"/>
      <c r="AZ7118" s="806"/>
      <c r="BA7118" s="806"/>
      <c r="BB7118" s="806"/>
    </row>
    <row r="7119" spans="4:54">
      <c r="D7119" s="806"/>
      <c r="F7119" s="806"/>
      <c r="W7119" s="806"/>
      <c r="AZ7119" s="806"/>
      <c r="BA7119" s="806"/>
      <c r="BB7119" s="806"/>
    </row>
    <row r="7120" spans="4:54">
      <c r="D7120" s="806"/>
      <c r="F7120" s="806"/>
      <c r="W7120" s="806"/>
      <c r="AZ7120" s="806"/>
      <c r="BA7120" s="806"/>
      <c r="BB7120" s="806"/>
    </row>
    <row r="7121" spans="4:54">
      <c r="D7121" s="806"/>
      <c r="F7121" s="806"/>
      <c r="W7121" s="806"/>
      <c r="AZ7121" s="806"/>
      <c r="BA7121" s="806"/>
      <c r="BB7121" s="806"/>
    </row>
    <row r="7122" spans="4:54">
      <c r="D7122" s="806"/>
      <c r="F7122" s="806"/>
      <c r="W7122" s="806"/>
      <c r="AZ7122" s="806"/>
      <c r="BA7122" s="806"/>
      <c r="BB7122" s="806"/>
    </row>
    <row r="7123" spans="4:54">
      <c r="D7123" s="806"/>
      <c r="F7123" s="806"/>
      <c r="W7123" s="806"/>
      <c r="AZ7123" s="806"/>
      <c r="BA7123" s="806"/>
      <c r="BB7123" s="806"/>
    </row>
    <row r="7124" spans="4:54">
      <c r="D7124" s="806"/>
      <c r="F7124" s="806"/>
      <c r="W7124" s="806"/>
      <c r="AZ7124" s="806"/>
      <c r="BA7124" s="806"/>
      <c r="BB7124" s="806"/>
    </row>
    <row r="7125" spans="4:54">
      <c r="D7125" s="806"/>
      <c r="F7125" s="806"/>
      <c r="W7125" s="806"/>
      <c r="AZ7125" s="806"/>
      <c r="BA7125" s="806"/>
      <c r="BB7125" s="806"/>
    </row>
    <row r="7126" spans="4:54">
      <c r="D7126" s="806"/>
      <c r="F7126" s="806"/>
      <c r="W7126" s="806"/>
      <c r="AZ7126" s="806"/>
      <c r="BA7126" s="806"/>
      <c r="BB7126" s="806"/>
    </row>
    <row r="7127" spans="4:54">
      <c r="D7127" s="806"/>
      <c r="F7127" s="806"/>
      <c r="W7127" s="806"/>
      <c r="AZ7127" s="806"/>
      <c r="BA7127" s="806"/>
      <c r="BB7127" s="806"/>
    </row>
    <row r="7128" spans="4:54">
      <c r="D7128" s="806"/>
      <c r="F7128" s="806"/>
      <c r="W7128" s="806"/>
      <c r="AZ7128" s="806"/>
      <c r="BA7128" s="806"/>
      <c r="BB7128" s="806"/>
    </row>
    <row r="7129" spans="4:54">
      <c r="D7129" s="806"/>
      <c r="F7129" s="806"/>
      <c r="W7129" s="806"/>
      <c r="AZ7129" s="806"/>
      <c r="BA7129" s="806"/>
      <c r="BB7129" s="806"/>
    </row>
    <row r="7130" spans="4:54">
      <c r="D7130" s="806"/>
      <c r="F7130" s="806"/>
      <c r="W7130" s="806"/>
      <c r="AZ7130" s="806"/>
      <c r="BA7130" s="806"/>
      <c r="BB7130" s="806"/>
    </row>
    <row r="7131" spans="4:54">
      <c r="D7131" s="806"/>
      <c r="F7131" s="806"/>
      <c r="W7131" s="806"/>
      <c r="AZ7131" s="806"/>
      <c r="BA7131" s="806"/>
      <c r="BB7131" s="806"/>
    </row>
    <row r="7132" spans="4:54">
      <c r="D7132" s="806"/>
      <c r="F7132" s="806"/>
      <c r="W7132" s="806"/>
      <c r="AZ7132" s="806"/>
      <c r="BA7132" s="806"/>
      <c r="BB7132" s="806"/>
    </row>
    <row r="7133" spans="4:54">
      <c r="D7133" s="806"/>
      <c r="F7133" s="806"/>
      <c r="W7133" s="806"/>
      <c r="AZ7133" s="806"/>
      <c r="BA7133" s="806"/>
      <c r="BB7133" s="806"/>
    </row>
    <row r="7134" spans="4:54">
      <c r="D7134" s="806"/>
      <c r="F7134" s="806"/>
      <c r="W7134" s="806"/>
      <c r="AZ7134" s="806"/>
      <c r="BA7134" s="806"/>
      <c r="BB7134" s="806"/>
    </row>
    <row r="7135" spans="4:54">
      <c r="D7135" s="806"/>
      <c r="F7135" s="806"/>
      <c r="W7135" s="806"/>
      <c r="AZ7135" s="806"/>
      <c r="BA7135" s="806"/>
      <c r="BB7135" s="806"/>
    </row>
    <row r="7136" spans="4:54">
      <c r="D7136" s="806"/>
      <c r="F7136" s="806"/>
      <c r="W7136" s="806"/>
      <c r="AZ7136" s="806"/>
      <c r="BA7136" s="806"/>
      <c r="BB7136" s="806"/>
    </row>
    <row r="7137" spans="4:54">
      <c r="D7137" s="806"/>
      <c r="F7137" s="806"/>
      <c r="W7137" s="806"/>
      <c r="AZ7137" s="806"/>
      <c r="BA7137" s="806"/>
      <c r="BB7137" s="806"/>
    </row>
    <row r="7138" spans="4:54">
      <c r="D7138" s="806"/>
      <c r="F7138" s="806"/>
      <c r="W7138" s="806"/>
      <c r="AZ7138" s="806"/>
      <c r="BA7138" s="806"/>
      <c r="BB7138" s="806"/>
    </row>
    <row r="7139" spans="4:54">
      <c r="D7139" s="806"/>
      <c r="F7139" s="806"/>
      <c r="W7139" s="806"/>
      <c r="AZ7139" s="806"/>
      <c r="BA7139" s="806"/>
      <c r="BB7139" s="806"/>
    </row>
    <row r="7140" spans="4:54">
      <c r="D7140" s="806"/>
      <c r="F7140" s="806"/>
      <c r="W7140" s="806"/>
      <c r="AZ7140" s="806"/>
      <c r="BA7140" s="806"/>
      <c r="BB7140" s="806"/>
    </row>
    <row r="7141" spans="4:54">
      <c r="D7141" s="806"/>
      <c r="F7141" s="806"/>
      <c r="W7141" s="806"/>
      <c r="AZ7141" s="806"/>
      <c r="BA7141" s="806"/>
      <c r="BB7141" s="806"/>
    </row>
    <row r="7142" spans="4:54">
      <c r="D7142" s="806"/>
      <c r="F7142" s="806"/>
      <c r="W7142" s="806"/>
      <c r="AZ7142" s="806"/>
      <c r="BA7142" s="806"/>
      <c r="BB7142" s="806"/>
    </row>
    <row r="7143" spans="4:54">
      <c r="D7143" s="806"/>
      <c r="F7143" s="806"/>
      <c r="W7143" s="806"/>
      <c r="AZ7143" s="806"/>
      <c r="BA7143" s="806"/>
      <c r="BB7143" s="806"/>
    </row>
    <row r="7144" spans="4:54">
      <c r="D7144" s="806"/>
      <c r="F7144" s="806"/>
      <c r="W7144" s="806"/>
      <c r="AZ7144" s="806"/>
      <c r="BA7144" s="806"/>
      <c r="BB7144" s="806"/>
    </row>
    <row r="7145" spans="4:54">
      <c r="D7145" s="806"/>
      <c r="F7145" s="806"/>
      <c r="W7145" s="806"/>
      <c r="AZ7145" s="806"/>
      <c r="BA7145" s="806"/>
      <c r="BB7145" s="806"/>
    </row>
    <row r="7146" spans="4:54">
      <c r="D7146" s="806"/>
      <c r="F7146" s="806"/>
      <c r="W7146" s="806"/>
      <c r="AZ7146" s="806"/>
      <c r="BA7146" s="806"/>
      <c r="BB7146" s="806"/>
    </row>
    <row r="7147" spans="4:54">
      <c r="D7147" s="806"/>
      <c r="F7147" s="806"/>
      <c r="W7147" s="806"/>
      <c r="AZ7147" s="806"/>
      <c r="BA7147" s="806"/>
      <c r="BB7147" s="806"/>
    </row>
    <row r="7148" spans="4:54">
      <c r="D7148" s="806"/>
      <c r="F7148" s="806"/>
      <c r="W7148" s="806"/>
      <c r="AZ7148" s="806"/>
      <c r="BA7148" s="806"/>
      <c r="BB7148" s="806"/>
    </row>
    <row r="7149" spans="4:54">
      <c r="D7149" s="806"/>
      <c r="F7149" s="806"/>
      <c r="W7149" s="806"/>
      <c r="AZ7149" s="806"/>
      <c r="BA7149" s="806"/>
      <c r="BB7149" s="806"/>
    </row>
    <row r="7150" spans="4:54">
      <c r="D7150" s="806"/>
      <c r="F7150" s="806"/>
      <c r="W7150" s="806"/>
      <c r="AZ7150" s="806"/>
      <c r="BA7150" s="806"/>
      <c r="BB7150" s="806"/>
    </row>
    <row r="7151" spans="4:54">
      <c r="D7151" s="806"/>
      <c r="F7151" s="806"/>
      <c r="W7151" s="806"/>
      <c r="AZ7151" s="806"/>
      <c r="BA7151" s="806"/>
      <c r="BB7151" s="806"/>
    </row>
    <row r="7152" spans="4:54">
      <c r="D7152" s="806"/>
      <c r="F7152" s="806"/>
      <c r="W7152" s="806"/>
      <c r="AZ7152" s="806"/>
      <c r="BA7152" s="806"/>
      <c r="BB7152" s="806"/>
    </row>
    <row r="7153" spans="4:54">
      <c r="D7153" s="806"/>
      <c r="F7153" s="806"/>
      <c r="W7153" s="806"/>
      <c r="AZ7153" s="806"/>
      <c r="BA7153" s="806"/>
      <c r="BB7153" s="806"/>
    </row>
    <row r="7154" spans="4:54">
      <c r="D7154" s="806"/>
      <c r="F7154" s="806"/>
      <c r="W7154" s="806"/>
      <c r="AZ7154" s="806"/>
      <c r="BA7154" s="806"/>
      <c r="BB7154" s="806"/>
    </row>
    <row r="7155" spans="4:54">
      <c r="D7155" s="806"/>
      <c r="F7155" s="806"/>
      <c r="W7155" s="806"/>
      <c r="AZ7155" s="806"/>
      <c r="BA7155" s="806"/>
      <c r="BB7155" s="806"/>
    </row>
    <row r="7156" spans="4:54">
      <c r="D7156" s="806"/>
      <c r="F7156" s="806"/>
      <c r="W7156" s="806"/>
      <c r="AZ7156" s="806"/>
      <c r="BA7156" s="806"/>
      <c r="BB7156" s="806"/>
    </row>
    <row r="7157" spans="4:54">
      <c r="D7157" s="806"/>
      <c r="F7157" s="806"/>
      <c r="W7157" s="806"/>
      <c r="AZ7157" s="806"/>
      <c r="BA7157" s="806"/>
      <c r="BB7157" s="806"/>
    </row>
    <row r="7158" spans="4:54">
      <c r="D7158" s="806"/>
      <c r="F7158" s="806"/>
      <c r="W7158" s="806"/>
      <c r="AZ7158" s="806"/>
      <c r="BA7158" s="806"/>
      <c r="BB7158" s="806"/>
    </row>
    <row r="7159" spans="4:54">
      <c r="D7159" s="806"/>
      <c r="F7159" s="806"/>
      <c r="W7159" s="806"/>
      <c r="AZ7159" s="806"/>
      <c r="BA7159" s="806"/>
      <c r="BB7159" s="806"/>
    </row>
    <row r="7160" spans="4:54">
      <c r="D7160" s="806"/>
      <c r="F7160" s="806"/>
      <c r="W7160" s="806"/>
      <c r="AZ7160" s="806"/>
      <c r="BA7160" s="806"/>
      <c r="BB7160" s="806"/>
    </row>
    <row r="7161" spans="4:54">
      <c r="D7161" s="806"/>
      <c r="F7161" s="806"/>
      <c r="W7161" s="806"/>
      <c r="AZ7161" s="806"/>
      <c r="BA7161" s="806"/>
      <c r="BB7161" s="806"/>
    </row>
    <row r="7162" spans="4:54">
      <c r="D7162" s="806"/>
      <c r="F7162" s="806"/>
      <c r="W7162" s="806"/>
      <c r="AZ7162" s="806"/>
      <c r="BA7162" s="806"/>
      <c r="BB7162" s="806"/>
    </row>
    <row r="7163" spans="4:54">
      <c r="D7163" s="806"/>
      <c r="F7163" s="806"/>
      <c r="W7163" s="806"/>
      <c r="AZ7163" s="806"/>
      <c r="BA7163" s="806"/>
      <c r="BB7163" s="806"/>
    </row>
    <row r="7164" spans="4:54">
      <c r="D7164" s="806"/>
      <c r="F7164" s="806"/>
      <c r="W7164" s="806"/>
      <c r="AZ7164" s="806"/>
      <c r="BA7164" s="806"/>
      <c r="BB7164" s="806"/>
    </row>
    <row r="7165" spans="4:54">
      <c r="D7165" s="806"/>
      <c r="F7165" s="806"/>
      <c r="W7165" s="806"/>
      <c r="AZ7165" s="806"/>
      <c r="BA7165" s="806"/>
      <c r="BB7165" s="806"/>
    </row>
    <row r="7166" spans="4:54">
      <c r="D7166" s="806"/>
      <c r="F7166" s="806"/>
      <c r="W7166" s="806"/>
      <c r="AZ7166" s="806"/>
      <c r="BA7166" s="806"/>
      <c r="BB7166" s="806"/>
    </row>
    <row r="7167" spans="4:54">
      <c r="D7167" s="806"/>
      <c r="F7167" s="806"/>
      <c r="W7167" s="806"/>
      <c r="AZ7167" s="806"/>
      <c r="BA7167" s="806"/>
      <c r="BB7167" s="806"/>
    </row>
    <row r="7168" spans="4:54">
      <c r="D7168" s="806"/>
      <c r="F7168" s="806"/>
      <c r="W7168" s="806"/>
      <c r="AZ7168" s="806"/>
      <c r="BA7168" s="806"/>
      <c r="BB7168" s="806"/>
    </row>
    <row r="7169" spans="4:54">
      <c r="D7169" s="806"/>
      <c r="F7169" s="806"/>
      <c r="W7169" s="806"/>
      <c r="AZ7169" s="806"/>
      <c r="BA7169" s="806"/>
      <c r="BB7169" s="806"/>
    </row>
    <row r="7170" spans="4:54">
      <c r="D7170" s="806"/>
      <c r="F7170" s="806"/>
      <c r="W7170" s="806"/>
      <c r="AZ7170" s="806"/>
      <c r="BA7170" s="806"/>
      <c r="BB7170" s="806"/>
    </row>
    <row r="7171" spans="4:54">
      <c r="D7171" s="806"/>
      <c r="F7171" s="806"/>
      <c r="W7171" s="806"/>
      <c r="AZ7171" s="806"/>
      <c r="BA7171" s="806"/>
      <c r="BB7171" s="806"/>
    </row>
    <row r="7172" spans="4:54">
      <c r="D7172" s="806"/>
      <c r="F7172" s="806"/>
      <c r="W7172" s="806"/>
      <c r="AZ7172" s="806"/>
      <c r="BA7172" s="806"/>
      <c r="BB7172" s="806"/>
    </row>
    <row r="7173" spans="4:54">
      <c r="D7173" s="806"/>
      <c r="F7173" s="806"/>
      <c r="W7173" s="806"/>
      <c r="AZ7173" s="806"/>
      <c r="BA7173" s="806"/>
      <c r="BB7173" s="806"/>
    </row>
    <row r="7174" spans="4:54">
      <c r="D7174" s="806"/>
      <c r="F7174" s="806"/>
      <c r="W7174" s="806"/>
      <c r="AZ7174" s="806"/>
      <c r="BA7174" s="806"/>
      <c r="BB7174" s="806"/>
    </row>
    <row r="7175" spans="4:54">
      <c r="D7175" s="806"/>
      <c r="F7175" s="806"/>
      <c r="W7175" s="806"/>
      <c r="AZ7175" s="806"/>
      <c r="BA7175" s="806"/>
      <c r="BB7175" s="806"/>
    </row>
    <row r="7176" spans="4:54">
      <c r="D7176" s="806"/>
      <c r="F7176" s="806"/>
      <c r="W7176" s="806"/>
      <c r="AZ7176" s="806"/>
      <c r="BA7176" s="806"/>
      <c r="BB7176" s="806"/>
    </row>
    <row r="7177" spans="4:54">
      <c r="D7177" s="806"/>
      <c r="F7177" s="806"/>
      <c r="W7177" s="806"/>
      <c r="AZ7177" s="806"/>
      <c r="BA7177" s="806"/>
      <c r="BB7177" s="806"/>
    </row>
    <row r="7178" spans="4:54">
      <c r="D7178" s="806"/>
      <c r="F7178" s="806"/>
      <c r="W7178" s="806"/>
      <c r="AZ7178" s="806"/>
      <c r="BA7178" s="806"/>
      <c r="BB7178" s="806"/>
    </row>
    <row r="7179" spans="4:54">
      <c r="D7179" s="806"/>
      <c r="F7179" s="806"/>
      <c r="W7179" s="806"/>
      <c r="AZ7179" s="806"/>
      <c r="BA7179" s="806"/>
      <c r="BB7179" s="806"/>
    </row>
    <row r="7180" spans="4:54">
      <c r="D7180" s="806"/>
      <c r="F7180" s="806"/>
      <c r="W7180" s="806"/>
      <c r="AZ7180" s="806"/>
      <c r="BA7180" s="806"/>
      <c r="BB7180" s="806"/>
    </row>
    <row r="7181" spans="4:54">
      <c r="D7181" s="806"/>
      <c r="F7181" s="806"/>
      <c r="W7181" s="806"/>
      <c r="AZ7181" s="806"/>
      <c r="BA7181" s="806"/>
      <c r="BB7181" s="806"/>
    </row>
    <row r="7182" spans="4:54">
      <c r="D7182" s="806"/>
      <c r="F7182" s="806"/>
      <c r="W7182" s="806"/>
      <c r="AZ7182" s="806"/>
      <c r="BA7182" s="806"/>
      <c r="BB7182" s="806"/>
    </row>
    <row r="7183" spans="4:54">
      <c r="D7183" s="806"/>
      <c r="F7183" s="806"/>
      <c r="W7183" s="806"/>
      <c r="AZ7183" s="806"/>
      <c r="BA7183" s="806"/>
      <c r="BB7183" s="806"/>
    </row>
    <row r="7184" spans="4:54">
      <c r="D7184" s="806"/>
      <c r="F7184" s="806"/>
      <c r="W7184" s="806"/>
      <c r="AZ7184" s="806"/>
      <c r="BA7184" s="806"/>
      <c r="BB7184" s="806"/>
    </row>
    <row r="7185" spans="4:54">
      <c r="D7185" s="806"/>
      <c r="F7185" s="806"/>
      <c r="W7185" s="806"/>
      <c r="AZ7185" s="806"/>
      <c r="BA7185" s="806"/>
      <c r="BB7185" s="806"/>
    </row>
    <row r="7186" spans="4:54">
      <c r="D7186" s="806"/>
      <c r="F7186" s="806"/>
      <c r="W7186" s="806"/>
      <c r="AZ7186" s="806"/>
      <c r="BA7186" s="806"/>
      <c r="BB7186" s="806"/>
    </row>
    <row r="7187" spans="4:54">
      <c r="D7187" s="806"/>
      <c r="F7187" s="806"/>
      <c r="W7187" s="806"/>
      <c r="AZ7187" s="806"/>
      <c r="BA7187" s="806"/>
      <c r="BB7187" s="806"/>
    </row>
    <row r="7188" spans="4:54">
      <c r="D7188" s="806"/>
      <c r="F7188" s="806"/>
      <c r="W7188" s="806"/>
      <c r="AZ7188" s="806"/>
      <c r="BA7188" s="806"/>
      <c r="BB7188" s="806"/>
    </row>
    <row r="7189" spans="4:54">
      <c r="D7189" s="806"/>
      <c r="F7189" s="806"/>
      <c r="W7189" s="806"/>
      <c r="AZ7189" s="806"/>
      <c r="BA7189" s="806"/>
      <c r="BB7189" s="806"/>
    </row>
    <row r="7190" spans="4:54">
      <c r="D7190" s="806"/>
      <c r="F7190" s="806"/>
      <c r="W7190" s="806"/>
      <c r="AZ7190" s="806"/>
      <c r="BA7190" s="806"/>
      <c r="BB7190" s="806"/>
    </row>
    <row r="7191" spans="4:54">
      <c r="D7191" s="806"/>
      <c r="F7191" s="806"/>
      <c r="W7191" s="806"/>
      <c r="AZ7191" s="806"/>
      <c r="BA7191" s="806"/>
      <c r="BB7191" s="806"/>
    </row>
    <row r="7192" spans="4:54">
      <c r="D7192" s="806"/>
      <c r="F7192" s="806"/>
      <c r="W7192" s="806"/>
      <c r="AZ7192" s="806"/>
      <c r="BA7192" s="806"/>
      <c r="BB7192" s="806"/>
    </row>
    <row r="7193" spans="4:54">
      <c r="D7193" s="806"/>
      <c r="F7193" s="806"/>
      <c r="W7193" s="806"/>
      <c r="AZ7193" s="806"/>
      <c r="BA7193" s="806"/>
      <c r="BB7193" s="806"/>
    </row>
    <row r="7194" spans="4:54">
      <c r="D7194" s="806"/>
      <c r="F7194" s="806"/>
      <c r="W7194" s="806"/>
      <c r="AZ7194" s="806"/>
      <c r="BA7194" s="806"/>
      <c r="BB7194" s="806"/>
    </row>
    <row r="7195" spans="4:54">
      <c r="D7195" s="806"/>
      <c r="F7195" s="806"/>
      <c r="W7195" s="806"/>
      <c r="AZ7195" s="806"/>
      <c r="BA7195" s="806"/>
      <c r="BB7195" s="806"/>
    </row>
    <row r="7196" spans="4:54">
      <c r="D7196" s="806"/>
      <c r="F7196" s="806"/>
      <c r="W7196" s="806"/>
      <c r="AZ7196" s="806"/>
      <c r="BA7196" s="806"/>
      <c r="BB7196" s="806"/>
    </row>
    <row r="7197" spans="4:54">
      <c r="D7197" s="806"/>
      <c r="F7197" s="806"/>
      <c r="W7197" s="806"/>
      <c r="AZ7197" s="806"/>
      <c r="BA7197" s="806"/>
      <c r="BB7197" s="806"/>
    </row>
    <row r="7198" spans="4:54">
      <c r="D7198" s="806"/>
      <c r="F7198" s="806"/>
      <c r="W7198" s="806"/>
      <c r="AZ7198" s="806"/>
      <c r="BA7198" s="806"/>
      <c r="BB7198" s="806"/>
    </row>
    <row r="7199" spans="4:54">
      <c r="D7199" s="806"/>
      <c r="F7199" s="806"/>
      <c r="W7199" s="806"/>
      <c r="AZ7199" s="806"/>
      <c r="BA7199" s="806"/>
      <c r="BB7199" s="806"/>
    </row>
    <row r="7200" spans="4:54">
      <c r="D7200" s="806"/>
      <c r="F7200" s="806"/>
      <c r="W7200" s="806"/>
      <c r="AZ7200" s="806"/>
      <c r="BA7200" s="806"/>
      <c r="BB7200" s="806"/>
    </row>
    <row r="7201" spans="4:54">
      <c r="D7201" s="806"/>
      <c r="F7201" s="806"/>
      <c r="W7201" s="806"/>
      <c r="AZ7201" s="806"/>
      <c r="BA7201" s="806"/>
      <c r="BB7201" s="806"/>
    </row>
    <row r="7202" spans="4:54">
      <c r="D7202" s="806"/>
      <c r="F7202" s="806"/>
      <c r="W7202" s="806"/>
      <c r="AZ7202" s="806"/>
      <c r="BA7202" s="806"/>
      <c r="BB7202" s="806"/>
    </row>
    <row r="7203" spans="4:54">
      <c r="D7203" s="806"/>
      <c r="F7203" s="806"/>
      <c r="W7203" s="806"/>
      <c r="AZ7203" s="806"/>
      <c r="BA7203" s="806"/>
      <c r="BB7203" s="806"/>
    </row>
    <row r="7204" spans="4:54">
      <c r="D7204" s="806"/>
      <c r="F7204" s="806"/>
      <c r="W7204" s="806"/>
      <c r="AZ7204" s="806"/>
      <c r="BA7204" s="806"/>
      <c r="BB7204" s="806"/>
    </row>
    <row r="7205" spans="4:54">
      <c r="D7205" s="806"/>
      <c r="F7205" s="806"/>
      <c r="W7205" s="806"/>
      <c r="AZ7205" s="806"/>
      <c r="BA7205" s="806"/>
      <c r="BB7205" s="806"/>
    </row>
    <row r="7206" spans="4:54">
      <c r="D7206" s="806"/>
      <c r="F7206" s="806"/>
      <c r="W7206" s="806"/>
      <c r="AZ7206" s="806"/>
      <c r="BA7206" s="806"/>
      <c r="BB7206" s="806"/>
    </row>
    <row r="7207" spans="4:54">
      <c r="D7207" s="806"/>
      <c r="F7207" s="806"/>
      <c r="W7207" s="806"/>
      <c r="AZ7207" s="806"/>
      <c r="BA7207" s="806"/>
      <c r="BB7207" s="806"/>
    </row>
    <row r="7208" spans="4:54">
      <c r="D7208" s="806"/>
      <c r="F7208" s="806"/>
      <c r="W7208" s="806"/>
      <c r="AZ7208" s="806"/>
      <c r="BA7208" s="806"/>
      <c r="BB7208" s="806"/>
    </row>
    <row r="7209" spans="4:54">
      <c r="D7209" s="806"/>
      <c r="F7209" s="806"/>
      <c r="W7209" s="806"/>
      <c r="AZ7209" s="806"/>
      <c r="BA7209" s="806"/>
      <c r="BB7209" s="806"/>
    </row>
    <row r="7210" spans="4:54">
      <c r="D7210" s="806"/>
      <c r="F7210" s="806"/>
      <c r="W7210" s="806"/>
      <c r="AZ7210" s="806"/>
      <c r="BA7210" s="806"/>
      <c r="BB7210" s="806"/>
    </row>
    <row r="7211" spans="4:54">
      <c r="D7211" s="806"/>
      <c r="F7211" s="806"/>
      <c r="W7211" s="806"/>
      <c r="AZ7211" s="806"/>
      <c r="BA7211" s="806"/>
      <c r="BB7211" s="806"/>
    </row>
    <row r="7212" spans="4:54">
      <c r="D7212" s="806"/>
      <c r="F7212" s="806"/>
      <c r="W7212" s="806"/>
      <c r="AZ7212" s="806"/>
      <c r="BA7212" s="806"/>
      <c r="BB7212" s="806"/>
    </row>
    <row r="7213" spans="4:54">
      <c r="D7213" s="806"/>
      <c r="F7213" s="806"/>
      <c r="W7213" s="806"/>
      <c r="AZ7213" s="806"/>
      <c r="BA7213" s="806"/>
      <c r="BB7213" s="806"/>
    </row>
    <row r="7214" spans="4:54">
      <c r="D7214" s="806"/>
      <c r="F7214" s="806"/>
      <c r="W7214" s="806"/>
      <c r="AZ7214" s="806"/>
      <c r="BA7214" s="806"/>
      <c r="BB7214" s="806"/>
    </row>
    <row r="7215" spans="4:54">
      <c r="D7215" s="806"/>
      <c r="F7215" s="806"/>
      <c r="W7215" s="806"/>
      <c r="AZ7215" s="806"/>
      <c r="BA7215" s="806"/>
      <c r="BB7215" s="806"/>
    </row>
    <row r="7216" spans="4:54">
      <c r="D7216" s="806"/>
      <c r="F7216" s="806"/>
      <c r="W7216" s="806"/>
      <c r="AZ7216" s="806"/>
      <c r="BA7216" s="806"/>
      <c r="BB7216" s="806"/>
    </row>
    <row r="7217" spans="4:54">
      <c r="D7217" s="806"/>
      <c r="F7217" s="806"/>
      <c r="W7217" s="806"/>
      <c r="AZ7217" s="806"/>
      <c r="BA7217" s="806"/>
      <c r="BB7217" s="806"/>
    </row>
    <row r="7218" spans="4:54">
      <c r="D7218" s="806"/>
      <c r="F7218" s="806"/>
      <c r="W7218" s="806"/>
      <c r="AZ7218" s="806"/>
      <c r="BA7218" s="806"/>
      <c r="BB7218" s="806"/>
    </row>
    <row r="7219" spans="4:54">
      <c r="D7219" s="806"/>
      <c r="F7219" s="806"/>
      <c r="W7219" s="806"/>
      <c r="AZ7219" s="806"/>
      <c r="BA7219" s="806"/>
      <c r="BB7219" s="806"/>
    </row>
    <row r="7220" spans="4:54">
      <c r="D7220" s="806"/>
      <c r="F7220" s="806"/>
      <c r="W7220" s="806"/>
      <c r="AZ7220" s="806"/>
      <c r="BA7220" s="806"/>
      <c r="BB7220" s="806"/>
    </row>
    <row r="7221" spans="4:54">
      <c r="D7221" s="806"/>
      <c r="F7221" s="806"/>
      <c r="W7221" s="806"/>
      <c r="AZ7221" s="806"/>
      <c r="BA7221" s="806"/>
      <c r="BB7221" s="806"/>
    </row>
    <row r="7222" spans="4:54">
      <c r="D7222" s="806"/>
      <c r="F7222" s="806"/>
      <c r="W7222" s="806"/>
      <c r="AZ7222" s="806"/>
      <c r="BA7222" s="806"/>
      <c r="BB7222" s="806"/>
    </row>
    <row r="7223" spans="4:54">
      <c r="D7223" s="806"/>
      <c r="F7223" s="806"/>
      <c r="W7223" s="806"/>
      <c r="AZ7223" s="806"/>
      <c r="BA7223" s="806"/>
      <c r="BB7223" s="806"/>
    </row>
    <row r="7224" spans="4:54">
      <c r="D7224" s="806"/>
      <c r="F7224" s="806"/>
      <c r="W7224" s="806"/>
      <c r="AZ7224" s="806"/>
      <c r="BA7224" s="806"/>
      <c r="BB7224" s="806"/>
    </row>
    <row r="7225" spans="4:54">
      <c r="D7225" s="806"/>
      <c r="F7225" s="806"/>
      <c r="W7225" s="806"/>
      <c r="AZ7225" s="806"/>
      <c r="BA7225" s="806"/>
      <c r="BB7225" s="806"/>
    </row>
    <row r="7226" spans="4:54">
      <c r="D7226" s="806"/>
      <c r="F7226" s="806"/>
      <c r="W7226" s="806"/>
      <c r="AZ7226" s="806"/>
      <c r="BA7226" s="806"/>
      <c r="BB7226" s="806"/>
    </row>
    <row r="7227" spans="4:54">
      <c r="D7227" s="806"/>
      <c r="F7227" s="806"/>
      <c r="W7227" s="806"/>
      <c r="AZ7227" s="806"/>
      <c r="BA7227" s="806"/>
      <c r="BB7227" s="806"/>
    </row>
    <row r="7228" spans="4:54">
      <c r="D7228" s="806"/>
      <c r="F7228" s="806"/>
      <c r="W7228" s="806"/>
      <c r="AZ7228" s="806"/>
      <c r="BA7228" s="806"/>
      <c r="BB7228" s="806"/>
    </row>
    <row r="7229" spans="4:54">
      <c r="D7229" s="806"/>
      <c r="F7229" s="806"/>
      <c r="W7229" s="806"/>
      <c r="AZ7229" s="806"/>
      <c r="BA7229" s="806"/>
      <c r="BB7229" s="806"/>
    </row>
    <row r="7230" spans="4:54">
      <c r="D7230" s="806"/>
      <c r="F7230" s="806"/>
      <c r="W7230" s="806"/>
      <c r="AZ7230" s="806"/>
      <c r="BA7230" s="806"/>
      <c r="BB7230" s="806"/>
    </row>
    <row r="7231" spans="4:54">
      <c r="D7231" s="806"/>
      <c r="F7231" s="806"/>
      <c r="W7231" s="806"/>
      <c r="AZ7231" s="806"/>
      <c r="BA7231" s="806"/>
      <c r="BB7231" s="806"/>
    </row>
    <row r="7232" spans="4:54">
      <c r="D7232" s="806"/>
      <c r="F7232" s="806"/>
      <c r="W7232" s="806"/>
      <c r="AZ7232" s="806"/>
      <c r="BA7232" s="806"/>
      <c r="BB7232" s="806"/>
    </row>
    <row r="7233" spans="4:54">
      <c r="D7233" s="806"/>
      <c r="F7233" s="806"/>
      <c r="W7233" s="806"/>
      <c r="AZ7233" s="806"/>
      <c r="BA7233" s="806"/>
      <c r="BB7233" s="806"/>
    </row>
    <row r="7234" spans="4:54">
      <c r="D7234" s="806"/>
      <c r="F7234" s="806"/>
      <c r="W7234" s="806"/>
      <c r="AZ7234" s="806"/>
      <c r="BA7234" s="806"/>
      <c r="BB7234" s="806"/>
    </row>
    <row r="7235" spans="4:54">
      <c r="D7235" s="806"/>
      <c r="F7235" s="806"/>
      <c r="W7235" s="806"/>
      <c r="AZ7235" s="806"/>
      <c r="BA7235" s="806"/>
      <c r="BB7235" s="806"/>
    </row>
    <row r="7236" spans="4:54">
      <c r="D7236" s="806"/>
      <c r="F7236" s="806"/>
      <c r="W7236" s="806"/>
      <c r="AZ7236" s="806"/>
      <c r="BA7236" s="806"/>
      <c r="BB7236" s="806"/>
    </row>
    <row r="7237" spans="4:54">
      <c r="D7237" s="806"/>
      <c r="F7237" s="806"/>
      <c r="W7237" s="806"/>
      <c r="AZ7237" s="806"/>
      <c r="BA7237" s="806"/>
      <c r="BB7237" s="806"/>
    </row>
    <row r="7238" spans="4:54">
      <c r="D7238" s="806"/>
      <c r="F7238" s="806"/>
      <c r="W7238" s="806"/>
      <c r="AZ7238" s="806"/>
      <c r="BA7238" s="806"/>
      <c r="BB7238" s="806"/>
    </row>
    <row r="7239" spans="4:54">
      <c r="D7239" s="806"/>
      <c r="F7239" s="806"/>
      <c r="W7239" s="806"/>
      <c r="AZ7239" s="806"/>
      <c r="BA7239" s="806"/>
      <c r="BB7239" s="806"/>
    </row>
    <row r="7240" spans="4:54">
      <c r="D7240" s="806"/>
      <c r="F7240" s="806"/>
      <c r="W7240" s="806"/>
      <c r="AZ7240" s="806"/>
      <c r="BA7240" s="806"/>
      <c r="BB7240" s="806"/>
    </row>
    <row r="7241" spans="4:54">
      <c r="D7241" s="806"/>
      <c r="F7241" s="806"/>
      <c r="W7241" s="806"/>
      <c r="AZ7241" s="806"/>
      <c r="BA7241" s="806"/>
      <c r="BB7241" s="806"/>
    </row>
    <row r="7242" spans="4:54">
      <c r="D7242" s="806"/>
      <c r="F7242" s="806"/>
      <c r="W7242" s="806"/>
      <c r="AZ7242" s="806"/>
      <c r="BA7242" s="806"/>
      <c r="BB7242" s="806"/>
    </row>
    <row r="7243" spans="4:54">
      <c r="D7243" s="806"/>
      <c r="F7243" s="806"/>
      <c r="W7243" s="806"/>
      <c r="AZ7243" s="806"/>
      <c r="BA7243" s="806"/>
      <c r="BB7243" s="806"/>
    </row>
    <row r="7244" spans="4:54">
      <c r="D7244" s="806"/>
      <c r="F7244" s="806"/>
      <c r="W7244" s="806"/>
      <c r="AZ7244" s="806"/>
      <c r="BA7244" s="806"/>
      <c r="BB7244" s="806"/>
    </row>
    <row r="7245" spans="4:54">
      <c r="D7245" s="806"/>
      <c r="F7245" s="806"/>
      <c r="W7245" s="806"/>
      <c r="AZ7245" s="806"/>
      <c r="BA7245" s="806"/>
      <c r="BB7245" s="806"/>
    </row>
    <row r="7246" spans="4:54">
      <c r="D7246" s="806"/>
      <c r="F7246" s="806"/>
      <c r="W7246" s="806"/>
      <c r="AZ7246" s="806"/>
      <c r="BA7246" s="806"/>
      <c r="BB7246" s="806"/>
    </row>
    <row r="7247" spans="4:54">
      <c r="D7247" s="806"/>
      <c r="F7247" s="806"/>
      <c r="W7247" s="806"/>
      <c r="AZ7247" s="806"/>
      <c r="BA7247" s="806"/>
      <c r="BB7247" s="806"/>
    </row>
    <row r="7248" spans="4:54">
      <c r="D7248" s="806"/>
      <c r="F7248" s="806"/>
      <c r="W7248" s="806"/>
      <c r="AZ7248" s="806"/>
      <c r="BA7248" s="806"/>
      <c r="BB7248" s="806"/>
    </row>
    <row r="7249" spans="4:54">
      <c r="D7249" s="806"/>
      <c r="F7249" s="806"/>
      <c r="W7249" s="806"/>
      <c r="AZ7249" s="806"/>
      <c r="BA7249" s="806"/>
      <c r="BB7249" s="806"/>
    </row>
    <row r="7250" spans="4:54">
      <c r="D7250" s="806"/>
      <c r="F7250" s="806"/>
      <c r="W7250" s="806"/>
      <c r="AZ7250" s="806"/>
      <c r="BA7250" s="806"/>
      <c r="BB7250" s="806"/>
    </row>
    <row r="7251" spans="4:54">
      <c r="D7251" s="806"/>
      <c r="F7251" s="806"/>
      <c r="W7251" s="806"/>
      <c r="AZ7251" s="806"/>
      <c r="BA7251" s="806"/>
      <c r="BB7251" s="806"/>
    </row>
    <row r="7252" spans="4:54">
      <c r="D7252" s="806"/>
      <c r="F7252" s="806"/>
      <c r="W7252" s="806"/>
      <c r="AZ7252" s="806"/>
      <c r="BA7252" s="806"/>
      <c r="BB7252" s="806"/>
    </row>
    <row r="7253" spans="4:54">
      <c r="D7253" s="806"/>
      <c r="F7253" s="806"/>
      <c r="W7253" s="806"/>
      <c r="AZ7253" s="806"/>
      <c r="BA7253" s="806"/>
      <c r="BB7253" s="806"/>
    </row>
    <row r="7254" spans="4:54">
      <c r="D7254" s="806"/>
      <c r="F7254" s="806"/>
      <c r="W7254" s="806"/>
      <c r="AZ7254" s="806"/>
      <c r="BA7254" s="806"/>
      <c r="BB7254" s="806"/>
    </row>
    <row r="7255" spans="4:54">
      <c r="D7255" s="806"/>
      <c r="F7255" s="806"/>
      <c r="W7255" s="806"/>
      <c r="AZ7255" s="806"/>
      <c r="BA7255" s="806"/>
      <c r="BB7255" s="806"/>
    </row>
    <row r="7256" spans="4:54">
      <c r="D7256" s="806"/>
      <c r="F7256" s="806"/>
      <c r="W7256" s="806"/>
      <c r="AZ7256" s="806"/>
      <c r="BA7256" s="806"/>
      <c r="BB7256" s="806"/>
    </row>
    <row r="7257" spans="4:54">
      <c r="D7257" s="806"/>
      <c r="F7257" s="806"/>
      <c r="W7257" s="806"/>
      <c r="AZ7257" s="806"/>
      <c r="BA7257" s="806"/>
      <c r="BB7257" s="806"/>
    </row>
    <row r="7258" spans="4:54">
      <c r="D7258" s="806"/>
      <c r="F7258" s="806"/>
      <c r="W7258" s="806"/>
      <c r="AZ7258" s="806"/>
      <c r="BA7258" s="806"/>
      <c r="BB7258" s="806"/>
    </row>
    <row r="7259" spans="4:54">
      <c r="D7259" s="806"/>
      <c r="F7259" s="806"/>
      <c r="W7259" s="806"/>
      <c r="AZ7259" s="806"/>
      <c r="BA7259" s="806"/>
      <c r="BB7259" s="806"/>
    </row>
    <row r="7260" spans="4:54">
      <c r="D7260" s="806"/>
      <c r="F7260" s="806"/>
      <c r="W7260" s="806"/>
      <c r="AZ7260" s="806"/>
      <c r="BA7260" s="806"/>
      <c r="BB7260" s="806"/>
    </row>
    <row r="7261" spans="4:54">
      <c r="D7261" s="806"/>
      <c r="F7261" s="806"/>
      <c r="W7261" s="806"/>
      <c r="AZ7261" s="806"/>
      <c r="BA7261" s="806"/>
      <c r="BB7261" s="806"/>
    </row>
    <row r="7262" spans="4:54">
      <c r="D7262" s="806"/>
      <c r="F7262" s="806"/>
      <c r="W7262" s="806"/>
      <c r="AZ7262" s="806"/>
      <c r="BA7262" s="806"/>
      <c r="BB7262" s="806"/>
    </row>
    <row r="7263" spans="4:54">
      <c r="D7263" s="806"/>
      <c r="F7263" s="806"/>
      <c r="W7263" s="806"/>
      <c r="AZ7263" s="806"/>
      <c r="BA7263" s="806"/>
      <c r="BB7263" s="806"/>
    </row>
    <row r="7264" spans="4:54">
      <c r="D7264" s="806"/>
      <c r="F7264" s="806"/>
      <c r="W7264" s="806"/>
      <c r="AZ7264" s="806"/>
      <c r="BA7264" s="806"/>
      <c r="BB7264" s="806"/>
    </row>
    <row r="7265" spans="4:54">
      <c r="D7265" s="806"/>
      <c r="F7265" s="806"/>
      <c r="W7265" s="806"/>
      <c r="AZ7265" s="806"/>
      <c r="BA7265" s="806"/>
      <c r="BB7265" s="806"/>
    </row>
    <row r="7266" spans="4:54">
      <c r="D7266" s="806"/>
      <c r="F7266" s="806"/>
      <c r="W7266" s="806"/>
      <c r="AZ7266" s="806"/>
      <c r="BA7266" s="806"/>
      <c r="BB7266" s="806"/>
    </row>
    <row r="7267" spans="4:54">
      <c r="D7267" s="806"/>
      <c r="F7267" s="806"/>
      <c r="W7267" s="806"/>
      <c r="AZ7267" s="806"/>
      <c r="BA7267" s="806"/>
      <c r="BB7267" s="806"/>
    </row>
    <row r="7268" spans="4:54">
      <c r="D7268" s="806"/>
      <c r="F7268" s="806"/>
      <c r="W7268" s="806"/>
      <c r="AZ7268" s="806"/>
      <c r="BA7268" s="806"/>
      <c r="BB7268" s="806"/>
    </row>
    <row r="7269" spans="4:54">
      <c r="D7269" s="806"/>
      <c r="F7269" s="806"/>
      <c r="W7269" s="806"/>
      <c r="AZ7269" s="806"/>
      <c r="BA7269" s="806"/>
      <c r="BB7269" s="806"/>
    </row>
    <row r="7270" spans="4:54">
      <c r="D7270" s="806"/>
      <c r="F7270" s="806"/>
      <c r="W7270" s="806"/>
      <c r="AZ7270" s="806"/>
      <c r="BA7270" s="806"/>
      <c r="BB7270" s="806"/>
    </row>
    <row r="7271" spans="4:54">
      <c r="D7271" s="806"/>
      <c r="F7271" s="806"/>
      <c r="W7271" s="806"/>
      <c r="AZ7271" s="806"/>
      <c r="BA7271" s="806"/>
      <c r="BB7271" s="806"/>
    </row>
    <row r="7272" spans="4:54">
      <c r="D7272" s="806"/>
      <c r="F7272" s="806"/>
      <c r="W7272" s="806"/>
      <c r="AZ7272" s="806"/>
      <c r="BA7272" s="806"/>
      <c r="BB7272" s="806"/>
    </row>
    <row r="7273" spans="4:54">
      <c r="D7273" s="806"/>
      <c r="F7273" s="806"/>
      <c r="W7273" s="806"/>
      <c r="AZ7273" s="806"/>
      <c r="BA7273" s="806"/>
      <c r="BB7273" s="806"/>
    </row>
    <row r="7274" spans="4:54">
      <c r="D7274" s="806"/>
      <c r="F7274" s="806"/>
      <c r="W7274" s="806"/>
      <c r="AZ7274" s="806"/>
      <c r="BA7274" s="806"/>
      <c r="BB7274" s="806"/>
    </row>
    <row r="7275" spans="4:54">
      <c r="D7275" s="806"/>
      <c r="F7275" s="806"/>
      <c r="W7275" s="806"/>
      <c r="AZ7275" s="806"/>
      <c r="BA7275" s="806"/>
      <c r="BB7275" s="806"/>
    </row>
    <row r="7276" spans="4:54">
      <c r="D7276" s="806"/>
      <c r="F7276" s="806"/>
      <c r="W7276" s="806"/>
      <c r="AZ7276" s="806"/>
      <c r="BA7276" s="806"/>
      <c r="BB7276" s="806"/>
    </row>
    <row r="7277" spans="4:54">
      <c r="D7277" s="806"/>
      <c r="F7277" s="806"/>
      <c r="W7277" s="806"/>
      <c r="AZ7277" s="806"/>
      <c r="BA7277" s="806"/>
      <c r="BB7277" s="806"/>
    </row>
    <row r="7278" spans="4:54">
      <c r="D7278" s="806"/>
      <c r="F7278" s="806"/>
      <c r="W7278" s="806"/>
      <c r="AZ7278" s="806"/>
      <c r="BA7278" s="806"/>
      <c r="BB7278" s="806"/>
    </row>
    <row r="7279" spans="4:54">
      <c r="D7279" s="806"/>
      <c r="F7279" s="806"/>
      <c r="W7279" s="806"/>
      <c r="AZ7279" s="806"/>
      <c r="BA7279" s="806"/>
      <c r="BB7279" s="806"/>
    </row>
    <row r="7280" spans="4:54">
      <c r="D7280" s="806"/>
      <c r="F7280" s="806"/>
      <c r="W7280" s="806"/>
      <c r="AZ7280" s="806"/>
      <c r="BA7280" s="806"/>
      <c r="BB7280" s="806"/>
    </row>
    <row r="7281" spans="4:54">
      <c r="D7281" s="806"/>
      <c r="F7281" s="806"/>
      <c r="W7281" s="806"/>
      <c r="AZ7281" s="806"/>
      <c r="BA7281" s="806"/>
      <c r="BB7281" s="806"/>
    </row>
    <row r="7282" spans="4:54">
      <c r="D7282" s="806"/>
      <c r="F7282" s="806"/>
      <c r="W7282" s="806"/>
      <c r="AZ7282" s="806"/>
      <c r="BA7282" s="806"/>
      <c r="BB7282" s="806"/>
    </row>
    <row r="7283" spans="4:54">
      <c r="D7283" s="806"/>
      <c r="F7283" s="806"/>
      <c r="W7283" s="806"/>
      <c r="AZ7283" s="806"/>
      <c r="BA7283" s="806"/>
      <c r="BB7283" s="806"/>
    </row>
    <row r="7284" spans="4:54">
      <c r="D7284" s="806"/>
      <c r="F7284" s="806"/>
      <c r="W7284" s="806"/>
      <c r="AZ7284" s="806"/>
      <c r="BA7284" s="806"/>
      <c r="BB7284" s="806"/>
    </row>
    <row r="7285" spans="4:54">
      <c r="D7285" s="806"/>
      <c r="F7285" s="806"/>
      <c r="W7285" s="806"/>
      <c r="AZ7285" s="806"/>
      <c r="BA7285" s="806"/>
      <c r="BB7285" s="806"/>
    </row>
    <row r="7286" spans="4:54">
      <c r="D7286" s="806"/>
      <c r="F7286" s="806"/>
      <c r="W7286" s="806"/>
      <c r="AZ7286" s="806"/>
      <c r="BA7286" s="806"/>
      <c r="BB7286" s="806"/>
    </row>
    <row r="7287" spans="4:54">
      <c r="D7287" s="806"/>
      <c r="F7287" s="806"/>
      <c r="W7287" s="806"/>
      <c r="AZ7287" s="806"/>
      <c r="BA7287" s="806"/>
      <c r="BB7287" s="806"/>
    </row>
    <row r="7288" spans="4:54">
      <c r="D7288" s="806"/>
      <c r="F7288" s="806"/>
      <c r="W7288" s="806"/>
      <c r="AZ7288" s="806"/>
      <c r="BA7288" s="806"/>
      <c r="BB7288" s="806"/>
    </row>
    <row r="7289" spans="4:54">
      <c r="D7289" s="806"/>
      <c r="F7289" s="806"/>
      <c r="W7289" s="806"/>
      <c r="AZ7289" s="806"/>
      <c r="BA7289" s="806"/>
      <c r="BB7289" s="806"/>
    </row>
    <row r="7290" spans="4:54">
      <c r="D7290" s="806"/>
      <c r="F7290" s="806"/>
      <c r="W7290" s="806"/>
      <c r="AZ7290" s="806"/>
      <c r="BA7290" s="806"/>
      <c r="BB7290" s="806"/>
    </row>
    <row r="7291" spans="4:54">
      <c r="D7291" s="806"/>
      <c r="F7291" s="806"/>
      <c r="W7291" s="806"/>
      <c r="AZ7291" s="806"/>
      <c r="BA7291" s="806"/>
      <c r="BB7291" s="806"/>
    </row>
    <row r="7292" spans="4:54">
      <c r="D7292" s="806"/>
      <c r="F7292" s="806"/>
      <c r="W7292" s="806"/>
      <c r="AZ7292" s="806"/>
      <c r="BA7292" s="806"/>
      <c r="BB7292" s="806"/>
    </row>
    <row r="7293" spans="4:54">
      <c r="D7293" s="806"/>
      <c r="F7293" s="806"/>
      <c r="W7293" s="806"/>
      <c r="AZ7293" s="806"/>
      <c r="BA7293" s="806"/>
      <c r="BB7293" s="806"/>
    </row>
    <row r="7294" spans="4:54">
      <c r="D7294" s="806"/>
      <c r="F7294" s="806"/>
      <c r="W7294" s="806"/>
      <c r="AZ7294" s="806"/>
      <c r="BA7294" s="806"/>
      <c r="BB7294" s="806"/>
    </row>
    <row r="7295" spans="4:54">
      <c r="D7295" s="806"/>
      <c r="F7295" s="806"/>
      <c r="W7295" s="806"/>
      <c r="AZ7295" s="806"/>
      <c r="BA7295" s="806"/>
      <c r="BB7295" s="806"/>
    </row>
    <row r="7296" spans="4:54">
      <c r="D7296" s="806"/>
      <c r="F7296" s="806"/>
      <c r="W7296" s="806"/>
      <c r="AZ7296" s="806"/>
      <c r="BA7296" s="806"/>
      <c r="BB7296" s="806"/>
    </row>
    <row r="7297" spans="4:54">
      <c r="D7297" s="806"/>
      <c r="F7297" s="806"/>
      <c r="W7297" s="806"/>
      <c r="AZ7297" s="806"/>
      <c r="BA7297" s="806"/>
      <c r="BB7297" s="806"/>
    </row>
    <row r="7298" spans="4:54">
      <c r="D7298" s="806"/>
      <c r="F7298" s="806"/>
      <c r="W7298" s="806"/>
      <c r="AZ7298" s="806"/>
      <c r="BA7298" s="806"/>
      <c r="BB7298" s="806"/>
    </row>
    <row r="7299" spans="4:54">
      <c r="D7299" s="806"/>
      <c r="F7299" s="806"/>
      <c r="W7299" s="806"/>
      <c r="AZ7299" s="806"/>
      <c r="BA7299" s="806"/>
      <c r="BB7299" s="806"/>
    </row>
    <row r="7300" spans="4:54">
      <c r="D7300" s="806"/>
      <c r="F7300" s="806"/>
      <c r="W7300" s="806"/>
      <c r="AZ7300" s="806"/>
      <c r="BA7300" s="806"/>
      <c r="BB7300" s="806"/>
    </row>
    <row r="7301" spans="4:54">
      <c r="D7301" s="806"/>
      <c r="F7301" s="806"/>
      <c r="W7301" s="806"/>
      <c r="AZ7301" s="806"/>
      <c r="BA7301" s="806"/>
      <c r="BB7301" s="806"/>
    </row>
    <row r="7302" spans="4:54">
      <c r="D7302" s="806"/>
      <c r="F7302" s="806"/>
      <c r="W7302" s="806"/>
      <c r="AZ7302" s="806"/>
      <c r="BA7302" s="806"/>
      <c r="BB7302" s="806"/>
    </row>
    <row r="7303" spans="4:54">
      <c r="D7303" s="806"/>
      <c r="F7303" s="806"/>
      <c r="W7303" s="806"/>
      <c r="AZ7303" s="806"/>
      <c r="BA7303" s="806"/>
      <c r="BB7303" s="806"/>
    </row>
    <row r="7304" spans="4:54">
      <c r="D7304" s="806"/>
      <c r="F7304" s="806"/>
      <c r="W7304" s="806"/>
      <c r="AZ7304" s="806"/>
      <c r="BA7304" s="806"/>
      <c r="BB7304" s="806"/>
    </row>
    <row r="7305" spans="4:54">
      <c r="D7305" s="806"/>
      <c r="F7305" s="806"/>
      <c r="W7305" s="806"/>
      <c r="AZ7305" s="806"/>
      <c r="BA7305" s="806"/>
      <c r="BB7305" s="806"/>
    </row>
    <row r="7306" spans="4:54">
      <c r="D7306" s="806"/>
      <c r="F7306" s="806"/>
      <c r="W7306" s="806"/>
      <c r="AZ7306" s="806"/>
      <c r="BA7306" s="806"/>
      <c r="BB7306" s="806"/>
    </row>
    <row r="7307" spans="4:54">
      <c r="D7307" s="806"/>
      <c r="F7307" s="806"/>
      <c r="W7307" s="806"/>
      <c r="AZ7307" s="806"/>
      <c r="BA7307" s="806"/>
      <c r="BB7307" s="806"/>
    </row>
    <row r="7308" spans="4:54">
      <c r="D7308" s="806"/>
      <c r="F7308" s="806"/>
      <c r="W7308" s="806"/>
      <c r="AZ7308" s="806"/>
      <c r="BA7308" s="806"/>
      <c r="BB7308" s="806"/>
    </row>
    <row r="7309" spans="4:54">
      <c r="D7309" s="806"/>
      <c r="F7309" s="806"/>
      <c r="W7309" s="806"/>
      <c r="AZ7309" s="806"/>
      <c r="BA7309" s="806"/>
      <c r="BB7309" s="806"/>
    </row>
    <row r="7310" spans="4:54">
      <c r="D7310" s="806"/>
      <c r="F7310" s="806"/>
      <c r="W7310" s="806"/>
      <c r="AZ7310" s="806"/>
      <c r="BA7310" s="806"/>
      <c r="BB7310" s="806"/>
    </row>
    <row r="7311" spans="4:54">
      <c r="D7311" s="806"/>
      <c r="F7311" s="806"/>
      <c r="W7311" s="806"/>
      <c r="AZ7311" s="806"/>
      <c r="BA7311" s="806"/>
      <c r="BB7311" s="806"/>
    </row>
    <row r="7312" spans="4:54">
      <c r="D7312" s="806"/>
      <c r="F7312" s="806"/>
      <c r="W7312" s="806"/>
      <c r="AZ7312" s="806"/>
      <c r="BA7312" s="806"/>
      <c r="BB7312" s="806"/>
    </row>
    <row r="7313" spans="4:54">
      <c r="D7313" s="806"/>
      <c r="F7313" s="806"/>
      <c r="W7313" s="806"/>
      <c r="AZ7313" s="806"/>
      <c r="BA7313" s="806"/>
      <c r="BB7313" s="806"/>
    </row>
    <row r="7314" spans="4:54">
      <c r="D7314" s="806"/>
      <c r="F7314" s="806"/>
      <c r="W7314" s="806"/>
      <c r="AZ7314" s="806"/>
      <c r="BA7314" s="806"/>
      <c r="BB7314" s="806"/>
    </row>
    <row r="7315" spans="4:54">
      <c r="D7315" s="806"/>
      <c r="F7315" s="806"/>
      <c r="W7315" s="806"/>
      <c r="AZ7315" s="806"/>
      <c r="BA7315" s="806"/>
      <c r="BB7315" s="806"/>
    </row>
    <row r="7316" spans="4:54">
      <c r="D7316" s="806"/>
      <c r="F7316" s="806"/>
      <c r="W7316" s="806"/>
      <c r="AZ7316" s="806"/>
      <c r="BA7316" s="806"/>
      <c r="BB7316" s="806"/>
    </row>
    <row r="7317" spans="4:54">
      <c r="D7317" s="806"/>
      <c r="F7317" s="806"/>
      <c r="W7317" s="806"/>
      <c r="AZ7317" s="806"/>
      <c r="BA7317" s="806"/>
      <c r="BB7317" s="806"/>
    </row>
    <row r="7318" spans="4:54">
      <c r="D7318" s="806"/>
      <c r="F7318" s="806"/>
      <c r="W7318" s="806"/>
      <c r="AZ7318" s="806"/>
      <c r="BA7318" s="806"/>
      <c r="BB7318" s="806"/>
    </row>
    <row r="7319" spans="4:54">
      <c r="D7319" s="806"/>
      <c r="F7319" s="806"/>
      <c r="W7319" s="806"/>
      <c r="AZ7319" s="806"/>
      <c r="BA7319" s="806"/>
      <c r="BB7319" s="806"/>
    </row>
    <row r="7320" spans="4:54">
      <c r="D7320" s="806"/>
      <c r="F7320" s="806"/>
      <c r="W7320" s="806"/>
      <c r="AZ7320" s="806"/>
      <c r="BA7320" s="806"/>
      <c r="BB7320" s="806"/>
    </row>
    <row r="7321" spans="4:54">
      <c r="D7321" s="806"/>
      <c r="F7321" s="806"/>
      <c r="W7321" s="806"/>
      <c r="AZ7321" s="806"/>
      <c r="BA7321" s="806"/>
      <c r="BB7321" s="806"/>
    </row>
    <row r="7322" spans="4:54">
      <c r="D7322" s="806"/>
      <c r="F7322" s="806"/>
      <c r="W7322" s="806"/>
      <c r="AZ7322" s="806"/>
      <c r="BA7322" s="806"/>
      <c r="BB7322" s="806"/>
    </row>
    <row r="7323" spans="4:54">
      <c r="D7323" s="806"/>
      <c r="F7323" s="806"/>
      <c r="W7323" s="806"/>
      <c r="AZ7323" s="806"/>
      <c r="BA7323" s="806"/>
      <c r="BB7323" s="806"/>
    </row>
    <row r="7324" spans="4:54">
      <c r="D7324" s="806"/>
      <c r="F7324" s="806"/>
      <c r="W7324" s="806"/>
      <c r="AZ7324" s="806"/>
      <c r="BA7324" s="806"/>
      <c r="BB7324" s="806"/>
    </row>
    <row r="7325" spans="4:54">
      <c r="D7325" s="806"/>
      <c r="F7325" s="806"/>
      <c r="W7325" s="806"/>
      <c r="AZ7325" s="806"/>
      <c r="BA7325" s="806"/>
      <c r="BB7325" s="806"/>
    </row>
    <row r="7326" spans="4:54">
      <c r="D7326" s="806"/>
      <c r="F7326" s="806"/>
      <c r="W7326" s="806"/>
      <c r="AZ7326" s="806"/>
      <c r="BA7326" s="806"/>
      <c r="BB7326" s="806"/>
    </row>
    <row r="7327" spans="4:54">
      <c r="D7327" s="806"/>
      <c r="F7327" s="806"/>
      <c r="W7327" s="806"/>
      <c r="AZ7327" s="806"/>
      <c r="BA7327" s="806"/>
      <c r="BB7327" s="806"/>
    </row>
    <row r="7328" spans="4:54">
      <c r="D7328" s="806"/>
      <c r="F7328" s="806"/>
      <c r="W7328" s="806"/>
      <c r="AZ7328" s="806"/>
      <c r="BA7328" s="806"/>
      <c r="BB7328" s="806"/>
    </row>
    <row r="7329" spans="4:54">
      <c r="D7329" s="806"/>
      <c r="F7329" s="806"/>
      <c r="W7329" s="806"/>
      <c r="AZ7329" s="806"/>
      <c r="BA7329" s="806"/>
      <c r="BB7329" s="806"/>
    </row>
    <row r="7330" spans="4:54">
      <c r="D7330" s="806"/>
      <c r="F7330" s="806"/>
      <c r="W7330" s="806"/>
      <c r="AZ7330" s="806"/>
      <c r="BA7330" s="806"/>
      <c r="BB7330" s="806"/>
    </row>
    <row r="7331" spans="4:54">
      <c r="D7331" s="806"/>
      <c r="F7331" s="806"/>
      <c r="W7331" s="806"/>
      <c r="AZ7331" s="806"/>
      <c r="BA7331" s="806"/>
      <c r="BB7331" s="806"/>
    </row>
    <row r="7332" spans="4:54">
      <c r="D7332" s="806"/>
      <c r="F7332" s="806"/>
      <c r="W7332" s="806"/>
      <c r="AZ7332" s="806"/>
      <c r="BA7332" s="806"/>
      <c r="BB7332" s="806"/>
    </row>
    <row r="7333" spans="4:54">
      <c r="D7333" s="806"/>
      <c r="F7333" s="806"/>
      <c r="W7333" s="806"/>
      <c r="AZ7333" s="806"/>
      <c r="BA7333" s="806"/>
      <c r="BB7333" s="806"/>
    </row>
    <row r="7334" spans="4:54">
      <c r="D7334" s="806"/>
      <c r="F7334" s="806"/>
      <c r="W7334" s="806"/>
      <c r="AZ7334" s="806"/>
      <c r="BA7334" s="806"/>
      <c r="BB7334" s="806"/>
    </row>
    <row r="7335" spans="4:54">
      <c r="D7335" s="806"/>
      <c r="F7335" s="806"/>
      <c r="W7335" s="806"/>
      <c r="AZ7335" s="806"/>
      <c r="BA7335" s="806"/>
      <c r="BB7335" s="806"/>
    </row>
    <row r="7336" spans="4:54">
      <c r="D7336" s="806"/>
      <c r="F7336" s="806"/>
      <c r="W7336" s="806"/>
      <c r="AZ7336" s="806"/>
      <c r="BA7336" s="806"/>
      <c r="BB7336" s="806"/>
    </row>
    <row r="7337" spans="4:54">
      <c r="D7337" s="806"/>
      <c r="F7337" s="806"/>
      <c r="W7337" s="806"/>
      <c r="AZ7337" s="806"/>
      <c r="BA7337" s="806"/>
      <c r="BB7337" s="806"/>
    </row>
    <row r="7338" spans="4:54">
      <c r="D7338" s="806"/>
      <c r="F7338" s="806"/>
      <c r="W7338" s="806"/>
      <c r="AZ7338" s="806"/>
      <c r="BA7338" s="806"/>
      <c r="BB7338" s="806"/>
    </row>
    <row r="7339" spans="4:54">
      <c r="D7339" s="806"/>
      <c r="F7339" s="806"/>
      <c r="W7339" s="806"/>
      <c r="AZ7339" s="806"/>
      <c r="BA7339" s="806"/>
      <c r="BB7339" s="806"/>
    </row>
    <row r="7340" spans="4:54">
      <c r="D7340" s="806"/>
      <c r="F7340" s="806"/>
      <c r="W7340" s="806"/>
      <c r="AZ7340" s="806"/>
      <c r="BA7340" s="806"/>
      <c r="BB7340" s="806"/>
    </row>
    <row r="7341" spans="4:54">
      <c r="D7341" s="806"/>
      <c r="F7341" s="806"/>
      <c r="W7341" s="806"/>
      <c r="AZ7341" s="806"/>
      <c r="BA7341" s="806"/>
      <c r="BB7341" s="806"/>
    </row>
    <row r="7342" spans="4:54">
      <c r="D7342" s="806"/>
      <c r="F7342" s="806"/>
      <c r="W7342" s="806"/>
      <c r="AZ7342" s="806"/>
      <c r="BA7342" s="806"/>
      <c r="BB7342" s="806"/>
    </row>
    <row r="7343" spans="4:54">
      <c r="D7343" s="806"/>
      <c r="F7343" s="806"/>
      <c r="W7343" s="806"/>
      <c r="AZ7343" s="806"/>
      <c r="BA7343" s="806"/>
      <c r="BB7343" s="806"/>
    </row>
    <row r="7344" spans="4:54">
      <c r="D7344" s="806"/>
      <c r="F7344" s="806"/>
      <c r="W7344" s="806"/>
      <c r="AZ7344" s="806"/>
      <c r="BA7344" s="806"/>
      <c r="BB7344" s="806"/>
    </row>
    <row r="7345" spans="4:54">
      <c r="D7345" s="806"/>
      <c r="F7345" s="806"/>
      <c r="W7345" s="806"/>
      <c r="AZ7345" s="806"/>
      <c r="BA7345" s="806"/>
      <c r="BB7345" s="806"/>
    </row>
    <row r="7346" spans="4:54">
      <c r="D7346" s="806"/>
      <c r="F7346" s="806"/>
      <c r="W7346" s="806"/>
      <c r="AZ7346" s="806"/>
      <c r="BA7346" s="806"/>
      <c r="BB7346" s="806"/>
    </row>
    <row r="7347" spans="4:54">
      <c r="D7347" s="806"/>
      <c r="F7347" s="806"/>
      <c r="W7347" s="806"/>
      <c r="AZ7347" s="806"/>
      <c r="BA7347" s="806"/>
      <c r="BB7347" s="806"/>
    </row>
    <row r="7348" spans="4:54">
      <c r="D7348" s="806"/>
      <c r="F7348" s="806"/>
      <c r="W7348" s="806"/>
      <c r="AZ7348" s="806"/>
      <c r="BA7348" s="806"/>
      <c r="BB7348" s="806"/>
    </row>
    <row r="7349" spans="4:54">
      <c r="D7349" s="806"/>
      <c r="F7349" s="806"/>
      <c r="W7349" s="806"/>
      <c r="AZ7349" s="806"/>
      <c r="BA7349" s="806"/>
      <c r="BB7349" s="806"/>
    </row>
    <row r="7350" spans="4:54">
      <c r="D7350" s="806"/>
      <c r="F7350" s="806"/>
      <c r="W7350" s="806"/>
      <c r="AZ7350" s="806"/>
      <c r="BA7350" s="806"/>
      <c r="BB7350" s="806"/>
    </row>
    <row r="7351" spans="4:54">
      <c r="D7351" s="806"/>
      <c r="F7351" s="806"/>
      <c r="W7351" s="806"/>
      <c r="AZ7351" s="806"/>
      <c r="BA7351" s="806"/>
      <c r="BB7351" s="806"/>
    </row>
    <row r="7352" spans="4:54">
      <c r="D7352" s="806"/>
      <c r="F7352" s="806"/>
      <c r="W7352" s="806"/>
      <c r="AZ7352" s="806"/>
      <c r="BA7352" s="806"/>
      <c r="BB7352" s="806"/>
    </row>
    <row r="7353" spans="4:54">
      <c r="D7353" s="806"/>
      <c r="F7353" s="806"/>
      <c r="W7353" s="806"/>
      <c r="AZ7353" s="806"/>
      <c r="BA7353" s="806"/>
      <c r="BB7353" s="806"/>
    </row>
    <row r="7354" spans="4:54">
      <c r="D7354" s="806"/>
      <c r="F7354" s="806"/>
      <c r="W7354" s="806"/>
      <c r="AZ7354" s="806"/>
      <c r="BA7354" s="806"/>
      <c r="BB7354" s="806"/>
    </row>
    <row r="7355" spans="4:54">
      <c r="D7355" s="806"/>
      <c r="F7355" s="806"/>
      <c r="W7355" s="806"/>
      <c r="AZ7355" s="806"/>
      <c r="BA7355" s="806"/>
      <c r="BB7355" s="806"/>
    </row>
    <row r="7356" spans="4:54">
      <c r="D7356" s="806"/>
      <c r="F7356" s="806"/>
      <c r="W7356" s="806"/>
      <c r="AZ7356" s="806"/>
      <c r="BA7356" s="806"/>
      <c r="BB7356" s="806"/>
    </row>
    <row r="7357" spans="4:54">
      <c r="D7357" s="806"/>
      <c r="F7357" s="806"/>
      <c r="W7357" s="806"/>
      <c r="AZ7357" s="806"/>
      <c r="BA7357" s="806"/>
      <c r="BB7357" s="806"/>
    </row>
    <row r="7358" spans="4:54">
      <c r="D7358" s="806"/>
      <c r="F7358" s="806"/>
      <c r="W7358" s="806"/>
      <c r="AZ7358" s="806"/>
      <c r="BA7358" s="806"/>
      <c r="BB7358" s="806"/>
    </row>
    <row r="7359" spans="4:54">
      <c r="D7359" s="806"/>
      <c r="F7359" s="806"/>
      <c r="W7359" s="806"/>
      <c r="AZ7359" s="806"/>
      <c r="BA7359" s="806"/>
      <c r="BB7359" s="806"/>
    </row>
    <row r="7360" spans="4:54">
      <c r="D7360" s="806"/>
      <c r="F7360" s="806"/>
      <c r="W7360" s="806"/>
      <c r="AZ7360" s="806"/>
      <c r="BA7360" s="806"/>
      <c r="BB7360" s="806"/>
    </row>
    <row r="7361" spans="4:54">
      <c r="D7361" s="806"/>
      <c r="F7361" s="806"/>
      <c r="W7361" s="806"/>
      <c r="AZ7361" s="806"/>
      <c r="BA7361" s="806"/>
      <c r="BB7361" s="806"/>
    </row>
    <row r="7362" spans="4:54">
      <c r="D7362" s="806"/>
      <c r="F7362" s="806"/>
      <c r="W7362" s="806"/>
      <c r="AZ7362" s="806"/>
      <c r="BA7362" s="806"/>
      <c r="BB7362" s="806"/>
    </row>
    <row r="7363" spans="4:54">
      <c r="D7363" s="806"/>
      <c r="F7363" s="806"/>
      <c r="W7363" s="806"/>
      <c r="AZ7363" s="806"/>
      <c r="BA7363" s="806"/>
      <c r="BB7363" s="806"/>
    </row>
    <row r="7364" spans="4:54">
      <c r="D7364" s="806"/>
      <c r="F7364" s="806"/>
      <c r="W7364" s="806"/>
      <c r="AZ7364" s="806"/>
      <c r="BA7364" s="806"/>
      <c r="BB7364" s="806"/>
    </row>
    <row r="7365" spans="4:54">
      <c r="D7365" s="806"/>
      <c r="F7365" s="806"/>
      <c r="W7365" s="806"/>
      <c r="AZ7365" s="806"/>
      <c r="BA7365" s="806"/>
      <c r="BB7365" s="806"/>
    </row>
    <row r="7366" spans="4:54">
      <c r="D7366" s="806"/>
      <c r="F7366" s="806"/>
      <c r="W7366" s="806"/>
      <c r="AZ7366" s="806"/>
      <c r="BA7366" s="806"/>
      <c r="BB7366" s="806"/>
    </row>
    <row r="7367" spans="4:54">
      <c r="D7367" s="806"/>
      <c r="F7367" s="806"/>
      <c r="W7367" s="806"/>
      <c r="AZ7367" s="806"/>
      <c r="BA7367" s="806"/>
      <c r="BB7367" s="806"/>
    </row>
    <row r="7368" spans="4:54">
      <c r="D7368" s="806"/>
      <c r="F7368" s="806"/>
      <c r="W7368" s="806"/>
      <c r="AZ7368" s="806"/>
      <c r="BA7368" s="806"/>
      <c r="BB7368" s="806"/>
    </row>
    <row r="7369" spans="4:54">
      <c r="D7369" s="806"/>
      <c r="F7369" s="806"/>
      <c r="W7369" s="806"/>
      <c r="AZ7369" s="806"/>
      <c r="BA7369" s="806"/>
      <c r="BB7369" s="806"/>
    </row>
    <row r="7370" spans="4:54">
      <c r="D7370" s="806"/>
      <c r="F7370" s="806"/>
      <c r="W7370" s="806"/>
      <c r="AZ7370" s="806"/>
      <c r="BA7370" s="806"/>
      <c r="BB7370" s="806"/>
    </row>
    <row r="7371" spans="4:54">
      <c r="D7371" s="806"/>
      <c r="F7371" s="806"/>
      <c r="W7371" s="806"/>
      <c r="AZ7371" s="806"/>
      <c r="BA7371" s="806"/>
      <c r="BB7371" s="806"/>
    </row>
    <row r="7372" spans="4:54">
      <c r="D7372" s="806"/>
      <c r="F7372" s="806"/>
      <c r="W7372" s="806"/>
      <c r="AZ7372" s="806"/>
      <c r="BA7372" s="806"/>
      <c r="BB7372" s="806"/>
    </row>
    <row r="7373" spans="4:54">
      <c r="D7373" s="806"/>
      <c r="F7373" s="806"/>
      <c r="W7373" s="806"/>
      <c r="AZ7373" s="806"/>
      <c r="BA7373" s="806"/>
      <c r="BB7373" s="806"/>
    </row>
    <row r="7374" spans="4:54">
      <c r="D7374" s="806"/>
      <c r="F7374" s="806"/>
      <c r="W7374" s="806"/>
      <c r="AZ7374" s="806"/>
      <c r="BA7374" s="806"/>
      <c r="BB7374" s="806"/>
    </row>
    <row r="7375" spans="4:54">
      <c r="D7375" s="806"/>
      <c r="F7375" s="806"/>
      <c r="W7375" s="806"/>
      <c r="AZ7375" s="806"/>
      <c r="BA7375" s="806"/>
      <c r="BB7375" s="806"/>
    </row>
    <row r="7376" spans="4:54">
      <c r="D7376" s="806"/>
      <c r="F7376" s="806"/>
      <c r="W7376" s="806"/>
      <c r="AZ7376" s="806"/>
      <c r="BA7376" s="806"/>
      <c r="BB7376" s="806"/>
    </row>
    <row r="7377" spans="4:54">
      <c r="D7377" s="806"/>
      <c r="F7377" s="806"/>
      <c r="W7377" s="806"/>
      <c r="AZ7377" s="806"/>
      <c r="BA7377" s="806"/>
      <c r="BB7377" s="806"/>
    </row>
    <row r="7378" spans="4:54">
      <c r="D7378" s="806"/>
      <c r="F7378" s="806"/>
      <c r="W7378" s="806"/>
      <c r="AZ7378" s="806"/>
      <c r="BA7378" s="806"/>
      <c r="BB7378" s="806"/>
    </row>
    <row r="7379" spans="4:54">
      <c r="D7379" s="806"/>
      <c r="F7379" s="806"/>
      <c r="W7379" s="806"/>
      <c r="AZ7379" s="806"/>
      <c r="BA7379" s="806"/>
      <c r="BB7379" s="806"/>
    </row>
    <row r="7380" spans="4:54">
      <c r="D7380" s="806"/>
      <c r="F7380" s="806"/>
      <c r="W7380" s="806"/>
      <c r="AZ7380" s="806"/>
      <c r="BA7380" s="806"/>
      <c r="BB7380" s="806"/>
    </row>
    <row r="7381" spans="4:54">
      <c r="D7381" s="806"/>
      <c r="F7381" s="806"/>
      <c r="W7381" s="806"/>
      <c r="AZ7381" s="806"/>
      <c r="BA7381" s="806"/>
      <c r="BB7381" s="806"/>
    </row>
    <row r="7382" spans="4:54">
      <c r="D7382" s="806"/>
      <c r="F7382" s="806"/>
      <c r="W7382" s="806"/>
      <c r="AZ7382" s="806"/>
      <c r="BA7382" s="806"/>
      <c r="BB7382" s="806"/>
    </row>
    <row r="7383" spans="4:54">
      <c r="D7383" s="806"/>
      <c r="F7383" s="806"/>
      <c r="W7383" s="806"/>
      <c r="AZ7383" s="806"/>
      <c r="BA7383" s="806"/>
      <c r="BB7383" s="806"/>
    </row>
    <row r="7384" spans="4:54">
      <c r="D7384" s="806"/>
      <c r="F7384" s="806"/>
      <c r="W7384" s="806"/>
      <c r="AZ7384" s="806"/>
      <c r="BA7384" s="806"/>
      <c r="BB7384" s="806"/>
    </row>
    <row r="7385" spans="4:54">
      <c r="D7385" s="806"/>
      <c r="F7385" s="806"/>
      <c r="W7385" s="806"/>
      <c r="AZ7385" s="806"/>
      <c r="BA7385" s="806"/>
      <c r="BB7385" s="806"/>
    </row>
    <row r="7386" spans="4:54">
      <c r="D7386" s="806"/>
      <c r="F7386" s="806"/>
      <c r="W7386" s="806"/>
      <c r="AZ7386" s="806"/>
      <c r="BA7386" s="806"/>
      <c r="BB7386" s="806"/>
    </row>
    <row r="7387" spans="4:54">
      <c r="D7387" s="806"/>
      <c r="F7387" s="806"/>
      <c r="W7387" s="806"/>
      <c r="AZ7387" s="806"/>
      <c r="BA7387" s="806"/>
      <c r="BB7387" s="806"/>
    </row>
    <row r="7388" spans="4:54">
      <c r="D7388" s="806"/>
      <c r="F7388" s="806"/>
      <c r="W7388" s="806"/>
      <c r="AZ7388" s="806"/>
      <c r="BA7388" s="806"/>
      <c r="BB7388" s="806"/>
    </row>
    <row r="7389" spans="4:54">
      <c r="D7389" s="806"/>
      <c r="F7389" s="806"/>
      <c r="W7389" s="806"/>
      <c r="AZ7389" s="806"/>
      <c r="BA7389" s="806"/>
      <c r="BB7389" s="806"/>
    </row>
    <row r="7390" spans="4:54">
      <c r="D7390" s="806"/>
      <c r="F7390" s="806"/>
      <c r="W7390" s="806"/>
      <c r="AZ7390" s="806"/>
      <c r="BA7390" s="806"/>
      <c r="BB7390" s="806"/>
    </row>
    <row r="7391" spans="4:54">
      <c r="D7391" s="806"/>
      <c r="F7391" s="806"/>
      <c r="W7391" s="806"/>
      <c r="AZ7391" s="806"/>
      <c r="BA7391" s="806"/>
      <c r="BB7391" s="806"/>
    </row>
    <row r="7392" spans="4:54">
      <c r="D7392" s="806"/>
      <c r="F7392" s="806"/>
      <c r="W7392" s="806"/>
      <c r="AZ7392" s="806"/>
      <c r="BA7392" s="806"/>
      <c r="BB7392" s="806"/>
    </row>
    <row r="7393" spans="4:54">
      <c r="D7393" s="806"/>
      <c r="F7393" s="806"/>
      <c r="W7393" s="806"/>
      <c r="AZ7393" s="806"/>
      <c r="BA7393" s="806"/>
      <c r="BB7393" s="806"/>
    </row>
    <row r="7394" spans="4:54">
      <c r="D7394" s="806"/>
      <c r="F7394" s="806"/>
      <c r="W7394" s="806"/>
      <c r="AZ7394" s="806"/>
      <c r="BA7394" s="806"/>
      <c r="BB7394" s="806"/>
    </row>
    <row r="7395" spans="4:54">
      <c r="D7395" s="806"/>
      <c r="F7395" s="806"/>
      <c r="W7395" s="806"/>
      <c r="AZ7395" s="806"/>
      <c r="BA7395" s="806"/>
      <c r="BB7395" s="806"/>
    </row>
    <row r="7396" spans="4:54">
      <c r="D7396" s="806"/>
      <c r="F7396" s="806"/>
      <c r="W7396" s="806"/>
      <c r="AZ7396" s="806"/>
      <c r="BA7396" s="806"/>
      <c r="BB7396" s="806"/>
    </row>
    <row r="7397" spans="4:54">
      <c r="D7397" s="806"/>
      <c r="F7397" s="806"/>
      <c r="W7397" s="806"/>
      <c r="AZ7397" s="806"/>
      <c r="BA7397" s="806"/>
      <c r="BB7397" s="806"/>
    </row>
    <row r="7398" spans="4:54">
      <c r="D7398" s="806"/>
      <c r="F7398" s="806"/>
      <c r="W7398" s="806"/>
      <c r="AZ7398" s="806"/>
      <c r="BA7398" s="806"/>
      <c r="BB7398" s="806"/>
    </row>
    <row r="7399" spans="4:54">
      <c r="D7399" s="806"/>
      <c r="F7399" s="806"/>
      <c r="W7399" s="806"/>
      <c r="AZ7399" s="806"/>
      <c r="BA7399" s="806"/>
      <c r="BB7399" s="806"/>
    </row>
    <row r="7400" spans="4:54">
      <c r="D7400" s="806"/>
      <c r="F7400" s="806"/>
      <c r="W7400" s="806"/>
      <c r="AZ7400" s="806"/>
      <c r="BA7400" s="806"/>
      <c r="BB7400" s="806"/>
    </row>
    <row r="7401" spans="4:54">
      <c r="D7401" s="806"/>
      <c r="F7401" s="806"/>
      <c r="W7401" s="806"/>
      <c r="AZ7401" s="806"/>
      <c r="BA7401" s="806"/>
      <c r="BB7401" s="806"/>
    </row>
    <row r="7402" spans="4:54">
      <c r="D7402" s="806"/>
      <c r="F7402" s="806"/>
      <c r="W7402" s="806"/>
      <c r="AZ7402" s="806"/>
      <c r="BA7402" s="806"/>
      <c r="BB7402" s="806"/>
    </row>
    <row r="7403" spans="4:54">
      <c r="D7403" s="806"/>
      <c r="F7403" s="806"/>
      <c r="W7403" s="806"/>
      <c r="AZ7403" s="806"/>
      <c r="BA7403" s="806"/>
      <c r="BB7403" s="806"/>
    </row>
    <row r="7404" spans="4:54">
      <c r="D7404" s="806"/>
      <c r="F7404" s="806"/>
      <c r="W7404" s="806"/>
      <c r="AZ7404" s="806"/>
      <c r="BA7404" s="806"/>
      <c r="BB7404" s="806"/>
    </row>
    <row r="7405" spans="4:54">
      <c r="D7405" s="806"/>
      <c r="F7405" s="806"/>
      <c r="W7405" s="806"/>
      <c r="AZ7405" s="806"/>
      <c r="BA7405" s="806"/>
      <c r="BB7405" s="806"/>
    </row>
    <row r="7406" spans="4:54">
      <c r="D7406" s="806"/>
      <c r="F7406" s="806"/>
      <c r="W7406" s="806"/>
      <c r="AZ7406" s="806"/>
      <c r="BA7406" s="806"/>
      <c r="BB7406" s="806"/>
    </row>
    <row r="7407" spans="4:54">
      <c r="D7407" s="806"/>
      <c r="F7407" s="806"/>
      <c r="W7407" s="806"/>
      <c r="AZ7407" s="806"/>
      <c r="BA7407" s="806"/>
      <c r="BB7407" s="806"/>
    </row>
    <row r="7408" spans="4:54">
      <c r="D7408" s="806"/>
      <c r="F7408" s="806"/>
      <c r="W7408" s="806"/>
      <c r="AZ7408" s="806"/>
      <c r="BA7408" s="806"/>
      <c r="BB7408" s="806"/>
    </row>
    <row r="7409" spans="4:54">
      <c r="D7409" s="806"/>
      <c r="F7409" s="806"/>
      <c r="W7409" s="806"/>
      <c r="AZ7409" s="806"/>
      <c r="BA7409" s="806"/>
      <c r="BB7409" s="806"/>
    </row>
    <row r="7410" spans="4:54">
      <c r="D7410" s="806"/>
      <c r="F7410" s="806"/>
      <c r="W7410" s="806"/>
      <c r="AZ7410" s="806"/>
      <c r="BA7410" s="806"/>
      <c r="BB7410" s="806"/>
    </row>
    <row r="7411" spans="4:54">
      <c r="D7411" s="806"/>
      <c r="F7411" s="806"/>
      <c r="W7411" s="806"/>
      <c r="AZ7411" s="806"/>
      <c r="BA7411" s="806"/>
      <c r="BB7411" s="806"/>
    </row>
    <row r="7412" spans="4:54">
      <c r="D7412" s="806"/>
      <c r="F7412" s="806"/>
      <c r="W7412" s="806"/>
      <c r="AZ7412" s="806"/>
      <c r="BA7412" s="806"/>
      <c r="BB7412" s="806"/>
    </row>
    <row r="7413" spans="4:54">
      <c r="D7413" s="806"/>
      <c r="F7413" s="806"/>
      <c r="W7413" s="806"/>
      <c r="AZ7413" s="806"/>
      <c r="BA7413" s="806"/>
      <c r="BB7413" s="806"/>
    </row>
    <row r="7414" spans="4:54">
      <c r="D7414" s="806"/>
      <c r="F7414" s="806"/>
      <c r="W7414" s="806"/>
      <c r="AZ7414" s="806"/>
      <c r="BA7414" s="806"/>
      <c r="BB7414" s="806"/>
    </row>
    <row r="7415" spans="4:54">
      <c r="D7415" s="806"/>
      <c r="F7415" s="806"/>
      <c r="W7415" s="806"/>
      <c r="AZ7415" s="806"/>
      <c r="BA7415" s="806"/>
      <c r="BB7415" s="806"/>
    </row>
    <row r="7416" spans="4:54">
      <c r="D7416" s="806"/>
      <c r="F7416" s="806"/>
      <c r="W7416" s="806"/>
      <c r="AZ7416" s="806"/>
      <c r="BA7416" s="806"/>
      <c r="BB7416" s="806"/>
    </row>
    <row r="7417" spans="4:54">
      <c r="D7417" s="806"/>
      <c r="F7417" s="806"/>
      <c r="W7417" s="806"/>
      <c r="AZ7417" s="806"/>
      <c r="BA7417" s="806"/>
      <c r="BB7417" s="806"/>
    </row>
    <row r="7418" spans="4:54">
      <c r="D7418" s="806"/>
      <c r="F7418" s="806"/>
      <c r="W7418" s="806"/>
      <c r="AZ7418" s="806"/>
      <c r="BA7418" s="806"/>
      <c r="BB7418" s="806"/>
    </row>
    <row r="7419" spans="4:54">
      <c r="D7419" s="806"/>
      <c r="F7419" s="806"/>
      <c r="W7419" s="806"/>
      <c r="AZ7419" s="806"/>
      <c r="BA7419" s="806"/>
      <c r="BB7419" s="806"/>
    </row>
    <row r="7420" spans="4:54">
      <c r="D7420" s="806"/>
      <c r="F7420" s="806"/>
      <c r="W7420" s="806"/>
      <c r="AZ7420" s="806"/>
      <c r="BA7420" s="806"/>
      <c r="BB7420" s="806"/>
    </row>
    <row r="7421" spans="4:54">
      <c r="D7421" s="806"/>
      <c r="F7421" s="806"/>
      <c r="W7421" s="806"/>
      <c r="AZ7421" s="806"/>
      <c r="BA7421" s="806"/>
      <c r="BB7421" s="806"/>
    </row>
    <row r="7422" spans="4:54">
      <c r="D7422" s="806"/>
      <c r="F7422" s="806"/>
      <c r="W7422" s="806"/>
      <c r="AZ7422" s="806"/>
      <c r="BA7422" s="806"/>
      <c r="BB7422" s="806"/>
    </row>
    <row r="7423" spans="4:54">
      <c r="D7423" s="806"/>
      <c r="F7423" s="806"/>
      <c r="W7423" s="806"/>
      <c r="AZ7423" s="806"/>
      <c r="BA7423" s="806"/>
      <c r="BB7423" s="806"/>
    </row>
    <row r="7424" spans="4:54">
      <c r="D7424" s="806"/>
      <c r="F7424" s="806"/>
      <c r="W7424" s="806"/>
      <c r="AZ7424" s="806"/>
      <c r="BA7424" s="806"/>
      <c r="BB7424" s="806"/>
    </row>
    <row r="7425" spans="4:54">
      <c r="D7425" s="806"/>
      <c r="F7425" s="806"/>
      <c r="W7425" s="806"/>
      <c r="AZ7425" s="806"/>
      <c r="BA7425" s="806"/>
      <c r="BB7425" s="806"/>
    </row>
    <row r="7426" spans="4:54">
      <c r="D7426" s="806"/>
      <c r="F7426" s="806"/>
      <c r="W7426" s="806"/>
      <c r="AZ7426" s="806"/>
      <c r="BA7426" s="806"/>
      <c r="BB7426" s="806"/>
    </row>
    <row r="7427" spans="4:54">
      <c r="D7427" s="806"/>
      <c r="F7427" s="806"/>
      <c r="W7427" s="806"/>
      <c r="AZ7427" s="806"/>
      <c r="BA7427" s="806"/>
      <c r="BB7427" s="806"/>
    </row>
    <row r="7428" spans="4:54">
      <c r="D7428" s="806"/>
      <c r="F7428" s="806"/>
      <c r="W7428" s="806"/>
      <c r="AZ7428" s="806"/>
      <c r="BA7428" s="806"/>
      <c r="BB7428" s="806"/>
    </row>
    <row r="7429" spans="4:54">
      <c r="D7429" s="806"/>
      <c r="F7429" s="806"/>
      <c r="W7429" s="806"/>
      <c r="AZ7429" s="806"/>
      <c r="BA7429" s="806"/>
      <c r="BB7429" s="806"/>
    </row>
    <row r="7430" spans="4:54">
      <c r="D7430" s="806"/>
      <c r="F7430" s="806"/>
      <c r="W7430" s="806"/>
      <c r="AZ7430" s="806"/>
      <c r="BA7430" s="806"/>
      <c r="BB7430" s="806"/>
    </row>
    <row r="7431" spans="4:54">
      <c r="D7431" s="806"/>
      <c r="F7431" s="806"/>
      <c r="W7431" s="806"/>
      <c r="AZ7431" s="806"/>
      <c r="BA7431" s="806"/>
      <c r="BB7431" s="806"/>
    </row>
    <row r="7432" spans="4:54">
      <c r="D7432" s="806"/>
      <c r="F7432" s="806"/>
      <c r="W7432" s="806"/>
      <c r="AZ7432" s="806"/>
      <c r="BA7432" s="806"/>
      <c r="BB7432" s="806"/>
    </row>
    <row r="7433" spans="4:54">
      <c r="D7433" s="806"/>
      <c r="F7433" s="806"/>
      <c r="W7433" s="806"/>
      <c r="AZ7433" s="806"/>
      <c r="BA7433" s="806"/>
      <c r="BB7433" s="806"/>
    </row>
    <row r="7434" spans="4:54">
      <c r="D7434" s="806"/>
      <c r="F7434" s="806"/>
      <c r="W7434" s="806"/>
      <c r="AZ7434" s="806"/>
      <c r="BA7434" s="806"/>
      <c r="BB7434" s="806"/>
    </row>
    <row r="7435" spans="4:54">
      <c r="D7435" s="806"/>
      <c r="F7435" s="806"/>
      <c r="W7435" s="806"/>
      <c r="AZ7435" s="806"/>
      <c r="BA7435" s="806"/>
      <c r="BB7435" s="806"/>
    </row>
    <row r="7436" spans="4:54">
      <c r="D7436" s="806"/>
      <c r="F7436" s="806"/>
      <c r="W7436" s="806"/>
      <c r="AZ7436" s="806"/>
      <c r="BA7436" s="806"/>
      <c r="BB7436" s="806"/>
    </row>
    <row r="7437" spans="4:54">
      <c r="D7437" s="806"/>
      <c r="F7437" s="806"/>
      <c r="W7437" s="806"/>
      <c r="AZ7437" s="806"/>
      <c r="BA7437" s="806"/>
      <c r="BB7437" s="806"/>
    </row>
    <row r="7438" spans="4:54">
      <c r="D7438" s="806"/>
      <c r="F7438" s="806"/>
      <c r="W7438" s="806"/>
      <c r="AZ7438" s="806"/>
      <c r="BA7438" s="806"/>
      <c r="BB7438" s="806"/>
    </row>
    <row r="7439" spans="4:54">
      <c r="D7439" s="806"/>
      <c r="F7439" s="806"/>
      <c r="W7439" s="806"/>
      <c r="AZ7439" s="806"/>
      <c r="BA7439" s="806"/>
      <c r="BB7439" s="806"/>
    </row>
    <row r="7440" spans="4:54">
      <c r="D7440" s="806"/>
      <c r="F7440" s="806"/>
      <c r="W7440" s="806"/>
      <c r="AZ7440" s="806"/>
      <c r="BA7440" s="806"/>
      <c r="BB7440" s="806"/>
    </row>
    <row r="7441" spans="4:54">
      <c r="D7441" s="806"/>
      <c r="F7441" s="806"/>
      <c r="W7441" s="806"/>
      <c r="AZ7441" s="806"/>
      <c r="BA7441" s="806"/>
      <c r="BB7441" s="806"/>
    </row>
    <row r="7442" spans="4:54">
      <c r="D7442" s="806"/>
      <c r="F7442" s="806"/>
      <c r="W7442" s="806"/>
      <c r="AZ7442" s="806"/>
      <c r="BA7442" s="806"/>
      <c r="BB7442" s="806"/>
    </row>
    <row r="7443" spans="4:54">
      <c r="D7443" s="806"/>
      <c r="F7443" s="806"/>
      <c r="W7443" s="806"/>
      <c r="AZ7443" s="806"/>
      <c r="BA7443" s="806"/>
      <c r="BB7443" s="806"/>
    </row>
    <row r="7444" spans="4:54">
      <c r="D7444" s="806"/>
      <c r="F7444" s="806"/>
      <c r="W7444" s="806"/>
      <c r="AZ7444" s="806"/>
      <c r="BA7444" s="806"/>
      <c r="BB7444" s="806"/>
    </row>
    <row r="7445" spans="4:54">
      <c r="D7445" s="806"/>
      <c r="F7445" s="806"/>
      <c r="W7445" s="806"/>
      <c r="AZ7445" s="806"/>
      <c r="BA7445" s="806"/>
      <c r="BB7445" s="806"/>
    </row>
    <row r="7446" spans="4:54">
      <c r="D7446" s="806"/>
      <c r="F7446" s="806"/>
      <c r="W7446" s="806"/>
      <c r="AZ7446" s="806"/>
      <c r="BA7446" s="806"/>
      <c r="BB7446" s="806"/>
    </row>
    <row r="7447" spans="4:54">
      <c r="D7447" s="806"/>
      <c r="F7447" s="806"/>
      <c r="W7447" s="806"/>
      <c r="AZ7447" s="806"/>
      <c r="BA7447" s="806"/>
      <c r="BB7447" s="806"/>
    </row>
    <row r="7448" spans="4:54">
      <c r="D7448" s="806"/>
      <c r="F7448" s="806"/>
      <c r="W7448" s="806"/>
      <c r="AZ7448" s="806"/>
      <c r="BA7448" s="806"/>
      <c r="BB7448" s="806"/>
    </row>
    <row r="7449" spans="4:54">
      <c r="D7449" s="806"/>
      <c r="F7449" s="806"/>
      <c r="W7449" s="806"/>
      <c r="AZ7449" s="806"/>
      <c r="BA7449" s="806"/>
      <c r="BB7449" s="806"/>
    </row>
    <row r="7450" spans="4:54">
      <c r="D7450" s="806"/>
      <c r="F7450" s="806"/>
      <c r="W7450" s="806"/>
      <c r="AZ7450" s="806"/>
      <c r="BA7450" s="806"/>
      <c r="BB7450" s="806"/>
    </row>
    <row r="7451" spans="4:54">
      <c r="D7451" s="806"/>
      <c r="F7451" s="806"/>
      <c r="W7451" s="806"/>
      <c r="AZ7451" s="806"/>
      <c r="BA7451" s="806"/>
      <c r="BB7451" s="806"/>
    </row>
    <row r="7452" spans="4:54">
      <c r="D7452" s="806"/>
      <c r="F7452" s="806"/>
      <c r="W7452" s="806"/>
      <c r="AZ7452" s="806"/>
      <c r="BA7452" s="806"/>
      <c r="BB7452" s="806"/>
    </row>
    <row r="7453" spans="4:54">
      <c r="D7453" s="806"/>
      <c r="F7453" s="806"/>
      <c r="W7453" s="806"/>
      <c r="AZ7453" s="806"/>
      <c r="BA7453" s="806"/>
      <c r="BB7453" s="806"/>
    </row>
    <row r="7454" spans="4:54">
      <c r="D7454" s="806"/>
      <c r="F7454" s="806"/>
      <c r="W7454" s="806"/>
      <c r="AZ7454" s="806"/>
      <c r="BA7454" s="806"/>
      <c r="BB7454" s="806"/>
    </row>
    <row r="7455" spans="4:54">
      <c r="D7455" s="806"/>
      <c r="F7455" s="806"/>
      <c r="W7455" s="806"/>
      <c r="AZ7455" s="806"/>
      <c r="BA7455" s="806"/>
      <c r="BB7455" s="806"/>
    </row>
    <row r="7456" spans="4:54">
      <c r="D7456" s="806"/>
      <c r="F7456" s="806"/>
      <c r="W7456" s="806"/>
      <c r="AZ7456" s="806"/>
      <c r="BA7456" s="806"/>
      <c r="BB7456" s="806"/>
    </row>
    <row r="7457" spans="4:54">
      <c r="D7457" s="806"/>
      <c r="F7457" s="806"/>
      <c r="W7457" s="806"/>
      <c r="AZ7457" s="806"/>
      <c r="BA7457" s="806"/>
      <c r="BB7457" s="806"/>
    </row>
    <row r="7458" spans="4:54">
      <c r="D7458" s="806"/>
      <c r="F7458" s="806"/>
      <c r="W7458" s="806"/>
      <c r="AZ7458" s="806"/>
      <c r="BA7458" s="806"/>
      <c r="BB7458" s="806"/>
    </row>
    <row r="7459" spans="4:54">
      <c r="D7459" s="806"/>
      <c r="F7459" s="806"/>
      <c r="W7459" s="806"/>
      <c r="AZ7459" s="806"/>
      <c r="BA7459" s="806"/>
      <c r="BB7459" s="806"/>
    </row>
    <row r="7460" spans="4:54">
      <c r="D7460" s="806"/>
      <c r="F7460" s="806"/>
      <c r="W7460" s="806"/>
      <c r="AZ7460" s="806"/>
      <c r="BA7460" s="806"/>
      <c r="BB7460" s="806"/>
    </row>
    <row r="7461" spans="4:54">
      <c r="D7461" s="806"/>
      <c r="F7461" s="806"/>
      <c r="W7461" s="806"/>
      <c r="AZ7461" s="806"/>
      <c r="BA7461" s="806"/>
      <c r="BB7461" s="806"/>
    </row>
    <row r="7462" spans="4:54">
      <c r="D7462" s="806"/>
      <c r="F7462" s="806"/>
      <c r="W7462" s="806"/>
      <c r="AZ7462" s="806"/>
      <c r="BA7462" s="806"/>
      <c r="BB7462" s="806"/>
    </row>
    <row r="7463" spans="4:54">
      <c r="D7463" s="806"/>
      <c r="F7463" s="806"/>
      <c r="W7463" s="806"/>
      <c r="AZ7463" s="806"/>
      <c r="BA7463" s="806"/>
      <c r="BB7463" s="806"/>
    </row>
    <row r="7464" spans="4:54">
      <c r="D7464" s="806"/>
      <c r="F7464" s="806"/>
      <c r="W7464" s="806"/>
      <c r="AZ7464" s="806"/>
      <c r="BA7464" s="806"/>
      <c r="BB7464" s="806"/>
    </row>
    <row r="7465" spans="4:54">
      <c r="D7465" s="806"/>
      <c r="F7465" s="806"/>
      <c r="W7465" s="806"/>
      <c r="AZ7465" s="806"/>
      <c r="BA7465" s="806"/>
      <c r="BB7465" s="806"/>
    </row>
    <row r="7466" spans="4:54">
      <c r="D7466" s="806"/>
      <c r="F7466" s="806"/>
      <c r="W7466" s="806"/>
      <c r="AZ7466" s="806"/>
      <c r="BA7466" s="806"/>
      <c r="BB7466" s="806"/>
    </row>
    <row r="7467" spans="4:54">
      <c r="D7467" s="806"/>
      <c r="F7467" s="806"/>
      <c r="W7467" s="806"/>
      <c r="AZ7467" s="806"/>
      <c r="BA7467" s="806"/>
      <c r="BB7467" s="806"/>
    </row>
    <row r="7468" spans="4:54">
      <c r="D7468" s="806"/>
      <c r="F7468" s="806"/>
      <c r="W7468" s="806"/>
      <c r="AZ7468" s="806"/>
      <c r="BA7468" s="806"/>
      <c r="BB7468" s="806"/>
    </row>
    <row r="7469" spans="4:54">
      <c r="D7469" s="806"/>
      <c r="F7469" s="806"/>
      <c r="W7469" s="806"/>
      <c r="AZ7469" s="806"/>
      <c r="BA7469" s="806"/>
      <c r="BB7469" s="806"/>
    </row>
    <row r="7470" spans="4:54">
      <c r="D7470" s="806"/>
      <c r="F7470" s="806"/>
      <c r="W7470" s="806"/>
      <c r="AZ7470" s="806"/>
      <c r="BA7470" s="806"/>
      <c r="BB7470" s="806"/>
    </row>
    <row r="7471" spans="4:54">
      <c r="D7471" s="806"/>
      <c r="F7471" s="806"/>
      <c r="W7471" s="806"/>
      <c r="AZ7471" s="806"/>
      <c r="BA7471" s="806"/>
      <c r="BB7471" s="806"/>
    </row>
    <row r="7472" spans="4:54">
      <c r="D7472" s="806"/>
      <c r="F7472" s="806"/>
      <c r="W7472" s="806"/>
      <c r="AZ7472" s="806"/>
      <c r="BA7472" s="806"/>
      <c r="BB7472" s="806"/>
    </row>
    <row r="7473" spans="4:54">
      <c r="D7473" s="806"/>
      <c r="F7473" s="806"/>
      <c r="W7473" s="806"/>
      <c r="AZ7473" s="806"/>
      <c r="BA7473" s="806"/>
      <c r="BB7473" s="806"/>
    </row>
    <row r="7474" spans="4:54">
      <c r="D7474" s="806"/>
      <c r="F7474" s="806"/>
      <c r="W7474" s="806"/>
      <c r="AZ7474" s="806"/>
      <c r="BA7474" s="806"/>
      <c r="BB7474" s="806"/>
    </row>
    <row r="7475" spans="4:54">
      <c r="D7475" s="806"/>
      <c r="F7475" s="806"/>
      <c r="W7475" s="806"/>
      <c r="AZ7475" s="806"/>
      <c r="BA7475" s="806"/>
      <c r="BB7475" s="806"/>
    </row>
    <row r="7476" spans="4:54">
      <c r="D7476" s="806"/>
      <c r="F7476" s="806"/>
      <c r="W7476" s="806"/>
      <c r="AZ7476" s="806"/>
      <c r="BA7476" s="806"/>
      <c r="BB7476" s="806"/>
    </row>
    <row r="7477" spans="4:54">
      <c r="D7477" s="806"/>
      <c r="F7477" s="806"/>
      <c r="W7477" s="806"/>
      <c r="AZ7477" s="806"/>
      <c r="BA7477" s="806"/>
      <c r="BB7477" s="806"/>
    </row>
    <row r="7478" spans="4:54">
      <c r="D7478" s="806"/>
      <c r="F7478" s="806"/>
      <c r="W7478" s="806"/>
      <c r="AZ7478" s="806"/>
      <c r="BA7478" s="806"/>
      <c r="BB7478" s="806"/>
    </row>
    <row r="7479" spans="4:54">
      <c r="D7479" s="806"/>
      <c r="F7479" s="806"/>
      <c r="W7479" s="806"/>
      <c r="AZ7479" s="806"/>
      <c r="BA7479" s="806"/>
      <c r="BB7479" s="806"/>
    </row>
    <row r="7480" spans="4:54">
      <c r="D7480" s="806"/>
      <c r="F7480" s="806"/>
      <c r="W7480" s="806"/>
      <c r="AZ7480" s="806"/>
      <c r="BA7480" s="806"/>
      <c r="BB7480" s="806"/>
    </row>
    <row r="7481" spans="4:54">
      <c r="D7481" s="806"/>
      <c r="F7481" s="806"/>
      <c r="W7481" s="806"/>
      <c r="AZ7481" s="806"/>
      <c r="BA7481" s="806"/>
      <c r="BB7481" s="806"/>
    </row>
    <row r="7482" spans="4:54">
      <c r="D7482" s="806"/>
      <c r="F7482" s="806"/>
      <c r="W7482" s="806"/>
      <c r="AZ7482" s="806"/>
      <c r="BA7482" s="806"/>
      <c r="BB7482" s="806"/>
    </row>
    <row r="7483" spans="4:54">
      <c r="D7483" s="806"/>
      <c r="F7483" s="806"/>
      <c r="W7483" s="806"/>
      <c r="AZ7483" s="806"/>
      <c r="BA7483" s="806"/>
      <c r="BB7483" s="806"/>
    </row>
    <row r="7484" spans="4:54">
      <c r="D7484" s="806"/>
      <c r="F7484" s="806"/>
      <c r="W7484" s="806"/>
      <c r="AZ7484" s="806"/>
      <c r="BA7484" s="806"/>
      <c r="BB7484" s="806"/>
    </row>
    <row r="7485" spans="4:54">
      <c r="D7485" s="806"/>
      <c r="F7485" s="806"/>
      <c r="W7485" s="806"/>
      <c r="AZ7485" s="806"/>
      <c r="BA7485" s="806"/>
      <c r="BB7485" s="806"/>
    </row>
    <row r="7486" spans="4:54">
      <c r="D7486" s="806"/>
      <c r="F7486" s="806"/>
      <c r="W7486" s="806"/>
      <c r="AZ7486" s="806"/>
      <c r="BA7486" s="806"/>
      <c r="BB7486" s="806"/>
    </row>
    <row r="7487" spans="4:54">
      <c r="D7487" s="806"/>
      <c r="F7487" s="806"/>
      <c r="W7487" s="806"/>
      <c r="AZ7487" s="806"/>
      <c r="BA7487" s="806"/>
      <c r="BB7487" s="806"/>
    </row>
    <row r="7488" spans="4:54">
      <c r="D7488" s="806"/>
      <c r="F7488" s="806"/>
      <c r="W7488" s="806"/>
      <c r="AZ7488" s="806"/>
      <c r="BA7488" s="806"/>
      <c r="BB7488" s="806"/>
    </row>
    <row r="7489" spans="4:54">
      <c r="D7489" s="806"/>
      <c r="F7489" s="806"/>
      <c r="W7489" s="806"/>
      <c r="AZ7489" s="806"/>
      <c r="BA7489" s="806"/>
      <c r="BB7489" s="806"/>
    </row>
    <row r="7490" spans="4:54">
      <c r="D7490" s="806"/>
      <c r="F7490" s="806"/>
      <c r="W7490" s="806"/>
      <c r="AZ7490" s="806"/>
      <c r="BA7490" s="806"/>
      <c r="BB7490" s="806"/>
    </row>
    <row r="7491" spans="4:54">
      <c r="D7491" s="806"/>
      <c r="F7491" s="806"/>
      <c r="W7491" s="806"/>
      <c r="AZ7491" s="806"/>
      <c r="BA7491" s="806"/>
      <c r="BB7491" s="806"/>
    </row>
    <row r="7492" spans="4:54">
      <c r="D7492" s="806"/>
      <c r="F7492" s="806"/>
      <c r="W7492" s="806"/>
      <c r="AZ7492" s="806"/>
      <c r="BA7492" s="806"/>
      <c r="BB7492" s="806"/>
    </row>
    <row r="7493" spans="4:54">
      <c r="D7493" s="806"/>
      <c r="F7493" s="806"/>
      <c r="W7493" s="806"/>
      <c r="AZ7493" s="806"/>
      <c r="BA7493" s="806"/>
      <c r="BB7493" s="806"/>
    </row>
    <row r="7494" spans="4:54">
      <c r="D7494" s="806"/>
      <c r="F7494" s="806"/>
      <c r="W7494" s="806"/>
      <c r="AZ7494" s="806"/>
      <c r="BA7494" s="806"/>
      <c r="BB7494" s="806"/>
    </row>
    <row r="7495" spans="4:54">
      <c r="D7495" s="806"/>
      <c r="F7495" s="806"/>
      <c r="W7495" s="806"/>
      <c r="AZ7495" s="806"/>
      <c r="BA7495" s="806"/>
      <c r="BB7495" s="806"/>
    </row>
    <row r="7496" spans="4:54">
      <c r="D7496" s="806"/>
      <c r="F7496" s="806"/>
      <c r="W7496" s="806"/>
      <c r="AZ7496" s="806"/>
      <c r="BA7496" s="806"/>
      <c r="BB7496" s="806"/>
    </row>
    <row r="7497" spans="4:54">
      <c r="D7497" s="806"/>
      <c r="F7497" s="806"/>
      <c r="W7497" s="806"/>
      <c r="AZ7497" s="806"/>
      <c r="BA7497" s="806"/>
      <c r="BB7497" s="806"/>
    </row>
    <row r="7498" spans="4:54">
      <c r="D7498" s="806"/>
      <c r="F7498" s="806"/>
      <c r="W7498" s="806"/>
      <c r="AZ7498" s="806"/>
      <c r="BA7498" s="806"/>
      <c r="BB7498" s="806"/>
    </row>
    <row r="7499" spans="4:54">
      <c r="D7499" s="806"/>
      <c r="F7499" s="806"/>
      <c r="W7499" s="806"/>
      <c r="AZ7499" s="806"/>
      <c r="BA7499" s="806"/>
      <c r="BB7499" s="806"/>
    </row>
    <row r="7500" spans="4:54">
      <c r="D7500" s="806"/>
      <c r="F7500" s="806"/>
      <c r="W7500" s="806"/>
      <c r="AZ7500" s="806"/>
      <c r="BA7500" s="806"/>
      <c r="BB7500" s="806"/>
    </row>
    <row r="7501" spans="4:54">
      <c r="D7501" s="806"/>
      <c r="F7501" s="806"/>
      <c r="W7501" s="806"/>
      <c r="AZ7501" s="806"/>
      <c r="BA7501" s="806"/>
      <c r="BB7501" s="806"/>
    </row>
    <row r="7502" spans="4:54">
      <c r="D7502" s="806"/>
      <c r="F7502" s="806"/>
      <c r="W7502" s="806"/>
      <c r="AZ7502" s="806"/>
      <c r="BA7502" s="806"/>
      <c r="BB7502" s="806"/>
    </row>
    <row r="7503" spans="4:54">
      <c r="D7503" s="806"/>
      <c r="F7503" s="806"/>
      <c r="W7503" s="806"/>
      <c r="AZ7503" s="806"/>
      <c r="BA7503" s="806"/>
      <c r="BB7503" s="806"/>
    </row>
    <row r="7504" spans="4:54">
      <c r="D7504" s="806"/>
      <c r="F7504" s="806"/>
      <c r="W7504" s="806"/>
      <c r="AZ7504" s="806"/>
      <c r="BA7504" s="806"/>
      <c r="BB7504" s="806"/>
    </row>
    <row r="7505" spans="4:54">
      <c r="D7505" s="806"/>
      <c r="F7505" s="806"/>
      <c r="W7505" s="806"/>
      <c r="AZ7505" s="806"/>
      <c r="BA7505" s="806"/>
      <c r="BB7505" s="806"/>
    </row>
    <row r="7506" spans="4:54">
      <c r="D7506" s="806"/>
      <c r="F7506" s="806"/>
      <c r="W7506" s="806"/>
      <c r="AZ7506" s="806"/>
      <c r="BA7506" s="806"/>
      <c r="BB7506" s="806"/>
    </row>
    <row r="7507" spans="4:54">
      <c r="D7507" s="806"/>
      <c r="F7507" s="806"/>
      <c r="W7507" s="806"/>
      <c r="AZ7507" s="806"/>
      <c r="BA7507" s="806"/>
      <c r="BB7507" s="806"/>
    </row>
    <row r="7508" spans="4:54">
      <c r="D7508" s="806"/>
      <c r="F7508" s="806"/>
      <c r="W7508" s="806"/>
      <c r="AZ7508" s="806"/>
      <c r="BA7508" s="806"/>
      <c r="BB7508" s="806"/>
    </row>
    <row r="7509" spans="4:54">
      <c r="D7509" s="806"/>
      <c r="F7509" s="806"/>
      <c r="W7509" s="806"/>
      <c r="AZ7509" s="806"/>
      <c r="BA7509" s="806"/>
      <c r="BB7509" s="806"/>
    </row>
    <row r="7510" spans="4:54">
      <c r="D7510" s="806"/>
      <c r="F7510" s="806"/>
      <c r="W7510" s="806"/>
      <c r="AZ7510" s="806"/>
      <c r="BA7510" s="806"/>
      <c r="BB7510" s="806"/>
    </row>
    <row r="7511" spans="4:54">
      <c r="D7511" s="806"/>
      <c r="F7511" s="806"/>
      <c r="W7511" s="806"/>
      <c r="AZ7511" s="806"/>
      <c r="BA7511" s="806"/>
      <c r="BB7511" s="806"/>
    </row>
    <row r="7512" spans="4:54">
      <c r="D7512" s="806"/>
      <c r="F7512" s="806"/>
      <c r="W7512" s="806"/>
      <c r="AZ7512" s="806"/>
      <c r="BA7512" s="806"/>
      <c r="BB7512" s="806"/>
    </row>
    <row r="7513" spans="4:54">
      <c r="D7513" s="806"/>
      <c r="F7513" s="806"/>
      <c r="W7513" s="806"/>
      <c r="AZ7513" s="806"/>
      <c r="BA7513" s="806"/>
      <c r="BB7513" s="806"/>
    </row>
    <row r="7514" spans="4:54">
      <c r="D7514" s="806"/>
      <c r="F7514" s="806"/>
      <c r="W7514" s="806"/>
      <c r="AZ7514" s="806"/>
      <c r="BA7514" s="806"/>
      <c r="BB7514" s="806"/>
    </row>
    <row r="7515" spans="4:54">
      <c r="D7515" s="806"/>
      <c r="F7515" s="806"/>
      <c r="W7515" s="806"/>
      <c r="AZ7515" s="806"/>
      <c r="BA7515" s="806"/>
      <c r="BB7515" s="806"/>
    </row>
    <row r="7516" spans="4:54">
      <c r="D7516" s="806"/>
      <c r="F7516" s="806"/>
      <c r="W7516" s="806"/>
      <c r="AZ7516" s="806"/>
      <c r="BA7516" s="806"/>
      <c r="BB7516" s="806"/>
    </row>
    <row r="7517" spans="4:54">
      <c r="D7517" s="806"/>
      <c r="F7517" s="806"/>
      <c r="W7517" s="806"/>
      <c r="AZ7517" s="806"/>
      <c r="BA7517" s="806"/>
      <c r="BB7517" s="806"/>
    </row>
    <row r="7518" spans="4:54">
      <c r="D7518" s="806"/>
      <c r="F7518" s="806"/>
      <c r="W7518" s="806"/>
      <c r="AZ7518" s="806"/>
      <c r="BA7518" s="806"/>
      <c r="BB7518" s="806"/>
    </row>
    <row r="7519" spans="4:54">
      <c r="D7519" s="806"/>
      <c r="F7519" s="806"/>
      <c r="W7519" s="806"/>
      <c r="AZ7519" s="806"/>
      <c r="BA7519" s="806"/>
      <c r="BB7519" s="806"/>
    </row>
    <row r="7520" spans="4:54">
      <c r="D7520" s="806"/>
      <c r="F7520" s="806"/>
      <c r="W7520" s="806"/>
      <c r="AZ7520" s="806"/>
      <c r="BA7520" s="806"/>
      <c r="BB7520" s="806"/>
    </row>
    <row r="7521" spans="4:54">
      <c r="D7521" s="806"/>
      <c r="F7521" s="806"/>
      <c r="W7521" s="806"/>
      <c r="AZ7521" s="806"/>
      <c r="BA7521" s="806"/>
      <c r="BB7521" s="806"/>
    </row>
    <row r="7522" spans="4:54">
      <c r="D7522" s="806"/>
      <c r="F7522" s="806"/>
      <c r="W7522" s="806"/>
      <c r="AZ7522" s="806"/>
      <c r="BA7522" s="806"/>
      <c r="BB7522" s="806"/>
    </row>
    <row r="7523" spans="4:54">
      <c r="D7523" s="806"/>
      <c r="F7523" s="806"/>
      <c r="W7523" s="806"/>
      <c r="AZ7523" s="806"/>
      <c r="BA7523" s="806"/>
      <c r="BB7523" s="806"/>
    </row>
    <row r="7524" spans="4:54">
      <c r="D7524" s="806"/>
      <c r="F7524" s="806"/>
      <c r="W7524" s="806"/>
      <c r="AZ7524" s="806"/>
      <c r="BA7524" s="806"/>
      <c r="BB7524" s="806"/>
    </row>
    <row r="7525" spans="4:54">
      <c r="D7525" s="806"/>
      <c r="F7525" s="806"/>
      <c r="W7525" s="806"/>
      <c r="AZ7525" s="806"/>
      <c r="BA7525" s="806"/>
      <c r="BB7525" s="806"/>
    </row>
    <row r="7526" spans="4:54">
      <c r="D7526" s="806"/>
      <c r="F7526" s="806"/>
      <c r="W7526" s="806"/>
      <c r="AZ7526" s="806"/>
      <c r="BA7526" s="806"/>
      <c r="BB7526" s="806"/>
    </row>
    <row r="7527" spans="4:54">
      <c r="D7527" s="806"/>
      <c r="F7527" s="806"/>
      <c r="W7527" s="806"/>
      <c r="AZ7527" s="806"/>
      <c r="BA7527" s="806"/>
      <c r="BB7527" s="806"/>
    </row>
    <row r="7528" spans="4:54">
      <c r="D7528" s="806"/>
      <c r="F7528" s="806"/>
      <c r="W7528" s="806"/>
      <c r="AZ7528" s="806"/>
      <c r="BA7528" s="806"/>
      <c r="BB7528" s="806"/>
    </row>
    <row r="7529" spans="4:54">
      <c r="D7529" s="806"/>
      <c r="F7529" s="806"/>
      <c r="W7529" s="806"/>
      <c r="AZ7529" s="806"/>
      <c r="BA7529" s="806"/>
      <c r="BB7529" s="806"/>
    </row>
    <row r="7530" spans="4:54">
      <c r="D7530" s="806"/>
      <c r="F7530" s="806"/>
      <c r="W7530" s="806"/>
      <c r="AZ7530" s="806"/>
      <c r="BA7530" s="806"/>
      <c r="BB7530" s="806"/>
    </row>
    <row r="7531" spans="4:54">
      <c r="D7531" s="806"/>
      <c r="F7531" s="806"/>
      <c r="W7531" s="806"/>
      <c r="AZ7531" s="806"/>
      <c r="BA7531" s="806"/>
      <c r="BB7531" s="806"/>
    </row>
    <row r="7532" spans="4:54">
      <c r="D7532" s="806"/>
      <c r="F7532" s="806"/>
      <c r="W7532" s="806"/>
      <c r="AZ7532" s="806"/>
      <c r="BA7532" s="806"/>
      <c r="BB7532" s="806"/>
    </row>
    <row r="7533" spans="4:54">
      <c r="D7533" s="806"/>
      <c r="F7533" s="806"/>
      <c r="W7533" s="806"/>
      <c r="AZ7533" s="806"/>
      <c r="BA7533" s="806"/>
      <c r="BB7533" s="806"/>
    </row>
    <row r="7534" spans="4:54">
      <c r="D7534" s="806"/>
      <c r="F7534" s="806"/>
      <c r="W7534" s="806"/>
      <c r="AZ7534" s="806"/>
      <c r="BA7534" s="806"/>
      <c r="BB7534" s="806"/>
    </row>
    <row r="7535" spans="4:54">
      <c r="D7535" s="806"/>
      <c r="F7535" s="806"/>
      <c r="W7535" s="806"/>
      <c r="AZ7535" s="806"/>
      <c r="BA7535" s="806"/>
      <c r="BB7535" s="806"/>
    </row>
    <row r="7536" spans="4:54">
      <c r="D7536" s="806"/>
      <c r="F7536" s="806"/>
      <c r="W7536" s="806"/>
      <c r="AZ7536" s="806"/>
      <c r="BA7536" s="806"/>
      <c r="BB7536" s="806"/>
    </row>
    <row r="7537" spans="4:54">
      <c r="D7537" s="806"/>
      <c r="F7537" s="806"/>
      <c r="W7537" s="806"/>
      <c r="AZ7537" s="806"/>
      <c r="BA7537" s="806"/>
      <c r="BB7537" s="806"/>
    </row>
    <row r="7538" spans="4:54">
      <c r="D7538" s="806"/>
      <c r="F7538" s="806"/>
      <c r="W7538" s="806"/>
      <c r="AZ7538" s="806"/>
      <c r="BA7538" s="806"/>
      <c r="BB7538" s="806"/>
    </row>
    <row r="7539" spans="4:54">
      <c r="D7539" s="806"/>
      <c r="F7539" s="806"/>
      <c r="W7539" s="806"/>
      <c r="AZ7539" s="806"/>
      <c r="BA7539" s="806"/>
      <c r="BB7539" s="806"/>
    </row>
    <row r="7540" spans="4:54">
      <c r="D7540" s="806"/>
      <c r="F7540" s="806"/>
      <c r="W7540" s="806"/>
      <c r="AZ7540" s="806"/>
      <c r="BA7540" s="806"/>
      <c r="BB7540" s="806"/>
    </row>
    <row r="7541" spans="4:54">
      <c r="D7541" s="806"/>
      <c r="F7541" s="806"/>
      <c r="W7541" s="806"/>
      <c r="AZ7541" s="806"/>
      <c r="BA7541" s="806"/>
      <c r="BB7541" s="806"/>
    </row>
    <row r="7542" spans="4:54">
      <c r="D7542" s="806"/>
      <c r="F7542" s="806"/>
      <c r="W7542" s="806"/>
      <c r="AZ7542" s="806"/>
      <c r="BA7542" s="806"/>
      <c r="BB7542" s="806"/>
    </row>
    <row r="7543" spans="4:54">
      <c r="D7543" s="806"/>
      <c r="F7543" s="806"/>
      <c r="W7543" s="806"/>
      <c r="AZ7543" s="806"/>
      <c r="BA7543" s="806"/>
      <c r="BB7543" s="806"/>
    </row>
    <row r="7544" spans="4:54">
      <c r="D7544" s="806"/>
      <c r="F7544" s="806"/>
      <c r="W7544" s="806"/>
      <c r="AZ7544" s="806"/>
      <c r="BA7544" s="806"/>
      <c r="BB7544" s="806"/>
    </row>
    <row r="7545" spans="4:54">
      <c r="D7545" s="806"/>
      <c r="F7545" s="806"/>
      <c r="W7545" s="806"/>
      <c r="AZ7545" s="806"/>
      <c r="BA7545" s="806"/>
      <c r="BB7545" s="806"/>
    </row>
    <row r="7546" spans="4:54">
      <c r="D7546" s="806"/>
      <c r="F7546" s="806"/>
      <c r="W7546" s="806"/>
      <c r="AZ7546" s="806"/>
      <c r="BA7546" s="806"/>
      <c r="BB7546" s="806"/>
    </row>
    <row r="7547" spans="4:54">
      <c r="D7547" s="806"/>
      <c r="F7547" s="806"/>
      <c r="W7547" s="806"/>
      <c r="AZ7547" s="806"/>
      <c r="BA7547" s="806"/>
      <c r="BB7547" s="806"/>
    </row>
    <row r="7548" spans="4:54">
      <c r="D7548" s="806"/>
      <c r="F7548" s="806"/>
      <c r="W7548" s="806"/>
      <c r="AZ7548" s="806"/>
      <c r="BA7548" s="806"/>
      <c r="BB7548" s="806"/>
    </row>
    <row r="7549" spans="4:54">
      <c r="D7549" s="806"/>
      <c r="F7549" s="806"/>
      <c r="W7549" s="806"/>
      <c r="AZ7549" s="806"/>
      <c r="BA7549" s="806"/>
      <c r="BB7549" s="806"/>
    </row>
    <row r="7550" spans="4:54">
      <c r="D7550" s="806"/>
      <c r="F7550" s="806"/>
      <c r="W7550" s="806"/>
      <c r="AZ7550" s="806"/>
      <c r="BA7550" s="806"/>
      <c r="BB7550" s="806"/>
    </row>
    <row r="7551" spans="4:54">
      <c r="D7551" s="806"/>
      <c r="F7551" s="806"/>
      <c r="W7551" s="806"/>
      <c r="AZ7551" s="806"/>
      <c r="BA7551" s="806"/>
      <c r="BB7551" s="806"/>
    </row>
    <row r="7552" spans="4:54">
      <c r="D7552" s="806"/>
      <c r="F7552" s="806"/>
      <c r="W7552" s="806"/>
      <c r="AZ7552" s="806"/>
      <c r="BA7552" s="806"/>
      <c r="BB7552" s="806"/>
    </row>
    <row r="7553" spans="4:54">
      <c r="D7553" s="806"/>
      <c r="F7553" s="806"/>
      <c r="W7553" s="806"/>
      <c r="AZ7553" s="806"/>
      <c r="BA7553" s="806"/>
      <c r="BB7553" s="806"/>
    </row>
    <row r="7554" spans="4:54">
      <c r="D7554" s="806"/>
      <c r="F7554" s="806"/>
      <c r="W7554" s="806"/>
      <c r="AZ7554" s="806"/>
      <c r="BA7554" s="806"/>
      <c r="BB7554" s="806"/>
    </row>
    <row r="7555" spans="4:54">
      <c r="D7555" s="806"/>
      <c r="F7555" s="806"/>
      <c r="W7555" s="806"/>
      <c r="AZ7555" s="806"/>
      <c r="BA7555" s="806"/>
      <c r="BB7555" s="806"/>
    </row>
    <row r="7556" spans="4:54">
      <c r="D7556" s="806"/>
      <c r="F7556" s="806"/>
      <c r="W7556" s="806"/>
      <c r="AZ7556" s="806"/>
      <c r="BA7556" s="806"/>
      <c r="BB7556" s="806"/>
    </row>
    <row r="7557" spans="4:54">
      <c r="D7557" s="806"/>
      <c r="F7557" s="806"/>
      <c r="W7557" s="806"/>
      <c r="AZ7557" s="806"/>
      <c r="BA7557" s="806"/>
      <c r="BB7557" s="806"/>
    </row>
    <row r="7558" spans="4:54">
      <c r="D7558" s="806"/>
      <c r="F7558" s="806"/>
      <c r="W7558" s="806"/>
      <c r="AZ7558" s="806"/>
      <c r="BA7558" s="806"/>
      <c r="BB7558" s="806"/>
    </row>
    <row r="7559" spans="4:54">
      <c r="D7559" s="806"/>
      <c r="F7559" s="806"/>
      <c r="W7559" s="806"/>
      <c r="AZ7559" s="806"/>
      <c r="BA7559" s="806"/>
      <c r="BB7559" s="806"/>
    </row>
    <row r="7560" spans="4:54">
      <c r="D7560" s="806"/>
      <c r="F7560" s="806"/>
      <c r="W7560" s="806"/>
      <c r="AZ7560" s="806"/>
      <c r="BA7560" s="806"/>
      <c r="BB7560" s="806"/>
    </row>
    <row r="7561" spans="4:54">
      <c r="D7561" s="806"/>
      <c r="F7561" s="806"/>
      <c r="W7561" s="806"/>
      <c r="AZ7561" s="806"/>
      <c r="BA7561" s="806"/>
      <c r="BB7561" s="806"/>
    </row>
    <row r="7562" spans="4:54">
      <c r="D7562" s="806"/>
      <c r="F7562" s="806"/>
      <c r="W7562" s="806"/>
      <c r="AZ7562" s="806"/>
      <c r="BA7562" s="806"/>
      <c r="BB7562" s="806"/>
    </row>
    <row r="7563" spans="4:54">
      <c r="D7563" s="806"/>
      <c r="F7563" s="806"/>
      <c r="W7563" s="806"/>
      <c r="AZ7563" s="806"/>
      <c r="BA7563" s="806"/>
      <c r="BB7563" s="806"/>
    </row>
    <row r="7564" spans="4:54">
      <c r="D7564" s="806"/>
      <c r="F7564" s="806"/>
      <c r="W7564" s="806"/>
      <c r="AZ7564" s="806"/>
      <c r="BA7564" s="806"/>
      <c r="BB7564" s="806"/>
    </row>
    <row r="7565" spans="4:54">
      <c r="D7565" s="806"/>
      <c r="F7565" s="806"/>
      <c r="W7565" s="806"/>
      <c r="AZ7565" s="806"/>
      <c r="BA7565" s="806"/>
      <c r="BB7565" s="806"/>
    </row>
    <row r="7566" spans="4:54">
      <c r="D7566" s="806"/>
      <c r="F7566" s="806"/>
      <c r="W7566" s="806"/>
      <c r="AZ7566" s="806"/>
      <c r="BA7566" s="806"/>
      <c r="BB7566" s="806"/>
    </row>
    <row r="7567" spans="4:54">
      <c r="D7567" s="806"/>
      <c r="F7567" s="806"/>
      <c r="W7567" s="806"/>
      <c r="AZ7567" s="806"/>
      <c r="BA7567" s="806"/>
      <c r="BB7567" s="806"/>
    </row>
    <row r="7568" spans="4:54">
      <c r="D7568" s="806"/>
      <c r="F7568" s="806"/>
      <c r="W7568" s="806"/>
      <c r="AZ7568" s="806"/>
      <c r="BA7568" s="806"/>
      <c r="BB7568" s="806"/>
    </row>
    <row r="7569" spans="4:54">
      <c r="D7569" s="806"/>
      <c r="F7569" s="806"/>
      <c r="W7569" s="806"/>
      <c r="AZ7569" s="806"/>
      <c r="BA7569" s="806"/>
      <c r="BB7569" s="806"/>
    </row>
    <row r="7570" spans="4:54">
      <c r="D7570" s="806"/>
      <c r="F7570" s="806"/>
      <c r="W7570" s="806"/>
      <c r="AZ7570" s="806"/>
      <c r="BA7570" s="806"/>
      <c r="BB7570" s="806"/>
    </row>
    <row r="7571" spans="4:54">
      <c r="D7571" s="806"/>
      <c r="F7571" s="806"/>
      <c r="W7571" s="806"/>
      <c r="AZ7571" s="806"/>
      <c r="BA7571" s="806"/>
      <c r="BB7571" s="806"/>
    </row>
    <row r="7572" spans="4:54">
      <c r="D7572" s="806"/>
      <c r="F7572" s="806"/>
      <c r="W7572" s="806"/>
      <c r="AZ7572" s="806"/>
      <c r="BA7572" s="806"/>
      <c r="BB7572" s="806"/>
    </row>
    <row r="7573" spans="4:54">
      <c r="D7573" s="806"/>
      <c r="F7573" s="806"/>
      <c r="W7573" s="806"/>
      <c r="AZ7573" s="806"/>
      <c r="BA7573" s="806"/>
      <c r="BB7573" s="806"/>
    </row>
    <row r="7574" spans="4:54">
      <c r="D7574" s="806"/>
      <c r="F7574" s="806"/>
      <c r="W7574" s="806"/>
      <c r="AZ7574" s="806"/>
      <c r="BA7574" s="806"/>
      <c r="BB7574" s="806"/>
    </row>
    <row r="7575" spans="4:54">
      <c r="D7575" s="806"/>
      <c r="F7575" s="806"/>
      <c r="W7575" s="806"/>
      <c r="AZ7575" s="806"/>
      <c r="BA7575" s="806"/>
      <c r="BB7575" s="806"/>
    </row>
    <row r="7576" spans="4:54">
      <c r="D7576" s="806"/>
      <c r="F7576" s="806"/>
      <c r="W7576" s="806"/>
      <c r="AZ7576" s="806"/>
      <c r="BA7576" s="806"/>
      <c r="BB7576" s="806"/>
    </row>
    <row r="7577" spans="4:54">
      <c r="D7577" s="806"/>
      <c r="F7577" s="806"/>
      <c r="W7577" s="806"/>
      <c r="AZ7577" s="806"/>
      <c r="BA7577" s="806"/>
      <c r="BB7577" s="806"/>
    </row>
    <row r="7578" spans="4:54">
      <c r="D7578" s="806"/>
      <c r="F7578" s="806"/>
      <c r="W7578" s="806"/>
      <c r="AZ7578" s="806"/>
      <c r="BA7578" s="806"/>
      <c r="BB7578" s="806"/>
    </row>
    <row r="7579" spans="4:54">
      <c r="D7579" s="806"/>
      <c r="F7579" s="806"/>
      <c r="W7579" s="806"/>
      <c r="AZ7579" s="806"/>
      <c r="BA7579" s="806"/>
      <c r="BB7579" s="806"/>
    </row>
    <row r="7580" spans="4:54">
      <c r="D7580" s="806"/>
      <c r="F7580" s="806"/>
      <c r="W7580" s="806"/>
      <c r="AZ7580" s="806"/>
      <c r="BA7580" s="806"/>
      <c r="BB7580" s="806"/>
    </row>
    <row r="7581" spans="4:54">
      <c r="D7581" s="806"/>
      <c r="F7581" s="806"/>
      <c r="W7581" s="806"/>
      <c r="AZ7581" s="806"/>
      <c r="BA7581" s="806"/>
      <c r="BB7581" s="806"/>
    </row>
    <row r="7582" spans="4:54">
      <c r="D7582" s="806"/>
      <c r="F7582" s="806"/>
      <c r="W7582" s="806"/>
      <c r="AZ7582" s="806"/>
      <c r="BA7582" s="806"/>
      <c r="BB7582" s="806"/>
    </row>
    <row r="7583" spans="4:54">
      <c r="D7583" s="806"/>
      <c r="F7583" s="806"/>
      <c r="W7583" s="806"/>
      <c r="AZ7583" s="806"/>
      <c r="BA7583" s="806"/>
      <c r="BB7583" s="806"/>
    </row>
    <row r="7584" spans="4:54">
      <c r="D7584" s="806"/>
      <c r="F7584" s="806"/>
      <c r="W7584" s="806"/>
      <c r="AZ7584" s="806"/>
      <c r="BA7584" s="806"/>
      <c r="BB7584" s="806"/>
    </row>
    <row r="7585" spans="4:54">
      <c r="D7585" s="806"/>
      <c r="F7585" s="806"/>
      <c r="W7585" s="806"/>
      <c r="AZ7585" s="806"/>
      <c r="BA7585" s="806"/>
      <c r="BB7585" s="806"/>
    </row>
    <row r="7586" spans="4:54">
      <c r="D7586" s="806"/>
      <c r="F7586" s="806"/>
      <c r="W7586" s="806"/>
      <c r="AZ7586" s="806"/>
      <c r="BA7586" s="806"/>
      <c r="BB7586" s="806"/>
    </row>
    <row r="7587" spans="4:54">
      <c r="D7587" s="806"/>
      <c r="F7587" s="806"/>
      <c r="W7587" s="806"/>
      <c r="AZ7587" s="806"/>
      <c r="BA7587" s="806"/>
      <c r="BB7587" s="806"/>
    </row>
    <row r="7588" spans="4:54">
      <c r="D7588" s="806"/>
      <c r="F7588" s="806"/>
      <c r="W7588" s="806"/>
      <c r="AZ7588" s="806"/>
      <c r="BA7588" s="806"/>
      <c r="BB7588" s="806"/>
    </row>
    <row r="7589" spans="4:54">
      <c r="D7589" s="806"/>
      <c r="F7589" s="806"/>
      <c r="W7589" s="806"/>
      <c r="AZ7589" s="806"/>
      <c r="BA7589" s="806"/>
      <c r="BB7589" s="806"/>
    </row>
    <row r="7590" spans="4:54">
      <c r="D7590" s="806"/>
      <c r="F7590" s="806"/>
      <c r="W7590" s="806"/>
      <c r="AZ7590" s="806"/>
      <c r="BA7590" s="806"/>
      <c r="BB7590" s="806"/>
    </row>
    <row r="7591" spans="4:54">
      <c r="D7591" s="806"/>
      <c r="F7591" s="806"/>
      <c r="W7591" s="806"/>
      <c r="AZ7591" s="806"/>
      <c r="BA7591" s="806"/>
      <c r="BB7591" s="806"/>
    </row>
    <row r="7592" spans="4:54">
      <c r="D7592" s="806"/>
      <c r="F7592" s="806"/>
      <c r="W7592" s="806"/>
      <c r="AZ7592" s="806"/>
      <c r="BA7592" s="806"/>
      <c r="BB7592" s="806"/>
    </row>
    <row r="7593" spans="4:54">
      <c r="D7593" s="806"/>
      <c r="F7593" s="806"/>
      <c r="W7593" s="806"/>
      <c r="AZ7593" s="806"/>
      <c r="BA7593" s="806"/>
      <c r="BB7593" s="806"/>
    </row>
    <row r="7594" spans="4:54">
      <c r="D7594" s="806"/>
      <c r="F7594" s="806"/>
      <c r="W7594" s="806"/>
      <c r="AZ7594" s="806"/>
      <c r="BA7594" s="806"/>
      <c r="BB7594" s="806"/>
    </row>
    <row r="7595" spans="4:54">
      <c r="D7595" s="806"/>
      <c r="F7595" s="806"/>
      <c r="W7595" s="806"/>
      <c r="AZ7595" s="806"/>
      <c r="BA7595" s="806"/>
      <c r="BB7595" s="806"/>
    </row>
    <row r="7596" spans="4:54">
      <c r="D7596" s="806"/>
      <c r="F7596" s="806"/>
      <c r="W7596" s="806"/>
      <c r="AZ7596" s="806"/>
      <c r="BA7596" s="806"/>
      <c r="BB7596" s="806"/>
    </row>
    <row r="7597" spans="4:54">
      <c r="D7597" s="806"/>
      <c r="F7597" s="806"/>
      <c r="W7597" s="806"/>
      <c r="AZ7597" s="806"/>
      <c r="BA7597" s="806"/>
      <c r="BB7597" s="806"/>
    </row>
    <row r="7598" spans="4:54">
      <c r="D7598" s="806"/>
      <c r="F7598" s="806"/>
      <c r="W7598" s="806"/>
      <c r="AZ7598" s="806"/>
      <c r="BA7598" s="806"/>
      <c r="BB7598" s="806"/>
    </row>
    <row r="7599" spans="4:54">
      <c r="D7599" s="806"/>
      <c r="F7599" s="806"/>
      <c r="W7599" s="806"/>
      <c r="AZ7599" s="806"/>
      <c r="BA7599" s="806"/>
      <c r="BB7599" s="806"/>
    </row>
    <row r="7600" spans="4:54">
      <c r="D7600" s="806"/>
      <c r="F7600" s="806"/>
      <c r="W7600" s="806"/>
      <c r="AZ7600" s="806"/>
      <c r="BA7600" s="806"/>
      <c r="BB7600" s="806"/>
    </row>
    <row r="7601" spans="4:54">
      <c r="D7601" s="806"/>
      <c r="F7601" s="806"/>
      <c r="W7601" s="806"/>
      <c r="AZ7601" s="806"/>
      <c r="BA7601" s="806"/>
      <c r="BB7601" s="806"/>
    </row>
    <row r="7602" spans="4:54">
      <c r="D7602" s="806"/>
      <c r="F7602" s="806"/>
      <c r="W7602" s="806"/>
      <c r="AZ7602" s="806"/>
      <c r="BA7602" s="806"/>
      <c r="BB7602" s="806"/>
    </row>
    <row r="7603" spans="4:54">
      <c r="D7603" s="806"/>
      <c r="F7603" s="806"/>
      <c r="W7603" s="806"/>
      <c r="AZ7603" s="806"/>
      <c r="BA7603" s="806"/>
      <c r="BB7603" s="806"/>
    </row>
    <row r="7604" spans="4:54">
      <c r="D7604" s="806"/>
      <c r="F7604" s="806"/>
      <c r="W7604" s="806"/>
      <c r="AZ7604" s="806"/>
      <c r="BA7604" s="806"/>
      <c r="BB7604" s="806"/>
    </row>
    <row r="7605" spans="4:54">
      <c r="D7605" s="806"/>
      <c r="F7605" s="806"/>
      <c r="W7605" s="806"/>
      <c r="AZ7605" s="806"/>
      <c r="BA7605" s="806"/>
      <c r="BB7605" s="806"/>
    </row>
    <row r="7606" spans="4:54">
      <c r="D7606" s="806"/>
      <c r="F7606" s="806"/>
      <c r="W7606" s="806"/>
      <c r="AZ7606" s="806"/>
      <c r="BA7606" s="806"/>
      <c r="BB7606" s="806"/>
    </row>
    <row r="7607" spans="4:54">
      <c r="D7607" s="806"/>
      <c r="F7607" s="806"/>
      <c r="W7607" s="806"/>
      <c r="AZ7607" s="806"/>
      <c r="BA7607" s="806"/>
      <c r="BB7607" s="806"/>
    </row>
    <row r="7608" spans="4:54">
      <c r="D7608" s="806"/>
      <c r="F7608" s="806"/>
      <c r="W7608" s="806"/>
      <c r="AZ7608" s="806"/>
      <c r="BA7608" s="806"/>
      <c r="BB7608" s="806"/>
    </row>
    <row r="7609" spans="4:54">
      <c r="D7609" s="806"/>
      <c r="F7609" s="806"/>
      <c r="W7609" s="806"/>
      <c r="AZ7609" s="806"/>
      <c r="BA7609" s="806"/>
      <c r="BB7609" s="806"/>
    </row>
    <row r="7610" spans="4:54">
      <c r="D7610" s="806"/>
      <c r="F7610" s="806"/>
      <c r="W7610" s="806"/>
      <c r="AZ7610" s="806"/>
      <c r="BA7610" s="806"/>
      <c r="BB7610" s="806"/>
    </row>
    <row r="7611" spans="4:54">
      <c r="D7611" s="806"/>
      <c r="F7611" s="806"/>
      <c r="W7611" s="806"/>
      <c r="AZ7611" s="806"/>
      <c r="BA7611" s="806"/>
      <c r="BB7611" s="806"/>
    </row>
    <row r="7612" spans="4:54">
      <c r="D7612" s="806"/>
      <c r="F7612" s="806"/>
      <c r="W7612" s="806"/>
      <c r="AZ7612" s="806"/>
      <c r="BA7612" s="806"/>
      <c r="BB7612" s="806"/>
    </row>
    <row r="7613" spans="4:54">
      <c r="D7613" s="806"/>
      <c r="F7613" s="806"/>
      <c r="W7613" s="806"/>
      <c r="AZ7613" s="806"/>
      <c r="BA7613" s="806"/>
      <c r="BB7613" s="806"/>
    </row>
    <row r="7614" spans="4:54">
      <c r="D7614" s="806"/>
      <c r="F7614" s="806"/>
      <c r="W7614" s="806"/>
      <c r="AZ7614" s="806"/>
      <c r="BA7614" s="806"/>
      <c r="BB7614" s="806"/>
    </row>
    <row r="7615" spans="4:54">
      <c r="D7615" s="806"/>
      <c r="F7615" s="806"/>
      <c r="W7615" s="806"/>
      <c r="AZ7615" s="806"/>
      <c r="BA7615" s="806"/>
      <c r="BB7615" s="806"/>
    </row>
    <row r="7616" spans="4:54">
      <c r="D7616" s="806"/>
      <c r="F7616" s="806"/>
      <c r="W7616" s="806"/>
      <c r="AZ7616" s="806"/>
      <c r="BA7616" s="806"/>
      <c r="BB7616" s="806"/>
    </row>
    <row r="7617" spans="4:54">
      <c r="D7617" s="806"/>
      <c r="F7617" s="806"/>
      <c r="W7617" s="806"/>
      <c r="AZ7617" s="806"/>
      <c r="BA7617" s="806"/>
      <c r="BB7617" s="806"/>
    </row>
    <row r="7618" spans="4:54">
      <c r="D7618" s="806"/>
      <c r="F7618" s="806"/>
      <c r="W7618" s="806"/>
      <c r="AZ7618" s="806"/>
      <c r="BA7618" s="806"/>
      <c r="BB7618" s="806"/>
    </row>
    <row r="7619" spans="4:54">
      <c r="D7619" s="806"/>
      <c r="F7619" s="806"/>
      <c r="W7619" s="806"/>
      <c r="AZ7619" s="806"/>
      <c r="BA7619" s="806"/>
      <c r="BB7619" s="806"/>
    </row>
    <row r="7620" spans="4:54">
      <c r="D7620" s="806"/>
      <c r="F7620" s="806"/>
      <c r="W7620" s="806"/>
      <c r="AZ7620" s="806"/>
      <c r="BA7620" s="806"/>
      <c r="BB7620" s="806"/>
    </row>
    <row r="7621" spans="4:54">
      <c r="D7621" s="806"/>
      <c r="F7621" s="806"/>
      <c r="W7621" s="806"/>
      <c r="AZ7621" s="806"/>
      <c r="BA7621" s="806"/>
      <c r="BB7621" s="806"/>
    </row>
    <row r="7622" spans="4:54">
      <c r="D7622" s="806"/>
      <c r="F7622" s="806"/>
      <c r="W7622" s="806"/>
      <c r="AZ7622" s="806"/>
      <c r="BA7622" s="806"/>
      <c r="BB7622" s="806"/>
    </row>
    <row r="7623" spans="4:54">
      <c r="D7623" s="806"/>
      <c r="F7623" s="806"/>
      <c r="W7623" s="806"/>
      <c r="AZ7623" s="806"/>
      <c r="BA7623" s="806"/>
      <c r="BB7623" s="806"/>
    </row>
    <row r="7624" spans="4:54">
      <c r="D7624" s="806"/>
      <c r="F7624" s="806"/>
      <c r="W7624" s="806"/>
      <c r="AZ7624" s="806"/>
      <c r="BA7624" s="806"/>
      <c r="BB7624" s="806"/>
    </row>
    <row r="7625" spans="4:54">
      <c r="D7625" s="806"/>
      <c r="F7625" s="806"/>
      <c r="W7625" s="806"/>
      <c r="AZ7625" s="806"/>
      <c r="BA7625" s="806"/>
      <c r="BB7625" s="806"/>
    </row>
    <row r="7626" spans="4:54">
      <c r="D7626" s="806"/>
      <c r="F7626" s="806"/>
      <c r="W7626" s="806"/>
      <c r="AZ7626" s="806"/>
      <c r="BA7626" s="806"/>
      <c r="BB7626" s="806"/>
    </row>
    <row r="7627" spans="4:54">
      <c r="D7627" s="806"/>
      <c r="F7627" s="806"/>
      <c r="W7627" s="806"/>
      <c r="AZ7627" s="806"/>
      <c r="BA7627" s="806"/>
      <c r="BB7627" s="806"/>
    </row>
    <row r="7628" spans="4:54">
      <c r="D7628" s="806"/>
      <c r="F7628" s="806"/>
      <c r="W7628" s="806"/>
      <c r="AZ7628" s="806"/>
      <c r="BA7628" s="806"/>
      <c r="BB7628" s="806"/>
    </row>
    <row r="7629" spans="4:54">
      <c r="D7629" s="806"/>
      <c r="F7629" s="806"/>
      <c r="W7629" s="806"/>
      <c r="AZ7629" s="806"/>
      <c r="BA7629" s="806"/>
      <c r="BB7629" s="806"/>
    </row>
    <row r="7630" spans="4:54">
      <c r="D7630" s="806"/>
      <c r="F7630" s="806"/>
      <c r="W7630" s="806"/>
      <c r="AZ7630" s="806"/>
      <c r="BA7630" s="806"/>
      <c r="BB7630" s="806"/>
    </row>
    <row r="7631" spans="4:54">
      <c r="D7631" s="806"/>
      <c r="F7631" s="806"/>
      <c r="W7631" s="806"/>
      <c r="AZ7631" s="806"/>
      <c r="BA7631" s="806"/>
      <c r="BB7631" s="806"/>
    </row>
    <row r="7632" spans="4:54">
      <c r="D7632" s="806"/>
      <c r="F7632" s="806"/>
      <c r="W7632" s="806"/>
      <c r="AZ7632" s="806"/>
      <c r="BA7632" s="806"/>
      <c r="BB7632" s="806"/>
    </row>
    <row r="7633" spans="4:54">
      <c r="D7633" s="806"/>
      <c r="F7633" s="806"/>
      <c r="W7633" s="806"/>
      <c r="AZ7633" s="806"/>
      <c r="BA7633" s="806"/>
      <c r="BB7633" s="806"/>
    </row>
    <row r="7634" spans="4:54">
      <c r="D7634" s="806"/>
      <c r="F7634" s="806"/>
      <c r="W7634" s="806"/>
      <c r="AZ7634" s="806"/>
      <c r="BA7634" s="806"/>
      <c r="BB7634" s="806"/>
    </row>
    <row r="7635" spans="4:54">
      <c r="D7635" s="806"/>
      <c r="F7635" s="806"/>
      <c r="W7635" s="806"/>
      <c r="AZ7635" s="806"/>
      <c r="BA7635" s="806"/>
      <c r="BB7635" s="806"/>
    </row>
    <row r="7636" spans="4:54">
      <c r="D7636" s="806"/>
      <c r="F7636" s="806"/>
      <c r="W7636" s="806"/>
      <c r="AZ7636" s="806"/>
      <c r="BA7636" s="806"/>
      <c r="BB7636" s="806"/>
    </row>
    <row r="7637" spans="4:54">
      <c r="D7637" s="806"/>
      <c r="F7637" s="806"/>
      <c r="W7637" s="806"/>
      <c r="AZ7637" s="806"/>
      <c r="BA7637" s="806"/>
      <c r="BB7637" s="806"/>
    </row>
    <row r="7638" spans="4:54">
      <c r="D7638" s="806"/>
      <c r="F7638" s="806"/>
      <c r="W7638" s="806"/>
      <c r="AZ7638" s="806"/>
      <c r="BA7638" s="806"/>
      <c r="BB7638" s="806"/>
    </row>
    <row r="7639" spans="4:54">
      <c r="D7639" s="806"/>
      <c r="F7639" s="806"/>
      <c r="W7639" s="806"/>
      <c r="AZ7639" s="806"/>
      <c r="BA7639" s="806"/>
      <c r="BB7639" s="806"/>
    </row>
    <row r="7640" spans="4:54">
      <c r="D7640" s="806"/>
      <c r="F7640" s="806"/>
      <c r="W7640" s="806"/>
      <c r="AZ7640" s="806"/>
      <c r="BA7640" s="806"/>
      <c r="BB7640" s="806"/>
    </row>
    <row r="7641" spans="4:54">
      <c r="D7641" s="806"/>
      <c r="F7641" s="806"/>
      <c r="W7641" s="806"/>
      <c r="AZ7641" s="806"/>
      <c r="BA7641" s="806"/>
      <c r="BB7641" s="806"/>
    </row>
    <row r="7642" spans="4:54">
      <c r="D7642" s="806"/>
      <c r="F7642" s="806"/>
      <c r="W7642" s="806"/>
      <c r="AZ7642" s="806"/>
      <c r="BA7642" s="806"/>
      <c r="BB7642" s="806"/>
    </row>
    <row r="7643" spans="4:54">
      <c r="D7643" s="806"/>
      <c r="F7643" s="806"/>
      <c r="W7643" s="806"/>
      <c r="AZ7643" s="806"/>
      <c r="BA7643" s="806"/>
      <c r="BB7643" s="806"/>
    </row>
    <row r="7644" spans="4:54">
      <c r="D7644" s="806"/>
      <c r="F7644" s="806"/>
      <c r="W7644" s="806"/>
      <c r="AZ7644" s="806"/>
      <c r="BA7644" s="806"/>
      <c r="BB7644" s="806"/>
    </row>
    <row r="7645" spans="4:54">
      <c r="D7645" s="806"/>
      <c r="F7645" s="806"/>
      <c r="W7645" s="806"/>
      <c r="AZ7645" s="806"/>
      <c r="BA7645" s="806"/>
      <c r="BB7645" s="806"/>
    </row>
    <row r="7646" spans="4:54">
      <c r="D7646" s="806"/>
      <c r="F7646" s="806"/>
      <c r="W7646" s="806"/>
      <c r="AZ7646" s="806"/>
      <c r="BA7646" s="806"/>
      <c r="BB7646" s="806"/>
    </row>
    <row r="7647" spans="4:54">
      <c r="D7647" s="806"/>
      <c r="F7647" s="806"/>
      <c r="W7647" s="806"/>
      <c r="AZ7647" s="806"/>
      <c r="BA7647" s="806"/>
      <c r="BB7647" s="806"/>
    </row>
    <row r="7648" spans="4:54">
      <c r="D7648" s="806"/>
      <c r="F7648" s="806"/>
      <c r="W7648" s="806"/>
      <c r="AZ7648" s="806"/>
      <c r="BA7648" s="806"/>
      <c r="BB7648" s="806"/>
    </row>
    <row r="7649" spans="4:54">
      <c r="D7649" s="806"/>
      <c r="F7649" s="806"/>
      <c r="W7649" s="806"/>
      <c r="AZ7649" s="806"/>
      <c r="BA7649" s="806"/>
      <c r="BB7649" s="806"/>
    </row>
    <row r="7650" spans="4:54">
      <c r="D7650" s="806"/>
      <c r="F7650" s="806"/>
      <c r="W7650" s="806"/>
      <c r="AZ7650" s="806"/>
      <c r="BA7650" s="806"/>
      <c r="BB7650" s="806"/>
    </row>
    <row r="7651" spans="4:54">
      <c r="D7651" s="806"/>
      <c r="F7651" s="806"/>
      <c r="W7651" s="806"/>
      <c r="AZ7651" s="806"/>
      <c r="BA7651" s="806"/>
      <c r="BB7651" s="806"/>
    </row>
    <row r="7652" spans="4:54">
      <c r="D7652" s="806"/>
      <c r="F7652" s="806"/>
      <c r="W7652" s="806"/>
      <c r="AZ7652" s="806"/>
      <c r="BA7652" s="806"/>
      <c r="BB7652" s="806"/>
    </row>
    <row r="7653" spans="4:54">
      <c r="D7653" s="806"/>
      <c r="F7653" s="806"/>
      <c r="W7653" s="806"/>
      <c r="AZ7653" s="806"/>
      <c r="BA7653" s="806"/>
      <c r="BB7653" s="806"/>
    </row>
    <row r="7654" spans="4:54">
      <c r="D7654" s="806"/>
      <c r="F7654" s="806"/>
      <c r="W7654" s="806"/>
      <c r="AZ7654" s="806"/>
      <c r="BA7654" s="806"/>
      <c r="BB7654" s="806"/>
    </row>
    <row r="7655" spans="4:54">
      <c r="D7655" s="806"/>
      <c r="F7655" s="806"/>
      <c r="W7655" s="806"/>
      <c r="AZ7655" s="806"/>
      <c r="BA7655" s="806"/>
      <c r="BB7655" s="806"/>
    </row>
    <row r="7656" spans="4:54">
      <c r="D7656" s="806"/>
      <c r="F7656" s="806"/>
      <c r="W7656" s="806"/>
      <c r="AZ7656" s="806"/>
      <c r="BA7656" s="806"/>
      <c r="BB7656" s="806"/>
    </row>
    <row r="7657" spans="4:54">
      <c r="D7657" s="806"/>
      <c r="F7657" s="806"/>
      <c r="W7657" s="806"/>
      <c r="AZ7657" s="806"/>
      <c r="BA7657" s="806"/>
      <c r="BB7657" s="806"/>
    </row>
    <row r="7658" spans="4:54">
      <c r="D7658" s="806"/>
      <c r="F7658" s="806"/>
      <c r="W7658" s="806"/>
      <c r="AZ7658" s="806"/>
      <c r="BA7658" s="806"/>
      <c r="BB7658" s="806"/>
    </row>
    <row r="7659" spans="4:54">
      <c r="D7659" s="806"/>
      <c r="F7659" s="806"/>
      <c r="W7659" s="806"/>
      <c r="AZ7659" s="806"/>
      <c r="BA7659" s="806"/>
      <c r="BB7659" s="806"/>
    </row>
    <row r="7660" spans="4:54">
      <c r="D7660" s="806"/>
      <c r="F7660" s="806"/>
      <c r="W7660" s="806"/>
      <c r="AZ7660" s="806"/>
      <c r="BA7660" s="806"/>
      <c r="BB7660" s="806"/>
    </row>
    <row r="7661" spans="4:54">
      <c r="D7661" s="806"/>
      <c r="F7661" s="806"/>
      <c r="W7661" s="806"/>
      <c r="AZ7661" s="806"/>
      <c r="BA7661" s="806"/>
      <c r="BB7661" s="806"/>
    </row>
    <row r="7662" spans="4:54">
      <c r="D7662" s="806"/>
      <c r="F7662" s="806"/>
      <c r="W7662" s="806"/>
      <c r="AZ7662" s="806"/>
      <c r="BA7662" s="806"/>
      <c r="BB7662" s="806"/>
    </row>
    <row r="7663" spans="4:54">
      <c r="D7663" s="806"/>
      <c r="F7663" s="806"/>
      <c r="W7663" s="806"/>
      <c r="AZ7663" s="806"/>
      <c r="BA7663" s="806"/>
      <c r="BB7663" s="806"/>
    </row>
    <row r="7664" spans="4:54">
      <c r="D7664" s="806"/>
      <c r="F7664" s="806"/>
      <c r="W7664" s="806"/>
      <c r="AZ7664" s="806"/>
      <c r="BA7664" s="806"/>
      <c r="BB7664" s="806"/>
    </row>
    <row r="7665" spans="4:54">
      <c r="D7665" s="806"/>
      <c r="F7665" s="806"/>
      <c r="W7665" s="806"/>
      <c r="AZ7665" s="806"/>
      <c r="BA7665" s="806"/>
      <c r="BB7665" s="806"/>
    </row>
    <row r="7666" spans="4:54">
      <c r="D7666" s="806"/>
      <c r="F7666" s="806"/>
      <c r="W7666" s="806"/>
      <c r="AZ7666" s="806"/>
      <c r="BA7666" s="806"/>
      <c r="BB7666" s="806"/>
    </row>
    <row r="7667" spans="4:54">
      <c r="D7667" s="806"/>
      <c r="F7667" s="806"/>
      <c r="W7667" s="806"/>
      <c r="AZ7667" s="806"/>
      <c r="BA7667" s="806"/>
      <c r="BB7667" s="806"/>
    </row>
    <row r="7668" spans="4:54">
      <c r="D7668" s="806"/>
      <c r="F7668" s="806"/>
      <c r="W7668" s="806"/>
      <c r="AZ7668" s="806"/>
      <c r="BA7668" s="806"/>
      <c r="BB7668" s="806"/>
    </row>
    <row r="7669" spans="4:54">
      <c r="D7669" s="806"/>
      <c r="F7669" s="806"/>
      <c r="W7669" s="806"/>
      <c r="AZ7669" s="806"/>
      <c r="BA7669" s="806"/>
      <c r="BB7669" s="806"/>
    </row>
    <row r="7670" spans="4:54">
      <c r="D7670" s="806"/>
      <c r="F7670" s="806"/>
      <c r="W7670" s="806"/>
      <c r="AZ7670" s="806"/>
      <c r="BA7670" s="806"/>
      <c r="BB7670" s="806"/>
    </row>
    <row r="7671" spans="4:54">
      <c r="D7671" s="806"/>
      <c r="F7671" s="806"/>
      <c r="W7671" s="806"/>
      <c r="AZ7671" s="806"/>
      <c r="BA7671" s="806"/>
      <c r="BB7671" s="806"/>
    </row>
    <row r="7672" spans="4:54">
      <c r="D7672" s="806"/>
      <c r="F7672" s="806"/>
      <c r="W7672" s="806"/>
      <c r="AZ7672" s="806"/>
      <c r="BA7672" s="806"/>
      <c r="BB7672" s="806"/>
    </row>
    <row r="7673" spans="4:54">
      <c r="D7673" s="806"/>
      <c r="F7673" s="806"/>
      <c r="W7673" s="806"/>
      <c r="AZ7673" s="806"/>
      <c r="BA7673" s="806"/>
      <c r="BB7673" s="806"/>
    </row>
    <row r="7674" spans="4:54">
      <c r="D7674" s="806"/>
      <c r="F7674" s="806"/>
      <c r="W7674" s="806"/>
      <c r="AZ7674" s="806"/>
      <c r="BA7674" s="806"/>
      <c r="BB7674" s="806"/>
    </row>
    <row r="7675" spans="4:54">
      <c r="D7675" s="806"/>
      <c r="F7675" s="806"/>
      <c r="W7675" s="806"/>
      <c r="AZ7675" s="806"/>
      <c r="BA7675" s="806"/>
      <c r="BB7675" s="806"/>
    </row>
    <row r="7676" spans="4:54">
      <c r="D7676" s="806"/>
      <c r="F7676" s="806"/>
      <c r="W7676" s="806"/>
      <c r="AZ7676" s="806"/>
      <c r="BA7676" s="806"/>
      <c r="BB7676" s="806"/>
    </row>
    <row r="7677" spans="4:54">
      <c r="D7677" s="806"/>
      <c r="F7677" s="806"/>
      <c r="W7677" s="806"/>
      <c r="AZ7677" s="806"/>
      <c r="BA7677" s="806"/>
      <c r="BB7677" s="806"/>
    </row>
    <row r="7678" spans="4:54">
      <c r="D7678" s="806"/>
      <c r="F7678" s="806"/>
      <c r="W7678" s="806"/>
      <c r="AZ7678" s="806"/>
      <c r="BA7678" s="806"/>
      <c r="BB7678" s="806"/>
    </row>
    <row r="7679" spans="4:54">
      <c r="D7679" s="806"/>
      <c r="F7679" s="806"/>
      <c r="W7679" s="806"/>
      <c r="AZ7679" s="806"/>
      <c r="BA7679" s="806"/>
      <c r="BB7679" s="806"/>
    </row>
    <row r="7680" spans="4:54">
      <c r="D7680" s="806"/>
      <c r="F7680" s="806"/>
      <c r="W7680" s="806"/>
      <c r="AZ7680" s="806"/>
      <c r="BA7680" s="806"/>
      <c r="BB7680" s="806"/>
    </row>
    <row r="7681" spans="4:54">
      <c r="D7681" s="806"/>
      <c r="F7681" s="806"/>
      <c r="W7681" s="806"/>
      <c r="AZ7681" s="806"/>
      <c r="BA7681" s="806"/>
      <c r="BB7681" s="806"/>
    </row>
    <row r="7682" spans="4:54">
      <c r="D7682" s="806"/>
      <c r="F7682" s="806"/>
      <c r="W7682" s="806"/>
      <c r="AZ7682" s="806"/>
      <c r="BA7682" s="806"/>
      <c r="BB7682" s="806"/>
    </row>
    <row r="7683" spans="4:54">
      <c r="D7683" s="806"/>
      <c r="F7683" s="806"/>
      <c r="W7683" s="806"/>
      <c r="AZ7683" s="806"/>
      <c r="BA7683" s="806"/>
      <c r="BB7683" s="806"/>
    </row>
    <row r="7684" spans="4:54">
      <c r="D7684" s="806"/>
      <c r="F7684" s="806"/>
      <c r="W7684" s="806"/>
      <c r="AZ7684" s="806"/>
      <c r="BA7684" s="806"/>
      <c r="BB7684" s="806"/>
    </row>
    <row r="7685" spans="4:54">
      <c r="D7685" s="806"/>
      <c r="F7685" s="806"/>
      <c r="W7685" s="806"/>
      <c r="AZ7685" s="806"/>
      <c r="BA7685" s="806"/>
      <c r="BB7685" s="806"/>
    </row>
    <row r="7686" spans="4:54">
      <c r="D7686" s="806"/>
      <c r="F7686" s="806"/>
      <c r="W7686" s="806"/>
      <c r="AZ7686" s="806"/>
      <c r="BA7686" s="806"/>
      <c r="BB7686" s="806"/>
    </row>
    <row r="7687" spans="4:54">
      <c r="D7687" s="806"/>
      <c r="F7687" s="806"/>
      <c r="W7687" s="806"/>
      <c r="AZ7687" s="806"/>
      <c r="BA7687" s="806"/>
      <c r="BB7687" s="806"/>
    </row>
    <row r="7688" spans="4:54">
      <c r="D7688" s="806"/>
      <c r="F7688" s="806"/>
      <c r="W7688" s="806"/>
      <c r="AZ7688" s="806"/>
      <c r="BA7688" s="806"/>
      <c r="BB7688" s="806"/>
    </row>
    <row r="7689" spans="4:54">
      <c r="D7689" s="806"/>
      <c r="F7689" s="806"/>
      <c r="W7689" s="806"/>
      <c r="AZ7689" s="806"/>
      <c r="BA7689" s="806"/>
      <c r="BB7689" s="806"/>
    </row>
    <row r="7690" spans="4:54">
      <c r="D7690" s="806"/>
      <c r="F7690" s="806"/>
      <c r="W7690" s="806"/>
      <c r="AZ7690" s="806"/>
      <c r="BA7690" s="806"/>
      <c r="BB7690" s="806"/>
    </row>
    <row r="7691" spans="4:54">
      <c r="D7691" s="806"/>
      <c r="F7691" s="806"/>
      <c r="W7691" s="806"/>
      <c r="AZ7691" s="806"/>
      <c r="BA7691" s="806"/>
      <c r="BB7691" s="806"/>
    </row>
    <row r="7692" spans="4:54">
      <c r="D7692" s="806"/>
      <c r="F7692" s="806"/>
      <c r="W7692" s="806"/>
      <c r="AZ7692" s="806"/>
      <c r="BA7692" s="806"/>
      <c r="BB7692" s="806"/>
    </row>
    <row r="7693" spans="4:54">
      <c r="D7693" s="806"/>
      <c r="F7693" s="806"/>
      <c r="W7693" s="806"/>
      <c r="AZ7693" s="806"/>
      <c r="BA7693" s="806"/>
      <c r="BB7693" s="806"/>
    </row>
    <row r="7694" spans="4:54">
      <c r="D7694" s="806"/>
      <c r="F7694" s="806"/>
      <c r="W7694" s="806"/>
      <c r="AZ7694" s="806"/>
      <c r="BA7694" s="806"/>
      <c r="BB7694" s="806"/>
    </row>
    <row r="7695" spans="4:54">
      <c r="D7695" s="806"/>
      <c r="F7695" s="806"/>
      <c r="W7695" s="806"/>
      <c r="AZ7695" s="806"/>
      <c r="BA7695" s="806"/>
      <c r="BB7695" s="806"/>
    </row>
    <row r="7696" spans="4:54">
      <c r="D7696" s="806"/>
      <c r="F7696" s="806"/>
      <c r="W7696" s="806"/>
      <c r="AZ7696" s="806"/>
      <c r="BA7696" s="806"/>
      <c r="BB7696" s="806"/>
    </row>
    <row r="7697" spans="4:54">
      <c r="D7697" s="806"/>
      <c r="F7697" s="806"/>
      <c r="W7697" s="806"/>
      <c r="AZ7697" s="806"/>
      <c r="BA7697" s="806"/>
      <c r="BB7697" s="806"/>
    </row>
    <row r="7698" spans="4:54">
      <c r="D7698" s="806"/>
      <c r="F7698" s="806"/>
      <c r="W7698" s="806"/>
      <c r="AZ7698" s="806"/>
      <c r="BA7698" s="806"/>
      <c r="BB7698" s="806"/>
    </row>
    <row r="7699" spans="4:54">
      <c r="D7699" s="806"/>
      <c r="F7699" s="806"/>
      <c r="W7699" s="806"/>
      <c r="AZ7699" s="806"/>
      <c r="BA7699" s="806"/>
      <c r="BB7699" s="806"/>
    </row>
    <row r="7700" spans="4:54">
      <c r="D7700" s="806"/>
      <c r="F7700" s="806"/>
      <c r="W7700" s="806"/>
      <c r="AZ7700" s="806"/>
      <c r="BA7700" s="806"/>
      <c r="BB7700" s="806"/>
    </row>
    <row r="7701" spans="4:54">
      <c r="D7701" s="806"/>
      <c r="F7701" s="806"/>
      <c r="W7701" s="806"/>
      <c r="AZ7701" s="806"/>
      <c r="BA7701" s="806"/>
      <c r="BB7701" s="806"/>
    </row>
    <row r="7702" spans="4:54">
      <c r="D7702" s="806"/>
      <c r="F7702" s="806"/>
      <c r="W7702" s="806"/>
      <c r="AZ7702" s="806"/>
      <c r="BA7702" s="806"/>
      <c r="BB7702" s="806"/>
    </row>
    <row r="7703" spans="4:54">
      <c r="D7703" s="806"/>
      <c r="F7703" s="806"/>
      <c r="W7703" s="806"/>
      <c r="AZ7703" s="806"/>
      <c r="BA7703" s="806"/>
      <c r="BB7703" s="806"/>
    </row>
    <row r="7704" spans="4:54">
      <c r="D7704" s="806"/>
      <c r="F7704" s="806"/>
      <c r="W7704" s="806"/>
      <c r="AZ7704" s="806"/>
      <c r="BA7704" s="806"/>
      <c r="BB7704" s="806"/>
    </row>
    <row r="7705" spans="4:54">
      <c r="D7705" s="806"/>
      <c r="F7705" s="806"/>
      <c r="W7705" s="806"/>
      <c r="AZ7705" s="806"/>
      <c r="BA7705" s="806"/>
      <c r="BB7705" s="806"/>
    </row>
    <row r="7706" spans="4:54">
      <c r="D7706" s="806"/>
      <c r="F7706" s="806"/>
      <c r="W7706" s="806"/>
      <c r="AZ7706" s="806"/>
      <c r="BA7706" s="806"/>
      <c r="BB7706" s="806"/>
    </row>
    <row r="7707" spans="4:54">
      <c r="D7707" s="806"/>
      <c r="F7707" s="806"/>
      <c r="W7707" s="806"/>
      <c r="AZ7707" s="806"/>
      <c r="BA7707" s="806"/>
      <c r="BB7707" s="806"/>
    </row>
    <row r="7708" spans="4:54">
      <c r="D7708" s="806"/>
      <c r="F7708" s="806"/>
      <c r="W7708" s="806"/>
      <c r="AZ7708" s="806"/>
      <c r="BA7708" s="806"/>
      <c r="BB7708" s="806"/>
    </row>
    <row r="7709" spans="4:54">
      <c r="D7709" s="806"/>
      <c r="F7709" s="806"/>
      <c r="W7709" s="806"/>
      <c r="AZ7709" s="806"/>
      <c r="BA7709" s="806"/>
      <c r="BB7709" s="806"/>
    </row>
    <row r="7710" spans="4:54">
      <c r="D7710" s="806"/>
      <c r="F7710" s="806"/>
      <c r="W7710" s="806"/>
      <c r="AZ7710" s="806"/>
      <c r="BA7710" s="806"/>
      <c r="BB7710" s="806"/>
    </row>
    <row r="7711" spans="4:54">
      <c r="D7711" s="806"/>
      <c r="F7711" s="806"/>
      <c r="W7711" s="806"/>
      <c r="AZ7711" s="806"/>
      <c r="BA7711" s="806"/>
      <c r="BB7711" s="806"/>
    </row>
    <row r="7712" spans="4:54">
      <c r="D7712" s="806"/>
      <c r="F7712" s="806"/>
      <c r="W7712" s="806"/>
      <c r="AZ7712" s="806"/>
      <c r="BA7712" s="806"/>
      <c r="BB7712" s="806"/>
    </row>
    <row r="7713" spans="4:54">
      <c r="D7713" s="806"/>
      <c r="F7713" s="806"/>
      <c r="W7713" s="806"/>
      <c r="AZ7713" s="806"/>
      <c r="BA7713" s="806"/>
      <c r="BB7713" s="806"/>
    </row>
    <row r="7714" spans="4:54">
      <c r="D7714" s="806"/>
      <c r="F7714" s="806"/>
      <c r="W7714" s="806"/>
      <c r="AZ7714" s="806"/>
      <c r="BA7714" s="806"/>
      <c r="BB7714" s="806"/>
    </row>
    <row r="7715" spans="4:54">
      <c r="D7715" s="806"/>
      <c r="F7715" s="806"/>
      <c r="W7715" s="806"/>
      <c r="AZ7715" s="806"/>
      <c r="BA7715" s="806"/>
      <c r="BB7715" s="806"/>
    </row>
    <row r="7716" spans="4:54">
      <c r="D7716" s="806"/>
      <c r="F7716" s="806"/>
      <c r="W7716" s="806"/>
      <c r="AZ7716" s="806"/>
      <c r="BA7716" s="806"/>
      <c r="BB7716" s="806"/>
    </row>
    <row r="7717" spans="4:54">
      <c r="D7717" s="806"/>
      <c r="F7717" s="806"/>
      <c r="W7717" s="806"/>
      <c r="AZ7717" s="806"/>
      <c r="BA7717" s="806"/>
      <c r="BB7717" s="806"/>
    </row>
    <row r="7718" spans="4:54">
      <c r="D7718" s="806"/>
      <c r="F7718" s="806"/>
      <c r="W7718" s="806"/>
      <c r="AZ7718" s="806"/>
      <c r="BA7718" s="806"/>
      <c r="BB7718" s="806"/>
    </row>
    <row r="7719" spans="4:54">
      <c r="D7719" s="806"/>
      <c r="F7719" s="806"/>
      <c r="W7719" s="806"/>
      <c r="AZ7719" s="806"/>
      <c r="BA7719" s="806"/>
      <c r="BB7719" s="806"/>
    </row>
    <row r="7720" spans="4:54">
      <c r="D7720" s="806"/>
      <c r="F7720" s="806"/>
      <c r="W7720" s="806"/>
      <c r="AZ7720" s="806"/>
      <c r="BA7720" s="806"/>
      <c r="BB7720" s="806"/>
    </row>
    <row r="7721" spans="4:54">
      <c r="D7721" s="806"/>
      <c r="F7721" s="806"/>
      <c r="W7721" s="806"/>
      <c r="AZ7721" s="806"/>
      <c r="BA7721" s="806"/>
      <c r="BB7721" s="806"/>
    </row>
    <row r="7722" spans="4:54">
      <c r="D7722" s="806"/>
      <c r="F7722" s="806"/>
      <c r="W7722" s="806"/>
      <c r="AZ7722" s="806"/>
      <c r="BA7722" s="806"/>
      <c r="BB7722" s="806"/>
    </row>
    <row r="7723" spans="4:54">
      <c r="D7723" s="806"/>
      <c r="F7723" s="806"/>
      <c r="W7723" s="806"/>
      <c r="AZ7723" s="806"/>
      <c r="BA7723" s="806"/>
      <c r="BB7723" s="806"/>
    </row>
    <row r="7724" spans="4:54">
      <c r="D7724" s="806"/>
      <c r="F7724" s="806"/>
      <c r="W7724" s="806"/>
      <c r="AZ7724" s="806"/>
      <c r="BA7724" s="806"/>
      <c r="BB7724" s="806"/>
    </row>
    <row r="7725" spans="4:54">
      <c r="D7725" s="806"/>
      <c r="F7725" s="806"/>
      <c r="W7725" s="806"/>
      <c r="AZ7725" s="806"/>
      <c r="BA7725" s="806"/>
      <c r="BB7725" s="806"/>
    </row>
    <row r="7726" spans="4:54">
      <c r="D7726" s="806"/>
      <c r="F7726" s="806"/>
      <c r="W7726" s="806"/>
      <c r="AZ7726" s="806"/>
      <c r="BA7726" s="806"/>
      <c r="BB7726" s="806"/>
    </row>
    <row r="7727" spans="4:54">
      <c r="D7727" s="806"/>
      <c r="F7727" s="806"/>
      <c r="W7727" s="806"/>
      <c r="AZ7727" s="806"/>
      <c r="BA7727" s="806"/>
      <c r="BB7727" s="806"/>
    </row>
    <row r="7728" spans="4:54">
      <c r="D7728" s="806"/>
      <c r="F7728" s="806"/>
      <c r="W7728" s="806"/>
      <c r="AZ7728" s="806"/>
      <c r="BA7728" s="806"/>
      <c r="BB7728" s="806"/>
    </row>
    <row r="7729" spans="4:54">
      <c r="D7729" s="806"/>
      <c r="F7729" s="806"/>
      <c r="W7729" s="806"/>
      <c r="AZ7729" s="806"/>
      <c r="BA7729" s="806"/>
      <c r="BB7729" s="806"/>
    </row>
    <row r="7730" spans="4:54">
      <c r="D7730" s="806"/>
      <c r="F7730" s="806"/>
      <c r="W7730" s="806"/>
      <c r="AZ7730" s="806"/>
      <c r="BA7730" s="806"/>
      <c r="BB7730" s="806"/>
    </row>
    <row r="7731" spans="4:54">
      <c r="D7731" s="806"/>
      <c r="F7731" s="806"/>
      <c r="W7731" s="806"/>
      <c r="AZ7731" s="806"/>
      <c r="BA7731" s="806"/>
      <c r="BB7731" s="806"/>
    </row>
    <row r="7732" spans="4:54">
      <c r="D7732" s="806"/>
      <c r="F7732" s="806"/>
      <c r="W7732" s="806"/>
      <c r="AZ7732" s="806"/>
      <c r="BA7732" s="806"/>
      <c r="BB7732" s="806"/>
    </row>
    <row r="7733" spans="4:54">
      <c r="D7733" s="806"/>
      <c r="F7733" s="806"/>
      <c r="W7733" s="806"/>
      <c r="AZ7733" s="806"/>
      <c r="BA7733" s="806"/>
      <c r="BB7733" s="806"/>
    </row>
    <row r="7734" spans="4:54">
      <c r="D7734" s="806"/>
      <c r="F7734" s="806"/>
      <c r="W7734" s="806"/>
      <c r="AZ7734" s="806"/>
      <c r="BA7734" s="806"/>
      <c r="BB7734" s="806"/>
    </row>
    <row r="7735" spans="4:54">
      <c r="D7735" s="806"/>
      <c r="F7735" s="806"/>
      <c r="W7735" s="806"/>
      <c r="AZ7735" s="806"/>
      <c r="BA7735" s="806"/>
      <c r="BB7735" s="806"/>
    </row>
    <row r="7736" spans="4:54">
      <c r="D7736" s="806"/>
      <c r="F7736" s="806"/>
      <c r="W7736" s="806"/>
      <c r="AZ7736" s="806"/>
      <c r="BA7736" s="806"/>
      <c r="BB7736" s="806"/>
    </row>
    <row r="7737" spans="4:54">
      <c r="D7737" s="806"/>
      <c r="F7737" s="806"/>
      <c r="W7737" s="806"/>
      <c r="AZ7737" s="806"/>
      <c r="BA7737" s="806"/>
      <c r="BB7737" s="806"/>
    </row>
    <row r="7738" spans="4:54">
      <c r="D7738" s="806"/>
      <c r="F7738" s="806"/>
      <c r="W7738" s="806"/>
      <c r="AZ7738" s="806"/>
      <c r="BA7738" s="806"/>
      <c r="BB7738" s="806"/>
    </row>
    <row r="7739" spans="4:54">
      <c r="D7739" s="806"/>
      <c r="F7739" s="806"/>
      <c r="W7739" s="806"/>
      <c r="AZ7739" s="806"/>
      <c r="BA7739" s="806"/>
      <c r="BB7739" s="806"/>
    </row>
    <row r="7740" spans="4:54">
      <c r="D7740" s="806"/>
      <c r="F7740" s="806"/>
      <c r="W7740" s="806"/>
      <c r="AZ7740" s="806"/>
      <c r="BA7740" s="806"/>
      <c r="BB7740" s="806"/>
    </row>
    <row r="7741" spans="4:54">
      <c r="D7741" s="806"/>
      <c r="F7741" s="806"/>
      <c r="W7741" s="806"/>
      <c r="AZ7741" s="806"/>
      <c r="BA7741" s="806"/>
      <c r="BB7741" s="806"/>
    </row>
    <row r="7742" spans="4:54">
      <c r="D7742" s="806"/>
      <c r="F7742" s="806"/>
      <c r="W7742" s="806"/>
      <c r="AZ7742" s="806"/>
      <c r="BA7742" s="806"/>
      <c r="BB7742" s="806"/>
    </row>
    <row r="7743" spans="4:54">
      <c r="D7743" s="806"/>
      <c r="F7743" s="806"/>
      <c r="W7743" s="806"/>
      <c r="AZ7743" s="806"/>
      <c r="BA7743" s="806"/>
      <c r="BB7743" s="806"/>
    </row>
    <row r="7744" spans="4:54">
      <c r="D7744" s="806"/>
      <c r="F7744" s="806"/>
      <c r="W7744" s="806"/>
      <c r="AZ7744" s="806"/>
      <c r="BA7744" s="806"/>
      <c r="BB7744" s="806"/>
    </row>
    <row r="7745" spans="4:54">
      <c r="D7745" s="806"/>
      <c r="F7745" s="806"/>
      <c r="W7745" s="806"/>
      <c r="AZ7745" s="806"/>
      <c r="BA7745" s="806"/>
      <c r="BB7745" s="806"/>
    </row>
    <row r="7746" spans="4:54">
      <c r="D7746" s="806"/>
      <c r="F7746" s="806"/>
      <c r="W7746" s="806"/>
      <c r="AZ7746" s="806"/>
      <c r="BA7746" s="806"/>
      <c r="BB7746" s="806"/>
    </row>
    <row r="7747" spans="4:54">
      <c r="D7747" s="806"/>
      <c r="F7747" s="806"/>
      <c r="W7747" s="806"/>
      <c r="AZ7747" s="806"/>
      <c r="BA7747" s="806"/>
      <c r="BB7747" s="806"/>
    </row>
    <row r="7748" spans="4:54">
      <c r="D7748" s="806"/>
      <c r="F7748" s="806"/>
      <c r="W7748" s="806"/>
      <c r="AZ7748" s="806"/>
      <c r="BA7748" s="806"/>
      <c r="BB7748" s="806"/>
    </row>
    <row r="7749" spans="4:54">
      <c r="D7749" s="806"/>
      <c r="F7749" s="806"/>
      <c r="W7749" s="806"/>
      <c r="AZ7749" s="806"/>
      <c r="BA7749" s="806"/>
      <c r="BB7749" s="806"/>
    </row>
    <row r="7750" spans="4:54">
      <c r="D7750" s="806"/>
      <c r="F7750" s="806"/>
      <c r="W7750" s="806"/>
      <c r="AZ7750" s="806"/>
      <c r="BA7750" s="806"/>
      <c r="BB7750" s="806"/>
    </row>
    <row r="7751" spans="4:54">
      <c r="D7751" s="806"/>
      <c r="F7751" s="806"/>
      <c r="W7751" s="806"/>
      <c r="AZ7751" s="806"/>
      <c r="BA7751" s="806"/>
      <c r="BB7751" s="806"/>
    </row>
    <row r="7752" spans="4:54">
      <c r="D7752" s="806"/>
      <c r="F7752" s="806"/>
      <c r="W7752" s="806"/>
      <c r="AZ7752" s="806"/>
      <c r="BA7752" s="806"/>
      <c r="BB7752" s="806"/>
    </row>
    <row r="7753" spans="4:54">
      <c r="D7753" s="806"/>
      <c r="F7753" s="806"/>
      <c r="W7753" s="806"/>
      <c r="AZ7753" s="806"/>
      <c r="BA7753" s="806"/>
      <c r="BB7753" s="806"/>
    </row>
    <row r="7754" spans="4:54">
      <c r="D7754" s="806"/>
      <c r="F7754" s="806"/>
      <c r="W7754" s="806"/>
      <c r="AZ7754" s="806"/>
      <c r="BA7754" s="806"/>
      <c r="BB7754" s="806"/>
    </row>
    <row r="7755" spans="4:54">
      <c r="D7755" s="806"/>
      <c r="F7755" s="806"/>
      <c r="W7755" s="806"/>
      <c r="AZ7755" s="806"/>
      <c r="BA7755" s="806"/>
      <c r="BB7755" s="806"/>
    </row>
    <row r="7756" spans="4:54">
      <c r="D7756" s="806"/>
      <c r="F7756" s="806"/>
      <c r="W7756" s="806"/>
      <c r="AZ7756" s="806"/>
      <c r="BA7756" s="806"/>
      <c r="BB7756" s="806"/>
    </row>
    <row r="7757" spans="4:54">
      <c r="D7757" s="806"/>
      <c r="F7757" s="806"/>
      <c r="W7757" s="806"/>
      <c r="AZ7757" s="806"/>
      <c r="BA7757" s="806"/>
      <c r="BB7757" s="806"/>
    </row>
    <row r="7758" spans="4:54">
      <c r="D7758" s="806"/>
      <c r="F7758" s="806"/>
      <c r="W7758" s="806"/>
      <c r="AZ7758" s="806"/>
      <c r="BA7758" s="806"/>
      <c r="BB7758" s="806"/>
    </row>
    <row r="7759" spans="4:54">
      <c r="D7759" s="806"/>
      <c r="F7759" s="806"/>
      <c r="W7759" s="806"/>
      <c r="AZ7759" s="806"/>
      <c r="BA7759" s="806"/>
      <c r="BB7759" s="806"/>
    </row>
    <row r="7760" spans="4:54">
      <c r="D7760" s="806"/>
      <c r="F7760" s="806"/>
      <c r="W7760" s="806"/>
      <c r="AZ7760" s="806"/>
      <c r="BA7760" s="806"/>
      <c r="BB7760" s="806"/>
    </row>
    <row r="7761" spans="4:54">
      <c r="D7761" s="806"/>
      <c r="F7761" s="806"/>
      <c r="W7761" s="806"/>
      <c r="AZ7761" s="806"/>
      <c r="BA7761" s="806"/>
      <c r="BB7761" s="806"/>
    </row>
    <row r="7762" spans="4:54">
      <c r="D7762" s="806"/>
      <c r="F7762" s="806"/>
      <c r="W7762" s="806"/>
      <c r="AZ7762" s="806"/>
      <c r="BA7762" s="806"/>
      <c r="BB7762" s="806"/>
    </row>
    <row r="7763" spans="4:54">
      <c r="D7763" s="806"/>
      <c r="F7763" s="806"/>
      <c r="W7763" s="806"/>
      <c r="AZ7763" s="806"/>
      <c r="BA7763" s="806"/>
      <c r="BB7763" s="806"/>
    </row>
    <row r="7764" spans="4:54">
      <c r="D7764" s="806"/>
      <c r="F7764" s="806"/>
      <c r="W7764" s="806"/>
      <c r="AZ7764" s="806"/>
      <c r="BA7764" s="806"/>
      <c r="BB7764" s="806"/>
    </row>
    <row r="7765" spans="4:54">
      <c r="D7765" s="806"/>
      <c r="F7765" s="806"/>
      <c r="W7765" s="806"/>
      <c r="AZ7765" s="806"/>
      <c r="BA7765" s="806"/>
      <c r="BB7765" s="806"/>
    </row>
    <row r="7766" spans="4:54">
      <c r="D7766" s="806"/>
      <c r="F7766" s="806"/>
      <c r="W7766" s="806"/>
      <c r="AZ7766" s="806"/>
      <c r="BA7766" s="806"/>
      <c r="BB7766" s="806"/>
    </row>
    <row r="7767" spans="4:54">
      <c r="D7767" s="806"/>
      <c r="F7767" s="806"/>
      <c r="W7767" s="806"/>
      <c r="AZ7767" s="806"/>
      <c r="BA7767" s="806"/>
      <c r="BB7767" s="806"/>
    </row>
    <row r="7768" spans="4:54">
      <c r="D7768" s="806"/>
      <c r="F7768" s="806"/>
      <c r="W7768" s="806"/>
      <c r="AZ7768" s="806"/>
      <c r="BA7768" s="806"/>
      <c r="BB7768" s="806"/>
    </row>
    <row r="7769" spans="4:54">
      <c r="D7769" s="806"/>
      <c r="F7769" s="806"/>
      <c r="W7769" s="806"/>
      <c r="AZ7769" s="806"/>
      <c r="BA7769" s="806"/>
      <c r="BB7769" s="806"/>
    </row>
    <row r="7770" spans="4:54">
      <c r="D7770" s="806"/>
      <c r="F7770" s="806"/>
      <c r="W7770" s="806"/>
      <c r="AZ7770" s="806"/>
      <c r="BA7770" s="806"/>
      <c r="BB7770" s="806"/>
    </row>
    <row r="7771" spans="4:54">
      <c r="D7771" s="806"/>
      <c r="F7771" s="806"/>
      <c r="W7771" s="806"/>
      <c r="AZ7771" s="806"/>
      <c r="BA7771" s="806"/>
      <c r="BB7771" s="806"/>
    </row>
    <row r="7772" spans="4:54">
      <c r="D7772" s="806"/>
      <c r="F7772" s="806"/>
      <c r="W7772" s="806"/>
      <c r="AZ7772" s="806"/>
      <c r="BA7772" s="806"/>
      <c r="BB7772" s="806"/>
    </row>
    <row r="7773" spans="4:54">
      <c r="D7773" s="806"/>
      <c r="F7773" s="806"/>
      <c r="W7773" s="806"/>
      <c r="AZ7773" s="806"/>
      <c r="BA7773" s="806"/>
      <c r="BB7773" s="806"/>
    </row>
    <row r="7774" spans="4:54">
      <c r="D7774" s="806"/>
      <c r="F7774" s="806"/>
      <c r="W7774" s="806"/>
      <c r="AZ7774" s="806"/>
      <c r="BA7774" s="806"/>
      <c r="BB7774" s="806"/>
    </row>
    <row r="7775" spans="4:54">
      <c r="D7775" s="806"/>
      <c r="F7775" s="806"/>
      <c r="W7775" s="806"/>
      <c r="AZ7775" s="806"/>
      <c r="BA7775" s="806"/>
      <c r="BB7775" s="806"/>
    </row>
    <row r="7776" spans="4:54">
      <c r="D7776" s="806"/>
      <c r="F7776" s="806"/>
      <c r="W7776" s="806"/>
      <c r="AZ7776" s="806"/>
      <c r="BA7776" s="806"/>
      <c r="BB7776" s="806"/>
    </row>
    <row r="7777" spans="4:54">
      <c r="D7777" s="806"/>
      <c r="F7777" s="806"/>
      <c r="W7777" s="806"/>
      <c r="AZ7777" s="806"/>
      <c r="BA7777" s="806"/>
      <c r="BB7777" s="806"/>
    </row>
    <row r="7778" spans="4:54">
      <c r="D7778" s="806"/>
      <c r="F7778" s="806"/>
      <c r="W7778" s="806"/>
      <c r="AZ7778" s="806"/>
      <c r="BA7778" s="806"/>
      <c r="BB7778" s="806"/>
    </row>
    <row r="7779" spans="4:54">
      <c r="D7779" s="806"/>
      <c r="F7779" s="806"/>
      <c r="W7779" s="806"/>
      <c r="AZ7779" s="806"/>
      <c r="BA7779" s="806"/>
      <c r="BB7779" s="806"/>
    </row>
    <row r="7780" spans="4:54">
      <c r="D7780" s="806"/>
      <c r="F7780" s="806"/>
      <c r="W7780" s="806"/>
      <c r="AZ7780" s="806"/>
      <c r="BA7780" s="806"/>
      <c r="BB7780" s="806"/>
    </row>
    <row r="7781" spans="4:54">
      <c r="D7781" s="806"/>
      <c r="F7781" s="806"/>
      <c r="W7781" s="806"/>
      <c r="AZ7781" s="806"/>
      <c r="BA7781" s="806"/>
      <c r="BB7781" s="806"/>
    </row>
    <row r="7782" spans="4:54">
      <c r="D7782" s="806"/>
      <c r="F7782" s="806"/>
      <c r="W7782" s="806"/>
      <c r="AZ7782" s="806"/>
      <c r="BA7782" s="806"/>
      <c r="BB7782" s="806"/>
    </row>
    <row r="7783" spans="4:54">
      <c r="D7783" s="806"/>
      <c r="F7783" s="806"/>
      <c r="W7783" s="806"/>
      <c r="AZ7783" s="806"/>
      <c r="BA7783" s="806"/>
      <c r="BB7783" s="806"/>
    </row>
    <row r="7784" spans="4:54">
      <c r="D7784" s="806"/>
      <c r="F7784" s="806"/>
      <c r="W7784" s="806"/>
      <c r="AZ7784" s="806"/>
      <c r="BA7784" s="806"/>
      <c r="BB7784" s="806"/>
    </row>
    <row r="7785" spans="4:54">
      <c r="D7785" s="806"/>
      <c r="F7785" s="806"/>
      <c r="W7785" s="806"/>
      <c r="AZ7785" s="806"/>
      <c r="BA7785" s="806"/>
      <c r="BB7785" s="806"/>
    </row>
    <row r="7786" spans="4:54">
      <c r="D7786" s="806"/>
      <c r="F7786" s="806"/>
      <c r="W7786" s="806"/>
      <c r="AZ7786" s="806"/>
      <c r="BA7786" s="806"/>
      <c r="BB7786" s="806"/>
    </row>
    <row r="7787" spans="4:54">
      <c r="D7787" s="806"/>
      <c r="F7787" s="806"/>
      <c r="W7787" s="806"/>
      <c r="AZ7787" s="806"/>
      <c r="BA7787" s="806"/>
      <c r="BB7787" s="806"/>
    </row>
    <row r="7788" spans="4:54">
      <c r="D7788" s="806"/>
      <c r="F7788" s="806"/>
      <c r="W7788" s="806"/>
      <c r="AZ7788" s="806"/>
      <c r="BA7788" s="806"/>
      <c r="BB7788" s="806"/>
    </row>
    <row r="7789" spans="4:54">
      <c r="D7789" s="806"/>
      <c r="F7789" s="806"/>
      <c r="W7789" s="806"/>
      <c r="AZ7789" s="806"/>
      <c r="BA7789" s="806"/>
      <c r="BB7789" s="806"/>
    </row>
    <row r="7790" spans="4:54">
      <c r="D7790" s="806"/>
      <c r="F7790" s="806"/>
      <c r="W7790" s="806"/>
      <c r="AZ7790" s="806"/>
      <c r="BA7790" s="806"/>
      <c r="BB7790" s="806"/>
    </row>
    <row r="7791" spans="4:54">
      <c r="D7791" s="806"/>
      <c r="F7791" s="806"/>
      <c r="W7791" s="806"/>
      <c r="AZ7791" s="806"/>
      <c r="BA7791" s="806"/>
      <c r="BB7791" s="806"/>
    </row>
    <row r="7792" spans="4:54">
      <c r="D7792" s="806"/>
      <c r="F7792" s="806"/>
      <c r="W7792" s="806"/>
      <c r="AZ7792" s="806"/>
      <c r="BA7792" s="806"/>
      <c r="BB7792" s="806"/>
    </row>
    <row r="7793" spans="4:54">
      <c r="D7793" s="806"/>
      <c r="F7793" s="806"/>
      <c r="W7793" s="806"/>
      <c r="AZ7793" s="806"/>
      <c r="BA7793" s="806"/>
      <c r="BB7793" s="806"/>
    </row>
    <row r="7794" spans="4:54">
      <c r="D7794" s="806"/>
      <c r="F7794" s="806"/>
      <c r="W7794" s="806"/>
      <c r="AZ7794" s="806"/>
      <c r="BA7794" s="806"/>
      <c r="BB7794" s="806"/>
    </row>
    <row r="7795" spans="4:54">
      <c r="D7795" s="806"/>
      <c r="F7795" s="806"/>
      <c r="W7795" s="806"/>
      <c r="AZ7795" s="806"/>
      <c r="BA7795" s="806"/>
      <c r="BB7795" s="806"/>
    </row>
    <row r="7796" spans="4:54">
      <c r="D7796" s="806"/>
      <c r="F7796" s="806"/>
      <c r="W7796" s="806"/>
      <c r="AZ7796" s="806"/>
      <c r="BA7796" s="806"/>
      <c r="BB7796" s="806"/>
    </row>
    <row r="7797" spans="4:54">
      <c r="D7797" s="806"/>
      <c r="F7797" s="806"/>
      <c r="W7797" s="806"/>
      <c r="AZ7797" s="806"/>
      <c r="BA7797" s="806"/>
      <c r="BB7797" s="806"/>
    </row>
    <row r="7798" spans="4:54">
      <c r="D7798" s="806"/>
      <c r="F7798" s="806"/>
      <c r="W7798" s="806"/>
      <c r="AZ7798" s="806"/>
      <c r="BA7798" s="806"/>
      <c r="BB7798" s="806"/>
    </row>
    <row r="7799" spans="4:54">
      <c r="D7799" s="806"/>
      <c r="F7799" s="806"/>
      <c r="W7799" s="806"/>
      <c r="AZ7799" s="806"/>
      <c r="BA7799" s="806"/>
      <c r="BB7799" s="806"/>
    </row>
    <row r="7800" spans="4:54">
      <c r="D7800" s="806"/>
      <c r="F7800" s="806"/>
      <c r="W7800" s="806"/>
      <c r="AZ7800" s="806"/>
      <c r="BA7800" s="806"/>
      <c r="BB7800" s="806"/>
    </row>
    <row r="7801" spans="4:54">
      <c r="D7801" s="806"/>
      <c r="F7801" s="806"/>
      <c r="W7801" s="806"/>
      <c r="AZ7801" s="806"/>
      <c r="BA7801" s="806"/>
      <c r="BB7801" s="806"/>
    </row>
    <row r="7802" spans="4:54">
      <c r="D7802" s="806"/>
      <c r="F7802" s="806"/>
      <c r="W7802" s="806"/>
      <c r="AZ7802" s="806"/>
      <c r="BA7802" s="806"/>
      <c r="BB7802" s="806"/>
    </row>
    <row r="7803" spans="4:54">
      <c r="D7803" s="806"/>
      <c r="F7803" s="806"/>
      <c r="W7803" s="806"/>
      <c r="AZ7803" s="806"/>
      <c r="BA7803" s="806"/>
      <c r="BB7803" s="806"/>
    </row>
    <row r="7804" spans="4:54">
      <c r="D7804" s="806"/>
      <c r="F7804" s="806"/>
      <c r="W7804" s="806"/>
      <c r="AZ7804" s="806"/>
      <c r="BA7804" s="806"/>
      <c r="BB7804" s="806"/>
    </row>
    <row r="7805" spans="4:54">
      <c r="D7805" s="806"/>
      <c r="F7805" s="806"/>
      <c r="W7805" s="806"/>
      <c r="AZ7805" s="806"/>
      <c r="BA7805" s="806"/>
      <c r="BB7805" s="806"/>
    </row>
    <row r="7806" spans="4:54">
      <c r="D7806" s="806"/>
      <c r="F7806" s="806"/>
      <c r="W7806" s="806"/>
      <c r="AZ7806" s="806"/>
      <c r="BA7806" s="806"/>
      <c r="BB7806" s="806"/>
    </row>
    <row r="7807" spans="4:54">
      <c r="D7807" s="806"/>
      <c r="F7807" s="806"/>
      <c r="W7807" s="806"/>
      <c r="AZ7807" s="806"/>
      <c r="BA7807" s="806"/>
      <c r="BB7807" s="806"/>
    </row>
    <row r="7808" spans="4:54">
      <c r="D7808" s="806"/>
      <c r="F7808" s="806"/>
      <c r="W7808" s="806"/>
      <c r="AZ7808" s="806"/>
      <c r="BA7808" s="806"/>
      <c r="BB7808" s="806"/>
    </row>
    <row r="7809" spans="4:54">
      <c r="D7809" s="806"/>
      <c r="F7809" s="806"/>
      <c r="W7809" s="806"/>
      <c r="AZ7809" s="806"/>
      <c r="BA7809" s="806"/>
      <c r="BB7809" s="806"/>
    </row>
    <row r="7810" spans="4:54">
      <c r="D7810" s="806"/>
      <c r="F7810" s="806"/>
      <c r="W7810" s="806"/>
      <c r="AZ7810" s="806"/>
      <c r="BA7810" s="806"/>
      <c r="BB7810" s="806"/>
    </row>
    <row r="7811" spans="4:54">
      <c r="D7811" s="806"/>
      <c r="F7811" s="806"/>
      <c r="W7811" s="806"/>
      <c r="AZ7811" s="806"/>
      <c r="BA7811" s="806"/>
      <c r="BB7811" s="806"/>
    </row>
    <row r="7812" spans="4:54">
      <c r="D7812" s="806"/>
      <c r="F7812" s="806"/>
      <c r="W7812" s="806"/>
      <c r="AZ7812" s="806"/>
      <c r="BA7812" s="806"/>
      <c r="BB7812" s="806"/>
    </row>
    <row r="7813" spans="4:54">
      <c r="D7813" s="806"/>
      <c r="F7813" s="806"/>
      <c r="W7813" s="806"/>
      <c r="AZ7813" s="806"/>
      <c r="BA7813" s="806"/>
      <c r="BB7813" s="806"/>
    </row>
    <row r="7814" spans="4:54">
      <c r="D7814" s="806"/>
      <c r="F7814" s="806"/>
      <c r="W7814" s="806"/>
      <c r="AZ7814" s="806"/>
      <c r="BA7814" s="806"/>
      <c r="BB7814" s="806"/>
    </row>
    <row r="7815" spans="4:54">
      <c r="D7815" s="806"/>
      <c r="F7815" s="806"/>
      <c r="W7815" s="806"/>
      <c r="AZ7815" s="806"/>
      <c r="BA7815" s="806"/>
      <c r="BB7815" s="806"/>
    </row>
    <row r="7816" spans="4:54">
      <c r="D7816" s="806"/>
      <c r="F7816" s="806"/>
      <c r="W7816" s="806"/>
      <c r="AZ7816" s="806"/>
      <c r="BA7816" s="806"/>
      <c r="BB7816" s="806"/>
    </row>
    <row r="7817" spans="4:54">
      <c r="D7817" s="806"/>
      <c r="F7817" s="806"/>
      <c r="W7817" s="806"/>
      <c r="AZ7817" s="806"/>
      <c r="BA7817" s="806"/>
      <c r="BB7817" s="806"/>
    </row>
    <row r="7818" spans="4:54">
      <c r="D7818" s="806"/>
      <c r="F7818" s="806"/>
      <c r="W7818" s="806"/>
      <c r="AZ7818" s="806"/>
      <c r="BA7818" s="806"/>
      <c r="BB7818" s="806"/>
    </row>
    <row r="7819" spans="4:54">
      <c r="D7819" s="806"/>
      <c r="F7819" s="806"/>
      <c r="W7819" s="806"/>
      <c r="AZ7819" s="806"/>
      <c r="BA7819" s="806"/>
      <c r="BB7819" s="806"/>
    </row>
    <row r="7820" spans="4:54">
      <c r="D7820" s="806"/>
      <c r="F7820" s="806"/>
      <c r="W7820" s="806"/>
      <c r="AZ7820" s="806"/>
      <c r="BA7820" s="806"/>
      <c r="BB7820" s="806"/>
    </row>
    <row r="7821" spans="4:54">
      <c r="D7821" s="806"/>
      <c r="F7821" s="806"/>
      <c r="W7821" s="806"/>
      <c r="AZ7821" s="806"/>
      <c r="BA7821" s="806"/>
      <c r="BB7821" s="806"/>
    </row>
    <row r="7822" spans="4:54">
      <c r="D7822" s="806"/>
      <c r="F7822" s="806"/>
      <c r="W7822" s="806"/>
      <c r="AZ7822" s="806"/>
      <c r="BA7822" s="806"/>
      <c r="BB7822" s="806"/>
    </row>
    <row r="7823" spans="4:54">
      <c r="D7823" s="806"/>
      <c r="F7823" s="806"/>
      <c r="W7823" s="806"/>
      <c r="AZ7823" s="806"/>
      <c r="BA7823" s="806"/>
      <c r="BB7823" s="806"/>
    </row>
    <row r="7824" spans="4:54">
      <c r="D7824" s="806"/>
      <c r="F7824" s="806"/>
      <c r="W7824" s="806"/>
      <c r="AZ7824" s="806"/>
      <c r="BA7824" s="806"/>
      <c r="BB7824" s="806"/>
    </row>
    <row r="7825" spans="4:54">
      <c r="D7825" s="806"/>
      <c r="F7825" s="806"/>
      <c r="W7825" s="806"/>
      <c r="AZ7825" s="806"/>
      <c r="BA7825" s="806"/>
      <c r="BB7825" s="806"/>
    </row>
    <row r="7826" spans="4:54">
      <c r="D7826" s="806"/>
      <c r="F7826" s="806"/>
      <c r="W7826" s="806"/>
      <c r="AZ7826" s="806"/>
      <c r="BA7826" s="806"/>
      <c r="BB7826" s="806"/>
    </row>
    <row r="7827" spans="4:54">
      <c r="D7827" s="806"/>
      <c r="F7827" s="806"/>
      <c r="W7827" s="806"/>
      <c r="AZ7827" s="806"/>
      <c r="BA7827" s="806"/>
      <c r="BB7827" s="806"/>
    </row>
    <row r="7828" spans="4:54">
      <c r="D7828" s="806"/>
      <c r="F7828" s="806"/>
      <c r="W7828" s="806"/>
      <c r="AZ7828" s="806"/>
      <c r="BA7828" s="806"/>
      <c r="BB7828" s="806"/>
    </row>
    <row r="7829" spans="4:54">
      <c r="D7829" s="806"/>
      <c r="F7829" s="806"/>
      <c r="W7829" s="806"/>
      <c r="AZ7829" s="806"/>
      <c r="BA7829" s="806"/>
      <c r="BB7829" s="806"/>
    </row>
    <row r="7830" spans="4:54">
      <c r="D7830" s="806"/>
      <c r="F7830" s="806"/>
      <c r="W7830" s="806"/>
      <c r="AZ7830" s="806"/>
      <c r="BA7830" s="806"/>
      <c r="BB7830" s="806"/>
    </row>
    <row r="7831" spans="4:54">
      <c r="D7831" s="806"/>
      <c r="F7831" s="806"/>
      <c r="W7831" s="806"/>
      <c r="AZ7831" s="806"/>
      <c r="BA7831" s="806"/>
      <c r="BB7831" s="806"/>
    </row>
    <row r="7832" spans="4:54">
      <c r="D7832" s="806"/>
      <c r="F7832" s="806"/>
      <c r="W7832" s="806"/>
      <c r="AZ7832" s="806"/>
      <c r="BA7832" s="806"/>
      <c r="BB7832" s="806"/>
    </row>
    <row r="7833" spans="4:54">
      <c r="D7833" s="806"/>
      <c r="F7833" s="806"/>
      <c r="W7833" s="806"/>
      <c r="AZ7833" s="806"/>
      <c r="BA7833" s="806"/>
      <c r="BB7833" s="806"/>
    </row>
    <row r="7834" spans="4:54">
      <c r="D7834" s="806"/>
      <c r="F7834" s="806"/>
      <c r="W7834" s="806"/>
      <c r="AZ7834" s="806"/>
      <c r="BA7834" s="806"/>
      <c r="BB7834" s="806"/>
    </row>
    <row r="7835" spans="4:54">
      <c r="D7835" s="806"/>
      <c r="F7835" s="806"/>
      <c r="W7835" s="806"/>
      <c r="AZ7835" s="806"/>
      <c r="BA7835" s="806"/>
      <c r="BB7835" s="806"/>
    </row>
    <row r="7836" spans="4:54">
      <c r="D7836" s="806"/>
      <c r="F7836" s="806"/>
      <c r="W7836" s="806"/>
      <c r="AZ7836" s="806"/>
      <c r="BA7836" s="806"/>
      <c r="BB7836" s="806"/>
    </row>
    <row r="7837" spans="4:54">
      <c r="D7837" s="806"/>
      <c r="F7837" s="806"/>
      <c r="W7837" s="806"/>
      <c r="AZ7837" s="806"/>
      <c r="BA7837" s="806"/>
      <c r="BB7837" s="806"/>
    </row>
    <row r="7838" spans="4:54">
      <c r="D7838" s="806"/>
      <c r="F7838" s="806"/>
      <c r="W7838" s="806"/>
      <c r="AZ7838" s="806"/>
      <c r="BA7838" s="806"/>
      <c r="BB7838" s="806"/>
    </row>
    <row r="7839" spans="4:54">
      <c r="D7839" s="806"/>
      <c r="F7839" s="806"/>
      <c r="W7839" s="806"/>
      <c r="AZ7839" s="806"/>
      <c r="BA7839" s="806"/>
      <c r="BB7839" s="806"/>
    </row>
    <row r="7840" spans="4:54">
      <c r="D7840" s="806"/>
      <c r="F7840" s="806"/>
      <c r="W7840" s="806"/>
      <c r="AZ7840" s="806"/>
      <c r="BA7840" s="806"/>
      <c r="BB7840" s="806"/>
    </row>
    <row r="7841" spans="4:54">
      <c r="D7841" s="806"/>
      <c r="F7841" s="806"/>
      <c r="W7841" s="806"/>
      <c r="AZ7841" s="806"/>
      <c r="BA7841" s="806"/>
      <c r="BB7841" s="806"/>
    </row>
    <row r="7842" spans="4:54">
      <c r="D7842" s="806"/>
      <c r="F7842" s="806"/>
      <c r="W7842" s="806"/>
      <c r="AZ7842" s="806"/>
      <c r="BA7842" s="806"/>
      <c r="BB7842" s="806"/>
    </row>
    <row r="7843" spans="4:54">
      <c r="D7843" s="806"/>
      <c r="F7843" s="806"/>
      <c r="W7843" s="806"/>
      <c r="AZ7843" s="806"/>
      <c r="BA7843" s="806"/>
      <c r="BB7843" s="806"/>
    </row>
    <row r="7844" spans="4:54">
      <c r="D7844" s="806"/>
      <c r="F7844" s="806"/>
      <c r="W7844" s="806"/>
      <c r="AZ7844" s="806"/>
      <c r="BA7844" s="806"/>
      <c r="BB7844" s="806"/>
    </row>
    <row r="7845" spans="4:54">
      <c r="D7845" s="806"/>
      <c r="F7845" s="806"/>
      <c r="W7845" s="806"/>
      <c r="AZ7845" s="806"/>
      <c r="BA7845" s="806"/>
      <c r="BB7845" s="806"/>
    </row>
    <row r="7846" spans="4:54">
      <c r="D7846" s="806"/>
      <c r="F7846" s="806"/>
      <c r="W7846" s="806"/>
      <c r="AZ7846" s="806"/>
      <c r="BA7846" s="806"/>
      <c r="BB7846" s="806"/>
    </row>
    <row r="7847" spans="4:54">
      <c r="D7847" s="806"/>
      <c r="F7847" s="806"/>
      <c r="W7847" s="806"/>
      <c r="AZ7847" s="806"/>
      <c r="BA7847" s="806"/>
      <c r="BB7847" s="806"/>
    </row>
    <row r="7848" spans="4:54">
      <c r="D7848" s="806"/>
      <c r="F7848" s="806"/>
      <c r="W7848" s="806"/>
      <c r="AZ7848" s="806"/>
      <c r="BA7848" s="806"/>
      <c r="BB7848" s="806"/>
    </row>
    <row r="7849" spans="4:54">
      <c r="D7849" s="806"/>
      <c r="F7849" s="806"/>
      <c r="W7849" s="806"/>
      <c r="AZ7849" s="806"/>
      <c r="BA7849" s="806"/>
      <c r="BB7849" s="806"/>
    </row>
    <row r="7850" spans="4:54">
      <c r="D7850" s="806"/>
      <c r="F7850" s="806"/>
      <c r="W7850" s="806"/>
      <c r="AZ7850" s="806"/>
      <c r="BA7850" s="806"/>
      <c r="BB7850" s="806"/>
    </row>
    <row r="7851" spans="4:54">
      <c r="D7851" s="806"/>
      <c r="F7851" s="806"/>
      <c r="W7851" s="806"/>
      <c r="AZ7851" s="806"/>
      <c r="BA7851" s="806"/>
      <c r="BB7851" s="806"/>
    </row>
    <row r="7852" spans="4:54">
      <c r="D7852" s="806"/>
      <c r="F7852" s="806"/>
      <c r="W7852" s="806"/>
      <c r="AZ7852" s="806"/>
      <c r="BA7852" s="806"/>
      <c r="BB7852" s="806"/>
    </row>
    <row r="7853" spans="4:54">
      <c r="D7853" s="806"/>
      <c r="F7853" s="806"/>
      <c r="W7853" s="806"/>
      <c r="AZ7853" s="806"/>
      <c r="BA7853" s="806"/>
      <c r="BB7853" s="806"/>
    </row>
    <row r="7854" spans="4:54">
      <c r="D7854" s="806"/>
      <c r="F7854" s="806"/>
      <c r="W7854" s="806"/>
      <c r="AZ7854" s="806"/>
      <c r="BA7854" s="806"/>
      <c r="BB7854" s="806"/>
    </row>
    <row r="7855" spans="4:54">
      <c r="D7855" s="806"/>
      <c r="F7855" s="806"/>
      <c r="W7855" s="806"/>
      <c r="AZ7855" s="806"/>
      <c r="BA7855" s="806"/>
      <c r="BB7855" s="806"/>
    </row>
    <row r="7856" spans="4:54">
      <c r="D7856" s="806"/>
      <c r="F7856" s="806"/>
      <c r="W7856" s="806"/>
      <c r="AZ7856" s="806"/>
      <c r="BA7856" s="806"/>
      <c r="BB7856" s="806"/>
    </row>
    <row r="7857" spans="4:54">
      <c r="D7857" s="806"/>
      <c r="F7857" s="806"/>
      <c r="W7857" s="806"/>
      <c r="AZ7857" s="806"/>
      <c r="BA7857" s="806"/>
      <c r="BB7857" s="806"/>
    </row>
    <row r="7858" spans="4:54">
      <c r="D7858" s="806"/>
      <c r="F7858" s="806"/>
      <c r="W7858" s="806"/>
      <c r="AZ7858" s="806"/>
      <c r="BA7858" s="806"/>
      <c r="BB7858" s="806"/>
    </row>
    <row r="7859" spans="4:54">
      <c r="D7859" s="806"/>
      <c r="F7859" s="806"/>
      <c r="W7859" s="806"/>
      <c r="AZ7859" s="806"/>
      <c r="BA7859" s="806"/>
      <c r="BB7859" s="806"/>
    </row>
    <row r="7860" spans="4:54">
      <c r="D7860" s="806"/>
      <c r="F7860" s="806"/>
      <c r="W7860" s="806"/>
      <c r="AZ7860" s="806"/>
      <c r="BA7860" s="806"/>
      <c r="BB7860" s="806"/>
    </row>
    <row r="7861" spans="4:54">
      <c r="D7861" s="806"/>
      <c r="F7861" s="806"/>
      <c r="W7861" s="806"/>
      <c r="AZ7861" s="806"/>
      <c r="BA7861" s="806"/>
      <c r="BB7861" s="806"/>
    </row>
    <row r="7862" spans="4:54">
      <c r="D7862" s="806"/>
      <c r="F7862" s="806"/>
      <c r="W7862" s="806"/>
      <c r="AZ7862" s="806"/>
      <c r="BA7862" s="806"/>
      <c r="BB7862" s="806"/>
    </row>
    <row r="7863" spans="4:54">
      <c r="D7863" s="806"/>
      <c r="F7863" s="806"/>
      <c r="W7863" s="806"/>
      <c r="AZ7863" s="806"/>
      <c r="BA7863" s="806"/>
      <c r="BB7863" s="806"/>
    </row>
    <row r="7864" spans="4:54">
      <c r="D7864" s="806"/>
      <c r="F7864" s="806"/>
      <c r="W7864" s="806"/>
      <c r="AZ7864" s="806"/>
      <c r="BA7864" s="806"/>
      <c r="BB7864" s="806"/>
    </row>
    <row r="7865" spans="4:54">
      <c r="D7865" s="806"/>
      <c r="F7865" s="806"/>
      <c r="W7865" s="806"/>
      <c r="AZ7865" s="806"/>
      <c r="BA7865" s="806"/>
      <c r="BB7865" s="806"/>
    </row>
    <row r="7866" spans="4:54">
      <c r="D7866" s="806"/>
      <c r="F7866" s="806"/>
      <c r="W7866" s="806"/>
      <c r="AZ7866" s="806"/>
      <c r="BA7866" s="806"/>
      <c r="BB7866" s="806"/>
    </row>
    <row r="7867" spans="4:54">
      <c r="D7867" s="806"/>
      <c r="F7867" s="806"/>
      <c r="W7867" s="806"/>
      <c r="AZ7867" s="806"/>
      <c r="BA7867" s="806"/>
      <c r="BB7867" s="806"/>
    </row>
    <row r="7868" spans="4:54">
      <c r="D7868" s="806"/>
      <c r="F7868" s="806"/>
      <c r="W7868" s="806"/>
      <c r="AZ7868" s="806"/>
      <c r="BA7868" s="806"/>
      <c r="BB7868" s="806"/>
    </row>
    <row r="7869" spans="4:54">
      <c r="D7869" s="806"/>
      <c r="F7869" s="806"/>
      <c r="W7869" s="806"/>
      <c r="AZ7869" s="806"/>
      <c r="BA7869" s="806"/>
      <c r="BB7869" s="806"/>
    </row>
    <row r="7870" spans="4:54">
      <c r="D7870" s="806"/>
      <c r="F7870" s="806"/>
      <c r="W7870" s="806"/>
      <c r="AZ7870" s="806"/>
      <c r="BA7870" s="806"/>
      <c r="BB7870" s="806"/>
    </row>
    <row r="7871" spans="4:54">
      <c r="D7871" s="806"/>
      <c r="F7871" s="806"/>
      <c r="W7871" s="806"/>
      <c r="AZ7871" s="806"/>
      <c r="BA7871" s="806"/>
      <c r="BB7871" s="806"/>
    </row>
    <row r="7872" spans="4:54">
      <c r="D7872" s="806"/>
      <c r="F7872" s="806"/>
      <c r="W7872" s="806"/>
      <c r="AZ7872" s="806"/>
      <c r="BA7872" s="806"/>
      <c r="BB7872" s="806"/>
    </row>
    <row r="7873" spans="4:54">
      <c r="D7873" s="806"/>
      <c r="F7873" s="806"/>
      <c r="W7873" s="806"/>
      <c r="AZ7873" s="806"/>
      <c r="BA7873" s="806"/>
      <c r="BB7873" s="806"/>
    </row>
    <row r="7874" spans="4:54">
      <c r="D7874" s="806"/>
      <c r="F7874" s="806"/>
      <c r="W7874" s="806"/>
      <c r="AZ7874" s="806"/>
      <c r="BA7874" s="806"/>
      <c r="BB7874" s="806"/>
    </row>
    <row r="7875" spans="4:54">
      <c r="D7875" s="806"/>
      <c r="F7875" s="806"/>
      <c r="W7875" s="806"/>
      <c r="AZ7875" s="806"/>
      <c r="BA7875" s="806"/>
      <c r="BB7875" s="806"/>
    </row>
    <row r="7876" spans="4:54">
      <c r="D7876" s="806"/>
      <c r="F7876" s="806"/>
      <c r="W7876" s="806"/>
      <c r="AZ7876" s="806"/>
      <c r="BA7876" s="806"/>
      <c r="BB7876" s="806"/>
    </row>
    <row r="7877" spans="4:54">
      <c r="D7877" s="806"/>
      <c r="F7877" s="806"/>
      <c r="W7877" s="806"/>
      <c r="AZ7877" s="806"/>
      <c r="BA7877" s="806"/>
      <c r="BB7877" s="806"/>
    </row>
    <row r="7878" spans="4:54">
      <c r="D7878" s="806"/>
      <c r="F7878" s="806"/>
      <c r="W7878" s="806"/>
      <c r="AZ7878" s="806"/>
      <c r="BA7878" s="806"/>
      <c r="BB7878" s="806"/>
    </row>
    <row r="7879" spans="4:54">
      <c r="D7879" s="806"/>
      <c r="F7879" s="806"/>
      <c r="W7879" s="806"/>
      <c r="AZ7879" s="806"/>
      <c r="BA7879" s="806"/>
      <c r="BB7879" s="806"/>
    </row>
    <row r="7880" spans="4:54">
      <c r="D7880" s="806"/>
      <c r="F7880" s="806"/>
      <c r="W7880" s="806"/>
      <c r="AZ7880" s="806"/>
      <c r="BA7880" s="806"/>
      <c r="BB7880" s="806"/>
    </row>
    <row r="7881" spans="4:54">
      <c r="D7881" s="806"/>
      <c r="F7881" s="806"/>
      <c r="W7881" s="806"/>
      <c r="AZ7881" s="806"/>
      <c r="BA7881" s="806"/>
      <c r="BB7881" s="806"/>
    </row>
    <row r="7882" spans="4:54">
      <c r="D7882" s="806"/>
      <c r="F7882" s="806"/>
      <c r="W7882" s="806"/>
      <c r="AZ7882" s="806"/>
      <c r="BA7882" s="806"/>
      <c r="BB7882" s="806"/>
    </row>
    <row r="7883" spans="4:54">
      <c r="D7883" s="806"/>
      <c r="F7883" s="806"/>
      <c r="W7883" s="806"/>
      <c r="AZ7883" s="806"/>
      <c r="BA7883" s="806"/>
      <c r="BB7883" s="806"/>
    </row>
    <row r="7884" spans="4:54">
      <c r="D7884" s="806"/>
      <c r="F7884" s="806"/>
      <c r="W7884" s="806"/>
      <c r="AZ7884" s="806"/>
      <c r="BA7884" s="806"/>
      <c r="BB7884" s="806"/>
    </row>
    <row r="7885" spans="4:54">
      <c r="D7885" s="806"/>
      <c r="F7885" s="806"/>
      <c r="W7885" s="806"/>
      <c r="AZ7885" s="806"/>
      <c r="BA7885" s="806"/>
      <c r="BB7885" s="806"/>
    </row>
    <row r="7886" spans="4:54">
      <c r="D7886" s="806"/>
      <c r="F7886" s="806"/>
      <c r="W7886" s="806"/>
      <c r="AZ7886" s="806"/>
      <c r="BA7886" s="806"/>
      <c r="BB7886" s="806"/>
    </row>
    <row r="7887" spans="4:54">
      <c r="D7887" s="806"/>
      <c r="F7887" s="806"/>
      <c r="W7887" s="806"/>
      <c r="AZ7887" s="806"/>
      <c r="BA7887" s="806"/>
      <c r="BB7887" s="806"/>
    </row>
    <row r="7888" spans="4:54">
      <c r="D7888" s="806"/>
      <c r="F7888" s="806"/>
      <c r="W7888" s="806"/>
      <c r="AZ7888" s="806"/>
      <c r="BA7888" s="806"/>
      <c r="BB7888" s="806"/>
    </row>
    <row r="7889" spans="4:54">
      <c r="D7889" s="806"/>
      <c r="F7889" s="806"/>
      <c r="W7889" s="806"/>
      <c r="AZ7889" s="806"/>
      <c r="BA7889" s="806"/>
      <c r="BB7889" s="806"/>
    </row>
    <row r="7890" spans="4:54">
      <c r="D7890" s="806"/>
      <c r="F7890" s="806"/>
      <c r="W7890" s="806"/>
      <c r="AZ7890" s="806"/>
      <c r="BA7890" s="806"/>
      <c r="BB7890" s="806"/>
    </row>
    <row r="7891" spans="4:54">
      <c r="D7891" s="806"/>
      <c r="F7891" s="806"/>
      <c r="W7891" s="806"/>
      <c r="AZ7891" s="806"/>
      <c r="BA7891" s="806"/>
      <c r="BB7891" s="806"/>
    </row>
    <row r="7892" spans="4:54">
      <c r="D7892" s="806"/>
      <c r="F7892" s="806"/>
      <c r="W7892" s="806"/>
      <c r="AZ7892" s="806"/>
      <c r="BA7892" s="806"/>
      <c r="BB7892" s="806"/>
    </row>
    <row r="7893" spans="4:54">
      <c r="D7893" s="806"/>
      <c r="F7893" s="806"/>
      <c r="W7893" s="806"/>
      <c r="AZ7893" s="806"/>
      <c r="BA7893" s="806"/>
      <c r="BB7893" s="806"/>
    </row>
    <row r="7894" spans="4:54">
      <c r="D7894" s="806"/>
      <c r="F7894" s="806"/>
      <c r="W7894" s="806"/>
      <c r="AZ7894" s="806"/>
      <c r="BA7894" s="806"/>
      <c r="BB7894" s="806"/>
    </row>
    <row r="7895" spans="4:54">
      <c r="D7895" s="806"/>
      <c r="F7895" s="806"/>
      <c r="W7895" s="806"/>
      <c r="AZ7895" s="806"/>
      <c r="BA7895" s="806"/>
      <c r="BB7895" s="806"/>
    </row>
    <row r="7896" spans="4:54">
      <c r="D7896" s="806"/>
      <c r="F7896" s="806"/>
      <c r="W7896" s="806"/>
      <c r="AZ7896" s="806"/>
      <c r="BA7896" s="806"/>
      <c r="BB7896" s="806"/>
    </row>
    <row r="7897" spans="4:54">
      <c r="D7897" s="806"/>
      <c r="F7897" s="806"/>
      <c r="W7897" s="806"/>
      <c r="AZ7897" s="806"/>
      <c r="BA7897" s="806"/>
      <c r="BB7897" s="806"/>
    </row>
    <row r="7898" spans="4:54">
      <c r="D7898" s="806"/>
      <c r="F7898" s="806"/>
      <c r="W7898" s="806"/>
      <c r="AZ7898" s="806"/>
      <c r="BA7898" s="806"/>
      <c r="BB7898" s="806"/>
    </row>
    <row r="7899" spans="4:54">
      <c r="D7899" s="806"/>
      <c r="F7899" s="806"/>
      <c r="W7899" s="806"/>
      <c r="AZ7899" s="806"/>
      <c r="BA7899" s="806"/>
      <c r="BB7899" s="806"/>
    </row>
    <row r="7900" spans="4:54">
      <c r="D7900" s="806"/>
      <c r="F7900" s="806"/>
      <c r="W7900" s="806"/>
      <c r="AZ7900" s="806"/>
      <c r="BA7900" s="806"/>
      <c r="BB7900" s="806"/>
    </row>
    <row r="7901" spans="4:54">
      <c r="D7901" s="806"/>
      <c r="F7901" s="806"/>
      <c r="W7901" s="806"/>
      <c r="AZ7901" s="806"/>
      <c r="BA7901" s="806"/>
      <c r="BB7901" s="806"/>
    </row>
    <row r="7902" spans="4:54">
      <c r="D7902" s="806"/>
      <c r="F7902" s="806"/>
      <c r="W7902" s="806"/>
      <c r="AZ7902" s="806"/>
      <c r="BA7902" s="806"/>
      <c r="BB7902" s="806"/>
    </row>
    <row r="7903" spans="4:54">
      <c r="D7903" s="806"/>
      <c r="F7903" s="806"/>
      <c r="W7903" s="806"/>
      <c r="AZ7903" s="806"/>
      <c r="BA7903" s="806"/>
      <c r="BB7903" s="806"/>
    </row>
    <row r="7904" spans="4:54">
      <c r="D7904" s="806"/>
      <c r="F7904" s="806"/>
      <c r="W7904" s="806"/>
      <c r="AZ7904" s="806"/>
      <c r="BA7904" s="806"/>
      <c r="BB7904" s="806"/>
    </row>
    <row r="7905" spans="4:54">
      <c r="D7905" s="806"/>
      <c r="F7905" s="806"/>
      <c r="W7905" s="806"/>
      <c r="AZ7905" s="806"/>
      <c r="BA7905" s="806"/>
      <c r="BB7905" s="806"/>
    </row>
    <row r="7906" spans="4:54">
      <c r="D7906" s="806"/>
      <c r="F7906" s="806"/>
      <c r="W7906" s="806"/>
      <c r="AZ7906" s="806"/>
      <c r="BA7906" s="806"/>
      <c r="BB7906" s="806"/>
    </row>
    <row r="7907" spans="4:54">
      <c r="D7907" s="806"/>
      <c r="F7907" s="806"/>
      <c r="W7907" s="806"/>
      <c r="AZ7907" s="806"/>
      <c r="BA7907" s="806"/>
      <c r="BB7907" s="806"/>
    </row>
    <row r="7908" spans="4:54">
      <c r="D7908" s="806"/>
      <c r="F7908" s="806"/>
      <c r="W7908" s="806"/>
      <c r="AZ7908" s="806"/>
      <c r="BA7908" s="806"/>
      <c r="BB7908" s="806"/>
    </row>
    <row r="7909" spans="4:54">
      <c r="D7909" s="806"/>
      <c r="F7909" s="806"/>
      <c r="W7909" s="806"/>
      <c r="AZ7909" s="806"/>
      <c r="BA7909" s="806"/>
      <c r="BB7909" s="806"/>
    </row>
    <row r="7910" spans="4:54">
      <c r="D7910" s="806"/>
      <c r="F7910" s="806"/>
      <c r="W7910" s="806"/>
      <c r="AZ7910" s="806"/>
      <c r="BA7910" s="806"/>
      <c r="BB7910" s="806"/>
    </row>
    <row r="7911" spans="4:54">
      <c r="D7911" s="806"/>
      <c r="F7911" s="806"/>
      <c r="W7911" s="806"/>
      <c r="AZ7911" s="806"/>
      <c r="BA7911" s="806"/>
      <c r="BB7911" s="806"/>
    </row>
    <row r="7912" spans="4:54">
      <c r="D7912" s="806"/>
      <c r="F7912" s="806"/>
      <c r="W7912" s="806"/>
      <c r="AZ7912" s="806"/>
      <c r="BA7912" s="806"/>
      <c r="BB7912" s="806"/>
    </row>
    <row r="7913" spans="4:54">
      <c r="D7913" s="806"/>
      <c r="F7913" s="806"/>
      <c r="W7913" s="806"/>
      <c r="AZ7913" s="806"/>
      <c r="BA7913" s="806"/>
      <c r="BB7913" s="806"/>
    </row>
    <row r="7914" spans="4:54">
      <c r="D7914" s="806"/>
      <c r="F7914" s="806"/>
      <c r="W7914" s="806"/>
      <c r="AZ7914" s="806"/>
      <c r="BA7914" s="806"/>
      <c r="BB7914" s="806"/>
    </row>
    <row r="7915" spans="4:54">
      <c r="D7915" s="806"/>
      <c r="F7915" s="806"/>
      <c r="W7915" s="806"/>
      <c r="AZ7915" s="806"/>
      <c r="BA7915" s="806"/>
      <c r="BB7915" s="806"/>
    </row>
    <row r="7916" spans="4:54">
      <c r="D7916" s="806"/>
      <c r="F7916" s="806"/>
      <c r="W7916" s="806"/>
      <c r="AZ7916" s="806"/>
      <c r="BA7916" s="806"/>
      <c r="BB7916" s="806"/>
    </row>
    <row r="7917" spans="4:54">
      <c r="D7917" s="806"/>
      <c r="F7917" s="806"/>
      <c r="W7917" s="806"/>
      <c r="AZ7917" s="806"/>
      <c r="BA7917" s="806"/>
      <c r="BB7917" s="806"/>
    </row>
    <row r="7918" spans="4:54">
      <c r="D7918" s="806"/>
      <c r="F7918" s="806"/>
      <c r="W7918" s="806"/>
      <c r="AZ7918" s="806"/>
      <c r="BA7918" s="806"/>
      <c r="BB7918" s="806"/>
    </row>
    <row r="7919" spans="4:54">
      <c r="D7919" s="806"/>
      <c r="F7919" s="806"/>
      <c r="W7919" s="806"/>
      <c r="AZ7919" s="806"/>
      <c r="BA7919" s="806"/>
      <c r="BB7919" s="806"/>
    </row>
    <row r="7920" spans="4:54">
      <c r="D7920" s="806"/>
      <c r="F7920" s="806"/>
      <c r="W7920" s="806"/>
      <c r="AZ7920" s="806"/>
      <c r="BA7920" s="806"/>
      <c r="BB7920" s="806"/>
    </row>
    <row r="7921" spans="4:54">
      <c r="D7921" s="806"/>
      <c r="F7921" s="806"/>
      <c r="W7921" s="806"/>
      <c r="AZ7921" s="806"/>
      <c r="BA7921" s="806"/>
      <c r="BB7921" s="806"/>
    </row>
    <row r="7922" spans="4:54">
      <c r="D7922" s="806"/>
      <c r="F7922" s="806"/>
      <c r="W7922" s="806"/>
      <c r="AZ7922" s="806"/>
      <c r="BA7922" s="806"/>
      <c r="BB7922" s="806"/>
    </row>
    <row r="7923" spans="4:54">
      <c r="D7923" s="806"/>
      <c r="F7923" s="806"/>
      <c r="W7923" s="806"/>
      <c r="AZ7923" s="806"/>
      <c r="BA7923" s="806"/>
      <c r="BB7923" s="806"/>
    </row>
    <row r="7924" spans="4:54">
      <c r="D7924" s="806"/>
      <c r="F7924" s="806"/>
      <c r="W7924" s="806"/>
      <c r="AZ7924" s="806"/>
      <c r="BA7924" s="806"/>
      <c r="BB7924" s="806"/>
    </row>
    <row r="7925" spans="4:54">
      <c r="D7925" s="806"/>
      <c r="F7925" s="806"/>
      <c r="W7925" s="806"/>
      <c r="AZ7925" s="806"/>
      <c r="BA7925" s="806"/>
      <c r="BB7925" s="806"/>
    </row>
    <row r="7926" spans="4:54">
      <c r="D7926" s="806"/>
      <c r="F7926" s="806"/>
      <c r="W7926" s="806"/>
      <c r="AZ7926" s="806"/>
      <c r="BA7926" s="806"/>
      <c r="BB7926" s="806"/>
    </row>
    <row r="7927" spans="4:54">
      <c r="D7927" s="806"/>
      <c r="F7927" s="806"/>
      <c r="W7927" s="806"/>
      <c r="AZ7927" s="806"/>
      <c r="BA7927" s="806"/>
      <c r="BB7927" s="806"/>
    </row>
    <row r="7928" spans="4:54">
      <c r="D7928" s="806"/>
      <c r="F7928" s="806"/>
      <c r="W7928" s="806"/>
      <c r="AZ7928" s="806"/>
      <c r="BA7928" s="806"/>
      <c r="BB7928" s="806"/>
    </row>
    <row r="7929" spans="4:54">
      <c r="D7929" s="806"/>
      <c r="F7929" s="806"/>
      <c r="W7929" s="806"/>
      <c r="AZ7929" s="806"/>
      <c r="BA7929" s="806"/>
      <c r="BB7929" s="806"/>
    </row>
    <row r="7930" spans="4:54">
      <c r="D7930" s="806"/>
      <c r="F7930" s="806"/>
      <c r="W7930" s="806"/>
      <c r="AZ7930" s="806"/>
      <c r="BA7930" s="806"/>
      <c r="BB7930" s="806"/>
    </row>
    <row r="7931" spans="4:54">
      <c r="D7931" s="806"/>
      <c r="F7931" s="806"/>
      <c r="W7931" s="806"/>
      <c r="AZ7931" s="806"/>
      <c r="BA7931" s="806"/>
      <c r="BB7931" s="806"/>
    </row>
    <row r="7932" spans="4:54">
      <c r="D7932" s="806"/>
      <c r="F7932" s="806"/>
      <c r="W7932" s="806"/>
      <c r="AZ7932" s="806"/>
      <c r="BA7932" s="806"/>
      <c r="BB7932" s="806"/>
    </row>
    <row r="7933" spans="4:54">
      <c r="D7933" s="806"/>
      <c r="F7933" s="806"/>
      <c r="W7933" s="806"/>
      <c r="AZ7933" s="806"/>
      <c r="BA7933" s="806"/>
      <c r="BB7933" s="806"/>
    </row>
    <row r="7934" spans="4:54">
      <c r="D7934" s="806"/>
      <c r="F7934" s="806"/>
      <c r="W7934" s="806"/>
      <c r="AZ7934" s="806"/>
      <c r="BA7934" s="806"/>
      <c r="BB7934" s="806"/>
    </row>
    <row r="7935" spans="4:54">
      <c r="D7935" s="806"/>
      <c r="F7935" s="806"/>
      <c r="W7935" s="806"/>
      <c r="AZ7935" s="806"/>
      <c r="BA7935" s="806"/>
      <c r="BB7935" s="806"/>
    </row>
    <row r="7936" spans="4:54">
      <c r="D7936" s="806"/>
      <c r="F7936" s="806"/>
      <c r="W7936" s="806"/>
      <c r="AZ7936" s="806"/>
      <c r="BA7936" s="806"/>
      <c r="BB7936" s="806"/>
    </row>
    <row r="7937" spans="4:54">
      <c r="D7937" s="806"/>
      <c r="F7937" s="806"/>
      <c r="W7937" s="806"/>
      <c r="AZ7937" s="806"/>
      <c r="BA7937" s="806"/>
      <c r="BB7937" s="806"/>
    </row>
    <row r="7938" spans="4:54">
      <c r="D7938" s="806"/>
      <c r="F7938" s="806"/>
      <c r="W7938" s="806"/>
      <c r="AZ7938" s="806"/>
      <c r="BA7938" s="806"/>
      <c r="BB7938" s="806"/>
    </row>
    <row r="7939" spans="4:54">
      <c r="D7939" s="806"/>
      <c r="F7939" s="806"/>
      <c r="W7939" s="806"/>
      <c r="AZ7939" s="806"/>
      <c r="BA7939" s="806"/>
      <c r="BB7939" s="806"/>
    </row>
    <row r="7940" spans="4:54">
      <c r="D7940" s="806"/>
      <c r="F7940" s="806"/>
      <c r="W7940" s="806"/>
      <c r="AZ7940" s="806"/>
      <c r="BA7940" s="806"/>
      <c r="BB7940" s="806"/>
    </row>
    <row r="7941" spans="4:54">
      <c r="D7941" s="806"/>
      <c r="F7941" s="806"/>
      <c r="W7941" s="806"/>
      <c r="AZ7941" s="806"/>
      <c r="BA7941" s="806"/>
      <c r="BB7941" s="806"/>
    </row>
    <row r="7942" spans="4:54">
      <c r="D7942" s="806"/>
      <c r="F7942" s="806"/>
      <c r="W7942" s="806"/>
      <c r="AZ7942" s="806"/>
      <c r="BA7942" s="806"/>
      <c r="BB7942" s="806"/>
    </row>
    <row r="7943" spans="4:54">
      <c r="D7943" s="806"/>
      <c r="F7943" s="806"/>
      <c r="W7943" s="806"/>
      <c r="AZ7943" s="806"/>
      <c r="BA7943" s="806"/>
      <c r="BB7943" s="806"/>
    </row>
    <row r="7944" spans="4:54">
      <c r="D7944" s="806"/>
      <c r="F7944" s="806"/>
      <c r="W7944" s="806"/>
      <c r="AZ7944" s="806"/>
      <c r="BA7944" s="806"/>
      <c r="BB7944" s="806"/>
    </row>
    <row r="7945" spans="4:54">
      <c r="D7945" s="806"/>
      <c r="F7945" s="806"/>
      <c r="W7945" s="806"/>
      <c r="AZ7945" s="806"/>
      <c r="BA7945" s="806"/>
      <c r="BB7945" s="806"/>
    </row>
    <row r="7946" spans="4:54">
      <c r="D7946" s="806"/>
      <c r="F7946" s="806"/>
      <c r="W7946" s="806"/>
      <c r="AZ7946" s="806"/>
      <c r="BA7946" s="806"/>
      <c r="BB7946" s="806"/>
    </row>
    <row r="7947" spans="4:54">
      <c r="D7947" s="806"/>
      <c r="F7947" s="806"/>
      <c r="W7947" s="806"/>
      <c r="AZ7947" s="806"/>
      <c r="BA7947" s="806"/>
      <c r="BB7947" s="806"/>
    </row>
    <row r="7948" spans="4:54">
      <c r="D7948" s="806"/>
      <c r="F7948" s="806"/>
      <c r="W7948" s="806"/>
      <c r="AZ7948" s="806"/>
      <c r="BA7948" s="806"/>
      <c r="BB7948" s="806"/>
    </row>
    <row r="7949" spans="4:54">
      <c r="D7949" s="806"/>
      <c r="F7949" s="806"/>
      <c r="W7949" s="806"/>
      <c r="AZ7949" s="806"/>
      <c r="BA7949" s="806"/>
      <c r="BB7949" s="806"/>
    </row>
    <row r="7950" spans="4:54">
      <c r="D7950" s="806"/>
      <c r="F7950" s="806"/>
      <c r="W7950" s="806"/>
      <c r="AZ7950" s="806"/>
      <c r="BA7950" s="806"/>
      <c r="BB7950" s="806"/>
    </row>
    <row r="7951" spans="4:54">
      <c r="D7951" s="806"/>
      <c r="F7951" s="806"/>
      <c r="W7951" s="806"/>
      <c r="AZ7951" s="806"/>
      <c r="BA7951" s="806"/>
      <c r="BB7951" s="806"/>
    </row>
    <row r="7952" spans="4:54">
      <c r="D7952" s="806"/>
      <c r="F7952" s="806"/>
      <c r="W7952" s="806"/>
      <c r="AZ7952" s="806"/>
      <c r="BA7952" s="806"/>
      <c r="BB7952" s="806"/>
    </row>
    <row r="7953" spans="4:54">
      <c r="D7953" s="806"/>
      <c r="F7953" s="806"/>
      <c r="W7953" s="806"/>
      <c r="AZ7953" s="806"/>
      <c r="BA7953" s="806"/>
      <c r="BB7953" s="806"/>
    </row>
    <row r="7954" spans="4:54">
      <c r="D7954" s="806"/>
      <c r="F7954" s="806"/>
      <c r="W7954" s="806"/>
      <c r="AZ7954" s="806"/>
      <c r="BA7954" s="806"/>
      <c r="BB7954" s="806"/>
    </row>
    <row r="7955" spans="4:54">
      <c r="D7955" s="806"/>
      <c r="F7955" s="806"/>
      <c r="W7955" s="806"/>
      <c r="AZ7955" s="806"/>
      <c r="BA7955" s="806"/>
      <c r="BB7955" s="806"/>
    </row>
    <row r="7956" spans="4:54">
      <c r="D7956" s="806"/>
      <c r="F7956" s="806"/>
      <c r="W7956" s="806"/>
      <c r="AZ7956" s="806"/>
      <c r="BA7956" s="806"/>
      <c r="BB7956" s="806"/>
    </row>
    <row r="7957" spans="4:54">
      <c r="D7957" s="806"/>
      <c r="F7957" s="806"/>
      <c r="W7957" s="806"/>
      <c r="AZ7957" s="806"/>
      <c r="BA7957" s="806"/>
      <c r="BB7957" s="806"/>
    </row>
    <row r="7958" spans="4:54">
      <c r="D7958" s="806"/>
      <c r="F7958" s="806"/>
      <c r="W7958" s="806"/>
      <c r="AZ7958" s="806"/>
      <c r="BA7958" s="806"/>
      <c r="BB7958" s="806"/>
    </row>
    <row r="7959" spans="4:54">
      <c r="D7959" s="806"/>
      <c r="F7959" s="806"/>
      <c r="W7959" s="806"/>
      <c r="AZ7959" s="806"/>
      <c r="BA7959" s="806"/>
      <c r="BB7959" s="806"/>
    </row>
    <row r="7960" spans="4:54">
      <c r="D7960" s="806"/>
      <c r="F7960" s="806"/>
      <c r="W7960" s="806"/>
      <c r="AZ7960" s="806"/>
      <c r="BA7960" s="806"/>
      <c r="BB7960" s="806"/>
    </row>
    <row r="7961" spans="4:54">
      <c r="D7961" s="806"/>
      <c r="F7961" s="806"/>
      <c r="W7961" s="806"/>
      <c r="AZ7961" s="806"/>
      <c r="BA7961" s="806"/>
      <c r="BB7961" s="806"/>
    </row>
    <row r="7962" spans="4:54">
      <c r="D7962" s="806"/>
      <c r="F7962" s="806"/>
      <c r="W7962" s="806"/>
      <c r="AZ7962" s="806"/>
      <c r="BA7962" s="806"/>
      <c r="BB7962" s="806"/>
    </row>
    <row r="7963" spans="4:54">
      <c r="D7963" s="806"/>
      <c r="F7963" s="806"/>
      <c r="W7963" s="806"/>
      <c r="AZ7963" s="806"/>
      <c r="BA7963" s="806"/>
      <c r="BB7963" s="806"/>
    </row>
    <row r="7964" spans="4:54">
      <c r="D7964" s="806"/>
      <c r="F7964" s="806"/>
      <c r="W7964" s="806"/>
      <c r="AZ7964" s="806"/>
      <c r="BA7964" s="806"/>
      <c r="BB7964" s="806"/>
    </row>
    <row r="7965" spans="4:54">
      <c r="D7965" s="806"/>
      <c r="F7965" s="806"/>
      <c r="W7965" s="806"/>
      <c r="AZ7965" s="806"/>
      <c r="BA7965" s="806"/>
      <c r="BB7965" s="806"/>
    </row>
    <row r="7966" spans="4:54">
      <c r="D7966" s="806"/>
      <c r="F7966" s="806"/>
      <c r="W7966" s="806"/>
      <c r="AZ7966" s="806"/>
      <c r="BA7966" s="806"/>
      <c r="BB7966" s="806"/>
    </row>
    <row r="7967" spans="4:54">
      <c r="D7967" s="806"/>
      <c r="F7967" s="806"/>
      <c r="W7967" s="806"/>
      <c r="AZ7967" s="806"/>
      <c r="BA7967" s="806"/>
      <c r="BB7967" s="806"/>
    </row>
    <row r="7968" spans="4:54">
      <c r="D7968" s="806"/>
      <c r="F7968" s="806"/>
      <c r="W7968" s="806"/>
      <c r="AZ7968" s="806"/>
      <c r="BA7968" s="806"/>
      <c r="BB7968" s="806"/>
    </row>
    <row r="7969" spans="4:54">
      <c r="D7969" s="806"/>
      <c r="F7969" s="806"/>
      <c r="W7969" s="806"/>
      <c r="AZ7969" s="806"/>
      <c r="BA7969" s="806"/>
      <c r="BB7969" s="806"/>
    </row>
    <row r="7970" spans="4:54">
      <c r="D7970" s="806"/>
      <c r="F7970" s="806"/>
      <c r="W7970" s="806"/>
      <c r="AZ7970" s="806"/>
      <c r="BA7970" s="806"/>
      <c r="BB7970" s="806"/>
    </row>
    <row r="7971" spans="4:54">
      <c r="D7971" s="806"/>
      <c r="F7971" s="806"/>
      <c r="W7971" s="806"/>
      <c r="AZ7971" s="806"/>
      <c r="BA7971" s="806"/>
      <c r="BB7971" s="806"/>
    </row>
    <row r="7972" spans="4:54">
      <c r="D7972" s="806"/>
      <c r="F7972" s="806"/>
      <c r="W7972" s="806"/>
      <c r="AZ7972" s="806"/>
      <c r="BA7972" s="806"/>
      <c r="BB7972" s="806"/>
    </row>
    <row r="7973" spans="4:54">
      <c r="D7973" s="806"/>
      <c r="F7973" s="806"/>
      <c r="W7973" s="806"/>
      <c r="AZ7973" s="806"/>
      <c r="BA7973" s="806"/>
      <c r="BB7973" s="806"/>
    </row>
    <row r="7974" spans="4:54">
      <c r="D7974" s="806"/>
      <c r="F7974" s="806"/>
      <c r="W7974" s="806"/>
      <c r="AZ7974" s="806"/>
      <c r="BA7974" s="806"/>
      <c r="BB7974" s="806"/>
    </row>
    <row r="7975" spans="4:54">
      <c r="D7975" s="806"/>
      <c r="F7975" s="806"/>
      <c r="W7975" s="806"/>
      <c r="AZ7975" s="806"/>
      <c r="BA7975" s="806"/>
      <c r="BB7975" s="806"/>
    </row>
    <row r="7976" spans="4:54">
      <c r="D7976" s="806"/>
      <c r="F7976" s="806"/>
      <c r="W7976" s="806"/>
      <c r="AZ7976" s="806"/>
      <c r="BA7976" s="806"/>
      <c r="BB7976" s="806"/>
    </row>
    <row r="7977" spans="4:54">
      <c r="D7977" s="806"/>
      <c r="F7977" s="806"/>
      <c r="W7977" s="806"/>
      <c r="AZ7977" s="806"/>
      <c r="BA7977" s="806"/>
      <c r="BB7977" s="806"/>
    </row>
    <row r="7978" spans="4:54">
      <c r="D7978" s="806"/>
      <c r="F7978" s="806"/>
      <c r="W7978" s="806"/>
      <c r="AZ7978" s="806"/>
      <c r="BA7978" s="806"/>
      <c r="BB7978" s="806"/>
    </row>
    <row r="7979" spans="4:54">
      <c r="D7979" s="806"/>
      <c r="F7979" s="806"/>
      <c r="W7979" s="806"/>
      <c r="AZ7979" s="806"/>
      <c r="BA7979" s="806"/>
      <c r="BB7979" s="806"/>
    </row>
    <row r="7980" spans="4:54">
      <c r="D7980" s="806"/>
      <c r="F7980" s="806"/>
      <c r="W7980" s="806"/>
      <c r="AZ7980" s="806"/>
      <c r="BA7980" s="806"/>
      <c r="BB7980" s="806"/>
    </row>
    <row r="7981" spans="4:54">
      <c r="D7981" s="806"/>
      <c r="F7981" s="806"/>
      <c r="W7981" s="806"/>
      <c r="AZ7981" s="806"/>
      <c r="BA7981" s="806"/>
      <c r="BB7981" s="806"/>
    </row>
    <row r="7982" spans="4:54">
      <c r="D7982" s="806"/>
      <c r="F7982" s="806"/>
      <c r="W7982" s="806"/>
      <c r="AZ7982" s="806"/>
      <c r="BA7982" s="806"/>
      <c r="BB7982" s="806"/>
    </row>
    <row r="7983" spans="4:54">
      <c r="D7983" s="806"/>
      <c r="F7983" s="806"/>
      <c r="W7983" s="806"/>
      <c r="AZ7983" s="806"/>
      <c r="BA7983" s="806"/>
      <c r="BB7983" s="806"/>
    </row>
    <row r="7984" spans="4:54">
      <c r="D7984" s="806"/>
      <c r="F7984" s="806"/>
      <c r="W7984" s="806"/>
      <c r="AZ7984" s="806"/>
      <c r="BA7984" s="806"/>
      <c r="BB7984" s="806"/>
    </row>
    <row r="7985" spans="4:54">
      <c r="D7985" s="806"/>
      <c r="F7985" s="806"/>
      <c r="W7985" s="806"/>
      <c r="AZ7985" s="806"/>
      <c r="BA7985" s="806"/>
      <c r="BB7985" s="806"/>
    </row>
    <row r="7986" spans="4:54">
      <c r="D7986" s="806"/>
      <c r="F7986" s="806"/>
      <c r="W7986" s="806"/>
      <c r="AZ7986" s="806"/>
      <c r="BA7986" s="806"/>
      <c r="BB7986" s="806"/>
    </row>
    <row r="7987" spans="4:54">
      <c r="D7987" s="806"/>
      <c r="F7987" s="806"/>
      <c r="W7987" s="806"/>
      <c r="AZ7987" s="806"/>
      <c r="BA7987" s="806"/>
      <c r="BB7987" s="806"/>
    </row>
    <row r="7988" spans="4:54">
      <c r="D7988" s="806"/>
      <c r="F7988" s="806"/>
      <c r="W7988" s="806"/>
      <c r="AZ7988" s="806"/>
      <c r="BA7988" s="806"/>
      <c r="BB7988" s="806"/>
    </row>
    <row r="7989" spans="4:54">
      <c r="D7989" s="806"/>
      <c r="F7989" s="806"/>
      <c r="W7989" s="806"/>
      <c r="AZ7989" s="806"/>
      <c r="BA7989" s="806"/>
      <c r="BB7989" s="806"/>
    </row>
    <row r="7990" spans="4:54">
      <c r="D7990" s="806"/>
      <c r="F7990" s="806"/>
      <c r="W7990" s="806"/>
      <c r="AZ7990" s="806"/>
      <c r="BA7990" s="806"/>
      <c r="BB7990" s="806"/>
    </row>
    <row r="7991" spans="4:54">
      <c r="D7991" s="806"/>
      <c r="F7991" s="806"/>
      <c r="W7991" s="806"/>
      <c r="AZ7991" s="806"/>
      <c r="BA7991" s="806"/>
      <c r="BB7991" s="806"/>
    </row>
    <row r="7992" spans="4:54">
      <c r="D7992" s="806"/>
      <c r="F7992" s="806"/>
      <c r="W7992" s="806"/>
      <c r="AZ7992" s="806"/>
      <c r="BA7992" s="806"/>
      <c r="BB7992" s="806"/>
    </row>
    <row r="7993" spans="4:54">
      <c r="D7993" s="806"/>
      <c r="F7993" s="806"/>
      <c r="W7993" s="806"/>
      <c r="AZ7993" s="806"/>
      <c r="BA7993" s="806"/>
      <c r="BB7993" s="806"/>
    </row>
    <row r="7994" spans="4:54">
      <c r="D7994" s="806"/>
      <c r="F7994" s="806"/>
      <c r="W7994" s="806"/>
      <c r="AZ7994" s="806"/>
      <c r="BA7994" s="806"/>
      <c r="BB7994" s="806"/>
    </row>
    <row r="7995" spans="4:54">
      <c r="D7995" s="806"/>
      <c r="F7995" s="806"/>
      <c r="W7995" s="806"/>
      <c r="AZ7995" s="806"/>
      <c r="BA7995" s="806"/>
      <c r="BB7995" s="806"/>
    </row>
    <row r="7996" spans="4:54">
      <c r="D7996" s="806"/>
      <c r="F7996" s="806"/>
      <c r="W7996" s="806"/>
      <c r="AZ7996" s="806"/>
      <c r="BA7996" s="806"/>
      <c r="BB7996" s="806"/>
    </row>
    <row r="7997" spans="4:54">
      <c r="D7997" s="806"/>
      <c r="F7997" s="806"/>
      <c r="W7997" s="806"/>
      <c r="AZ7997" s="806"/>
      <c r="BA7997" s="806"/>
      <c r="BB7997" s="806"/>
    </row>
    <row r="7998" spans="4:54">
      <c r="D7998" s="806"/>
      <c r="F7998" s="806"/>
      <c r="W7998" s="806"/>
      <c r="AZ7998" s="806"/>
      <c r="BA7998" s="806"/>
      <c r="BB7998" s="806"/>
    </row>
    <row r="7999" spans="4:54">
      <c r="D7999" s="806"/>
      <c r="F7999" s="806"/>
      <c r="W7999" s="806"/>
      <c r="AZ7999" s="806"/>
      <c r="BA7999" s="806"/>
      <c r="BB7999" s="806"/>
    </row>
    <row r="8000" spans="4:54">
      <c r="D8000" s="806"/>
      <c r="F8000" s="806"/>
      <c r="W8000" s="806"/>
      <c r="AZ8000" s="806"/>
      <c r="BA8000" s="806"/>
      <c r="BB8000" s="806"/>
    </row>
    <row r="8001" spans="4:54">
      <c r="D8001" s="806"/>
      <c r="F8001" s="806"/>
      <c r="W8001" s="806"/>
      <c r="AZ8001" s="806"/>
      <c r="BA8001" s="806"/>
      <c r="BB8001" s="806"/>
    </row>
    <row r="8002" spans="4:54">
      <c r="D8002" s="806"/>
      <c r="F8002" s="806"/>
      <c r="W8002" s="806"/>
      <c r="AZ8002" s="806"/>
      <c r="BA8002" s="806"/>
      <c r="BB8002" s="806"/>
    </row>
    <row r="8003" spans="4:54">
      <c r="D8003" s="806"/>
      <c r="F8003" s="806"/>
      <c r="W8003" s="806"/>
      <c r="AZ8003" s="806"/>
      <c r="BA8003" s="806"/>
      <c r="BB8003" s="806"/>
    </row>
    <row r="8004" spans="4:54">
      <c r="D8004" s="806"/>
      <c r="F8004" s="806"/>
      <c r="W8004" s="806"/>
      <c r="AZ8004" s="806"/>
      <c r="BA8004" s="806"/>
      <c r="BB8004" s="806"/>
    </row>
    <row r="8005" spans="4:54">
      <c r="D8005" s="806"/>
      <c r="F8005" s="806"/>
      <c r="W8005" s="806"/>
      <c r="AZ8005" s="806"/>
      <c r="BA8005" s="806"/>
      <c r="BB8005" s="806"/>
    </row>
    <row r="8006" spans="4:54">
      <c r="D8006" s="806"/>
      <c r="F8006" s="806"/>
      <c r="W8006" s="806"/>
      <c r="AZ8006" s="806"/>
      <c r="BA8006" s="806"/>
      <c r="BB8006" s="806"/>
    </row>
    <row r="8007" spans="4:54">
      <c r="D8007" s="806"/>
      <c r="F8007" s="806"/>
      <c r="W8007" s="806"/>
      <c r="AZ8007" s="806"/>
      <c r="BA8007" s="806"/>
      <c r="BB8007" s="806"/>
    </row>
    <row r="8008" spans="4:54">
      <c r="D8008" s="806"/>
      <c r="F8008" s="806"/>
      <c r="W8008" s="806"/>
      <c r="AZ8008" s="806"/>
      <c r="BA8008" s="806"/>
      <c r="BB8008" s="806"/>
    </row>
    <row r="8009" spans="4:54">
      <c r="D8009" s="806"/>
      <c r="F8009" s="806"/>
      <c r="W8009" s="806"/>
      <c r="AZ8009" s="806"/>
      <c r="BA8009" s="806"/>
      <c r="BB8009" s="806"/>
    </row>
    <row r="8010" spans="4:54">
      <c r="D8010" s="806"/>
      <c r="F8010" s="806"/>
      <c r="W8010" s="806"/>
      <c r="AZ8010" s="806"/>
      <c r="BA8010" s="806"/>
      <c r="BB8010" s="806"/>
    </row>
    <row r="8011" spans="4:54">
      <c r="D8011" s="806"/>
      <c r="F8011" s="806"/>
      <c r="W8011" s="806"/>
      <c r="AZ8011" s="806"/>
      <c r="BA8011" s="806"/>
      <c r="BB8011" s="806"/>
    </row>
    <row r="8012" spans="4:54">
      <c r="D8012" s="806"/>
      <c r="F8012" s="806"/>
      <c r="W8012" s="806"/>
      <c r="AZ8012" s="806"/>
      <c r="BA8012" s="806"/>
      <c r="BB8012" s="806"/>
    </row>
    <row r="8013" spans="4:54">
      <c r="D8013" s="806"/>
      <c r="F8013" s="806"/>
      <c r="W8013" s="806"/>
      <c r="AZ8013" s="806"/>
      <c r="BA8013" s="806"/>
      <c r="BB8013" s="806"/>
    </row>
    <row r="8014" spans="4:54">
      <c r="D8014" s="806"/>
      <c r="F8014" s="806"/>
      <c r="W8014" s="806"/>
      <c r="AZ8014" s="806"/>
      <c r="BA8014" s="806"/>
      <c r="BB8014" s="806"/>
    </row>
    <row r="8015" spans="4:54">
      <c r="D8015" s="806"/>
      <c r="F8015" s="806"/>
      <c r="W8015" s="806"/>
      <c r="AZ8015" s="806"/>
      <c r="BA8015" s="806"/>
      <c r="BB8015" s="806"/>
    </row>
    <row r="8016" spans="4:54">
      <c r="D8016" s="806"/>
      <c r="F8016" s="806"/>
      <c r="W8016" s="806"/>
      <c r="AZ8016" s="806"/>
      <c r="BA8016" s="806"/>
      <c r="BB8016" s="806"/>
    </row>
    <row r="8017" spans="4:54">
      <c r="D8017" s="806"/>
      <c r="F8017" s="806"/>
      <c r="W8017" s="806"/>
      <c r="AZ8017" s="806"/>
      <c r="BA8017" s="806"/>
      <c r="BB8017" s="806"/>
    </row>
    <row r="8018" spans="4:54">
      <c r="D8018" s="806"/>
      <c r="F8018" s="806"/>
      <c r="W8018" s="806"/>
      <c r="AZ8018" s="806"/>
      <c r="BA8018" s="806"/>
      <c r="BB8018" s="806"/>
    </row>
    <row r="8019" spans="4:54">
      <c r="D8019" s="806"/>
      <c r="F8019" s="806"/>
      <c r="W8019" s="806"/>
      <c r="AZ8019" s="806"/>
      <c r="BA8019" s="806"/>
      <c r="BB8019" s="806"/>
    </row>
    <row r="8020" spans="4:54">
      <c r="D8020" s="806"/>
      <c r="F8020" s="806"/>
      <c r="W8020" s="806"/>
      <c r="AZ8020" s="806"/>
      <c r="BA8020" s="806"/>
      <c r="BB8020" s="806"/>
    </row>
    <row r="8021" spans="4:54">
      <c r="D8021" s="806"/>
      <c r="F8021" s="806"/>
      <c r="W8021" s="806"/>
      <c r="AZ8021" s="806"/>
      <c r="BA8021" s="806"/>
      <c r="BB8021" s="806"/>
    </row>
    <row r="8022" spans="4:54">
      <c r="D8022" s="806"/>
      <c r="F8022" s="806"/>
      <c r="W8022" s="806"/>
      <c r="AZ8022" s="806"/>
      <c r="BA8022" s="806"/>
      <c r="BB8022" s="806"/>
    </row>
    <row r="8023" spans="4:54">
      <c r="D8023" s="806"/>
      <c r="F8023" s="806"/>
      <c r="W8023" s="806"/>
      <c r="AZ8023" s="806"/>
      <c r="BA8023" s="806"/>
      <c r="BB8023" s="806"/>
    </row>
    <row r="8024" spans="4:54">
      <c r="D8024" s="806"/>
      <c r="F8024" s="806"/>
      <c r="W8024" s="806"/>
      <c r="AZ8024" s="806"/>
      <c r="BA8024" s="806"/>
      <c r="BB8024" s="806"/>
    </row>
    <row r="8025" spans="4:54">
      <c r="D8025" s="806"/>
      <c r="F8025" s="806"/>
      <c r="W8025" s="806"/>
      <c r="AZ8025" s="806"/>
      <c r="BA8025" s="806"/>
      <c r="BB8025" s="806"/>
    </row>
    <row r="8026" spans="4:54">
      <c r="D8026" s="806"/>
      <c r="F8026" s="806"/>
      <c r="W8026" s="806"/>
      <c r="AZ8026" s="806"/>
      <c r="BA8026" s="806"/>
      <c r="BB8026" s="806"/>
    </row>
    <row r="8027" spans="4:54">
      <c r="D8027" s="806"/>
      <c r="F8027" s="806"/>
      <c r="W8027" s="806"/>
      <c r="AZ8027" s="806"/>
      <c r="BA8027" s="806"/>
      <c r="BB8027" s="806"/>
    </row>
    <row r="8028" spans="4:54">
      <c r="D8028" s="806"/>
      <c r="F8028" s="806"/>
      <c r="W8028" s="806"/>
      <c r="AZ8028" s="806"/>
      <c r="BA8028" s="806"/>
      <c r="BB8028" s="806"/>
    </row>
    <row r="8029" spans="4:54">
      <c r="D8029" s="806"/>
      <c r="F8029" s="806"/>
      <c r="W8029" s="806"/>
      <c r="AZ8029" s="806"/>
      <c r="BA8029" s="806"/>
      <c r="BB8029" s="806"/>
    </row>
    <row r="8030" spans="4:54">
      <c r="D8030" s="806"/>
      <c r="F8030" s="806"/>
      <c r="W8030" s="806"/>
      <c r="AZ8030" s="806"/>
      <c r="BA8030" s="806"/>
      <c r="BB8030" s="806"/>
    </row>
    <row r="8031" spans="4:54">
      <c r="D8031" s="806"/>
      <c r="F8031" s="806"/>
      <c r="W8031" s="806"/>
      <c r="AZ8031" s="806"/>
      <c r="BA8031" s="806"/>
      <c r="BB8031" s="806"/>
    </row>
    <row r="8032" spans="4:54">
      <c r="D8032" s="806"/>
      <c r="F8032" s="806"/>
      <c r="W8032" s="806"/>
      <c r="AZ8032" s="806"/>
      <c r="BA8032" s="806"/>
      <c r="BB8032" s="806"/>
    </row>
    <row r="8033" spans="4:54">
      <c r="D8033" s="806"/>
      <c r="F8033" s="806"/>
      <c r="W8033" s="806"/>
      <c r="AZ8033" s="806"/>
      <c r="BA8033" s="806"/>
      <c r="BB8033" s="806"/>
    </row>
    <row r="8034" spans="4:54">
      <c r="D8034" s="806"/>
      <c r="F8034" s="806"/>
      <c r="W8034" s="806"/>
      <c r="AZ8034" s="806"/>
      <c r="BA8034" s="806"/>
      <c r="BB8034" s="806"/>
    </row>
    <row r="8035" spans="4:54">
      <c r="D8035" s="806"/>
      <c r="F8035" s="806"/>
      <c r="W8035" s="806"/>
      <c r="AZ8035" s="806"/>
      <c r="BA8035" s="806"/>
      <c r="BB8035" s="806"/>
    </row>
    <row r="8036" spans="4:54">
      <c r="D8036" s="806"/>
      <c r="F8036" s="806"/>
      <c r="W8036" s="806"/>
      <c r="AZ8036" s="806"/>
      <c r="BA8036" s="806"/>
      <c r="BB8036" s="806"/>
    </row>
    <row r="8037" spans="4:54">
      <c r="D8037" s="806"/>
      <c r="F8037" s="806"/>
      <c r="W8037" s="806"/>
      <c r="AZ8037" s="806"/>
      <c r="BA8037" s="806"/>
      <c r="BB8037" s="806"/>
    </row>
    <row r="8038" spans="4:54">
      <c r="D8038" s="806"/>
      <c r="F8038" s="806"/>
      <c r="W8038" s="806"/>
      <c r="AZ8038" s="806"/>
      <c r="BA8038" s="806"/>
      <c r="BB8038" s="806"/>
    </row>
    <row r="8039" spans="4:54">
      <c r="D8039" s="806"/>
      <c r="F8039" s="806"/>
      <c r="W8039" s="806"/>
      <c r="AZ8039" s="806"/>
      <c r="BA8039" s="806"/>
      <c r="BB8039" s="806"/>
    </row>
    <row r="8040" spans="4:54">
      <c r="D8040" s="806"/>
      <c r="F8040" s="806"/>
      <c r="W8040" s="806"/>
      <c r="AZ8040" s="806"/>
      <c r="BA8040" s="806"/>
      <c r="BB8040" s="806"/>
    </row>
    <row r="8041" spans="4:54">
      <c r="D8041" s="806"/>
      <c r="F8041" s="806"/>
      <c r="W8041" s="806"/>
      <c r="AZ8041" s="806"/>
      <c r="BA8041" s="806"/>
      <c r="BB8041" s="806"/>
    </row>
    <row r="8042" spans="4:54">
      <c r="D8042" s="806"/>
      <c r="F8042" s="806"/>
      <c r="W8042" s="806"/>
      <c r="AZ8042" s="806"/>
      <c r="BA8042" s="806"/>
      <c r="BB8042" s="806"/>
    </row>
    <row r="8043" spans="4:54">
      <c r="D8043" s="806"/>
      <c r="F8043" s="806"/>
      <c r="W8043" s="806"/>
      <c r="AZ8043" s="806"/>
      <c r="BA8043" s="806"/>
      <c r="BB8043" s="806"/>
    </row>
    <row r="8044" spans="4:54">
      <c r="D8044" s="806"/>
      <c r="F8044" s="806"/>
      <c r="W8044" s="806"/>
      <c r="AZ8044" s="806"/>
      <c r="BA8044" s="806"/>
      <c r="BB8044" s="806"/>
    </row>
    <row r="8045" spans="4:54">
      <c r="D8045" s="806"/>
      <c r="F8045" s="806"/>
      <c r="W8045" s="806"/>
      <c r="AZ8045" s="806"/>
      <c r="BA8045" s="806"/>
      <c r="BB8045" s="806"/>
    </row>
    <row r="8046" spans="4:54">
      <c r="D8046" s="806"/>
      <c r="F8046" s="806"/>
      <c r="W8046" s="806"/>
      <c r="AZ8046" s="806"/>
      <c r="BA8046" s="806"/>
      <c r="BB8046" s="806"/>
    </row>
    <row r="8047" spans="4:54">
      <c r="D8047" s="806"/>
      <c r="F8047" s="806"/>
      <c r="W8047" s="806"/>
      <c r="AZ8047" s="806"/>
      <c r="BA8047" s="806"/>
      <c r="BB8047" s="806"/>
    </row>
    <row r="8048" spans="4:54">
      <c r="D8048" s="806"/>
      <c r="F8048" s="806"/>
      <c r="W8048" s="806"/>
      <c r="AZ8048" s="806"/>
      <c r="BA8048" s="806"/>
      <c r="BB8048" s="806"/>
    </row>
    <row r="8049" spans="4:54">
      <c r="D8049" s="806"/>
      <c r="F8049" s="806"/>
      <c r="W8049" s="806"/>
      <c r="AZ8049" s="806"/>
      <c r="BA8049" s="806"/>
      <c r="BB8049" s="806"/>
    </row>
    <row r="8050" spans="4:54">
      <c r="D8050" s="806"/>
      <c r="F8050" s="806"/>
      <c r="W8050" s="806"/>
      <c r="AZ8050" s="806"/>
      <c r="BA8050" s="806"/>
      <c r="BB8050" s="806"/>
    </row>
    <row r="8051" spans="4:54">
      <c r="D8051" s="806"/>
      <c r="F8051" s="806"/>
      <c r="W8051" s="806"/>
      <c r="AZ8051" s="806"/>
      <c r="BA8051" s="806"/>
      <c r="BB8051" s="806"/>
    </row>
    <row r="8052" spans="4:54">
      <c r="D8052" s="806"/>
      <c r="F8052" s="806"/>
      <c r="W8052" s="806"/>
      <c r="AZ8052" s="806"/>
      <c r="BA8052" s="806"/>
      <c r="BB8052" s="806"/>
    </row>
    <row r="8053" spans="4:54">
      <c r="D8053" s="806"/>
      <c r="F8053" s="806"/>
      <c r="W8053" s="806"/>
      <c r="AZ8053" s="806"/>
      <c r="BA8053" s="806"/>
      <c r="BB8053" s="806"/>
    </row>
    <row r="8054" spans="4:54">
      <c r="D8054" s="806"/>
      <c r="F8054" s="806"/>
      <c r="W8054" s="806"/>
      <c r="AZ8054" s="806"/>
      <c r="BA8054" s="806"/>
      <c r="BB8054" s="806"/>
    </row>
    <row r="8055" spans="4:54">
      <c r="D8055" s="806"/>
      <c r="F8055" s="806"/>
      <c r="W8055" s="806"/>
      <c r="AZ8055" s="806"/>
      <c r="BA8055" s="806"/>
      <c r="BB8055" s="806"/>
    </row>
    <row r="8056" spans="4:54">
      <c r="D8056" s="806"/>
      <c r="F8056" s="806"/>
      <c r="W8056" s="806"/>
      <c r="AZ8056" s="806"/>
      <c r="BA8056" s="806"/>
      <c r="BB8056" s="806"/>
    </row>
    <row r="8057" spans="4:54">
      <c r="D8057" s="806"/>
      <c r="F8057" s="806"/>
      <c r="W8057" s="806"/>
      <c r="AZ8057" s="806"/>
      <c r="BA8057" s="806"/>
      <c r="BB8057" s="806"/>
    </row>
    <row r="8058" spans="4:54">
      <c r="D8058" s="806"/>
      <c r="F8058" s="806"/>
      <c r="W8058" s="806"/>
      <c r="AZ8058" s="806"/>
      <c r="BA8058" s="806"/>
      <c r="BB8058" s="806"/>
    </row>
    <row r="8059" spans="4:54">
      <c r="D8059" s="806"/>
      <c r="F8059" s="806"/>
      <c r="W8059" s="806"/>
      <c r="AZ8059" s="806"/>
      <c r="BA8059" s="806"/>
      <c r="BB8059" s="806"/>
    </row>
    <row r="8060" spans="4:54">
      <c r="D8060" s="806"/>
      <c r="F8060" s="806"/>
      <c r="W8060" s="806"/>
      <c r="AZ8060" s="806"/>
      <c r="BA8060" s="806"/>
      <c r="BB8060" s="806"/>
    </row>
    <row r="8061" spans="4:54">
      <c r="D8061" s="806"/>
      <c r="F8061" s="806"/>
      <c r="W8061" s="806"/>
      <c r="AZ8061" s="806"/>
      <c r="BA8061" s="806"/>
      <c r="BB8061" s="806"/>
    </row>
    <row r="8062" spans="4:54">
      <c r="D8062" s="806"/>
      <c r="F8062" s="806"/>
      <c r="W8062" s="806"/>
      <c r="AZ8062" s="806"/>
      <c r="BA8062" s="806"/>
      <c r="BB8062" s="806"/>
    </row>
    <row r="8063" spans="4:54">
      <c r="D8063" s="806"/>
      <c r="F8063" s="806"/>
      <c r="W8063" s="806"/>
      <c r="AZ8063" s="806"/>
      <c r="BA8063" s="806"/>
      <c r="BB8063" s="806"/>
    </row>
    <row r="8064" spans="4:54">
      <c r="D8064" s="806"/>
      <c r="F8064" s="806"/>
      <c r="W8064" s="806"/>
      <c r="AZ8064" s="806"/>
      <c r="BA8064" s="806"/>
      <c r="BB8064" s="806"/>
    </row>
    <row r="8065" spans="4:54">
      <c r="D8065" s="806"/>
      <c r="F8065" s="806"/>
      <c r="W8065" s="806"/>
      <c r="AZ8065" s="806"/>
      <c r="BA8065" s="806"/>
      <c r="BB8065" s="806"/>
    </row>
    <row r="8066" spans="4:54">
      <c r="D8066" s="806"/>
      <c r="F8066" s="806"/>
      <c r="W8066" s="806"/>
      <c r="AZ8066" s="806"/>
      <c r="BA8066" s="806"/>
      <c r="BB8066" s="806"/>
    </row>
    <row r="8067" spans="4:54">
      <c r="D8067" s="806"/>
      <c r="F8067" s="806"/>
      <c r="W8067" s="806"/>
      <c r="AZ8067" s="806"/>
      <c r="BA8067" s="806"/>
      <c r="BB8067" s="806"/>
    </row>
    <row r="8068" spans="4:54">
      <c r="D8068" s="806"/>
      <c r="F8068" s="806"/>
      <c r="W8068" s="806"/>
      <c r="AZ8068" s="806"/>
      <c r="BA8068" s="806"/>
      <c r="BB8068" s="806"/>
    </row>
    <row r="8069" spans="4:54">
      <c r="D8069" s="806"/>
      <c r="F8069" s="806"/>
      <c r="W8069" s="806"/>
      <c r="AZ8069" s="806"/>
      <c r="BA8069" s="806"/>
      <c r="BB8069" s="806"/>
    </row>
    <row r="8070" spans="4:54">
      <c r="D8070" s="806"/>
      <c r="F8070" s="806"/>
      <c r="W8070" s="806"/>
      <c r="AZ8070" s="806"/>
      <c r="BA8070" s="806"/>
      <c r="BB8070" s="806"/>
    </row>
    <row r="8071" spans="4:54">
      <c r="D8071" s="806"/>
      <c r="F8071" s="806"/>
      <c r="W8071" s="806"/>
      <c r="AZ8071" s="806"/>
      <c r="BA8071" s="806"/>
      <c r="BB8071" s="806"/>
    </row>
    <row r="8072" spans="4:54">
      <c r="D8072" s="806"/>
      <c r="F8072" s="806"/>
      <c r="W8072" s="806"/>
      <c r="AZ8072" s="806"/>
      <c r="BA8072" s="806"/>
      <c r="BB8072" s="806"/>
    </row>
    <row r="8073" spans="4:54">
      <c r="D8073" s="806"/>
      <c r="F8073" s="806"/>
      <c r="W8073" s="806"/>
      <c r="AZ8073" s="806"/>
      <c r="BA8073" s="806"/>
      <c r="BB8073" s="806"/>
    </row>
    <row r="8074" spans="4:54">
      <c r="D8074" s="806"/>
      <c r="F8074" s="806"/>
      <c r="W8074" s="806"/>
      <c r="AZ8074" s="806"/>
      <c r="BA8074" s="806"/>
      <c r="BB8074" s="806"/>
    </row>
    <row r="8075" spans="4:54">
      <c r="D8075" s="806"/>
      <c r="F8075" s="806"/>
      <c r="W8075" s="806"/>
      <c r="AZ8075" s="806"/>
      <c r="BA8075" s="806"/>
      <c r="BB8075" s="806"/>
    </row>
    <row r="8076" spans="4:54">
      <c r="D8076" s="806"/>
      <c r="F8076" s="806"/>
      <c r="W8076" s="806"/>
      <c r="AZ8076" s="806"/>
      <c r="BA8076" s="806"/>
      <c r="BB8076" s="806"/>
    </row>
    <row r="8077" spans="4:54">
      <c r="D8077" s="806"/>
      <c r="F8077" s="806"/>
      <c r="W8077" s="806"/>
      <c r="AZ8077" s="806"/>
      <c r="BA8077" s="806"/>
      <c r="BB8077" s="806"/>
    </row>
    <row r="8078" spans="4:54">
      <c r="D8078" s="806"/>
      <c r="F8078" s="806"/>
      <c r="W8078" s="806"/>
      <c r="AZ8078" s="806"/>
      <c r="BA8078" s="806"/>
      <c r="BB8078" s="806"/>
    </row>
    <row r="8079" spans="4:54">
      <c r="D8079" s="806"/>
      <c r="F8079" s="806"/>
      <c r="W8079" s="806"/>
      <c r="AZ8079" s="806"/>
      <c r="BA8079" s="806"/>
      <c r="BB8079" s="806"/>
    </row>
    <row r="8080" spans="4:54">
      <c r="D8080" s="806"/>
      <c r="F8080" s="806"/>
      <c r="W8080" s="806"/>
      <c r="AZ8080" s="806"/>
      <c r="BA8080" s="806"/>
      <c r="BB8080" s="806"/>
    </row>
    <row r="8081" spans="4:54">
      <c r="D8081" s="806"/>
      <c r="F8081" s="806"/>
      <c r="W8081" s="806"/>
      <c r="AZ8081" s="806"/>
      <c r="BA8081" s="806"/>
      <c r="BB8081" s="806"/>
    </row>
    <row r="8082" spans="4:54">
      <c r="D8082" s="806"/>
      <c r="F8082" s="806"/>
      <c r="W8082" s="806"/>
      <c r="AZ8082" s="806"/>
      <c r="BA8082" s="806"/>
      <c r="BB8082" s="806"/>
    </row>
    <row r="8083" spans="4:54">
      <c r="D8083" s="806"/>
      <c r="F8083" s="806"/>
      <c r="W8083" s="806"/>
      <c r="AZ8083" s="806"/>
      <c r="BA8083" s="806"/>
      <c r="BB8083" s="806"/>
    </row>
    <row r="8084" spans="4:54">
      <c r="D8084" s="806"/>
      <c r="F8084" s="806"/>
      <c r="W8084" s="806"/>
      <c r="AZ8084" s="806"/>
      <c r="BA8084" s="806"/>
      <c r="BB8084" s="806"/>
    </row>
    <row r="8085" spans="4:54">
      <c r="D8085" s="806"/>
      <c r="F8085" s="806"/>
      <c r="W8085" s="806"/>
      <c r="AZ8085" s="806"/>
      <c r="BA8085" s="806"/>
      <c r="BB8085" s="806"/>
    </row>
    <row r="8086" spans="4:54">
      <c r="D8086" s="806"/>
      <c r="F8086" s="806"/>
      <c r="W8086" s="806"/>
      <c r="AZ8086" s="806"/>
      <c r="BA8086" s="806"/>
      <c r="BB8086" s="806"/>
    </row>
    <row r="8087" spans="4:54">
      <c r="D8087" s="806"/>
      <c r="F8087" s="806"/>
      <c r="W8087" s="806"/>
      <c r="AZ8087" s="806"/>
      <c r="BA8087" s="806"/>
      <c r="BB8087" s="806"/>
    </row>
    <row r="8088" spans="4:54">
      <c r="D8088" s="806"/>
      <c r="F8088" s="806"/>
      <c r="W8088" s="806"/>
      <c r="AZ8088" s="806"/>
      <c r="BA8088" s="806"/>
      <c r="BB8088" s="806"/>
    </row>
    <row r="8089" spans="4:54">
      <c r="D8089" s="806"/>
      <c r="F8089" s="806"/>
      <c r="W8089" s="806"/>
      <c r="AZ8089" s="806"/>
      <c r="BA8089" s="806"/>
      <c r="BB8089" s="806"/>
    </row>
    <row r="8090" spans="4:54">
      <c r="D8090" s="806"/>
      <c r="F8090" s="806"/>
      <c r="W8090" s="806"/>
      <c r="AZ8090" s="806"/>
      <c r="BA8090" s="806"/>
      <c r="BB8090" s="806"/>
    </row>
    <row r="8091" spans="4:54">
      <c r="D8091" s="806"/>
      <c r="F8091" s="806"/>
      <c r="W8091" s="806"/>
      <c r="AZ8091" s="806"/>
      <c r="BA8091" s="806"/>
      <c r="BB8091" s="806"/>
    </row>
    <row r="8092" spans="4:54">
      <c r="D8092" s="806"/>
      <c r="F8092" s="806"/>
      <c r="W8092" s="806"/>
      <c r="AZ8092" s="806"/>
      <c r="BA8092" s="806"/>
      <c r="BB8092" s="806"/>
    </row>
    <row r="8093" spans="4:54">
      <c r="D8093" s="806"/>
      <c r="F8093" s="806"/>
      <c r="W8093" s="806"/>
      <c r="AZ8093" s="806"/>
      <c r="BA8093" s="806"/>
      <c r="BB8093" s="806"/>
    </row>
    <row r="8094" spans="4:54">
      <c r="D8094" s="806"/>
      <c r="F8094" s="806"/>
      <c r="W8094" s="806"/>
      <c r="AZ8094" s="806"/>
      <c r="BA8094" s="806"/>
      <c r="BB8094" s="806"/>
    </row>
    <row r="8095" spans="4:54">
      <c r="D8095" s="806"/>
      <c r="F8095" s="806"/>
      <c r="W8095" s="806"/>
      <c r="AZ8095" s="806"/>
      <c r="BA8095" s="806"/>
      <c r="BB8095" s="806"/>
    </row>
    <row r="8096" spans="4:54">
      <c r="D8096" s="806"/>
      <c r="F8096" s="806"/>
      <c r="W8096" s="806"/>
      <c r="AZ8096" s="806"/>
      <c r="BA8096" s="806"/>
      <c r="BB8096" s="806"/>
    </row>
    <row r="8097" spans="4:54">
      <c r="D8097" s="806"/>
      <c r="F8097" s="806"/>
      <c r="W8097" s="806"/>
      <c r="AZ8097" s="806"/>
      <c r="BA8097" s="806"/>
      <c r="BB8097" s="806"/>
    </row>
    <row r="8098" spans="4:54">
      <c r="D8098" s="806"/>
      <c r="F8098" s="806"/>
      <c r="W8098" s="806"/>
      <c r="AZ8098" s="806"/>
      <c r="BA8098" s="806"/>
      <c r="BB8098" s="806"/>
    </row>
    <row r="8099" spans="4:54">
      <c r="D8099" s="806"/>
      <c r="F8099" s="806"/>
      <c r="W8099" s="806"/>
      <c r="AZ8099" s="806"/>
      <c r="BA8099" s="806"/>
      <c r="BB8099" s="806"/>
    </row>
    <row r="8100" spans="4:54">
      <c r="D8100" s="806"/>
      <c r="F8100" s="806"/>
      <c r="W8100" s="806"/>
      <c r="AZ8100" s="806"/>
      <c r="BA8100" s="806"/>
      <c r="BB8100" s="806"/>
    </row>
    <row r="8101" spans="4:54">
      <c r="D8101" s="806"/>
      <c r="F8101" s="806"/>
      <c r="W8101" s="806"/>
      <c r="AZ8101" s="806"/>
      <c r="BA8101" s="806"/>
      <c r="BB8101" s="806"/>
    </row>
    <row r="8102" spans="4:54">
      <c r="D8102" s="806"/>
      <c r="F8102" s="806"/>
      <c r="W8102" s="806"/>
      <c r="AZ8102" s="806"/>
      <c r="BA8102" s="806"/>
      <c r="BB8102" s="806"/>
    </row>
    <row r="8103" spans="4:54">
      <c r="D8103" s="806"/>
      <c r="F8103" s="806"/>
      <c r="W8103" s="806"/>
      <c r="AZ8103" s="806"/>
      <c r="BA8103" s="806"/>
      <c r="BB8103" s="806"/>
    </row>
    <row r="8104" spans="4:54">
      <c r="D8104" s="806"/>
      <c r="F8104" s="806"/>
      <c r="W8104" s="806"/>
      <c r="AZ8104" s="806"/>
      <c r="BA8104" s="806"/>
      <c r="BB8104" s="806"/>
    </row>
    <row r="8105" spans="4:54">
      <c r="D8105" s="806"/>
      <c r="F8105" s="806"/>
      <c r="W8105" s="806"/>
      <c r="AZ8105" s="806"/>
      <c r="BA8105" s="806"/>
      <c r="BB8105" s="806"/>
    </row>
    <row r="8106" spans="4:54">
      <c r="D8106" s="806"/>
      <c r="F8106" s="806"/>
      <c r="W8106" s="806"/>
      <c r="AZ8106" s="806"/>
      <c r="BA8106" s="806"/>
      <c r="BB8106" s="806"/>
    </row>
    <row r="8107" spans="4:54">
      <c r="D8107" s="806"/>
      <c r="F8107" s="806"/>
      <c r="W8107" s="806"/>
      <c r="AZ8107" s="806"/>
      <c r="BA8107" s="806"/>
      <c r="BB8107" s="806"/>
    </row>
    <row r="8108" spans="4:54">
      <c r="D8108" s="806"/>
      <c r="F8108" s="806"/>
      <c r="W8108" s="806"/>
      <c r="AZ8108" s="806"/>
      <c r="BA8108" s="806"/>
      <c r="BB8108" s="806"/>
    </row>
    <row r="8109" spans="4:54">
      <c r="D8109" s="806"/>
      <c r="F8109" s="806"/>
      <c r="W8109" s="806"/>
      <c r="AZ8109" s="806"/>
      <c r="BA8109" s="806"/>
      <c r="BB8109" s="806"/>
    </row>
    <row r="8110" spans="4:54">
      <c r="D8110" s="806"/>
      <c r="F8110" s="806"/>
      <c r="W8110" s="806"/>
      <c r="AZ8110" s="806"/>
      <c r="BA8110" s="806"/>
      <c r="BB8110" s="806"/>
    </row>
    <row r="8111" spans="4:54">
      <c r="D8111" s="806"/>
      <c r="F8111" s="806"/>
      <c r="W8111" s="806"/>
      <c r="AZ8111" s="806"/>
      <c r="BA8111" s="806"/>
      <c r="BB8111" s="806"/>
    </row>
    <row r="8112" spans="4:54">
      <c r="D8112" s="806"/>
      <c r="F8112" s="806"/>
      <c r="W8112" s="806"/>
      <c r="AZ8112" s="806"/>
      <c r="BA8112" s="806"/>
      <c r="BB8112" s="806"/>
    </row>
    <row r="8113" spans="4:54">
      <c r="D8113" s="806"/>
      <c r="F8113" s="806"/>
      <c r="W8113" s="806"/>
      <c r="AZ8113" s="806"/>
      <c r="BA8113" s="806"/>
      <c r="BB8113" s="806"/>
    </row>
    <row r="8114" spans="4:54">
      <c r="D8114" s="806"/>
      <c r="F8114" s="806"/>
      <c r="W8114" s="806"/>
      <c r="AZ8114" s="806"/>
      <c r="BA8114" s="806"/>
      <c r="BB8114" s="806"/>
    </row>
    <row r="8115" spans="4:54">
      <c r="D8115" s="806"/>
      <c r="F8115" s="806"/>
      <c r="W8115" s="806"/>
      <c r="AZ8115" s="806"/>
      <c r="BA8115" s="806"/>
      <c r="BB8115" s="806"/>
    </row>
    <row r="8116" spans="4:54">
      <c r="D8116" s="806"/>
      <c r="F8116" s="806"/>
      <c r="W8116" s="806"/>
      <c r="AZ8116" s="806"/>
      <c r="BA8116" s="806"/>
      <c r="BB8116" s="806"/>
    </row>
    <row r="8117" spans="4:54">
      <c r="D8117" s="806"/>
      <c r="F8117" s="806"/>
      <c r="W8117" s="806"/>
      <c r="AZ8117" s="806"/>
      <c r="BA8117" s="806"/>
      <c r="BB8117" s="806"/>
    </row>
    <row r="8118" spans="4:54">
      <c r="D8118" s="806"/>
      <c r="F8118" s="806"/>
      <c r="W8118" s="806"/>
      <c r="AZ8118" s="806"/>
      <c r="BA8118" s="806"/>
      <c r="BB8118" s="806"/>
    </row>
    <row r="8119" spans="4:54">
      <c r="D8119" s="806"/>
      <c r="F8119" s="806"/>
      <c r="W8119" s="806"/>
      <c r="AZ8119" s="806"/>
      <c r="BA8119" s="806"/>
      <c r="BB8119" s="806"/>
    </row>
    <row r="8120" spans="4:54">
      <c r="D8120" s="806"/>
      <c r="F8120" s="806"/>
      <c r="W8120" s="806"/>
      <c r="AZ8120" s="806"/>
      <c r="BA8120" s="806"/>
      <c r="BB8120" s="806"/>
    </row>
    <row r="8121" spans="4:54">
      <c r="D8121" s="806"/>
      <c r="F8121" s="806"/>
      <c r="W8121" s="806"/>
      <c r="AZ8121" s="806"/>
      <c r="BA8121" s="806"/>
      <c r="BB8121" s="806"/>
    </row>
    <row r="8122" spans="4:54">
      <c r="D8122" s="806"/>
      <c r="F8122" s="806"/>
      <c r="W8122" s="806"/>
      <c r="AZ8122" s="806"/>
      <c r="BA8122" s="806"/>
      <c r="BB8122" s="806"/>
    </row>
    <row r="8123" spans="4:54">
      <c r="D8123" s="806"/>
      <c r="F8123" s="806"/>
      <c r="W8123" s="806"/>
      <c r="AZ8123" s="806"/>
      <c r="BA8123" s="806"/>
      <c r="BB8123" s="806"/>
    </row>
    <row r="8124" spans="4:54">
      <c r="D8124" s="806"/>
      <c r="F8124" s="806"/>
      <c r="W8124" s="806"/>
      <c r="AZ8124" s="806"/>
      <c r="BA8124" s="806"/>
      <c r="BB8124" s="806"/>
    </row>
    <row r="8125" spans="4:54">
      <c r="D8125" s="806"/>
      <c r="F8125" s="806"/>
      <c r="W8125" s="806"/>
      <c r="AZ8125" s="806"/>
      <c r="BA8125" s="806"/>
      <c r="BB8125" s="806"/>
    </row>
    <row r="8126" spans="4:54">
      <c r="D8126" s="806"/>
      <c r="F8126" s="806"/>
      <c r="W8126" s="806"/>
      <c r="AZ8126" s="806"/>
      <c r="BA8126" s="806"/>
      <c r="BB8126" s="806"/>
    </row>
    <row r="8127" spans="4:54">
      <c r="D8127" s="806"/>
      <c r="F8127" s="806"/>
      <c r="W8127" s="806"/>
      <c r="AZ8127" s="806"/>
      <c r="BA8127" s="806"/>
      <c r="BB8127" s="806"/>
    </row>
    <row r="8128" spans="4:54">
      <c r="D8128" s="806"/>
      <c r="F8128" s="806"/>
      <c r="W8128" s="806"/>
      <c r="AZ8128" s="806"/>
      <c r="BA8128" s="806"/>
      <c r="BB8128" s="806"/>
    </row>
    <row r="8129" spans="4:54">
      <c r="D8129" s="806"/>
      <c r="F8129" s="806"/>
      <c r="W8129" s="806"/>
      <c r="AZ8129" s="806"/>
      <c r="BA8129" s="806"/>
      <c r="BB8129" s="806"/>
    </row>
    <row r="8130" spans="4:54">
      <c r="D8130" s="806"/>
      <c r="F8130" s="806"/>
      <c r="W8130" s="806"/>
      <c r="AZ8130" s="806"/>
      <c r="BA8130" s="806"/>
      <c r="BB8130" s="806"/>
    </row>
    <row r="8131" spans="4:54">
      <c r="D8131" s="806"/>
      <c r="F8131" s="806"/>
      <c r="W8131" s="806"/>
      <c r="AZ8131" s="806"/>
      <c r="BA8131" s="806"/>
      <c r="BB8131" s="806"/>
    </row>
    <row r="8132" spans="4:54">
      <c r="D8132" s="806"/>
      <c r="F8132" s="806"/>
      <c r="W8132" s="806"/>
      <c r="AZ8132" s="806"/>
      <c r="BA8132" s="806"/>
      <c r="BB8132" s="806"/>
    </row>
    <row r="8133" spans="4:54">
      <c r="D8133" s="806"/>
      <c r="F8133" s="806"/>
      <c r="W8133" s="806"/>
      <c r="AZ8133" s="806"/>
      <c r="BA8133" s="806"/>
      <c r="BB8133" s="806"/>
    </row>
    <row r="8134" spans="4:54">
      <c r="D8134" s="806"/>
      <c r="F8134" s="806"/>
      <c r="W8134" s="806"/>
      <c r="AZ8134" s="806"/>
      <c r="BA8134" s="806"/>
      <c r="BB8134" s="806"/>
    </row>
    <row r="8135" spans="4:54">
      <c r="D8135" s="806"/>
      <c r="F8135" s="806"/>
      <c r="W8135" s="806"/>
      <c r="AZ8135" s="806"/>
      <c r="BA8135" s="806"/>
      <c r="BB8135" s="806"/>
    </row>
    <row r="8136" spans="4:54">
      <c r="D8136" s="806"/>
      <c r="F8136" s="806"/>
      <c r="W8136" s="806"/>
      <c r="AZ8136" s="806"/>
      <c r="BA8136" s="806"/>
      <c r="BB8136" s="806"/>
    </row>
    <row r="8137" spans="4:54">
      <c r="D8137" s="806"/>
      <c r="F8137" s="806"/>
      <c r="W8137" s="806"/>
      <c r="AZ8137" s="806"/>
      <c r="BA8137" s="806"/>
      <c r="BB8137" s="806"/>
    </row>
    <row r="8138" spans="4:54">
      <c r="D8138" s="806"/>
      <c r="F8138" s="806"/>
      <c r="W8138" s="806"/>
      <c r="AZ8138" s="806"/>
      <c r="BA8138" s="806"/>
      <c r="BB8138" s="806"/>
    </row>
    <row r="8139" spans="4:54">
      <c r="D8139" s="806"/>
      <c r="F8139" s="806"/>
      <c r="W8139" s="806"/>
      <c r="AZ8139" s="806"/>
      <c r="BA8139" s="806"/>
      <c r="BB8139" s="806"/>
    </row>
    <row r="8140" spans="4:54">
      <c r="D8140" s="806"/>
      <c r="F8140" s="806"/>
      <c r="W8140" s="806"/>
      <c r="AZ8140" s="806"/>
      <c r="BA8140" s="806"/>
      <c r="BB8140" s="806"/>
    </row>
    <row r="8141" spans="4:54">
      <c r="D8141" s="806"/>
      <c r="F8141" s="806"/>
      <c r="W8141" s="806"/>
      <c r="AZ8141" s="806"/>
      <c r="BA8141" s="806"/>
      <c r="BB8141" s="806"/>
    </row>
    <row r="8142" spans="4:54">
      <c r="D8142" s="806"/>
      <c r="F8142" s="806"/>
      <c r="W8142" s="806"/>
      <c r="AZ8142" s="806"/>
      <c r="BA8142" s="806"/>
      <c r="BB8142" s="806"/>
    </row>
    <row r="8143" spans="4:54">
      <c r="D8143" s="806"/>
      <c r="F8143" s="806"/>
      <c r="W8143" s="806"/>
      <c r="AZ8143" s="806"/>
      <c r="BA8143" s="806"/>
      <c r="BB8143" s="806"/>
    </row>
    <row r="8144" spans="4:54">
      <c r="D8144" s="806"/>
      <c r="F8144" s="806"/>
      <c r="W8144" s="806"/>
      <c r="AZ8144" s="806"/>
      <c r="BA8144" s="806"/>
      <c r="BB8144" s="806"/>
    </row>
    <row r="8145" spans="4:54">
      <c r="D8145" s="806"/>
      <c r="F8145" s="806"/>
      <c r="W8145" s="806"/>
      <c r="AZ8145" s="806"/>
      <c r="BA8145" s="806"/>
      <c r="BB8145" s="806"/>
    </row>
    <row r="8146" spans="4:54">
      <c r="D8146" s="806"/>
      <c r="F8146" s="806"/>
      <c r="W8146" s="806"/>
      <c r="AZ8146" s="806"/>
      <c r="BA8146" s="806"/>
      <c r="BB8146" s="806"/>
    </row>
    <row r="8147" spans="4:54">
      <c r="D8147" s="806"/>
      <c r="F8147" s="806"/>
      <c r="W8147" s="806"/>
      <c r="AZ8147" s="806"/>
      <c r="BA8147" s="806"/>
      <c r="BB8147" s="806"/>
    </row>
    <row r="8148" spans="4:54">
      <c r="D8148" s="806"/>
      <c r="F8148" s="806"/>
      <c r="W8148" s="806"/>
      <c r="AZ8148" s="806"/>
      <c r="BA8148" s="806"/>
      <c r="BB8148" s="806"/>
    </row>
    <row r="8149" spans="4:54">
      <c r="D8149" s="806"/>
      <c r="F8149" s="806"/>
      <c r="W8149" s="806"/>
      <c r="AZ8149" s="806"/>
      <c r="BA8149" s="806"/>
      <c r="BB8149" s="806"/>
    </row>
    <row r="8150" spans="4:54">
      <c r="D8150" s="806"/>
      <c r="F8150" s="806"/>
      <c r="W8150" s="806"/>
      <c r="AZ8150" s="806"/>
      <c r="BA8150" s="806"/>
      <c r="BB8150" s="806"/>
    </row>
    <row r="8151" spans="4:54">
      <c r="D8151" s="806"/>
      <c r="F8151" s="806"/>
      <c r="W8151" s="806"/>
      <c r="AZ8151" s="806"/>
      <c r="BA8151" s="806"/>
      <c r="BB8151" s="806"/>
    </row>
    <row r="8152" spans="4:54">
      <c r="D8152" s="806"/>
      <c r="F8152" s="806"/>
      <c r="W8152" s="806"/>
      <c r="AZ8152" s="806"/>
      <c r="BA8152" s="806"/>
      <c r="BB8152" s="806"/>
    </row>
    <row r="8153" spans="4:54">
      <c r="D8153" s="806"/>
      <c r="F8153" s="806"/>
      <c r="W8153" s="806"/>
      <c r="AZ8153" s="806"/>
      <c r="BA8153" s="806"/>
      <c r="BB8153" s="806"/>
    </row>
    <row r="8154" spans="4:54">
      <c r="D8154" s="806"/>
      <c r="F8154" s="806"/>
      <c r="W8154" s="806"/>
      <c r="AZ8154" s="806"/>
      <c r="BA8154" s="806"/>
      <c r="BB8154" s="806"/>
    </row>
    <row r="8155" spans="4:54">
      <c r="D8155" s="806"/>
      <c r="F8155" s="806"/>
      <c r="W8155" s="806"/>
      <c r="AZ8155" s="806"/>
      <c r="BA8155" s="806"/>
      <c r="BB8155" s="806"/>
    </row>
    <row r="8156" spans="4:54">
      <c r="D8156" s="806"/>
      <c r="F8156" s="806"/>
      <c r="W8156" s="806"/>
      <c r="AZ8156" s="806"/>
      <c r="BA8156" s="806"/>
      <c r="BB8156" s="806"/>
    </row>
    <row r="8157" spans="4:54">
      <c r="D8157" s="806"/>
      <c r="F8157" s="806"/>
      <c r="W8157" s="806"/>
      <c r="AZ8157" s="806"/>
      <c r="BA8157" s="806"/>
      <c r="BB8157" s="806"/>
    </row>
    <row r="8158" spans="4:54">
      <c r="D8158" s="806"/>
      <c r="F8158" s="806"/>
      <c r="W8158" s="806"/>
      <c r="AZ8158" s="806"/>
      <c r="BA8158" s="806"/>
      <c r="BB8158" s="806"/>
    </row>
    <row r="8159" spans="4:54">
      <c r="D8159" s="806"/>
      <c r="F8159" s="806"/>
      <c r="W8159" s="806"/>
      <c r="AZ8159" s="806"/>
      <c r="BA8159" s="806"/>
      <c r="BB8159" s="806"/>
    </row>
    <row r="8160" spans="4:54">
      <c r="D8160" s="806"/>
      <c r="F8160" s="806"/>
      <c r="W8160" s="806"/>
      <c r="AZ8160" s="806"/>
      <c r="BA8160" s="806"/>
      <c r="BB8160" s="806"/>
    </row>
    <row r="8161" spans="4:54">
      <c r="D8161" s="806"/>
      <c r="F8161" s="806"/>
      <c r="W8161" s="806"/>
      <c r="AZ8161" s="806"/>
      <c r="BA8161" s="806"/>
      <c r="BB8161" s="806"/>
    </row>
    <row r="8162" spans="4:54">
      <c r="D8162" s="806"/>
      <c r="F8162" s="806"/>
      <c r="W8162" s="806"/>
      <c r="AZ8162" s="806"/>
      <c r="BA8162" s="806"/>
      <c r="BB8162" s="806"/>
    </row>
    <row r="8163" spans="4:54">
      <c r="D8163" s="806"/>
      <c r="F8163" s="806"/>
      <c r="W8163" s="806"/>
      <c r="AZ8163" s="806"/>
      <c r="BA8163" s="806"/>
      <c r="BB8163" s="806"/>
    </row>
    <row r="8164" spans="4:54">
      <c r="D8164" s="806"/>
      <c r="F8164" s="806"/>
      <c r="W8164" s="806"/>
      <c r="AZ8164" s="806"/>
      <c r="BA8164" s="806"/>
      <c r="BB8164" s="806"/>
    </row>
    <row r="8165" spans="4:54">
      <c r="D8165" s="806"/>
      <c r="F8165" s="806"/>
      <c r="W8165" s="806"/>
      <c r="AZ8165" s="806"/>
      <c r="BA8165" s="806"/>
      <c r="BB8165" s="806"/>
    </row>
    <row r="8166" spans="4:54">
      <c r="D8166" s="806"/>
      <c r="F8166" s="806"/>
      <c r="W8166" s="806"/>
      <c r="AZ8166" s="806"/>
      <c r="BA8166" s="806"/>
      <c r="BB8166" s="806"/>
    </row>
    <row r="8167" spans="4:54">
      <c r="D8167" s="806"/>
      <c r="F8167" s="806"/>
      <c r="W8167" s="806"/>
      <c r="AZ8167" s="806"/>
      <c r="BA8167" s="806"/>
      <c r="BB8167" s="806"/>
    </row>
    <row r="8168" spans="4:54">
      <c r="D8168" s="806"/>
      <c r="F8168" s="806"/>
      <c r="W8168" s="806"/>
      <c r="AZ8168" s="806"/>
      <c r="BA8168" s="806"/>
      <c r="BB8168" s="806"/>
    </row>
    <row r="8169" spans="4:54">
      <c r="D8169" s="806"/>
      <c r="F8169" s="806"/>
      <c r="W8169" s="806"/>
      <c r="AZ8169" s="806"/>
      <c r="BA8169" s="806"/>
      <c r="BB8169" s="806"/>
    </row>
    <row r="8170" spans="4:54">
      <c r="D8170" s="806"/>
      <c r="F8170" s="806"/>
      <c r="W8170" s="806"/>
      <c r="AZ8170" s="806"/>
      <c r="BA8170" s="806"/>
      <c r="BB8170" s="806"/>
    </row>
    <row r="8171" spans="4:54">
      <c r="D8171" s="806"/>
      <c r="F8171" s="806"/>
      <c r="W8171" s="806"/>
      <c r="AZ8171" s="806"/>
      <c r="BA8171" s="806"/>
      <c r="BB8171" s="806"/>
    </row>
    <row r="8172" spans="4:54">
      <c r="D8172" s="806"/>
      <c r="F8172" s="806"/>
      <c r="W8172" s="806"/>
      <c r="AZ8172" s="806"/>
      <c r="BA8172" s="806"/>
      <c r="BB8172" s="806"/>
    </row>
    <row r="8173" spans="4:54">
      <c r="D8173" s="806"/>
      <c r="F8173" s="806"/>
      <c r="W8173" s="806"/>
      <c r="AZ8173" s="806"/>
      <c r="BA8173" s="806"/>
      <c r="BB8173" s="806"/>
    </row>
    <row r="8174" spans="4:54">
      <c r="D8174" s="806"/>
      <c r="F8174" s="806"/>
      <c r="W8174" s="806"/>
      <c r="AZ8174" s="806"/>
      <c r="BA8174" s="806"/>
      <c r="BB8174" s="806"/>
    </row>
    <row r="8175" spans="4:54">
      <c r="D8175" s="806"/>
      <c r="F8175" s="806"/>
      <c r="W8175" s="806"/>
      <c r="AZ8175" s="806"/>
      <c r="BA8175" s="806"/>
      <c r="BB8175" s="806"/>
    </row>
    <row r="8176" spans="4:54">
      <c r="D8176" s="806"/>
      <c r="F8176" s="806"/>
      <c r="W8176" s="806"/>
      <c r="AZ8176" s="806"/>
      <c r="BA8176" s="806"/>
      <c r="BB8176" s="806"/>
    </row>
    <row r="8177" spans="4:54">
      <c r="D8177" s="806"/>
      <c r="F8177" s="806"/>
      <c r="W8177" s="806"/>
      <c r="AZ8177" s="806"/>
      <c r="BA8177" s="806"/>
      <c r="BB8177" s="806"/>
    </row>
    <row r="8178" spans="4:54">
      <c r="D8178" s="806"/>
      <c r="F8178" s="806"/>
      <c r="W8178" s="806"/>
      <c r="AZ8178" s="806"/>
      <c r="BA8178" s="806"/>
      <c r="BB8178" s="806"/>
    </row>
    <row r="8179" spans="4:54">
      <c r="D8179" s="806"/>
      <c r="F8179" s="806"/>
      <c r="W8179" s="806"/>
      <c r="AZ8179" s="806"/>
      <c r="BA8179" s="806"/>
      <c r="BB8179" s="806"/>
    </row>
    <row r="8180" spans="4:54">
      <c r="D8180" s="806"/>
      <c r="F8180" s="806"/>
      <c r="W8180" s="806"/>
      <c r="AZ8180" s="806"/>
      <c r="BA8180" s="806"/>
      <c r="BB8180" s="806"/>
    </row>
    <row r="8181" spans="4:54">
      <c r="D8181" s="806"/>
      <c r="F8181" s="806"/>
      <c r="W8181" s="806"/>
      <c r="AZ8181" s="806"/>
      <c r="BA8181" s="806"/>
      <c r="BB8181" s="806"/>
    </row>
    <row r="8182" spans="4:54">
      <c r="D8182" s="806"/>
      <c r="F8182" s="806"/>
      <c r="W8182" s="806"/>
      <c r="AZ8182" s="806"/>
      <c r="BA8182" s="806"/>
      <c r="BB8182" s="806"/>
    </row>
    <row r="8183" spans="4:54">
      <c r="D8183" s="806"/>
      <c r="F8183" s="806"/>
      <c r="W8183" s="806"/>
      <c r="AZ8183" s="806"/>
      <c r="BA8183" s="806"/>
      <c r="BB8183" s="806"/>
    </row>
    <row r="8184" spans="4:54">
      <c r="D8184" s="806"/>
      <c r="F8184" s="806"/>
      <c r="W8184" s="806"/>
      <c r="AZ8184" s="806"/>
      <c r="BA8184" s="806"/>
      <c r="BB8184" s="806"/>
    </row>
    <row r="8185" spans="4:54">
      <c r="D8185" s="806"/>
      <c r="F8185" s="806"/>
      <c r="W8185" s="806"/>
      <c r="AZ8185" s="806"/>
      <c r="BA8185" s="806"/>
      <c r="BB8185" s="806"/>
    </row>
    <row r="8186" spans="4:54">
      <c r="D8186" s="806"/>
      <c r="F8186" s="806"/>
      <c r="W8186" s="806"/>
      <c r="AZ8186" s="806"/>
      <c r="BA8186" s="806"/>
      <c r="BB8186" s="806"/>
    </row>
    <row r="8187" spans="4:54">
      <c r="D8187" s="806"/>
      <c r="F8187" s="806"/>
      <c r="W8187" s="806"/>
      <c r="AZ8187" s="806"/>
      <c r="BA8187" s="806"/>
      <c r="BB8187" s="806"/>
    </row>
    <row r="8188" spans="4:54">
      <c r="D8188" s="806"/>
      <c r="F8188" s="806"/>
      <c r="W8188" s="806"/>
      <c r="AZ8188" s="806"/>
      <c r="BA8188" s="806"/>
      <c r="BB8188" s="806"/>
    </row>
    <row r="8189" spans="4:54">
      <c r="D8189" s="806"/>
      <c r="F8189" s="806"/>
      <c r="W8189" s="806"/>
      <c r="AZ8189" s="806"/>
      <c r="BA8189" s="806"/>
      <c r="BB8189" s="806"/>
    </row>
    <row r="8190" spans="4:54">
      <c r="D8190" s="806"/>
      <c r="F8190" s="806"/>
      <c r="W8190" s="806"/>
      <c r="AZ8190" s="806"/>
      <c r="BA8190" s="806"/>
      <c r="BB8190" s="806"/>
    </row>
    <row r="8191" spans="4:54">
      <c r="D8191" s="806"/>
      <c r="F8191" s="806"/>
      <c r="W8191" s="806"/>
      <c r="AZ8191" s="806"/>
      <c r="BA8191" s="806"/>
      <c r="BB8191" s="806"/>
    </row>
    <row r="8192" spans="4:54">
      <c r="D8192" s="806"/>
      <c r="F8192" s="806"/>
      <c r="W8192" s="806"/>
      <c r="AZ8192" s="806"/>
      <c r="BA8192" s="806"/>
      <c r="BB8192" s="806"/>
    </row>
    <row r="8193" spans="4:54">
      <c r="D8193" s="806"/>
      <c r="F8193" s="806"/>
      <c r="W8193" s="806"/>
      <c r="AZ8193" s="806"/>
      <c r="BA8193" s="806"/>
      <c r="BB8193" s="806"/>
    </row>
    <row r="8194" spans="4:54">
      <c r="D8194" s="806"/>
      <c r="F8194" s="806"/>
      <c r="W8194" s="806"/>
      <c r="AZ8194" s="806"/>
      <c r="BA8194" s="806"/>
      <c r="BB8194" s="806"/>
    </row>
    <row r="8195" spans="4:54">
      <c r="D8195" s="806"/>
      <c r="F8195" s="806"/>
      <c r="W8195" s="806"/>
      <c r="AZ8195" s="806"/>
      <c r="BA8195" s="806"/>
      <c r="BB8195" s="806"/>
    </row>
    <row r="8196" spans="4:54">
      <c r="D8196" s="806"/>
      <c r="F8196" s="806"/>
      <c r="W8196" s="806"/>
      <c r="AZ8196" s="806"/>
      <c r="BA8196" s="806"/>
      <c r="BB8196" s="806"/>
    </row>
    <row r="8197" spans="4:54">
      <c r="D8197" s="806"/>
      <c r="F8197" s="806"/>
      <c r="W8197" s="806"/>
      <c r="AZ8197" s="806"/>
      <c r="BA8197" s="806"/>
      <c r="BB8197" s="806"/>
    </row>
    <row r="8198" spans="4:54">
      <c r="D8198" s="806"/>
      <c r="F8198" s="806"/>
      <c r="W8198" s="806"/>
      <c r="AZ8198" s="806"/>
      <c r="BA8198" s="806"/>
      <c r="BB8198" s="806"/>
    </row>
    <row r="8199" spans="4:54">
      <c r="D8199" s="806"/>
      <c r="F8199" s="806"/>
      <c r="W8199" s="806"/>
      <c r="AZ8199" s="806"/>
      <c r="BA8199" s="806"/>
      <c r="BB8199" s="806"/>
    </row>
    <row r="8200" spans="4:54">
      <c r="D8200" s="806"/>
      <c r="F8200" s="806"/>
      <c r="W8200" s="806"/>
      <c r="AZ8200" s="806"/>
      <c r="BA8200" s="806"/>
      <c r="BB8200" s="806"/>
    </row>
    <row r="8201" spans="4:54">
      <c r="D8201" s="806"/>
      <c r="F8201" s="806"/>
      <c r="W8201" s="806"/>
      <c r="AZ8201" s="806"/>
      <c r="BA8201" s="806"/>
      <c r="BB8201" s="806"/>
    </row>
    <row r="8202" spans="4:54">
      <c r="D8202" s="806"/>
      <c r="F8202" s="806"/>
      <c r="W8202" s="806"/>
      <c r="AZ8202" s="806"/>
      <c r="BA8202" s="806"/>
      <c r="BB8202" s="806"/>
    </row>
    <row r="8203" spans="4:54">
      <c r="D8203" s="806"/>
      <c r="F8203" s="806"/>
      <c r="W8203" s="806"/>
      <c r="AZ8203" s="806"/>
      <c r="BA8203" s="806"/>
      <c r="BB8203" s="806"/>
    </row>
    <row r="8204" spans="4:54">
      <c r="D8204" s="806"/>
      <c r="F8204" s="806"/>
      <c r="W8204" s="806"/>
      <c r="AZ8204" s="806"/>
      <c r="BA8204" s="806"/>
      <c r="BB8204" s="806"/>
    </row>
    <row r="8205" spans="4:54">
      <c r="D8205" s="806"/>
      <c r="F8205" s="806"/>
      <c r="W8205" s="806"/>
      <c r="AZ8205" s="806"/>
      <c r="BA8205" s="806"/>
      <c r="BB8205" s="806"/>
    </row>
    <row r="8206" spans="4:54">
      <c r="D8206" s="806"/>
      <c r="F8206" s="806"/>
      <c r="W8206" s="806"/>
      <c r="AZ8206" s="806"/>
      <c r="BA8206" s="806"/>
      <c r="BB8206" s="806"/>
    </row>
    <row r="8207" spans="4:54">
      <c r="D8207" s="806"/>
      <c r="F8207" s="806"/>
      <c r="W8207" s="806"/>
      <c r="AZ8207" s="806"/>
      <c r="BA8207" s="806"/>
      <c r="BB8207" s="806"/>
    </row>
    <row r="8208" spans="4:54">
      <c r="D8208" s="806"/>
      <c r="F8208" s="806"/>
      <c r="W8208" s="806"/>
      <c r="AZ8208" s="806"/>
      <c r="BA8208" s="806"/>
      <c r="BB8208" s="806"/>
    </row>
    <row r="8209" spans="4:54">
      <c r="D8209" s="806"/>
      <c r="F8209" s="806"/>
      <c r="W8209" s="806"/>
      <c r="AZ8209" s="806"/>
      <c r="BA8209" s="806"/>
      <c r="BB8209" s="806"/>
    </row>
    <row r="8210" spans="4:54">
      <c r="D8210" s="806"/>
      <c r="F8210" s="806"/>
      <c r="W8210" s="806"/>
      <c r="AZ8210" s="806"/>
      <c r="BA8210" s="806"/>
      <c r="BB8210" s="806"/>
    </row>
    <row r="8211" spans="4:54">
      <c r="D8211" s="806"/>
      <c r="F8211" s="806"/>
      <c r="W8211" s="806"/>
      <c r="AZ8211" s="806"/>
      <c r="BA8211" s="806"/>
      <c r="BB8211" s="806"/>
    </row>
    <row r="8212" spans="4:54">
      <c r="D8212" s="806"/>
      <c r="F8212" s="806"/>
      <c r="W8212" s="806"/>
      <c r="AZ8212" s="806"/>
      <c r="BA8212" s="806"/>
      <c r="BB8212" s="806"/>
    </row>
    <row r="8213" spans="4:54">
      <c r="D8213" s="806"/>
      <c r="F8213" s="806"/>
      <c r="W8213" s="806"/>
      <c r="AZ8213" s="806"/>
      <c r="BA8213" s="806"/>
      <c r="BB8213" s="806"/>
    </row>
    <row r="8214" spans="4:54">
      <c r="D8214" s="806"/>
      <c r="F8214" s="806"/>
      <c r="W8214" s="806"/>
      <c r="AZ8214" s="806"/>
      <c r="BA8214" s="806"/>
      <c r="BB8214" s="806"/>
    </row>
    <row r="8215" spans="4:54">
      <c r="D8215" s="806"/>
      <c r="F8215" s="806"/>
      <c r="W8215" s="806"/>
      <c r="AZ8215" s="806"/>
      <c r="BA8215" s="806"/>
      <c r="BB8215" s="806"/>
    </row>
    <row r="8216" spans="4:54">
      <c r="D8216" s="806"/>
      <c r="F8216" s="806"/>
      <c r="W8216" s="806"/>
      <c r="AZ8216" s="806"/>
      <c r="BA8216" s="806"/>
      <c r="BB8216" s="806"/>
    </row>
    <row r="8217" spans="4:54">
      <c r="D8217" s="806"/>
      <c r="F8217" s="806"/>
      <c r="W8217" s="806"/>
      <c r="AZ8217" s="806"/>
      <c r="BA8217" s="806"/>
      <c r="BB8217" s="806"/>
    </row>
    <row r="8218" spans="4:54">
      <c r="D8218" s="806"/>
      <c r="F8218" s="806"/>
      <c r="W8218" s="806"/>
      <c r="AZ8218" s="806"/>
      <c r="BA8218" s="806"/>
      <c r="BB8218" s="806"/>
    </row>
    <row r="8219" spans="4:54">
      <c r="D8219" s="806"/>
      <c r="F8219" s="806"/>
      <c r="W8219" s="806"/>
      <c r="AZ8219" s="806"/>
      <c r="BA8219" s="806"/>
      <c r="BB8219" s="806"/>
    </row>
    <row r="8220" spans="4:54">
      <c r="D8220" s="806"/>
      <c r="F8220" s="806"/>
      <c r="W8220" s="806"/>
      <c r="AZ8220" s="806"/>
      <c r="BA8220" s="806"/>
      <c r="BB8220" s="806"/>
    </row>
    <row r="8221" spans="4:54">
      <c r="D8221" s="806"/>
      <c r="F8221" s="806"/>
      <c r="W8221" s="806"/>
      <c r="AZ8221" s="806"/>
      <c r="BA8221" s="806"/>
      <c r="BB8221" s="806"/>
    </row>
    <row r="8222" spans="4:54">
      <c r="D8222" s="806"/>
      <c r="F8222" s="806"/>
      <c r="W8222" s="806"/>
      <c r="AZ8222" s="806"/>
      <c r="BA8222" s="806"/>
      <c r="BB8222" s="806"/>
    </row>
    <row r="8223" spans="4:54">
      <c r="D8223" s="806"/>
      <c r="F8223" s="806"/>
      <c r="W8223" s="806"/>
      <c r="AZ8223" s="806"/>
      <c r="BA8223" s="806"/>
      <c r="BB8223" s="806"/>
    </row>
    <row r="8224" spans="4:54">
      <c r="D8224" s="806"/>
      <c r="F8224" s="806"/>
      <c r="W8224" s="806"/>
      <c r="AZ8224" s="806"/>
      <c r="BA8224" s="806"/>
      <c r="BB8224" s="806"/>
    </row>
    <row r="8225" spans="4:54">
      <c r="D8225" s="806"/>
      <c r="F8225" s="806"/>
      <c r="W8225" s="806"/>
      <c r="AZ8225" s="806"/>
      <c r="BA8225" s="806"/>
      <c r="BB8225" s="806"/>
    </row>
    <row r="8226" spans="4:54">
      <c r="D8226" s="806"/>
      <c r="F8226" s="806"/>
      <c r="W8226" s="806"/>
      <c r="AZ8226" s="806"/>
      <c r="BA8226" s="806"/>
      <c r="BB8226" s="806"/>
    </row>
    <row r="8227" spans="4:54">
      <c r="D8227" s="806"/>
      <c r="F8227" s="806"/>
      <c r="W8227" s="806"/>
      <c r="AZ8227" s="806"/>
      <c r="BA8227" s="806"/>
      <c r="BB8227" s="806"/>
    </row>
    <row r="8228" spans="4:54">
      <c r="D8228" s="806"/>
      <c r="F8228" s="806"/>
      <c r="W8228" s="806"/>
      <c r="AZ8228" s="806"/>
      <c r="BA8228" s="806"/>
      <c r="BB8228" s="806"/>
    </row>
    <row r="8229" spans="4:54">
      <c r="D8229" s="806"/>
      <c r="F8229" s="806"/>
      <c r="W8229" s="806"/>
      <c r="AZ8229" s="806"/>
      <c r="BA8229" s="806"/>
      <c r="BB8229" s="806"/>
    </row>
    <row r="8230" spans="4:54">
      <c r="D8230" s="806"/>
      <c r="F8230" s="806"/>
      <c r="W8230" s="806"/>
      <c r="AZ8230" s="806"/>
      <c r="BA8230" s="806"/>
      <c r="BB8230" s="806"/>
    </row>
    <row r="8231" spans="4:54">
      <c r="D8231" s="806"/>
      <c r="F8231" s="806"/>
      <c r="W8231" s="806"/>
      <c r="AZ8231" s="806"/>
      <c r="BA8231" s="806"/>
      <c r="BB8231" s="806"/>
    </row>
    <row r="8232" spans="4:54">
      <c r="D8232" s="806"/>
      <c r="F8232" s="806"/>
      <c r="W8232" s="806"/>
      <c r="AZ8232" s="806"/>
      <c r="BA8232" s="806"/>
      <c r="BB8232" s="806"/>
    </row>
    <row r="8233" spans="4:54">
      <c r="D8233" s="806"/>
      <c r="F8233" s="806"/>
      <c r="W8233" s="806"/>
      <c r="AZ8233" s="806"/>
      <c r="BA8233" s="806"/>
      <c r="BB8233" s="806"/>
    </row>
    <row r="8234" spans="4:54">
      <c r="D8234" s="806"/>
      <c r="F8234" s="806"/>
      <c r="W8234" s="806"/>
      <c r="AZ8234" s="806"/>
      <c r="BA8234" s="806"/>
      <c r="BB8234" s="806"/>
    </row>
    <row r="8235" spans="4:54">
      <c r="D8235" s="806"/>
      <c r="F8235" s="806"/>
      <c r="W8235" s="806"/>
      <c r="AZ8235" s="806"/>
      <c r="BA8235" s="806"/>
      <c r="BB8235" s="806"/>
    </row>
    <row r="8236" spans="4:54">
      <c r="D8236" s="806"/>
      <c r="F8236" s="806"/>
      <c r="W8236" s="806"/>
      <c r="AZ8236" s="806"/>
      <c r="BA8236" s="806"/>
      <c r="BB8236" s="806"/>
    </row>
    <row r="8237" spans="4:54">
      <c r="D8237" s="806"/>
      <c r="F8237" s="806"/>
      <c r="W8237" s="806"/>
      <c r="AZ8237" s="806"/>
      <c r="BA8237" s="806"/>
      <c r="BB8237" s="806"/>
    </row>
    <row r="8238" spans="4:54">
      <c r="D8238" s="806"/>
      <c r="F8238" s="806"/>
      <c r="W8238" s="806"/>
      <c r="AZ8238" s="806"/>
      <c r="BA8238" s="806"/>
      <c r="BB8238" s="806"/>
    </row>
    <row r="8239" spans="4:54">
      <c r="D8239" s="806"/>
      <c r="F8239" s="806"/>
      <c r="W8239" s="806"/>
      <c r="AZ8239" s="806"/>
      <c r="BA8239" s="806"/>
      <c r="BB8239" s="806"/>
    </row>
    <row r="8240" spans="4:54">
      <c r="D8240" s="806"/>
      <c r="F8240" s="806"/>
      <c r="W8240" s="806"/>
      <c r="AZ8240" s="806"/>
      <c r="BA8240" s="806"/>
      <c r="BB8240" s="806"/>
    </row>
    <row r="8241" spans="4:54">
      <c r="D8241" s="806"/>
      <c r="F8241" s="806"/>
      <c r="W8241" s="806"/>
      <c r="AZ8241" s="806"/>
      <c r="BA8241" s="806"/>
      <c r="BB8241" s="806"/>
    </row>
    <row r="8242" spans="4:54">
      <c r="D8242" s="806"/>
      <c r="F8242" s="806"/>
      <c r="W8242" s="806"/>
      <c r="AZ8242" s="806"/>
      <c r="BA8242" s="806"/>
      <c r="BB8242" s="806"/>
    </row>
    <row r="8243" spans="4:54">
      <c r="D8243" s="806"/>
      <c r="F8243" s="806"/>
      <c r="W8243" s="806"/>
      <c r="AZ8243" s="806"/>
      <c r="BA8243" s="806"/>
      <c r="BB8243" s="806"/>
    </row>
    <row r="8244" spans="4:54">
      <c r="D8244" s="806"/>
      <c r="F8244" s="806"/>
      <c r="W8244" s="806"/>
      <c r="AZ8244" s="806"/>
      <c r="BA8244" s="806"/>
      <c r="BB8244" s="806"/>
    </row>
    <row r="8245" spans="4:54">
      <c r="D8245" s="806"/>
      <c r="F8245" s="806"/>
      <c r="W8245" s="806"/>
      <c r="AZ8245" s="806"/>
      <c r="BA8245" s="806"/>
      <c r="BB8245" s="806"/>
    </row>
    <row r="8246" spans="4:54">
      <c r="D8246" s="806"/>
      <c r="F8246" s="806"/>
      <c r="W8246" s="806"/>
      <c r="AZ8246" s="806"/>
      <c r="BA8246" s="806"/>
      <c r="BB8246" s="806"/>
    </row>
    <row r="8247" spans="4:54">
      <c r="D8247" s="806"/>
      <c r="F8247" s="806"/>
      <c r="W8247" s="806"/>
      <c r="AZ8247" s="806"/>
      <c r="BA8247" s="806"/>
      <c r="BB8247" s="806"/>
    </row>
    <row r="8248" spans="4:54">
      <c r="D8248" s="806"/>
      <c r="F8248" s="806"/>
      <c r="W8248" s="806"/>
      <c r="AZ8248" s="806"/>
      <c r="BA8248" s="806"/>
      <c r="BB8248" s="806"/>
    </row>
    <row r="8249" spans="4:54">
      <c r="D8249" s="806"/>
      <c r="F8249" s="806"/>
      <c r="W8249" s="806"/>
      <c r="AZ8249" s="806"/>
      <c r="BA8249" s="806"/>
      <c r="BB8249" s="806"/>
    </row>
    <row r="8250" spans="4:54">
      <c r="D8250" s="806"/>
      <c r="F8250" s="806"/>
      <c r="W8250" s="806"/>
      <c r="AZ8250" s="806"/>
      <c r="BA8250" s="806"/>
      <c r="BB8250" s="806"/>
    </row>
    <row r="8251" spans="4:54">
      <c r="D8251" s="806"/>
      <c r="F8251" s="806"/>
      <c r="W8251" s="806"/>
      <c r="AZ8251" s="806"/>
      <c r="BA8251" s="806"/>
      <c r="BB8251" s="806"/>
    </row>
    <row r="8252" spans="4:54">
      <c r="D8252" s="806"/>
      <c r="F8252" s="806"/>
      <c r="W8252" s="806"/>
      <c r="AZ8252" s="806"/>
      <c r="BA8252" s="806"/>
      <c r="BB8252" s="806"/>
    </row>
    <row r="8253" spans="4:54">
      <c r="D8253" s="806"/>
      <c r="F8253" s="806"/>
      <c r="W8253" s="806"/>
      <c r="AZ8253" s="806"/>
      <c r="BA8253" s="806"/>
      <c r="BB8253" s="806"/>
    </row>
    <row r="8254" spans="4:54">
      <c r="D8254" s="806"/>
      <c r="F8254" s="806"/>
      <c r="W8254" s="806"/>
      <c r="AZ8254" s="806"/>
      <c r="BA8254" s="806"/>
      <c r="BB8254" s="806"/>
    </row>
    <row r="8255" spans="4:54">
      <c r="D8255" s="806"/>
      <c r="F8255" s="806"/>
      <c r="W8255" s="806"/>
      <c r="AZ8255" s="806"/>
      <c r="BA8255" s="806"/>
      <c r="BB8255" s="806"/>
    </row>
    <row r="8256" spans="4:54">
      <c r="D8256" s="806"/>
      <c r="F8256" s="806"/>
      <c r="W8256" s="806"/>
      <c r="AZ8256" s="806"/>
      <c r="BA8256" s="806"/>
      <c r="BB8256" s="806"/>
    </row>
    <row r="8257" spans="4:54">
      <c r="D8257" s="806"/>
      <c r="F8257" s="806"/>
      <c r="W8257" s="806"/>
      <c r="AZ8257" s="806"/>
      <c r="BA8257" s="806"/>
      <c r="BB8257" s="806"/>
    </row>
    <row r="8258" spans="4:54">
      <c r="D8258" s="806"/>
      <c r="F8258" s="806"/>
      <c r="W8258" s="806"/>
      <c r="AZ8258" s="806"/>
      <c r="BA8258" s="806"/>
      <c r="BB8258" s="806"/>
    </row>
    <row r="8259" spans="4:54">
      <c r="D8259" s="806"/>
      <c r="F8259" s="806"/>
      <c r="W8259" s="806"/>
      <c r="AZ8259" s="806"/>
      <c r="BA8259" s="806"/>
      <c r="BB8259" s="806"/>
    </row>
    <row r="8260" spans="4:54">
      <c r="D8260" s="806"/>
      <c r="F8260" s="806"/>
      <c r="W8260" s="806"/>
      <c r="AZ8260" s="806"/>
      <c r="BA8260" s="806"/>
      <c r="BB8260" s="806"/>
    </row>
    <row r="8261" spans="4:54">
      <c r="D8261" s="806"/>
      <c r="F8261" s="806"/>
      <c r="W8261" s="806"/>
      <c r="AZ8261" s="806"/>
      <c r="BA8261" s="806"/>
      <c r="BB8261" s="806"/>
    </row>
    <row r="8262" spans="4:54">
      <c r="D8262" s="806"/>
      <c r="F8262" s="806"/>
      <c r="W8262" s="806"/>
      <c r="AZ8262" s="806"/>
      <c r="BA8262" s="806"/>
      <c r="BB8262" s="806"/>
    </row>
    <row r="8263" spans="4:54">
      <c r="D8263" s="806"/>
      <c r="F8263" s="806"/>
      <c r="W8263" s="806"/>
      <c r="AZ8263" s="806"/>
      <c r="BA8263" s="806"/>
      <c r="BB8263" s="806"/>
    </row>
    <row r="8264" spans="4:54">
      <c r="D8264" s="806"/>
      <c r="F8264" s="806"/>
      <c r="W8264" s="806"/>
      <c r="AZ8264" s="806"/>
      <c r="BA8264" s="806"/>
      <c r="BB8264" s="806"/>
    </row>
    <row r="8265" spans="4:54">
      <c r="D8265" s="806"/>
      <c r="F8265" s="806"/>
      <c r="W8265" s="806"/>
      <c r="AZ8265" s="806"/>
      <c r="BA8265" s="806"/>
      <c r="BB8265" s="806"/>
    </row>
    <row r="8266" spans="4:54">
      <c r="D8266" s="806"/>
      <c r="F8266" s="806"/>
      <c r="W8266" s="806"/>
      <c r="AZ8266" s="806"/>
      <c r="BA8266" s="806"/>
      <c r="BB8266" s="806"/>
    </row>
    <row r="8267" spans="4:54">
      <c r="D8267" s="806"/>
      <c r="F8267" s="806"/>
      <c r="W8267" s="806"/>
      <c r="AZ8267" s="806"/>
      <c r="BA8267" s="806"/>
      <c r="BB8267" s="806"/>
    </row>
    <row r="8268" spans="4:54">
      <c r="D8268" s="806"/>
      <c r="F8268" s="806"/>
      <c r="W8268" s="806"/>
      <c r="AZ8268" s="806"/>
      <c r="BA8268" s="806"/>
      <c r="BB8268" s="806"/>
    </row>
    <row r="8269" spans="4:54">
      <c r="D8269" s="806"/>
      <c r="F8269" s="806"/>
      <c r="W8269" s="806"/>
      <c r="AZ8269" s="806"/>
      <c r="BA8269" s="806"/>
      <c r="BB8269" s="806"/>
    </row>
    <row r="8270" spans="4:54">
      <c r="D8270" s="806"/>
      <c r="F8270" s="806"/>
      <c r="W8270" s="806"/>
      <c r="AZ8270" s="806"/>
      <c r="BA8270" s="806"/>
      <c r="BB8270" s="806"/>
    </row>
    <row r="8271" spans="4:54">
      <c r="D8271" s="806"/>
      <c r="F8271" s="806"/>
      <c r="W8271" s="806"/>
      <c r="AZ8271" s="806"/>
      <c r="BA8271" s="806"/>
      <c r="BB8271" s="806"/>
    </row>
    <row r="8272" spans="4:54">
      <c r="D8272" s="806"/>
      <c r="F8272" s="806"/>
      <c r="W8272" s="806"/>
      <c r="AZ8272" s="806"/>
      <c r="BA8272" s="806"/>
      <c r="BB8272" s="806"/>
    </row>
    <row r="8273" spans="4:54">
      <c r="D8273" s="806"/>
      <c r="F8273" s="806"/>
      <c r="W8273" s="806"/>
      <c r="AZ8273" s="806"/>
      <c r="BA8273" s="806"/>
      <c r="BB8273" s="806"/>
    </row>
    <row r="8274" spans="4:54">
      <c r="D8274" s="806"/>
      <c r="F8274" s="806"/>
      <c r="W8274" s="806"/>
      <c r="AZ8274" s="806"/>
      <c r="BA8274" s="806"/>
      <c r="BB8274" s="806"/>
    </row>
    <row r="8275" spans="4:54">
      <c r="D8275" s="806"/>
      <c r="F8275" s="806"/>
      <c r="W8275" s="806"/>
      <c r="AZ8275" s="806"/>
      <c r="BA8275" s="806"/>
      <c r="BB8275" s="806"/>
    </row>
    <row r="8276" spans="4:54">
      <c r="D8276" s="806"/>
      <c r="F8276" s="806"/>
      <c r="W8276" s="806"/>
      <c r="AZ8276" s="806"/>
      <c r="BA8276" s="806"/>
      <c r="BB8276" s="806"/>
    </row>
    <row r="8277" spans="4:54">
      <c r="D8277" s="806"/>
      <c r="F8277" s="806"/>
      <c r="W8277" s="806"/>
      <c r="AZ8277" s="806"/>
      <c r="BA8277" s="806"/>
      <c r="BB8277" s="806"/>
    </row>
    <row r="8278" spans="4:54">
      <c r="D8278" s="806"/>
      <c r="F8278" s="806"/>
      <c r="W8278" s="806"/>
      <c r="AZ8278" s="806"/>
      <c r="BA8278" s="806"/>
      <c r="BB8278" s="806"/>
    </row>
    <row r="8279" spans="4:54">
      <c r="D8279" s="806"/>
      <c r="F8279" s="806"/>
      <c r="W8279" s="806"/>
      <c r="AZ8279" s="806"/>
      <c r="BA8279" s="806"/>
      <c r="BB8279" s="806"/>
    </row>
    <row r="8280" spans="4:54">
      <c r="D8280" s="806"/>
      <c r="F8280" s="806"/>
      <c r="W8280" s="806"/>
      <c r="AZ8280" s="806"/>
      <c r="BA8280" s="806"/>
      <c r="BB8280" s="806"/>
    </row>
    <row r="8281" spans="4:54">
      <c r="D8281" s="806"/>
      <c r="F8281" s="806"/>
      <c r="W8281" s="806"/>
      <c r="AZ8281" s="806"/>
      <c r="BA8281" s="806"/>
      <c r="BB8281" s="806"/>
    </row>
    <row r="8282" spans="4:54">
      <c r="D8282" s="806"/>
      <c r="F8282" s="806"/>
      <c r="W8282" s="806"/>
      <c r="AZ8282" s="806"/>
      <c r="BA8282" s="806"/>
      <c r="BB8282" s="806"/>
    </row>
    <row r="8283" spans="4:54">
      <c r="D8283" s="806"/>
      <c r="F8283" s="806"/>
      <c r="W8283" s="806"/>
      <c r="AZ8283" s="806"/>
      <c r="BA8283" s="806"/>
      <c r="BB8283" s="806"/>
    </row>
    <row r="8284" spans="4:54">
      <c r="D8284" s="806"/>
      <c r="F8284" s="806"/>
      <c r="W8284" s="806"/>
      <c r="AZ8284" s="806"/>
      <c r="BA8284" s="806"/>
      <c r="BB8284" s="806"/>
    </row>
    <row r="8285" spans="4:54">
      <c r="D8285" s="806"/>
      <c r="F8285" s="806"/>
      <c r="W8285" s="806"/>
      <c r="AZ8285" s="806"/>
      <c r="BA8285" s="806"/>
      <c r="BB8285" s="806"/>
    </row>
    <row r="8286" spans="4:54">
      <c r="D8286" s="806"/>
      <c r="F8286" s="806"/>
      <c r="W8286" s="806"/>
      <c r="AZ8286" s="806"/>
      <c r="BA8286" s="806"/>
      <c r="BB8286" s="806"/>
    </row>
    <row r="8287" spans="4:54">
      <c r="D8287" s="806"/>
      <c r="F8287" s="806"/>
      <c r="W8287" s="806"/>
      <c r="AZ8287" s="806"/>
      <c r="BA8287" s="806"/>
      <c r="BB8287" s="806"/>
    </row>
    <row r="8288" spans="4:54">
      <c r="D8288" s="806"/>
      <c r="F8288" s="806"/>
      <c r="W8288" s="806"/>
      <c r="AZ8288" s="806"/>
      <c r="BA8288" s="806"/>
      <c r="BB8288" s="806"/>
    </row>
    <row r="8289" spans="4:54">
      <c r="D8289" s="806"/>
      <c r="F8289" s="806"/>
      <c r="W8289" s="806"/>
      <c r="AZ8289" s="806"/>
      <c r="BA8289" s="806"/>
      <c r="BB8289" s="806"/>
    </row>
    <row r="8290" spans="4:54">
      <c r="D8290" s="806"/>
      <c r="F8290" s="806"/>
      <c r="W8290" s="806"/>
      <c r="AZ8290" s="806"/>
      <c r="BA8290" s="806"/>
      <c r="BB8290" s="806"/>
    </row>
    <row r="8291" spans="4:54">
      <c r="D8291" s="806"/>
      <c r="F8291" s="806"/>
      <c r="W8291" s="806"/>
      <c r="AZ8291" s="806"/>
      <c r="BA8291" s="806"/>
      <c r="BB8291" s="806"/>
    </row>
    <row r="8292" spans="4:54">
      <c r="D8292" s="806"/>
      <c r="F8292" s="806"/>
      <c r="W8292" s="806"/>
      <c r="AZ8292" s="806"/>
      <c r="BA8292" s="806"/>
      <c r="BB8292" s="806"/>
    </row>
    <row r="8293" spans="4:54">
      <c r="D8293" s="806"/>
      <c r="F8293" s="806"/>
      <c r="W8293" s="806"/>
      <c r="AZ8293" s="806"/>
      <c r="BA8293" s="806"/>
      <c r="BB8293" s="806"/>
    </row>
    <row r="8294" spans="4:54">
      <c r="D8294" s="806"/>
      <c r="F8294" s="806"/>
      <c r="W8294" s="806"/>
      <c r="AZ8294" s="806"/>
      <c r="BA8294" s="806"/>
      <c r="BB8294" s="806"/>
    </row>
    <row r="8295" spans="4:54">
      <c r="D8295" s="806"/>
      <c r="F8295" s="806"/>
      <c r="W8295" s="806"/>
      <c r="AZ8295" s="806"/>
      <c r="BA8295" s="806"/>
      <c r="BB8295" s="806"/>
    </row>
    <row r="8296" spans="4:54">
      <c r="D8296" s="806"/>
      <c r="F8296" s="806"/>
      <c r="W8296" s="806"/>
      <c r="AZ8296" s="806"/>
      <c r="BA8296" s="806"/>
      <c r="BB8296" s="806"/>
    </row>
    <row r="8297" spans="4:54">
      <c r="D8297" s="806"/>
      <c r="F8297" s="806"/>
      <c r="W8297" s="806"/>
      <c r="AZ8297" s="806"/>
      <c r="BA8297" s="806"/>
      <c r="BB8297" s="806"/>
    </row>
    <row r="8298" spans="4:54">
      <c r="D8298" s="806"/>
      <c r="F8298" s="806"/>
      <c r="W8298" s="806"/>
      <c r="AZ8298" s="806"/>
      <c r="BA8298" s="806"/>
      <c r="BB8298" s="806"/>
    </row>
    <row r="8299" spans="4:54">
      <c r="D8299" s="806"/>
      <c r="F8299" s="806"/>
      <c r="W8299" s="806"/>
      <c r="AZ8299" s="806"/>
      <c r="BA8299" s="806"/>
      <c r="BB8299" s="806"/>
    </row>
    <row r="8300" spans="4:54">
      <c r="D8300" s="806"/>
      <c r="F8300" s="806"/>
      <c r="W8300" s="806"/>
      <c r="AZ8300" s="806"/>
      <c r="BA8300" s="806"/>
      <c r="BB8300" s="806"/>
    </row>
    <row r="8301" spans="4:54">
      <c r="D8301" s="806"/>
      <c r="F8301" s="806"/>
      <c r="W8301" s="806"/>
      <c r="AZ8301" s="806"/>
      <c r="BA8301" s="806"/>
      <c r="BB8301" s="806"/>
    </row>
    <row r="8302" spans="4:54">
      <c r="D8302" s="806"/>
      <c r="F8302" s="806"/>
      <c r="W8302" s="806"/>
      <c r="AZ8302" s="806"/>
      <c r="BA8302" s="806"/>
      <c r="BB8302" s="806"/>
    </row>
    <row r="8303" spans="4:54">
      <c r="D8303" s="806"/>
      <c r="F8303" s="806"/>
      <c r="W8303" s="806"/>
      <c r="AZ8303" s="806"/>
      <c r="BA8303" s="806"/>
      <c r="BB8303" s="806"/>
    </row>
    <row r="8304" spans="4:54">
      <c r="D8304" s="806"/>
      <c r="F8304" s="806"/>
      <c r="W8304" s="806"/>
      <c r="AZ8304" s="806"/>
      <c r="BA8304" s="806"/>
      <c r="BB8304" s="806"/>
    </row>
    <row r="8305" spans="4:54">
      <c r="D8305" s="806"/>
      <c r="F8305" s="806"/>
      <c r="W8305" s="806"/>
      <c r="AZ8305" s="806"/>
      <c r="BA8305" s="806"/>
      <c r="BB8305" s="806"/>
    </row>
    <row r="8306" spans="4:54">
      <c r="D8306" s="806"/>
      <c r="F8306" s="806"/>
      <c r="W8306" s="806"/>
      <c r="AZ8306" s="806"/>
      <c r="BA8306" s="806"/>
      <c r="BB8306" s="806"/>
    </row>
    <row r="8307" spans="4:54">
      <c r="D8307" s="806"/>
      <c r="F8307" s="806"/>
      <c r="W8307" s="806"/>
      <c r="AZ8307" s="806"/>
      <c r="BA8307" s="806"/>
      <c r="BB8307" s="806"/>
    </row>
    <row r="8308" spans="4:54">
      <c r="D8308" s="806"/>
      <c r="F8308" s="806"/>
      <c r="W8308" s="806"/>
      <c r="AZ8308" s="806"/>
      <c r="BA8308" s="806"/>
      <c r="BB8308" s="806"/>
    </row>
    <row r="8309" spans="4:54">
      <c r="D8309" s="806"/>
      <c r="F8309" s="806"/>
      <c r="W8309" s="806"/>
      <c r="AZ8309" s="806"/>
      <c r="BA8309" s="806"/>
      <c r="BB8309" s="806"/>
    </row>
    <row r="8310" spans="4:54">
      <c r="D8310" s="806"/>
      <c r="F8310" s="806"/>
      <c r="W8310" s="806"/>
      <c r="AZ8310" s="806"/>
      <c r="BA8310" s="806"/>
      <c r="BB8310" s="806"/>
    </row>
    <row r="8311" spans="4:54">
      <c r="D8311" s="806"/>
      <c r="F8311" s="806"/>
      <c r="W8311" s="806"/>
      <c r="AZ8311" s="806"/>
      <c r="BA8311" s="806"/>
      <c r="BB8311" s="806"/>
    </row>
    <row r="8312" spans="4:54">
      <c r="D8312" s="806"/>
      <c r="F8312" s="806"/>
      <c r="W8312" s="806"/>
      <c r="AZ8312" s="806"/>
      <c r="BA8312" s="806"/>
      <c r="BB8312" s="806"/>
    </row>
    <row r="8313" spans="4:54">
      <c r="D8313" s="806"/>
      <c r="F8313" s="806"/>
      <c r="W8313" s="806"/>
      <c r="AZ8313" s="806"/>
      <c r="BA8313" s="806"/>
      <c r="BB8313" s="806"/>
    </row>
    <row r="8314" spans="4:54">
      <c r="D8314" s="806"/>
      <c r="F8314" s="806"/>
      <c r="W8314" s="806"/>
      <c r="AZ8314" s="806"/>
      <c r="BA8314" s="806"/>
      <c r="BB8314" s="806"/>
    </row>
    <row r="8315" spans="4:54">
      <c r="D8315" s="806"/>
      <c r="F8315" s="806"/>
      <c r="W8315" s="806"/>
      <c r="AZ8315" s="806"/>
      <c r="BA8315" s="806"/>
      <c r="BB8315" s="806"/>
    </row>
    <row r="8316" spans="4:54">
      <c r="D8316" s="806"/>
      <c r="F8316" s="806"/>
      <c r="W8316" s="806"/>
      <c r="AZ8316" s="806"/>
      <c r="BA8316" s="806"/>
      <c r="BB8316" s="806"/>
    </row>
    <row r="8324" spans="4:54">
      <c r="D8324" s="806"/>
      <c r="F8324" s="806"/>
      <c r="W8324" s="806"/>
      <c r="AZ8324" s="806"/>
      <c r="BA8324" s="806"/>
      <c r="BB8324" s="806"/>
    </row>
    <row r="8325" spans="4:54">
      <c r="D8325" s="806"/>
      <c r="F8325" s="806"/>
      <c r="W8325" s="806"/>
      <c r="AZ8325" s="806"/>
      <c r="BA8325" s="806"/>
      <c r="BB8325" s="806"/>
    </row>
    <row r="8326" spans="4:54">
      <c r="D8326" s="806"/>
      <c r="F8326" s="806"/>
      <c r="W8326" s="806"/>
      <c r="AZ8326" s="806"/>
      <c r="BA8326" s="806"/>
      <c r="BB8326" s="806"/>
    </row>
    <row r="8327" spans="4:54">
      <c r="D8327" s="806"/>
      <c r="F8327" s="806"/>
      <c r="W8327" s="806"/>
      <c r="AZ8327" s="806"/>
      <c r="BA8327" s="806"/>
      <c r="BB8327" s="806"/>
    </row>
    <row r="8328" spans="4:54">
      <c r="D8328" s="806"/>
      <c r="F8328" s="806"/>
      <c r="W8328" s="806"/>
      <c r="AZ8328" s="806"/>
      <c r="BA8328" s="806"/>
      <c r="BB8328" s="806"/>
    </row>
    <row r="8329" spans="4:54">
      <c r="D8329" s="806"/>
      <c r="F8329" s="806"/>
      <c r="W8329" s="806"/>
      <c r="AZ8329" s="806"/>
      <c r="BA8329" s="806"/>
      <c r="BB8329" s="806"/>
    </row>
    <row r="8330" spans="4:54">
      <c r="D8330" s="806"/>
      <c r="F8330" s="806"/>
      <c r="W8330" s="806"/>
      <c r="AZ8330" s="806"/>
      <c r="BA8330" s="806"/>
      <c r="BB8330" s="806"/>
    </row>
    <row r="8331" spans="4:54">
      <c r="D8331" s="806"/>
      <c r="F8331" s="806"/>
      <c r="W8331" s="806"/>
      <c r="AZ8331" s="806"/>
      <c r="BA8331" s="806"/>
      <c r="BB8331" s="806"/>
    </row>
    <row r="8332" spans="4:54">
      <c r="D8332" s="806"/>
      <c r="F8332" s="806"/>
      <c r="W8332" s="806"/>
      <c r="AZ8332" s="806"/>
      <c r="BA8332" s="806"/>
      <c r="BB8332" s="806"/>
    </row>
    <row r="8333" spans="4:54">
      <c r="D8333" s="806"/>
      <c r="F8333" s="806"/>
      <c r="W8333" s="806"/>
      <c r="AZ8333" s="806"/>
      <c r="BA8333" s="806"/>
      <c r="BB8333" s="806"/>
    </row>
    <row r="8334" spans="4:54">
      <c r="D8334" s="806"/>
      <c r="F8334" s="806"/>
      <c r="W8334" s="806"/>
      <c r="AZ8334" s="806"/>
      <c r="BA8334" s="806"/>
      <c r="BB8334" s="806"/>
    </row>
    <row r="8335" spans="4:54">
      <c r="D8335" s="806"/>
      <c r="F8335" s="806"/>
      <c r="W8335" s="806"/>
      <c r="AZ8335" s="806"/>
      <c r="BA8335" s="806"/>
      <c r="BB8335" s="806"/>
    </row>
    <row r="8336" spans="4:54">
      <c r="D8336" s="806"/>
      <c r="F8336" s="806"/>
      <c r="W8336" s="806"/>
      <c r="AZ8336" s="806"/>
      <c r="BA8336" s="806"/>
      <c r="BB8336" s="806"/>
    </row>
    <row r="8337" spans="4:54">
      <c r="D8337" s="806"/>
      <c r="F8337" s="806"/>
      <c r="W8337" s="806"/>
      <c r="AZ8337" s="806"/>
      <c r="BA8337" s="806"/>
      <c r="BB8337" s="806"/>
    </row>
    <row r="8338" spans="4:54">
      <c r="D8338" s="806"/>
      <c r="F8338" s="806"/>
      <c r="W8338" s="806"/>
      <c r="AZ8338" s="806"/>
      <c r="BA8338" s="806"/>
      <c r="BB8338" s="806"/>
    </row>
    <row r="8339" spans="4:54">
      <c r="D8339" s="806"/>
      <c r="F8339" s="806"/>
      <c r="W8339" s="806"/>
      <c r="AZ8339" s="806"/>
      <c r="BA8339" s="806"/>
      <c r="BB8339" s="806"/>
    </row>
    <row r="8340" spans="4:54">
      <c r="D8340" s="806"/>
      <c r="F8340" s="806"/>
      <c r="W8340" s="806"/>
      <c r="AZ8340" s="806"/>
      <c r="BA8340" s="806"/>
      <c r="BB8340" s="806"/>
    </row>
    <row r="8341" spans="4:54">
      <c r="D8341" s="806"/>
      <c r="F8341" s="806"/>
      <c r="W8341" s="806"/>
      <c r="AZ8341" s="806"/>
      <c r="BA8341" s="806"/>
      <c r="BB8341" s="806"/>
    </row>
    <row r="8342" spans="4:54">
      <c r="D8342" s="806"/>
      <c r="F8342" s="806"/>
      <c r="W8342" s="806"/>
      <c r="AZ8342" s="806"/>
      <c r="BA8342" s="806"/>
      <c r="BB8342" s="806"/>
    </row>
    <row r="8343" spans="4:54">
      <c r="D8343" s="806"/>
      <c r="F8343" s="806"/>
      <c r="W8343" s="806"/>
      <c r="AZ8343" s="806"/>
      <c r="BA8343" s="806"/>
      <c r="BB8343" s="806"/>
    </row>
    <row r="8344" spans="4:54">
      <c r="D8344" s="806"/>
      <c r="F8344" s="806"/>
      <c r="W8344" s="806"/>
      <c r="AZ8344" s="806"/>
      <c r="BA8344" s="806"/>
      <c r="BB8344" s="806"/>
    </row>
    <row r="8345" spans="4:54">
      <c r="D8345" s="806"/>
      <c r="F8345" s="806"/>
      <c r="W8345" s="806"/>
      <c r="AZ8345" s="806"/>
      <c r="BA8345" s="806"/>
      <c r="BB8345" s="806"/>
    </row>
    <row r="8346" spans="4:54">
      <c r="D8346" s="806"/>
      <c r="F8346" s="806"/>
      <c r="W8346" s="806"/>
      <c r="AZ8346" s="806"/>
      <c r="BA8346" s="806"/>
      <c r="BB8346" s="806"/>
    </row>
    <row r="8347" spans="4:54">
      <c r="D8347" s="806"/>
      <c r="F8347" s="806"/>
      <c r="W8347" s="806"/>
      <c r="AZ8347" s="806"/>
      <c r="BA8347" s="806"/>
      <c r="BB8347" s="806"/>
    </row>
    <row r="8348" spans="4:54">
      <c r="D8348" s="806"/>
      <c r="F8348" s="806"/>
      <c r="W8348" s="806"/>
      <c r="AZ8348" s="806"/>
      <c r="BA8348" s="806"/>
      <c r="BB8348" s="806"/>
    </row>
    <row r="8349" spans="4:54">
      <c r="D8349" s="806"/>
      <c r="F8349" s="806"/>
      <c r="W8349" s="806"/>
      <c r="AZ8349" s="806"/>
      <c r="BA8349" s="806"/>
      <c r="BB8349" s="806"/>
    </row>
    <row r="8350" spans="4:54">
      <c r="D8350" s="806"/>
      <c r="F8350" s="806"/>
      <c r="W8350" s="806"/>
      <c r="AZ8350" s="806"/>
      <c r="BA8350" s="806"/>
      <c r="BB8350" s="806"/>
    </row>
    <row r="8351" spans="4:54">
      <c r="D8351" s="806"/>
      <c r="F8351" s="806"/>
      <c r="W8351" s="806"/>
      <c r="AZ8351" s="806"/>
      <c r="BA8351" s="806"/>
      <c r="BB8351" s="806"/>
    </row>
    <row r="8352" spans="4:54">
      <c r="D8352" s="806"/>
      <c r="F8352" s="806"/>
      <c r="W8352" s="806"/>
      <c r="AZ8352" s="806"/>
      <c r="BA8352" s="806"/>
      <c r="BB8352" s="806"/>
    </row>
    <row r="8353" spans="4:54">
      <c r="D8353" s="806"/>
      <c r="F8353" s="806"/>
      <c r="W8353" s="806"/>
      <c r="AZ8353" s="806"/>
      <c r="BA8353" s="806"/>
      <c r="BB8353" s="806"/>
    </row>
    <row r="8354" spans="4:54">
      <c r="D8354" s="806"/>
      <c r="F8354" s="806"/>
      <c r="W8354" s="806"/>
      <c r="AZ8354" s="806"/>
      <c r="BA8354" s="806"/>
      <c r="BB8354" s="806"/>
    </row>
    <row r="8355" spans="4:54">
      <c r="D8355" s="806"/>
      <c r="F8355" s="806"/>
      <c r="W8355" s="806"/>
      <c r="AZ8355" s="806"/>
      <c r="BA8355" s="806"/>
      <c r="BB8355" s="806"/>
    </row>
    <row r="8356" spans="4:54">
      <c r="D8356" s="806"/>
      <c r="F8356" s="806"/>
      <c r="W8356" s="806"/>
      <c r="AZ8356" s="806"/>
      <c r="BA8356" s="806"/>
      <c r="BB8356" s="806"/>
    </row>
    <row r="8357" spans="4:54">
      <c r="D8357" s="806"/>
      <c r="F8357" s="806"/>
      <c r="W8357" s="806"/>
      <c r="AZ8357" s="806"/>
      <c r="BA8357" s="806"/>
      <c r="BB8357" s="806"/>
    </row>
    <row r="8358" spans="4:54">
      <c r="D8358" s="806"/>
      <c r="F8358" s="806"/>
      <c r="W8358" s="806"/>
      <c r="AZ8358" s="806"/>
      <c r="BA8358" s="806"/>
      <c r="BB8358" s="806"/>
    </row>
    <row r="8359" spans="4:54">
      <c r="D8359" s="806"/>
      <c r="F8359" s="806"/>
      <c r="W8359" s="806"/>
      <c r="AZ8359" s="806"/>
      <c r="BA8359" s="806"/>
      <c r="BB8359" s="806"/>
    </row>
    <row r="8360" spans="4:54">
      <c r="D8360" s="806"/>
      <c r="F8360" s="806"/>
      <c r="W8360" s="806"/>
      <c r="AZ8360" s="806"/>
      <c r="BA8360" s="806"/>
      <c r="BB8360" s="806"/>
    </row>
    <row r="8361" spans="4:54">
      <c r="D8361" s="806"/>
      <c r="F8361" s="806"/>
      <c r="W8361" s="806"/>
      <c r="AZ8361" s="806"/>
      <c r="BA8361" s="806"/>
      <c r="BB8361" s="806"/>
    </row>
    <row r="8362" spans="4:54">
      <c r="D8362" s="806"/>
      <c r="F8362" s="806"/>
      <c r="W8362" s="806"/>
      <c r="AZ8362" s="806"/>
      <c r="BA8362" s="806"/>
      <c r="BB8362" s="806"/>
    </row>
    <row r="8363" spans="4:54">
      <c r="D8363" s="806"/>
      <c r="F8363" s="806"/>
      <c r="W8363" s="806"/>
      <c r="AZ8363" s="806"/>
      <c r="BA8363" s="806"/>
      <c r="BB8363" s="806"/>
    </row>
    <row r="8364" spans="4:54">
      <c r="D8364" s="806"/>
      <c r="F8364" s="806"/>
      <c r="W8364" s="806"/>
      <c r="AZ8364" s="806"/>
      <c r="BA8364" s="806"/>
      <c r="BB8364" s="806"/>
    </row>
    <row r="8365" spans="4:54">
      <c r="D8365" s="806"/>
      <c r="F8365" s="806"/>
      <c r="W8365" s="806"/>
      <c r="AZ8365" s="806"/>
      <c r="BA8365" s="806"/>
      <c r="BB8365" s="806"/>
    </row>
    <row r="8366" spans="4:54">
      <c r="D8366" s="806"/>
      <c r="F8366" s="806"/>
      <c r="W8366" s="806"/>
      <c r="AZ8366" s="806"/>
      <c r="BA8366" s="806"/>
      <c r="BB8366" s="806"/>
    </row>
    <row r="8367" spans="4:54">
      <c r="D8367" s="806"/>
      <c r="F8367" s="806"/>
      <c r="W8367" s="806"/>
      <c r="AZ8367" s="806"/>
      <c r="BA8367" s="806"/>
      <c r="BB8367" s="806"/>
    </row>
    <row r="8368" spans="4:54">
      <c r="D8368" s="806"/>
      <c r="F8368" s="806"/>
      <c r="W8368" s="806"/>
      <c r="AZ8368" s="806"/>
      <c r="BA8368" s="806"/>
      <c r="BB8368" s="806"/>
    </row>
    <row r="8369" spans="4:54">
      <c r="D8369" s="806"/>
      <c r="F8369" s="806"/>
      <c r="W8369" s="806"/>
      <c r="AZ8369" s="806"/>
      <c r="BA8369" s="806"/>
      <c r="BB8369" s="806"/>
    </row>
    <row r="8370" spans="4:54">
      <c r="D8370" s="806"/>
      <c r="F8370" s="806"/>
      <c r="W8370" s="806"/>
      <c r="AZ8370" s="806"/>
      <c r="BA8370" s="806"/>
      <c r="BB8370" s="806"/>
    </row>
    <row r="8371" spans="4:54">
      <c r="D8371" s="806"/>
      <c r="F8371" s="806"/>
      <c r="W8371" s="806"/>
      <c r="AZ8371" s="806"/>
      <c r="BA8371" s="806"/>
      <c r="BB8371" s="806"/>
    </row>
    <row r="8372" spans="4:54">
      <c r="D8372" s="806"/>
      <c r="F8372" s="806"/>
      <c r="W8372" s="806"/>
      <c r="AZ8372" s="806"/>
      <c r="BA8372" s="806"/>
      <c r="BB8372" s="806"/>
    </row>
    <row r="8373" spans="4:54">
      <c r="D8373" s="806"/>
      <c r="F8373" s="806"/>
      <c r="W8373" s="806"/>
      <c r="AZ8373" s="806"/>
      <c r="BA8373" s="806"/>
      <c r="BB8373" s="806"/>
    </row>
    <row r="8374" spans="4:54">
      <c r="D8374" s="806"/>
      <c r="F8374" s="806"/>
      <c r="W8374" s="806"/>
      <c r="AZ8374" s="806"/>
      <c r="BA8374" s="806"/>
      <c r="BB8374" s="806"/>
    </row>
    <row r="8375" spans="4:54">
      <c r="D8375" s="806"/>
      <c r="F8375" s="806"/>
      <c r="W8375" s="806"/>
      <c r="AZ8375" s="806"/>
      <c r="BA8375" s="806"/>
      <c r="BB8375" s="806"/>
    </row>
    <row r="8376" spans="4:54">
      <c r="D8376" s="806"/>
      <c r="F8376" s="806"/>
      <c r="W8376" s="806"/>
      <c r="AZ8376" s="806"/>
      <c r="BA8376" s="806"/>
      <c r="BB8376" s="806"/>
    </row>
    <row r="8377" spans="4:54">
      <c r="D8377" s="806"/>
      <c r="F8377" s="806"/>
      <c r="W8377" s="806"/>
      <c r="AZ8377" s="806"/>
      <c r="BA8377" s="806"/>
      <c r="BB8377" s="806"/>
    </row>
    <row r="8378" spans="4:54">
      <c r="D8378" s="806"/>
      <c r="F8378" s="806"/>
      <c r="W8378" s="806"/>
      <c r="AZ8378" s="806"/>
      <c r="BA8378" s="806"/>
      <c r="BB8378" s="806"/>
    </row>
    <row r="8379" spans="4:54">
      <c r="D8379" s="806"/>
      <c r="F8379" s="806"/>
      <c r="W8379" s="806"/>
      <c r="AZ8379" s="806"/>
      <c r="BA8379" s="806"/>
      <c r="BB8379" s="806"/>
    </row>
    <row r="8380" spans="4:54">
      <c r="D8380" s="806"/>
      <c r="F8380" s="806"/>
      <c r="W8380" s="806"/>
      <c r="AZ8380" s="806"/>
      <c r="BA8380" s="806"/>
      <c r="BB8380" s="806"/>
    </row>
    <row r="8381" spans="4:54">
      <c r="D8381" s="806"/>
      <c r="F8381" s="806"/>
      <c r="W8381" s="806"/>
      <c r="AZ8381" s="806"/>
      <c r="BA8381" s="806"/>
      <c r="BB8381" s="806"/>
    </row>
    <row r="8382" spans="4:54">
      <c r="D8382" s="806"/>
      <c r="F8382" s="806"/>
      <c r="W8382" s="806"/>
      <c r="AZ8382" s="806"/>
      <c r="BA8382" s="806"/>
      <c r="BB8382" s="806"/>
    </row>
    <row r="8383" spans="4:54">
      <c r="D8383" s="806"/>
      <c r="F8383" s="806"/>
      <c r="W8383" s="806"/>
      <c r="AZ8383" s="806"/>
      <c r="BA8383" s="806"/>
      <c r="BB8383" s="806"/>
    </row>
    <row r="8384" spans="4:54">
      <c r="D8384" s="806"/>
      <c r="F8384" s="806"/>
      <c r="W8384" s="806"/>
      <c r="AZ8384" s="806"/>
      <c r="BA8384" s="806"/>
      <c r="BB8384" s="806"/>
    </row>
    <row r="8385" spans="4:54">
      <c r="D8385" s="806"/>
      <c r="F8385" s="806"/>
      <c r="W8385" s="806"/>
      <c r="AZ8385" s="806"/>
      <c r="BA8385" s="806"/>
      <c r="BB8385" s="806"/>
    </row>
    <row r="8386" spans="4:54">
      <c r="D8386" s="806"/>
      <c r="F8386" s="806"/>
      <c r="W8386" s="806"/>
      <c r="AZ8386" s="806"/>
      <c r="BA8386" s="806"/>
      <c r="BB8386" s="806"/>
    </row>
    <row r="8387" spans="4:54">
      <c r="D8387" s="806"/>
      <c r="F8387" s="806"/>
      <c r="W8387" s="806"/>
      <c r="AZ8387" s="806"/>
      <c r="BA8387" s="806"/>
      <c r="BB8387" s="806"/>
    </row>
    <row r="8388" spans="4:54">
      <c r="D8388" s="806"/>
      <c r="F8388" s="806"/>
      <c r="W8388" s="806"/>
      <c r="AZ8388" s="806"/>
      <c r="BA8388" s="806"/>
      <c r="BB8388" s="806"/>
    </row>
    <row r="8389" spans="4:54">
      <c r="D8389" s="806"/>
      <c r="F8389" s="806"/>
      <c r="W8389" s="806"/>
      <c r="AZ8389" s="806"/>
      <c r="BA8389" s="806"/>
      <c r="BB8389" s="806"/>
    </row>
    <row r="8390" spans="4:54">
      <c r="D8390" s="806"/>
      <c r="F8390" s="806"/>
      <c r="W8390" s="806"/>
      <c r="AZ8390" s="806"/>
      <c r="BA8390" s="806"/>
      <c r="BB8390" s="806"/>
    </row>
    <row r="8391" spans="4:54">
      <c r="D8391" s="806"/>
      <c r="F8391" s="806"/>
      <c r="W8391" s="806"/>
      <c r="AZ8391" s="806"/>
      <c r="BA8391" s="806"/>
      <c r="BB8391" s="806"/>
    </row>
    <row r="8392" spans="4:54">
      <c r="D8392" s="806"/>
      <c r="F8392" s="806"/>
      <c r="W8392" s="806"/>
      <c r="AZ8392" s="806"/>
      <c r="BA8392" s="806"/>
      <c r="BB8392" s="806"/>
    </row>
    <row r="8393" spans="4:54">
      <c r="D8393" s="806"/>
      <c r="F8393" s="806"/>
      <c r="W8393" s="806"/>
      <c r="AZ8393" s="806"/>
      <c r="BA8393" s="806"/>
      <c r="BB8393" s="806"/>
    </row>
    <row r="8394" spans="4:54">
      <c r="D8394" s="806"/>
      <c r="F8394" s="806"/>
      <c r="W8394" s="806"/>
      <c r="AZ8394" s="806"/>
      <c r="BA8394" s="806"/>
      <c r="BB8394" s="806"/>
    </row>
    <row r="8395" spans="4:54">
      <c r="D8395" s="806"/>
      <c r="F8395" s="806"/>
      <c r="W8395" s="806"/>
      <c r="AZ8395" s="806"/>
      <c r="BA8395" s="806"/>
      <c r="BB8395" s="806"/>
    </row>
    <row r="8396" spans="4:54">
      <c r="D8396" s="806"/>
      <c r="F8396" s="806"/>
      <c r="W8396" s="806"/>
      <c r="AZ8396" s="806"/>
      <c r="BA8396" s="806"/>
      <c r="BB8396" s="806"/>
    </row>
    <row r="8397" spans="4:54">
      <c r="D8397" s="806"/>
      <c r="F8397" s="806"/>
      <c r="W8397" s="806"/>
      <c r="AZ8397" s="806"/>
      <c r="BA8397" s="806"/>
      <c r="BB8397" s="806"/>
    </row>
    <row r="8398" spans="4:54">
      <c r="D8398" s="806"/>
      <c r="F8398" s="806"/>
      <c r="W8398" s="806"/>
      <c r="AZ8398" s="806"/>
      <c r="BA8398" s="806"/>
      <c r="BB8398" s="806"/>
    </row>
    <row r="8399" spans="4:54">
      <c r="D8399" s="806"/>
      <c r="F8399" s="806"/>
      <c r="W8399" s="806"/>
      <c r="AZ8399" s="806"/>
      <c r="BA8399" s="806"/>
      <c r="BB8399" s="806"/>
    </row>
    <row r="8400" spans="4:54">
      <c r="D8400" s="806"/>
      <c r="F8400" s="806"/>
      <c r="W8400" s="806"/>
      <c r="AZ8400" s="806"/>
      <c r="BA8400" s="806"/>
      <c r="BB8400" s="806"/>
    </row>
    <row r="8401" spans="4:54">
      <c r="D8401" s="806"/>
      <c r="F8401" s="806"/>
      <c r="W8401" s="806"/>
      <c r="AZ8401" s="806"/>
      <c r="BA8401" s="806"/>
      <c r="BB8401" s="806"/>
    </row>
    <row r="8402" spans="4:54">
      <c r="D8402" s="806"/>
      <c r="F8402" s="806"/>
      <c r="W8402" s="806"/>
      <c r="AZ8402" s="806"/>
      <c r="BA8402" s="806"/>
      <c r="BB8402" s="806"/>
    </row>
    <row r="8403" spans="4:54">
      <c r="D8403" s="806"/>
      <c r="F8403" s="806"/>
      <c r="W8403" s="806"/>
      <c r="AZ8403" s="806"/>
      <c r="BA8403" s="806"/>
      <c r="BB8403" s="806"/>
    </row>
    <row r="8404" spans="4:54">
      <c r="D8404" s="806"/>
      <c r="F8404" s="806"/>
      <c r="W8404" s="806"/>
      <c r="AZ8404" s="806"/>
      <c r="BA8404" s="806"/>
      <c r="BB8404" s="806"/>
    </row>
    <row r="8405" spans="4:54">
      <c r="D8405" s="806"/>
      <c r="F8405" s="806"/>
      <c r="W8405" s="806"/>
      <c r="AZ8405" s="806"/>
      <c r="BA8405" s="806"/>
      <c r="BB8405" s="806"/>
    </row>
    <row r="8406" spans="4:54">
      <c r="D8406" s="806"/>
      <c r="F8406" s="806"/>
      <c r="W8406" s="806"/>
      <c r="AZ8406" s="806"/>
      <c r="BA8406" s="806"/>
      <c r="BB8406" s="806"/>
    </row>
    <row r="8407" spans="4:54">
      <c r="D8407" s="806"/>
      <c r="F8407" s="806"/>
      <c r="W8407" s="806"/>
      <c r="AZ8407" s="806"/>
      <c r="BA8407" s="806"/>
      <c r="BB8407" s="806"/>
    </row>
    <row r="8408" spans="4:54">
      <c r="D8408" s="806"/>
      <c r="F8408" s="806"/>
      <c r="W8408" s="806"/>
      <c r="AZ8408" s="806"/>
      <c r="BA8408" s="806"/>
      <c r="BB8408" s="806"/>
    </row>
    <row r="8409" spans="4:54">
      <c r="D8409" s="806"/>
      <c r="F8409" s="806"/>
      <c r="W8409" s="806"/>
      <c r="AZ8409" s="806"/>
      <c r="BA8409" s="806"/>
      <c r="BB8409" s="806"/>
    </row>
    <row r="8410" spans="4:54">
      <c r="D8410" s="806"/>
      <c r="F8410" s="806"/>
      <c r="W8410" s="806"/>
      <c r="AZ8410" s="806"/>
      <c r="BA8410" s="806"/>
      <c r="BB8410" s="806"/>
    </row>
    <row r="8411" spans="4:54">
      <c r="D8411" s="806"/>
      <c r="F8411" s="806"/>
      <c r="W8411" s="806"/>
      <c r="AZ8411" s="806"/>
      <c r="BA8411" s="806"/>
      <c r="BB8411" s="806"/>
    </row>
    <row r="8412" spans="4:54">
      <c r="D8412" s="806"/>
      <c r="F8412" s="806"/>
      <c r="W8412" s="806"/>
      <c r="AZ8412" s="806"/>
      <c r="BA8412" s="806"/>
      <c r="BB8412" s="806"/>
    </row>
    <row r="8413" spans="4:54">
      <c r="D8413" s="806"/>
      <c r="F8413" s="806"/>
      <c r="W8413" s="806"/>
      <c r="AZ8413" s="806"/>
      <c r="BA8413" s="806"/>
      <c r="BB8413" s="806"/>
    </row>
    <row r="8414" spans="4:54">
      <c r="D8414" s="806"/>
      <c r="F8414" s="806"/>
      <c r="W8414" s="806"/>
      <c r="AZ8414" s="806"/>
      <c r="BA8414" s="806"/>
      <c r="BB8414" s="806"/>
    </row>
    <row r="8415" spans="4:54">
      <c r="D8415" s="806"/>
      <c r="F8415" s="806"/>
      <c r="W8415" s="806"/>
      <c r="AZ8415" s="806"/>
      <c r="BA8415" s="806"/>
      <c r="BB8415" s="806"/>
    </row>
    <row r="8416" spans="4:54">
      <c r="D8416" s="806"/>
      <c r="F8416" s="806"/>
      <c r="W8416" s="806"/>
      <c r="AZ8416" s="806"/>
      <c r="BA8416" s="806"/>
      <c r="BB8416" s="806"/>
    </row>
    <row r="8417" spans="4:54">
      <c r="D8417" s="806"/>
      <c r="F8417" s="806"/>
      <c r="W8417" s="806"/>
      <c r="AZ8417" s="806"/>
      <c r="BA8417" s="806"/>
      <c r="BB8417" s="806"/>
    </row>
    <row r="8418" spans="4:54">
      <c r="D8418" s="806"/>
      <c r="F8418" s="806"/>
      <c r="W8418" s="806"/>
      <c r="AZ8418" s="806"/>
      <c r="BA8418" s="806"/>
      <c r="BB8418" s="806"/>
    </row>
    <row r="8419" spans="4:54">
      <c r="D8419" s="806"/>
      <c r="F8419" s="806"/>
      <c r="W8419" s="806"/>
      <c r="AZ8419" s="806"/>
      <c r="BA8419" s="806"/>
      <c r="BB8419" s="806"/>
    </row>
    <row r="8420" spans="4:54">
      <c r="D8420" s="806"/>
      <c r="F8420" s="806"/>
      <c r="W8420" s="806"/>
      <c r="AZ8420" s="806"/>
      <c r="BA8420" s="806"/>
      <c r="BB8420" s="806"/>
    </row>
    <row r="8421" spans="4:54">
      <c r="D8421" s="806"/>
      <c r="F8421" s="806"/>
      <c r="W8421" s="806"/>
      <c r="AZ8421" s="806"/>
      <c r="BA8421" s="806"/>
      <c r="BB8421" s="806"/>
    </row>
    <row r="8422" spans="4:54">
      <c r="D8422" s="806"/>
      <c r="F8422" s="806"/>
      <c r="W8422" s="806"/>
      <c r="AZ8422" s="806"/>
      <c r="BA8422" s="806"/>
      <c r="BB8422" s="806"/>
    </row>
    <row r="8423" spans="4:54">
      <c r="D8423" s="806"/>
      <c r="F8423" s="806"/>
      <c r="W8423" s="806"/>
      <c r="AZ8423" s="806"/>
      <c r="BA8423" s="806"/>
      <c r="BB8423" s="806"/>
    </row>
    <row r="8424" spans="4:54">
      <c r="D8424" s="806"/>
      <c r="F8424" s="806"/>
      <c r="W8424" s="806"/>
      <c r="AZ8424" s="806"/>
      <c r="BA8424" s="806"/>
      <c r="BB8424" s="806"/>
    </row>
    <row r="8425" spans="4:54">
      <c r="D8425" s="806"/>
      <c r="F8425" s="806"/>
      <c r="W8425" s="806"/>
      <c r="AZ8425" s="806"/>
      <c r="BA8425" s="806"/>
      <c r="BB8425" s="806"/>
    </row>
    <row r="8426" spans="4:54">
      <c r="D8426" s="806"/>
      <c r="F8426" s="806"/>
      <c r="W8426" s="806"/>
      <c r="AZ8426" s="806"/>
      <c r="BA8426" s="806"/>
      <c r="BB8426" s="806"/>
    </row>
    <row r="8427" spans="4:54">
      <c r="D8427" s="806"/>
      <c r="F8427" s="806"/>
      <c r="W8427" s="806"/>
      <c r="AZ8427" s="806"/>
      <c r="BA8427" s="806"/>
      <c r="BB8427" s="806"/>
    </row>
    <row r="8428" spans="4:54">
      <c r="D8428" s="806"/>
      <c r="F8428" s="806"/>
      <c r="W8428" s="806"/>
      <c r="AZ8428" s="806"/>
      <c r="BA8428" s="806"/>
      <c r="BB8428" s="806"/>
    </row>
    <row r="8429" spans="4:54">
      <c r="D8429" s="806"/>
      <c r="F8429" s="806"/>
      <c r="W8429" s="806"/>
      <c r="AZ8429" s="806"/>
      <c r="BA8429" s="806"/>
      <c r="BB8429" s="806"/>
    </row>
    <row r="8430" spans="4:54">
      <c r="D8430" s="806"/>
      <c r="F8430" s="806"/>
      <c r="W8430" s="806"/>
      <c r="AZ8430" s="806"/>
      <c r="BA8430" s="806"/>
      <c r="BB8430" s="806"/>
    </row>
    <row r="8431" spans="4:54">
      <c r="D8431" s="806"/>
      <c r="F8431" s="806"/>
      <c r="W8431" s="806"/>
      <c r="AZ8431" s="806"/>
      <c r="BA8431" s="806"/>
      <c r="BB8431" s="806"/>
    </row>
    <row r="8432" spans="4:54">
      <c r="D8432" s="806"/>
      <c r="F8432" s="806"/>
      <c r="W8432" s="806"/>
      <c r="AZ8432" s="806"/>
      <c r="BA8432" s="806"/>
      <c r="BB8432" s="806"/>
    </row>
    <row r="8433" spans="4:54">
      <c r="D8433" s="806"/>
      <c r="F8433" s="806"/>
      <c r="W8433" s="806"/>
      <c r="AZ8433" s="806"/>
      <c r="BA8433" s="806"/>
      <c r="BB8433" s="806"/>
    </row>
    <row r="8434" spans="4:54">
      <c r="D8434" s="806"/>
      <c r="F8434" s="806"/>
      <c r="W8434" s="806"/>
      <c r="AZ8434" s="806"/>
      <c r="BA8434" s="806"/>
      <c r="BB8434" s="806"/>
    </row>
    <row r="8435" spans="4:54">
      <c r="D8435" s="806"/>
      <c r="F8435" s="806"/>
      <c r="W8435" s="806"/>
      <c r="AZ8435" s="806"/>
      <c r="BA8435" s="806"/>
      <c r="BB8435" s="806"/>
    </row>
    <row r="8436" spans="4:54">
      <c r="D8436" s="806"/>
      <c r="F8436" s="806"/>
      <c r="W8436" s="806"/>
      <c r="AZ8436" s="806"/>
      <c r="BA8436" s="806"/>
      <c r="BB8436" s="806"/>
    </row>
    <row r="8437" spans="4:54">
      <c r="D8437" s="806"/>
      <c r="F8437" s="806"/>
      <c r="W8437" s="806"/>
      <c r="AZ8437" s="806"/>
      <c r="BA8437" s="806"/>
      <c r="BB8437" s="806"/>
    </row>
    <row r="8438" spans="4:54">
      <c r="D8438" s="806"/>
      <c r="F8438" s="806"/>
      <c r="W8438" s="806"/>
      <c r="AZ8438" s="806"/>
      <c r="BA8438" s="806"/>
      <c r="BB8438" s="806"/>
    </row>
    <row r="8439" spans="4:54">
      <c r="D8439" s="806"/>
      <c r="F8439" s="806"/>
      <c r="W8439" s="806"/>
      <c r="AZ8439" s="806"/>
      <c r="BA8439" s="806"/>
      <c r="BB8439" s="806"/>
    </row>
    <row r="8440" spans="4:54">
      <c r="D8440" s="806"/>
      <c r="F8440" s="806"/>
      <c r="W8440" s="806"/>
      <c r="AZ8440" s="806"/>
      <c r="BA8440" s="806"/>
      <c r="BB8440" s="806"/>
    </row>
    <row r="8441" spans="4:54">
      <c r="D8441" s="806"/>
      <c r="F8441" s="806"/>
      <c r="W8441" s="806"/>
      <c r="AZ8441" s="806"/>
      <c r="BA8441" s="806"/>
      <c r="BB8441" s="806"/>
    </row>
    <row r="8442" spans="4:54">
      <c r="D8442" s="806"/>
      <c r="F8442" s="806"/>
      <c r="W8442" s="806"/>
      <c r="AZ8442" s="806"/>
      <c r="BA8442" s="806"/>
      <c r="BB8442" s="806"/>
    </row>
    <row r="8443" spans="4:54">
      <c r="D8443" s="806"/>
      <c r="F8443" s="806"/>
      <c r="W8443" s="806"/>
      <c r="AZ8443" s="806"/>
      <c r="BA8443" s="806"/>
      <c r="BB8443" s="806"/>
    </row>
    <row r="8444" spans="4:54">
      <c r="D8444" s="806"/>
      <c r="F8444" s="806"/>
      <c r="W8444" s="806"/>
      <c r="AZ8444" s="806"/>
      <c r="BA8444" s="806"/>
      <c r="BB8444" s="806"/>
    </row>
    <row r="8445" spans="4:54">
      <c r="D8445" s="806"/>
      <c r="F8445" s="806"/>
      <c r="W8445" s="806"/>
      <c r="AZ8445" s="806"/>
      <c r="BA8445" s="806"/>
      <c r="BB8445" s="806"/>
    </row>
    <row r="8446" spans="4:54">
      <c r="D8446" s="806"/>
      <c r="F8446" s="806"/>
      <c r="W8446" s="806"/>
      <c r="AZ8446" s="806"/>
      <c r="BA8446" s="806"/>
      <c r="BB8446" s="806"/>
    </row>
    <row r="8447" spans="4:54">
      <c r="D8447" s="806"/>
      <c r="F8447" s="806"/>
      <c r="W8447" s="806"/>
      <c r="AZ8447" s="806"/>
      <c r="BA8447" s="806"/>
      <c r="BB8447" s="806"/>
    </row>
    <row r="8448" spans="4:54">
      <c r="D8448" s="806"/>
      <c r="F8448" s="806"/>
      <c r="W8448" s="806"/>
      <c r="AZ8448" s="806"/>
      <c r="BA8448" s="806"/>
      <c r="BB8448" s="806"/>
    </row>
    <row r="8449" spans="4:54">
      <c r="D8449" s="806"/>
      <c r="F8449" s="806"/>
      <c r="W8449" s="806"/>
      <c r="AZ8449" s="806"/>
      <c r="BA8449" s="806"/>
      <c r="BB8449" s="806"/>
    </row>
    <row r="8450" spans="4:54">
      <c r="D8450" s="806"/>
      <c r="F8450" s="806"/>
      <c r="W8450" s="806"/>
      <c r="AZ8450" s="806"/>
      <c r="BA8450" s="806"/>
      <c r="BB8450" s="806"/>
    </row>
    <row r="8451" spans="4:54">
      <c r="D8451" s="806"/>
      <c r="F8451" s="806"/>
      <c r="W8451" s="806"/>
      <c r="AZ8451" s="806"/>
      <c r="BA8451" s="806"/>
      <c r="BB8451" s="806"/>
    </row>
    <row r="8452" spans="4:54">
      <c r="D8452" s="806"/>
      <c r="F8452" s="806"/>
      <c r="W8452" s="806"/>
      <c r="AZ8452" s="806"/>
      <c r="BA8452" s="806"/>
      <c r="BB8452" s="806"/>
    </row>
    <row r="8453" spans="4:54">
      <c r="D8453" s="806"/>
      <c r="F8453" s="806"/>
      <c r="W8453" s="806"/>
      <c r="AZ8453" s="806"/>
      <c r="BA8453" s="806"/>
      <c r="BB8453" s="806"/>
    </row>
    <row r="8454" spans="4:54">
      <c r="D8454" s="806"/>
      <c r="F8454" s="806"/>
      <c r="W8454" s="806"/>
      <c r="AZ8454" s="806"/>
      <c r="BA8454" s="806"/>
      <c r="BB8454" s="806"/>
    </row>
    <row r="8455" spans="4:54">
      <c r="D8455" s="806"/>
      <c r="F8455" s="806"/>
      <c r="W8455" s="806"/>
      <c r="AZ8455" s="806"/>
      <c r="BA8455" s="806"/>
      <c r="BB8455" s="806"/>
    </row>
    <row r="8456" spans="4:54">
      <c r="D8456" s="806"/>
      <c r="F8456" s="806"/>
      <c r="W8456" s="806"/>
      <c r="AZ8456" s="806"/>
      <c r="BA8456" s="806"/>
      <c r="BB8456" s="806"/>
    </row>
    <row r="8457" spans="4:54">
      <c r="D8457" s="806"/>
      <c r="F8457" s="806"/>
      <c r="W8457" s="806"/>
      <c r="AZ8457" s="806"/>
      <c r="BA8457" s="806"/>
      <c r="BB8457" s="806"/>
    </row>
    <row r="8458" spans="4:54">
      <c r="D8458" s="806"/>
      <c r="F8458" s="806"/>
      <c r="W8458" s="806"/>
      <c r="AZ8458" s="806"/>
      <c r="BA8458" s="806"/>
      <c r="BB8458" s="806"/>
    </row>
    <row r="8459" spans="4:54">
      <c r="D8459" s="806"/>
      <c r="F8459" s="806"/>
      <c r="W8459" s="806"/>
      <c r="AZ8459" s="806"/>
      <c r="BA8459" s="806"/>
      <c r="BB8459" s="806"/>
    </row>
    <row r="8460" spans="4:54">
      <c r="D8460" s="806"/>
      <c r="F8460" s="806"/>
      <c r="W8460" s="806"/>
      <c r="AZ8460" s="806"/>
      <c r="BA8460" s="806"/>
      <c r="BB8460" s="806"/>
    </row>
    <row r="8461" spans="4:54">
      <c r="D8461" s="806"/>
      <c r="F8461" s="806"/>
      <c r="W8461" s="806"/>
      <c r="AZ8461" s="806"/>
      <c r="BA8461" s="806"/>
      <c r="BB8461" s="806"/>
    </row>
    <row r="8462" spans="4:54">
      <c r="D8462" s="806"/>
      <c r="F8462" s="806"/>
      <c r="W8462" s="806"/>
      <c r="AZ8462" s="806"/>
      <c r="BA8462" s="806"/>
      <c r="BB8462" s="806"/>
    </row>
    <row r="8463" spans="4:54">
      <c r="D8463" s="806"/>
      <c r="F8463" s="806"/>
      <c r="W8463" s="806"/>
      <c r="AZ8463" s="806"/>
      <c r="BA8463" s="806"/>
      <c r="BB8463" s="806"/>
    </row>
    <row r="8464" spans="4:54">
      <c r="D8464" s="806"/>
      <c r="F8464" s="806"/>
      <c r="W8464" s="806"/>
      <c r="AZ8464" s="806"/>
      <c r="BA8464" s="806"/>
      <c r="BB8464" s="806"/>
    </row>
    <row r="8465" spans="4:54">
      <c r="D8465" s="806"/>
      <c r="F8465" s="806"/>
      <c r="W8465" s="806"/>
      <c r="AZ8465" s="806"/>
      <c r="BA8465" s="806"/>
      <c r="BB8465" s="806"/>
    </row>
    <row r="8466" spans="4:54">
      <c r="D8466" s="806"/>
      <c r="F8466" s="806"/>
      <c r="W8466" s="806"/>
      <c r="AZ8466" s="806"/>
      <c r="BA8466" s="806"/>
      <c r="BB8466" s="806"/>
    </row>
    <row r="8467" spans="4:54">
      <c r="D8467" s="806"/>
      <c r="F8467" s="806"/>
      <c r="W8467" s="806"/>
      <c r="AZ8467" s="806"/>
      <c r="BA8467" s="806"/>
      <c r="BB8467" s="806"/>
    </row>
    <row r="8468" spans="4:54">
      <c r="D8468" s="806"/>
      <c r="F8468" s="806"/>
      <c r="W8468" s="806"/>
      <c r="AZ8468" s="806"/>
      <c r="BA8468" s="806"/>
      <c r="BB8468" s="806"/>
    </row>
    <row r="8469" spans="4:54">
      <c r="D8469" s="806"/>
      <c r="F8469" s="806"/>
      <c r="W8469" s="806"/>
      <c r="AZ8469" s="806"/>
      <c r="BA8469" s="806"/>
      <c r="BB8469" s="806"/>
    </row>
    <row r="8470" spans="4:54">
      <c r="D8470" s="806"/>
      <c r="F8470" s="806"/>
      <c r="W8470" s="806"/>
      <c r="AZ8470" s="806"/>
      <c r="BA8470" s="806"/>
      <c r="BB8470" s="806"/>
    </row>
    <row r="8471" spans="4:54">
      <c r="D8471" s="806"/>
      <c r="F8471" s="806"/>
      <c r="W8471" s="806"/>
      <c r="AZ8471" s="806"/>
      <c r="BA8471" s="806"/>
      <c r="BB8471" s="806"/>
    </row>
    <row r="8472" spans="4:54">
      <c r="D8472" s="806"/>
      <c r="F8472" s="806"/>
      <c r="W8472" s="806"/>
      <c r="AZ8472" s="806"/>
      <c r="BA8472" s="806"/>
      <c r="BB8472" s="806"/>
    </row>
    <row r="8473" spans="4:54">
      <c r="D8473" s="806"/>
      <c r="F8473" s="806"/>
      <c r="W8473" s="806"/>
      <c r="AZ8473" s="806"/>
      <c r="BA8473" s="806"/>
      <c r="BB8473" s="806"/>
    </row>
    <row r="8474" spans="4:54">
      <c r="D8474" s="806"/>
      <c r="F8474" s="806"/>
      <c r="W8474" s="806"/>
      <c r="AZ8474" s="806"/>
      <c r="BA8474" s="806"/>
      <c r="BB8474" s="806"/>
    </row>
    <row r="8475" spans="4:54">
      <c r="D8475" s="806"/>
      <c r="F8475" s="806"/>
      <c r="W8475" s="806"/>
      <c r="AZ8475" s="806"/>
      <c r="BA8475" s="806"/>
      <c r="BB8475" s="806"/>
    </row>
    <row r="8476" spans="4:54">
      <c r="D8476" s="806"/>
      <c r="F8476" s="806"/>
      <c r="W8476" s="806"/>
      <c r="AZ8476" s="806"/>
      <c r="BA8476" s="806"/>
      <c r="BB8476" s="806"/>
    </row>
    <row r="8477" spans="4:54">
      <c r="D8477" s="806"/>
      <c r="F8477" s="806"/>
      <c r="W8477" s="806"/>
      <c r="AZ8477" s="806"/>
      <c r="BA8477" s="806"/>
      <c r="BB8477" s="806"/>
    </row>
    <row r="8478" spans="4:54">
      <c r="D8478" s="806"/>
      <c r="F8478" s="806"/>
      <c r="W8478" s="806"/>
      <c r="AZ8478" s="806"/>
      <c r="BA8478" s="806"/>
      <c r="BB8478" s="806"/>
    </row>
    <row r="8479" spans="4:54">
      <c r="D8479" s="806"/>
      <c r="F8479" s="806"/>
      <c r="W8479" s="806"/>
      <c r="AZ8479" s="806"/>
      <c r="BA8479" s="806"/>
      <c r="BB8479" s="806"/>
    </row>
    <row r="8480" spans="4:54">
      <c r="D8480" s="806"/>
      <c r="F8480" s="806"/>
      <c r="W8480" s="806"/>
      <c r="AZ8480" s="806"/>
      <c r="BA8480" s="806"/>
      <c r="BB8480" s="806"/>
    </row>
    <row r="8481" spans="4:54">
      <c r="D8481" s="806"/>
      <c r="F8481" s="806"/>
      <c r="W8481" s="806"/>
      <c r="AZ8481" s="806"/>
      <c r="BA8481" s="806"/>
      <c r="BB8481" s="806"/>
    </row>
    <row r="8482" spans="4:54">
      <c r="D8482" s="806"/>
      <c r="F8482" s="806"/>
      <c r="W8482" s="806"/>
      <c r="AZ8482" s="806"/>
      <c r="BA8482" s="806"/>
      <c r="BB8482" s="806"/>
    </row>
    <row r="8483" spans="4:54">
      <c r="D8483" s="806"/>
      <c r="F8483" s="806"/>
      <c r="W8483" s="806"/>
      <c r="AZ8483" s="806"/>
      <c r="BA8483" s="806"/>
      <c r="BB8483" s="806"/>
    </row>
    <row r="8484" spans="4:54">
      <c r="D8484" s="806"/>
      <c r="F8484" s="806"/>
      <c r="W8484" s="806"/>
      <c r="AZ8484" s="806"/>
      <c r="BA8484" s="806"/>
      <c r="BB8484" s="806"/>
    </row>
    <row r="8485" spans="4:54">
      <c r="D8485" s="806"/>
      <c r="F8485" s="806"/>
      <c r="W8485" s="806"/>
      <c r="AZ8485" s="806"/>
      <c r="BA8485" s="806"/>
      <c r="BB8485" s="806"/>
    </row>
    <row r="8486" spans="4:54">
      <c r="D8486" s="806"/>
      <c r="F8486" s="806"/>
      <c r="W8486" s="806"/>
      <c r="AZ8486" s="806"/>
      <c r="BA8486" s="806"/>
      <c r="BB8486" s="806"/>
    </row>
    <row r="8487" spans="4:54">
      <c r="D8487" s="806"/>
      <c r="F8487" s="806"/>
      <c r="W8487" s="806"/>
      <c r="AZ8487" s="806"/>
      <c r="BA8487" s="806"/>
      <c r="BB8487" s="806"/>
    </row>
    <row r="8488" spans="4:54">
      <c r="D8488" s="806"/>
      <c r="F8488" s="806"/>
      <c r="W8488" s="806"/>
      <c r="AZ8488" s="806"/>
      <c r="BA8488" s="806"/>
      <c r="BB8488" s="806"/>
    </row>
    <row r="8489" spans="4:54">
      <c r="D8489" s="806"/>
      <c r="F8489" s="806"/>
      <c r="W8489" s="806"/>
      <c r="AZ8489" s="806"/>
      <c r="BA8489" s="806"/>
      <c r="BB8489" s="806"/>
    </row>
    <row r="8490" spans="4:54">
      <c r="D8490" s="806"/>
      <c r="F8490" s="806"/>
      <c r="W8490" s="806"/>
      <c r="AZ8490" s="806"/>
      <c r="BA8490" s="806"/>
      <c r="BB8490" s="806"/>
    </row>
    <row r="8491" spans="4:54">
      <c r="D8491" s="806"/>
      <c r="F8491" s="806"/>
      <c r="W8491" s="806"/>
      <c r="AZ8491" s="806"/>
      <c r="BA8491" s="806"/>
      <c r="BB8491" s="806"/>
    </row>
    <row r="8492" spans="4:54">
      <c r="D8492" s="806"/>
      <c r="F8492" s="806"/>
      <c r="W8492" s="806"/>
      <c r="AZ8492" s="806"/>
      <c r="BA8492" s="806"/>
      <c r="BB8492" s="806"/>
    </row>
    <row r="8493" spans="4:54">
      <c r="D8493" s="806"/>
      <c r="F8493" s="806"/>
      <c r="W8493" s="806"/>
      <c r="AZ8493" s="806"/>
      <c r="BA8493" s="806"/>
      <c r="BB8493" s="806"/>
    </row>
    <row r="8494" spans="4:54">
      <c r="D8494" s="806"/>
      <c r="F8494" s="806"/>
      <c r="W8494" s="806"/>
      <c r="AZ8494" s="806"/>
      <c r="BA8494" s="806"/>
      <c r="BB8494" s="806"/>
    </row>
    <row r="8495" spans="4:54">
      <c r="D8495" s="806"/>
      <c r="F8495" s="806"/>
      <c r="W8495" s="806"/>
      <c r="AZ8495" s="806"/>
      <c r="BA8495" s="806"/>
      <c r="BB8495" s="806"/>
    </row>
    <row r="8496" spans="4:54">
      <c r="D8496" s="806"/>
      <c r="F8496" s="806"/>
      <c r="W8496" s="806"/>
      <c r="AZ8496" s="806"/>
      <c r="BA8496" s="806"/>
      <c r="BB8496" s="806"/>
    </row>
    <row r="8497" spans="4:54">
      <c r="D8497" s="806"/>
      <c r="F8497" s="806"/>
      <c r="W8497" s="806"/>
      <c r="AZ8497" s="806"/>
      <c r="BA8497" s="806"/>
      <c r="BB8497" s="806"/>
    </row>
    <row r="8498" spans="4:54">
      <c r="D8498" s="806"/>
      <c r="F8498" s="806"/>
      <c r="W8498" s="806"/>
      <c r="AZ8498" s="806"/>
      <c r="BA8498" s="806"/>
      <c r="BB8498" s="806"/>
    </row>
    <row r="8499" spans="4:54">
      <c r="D8499" s="806"/>
      <c r="F8499" s="806"/>
      <c r="W8499" s="806"/>
      <c r="AZ8499" s="806"/>
      <c r="BA8499" s="806"/>
      <c r="BB8499" s="806"/>
    </row>
    <row r="8500" spans="4:54">
      <c r="D8500" s="806"/>
      <c r="F8500" s="806"/>
      <c r="W8500" s="806"/>
      <c r="AZ8500" s="806"/>
      <c r="BA8500" s="806"/>
      <c r="BB8500" s="806"/>
    </row>
    <row r="8501" spans="4:54">
      <c r="D8501" s="806"/>
      <c r="F8501" s="806"/>
      <c r="W8501" s="806"/>
      <c r="AZ8501" s="806"/>
      <c r="BA8501" s="806"/>
      <c r="BB8501" s="806"/>
    </row>
    <row r="8502" spans="4:54">
      <c r="D8502" s="806"/>
      <c r="F8502" s="806"/>
      <c r="W8502" s="806"/>
      <c r="AZ8502" s="806"/>
      <c r="BA8502" s="806"/>
      <c r="BB8502" s="806"/>
    </row>
    <row r="8503" spans="4:54">
      <c r="D8503" s="806"/>
      <c r="F8503" s="806"/>
      <c r="W8503" s="806"/>
      <c r="AZ8503" s="806"/>
      <c r="BA8503" s="806"/>
      <c r="BB8503" s="806"/>
    </row>
    <row r="8504" spans="4:54">
      <c r="D8504" s="806"/>
      <c r="F8504" s="806"/>
      <c r="W8504" s="806"/>
      <c r="AZ8504" s="806"/>
      <c r="BA8504" s="806"/>
      <c r="BB8504" s="806"/>
    </row>
    <row r="8505" spans="4:54">
      <c r="D8505" s="806"/>
      <c r="F8505" s="806"/>
      <c r="W8505" s="806"/>
      <c r="AZ8505" s="806"/>
      <c r="BA8505" s="806"/>
      <c r="BB8505" s="806"/>
    </row>
    <row r="8506" spans="4:54">
      <c r="D8506" s="806"/>
      <c r="F8506" s="806"/>
      <c r="W8506" s="806"/>
      <c r="AZ8506" s="806"/>
      <c r="BA8506" s="806"/>
      <c r="BB8506" s="806"/>
    </row>
    <row r="8507" spans="4:54">
      <c r="D8507" s="806"/>
      <c r="F8507" s="806"/>
      <c r="W8507" s="806"/>
      <c r="AZ8507" s="806"/>
      <c r="BA8507" s="806"/>
      <c r="BB8507" s="806"/>
    </row>
    <row r="8508" spans="4:54">
      <c r="D8508" s="806"/>
      <c r="F8508" s="806"/>
      <c r="W8508" s="806"/>
      <c r="AZ8508" s="806"/>
      <c r="BA8508" s="806"/>
      <c r="BB8508" s="806"/>
    </row>
    <row r="8509" spans="4:54">
      <c r="D8509" s="806"/>
      <c r="F8509" s="806"/>
      <c r="W8509" s="806"/>
      <c r="AZ8509" s="806"/>
      <c r="BA8509" s="806"/>
      <c r="BB8509" s="806"/>
    </row>
    <row r="8510" spans="4:54">
      <c r="D8510" s="806"/>
      <c r="F8510" s="806"/>
      <c r="W8510" s="806"/>
      <c r="AZ8510" s="806"/>
      <c r="BA8510" s="806"/>
      <c r="BB8510" s="806"/>
    </row>
    <row r="8511" spans="4:54">
      <c r="D8511" s="806"/>
      <c r="F8511" s="806"/>
      <c r="W8511" s="806"/>
      <c r="AZ8511" s="806"/>
      <c r="BA8511" s="806"/>
      <c r="BB8511" s="806"/>
    </row>
    <row r="8512" spans="4:54">
      <c r="D8512" s="806"/>
      <c r="F8512" s="806"/>
      <c r="W8512" s="806"/>
      <c r="AZ8512" s="806"/>
      <c r="BA8512" s="806"/>
      <c r="BB8512" s="806"/>
    </row>
    <row r="8513" spans="4:54">
      <c r="D8513" s="806"/>
      <c r="F8513" s="806"/>
      <c r="W8513" s="806"/>
      <c r="AZ8513" s="806"/>
      <c r="BA8513" s="806"/>
      <c r="BB8513" s="806"/>
    </row>
    <row r="8514" spans="4:54">
      <c r="D8514" s="806"/>
      <c r="F8514" s="806"/>
      <c r="W8514" s="806"/>
      <c r="AZ8514" s="806"/>
      <c r="BA8514" s="806"/>
      <c r="BB8514" s="806"/>
    </row>
    <row r="8515" spans="4:54">
      <c r="D8515" s="806"/>
      <c r="F8515" s="806"/>
      <c r="W8515" s="806"/>
      <c r="AZ8515" s="806"/>
      <c r="BA8515" s="806"/>
      <c r="BB8515" s="806"/>
    </row>
    <row r="8516" spans="4:54">
      <c r="D8516" s="806"/>
      <c r="F8516" s="806"/>
      <c r="W8516" s="806"/>
      <c r="AZ8516" s="806"/>
      <c r="BA8516" s="806"/>
      <c r="BB8516" s="806"/>
    </row>
    <row r="8517" spans="4:54">
      <c r="D8517" s="806"/>
      <c r="F8517" s="806"/>
      <c r="W8517" s="806"/>
      <c r="AZ8517" s="806"/>
      <c r="BA8517" s="806"/>
      <c r="BB8517" s="806"/>
    </row>
    <row r="8518" spans="4:54">
      <c r="D8518" s="806"/>
      <c r="F8518" s="806"/>
      <c r="W8518" s="806"/>
      <c r="AZ8518" s="806"/>
      <c r="BA8518" s="806"/>
      <c r="BB8518" s="806"/>
    </row>
    <row r="8519" spans="4:54">
      <c r="D8519" s="806"/>
      <c r="F8519" s="806"/>
      <c r="W8519" s="806"/>
      <c r="AZ8519" s="806"/>
      <c r="BA8519" s="806"/>
      <c r="BB8519" s="806"/>
    </row>
    <row r="8520" spans="4:54">
      <c r="D8520" s="806"/>
      <c r="F8520" s="806"/>
      <c r="W8520" s="806"/>
      <c r="AZ8520" s="806"/>
      <c r="BA8520" s="806"/>
      <c r="BB8520" s="806"/>
    </row>
    <row r="8521" spans="4:54">
      <c r="D8521" s="806"/>
      <c r="F8521" s="806"/>
      <c r="W8521" s="806"/>
      <c r="AZ8521" s="806"/>
      <c r="BA8521" s="806"/>
      <c r="BB8521" s="806"/>
    </row>
    <row r="8522" spans="4:54">
      <c r="D8522" s="806"/>
      <c r="F8522" s="806"/>
      <c r="W8522" s="806"/>
      <c r="AZ8522" s="806"/>
      <c r="BA8522" s="806"/>
      <c r="BB8522" s="806"/>
    </row>
    <row r="8523" spans="4:54">
      <c r="D8523" s="806"/>
      <c r="F8523" s="806"/>
      <c r="W8523" s="806"/>
      <c r="AZ8523" s="806"/>
      <c r="BA8523" s="806"/>
      <c r="BB8523" s="806"/>
    </row>
    <row r="8524" spans="4:54">
      <c r="D8524" s="806"/>
      <c r="F8524" s="806"/>
      <c r="W8524" s="806"/>
      <c r="AZ8524" s="806"/>
      <c r="BA8524" s="806"/>
      <c r="BB8524" s="806"/>
    </row>
    <row r="8525" spans="4:54">
      <c r="D8525" s="806"/>
      <c r="F8525" s="806"/>
      <c r="W8525" s="806"/>
      <c r="AZ8525" s="806"/>
      <c r="BA8525" s="806"/>
      <c r="BB8525" s="806"/>
    </row>
    <row r="8526" spans="4:54">
      <c r="D8526" s="806"/>
      <c r="F8526" s="806"/>
      <c r="W8526" s="806"/>
      <c r="AZ8526" s="806"/>
      <c r="BA8526" s="806"/>
      <c r="BB8526" s="806"/>
    </row>
    <row r="8527" spans="4:54">
      <c r="D8527" s="806"/>
      <c r="F8527" s="806"/>
      <c r="W8527" s="806"/>
      <c r="AZ8527" s="806"/>
      <c r="BA8527" s="806"/>
      <c r="BB8527" s="806"/>
    </row>
    <row r="8528" spans="4:54">
      <c r="D8528" s="806"/>
      <c r="F8528" s="806"/>
      <c r="W8528" s="806"/>
      <c r="AZ8528" s="806"/>
      <c r="BA8528" s="806"/>
      <c r="BB8528" s="806"/>
    </row>
    <row r="8529" spans="4:54">
      <c r="D8529" s="806"/>
      <c r="F8529" s="806"/>
      <c r="W8529" s="806"/>
      <c r="AZ8529" s="806"/>
      <c r="BA8529" s="806"/>
      <c r="BB8529" s="806"/>
    </row>
    <row r="8530" spans="4:54">
      <c r="D8530" s="806"/>
      <c r="F8530" s="806"/>
      <c r="W8530" s="806"/>
      <c r="AZ8530" s="806"/>
      <c r="BA8530" s="806"/>
      <c r="BB8530" s="806"/>
    </row>
    <row r="8531" spans="4:54">
      <c r="D8531" s="806"/>
      <c r="F8531" s="806"/>
      <c r="W8531" s="806"/>
      <c r="AZ8531" s="806"/>
      <c r="BA8531" s="806"/>
      <c r="BB8531" s="806"/>
    </row>
    <row r="8532" spans="4:54">
      <c r="D8532" s="806"/>
      <c r="F8532" s="806"/>
      <c r="W8532" s="806"/>
      <c r="AZ8532" s="806"/>
      <c r="BA8532" s="806"/>
      <c r="BB8532" s="806"/>
    </row>
    <row r="8533" spans="4:54">
      <c r="D8533" s="806"/>
      <c r="F8533" s="806"/>
      <c r="W8533" s="806"/>
      <c r="AZ8533" s="806"/>
      <c r="BA8533" s="806"/>
      <c r="BB8533" s="806"/>
    </row>
    <row r="8534" spans="4:54">
      <c r="D8534" s="806"/>
      <c r="F8534" s="806"/>
      <c r="W8534" s="806"/>
      <c r="AZ8534" s="806"/>
      <c r="BA8534" s="806"/>
      <c r="BB8534" s="806"/>
    </row>
    <row r="8535" spans="4:54">
      <c r="D8535" s="806"/>
      <c r="F8535" s="806"/>
      <c r="W8535" s="806"/>
      <c r="AZ8535" s="806"/>
      <c r="BA8535" s="806"/>
      <c r="BB8535" s="806"/>
    </row>
    <row r="8536" spans="4:54">
      <c r="D8536" s="806"/>
      <c r="F8536" s="806"/>
      <c r="W8536" s="806"/>
      <c r="AZ8536" s="806"/>
      <c r="BA8536" s="806"/>
      <c r="BB8536" s="806"/>
    </row>
    <row r="8537" spans="4:54">
      <c r="D8537" s="806"/>
      <c r="F8537" s="806"/>
      <c r="W8537" s="806"/>
      <c r="AZ8537" s="806"/>
      <c r="BA8537" s="806"/>
      <c r="BB8537" s="806"/>
    </row>
    <row r="8538" spans="4:54">
      <c r="D8538" s="806"/>
      <c r="F8538" s="806"/>
      <c r="W8538" s="806"/>
      <c r="AZ8538" s="806"/>
      <c r="BA8538" s="806"/>
      <c r="BB8538" s="806"/>
    </row>
    <row r="8539" spans="4:54">
      <c r="D8539" s="806"/>
      <c r="F8539" s="806"/>
      <c r="W8539" s="806"/>
      <c r="AZ8539" s="806"/>
      <c r="BA8539" s="806"/>
      <c r="BB8539" s="806"/>
    </row>
    <row r="8540" spans="4:54">
      <c r="D8540" s="806"/>
      <c r="F8540" s="806"/>
      <c r="W8540" s="806"/>
      <c r="AZ8540" s="806"/>
      <c r="BA8540" s="806"/>
      <c r="BB8540" s="806"/>
    </row>
    <row r="8541" spans="4:54">
      <c r="D8541" s="806"/>
      <c r="F8541" s="806"/>
      <c r="W8541" s="806"/>
      <c r="AZ8541" s="806"/>
      <c r="BA8541" s="806"/>
      <c r="BB8541" s="806"/>
    </row>
    <row r="8542" spans="4:54">
      <c r="D8542" s="806"/>
      <c r="F8542" s="806"/>
      <c r="W8542" s="806"/>
      <c r="AZ8542" s="806"/>
      <c r="BA8542" s="806"/>
      <c r="BB8542" s="806"/>
    </row>
    <row r="8543" spans="4:54">
      <c r="D8543" s="806"/>
      <c r="F8543" s="806"/>
      <c r="W8543" s="806"/>
      <c r="AZ8543" s="806"/>
      <c r="BA8543" s="806"/>
      <c r="BB8543" s="806"/>
    </row>
    <row r="8544" spans="4:54">
      <c r="D8544" s="806"/>
      <c r="F8544" s="806"/>
      <c r="W8544" s="806"/>
      <c r="AZ8544" s="806"/>
      <c r="BA8544" s="806"/>
      <c r="BB8544" s="806"/>
    </row>
    <row r="8545" spans="4:54">
      <c r="D8545" s="806"/>
      <c r="F8545" s="806"/>
      <c r="W8545" s="806"/>
      <c r="AZ8545" s="806"/>
      <c r="BA8545" s="806"/>
      <c r="BB8545" s="806"/>
    </row>
    <row r="8546" spans="4:54">
      <c r="D8546" s="806"/>
      <c r="F8546" s="806"/>
      <c r="W8546" s="806"/>
      <c r="AZ8546" s="806"/>
      <c r="BA8546" s="806"/>
      <c r="BB8546" s="806"/>
    </row>
    <row r="8547" spans="4:54">
      <c r="D8547" s="806"/>
      <c r="F8547" s="806"/>
      <c r="W8547" s="806"/>
      <c r="AZ8547" s="806"/>
      <c r="BA8547" s="806"/>
      <c r="BB8547" s="806"/>
    </row>
    <row r="8548" spans="4:54">
      <c r="D8548" s="806"/>
      <c r="F8548" s="806"/>
      <c r="W8548" s="806"/>
      <c r="AZ8548" s="806"/>
      <c r="BA8548" s="806"/>
      <c r="BB8548" s="806"/>
    </row>
    <row r="8549" spans="4:54">
      <c r="D8549" s="806"/>
      <c r="F8549" s="806"/>
      <c r="W8549" s="806"/>
      <c r="AZ8549" s="806"/>
      <c r="BA8549" s="806"/>
      <c r="BB8549" s="806"/>
    </row>
    <row r="8550" spans="4:54">
      <c r="D8550" s="806"/>
      <c r="F8550" s="806"/>
      <c r="W8550" s="806"/>
      <c r="AZ8550" s="806"/>
      <c r="BA8550" s="806"/>
      <c r="BB8550" s="806"/>
    </row>
    <row r="8551" spans="4:54">
      <c r="D8551" s="806"/>
      <c r="F8551" s="806"/>
      <c r="W8551" s="806"/>
      <c r="AZ8551" s="806"/>
      <c r="BA8551" s="806"/>
      <c r="BB8551" s="806"/>
    </row>
    <row r="8552" spans="4:54">
      <c r="D8552" s="806"/>
      <c r="F8552" s="806"/>
      <c r="W8552" s="806"/>
      <c r="AZ8552" s="806"/>
      <c r="BA8552" s="806"/>
      <c r="BB8552" s="806"/>
    </row>
    <row r="8553" spans="4:54">
      <c r="D8553" s="806"/>
      <c r="F8553" s="806"/>
      <c r="W8553" s="806"/>
      <c r="AZ8553" s="806"/>
      <c r="BA8553" s="806"/>
      <c r="BB8553" s="806"/>
    </row>
    <row r="8554" spans="4:54">
      <c r="D8554" s="806"/>
      <c r="F8554" s="806"/>
      <c r="W8554" s="806"/>
      <c r="AZ8554" s="806"/>
      <c r="BA8554" s="806"/>
      <c r="BB8554" s="806"/>
    </row>
    <row r="8555" spans="4:54">
      <c r="D8555" s="806"/>
      <c r="F8555" s="806"/>
      <c r="W8555" s="806"/>
      <c r="AZ8555" s="806"/>
      <c r="BA8555" s="806"/>
      <c r="BB8555" s="806"/>
    </row>
    <row r="8556" spans="4:54">
      <c r="D8556" s="806"/>
      <c r="F8556" s="806"/>
      <c r="W8556" s="806"/>
      <c r="AZ8556" s="806"/>
      <c r="BA8556" s="806"/>
      <c r="BB8556" s="806"/>
    </row>
    <row r="8557" spans="4:54">
      <c r="D8557" s="806"/>
      <c r="F8557" s="806"/>
      <c r="W8557" s="806"/>
      <c r="AZ8557" s="806"/>
      <c r="BA8557" s="806"/>
      <c r="BB8557" s="806"/>
    </row>
    <row r="8558" spans="4:54">
      <c r="D8558" s="806"/>
      <c r="F8558" s="806"/>
      <c r="W8558" s="806"/>
      <c r="AZ8558" s="806"/>
      <c r="BA8558" s="806"/>
      <c r="BB8558" s="806"/>
    </row>
    <row r="8559" spans="4:54">
      <c r="D8559" s="806"/>
      <c r="F8559" s="806"/>
      <c r="W8559" s="806"/>
      <c r="AZ8559" s="806"/>
      <c r="BA8559" s="806"/>
      <c r="BB8559" s="806"/>
    </row>
    <row r="8560" spans="4:54">
      <c r="D8560" s="806"/>
      <c r="F8560" s="806"/>
      <c r="W8560" s="806"/>
      <c r="AZ8560" s="806"/>
      <c r="BA8560" s="806"/>
      <c r="BB8560" s="806"/>
    </row>
    <row r="8561" spans="4:54">
      <c r="D8561" s="806"/>
      <c r="F8561" s="806"/>
      <c r="W8561" s="806"/>
      <c r="AZ8561" s="806"/>
      <c r="BA8561" s="806"/>
      <c r="BB8561" s="806"/>
    </row>
    <row r="8562" spans="4:54">
      <c r="D8562" s="806"/>
      <c r="F8562" s="806"/>
      <c r="W8562" s="806"/>
      <c r="AZ8562" s="806"/>
      <c r="BA8562" s="806"/>
      <c r="BB8562" s="806"/>
    </row>
    <row r="8563" spans="4:54">
      <c r="D8563" s="806"/>
      <c r="F8563" s="806"/>
      <c r="W8563" s="806"/>
      <c r="AZ8563" s="806"/>
      <c r="BA8563" s="806"/>
      <c r="BB8563" s="806"/>
    </row>
    <row r="8564" spans="4:54">
      <c r="D8564" s="806"/>
      <c r="F8564" s="806"/>
      <c r="W8564" s="806"/>
      <c r="AZ8564" s="806"/>
      <c r="BA8564" s="806"/>
      <c r="BB8564" s="806"/>
    </row>
    <row r="8565" spans="4:54">
      <c r="D8565" s="806"/>
      <c r="F8565" s="806"/>
      <c r="W8565" s="806"/>
      <c r="AZ8565" s="806"/>
      <c r="BA8565" s="806"/>
      <c r="BB8565" s="806"/>
    </row>
    <row r="8566" spans="4:54">
      <c r="D8566" s="806"/>
      <c r="F8566" s="806"/>
      <c r="W8566" s="806"/>
      <c r="AZ8566" s="806"/>
      <c r="BA8566" s="806"/>
      <c r="BB8566" s="806"/>
    </row>
    <row r="8567" spans="4:54">
      <c r="D8567" s="806"/>
      <c r="F8567" s="806"/>
      <c r="W8567" s="806"/>
      <c r="AZ8567" s="806"/>
      <c r="BA8567" s="806"/>
      <c r="BB8567" s="806"/>
    </row>
    <row r="8568" spans="4:54">
      <c r="D8568" s="806"/>
      <c r="F8568" s="806"/>
      <c r="W8568" s="806"/>
      <c r="AZ8568" s="806"/>
      <c r="BA8568" s="806"/>
      <c r="BB8568" s="806"/>
    </row>
    <row r="8569" spans="4:54">
      <c r="D8569" s="806"/>
      <c r="F8569" s="806"/>
      <c r="W8569" s="806"/>
      <c r="AZ8569" s="806"/>
      <c r="BA8569" s="806"/>
      <c r="BB8569" s="806"/>
    </row>
    <row r="8570" spans="4:54">
      <c r="D8570" s="806"/>
      <c r="F8570" s="806"/>
      <c r="W8570" s="806"/>
      <c r="AZ8570" s="806"/>
      <c r="BA8570" s="806"/>
      <c r="BB8570" s="806"/>
    </row>
    <row r="8571" spans="4:54">
      <c r="D8571" s="806"/>
      <c r="F8571" s="806"/>
      <c r="W8571" s="806"/>
      <c r="AZ8571" s="806"/>
      <c r="BA8571" s="806"/>
      <c r="BB8571" s="806"/>
    </row>
    <row r="8572" spans="4:54">
      <c r="D8572" s="806"/>
      <c r="F8572" s="806"/>
      <c r="W8572" s="806"/>
      <c r="AZ8572" s="806"/>
      <c r="BA8572" s="806"/>
      <c r="BB8572" s="806"/>
    </row>
    <row r="8573" spans="4:54">
      <c r="D8573" s="806"/>
      <c r="F8573" s="806"/>
      <c r="W8573" s="806"/>
      <c r="AZ8573" s="806"/>
      <c r="BA8573" s="806"/>
      <c r="BB8573" s="806"/>
    </row>
    <row r="8574" spans="4:54">
      <c r="D8574" s="806"/>
      <c r="F8574" s="806"/>
      <c r="W8574" s="806"/>
      <c r="AZ8574" s="806"/>
      <c r="BA8574" s="806"/>
      <c r="BB8574" s="806"/>
    </row>
    <row r="8575" spans="4:54">
      <c r="D8575" s="806"/>
      <c r="F8575" s="806"/>
      <c r="W8575" s="806"/>
      <c r="AZ8575" s="806"/>
      <c r="BA8575" s="806"/>
      <c r="BB8575" s="806"/>
    </row>
    <row r="8576" spans="4:54">
      <c r="D8576" s="806"/>
      <c r="F8576" s="806"/>
      <c r="W8576" s="806"/>
      <c r="AZ8576" s="806"/>
      <c r="BA8576" s="806"/>
      <c r="BB8576" s="806"/>
    </row>
    <row r="8577" spans="4:54">
      <c r="D8577" s="806"/>
      <c r="F8577" s="806"/>
      <c r="W8577" s="806"/>
      <c r="AZ8577" s="806"/>
      <c r="BA8577" s="806"/>
      <c r="BB8577" s="806"/>
    </row>
    <row r="8578" spans="4:54">
      <c r="D8578" s="806"/>
      <c r="F8578" s="806"/>
      <c r="W8578" s="806"/>
      <c r="AZ8578" s="806"/>
      <c r="BA8578" s="806"/>
      <c r="BB8578" s="806"/>
    </row>
    <row r="8579" spans="4:54">
      <c r="D8579" s="806"/>
      <c r="F8579" s="806"/>
      <c r="W8579" s="806"/>
      <c r="AZ8579" s="806"/>
      <c r="BA8579" s="806"/>
      <c r="BB8579" s="806"/>
    </row>
    <row r="8580" spans="4:54">
      <c r="D8580" s="806"/>
      <c r="F8580" s="806"/>
      <c r="W8580" s="806"/>
      <c r="AZ8580" s="806"/>
      <c r="BA8580" s="806"/>
      <c r="BB8580" s="806"/>
    </row>
    <row r="8581" spans="4:54">
      <c r="D8581" s="806"/>
      <c r="F8581" s="806"/>
      <c r="W8581" s="806"/>
      <c r="AZ8581" s="806"/>
      <c r="BA8581" s="806"/>
      <c r="BB8581" s="806"/>
    </row>
    <row r="8582" spans="4:54">
      <c r="D8582" s="806"/>
      <c r="F8582" s="806"/>
      <c r="W8582" s="806"/>
      <c r="AZ8582" s="806"/>
      <c r="BA8582" s="806"/>
      <c r="BB8582" s="806"/>
    </row>
    <row r="8583" spans="4:54">
      <c r="D8583" s="806"/>
      <c r="F8583" s="806"/>
      <c r="W8583" s="806"/>
      <c r="AZ8583" s="806"/>
      <c r="BA8583" s="806"/>
      <c r="BB8583" s="806"/>
    </row>
    <row r="8584" spans="4:54">
      <c r="D8584" s="806"/>
      <c r="F8584" s="806"/>
      <c r="W8584" s="806"/>
      <c r="AZ8584" s="806"/>
      <c r="BA8584" s="806"/>
      <c r="BB8584" s="806"/>
    </row>
    <row r="8585" spans="4:54">
      <c r="D8585" s="806"/>
      <c r="F8585" s="806"/>
      <c r="W8585" s="806"/>
      <c r="AZ8585" s="806"/>
      <c r="BA8585" s="806"/>
      <c r="BB8585" s="806"/>
    </row>
    <row r="8586" spans="4:54">
      <c r="D8586" s="806"/>
      <c r="F8586" s="806"/>
      <c r="W8586" s="806"/>
      <c r="AZ8586" s="806"/>
      <c r="BA8586" s="806"/>
      <c r="BB8586" s="806"/>
    </row>
    <row r="8587" spans="4:54">
      <c r="D8587" s="806"/>
      <c r="F8587" s="806"/>
      <c r="W8587" s="806"/>
      <c r="AZ8587" s="806"/>
      <c r="BA8587" s="806"/>
      <c r="BB8587" s="806"/>
    </row>
    <row r="8588" spans="4:54">
      <c r="D8588" s="806"/>
      <c r="F8588" s="806"/>
      <c r="W8588" s="806"/>
      <c r="AZ8588" s="806"/>
      <c r="BA8588" s="806"/>
      <c r="BB8588" s="806"/>
    </row>
    <row r="8589" spans="4:54">
      <c r="D8589" s="806"/>
      <c r="F8589" s="806"/>
      <c r="W8589" s="806"/>
      <c r="AZ8589" s="806"/>
      <c r="BA8589" s="806"/>
      <c r="BB8589" s="806"/>
    </row>
    <row r="8590" spans="4:54">
      <c r="D8590" s="806"/>
      <c r="F8590" s="806"/>
      <c r="W8590" s="806"/>
      <c r="AZ8590" s="806"/>
      <c r="BA8590" s="806"/>
      <c r="BB8590" s="806"/>
    </row>
    <row r="8591" spans="4:54">
      <c r="D8591" s="806"/>
      <c r="F8591" s="806"/>
      <c r="W8591" s="806"/>
      <c r="AZ8591" s="806"/>
      <c r="BA8591" s="806"/>
      <c r="BB8591" s="806"/>
    </row>
    <row r="8592" spans="4:54">
      <c r="D8592" s="806"/>
      <c r="F8592" s="806"/>
      <c r="W8592" s="806"/>
      <c r="AZ8592" s="806"/>
      <c r="BA8592" s="806"/>
      <c r="BB8592" s="806"/>
    </row>
    <row r="8593" spans="4:54">
      <c r="D8593" s="806"/>
      <c r="F8593" s="806"/>
      <c r="W8593" s="806"/>
      <c r="AZ8593" s="806"/>
      <c r="BA8593" s="806"/>
      <c r="BB8593" s="806"/>
    </row>
    <row r="8594" spans="4:54">
      <c r="D8594" s="806"/>
      <c r="F8594" s="806"/>
      <c r="W8594" s="806"/>
      <c r="AZ8594" s="806"/>
      <c r="BA8594" s="806"/>
      <c r="BB8594" s="806"/>
    </row>
    <row r="8595" spans="4:54">
      <c r="D8595" s="806"/>
      <c r="F8595" s="806"/>
      <c r="W8595" s="806"/>
      <c r="AZ8595" s="806"/>
      <c r="BA8595" s="806"/>
      <c r="BB8595" s="806"/>
    </row>
    <row r="8596" spans="4:54">
      <c r="D8596" s="806"/>
      <c r="F8596" s="806"/>
      <c r="W8596" s="806"/>
      <c r="AZ8596" s="806"/>
      <c r="BA8596" s="806"/>
      <c r="BB8596" s="806"/>
    </row>
    <row r="8597" spans="4:54">
      <c r="D8597" s="806"/>
      <c r="F8597" s="806"/>
      <c r="W8597" s="806"/>
      <c r="AZ8597" s="806"/>
      <c r="BA8597" s="806"/>
      <c r="BB8597" s="806"/>
    </row>
    <row r="8598" spans="4:54">
      <c r="D8598" s="806"/>
      <c r="F8598" s="806"/>
      <c r="W8598" s="806"/>
      <c r="AZ8598" s="806"/>
      <c r="BA8598" s="806"/>
      <c r="BB8598" s="806"/>
    </row>
    <row r="8599" spans="4:54">
      <c r="D8599" s="806"/>
      <c r="F8599" s="806"/>
      <c r="W8599" s="806"/>
      <c r="AZ8599" s="806"/>
      <c r="BA8599" s="806"/>
      <c r="BB8599" s="806"/>
    </row>
    <row r="8600" spans="4:54">
      <c r="D8600" s="806"/>
      <c r="F8600" s="806"/>
      <c r="W8600" s="806"/>
      <c r="AZ8600" s="806"/>
      <c r="BA8600" s="806"/>
      <c r="BB8600" s="806"/>
    </row>
    <row r="8601" spans="4:54">
      <c r="D8601" s="806"/>
      <c r="F8601" s="806"/>
      <c r="W8601" s="806"/>
      <c r="AZ8601" s="806"/>
      <c r="BA8601" s="806"/>
      <c r="BB8601" s="806"/>
    </row>
    <row r="8602" spans="4:54">
      <c r="D8602" s="806"/>
      <c r="F8602" s="806"/>
      <c r="W8602" s="806"/>
      <c r="AZ8602" s="806"/>
      <c r="BA8602" s="806"/>
      <c r="BB8602" s="806"/>
    </row>
    <row r="8603" spans="4:54">
      <c r="D8603" s="806"/>
      <c r="F8603" s="806"/>
      <c r="W8603" s="806"/>
      <c r="AZ8603" s="806"/>
      <c r="BA8603" s="806"/>
      <c r="BB8603" s="806"/>
    </row>
    <row r="8604" spans="4:54">
      <c r="D8604" s="806"/>
      <c r="F8604" s="806"/>
      <c r="W8604" s="806"/>
      <c r="AZ8604" s="806"/>
      <c r="BA8604" s="806"/>
      <c r="BB8604" s="806"/>
    </row>
    <row r="8605" spans="4:54">
      <c r="D8605" s="806"/>
      <c r="F8605" s="806"/>
      <c r="W8605" s="806"/>
      <c r="AZ8605" s="806"/>
      <c r="BA8605" s="806"/>
      <c r="BB8605" s="806"/>
    </row>
    <row r="8606" spans="4:54">
      <c r="D8606" s="806"/>
      <c r="F8606" s="806"/>
      <c r="W8606" s="806"/>
      <c r="AZ8606" s="806"/>
      <c r="BA8606" s="806"/>
      <c r="BB8606" s="806"/>
    </row>
    <row r="8607" spans="4:54">
      <c r="D8607" s="806"/>
      <c r="F8607" s="806"/>
      <c r="W8607" s="806"/>
      <c r="AZ8607" s="806"/>
      <c r="BA8607" s="806"/>
      <c r="BB8607" s="806"/>
    </row>
    <row r="8608" spans="4:54">
      <c r="D8608" s="806"/>
      <c r="F8608" s="806"/>
      <c r="W8608" s="806"/>
      <c r="AZ8608" s="806"/>
      <c r="BA8608" s="806"/>
      <c r="BB8608" s="806"/>
    </row>
    <row r="8609" spans="4:54">
      <c r="D8609" s="806"/>
      <c r="F8609" s="806"/>
      <c r="W8609" s="806"/>
      <c r="AZ8609" s="806"/>
      <c r="BA8609" s="806"/>
      <c r="BB8609" s="806"/>
    </row>
    <row r="8610" spans="4:54">
      <c r="D8610" s="806"/>
      <c r="F8610" s="806"/>
      <c r="W8610" s="806"/>
      <c r="AZ8610" s="806"/>
      <c r="BA8610" s="806"/>
      <c r="BB8610" s="806"/>
    </row>
    <row r="8611" spans="4:54">
      <c r="D8611" s="806"/>
      <c r="F8611" s="806"/>
      <c r="W8611" s="806"/>
      <c r="AZ8611" s="806"/>
      <c r="BA8611" s="806"/>
      <c r="BB8611" s="806"/>
    </row>
    <row r="8612" spans="4:54">
      <c r="D8612" s="806"/>
      <c r="F8612" s="806"/>
      <c r="W8612" s="806"/>
      <c r="AZ8612" s="806"/>
      <c r="BA8612" s="806"/>
      <c r="BB8612" s="806"/>
    </row>
    <row r="8613" spans="4:54">
      <c r="D8613" s="806"/>
      <c r="F8613" s="806"/>
      <c r="W8613" s="806"/>
      <c r="AZ8613" s="806"/>
      <c r="BA8613" s="806"/>
      <c r="BB8613" s="806"/>
    </row>
    <row r="8614" spans="4:54">
      <c r="D8614" s="806"/>
      <c r="F8614" s="806"/>
      <c r="W8614" s="806"/>
      <c r="AZ8614" s="806"/>
      <c r="BA8614" s="806"/>
      <c r="BB8614" s="806"/>
    </row>
    <row r="8615" spans="4:54">
      <c r="D8615" s="806"/>
      <c r="F8615" s="806"/>
      <c r="W8615" s="806"/>
      <c r="AZ8615" s="806"/>
      <c r="BA8615" s="806"/>
      <c r="BB8615" s="806"/>
    </row>
    <row r="8616" spans="4:54">
      <c r="D8616" s="806"/>
      <c r="F8616" s="806"/>
      <c r="W8616" s="806"/>
      <c r="AZ8616" s="806"/>
      <c r="BA8616" s="806"/>
      <c r="BB8616" s="806"/>
    </row>
    <row r="8617" spans="4:54">
      <c r="D8617" s="806"/>
      <c r="F8617" s="806"/>
      <c r="W8617" s="806"/>
      <c r="AZ8617" s="806"/>
      <c r="BA8617" s="806"/>
      <c r="BB8617" s="806"/>
    </row>
    <row r="8618" spans="4:54">
      <c r="D8618" s="806"/>
      <c r="F8618" s="806"/>
      <c r="W8618" s="806"/>
      <c r="AZ8618" s="806"/>
      <c r="BA8618" s="806"/>
      <c r="BB8618" s="806"/>
    </row>
    <row r="8619" spans="4:54">
      <c r="D8619" s="806"/>
      <c r="F8619" s="806"/>
      <c r="W8619" s="806"/>
      <c r="AZ8619" s="806"/>
      <c r="BA8619" s="806"/>
      <c r="BB8619" s="806"/>
    </row>
    <row r="8620" spans="4:54">
      <c r="D8620" s="806"/>
      <c r="F8620" s="806"/>
      <c r="W8620" s="806"/>
      <c r="AZ8620" s="806"/>
      <c r="BA8620" s="806"/>
      <c r="BB8620" s="806"/>
    </row>
    <row r="8621" spans="4:54">
      <c r="D8621" s="806"/>
      <c r="F8621" s="806"/>
      <c r="W8621" s="806"/>
      <c r="AZ8621" s="806"/>
      <c r="BA8621" s="806"/>
      <c r="BB8621" s="806"/>
    </row>
    <row r="8622" spans="4:54">
      <c r="D8622" s="806"/>
      <c r="F8622" s="806"/>
      <c r="W8622" s="806"/>
      <c r="AZ8622" s="806"/>
      <c r="BA8622" s="806"/>
      <c r="BB8622" s="806"/>
    </row>
    <row r="8623" spans="4:54">
      <c r="D8623" s="806"/>
      <c r="F8623" s="806"/>
      <c r="W8623" s="806"/>
      <c r="AZ8623" s="806"/>
      <c r="BA8623" s="806"/>
      <c r="BB8623" s="806"/>
    </row>
    <row r="8624" spans="4:54">
      <c r="D8624" s="806"/>
      <c r="F8624" s="806"/>
      <c r="W8624" s="806"/>
      <c r="AZ8624" s="806"/>
      <c r="BA8624" s="806"/>
      <c r="BB8624" s="806"/>
    </row>
    <row r="8625" spans="4:54">
      <c r="D8625" s="806"/>
      <c r="F8625" s="806"/>
      <c r="W8625" s="806"/>
      <c r="AZ8625" s="806"/>
      <c r="BA8625" s="806"/>
      <c r="BB8625" s="806"/>
    </row>
    <row r="8626" spans="4:54">
      <c r="D8626" s="806"/>
      <c r="F8626" s="806"/>
      <c r="W8626" s="806"/>
      <c r="AZ8626" s="806"/>
      <c r="BA8626" s="806"/>
      <c r="BB8626" s="806"/>
    </row>
    <row r="8627" spans="4:54">
      <c r="D8627" s="806"/>
      <c r="F8627" s="806"/>
      <c r="W8627" s="806"/>
      <c r="AZ8627" s="806"/>
      <c r="BA8627" s="806"/>
      <c r="BB8627" s="806"/>
    </row>
    <row r="8628" spans="4:54">
      <c r="D8628" s="806"/>
      <c r="F8628" s="806"/>
      <c r="W8628" s="806"/>
      <c r="AZ8628" s="806"/>
      <c r="BA8628" s="806"/>
      <c r="BB8628" s="806"/>
    </row>
    <row r="8629" spans="4:54">
      <c r="D8629" s="806"/>
      <c r="F8629" s="806"/>
      <c r="W8629" s="806"/>
      <c r="AZ8629" s="806"/>
      <c r="BA8629" s="806"/>
      <c r="BB8629" s="806"/>
    </row>
    <row r="8630" spans="4:54">
      <c r="D8630" s="806"/>
      <c r="F8630" s="806"/>
      <c r="W8630" s="806"/>
      <c r="AZ8630" s="806"/>
      <c r="BA8630" s="806"/>
      <c r="BB8630" s="806"/>
    </row>
    <row r="8631" spans="4:54">
      <c r="D8631" s="806"/>
      <c r="F8631" s="806"/>
      <c r="W8631" s="806"/>
      <c r="AZ8631" s="806"/>
      <c r="BA8631" s="806"/>
      <c r="BB8631" s="806"/>
    </row>
    <row r="8632" spans="4:54">
      <c r="D8632" s="806"/>
      <c r="F8632" s="806"/>
      <c r="W8632" s="806"/>
      <c r="AZ8632" s="806"/>
      <c r="BA8632" s="806"/>
      <c r="BB8632" s="806"/>
    </row>
    <row r="8633" spans="4:54">
      <c r="D8633" s="806"/>
      <c r="F8633" s="806"/>
      <c r="W8633" s="806"/>
      <c r="AZ8633" s="806"/>
      <c r="BA8633" s="806"/>
      <c r="BB8633" s="806"/>
    </row>
    <row r="8634" spans="4:54">
      <c r="D8634" s="806"/>
      <c r="F8634" s="806"/>
      <c r="W8634" s="806"/>
      <c r="AZ8634" s="806"/>
      <c r="BA8634" s="806"/>
      <c r="BB8634" s="806"/>
    </row>
    <row r="8635" spans="4:54">
      <c r="D8635" s="806"/>
      <c r="F8635" s="806"/>
      <c r="W8635" s="806"/>
      <c r="AZ8635" s="806"/>
      <c r="BA8635" s="806"/>
      <c r="BB8635" s="806"/>
    </row>
    <row r="8636" spans="4:54">
      <c r="D8636" s="806"/>
      <c r="F8636" s="806"/>
      <c r="W8636" s="806"/>
      <c r="AZ8636" s="806"/>
      <c r="BA8636" s="806"/>
      <c r="BB8636" s="806"/>
    </row>
    <row r="8637" spans="4:54">
      <c r="D8637" s="806"/>
      <c r="F8637" s="806"/>
      <c r="W8637" s="806"/>
      <c r="AZ8637" s="806"/>
      <c r="BA8637" s="806"/>
      <c r="BB8637" s="806"/>
    </row>
    <row r="8638" spans="4:54">
      <c r="D8638" s="806"/>
      <c r="F8638" s="806"/>
      <c r="W8638" s="806"/>
      <c r="AZ8638" s="806"/>
      <c r="BA8638" s="806"/>
      <c r="BB8638" s="806"/>
    </row>
    <row r="8639" spans="4:54">
      <c r="D8639" s="806"/>
      <c r="F8639" s="806"/>
      <c r="W8639" s="806"/>
      <c r="AZ8639" s="806"/>
      <c r="BA8639" s="806"/>
      <c r="BB8639" s="806"/>
    </row>
    <row r="8640" spans="4:54">
      <c r="D8640" s="806"/>
      <c r="F8640" s="806"/>
      <c r="W8640" s="806"/>
      <c r="AZ8640" s="806"/>
      <c r="BA8640" s="806"/>
      <c r="BB8640" s="806"/>
    </row>
    <row r="8641" spans="4:54">
      <c r="D8641" s="806"/>
      <c r="F8641" s="806"/>
      <c r="W8641" s="806"/>
      <c r="AZ8641" s="806"/>
      <c r="BA8641" s="806"/>
      <c r="BB8641" s="806"/>
    </row>
    <row r="8642" spans="4:54">
      <c r="D8642" s="806"/>
      <c r="F8642" s="806"/>
      <c r="W8642" s="806"/>
      <c r="AZ8642" s="806"/>
      <c r="BA8642" s="806"/>
      <c r="BB8642" s="806"/>
    </row>
    <row r="8643" spans="4:54">
      <c r="D8643" s="806"/>
      <c r="F8643" s="806"/>
      <c r="W8643" s="806"/>
      <c r="AZ8643" s="806"/>
      <c r="BA8643" s="806"/>
      <c r="BB8643" s="806"/>
    </row>
    <row r="8644" spans="4:54">
      <c r="D8644" s="806"/>
      <c r="F8644" s="806"/>
      <c r="W8644" s="806"/>
      <c r="AZ8644" s="806"/>
      <c r="BA8644" s="806"/>
      <c r="BB8644" s="806"/>
    </row>
    <row r="8645" spans="4:54">
      <c r="D8645" s="806"/>
      <c r="F8645" s="806"/>
      <c r="W8645" s="806"/>
      <c r="AZ8645" s="806"/>
      <c r="BA8645" s="806"/>
      <c r="BB8645" s="806"/>
    </row>
    <row r="8646" spans="4:54">
      <c r="D8646" s="806"/>
      <c r="F8646" s="806"/>
      <c r="W8646" s="806"/>
      <c r="AZ8646" s="806"/>
      <c r="BA8646" s="806"/>
      <c r="BB8646" s="806"/>
    </row>
    <row r="8647" spans="4:54">
      <c r="D8647" s="806"/>
      <c r="F8647" s="806"/>
      <c r="W8647" s="806"/>
      <c r="AZ8647" s="806"/>
      <c r="BA8647" s="806"/>
      <c r="BB8647" s="806"/>
    </row>
    <row r="8648" spans="4:54">
      <c r="D8648" s="806"/>
      <c r="F8648" s="806"/>
      <c r="W8648" s="806"/>
      <c r="AZ8648" s="806"/>
      <c r="BA8648" s="806"/>
      <c r="BB8648" s="806"/>
    </row>
    <row r="8649" spans="4:54">
      <c r="D8649" s="806"/>
      <c r="F8649" s="806"/>
      <c r="W8649" s="806"/>
      <c r="AZ8649" s="806"/>
      <c r="BA8649" s="806"/>
      <c r="BB8649" s="806"/>
    </row>
    <row r="8650" spans="4:54">
      <c r="D8650" s="806"/>
      <c r="F8650" s="806"/>
      <c r="W8650" s="806"/>
      <c r="AZ8650" s="806"/>
      <c r="BA8650" s="806"/>
      <c r="BB8650" s="806"/>
    </row>
    <row r="8651" spans="4:54">
      <c r="D8651" s="806"/>
      <c r="F8651" s="806"/>
      <c r="W8651" s="806"/>
      <c r="AZ8651" s="806"/>
      <c r="BA8651" s="806"/>
      <c r="BB8651" s="806"/>
    </row>
    <row r="8652" spans="4:54">
      <c r="D8652" s="806"/>
      <c r="F8652" s="806"/>
      <c r="W8652" s="806"/>
      <c r="AZ8652" s="806"/>
      <c r="BA8652" s="806"/>
      <c r="BB8652" s="806"/>
    </row>
    <row r="8653" spans="4:54">
      <c r="D8653" s="806"/>
      <c r="F8653" s="806"/>
      <c r="W8653" s="806"/>
      <c r="AZ8653" s="806"/>
      <c r="BA8653" s="806"/>
      <c r="BB8653" s="806"/>
    </row>
    <row r="8654" spans="4:54">
      <c r="D8654" s="806"/>
      <c r="F8654" s="806"/>
      <c r="W8654" s="806"/>
      <c r="AZ8654" s="806"/>
      <c r="BA8654" s="806"/>
      <c r="BB8654" s="806"/>
    </row>
    <row r="8655" spans="4:54">
      <c r="D8655" s="806"/>
      <c r="F8655" s="806"/>
      <c r="W8655" s="806"/>
      <c r="AZ8655" s="806"/>
      <c r="BA8655" s="806"/>
      <c r="BB8655" s="806"/>
    </row>
    <row r="8656" spans="4:54">
      <c r="D8656" s="806"/>
      <c r="F8656" s="806"/>
      <c r="W8656" s="806"/>
      <c r="AZ8656" s="806"/>
      <c r="BA8656" s="806"/>
      <c r="BB8656" s="806"/>
    </row>
    <row r="8657" spans="4:54">
      <c r="D8657" s="806"/>
      <c r="F8657" s="806"/>
      <c r="W8657" s="806"/>
      <c r="AZ8657" s="806"/>
      <c r="BA8657" s="806"/>
      <c r="BB8657" s="806"/>
    </row>
    <row r="8658" spans="4:54">
      <c r="D8658" s="806"/>
      <c r="F8658" s="806"/>
      <c r="W8658" s="806"/>
      <c r="AZ8658" s="806"/>
      <c r="BA8658" s="806"/>
      <c r="BB8658" s="806"/>
    </row>
    <row r="8659" spans="4:54">
      <c r="D8659" s="806"/>
      <c r="F8659" s="806"/>
      <c r="W8659" s="806"/>
      <c r="AZ8659" s="806"/>
      <c r="BA8659" s="806"/>
      <c r="BB8659" s="806"/>
    </row>
    <row r="8660" spans="4:54">
      <c r="D8660" s="806"/>
      <c r="F8660" s="806"/>
      <c r="W8660" s="806"/>
      <c r="AZ8660" s="806"/>
      <c r="BA8660" s="806"/>
      <c r="BB8660" s="806"/>
    </row>
    <row r="8661" spans="4:54">
      <c r="D8661" s="806"/>
      <c r="F8661" s="806"/>
      <c r="W8661" s="806"/>
      <c r="AZ8661" s="806"/>
      <c r="BA8661" s="806"/>
      <c r="BB8661" s="806"/>
    </row>
    <row r="8662" spans="4:54">
      <c r="D8662" s="806"/>
      <c r="F8662" s="806"/>
      <c r="W8662" s="806"/>
      <c r="AZ8662" s="806"/>
      <c r="BA8662" s="806"/>
      <c r="BB8662" s="806"/>
    </row>
    <row r="8663" spans="4:54">
      <c r="D8663" s="806"/>
      <c r="F8663" s="806"/>
      <c r="W8663" s="806"/>
      <c r="AZ8663" s="806"/>
      <c r="BA8663" s="806"/>
      <c r="BB8663" s="806"/>
    </row>
    <row r="8664" spans="4:54">
      <c r="D8664" s="806"/>
      <c r="F8664" s="806"/>
      <c r="W8664" s="806"/>
      <c r="AZ8664" s="806"/>
      <c r="BA8664" s="806"/>
      <c r="BB8664" s="806"/>
    </row>
    <row r="8665" spans="4:54">
      <c r="D8665" s="806"/>
      <c r="F8665" s="806"/>
      <c r="W8665" s="806"/>
      <c r="AZ8665" s="806"/>
      <c r="BA8665" s="806"/>
      <c r="BB8665" s="806"/>
    </row>
    <row r="8666" spans="4:54">
      <c r="D8666" s="806"/>
      <c r="F8666" s="806"/>
      <c r="W8666" s="806"/>
      <c r="AZ8666" s="806"/>
      <c r="BA8666" s="806"/>
      <c r="BB8666" s="806"/>
    </row>
    <row r="8667" spans="4:54">
      <c r="D8667" s="806"/>
      <c r="F8667" s="806"/>
      <c r="W8667" s="806"/>
      <c r="AZ8667" s="806"/>
      <c r="BA8667" s="806"/>
      <c r="BB8667" s="806"/>
    </row>
    <row r="8668" spans="4:54">
      <c r="D8668" s="806"/>
      <c r="F8668" s="806"/>
      <c r="W8668" s="806"/>
      <c r="AZ8668" s="806"/>
      <c r="BA8668" s="806"/>
      <c r="BB8668" s="806"/>
    </row>
    <row r="8669" spans="4:54">
      <c r="D8669" s="806"/>
      <c r="F8669" s="806"/>
      <c r="W8669" s="806"/>
      <c r="AZ8669" s="806"/>
      <c r="BA8669" s="806"/>
      <c r="BB8669" s="806"/>
    </row>
    <row r="8670" spans="4:54">
      <c r="D8670" s="806"/>
      <c r="F8670" s="806"/>
      <c r="W8670" s="806"/>
      <c r="AZ8670" s="806"/>
      <c r="BA8670" s="806"/>
      <c r="BB8670" s="806"/>
    </row>
    <row r="8671" spans="4:54">
      <c r="D8671" s="806"/>
      <c r="F8671" s="806"/>
      <c r="W8671" s="806"/>
      <c r="AZ8671" s="806"/>
      <c r="BA8671" s="806"/>
      <c r="BB8671" s="806"/>
    </row>
    <row r="8672" spans="4:54">
      <c r="D8672" s="806"/>
      <c r="F8672" s="806"/>
      <c r="W8672" s="806"/>
      <c r="AZ8672" s="806"/>
      <c r="BA8672" s="806"/>
      <c r="BB8672" s="806"/>
    </row>
    <row r="8673" spans="4:54">
      <c r="D8673" s="806"/>
      <c r="F8673" s="806"/>
      <c r="W8673" s="806"/>
      <c r="AZ8673" s="806"/>
      <c r="BA8673" s="806"/>
      <c r="BB8673" s="806"/>
    </row>
    <row r="8674" spans="4:54">
      <c r="D8674" s="806"/>
      <c r="F8674" s="806"/>
      <c r="W8674" s="806"/>
      <c r="AZ8674" s="806"/>
      <c r="BA8674" s="806"/>
      <c r="BB8674" s="806"/>
    </row>
    <row r="8675" spans="4:54">
      <c r="D8675" s="806"/>
      <c r="F8675" s="806"/>
      <c r="W8675" s="806"/>
      <c r="AZ8675" s="806"/>
      <c r="BA8675" s="806"/>
      <c r="BB8675" s="806"/>
    </row>
    <row r="8676" spans="4:54">
      <c r="D8676" s="806"/>
      <c r="F8676" s="806"/>
      <c r="W8676" s="806"/>
      <c r="AZ8676" s="806"/>
      <c r="BA8676" s="806"/>
      <c r="BB8676" s="806"/>
    </row>
    <row r="8677" spans="4:54">
      <c r="D8677" s="806"/>
      <c r="F8677" s="806"/>
      <c r="W8677" s="806"/>
      <c r="AZ8677" s="806"/>
      <c r="BA8677" s="806"/>
      <c r="BB8677" s="806"/>
    </row>
    <row r="8678" spans="4:54">
      <c r="D8678" s="806"/>
      <c r="F8678" s="806"/>
      <c r="W8678" s="806"/>
      <c r="AZ8678" s="806"/>
      <c r="BA8678" s="806"/>
      <c r="BB8678" s="806"/>
    </row>
    <row r="8679" spans="4:54">
      <c r="D8679" s="806"/>
      <c r="F8679" s="806"/>
      <c r="W8679" s="806"/>
      <c r="AZ8679" s="806"/>
      <c r="BA8679" s="806"/>
      <c r="BB8679" s="806"/>
    </row>
    <row r="8680" spans="4:54">
      <c r="D8680" s="806"/>
      <c r="F8680" s="806"/>
      <c r="W8680" s="806"/>
      <c r="AZ8680" s="806"/>
      <c r="BA8680" s="806"/>
      <c r="BB8680" s="806"/>
    </row>
    <row r="8681" spans="4:54">
      <c r="D8681" s="806"/>
      <c r="F8681" s="806"/>
      <c r="W8681" s="806"/>
      <c r="AZ8681" s="806"/>
      <c r="BA8681" s="806"/>
      <c r="BB8681" s="806"/>
    </row>
    <row r="8682" spans="4:54">
      <c r="D8682" s="806"/>
      <c r="F8682" s="806"/>
      <c r="W8682" s="806"/>
      <c r="AZ8682" s="806"/>
      <c r="BA8682" s="806"/>
      <c r="BB8682" s="806"/>
    </row>
    <row r="8683" spans="4:54">
      <c r="D8683" s="806"/>
      <c r="F8683" s="806"/>
      <c r="W8683" s="806"/>
      <c r="AZ8683" s="806"/>
      <c r="BA8683" s="806"/>
      <c r="BB8683" s="806"/>
    </row>
    <row r="8684" spans="4:54">
      <c r="D8684" s="806"/>
      <c r="F8684" s="806"/>
      <c r="W8684" s="806"/>
      <c r="AZ8684" s="806"/>
      <c r="BA8684" s="806"/>
      <c r="BB8684" s="806"/>
    </row>
    <row r="8685" spans="4:54">
      <c r="D8685" s="806"/>
      <c r="F8685" s="806"/>
      <c r="W8685" s="806"/>
      <c r="AZ8685" s="806"/>
      <c r="BA8685" s="806"/>
      <c r="BB8685" s="806"/>
    </row>
    <row r="8686" spans="4:54">
      <c r="D8686" s="806"/>
      <c r="F8686" s="806"/>
      <c r="W8686" s="806"/>
      <c r="AZ8686" s="806"/>
      <c r="BA8686" s="806"/>
      <c r="BB8686" s="806"/>
    </row>
    <row r="8687" spans="4:54">
      <c r="D8687" s="806"/>
      <c r="F8687" s="806"/>
      <c r="W8687" s="806"/>
      <c r="AZ8687" s="806"/>
      <c r="BA8687" s="806"/>
      <c r="BB8687" s="806"/>
    </row>
    <row r="8688" spans="4:54">
      <c r="D8688" s="806"/>
      <c r="F8688" s="806"/>
      <c r="W8688" s="806"/>
      <c r="AZ8688" s="806"/>
      <c r="BA8688" s="806"/>
      <c r="BB8688" s="806"/>
    </row>
    <row r="8689" spans="4:54">
      <c r="D8689" s="806"/>
      <c r="F8689" s="806"/>
      <c r="W8689" s="806"/>
      <c r="AZ8689" s="806"/>
      <c r="BA8689" s="806"/>
      <c r="BB8689" s="806"/>
    </row>
    <row r="8690" spans="4:54">
      <c r="D8690" s="806"/>
      <c r="F8690" s="806"/>
      <c r="W8690" s="806"/>
      <c r="AZ8690" s="806"/>
      <c r="BA8690" s="806"/>
      <c r="BB8690" s="806"/>
    </row>
    <row r="8691" spans="4:54">
      <c r="D8691" s="806"/>
      <c r="F8691" s="806"/>
      <c r="W8691" s="806"/>
      <c r="AZ8691" s="806"/>
      <c r="BA8691" s="806"/>
      <c r="BB8691" s="806"/>
    </row>
    <row r="8692" spans="4:54">
      <c r="D8692" s="806"/>
      <c r="F8692" s="806"/>
      <c r="W8692" s="806"/>
      <c r="AZ8692" s="806"/>
      <c r="BA8692" s="806"/>
      <c r="BB8692" s="806"/>
    </row>
    <row r="8693" spans="4:54">
      <c r="D8693" s="806"/>
      <c r="F8693" s="806"/>
      <c r="W8693" s="806"/>
      <c r="AZ8693" s="806"/>
      <c r="BA8693" s="806"/>
      <c r="BB8693" s="806"/>
    </row>
    <row r="8694" spans="4:54">
      <c r="D8694" s="806"/>
      <c r="F8694" s="806"/>
      <c r="W8694" s="806"/>
      <c r="AZ8694" s="806"/>
      <c r="BA8694" s="806"/>
      <c r="BB8694" s="806"/>
    </row>
    <row r="8695" spans="4:54">
      <c r="D8695" s="806"/>
      <c r="F8695" s="806"/>
      <c r="W8695" s="806"/>
      <c r="AZ8695" s="806"/>
      <c r="BA8695" s="806"/>
      <c r="BB8695" s="806"/>
    </row>
    <row r="8696" spans="4:54">
      <c r="D8696" s="806"/>
      <c r="F8696" s="806"/>
      <c r="W8696" s="806"/>
      <c r="AZ8696" s="806"/>
      <c r="BA8696" s="806"/>
      <c r="BB8696" s="806"/>
    </row>
    <row r="8697" spans="4:54">
      <c r="D8697" s="806"/>
      <c r="F8697" s="806"/>
      <c r="W8697" s="806"/>
      <c r="AZ8697" s="806"/>
      <c r="BA8697" s="806"/>
      <c r="BB8697" s="806"/>
    </row>
    <row r="8698" spans="4:54">
      <c r="D8698" s="806"/>
      <c r="F8698" s="806"/>
      <c r="W8698" s="806"/>
      <c r="AZ8698" s="806"/>
      <c r="BA8698" s="806"/>
      <c r="BB8698" s="806"/>
    </row>
    <row r="8699" spans="4:54">
      <c r="D8699" s="806"/>
      <c r="F8699" s="806"/>
      <c r="W8699" s="806"/>
      <c r="AZ8699" s="806"/>
      <c r="BA8699" s="806"/>
      <c r="BB8699" s="806"/>
    </row>
    <row r="8700" spans="4:54">
      <c r="D8700" s="806"/>
      <c r="F8700" s="806"/>
      <c r="W8700" s="806"/>
      <c r="AZ8700" s="806"/>
      <c r="BA8700" s="806"/>
      <c r="BB8700" s="806"/>
    </row>
    <row r="8701" spans="4:54">
      <c r="D8701" s="806"/>
      <c r="F8701" s="806"/>
      <c r="W8701" s="806"/>
      <c r="AZ8701" s="806"/>
      <c r="BA8701" s="806"/>
      <c r="BB8701" s="806"/>
    </row>
    <row r="8702" spans="4:54">
      <c r="D8702" s="806"/>
      <c r="F8702" s="806"/>
      <c r="W8702" s="806"/>
      <c r="AZ8702" s="806"/>
      <c r="BA8702" s="806"/>
      <c r="BB8702" s="806"/>
    </row>
    <row r="8703" spans="4:54">
      <c r="D8703" s="806"/>
      <c r="F8703" s="806"/>
      <c r="W8703" s="806"/>
      <c r="AZ8703" s="806"/>
      <c r="BA8703" s="806"/>
      <c r="BB8703" s="806"/>
    </row>
    <row r="8704" spans="4:54">
      <c r="D8704" s="806"/>
      <c r="F8704" s="806"/>
      <c r="W8704" s="806"/>
      <c r="AZ8704" s="806"/>
      <c r="BA8704" s="806"/>
      <c r="BB8704" s="806"/>
    </row>
    <row r="8705" spans="4:54">
      <c r="D8705" s="806"/>
      <c r="F8705" s="806"/>
      <c r="W8705" s="806"/>
      <c r="AZ8705" s="806"/>
      <c r="BA8705" s="806"/>
      <c r="BB8705" s="806"/>
    </row>
    <row r="8706" spans="4:54">
      <c r="D8706" s="806"/>
      <c r="F8706" s="806"/>
      <c r="W8706" s="806"/>
      <c r="AZ8706" s="806"/>
      <c r="BA8706" s="806"/>
      <c r="BB8706" s="806"/>
    </row>
    <row r="8707" spans="4:54">
      <c r="D8707" s="806"/>
      <c r="F8707" s="806"/>
      <c r="W8707" s="806"/>
      <c r="AZ8707" s="806"/>
      <c r="BA8707" s="806"/>
      <c r="BB8707" s="806"/>
    </row>
    <row r="8708" spans="4:54">
      <c r="D8708" s="806"/>
      <c r="F8708" s="806"/>
      <c r="W8708" s="806"/>
      <c r="AZ8708" s="806"/>
      <c r="BA8708" s="806"/>
      <c r="BB8708" s="806"/>
    </row>
    <row r="8709" spans="4:54">
      <c r="D8709" s="806"/>
      <c r="F8709" s="806"/>
      <c r="W8709" s="806"/>
      <c r="AZ8709" s="806"/>
      <c r="BA8709" s="806"/>
      <c r="BB8709" s="806"/>
    </row>
    <row r="8710" spans="4:54">
      <c r="D8710" s="806"/>
      <c r="F8710" s="806"/>
      <c r="W8710" s="806"/>
      <c r="AZ8710" s="806"/>
      <c r="BA8710" s="806"/>
      <c r="BB8710" s="806"/>
    </row>
    <row r="8711" spans="4:54">
      <c r="D8711" s="806"/>
      <c r="F8711" s="806"/>
      <c r="W8711" s="806"/>
      <c r="AZ8711" s="806"/>
      <c r="BA8711" s="806"/>
      <c r="BB8711" s="806"/>
    </row>
    <row r="8712" spans="4:54">
      <c r="D8712" s="806"/>
      <c r="F8712" s="806"/>
      <c r="W8712" s="806"/>
      <c r="AZ8712" s="806"/>
      <c r="BA8712" s="806"/>
      <c r="BB8712" s="806"/>
    </row>
    <row r="8713" spans="4:54">
      <c r="D8713" s="806"/>
      <c r="F8713" s="806"/>
      <c r="W8713" s="806"/>
      <c r="AZ8713" s="806"/>
      <c r="BA8713" s="806"/>
      <c r="BB8713" s="806"/>
    </row>
    <row r="8714" spans="4:54">
      <c r="D8714" s="806"/>
      <c r="F8714" s="806"/>
      <c r="W8714" s="806"/>
      <c r="AZ8714" s="806"/>
      <c r="BA8714" s="806"/>
      <c r="BB8714" s="806"/>
    </row>
    <row r="8715" spans="4:54">
      <c r="D8715" s="806"/>
      <c r="F8715" s="806"/>
      <c r="W8715" s="806"/>
      <c r="AZ8715" s="806"/>
      <c r="BA8715" s="806"/>
      <c r="BB8715" s="806"/>
    </row>
    <row r="8716" spans="4:54">
      <c r="D8716" s="806"/>
      <c r="F8716" s="806"/>
      <c r="W8716" s="806"/>
      <c r="AZ8716" s="806"/>
      <c r="BA8716" s="806"/>
      <c r="BB8716" s="806"/>
    </row>
    <row r="8717" spans="4:54">
      <c r="D8717" s="806"/>
      <c r="F8717" s="806"/>
      <c r="W8717" s="806"/>
      <c r="AZ8717" s="806"/>
      <c r="BA8717" s="806"/>
      <c r="BB8717" s="806"/>
    </row>
    <row r="8718" spans="4:54">
      <c r="D8718" s="806"/>
      <c r="F8718" s="806"/>
      <c r="W8718" s="806"/>
      <c r="AZ8718" s="806"/>
      <c r="BA8718" s="806"/>
      <c r="BB8718" s="806"/>
    </row>
    <row r="8719" spans="4:54">
      <c r="D8719" s="806"/>
      <c r="F8719" s="806"/>
      <c r="W8719" s="806"/>
      <c r="AZ8719" s="806"/>
      <c r="BA8719" s="806"/>
      <c r="BB8719" s="806"/>
    </row>
    <row r="8720" spans="4:54">
      <c r="D8720" s="806"/>
      <c r="F8720" s="806"/>
      <c r="W8720" s="806"/>
      <c r="AZ8720" s="806"/>
      <c r="BA8720" s="806"/>
      <c r="BB8720" s="806"/>
    </row>
    <row r="8721" spans="4:54">
      <c r="D8721" s="806"/>
      <c r="F8721" s="806"/>
      <c r="W8721" s="806"/>
      <c r="AZ8721" s="806"/>
      <c r="BA8721" s="806"/>
      <c r="BB8721" s="806"/>
    </row>
    <row r="8722" spans="4:54">
      <c r="D8722" s="806"/>
      <c r="F8722" s="806"/>
      <c r="W8722" s="806"/>
      <c r="AZ8722" s="806"/>
      <c r="BA8722" s="806"/>
      <c r="BB8722" s="806"/>
    </row>
    <row r="8723" spans="4:54">
      <c r="D8723" s="806"/>
      <c r="F8723" s="806"/>
      <c r="W8723" s="806"/>
      <c r="AZ8723" s="806"/>
      <c r="BA8723" s="806"/>
      <c r="BB8723" s="806"/>
    </row>
    <row r="8724" spans="4:54">
      <c r="D8724" s="806"/>
      <c r="F8724" s="806"/>
      <c r="W8724" s="806"/>
      <c r="AZ8724" s="806"/>
      <c r="BA8724" s="806"/>
      <c r="BB8724" s="806"/>
    </row>
    <row r="8725" spans="4:54">
      <c r="D8725" s="806"/>
      <c r="F8725" s="806"/>
      <c r="W8725" s="806"/>
      <c r="AZ8725" s="806"/>
      <c r="BA8725" s="806"/>
      <c r="BB8725" s="806"/>
    </row>
    <row r="8726" spans="4:54">
      <c r="D8726" s="806"/>
      <c r="F8726" s="806"/>
      <c r="W8726" s="806"/>
      <c r="AZ8726" s="806"/>
      <c r="BA8726" s="806"/>
      <c r="BB8726" s="806"/>
    </row>
    <row r="8727" spans="4:54">
      <c r="D8727" s="806"/>
      <c r="F8727" s="806"/>
      <c r="W8727" s="806"/>
      <c r="AZ8727" s="806"/>
      <c r="BA8727" s="806"/>
      <c r="BB8727" s="806"/>
    </row>
    <row r="8728" spans="4:54">
      <c r="D8728" s="806"/>
      <c r="F8728" s="806"/>
      <c r="W8728" s="806"/>
      <c r="AZ8728" s="806"/>
      <c r="BA8728" s="806"/>
      <c r="BB8728" s="806"/>
    </row>
    <row r="8729" spans="4:54">
      <c r="D8729" s="806"/>
      <c r="F8729" s="806"/>
      <c r="W8729" s="806"/>
      <c r="AZ8729" s="806"/>
      <c r="BA8729" s="806"/>
      <c r="BB8729" s="806"/>
    </row>
    <row r="8730" spans="4:54">
      <c r="D8730" s="806"/>
      <c r="F8730" s="806"/>
      <c r="W8730" s="806"/>
      <c r="AZ8730" s="806"/>
      <c r="BA8730" s="806"/>
      <c r="BB8730" s="806"/>
    </row>
    <row r="8731" spans="4:54">
      <c r="D8731" s="806"/>
      <c r="F8731" s="806"/>
      <c r="W8731" s="806"/>
      <c r="AZ8731" s="806"/>
      <c r="BA8731" s="806"/>
      <c r="BB8731" s="806"/>
    </row>
    <row r="8732" spans="4:54">
      <c r="D8732" s="806"/>
      <c r="F8732" s="806"/>
      <c r="W8732" s="806"/>
      <c r="AZ8732" s="806"/>
      <c r="BA8732" s="806"/>
      <c r="BB8732" s="806"/>
    </row>
    <row r="8733" spans="4:54">
      <c r="D8733" s="806"/>
      <c r="F8733" s="806"/>
      <c r="W8733" s="806"/>
      <c r="AZ8733" s="806"/>
      <c r="BA8733" s="806"/>
      <c r="BB8733" s="806"/>
    </row>
    <row r="8734" spans="4:54">
      <c r="D8734" s="806"/>
      <c r="F8734" s="806"/>
      <c r="W8734" s="806"/>
      <c r="AZ8734" s="806"/>
      <c r="BA8734" s="806"/>
      <c r="BB8734" s="806"/>
    </row>
    <row r="8735" spans="4:54">
      <c r="D8735" s="806"/>
      <c r="F8735" s="806"/>
      <c r="W8735" s="806"/>
      <c r="AZ8735" s="806"/>
      <c r="BA8735" s="806"/>
      <c r="BB8735" s="806"/>
    </row>
    <row r="8736" spans="4:54">
      <c r="D8736" s="806"/>
      <c r="F8736" s="806"/>
      <c r="W8736" s="806"/>
      <c r="AZ8736" s="806"/>
      <c r="BA8736" s="806"/>
      <c r="BB8736" s="806"/>
    </row>
    <row r="8737" spans="4:54">
      <c r="D8737" s="806"/>
      <c r="F8737" s="806"/>
      <c r="W8737" s="806"/>
      <c r="AZ8737" s="806"/>
      <c r="BA8737" s="806"/>
      <c r="BB8737" s="806"/>
    </row>
    <row r="8738" spans="4:54">
      <c r="D8738" s="806"/>
      <c r="F8738" s="806"/>
      <c r="W8738" s="806"/>
      <c r="AZ8738" s="806"/>
      <c r="BA8738" s="806"/>
      <c r="BB8738" s="806"/>
    </row>
    <row r="8739" spans="4:54">
      <c r="D8739" s="806"/>
      <c r="F8739" s="806"/>
      <c r="W8739" s="806"/>
      <c r="AZ8739" s="806"/>
      <c r="BA8739" s="806"/>
      <c r="BB8739" s="806"/>
    </row>
    <row r="8740" spans="4:54">
      <c r="D8740" s="806"/>
      <c r="F8740" s="806"/>
      <c r="W8740" s="806"/>
      <c r="AZ8740" s="806"/>
      <c r="BA8740" s="806"/>
      <c r="BB8740" s="806"/>
    </row>
    <row r="8741" spans="4:54">
      <c r="D8741" s="806"/>
      <c r="F8741" s="806"/>
      <c r="W8741" s="806"/>
      <c r="AZ8741" s="806"/>
      <c r="BA8741" s="806"/>
      <c r="BB8741" s="806"/>
    </row>
    <row r="8742" spans="4:54">
      <c r="D8742" s="806"/>
      <c r="F8742" s="806"/>
      <c r="W8742" s="806"/>
      <c r="AZ8742" s="806"/>
      <c r="BA8742" s="806"/>
      <c r="BB8742" s="806"/>
    </row>
    <row r="8743" spans="4:54">
      <c r="D8743" s="806"/>
      <c r="F8743" s="806"/>
      <c r="W8743" s="806"/>
      <c r="AZ8743" s="806"/>
      <c r="BA8743" s="806"/>
      <c r="BB8743" s="806"/>
    </row>
    <row r="8744" spans="4:54">
      <c r="D8744" s="806"/>
      <c r="F8744" s="806"/>
      <c r="W8744" s="806"/>
      <c r="AZ8744" s="806"/>
      <c r="BA8744" s="806"/>
      <c r="BB8744" s="806"/>
    </row>
    <row r="8745" spans="4:54">
      <c r="D8745" s="806"/>
      <c r="F8745" s="806"/>
      <c r="W8745" s="806"/>
      <c r="AZ8745" s="806"/>
      <c r="BA8745" s="806"/>
      <c r="BB8745" s="806"/>
    </row>
    <row r="8746" spans="4:54">
      <c r="D8746" s="806"/>
      <c r="F8746" s="806"/>
      <c r="W8746" s="806"/>
      <c r="AZ8746" s="806"/>
      <c r="BA8746" s="806"/>
      <c r="BB8746" s="806"/>
    </row>
    <row r="8747" spans="4:54">
      <c r="D8747" s="806"/>
      <c r="F8747" s="806"/>
      <c r="W8747" s="806"/>
      <c r="AZ8747" s="806"/>
      <c r="BA8747" s="806"/>
      <c r="BB8747" s="806"/>
    </row>
    <row r="8748" spans="4:54">
      <c r="D8748" s="806"/>
      <c r="F8748" s="806"/>
      <c r="W8748" s="806"/>
      <c r="AZ8748" s="806"/>
      <c r="BA8748" s="806"/>
      <c r="BB8748" s="806"/>
    </row>
    <row r="8749" spans="4:54">
      <c r="D8749" s="806"/>
      <c r="F8749" s="806"/>
      <c r="W8749" s="806"/>
      <c r="AZ8749" s="806"/>
      <c r="BA8749" s="806"/>
      <c r="BB8749" s="806"/>
    </row>
    <row r="8750" spans="4:54">
      <c r="D8750" s="806"/>
      <c r="F8750" s="806"/>
      <c r="W8750" s="806"/>
      <c r="AZ8750" s="806"/>
      <c r="BA8750" s="806"/>
      <c r="BB8750" s="806"/>
    </row>
    <row r="8751" spans="4:54">
      <c r="D8751" s="806"/>
      <c r="F8751" s="806"/>
      <c r="W8751" s="806"/>
      <c r="AZ8751" s="806"/>
      <c r="BA8751" s="806"/>
      <c r="BB8751" s="806"/>
    </row>
    <row r="8752" spans="4:54">
      <c r="D8752" s="806"/>
      <c r="F8752" s="806"/>
      <c r="W8752" s="806"/>
      <c r="AZ8752" s="806"/>
      <c r="BA8752" s="806"/>
      <c r="BB8752" s="806"/>
    </row>
    <row r="8753" spans="4:54">
      <c r="D8753" s="806"/>
      <c r="F8753" s="806"/>
      <c r="W8753" s="806"/>
      <c r="AZ8753" s="806"/>
      <c r="BA8753" s="806"/>
      <c r="BB8753" s="806"/>
    </row>
    <row r="8754" spans="4:54">
      <c r="D8754" s="806"/>
      <c r="F8754" s="806"/>
      <c r="W8754" s="806"/>
      <c r="AZ8754" s="806"/>
      <c r="BA8754" s="806"/>
      <c r="BB8754" s="806"/>
    </row>
    <row r="8755" spans="4:54">
      <c r="D8755" s="806"/>
      <c r="F8755" s="806"/>
      <c r="W8755" s="806"/>
      <c r="AZ8755" s="806"/>
      <c r="BA8755" s="806"/>
      <c r="BB8755" s="806"/>
    </row>
    <row r="8757" spans="4:54">
      <c r="D8757" s="806"/>
      <c r="F8757" s="806"/>
      <c r="W8757" s="806"/>
      <c r="AZ8757" s="806"/>
      <c r="BA8757" s="806"/>
      <c r="BB8757" s="806"/>
    </row>
    <row r="8758" spans="4:54">
      <c r="D8758" s="806"/>
      <c r="F8758" s="806"/>
      <c r="W8758" s="806"/>
      <c r="AZ8758" s="806"/>
      <c r="BA8758" s="806"/>
      <c r="BB8758" s="806"/>
    </row>
    <row r="8759" spans="4:54">
      <c r="D8759" s="806"/>
      <c r="F8759" s="806"/>
      <c r="W8759" s="806"/>
      <c r="AZ8759" s="806"/>
      <c r="BA8759" s="806"/>
      <c r="BB8759" s="806"/>
    </row>
    <row r="8760" spans="4:54">
      <c r="D8760" s="806"/>
      <c r="F8760" s="806"/>
      <c r="W8760" s="806"/>
      <c r="AZ8760" s="806"/>
      <c r="BA8760" s="806"/>
      <c r="BB8760" s="806"/>
    </row>
    <row r="8761" spans="4:54">
      <c r="D8761" s="806"/>
      <c r="F8761" s="806"/>
      <c r="W8761" s="806"/>
      <c r="AZ8761" s="806"/>
      <c r="BA8761" s="806"/>
      <c r="BB8761" s="806"/>
    </row>
    <row r="8762" spans="4:54">
      <c r="D8762" s="806"/>
      <c r="F8762" s="806"/>
      <c r="W8762" s="806"/>
      <c r="AZ8762" s="806"/>
      <c r="BA8762" s="806"/>
      <c r="BB8762" s="806"/>
    </row>
    <row r="8763" spans="4:54">
      <c r="D8763" s="806"/>
      <c r="F8763" s="806"/>
      <c r="W8763" s="806"/>
      <c r="AZ8763" s="806"/>
      <c r="BA8763" s="806"/>
      <c r="BB8763" s="806"/>
    </row>
    <row r="8764" spans="4:54">
      <c r="D8764" s="806"/>
      <c r="F8764" s="806"/>
      <c r="W8764" s="806"/>
      <c r="AZ8764" s="806"/>
      <c r="BA8764" s="806"/>
      <c r="BB8764" s="806"/>
    </row>
    <row r="8765" spans="4:54">
      <c r="D8765" s="806"/>
      <c r="F8765" s="806"/>
      <c r="W8765" s="806"/>
      <c r="AZ8765" s="806"/>
      <c r="BA8765" s="806"/>
      <c r="BB8765" s="806"/>
    </row>
    <row r="8766" spans="4:54">
      <c r="D8766" s="806"/>
      <c r="F8766" s="806"/>
      <c r="W8766" s="806"/>
      <c r="AZ8766" s="806"/>
      <c r="BA8766" s="806"/>
      <c r="BB8766" s="806"/>
    </row>
    <row r="8767" spans="4:54">
      <c r="D8767" s="806"/>
      <c r="F8767" s="806"/>
      <c r="W8767" s="806"/>
      <c r="AZ8767" s="806"/>
      <c r="BA8767" s="806"/>
      <c r="BB8767" s="806"/>
    </row>
    <row r="8768" spans="4:54">
      <c r="D8768" s="806"/>
      <c r="F8768" s="806"/>
      <c r="W8768" s="806"/>
      <c r="AZ8768" s="806"/>
      <c r="BA8768" s="806"/>
      <c r="BB8768" s="806"/>
    </row>
    <row r="8769" spans="4:54">
      <c r="D8769" s="806"/>
      <c r="F8769" s="806"/>
      <c r="W8769" s="806"/>
      <c r="AZ8769" s="806"/>
      <c r="BA8769" s="806"/>
      <c r="BB8769" s="806"/>
    </row>
    <row r="8770" spans="4:54">
      <c r="D8770" s="806"/>
      <c r="F8770" s="806"/>
      <c r="W8770" s="806"/>
      <c r="AZ8770" s="806"/>
      <c r="BA8770" s="806"/>
      <c r="BB8770" s="806"/>
    </row>
    <row r="8771" spans="4:54">
      <c r="D8771" s="806"/>
      <c r="F8771" s="806"/>
      <c r="W8771" s="806"/>
      <c r="AZ8771" s="806"/>
      <c r="BA8771" s="806"/>
      <c r="BB8771" s="806"/>
    </row>
    <row r="8772" spans="4:54">
      <c r="D8772" s="806"/>
      <c r="F8772" s="806"/>
      <c r="W8772" s="806"/>
      <c r="AZ8772" s="806"/>
      <c r="BA8772" s="806"/>
      <c r="BB8772" s="806"/>
    </row>
    <row r="8773" spans="4:54">
      <c r="D8773" s="806"/>
      <c r="F8773" s="806"/>
      <c r="W8773" s="806"/>
      <c r="AZ8773" s="806"/>
      <c r="BA8773" s="806"/>
      <c r="BB8773" s="806"/>
    </row>
    <row r="8774" spans="4:54">
      <c r="D8774" s="806"/>
      <c r="F8774" s="806"/>
      <c r="W8774" s="806"/>
      <c r="AZ8774" s="806"/>
      <c r="BA8774" s="806"/>
      <c r="BB8774" s="806"/>
    </row>
    <row r="8775" spans="4:54">
      <c r="D8775" s="806"/>
      <c r="F8775" s="806"/>
      <c r="W8775" s="806"/>
      <c r="AZ8775" s="806"/>
      <c r="BA8775" s="806"/>
      <c r="BB8775" s="806"/>
    </row>
    <row r="8776" spans="4:54">
      <c r="D8776" s="806"/>
      <c r="F8776" s="806"/>
      <c r="W8776" s="806"/>
      <c r="AZ8776" s="806"/>
      <c r="BA8776" s="806"/>
      <c r="BB8776" s="806"/>
    </row>
    <row r="8777" spans="4:54">
      <c r="D8777" s="806"/>
      <c r="F8777" s="806"/>
      <c r="W8777" s="806"/>
      <c r="AZ8777" s="806"/>
      <c r="BA8777" s="806"/>
      <c r="BB8777" s="806"/>
    </row>
    <row r="8778" spans="4:54">
      <c r="D8778" s="806"/>
      <c r="F8778" s="806"/>
      <c r="W8778" s="806"/>
      <c r="AZ8778" s="806"/>
      <c r="BA8778" s="806"/>
      <c r="BB8778" s="806"/>
    </row>
    <row r="8779" spans="4:54">
      <c r="D8779" s="806"/>
      <c r="F8779" s="806"/>
      <c r="W8779" s="806"/>
      <c r="AZ8779" s="806"/>
      <c r="BA8779" s="806"/>
      <c r="BB8779" s="806"/>
    </row>
    <row r="8780" spans="4:54">
      <c r="D8780" s="806"/>
      <c r="F8780" s="806"/>
      <c r="W8780" s="806"/>
      <c r="AZ8780" s="806"/>
      <c r="BA8780" s="806"/>
      <c r="BB8780" s="806"/>
    </row>
    <row r="8781" spans="4:54">
      <c r="D8781" s="806"/>
      <c r="F8781" s="806"/>
      <c r="W8781" s="806"/>
      <c r="AZ8781" s="806"/>
      <c r="BA8781" s="806"/>
      <c r="BB8781" s="806"/>
    </row>
    <row r="8782" spans="4:54">
      <c r="D8782" s="806"/>
      <c r="F8782" s="806"/>
      <c r="W8782" s="806"/>
      <c r="AZ8782" s="806"/>
      <c r="BA8782" s="806"/>
      <c r="BB8782" s="806"/>
    </row>
    <row r="8783" spans="4:54">
      <c r="D8783" s="806"/>
      <c r="F8783" s="806"/>
      <c r="W8783" s="806"/>
      <c r="AZ8783" s="806"/>
      <c r="BA8783" s="806"/>
      <c r="BB8783" s="806"/>
    </row>
    <row r="8784" spans="4:54">
      <c r="D8784" s="806"/>
      <c r="F8784" s="806"/>
      <c r="W8784" s="806"/>
      <c r="AZ8784" s="806"/>
      <c r="BA8784" s="806"/>
      <c r="BB8784" s="806"/>
    </row>
    <row r="8785" spans="4:54">
      <c r="D8785" s="806"/>
      <c r="F8785" s="806"/>
      <c r="W8785" s="806"/>
      <c r="AZ8785" s="806"/>
      <c r="BA8785" s="806"/>
      <c r="BB8785" s="806"/>
    </row>
    <row r="8786" spans="4:54">
      <c r="D8786" s="806"/>
      <c r="F8786" s="806"/>
      <c r="W8786" s="806"/>
      <c r="AZ8786" s="806"/>
      <c r="BA8786" s="806"/>
      <c r="BB8786" s="806"/>
    </row>
    <row r="8787" spans="4:54">
      <c r="D8787" s="806"/>
      <c r="F8787" s="806"/>
      <c r="W8787" s="806"/>
      <c r="AZ8787" s="806"/>
      <c r="BA8787" s="806"/>
      <c r="BB8787" s="806"/>
    </row>
    <row r="8788" spans="4:54">
      <c r="D8788" s="806"/>
      <c r="F8788" s="806"/>
      <c r="W8788" s="806"/>
      <c r="AZ8788" s="806"/>
      <c r="BA8788" s="806"/>
      <c r="BB8788" s="806"/>
    </row>
    <row r="8789" spans="4:54">
      <c r="D8789" s="806"/>
      <c r="F8789" s="806"/>
      <c r="W8789" s="806"/>
      <c r="AZ8789" s="806"/>
      <c r="BA8789" s="806"/>
      <c r="BB8789" s="806"/>
    </row>
    <row r="8790" spans="4:54">
      <c r="D8790" s="806"/>
      <c r="F8790" s="806"/>
      <c r="W8790" s="806"/>
      <c r="AZ8790" s="806"/>
      <c r="BA8790" s="806"/>
      <c r="BB8790" s="806"/>
    </row>
    <row r="8791" spans="4:54">
      <c r="D8791" s="806"/>
      <c r="F8791" s="806"/>
      <c r="W8791" s="806"/>
      <c r="AZ8791" s="806"/>
      <c r="BA8791" s="806"/>
      <c r="BB8791" s="806"/>
    </row>
    <row r="8792" spans="4:54">
      <c r="D8792" s="806"/>
      <c r="F8792" s="806"/>
      <c r="W8792" s="806"/>
      <c r="AZ8792" s="806"/>
      <c r="BA8792" s="806"/>
      <c r="BB8792" s="806"/>
    </row>
    <row r="8793" spans="4:54">
      <c r="D8793" s="806"/>
      <c r="F8793" s="806"/>
      <c r="W8793" s="806"/>
      <c r="AZ8793" s="806"/>
      <c r="BA8793" s="806"/>
      <c r="BB8793" s="806"/>
    </row>
    <row r="8794" spans="4:54">
      <c r="D8794" s="806"/>
      <c r="F8794" s="806"/>
      <c r="W8794" s="806"/>
      <c r="AZ8794" s="806"/>
      <c r="BA8794" s="806"/>
      <c r="BB8794" s="806"/>
    </row>
    <row r="8795" spans="4:54">
      <c r="D8795" s="806"/>
      <c r="F8795" s="806"/>
      <c r="W8795" s="806"/>
      <c r="AZ8795" s="806"/>
      <c r="BA8795" s="806"/>
      <c r="BB8795" s="806"/>
    </row>
    <row r="8796" spans="4:54">
      <c r="D8796" s="806"/>
      <c r="F8796" s="806"/>
      <c r="W8796" s="806"/>
      <c r="AZ8796" s="806"/>
      <c r="BA8796" s="806"/>
      <c r="BB8796" s="806"/>
    </row>
    <row r="8797" spans="4:54">
      <c r="D8797" s="806"/>
      <c r="F8797" s="806"/>
      <c r="W8797" s="806"/>
      <c r="AZ8797" s="806"/>
      <c r="BA8797" s="806"/>
      <c r="BB8797" s="806"/>
    </row>
    <row r="8798" spans="4:54">
      <c r="D8798" s="806"/>
      <c r="F8798" s="806"/>
      <c r="W8798" s="806"/>
      <c r="AZ8798" s="806"/>
      <c r="BA8798" s="806"/>
      <c r="BB8798" s="806"/>
    </row>
    <row r="8799" spans="4:54">
      <c r="D8799" s="806"/>
      <c r="F8799" s="806"/>
      <c r="W8799" s="806"/>
      <c r="AZ8799" s="806"/>
      <c r="BA8799" s="806"/>
      <c r="BB8799" s="806"/>
    </row>
    <row r="8800" spans="4:54">
      <c r="D8800" s="806"/>
      <c r="F8800" s="806"/>
      <c r="W8800" s="806"/>
      <c r="AZ8800" s="806"/>
      <c r="BA8800" s="806"/>
      <c r="BB8800" s="806"/>
    </row>
    <row r="8801" spans="4:54">
      <c r="D8801" s="806"/>
      <c r="F8801" s="806"/>
      <c r="W8801" s="806"/>
      <c r="AZ8801" s="806"/>
      <c r="BA8801" s="806"/>
      <c r="BB8801" s="806"/>
    </row>
    <row r="8802" spans="4:54">
      <c r="D8802" s="806"/>
      <c r="F8802" s="806"/>
      <c r="W8802" s="806"/>
      <c r="AZ8802" s="806"/>
      <c r="BA8802" s="806"/>
      <c r="BB8802" s="806"/>
    </row>
    <row r="8803" spans="4:54">
      <c r="D8803" s="806"/>
      <c r="F8803" s="806"/>
      <c r="W8803" s="806"/>
      <c r="AZ8803" s="806"/>
      <c r="BA8803" s="806"/>
      <c r="BB8803" s="806"/>
    </row>
    <row r="8804" spans="4:54">
      <c r="D8804" s="806"/>
      <c r="F8804" s="806"/>
      <c r="W8804" s="806"/>
      <c r="AZ8804" s="806"/>
      <c r="BA8804" s="806"/>
      <c r="BB8804" s="806"/>
    </row>
    <row r="8805" spans="4:54">
      <c r="D8805" s="806"/>
      <c r="F8805" s="806"/>
      <c r="W8805" s="806"/>
      <c r="AZ8805" s="806"/>
      <c r="BA8805" s="806"/>
      <c r="BB8805" s="806"/>
    </row>
    <row r="8806" spans="4:54">
      <c r="D8806" s="806"/>
      <c r="F8806" s="806"/>
      <c r="W8806" s="806"/>
      <c r="AZ8806" s="806"/>
      <c r="BA8806" s="806"/>
      <c r="BB8806" s="806"/>
    </row>
    <row r="8807" spans="4:54">
      <c r="D8807" s="806"/>
      <c r="F8807" s="806"/>
      <c r="W8807" s="806"/>
      <c r="AZ8807" s="806"/>
      <c r="BA8807" s="806"/>
      <c r="BB8807" s="806"/>
    </row>
    <row r="8808" spans="4:54">
      <c r="D8808" s="806"/>
      <c r="F8808" s="806"/>
      <c r="W8808" s="806"/>
      <c r="AZ8808" s="806"/>
      <c r="BA8808" s="806"/>
      <c r="BB8808" s="806"/>
    </row>
    <row r="8809" spans="4:54">
      <c r="D8809" s="806"/>
      <c r="F8809" s="806"/>
      <c r="W8809" s="806"/>
      <c r="AZ8809" s="806"/>
      <c r="BA8809" s="806"/>
      <c r="BB8809" s="806"/>
    </row>
    <row r="8810" spans="4:54">
      <c r="D8810" s="806"/>
      <c r="F8810" s="806"/>
      <c r="W8810" s="806"/>
      <c r="AZ8810" s="806"/>
      <c r="BA8810" s="806"/>
      <c r="BB8810" s="806"/>
    </row>
    <row r="8811" spans="4:54">
      <c r="D8811" s="806"/>
      <c r="F8811" s="806"/>
      <c r="W8811" s="806"/>
      <c r="AZ8811" s="806"/>
      <c r="BA8811" s="806"/>
      <c r="BB8811" s="806"/>
    </row>
    <row r="8812" spans="4:54">
      <c r="D8812" s="806"/>
      <c r="F8812" s="806"/>
      <c r="W8812" s="806"/>
      <c r="AZ8812" s="806"/>
      <c r="BA8812" s="806"/>
      <c r="BB8812" s="806"/>
    </row>
    <row r="8813" spans="4:54">
      <c r="D8813" s="806"/>
      <c r="F8813" s="806"/>
      <c r="W8813" s="806"/>
      <c r="AZ8813" s="806"/>
      <c r="BA8813" s="806"/>
      <c r="BB8813" s="806"/>
    </row>
    <row r="8814" spans="4:54">
      <c r="D8814" s="806"/>
      <c r="F8814" s="806"/>
      <c r="W8814" s="806"/>
      <c r="AZ8814" s="806"/>
      <c r="BA8814" s="806"/>
      <c r="BB8814" s="806"/>
    </row>
    <row r="8815" spans="4:54">
      <c r="D8815" s="806"/>
      <c r="F8815" s="806"/>
      <c r="W8815" s="806"/>
      <c r="AZ8815" s="806"/>
      <c r="BA8815" s="806"/>
      <c r="BB8815" s="806"/>
    </row>
    <row r="8816" spans="4:54">
      <c r="D8816" s="806"/>
      <c r="F8816" s="806"/>
      <c r="W8816" s="806"/>
      <c r="AZ8816" s="806"/>
      <c r="BA8816" s="806"/>
      <c r="BB8816" s="806"/>
    </row>
    <row r="8817" spans="4:54">
      <c r="D8817" s="806"/>
      <c r="F8817" s="806"/>
      <c r="W8817" s="806"/>
      <c r="AZ8817" s="806"/>
      <c r="BA8817" s="806"/>
      <c r="BB8817" s="806"/>
    </row>
    <row r="8818" spans="4:54">
      <c r="D8818" s="806"/>
      <c r="F8818" s="806"/>
      <c r="W8818" s="806"/>
      <c r="AZ8818" s="806"/>
      <c r="BA8818" s="806"/>
      <c r="BB8818" s="806"/>
    </row>
    <row r="8819" spans="4:54">
      <c r="D8819" s="806"/>
      <c r="F8819" s="806"/>
      <c r="W8819" s="806"/>
      <c r="AZ8819" s="806"/>
      <c r="BA8819" s="806"/>
      <c r="BB8819" s="806"/>
    </row>
    <row r="8820" spans="4:54">
      <c r="D8820" s="806"/>
      <c r="F8820" s="806"/>
      <c r="W8820" s="806"/>
      <c r="AZ8820" s="806"/>
      <c r="BA8820" s="806"/>
      <c r="BB8820" s="806"/>
    </row>
    <row r="8821" spans="4:54">
      <c r="D8821" s="806"/>
      <c r="F8821" s="806"/>
      <c r="W8821" s="806"/>
      <c r="AZ8821" s="806"/>
      <c r="BA8821" s="806"/>
      <c r="BB8821" s="806"/>
    </row>
    <row r="8822" spans="4:54">
      <c r="D8822" s="806"/>
      <c r="F8822" s="806"/>
      <c r="W8822" s="806"/>
      <c r="AZ8822" s="806"/>
      <c r="BA8822" s="806"/>
      <c r="BB8822" s="806"/>
    </row>
    <row r="8823" spans="4:54">
      <c r="D8823" s="806"/>
      <c r="F8823" s="806"/>
      <c r="W8823" s="806"/>
      <c r="AZ8823" s="806"/>
      <c r="BA8823" s="806"/>
      <c r="BB8823" s="806"/>
    </row>
    <row r="8824" spans="4:54">
      <c r="D8824" s="806"/>
      <c r="F8824" s="806"/>
      <c r="W8824" s="806"/>
      <c r="AZ8824" s="806"/>
      <c r="BA8824" s="806"/>
      <c r="BB8824" s="806"/>
    </row>
    <row r="8825" spans="4:54">
      <c r="D8825" s="806"/>
      <c r="F8825" s="806"/>
      <c r="W8825" s="806"/>
      <c r="AZ8825" s="806"/>
      <c r="BA8825" s="806"/>
      <c r="BB8825" s="806"/>
    </row>
    <row r="8826" spans="4:54">
      <c r="D8826" s="806"/>
      <c r="F8826" s="806"/>
      <c r="W8826" s="806"/>
      <c r="AZ8826" s="806"/>
      <c r="BA8826" s="806"/>
      <c r="BB8826" s="806"/>
    </row>
    <row r="8827" spans="4:54">
      <c r="D8827" s="806"/>
      <c r="F8827" s="806"/>
      <c r="W8827" s="806"/>
      <c r="AZ8827" s="806"/>
      <c r="BA8827" s="806"/>
      <c r="BB8827" s="806"/>
    </row>
    <row r="8828" spans="4:54">
      <c r="D8828" s="806"/>
      <c r="F8828" s="806"/>
      <c r="W8828" s="806"/>
      <c r="AZ8828" s="806"/>
      <c r="BA8828" s="806"/>
      <c r="BB8828" s="806"/>
    </row>
    <row r="8829" spans="4:54">
      <c r="D8829" s="806"/>
      <c r="F8829" s="806"/>
      <c r="W8829" s="806"/>
      <c r="AZ8829" s="806"/>
      <c r="BA8829" s="806"/>
      <c r="BB8829" s="806"/>
    </row>
    <row r="8830" spans="4:54">
      <c r="D8830" s="806"/>
      <c r="F8830" s="806"/>
      <c r="W8830" s="806"/>
      <c r="AZ8830" s="806"/>
      <c r="BA8830" s="806"/>
      <c r="BB8830" s="806"/>
    </row>
    <row r="8831" spans="4:54">
      <c r="D8831" s="806"/>
      <c r="F8831" s="806"/>
      <c r="W8831" s="806"/>
      <c r="AZ8831" s="806"/>
      <c r="BA8831" s="806"/>
      <c r="BB8831" s="806"/>
    </row>
    <row r="8832" spans="4:54">
      <c r="D8832" s="806"/>
      <c r="F8832" s="806"/>
      <c r="W8832" s="806"/>
      <c r="AZ8832" s="806"/>
      <c r="BA8832" s="806"/>
      <c r="BB8832" s="806"/>
    </row>
    <row r="8833" spans="4:54">
      <c r="D8833" s="806"/>
      <c r="F8833" s="806"/>
      <c r="W8833" s="806"/>
      <c r="AZ8833" s="806"/>
      <c r="BA8833" s="806"/>
      <c r="BB8833" s="806"/>
    </row>
    <row r="8834" spans="4:54">
      <c r="D8834" s="806"/>
      <c r="F8834" s="806"/>
      <c r="W8834" s="806"/>
      <c r="AZ8834" s="806"/>
      <c r="BA8834" s="806"/>
      <c r="BB8834" s="806"/>
    </row>
    <row r="8835" spans="4:54">
      <c r="D8835" s="806"/>
      <c r="F8835" s="806"/>
      <c r="W8835" s="806"/>
      <c r="AZ8835" s="806"/>
      <c r="BA8835" s="806"/>
      <c r="BB8835" s="806"/>
    </row>
    <row r="8836" spans="4:54">
      <c r="D8836" s="806"/>
      <c r="F8836" s="806"/>
      <c r="W8836" s="806"/>
      <c r="AZ8836" s="806"/>
      <c r="BA8836" s="806"/>
      <c r="BB8836" s="806"/>
    </row>
    <row r="8837" spans="4:54">
      <c r="D8837" s="806"/>
      <c r="F8837" s="806"/>
      <c r="W8837" s="806"/>
      <c r="AZ8837" s="806"/>
      <c r="BA8837" s="806"/>
      <c r="BB8837" s="806"/>
    </row>
    <row r="8838" spans="4:54">
      <c r="D8838" s="806"/>
      <c r="F8838" s="806"/>
      <c r="W8838" s="806"/>
      <c r="AZ8838" s="806"/>
      <c r="BA8838" s="806"/>
      <c r="BB8838" s="806"/>
    </row>
    <row r="8839" spans="4:54">
      <c r="D8839" s="806"/>
      <c r="F8839" s="806"/>
      <c r="W8839" s="806"/>
      <c r="AZ8839" s="806"/>
      <c r="BA8839" s="806"/>
      <c r="BB8839" s="806"/>
    </row>
    <row r="8840" spans="4:54">
      <c r="D8840" s="806"/>
      <c r="F8840" s="806"/>
      <c r="W8840" s="806"/>
      <c r="AZ8840" s="806"/>
      <c r="BA8840" s="806"/>
      <c r="BB8840" s="806"/>
    </row>
    <row r="8841" spans="4:54">
      <c r="D8841" s="806"/>
      <c r="F8841" s="806"/>
      <c r="W8841" s="806"/>
      <c r="AZ8841" s="806"/>
      <c r="BA8841" s="806"/>
      <c r="BB8841" s="806"/>
    </row>
    <row r="8842" spans="4:54">
      <c r="D8842" s="806"/>
      <c r="F8842" s="806"/>
      <c r="W8842" s="806"/>
      <c r="AZ8842" s="806"/>
      <c r="BA8842" s="806"/>
      <c r="BB8842" s="806"/>
    </row>
    <row r="8843" spans="4:54">
      <c r="D8843" s="806"/>
      <c r="F8843" s="806"/>
      <c r="W8843" s="806"/>
      <c r="AZ8843" s="806"/>
      <c r="BA8843" s="806"/>
      <c r="BB8843" s="806"/>
    </row>
    <row r="8844" spans="4:54">
      <c r="D8844" s="806"/>
      <c r="F8844" s="806"/>
      <c r="W8844" s="806"/>
      <c r="AZ8844" s="806"/>
      <c r="BA8844" s="806"/>
      <c r="BB8844" s="806"/>
    </row>
    <row r="8845" spans="4:54">
      <c r="D8845" s="806"/>
      <c r="F8845" s="806"/>
      <c r="W8845" s="806"/>
      <c r="AZ8845" s="806"/>
      <c r="BA8845" s="806"/>
      <c r="BB8845" s="806"/>
    </row>
    <row r="8846" spans="4:54">
      <c r="D8846" s="806"/>
      <c r="F8846" s="806"/>
      <c r="W8846" s="806"/>
      <c r="AZ8846" s="806"/>
      <c r="BA8846" s="806"/>
      <c r="BB8846" s="806"/>
    </row>
    <row r="8847" spans="4:54">
      <c r="D8847" s="806"/>
      <c r="F8847" s="806"/>
      <c r="W8847" s="806"/>
      <c r="AZ8847" s="806"/>
      <c r="BA8847" s="806"/>
      <c r="BB8847" s="806"/>
    </row>
    <row r="8848" spans="4:54">
      <c r="D8848" s="806"/>
      <c r="F8848" s="806"/>
      <c r="W8848" s="806"/>
      <c r="AZ8848" s="806"/>
      <c r="BA8848" s="806"/>
      <c r="BB8848" s="806"/>
    </row>
    <row r="8849" spans="4:54">
      <c r="D8849" s="806"/>
      <c r="F8849" s="806"/>
      <c r="W8849" s="806"/>
      <c r="AZ8849" s="806"/>
      <c r="BA8849" s="806"/>
      <c r="BB8849" s="806"/>
    </row>
    <row r="8850" spans="4:54">
      <c r="D8850" s="806"/>
      <c r="F8850" s="806"/>
      <c r="W8850" s="806"/>
      <c r="AZ8850" s="806"/>
      <c r="BA8850" s="806"/>
      <c r="BB8850" s="806"/>
    </row>
    <row r="8851" spans="4:54">
      <c r="D8851" s="806"/>
      <c r="F8851" s="806"/>
      <c r="W8851" s="806"/>
      <c r="AZ8851" s="806"/>
      <c r="BA8851" s="806"/>
      <c r="BB8851" s="806"/>
    </row>
    <row r="8852" spans="4:54">
      <c r="D8852" s="806"/>
      <c r="F8852" s="806"/>
      <c r="W8852" s="806"/>
      <c r="AZ8852" s="806"/>
      <c r="BA8852" s="806"/>
      <c r="BB8852" s="806"/>
    </row>
    <row r="8853" spans="4:54">
      <c r="D8853" s="806"/>
      <c r="F8853" s="806"/>
      <c r="W8853" s="806"/>
      <c r="AZ8853" s="806"/>
      <c r="BA8853" s="806"/>
      <c r="BB8853" s="806"/>
    </row>
    <row r="8854" spans="4:54">
      <c r="D8854" s="806"/>
      <c r="F8854" s="806"/>
      <c r="W8854" s="806"/>
      <c r="AZ8854" s="806"/>
      <c r="BA8854" s="806"/>
      <c r="BB8854" s="806"/>
    </row>
    <row r="8855" spans="4:54">
      <c r="D8855" s="806"/>
      <c r="F8855" s="806"/>
      <c r="W8855" s="806"/>
      <c r="AZ8855" s="806"/>
      <c r="BA8855" s="806"/>
      <c r="BB8855" s="806"/>
    </row>
    <row r="8856" spans="4:54">
      <c r="D8856" s="806"/>
      <c r="F8856" s="806"/>
      <c r="W8856" s="806"/>
      <c r="AZ8856" s="806"/>
      <c r="BA8856" s="806"/>
      <c r="BB8856" s="806"/>
    </row>
    <row r="8857" spans="4:54">
      <c r="D8857" s="806"/>
      <c r="F8857" s="806"/>
      <c r="W8857" s="806"/>
      <c r="AZ8857" s="806"/>
      <c r="BA8857" s="806"/>
      <c r="BB8857" s="806"/>
    </row>
    <row r="8858" spans="4:54">
      <c r="D8858" s="806"/>
      <c r="F8858" s="806"/>
      <c r="W8858" s="806"/>
      <c r="AZ8858" s="806"/>
      <c r="BA8858" s="806"/>
      <c r="BB8858" s="806"/>
    </row>
    <row r="8859" spans="4:54">
      <c r="D8859" s="806"/>
      <c r="F8859" s="806"/>
      <c r="W8859" s="806"/>
      <c r="AZ8859" s="806"/>
      <c r="BA8859" s="806"/>
      <c r="BB8859" s="806"/>
    </row>
    <row r="8860" spans="4:54">
      <c r="D8860" s="806"/>
      <c r="F8860" s="806"/>
      <c r="W8860" s="806"/>
      <c r="AZ8860" s="806"/>
      <c r="BA8860" s="806"/>
      <c r="BB8860" s="806"/>
    </row>
    <row r="8861" spans="4:54">
      <c r="D8861" s="806"/>
      <c r="F8861" s="806"/>
      <c r="W8861" s="806"/>
      <c r="AZ8861" s="806"/>
      <c r="BA8861" s="806"/>
      <c r="BB8861" s="806"/>
    </row>
    <row r="8862" spans="4:54">
      <c r="D8862" s="806"/>
      <c r="F8862" s="806"/>
      <c r="W8862" s="806"/>
      <c r="AZ8862" s="806"/>
      <c r="BA8862" s="806"/>
      <c r="BB8862" s="806"/>
    </row>
    <row r="8863" spans="4:54">
      <c r="D8863" s="806"/>
      <c r="F8863" s="806"/>
      <c r="W8863" s="806"/>
      <c r="AZ8863" s="806"/>
      <c r="BA8863" s="806"/>
      <c r="BB8863" s="806"/>
    </row>
    <row r="8864" spans="4:54">
      <c r="D8864" s="806"/>
      <c r="F8864" s="806"/>
      <c r="W8864" s="806"/>
      <c r="AZ8864" s="806"/>
      <c r="BA8864" s="806"/>
      <c r="BB8864" s="806"/>
    </row>
    <row r="8865" spans="4:54">
      <c r="D8865" s="806"/>
      <c r="F8865" s="806"/>
      <c r="W8865" s="806"/>
      <c r="AZ8865" s="806"/>
      <c r="BA8865" s="806"/>
      <c r="BB8865" s="806"/>
    </row>
    <row r="8866" spans="4:54">
      <c r="D8866" s="806"/>
      <c r="F8866" s="806"/>
      <c r="W8866" s="806"/>
      <c r="AZ8866" s="806"/>
      <c r="BA8866" s="806"/>
      <c r="BB8866" s="806"/>
    </row>
    <row r="8867" spans="4:54">
      <c r="D8867" s="806"/>
      <c r="F8867" s="806"/>
      <c r="W8867" s="806"/>
      <c r="AZ8867" s="806"/>
      <c r="BA8867" s="806"/>
      <c r="BB8867" s="806"/>
    </row>
    <row r="8868" spans="4:54">
      <c r="D8868" s="806"/>
      <c r="F8868" s="806"/>
      <c r="W8868" s="806"/>
      <c r="AZ8868" s="806"/>
      <c r="BA8868" s="806"/>
      <c r="BB8868" s="806"/>
    </row>
    <row r="8869" spans="4:54">
      <c r="D8869" s="806"/>
      <c r="F8869" s="806"/>
      <c r="W8869" s="806"/>
      <c r="AZ8869" s="806"/>
      <c r="BA8869" s="806"/>
      <c r="BB8869" s="806"/>
    </row>
    <row r="8870" spans="4:54">
      <c r="D8870" s="806"/>
      <c r="F8870" s="806"/>
      <c r="W8870" s="806"/>
      <c r="AZ8870" s="806"/>
      <c r="BA8870" s="806"/>
      <c r="BB8870" s="806"/>
    </row>
    <row r="8871" spans="4:54">
      <c r="D8871" s="806"/>
      <c r="F8871" s="806"/>
      <c r="W8871" s="806"/>
      <c r="AZ8871" s="806"/>
      <c r="BA8871" s="806"/>
      <c r="BB8871" s="806"/>
    </row>
    <row r="8872" spans="4:54">
      <c r="D8872" s="806"/>
      <c r="F8872" s="806"/>
      <c r="W8872" s="806"/>
      <c r="AZ8872" s="806"/>
      <c r="BA8872" s="806"/>
      <c r="BB8872" s="806"/>
    </row>
    <row r="8873" spans="4:54">
      <c r="D8873" s="806"/>
      <c r="F8873" s="806"/>
      <c r="W8873" s="806"/>
      <c r="AZ8873" s="806"/>
      <c r="BA8873" s="806"/>
      <c r="BB8873" s="806"/>
    </row>
    <row r="8874" spans="4:54">
      <c r="D8874" s="806"/>
      <c r="F8874" s="806"/>
      <c r="W8874" s="806"/>
      <c r="AZ8874" s="806"/>
      <c r="BA8874" s="806"/>
      <c r="BB8874" s="806"/>
    </row>
    <row r="8875" spans="4:54">
      <c r="D8875" s="806"/>
      <c r="F8875" s="806"/>
      <c r="W8875" s="806"/>
      <c r="AZ8875" s="806"/>
      <c r="BA8875" s="806"/>
      <c r="BB8875" s="806"/>
    </row>
    <row r="8876" spans="4:54">
      <c r="D8876" s="806"/>
      <c r="F8876" s="806"/>
      <c r="W8876" s="806"/>
      <c r="AZ8876" s="806"/>
      <c r="BA8876" s="806"/>
      <c r="BB8876" s="806"/>
    </row>
    <row r="8877" spans="4:54">
      <c r="D8877" s="806"/>
      <c r="F8877" s="806"/>
      <c r="W8877" s="806"/>
      <c r="AZ8877" s="806"/>
      <c r="BA8877" s="806"/>
      <c r="BB8877" s="806"/>
    </row>
    <row r="8878" spans="4:54">
      <c r="D8878" s="806"/>
      <c r="F8878" s="806"/>
      <c r="W8878" s="806"/>
      <c r="AZ8878" s="806"/>
      <c r="BA8878" s="806"/>
      <c r="BB8878" s="806"/>
    </row>
    <row r="8879" spans="4:54">
      <c r="D8879" s="806"/>
      <c r="F8879" s="806"/>
      <c r="W8879" s="806"/>
      <c r="AZ8879" s="806"/>
      <c r="BA8879" s="806"/>
      <c r="BB8879" s="806"/>
    </row>
    <row r="8880" spans="4:54">
      <c r="D8880" s="806"/>
      <c r="F8880" s="806"/>
      <c r="W8880" s="806"/>
      <c r="AZ8880" s="806"/>
      <c r="BA8880" s="806"/>
      <c r="BB8880" s="806"/>
    </row>
    <row r="8881" spans="4:54">
      <c r="D8881" s="806"/>
      <c r="F8881" s="806"/>
      <c r="W8881" s="806"/>
      <c r="AZ8881" s="806"/>
      <c r="BA8881" s="806"/>
      <c r="BB8881" s="806"/>
    </row>
    <row r="8882" spans="4:54">
      <c r="D8882" s="806"/>
      <c r="F8882" s="806"/>
      <c r="W8882" s="806"/>
      <c r="AZ8882" s="806"/>
      <c r="BA8882" s="806"/>
      <c r="BB8882" s="806"/>
    </row>
    <row r="8883" spans="4:54">
      <c r="D8883" s="806"/>
      <c r="F8883" s="806"/>
      <c r="W8883" s="806"/>
      <c r="AZ8883" s="806"/>
      <c r="BA8883" s="806"/>
      <c r="BB8883" s="806"/>
    </row>
    <row r="8884" spans="4:54">
      <c r="D8884" s="806"/>
      <c r="F8884" s="806"/>
      <c r="W8884" s="806"/>
      <c r="AZ8884" s="806"/>
      <c r="BA8884" s="806"/>
      <c r="BB8884" s="806"/>
    </row>
    <row r="8885" spans="4:54">
      <c r="D8885" s="806"/>
      <c r="F8885" s="806"/>
      <c r="W8885" s="806"/>
      <c r="AZ8885" s="806"/>
      <c r="BA8885" s="806"/>
      <c r="BB8885" s="806"/>
    </row>
    <row r="8886" spans="4:54">
      <c r="D8886" s="806"/>
      <c r="F8886" s="806"/>
      <c r="W8886" s="806"/>
      <c r="AZ8886" s="806"/>
      <c r="BA8886" s="806"/>
      <c r="BB8886" s="806"/>
    </row>
    <row r="8887" spans="4:54">
      <c r="D8887" s="806"/>
      <c r="F8887" s="806"/>
      <c r="W8887" s="806"/>
      <c r="AZ8887" s="806"/>
      <c r="BA8887" s="806"/>
      <c r="BB8887" s="806"/>
    </row>
    <row r="8888" spans="4:54">
      <c r="D8888" s="806"/>
      <c r="F8888" s="806"/>
      <c r="W8888" s="806"/>
      <c r="AZ8888" s="806"/>
      <c r="BA8888" s="806"/>
      <c r="BB8888" s="806"/>
    </row>
    <row r="8889" spans="4:54">
      <c r="D8889" s="806"/>
      <c r="F8889" s="806"/>
      <c r="W8889" s="806"/>
      <c r="AZ8889" s="806"/>
      <c r="BA8889" s="806"/>
      <c r="BB8889" s="806"/>
    </row>
    <row r="8890" spans="4:54">
      <c r="D8890" s="806"/>
      <c r="F8890" s="806"/>
      <c r="W8890" s="806"/>
      <c r="AZ8890" s="806"/>
      <c r="BA8890" s="806"/>
      <c r="BB8890" s="806"/>
    </row>
    <row r="8891" spans="4:54">
      <c r="D8891" s="806"/>
      <c r="F8891" s="806"/>
      <c r="W8891" s="806"/>
      <c r="AZ8891" s="806"/>
      <c r="BA8891" s="806"/>
      <c r="BB8891" s="806"/>
    </row>
    <row r="8892" spans="4:54">
      <c r="D8892" s="806"/>
      <c r="F8892" s="806"/>
      <c r="W8892" s="806"/>
      <c r="AZ8892" s="806"/>
      <c r="BA8892" s="806"/>
      <c r="BB8892" s="806"/>
    </row>
    <row r="8893" spans="4:54">
      <c r="D8893" s="806"/>
      <c r="F8893" s="806"/>
      <c r="W8893" s="806"/>
      <c r="AZ8893" s="806"/>
      <c r="BA8893" s="806"/>
      <c r="BB8893" s="806"/>
    </row>
    <row r="8894" spans="4:54">
      <c r="D8894" s="806"/>
      <c r="F8894" s="806"/>
      <c r="W8894" s="806"/>
      <c r="AZ8894" s="806"/>
      <c r="BA8894" s="806"/>
      <c r="BB8894" s="806"/>
    </row>
    <row r="8895" spans="4:54">
      <c r="D8895" s="806"/>
      <c r="F8895" s="806"/>
      <c r="W8895" s="806"/>
      <c r="AZ8895" s="806"/>
      <c r="BA8895" s="806"/>
      <c r="BB8895" s="806"/>
    </row>
    <row r="8896" spans="4:54">
      <c r="D8896" s="806"/>
      <c r="F8896" s="806"/>
      <c r="W8896" s="806"/>
      <c r="AZ8896" s="806"/>
      <c r="BA8896" s="806"/>
      <c r="BB8896" s="806"/>
    </row>
    <row r="8897" spans="4:54">
      <c r="D8897" s="806"/>
      <c r="F8897" s="806"/>
      <c r="W8897" s="806"/>
      <c r="AZ8897" s="806"/>
      <c r="BA8897" s="806"/>
      <c r="BB8897" s="806"/>
    </row>
    <row r="8898" spans="4:54">
      <c r="D8898" s="806"/>
      <c r="F8898" s="806"/>
      <c r="W8898" s="806"/>
      <c r="AZ8898" s="806"/>
      <c r="BA8898" s="806"/>
      <c r="BB8898" s="806"/>
    </row>
    <row r="8899" spans="4:54">
      <c r="D8899" s="806"/>
      <c r="F8899" s="806"/>
      <c r="W8899" s="806"/>
      <c r="AZ8899" s="806"/>
      <c r="BA8899" s="806"/>
      <c r="BB8899" s="806"/>
    </row>
    <row r="8900" spans="4:54">
      <c r="D8900" s="806"/>
      <c r="F8900" s="806"/>
      <c r="W8900" s="806"/>
      <c r="AZ8900" s="806"/>
      <c r="BA8900" s="806"/>
      <c r="BB8900" s="806"/>
    </row>
    <row r="8901" spans="4:54">
      <c r="D8901" s="806"/>
      <c r="F8901" s="806"/>
      <c r="W8901" s="806"/>
      <c r="AZ8901" s="806"/>
      <c r="BA8901" s="806"/>
      <c r="BB8901" s="806"/>
    </row>
    <row r="8902" spans="4:54">
      <c r="D8902" s="806"/>
      <c r="F8902" s="806"/>
      <c r="W8902" s="806"/>
      <c r="AZ8902" s="806"/>
      <c r="BA8902" s="806"/>
      <c r="BB8902" s="806"/>
    </row>
    <row r="8903" spans="4:54">
      <c r="D8903" s="806"/>
      <c r="F8903" s="806"/>
      <c r="W8903" s="806"/>
      <c r="AZ8903" s="806"/>
      <c r="BA8903" s="806"/>
      <c r="BB8903" s="806"/>
    </row>
    <row r="8904" spans="4:54">
      <c r="D8904" s="806"/>
      <c r="F8904" s="806"/>
      <c r="W8904" s="806"/>
      <c r="AZ8904" s="806"/>
      <c r="BA8904" s="806"/>
      <c r="BB8904" s="806"/>
    </row>
    <row r="8905" spans="4:54">
      <c r="D8905" s="806"/>
      <c r="F8905" s="806"/>
      <c r="W8905" s="806"/>
      <c r="AZ8905" s="806"/>
      <c r="BA8905" s="806"/>
      <c r="BB8905" s="806"/>
    </row>
    <row r="8906" spans="4:54">
      <c r="D8906" s="806"/>
      <c r="F8906" s="806"/>
      <c r="W8906" s="806"/>
      <c r="AZ8906" s="806"/>
      <c r="BA8906" s="806"/>
      <c r="BB8906" s="806"/>
    </row>
    <row r="8907" spans="4:54">
      <c r="D8907" s="806"/>
      <c r="F8907" s="806"/>
      <c r="W8907" s="806"/>
      <c r="AZ8907" s="806"/>
      <c r="BA8907" s="806"/>
      <c r="BB8907" s="806"/>
    </row>
    <row r="8908" spans="4:54">
      <c r="D8908" s="806"/>
      <c r="F8908" s="806"/>
      <c r="W8908" s="806"/>
      <c r="AZ8908" s="806"/>
      <c r="BA8908" s="806"/>
      <c r="BB8908" s="806"/>
    </row>
    <row r="8909" spans="4:54">
      <c r="D8909" s="806"/>
      <c r="F8909" s="806"/>
      <c r="W8909" s="806"/>
      <c r="AZ8909" s="806"/>
      <c r="BA8909" s="806"/>
      <c r="BB8909" s="806"/>
    </row>
    <row r="8910" spans="4:54">
      <c r="D8910" s="806"/>
      <c r="F8910" s="806"/>
      <c r="W8910" s="806"/>
      <c r="AZ8910" s="806"/>
      <c r="BA8910" s="806"/>
      <c r="BB8910" s="806"/>
    </row>
    <row r="8911" spans="4:54">
      <c r="D8911" s="806"/>
      <c r="F8911" s="806"/>
      <c r="W8911" s="806"/>
      <c r="AZ8911" s="806"/>
      <c r="BA8911" s="806"/>
      <c r="BB8911" s="806"/>
    </row>
    <row r="8912" spans="4:54">
      <c r="D8912" s="806"/>
      <c r="F8912" s="806"/>
      <c r="W8912" s="806"/>
      <c r="AZ8912" s="806"/>
      <c r="BA8912" s="806"/>
      <c r="BB8912" s="806"/>
    </row>
    <row r="8913" spans="4:54">
      <c r="D8913" s="806"/>
      <c r="F8913" s="806"/>
      <c r="W8913" s="806"/>
      <c r="AZ8913" s="806"/>
      <c r="BA8913" s="806"/>
      <c r="BB8913" s="806"/>
    </row>
    <row r="8914" spans="4:54">
      <c r="D8914" s="806"/>
      <c r="F8914" s="806"/>
      <c r="W8914" s="806"/>
      <c r="AZ8914" s="806"/>
      <c r="BA8914" s="806"/>
      <c r="BB8914" s="806"/>
    </row>
    <row r="8915" spans="4:54">
      <c r="D8915" s="806"/>
      <c r="F8915" s="806"/>
      <c r="W8915" s="806"/>
      <c r="AZ8915" s="806"/>
      <c r="BA8915" s="806"/>
      <c r="BB8915" s="806"/>
    </row>
    <row r="8916" spans="4:54">
      <c r="D8916" s="806"/>
      <c r="F8916" s="806"/>
      <c r="W8916" s="806"/>
      <c r="AZ8916" s="806"/>
      <c r="BA8916" s="806"/>
      <c r="BB8916" s="806"/>
    </row>
    <row r="8917" spans="4:54">
      <c r="D8917" s="806"/>
      <c r="F8917" s="806"/>
      <c r="W8917" s="806"/>
      <c r="AZ8917" s="806"/>
      <c r="BA8917" s="806"/>
      <c r="BB8917" s="806"/>
    </row>
    <row r="8918" spans="4:54">
      <c r="D8918" s="806"/>
      <c r="F8918" s="806"/>
      <c r="W8918" s="806"/>
      <c r="AZ8918" s="806"/>
      <c r="BA8918" s="806"/>
      <c r="BB8918" s="806"/>
    </row>
    <row r="8919" spans="4:54">
      <c r="D8919" s="806"/>
      <c r="F8919" s="806"/>
      <c r="W8919" s="806"/>
      <c r="AZ8919" s="806"/>
      <c r="BA8919" s="806"/>
      <c r="BB8919" s="806"/>
    </row>
    <row r="8920" spans="4:54">
      <c r="D8920" s="806"/>
      <c r="F8920" s="806"/>
      <c r="W8920" s="806"/>
      <c r="AZ8920" s="806"/>
      <c r="BA8920" s="806"/>
      <c r="BB8920" s="806"/>
    </row>
    <row r="8921" spans="4:54">
      <c r="D8921" s="806"/>
      <c r="F8921" s="806"/>
      <c r="W8921" s="806"/>
      <c r="AZ8921" s="806"/>
      <c r="BA8921" s="806"/>
      <c r="BB8921" s="806"/>
    </row>
    <row r="8922" spans="4:54">
      <c r="D8922" s="806"/>
      <c r="F8922" s="806"/>
      <c r="W8922" s="806"/>
      <c r="AZ8922" s="806"/>
      <c r="BA8922" s="806"/>
      <c r="BB8922" s="806"/>
    </row>
    <row r="8923" spans="4:54">
      <c r="D8923" s="806"/>
      <c r="F8923" s="806"/>
      <c r="W8923" s="806"/>
      <c r="AZ8923" s="806"/>
      <c r="BA8923" s="806"/>
      <c r="BB8923" s="806"/>
    </row>
    <row r="8924" spans="4:54">
      <c r="D8924" s="806"/>
      <c r="F8924" s="806"/>
      <c r="W8924" s="806"/>
      <c r="AZ8924" s="806"/>
      <c r="BA8924" s="806"/>
      <c r="BB8924" s="806"/>
    </row>
    <row r="8925" spans="4:54">
      <c r="D8925" s="806"/>
      <c r="F8925" s="806"/>
      <c r="W8925" s="806"/>
      <c r="AZ8925" s="806"/>
      <c r="BA8925" s="806"/>
      <c r="BB8925" s="806"/>
    </row>
    <row r="8926" spans="4:54">
      <c r="D8926" s="806"/>
      <c r="F8926" s="806"/>
      <c r="W8926" s="806"/>
      <c r="AZ8926" s="806"/>
      <c r="BA8926" s="806"/>
      <c r="BB8926" s="806"/>
    </row>
    <row r="8927" spans="4:54">
      <c r="D8927" s="806"/>
      <c r="F8927" s="806"/>
      <c r="W8927" s="806"/>
      <c r="AZ8927" s="806"/>
      <c r="BA8927" s="806"/>
      <c r="BB8927" s="806"/>
    </row>
    <row r="8928" spans="4:54">
      <c r="D8928" s="806"/>
      <c r="F8928" s="806"/>
      <c r="W8928" s="806"/>
      <c r="AZ8928" s="806"/>
      <c r="BA8928" s="806"/>
      <c r="BB8928" s="806"/>
    </row>
    <row r="8929" spans="4:54">
      <c r="D8929" s="806"/>
      <c r="F8929" s="806"/>
      <c r="W8929" s="806"/>
      <c r="AZ8929" s="806"/>
      <c r="BA8929" s="806"/>
      <c r="BB8929" s="806"/>
    </row>
    <row r="8930" spans="4:54">
      <c r="D8930" s="806"/>
      <c r="F8930" s="806"/>
      <c r="W8930" s="806"/>
      <c r="AZ8930" s="806"/>
      <c r="BA8930" s="806"/>
      <c r="BB8930" s="806"/>
    </row>
    <row r="8931" spans="4:54">
      <c r="D8931" s="806"/>
      <c r="F8931" s="806"/>
      <c r="W8931" s="806"/>
      <c r="AZ8931" s="806"/>
      <c r="BA8931" s="806"/>
      <c r="BB8931" s="806"/>
    </row>
    <row r="8932" spans="4:54">
      <c r="D8932" s="806"/>
      <c r="F8932" s="806"/>
      <c r="W8932" s="806"/>
      <c r="AZ8932" s="806"/>
      <c r="BA8932" s="806"/>
      <c r="BB8932" s="806"/>
    </row>
    <row r="8933" spans="4:54">
      <c r="D8933" s="806"/>
      <c r="F8933" s="806"/>
      <c r="W8933" s="806"/>
      <c r="AZ8933" s="806"/>
      <c r="BA8933" s="806"/>
      <c r="BB8933" s="806"/>
    </row>
    <row r="8934" spans="4:54">
      <c r="D8934" s="806"/>
      <c r="F8934" s="806"/>
      <c r="W8934" s="806"/>
      <c r="AZ8934" s="806"/>
      <c r="BA8934" s="806"/>
      <c r="BB8934" s="806"/>
    </row>
    <row r="8935" spans="4:54">
      <c r="D8935" s="806"/>
      <c r="F8935" s="806"/>
      <c r="W8935" s="806"/>
      <c r="AZ8935" s="806"/>
      <c r="BA8935" s="806"/>
      <c r="BB8935" s="806"/>
    </row>
    <row r="8936" spans="4:54">
      <c r="D8936" s="806"/>
      <c r="F8936" s="806"/>
      <c r="W8936" s="806"/>
      <c r="AZ8936" s="806"/>
      <c r="BA8936" s="806"/>
      <c r="BB8936" s="806"/>
    </row>
    <row r="8937" spans="4:54">
      <c r="D8937" s="806"/>
      <c r="F8937" s="806"/>
      <c r="W8937" s="806"/>
      <c r="AZ8937" s="806"/>
      <c r="BA8937" s="806"/>
      <c r="BB8937" s="806"/>
    </row>
    <row r="8938" spans="4:54">
      <c r="D8938" s="806"/>
      <c r="F8938" s="806"/>
      <c r="W8938" s="806"/>
      <c r="AZ8938" s="806"/>
      <c r="BA8938" s="806"/>
      <c r="BB8938" s="806"/>
    </row>
    <row r="8939" spans="4:54">
      <c r="D8939" s="806"/>
      <c r="F8939" s="806"/>
      <c r="W8939" s="806"/>
      <c r="AZ8939" s="806"/>
      <c r="BA8939" s="806"/>
      <c r="BB8939" s="806"/>
    </row>
    <row r="8940" spans="4:54">
      <c r="D8940" s="806"/>
      <c r="F8940" s="806"/>
      <c r="W8940" s="806"/>
      <c r="AZ8940" s="806"/>
      <c r="BA8940" s="806"/>
      <c r="BB8940" s="806"/>
    </row>
    <row r="8941" spans="4:54">
      <c r="D8941" s="806"/>
      <c r="F8941" s="806"/>
      <c r="W8941" s="806"/>
      <c r="AZ8941" s="806"/>
      <c r="BA8941" s="806"/>
      <c r="BB8941" s="806"/>
    </row>
    <row r="8942" spans="4:54">
      <c r="D8942" s="806"/>
      <c r="F8942" s="806"/>
      <c r="W8942" s="806"/>
      <c r="AZ8942" s="806"/>
      <c r="BA8942" s="806"/>
      <c r="BB8942" s="806"/>
    </row>
    <row r="8943" spans="4:54">
      <c r="D8943" s="806"/>
      <c r="F8943" s="806"/>
      <c r="W8943" s="806"/>
      <c r="AZ8943" s="806"/>
      <c r="BA8943" s="806"/>
      <c r="BB8943" s="806"/>
    </row>
    <row r="8944" spans="4:54">
      <c r="D8944" s="806"/>
      <c r="F8944" s="806"/>
      <c r="W8944" s="806"/>
      <c r="AZ8944" s="806"/>
      <c r="BA8944" s="806"/>
      <c r="BB8944" s="806"/>
    </row>
    <row r="8945" spans="4:54">
      <c r="D8945" s="806"/>
      <c r="F8945" s="806"/>
      <c r="W8945" s="806"/>
      <c r="AZ8945" s="806"/>
      <c r="BA8945" s="806"/>
      <c r="BB8945" s="806"/>
    </row>
    <row r="8946" spans="4:54">
      <c r="D8946" s="806"/>
      <c r="F8946" s="806"/>
      <c r="W8946" s="806"/>
      <c r="AZ8946" s="806"/>
      <c r="BA8946" s="806"/>
      <c r="BB8946" s="806"/>
    </row>
    <row r="8947" spans="4:54">
      <c r="D8947" s="806"/>
      <c r="F8947" s="806"/>
      <c r="W8947" s="806"/>
      <c r="AZ8947" s="806"/>
      <c r="BA8947" s="806"/>
      <c r="BB8947" s="806"/>
    </row>
    <row r="8948" spans="4:54">
      <c r="D8948" s="806"/>
      <c r="F8948" s="806"/>
      <c r="W8948" s="806"/>
      <c r="AZ8948" s="806"/>
      <c r="BA8948" s="806"/>
      <c r="BB8948" s="806"/>
    </row>
    <row r="8949" spans="4:54">
      <c r="D8949" s="806"/>
      <c r="F8949" s="806"/>
      <c r="W8949" s="806"/>
      <c r="AZ8949" s="806"/>
      <c r="BA8949" s="806"/>
      <c r="BB8949" s="806"/>
    </row>
    <row r="8950" spans="4:54">
      <c r="D8950" s="806"/>
      <c r="F8950" s="806"/>
      <c r="W8950" s="806"/>
      <c r="AZ8950" s="806"/>
      <c r="BA8950" s="806"/>
      <c r="BB8950" s="806"/>
    </row>
    <row r="8951" spans="4:54">
      <c r="D8951" s="806"/>
      <c r="F8951" s="806"/>
      <c r="W8951" s="806"/>
      <c r="AZ8951" s="806"/>
      <c r="BA8951" s="806"/>
      <c r="BB8951" s="806"/>
    </row>
    <row r="8952" spans="4:54">
      <c r="D8952" s="806"/>
      <c r="F8952" s="806"/>
      <c r="W8952" s="806"/>
      <c r="AZ8952" s="806"/>
      <c r="BA8952" s="806"/>
      <c r="BB8952" s="806"/>
    </row>
    <row r="8953" spans="4:54">
      <c r="D8953" s="806"/>
      <c r="F8953" s="806"/>
      <c r="W8953" s="806"/>
      <c r="AZ8953" s="806"/>
      <c r="BA8953" s="806"/>
      <c r="BB8953" s="806"/>
    </row>
    <row r="8954" spans="4:54">
      <c r="D8954" s="806"/>
      <c r="F8954" s="806"/>
      <c r="W8954" s="806"/>
      <c r="AZ8954" s="806"/>
      <c r="BA8954" s="806"/>
      <c r="BB8954" s="806"/>
    </row>
    <row r="8955" spans="4:54">
      <c r="D8955" s="806"/>
      <c r="F8955" s="806"/>
      <c r="W8955" s="806"/>
      <c r="AZ8955" s="806"/>
      <c r="BA8955" s="806"/>
      <c r="BB8955" s="806"/>
    </row>
    <row r="8956" spans="4:54">
      <c r="D8956" s="806"/>
      <c r="F8956" s="806"/>
      <c r="W8956" s="806"/>
      <c r="AZ8956" s="806"/>
      <c r="BA8956" s="806"/>
      <c r="BB8956" s="806"/>
    </row>
    <row r="8957" spans="4:54">
      <c r="D8957" s="806"/>
      <c r="F8957" s="806"/>
      <c r="W8957" s="806"/>
      <c r="AZ8957" s="806"/>
      <c r="BA8957" s="806"/>
      <c r="BB8957" s="806"/>
    </row>
    <row r="8958" spans="4:54">
      <c r="D8958" s="806"/>
      <c r="F8958" s="806"/>
      <c r="W8958" s="806"/>
      <c r="AZ8958" s="806"/>
      <c r="BA8958" s="806"/>
      <c r="BB8958" s="806"/>
    </row>
    <row r="8959" spans="4:54">
      <c r="D8959" s="806"/>
      <c r="F8959" s="806"/>
      <c r="W8959" s="806"/>
      <c r="AZ8959" s="806"/>
      <c r="BA8959" s="806"/>
      <c r="BB8959" s="806"/>
    </row>
    <row r="8960" spans="4:54">
      <c r="D8960" s="806"/>
      <c r="F8960" s="806"/>
      <c r="W8960" s="806"/>
      <c r="AZ8960" s="806"/>
      <c r="BA8960" s="806"/>
      <c r="BB8960" s="806"/>
    </row>
    <row r="8961" spans="4:54">
      <c r="D8961" s="806"/>
      <c r="F8961" s="806"/>
      <c r="W8961" s="806"/>
      <c r="AZ8961" s="806"/>
      <c r="BA8961" s="806"/>
      <c r="BB8961" s="806"/>
    </row>
    <row r="8962" spans="4:54">
      <c r="D8962" s="806"/>
      <c r="F8962" s="806"/>
      <c r="W8962" s="806"/>
      <c r="AZ8962" s="806"/>
      <c r="BA8962" s="806"/>
      <c r="BB8962" s="806"/>
    </row>
    <row r="8963" spans="4:54">
      <c r="D8963" s="806"/>
      <c r="F8963" s="806"/>
      <c r="W8963" s="806"/>
      <c r="AZ8963" s="806"/>
      <c r="BA8963" s="806"/>
      <c r="BB8963" s="806"/>
    </row>
    <row r="8964" spans="4:54">
      <c r="D8964" s="806"/>
      <c r="F8964" s="806"/>
      <c r="W8964" s="806"/>
      <c r="AZ8964" s="806"/>
      <c r="BA8964" s="806"/>
      <c r="BB8964" s="806"/>
    </row>
    <row r="8965" spans="4:54">
      <c r="D8965" s="806"/>
      <c r="F8965" s="806"/>
      <c r="W8965" s="806"/>
      <c r="AZ8965" s="806"/>
      <c r="BA8965" s="806"/>
      <c r="BB8965" s="806"/>
    </row>
    <row r="8966" spans="4:54">
      <c r="D8966" s="806"/>
      <c r="F8966" s="806"/>
      <c r="W8966" s="806"/>
      <c r="AZ8966" s="806"/>
      <c r="BA8966" s="806"/>
      <c r="BB8966" s="806"/>
    </row>
    <row r="8967" spans="4:54">
      <c r="D8967" s="806"/>
      <c r="F8967" s="806"/>
      <c r="W8967" s="806"/>
      <c r="AZ8967" s="806"/>
      <c r="BA8967" s="806"/>
      <c r="BB8967" s="806"/>
    </row>
    <row r="8968" spans="4:54">
      <c r="D8968" s="806"/>
      <c r="F8968" s="806"/>
      <c r="W8968" s="806"/>
      <c r="AZ8968" s="806"/>
      <c r="BA8968" s="806"/>
      <c r="BB8968" s="806"/>
    </row>
    <row r="8969" spans="4:54">
      <c r="D8969" s="806"/>
      <c r="F8969" s="806"/>
      <c r="W8969" s="806"/>
      <c r="AZ8969" s="806"/>
      <c r="BA8969" s="806"/>
      <c r="BB8969" s="806"/>
    </row>
    <row r="8970" spans="4:54">
      <c r="D8970" s="806"/>
      <c r="F8970" s="806"/>
      <c r="W8970" s="806"/>
      <c r="AZ8970" s="806"/>
      <c r="BA8970" s="806"/>
      <c r="BB8970" s="806"/>
    </row>
    <row r="8971" spans="4:54">
      <c r="D8971" s="806"/>
      <c r="F8971" s="806"/>
      <c r="W8971" s="806"/>
      <c r="AZ8971" s="806"/>
      <c r="BA8971" s="806"/>
      <c r="BB8971" s="806"/>
    </row>
    <row r="8972" spans="4:54">
      <c r="D8972" s="806"/>
      <c r="F8972" s="806"/>
      <c r="W8972" s="806"/>
      <c r="AZ8972" s="806"/>
      <c r="BA8972" s="806"/>
      <c r="BB8972" s="806"/>
    </row>
    <row r="8973" spans="4:54">
      <c r="D8973" s="806"/>
      <c r="F8973" s="806"/>
      <c r="W8973" s="806"/>
      <c r="AZ8973" s="806"/>
      <c r="BA8973" s="806"/>
      <c r="BB8973" s="806"/>
    </row>
    <row r="8974" spans="4:54">
      <c r="D8974" s="806"/>
      <c r="F8974" s="806"/>
      <c r="W8974" s="806"/>
      <c r="AZ8974" s="806"/>
      <c r="BA8974" s="806"/>
      <c r="BB8974" s="806"/>
    </row>
    <row r="8975" spans="4:54">
      <c r="D8975" s="806"/>
      <c r="F8975" s="806"/>
      <c r="W8975" s="806"/>
      <c r="AZ8975" s="806"/>
      <c r="BA8975" s="806"/>
      <c r="BB8975" s="806"/>
    </row>
    <row r="8976" spans="4:54">
      <c r="D8976" s="806"/>
      <c r="F8976" s="806"/>
      <c r="W8976" s="806"/>
      <c r="AZ8976" s="806"/>
      <c r="BA8976" s="806"/>
      <c r="BB8976" s="806"/>
    </row>
    <row r="8977" spans="4:54">
      <c r="D8977" s="806"/>
      <c r="F8977" s="806"/>
      <c r="W8977" s="806"/>
      <c r="AZ8977" s="806"/>
      <c r="BA8977" s="806"/>
      <c r="BB8977" s="806"/>
    </row>
    <row r="8978" spans="4:54">
      <c r="D8978" s="806"/>
      <c r="F8978" s="806"/>
      <c r="W8978" s="806"/>
      <c r="AZ8978" s="806"/>
      <c r="BA8978" s="806"/>
      <c r="BB8978" s="806"/>
    </row>
    <row r="8979" spans="4:54">
      <c r="D8979" s="806"/>
      <c r="F8979" s="806"/>
      <c r="W8979" s="806"/>
      <c r="AZ8979" s="806"/>
      <c r="BA8979" s="806"/>
      <c r="BB8979" s="806"/>
    </row>
    <row r="8980" spans="4:54">
      <c r="D8980" s="806"/>
      <c r="F8980" s="806"/>
      <c r="W8980" s="806"/>
      <c r="AZ8980" s="806"/>
      <c r="BA8980" s="806"/>
      <c r="BB8980" s="806"/>
    </row>
    <row r="8981" spans="4:54">
      <c r="D8981" s="806"/>
      <c r="F8981" s="806"/>
      <c r="W8981" s="806"/>
      <c r="AZ8981" s="806"/>
      <c r="BA8981" s="806"/>
      <c r="BB8981" s="806"/>
    </row>
    <row r="8982" spans="4:54">
      <c r="D8982" s="806"/>
      <c r="F8982" s="806"/>
      <c r="W8982" s="806"/>
      <c r="AZ8982" s="806"/>
      <c r="BA8982" s="806"/>
      <c r="BB8982" s="806"/>
    </row>
    <row r="8983" spans="4:54">
      <c r="D8983" s="806"/>
      <c r="F8983" s="806"/>
      <c r="W8983" s="806"/>
      <c r="AZ8983" s="806"/>
      <c r="BA8983" s="806"/>
      <c r="BB8983" s="806"/>
    </row>
    <row r="8984" spans="4:54">
      <c r="D8984" s="806"/>
      <c r="F8984" s="806"/>
      <c r="W8984" s="806"/>
      <c r="AZ8984" s="806"/>
      <c r="BA8984" s="806"/>
      <c r="BB8984" s="806"/>
    </row>
    <row r="8985" spans="4:54">
      <c r="D8985" s="806"/>
      <c r="F8985" s="806"/>
      <c r="W8985" s="806"/>
      <c r="AZ8985" s="806"/>
      <c r="BA8985" s="806"/>
      <c r="BB8985" s="806"/>
    </row>
    <row r="8986" spans="4:54">
      <c r="D8986" s="806"/>
      <c r="F8986" s="806"/>
      <c r="W8986" s="806"/>
      <c r="AZ8986" s="806"/>
      <c r="BA8986" s="806"/>
      <c r="BB8986" s="806"/>
    </row>
    <row r="8987" spans="4:54">
      <c r="D8987" s="806"/>
      <c r="F8987" s="806"/>
      <c r="W8987" s="806"/>
      <c r="AZ8987" s="806"/>
      <c r="BA8987" s="806"/>
      <c r="BB8987" s="806"/>
    </row>
    <row r="8988" spans="4:54">
      <c r="D8988" s="806"/>
      <c r="F8988" s="806"/>
      <c r="W8988" s="806"/>
      <c r="AZ8988" s="806"/>
      <c r="BA8988" s="806"/>
      <c r="BB8988" s="806"/>
    </row>
    <row r="8989" spans="4:54">
      <c r="D8989" s="806"/>
      <c r="F8989" s="806"/>
      <c r="W8989" s="806"/>
      <c r="AZ8989" s="806"/>
      <c r="BA8989" s="806"/>
      <c r="BB8989" s="806"/>
    </row>
    <row r="8990" spans="4:54">
      <c r="D8990" s="806"/>
      <c r="F8990" s="806"/>
      <c r="W8990" s="806"/>
      <c r="AZ8990" s="806"/>
      <c r="BA8990" s="806"/>
      <c r="BB8990" s="806"/>
    </row>
    <row r="8991" spans="4:54">
      <c r="D8991" s="806"/>
      <c r="F8991" s="806"/>
      <c r="W8991" s="806"/>
      <c r="AZ8991" s="806"/>
      <c r="BA8991" s="806"/>
      <c r="BB8991" s="806"/>
    </row>
    <row r="8992" spans="4:54">
      <c r="D8992" s="806"/>
      <c r="F8992" s="806"/>
      <c r="W8992" s="806"/>
      <c r="AZ8992" s="806"/>
      <c r="BA8992" s="806"/>
      <c r="BB8992" s="806"/>
    </row>
    <row r="8993" spans="4:54">
      <c r="D8993" s="806"/>
      <c r="F8993" s="806"/>
      <c r="W8993" s="806"/>
      <c r="AZ8993" s="806"/>
      <c r="BA8993" s="806"/>
      <c r="BB8993" s="806"/>
    </row>
    <row r="8994" spans="4:54">
      <c r="D8994" s="806"/>
      <c r="F8994" s="806"/>
      <c r="W8994" s="806"/>
      <c r="AZ8994" s="806"/>
      <c r="BA8994" s="806"/>
      <c r="BB8994" s="806"/>
    </row>
    <row r="8995" spans="4:54">
      <c r="D8995" s="806"/>
      <c r="F8995" s="806"/>
      <c r="W8995" s="806"/>
      <c r="AZ8995" s="806"/>
      <c r="BA8995" s="806"/>
      <c r="BB8995" s="806"/>
    </row>
    <row r="8996" spans="4:54">
      <c r="D8996" s="806"/>
      <c r="F8996" s="806"/>
      <c r="W8996" s="806"/>
      <c r="AZ8996" s="806"/>
      <c r="BA8996" s="806"/>
      <c r="BB8996" s="806"/>
    </row>
    <row r="8997" spans="4:54">
      <c r="D8997" s="806"/>
      <c r="F8997" s="806"/>
      <c r="W8997" s="806"/>
      <c r="AZ8997" s="806"/>
      <c r="BA8997" s="806"/>
      <c r="BB8997" s="806"/>
    </row>
    <row r="8998" spans="4:54">
      <c r="D8998" s="806"/>
      <c r="F8998" s="806"/>
      <c r="W8998" s="806"/>
      <c r="AZ8998" s="806"/>
      <c r="BA8998" s="806"/>
      <c r="BB8998" s="806"/>
    </row>
    <row r="8999" spans="4:54">
      <c r="D8999" s="806"/>
      <c r="F8999" s="806"/>
      <c r="W8999" s="806"/>
      <c r="AZ8999" s="806"/>
      <c r="BA8999" s="806"/>
      <c r="BB8999" s="806"/>
    </row>
    <row r="9000" spans="4:54">
      <c r="D9000" s="806"/>
      <c r="F9000" s="806"/>
      <c r="W9000" s="806"/>
      <c r="AZ9000" s="806"/>
      <c r="BA9000" s="806"/>
      <c r="BB9000" s="806"/>
    </row>
    <row r="9001" spans="4:54">
      <c r="D9001" s="806"/>
      <c r="F9001" s="806"/>
      <c r="W9001" s="806"/>
      <c r="AZ9001" s="806"/>
      <c r="BA9001" s="806"/>
      <c r="BB9001" s="806"/>
    </row>
    <row r="9002" spans="4:54">
      <c r="D9002" s="806"/>
      <c r="F9002" s="806"/>
      <c r="W9002" s="806"/>
      <c r="AZ9002" s="806"/>
      <c r="BA9002" s="806"/>
      <c r="BB9002" s="806"/>
    </row>
    <row r="9003" spans="4:54">
      <c r="D9003" s="806"/>
      <c r="F9003" s="806"/>
      <c r="W9003" s="806"/>
      <c r="AZ9003" s="806"/>
      <c r="BA9003" s="806"/>
      <c r="BB9003" s="806"/>
    </row>
    <row r="9004" spans="4:54">
      <c r="D9004" s="806"/>
      <c r="F9004" s="806"/>
      <c r="W9004" s="806"/>
      <c r="AZ9004" s="806"/>
      <c r="BA9004" s="806"/>
      <c r="BB9004" s="806"/>
    </row>
    <row r="9005" spans="4:54">
      <c r="D9005" s="806"/>
      <c r="F9005" s="806"/>
      <c r="W9005" s="806"/>
      <c r="AZ9005" s="806"/>
      <c r="BA9005" s="806"/>
      <c r="BB9005" s="806"/>
    </row>
    <row r="9006" spans="4:54">
      <c r="D9006" s="806"/>
      <c r="F9006" s="806"/>
      <c r="W9006" s="806"/>
      <c r="AZ9006" s="806"/>
      <c r="BA9006" s="806"/>
      <c r="BB9006" s="806"/>
    </row>
    <row r="9007" spans="4:54">
      <c r="D9007" s="806"/>
      <c r="F9007" s="806"/>
      <c r="W9007" s="806"/>
      <c r="AZ9007" s="806"/>
      <c r="BA9007" s="806"/>
      <c r="BB9007" s="806"/>
    </row>
    <row r="9008" spans="4:54">
      <c r="D9008" s="806"/>
      <c r="F9008" s="806"/>
      <c r="W9008" s="806"/>
      <c r="AZ9008" s="806"/>
      <c r="BA9008" s="806"/>
      <c r="BB9008" s="806"/>
    </row>
    <row r="9009" spans="4:54">
      <c r="D9009" s="806"/>
      <c r="F9009" s="806"/>
      <c r="W9009" s="806"/>
      <c r="AZ9009" s="806"/>
      <c r="BA9009" s="806"/>
      <c r="BB9009" s="806"/>
    </row>
    <row r="9010" spans="4:54">
      <c r="D9010" s="806"/>
      <c r="F9010" s="806"/>
      <c r="W9010" s="806"/>
      <c r="AZ9010" s="806"/>
      <c r="BA9010" s="806"/>
      <c r="BB9010" s="806"/>
    </row>
    <row r="9011" spans="4:54">
      <c r="D9011" s="806"/>
      <c r="F9011" s="806"/>
      <c r="W9011" s="806"/>
      <c r="AZ9011" s="806"/>
      <c r="BA9011" s="806"/>
      <c r="BB9011" s="806"/>
    </row>
    <row r="9012" spans="4:54">
      <c r="D9012" s="806"/>
      <c r="F9012" s="806"/>
      <c r="W9012" s="806"/>
      <c r="AZ9012" s="806"/>
      <c r="BA9012" s="806"/>
      <c r="BB9012" s="806"/>
    </row>
    <row r="9013" spans="4:54">
      <c r="D9013" s="806"/>
      <c r="F9013" s="806"/>
      <c r="W9013" s="806"/>
      <c r="AZ9013" s="806"/>
      <c r="BA9013" s="806"/>
      <c r="BB9013" s="806"/>
    </row>
    <row r="9014" spans="4:54">
      <c r="D9014" s="806"/>
      <c r="F9014" s="806"/>
      <c r="W9014" s="806"/>
      <c r="AZ9014" s="806"/>
      <c r="BA9014" s="806"/>
      <c r="BB9014" s="806"/>
    </row>
    <row r="9015" spans="4:54">
      <c r="D9015" s="806"/>
      <c r="F9015" s="806"/>
      <c r="W9015" s="806"/>
      <c r="AZ9015" s="806"/>
      <c r="BA9015" s="806"/>
      <c r="BB9015" s="806"/>
    </row>
    <row r="9016" spans="4:54">
      <c r="D9016" s="806"/>
      <c r="F9016" s="806"/>
      <c r="W9016" s="806"/>
      <c r="AZ9016" s="806"/>
      <c r="BA9016" s="806"/>
      <c r="BB9016" s="806"/>
    </row>
    <row r="9017" spans="4:54">
      <c r="D9017" s="806"/>
      <c r="F9017" s="806"/>
      <c r="W9017" s="806"/>
      <c r="AZ9017" s="806"/>
      <c r="BA9017" s="806"/>
      <c r="BB9017" s="806"/>
    </row>
    <row r="9018" spans="4:54">
      <c r="D9018" s="806"/>
      <c r="F9018" s="806"/>
      <c r="W9018" s="806"/>
      <c r="AZ9018" s="806"/>
      <c r="BA9018" s="806"/>
      <c r="BB9018" s="806"/>
    </row>
    <row r="9019" spans="4:54">
      <c r="D9019" s="806"/>
      <c r="F9019" s="806"/>
      <c r="W9019" s="806"/>
      <c r="AZ9019" s="806"/>
      <c r="BA9019" s="806"/>
      <c r="BB9019" s="806"/>
    </row>
    <row r="9020" spans="4:54">
      <c r="D9020" s="806"/>
      <c r="F9020" s="806"/>
      <c r="W9020" s="806"/>
      <c r="AZ9020" s="806"/>
      <c r="BA9020" s="806"/>
      <c r="BB9020" s="806"/>
    </row>
    <row r="9021" spans="4:54">
      <c r="D9021" s="806"/>
      <c r="F9021" s="806"/>
      <c r="W9021" s="806"/>
      <c r="AZ9021" s="806"/>
      <c r="BA9021" s="806"/>
      <c r="BB9021" s="806"/>
    </row>
    <row r="9022" spans="4:54">
      <c r="D9022" s="806"/>
      <c r="F9022" s="806"/>
      <c r="W9022" s="806"/>
      <c r="AZ9022" s="806"/>
      <c r="BA9022" s="806"/>
      <c r="BB9022" s="806"/>
    </row>
    <row r="9023" spans="4:54">
      <c r="D9023" s="806"/>
      <c r="F9023" s="806"/>
      <c r="W9023" s="806"/>
      <c r="AZ9023" s="806"/>
      <c r="BA9023" s="806"/>
      <c r="BB9023" s="806"/>
    </row>
    <row r="9024" spans="4:54">
      <c r="D9024" s="806"/>
      <c r="F9024" s="806"/>
      <c r="W9024" s="806"/>
      <c r="AZ9024" s="806"/>
      <c r="BA9024" s="806"/>
      <c r="BB9024" s="806"/>
    </row>
    <row r="9025" spans="4:54">
      <c r="D9025" s="806"/>
      <c r="F9025" s="806"/>
      <c r="W9025" s="806"/>
      <c r="AZ9025" s="806"/>
      <c r="BA9025" s="806"/>
      <c r="BB9025" s="806"/>
    </row>
    <row r="9026" spans="4:54">
      <c r="D9026" s="806"/>
      <c r="F9026" s="806"/>
      <c r="W9026" s="806"/>
      <c r="AZ9026" s="806"/>
      <c r="BA9026" s="806"/>
      <c r="BB9026" s="806"/>
    </row>
    <row r="9027" spans="4:54">
      <c r="D9027" s="806"/>
      <c r="F9027" s="806"/>
      <c r="W9027" s="806"/>
      <c r="AZ9027" s="806"/>
      <c r="BA9027" s="806"/>
      <c r="BB9027" s="806"/>
    </row>
    <row r="9028" spans="4:54">
      <c r="D9028" s="806"/>
      <c r="F9028" s="806"/>
      <c r="W9028" s="806"/>
      <c r="AZ9028" s="806"/>
      <c r="BA9028" s="806"/>
      <c r="BB9028" s="806"/>
    </row>
    <row r="9029" spans="4:54">
      <c r="D9029" s="806"/>
      <c r="F9029" s="806"/>
      <c r="W9029" s="806"/>
      <c r="AZ9029" s="806"/>
      <c r="BA9029" s="806"/>
      <c r="BB9029" s="806"/>
    </row>
    <row r="9030" spans="4:54">
      <c r="D9030" s="806"/>
      <c r="F9030" s="806"/>
      <c r="W9030" s="806"/>
      <c r="AZ9030" s="806"/>
      <c r="BA9030" s="806"/>
      <c r="BB9030" s="806"/>
    </row>
    <row r="9031" spans="4:54">
      <c r="D9031" s="806"/>
      <c r="F9031" s="806"/>
      <c r="W9031" s="806"/>
      <c r="AZ9031" s="806"/>
      <c r="BA9031" s="806"/>
      <c r="BB9031" s="806"/>
    </row>
    <row r="9032" spans="4:54">
      <c r="D9032" s="806"/>
      <c r="F9032" s="806"/>
      <c r="W9032" s="806"/>
      <c r="AZ9032" s="806"/>
      <c r="BA9032" s="806"/>
      <c r="BB9032" s="806"/>
    </row>
    <row r="9033" spans="4:54">
      <c r="D9033" s="806"/>
      <c r="F9033" s="806"/>
      <c r="W9033" s="806"/>
      <c r="AZ9033" s="806"/>
      <c r="BA9033" s="806"/>
      <c r="BB9033" s="806"/>
    </row>
    <row r="9034" spans="4:54">
      <c r="D9034" s="806"/>
      <c r="F9034" s="806"/>
      <c r="W9034" s="806"/>
      <c r="AZ9034" s="806"/>
      <c r="BA9034" s="806"/>
      <c r="BB9034" s="806"/>
    </row>
    <row r="9035" spans="4:54">
      <c r="D9035" s="806"/>
      <c r="F9035" s="806"/>
      <c r="W9035" s="806"/>
      <c r="AZ9035" s="806"/>
      <c r="BA9035" s="806"/>
      <c r="BB9035" s="806"/>
    </row>
    <row r="9036" spans="4:54">
      <c r="D9036" s="806"/>
      <c r="F9036" s="806"/>
      <c r="W9036" s="806"/>
      <c r="AZ9036" s="806"/>
      <c r="BA9036" s="806"/>
      <c r="BB9036" s="806"/>
    </row>
    <row r="9037" spans="4:54">
      <c r="D9037" s="806"/>
      <c r="F9037" s="806"/>
      <c r="W9037" s="806"/>
      <c r="AZ9037" s="806"/>
      <c r="BA9037" s="806"/>
      <c r="BB9037" s="806"/>
    </row>
    <row r="9038" spans="4:54">
      <c r="D9038" s="806"/>
      <c r="F9038" s="806"/>
      <c r="W9038" s="806"/>
      <c r="AZ9038" s="806"/>
      <c r="BA9038" s="806"/>
      <c r="BB9038" s="806"/>
    </row>
    <row r="9039" spans="4:54">
      <c r="D9039" s="806"/>
      <c r="F9039" s="806"/>
      <c r="W9039" s="806"/>
      <c r="AZ9039" s="806"/>
      <c r="BA9039" s="806"/>
      <c r="BB9039" s="806"/>
    </row>
    <row r="9040" spans="4:54">
      <c r="D9040" s="806"/>
      <c r="F9040" s="806"/>
      <c r="W9040" s="806"/>
      <c r="AZ9040" s="806"/>
      <c r="BA9040" s="806"/>
      <c r="BB9040" s="806"/>
    </row>
    <row r="9041" spans="4:54">
      <c r="D9041" s="806"/>
      <c r="F9041" s="806"/>
      <c r="W9041" s="806"/>
      <c r="AZ9041" s="806"/>
      <c r="BA9041" s="806"/>
      <c r="BB9041" s="806"/>
    </row>
    <row r="9042" spans="4:54">
      <c r="D9042" s="806"/>
      <c r="F9042" s="806"/>
      <c r="W9042" s="806"/>
      <c r="AZ9042" s="806"/>
      <c r="BA9042" s="806"/>
      <c r="BB9042" s="806"/>
    </row>
    <row r="9043" spans="4:54">
      <c r="D9043" s="806"/>
      <c r="F9043" s="806"/>
      <c r="W9043" s="806"/>
      <c r="AZ9043" s="806"/>
      <c r="BA9043" s="806"/>
      <c r="BB9043" s="806"/>
    </row>
    <row r="9044" spans="4:54">
      <c r="D9044" s="806"/>
      <c r="F9044" s="806"/>
      <c r="W9044" s="806"/>
      <c r="AZ9044" s="806"/>
      <c r="BA9044" s="806"/>
      <c r="BB9044" s="806"/>
    </row>
    <row r="9045" spans="4:54">
      <c r="D9045" s="806"/>
      <c r="F9045" s="806"/>
      <c r="W9045" s="806"/>
      <c r="AZ9045" s="806"/>
      <c r="BA9045" s="806"/>
      <c r="BB9045" s="806"/>
    </row>
    <row r="9046" spans="4:54">
      <c r="D9046" s="806"/>
      <c r="F9046" s="806"/>
      <c r="W9046" s="806"/>
      <c r="AZ9046" s="806"/>
      <c r="BA9046" s="806"/>
      <c r="BB9046" s="806"/>
    </row>
    <row r="9047" spans="4:54">
      <c r="D9047" s="806"/>
      <c r="F9047" s="806"/>
      <c r="W9047" s="806"/>
      <c r="AZ9047" s="806"/>
      <c r="BA9047" s="806"/>
      <c r="BB9047" s="806"/>
    </row>
    <row r="9048" spans="4:54">
      <c r="D9048" s="806"/>
      <c r="F9048" s="806"/>
      <c r="W9048" s="806"/>
      <c r="AZ9048" s="806"/>
      <c r="BA9048" s="806"/>
      <c r="BB9048" s="806"/>
    </row>
    <row r="9049" spans="4:54">
      <c r="D9049" s="806"/>
      <c r="F9049" s="806"/>
      <c r="W9049" s="806"/>
      <c r="AZ9049" s="806"/>
      <c r="BA9049" s="806"/>
      <c r="BB9049" s="806"/>
    </row>
    <row r="9050" spans="4:54">
      <c r="D9050" s="806"/>
      <c r="F9050" s="806"/>
      <c r="W9050" s="806"/>
      <c r="AZ9050" s="806"/>
      <c r="BA9050" s="806"/>
      <c r="BB9050" s="806"/>
    </row>
    <row r="9051" spans="4:54">
      <c r="D9051" s="806"/>
      <c r="F9051" s="806"/>
      <c r="W9051" s="806"/>
      <c r="AZ9051" s="806"/>
      <c r="BA9051" s="806"/>
      <c r="BB9051" s="806"/>
    </row>
    <row r="9052" spans="4:54">
      <c r="D9052" s="806"/>
      <c r="F9052" s="806"/>
      <c r="W9052" s="806"/>
      <c r="AZ9052" s="806"/>
      <c r="BA9052" s="806"/>
      <c r="BB9052" s="806"/>
    </row>
    <row r="9053" spans="4:54">
      <c r="D9053" s="806"/>
      <c r="F9053" s="806"/>
      <c r="W9053" s="806"/>
      <c r="AZ9053" s="806"/>
      <c r="BA9053" s="806"/>
      <c r="BB9053" s="806"/>
    </row>
    <row r="9054" spans="4:54">
      <c r="D9054" s="806"/>
      <c r="F9054" s="806"/>
      <c r="W9054" s="806"/>
      <c r="AZ9054" s="806"/>
      <c r="BA9054" s="806"/>
      <c r="BB9054" s="806"/>
    </row>
    <row r="9055" spans="4:54">
      <c r="D9055" s="806"/>
      <c r="F9055" s="806"/>
      <c r="W9055" s="806"/>
      <c r="AZ9055" s="806"/>
      <c r="BA9055" s="806"/>
      <c r="BB9055" s="806"/>
    </row>
    <row r="9056" spans="4:54">
      <c r="D9056" s="806"/>
      <c r="F9056" s="806"/>
      <c r="W9056" s="806"/>
      <c r="AZ9056" s="806"/>
      <c r="BA9056" s="806"/>
      <c r="BB9056" s="806"/>
    </row>
    <row r="9057" spans="4:54">
      <c r="D9057" s="806"/>
      <c r="F9057" s="806"/>
      <c r="W9057" s="806"/>
      <c r="AZ9057" s="806"/>
      <c r="BA9057" s="806"/>
      <c r="BB9057" s="806"/>
    </row>
    <row r="9058" spans="4:54">
      <c r="D9058" s="806"/>
      <c r="F9058" s="806"/>
      <c r="W9058" s="806"/>
      <c r="AZ9058" s="806"/>
      <c r="BA9058" s="806"/>
      <c r="BB9058" s="806"/>
    </row>
    <row r="9059" spans="4:54">
      <c r="D9059" s="806"/>
      <c r="F9059" s="806"/>
      <c r="W9059" s="806"/>
      <c r="AZ9059" s="806"/>
      <c r="BA9059" s="806"/>
      <c r="BB9059" s="806"/>
    </row>
    <row r="9060" spans="4:54">
      <c r="D9060" s="806"/>
      <c r="F9060" s="806"/>
      <c r="W9060" s="806"/>
      <c r="AZ9060" s="806"/>
      <c r="BA9060" s="806"/>
      <c r="BB9060" s="806"/>
    </row>
    <row r="9061" spans="4:54">
      <c r="D9061" s="806"/>
      <c r="F9061" s="806"/>
      <c r="W9061" s="806"/>
      <c r="AZ9061" s="806"/>
      <c r="BA9061" s="806"/>
      <c r="BB9061" s="806"/>
    </row>
    <row r="9062" spans="4:54">
      <c r="D9062" s="806"/>
      <c r="F9062" s="806"/>
      <c r="W9062" s="806"/>
      <c r="AZ9062" s="806"/>
      <c r="BA9062" s="806"/>
      <c r="BB9062" s="806"/>
    </row>
    <row r="9063" spans="4:54">
      <c r="D9063" s="806"/>
      <c r="F9063" s="806"/>
      <c r="W9063" s="806"/>
      <c r="AZ9063" s="806"/>
      <c r="BA9063" s="806"/>
      <c r="BB9063" s="806"/>
    </row>
    <row r="9064" spans="4:54">
      <c r="D9064" s="806"/>
      <c r="F9064" s="806"/>
      <c r="W9064" s="806"/>
      <c r="AZ9064" s="806"/>
      <c r="BA9064" s="806"/>
      <c r="BB9064" s="806"/>
    </row>
    <row r="9065" spans="4:54">
      <c r="D9065" s="806"/>
      <c r="F9065" s="806"/>
      <c r="W9065" s="806"/>
      <c r="AZ9065" s="806"/>
      <c r="BA9065" s="806"/>
      <c r="BB9065" s="806"/>
    </row>
    <row r="9066" spans="4:54">
      <c r="D9066" s="806"/>
      <c r="F9066" s="806"/>
      <c r="W9066" s="806"/>
      <c r="AZ9066" s="806"/>
      <c r="BA9066" s="806"/>
      <c r="BB9066" s="806"/>
    </row>
    <row r="9067" spans="4:54">
      <c r="D9067" s="806"/>
      <c r="F9067" s="806"/>
      <c r="W9067" s="806"/>
      <c r="AZ9067" s="806"/>
      <c r="BA9067" s="806"/>
      <c r="BB9067" s="806"/>
    </row>
    <row r="9068" spans="4:54">
      <c r="D9068" s="806"/>
      <c r="F9068" s="806"/>
      <c r="W9068" s="806"/>
      <c r="AZ9068" s="806"/>
      <c r="BA9068" s="806"/>
      <c r="BB9068" s="806"/>
    </row>
    <row r="9069" spans="4:54">
      <c r="D9069" s="806"/>
      <c r="F9069" s="806"/>
      <c r="W9069" s="806"/>
      <c r="AZ9069" s="806"/>
      <c r="BA9069" s="806"/>
      <c r="BB9069" s="806"/>
    </row>
    <row r="9070" spans="4:54">
      <c r="D9070" s="806"/>
      <c r="F9070" s="806"/>
      <c r="W9070" s="806"/>
      <c r="AZ9070" s="806"/>
      <c r="BA9070" s="806"/>
      <c r="BB9070" s="806"/>
    </row>
    <row r="9071" spans="4:54">
      <c r="D9071" s="806"/>
      <c r="F9071" s="806"/>
      <c r="W9071" s="806"/>
      <c r="AZ9071" s="806"/>
      <c r="BA9071" s="806"/>
      <c r="BB9071" s="806"/>
    </row>
    <row r="9072" spans="4:54">
      <c r="D9072" s="806"/>
      <c r="F9072" s="806"/>
      <c r="W9072" s="806"/>
      <c r="AZ9072" s="806"/>
      <c r="BA9072" s="806"/>
      <c r="BB9072" s="806"/>
    </row>
    <row r="9073" spans="4:54">
      <c r="D9073" s="806"/>
      <c r="F9073" s="806"/>
      <c r="W9073" s="806"/>
      <c r="AZ9073" s="806"/>
      <c r="BA9073" s="806"/>
      <c r="BB9073" s="806"/>
    </row>
    <row r="9074" spans="4:54">
      <c r="D9074" s="806"/>
      <c r="F9074" s="806"/>
      <c r="W9074" s="806"/>
      <c r="AZ9074" s="806"/>
      <c r="BA9074" s="806"/>
      <c r="BB9074" s="806"/>
    </row>
    <row r="9075" spans="4:54">
      <c r="D9075" s="806"/>
      <c r="F9075" s="806"/>
      <c r="W9075" s="806"/>
      <c r="AZ9075" s="806"/>
      <c r="BA9075" s="806"/>
      <c r="BB9075" s="806"/>
    </row>
    <row r="9076" spans="4:54">
      <c r="D9076" s="806"/>
      <c r="F9076" s="806"/>
      <c r="W9076" s="806"/>
      <c r="AZ9076" s="806"/>
      <c r="BA9076" s="806"/>
      <c r="BB9076" s="806"/>
    </row>
    <row r="9077" spans="4:54">
      <c r="D9077" s="806"/>
      <c r="F9077" s="806"/>
      <c r="W9077" s="806"/>
      <c r="AZ9077" s="806"/>
      <c r="BA9077" s="806"/>
      <c r="BB9077" s="806"/>
    </row>
    <row r="9078" spans="4:54">
      <c r="D9078" s="806"/>
      <c r="F9078" s="806"/>
      <c r="W9078" s="806"/>
      <c r="AZ9078" s="806"/>
      <c r="BA9078" s="806"/>
      <c r="BB9078" s="806"/>
    </row>
    <row r="9079" spans="4:54">
      <c r="D9079" s="806"/>
      <c r="F9079" s="806"/>
      <c r="W9079" s="806"/>
      <c r="AZ9079" s="806"/>
      <c r="BA9079" s="806"/>
      <c r="BB9079" s="806"/>
    </row>
    <row r="9080" spans="4:54">
      <c r="D9080" s="806"/>
      <c r="F9080" s="806"/>
      <c r="W9080" s="806"/>
      <c r="AZ9080" s="806"/>
      <c r="BA9080" s="806"/>
      <c r="BB9080" s="806"/>
    </row>
    <row r="9081" spans="4:54">
      <c r="D9081" s="806"/>
      <c r="F9081" s="806"/>
      <c r="W9081" s="806"/>
      <c r="AZ9081" s="806"/>
      <c r="BA9081" s="806"/>
      <c r="BB9081" s="806"/>
    </row>
    <row r="9082" spans="4:54">
      <c r="D9082" s="806"/>
      <c r="F9082" s="806"/>
      <c r="W9082" s="806"/>
      <c r="AZ9082" s="806"/>
      <c r="BA9082" s="806"/>
      <c r="BB9082" s="806"/>
    </row>
    <row r="9083" spans="4:54">
      <c r="D9083" s="806"/>
      <c r="F9083" s="806"/>
      <c r="W9083" s="806"/>
      <c r="AZ9083" s="806"/>
      <c r="BA9083" s="806"/>
      <c r="BB9083" s="806"/>
    </row>
    <row r="9084" spans="4:54">
      <c r="D9084" s="806"/>
      <c r="F9084" s="806"/>
      <c r="W9084" s="806"/>
      <c r="AZ9084" s="806"/>
      <c r="BA9084" s="806"/>
      <c r="BB9084" s="806"/>
    </row>
    <row r="9085" spans="4:54">
      <c r="D9085" s="806"/>
      <c r="F9085" s="806"/>
      <c r="W9085" s="806"/>
      <c r="AZ9085" s="806"/>
      <c r="BA9085" s="806"/>
      <c r="BB9085" s="806"/>
    </row>
    <row r="9086" spans="4:54">
      <c r="D9086" s="806"/>
      <c r="F9086" s="806"/>
      <c r="W9086" s="806"/>
      <c r="AZ9086" s="806"/>
      <c r="BA9086" s="806"/>
      <c r="BB9086" s="806"/>
    </row>
    <row r="9087" spans="4:54">
      <c r="D9087" s="806"/>
      <c r="F9087" s="806"/>
      <c r="W9087" s="806"/>
      <c r="AZ9087" s="806"/>
      <c r="BA9087" s="806"/>
      <c r="BB9087" s="806"/>
    </row>
    <row r="9088" spans="4:54">
      <c r="D9088" s="806"/>
      <c r="F9088" s="806"/>
      <c r="W9088" s="806"/>
      <c r="AZ9088" s="806"/>
      <c r="BA9088" s="806"/>
      <c r="BB9088" s="806"/>
    </row>
    <row r="9089" spans="4:54">
      <c r="D9089" s="806"/>
      <c r="F9089" s="806"/>
      <c r="W9089" s="806"/>
      <c r="AZ9089" s="806"/>
      <c r="BA9089" s="806"/>
      <c r="BB9089" s="806"/>
    </row>
    <row r="9090" spans="4:54">
      <c r="D9090" s="806"/>
      <c r="F9090" s="806"/>
      <c r="W9090" s="806"/>
      <c r="AZ9090" s="806"/>
      <c r="BA9090" s="806"/>
      <c r="BB9090" s="806"/>
    </row>
    <row r="9091" spans="4:54">
      <c r="D9091" s="806"/>
      <c r="F9091" s="806"/>
      <c r="W9091" s="806"/>
      <c r="AZ9091" s="806"/>
      <c r="BA9091" s="806"/>
      <c r="BB9091" s="806"/>
    </row>
    <row r="9092" spans="4:54">
      <c r="D9092" s="806"/>
      <c r="F9092" s="806"/>
      <c r="W9092" s="806"/>
      <c r="AZ9092" s="806"/>
      <c r="BA9092" s="806"/>
      <c r="BB9092" s="806"/>
    </row>
    <row r="9093" spans="4:54">
      <c r="D9093" s="806"/>
      <c r="F9093" s="806"/>
      <c r="W9093" s="806"/>
      <c r="AZ9093" s="806"/>
      <c r="BA9093" s="806"/>
      <c r="BB9093" s="806"/>
    </row>
    <row r="9094" spans="4:54">
      <c r="D9094" s="806"/>
      <c r="F9094" s="806"/>
      <c r="W9094" s="806"/>
      <c r="AZ9094" s="806"/>
      <c r="BA9094" s="806"/>
      <c r="BB9094" s="806"/>
    </row>
    <row r="9095" spans="4:54">
      <c r="D9095" s="806"/>
      <c r="F9095" s="806"/>
      <c r="W9095" s="806"/>
      <c r="AZ9095" s="806"/>
      <c r="BA9095" s="806"/>
      <c r="BB9095" s="806"/>
    </row>
    <row r="9096" spans="4:54">
      <c r="D9096" s="806"/>
      <c r="F9096" s="806"/>
      <c r="W9096" s="806"/>
      <c r="AZ9096" s="806"/>
      <c r="BA9096" s="806"/>
      <c r="BB9096" s="806"/>
    </row>
    <row r="9097" spans="4:54">
      <c r="D9097" s="806"/>
      <c r="F9097" s="806"/>
      <c r="W9097" s="806"/>
      <c r="AZ9097" s="806"/>
      <c r="BA9097" s="806"/>
      <c r="BB9097" s="806"/>
    </row>
    <row r="9098" spans="4:54">
      <c r="D9098" s="806"/>
      <c r="F9098" s="806"/>
      <c r="W9098" s="806"/>
      <c r="AZ9098" s="806"/>
      <c r="BA9098" s="806"/>
      <c r="BB9098" s="806"/>
    </row>
    <row r="9099" spans="4:54">
      <c r="D9099" s="806"/>
      <c r="F9099" s="806"/>
      <c r="W9099" s="806"/>
      <c r="AZ9099" s="806"/>
      <c r="BA9099" s="806"/>
      <c r="BB9099" s="806"/>
    </row>
    <row r="9100" spans="4:54">
      <c r="D9100" s="806"/>
      <c r="F9100" s="806"/>
      <c r="W9100" s="806"/>
      <c r="AZ9100" s="806"/>
      <c r="BA9100" s="806"/>
      <c r="BB9100" s="806"/>
    </row>
    <row r="9101" spans="4:54">
      <c r="D9101" s="806"/>
      <c r="F9101" s="806"/>
      <c r="W9101" s="806"/>
      <c r="AZ9101" s="806"/>
      <c r="BA9101" s="806"/>
      <c r="BB9101" s="806"/>
    </row>
    <row r="9102" spans="4:54">
      <c r="D9102" s="806"/>
      <c r="F9102" s="806"/>
      <c r="W9102" s="806"/>
      <c r="AZ9102" s="806"/>
      <c r="BA9102" s="806"/>
      <c r="BB9102" s="806"/>
    </row>
    <row r="9103" spans="4:54">
      <c r="D9103" s="806"/>
      <c r="F9103" s="806"/>
      <c r="W9103" s="806"/>
      <c r="AZ9103" s="806"/>
      <c r="BA9103" s="806"/>
      <c r="BB9103" s="806"/>
    </row>
    <row r="9104" spans="4:54">
      <c r="D9104" s="806"/>
      <c r="F9104" s="806"/>
      <c r="W9104" s="806"/>
      <c r="AZ9104" s="806"/>
      <c r="BA9104" s="806"/>
      <c r="BB9104" s="806"/>
    </row>
    <row r="9105" spans="4:54">
      <c r="D9105" s="806"/>
      <c r="F9105" s="806"/>
      <c r="W9105" s="806"/>
      <c r="AZ9105" s="806"/>
      <c r="BA9105" s="806"/>
      <c r="BB9105" s="806"/>
    </row>
    <row r="9106" spans="4:54">
      <c r="D9106" s="806"/>
      <c r="F9106" s="806"/>
      <c r="W9106" s="806"/>
      <c r="AZ9106" s="806"/>
      <c r="BA9106" s="806"/>
      <c r="BB9106" s="806"/>
    </row>
    <row r="9107" spans="4:54">
      <c r="D9107" s="806"/>
      <c r="F9107" s="806"/>
      <c r="W9107" s="806"/>
      <c r="AZ9107" s="806"/>
      <c r="BA9107" s="806"/>
      <c r="BB9107" s="806"/>
    </row>
    <row r="9108" spans="4:54">
      <c r="D9108" s="806"/>
      <c r="F9108" s="806"/>
      <c r="W9108" s="806"/>
      <c r="AZ9108" s="806"/>
      <c r="BA9108" s="806"/>
      <c r="BB9108" s="806"/>
    </row>
    <row r="9109" spans="4:54">
      <c r="D9109" s="806"/>
      <c r="F9109" s="806"/>
      <c r="W9109" s="806"/>
      <c r="AZ9109" s="806"/>
      <c r="BA9109" s="806"/>
      <c r="BB9109" s="806"/>
    </row>
    <row r="9110" spans="4:54">
      <c r="D9110" s="806"/>
      <c r="F9110" s="806"/>
      <c r="W9110" s="806"/>
      <c r="AZ9110" s="806"/>
      <c r="BA9110" s="806"/>
      <c r="BB9110" s="806"/>
    </row>
    <row r="9111" spans="4:54">
      <c r="D9111" s="806"/>
      <c r="F9111" s="806"/>
      <c r="W9111" s="806"/>
      <c r="AZ9111" s="806"/>
      <c r="BA9111" s="806"/>
      <c r="BB9111" s="806"/>
    </row>
    <row r="9112" spans="4:54">
      <c r="D9112" s="806"/>
      <c r="F9112" s="806"/>
      <c r="W9112" s="806"/>
      <c r="AZ9112" s="806"/>
      <c r="BA9112" s="806"/>
      <c r="BB9112" s="806"/>
    </row>
    <row r="9113" spans="4:54">
      <c r="D9113" s="806"/>
      <c r="F9113" s="806"/>
      <c r="W9113" s="806"/>
      <c r="AZ9113" s="806"/>
      <c r="BA9113" s="806"/>
      <c r="BB9113" s="806"/>
    </row>
    <row r="9114" spans="4:54">
      <c r="D9114" s="806"/>
      <c r="F9114" s="806"/>
      <c r="W9114" s="806"/>
      <c r="AZ9114" s="806"/>
      <c r="BA9114" s="806"/>
      <c r="BB9114" s="806"/>
    </row>
    <row r="9115" spans="4:54">
      <c r="D9115" s="806"/>
      <c r="F9115" s="806"/>
      <c r="W9115" s="806"/>
      <c r="AZ9115" s="806"/>
      <c r="BA9115" s="806"/>
      <c r="BB9115" s="806"/>
    </row>
    <row r="9116" spans="4:54">
      <c r="D9116" s="806"/>
      <c r="F9116" s="806"/>
      <c r="W9116" s="806"/>
      <c r="AZ9116" s="806"/>
      <c r="BA9116" s="806"/>
      <c r="BB9116" s="806"/>
    </row>
    <row r="9117" spans="4:54">
      <c r="D9117" s="806"/>
      <c r="F9117" s="806"/>
      <c r="W9117" s="806"/>
      <c r="AZ9117" s="806"/>
      <c r="BA9117" s="806"/>
      <c r="BB9117" s="806"/>
    </row>
    <row r="9118" spans="4:54">
      <c r="D9118" s="806"/>
      <c r="F9118" s="806"/>
      <c r="W9118" s="806"/>
      <c r="AZ9118" s="806"/>
      <c r="BA9118" s="806"/>
      <c r="BB9118" s="806"/>
    </row>
    <row r="9119" spans="4:54">
      <c r="D9119" s="806"/>
      <c r="F9119" s="806"/>
      <c r="W9119" s="806"/>
      <c r="AZ9119" s="806"/>
      <c r="BA9119" s="806"/>
      <c r="BB9119" s="806"/>
    </row>
    <row r="9120" spans="4:54">
      <c r="D9120" s="806"/>
      <c r="F9120" s="806"/>
      <c r="W9120" s="806"/>
      <c r="AZ9120" s="806"/>
      <c r="BA9120" s="806"/>
      <c r="BB9120" s="806"/>
    </row>
    <row r="9121" spans="4:54">
      <c r="D9121" s="806"/>
      <c r="F9121" s="806"/>
      <c r="W9121" s="806"/>
      <c r="AZ9121" s="806"/>
      <c r="BA9121" s="806"/>
      <c r="BB9121" s="806"/>
    </row>
    <row r="9122" spans="4:54">
      <c r="D9122" s="806"/>
      <c r="F9122" s="806"/>
      <c r="W9122" s="806"/>
      <c r="AZ9122" s="806"/>
      <c r="BA9122" s="806"/>
      <c r="BB9122" s="806"/>
    </row>
    <row r="9123" spans="4:54">
      <c r="D9123" s="806"/>
      <c r="F9123" s="806"/>
      <c r="W9123" s="806"/>
      <c r="AZ9123" s="806"/>
      <c r="BA9123" s="806"/>
      <c r="BB9123" s="806"/>
    </row>
    <row r="9124" spans="4:54">
      <c r="D9124" s="806"/>
      <c r="F9124" s="806"/>
      <c r="W9124" s="806"/>
      <c r="AZ9124" s="806"/>
      <c r="BA9124" s="806"/>
      <c r="BB9124" s="806"/>
    </row>
    <row r="9125" spans="4:54">
      <c r="D9125" s="806"/>
      <c r="F9125" s="806"/>
      <c r="W9125" s="806"/>
      <c r="AZ9125" s="806"/>
      <c r="BA9125" s="806"/>
      <c r="BB9125" s="806"/>
    </row>
    <row r="9126" spans="4:54">
      <c r="D9126" s="806"/>
      <c r="F9126" s="806"/>
      <c r="W9126" s="806"/>
      <c r="AZ9126" s="806"/>
      <c r="BA9126" s="806"/>
      <c r="BB9126" s="806"/>
    </row>
    <row r="9127" spans="4:54">
      <c r="D9127" s="806"/>
      <c r="F9127" s="806"/>
      <c r="W9127" s="806"/>
      <c r="AZ9127" s="806"/>
      <c r="BA9127" s="806"/>
      <c r="BB9127" s="806"/>
    </row>
    <row r="9128" spans="4:54">
      <c r="D9128" s="806"/>
      <c r="F9128" s="806"/>
      <c r="W9128" s="806"/>
      <c r="AZ9128" s="806"/>
      <c r="BA9128" s="806"/>
      <c r="BB9128" s="806"/>
    </row>
    <row r="9129" spans="4:54">
      <c r="D9129" s="806"/>
      <c r="F9129" s="806"/>
      <c r="W9129" s="806"/>
      <c r="AZ9129" s="806"/>
      <c r="BA9129" s="806"/>
      <c r="BB9129" s="806"/>
    </row>
    <row r="9130" spans="4:54">
      <c r="D9130" s="806"/>
      <c r="F9130" s="806"/>
      <c r="W9130" s="806"/>
      <c r="AZ9130" s="806"/>
      <c r="BA9130" s="806"/>
      <c r="BB9130" s="806"/>
    </row>
    <row r="9131" spans="4:54">
      <c r="D9131" s="806"/>
      <c r="F9131" s="806"/>
      <c r="W9131" s="806"/>
      <c r="AZ9131" s="806"/>
      <c r="BA9131" s="806"/>
      <c r="BB9131" s="806"/>
    </row>
    <row r="9132" spans="4:54">
      <c r="D9132" s="806"/>
      <c r="F9132" s="806"/>
      <c r="W9132" s="806"/>
      <c r="AZ9132" s="806"/>
      <c r="BA9132" s="806"/>
      <c r="BB9132" s="806"/>
    </row>
    <row r="9133" spans="4:54">
      <c r="D9133" s="806"/>
      <c r="F9133" s="806"/>
      <c r="W9133" s="806"/>
      <c r="AZ9133" s="806"/>
      <c r="BA9133" s="806"/>
      <c r="BB9133" s="806"/>
    </row>
    <row r="9134" spans="4:54">
      <c r="D9134" s="806"/>
      <c r="F9134" s="806"/>
      <c r="W9134" s="806"/>
      <c r="AZ9134" s="806"/>
      <c r="BA9134" s="806"/>
      <c r="BB9134" s="806"/>
    </row>
    <row r="9135" spans="4:54">
      <c r="D9135" s="806"/>
      <c r="F9135" s="806"/>
      <c r="W9135" s="806"/>
      <c r="AZ9135" s="806"/>
      <c r="BA9135" s="806"/>
      <c r="BB9135" s="806"/>
    </row>
    <row r="9136" spans="4:54">
      <c r="D9136" s="806"/>
      <c r="F9136" s="806"/>
      <c r="W9136" s="806"/>
      <c r="AZ9136" s="806"/>
      <c r="BA9136" s="806"/>
      <c r="BB9136" s="806"/>
    </row>
    <row r="9137" spans="4:54">
      <c r="D9137" s="806"/>
      <c r="F9137" s="806"/>
      <c r="W9137" s="806"/>
      <c r="AZ9137" s="806"/>
      <c r="BA9137" s="806"/>
      <c r="BB9137" s="806"/>
    </row>
    <row r="9138" spans="4:54">
      <c r="D9138" s="806"/>
      <c r="F9138" s="806"/>
      <c r="W9138" s="806"/>
      <c r="AZ9138" s="806"/>
      <c r="BA9138" s="806"/>
      <c r="BB9138" s="806"/>
    </row>
    <row r="9139" spans="4:54">
      <c r="D9139" s="806"/>
      <c r="F9139" s="806"/>
      <c r="W9139" s="806"/>
      <c r="AZ9139" s="806"/>
      <c r="BA9139" s="806"/>
      <c r="BB9139" s="806"/>
    </row>
    <row r="9140" spans="4:54">
      <c r="D9140" s="806"/>
      <c r="F9140" s="806"/>
      <c r="W9140" s="806"/>
      <c r="AZ9140" s="806"/>
      <c r="BA9140" s="806"/>
      <c r="BB9140" s="806"/>
    </row>
    <row r="9141" spans="4:54">
      <c r="D9141" s="806"/>
      <c r="F9141" s="806"/>
      <c r="W9141" s="806"/>
      <c r="AZ9141" s="806"/>
      <c r="BA9141" s="806"/>
      <c r="BB9141" s="806"/>
    </row>
    <row r="9142" spans="4:54">
      <c r="D9142" s="806"/>
      <c r="F9142" s="806"/>
      <c r="W9142" s="806"/>
      <c r="AZ9142" s="806"/>
      <c r="BA9142" s="806"/>
      <c r="BB9142" s="806"/>
    </row>
    <row r="9143" spans="4:54">
      <c r="D9143" s="806"/>
      <c r="F9143" s="806"/>
      <c r="W9143" s="806"/>
      <c r="AZ9143" s="806"/>
      <c r="BA9143" s="806"/>
      <c r="BB9143" s="806"/>
    </row>
    <row r="9144" spans="4:54">
      <c r="D9144" s="806"/>
      <c r="F9144" s="806"/>
      <c r="W9144" s="806"/>
      <c r="AZ9144" s="806"/>
      <c r="BA9144" s="806"/>
      <c r="BB9144" s="806"/>
    </row>
    <row r="9145" spans="4:54">
      <c r="D9145" s="806"/>
      <c r="F9145" s="806"/>
      <c r="W9145" s="806"/>
      <c r="AZ9145" s="806"/>
      <c r="BA9145" s="806"/>
      <c r="BB9145" s="806"/>
    </row>
    <row r="9146" spans="4:54">
      <c r="D9146" s="806"/>
      <c r="F9146" s="806"/>
      <c r="W9146" s="806"/>
      <c r="AZ9146" s="806"/>
      <c r="BA9146" s="806"/>
      <c r="BB9146" s="806"/>
    </row>
    <row r="9147" spans="4:54">
      <c r="D9147" s="806"/>
      <c r="F9147" s="806"/>
      <c r="W9147" s="806"/>
      <c r="AZ9147" s="806"/>
      <c r="BA9147" s="806"/>
      <c r="BB9147" s="806"/>
    </row>
    <row r="9148" spans="4:54">
      <c r="D9148" s="806"/>
      <c r="F9148" s="806"/>
      <c r="W9148" s="806"/>
      <c r="AZ9148" s="806"/>
      <c r="BA9148" s="806"/>
      <c r="BB9148" s="806"/>
    </row>
    <row r="9149" spans="4:54">
      <c r="D9149" s="806"/>
      <c r="F9149" s="806"/>
      <c r="W9149" s="806"/>
      <c r="AZ9149" s="806"/>
      <c r="BA9149" s="806"/>
      <c r="BB9149" s="806"/>
    </row>
    <row r="9150" spans="4:54">
      <c r="D9150" s="806"/>
      <c r="F9150" s="806"/>
      <c r="W9150" s="806"/>
      <c r="AZ9150" s="806"/>
      <c r="BA9150" s="806"/>
      <c r="BB9150" s="806"/>
    </row>
    <row r="9151" spans="4:54">
      <c r="D9151" s="806"/>
      <c r="F9151" s="806"/>
      <c r="W9151" s="806"/>
      <c r="AZ9151" s="806"/>
      <c r="BA9151" s="806"/>
      <c r="BB9151" s="806"/>
    </row>
    <row r="9152" spans="4:54">
      <c r="D9152" s="806"/>
      <c r="F9152" s="806"/>
      <c r="W9152" s="806"/>
      <c r="AZ9152" s="806"/>
      <c r="BA9152" s="806"/>
      <c r="BB9152" s="806"/>
    </row>
    <row r="9153" spans="4:54">
      <c r="D9153" s="806"/>
      <c r="F9153" s="806"/>
      <c r="W9153" s="806"/>
      <c r="AZ9153" s="806"/>
      <c r="BA9153" s="806"/>
      <c r="BB9153" s="806"/>
    </row>
    <row r="9154" spans="4:54">
      <c r="D9154" s="806"/>
      <c r="F9154" s="806"/>
      <c r="W9154" s="806"/>
      <c r="AZ9154" s="806"/>
      <c r="BA9154" s="806"/>
      <c r="BB9154" s="806"/>
    </row>
    <row r="9155" spans="4:54">
      <c r="D9155" s="806"/>
      <c r="F9155" s="806"/>
      <c r="W9155" s="806"/>
      <c r="AZ9155" s="806"/>
      <c r="BA9155" s="806"/>
      <c r="BB9155" s="806"/>
    </row>
    <row r="9156" spans="4:54">
      <c r="D9156" s="806"/>
      <c r="F9156" s="806"/>
      <c r="W9156" s="806"/>
      <c r="AZ9156" s="806"/>
      <c r="BA9156" s="806"/>
      <c r="BB9156" s="806"/>
    </row>
    <row r="9157" spans="4:54">
      <c r="D9157" s="806"/>
      <c r="F9157" s="806"/>
      <c r="W9157" s="806"/>
      <c r="AZ9157" s="806"/>
      <c r="BA9157" s="806"/>
      <c r="BB9157" s="806"/>
    </row>
    <row r="9158" spans="4:54">
      <c r="D9158" s="806"/>
      <c r="F9158" s="806"/>
      <c r="W9158" s="806"/>
      <c r="AZ9158" s="806"/>
      <c r="BA9158" s="806"/>
      <c r="BB9158" s="806"/>
    </row>
    <row r="9159" spans="4:54">
      <c r="D9159" s="806"/>
      <c r="F9159" s="806"/>
      <c r="W9159" s="806"/>
      <c r="AZ9159" s="806"/>
      <c r="BA9159" s="806"/>
      <c r="BB9159" s="806"/>
    </row>
    <row r="9160" spans="4:54">
      <c r="D9160" s="806"/>
      <c r="F9160" s="806"/>
      <c r="W9160" s="806"/>
      <c r="AZ9160" s="806"/>
      <c r="BA9160" s="806"/>
      <c r="BB9160" s="806"/>
    </row>
    <row r="9161" spans="4:54">
      <c r="D9161" s="806"/>
      <c r="F9161" s="806"/>
      <c r="W9161" s="806"/>
      <c r="AZ9161" s="806"/>
      <c r="BA9161" s="806"/>
      <c r="BB9161" s="806"/>
    </row>
    <row r="9162" spans="4:54">
      <c r="D9162" s="806"/>
      <c r="F9162" s="806"/>
      <c r="W9162" s="806"/>
      <c r="AZ9162" s="806"/>
      <c r="BA9162" s="806"/>
      <c r="BB9162" s="806"/>
    </row>
    <row r="9163" spans="4:54">
      <c r="D9163" s="806"/>
      <c r="F9163" s="806"/>
      <c r="W9163" s="806"/>
      <c r="AZ9163" s="806"/>
      <c r="BA9163" s="806"/>
      <c r="BB9163" s="806"/>
    </row>
    <row r="9164" spans="4:54">
      <c r="D9164" s="806"/>
      <c r="F9164" s="806"/>
      <c r="W9164" s="806"/>
      <c r="AZ9164" s="806"/>
      <c r="BA9164" s="806"/>
      <c r="BB9164" s="806"/>
    </row>
    <row r="9165" spans="4:54">
      <c r="D9165" s="806"/>
      <c r="F9165" s="806"/>
      <c r="W9165" s="806"/>
      <c r="AZ9165" s="806"/>
      <c r="BA9165" s="806"/>
      <c r="BB9165" s="806"/>
    </row>
    <row r="9166" spans="4:54">
      <c r="D9166" s="806"/>
      <c r="F9166" s="806"/>
      <c r="W9166" s="806"/>
      <c r="AZ9166" s="806"/>
      <c r="BA9166" s="806"/>
      <c r="BB9166" s="806"/>
    </row>
    <row r="9167" spans="4:54">
      <c r="D9167" s="806"/>
      <c r="F9167" s="806"/>
      <c r="W9167" s="806"/>
      <c r="AZ9167" s="806"/>
      <c r="BA9167" s="806"/>
      <c r="BB9167" s="806"/>
    </row>
    <row r="9168" spans="4:54">
      <c r="D9168" s="806"/>
      <c r="F9168" s="806"/>
      <c r="W9168" s="806"/>
      <c r="AZ9168" s="806"/>
      <c r="BA9168" s="806"/>
      <c r="BB9168" s="806"/>
    </row>
    <row r="9169" spans="4:54">
      <c r="D9169" s="806"/>
      <c r="F9169" s="806"/>
      <c r="W9169" s="806"/>
      <c r="AZ9169" s="806"/>
      <c r="BA9169" s="806"/>
      <c r="BB9169" s="806"/>
    </row>
    <row r="9170" spans="4:54">
      <c r="D9170" s="806"/>
      <c r="F9170" s="806"/>
      <c r="W9170" s="806"/>
      <c r="AZ9170" s="806"/>
      <c r="BA9170" s="806"/>
      <c r="BB9170" s="806"/>
    </row>
    <row r="9171" spans="4:54">
      <c r="D9171" s="806"/>
      <c r="F9171" s="806"/>
      <c r="W9171" s="806"/>
      <c r="AZ9171" s="806"/>
      <c r="BA9171" s="806"/>
      <c r="BB9171" s="806"/>
    </row>
    <row r="9172" spans="4:54">
      <c r="D9172" s="806"/>
      <c r="F9172" s="806"/>
      <c r="W9172" s="806"/>
      <c r="AZ9172" s="806"/>
      <c r="BA9172" s="806"/>
      <c r="BB9172" s="806"/>
    </row>
    <row r="9173" spans="4:54">
      <c r="D9173" s="806"/>
      <c r="F9173" s="806"/>
      <c r="W9173" s="806"/>
      <c r="AZ9173" s="806"/>
      <c r="BA9173" s="806"/>
      <c r="BB9173" s="806"/>
    </row>
    <row r="9174" spans="4:54">
      <c r="D9174" s="806"/>
      <c r="F9174" s="806"/>
      <c r="W9174" s="806"/>
      <c r="AZ9174" s="806"/>
      <c r="BA9174" s="806"/>
      <c r="BB9174" s="806"/>
    </row>
    <row r="9175" spans="4:54">
      <c r="D9175" s="806"/>
      <c r="F9175" s="806"/>
      <c r="W9175" s="806"/>
      <c r="AZ9175" s="806"/>
      <c r="BA9175" s="806"/>
      <c r="BB9175" s="806"/>
    </row>
    <row r="9176" spans="4:54">
      <c r="D9176" s="806"/>
      <c r="F9176" s="806"/>
      <c r="W9176" s="806"/>
      <c r="AZ9176" s="806"/>
      <c r="BA9176" s="806"/>
      <c r="BB9176" s="806"/>
    </row>
    <row r="9177" spans="4:54">
      <c r="D9177" s="806"/>
      <c r="F9177" s="806"/>
      <c r="W9177" s="806"/>
      <c r="AZ9177" s="806"/>
      <c r="BA9177" s="806"/>
      <c r="BB9177" s="806"/>
    </row>
    <row r="9178" spans="4:54">
      <c r="D9178" s="806"/>
      <c r="F9178" s="806"/>
      <c r="W9178" s="806"/>
      <c r="AZ9178" s="806"/>
      <c r="BA9178" s="806"/>
      <c r="BB9178" s="806"/>
    </row>
    <row r="9179" spans="4:54">
      <c r="D9179" s="806"/>
      <c r="F9179" s="806"/>
      <c r="W9179" s="806"/>
      <c r="AZ9179" s="806"/>
      <c r="BA9179" s="806"/>
      <c r="BB9179" s="806"/>
    </row>
    <row r="9180" spans="4:54">
      <c r="D9180" s="806"/>
      <c r="F9180" s="806"/>
      <c r="W9180" s="806"/>
      <c r="AZ9180" s="806"/>
      <c r="BA9180" s="806"/>
      <c r="BB9180" s="806"/>
    </row>
    <row r="9181" spans="4:54">
      <c r="D9181" s="806"/>
      <c r="F9181" s="806"/>
      <c r="W9181" s="806"/>
      <c r="AZ9181" s="806"/>
      <c r="BA9181" s="806"/>
      <c r="BB9181" s="806"/>
    </row>
    <row r="9182" spans="4:54">
      <c r="D9182" s="806"/>
      <c r="F9182" s="806"/>
      <c r="W9182" s="806"/>
      <c r="AZ9182" s="806"/>
      <c r="BA9182" s="806"/>
      <c r="BB9182" s="806"/>
    </row>
    <row r="9183" spans="4:54">
      <c r="D9183" s="806"/>
      <c r="F9183" s="806"/>
      <c r="W9183" s="806"/>
      <c r="AZ9183" s="806"/>
      <c r="BA9183" s="806"/>
      <c r="BB9183" s="806"/>
    </row>
    <row r="9184" spans="4:54">
      <c r="D9184" s="806"/>
      <c r="F9184" s="806"/>
      <c r="W9184" s="806"/>
      <c r="AZ9184" s="806"/>
      <c r="BA9184" s="806"/>
      <c r="BB9184" s="806"/>
    </row>
    <row r="9185" spans="4:54">
      <c r="D9185" s="806"/>
      <c r="F9185" s="806"/>
      <c r="W9185" s="806"/>
      <c r="AZ9185" s="806"/>
      <c r="BA9185" s="806"/>
      <c r="BB9185" s="806"/>
    </row>
    <row r="9186" spans="4:54">
      <c r="D9186" s="806"/>
      <c r="F9186" s="806"/>
      <c r="W9186" s="806"/>
      <c r="AZ9186" s="806"/>
      <c r="BA9186" s="806"/>
      <c r="BB9186" s="806"/>
    </row>
    <row r="9187" spans="4:54">
      <c r="D9187" s="806"/>
      <c r="F9187" s="806"/>
      <c r="W9187" s="806"/>
      <c r="AZ9187" s="806"/>
      <c r="BA9187" s="806"/>
      <c r="BB9187" s="806"/>
    </row>
    <row r="9188" spans="4:54">
      <c r="D9188" s="806"/>
      <c r="F9188" s="806"/>
      <c r="W9188" s="806"/>
      <c r="AZ9188" s="806"/>
      <c r="BA9188" s="806"/>
      <c r="BB9188" s="806"/>
    </row>
    <row r="9189" spans="4:54">
      <c r="D9189" s="806"/>
      <c r="F9189" s="806"/>
      <c r="W9189" s="806"/>
      <c r="AZ9189" s="806"/>
      <c r="BA9189" s="806"/>
      <c r="BB9189" s="806"/>
    </row>
    <row r="9190" spans="4:54">
      <c r="D9190" s="806"/>
      <c r="F9190" s="806"/>
      <c r="W9190" s="806"/>
      <c r="AZ9190" s="806"/>
      <c r="BA9190" s="806"/>
      <c r="BB9190" s="806"/>
    </row>
    <row r="9191" spans="4:54">
      <c r="D9191" s="806"/>
      <c r="F9191" s="806"/>
      <c r="W9191" s="806"/>
      <c r="AZ9191" s="806"/>
      <c r="BA9191" s="806"/>
      <c r="BB9191" s="806"/>
    </row>
    <row r="9192" spans="4:54">
      <c r="D9192" s="806"/>
      <c r="F9192" s="806"/>
      <c r="W9192" s="806"/>
      <c r="AZ9192" s="806"/>
      <c r="BA9192" s="806"/>
      <c r="BB9192" s="806"/>
    </row>
    <row r="9193" spans="4:54">
      <c r="D9193" s="806"/>
      <c r="F9193" s="806"/>
      <c r="W9193" s="806"/>
      <c r="AZ9193" s="806"/>
      <c r="BA9193" s="806"/>
      <c r="BB9193" s="806"/>
    </row>
    <row r="9194" spans="4:54">
      <c r="D9194" s="806"/>
      <c r="F9194" s="806"/>
      <c r="W9194" s="806"/>
      <c r="AZ9194" s="806"/>
      <c r="BA9194" s="806"/>
      <c r="BB9194" s="806"/>
    </row>
    <row r="9195" spans="4:54">
      <c r="D9195" s="806"/>
      <c r="F9195" s="806"/>
      <c r="W9195" s="806"/>
      <c r="AZ9195" s="806"/>
      <c r="BA9195" s="806"/>
      <c r="BB9195" s="806"/>
    </row>
    <row r="9196" spans="4:54">
      <c r="D9196" s="806"/>
      <c r="F9196" s="806"/>
      <c r="W9196" s="806"/>
      <c r="AZ9196" s="806"/>
      <c r="BA9196" s="806"/>
      <c r="BB9196" s="806"/>
    </row>
    <row r="9197" spans="4:54">
      <c r="D9197" s="806"/>
      <c r="F9197" s="806"/>
      <c r="W9197" s="806"/>
      <c r="AZ9197" s="806"/>
      <c r="BA9197" s="806"/>
      <c r="BB9197" s="806"/>
    </row>
    <row r="9198" spans="4:54">
      <c r="D9198" s="806"/>
      <c r="F9198" s="806"/>
      <c r="W9198" s="806"/>
      <c r="AZ9198" s="806"/>
      <c r="BA9198" s="806"/>
      <c r="BB9198" s="806"/>
    </row>
    <row r="9199" spans="4:54">
      <c r="D9199" s="806"/>
      <c r="F9199" s="806"/>
      <c r="W9199" s="806"/>
      <c r="AZ9199" s="806"/>
      <c r="BA9199" s="806"/>
      <c r="BB9199" s="806"/>
    </row>
    <row r="9200" spans="4:54">
      <c r="D9200" s="806"/>
      <c r="F9200" s="806"/>
      <c r="W9200" s="806"/>
      <c r="AZ9200" s="806"/>
      <c r="BA9200" s="806"/>
      <c r="BB9200" s="806"/>
    </row>
    <row r="9201" spans="4:54">
      <c r="D9201" s="806"/>
      <c r="F9201" s="806"/>
      <c r="W9201" s="806"/>
      <c r="AZ9201" s="806"/>
      <c r="BA9201" s="806"/>
      <c r="BB9201" s="806"/>
    </row>
    <row r="9202" spans="4:54">
      <c r="D9202" s="806"/>
      <c r="F9202" s="806"/>
      <c r="W9202" s="806"/>
      <c r="AZ9202" s="806"/>
      <c r="BA9202" s="806"/>
      <c r="BB9202" s="806"/>
    </row>
    <row r="9203" spans="4:54">
      <c r="D9203" s="806"/>
      <c r="F9203" s="806"/>
      <c r="W9203" s="806"/>
      <c r="AZ9203" s="806"/>
      <c r="BA9203" s="806"/>
      <c r="BB9203" s="806"/>
    </row>
    <row r="9204" spans="4:54">
      <c r="D9204" s="806"/>
      <c r="F9204" s="806"/>
      <c r="W9204" s="806"/>
      <c r="AZ9204" s="806"/>
      <c r="BA9204" s="806"/>
      <c r="BB9204" s="806"/>
    </row>
    <row r="9205" spans="4:54">
      <c r="D9205" s="806"/>
      <c r="F9205" s="806"/>
      <c r="W9205" s="806"/>
      <c r="AZ9205" s="806"/>
      <c r="BA9205" s="806"/>
      <c r="BB9205" s="806"/>
    </row>
    <row r="9206" spans="4:54">
      <c r="D9206" s="806"/>
      <c r="F9206" s="806"/>
      <c r="W9206" s="806"/>
      <c r="AZ9206" s="806"/>
      <c r="BA9206" s="806"/>
      <c r="BB9206" s="806"/>
    </row>
    <row r="9207" spans="4:54">
      <c r="D9207" s="806"/>
      <c r="F9207" s="806"/>
      <c r="W9207" s="806"/>
      <c r="AZ9207" s="806"/>
      <c r="BA9207" s="806"/>
      <c r="BB9207" s="806"/>
    </row>
    <row r="9208" spans="4:54">
      <c r="D9208" s="806"/>
      <c r="F9208" s="806"/>
      <c r="W9208" s="806"/>
      <c r="AZ9208" s="806"/>
      <c r="BA9208" s="806"/>
      <c r="BB9208" s="806"/>
    </row>
    <row r="9209" spans="4:54">
      <c r="D9209" s="806"/>
      <c r="F9209" s="806"/>
      <c r="W9209" s="806"/>
      <c r="AZ9209" s="806"/>
      <c r="BA9209" s="806"/>
      <c r="BB9209" s="806"/>
    </row>
    <row r="9210" spans="4:54">
      <c r="D9210" s="806"/>
      <c r="F9210" s="806"/>
      <c r="W9210" s="806"/>
      <c r="AZ9210" s="806"/>
      <c r="BA9210" s="806"/>
      <c r="BB9210" s="806"/>
    </row>
    <row r="9211" spans="4:54">
      <c r="D9211" s="806"/>
      <c r="F9211" s="806"/>
      <c r="W9211" s="806"/>
      <c r="AZ9211" s="806"/>
      <c r="BA9211" s="806"/>
      <c r="BB9211" s="806"/>
    </row>
    <row r="9212" spans="4:54">
      <c r="D9212" s="806"/>
      <c r="F9212" s="806"/>
      <c r="W9212" s="806"/>
      <c r="AZ9212" s="806"/>
      <c r="BA9212" s="806"/>
      <c r="BB9212" s="806"/>
    </row>
    <row r="9213" spans="4:54">
      <c r="D9213" s="806"/>
      <c r="F9213" s="806"/>
      <c r="W9213" s="806"/>
      <c r="AZ9213" s="806"/>
      <c r="BA9213" s="806"/>
      <c r="BB9213" s="806"/>
    </row>
    <row r="9214" spans="4:54">
      <c r="D9214" s="806"/>
      <c r="F9214" s="806"/>
      <c r="W9214" s="806"/>
      <c r="AZ9214" s="806"/>
      <c r="BA9214" s="806"/>
      <c r="BB9214" s="806"/>
    </row>
    <row r="9215" spans="4:54">
      <c r="D9215" s="806"/>
      <c r="F9215" s="806"/>
      <c r="W9215" s="806"/>
      <c r="AZ9215" s="806"/>
      <c r="BA9215" s="806"/>
      <c r="BB9215" s="806"/>
    </row>
    <row r="9216" spans="4:54">
      <c r="D9216" s="806"/>
      <c r="F9216" s="806"/>
      <c r="W9216" s="806"/>
      <c r="AZ9216" s="806"/>
      <c r="BA9216" s="806"/>
      <c r="BB9216" s="806"/>
    </row>
    <row r="9217" spans="4:54">
      <c r="D9217" s="806"/>
      <c r="F9217" s="806"/>
      <c r="W9217" s="806"/>
      <c r="AZ9217" s="806"/>
      <c r="BA9217" s="806"/>
      <c r="BB9217" s="806"/>
    </row>
    <row r="9218" spans="4:54">
      <c r="D9218" s="806"/>
      <c r="F9218" s="806"/>
      <c r="W9218" s="806"/>
      <c r="AZ9218" s="806"/>
      <c r="BA9218" s="806"/>
      <c r="BB9218" s="806"/>
    </row>
    <row r="9219" spans="4:54">
      <c r="D9219" s="806"/>
      <c r="F9219" s="806"/>
      <c r="W9219" s="806"/>
      <c r="AZ9219" s="806"/>
      <c r="BA9219" s="806"/>
      <c r="BB9219" s="806"/>
    </row>
    <row r="9220" spans="4:54">
      <c r="D9220" s="806"/>
      <c r="F9220" s="806"/>
      <c r="W9220" s="806"/>
      <c r="AZ9220" s="806"/>
      <c r="BA9220" s="806"/>
      <c r="BB9220" s="806"/>
    </row>
    <row r="9221" spans="4:54">
      <c r="D9221" s="806"/>
      <c r="F9221" s="806"/>
      <c r="W9221" s="806"/>
      <c r="AZ9221" s="806"/>
      <c r="BA9221" s="806"/>
      <c r="BB9221" s="806"/>
    </row>
    <row r="9222" spans="4:54">
      <c r="D9222" s="806"/>
      <c r="F9222" s="806"/>
      <c r="W9222" s="806"/>
      <c r="AZ9222" s="806"/>
      <c r="BA9222" s="806"/>
      <c r="BB9222" s="806"/>
    </row>
    <row r="9223" spans="4:54">
      <c r="D9223" s="806"/>
      <c r="F9223" s="806"/>
      <c r="W9223" s="806"/>
      <c r="AZ9223" s="806"/>
      <c r="BA9223" s="806"/>
      <c r="BB9223" s="806"/>
    </row>
    <row r="9224" spans="4:54">
      <c r="D9224" s="806"/>
      <c r="F9224" s="806"/>
      <c r="W9224" s="806"/>
      <c r="AZ9224" s="806"/>
      <c r="BA9224" s="806"/>
      <c r="BB9224" s="806"/>
    </row>
    <row r="9225" spans="4:54">
      <c r="D9225" s="806"/>
      <c r="F9225" s="806"/>
      <c r="W9225" s="806"/>
      <c r="AZ9225" s="806"/>
      <c r="BA9225" s="806"/>
      <c r="BB9225" s="806"/>
    </row>
    <row r="9226" spans="4:54">
      <c r="D9226" s="806"/>
      <c r="F9226" s="806"/>
      <c r="W9226" s="806"/>
      <c r="AZ9226" s="806"/>
      <c r="BA9226" s="806"/>
      <c r="BB9226" s="806"/>
    </row>
    <row r="9227" spans="4:54">
      <c r="D9227" s="806"/>
      <c r="F9227" s="806"/>
      <c r="W9227" s="806"/>
      <c r="AZ9227" s="806"/>
      <c r="BA9227" s="806"/>
      <c r="BB9227" s="806"/>
    </row>
    <row r="9228" spans="4:54">
      <c r="D9228" s="806"/>
      <c r="F9228" s="806"/>
      <c r="W9228" s="806"/>
      <c r="AZ9228" s="806"/>
      <c r="BA9228" s="806"/>
      <c r="BB9228" s="806"/>
    </row>
    <row r="9229" spans="4:54">
      <c r="D9229" s="806"/>
      <c r="F9229" s="806"/>
      <c r="W9229" s="806"/>
      <c r="AZ9229" s="806"/>
      <c r="BA9229" s="806"/>
      <c r="BB9229" s="806"/>
    </row>
    <row r="9230" spans="4:54">
      <c r="D9230" s="806"/>
      <c r="F9230" s="806"/>
      <c r="W9230" s="806"/>
      <c r="AZ9230" s="806"/>
      <c r="BA9230" s="806"/>
      <c r="BB9230" s="806"/>
    </row>
    <row r="9231" spans="4:54">
      <c r="D9231" s="806"/>
      <c r="F9231" s="806"/>
      <c r="W9231" s="806"/>
      <c r="AZ9231" s="806"/>
      <c r="BA9231" s="806"/>
      <c r="BB9231" s="806"/>
    </row>
    <row r="9232" spans="4:54">
      <c r="D9232" s="806"/>
      <c r="F9232" s="806"/>
      <c r="W9232" s="806"/>
      <c r="AZ9232" s="806"/>
      <c r="BA9232" s="806"/>
      <c r="BB9232" s="806"/>
    </row>
    <row r="9233" spans="4:54">
      <c r="D9233" s="806"/>
      <c r="F9233" s="806"/>
      <c r="W9233" s="806"/>
      <c r="AZ9233" s="806"/>
      <c r="BA9233" s="806"/>
      <c r="BB9233" s="806"/>
    </row>
    <row r="9234" spans="4:54">
      <c r="D9234" s="806"/>
      <c r="F9234" s="806"/>
      <c r="W9234" s="806"/>
      <c r="AZ9234" s="806"/>
      <c r="BA9234" s="806"/>
      <c r="BB9234" s="806"/>
    </row>
    <row r="9235" spans="4:54">
      <c r="D9235" s="806"/>
      <c r="F9235" s="806"/>
      <c r="W9235" s="806"/>
      <c r="AZ9235" s="806"/>
      <c r="BA9235" s="806"/>
      <c r="BB9235" s="806"/>
    </row>
    <row r="9236" spans="4:54">
      <c r="D9236" s="806"/>
      <c r="F9236" s="806"/>
      <c r="W9236" s="806"/>
      <c r="AZ9236" s="806"/>
      <c r="BA9236" s="806"/>
      <c r="BB9236" s="806"/>
    </row>
    <row r="9237" spans="4:54">
      <c r="D9237" s="806"/>
      <c r="F9237" s="806"/>
      <c r="W9237" s="806"/>
      <c r="AZ9237" s="806"/>
      <c r="BA9237" s="806"/>
      <c r="BB9237" s="806"/>
    </row>
    <row r="9238" spans="4:54">
      <c r="D9238" s="806"/>
      <c r="F9238" s="806"/>
      <c r="W9238" s="806"/>
      <c r="AZ9238" s="806"/>
      <c r="BA9238" s="806"/>
      <c r="BB9238" s="806"/>
    </row>
    <row r="9239" spans="4:54">
      <c r="D9239" s="806"/>
      <c r="F9239" s="806"/>
      <c r="W9239" s="806"/>
      <c r="AZ9239" s="806"/>
      <c r="BA9239" s="806"/>
      <c r="BB9239" s="806"/>
    </row>
    <row r="9240" spans="4:54">
      <c r="D9240" s="806"/>
      <c r="F9240" s="806"/>
      <c r="W9240" s="806"/>
      <c r="AZ9240" s="806"/>
      <c r="BA9240" s="806"/>
      <c r="BB9240" s="806"/>
    </row>
    <row r="9241" spans="4:54">
      <c r="D9241" s="806"/>
      <c r="F9241" s="806"/>
      <c r="W9241" s="806"/>
      <c r="AZ9241" s="806"/>
      <c r="BA9241" s="806"/>
      <c r="BB9241" s="806"/>
    </row>
    <row r="9242" spans="4:54">
      <c r="D9242" s="806"/>
      <c r="F9242" s="806"/>
      <c r="W9242" s="806"/>
      <c r="AZ9242" s="806"/>
      <c r="BA9242" s="806"/>
      <c r="BB9242" s="806"/>
    </row>
    <row r="9243" spans="4:54">
      <c r="D9243" s="806"/>
      <c r="F9243" s="806"/>
      <c r="W9243" s="806"/>
      <c r="AZ9243" s="806"/>
      <c r="BA9243" s="806"/>
      <c r="BB9243" s="806"/>
    </row>
    <row r="9244" spans="4:54">
      <c r="D9244" s="806"/>
      <c r="F9244" s="806"/>
      <c r="W9244" s="806"/>
      <c r="AZ9244" s="806"/>
      <c r="BA9244" s="806"/>
      <c r="BB9244" s="806"/>
    </row>
    <row r="9245" spans="4:54">
      <c r="D9245" s="806"/>
      <c r="F9245" s="806"/>
      <c r="W9245" s="806"/>
      <c r="AZ9245" s="806"/>
      <c r="BA9245" s="806"/>
      <c r="BB9245" s="806"/>
    </row>
    <row r="9246" spans="4:54">
      <c r="D9246" s="806"/>
      <c r="F9246" s="806"/>
      <c r="W9246" s="806"/>
      <c r="AZ9246" s="806"/>
      <c r="BA9246" s="806"/>
      <c r="BB9246" s="806"/>
    </row>
    <row r="9247" spans="4:54">
      <c r="D9247" s="806"/>
      <c r="F9247" s="806"/>
      <c r="W9247" s="806"/>
      <c r="AZ9247" s="806"/>
      <c r="BA9247" s="806"/>
      <c r="BB9247" s="806"/>
    </row>
    <row r="9248" spans="4:54">
      <c r="D9248" s="806"/>
      <c r="F9248" s="806"/>
      <c r="W9248" s="806"/>
      <c r="AZ9248" s="806"/>
      <c r="BA9248" s="806"/>
      <c r="BB9248" s="806"/>
    </row>
    <row r="9249" spans="4:54">
      <c r="D9249" s="806"/>
      <c r="F9249" s="806"/>
      <c r="W9249" s="806"/>
      <c r="AZ9249" s="806"/>
      <c r="BA9249" s="806"/>
      <c r="BB9249" s="806"/>
    </row>
    <row r="9250" spans="4:54">
      <c r="D9250" s="806"/>
      <c r="F9250" s="806"/>
      <c r="W9250" s="806"/>
      <c r="AZ9250" s="806"/>
      <c r="BA9250" s="806"/>
      <c r="BB9250" s="806"/>
    </row>
    <row r="9251" spans="4:54">
      <c r="D9251" s="806"/>
      <c r="F9251" s="806"/>
      <c r="W9251" s="806"/>
      <c r="AZ9251" s="806"/>
      <c r="BA9251" s="806"/>
      <c r="BB9251" s="806"/>
    </row>
    <row r="9252" spans="4:54">
      <c r="D9252" s="806"/>
      <c r="F9252" s="806"/>
      <c r="W9252" s="806"/>
      <c r="AZ9252" s="806"/>
      <c r="BA9252" s="806"/>
      <c r="BB9252" s="806"/>
    </row>
    <row r="9253" spans="4:54">
      <c r="D9253" s="806"/>
      <c r="F9253" s="806"/>
      <c r="W9253" s="806"/>
      <c r="AZ9253" s="806"/>
      <c r="BA9253" s="806"/>
      <c r="BB9253" s="806"/>
    </row>
    <row r="9254" spans="4:54">
      <c r="D9254" s="806"/>
      <c r="F9254" s="806"/>
      <c r="W9254" s="806"/>
      <c r="AZ9254" s="806"/>
      <c r="BA9254" s="806"/>
      <c r="BB9254" s="806"/>
    </row>
    <row r="9255" spans="4:54">
      <c r="D9255" s="806"/>
      <c r="F9255" s="806"/>
      <c r="W9255" s="806"/>
      <c r="AZ9255" s="806"/>
      <c r="BA9255" s="806"/>
      <c r="BB9255" s="806"/>
    </row>
    <row r="9256" spans="4:54">
      <c r="D9256" s="806"/>
      <c r="F9256" s="806"/>
      <c r="W9256" s="806"/>
      <c r="AZ9256" s="806"/>
      <c r="BA9256" s="806"/>
      <c r="BB9256" s="806"/>
    </row>
    <row r="9257" spans="4:54">
      <c r="D9257" s="806"/>
      <c r="F9257" s="806"/>
      <c r="W9257" s="806"/>
      <c r="AZ9257" s="806"/>
      <c r="BA9257" s="806"/>
      <c r="BB9257" s="806"/>
    </row>
    <row r="9258" spans="4:54">
      <c r="D9258" s="806"/>
      <c r="F9258" s="806"/>
      <c r="W9258" s="806"/>
      <c r="AZ9258" s="806"/>
      <c r="BA9258" s="806"/>
      <c r="BB9258" s="806"/>
    </row>
    <row r="9259" spans="4:54">
      <c r="D9259" s="806"/>
      <c r="F9259" s="806"/>
      <c r="W9259" s="806"/>
      <c r="AZ9259" s="806"/>
      <c r="BA9259" s="806"/>
      <c r="BB9259" s="806"/>
    </row>
    <row r="9260" spans="4:54">
      <c r="D9260" s="806"/>
      <c r="F9260" s="806"/>
      <c r="W9260" s="806"/>
      <c r="AZ9260" s="806"/>
      <c r="BA9260" s="806"/>
      <c r="BB9260" s="806"/>
    </row>
    <row r="9261" spans="4:54">
      <c r="D9261" s="806"/>
      <c r="F9261" s="806"/>
      <c r="W9261" s="806"/>
      <c r="AZ9261" s="806"/>
      <c r="BA9261" s="806"/>
      <c r="BB9261" s="806"/>
    </row>
    <row r="9262" spans="4:54">
      <c r="D9262" s="806"/>
      <c r="F9262" s="806"/>
      <c r="W9262" s="806"/>
      <c r="AZ9262" s="806"/>
      <c r="BA9262" s="806"/>
      <c r="BB9262" s="806"/>
    </row>
    <row r="9263" spans="4:54">
      <c r="D9263" s="806"/>
      <c r="F9263" s="806"/>
      <c r="W9263" s="806"/>
      <c r="AZ9263" s="806"/>
      <c r="BA9263" s="806"/>
      <c r="BB9263" s="806"/>
    </row>
    <row r="9264" spans="4:54">
      <c r="D9264" s="806"/>
      <c r="F9264" s="806"/>
      <c r="W9264" s="806"/>
      <c r="AZ9264" s="806"/>
      <c r="BA9264" s="806"/>
      <c r="BB9264" s="806"/>
    </row>
    <row r="9265" spans="4:54">
      <c r="D9265" s="806"/>
      <c r="F9265" s="806"/>
      <c r="W9265" s="806"/>
      <c r="AZ9265" s="806"/>
      <c r="BA9265" s="806"/>
      <c r="BB9265" s="806"/>
    </row>
    <row r="9266" spans="4:54">
      <c r="D9266" s="806"/>
      <c r="F9266" s="806"/>
      <c r="W9266" s="806"/>
      <c r="AZ9266" s="806"/>
      <c r="BA9266" s="806"/>
      <c r="BB9266" s="806"/>
    </row>
    <row r="9267" spans="4:54">
      <c r="D9267" s="806"/>
      <c r="F9267" s="806"/>
      <c r="W9267" s="806"/>
      <c r="AZ9267" s="806"/>
      <c r="BA9267" s="806"/>
      <c r="BB9267" s="806"/>
    </row>
    <row r="9268" spans="4:54">
      <c r="D9268" s="806"/>
      <c r="F9268" s="806"/>
      <c r="W9268" s="806"/>
      <c r="AZ9268" s="806"/>
      <c r="BA9268" s="806"/>
      <c r="BB9268" s="806"/>
    </row>
    <row r="9269" spans="4:54">
      <c r="D9269" s="806"/>
      <c r="F9269" s="806"/>
      <c r="W9269" s="806"/>
      <c r="AZ9269" s="806"/>
      <c r="BA9269" s="806"/>
      <c r="BB9269" s="806"/>
    </row>
    <row r="9270" spans="4:54">
      <c r="D9270" s="806"/>
      <c r="F9270" s="806"/>
      <c r="W9270" s="806"/>
      <c r="AZ9270" s="806"/>
      <c r="BA9270" s="806"/>
      <c r="BB9270" s="806"/>
    </row>
    <row r="9271" spans="4:54">
      <c r="D9271" s="806"/>
      <c r="F9271" s="806"/>
      <c r="W9271" s="806"/>
      <c r="AZ9271" s="806"/>
      <c r="BA9271" s="806"/>
      <c r="BB9271" s="806"/>
    </row>
    <row r="9272" spans="4:54">
      <c r="D9272" s="806"/>
      <c r="F9272" s="806"/>
      <c r="W9272" s="806"/>
      <c r="AZ9272" s="806"/>
      <c r="BA9272" s="806"/>
      <c r="BB9272" s="806"/>
    </row>
    <row r="9273" spans="4:54">
      <c r="D9273" s="806"/>
      <c r="F9273" s="806"/>
      <c r="W9273" s="806"/>
      <c r="AZ9273" s="806"/>
      <c r="BA9273" s="806"/>
      <c r="BB9273" s="806"/>
    </row>
    <row r="9274" spans="4:54">
      <c r="D9274" s="806"/>
      <c r="F9274" s="806"/>
      <c r="W9274" s="806"/>
      <c r="AZ9274" s="806"/>
      <c r="BA9274" s="806"/>
      <c r="BB9274" s="806"/>
    </row>
    <row r="9275" spans="4:54">
      <c r="D9275" s="806"/>
      <c r="F9275" s="806"/>
      <c r="W9275" s="806"/>
      <c r="AZ9275" s="806"/>
      <c r="BA9275" s="806"/>
      <c r="BB9275" s="806"/>
    </row>
    <row r="9276" spans="4:54">
      <c r="D9276" s="806"/>
      <c r="F9276" s="806"/>
      <c r="W9276" s="806"/>
      <c r="AZ9276" s="806"/>
      <c r="BA9276" s="806"/>
      <c r="BB9276" s="806"/>
    </row>
    <row r="9277" spans="4:54">
      <c r="D9277" s="806"/>
      <c r="F9277" s="806"/>
      <c r="W9277" s="806"/>
      <c r="AZ9277" s="806"/>
      <c r="BA9277" s="806"/>
      <c r="BB9277" s="806"/>
    </row>
    <row r="9278" spans="4:54">
      <c r="D9278" s="806"/>
      <c r="F9278" s="806"/>
      <c r="W9278" s="806"/>
      <c r="AZ9278" s="806"/>
      <c r="BA9278" s="806"/>
      <c r="BB9278" s="806"/>
    </row>
    <row r="9279" spans="4:54">
      <c r="D9279" s="806"/>
      <c r="F9279" s="806"/>
      <c r="W9279" s="806"/>
      <c r="AZ9279" s="806"/>
      <c r="BA9279" s="806"/>
      <c r="BB9279" s="806"/>
    </row>
    <row r="9280" spans="4:54">
      <c r="D9280" s="806"/>
      <c r="F9280" s="806"/>
      <c r="W9280" s="806"/>
      <c r="AZ9280" s="806"/>
      <c r="BA9280" s="806"/>
      <c r="BB9280" s="806"/>
    </row>
    <row r="9281" spans="4:54">
      <c r="D9281" s="806"/>
      <c r="F9281" s="806"/>
      <c r="W9281" s="806"/>
      <c r="AZ9281" s="806"/>
      <c r="BA9281" s="806"/>
      <c r="BB9281" s="806"/>
    </row>
    <row r="9282" spans="4:54">
      <c r="D9282" s="806"/>
      <c r="F9282" s="806"/>
      <c r="W9282" s="806"/>
      <c r="AZ9282" s="806"/>
      <c r="BA9282" s="806"/>
      <c r="BB9282" s="806"/>
    </row>
    <row r="9283" spans="4:54">
      <c r="D9283" s="806"/>
      <c r="F9283" s="806"/>
      <c r="W9283" s="806"/>
      <c r="AZ9283" s="806"/>
      <c r="BA9283" s="806"/>
      <c r="BB9283" s="806"/>
    </row>
    <row r="9284" spans="4:54">
      <c r="D9284" s="806"/>
      <c r="F9284" s="806"/>
      <c r="W9284" s="806"/>
      <c r="AZ9284" s="806"/>
      <c r="BA9284" s="806"/>
      <c r="BB9284" s="806"/>
    </row>
    <row r="9285" spans="4:54">
      <c r="D9285" s="806"/>
      <c r="F9285" s="806"/>
      <c r="W9285" s="806"/>
      <c r="AZ9285" s="806"/>
      <c r="BA9285" s="806"/>
      <c r="BB9285" s="806"/>
    </row>
    <row r="9286" spans="4:54">
      <c r="D9286" s="806"/>
      <c r="F9286" s="806"/>
      <c r="W9286" s="806"/>
      <c r="AZ9286" s="806"/>
      <c r="BA9286" s="806"/>
      <c r="BB9286" s="806"/>
    </row>
    <row r="9287" spans="4:54">
      <c r="D9287" s="806"/>
      <c r="F9287" s="806"/>
      <c r="W9287" s="806"/>
      <c r="AZ9287" s="806"/>
      <c r="BA9287" s="806"/>
      <c r="BB9287" s="806"/>
    </row>
    <row r="9288" spans="4:54">
      <c r="D9288" s="806"/>
      <c r="F9288" s="806"/>
      <c r="W9288" s="806"/>
      <c r="AZ9288" s="806"/>
      <c r="BA9288" s="806"/>
      <c r="BB9288" s="806"/>
    </row>
    <row r="9289" spans="4:54">
      <c r="D9289" s="806"/>
      <c r="F9289" s="806"/>
      <c r="W9289" s="806"/>
      <c r="AZ9289" s="806"/>
      <c r="BA9289" s="806"/>
      <c r="BB9289" s="806"/>
    </row>
    <row r="9290" spans="4:54">
      <c r="D9290" s="806"/>
      <c r="F9290" s="806"/>
      <c r="W9290" s="806"/>
      <c r="AZ9290" s="806"/>
      <c r="BA9290" s="806"/>
      <c r="BB9290" s="806"/>
    </row>
    <row r="9291" spans="4:54">
      <c r="D9291" s="806"/>
      <c r="F9291" s="806"/>
      <c r="W9291" s="806"/>
      <c r="AZ9291" s="806"/>
      <c r="BA9291" s="806"/>
      <c r="BB9291" s="806"/>
    </row>
    <row r="9292" spans="4:54">
      <c r="D9292" s="806"/>
      <c r="F9292" s="806"/>
      <c r="W9292" s="806"/>
      <c r="AZ9292" s="806"/>
      <c r="BA9292" s="806"/>
      <c r="BB9292" s="806"/>
    </row>
    <row r="9293" spans="4:54">
      <c r="D9293" s="806"/>
      <c r="F9293" s="806"/>
      <c r="W9293" s="806"/>
      <c r="AZ9293" s="806"/>
      <c r="BA9293" s="806"/>
      <c r="BB9293" s="806"/>
    </row>
    <row r="9294" spans="4:54">
      <c r="D9294" s="806"/>
      <c r="F9294" s="806"/>
      <c r="W9294" s="806"/>
      <c r="AZ9294" s="806"/>
      <c r="BA9294" s="806"/>
      <c r="BB9294" s="806"/>
    </row>
    <row r="9295" spans="4:54">
      <c r="D9295" s="806"/>
      <c r="F9295" s="806"/>
      <c r="W9295" s="806"/>
      <c r="AZ9295" s="806"/>
      <c r="BA9295" s="806"/>
      <c r="BB9295" s="806"/>
    </row>
    <row r="9296" spans="4:54">
      <c r="D9296" s="806"/>
      <c r="F9296" s="806"/>
      <c r="W9296" s="806"/>
      <c r="AZ9296" s="806"/>
      <c r="BA9296" s="806"/>
      <c r="BB9296" s="806"/>
    </row>
    <row r="9297" spans="4:54">
      <c r="D9297" s="806"/>
      <c r="F9297" s="806"/>
      <c r="W9297" s="806"/>
      <c r="AZ9297" s="806"/>
      <c r="BA9297" s="806"/>
      <c r="BB9297" s="806"/>
    </row>
    <row r="9298" spans="4:54">
      <c r="D9298" s="806"/>
      <c r="F9298" s="806"/>
      <c r="W9298" s="806"/>
      <c r="AZ9298" s="806"/>
      <c r="BA9298" s="806"/>
      <c r="BB9298" s="806"/>
    </row>
    <row r="9299" spans="4:54">
      <c r="D9299" s="806"/>
      <c r="F9299" s="806"/>
      <c r="W9299" s="806"/>
      <c r="AZ9299" s="806"/>
      <c r="BA9299" s="806"/>
      <c r="BB9299" s="806"/>
    </row>
    <row r="9300" spans="4:54">
      <c r="D9300" s="806"/>
      <c r="F9300" s="806"/>
      <c r="W9300" s="806"/>
      <c r="AZ9300" s="806"/>
      <c r="BA9300" s="806"/>
      <c r="BB9300" s="806"/>
    </row>
    <row r="9301" spans="4:54">
      <c r="D9301" s="806"/>
      <c r="F9301" s="806"/>
      <c r="W9301" s="806"/>
      <c r="AZ9301" s="806"/>
      <c r="BA9301" s="806"/>
      <c r="BB9301" s="806"/>
    </row>
    <row r="9302" spans="4:54">
      <c r="D9302" s="806"/>
      <c r="F9302" s="806"/>
      <c r="W9302" s="806"/>
      <c r="AZ9302" s="806"/>
      <c r="BA9302" s="806"/>
      <c r="BB9302" s="806"/>
    </row>
    <row r="9303" spans="4:54">
      <c r="D9303" s="806"/>
      <c r="F9303" s="806"/>
      <c r="W9303" s="806"/>
      <c r="AZ9303" s="806"/>
      <c r="BA9303" s="806"/>
      <c r="BB9303" s="806"/>
    </row>
    <row r="9304" spans="4:54">
      <c r="D9304" s="806"/>
      <c r="F9304" s="806"/>
      <c r="W9304" s="806"/>
      <c r="AZ9304" s="806"/>
      <c r="BA9304" s="806"/>
      <c r="BB9304" s="806"/>
    </row>
    <row r="9305" spans="4:54">
      <c r="D9305" s="806"/>
      <c r="F9305" s="806"/>
      <c r="W9305" s="806"/>
      <c r="AZ9305" s="806"/>
      <c r="BA9305" s="806"/>
      <c r="BB9305" s="806"/>
    </row>
    <row r="9306" spans="4:54">
      <c r="D9306" s="806"/>
      <c r="F9306" s="806"/>
      <c r="W9306" s="806"/>
      <c r="AZ9306" s="806"/>
      <c r="BA9306" s="806"/>
      <c r="BB9306" s="806"/>
    </row>
    <row r="9307" spans="4:54">
      <c r="D9307" s="806"/>
      <c r="F9307" s="806"/>
      <c r="W9307" s="806"/>
      <c r="AZ9307" s="806"/>
      <c r="BA9307" s="806"/>
      <c r="BB9307" s="806"/>
    </row>
    <row r="9308" spans="4:54">
      <c r="D9308" s="806"/>
      <c r="F9308" s="806"/>
      <c r="W9308" s="806"/>
      <c r="AZ9308" s="806"/>
      <c r="BA9308" s="806"/>
      <c r="BB9308" s="806"/>
    </row>
    <row r="9309" spans="4:54">
      <c r="D9309" s="806"/>
      <c r="F9309" s="806"/>
      <c r="W9309" s="806"/>
      <c r="AZ9309" s="806"/>
      <c r="BA9309" s="806"/>
      <c r="BB9309" s="806"/>
    </row>
    <row r="9310" spans="4:54">
      <c r="D9310" s="806"/>
      <c r="F9310" s="806"/>
      <c r="W9310" s="806"/>
      <c r="AZ9310" s="806"/>
      <c r="BA9310" s="806"/>
      <c r="BB9310" s="806"/>
    </row>
    <row r="9311" spans="4:54">
      <c r="D9311" s="806"/>
      <c r="F9311" s="806"/>
      <c r="W9311" s="806"/>
      <c r="AZ9311" s="806"/>
      <c r="BA9311" s="806"/>
      <c r="BB9311" s="806"/>
    </row>
    <row r="9312" spans="4:54">
      <c r="D9312" s="806"/>
      <c r="F9312" s="806"/>
      <c r="W9312" s="806"/>
      <c r="AZ9312" s="806"/>
      <c r="BA9312" s="806"/>
      <c r="BB9312" s="806"/>
    </row>
    <row r="9313" spans="4:54">
      <c r="D9313" s="806"/>
      <c r="F9313" s="806"/>
      <c r="W9313" s="806"/>
      <c r="AZ9313" s="806"/>
      <c r="BA9313" s="806"/>
      <c r="BB9313" s="806"/>
    </row>
    <row r="9314" spans="4:54">
      <c r="D9314" s="806"/>
      <c r="F9314" s="806"/>
      <c r="W9314" s="806"/>
      <c r="AZ9314" s="806"/>
      <c r="BA9314" s="806"/>
      <c r="BB9314" s="806"/>
    </row>
    <row r="9315" spans="4:54">
      <c r="D9315" s="806"/>
      <c r="F9315" s="806"/>
      <c r="W9315" s="806"/>
      <c r="AZ9315" s="806"/>
      <c r="BA9315" s="806"/>
      <c r="BB9315" s="806"/>
    </row>
    <row r="9316" spans="4:54">
      <c r="D9316" s="806"/>
      <c r="F9316" s="806"/>
      <c r="W9316" s="806"/>
      <c r="AZ9316" s="806"/>
      <c r="BA9316" s="806"/>
      <c r="BB9316" s="806"/>
    </row>
    <row r="9317" spans="4:54">
      <c r="D9317" s="806"/>
      <c r="F9317" s="806"/>
      <c r="W9317" s="806"/>
      <c r="AZ9317" s="806"/>
      <c r="BA9317" s="806"/>
      <c r="BB9317" s="806"/>
    </row>
    <row r="9318" spans="4:54">
      <c r="D9318" s="806"/>
      <c r="F9318" s="806"/>
      <c r="W9318" s="806"/>
      <c r="AZ9318" s="806"/>
      <c r="BA9318" s="806"/>
      <c r="BB9318" s="806"/>
    </row>
    <row r="9319" spans="4:54">
      <c r="D9319" s="806"/>
      <c r="F9319" s="806"/>
      <c r="W9319" s="806"/>
      <c r="AZ9319" s="806"/>
      <c r="BA9319" s="806"/>
      <c r="BB9319" s="806"/>
    </row>
    <row r="9320" spans="4:54">
      <c r="D9320" s="806"/>
      <c r="F9320" s="806"/>
      <c r="W9320" s="806"/>
      <c r="AZ9320" s="806"/>
      <c r="BA9320" s="806"/>
      <c r="BB9320" s="806"/>
    </row>
    <row r="9321" spans="4:54">
      <c r="D9321" s="806"/>
      <c r="F9321" s="806"/>
      <c r="W9321" s="806"/>
      <c r="AZ9321" s="806"/>
      <c r="BA9321" s="806"/>
      <c r="BB9321" s="806"/>
    </row>
    <row r="9322" spans="4:54">
      <c r="D9322" s="806"/>
      <c r="F9322" s="806"/>
      <c r="W9322" s="806"/>
      <c r="AZ9322" s="806"/>
      <c r="BA9322" s="806"/>
      <c r="BB9322" s="806"/>
    </row>
    <row r="9323" spans="4:54">
      <c r="D9323" s="806"/>
      <c r="F9323" s="806"/>
      <c r="W9323" s="806"/>
      <c r="AZ9323" s="806"/>
      <c r="BA9323" s="806"/>
      <c r="BB9323" s="806"/>
    </row>
    <row r="9324" spans="4:54">
      <c r="D9324" s="806"/>
      <c r="F9324" s="806"/>
      <c r="W9324" s="806"/>
      <c r="AZ9324" s="806"/>
      <c r="BA9324" s="806"/>
      <c r="BB9324" s="806"/>
    </row>
    <row r="9325" spans="4:54">
      <c r="D9325" s="806"/>
      <c r="F9325" s="806"/>
      <c r="W9325" s="806"/>
      <c r="AZ9325" s="806"/>
      <c r="BA9325" s="806"/>
      <c r="BB9325" s="806"/>
    </row>
    <row r="9326" spans="4:54">
      <c r="D9326" s="806"/>
      <c r="F9326" s="806"/>
      <c r="W9326" s="806"/>
      <c r="AZ9326" s="806"/>
      <c r="BA9326" s="806"/>
      <c r="BB9326" s="806"/>
    </row>
    <row r="9327" spans="4:54">
      <c r="D9327" s="806"/>
      <c r="F9327" s="806"/>
      <c r="W9327" s="806"/>
      <c r="AZ9327" s="806"/>
      <c r="BA9327" s="806"/>
      <c r="BB9327" s="806"/>
    </row>
    <row r="9328" spans="4:54">
      <c r="D9328" s="806"/>
      <c r="F9328" s="806"/>
      <c r="W9328" s="806"/>
      <c r="AZ9328" s="806"/>
      <c r="BA9328" s="806"/>
      <c r="BB9328" s="806"/>
    </row>
    <row r="9329" spans="4:54">
      <c r="D9329" s="806"/>
      <c r="F9329" s="806"/>
      <c r="W9329" s="806"/>
      <c r="AZ9329" s="806"/>
      <c r="BA9329" s="806"/>
      <c r="BB9329" s="806"/>
    </row>
    <row r="9330" spans="4:54">
      <c r="D9330" s="806"/>
      <c r="F9330" s="806"/>
      <c r="W9330" s="806"/>
      <c r="AZ9330" s="806"/>
      <c r="BA9330" s="806"/>
      <c r="BB9330" s="806"/>
    </row>
    <row r="9331" spans="4:54">
      <c r="D9331" s="806"/>
      <c r="F9331" s="806"/>
      <c r="W9331" s="806"/>
      <c r="AZ9331" s="806"/>
      <c r="BA9331" s="806"/>
      <c r="BB9331" s="806"/>
    </row>
    <row r="9332" spans="4:54">
      <c r="D9332" s="806"/>
      <c r="F9332" s="806"/>
      <c r="W9332" s="806"/>
      <c r="AZ9332" s="806"/>
      <c r="BA9332" s="806"/>
      <c r="BB9332" s="806"/>
    </row>
    <row r="9333" spans="4:54">
      <c r="D9333" s="806"/>
      <c r="F9333" s="806"/>
      <c r="W9333" s="806"/>
      <c r="AZ9333" s="806"/>
      <c r="BA9333" s="806"/>
      <c r="BB9333" s="806"/>
    </row>
    <row r="9334" spans="4:54">
      <c r="D9334" s="806"/>
      <c r="F9334" s="806"/>
      <c r="W9334" s="806"/>
      <c r="AZ9334" s="806"/>
      <c r="BA9334" s="806"/>
      <c r="BB9334" s="806"/>
    </row>
    <row r="9335" spans="4:54">
      <c r="D9335" s="806"/>
      <c r="F9335" s="806"/>
      <c r="W9335" s="806"/>
      <c r="AZ9335" s="806"/>
      <c r="BA9335" s="806"/>
      <c r="BB9335" s="806"/>
    </row>
    <row r="9336" spans="4:54">
      <c r="D9336" s="806"/>
      <c r="F9336" s="806"/>
      <c r="W9336" s="806"/>
      <c r="AZ9336" s="806"/>
      <c r="BA9336" s="806"/>
      <c r="BB9336" s="806"/>
    </row>
    <row r="9337" spans="4:54">
      <c r="D9337" s="806"/>
      <c r="F9337" s="806"/>
      <c r="W9337" s="806"/>
      <c r="AZ9337" s="806"/>
      <c r="BA9337" s="806"/>
      <c r="BB9337" s="806"/>
    </row>
    <row r="9338" spans="4:54">
      <c r="D9338" s="806"/>
      <c r="F9338" s="806"/>
      <c r="W9338" s="806"/>
      <c r="AZ9338" s="806"/>
      <c r="BA9338" s="806"/>
      <c r="BB9338" s="806"/>
    </row>
    <row r="9339" spans="4:54">
      <c r="D9339" s="806"/>
      <c r="F9339" s="806"/>
      <c r="W9339" s="806"/>
      <c r="AZ9339" s="806"/>
      <c r="BA9339" s="806"/>
      <c r="BB9339" s="806"/>
    </row>
    <row r="9340" spans="4:54">
      <c r="D9340" s="806"/>
      <c r="F9340" s="806"/>
      <c r="W9340" s="806"/>
      <c r="AZ9340" s="806"/>
      <c r="BA9340" s="806"/>
      <c r="BB9340" s="806"/>
    </row>
    <row r="9341" spans="4:54">
      <c r="D9341" s="806"/>
      <c r="F9341" s="806"/>
      <c r="W9341" s="806"/>
      <c r="AZ9341" s="806"/>
      <c r="BA9341" s="806"/>
      <c r="BB9341" s="806"/>
    </row>
    <row r="9342" spans="4:54">
      <c r="D9342" s="806"/>
      <c r="F9342" s="806"/>
      <c r="W9342" s="806"/>
      <c r="AZ9342" s="806"/>
      <c r="BA9342" s="806"/>
      <c r="BB9342" s="806"/>
    </row>
    <row r="9343" spans="4:54">
      <c r="D9343" s="806"/>
      <c r="F9343" s="806"/>
      <c r="W9343" s="806"/>
      <c r="AZ9343" s="806"/>
      <c r="BA9343" s="806"/>
      <c r="BB9343" s="806"/>
    </row>
    <row r="9344" spans="4:54">
      <c r="D9344" s="806"/>
      <c r="F9344" s="806"/>
      <c r="W9344" s="806"/>
      <c r="AZ9344" s="806"/>
      <c r="BA9344" s="806"/>
      <c r="BB9344" s="806"/>
    </row>
    <row r="9345" spans="4:54">
      <c r="D9345" s="806"/>
      <c r="F9345" s="806"/>
      <c r="W9345" s="806"/>
      <c r="AZ9345" s="806"/>
      <c r="BA9345" s="806"/>
      <c r="BB9345" s="806"/>
    </row>
    <row r="9346" spans="4:54">
      <c r="D9346" s="806"/>
      <c r="F9346" s="806"/>
      <c r="W9346" s="806"/>
      <c r="AZ9346" s="806"/>
      <c r="BA9346" s="806"/>
      <c r="BB9346" s="806"/>
    </row>
    <row r="9347" spans="4:54">
      <c r="D9347" s="806"/>
      <c r="F9347" s="806"/>
      <c r="W9347" s="806"/>
      <c r="AZ9347" s="806"/>
      <c r="BA9347" s="806"/>
      <c r="BB9347" s="806"/>
    </row>
    <row r="9348" spans="4:54">
      <c r="D9348" s="806"/>
      <c r="F9348" s="806"/>
      <c r="W9348" s="806"/>
      <c r="AZ9348" s="806"/>
      <c r="BA9348" s="806"/>
      <c r="BB9348" s="806"/>
    </row>
    <row r="9349" spans="4:54">
      <c r="D9349" s="806"/>
      <c r="F9349" s="806"/>
      <c r="W9349" s="806"/>
      <c r="AZ9349" s="806"/>
      <c r="BA9349" s="806"/>
      <c r="BB9349" s="806"/>
    </row>
    <row r="9350" spans="4:54">
      <c r="D9350" s="806"/>
      <c r="F9350" s="806"/>
      <c r="W9350" s="806"/>
      <c r="AZ9350" s="806"/>
      <c r="BA9350" s="806"/>
      <c r="BB9350" s="806"/>
    </row>
    <row r="9351" spans="4:54">
      <c r="D9351" s="806"/>
      <c r="F9351" s="806"/>
      <c r="W9351" s="806"/>
      <c r="AZ9351" s="806"/>
      <c r="BA9351" s="806"/>
      <c r="BB9351" s="806"/>
    </row>
    <row r="9352" spans="4:54">
      <c r="D9352" s="806"/>
      <c r="F9352" s="806"/>
      <c r="W9352" s="806"/>
      <c r="AZ9352" s="806"/>
      <c r="BA9352" s="806"/>
      <c r="BB9352" s="806"/>
    </row>
    <row r="9353" spans="4:54">
      <c r="D9353" s="806"/>
      <c r="F9353" s="806"/>
      <c r="W9353" s="806"/>
      <c r="AZ9353" s="806"/>
      <c r="BA9353" s="806"/>
      <c r="BB9353" s="806"/>
    </row>
    <row r="9354" spans="4:54">
      <c r="D9354" s="806"/>
      <c r="F9354" s="806"/>
      <c r="W9354" s="806"/>
      <c r="AZ9354" s="806"/>
      <c r="BA9354" s="806"/>
      <c r="BB9354" s="806"/>
    </row>
    <row r="9355" spans="4:54">
      <c r="D9355" s="806"/>
      <c r="F9355" s="806"/>
      <c r="W9355" s="806"/>
      <c r="AZ9355" s="806"/>
      <c r="BA9355" s="806"/>
      <c r="BB9355" s="806"/>
    </row>
    <row r="9356" spans="4:54">
      <c r="D9356" s="806"/>
      <c r="F9356" s="806"/>
      <c r="W9356" s="806"/>
      <c r="AZ9356" s="806"/>
      <c r="BA9356" s="806"/>
      <c r="BB9356" s="806"/>
    </row>
    <row r="9357" spans="4:54">
      <c r="D9357" s="806"/>
      <c r="F9357" s="806"/>
      <c r="W9357" s="806"/>
      <c r="AZ9357" s="806"/>
      <c r="BA9357" s="806"/>
      <c r="BB9357" s="806"/>
    </row>
    <row r="9358" spans="4:54">
      <c r="D9358" s="806"/>
      <c r="F9358" s="806"/>
      <c r="W9358" s="806"/>
      <c r="AZ9358" s="806"/>
      <c r="BA9358" s="806"/>
      <c r="BB9358" s="806"/>
    </row>
    <row r="9359" spans="4:54">
      <c r="D9359" s="806"/>
      <c r="F9359" s="806"/>
      <c r="W9359" s="806"/>
      <c r="AZ9359" s="806"/>
      <c r="BA9359" s="806"/>
      <c r="BB9359" s="806"/>
    </row>
    <row r="9360" spans="4:54">
      <c r="D9360" s="806"/>
      <c r="F9360" s="806"/>
      <c r="W9360" s="806"/>
      <c r="AZ9360" s="806"/>
      <c r="BA9360" s="806"/>
      <c r="BB9360" s="806"/>
    </row>
    <row r="9361" spans="4:54">
      <c r="D9361" s="806"/>
      <c r="F9361" s="806"/>
      <c r="W9361" s="806"/>
      <c r="AZ9361" s="806"/>
      <c r="BA9361" s="806"/>
      <c r="BB9361" s="806"/>
    </row>
    <row r="9362" spans="4:54">
      <c r="D9362" s="806"/>
      <c r="F9362" s="806"/>
      <c r="W9362" s="806"/>
      <c r="AZ9362" s="806"/>
      <c r="BA9362" s="806"/>
      <c r="BB9362" s="806"/>
    </row>
    <row r="9363" spans="4:54">
      <c r="D9363" s="806"/>
      <c r="F9363" s="806"/>
      <c r="W9363" s="806"/>
      <c r="AZ9363" s="806"/>
      <c r="BA9363" s="806"/>
      <c r="BB9363" s="806"/>
    </row>
    <row r="9364" spans="4:54">
      <c r="D9364" s="806"/>
      <c r="F9364" s="806"/>
      <c r="W9364" s="806"/>
      <c r="AZ9364" s="806"/>
      <c r="BA9364" s="806"/>
      <c r="BB9364" s="806"/>
    </row>
    <row r="9365" spans="4:54">
      <c r="D9365" s="806"/>
      <c r="F9365" s="806"/>
      <c r="W9365" s="806"/>
      <c r="AZ9365" s="806"/>
      <c r="BA9365" s="806"/>
      <c r="BB9365" s="806"/>
    </row>
    <row r="9366" spans="4:54">
      <c r="D9366" s="806"/>
      <c r="F9366" s="806"/>
      <c r="W9366" s="806"/>
      <c r="AZ9366" s="806"/>
      <c r="BA9366" s="806"/>
      <c r="BB9366" s="806"/>
    </row>
    <row r="9367" spans="4:54">
      <c r="D9367" s="806"/>
      <c r="F9367" s="806"/>
      <c r="W9367" s="806"/>
      <c r="AZ9367" s="806"/>
      <c r="BA9367" s="806"/>
      <c r="BB9367" s="806"/>
    </row>
    <row r="9368" spans="4:54">
      <c r="D9368" s="806"/>
      <c r="F9368" s="806"/>
      <c r="W9368" s="806"/>
      <c r="AZ9368" s="806"/>
      <c r="BA9368" s="806"/>
      <c r="BB9368" s="806"/>
    </row>
    <row r="9369" spans="4:54">
      <c r="D9369" s="806"/>
      <c r="F9369" s="806"/>
      <c r="W9369" s="806"/>
      <c r="AZ9369" s="806"/>
      <c r="BA9369" s="806"/>
      <c r="BB9369" s="806"/>
    </row>
    <row r="9370" spans="4:54">
      <c r="D9370" s="806"/>
      <c r="F9370" s="806"/>
      <c r="W9370" s="806"/>
      <c r="AZ9370" s="806"/>
      <c r="BA9370" s="806"/>
      <c r="BB9370" s="806"/>
    </row>
    <row r="9371" spans="4:54">
      <c r="D9371" s="806"/>
      <c r="F9371" s="806"/>
      <c r="W9371" s="806"/>
      <c r="AZ9371" s="806"/>
      <c r="BA9371" s="806"/>
      <c r="BB9371" s="806"/>
    </row>
    <row r="9372" spans="4:54">
      <c r="D9372" s="806"/>
      <c r="F9372" s="806"/>
      <c r="W9372" s="806"/>
      <c r="AZ9372" s="806"/>
      <c r="BA9372" s="806"/>
      <c r="BB9372" s="806"/>
    </row>
    <row r="9373" spans="4:54">
      <c r="D9373" s="806"/>
      <c r="F9373" s="806"/>
      <c r="W9373" s="806"/>
      <c r="AZ9373" s="806"/>
      <c r="BA9373" s="806"/>
      <c r="BB9373" s="806"/>
    </row>
    <row r="9374" spans="4:54">
      <c r="D9374" s="806"/>
      <c r="F9374" s="806"/>
      <c r="W9374" s="806"/>
      <c r="AZ9374" s="806"/>
      <c r="BA9374" s="806"/>
      <c r="BB9374" s="806"/>
    </row>
    <row r="9375" spans="4:54">
      <c r="D9375" s="806"/>
      <c r="F9375" s="806"/>
      <c r="W9375" s="806"/>
      <c r="AZ9375" s="806"/>
      <c r="BA9375" s="806"/>
      <c r="BB9375" s="806"/>
    </row>
    <row r="9376" spans="4:54">
      <c r="D9376" s="806"/>
      <c r="F9376" s="806"/>
      <c r="W9376" s="806"/>
      <c r="AZ9376" s="806"/>
      <c r="BA9376" s="806"/>
      <c r="BB9376" s="806"/>
    </row>
    <row r="9377" spans="4:54">
      <c r="D9377" s="806"/>
      <c r="F9377" s="806"/>
      <c r="W9377" s="806"/>
      <c r="AZ9377" s="806"/>
      <c r="BA9377" s="806"/>
      <c r="BB9377" s="806"/>
    </row>
    <row r="9378" spans="4:54">
      <c r="D9378" s="806"/>
      <c r="F9378" s="806"/>
      <c r="W9378" s="806"/>
      <c r="AZ9378" s="806"/>
      <c r="BA9378" s="806"/>
      <c r="BB9378" s="806"/>
    </row>
    <row r="9379" spans="4:54">
      <c r="D9379" s="806"/>
      <c r="F9379" s="806"/>
      <c r="W9379" s="806"/>
      <c r="AZ9379" s="806"/>
      <c r="BA9379" s="806"/>
      <c r="BB9379" s="806"/>
    </row>
    <row r="9380" spans="4:54">
      <c r="D9380" s="806"/>
      <c r="F9380" s="806"/>
      <c r="W9380" s="806"/>
      <c r="AZ9380" s="806"/>
      <c r="BA9380" s="806"/>
      <c r="BB9380" s="806"/>
    </row>
    <row r="9381" spans="4:54">
      <c r="D9381" s="806"/>
      <c r="F9381" s="806"/>
      <c r="W9381" s="806"/>
      <c r="AZ9381" s="806"/>
      <c r="BA9381" s="806"/>
      <c r="BB9381" s="806"/>
    </row>
    <row r="9382" spans="4:54">
      <c r="D9382" s="806"/>
      <c r="F9382" s="806"/>
      <c r="W9382" s="806"/>
      <c r="AZ9382" s="806"/>
      <c r="BA9382" s="806"/>
      <c r="BB9382" s="806"/>
    </row>
    <row r="9383" spans="4:54">
      <c r="D9383" s="806"/>
      <c r="F9383" s="806"/>
      <c r="W9383" s="806"/>
      <c r="AZ9383" s="806"/>
      <c r="BA9383" s="806"/>
      <c r="BB9383" s="806"/>
    </row>
    <row r="9384" spans="4:54">
      <c r="D9384" s="806"/>
      <c r="F9384" s="806"/>
      <c r="W9384" s="806"/>
      <c r="AZ9384" s="806"/>
      <c r="BA9384" s="806"/>
      <c r="BB9384" s="806"/>
    </row>
    <row r="9385" spans="4:54">
      <c r="D9385" s="806"/>
      <c r="F9385" s="806"/>
      <c r="W9385" s="806"/>
      <c r="AZ9385" s="806"/>
      <c r="BA9385" s="806"/>
      <c r="BB9385" s="806"/>
    </row>
    <row r="9386" spans="4:54">
      <c r="D9386" s="806"/>
      <c r="F9386" s="806"/>
      <c r="W9386" s="806"/>
      <c r="AZ9386" s="806"/>
      <c r="BA9386" s="806"/>
      <c r="BB9386" s="806"/>
    </row>
    <row r="9387" spans="4:54">
      <c r="D9387" s="806"/>
      <c r="F9387" s="806"/>
      <c r="W9387" s="806"/>
      <c r="AZ9387" s="806"/>
      <c r="BA9387" s="806"/>
      <c r="BB9387" s="806"/>
    </row>
    <row r="9388" spans="4:54">
      <c r="D9388" s="806"/>
      <c r="F9388" s="806"/>
      <c r="W9388" s="806"/>
      <c r="AZ9388" s="806"/>
      <c r="BA9388" s="806"/>
      <c r="BB9388" s="806"/>
    </row>
    <row r="9389" spans="4:54">
      <c r="D9389" s="806"/>
      <c r="F9389" s="806"/>
      <c r="W9389" s="806"/>
      <c r="AZ9389" s="806"/>
      <c r="BA9389" s="806"/>
      <c r="BB9389" s="806"/>
    </row>
    <row r="9390" spans="4:54">
      <c r="D9390" s="806"/>
      <c r="F9390" s="806"/>
      <c r="W9390" s="806"/>
      <c r="AZ9390" s="806"/>
      <c r="BA9390" s="806"/>
      <c r="BB9390" s="806"/>
    </row>
    <row r="9391" spans="4:54">
      <c r="D9391" s="806"/>
      <c r="F9391" s="806"/>
      <c r="W9391" s="806"/>
      <c r="AZ9391" s="806"/>
      <c r="BA9391" s="806"/>
      <c r="BB9391" s="806"/>
    </row>
    <row r="9392" spans="4:54">
      <c r="D9392" s="806"/>
      <c r="F9392" s="806"/>
      <c r="W9392" s="806"/>
      <c r="AZ9392" s="806"/>
      <c r="BA9392" s="806"/>
      <c r="BB9392" s="806"/>
    </row>
    <row r="9393" spans="4:54">
      <c r="D9393" s="806"/>
      <c r="F9393" s="806"/>
      <c r="W9393" s="806"/>
      <c r="AZ9393" s="806"/>
      <c r="BA9393" s="806"/>
      <c r="BB9393" s="806"/>
    </row>
    <row r="9394" spans="4:54">
      <c r="D9394" s="806"/>
      <c r="F9394" s="806"/>
      <c r="W9394" s="806"/>
      <c r="AZ9394" s="806"/>
      <c r="BA9394" s="806"/>
      <c r="BB9394" s="806"/>
    </row>
    <row r="9395" spans="4:54">
      <c r="D9395" s="806"/>
      <c r="F9395" s="806"/>
      <c r="W9395" s="806"/>
      <c r="AZ9395" s="806"/>
      <c r="BA9395" s="806"/>
      <c r="BB9395" s="806"/>
    </row>
    <row r="9396" spans="4:54">
      <c r="D9396" s="806"/>
      <c r="F9396" s="806"/>
      <c r="W9396" s="806"/>
      <c r="AZ9396" s="806"/>
      <c r="BA9396" s="806"/>
      <c r="BB9396" s="806"/>
    </row>
    <row r="9397" spans="4:54">
      <c r="D9397" s="806"/>
      <c r="F9397" s="806"/>
      <c r="W9397" s="806"/>
      <c r="AZ9397" s="806"/>
      <c r="BA9397" s="806"/>
      <c r="BB9397" s="806"/>
    </row>
    <row r="9398" spans="4:54">
      <c r="D9398" s="806"/>
      <c r="F9398" s="806"/>
      <c r="W9398" s="806"/>
      <c r="AZ9398" s="806"/>
      <c r="BA9398" s="806"/>
      <c r="BB9398" s="806"/>
    </row>
    <row r="9399" spans="4:54">
      <c r="D9399" s="806"/>
      <c r="F9399" s="806"/>
      <c r="W9399" s="806"/>
      <c r="AZ9399" s="806"/>
      <c r="BA9399" s="806"/>
      <c r="BB9399" s="806"/>
    </row>
    <row r="9400" spans="4:54">
      <c r="D9400" s="806"/>
      <c r="F9400" s="806"/>
      <c r="W9400" s="806"/>
      <c r="AZ9400" s="806"/>
      <c r="BA9400" s="806"/>
      <c r="BB9400" s="806"/>
    </row>
    <row r="9401" spans="4:54">
      <c r="D9401" s="806"/>
      <c r="F9401" s="806"/>
      <c r="W9401" s="806"/>
      <c r="AZ9401" s="806"/>
      <c r="BA9401" s="806"/>
      <c r="BB9401" s="806"/>
    </row>
    <row r="9402" spans="4:54">
      <c r="D9402" s="806"/>
      <c r="F9402" s="806"/>
      <c r="W9402" s="806"/>
      <c r="AZ9402" s="806"/>
      <c r="BA9402" s="806"/>
      <c r="BB9402" s="806"/>
    </row>
    <row r="9403" spans="4:54">
      <c r="D9403" s="806"/>
      <c r="F9403" s="806"/>
      <c r="W9403" s="806"/>
      <c r="AZ9403" s="806"/>
      <c r="BA9403" s="806"/>
      <c r="BB9403" s="806"/>
    </row>
    <row r="9404" spans="4:54">
      <c r="D9404" s="806"/>
      <c r="F9404" s="806"/>
      <c r="W9404" s="806"/>
      <c r="AZ9404" s="806"/>
      <c r="BA9404" s="806"/>
      <c r="BB9404" s="806"/>
    </row>
    <row r="9405" spans="4:54">
      <c r="D9405" s="806"/>
      <c r="F9405" s="806"/>
      <c r="W9405" s="806"/>
      <c r="AZ9405" s="806"/>
      <c r="BA9405" s="806"/>
      <c r="BB9405" s="806"/>
    </row>
    <row r="9406" spans="4:54">
      <c r="D9406" s="806"/>
      <c r="F9406" s="806"/>
      <c r="W9406" s="806"/>
      <c r="AZ9406" s="806"/>
      <c r="BA9406" s="806"/>
      <c r="BB9406" s="806"/>
    </row>
    <row r="9407" spans="4:54">
      <c r="D9407" s="806"/>
      <c r="F9407" s="806"/>
      <c r="W9407" s="806"/>
      <c r="AZ9407" s="806"/>
      <c r="BA9407" s="806"/>
      <c r="BB9407" s="806"/>
    </row>
    <row r="9408" spans="4:54">
      <c r="D9408" s="806"/>
      <c r="F9408" s="806"/>
      <c r="W9408" s="806"/>
      <c r="AZ9408" s="806"/>
      <c r="BA9408" s="806"/>
      <c r="BB9408" s="806"/>
    </row>
    <row r="9409" spans="4:54">
      <c r="D9409" s="806"/>
      <c r="F9409" s="806"/>
      <c r="W9409" s="806"/>
      <c r="AZ9409" s="806"/>
      <c r="BA9409" s="806"/>
      <c r="BB9409" s="806"/>
    </row>
    <row r="9410" spans="4:54">
      <c r="D9410" s="806"/>
      <c r="F9410" s="806"/>
      <c r="W9410" s="806"/>
      <c r="AZ9410" s="806"/>
      <c r="BA9410" s="806"/>
      <c r="BB9410" s="806"/>
    </row>
    <row r="9411" spans="4:54">
      <c r="D9411" s="806"/>
      <c r="F9411" s="806"/>
      <c r="W9411" s="806"/>
      <c r="AZ9411" s="806"/>
      <c r="BA9411" s="806"/>
      <c r="BB9411" s="806"/>
    </row>
    <row r="9412" spans="4:54">
      <c r="D9412" s="806"/>
      <c r="F9412" s="806"/>
      <c r="W9412" s="806"/>
      <c r="AZ9412" s="806"/>
      <c r="BA9412" s="806"/>
      <c r="BB9412" s="806"/>
    </row>
    <row r="9413" spans="4:54">
      <c r="D9413" s="806"/>
      <c r="F9413" s="806"/>
      <c r="W9413" s="806"/>
      <c r="AZ9413" s="806"/>
      <c r="BA9413" s="806"/>
      <c r="BB9413" s="806"/>
    </row>
    <row r="9414" spans="4:54">
      <c r="D9414" s="806"/>
      <c r="F9414" s="806"/>
      <c r="W9414" s="806"/>
      <c r="AZ9414" s="806"/>
      <c r="BA9414" s="806"/>
      <c r="BB9414" s="806"/>
    </row>
    <row r="9415" spans="4:54">
      <c r="D9415" s="806"/>
      <c r="F9415" s="806"/>
      <c r="W9415" s="806"/>
      <c r="AZ9415" s="806"/>
      <c r="BA9415" s="806"/>
      <c r="BB9415" s="806"/>
    </row>
    <row r="9416" spans="4:54">
      <c r="D9416" s="806"/>
      <c r="F9416" s="806"/>
      <c r="W9416" s="806"/>
      <c r="AZ9416" s="806"/>
      <c r="BA9416" s="806"/>
      <c r="BB9416" s="806"/>
    </row>
    <row r="9417" spans="4:54">
      <c r="D9417" s="806"/>
      <c r="F9417" s="806"/>
      <c r="W9417" s="806"/>
      <c r="AZ9417" s="806"/>
      <c r="BA9417" s="806"/>
      <c r="BB9417" s="806"/>
    </row>
    <row r="9418" spans="4:54">
      <c r="D9418" s="806"/>
      <c r="F9418" s="806"/>
      <c r="W9418" s="806"/>
      <c r="AZ9418" s="806"/>
      <c r="BA9418" s="806"/>
      <c r="BB9418" s="806"/>
    </row>
    <row r="9419" spans="4:54">
      <c r="D9419" s="806"/>
      <c r="F9419" s="806"/>
      <c r="W9419" s="806"/>
      <c r="AZ9419" s="806"/>
      <c r="BA9419" s="806"/>
      <c r="BB9419" s="806"/>
    </row>
    <row r="9420" spans="4:54">
      <c r="D9420" s="806"/>
      <c r="F9420" s="806"/>
      <c r="W9420" s="806"/>
      <c r="AZ9420" s="806"/>
      <c r="BA9420" s="806"/>
      <c r="BB9420" s="806"/>
    </row>
    <row r="9421" spans="4:54">
      <c r="D9421" s="806"/>
      <c r="F9421" s="806"/>
      <c r="W9421" s="806"/>
      <c r="AZ9421" s="806"/>
      <c r="BA9421" s="806"/>
      <c r="BB9421" s="806"/>
    </row>
    <row r="9422" spans="4:54">
      <c r="D9422" s="806"/>
      <c r="F9422" s="806"/>
      <c r="W9422" s="806"/>
      <c r="AZ9422" s="806"/>
      <c r="BA9422" s="806"/>
      <c r="BB9422" s="806"/>
    </row>
    <row r="9423" spans="4:54">
      <c r="D9423" s="806"/>
      <c r="F9423" s="806"/>
      <c r="W9423" s="806"/>
      <c r="AZ9423" s="806"/>
      <c r="BA9423" s="806"/>
      <c r="BB9423" s="806"/>
    </row>
    <row r="9424" spans="4:54">
      <c r="D9424" s="806"/>
      <c r="F9424" s="806"/>
      <c r="W9424" s="806"/>
      <c r="AZ9424" s="806"/>
      <c r="BA9424" s="806"/>
      <c r="BB9424" s="806"/>
    </row>
    <row r="9425" spans="4:54">
      <c r="D9425" s="806"/>
      <c r="F9425" s="806"/>
      <c r="W9425" s="806"/>
      <c r="AZ9425" s="806"/>
      <c r="BA9425" s="806"/>
      <c r="BB9425" s="806"/>
    </row>
    <row r="9426" spans="4:54">
      <c r="D9426" s="806"/>
      <c r="F9426" s="806"/>
      <c r="W9426" s="806"/>
      <c r="AZ9426" s="806"/>
      <c r="BA9426" s="806"/>
      <c r="BB9426" s="806"/>
    </row>
    <row r="9427" spans="4:54">
      <c r="D9427" s="806"/>
      <c r="F9427" s="806"/>
      <c r="W9427" s="806"/>
      <c r="AZ9427" s="806"/>
      <c r="BA9427" s="806"/>
      <c r="BB9427" s="806"/>
    </row>
    <row r="9428" spans="4:54">
      <c r="D9428" s="806"/>
      <c r="F9428" s="806"/>
      <c r="W9428" s="806"/>
      <c r="AZ9428" s="806"/>
      <c r="BA9428" s="806"/>
      <c r="BB9428" s="806"/>
    </row>
    <row r="9429" spans="4:54">
      <c r="D9429" s="806"/>
      <c r="F9429" s="806"/>
      <c r="W9429" s="806"/>
      <c r="AZ9429" s="806"/>
      <c r="BA9429" s="806"/>
      <c r="BB9429" s="806"/>
    </row>
    <row r="9430" spans="4:54">
      <c r="D9430" s="806"/>
      <c r="F9430" s="806"/>
      <c r="W9430" s="806"/>
      <c r="AZ9430" s="806"/>
      <c r="BA9430" s="806"/>
      <c r="BB9430" s="806"/>
    </row>
    <row r="9431" spans="4:54">
      <c r="D9431" s="806"/>
      <c r="F9431" s="806"/>
      <c r="W9431" s="806"/>
      <c r="AZ9431" s="806"/>
      <c r="BA9431" s="806"/>
      <c r="BB9431" s="806"/>
    </row>
    <row r="9432" spans="4:54">
      <c r="D9432" s="806"/>
      <c r="F9432" s="806"/>
      <c r="W9432" s="806"/>
      <c r="AZ9432" s="806"/>
      <c r="BA9432" s="806"/>
      <c r="BB9432" s="806"/>
    </row>
    <row r="9433" spans="4:54">
      <c r="D9433" s="806"/>
      <c r="F9433" s="806"/>
      <c r="W9433" s="806"/>
      <c r="AZ9433" s="806"/>
      <c r="BA9433" s="806"/>
      <c r="BB9433" s="806"/>
    </row>
    <row r="9434" spans="4:54">
      <c r="D9434" s="806"/>
      <c r="F9434" s="806"/>
      <c r="W9434" s="806"/>
      <c r="AZ9434" s="806"/>
      <c r="BA9434" s="806"/>
      <c r="BB9434" s="806"/>
    </row>
    <row r="9435" spans="4:54">
      <c r="D9435" s="806"/>
      <c r="F9435" s="806"/>
      <c r="W9435" s="806"/>
      <c r="AZ9435" s="806"/>
      <c r="BA9435" s="806"/>
      <c r="BB9435" s="806"/>
    </row>
    <row r="9436" spans="4:54">
      <c r="D9436" s="806"/>
      <c r="F9436" s="806"/>
      <c r="W9436" s="806"/>
      <c r="AZ9436" s="806"/>
      <c r="BA9436" s="806"/>
      <c r="BB9436" s="806"/>
    </row>
    <row r="9437" spans="4:54">
      <c r="D9437" s="806"/>
      <c r="F9437" s="806"/>
      <c r="W9437" s="806"/>
      <c r="AZ9437" s="806"/>
      <c r="BA9437" s="806"/>
      <c r="BB9437" s="806"/>
    </row>
    <row r="9438" spans="4:54">
      <c r="D9438" s="806"/>
      <c r="F9438" s="806"/>
      <c r="W9438" s="806"/>
      <c r="AZ9438" s="806"/>
      <c r="BA9438" s="806"/>
      <c r="BB9438" s="806"/>
    </row>
    <row r="9439" spans="4:54">
      <c r="D9439" s="806"/>
      <c r="F9439" s="806"/>
      <c r="W9439" s="806"/>
      <c r="AZ9439" s="806"/>
      <c r="BA9439" s="806"/>
      <c r="BB9439" s="806"/>
    </row>
    <row r="9440" spans="4:54">
      <c r="D9440" s="806"/>
      <c r="F9440" s="806"/>
      <c r="W9440" s="806"/>
      <c r="AZ9440" s="806"/>
      <c r="BA9440" s="806"/>
      <c r="BB9440" s="806"/>
    </row>
    <row r="9441" spans="4:54">
      <c r="D9441" s="806"/>
      <c r="F9441" s="806"/>
      <c r="W9441" s="806"/>
      <c r="AZ9441" s="806"/>
      <c r="BA9441" s="806"/>
      <c r="BB9441" s="806"/>
    </row>
    <row r="9442" spans="4:54">
      <c r="D9442" s="806"/>
      <c r="F9442" s="806"/>
      <c r="W9442" s="806"/>
      <c r="AZ9442" s="806"/>
      <c r="BA9442" s="806"/>
      <c r="BB9442" s="806"/>
    </row>
    <row r="9443" spans="4:54">
      <c r="D9443" s="806"/>
      <c r="F9443" s="806"/>
      <c r="W9443" s="806"/>
      <c r="AZ9443" s="806"/>
      <c r="BA9443" s="806"/>
      <c r="BB9443" s="806"/>
    </row>
    <row r="9444" spans="4:54">
      <c r="D9444" s="806"/>
      <c r="F9444" s="806"/>
      <c r="W9444" s="806"/>
      <c r="AZ9444" s="806"/>
      <c r="BA9444" s="806"/>
      <c r="BB9444" s="806"/>
    </row>
    <row r="9445" spans="4:54">
      <c r="D9445" s="806"/>
      <c r="F9445" s="806"/>
      <c r="W9445" s="806"/>
      <c r="AZ9445" s="806"/>
      <c r="BA9445" s="806"/>
      <c r="BB9445" s="806"/>
    </row>
    <row r="9446" spans="4:54">
      <c r="D9446" s="806"/>
      <c r="F9446" s="806"/>
      <c r="W9446" s="806"/>
      <c r="AZ9446" s="806"/>
      <c r="BA9446" s="806"/>
      <c r="BB9446" s="806"/>
    </row>
    <row r="9447" spans="4:54">
      <c r="D9447" s="806"/>
      <c r="F9447" s="806"/>
      <c r="W9447" s="806"/>
      <c r="AZ9447" s="806"/>
      <c r="BA9447" s="806"/>
      <c r="BB9447" s="806"/>
    </row>
    <row r="9448" spans="4:54">
      <c r="D9448" s="806"/>
      <c r="F9448" s="806"/>
      <c r="W9448" s="806"/>
      <c r="AZ9448" s="806"/>
      <c r="BA9448" s="806"/>
      <c r="BB9448" s="806"/>
    </row>
    <row r="9449" spans="4:54">
      <c r="D9449" s="806"/>
      <c r="F9449" s="806"/>
      <c r="W9449" s="806"/>
      <c r="AZ9449" s="806"/>
      <c r="BA9449" s="806"/>
      <c r="BB9449" s="806"/>
    </row>
    <row r="9450" spans="4:54">
      <c r="D9450" s="806"/>
      <c r="F9450" s="806"/>
      <c r="W9450" s="806"/>
      <c r="AZ9450" s="806"/>
      <c r="BA9450" s="806"/>
      <c r="BB9450" s="806"/>
    </row>
    <row r="9451" spans="4:54">
      <c r="D9451" s="806"/>
      <c r="F9451" s="806"/>
      <c r="W9451" s="806"/>
      <c r="AZ9451" s="806"/>
      <c r="BA9451" s="806"/>
      <c r="BB9451" s="806"/>
    </row>
    <row r="9452" spans="4:54">
      <c r="D9452" s="806"/>
      <c r="F9452" s="806"/>
      <c r="W9452" s="806"/>
      <c r="AZ9452" s="806"/>
      <c r="BA9452" s="806"/>
      <c r="BB9452" s="806"/>
    </row>
    <row r="9453" spans="4:54">
      <c r="D9453" s="806"/>
      <c r="F9453" s="806"/>
      <c r="W9453" s="806"/>
      <c r="AZ9453" s="806"/>
      <c r="BA9453" s="806"/>
      <c r="BB9453" s="806"/>
    </row>
    <row r="9454" spans="4:54">
      <c r="D9454" s="806"/>
      <c r="F9454" s="806"/>
      <c r="W9454" s="806"/>
      <c r="AZ9454" s="806"/>
      <c r="BA9454" s="806"/>
      <c r="BB9454" s="806"/>
    </row>
    <row r="9455" spans="4:54">
      <c r="D9455" s="806"/>
      <c r="F9455" s="806"/>
      <c r="W9455" s="806"/>
      <c r="AZ9455" s="806"/>
      <c r="BA9455" s="806"/>
      <c r="BB9455" s="806"/>
    </row>
    <row r="9456" spans="4:54">
      <c r="D9456" s="806"/>
      <c r="F9456" s="806"/>
      <c r="W9456" s="806"/>
      <c r="AZ9456" s="806"/>
      <c r="BA9456" s="806"/>
      <c r="BB9456" s="806"/>
    </row>
    <row r="9457" spans="4:54">
      <c r="D9457" s="806"/>
      <c r="F9457" s="806"/>
      <c r="W9457" s="806"/>
      <c r="AZ9457" s="806"/>
      <c r="BA9457" s="806"/>
      <c r="BB9457" s="806"/>
    </row>
    <row r="9458" spans="4:54">
      <c r="D9458" s="806"/>
      <c r="F9458" s="806"/>
      <c r="W9458" s="806"/>
      <c r="AZ9458" s="806"/>
      <c r="BA9458" s="806"/>
      <c r="BB9458" s="806"/>
    </row>
    <row r="9459" spans="4:54">
      <c r="D9459" s="806"/>
      <c r="F9459" s="806"/>
      <c r="W9459" s="806"/>
      <c r="AZ9459" s="806"/>
      <c r="BA9459" s="806"/>
      <c r="BB9459" s="806"/>
    </row>
    <row r="9460" spans="4:54">
      <c r="D9460" s="806"/>
      <c r="F9460" s="806"/>
      <c r="W9460" s="806"/>
      <c r="AZ9460" s="806"/>
      <c r="BA9460" s="806"/>
      <c r="BB9460" s="806"/>
    </row>
    <row r="9461" spans="4:54">
      <c r="D9461" s="806"/>
      <c r="F9461" s="806"/>
      <c r="W9461" s="806"/>
      <c r="AZ9461" s="806"/>
      <c r="BA9461" s="806"/>
      <c r="BB9461" s="806"/>
    </row>
    <row r="9462" spans="4:54">
      <c r="D9462" s="806"/>
      <c r="F9462" s="806"/>
      <c r="W9462" s="806"/>
      <c r="AZ9462" s="806"/>
      <c r="BA9462" s="806"/>
      <c r="BB9462" s="806"/>
    </row>
    <row r="9463" spans="4:54">
      <c r="D9463" s="806"/>
      <c r="F9463" s="806"/>
      <c r="W9463" s="806"/>
      <c r="AZ9463" s="806"/>
      <c r="BA9463" s="806"/>
      <c r="BB9463" s="806"/>
    </row>
    <row r="9464" spans="4:54">
      <c r="D9464" s="806"/>
      <c r="F9464" s="806"/>
      <c r="W9464" s="806"/>
      <c r="AZ9464" s="806"/>
      <c r="BA9464" s="806"/>
      <c r="BB9464" s="806"/>
    </row>
    <row r="9465" spans="4:54">
      <c r="D9465" s="806"/>
      <c r="F9465" s="806"/>
      <c r="W9465" s="806"/>
      <c r="AZ9465" s="806"/>
      <c r="BA9465" s="806"/>
      <c r="BB9465" s="806"/>
    </row>
    <row r="9466" spans="4:54">
      <c r="D9466" s="806"/>
      <c r="F9466" s="806"/>
      <c r="W9466" s="806"/>
      <c r="AZ9466" s="806"/>
      <c r="BA9466" s="806"/>
      <c r="BB9466" s="806"/>
    </row>
    <row r="9467" spans="4:54">
      <c r="D9467" s="806"/>
      <c r="F9467" s="806"/>
      <c r="W9467" s="806"/>
      <c r="AZ9467" s="806"/>
      <c r="BA9467" s="806"/>
      <c r="BB9467" s="806"/>
    </row>
    <row r="9468" spans="4:54">
      <c r="D9468" s="806"/>
      <c r="F9468" s="806"/>
      <c r="W9468" s="806"/>
      <c r="AZ9468" s="806"/>
      <c r="BA9468" s="806"/>
      <c r="BB9468" s="806"/>
    </row>
    <row r="9469" spans="4:54">
      <c r="D9469" s="806"/>
      <c r="F9469" s="806"/>
      <c r="W9469" s="806"/>
      <c r="AZ9469" s="806"/>
      <c r="BA9469" s="806"/>
      <c r="BB9469" s="806"/>
    </row>
    <row r="9470" spans="4:54">
      <c r="D9470" s="806"/>
      <c r="F9470" s="806"/>
      <c r="W9470" s="806"/>
      <c r="AZ9470" s="806"/>
      <c r="BA9470" s="806"/>
      <c r="BB9470" s="806"/>
    </row>
    <row r="9471" spans="4:54">
      <c r="D9471" s="806"/>
      <c r="F9471" s="806"/>
      <c r="W9471" s="806"/>
      <c r="AZ9471" s="806"/>
      <c r="BA9471" s="806"/>
      <c r="BB9471" s="806"/>
    </row>
    <row r="9472" spans="4:54">
      <c r="D9472" s="806"/>
      <c r="F9472" s="806"/>
      <c r="W9472" s="806"/>
      <c r="AZ9472" s="806"/>
      <c r="BA9472" s="806"/>
      <c r="BB9472" s="806"/>
    </row>
    <row r="9473" spans="4:54">
      <c r="D9473" s="806"/>
      <c r="F9473" s="806"/>
      <c r="W9473" s="806"/>
      <c r="AZ9473" s="806"/>
      <c r="BA9473" s="806"/>
      <c r="BB9473" s="806"/>
    </row>
    <row r="9474" spans="4:54">
      <c r="D9474" s="806"/>
      <c r="F9474" s="806"/>
      <c r="W9474" s="806"/>
      <c r="AZ9474" s="806"/>
      <c r="BA9474" s="806"/>
      <c r="BB9474" s="806"/>
    </row>
    <row r="9475" spans="4:54">
      <c r="D9475" s="806"/>
      <c r="F9475" s="806"/>
      <c r="W9475" s="806"/>
      <c r="AZ9475" s="806"/>
      <c r="BA9475" s="806"/>
      <c r="BB9475" s="806"/>
    </row>
    <row r="9476" spans="4:54">
      <c r="D9476" s="806"/>
      <c r="F9476" s="806"/>
      <c r="W9476" s="806"/>
      <c r="AZ9476" s="806"/>
      <c r="BA9476" s="806"/>
      <c r="BB9476" s="806"/>
    </row>
    <row r="9477" spans="4:54">
      <c r="D9477" s="806"/>
      <c r="F9477" s="806"/>
      <c r="W9477" s="806"/>
      <c r="AZ9477" s="806"/>
      <c r="BA9477" s="806"/>
      <c r="BB9477" s="806"/>
    </row>
    <row r="9478" spans="4:54">
      <c r="D9478" s="806"/>
      <c r="F9478" s="806"/>
      <c r="W9478" s="806"/>
      <c r="AZ9478" s="806"/>
      <c r="BA9478" s="806"/>
      <c r="BB9478" s="806"/>
    </row>
    <row r="9479" spans="4:54">
      <c r="D9479" s="806"/>
      <c r="F9479" s="806"/>
      <c r="W9479" s="806"/>
      <c r="AZ9479" s="806"/>
      <c r="BA9479" s="806"/>
      <c r="BB9479" s="806"/>
    </row>
    <row r="9480" spans="4:54">
      <c r="D9480" s="806"/>
      <c r="F9480" s="806"/>
      <c r="W9480" s="806"/>
      <c r="AZ9480" s="806"/>
      <c r="BA9480" s="806"/>
      <c r="BB9480" s="806"/>
    </row>
    <row r="9481" spans="4:54">
      <c r="D9481" s="806"/>
      <c r="F9481" s="806"/>
      <c r="W9481" s="806"/>
      <c r="AZ9481" s="806"/>
      <c r="BA9481" s="806"/>
      <c r="BB9481" s="806"/>
    </row>
    <row r="9482" spans="4:54">
      <c r="D9482" s="806"/>
      <c r="F9482" s="806"/>
      <c r="W9482" s="806"/>
      <c r="AZ9482" s="806"/>
      <c r="BA9482" s="806"/>
      <c r="BB9482" s="806"/>
    </row>
    <row r="9483" spans="4:54">
      <c r="D9483" s="806"/>
      <c r="F9483" s="806"/>
      <c r="W9483" s="806"/>
      <c r="AZ9483" s="806"/>
      <c r="BA9483" s="806"/>
      <c r="BB9483" s="806"/>
    </row>
    <row r="9484" spans="4:54">
      <c r="D9484" s="806"/>
      <c r="F9484" s="806"/>
      <c r="W9484" s="806"/>
      <c r="AZ9484" s="806"/>
      <c r="BA9484" s="806"/>
      <c r="BB9484" s="806"/>
    </row>
    <row r="9485" spans="4:54">
      <c r="D9485" s="806"/>
      <c r="F9485" s="806"/>
      <c r="W9485" s="806"/>
      <c r="AZ9485" s="806"/>
      <c r="BA9485" s="806"/>
      <c r="BB9485" s="806"/>
    </row>
    <row r="9486" spans="4:54">
      <c r="D9486" s="806"/>
      <c r="F9486" s="806"/>
      <c r="W9486" s="806"/>
      <c r="AZ9486" s="806"/>
      <c r="BA9486" s="806"/>
      <c r="BB9486" s="806"/>
    </row>
    <row r="9487" spans="4:54">
      <c r="D9487" s="806"/>
      <c r="F9487" s="806"/>
      <c r="W9487" s="806"/>
      <c r="AZ9487" s="806"/>
      <c r="BA9487" s="806"/>
      <c r="BB9487" s="806"/>
    </row>
    <row r="9488" spans="4:54">
      <c r="D9488" s="806"/>
      <c r="F9488" s="806"/>
      <c r="W9488" s="806"/>
      <c r="AZ9488" s="806"/>
      <c r="BA9488" s="806"/>
      <c r="BB9488" s="806"/>
    </row>
    <row r="9489" spans="4:54">
      <c r="D9489" s="806"/>
      <c r="F9489" s="806"/>
      <c r="W9489" s="806"/>
      <c r="AZ9489" s="806"/>
      <c r="BA9489" s="806"/>
      <c r="BB9489" s="806"/>
    </row>
    <row r="9490" spans="4:54">
      <c r="D9490" s="806"/>
      <c r="F9490" s="806"/>
      <c r="W9490" s="806"/>
      <c r="AZ9490" s="806"/>
      <c r="BA9490" s="806"/>
      <c r="BB9490" s="806"/>
    </row>
    <row r="9491" spans="4:54">
      <c r="D9491" s="806"/>
      <c r="F9491" s="806"/>
      <c r="W9491" s="806"/>
      <c r="AZ9491" s="806"/>
      <c r="BA9491" s="806"/>
      <c r="BB9491" s="806"/>
    </row>
    <row r="9492" spans="4:54">
      <c r="D9492" s="806"/>
      <c r="F9492" s="806"/>
      <c r="W9492" s="806"/>
      <c r="AZ9492" s="806"/>
      <c r="BA9492" s="806"/>
      <c r="BB9492" s="806"/>
    </row>
    <row r="9493" spans="4:54">
      <c r="D9493" s="806"/>
      <c r="F9493" s="806"/>
      <c r="W9493" s="806"/>
      <c r="AZ9493" s="806"/>
      <c r="BA9493" s="806"/>
      <c r="BB9493" s="806"/>
    </row>
    <row r="9494" spans="4:54">
      <c r="D9494" s="806"/>
      <c r="F9494" s="806"/>
      <c r="W9494" s="806"/>
      <c r="AZ9494" s="806"/>
      <c r="BA9494" s="806"/>
      <c r="BB9494" s="806"/>
    </row>
    <row r="9495" spans="4:54">
      <c r="D9495" s="806"/>
      <c r="F9495" s="806"/>
      <c r="W9495" s="806"/>
      <c r="AZ9495" s="806"/>
      <c r="BA9495" s="806"/>
      <c r="BB9495" s="806"/>
    </row>
    <row r="9496" spans="4:54">
      <c r="D9496" s="806"/>
      <c r="F9496" s="806"/>
      <c r="W9496" s="806"/>
      <c r="AZ9496" s="806"/>
      <c r="BA9496" s="806"/>
      <c r="BB9496" s="806"/>
    </row>
    <row r="9497" spans="4:54">
      <c r="D9497" s="806"/>
      <c r="F9497" s="806"/>
      <c r="W9497" s="806"/>
      <c r="AZ9497" s="806"/>
      <c r="BA9497" s="806"/>
      <c r="BB9497" s="806"/>
    </row>
    <row r="9498" spans="4:54">
      <c r="D9498" s="806"/>
      <c r="F9498" s="806"/>
      <c r="W9498" s="806"/>
      <c r="AZ9498" s="806"/>
      <c r="BA9498" s="806"/>
      <c r="BB9498" s="806"/>
    </row>
    <row r="9499" spans="4:54">
      <c r="D9499" s="806"/>
      <c r="F9499" s="806"/>
      <c r="W9499" s="806"/>
      <c r="AZ9499" s="806"/>
      <c r="BA9499" s="806"/>
      <c r="BB9499" s="806"/>
    </row>
    <row r="9500" spans="4:54">
      <c r="D9500" s="806"/>
      <c r="F9500" s="806"/>
      <c r="W9500" s="806"/>
      <c r="AZ9500" s="806"/>
      <c r="BA9500" s="806"/>
      <c r="BB9500" s="806"/>
    </row>
    <row r="9501" spans="4:54">
      <c r="D9501" s="806"/>
      <c r="F9501" s="806"/>
      <c r="W9501" s="806"/>
      <c r="AZ9501" s="806"/>
      <c r="BA9501" s="806"/>
      <c r="BB9501" s="806"/>
    </row>
    <row r="9502" spans="4:54">
      <c r="D9502" s="806"/>
      <c r="F9502" s="806"/>
      <c r="W9502" s="806"/>
      <c r="AZ9502" s="806"/>
      <c r="BA9502" s="806"/>
      <c r="BB9502" s="806"/>
    </row>
    <row r="9503" spans="4:54">
      <c r="D9503" s="806"/>
      <c r="F9503" s="806"/>
      <c r="W9503" s="806"/>
      <c r="AZ9503" s="806"/>
      <c r="BA9503" s="806"/>
      <c r="BB9503" s="806"/>
    </row>
    <row r="9504" spans="4:54">
      <c r="D9504" s="806"/>
      <c r="F9504" s="806"/>
      <c r="W9504" s="806"/>
      <c r="AZ9504" s="806"/>
      <c r="BA9504" s="806"/>
      <c r="BB9504" s="806"/>
    </row>
    <row r="9505" spans="4:54">
      <c r="D9505" s="806"/>
      <c r="F9505" s="806"/>
      <c r="W9505" s="806"/>
      <c r="AZ9505" s="806"/>
      <c r="BA9505" s="806"/>
      <c r="BB9505" s="806"/>
    </row>
    <row r="9506" spans="4:54">
      <c r="D9506" s="806"/>
      <c r="F9506" s="806"/>
      <c r="W9506" s="806"/>
      <c r="AZ9506" s="806"/>
      <c r="BA9506" s="806"/>
      <c r="BB9506" s="806"/>
    </row>
    <row r="9507" spans="4:54">
      <c r="D9507" s="806"/>
      <c r="F9507" s="806"/>
      <c r="W9507" s="806"/>
      <c r="AZ9507" s="806"/>
      <c r="BA9507" s="806"/>
      <c r="BB9507" s="806"/>
    </row>
    <row r="9508" spans="4:54">
      <c r="D9508" s="806"/>
      <c r="F9508" s="806"/>
      <c r="W9508" s="806"/>
      <c r="AZ9508" s="806"/>
      <c r="BA9508" s="806"/>
      <c r="BB9508" s="806"/>
    </row>
    <row r="9509" spans="4:54">
      <c r="D9509" s="806"/>
      <c r="F9509" s="806"/>
      <c r="W9509" s="806"/>
      <c r="AZ9509" s="806"/>
      <c r="BA9509" s="806"/>
      <c r="BB9509" s="806"/>
    </row>
    <row r="9510" spans="4:54">
      <c r="D9510" s="806"/>
      <c r="F9510" s="806"/>
      <c r="W9510" s="806"/>
      <c r="AZ9510" s="806"/>
      <c r="BA9510" s="806"/>
      <c r="BB9510" s="806"/>
    </row>
    <row r="9511" spans="4:54">
      <c r="D9511" s="806"/>
      <c r="F9511" s="806"/>
      <c r="W9511" s="806"/>
      <c r="AZ9511" s="806"/>
      <c r="BA9511" s="806"/>
      <c r="BB9511" s="806"/>
    </row>
    <row r="9512" spans="4:54">
      <c r="D9512" s="806"/>
      <c r="F9512" s="806"/>
      <c r="W9512" s="806"/>
      <c r="AZ9512" s="806"/>
      <c r="BA9512" s="806"/>
      <c r="BB9512" s="806"/>
    </row>
    <row r="9513" spans="4:54">
      <c r="D9513" s="806"/>
      <c r="F9513" s="806"/>
      <c r="W9513" s="806"/>
      <c r="AZ9513" s="806"/>
      <c r="BA9513" s="806"/>
      <c r="BB9513" s="806"/>
    </row>
    <row r="9514" spans="4:54">
      <c r="D9514" s="806"/>
      <c r="F9514" s="806"/>
      <c r="W9514" s="806"/>
      <c r="AZ9514" s="806"/>
      <c r="BA9514" s="806"/>
      <c r="BB9514" s="806"/>
    </row>
    <row r="9515" spans="4:54">
      <c r="D9515" s="806"/>
      <c r="F9515" s="806"/>
      <c r="W9515" s="806"/>
      <c r="AZ9515" s="806"/>
      <c r="BA9515" s="806"/>
      <c r="BB9515" s="806"/>
    </row>
    <row r="9516" spans="4:54">
      <c r="D9516" s="806"/>
      <c r="F9516" s="806"/>
      <c r="W9516" s="806"/>
      <c r="AZ9516" s="806"/>
      <c r="BA9516" s="806"/>
      <c r="BB9516" s="806"/>
    </row>
    <row r="9517" spans="4:54">
      <c r="D9517" s="806"/>
      <c r="F9517" s="806"/>
      <c r="W9517" s="806"/>
      <c r="AZ9517" s="806"/>
      <c r="BA9517" s="806"/>
      <c r="BB9517" s="806"/>
    </row>
    <row r="9518" spans="4:54">
      <c r="D9518" s="806"/>
      <c r="F9518" s="806"/>
      <c r="W9518" s="806"/>
      <c r="AZ9518" s="806"/>
      <c r="BA9518" s="806"/>
      <c r="BB9518" s="806"/>
    </row>
    <row r="9519" spans="4:54">
      <c r="D9519" s="806"/>
      <c r="F9519" s="806"/>
      <c r="W9519" s="806"/>
      <c r="AZ9519" s="806"/>
      <c r="BA9519" s="806"/>
      <c r="BB9519" s="806"/>
    </row>
    <row r="9520" spans="4:54">
      <c r="D9520" s="806"/>
      <c r="F9520" s="806"/>
      <c r="W9520" s="806"/>
      <c r="AZ9520" s="806"/>
      <c r="BA9520" s="806"/>
      <c r="BB9520" s="806"/>
    </row>
    <row r="9521" spans="4:54">
      <c r="D9521" s="806"/>
      <c r="F9521" s="806"/>
      <c r="W9521" s="806"/>
      <c r="AZ9521" s="806"/>
      <c r="BA9521" s="806"/>
      <c r="BB9521" s="806"/>
    </row>
    <row r="9522" spans="4:54">
      <c r="D9522" s="806"/>
      <c r="F9522" s="806"/>
      <c r="W9522" s="806"/>
      <c r="AZ9522" s="806"/>
      <c r="BA9522" s="806"/>
      <c r="BB9522" s="806"/>
    </row>
    <row r="9523" spans="4:54">
      <c r="D9523" s="806"/>
      <c r="F9523" s="806"/>
      <c r="W9523" s="806"/>
      <c r="AZ9523" s="806"/>
      <c r="BA9523" s="806"/>
      <c r="BB9523" s="806"/>
    </row>
    <row r="9524" spans="4:54">
      <c r="D9524" s="806"/>
      <c r="F9524" s="806"/>
      <c r="W9524" s="806"/>
      <c r="AZ9524" s="806"/>
      <c r="BA9524" s="806"/>
      <c r="BB9524" s="806"/>
    </row>
    <row r="9525" spans="4:54">
      <c r="D9525" s="806"/>
      <c r="F9525" s="806"/>
      <c r="W9525" s="806"/>
      <c r="AZ9525" s="806"/>
      <c r="BA9525" s="806"/>
      <c r="BB9525" s="806"/>
    </row>
    <row r="9526" spans="4:54">
      <c r="D9526" s="806"/>
      <c r="F9526" s="806"/>
      <c r="W9526" s="806"/>
      <c r="AZ9526" s="806"/>
      <c r="BA9526" s="806"/>
      <c r="BB9526" s="806"/>
    </row>
    <row r="9527" spans="4:54">
      <c r="D9527" s="806"/>
      <c r="F9527" s="806"/>
      <c r="W9527" s="806"/>
      <c r="AZ9527" s="806"/>
      <c r="BA9527" s="806"/>
      <c r="BB9527" s="806"/>
    </row>
    <row r="9528" spans="4:54">
      <c r="D9528" s="806"/>
      <c r="F9528" s="806"/>
      <c r="W9528" s="806"/>
      <c r="AZ9528" s="806"/>
      <c r="BA9528" s="806"/>
      <c r="BB9528" s="806"/>
    </row>
    <row r="9529" spans="4:54">
      <c r="D9529" s="806"/>
      <c r="F9529" s="806"/>
      <c r="W9529" s="806"/>
      <c r="AZ9529" s="806"/>
      <c r="BA9529" s="806"/>
      <c r="BB9529" s="806"/>
    </row>
    <row r="9530" spans="4:54">
      <c r="D9530" s="806"/>
      <c r="F9530" s="806"/>
      <c r="W9530" s="806"/>
      <c r="AZ9530" s="806"/>
      <c r="BA9530" s="806"/>
      <c r="BB9530" s="806"/>
    </row>
    <row r="9531" spans="4:54">
      <c r="D9531" s="806"/>
      <c r="F9531" s="806"/>
      <c r="W9531" s="806"/>
      <c r="AZ9531" s="806"/>
      <c r="BA9531" s="806"/>
      <c r="BB9531" s="806"/>
    </row>
    <row r="9532" spans="4:54">
      <c r="D9532" s="806"/>
      <c r="F9532" s="806"/>
      <c r="W9532" s="806"/>
      <c r="AZ9532" s="806"/>
      <c r="BA9532" s="806"/>
      <c r="BB9532" s="806"/>
    </row>
    <row r="9533" spans="4:54">
      <c r="D9533" s="806"/>
      <c r="F9533" s="806"/>
      <c r="W9533" s="806"/>
      <c r="AZ9533" s="806"/>
      <c r="BA9533" s="806"/>
      <c r="BB9533" s="806"/>
    </row>
    <row r="9534" spans="4:54">
      <c r="D9534" s="806"/>
      <c r="F9534" s="806"/>
      <c r="W9534" s="806"/>
      <c r="AZ9534" s="806"/>
      <c r="BA9534" s="806"/>
      <c r="BB9534" s="806"/>
    </row>
    <row r="9535" spans="4:54">
      <c r="D9535" s="806"/>
      <c r="F9535" s="806"/>
      <c r="W9535" s="806"/>
      <c r="AZ9535" s="806"/>
      <c r="BA9535" s="806"/>
      <c r="BB9535" s="806"/>
    </row>
    <row r="9536" spans="4:54">
      <c r="D9536" s="806"/>
      <c r="F9536" s="806"/>
      <c r="W9536" s="806"/>
      <c r="AZ9536" s="806"/>
      <c r="BA9536" s="806"/>
      <c r="BB9536" s="806"/>
    </row>
    <row r="9537" spans="4:54">
      <c r="D9537" s="806"/>
      <c r="F9537" s="806"/>
      <c r="W9537" s="806"/>
      <c r="AZ9537" s="806"/>
      <c r="BA9537" s="806"/>
      <c r="BB9537" s="806"/>
    </row>
    <row r="9538" spans="4:54">
      <c r="D9538" s="806"/>
      <c r="F9538" s="806"/>
      <c r="W9538" s="806"/>
      <c r="AZ9538" s="806"/>
      <c r="BA9538" s="806"/>
      <c r="BB9538" s="806"/>
    </row>
    <row r="9539" spans="4:54">
      <c r="D9539" s="806"/>
      <c r="F9539" s="806"/>
      <c r="W9539" s="806"/>
      <c r="AZ9539" s="806"/>
      <c r="BA9539" s="806"/>
      <c r="BB9539" s="806"/>
    </row>
    <row r="9540" spans="4:54">
      <c r="D9540" s="806"/>
      <c r="F9540" s="806"/>
      <c r="W9540" s="806"/>
      <c r="AZ9540" s="806"/>
      <c r="BA9540" s="806"/>
      <c r="BB9540" s="806"/>
    </row>
    <row r="9541" spans="4:54">
      <c r="D9541" s="806"/>
      <c r="F9541" s="806"/>
      <c r="W9541" s="806"/>
      <c r="AZ9541" s="806"/>
      <c r="BA9541" s="806"/>
      <c r="BB9541" s="806"/>
    </row>
    <row r="9542" spans="4:54">
      <c r="D9542" s="806"/>
      <c r="F9542" s="806"/>
      <c r="W9542" s="806"/>
      <c r="AZ9542" s="806"/>
      <c r="BA9542" s="806"/>
      <c r="BB9542" s="806"/>
    </row>
    <row r="9543" spans="4:54">
      <c r="D9543" s="806"/>
      <c r="F9543" s="806"/>
      <c r="W9543" s="806"/>
      <c r="AZ9543" s="806"/>
      <c r="BA9543" s="806"/>
      <c r="BB9543" s="806"/>
    </row>
    <row r="9544" spans="4:54">
      <c r="D9544" s="806"/>
      <c r="F9544" s="806"/>
      <c r="W9544" s="806"/>
      <c r="AZ9544" s="806"/>
      <c r="BA9544" s="806"/>
      <c r="BB9544" s="806"/>
    </row>
    <row r="9545" spans="4:54">
      <c r="D9545" s="806"/>
      <c r="F9545" s="806"/>
      <c r="W9545" s="806"/>
      <c r="AZ9545" s="806"/>
      <c r="BA9545" s="806"/>
      <c r="BB9545" s="806"/>
    </row>
    <row r="9546" spans="4:54">
      <c r="D9546" s="806"/>
      <c r="F9546" s="806"/>
      <c r="W9546" s="806"/>
      <c r="AZ9546" s="806"/>
      <c r="BA9546" s="806"/>
      <c r="BB9546" s="806"/>
    </row>
    <row r="9547" spans="4:54">
      <c r="D9547" s="806"/>
      <c r="F9547" s="806"/>
      <c r="W9547" s="806"/>
      <c r="AZ9547" s="806"/>
      <c r="BA9547" s="806"/>
      <c r="BB9547" s="806"/>
    </row>
    <row r="9548" spans="4:54">
      <c r="D9548" s="806"/>
      <c r="F9548" s="806"/>
      <c r="W9548" s="806"/>
      <c r="AZ9548" s="806"/>
      <c r="BA9548" s="806"/>
      <c r="BB9548" s="806"/>
    </row>
    <row r="9549" spans="4:54">
      <c r="D9549" s="806"/>
      <c r="F9549" s="806"/>
      <c r="W9549" s="806"/>
      <c r="AZ9549" s="806"/>
      <c r="BA9549" s="806"/>
      <c r="BB9549" s="806"/>
    </row>
    <row r="9550" spans="4:54">
      <c r="D9550" s="806"/>
      <c r="F9550" s="806"/>
      <c r="W9550" s="806"/>
      <c r="AZ9550" s="806"/>
      <c r="BA9550" s="806"/>
      <c r="BB9550" s="806"/>
    </row>
    <row r="9551" spans="4:54">
      <c r="D9551" s="806"/>
      <c r="F9551" s="806"/>
      <c r="W9551" s="806"/>
      <c r="AZ9551" s="806"/>
      <c r="BA9551" s="806"/>
      <c r="BB9551" s="806"/>
    </row>
    <row r="9552" spans="4:54">
      <c r="D9552" s="806"/>
      <c r="F9552" s="806"/>
      <c r="W9552" s="806"/>
      <c r="AZ9552" s="806"/>
      <c r="BA9552" s="806"/>
      <c r="BB9552" s="806"/>
    </row>
    <row r="9553" spans="4:54">
      <c r="D9553" s="806"/>
      <c r="F9553" s="806"/>
      <c r="W9553" s="806"/>
      <c r="AZ9553" s="806"/>
      <c r="BA9553" s="806"/>
      <c r="BB9553" s="806"/>
    </row>
    <row r="9554" spans="4:54">
      <c r="D9554" s="806"/>
      <c r="F9554" s="806"/>
      <c r="W9554" s="806"/>
      <c r="AZ9554" s="806"/>
      <c r="BA9554" s="806"/>
      <c r="BB9554" s="806"/>
    </row>
    <row r="9555" spans="4:54">
      <c r="D9555" s="806"/>
      <c r="F9555" s="806"/>
      <c r="W9555" s="806"/>
      <c r="AZ9555" s="806"/>
      <c r="BA9555" s="806"/>
      <c r="BB9555" s="806"/>
    </row>
    <row r="9556" spans="4:54">
      <c r="D9556" s="806"/>
      <c r="F9556" s="806"/>
      <c r="W9556" s="806"/>
      <c r="AZ9556" s="806"/>
      <c r="BA9556" s="806"/>
      <c r="BB9556" s="806"/>
    </row>
    <row r="9557" spans="4:54">
      <c r="D9557" s="806"/>
      <c r="F9557" s="806"/>
      <c r="W9557" s="806"/>
      <c r="AZ9557" s="806"/>
      <c r="BA9557" s="806"/>
      <c r="BB9557" s="806"/>
    </row>
    <row r="9558" spans="4:54">
      <c r="D9558" s="806"/>
      <c r="F9558" s="806"/>
      <c r="W9558" s="806"/>
      <c r="AZ9558" s="806"/>
      <c r="BA9558" s="806"/>
      <c r="BB9558" s="806"/>
    </row>
    <row r="9559" spans="4:54">
      <c r="D9559" s="806"/>
      <c r="F9559" s="806"/>
      <c r="W9559" s="806"/>
      <c r="AZ9559" s="806"/>
      <c r="BA9559" s="806"/>
      <c r="BB9559" s="806"/>
    </row>
    <row r="9560" spans="4:54">
      <c r="D9560" s="806"/>
      <c r="F9560" s="806"/>
      <c r="W9560" s="806"/>
      <c r="AZ9560" s="806"/>
      <c r="BA9560" s="806"/>
      <c r="BB9560" s="806"/>
    </row>
    <row r="9561" spans="4:54">
      <c r="D9561" s="806"/>
      <c r="F9561" s="806"/>
      <c r="W9561" s="806"/>
      <c r="AZ9561" s="806"/>
      <c r="BA9561" s="806"/>
      <c r="BB9561" s="806"/>
    </row>
    <row r="9562" spans="4:54">
      <c r="D9562" s="806"/>
      <c r="F9562" s="806"/>
      <c r="W9562" s="806"/>
      <c r="AZ9562" s="806"/>
      <c r="BA9562" s="806"/>
      <c r="BB9562" s="806"/>
    </row>
    <row r="9563" spans="4:54">
      <c r="D9563" s="806"/>
      <c r="F9563" s="806"/>
      <c r="W9563" s="806"/>
      <c r="AZ9563" s="806"/>
      <c r="BA9563" s="806"/>
      <c r="BB9563" s="806"/>
    </row>
    <row r="9564" spans="4:54">
      <c r="D9564" s="806"/>
      <c r="F9564" s="806"/>
      <c r="W9564" s="806"/>
      <c r="AZ9564" s="806"/>
      <c r="BA9564" s="806"/>
      <c r="BB9564" s="806"/>
    </row>
    <row r="9565" spans="4:54">
      <c r="D9565" s="806"/>
      <c r="F9565" s="806"/>
      <c r="W9565" s="806"/>
      <c r="AZ9565" s="806"/>
      <c r="BA9565" s="806"/>
      <c r="BB9565" s="806"/>
    </row>
    <row r="9566" spans="4:54">
      <c r="D9566" s="806"/>
      <c r="F9566" s="806"/>
      <c r="W9566" s="806"/>
      <c r="AZ9566" s="806"/>
      <c r="BA9566" s="806"/>
      <c r="BB9566" s="806"/>
    </row>
    <row r="9567" spans="4:54">
      <c r="D9567" s="806"/>
      <c r="F9567" s="806"/>
      <c r="W9567" s="806"/>
      <c r="AZ9567" s="806"/>
      <c r="BA9567" s="806"/>
      <c r="BB9567" s="806"/>
    </row>
    <row r="9568" spans="4:54">
      <c r="D9568" s="806"/>
      <c r="F9568" s="806"/>
      <c r="W9568" s="806"/>
      <c r="AZ9568" s="806"/>
      <c r="BA9568" s="806"/>
      <c r="BB9568" s="806"/>
    </row>
    <row r="9569" spans="4:54">
      <c r="D9569" s="806"/>
      <c r="F9569" s="806"/>
      <c r="W9569" s="806"/>
      <c r="AZ9569" s="806"/>
      <c r="BA9569" s="806"/>
      <c r="BB9569" s="806"/>
    </row>
    <row r="9570" spans="4:54">
      <c r="D9570" s="806"/>
      <c r="F9570" s="806"/>
      <c r="W9570" s="806"/>
      <c r="AZ9570" s="806"/>
      <c r="BA9570" s="806"/>
      <c r="BB9570" s="806"/>
    </row>
    <row r="9571" spans="4:54">
      <c r="D9571" s="806"/>
      <c r="F9571" s="806"/>
      <c r="W9571" s="806"/>
      <c r="AZ9571" s="806"/>
      <c r="BA9571" s="806"/>
      <c r="BB9571" s="806"/>
    </row>
    <row r="9572" spans="4:54">
      <c r="D9572" s="806"/>
      <c r="F9572" s="806"/>
      <c r="W9572" s="806"/>
      <c r="AZ9572" s="806"/>
      <c r="BA9572" s="806"/>
      <c r="BB9572" s="806"/>
    </row>
    <row r="9573" spans="4:54">
      <c r="D9573" s="806"/>
      <c r="F9573" s="806"/>
      <c r="W9573" s="806"/>
      <c r="AZ9573" s="806"/>
      <c r="BA9573" s="806"/>
      <c r="BB9573" s="806"/>
    </row>
    <row r="9574" spans="4:54">
      <c r="D9574" s="806"/>
      <c r="F9574" s="806"/>
      <c r="W9574" s="806"/>
      <c r="AZ9574" s="806"/>
      <c r="BA9574" s="806"/>
      <c r="BB9574" s="806"/>
    </row>
    <row r="9575" spans="4:54">
      <c r="D9575" s="806"/>
      <c r="F9575" s="806"/>
      <c r="W9575" s="806"/>
      <c r="AZ9575" s="806"/>
      <c r="BA9575" s="806"/>
      <c r="BB9575" s="806"/>
    </row>
    <row r="9576" spans="4:54">
      <c r="D9576" s="806"/>
      <c r="F9576" s="806"/>
      <c r="W9576" s="806"/>
      <c r="AZ9576" s="806"/>
      <c r="BA9576" s="806"/>
      <c r="BB9576" s="806"/>
    </row>
    <row r="9577" spans="4:54">
      <c r="D9577" s="806"/>
      <c r="F9577" s="806"/>
      <c r="W9577" s="806"/>
      <c r="AZ9577" s="806"/>
      <c r="BA9577" s="806"/>
      <c r="BB9577" s="806"/>
    </row>
    <row r="9578" spans="4:54">
      <c r="D9578" s="806"/>
      <c r="F9578" s="806"/>
      <c r="W9578" s="806"/>
      <c r="AZ9578" s="806"/>
      <c r="BA9578" s="806"/>
      <c r="BB9578" s="806"/>
    </row>
    <row r="9579" spans="4:54">
      <c r="D9579" s="806"/>
      <c r="F9579" s="806"/>
      <c r="W9579" s="806"/>
      <c r="AZ9579" s="806"/>
      <c r="BA9579" s="806"/>
      <c r="BB9579" s="806"/>
    </row>
    <row r="9580" spans="4:54">
      <c r="D9580" s="806"/>
      <c r="F9580" s="806"/>
      <c r="W9580" s="806"/>
      <c r="AZ9580" s="806"/>
      <c r="BA9580" s="806"/>
      <c r="BB9580" s="806"/>
    </row>
    <row r="9581" spans="4:54">
      <c r="D9581" s="806"/>
      <c r="F9581" s="806"/>
      <c r="W9581" s="806"/>
      <c r="AZ9581" s="806"/>
      <c r="BA9581" s="806"/>
      <c r="BB9581" s="806"/>
    </row>
    <row r="9582" spans="4:54">
      <c r="D9582" s="806"/>
      <c r="F9582" s="806"/>
      <c r="W9582" s="806"/>
      <c r="AZ9582" s="806"/>
      <c r="BA9582" s="806"/>
      <c r="BB9582" s="806"/>
    </row>
    <row r="9583" spans="4:54">
      <c r="D9583" s="806"/>
      <c r="F9583" s="806"/>
      <c r="W9583" s="806"/>
      <c r="AZ9583" s="806"/>
      <c r="BA9583" s="806"/>
      <c r="BB9583" s="806"/>
    </row>
    <row r="9584" spans="4:54">
      <c r="D9584" s="806"/>
      <c r="F9584" s="806"/>
      <c r="W9584" s="806"/>
      <c r="AZ9584" s="806"/>
      <c r="BA9584" s="806"/>
      <c r="BB9584" s="806"/>
    </row>
    <row r="9585" spans="4:54">
      <c r="D9585" s="806"/>
      <c r="F9585" s="806"/>
      <c r="W9585" s="806"/>
      <c r="AZ9585" s="806"/>
      <c r="BA9585" s="806"/>
      <c r="BB9585" s="806"/>
    </row>
    <row r="9586" spans="4:54">
      <c r="D9586" s="806"/>
      <c r="F9586" s="806"/>
      <c r="W9586" s="806"/>
      <c r="AZ9586" s="806"/>
      <c r="BA9586" s="806"/>
      <c r="BB9586" s="806"/>
    </row>
    <row r="9587" spans="4:54">
      <c r="D9587" s="806"/>
      <c r="F9587" s="806"/>
      <c r="W9587" s="806"/>
      <c r="AZ9587" s="806"/>
      <c r="BA9587" s="806"/>
      <c r="BB9587" s="806"/>
    </row>
    <row r="9588" spans="4:54">
      <c r="D9588" s="806"/>
      <c r="F9588" s="806"/>
      <c r="W9588" s="806"/>
      <c r="AZ9588" s="806"/>
      <c r="BA9588" s="806"/>
      <c r="BB9588" s="806"/>
    </row>
    <row r="9589" spans="4:54">
      <c r="D9589" s="806"/>
      <c r="F9589" s="806"/>
      <c r="W9589" s="806"/>
      <c r="AZ9589" s="806"/>
      <c r="BA9589" s="806"/>
      <c r="BB9589" s="806"/>
    </row>
    <row r="9590" spans="4:54">
      <c r="D9590" s="806"/>
      <c r="F9590" s="806"/>
      <c r="W9590" s="806"/>
      <c r="AZ9590" s="806"/>
      <c r="BA9590" s="806"/>
      <c r="BB9590" s="806"/>
    </row>
    <row r="9591" spans="4:54">
      <c r="D9591" s="806"/>
      <c r="F9591" s="806"/>
      <c r="W9591" s="806"/>
      <c r="AZ9591" s="806"/>
      <c r="BA9591" s="806"/>
      <c r="BB9591" s="806"/>
    </row>
    <row r="9592" spans="4:54">
      <c r="D9592" s="806"/>
      <c r="F9592" s="806"/>
      <c r="W9592" s="806"/>
      <c r="AZ9592" s="806"/>
      <c r="BA9592" s="806"/>
      <c r="BB9592" s="806"/>
    </row>
    <row r="9593" spans="4:54">
      <c r="D9593" s="806"/>
      <c r="F9593" s="806"/>
      <c r="W9593" s="806"/>
      <c r="AZ9593" s="806"/>
      <c r="BA9593" s="806"/>
      <c r="BB9593" s="806"/>
    </row>
    <row r="9594" spans="4:54">
      <c r="D9594" s="806"/>
      <c r="F9594" s="806"/>
      <c r="W9594" s="806"/>
      <c r="AZ9594" s="806"/>
      <c r="BA9594" s="806"/>
      <c r="BB9594" s="806"/>
    </row>
    <row r="9595" spans="4:54">
      <c r="D9595" s="806"/>
      <c r="F9595" s="806"/>
      <c r="W9595" s="806"/>
      <c r="AZ9595" s="806"/>
      <c r="BA9595" s="806"/>
      <c r="BB9595" s="806"/>
    </row>
    <row r="9596" spans="4:54">
      <c r="D9596" s="806"/>
      <c r="F9596" s="806"/>
      <c r="W9596" s="806"/>
      <c r="AZ9596" s="806"/>
      <c r="BA9596" s="806"/>
      <c r="BB9596" s="806"/>
    </row>
    <row r="9597" spans="4:54">
      <c r="D9597" s="806"/>
      <c r="F9597" s="806"/>
      <c r="W9597" s="806"/>
      <c r="AZ9597" s="806"/>
      <c r="BA9597" s="806"/>
      <c r="BB9597" s="806"/>
    </row>
    <row r="9598" spans="4:54">
      <c r="D9598" s="806"/>
      <c r="F9598" s="806"/>
      <c r="W9598" s="806"/>
      <c r="AZ9598" s="806"/>
      <c r="BA9598" s="806"/>
      <c r="BB9598" s="806"/>
    </row>
    <row r="9599" spans="4:54">
      <c r="D9599" s="806"/>
      <c r="F9599" s="806"/>
      <c r="W9599" s="806"/>
      <c r="AZ9599" s="806"/>
      <c r="BA9599" s="806"/>
      <c r="BB9599" s="806"/>
    </row>
    <row r="9600" spans="4:54">
      <c r="D9600" s="806"/>
      <c r="F9600" s="806"/>
      <c r="W9600" s="806"/>
      <c r="AZ9600" s="806"/>
      <c r="BA9600" s="806"/>
      <c r="BB9600" s="806"/>
    </row>
    <row r="9601" spans="4:54">
      <c r="D9601" s="806"/>
      <c r="F9601" s="806"/>
      <c r="W9601" s="806"/>
      <c r="AZ9601" s="806"/>
      <c r="BA9601" s="806"/>
      <c r="BB9601" s="806"/>
    </row>
    <row r="9602" spans="4:54">
      <c r="D9602" s="806"/>
      <c r="F9602" s="806"/>
      <c r="W9602" s="806"/>
      <c r="AZ9602" s="806"/>
      <c r="BA9602" s="806"/>
      <c r="BB9602" s="806"/>
    </row>
    <row r="9603" spans="4:54">
      <c r="D9603" s="806"/>
      <c r="F9603" s="806"/>
      <c r="W9603" s="806"/>
      <c r="AZ9603" s="806"/>
      <c r="BA9603" s="806"/>
      <c r="BB9603" s="806"/>
    </row>
    <row r="9604" spans="4:54">
      <c r="D9604" s="806"/>
      <c r="F9604" s="806"/>
      <c r="W9604" s="806"/>
      <c r="AZ9604" s="806"/>
      <c r="BA9604" s="806"/>
      <c r="BB9604" s="806"/>
    </row>
    <row r="9605" spans="4:54">
      <c r="D9605" s="806"/>
      <c r="F9605" s="806"/>
      <c r="W9605" s="806"/>
      <c r="AZ9605" s="806"/>
      <c r="BA9605" s="806"/>
      <c r="BB9605" s="806"/>
    </row>
    <row r="9606" spans="4:54">
      <c r="D9606" s="806"/>
      <c r="F9606" s="806"/>
      <c r="W9606" s="806"/>
      <c r="AZ9606" s="806"/>
      <c r="BA9606" s="806"/>
      <c r="BB9606" s="806"/>
    </row>
    <row r="9607" spans="4:54">
      <c r="D9607" s="806"/>
      <c r="F9607" s="806"/>
      <c r="W9607" s="806"/>
      <c r="AZ9607" s="806"/>
      <c r="BA9607" s="806"/>
      <c r="BB9607" s="806"/>
    </row>
    <row r="9608" spans="4:54">
      <c r="D9608" s="806"/>
      <c r="F9608" s="806"/>
      <c r="W9608" s="806"/>
      <c r="AZ9608" s="806"/>
      <c r="BA9608" s="806"/>
      <c r="BB9608" s="806"/>
    </row>
    <row r="9609" spans="4:54">
      <c r="D9609" s="806"/>
      <c r="F9609" s="806"/>
      <c r="W9609" s="806"/>
      <c r="AZ9609" s="806"/>
      <c r="BA9609" s="806"/>
      <c r="BB9609" s="806"/>
    </row>
    <row r="9610" spans="4:54">
      <c r="D9610" s="806"/>
      <c r="F9610" s="806"/>
      <c r="W9610" s="806"/>
      <c r="AZ9610" s="806"/>
      <c r="BA9610" s="806"/>
      <c r="BB9610" s="806"/>
    </row>
    <row r="9611" spans="4:54">
      <c r="D9611" s="806"/>
      <c r="F9611" s="806"/>
      <c r="W9611" s="806"/>
      <c r="AZ9611" s="806"/>
      <c r="BA9611" s="806"/>
      <c r="BB9611" s="806"/>
    </row>
    <row r="9612" spans="4:54">
      <c r="D9612" s="806"/>
      <c r="F9612" s="806"/>
      <c r="W9612" s="806"/>
      <c r="AZ9612" s="806"/>
      <c r="BA9612" s="806"/>
      <c r="BB9612" s="806"/>
    </row>
    <row r="9613" spans="4:54">
      <c r="D9613" s="806"/>
      <c r="F9613" s="806"/>
      <c r="W9613" s="806"/>
      <c r="AZ9613" s="806"/>
      <c r="BA9613" s="806"/>
      <c r="BB9613" s="806"/>
    </row>
    <row r="9614" spans="4:54">
      <c r="D9614" s="806"/>
      <c r="F9614" s="806"/>
      <c r="W9614" s="806"/>
      <c r="AZ9614" s="806"/>
      <c r="BA9614" s="806"/>
      <c r="BB9614" s="806"/>
    </row>
    <row r="9615" spans="4:54">
      <c r="D9615" s="806"/>
      <c r="F9615" s="806"/>
      <c r="W9615" s="806"/>
      <c r="AZ9615" s="806"/>
      <c r="BA9615" s="806"/>
      <c r="BB9615" s="806"/>
    </row>
    <row r="9616" spans="4:54">
      <c r="D9616" s="806"/>
      <c r="F9616" s="806"/>
      <c r="W9616" s="806"/>
      <c r="AZ9616" s="806"/>
      <c r="BA9616" s="806"/>
      <c r="BB9616" s="806"/>
    </row>
    <row r="9617" spans="4:54">
      <c r="D9617" s="806"/>
      <c r="F9617" s="806"/>
      <c r="W9617" s="806"/>
      <c r="AZ9617" s="806"/>
      <c r="BA9617" s="806"/>
      <c r="BB9617" s="806"/>
    </row>
    <row r="9618" spans="4:54">
      <c r="D9618" s="806"/>
      <c r="F9618" s="806"/>
      <c r="W9618" s="806"/>
      <c r="AZ9618" s="806"/>
      <c r="BA9618" s="806"/>
      <c r="BB9618" s="806"/>
    </row>
    <row r="9619" spans="4:54">
      <c r="D9619" s="806"/>
      <c r="F9619" s="806"/>
      <c r="W9619" s="806"/>
      <c r="AZ9619" s="806"/>
      <c r="BA9619" s="806"/>
      <c r="BB9619" s="806"/>
    </row>
    <row r="9629" spans="4:54">
      <c r="D9629" s="806"/>
      <c r="F9629" s="806"/>
      <c r="W9629" s="806"/>
      <c r="AZ9629" s="806"/>
      <c r="BA9629" s="806"/>
      <c r="BB9629" s="806"/>
    </row>
    <row r="9630" spans="4:54">
      <c r="D9630" s="806"/>
      <c r="F9630" s="806"/>
      <c r="W9630" s="806"/>
      <c r="AZ9630" s="806"/>
      <c r="BA9630" s="806"/>
      <c r="BB9630" s="806"/>
    </row>
    <row r="9631" spans="4:54">
      <c r="D9631" s="806"/>
      <c r="F9631" s="806"/>
      <c r="W9631" s="806"/>
      <c r="AZ9631" s="806"/>
      <c r="BA9631" s="806"/>
      <c r="BB9631" s="806"/>
    </row>
    <row r="9632" spans="4:54">
      <c r="D9632" s="806"/>
      <c r="F9632" s="806"/>
      <c r="W9632" s="806"/>
      <c r="AZ9632" s="806"/>
      <c r="BA9632" s="806"/>
      <c r="BB9632" s="806"/>
    </row>
    <row r="9633" spans="4:54">
      <c r="D9633" s="806"/>
      <c r="F9633" s="806"/>
      <c r="W9633" s="806"/>
      <c r="AZ9633" s="806"/>
      <c r="BA9633" s="806"/>
      <c r="BB9633" s="806"/>
    </row>
    <row r="9634" spans="4:54">
      <c r="D9634" s="806"/>
      <c r="F9634" s="806"/>
      <c r="W9634" s="806"/>
      <c r="AZ9634" s="806"/>
      <c r="BA9634" s="806"/>
      <c r="BB9634" s="806"/>
    </row>
    <row r="9635" spans="4:54">
      <c r="D9635" s="806"/>
      <c r="F9635" s="806"/>
      <c r="W9635" s="806"/>
      <c r="AZ9635" s="806"/>
      <c r="BA9635" s="806"/>
      <c r="BB9635" s="806"/>
    </row>
    <row r="9636" spans="4:54">
      <c r="D9636" s="806"/>
      <c r="F9636" s="806"/>
      <c r="W9636" s="806"/>
      <c r="AZ9636" s="806"/>
      <c r="BA9636" s="806"/>
      <c r="BB9636" s="806"/>
    </row>
    <row r="9637" spans="4:54">
      <c r="D9637" s="806"/>
      <c r="F9637" s="806"/>
      <c r="W9637" s="806"/>
      <c r="AZ9637" s="806"/>
      <c r="BA9637" s="806"/>
      <c r="BB9637" s="806"/>
    </row>
    <row r="9638" spans="4:54">
      <c r="D9638" s="806"/>
      <c r="F9638" s="806"/>
      <c r="W9638" s="806"/>
      <c r="AZ9638" s="806"/>
      <c r="BA9638" s="806"/>
      <c r="BB9638" s="806"/>
    </row>
    <row r="9639" spans="4:54">
      <c r="D9639" s="806"/>
      <c r="F9639" s="806"/>
      <c r="W9639" s="806"/>
      <c r="AZ9639" s="806"/>
      <c r="BA9639" s="806"/>
      <c r="BB9639" s="806"/>
    </row>
    <row r="9640" spans="4:54">
      <c r="D9640" s="806"/>
      <c r="F9640" s="806"/>
      <c r="W9640" s="806"/>
      <c r="AZ9640" s="806"/>
      <c r="BA9640" s="806"/>
      <c r="BB9640" s="806"/>
    </row>
    <row r="9641" spans="4:54">
      <c r="D9641" s="806"/>
      <c r="F9641" s="806"/>
      <c r="W9641" s="806"/>
      <c r="AZ9641" s="806"/>
      <c r="BA9641" s="806"/>
      <c r="BB9641" s="806"/>
    </row>
    <row r="9642" spans="4:54">
      <c r="D9642" s="806"/>
      <c r="F9642" s="806"/>
      <c r="W9642" s="806"/>
      <c r="AZ9642" s="806"/>
      <c r="BA9642" s="806"/>
      <c r="BB9642" s="806"/>
    </row>
    <row r="9643" spans="4:54">
      <c r="D9643" s="806"/>
      <c r="F9643" s="806"/>
      <c r="W9643" s="806"/>
      <c r="AZ9643" s="806"/>
      <c r="BA9643" s="806"/>
      <c r="BB9643" s="806"/>
    </row>
    <row r="9644" spans="4:54">
      <c r="D9644" s="806"/>
      <c r="F9644" s="806"/>
      <c r="W9644" s="806"/>
      <c r="AZ9644" s="806"/>
      <c r="BA9644" s="806"/>
      <c r="BB9644" s="806"/>
    </row>
    <row r="9645" spans="4:54">
      <c r="D9645" s="806"/>
      <c r="F9645" s="806"/>
      <c r="W9645" s="806"/>
      <c r="AZ9645" s="806"/>
      <c r="BA9645" s="806"/>
      <c r="BB9645" s="806"/>
    </row>
    <row r="9646" spans="4:54">
      <c r="D9646" s="806"/>
      <c r="F9646" s="806"/>
      <c r="W9646" s="806"/>
      <c r="AZ9646" s="806"/>
      <c r="BA9646" s="806"/>
      <c r="BB9646" s="806"/>
    </row>
    <row r="9647" spans="4:54">
      <c r="D9647" s="806"/>
      <c r="F9647" s="806"/>
      <c r="W9647" s="806"/>
      <c r="AZ9647" s="806"/>
      <c r="BA9647" s="806"/>
      <c r="BB9647" s="806"/>
    </row>
    <row r="9648" spans="4:54">
      <c r="D9648" s="806"/>
      <c r="F9648" s="806"/>
      <c r="W9648" s="806"/>
      <c r="AZ9648" s="806"/>
      <c r="BA9648" s="806"/>
      <c r="BB9648" s="806"/>
    </row>
    <row r="9649" spans="4:54">
      <c r="D9649" s="806"/>
      <c r="F9649" s="806"/>
      <c r="W9649" s="806"/>
      <c r="AZ9649" s="806"/>
      <c r="BA9649" s="806"/>
      <c r="BB9649" s="806"/>
    </row>
    <row r="9650" spans="4:54">
      <c r="D9650" s="806"/>
      <c r="F9650" s="806"/>
      <c r="W9650" s="806"/>
      <c r="AZ9650" s="806"/>
      <c r="BA9650" s="806"/>
      <c r="BB9650" s="806"/>
    </row>
    <row r="9651" spans="4:54">
      <c r="D9651" s="806"/>
      <c r="F9651" s="806"/>
      <c r="W9651" s="806"/>
      <c r="AZ9651" s="806"/>
      <c r="BA9651" s="806"/>
      <c r="BB9651" s="806"/>
    </row>
    <row r="9652" spans="4:54">
      <c r="D9652" s="806"/>
      <c r="F9652" s="806"/>
      <c r="W9652" s="806"/>
      <c r="AZ9652" s="806"/>
      <c r="BA9652" s="806"/>
      <c r="BB9652" s="806"/>
    </row>
    <row r="9653" spans="4:54">
      <c r="D9653" s="806"/>
      <c r="F9653" s="806"/>
      <c r="W9653" s="806"/>
      <c r="AZ9653" s="806"/>
      <c r="BA9653" s="806"/>
      <c r="BB9653" s="806"/>
    </row>
    <row r="9654" spans="4:54">
      <c r="D9654" s="806"/>
      <c r="F9654" s="806"/>
      <c r="W9654" s="806"/>
      <c r="AZ9654" s="806"/>
      <c r="BA9654" s="806"/>
      <c r="BB9654" s="806"/>
    </row>
    <row r="9655" spans="4:54">
      <c r="D9655" s="806"/>
      <c r="F9655" s="806"/>
      <c r="W9655" s="806"/>
      <c r="AZ9655" s="806"/>
      <c r="BA9655" s="806"/>
      <c r="BB9655" s="806"/>
    </row>
    <row r="9656" spans="4:54">
      <c r="D9656" s="806"/>
      <c r="F9656" s="806"/>
      <c r="W9656" s="806"/>
      <c r="AZ9656" s="806"/>
      <c r="BA9656" s="806"/>
      <c r="BB9656" s="806"/>
    </row>
    <row r="9657" spans="4:54">
      <c r="D9657" s="806"/>
      <c r="F9657" s="806"/>
      <c r="W9657" s="806"/>
      <c r="AZ9657" s="806"/>
      <c r="BA9657" s="806"/>
      <c r="BB9657" s="806"/>
    </row>
    <row r="9658" spans="4:54">
      <c r="D9658" s="806"/>
      <c r="F9658" s="806"/>
      <c r="W9658" s="806"/>
      <c r="AZ9658" s="806"/>
      <c r="BA9658" s="806"/>
      <c r="BB9658" s="806"/>
    </row>
    <row r="9659" spans="4:54">
      <c r="D9659" s="806"/>
      <c r="F9659" s="806"/>
      <c r="W9659" s="806"/>
      <c r="AZ9659" s="806"/>
      <c r="BA9659" s="806"/>
      <c r="BB9659" s="806"/>
    </row>
    <row r="9660" spans="4:54">
      <c r="D9660" s="806"/>
      <c r="F9660" s="806"/>
      <c r="W9660" s="806"/>
      <c r="AZ9660" s="806"/>
      <c r="BA9660" s="806"/>
      <c r="BB9660" s="806"/>
    </row>
    <row r="9661" spans="4:54">
      <c r="D9661" s="806"/>
      <c r="F9661" s="806"/>
      <c r="W9661" s="806"/>
      <c r="AZ9661" s="806"/>
      <c r="BA9661" s="806"/>
      <c r="BB9661" s="806"/>
    </row>
    <row r="9662" spans="4:54">
      <c r="D9662" s="806"/>
      <c r="F9662" s="806"/>
      <c r="W9662" s="806"/>
      <c r="AZ9662" s="806"/>
      <c r="BA9662" s="806"/>
      <c r="BB9662" s="806"/>
    </row>
    <row r="9663" spans="4:54">
      <c r="D9663" s="806"/>
      <c r="F9663" s="806"/>
      <c r="W9663" s="806"/>
      <c r="AZ9663" s="806"/>
      <c r="BA9663" s="806"/>
      <c r="BB9663" s="806"/>
    </row>
    <row r="9664" spans="4:54">
      <c r="D9664" s="806"/>
      <c r="F9664" s="806"/>
      <c r="W9664" s="806"/>
      <c r="AZ9664" s="806"/>
      <c r="BA9664" s="806"/>
      <c r="BB9664" s="806"/>
    </row>
    <row r="9665" spans="4:54">
      <c r="D9665" s="806"/>
      <c r="F9665" s="806"/>
      <c r="W9665" s="806"/>
      <c r="AZ9665" s="806"/>
      <c r="BA9665" s="806"/>
      <c r="BB9665" s="806"/>
    </row>
    <row r="9666" spans="4:54">
      <c r="D9666" s="806"/>
      <c r="F9666" s="806"/>
      <c r="W9666" s="806"/>
      <c r="AZ9666" s="806"/>
      <c r="BA9666" s="806"/>
      <c r="BB9666" s="806"/>
    </row>
    <row r="9667" spans="4:54">
      <c r="D9667" s="806"/>
      <c r="F9667" s="806"/>
      <c r="W9667" s="806"/>
      <c r="AZ9667" s="806"/>
      <c r="BA9667" s="806"/>
      <c r="BB9667" s="806"/>
    </row>
    <row r="9668" spans="4:54">
      <c r="D9668" s="806"/>
      <c r="F9668" s="806"/>
      <c r="W9668" s="806"/>
      <c r="AZ9668" s="806"/>
      <c r="BA9668" s="806"/>
      <c r="BB9668" s="806"/>
    </row>
    <row r="9669" spans="4:54">
      <c r="D9669" s="806"/>
      <c r="F9669" s="806"/>
      <c r="W9669" s="806"/>
      <c r="AZ9669" s="806"/>
      <c r="BA9669" s="806"/>
      <c r="BB9669" s="806"/>
    </row>
    <row r="9670" spans="4:54">
      <c r="D9670" s="806"/>
      <c r="F9670" s="806"/>
      <c r="W9670" s="806"/>
      <c r="AZ9670" s="806"/>
      <c r="BA9670" s="806"/>
      <c r="BB9670" s="806"/>
    </row>
    <row r="9671" spans="4:54">
      <c r="D9671" s="806"/>
      <c r="F9671" s="806"/>
      <c r="W9671" s="806"/>
      <c r="AZ9671" s="806"/>
      <c r="BA9671" s="806"/>
      <c r="BB9671" s="806"/>
    </row>
    <row r="9672" spans="4:54">
      <c r="D9672" s="806"/>
      <c r="F9672" s="806"/>
      <c r="W9672" s="806"/>
      <c r="AZ9672" s="806"/>
      <c r="BA9672" s="806"/>
      <c r="BB9672" s="806"/>
    </row>
    <row r="9673" spans="4:54">
      <c r="D9673" s="806"/>
      <c r="F9673" s="806"/>
      <c r="W9673" s="806"/>
      <c r="AZ9673" s="806"/>
      <c r="BA9673" s="806"/>
      <c r="BB9673" s="806"/>
    </row>
    <row r="9674" spans="4:54">
      <c r="D9674" s="806"/>
      <c r="F9674" s="806"/>
      <c r="W9674" s="806"/>
      <c r="AZ9674" s="806"/>
      <c r="BA9674" s="806"/>
      <c r="BB9674" s="806"/>
    </row>
    <row r="9675" spans="4:54">
      <c r="D9675" s="806"/>
      <c r="F9675" s="806"/>
      <c r="W9675" s="806"/>
      <c r="AZ9675" s="806"/>
      <c r="BA9675" s="806"/>
      <c r="BB9675" s="806"/>
    </row>
    <row r="9676" spans="4:54">
      <c r="D9676" s="806"/>
      <c r="F9676" s="806"/>
      <c r="W9676" s="806"/>
      <c r="AZ9676" s="806"/>
      <c r="BA9676" s="806"/>
      <c r="BB9676" s="806"/>
    </row>
    <row r="9677" spans="4:54">
      <c r="D9677" s="806"/>
      <c r="F9677" s="806"/>
      <c r="W9677" s="806"/>
      <c r="AZ9677" s="806"/>
      <c r="BA9677" s="806"/>
      <c r="BB9677" s="806"/>
    </row>
    <row r="9678" spans="4:54">
      <c r="D9678" s="806"/>
      <c r="F9678" s="806"/>
      <c r="W9678" s="806"/>
      <c r="AZ9678" s="806"/>
      <c r="BA9678" s="806"/>
      <c r="BB9678" s="806"/>
    </row>
    <row r="9679" spans="4:54">
      <c r="D9679" s="806"/>
      <c r="F9679" s="806"/>
      <c r="W9679" s="806"/>
      <c r="AZ9679" s="806"/>
      <c r="BA9679" s="806"/>
      <c r="BB9679" s="806"/>
    </row>
    <row r="9680" spans="4:54">
      <c r="D9680" s="806"/>
      <c r="F9680" s="806"/>
      <c r="W9680" s="806"/>
      <c r="AZ9680" s="806"/>
      <c r="BA9680" s="806"/>
      <c r="BB9680" s="806"/>
    </row>
    <row r="9681" spans="4:54">
      <c r="D9681" s="806"/>
      <c r="F9681" s="806"/>
      <c r="W9681" s="806"/>
      <c r="AZ9681" s="806"/>
      <c r="BA9681" s="806"/>
      <c r="BB9681" s="806"/>
    </row>
    <row r="9682" spans="4:54">
      <c r="D9682" s="806"/>
      <c r="F9682" s="806"/>
      <c r="W9682" s="806"/>
      <c r="AZ9682" s="806"/>
      <c r="BA9682" s="806"/>
      <c r="BB9682" s="806"/>
    </row>
    <row r="9683" spans="4:54">
      <c r="D9683" s="806"/>
      <c r="F9683" s="806"/>
      <c r="W9683" s="806"/>
      <c r="AZ9683" s="806"/>
      <c r="BA9683" s="806"/>
      <c r="BB9683" s="806"/>
    </row>
    <row r="9684" spans="4:54">
      <c r="D9684" s="806"/>
      <c r="F9684" s="806"/>
      <c r="W9684" s="806"/>
      <c r="AZ9684" s="806"/>
      <c r="BA9684" s="806"/>
      <c r="BB9684" s="806"/>
    </row>
    <row r="9685" spans="4:54">
      <c r="D9685" s="806"/>
      <c r="F9685" s="806"/>
      <c r="W9685" s="806"/>
      <c r="AZ9685" s="806"/>
      <c r="BA9685" s="806"/>
      <c r="BB9685" s="806"/>
    </row>
    <row r="9686" spans="4:54">
      <c r="D9686" s="806"/>
      <c r="F9686" s="806"/>
      <c r="W9686" s="806"/>
      <c r="AZ9686" s="806"/>
      <c r="BA9686" s="806"/>
      <c r="BB9686" s="806"/>
    </row>
    <row r="9687" spans="4:54">
      <c r="D9687" s="806"/>
      <c r="F9687" s="806"/>
      <c r="W9687" s="806"/>
      <c r="AZ9687" s="806"/>
      <c r="BA9687" s="806"/>
      <c r="BB9687" s="806"/>
    </row>
    <row r="9688" spans="4:54">
      <c r="D9688" s="806"/>
      <c r="F9688" s="806"/>
      <c r="W9688" s="806"/>
      <c r="AZ9688" s="806"/>
      <c r="BA9688" s="806"/>
      <c r="BB9688" s="806"/>
    </row>
    <row r="9689" spans="4:54">
      <c r="D9689" s="806"/>
      <c r="F9689" s="806"/>
      <c r="W9689" s="806"/>
      <c r="AZ9689" s="806"/>
      <c r="BA9689" s="806"/>
      <c r="BB9689" s="806"/>
    </row>
    <row r="9690" spans="4:54">
      <c r="D9690" s="806"/>
      <c r="F9690" s="806"/>
      <c r="W9690" s="806"/>
      <c r="AZ9690" s="806"/>
      <c r="BA9690" s="806"/>
      <c r="BB9690" s="806"/>
    </row>
    <row r="9691" spans="4:54">
      <c r="D9691" s="806"/>
      <c r="F9691" s="806"/>
      <c r="W9691" s="806"/>
      <c r="AZ9691" s="806"/>
      <c r="BA9691" s="806"/>
      <c r="BB9691" s="806"/>
    </row>
    <row r="9692" spans="4:54">
      <c r="D9692" s="806"/>
      <c r="F9692" s="806"/>
      <c r="W9692" s="806"/>
      <c r="AZ9692" s="806"/>
      <c r="BA9692" s="806"/>
      <c r="BB9692" s="806"/>
    </row>
    <row r="9693" spans="4:54">
      <c r="D9693" s="806"/>
      <c r="F9693" s="806"/>
      <c r="W9693" s="806"/>
      <c r="AZ9693" s="806"/>
      <c r="BA9693" s="806"/>
      <c r="BB9693" s="806"/>
    </row>
    <row r="9694" spans="4:54">
      <c r="D9694" s="806"/>
      <c r="F9694" s="806"/>
      <c r="W9694" s="806"/>
      <c r="AZ9694" s="806"/>
      <c r="BA9694" s="806"/>
      <c r="BB9694" s="806"/>
    </row>
    <row r="9695" spans="4:54">
      <c r="D9695" s="806"/>
      <c r="F9695" s="806"/>
      <c r="W9695" s="806"/>
      <c r="AZ9695" s="806"/>
      <c r="BA9695" s="806"/>
      <c r="BB9695" s="806"/>
    </row>
    <row r="9696" spans="4:54">
      <c r="D9696" s="806"/>
      <c r="F9696" s="806"/>
      <c r="W9696" s="806"/>
      <c r="AZ9696" s="806"/>
      <c r="BA9696" s="806"/>
      <c r="BB9696" s="806"/>
    </row>
    <row r="9697" spans="4:54">
      <c r="D9697" s="806"/>
      <c r="F9697" s="806"/>
      <c r="W9697" s="806"/>
      <c r="AZ9697" s="806"/>
      <c r="BA9697" s="806"/>
      <c r="BB9697" s="806"/>
    </row>
    <row r="9698" spans="4:54">
      <c r="D9698" s="806"/>
      <c r="F9698" s="806"/>
      <c r="W9698" s="806"/>
      <c r="AZ9698" s="806"/>
      <c r="BA9698" s="806"/>
      <c r="BB9698" s="806"/>
    </row>
    <row r="9699" spans="4:54">
      <c r="D9699" s="806"/>
      <c r="F9699" s="806"/>
      <c r="W9699" s="806"/>
      <c r="AZ9699" s="806"/>
      <c r="BA9699" s="806"/>
      <c r="BB9699" s="806"/>
    </row>
    <row r="9700" spans="4:54">
      <c r="D9700" s="806"/>
      <c r="F9700" s="806"/>
      <c r="W9700" s="806"/>
      <c r="AZ9700" s="806"/>
      <c r="BA9700" s="806"/>
      <c r="BB9700" s="806"/>
    </row>
    <row r="9701" spans="4:54">
      <c r="D9701" s="806"/>
      <c r="F9701" s="806"/>
      <c r="W9701" s="806"/>
      <c r="AZ9701" s="806"/>
      <c r="BA9701" s="806"/>
      <c r="BB9701" s="806"/>
    </row>
    <row r="9702" spans="4:54">
      <c r="D9702" s="806"/>
      <c r="F9702" s="806"/>
      <c r="W9702" s="806"/>
      <c r="AZ9702" s="806"/>
      <c r="BA9702" s="806"/>
      <c r="BB9702" s="806"/>
    </row>
    <row r="9703" spans="4:54">
      <c r="D9703" s="806"/>
      <c r="F9703" s="806"/>
      <c r="W9703" s="806"/>
      <c r="AZ9703" s="806"/>
      <c r="BA9703" s="806"/>
      <c r="BB9703" s="806"/>
    </row>
    <row r="9704" spans="4:54">
      <c r="D9704" s="806"/>
      <c r="F9704" s="806"/>
      <c r="W9704" s="806"/>
      <c r="AZ9704" s="806"/>
      <c r="BA9704" s="806"/>
      <c r="BB9704" s="806"/>
    </row>
    <row r="9705" spans="4:54">
      <c r="D9705" s="806"/>
      <c r="F9705" s="806"/>
      <c r="W9705" s="806"/>
      <c r="AZ9705" s="806"/>
      <c r="BA9705" s="806"/>
      <c r="BB9705" s="806"/>
    </row>
    <row r="9706" spans="4:54">
      <c r="D9706" s="806"/>
      <c r="F9706" s="806"/>
      <c r="W9706" s="806"/>
      <c r="AZ9706" s="806"/>
      <c r="BA9706" s="806"/>
      <c r="BB9706" s="806"/>
    </row>
    <row r="9707" spans="4:54">
      <c r="D9707" s="806"/>
      <c r="F9707" s="806"/>
      <c r="W9707" s="806"/>
      <c r="AZ9707" s="806"/>
      <c r="BA9707" s="806"/>
      <c r="BB9707" s="806"/>
    </row>
    <row r="9708" spans="4:54">
      <c r="D9708" s="806"/>
      <c r="F9708" s="806"/>
      <c r="W9708" s="806"/>
      <c r="AZ9708" s="806"/>
      <c r="BA9708" s="806"/>
      <c r="BB9708" s="806"/>
    </row>
    <row r="9709" spans="4:54">
      <c r="D9709" s="806"/>
      <c r="F9709" s="806"/>
      <c r="W9709" s="806"/>
      <c r="AZ9709" s="806"/>
      <c r="BA9709" s="806"/>
      <c r="BB9709" s="806"/>
    </row>
    <row r="9710" spans="4:54">
      <c r="D9710" s="806"/>
      <c r="F9710" s="806"/>
      <c r="W9710" s="806"/>
      <c r="AZ9710" s="806"/>
      <c r="BA9710" s="806"/>
      <c r="BB9710" s="806"/>
    </row>
    <row r="9711" spans="4:54">
      <c r="D9711" s="806"/>
      <c r="F9711" s="806"/>
      <c r="W9711" s="806"/>
      <c r="AZ9711" s="806"/>
      <c r="BA9711" s="806"/>
      <c r="BB9711" s="806"/>
    </row>
    <row r="9712" spans="4:54">
      <c r="D9712" s="806"/>
      <c r="F9712" s="806"/>
      <c r="W9712" s="806"/>
      <c r="AZ9712" s="806"/>
      <c r="BA9712" s="806"/>
      <c r="BB9712" s="806"/>
    </row>
    <row r="9713" spans="4:54">
      <c r="D9713" s="806"/>
      <c r="F9713" s="806"/>
      <c r="W9713" s="806"/>
      <c r="AZ9713" s="806"/>
      <c r="BA9713" s="806"/>
      <c r="BB9713" s="806"/>
    </row>
    <row r="9714" spans="4:54">
      <c r="D9714" s="806"/>
      <c r="F9714" s="806"/>
      <c r="W9714" s="806"/>
      <c r="AZ9714" s="806"/>
      <c r="BA9714" s="806"/>
      <c r="BB9714" s="806"/>
    </row>
    <row r="9715" spans="4:54">
      <c r="D9715" s="806"/>
      <c r="F9715" s="806"/>
      <c r="W9715" s="806"/>
      <c r="AZ9715" s="806"/>
      <c r="BA9715" s="806"/>
      <c r="BB9715" s="806"/>
    </row>
    <row r="9716" spans="4:54">
      <c r="D9716" s="806"/>
      <c r="F9716" s="806"/>
      <c r="W9716" s="806"/>
      <c r="AZ9716" s="806"/>
      <c r="BA9716" s="806"/>
      <c r="BB9716" s="806"/>
    </row>
    <row r="9717" spans="4:54">
      <c r="D9717" s="806"/>
      <c r="F9717" s="806"/>
      <c r="W9717" s="806"/>
      <c r="AZ9717" s="806"/>
      <c r="BA9717" s="806"/>
      <c r="BB9717" s="806"/>
    </row>
    <row r="9718" spans="4:54">
      <c r="D9718" s="806"/>
      <c r="F9718" s="806"/>
      <c r="W9718" s="806"/>
      <c r="AZ9718" s="806"/>
      <c r="BA9718" s="806"/>
      <c r="BB9718" s="806"/>
    </row>
    <row r="9719" spans="4:54">
      <c r="D9719" s="806"/>
      <c r="F9719" s="806"/>
      <c r="W9719" s="806"/>
      <c r="AZ9719" s="806"/>
      <c r="BA9719" s="806"/>
      <c r="BB9719" s="806"/>
    </row>
    <row r="9720" spans="4:54">
      <c r="D9720" s="806"/>
      <c r="F9720" s="806"/>
      <c r="W9720" s="806"/>
      <c r="AZ9720" s="806"/>
      <c r="BA9720" s="806"/>
      <c r="BB9720" s="806"/>
    </row>
    <row r="9721" spans="4:54">
      <c r="D9721" s="806"/>
      <c r="F9721" s="806"/>
      <c r="W9721" s="806"/>
      <c r="AZ9721" s="806"/>
      <c r="BA9721" s="806"/>
      <c r="BB9721" s="806"/>
    </row>
    <row r="9722" spans="4:54">
      <c r="D9722" s="806"/>
      <c r="F9722" s="806"/>
      <c r="W9722" s="806"/>
      <c r="AZ9722" s="806"/>
      <c r="BA9722" s="806"/>
      <c r="BB9722" s="806"/>
    </row>
    <row r="9723" spans="4:54">
      <c r="D9723" s="806"/>
      <c r="F9723" s="806"/>
      <c r="W9723" s="806"/>
      <c r="AZ9723" s="806"/>
      <c r="BA9723" s="806"/>
      <c r="BB9723" s="806"/>
    </row>
    <row r="9724" spans="4:54">
      <c r="D9724" s="806"/>
      <c r="F9724" s="806"/>
      <c r="W9724" s="806"/>
      <c r="AZ9724" s="806"/>
      <c r="BA9724" s="806"/>
      <c r="BB9724" s="806"/>
    </row>
    <row r="9725" spans="4:54">
      <c r="D9725" s="806"/>
      <c r="F9725" s="806"/>
      <c r="W9725" s="806"/>
      <c r="AZ9725" s="806"/>
      <c r="BA9725" s="806"/>
      <c r="BB9725" s="806"/>
    </row>
    <row r="9726" spans="4:54">
      <c r="D9726" s="806"/>
      <c r="F9726" s="806"/>
      <c r="W9726" s="806"/>
      <c r="AZ9726" s="806"/>
      <c r="BA9726" s="806"/>
      <c r="BB9726" s="806"/>
    </row>
    <row r="9727" spans="4:54">
      <c r="D9727" s="806"/>
      <c r="F9727" s="806"/>
      <c r="W9727" s="806"/>
      <c r="AZ9727" s="806"/>
      <c r="BA9727" s="806"/>
      <c r="BB9727" s="806"/>
    </row>
    <row r="9728" spans="4:54">
      <c r="D9728" s="806"/>
      <c r="F9728" s="806"/>
      <c r="W9728" s="806"/>
      <c r="AZ9728" s="806"/>
      <c r="BA9728" s="806"/>
      <c r="BB9728" s="806"/>
    </row>
    <row r="9729" spans="4:54">
      <c r="D9729" s="806"/>
      <c r="F9729" s="806"/>
      <c r="W9729" s="806"/>
      <c r="AZ9729" s="806"/>
      <c r="BA9729" s="806"/>
      <c r="BB9729" s="806"/>
    </row>
    <row r="9730" spans="4:54">
      <c r="D9730" s="806"/>
      <c r="F9730" s="806"/>
      <c r="W9730" s="806"/>
      <c r="AZ9730" s="806"/>
      <c r="BA9730" s="806"/>
      <c r="BB9730" s="806"/>
    </row>
    <row r="9731" spans="4:54">
      <c r="D9731" s="806"/>
      <c r="F9731" s="806"/>
      <c r="W9731" s="806"/>
      <c r="AZ9731" s="806"/>
      <c r="BA9731" s="806"/>
      <c r="BB9731" s="806"/>
    </row>
    <row r="9732" spans="4:54">
      <c r="D9732" s="806"/>
      <c r="F9732" s="806"/>
      <c r="W9732" s="806"/>
      <c r="AZ9732" s="806"/>
      <c r="BA9732" s="806"/>
      <c r="BB9732" s="806"/>
    </row>
    <row r="9733" spans="4:54">
      <c r="D9733" s="806"/>
      <c r="F9733" s="806"/>
      <c r="W9733" s="806"/>
      <c r="AZ9733" s="806"/>
      <c r="BA9733" s="806"/>
      <c r="BB9733" s="806"/>
    </row>
    <row r="9734" spans="4:54">
      <c r="D9734" s="806"/>
      <c r="F9734" s="806"/>
      <c r="W9734" s="806"/>
      <c r="AZ9734" s="806"/>
      <c r="BA9734" s="806"/>
      <c r="BB9734" s="806"/>
    </row>
    <row r="9735" spans="4:54">
      <c r="D9735" s="806"/>
      <c r="F9735" s="806"/>
      <c r="W9735" s="806"/>
      <c r="AZ9735" s="806"/>
      <c r="BA9735" s="806"/>
      <c r="BB9735" s="806"/>
    </row>
    <row r="9736" spans="4:54">
      <c r="D9736" s="806"/>
      <c r="F9736" s="806"/>
      <c r="W9736" s="806"/>
      <c r="AZ9736" s="806"/>
      <c r="BA9736" s="806"/>
      <c r="BB9736" s="806"/>
    </row>
    <row r="9737" spans="4:54">
      <c r="D9737" s="806"/>
      <c r="F9737" s="806"/>
      <c r="W9737" s="806"/>
      <c r="AZ9737" s="806"/>
      <c r="BA9737" s="806"/>
      <c r="BB9737" s="806"/>
    </row>
    <row r="9738" spans="4:54">
      <c r="D9738" s="806"/>
      <c r="F9738" s="806"/>
      <c r="W9738" s="806"/>
      <c r="AZ9738" s="806"/>
      <c r="BA9738" s="806"/>
      <c r="BB9738" s="806"/>
    </row>
    <row r="9739" spans="4:54">
      <c r="D9739" s="806"/>
      <c r="F9739" s="806"/>
      <c r="W9739" s="806"/>
      <c r="AZ9739" s="806"/>
      <c r="BA9739" s="806"/>
      <c r="BB9739" s="806"/>
    </row>
    <row r="9740" spans="4:54">
      <c r="D9740" s="806"/>
      <c r="F9740" s="806"/>
      <c r="W9740" s="806"/>
      <c r="AZ9740" s="806"/>
      <c r="BA9740" s="806"/>
      <c r="BB9740" s="806"/>
    </row>
    <row r="9741" spans="4:54">
      <c r="D9741" s="806"/>
      <c r="F9741" s="806"/>
      <c r="W9741" s="806"/>
      <c r="AZ9741" s="806"/>
      <c r="BA9741" s="806"/>
      <c r="BB9741" s="806"/>
    </row>
    <row r="9742" spans="4:54">
      <c r="D9742" s="806"/>
      <c r="F9742" s="806"/>
      <c r="W9742" s="806"/>
      <c r="AZ9742" s="806"/>
      <c r="BA9742" s="806"/>
      <c r="BB9742" s="806"/>
    </row>
    <row r="9743" spans="4:54">
      <c r="D9743" s="806"/>
      <c r="F9743" s="806"/>
      <c r="W9743" s="806"/>
      <c r="AZ9743" s="806"/>
      <c r="BA9743" s="806"/>
      <c r="BB9743" s="806"/>
    </row>
    <row r="9744" spans="4:54">
      <c r="D9744" s="806"/>
      <c r="F9744" s="806"/>
      <c r="W9744" s="806"/>
      <c r="AZ9744" s="806"/>
      <c r="BA9744" s="806"/>
      <c r="BB9744" s="806"/>
    </row>
    <row r="9745" spans="4:54">
      <c r="D9745" s="806"/>
      <c r="F9745" s="806"/>
      <c r="W9745" s="806"/>
      <c r="AZ9745" s="806"/>
      <c r="BA9745" s="806"/>
      <c r="BB9745" s="806"/>
    </row>
    <row r="9746" spans="4:54">
      <c r="D9746" s="806"/>
      <c r="F9746" s="806"/>
      <c r="W9746" s="806"/>
      <c r="AZ9746" s="806"/>
      <c r="BA9746" s="806"/>
      <c r="BB9746" s="806"/>
    </row>
    <row r="9754" spans="4:54">
      <c r="D9754" s="806"/>
      <c r="F9754" s="806"/>
      <c r="W9754" s="806"/>
      <c r="AZ9754" s="806"/>
      <c r="BA9754" s="806"/>
      <c r="BB9754" s="806"/>
    </row>
    <row r="9755" spans="4:54">
      <c r="D9755" s="806"/>
      <c r="F9755" s="806"/>
      <c r="W9755" s="806"/>
      <c r="AZ9755" s="806"/>
      <c r="BA9755" s="806"/>
      <c r="BB9755" s="806"/>
    </row>
    <row r="9756" spans="4:54">
      <c r="D9756" s="806"/>
      <c r="F9756" s="806"/>
      <c r="W9756" s="806"/>
      <c r="AZ9756" s="806"/>
      <c r="BA9756" s="806"/>
      <c r="BB9756" s="806"/>
    </row>
    <row r="9757" spans="4:54">
      <c r="D9757" s="806"/>
      <c r="F9757" s="806"/>
      <c r="W9757" s="806"/>
      <c r="AZ9757" s="806"/>
      <c r="BA9757" s="806"/>
      <c r="BB9757" s="806"/>
    </row>
    <row r="9758" spans="4:54">
      <c r="D9758" s="806"/>
      <c r="F9758" s="806"/>
      <c r="W9758" s="806"/>
      <c r="AZ9758" s="806"/>
      <c r="BA9758" s="806"/>
      <c r="BB9758" s="806"/>
    </row>
    <row r="9759" spans="4:54">
      <c r="D9759" s="806"/>
      <c r="F9759" s="806"/>
      <c r="W9759" s="806"/>
      <c r="AZ9759" s="806"/>
      <c r="BA9759" s="806"/>
      <c r="BB9759" s="806"/>
    </row>
    <row r="9760" spans="4:54">
      <c r="D9760" s="806"/>
      <c r="F9760" s="806"/>
      <c r="W9760" s="806"/>
      <c r="AZ9760" s="806"/>
      <c r="BA9760" s="806"/>
      <c r="BB9760" s="806"/>
    </row>
    <row r="9761" spans="4:54">
      <c r="D9761" s="806"/>
      <c r="F9761" s="806"/>
      <c r="W9761" s="806"/>
      <c r="AZ9761" s="806"/>
      <c r="BA9761" s="806"/>
      <c r="BB9761" s="806"/>
    </row>
    <row r="9762" spans="4:54">
      <c r="D9762" s="806"/>
      <c r="F9762" s="806"/>
      <c r="W9762" s="806"/>
      <c r="AZ9762" s="806"/>
      <c r="BA9762" s="806"/>
      <c r="BB9762" s="806"/>
    </row>
    <row r="9763" spans="4:54">
      <c r="D9763" s="806"/>
      <c r="F9763" s="806"/>
      <c r="W9763" s="806"/>
      <c r="AZ9763" s="806"/>
      <c r="BA9763" s="806"/>
      <c r="BB9763" s="806"/>
    </row>
    <row r="9764" spans="4:54">
      <c r="D9764" s="806"/>
      <c r="F9764" s="806"/>
      <c r="W9764" s="806"/>
      <c r="AZ9764" s="806"/>
      <c r="BA9764" s="806"/>
      <c r="BB9764" s="806"/>
    </row>
    <row r="9765" spans="4:54">
      <c r="D9765" s="806"/>
      <c r="F9765" s="806"/>
      <c r="W9765" s="806"/>
      <c r="AZ9765" s="806"/>
      <c r="BA9765" s="806"/>
      <c r="BB9765" s="806"/>
    </row>
    <row r="9766" spans="4:54">
      <c r="D9766" s="806"/>
      <c r="F9766" s="806"/>
      <c r="W9766" s="806"/>
      <c r="AZ9766" s="806"/>
      <c r="BA9766" s="806"/>
      <c r="BB9766" s="806"/>
    </row>
    <row r="9767" spans="4:54">
      <c r="D9767" s="806"/>
      <c r="F9767" s="806"/>
      <c r="W9767" s="806"/>
      <c r="AZ9767" s="806"/>
      <c r="BA9767" s="806"/>
      <c r="BB9767" s="806"/>
    </row>
    <row r="9768" spans="4:54">
      <c r="D9768" s="806"/>
      <c r="F9768" s="806"/>
      <c r="W9768" s="806"/>
      <c r="AZ9768" s="806"/>
      <c r="BA9768" s="806"/>
      <c r="BB9768" s="806"/>
    </row>
    <row r="9769" spans="4:54">
      <c r="D9769" s="806"/>
      <c r="F9769" s="806"/>
      <c r="W9769" s="806"/>
      <c r="AZ9769" s="806"/>
      <c r="BA9769" s="806"/>
      <c r="BB9769" s="806"/>
    </row>
    <row r="9770" spans="4:54">
      <c r="D9770" s="806"/>
      <c r="F9770" s="806"/>
      <c r="W9770" s="806"/>
      <c r="AZ9770" s="806"/>
      <c r="BA9770" s="806"/>
      <c r="BB9770" s="806"/>
    </row>
    <row r="9771" spans="4:54">
      <c r="D9771" s="806"/>
      <c r="F9771" s="806"/>
      <c r="W9771" s="806"/>
      <c r="AZ9771" s="806"/>
      <c r="BA9771" s="806"/>
      <c r="BB9771" s="806"/>
    </row>
    <row r="9772" spans="4:54">
      <c r="D9772" s="806"/>
      <c r="F9772" s="806"/>
      <c r="W9772" s="806"/>
      <c r="AZ9772" s="806"/>
      <c r="BA9772" s="806"/>
      <c r="BB9772" s="806"/>
    </row>
    <row r="9773" spans="4:54">
      <c r="D9773" s="806"/>
      <c r="F9773" s="806"/>
      <c r="W9773" s="806"/>
      <c r="AZ9773" s="806"/>
      <c r="BA9773" s="806"/>
      <c r="BB9773" s="806"/>
    </row>
    <row r="9774" spans="4:54">
      <c r="D9774" s="806"/>
      <c r="F9774" s="806"/>
      <c r="W9774" s="806"/>
      <c r="AZ9774" s="806"/>
      <c r="BA9774" s="806"/>
      <c r="BB9774" s="806"/>
    </row>
    <row r="9775" spans="4:54">
      <c r="D9775" s="806"/>
      <c r="F9775" s="806"/>
      <c r="W9775" s="806"/>
      <c r="AZ9775" s="806"/>
      <c r="BA9775" s="806"/>
      <c r="BB9775" s="806"/>
    </row>
    <row r="9776" spans="4:54">
      <c r="D9776" s="806"/>
      <c r="F9776" s="806"/>
      <c r="W9776" s="806"/>
      <c r="AZ9776" s="806"/>
      <c r="BA9776" s="806"/>
      <c r="BB9776" s="806"/>
    </row>
    <row r="9777" spans="4:54">
      <c r="D9777" s="806"/>
      <c r="F9777" s="806"/>
      <c r="W9777" s="806"/>
      <c r="AZ9777" s="806"/>
      <c r="BA9777" s="806"/>
      <c r="BB9777" s="806"/>
    </row>
    <row r="9778" spans="4:54">
      <c r="D9778" s="806"/>
      <c r="F9778" s="806"/>
      <c r="W9778" s="806"/>
      <c r="AZ9778" s="806"/>
      <c r="BA9778" s="806"/>
      <c r="BB9778" s="806"/>
    </row>
    <row r="9779" spans="4:54">
      <c r="D9779" s="806"/>
      <c r="F9779" s="806"/>
      <c r="W9779" s="806"/>
      <c r="AZ9779" s="806"/>
      <c r="BA9779" s="806"/>
      <c r="BB9779" s="806"/>
    </row>
    <row r="9780" spans="4:54">
      <c r="D9780" s="806"/>
      <c r="F9780" s="806"/>
      <c r="W9780" s="806"/>
      <c r="AZ9780" s="806"/>
      <c r="BA9780" s="806"/>
      <c r="BB9780" s="806"/>
    </row>
    <row r="9781" spans="4:54">
      <c r="D9781" s="806"/>
      <c r="F9781" s="806"/>
      <c r="W9781" s="806"/>
      <c r="AZ9781" s="806"/>
      <c r="BA9781" s="806"/>
      <c r="BB9781" s="806"/>
    </row>
    <row r="9782" spans="4:54">
      <c r="D9782" s="806"/>
      <c r="F9782" s="806"/>
      <c r="W9782" s="806"/>
      <c r="AZ9782" s="806"/>
      <c r="BA9782" s="806"/>
      <c r="BB9782" s="806"/>
    </row>
    <row r="9783" spans="4:54">
      <c r="D9783" s="806"/>
      <c r="F9783" s="806"/>
      <c r="W9783" s="806"/>
      <c r="AZ9783" s="806"/>
      <c r="BA9783" s="806"/>
      <c r="BB9783" s="806"/>
    </row>
    <row r="9784" spans="4:54">
      <c r="D9784" s="806"/>
      <c r="F9784" s="806"/>
      <c r="W9784" s="806"/>
      <c r="AZ9784" s="806"/>
      <c r="BA9784" s="806"/>
      <c r="BB9784" s="806"/>
    </row>
    <row r="9785" spans="4:54">
      <c r="D9785" s="806"/>
      <c r="F9785" s="806"/>
      <c r="W9785" s="806"/>
      <c r="AZ9785" s="806"/>
      <c r="BA9785" s="806"/>
      <c r="BB9785" s="806"/>
    </row>
    <row r="9786" spans="4:54">
      <c r="D9786" s="806"/>
      <c r="F9786" s="806"/>
      <c r="W9786" s="806"/>
      <c r="AZ9786" s="806"/>
      <c r="BA9786" s="806"/>
      <c r="BB9786" s="806"/>
    </row>
    <row r="9787" spans="4:54">
      <c r="D9787" s="806"/>
      <c r="F9787" s="806"/>
      <c r="W9787" s="806"/>
      <c r="AZ9787" s="806"/>
      <c r="BA9787" s="806"/>
      <c r="BB9787" s="806"/>
    </row>
    <row r="9788" spans="4:54">
      <c r="D9788" s="806"/>
      <c r="F9788" s="806"/>
      <c r="W9788" s="806"/>
      <c r="AZ9788" s="806"/>
      <c r="BA9788" s="806"/>
      <c r="BB9788" s="806"/>
    </row>
    <row r="9789" spans="4:54">
      <c r="D9789" s="806"/>
      <c r="F9789" s="806"/>
      <c r="W9789" s="806"/>
      <c r="AZ9789" s="806"/>
      <c r="BA9789" s="806"/>
      <c r="BB9789" s="806"/>
    </row>
    <row r="9790" spans="4:54">
      <c r="D9790" s="806"/>
      <c r="F9790" s="806"/>
      <c r="W9790" s="806"/>
      <c r="AZ9790" s="806"/>
      <c r="BA9790" s="806"/>
      <c r="BB9790" s="806"/>
    </row>
    <row r="9791" spans="4:54">
      <c r="D9791" s="806"/>
      <c r="F9791" s="806"/>
      <c r="W9791" s="806"/>
      <c r="AZ9791" s="806"/>
      <c r="BA9791" s="806"/>
      <c r="BB9791" s="806"/>
    </row>
    <row r="9792" spans="4:54">
      <c r="D9792" s="806"/>
      <c r="F9792" s="806"/>
      <c r="W9792" s="806"/>
      <c r="AZ9792" s="806"/>
      <c r="BA9792" s="806"/>
      <c r="BB9792" s="806"/>
    </row>
    <row r="9793" spans="4:54">
      <c r="D9793" s="806"/>
      <c r="F9793" s="806"/>
      <c r="W9793" s="806"/>
      <c r="AZ9793" s="806"/>
      <c r="BA9793" s="806"/>
      <c r="BB9793" s="806"/>
    </row>
    <row r="9794" spans="4:54">
      <c r="D9794" s="806"/>
      <c r="F9794" s="806"/>
      <c r="W9794" s="806"/>
      <c r="AZ9794" s="806"/>
      <c r="BA9794" s="806"/>
      <c r="BB9794" s="806"/>
    </row>
    <row r="9795" spans="4:54">
      <c r="D9795" s="806"/>
      <c r="F9795" s="806"/>
      <c r="W9795" s="806"/>
      <c r="AZ9795" s="806"/>
      <c r="BA9795" s="806"/>
      <c r="BB9795" s="806"/>
    </row>
    <row r="9796" spans="4:54">
      <c r="D9796" s="806"/>
      <c r="F9796" s="806"/>
      <c r="W9796" s="806"/>
      <c r="AZ9796" s="806"/>
      <c r="BA9796" s="806"/>
      <c r="BB9796" s="806"/>
    </row>
    <row r="9797" spans="4:54">
      <c r="D9797" s="806"/>
      <c r="F9797" s="806"/>
      <c r="W9797" s="806"/>
      <c r="AZ9797" s="806"/>
      <c r="BA9797" s="806"/>
      <c r="BB9797" s="806"/>
    </row>
    <row r="9798" spans="4:54">
      <c r="D9798" s="806"/>
      <c r="F9798" s="806"/>
      <c r="W9798" s="806"/>
      <c r="AZ9798" s="806"/>
      <c r="BA9798" s="806"/>
      <c r="BB9798" s="806"/>
    </row>
    <row r="9799" spans="4:54">
      <c r="D9799" s="806"/>
      <c r="F9799" s="806"/>
      <c r="W9799" s="806"/>
      <c r="AZ9799" s="806"/>
      <c r="BA9799" s="806"/>
      <c r="BB9799" s="806"/>
    </row>
    <row r="9800" spans="4:54">
      <c r="D9800" s="806"/>
      <c r="F9800" s="806"/>
      <c r="W9800" s="806"/>
      <c r="AZ9800" s="806"/>
      <c r="BA9800" s="806"/>
      <c r="BB9800" s="806"/>
    </row>
    <row r="9801" spans="4:54">
      <c r="D9801" s="806"/>
      <c r="F9801" s="806"/>
      <c r="W9801" s="806"/>
      <c r="AZ9801" s="806"/>
      <c r="BA9801" s="806"/>
      <c r="BB9801" s="806"/>
    </row>
    <row r="9802" spans="4:54">
      <c r="D9802" s="806"/>
      <c r="F9802" s="806"/>
      <c r="W9802" s="806"/>
      <c r="AZ9802" s="806"/>
      <c r="BA9802" s="806"/>
      <c r="BB9802" s="806"/>
    </row>
    <row r="9803" spans="4:54">
      <c r="D9803" s="806"/>
      <c r="F9803" s="806"/>
      <c r="W9803" s="806"/>
      <c r="AZ9803" s="806"/>
      <c r="BA9803" s="806"/>
      <c r="BB9803" s="806"/>
    </row>
    <row r="9804" spans="4:54">
      <c r="D9804" s="806"/>
      <c r="F9804" s="806"/>
      <c r="W9804" s="806"/>
      <c r="AZ9804" s="806"/>
      <c r="BA9804" s="806"/>
      <c r="BB9804" s="806"/>
    </row>
    <row r="9805" spans="4:54">
      <c r="D9805" s="806"/>
      <c r="F9805" s="806"/>
      <c r="W9805" s="806"/>
      <c r="AZ9805" s="806"/>
      <c r="BA9805" s="806"/>
      <c r="BB9805" s="806"/>
    </row>
    <row r="9806" spans="4:54">
      <c r="D9806" s="806"/>
      <c r="F9806" s="806"/>
      <c r="W9806" s="806"/>
      <c r="AZ9806" s="806"/>
      <c r="BA9806" s="806"/>
      <c r="BB9806" s="806"/>
    </row>
    <row r="9807" spans="4:54">
      <c r="D9807" s="806"/>
      <c r="F9807" s="806"/>
      <c r="W9807" s="806"/>
      <c r="AZ9807" s="806"/>
      <c r="BA9807" s="806"/>
      <c r="BB9807" s="806"/>
    </row>
    <row r="9808" spans="4:54">
      <c r="D9808" s="806"/>
      <c r="F9808" s="806"/>
      <c r="W9808" s="806"/>
      <c r="AZ9808" s="806"/>
      <c r="BA9808" s="806"/>
      <c r="BB9808" s="806"/>
    </row>
    <row r="9809" spans="4:54">
      <c r="D9809" s="806"/>
      <c r="F9809" s="806"/>
      <c r="W9809" s="806"/>
      <c r="AZ9809" s="806"/>
      <c r="BA9809" s="806"/>
      <c r="BB9809" s="806"/>
    </row>
    <row r="9810" spans="4:54">
      <c r="D9810" s="806"/>
      <c r="F9810" s="806"/>
      <c r="W9810" s="806"/>
      <c r="AZ9810" s="806"/>
      <c r="BA9810" s="806"/>
      <c r="BB9810" s="806"/>
    </row>
    <row r="9811" spans="4:54">
      <c r="D9811" s="806"/>
      <c r="F9811" s="806"/>
      <c r="W9811" s="806"/>
      <c r="AZ9811" s="806"/>
      <c r="BA9811" s="806"/>
      <c r="BB9811" s="806"/>
    </row>
    <row r="9812" spans="4:54">
      <c r="D9812" s="806"/>
      <c r="F9812" s="806"/>
      <c r="W9812" s="806"/>
      <c r="AZ9812" s="806"/>
      <c r="BA9812" s="806"/>
      <c r="BB9812" s="806"/>
    </row>
    <row r="9813" spans="4:54">
      <c r="D9813" s="806"/>
      <c r="F9813" s="806"/>
      <c r="W9813" s="806"/>
      <c r="AZ9813" s="806"/>
      <c r="BA9813" s="806"/>
      <c r="BB9813" s="806"/>
    </row>
    <row r="9814" spans="4:54">
      <c r="D9814" s="806"/>
      <c r="F9814" s="806"/>
      <c r="W9814" s="806"/>
      <c r="AZ9814" s="806"/>
      <c r="BA9814" s="806"/>
      <c r="BB9814" s="806"/>
    </row>
    <row r="9815" spans="4:54">
      <c r="D9815" s="806"/>
      <c r="F9815" s="806"/>
      <c r="W9815" s="806"/>
      <c r="AZ9815" s="806"/>
      <c r="BA9815" s="806"/>
      <c r="BB9815" s="806"/>
    </row>
    <row r="9816" spans="4:54">
      <c r="D9816" s="806"/>
      <c r="F9816" s="806"/>
      <c r="W9816" s="806"/>
      <c r="AZ9816" s="806"/>
      <c r="BA9816" s="806"/>
      <c r="BB9816" s="806"/>
    </row>
    <row r="9817" spans="4:54">
      <c r="D9817" s="806"/>
      <c r="F9817" s="806"/>
      <c r="W9817" s="806"/>
      <c r="AZ9817" s="806"/>
      <c r="BA9817" s="806"/>
      <c r="BB9817" s="806"/>
    </row>
    <row r="9818" spans="4:54">
      <c r="D9818" s="806"/>
      <c r="F9818" s="806"/>
      <c r="W9818" s="806"/>
      <c r="AZ9818" s="806"/>
      <c r="BA9818" s="806"/>
      <c r="BB9818" s="806"/>
    </row>
    <row r="9819" spans="4:54">
      <c r="D9819" s="806"/>
      <c r="F9819" s="806"/>
      <c r="W9819" s="806"/>
      <c r="AZ9819" s="806"/>
      <c r="BA9819" s="806"/>
      <c r="BB9819" s="806"/>
    </row>
    <row r="9820" spans="4:54">
      <c r="D9820" s="806"/>
      <c r="F9820" s="806"/>
      <c r="W9820" s="806"/>
      <c r="AZ9820" s="806"/>
      <c r="BA9820" s="806"/>
      <c r="BB9820" s="806"/>
    </row>
    <row r="9821" spans="4:54">
      <c r="D9821" s="806"/>
      <c r="F9821" s="806"/>
      <c r="W9821" s="806"/>
      <c r="AZ9821" s="806"/>
      <c r="BA9821" s="806"/>
      <c r="BB9821" s="806"/>
    </row>
    <row r="9822" spans="4:54">
      <c r="D9822" s="806"/>
      <c r="F9822" s="806"/>
      <c r="W9822" s="806"/>
      <c r="AZ9822" s="806"/>
      <c r="BA9822" s="806"/>
      <c r="BB9822" s="806"/>
    </row>
    <row r="9823" spans="4:54">
      <c r="D9823" s="806"/>
      <c r="F9823" s="806"/>
      <c r="W9823" s="806"/>
      <c r="AZ9823" s="806"/>
      <c r="BA9823" s="806"/>
      <c r="BB9823" s="806"/>
    </row>
    <row r="9824" spans="4:54">
      <c r="D9824" s="806"/>
      <c r="F9824" s="806"/>
      <c r="W9824" s="806"/>
      <c r="AZ9824" s="806"/>
      <c r="BA9824" s="806"/>
      <c r="BB9824" s="806"/>
    </row>
    <row r="9825" spans="4:54">
      <c r="D9825" s="806"/>
      <c r="F9825" s="806"/>
      <c r="W9825" s="806"/>
      <c r="AZ9825" s="806"/>
      <c r="BA9825" s="806"/>
      <c r="BB9825" s="806"/>
    </row>
    <row r="9826" spans="4:54">
      <c r="D9826" s="806"/>
      <c r="F9826" s="806"/>
      <c r="W9826" s="806"/>
      <c r="AZ9826" s="806"/>
      <c r="BA9826" s="806"/>
      <c r="BB9826" s="806"/>
    </row>
    <row r="9827" spans="4:54">
      <c r="D9827" s="806"/>
      <c r="F9827" s="806"/>
      <c r="W9827" s="806"/>
      <c r="AZ9827" s="806"/>
      <c r="BA9827" s="806"/>
      <c r="BB9827" s="806"/>
    </row>
    <row r="9828" spans="4:54">
      <c r="D9828" s="806"/>
      <c r="F9828" s="806"/>
      <c r="W9828" s="806"/>
      <c r="AZ9828" s="806"/>
      <c r="BA9828" s="806"/>
      <c r="BB9828" s="806"/>
    </row>
    <row r="9829" spans="4:54">
      <c r="D9829" s="806"/>
      <c r="F9829" s="806"/>
      <c r="W9829" s="806"/>
      <c r="AZ9829" s="806"/>
      <c r="BA9829" s="806"/>
      <c r="BB9829" s="806"/>
    </row>
    <row r="9830" spans="4:54">
      <c r="D9830" s="806"/>
      <c r="F9830" s="806"/>
      <c r="W9830" s="806"/>
      <c r="AZ9830" s="806"/>
      <c r="BA9830" s="806"/>
      <c r="BB9830" s="806"/>
    </row>
    <row r="9831" spans="4:54">
      <c r="D9831" s="806"/>
      <c r="F9831" s="806"/>
      <c r="W9831" s="806"/>
      <c r="AZ9831" s="806"/>
      <c r="BA9831" s="806"/>
      <c r="BB9831" s="806"/>
    </row>
    <row r="9832" spans="4:54">
      <c r="D9832" s="806"/>
      <c r="F9832" s="806"/>
      <c r="W9832" s="806"/>
      <c r="AZ9832" s="806"/>
      <c r="BA9832" s="806"/>
      <c r="BB9832" s="806"/>
    </row>
    <row r="9833" spans="4:54">
      <c r="D9833" s="806"/>
      <c r="F9833" s="806"/>
      <c r="W9833" s="806"/>
      <c r="AZ9833" s="806"/>
      <c r="BA9833" s="806"/>
      <c r="BB9833" s="806"/>
    </row>
    <row r="9834" spans="4:54">
      <c r="D9834" s="806"/>
      <c r="F9834" s="806"/>
      <c r="W9834" s="806"/>
      <c r="AZ9834" s="806"/>
      <c r="BA9834" s="806"/>
      <c r="BB9834" s="806"/>
    </row>
    <row r="9835" spans="4:54">
      <c r="D9835" s="806"/>
      <c r="F9835" s="806"/>
      <c r="W9835" s="806"/>
      <c r="AZ9835" s="806"/>
      <c r="BA9835" s="806"/>
      <c r="BB9835" s="806"/>
    </row>
    <row r="9836" spans="4:54">
      <c r="D9836" s="806"/>
      <c r="F9836" s="806"/>
      <c r="W9836" s="806"/>
      <c r="AZ9836" s="806"/>
      <c r="BA9836" s="806"/>
      <c r="BB9836" s="806"/>
    </row>
    <row r="9837" spans="4:54">
      <c r="D9837" s="806"/>
      <c r="F9837" s="806"/>
      <c r="W9837" s="806"/>
      <c r="AZ9837" s="806"/>
      <c r="BA9837" s="806"/>
      <c r="BB9837" s="806"/>
    </row>
    <row r="9838" spans="4:54">
      <c r="D9838" s="806"/>
      <c r="F9838" s="806"/>
      <c r="W9838" s="806"/>
      <c r="AZ9838" s="806"/>
      <c r="BA9838" s="806"/>
      <c r="BB9838" s="806"/>
    </row>
    <row r="9839" spans="4:54">
      <c r="D9839" s="806"/>
      <c r="F9839" s="806"/>
      <c r="W9839" s="806"/>
      <c r="AZ9839" s="806"/>
      <c r="BA9839" s="806"/>
      <c r="BB9839" s="806"/>
    </row>
    <row r="9840" spans="4:54">
      <c r="D9840" s="806"/>
      <c r="F9840" s="806"/>
      <c r="W9840" s="806"/>
      <c r="AZ9840" s="806"/>
      <c r="BA9840" s="806"/>
      <c r="BB9840" s="806"/>
    </row>
    <row r="9841" spans="4:54">
      <c r="D9841" s="806"/>
      <c r="F9841" s="806"/>
      <c r="W9841" s="806"/>
      <c r="AZ9841" s="806"/>
      <c r="BA9841" s="806"/>
      <c r="BB9841" s="806"/>
    </row>
    <row r="9842" spans="4:54">
      <c r="D9842" s="806"/>
      <c r="F9842" s="806"/>
      <c r="W9842" s="806"/>
      <c r="AZ9842" s="806"/>
      <c r="BA9842" s="806"/>
      <c r="BB9842" s="806"/>
    </row>
    <row r="9843" spans="4:54">
      <c r="D9843" s="806"/>
      <c r="F9843" s="806"/>
      <c r="W9843" s="806"/>
      <c r="AZ9843" s="806"/>
      <c r="BA9843" s="806"/>
      <c r="BB9843" s="806"/>
    </row>
    <row r="9844" spans="4:54">
      <c r="D9844" s="806"/>
      <c r="F9844" s="806"/>
      <c r="W9844" s="806"/>
      <c r="AZ9844" s="806"/>
      <c r="BA9844" s="806"/>
      <c r="BB9844" s="806"/>
    </row>
    <row r="9845" spans="4:54">
      <c r="D9845" s="806"/>
      <c r="F9845" s="806"/>
      <c r="W9845" s="806"/>
      <c r="AZ9845" s="806"/>
      <c r="BA9845" s="806"/>
      <c r="BB9845" s="806"/>
    </row>
    <row r="9846" spans="4:54">
      <c r="D9846" s="806"/>
      <c r="F9846" s="806"/>
      <c r="W9846" s="806"/>
      <c r="AZ9846" s="806"/>
      <c r="BA9846" s="806"/>
      <c r="BB9846" s="806"/>
    </row>
    <row r="9847" spans="4:54">
      <c r="D9847" s="806"/>
      <c r="F9847" s="806"/>
      <c r="W9847" s="806"/>
      <c r="AZ9847" s="806"/>
      <c r="BA9847" s="806"/>
      <c r="BB9847" s="806"/>
    </row>
    <row r="9848" spans="4:54">
      <c r="D9848" s="806"/>
      <c r="F9848" s="806"/>
      <c r="W9848" s="806"/>
      <c r="AZ9848" s="806"/>
      <c r="BA9848" s="806"/>
      <c r="BB9848" s="806"/>
    </row>
    <row r="9849" spans="4:54">
      <c r="D9849" s="806"/>
      <c r="F9849" s="806"/>
      <c r="W9849" s="806"/>
      <c r="AZ9849" s="806"/>
      <c r="BA9849" s="806"/>
      <c r="BB9849" s="806"/>
    </row>
    <row r="9850" spans="4:54">
      <c r="D9850" s="806"/>
      <c r="F9850" s="806"/>
      <c r="W9850" s="806"/>
      <c r="AZ9850" s="806"/>
      <c r="BA9850" s="806"/>
      <c r="BB9850" s="806"/>
    </row>
    <row r="9851" spans="4:54">
      <c r="D9851" s="806"/>
      <c r="F9851" s="806"/>
      <c r="W9851" s="806"/>
      <c r="AZ9851" s="806"/>
      <c r="BA9851" s="806"/>
      <c r="BB9851" s="806"/>
    </row>
    <row r="9852" spans="4:54">
      <c r="D9852" s="806"/>
      <c r="F9852" s="806"/>
      <c r="W9852" s="806"/>
      <c r="AZ9852" s="806"/>
      <c r="BA9852" s="806"/>
      <c r="BB9852" s="806"/>
    </row>
    <row r="9853" spans="4:54">
      <c r="D9853" s="806"/>
      <c r="F9853" s="806"/>
      <c r="W9853" s="806"/>
      <c r="AZ9853" s="806"/>
      <c r="BA9853" s="806"/>
      <c r="BB9853" s="806"/>
    </row>
    <row r="9854" spans="4:54">
      <c r="D9854" s="806"/>
      <c r="F9854" s="806"/>
      <c r="W9854" s="806"/>
      <c r="AZ9854" s="806"/>
      <c r="BA9854" s="806"/>
      <c r="BB9854" s="806"/>
    </row>
    <row r="9855" spans="4:54">
      <c r="D9855" s="806"/>
      <c r="F9855" s="806"/>
      <c r="W9855" s="806"/>
      <c r="AZ9855" s="806"/>
      <c r="BA9855" s="806"/>
      <c r="BB9855" s="806"/>
    </row>
    <row r="9856" spans="4:54">
      <c r="D9856" s="806"/>
      <c r="F9856" s="806"/>
      <c r="W9856" s="806"/>
      <c r="AZ9856" s="806"/>
      <c r="BA9856" s="806"/>
      <c r="BB9856" s="806"/>
    </row>
    <row r="9857" spans="4:54">
      <c r="D9857" s="806"/>
      <c r="F9857" s="806"/>
      <c r="W9857" s="806"/>
      <c r="AZ9857" s="806"/>
      <c r="BA9857" s="806"/>
      <c r="BB9857" s="806"/>
    </row>
    <row r="9858" spans="4:54">
      <c r="D9858" s="806"/>
      <c r="F9858" s="806"/>
      <c r="W9858" s="806"/>
      <c r="AZ9858" s="806"/>
      <c r="BA9858" s="806"/>
      <c r="BB9858" s="806"/>
    </row>
    <row r="9859" spans="4:54">
      <c r="D9859" s="806"/>
      <c r="F9859" s="806"/>
      <c r="W9859" s="806"/>
      <c r="AZ9859" s="806"/>
      <c r="BA9859" s="806"/>
      <c r="BB9859" s="806"/>
    </row>
    <row r="9860" spans="4:54">
      <c r="D9860" s="806"/>
      <c r="F9860" s="806"/>
      <c r="W9860" s="806"/>
      <c r="AZ9860" s="806"/>
      <c r="BA9860" s="806"/>
      <c r="BB9860" s="806"/>
    </row>
    <row r="9861" spans="4:54">
      <c r="D9861" s="806"/>
      <c r="F9861" s="806"/>
      <c r="W9861" s="806"/>
      <c r="AZ9861" s="806"/>
      <c r="BA9861" s="806"/>
      <c r="BB9861" s="806"/>
    </row>
    <row r="9862" spans="4:54">
      <c r="D9862" s="806"/>
      <c r="F9862" s="806"/>
      <c r="W9862" s="806"/>
      <c r="AZ9862" s="806"/>
      <c r="BA9862" s="806"/>
      <c r="BB9862" s="806"/>
    </row>
    <row r="9863" spans="4:54">
      <c r="D9863" s="806"/>
      <c r="F9863" s="806"/>
      <c r="W9863" s="806"/>
      <c r="AZ9863" s="806"/>
      <c r="BA9863" s="806"/>
      <c r="BB9863" s="806"/>
    </row>
    <row r="9864" spans="4:54">
      <c r="D9864" s="806"/>
      <c r="F9864" s="806"/>
      <c r="W9864" s="806"/>
      <c r="AZ9864" s="806"/>
      <c r="BA9864" s="806"/>
      <c r="BB9864" s="806"/>
    </row>
    <row r="9865" spans="4:54">
      <c r="D9865" s="806"/>
      <c r="F9865" s="806"/>
      <c r="W9865" s="806"/>
      <c r="AZ9865" s="806"/>
      <c r="BA9865" s="806"/>
      <c r="BB9865" s="806"/>
    </row>
    <row r="9866" spans="4:54">
      <c r="D9866" s="806"/>
      <c r="F9866" s="806"/>
      <c r="W9866" s="806"/>
      <c r="AZ9866" s="806"/>
      <c r="BA9866" s="806"/>
      <c r="BB9866" s="806"/>
    </row>
    <row r="9867" spans="4:54">
      <c r="D9867" s="806"/>
      <c r="F9867" s="806"/>
      <c r="W9867" s="806"/>
      <c r="AZ9867" s="806"/>
      <c r="BA9867" s="806"/>
      <c r="BB9867" s="806"/>
    </row>
    <row r="9868" spans="4:54">
      <c r="D9868" s="806"/>
      <c r="F9868" s="806"/>
      <c r="W9868" s="806"/>
      <c r="AZ9868" s="806"/>
      <c r="BA9868" s="806"/>
      <c r="BB9868" s="806"/>
    </row>
    <row r="9869" spans="4:54">
      <c r="D9869" s="806"/>
      <c r="F9869" s="806"/>
      <c r="W9869" s="806"/>
      <c r="AZ9869" s="806"/>
      <c r="BA9869" s="806"/>
      <c r="BB9869" s="806"/>
    </row>
    <row r="9870" spans="4:54">
      <c r="D9870" s="806"/>
      <c r="F9870" s="806"/>
      <c r="W9870" s="806"/>
      <c r="AZ9870" s="806"/>
      <c r="BA9870" s="806"/>
      <c r="BB9870" s="806"/>
    </row>
    <row r="9871" spans="4:54">
      <c r="D9871" s="806"/>
      <c r="F9871" s="806"/>
      <c r="W9871" s="806"/>
      <c r="AZ9871" s="806"/>
      <c r="BA9871" s="806"/>
      <c r="BB9871" s="806"/>
    </row>
    <row r="9872" spans="4:54">
      <c r="D9872" s="806"/>
      <c r="F9872" s="806"/>
      <c r="W9872" s="806"/>
      <c r="AZ9872" s="806"/>
      <c r="BA9872" s="806"/>
      <c r="BB9872" s="806"/>
    </row>
    <row r="9873" spans="4:54">
      <c r="D9873" s="806"/>
      <c r="F9873" s="806"/>
      <c r="W9873" s="806"/>
      <c r="AZ9873" s="806"/>
      <c r="BA9873" s="806"/>
      <c r="BB9873" s="806"/>
    </row>
    <row r="9874" spans="4:54">
      <c r="D9874" s="806"/>
      <c r="F9874" s="806"/>
      <c r="W9874" s="806"/>
      <c r="AZ9874" s="806"/>
      <c r="BA9874" s="806"/>
      <c r="BB9874" s="806"/>
    </row>
    <row r="9875" spans="4:54">
      <c r="D9875" s="806"/>
      <c r="F9875" s="806"/>
      <c r="W9875" s="806"/>
      <c r="AZ9875" s="806"/>
      <c r="BA9875" s="806"/>
      <c r="BB9875" s="806"/>
    </row>
    <row r="9876" spans="4:54">
      <c r="D9876" s="806"/>
      <c r="F9876" s="806"/>
      <c r="W9876" s="806"/>
      <c r="AZ9876" s="806"/>
      <c r="BA9876" s="806"/>
      <c r="BB9876" s="806"/>
    </row>
    <row r="9877" spans="4:54">
      <c r="D9877" s="806"/>
      <c r="F9877" s="806"/>
      <c r="W9877" s="806"/>
      <c r="AZ9877" s="806"/>
      <c r="BA9877" s="806"/>
      <c r="BB9877" s="806"/>
    </row>
    <row r="9878" spans="4:54">
      <c r="D9878" s="806"/>
      <c r="F9878" s="806"/>
      <c r="W9878" s="806"/>
      <c r="AZ9878" s="806"/>
      <c r="BA9878" s="806"/>
      <c r="BB9878" s="806"/>
    </row>
    <row r="9879" spans="4:54">
      <c r="D9879" s="806"/>
      <c r="F9879" s="806"/>
      <c r="W9879" s="806"/>
      <c r="AZ9879" s="806"/>
      <c r="BA9879" s="806"/>
      <c r="BB9879" s="806"/>
    </row>
    <row r="9880" spans="4:54">
      <c r="D9880" s="806"/>
      <c r="F9880" s="806"/>
      <c r="W9880" s="806"/>
      <c r="AZ9880" s="806"/>
      <c r="BA9880" s="806"/>
      <c r="BB9880" s="806"/>
    </row>
    <row r="9881" spans="4:54">
      <c r="D9881" s="806"/>
      <c r="F9881" s="806"/>
      <c r="W9881" s="806"/>
      <c r="AZ9881" s="806"/>
      <c r="BA9881" s="806"/>
      <c r="BB9881" s="806"/>
    </row>
    <row r="9882" spans="4:54">
      <c r="D9882" s="806"/>
      <c r="F9882" s="806"/>
      <c r="W9882" s="806"/>
      <c r="AZ9882" s="806"/>
      <c r="BA9882" s="806"/>
      <c r="BB9882" s="806"/>
    </row>
    <row r="9883" spans="4:54">
      <c r="D9883" s="806"/>
      <c r="F9883" s="806"/>
      <c r="W9883" s="806"/>
      <c r="AZ9883" s="806"/>
      <c r="BA9883" s="806"/>
      <c r="BB9883" s="806"/>
    </row>
    <row r="9884" spans="4:54">
      <c r="D9884" s="806"/>
      <c r="F9884" s="806"/>
      <c r="W9884" s="806"/>
      <c r="AZ9884" s="806"/>
      <c r="BA9884" s="806"/>
      <c r="BB9884" s="806"/>
    </row>
    <row r="9885" spans="4:54">
      <c r="D9885" s="806"/>
      <c r="F9885" s="806"/>
      <c r="W9885" s="806"/>
      <c r="AZ9885" s="806"/>
      <c r="BA9885" s="806"/>
      <c r="BB9885" s="806"/>
    </row>
    <row r="9886" spans="4:54">
      <c r="D9886" s="806"/>
      <c r="F9886" s="806"/>
      <c r="W9886" s="806"/>
      <c r="AZ9886" s="806"/>
      <c r="BA9886" s="806"/>
      <c r="BB9886" s="806"/>
    </row>
    <row r="9887" spans="4:54">
      <c r="D9887" s="806"/>
      <c r="F9887" s="806"/>
      <c r="W9887" s="806"/>
      <c r="AZ9887" s="806"/>
      <c r="BA9887" s="806"/>
      <c r="BB9887" s="806"/>
    </row>
    <row r="9888" spans="4:54">
      <c r="D9888" s="806"/>
      <c r="F9888" s="806"/>
      <c r="W9888" s="806"/>
      <c r="AZ9888" s="806"/>
      <c r="BA9888" s="806"/>
      <c r="BB9888" s="806"/>
    </row>
    <row r="9889" spans="4:54">
      <c r="D9889" s="806"/>
      <c r="F9889" s="806"/>
      <c r="W9889" s="806"/>
      <c r="AZ9889" s="806"/>
      <c r="BA9889" s="806"/>
      <c r="BB9889" s="806"/>
    </row>
    <row r="9890" spans="4:54">
      <c r="D9890" s="806"/>
      <c r="F9890" s="806"/>
      <c r="W9890" s="806"/>
      <c r="AZ9890" s="806"/>
      <c r="BA9890" s="806"/>
      <c r="BB9890" s="806"/>
    </row>
    <row r="9891" spans="4:54">
      <c r="D9891" s="806"/>
      <c r="F9891" s="806"/>
      <c r="W9891" s="806"/>
      <c r="AZ9891" s="806"/>
      <c r="BA9891" s="806"/>
      <c r="BB9891" s="806"/>
    </row>
    <row r="9892" spans="4:54">
      <c r="D9892" s="806"/>
      <c r="F9892" s="806"/>
      <c r="W9892" s="806"/>
      <c r="AZ9892" s="806"/>
      <c r="BA9892" s="806"/>
      <c r="BB9892" s="806"/>
    </row>
    <row r="9893" spans="4:54">
      <c r="D9893" s="806"/>
      <c r="F9893" s="806"/>
      <c r="W9893" s="806"/>
      <c r="AZ9893" s="806"/>
      <c r="BA9893" s="806"/>
      <c r="BB9893" s="806"/>
    </row>
    <row r="9894" spans="4:54">
      <c r="D9894" s="806"/>
      <c r="F9894" s="806"/>
      <c r="W9894" s="806"/>
      <c r="AZ9894" s="806"/>
      <c r="BA9894" s="806"/>
      <c r="BB9894" s="806"/>
    </row>
    <row r="9895" spans="4:54">
      <c r="D9895" s="806"/>
      <c r="F9895" s="806"/>
      <c r="W9895" s="806"/>
      <c r="AZ9895" s="806"/>
      <c r="BA9895" s="806"/>
      <c r="BB9895" s="806"/>
    </row>
    <row r="9896" spans="4:54">
      <c r="D9896" s="806"/>
      <c r="F9896" s="806"/>
      <c r="W9896" s="806"/>
      <c r="AZ9896" s="806"/>
      <c r="BA9896" s="806"/>
      <c r="BB9896" s="806"/>
    </row>
    <row r="9897" spans="4:54">
      <c r="D9897" s="806"/>
      <c r="F9897" s="806"/>
      <c r="W9897" s="806"/>
      <c r="AZ9897" s="806"/>
      <c r="BA9897" s="806"/>
      <c r="BB9897" s="806"/>
    </row>
    <row r="9898" spans="4:54">
      <c r="D9898" s="806"/>
      <c r="F9898" s="806"/>
      <c r="W9898" s="806"/>
      <c r="AZ9898" s="806"/>
      <c r="BA9898" s="806"/>
      <c r="BB9898" s="806"/>
    </row>
    <row r="9899" spans="4:54">
      <c r="D9899" s="806"/>
      <c r="F9899" s="806"/>
      <c r="W9899" s="806"/>
      <c r="AZ9899" s="806"/>
      <c r="BA9899" s="806"/>
      <c r="BB9899" s="806"/>
    </row>
    <row r="9900" spans="4:54">
      <c r="D9900" s="806"/>
      <c r="F9900" s="806"/>
      <c r="W9900" s="806"/>
      <c r="AZ9900" s="806"/>
      <c r="BA9900" s="806"/>
      <c r="BB9900" s="806"/>
    </row>
    <row r="9901" spans="4:54">
      <c r="D9901" s="806"/>
      <c r="F9901" s="806"/>
      <c r="W9901" s="806"/>
      <c r="AZ9901" s="806"/>
      <c r="BA9901" s="806"/>
      <c r="BB9901" s="806"/>
    </row>
    <row r="9902" spans="4:54">
      <c r="D9902" s="806"/>
      <c r="F9902" s="806"/>
      <c r="W9902" s="806"/>
      <c r="AZ9902" s="806"/>
      <c r="BA9902" s="806"/>
      <c r="BB9902" s="806"/>
    </row>
    <row r="9903" spans="4:54">
      <c r="D9903" s="806"/>
      <c r="F9903" s="806"/>
      <c r="W9903" s="806"/>
      <c r="AZ9903" s="806"/>
      <c r="BA9903" s="806"/>
      <c r="BB9903" s="806"/>
    </row>
    <row r="9904" spans="4:54">
      <c r="D9904" s="806"/>
      <c r="F9904" s="806"/>
      <c r="W9904" s="806"/>
      <c r="AZ9904" s="806"/>
      <c r="BA9904" s="806"/>
      <c r="BB9904" s="806"/>
    </row>
    <row r="9905" spans="4:54">
      <c r="D9905" s="806"/>
      <c r="F9905" s="806"/>
      <c r="W9905" s="806"/>
      <c r="AZ9905" s="806"/>
      <c r="BA9905" s="806"/>
      <c r="BB9905" s="806"/>
    </row>
    <row r="9906" spans="4:54">
      <c r="D9906" s="806"/>
      <c r="F9906" s="806"/>
      <c r="W9906" s="806"/>
      <c r="AZ9906" s="806"/>
      <c r="BA9906" s="806"/>
      <c r="BB9906" s="806"/>
    </row>
    <row r="9907" spans="4:54">
      <c r="D9907" s="806"/>
      <c r="F9907" s="806"/>
      <c r="W9907" s="806"/>
      <c r="AZ9907" s="806"/>
      <c r="BA9907" s="806"/>
      <c r="BB9907" s="806"/>
    </row>
    <row r="9908" spans="4:54">
      <c r="D9908" s="806"/>
      <c r="F9908" s="806"/>
      <c r="W9908" s="806"/>
      <c r="AZ9908" s="806"/>
      <c r="BA9908" s="806"/>
      <c r="BB9908" s="806"/>
    </row>
    <row r="9909" spans="4:54">
      <c r="D9909" s="806"/>
      <c r="F9909" s="806"/>
      <c r="W9909" s="806"/>
      <c r="AZ9909" s="806"/>
      <c r="BA9909" s="806"/>
      <c r="BB9909" s="806"/>
    </row>
    <row r="9910" spans="4:54">
      <c r="D9910" s="806"/>
      <c r="F9910" s="806"/>
      <c r="W9910" s="806"/>
      <c r="AZ9910" s="806"/>
      <c r="BA9910" s="806"/>
      <c r="BB9910" s="806"/>
    </row>
    <row r="9916" spans="4:54">
      <c r="D9916" s="806"/>
      <c r="F9916" s="806"/>
      <c r="W9916" s="806"/>
      <c r="AZ9916" s="806"/>
      <c r="BA9916" s="806"/>
      <c r="BB9916" s="806"/>
    </row>
    <row r="9917" spans="4:54">
      <c r="D9917" s="806"/>
      <c r="F9917" s="806"/>
      <c r="W9917" s="806"/>
      <c r="AZ9917" s="806"/>
      <c r="BA9917" s="806"/>
      <c r="BB9917" s="806"/>
    </row>
    <row r="9918" spans="4:54">
      <c r="D9918" s="806"/>
      <c r="F9918" s="806"/>
      <c r="W9918" s="806"/>
      <c r="AZ9918" s="806"/>
      <c r="BA9918" s="806"/>
      <c r="BB9918" s="806"/>
    </row>
    <row r="9919" spans="4:54">
      <c r="D9919" s="806"/>
      <c r="F9919" s="806"/>
      <c r="W9919" s="806"/>
      <c r="AZ9919" s="806"/>
      <c r="BA9919" s="806"/>
      <c r="BB9919" s="806"/>
    </row>
    <row r="9920" spans="4:54">
      <c r="D9920" s="806"/>
      <c r="F9920" s="806"/>
      <c r="W9920" s="806"/>
      <c r="AZ9920" s="806"/>
      <c r="BA9920" s="806"/>
      <c r="BB9920" s="806"/>
    </row>
    <row r="9921" spans="4:54">
      <c r="D9921" s="806"/>
      <c r="F9921" s="806"/>
      <c r="W9921" s="806"/>
      <c r="AZ9921" s="806"/>
      <c r="BA9921" s="806"/>
      <c r="BB9921" s="806"/>
    </row>
    <row r="9922" spans="4:54">
      <c r="D9922" s="806"/>
      <c r="F9922" s="806"/>
      <c r="W9922" s="806"/>
      <c r="AZ9922" s="806"/>
      <c r="BA9922" s="806"/>
      <c r="BB9922" s="806"/>
    </row>
    <row r="9923" spans="4:54">
      <c r="D9923" s="806"/>
      <c r="F9923" s="806"/>
      <c r="W9923" s="806"/>
      <c r="AZ9923" s="806"/>
      <c r="BA9923" s="806"/>
      <c r="BB9923" s="806"/>
    </row>
    <row r="9924" spans="4:54">
      <c r="D9924" s="806"/>
      <c r="F9924" s="806"/>
      <c r="W9924" s="806"/>
      <c r="AZ9924" s="806"/>
      <c r="BA9924" s="806"/>
      <c r="BB9924" s="806"/>
    </row>
    <row r="9925" spans="4:54">
      <c r="D9925" s="806"/>
      <c r="F9925" s="806"/>
      <c r="W9925" s="806"/>
      <c r="AZ9925" s="806"/>
      <c r="BA9925" s="806"/>
      <c r="BB9925" s="806"/>
    </row>
    <row r="9926" spans="4:54">
      <c r="D9926" s="806"/>
      <c r="F9926" s="806"/>
      <c r="W9926" s="806"/>
      <c r="AZ9926" s="806"/>
      <c r="BA9926" s="806"/>
      <c r="BB9926" s="806"/>
    </row>
    <row r="9927" spans="4:54">
      <c r="D9927" s="806"/>
      <c r="F9927" s="806"/>
      <c r="W9927" s="806"/>
      <c r="AZ9927" s="806"/>
      <c r="BA9927" s="806"/>
      <c r="BB9927" s="806"/>
    </row>
    <row r="9928" spans="4:54">
      <c r="D9928" s="806"/>
      <c r="F9928" s="806"/>
      <c r="W9928" s="806"/>
      <c r="AZ9928" s="806"/>
      <c r="BA9928" s="806"/>
      <c r="BB9928" s="806"/>
    </row>
    <row r="9929" spans="4:54">
      <c r="D9929" s="806"/>
      <c r="F9929" s="806"/>
      <c r="W9929" s="806"/>
      <c r="AZ9929" s="806"/>
      <c r="BA9929" s="806"/>
      <c r="BB9929" s="806"/>
    </row>
    <row r="9930" spans="4:54">
      <c r="D9930" s="806"/>
      <c r="F9930" s="806"/>
      <c r="W9930" s="806"/>
      <c r="AZ9930" s="806"/>
      <c r="BA9930" s="806"/>
      <c r="BB9930" s="806"/>
    </row>
    <row r="9931" spans="4:54">
      <c r="D9931" s="806"/>
      <c r="F9931" s="806"/>
      <c r="W9931" s="806"/>
      <c r="AZ9931" s="806"/>
      <c r="BA9931" s="806"/>
      <c r="BB9931" s="806"/>
    </row>
    <row r="9932" spans="4:54">
      <c r="D9932" s="806"/>
      <c r="F9932" s="806"/>
      <c r="W9932" s="806"/>
      <c r="AZ9932" s="806"/>
      <c r="BA9932" s="806"/>
      <c r="BB9932" s="806"/>
    </row>
    <row r="9933" spans="4:54">
      <c r="D9933" s="806"/>
      <c r="F9933" s="806"/>
      <c r="W9933" s="806"/>
      <c r="AZ9933" s="806"/>
      <c r="BA9933" s="806"/>
      <c r="BB9933" s="806"/>
    </row>
    <row r="9934" spans="4:54">
      <c r="D9934" s="806"/>
      <c r="F9934" s="806"/>
      <c r="W9934" s="806"/>
      <c r="AZ9934" s="806"/>
      <c r="BA9934" s="806"/>
      <c r="BB9934" s="806"/>
    </row>
    <row r="9935" spans="4:54">
      <c r="D9935" s="806"/>
      <c r="F9935" s="806"/>
      <c r="W9935" s="806"/>
      <c r="AZ9935" s="806"/>
      <c r="BA9935" s="806"/>
      <c r="BB9935" s="806"/>
    </row>
    <row r="9936" spans="4:54">
      <c r="D9936" s="806"/>
      <c r="F9936" s="806"/>
      <c r="W9936" s="806"/>
      <c r="AZ9936" s="806"/>
      <c r="BA9936" s="806"/>
      <c r="BB9936" s="806"/>
    </row>
    <row r="9937" spans="4:54">
      <c r="D9937" s="806"/>
      <c r="F9937" s="806"/>
      <c r="W9937" s="806"/>
      <c r="AZ9937" s="806"/>
      <c r="BA9937" s="806"/>
      <c r="BB9937" s="806"/>
    </row>
    <row r="9938" spans="4:54">
      <c r="D9938" s="806"/>
      <c r="F9938" s="806"/>
      <c r="W9938" s="806"/>
      <c r="AZ9938" s="806"/>
      <c r="BA9938" s="806"/>
      <c r="BB9938" s="806"/>
    </row>
    <row r="9939" spans="4:54">
      <c r="D9939" s="806"/>
      <c r="F9939" s="806"/>
      <c r="W9939" s="806"/>
      <c r="AZ9939" s="806"/>
      <c r="BA9939" s="806"/>
      <c r="BB9939" s="806"/>
    </row>
    <row r="9940" spans="4:54">
      <c r="D9940" s="806"/>
      <c r="F9940" s="806"/>
      <c r="W9940" s="806"/>
      <c r="AZ9940" s="806"/>
      <c r="BA9940" s="806"/>
      <c r="BB9940" s="806"/>
    </row>
    <row r="9941" spans="4:54">
      <c r="D9941" s="806"/>
      <c r="F9941" s="806"/>
      <c r="W9941" s="806"/>
      <c r="AZ9941" s="806"/>
      <c r="BA9941" s="806"/>
      <c r="BB9941" s="806"/>
    </row>
    <row r="9942" spans="4:54">
      <c r="D9942" s="806"/>
      <c r="F9942" s="806"/>
      <c r="W9942" s="806"/>
      <c r="AZ9942" s="806"/>
      <c r="BA9942" s="806"/>
      <c r="BB9942" s="806"/>
    </row>
    <row r="9943" spans="4:54">
      <c r="D9943" s="806"/>
      <c r="F9943" s="806"/>
      <c r="W9943" s="806"/>
      <c r="AZ9943" s="806"/>
      <c r="BA9943" s="806"/>
      <c r="BB9943" s="806"/>
    </row>
    <row r="9944" spans="4:54">
      <c r="D9944" s="806"/>
      <c r="F9944" s="806"/>
      <c r="W9944" s="806"/>
      <c r="AZ9944" s="806"/>
      <c r="BA9944" s="806"/>
      <c r="BB9944" s="806"/>
    </row>
    <row r="9945" spans="4:54">
      <c r="D9945" s="806"/>
      <c r="F9945" s="806"/>
      <c r="W9945" s="806"/>
      <c r="AZ9945" s="806"/>
      <c r="BA9945" s="806"/>
      <c r="BB9945" s="806"/>
    </row>
    <row r="9946" spans="4:54">
      <c r="D9946" s="806"/>
      <c r="F9946" s="806"/>
      <c r="W9946" s="806"/>
      <c r="AZ9946" s="806"/>
      <c r="BA9946" s="806"/>
      <c r="BB9946" s="806"/>
    </row>
    <row r="9947" spans="4:54">
      <c r="D9947" s="806"/>
      <c r="F9947" s="806"/>
      <c r="W9947" s="806"/>
      <c r="AZ9947" s="806"/>
      <c r="BA9947" s="806"/>
      <c r="BB9947" s="806"/>
    </row>
    <row r="9948" spans="4:54">
      <c r="D9948" s="806"/>
      <c r="F9948" s="806"/>
      <c r="W9948" s="806"/>
      <c r="AZ9948" s="806"/>
      <c r="BA9948" s="806"/>
      <c r="BB9948" s="806"/>
    </row>
    <row r="9949" spans="4:54">
      <c r="D9949" s="806"/>
      <c r="F9949" s="806"/>
      <c r="W9949" s="806"/>
      <c r="AZ9949" s="806"/>
      <c r="BA9949" s="806"/>
      <c r="BB9949" s="806"/>
    </row>
    <row r="9950" spans="4:54">
      <c r="D9950" s="806"/>
      <c r="F9950" s="806"/>
      <c r="W9950" s="806"/>
      <c r="AZ9950" s="806"/>
      <c r="BA9950" s="806"/>
      <c r="BB9950" s="806"/>
    </row>
    <row r="9951" spans="4:54">
      <c r="D9951" s="806"/>
      <c r="F9951" s="806"/>
      <c r="W9951" s="806"/>
      <c r="AZ9951" s="806"/>
      <c r="BA9951" s="806"/>
      <c r="BB9951" s="806"/>
    </row>
    <row r="9952" spans="4:54">
      <c r="D9952" s="806"/>
      <c r="F9952" s="806"/>
      <c r="W9952" s="806"/>
      <c r="AZ9952" s="806"/>
      <c r="BA9952" s="806"/>
      <c r="BB9952" s="806"/>
    </row>
    <row r="9953" spans="4:54">
      <c r="D9953" s="806"/>
      <c r="F9953" s="806"/>
      <c r="W9953" s="806"/>
      <c r="AZ9953" s="806"/>
      <c r="BA9953" s="806"/>
      <c r="BB9953" s="806"/>
    </row>
    <row r="9954" spans="4:54">
      <c r="D9954" s="806"/>
      <c r="F9954" s="806"/>
      <c r="W9954" s="806"/>
      <c r="AZ9954" s="806"/>
      <c r="BA9954" s="806"/>
      <c r="BB9954" s="806"/>
    </row>
    <row r="9955" spans="4:54">
      <c r="D9955" s="806"/>
      <c r="F9955" s="806"/>
      <c r="W9955" s="806"/>
      <c r="AZ9955" s="806"/>
      <c r="BA9955" s="806"/>
      <c r="BB9955" s="806"/>
    </row>
    <row r="9956" spans="4:54">
      <c r="D9956" s="806"/>
      <c r="F9956" s="806"/>
      <c r="W9956" s="806"/>
      <c r="AZ9956" s="806"/>
      <c r="BA9956" s="806"/>
      <c r="BB9956" s="806"/>
    </row>
    <row r="9957" spans="4:54">
      <c r="D9957" s="806"/>
      <c r="F9957" s="806"/>
      <c r="W9957" s="806"/>
      <c r="AZ9957" s="806"/>
      <c r="BA9957" s="806"/>
      <c r="BB9957" s="806"/>
    </row>
    <row r="9958" spans="4:54">
      <c r="D9958" s="806"/>
      <c r="F9958" s="806"/>
      <c r="W9958" s="806"/>
      <c r="AZ9958" s="806"/>
      <c r="BA9958" s="806"/>
      <c r="BB9958" s="806"/>
    </row>
    <row r="9959" spans="4:54">
      <c r="D9959" s="806"/>
      <c r="F9959" s="806"/>
      <c r="W9959" s="806"/>
      <c r="AZ9959" s="806"/>
      <c r="BA9959" s="806"/>
      <c r="BB9959" s="806"/>
    </row>
    <row r="9960" spans="4:54">
      <c r="D9960" s="806"/>
      <c r="F9960" s="806"/>
      <c r="W9960" s="806"/>
      <c r="AZ9960" s="806"/>
      <c r="BA9960" s="806"/>
      <c r="BB9960" s="806"/>
    </row>
    <row r="9961" spans="4:54">
      <c r="D9961" s="806"/>
      <c r="F9961" s="806"/>
      <c r="W9961" s="806"/>
      <c r="AZ9961" s="806"/>
      <c r="BA9961" s="806"/>
      <c r="BB9961" s="806"/>
    </row>
    <row r="9962" spans="4:54">
      <c r="D9962" s="806"/>
      <c r="F9962" s="806"/>
      <c r="W9962" s="806"/>
      <c r="AZ9962" s="806"/>
      <c r="BA9962" s="806"/>
      <c r="BB9962" s="806"/>
    </row>
    <row r="9963" spans="4:54">
      <c r="D9963" s="806"/>
      <c r="F9963" s="806"/>
      <c r="W9963" s="806"/>
      <c r="AZ9963" s="806"/>
      <c r="BA9963" s="806"/>
      <c r="BB9963" s="806"/>
    </row>
    <row r="9964" spans="4:54">
      <c r="D9964" s="806"/>
      <c r="F9964" s="806"/>
      <c r="W9964" s="806"/>
      <c r="AZ9964" s="806"/>
      <c r="BA9964" s="806"/>
      <c r="BB9964" s="806"/>
    </row>
    <row r="9965" spans="4:54">
      <c r="D9965" s="806"/>
      <c r="F9965" s="806"/>
      <c r="W9965" s="806"/>
      <c r="AZ9965" s="806"/>
      <c r="BA9965" s="806"/>
      <c r="BB9965" s="806"/>
    </row>
    <row r="9966" spans="4:54">
      <c r="D9966" s="806"/>
      <c r="F9966" s="806"/>
      <c r="W9966" s="806"/>
      <c r="AZ9966" s="806"/>
      <c r="BA9966" s="806"/>
      <c r="BB9966" s="806"/>
    </row>
    <row r="9967" spans="4:54">
      <c r="D9967" s="806"/>
      <c r="F9967" s="806"/>
      <c r="W9967" s="806"/>
      <c r="AZ9967" s="806"/>
      <c r="BA9967" s="806"/>
      <c r="BB9967" s="806"/>
    </row>
    <row r="9968" spans="4:54">
      <c r="D9968" s="806"/>
      <c r="F9968" s="806"/>
      <c r="W9968" s="806"/>
      <c r="AZ9968" s="806"/>
      <c r="BA9968" s="806"/>
      <c r="BB9968" s="806"/>
    </row>
    <row r="9969" spans="4:54">
      <c r="D9969" s="806"/>
      <c r="F9969" s="806"/>
      <c r="W9969" s="806"/>
      <c r="AZ9969" s="806"/>
      <c r="BA9969" s="806"/>
      <c r="BB9969" s="806"/>
    </row>
    <row r="9970" spans="4:54">
      <c r="D9970" s="806"/>
      <c r="F9970" s="806"/>
      <c r="W9970" s="806"/>
      <c r="AZ9970" s="806"/>
      <c r="BA9970" s="806"/>
      <c r="BB9970" s="806"/>
    </row>
    <row r="9971" spans="4:54">
      <c r="D9971" s="806"/>
      <c r="F9971" s="806"/>
      <c r="W9971" s="806"/>
      <c r="AZ9971" s="806"/>
      <c r="BA9971" s="806"/>
      <c r="BB9971" s="806"/>
    </row>
    <row r="9972" spans="4:54">
      <c r="D9972" s="806"/>
      <c r="F9972" s="806"/>
      <c r="W9972" s="806"/>
      <c r="AZ9972" s="806"/>
      <c r="BA9972" s="806"/>
      <c r="BB9972" s="806"/>
    </row>
    <row r="9973" spans="4:54">
      <c r="D9973" s="806"/>
      <c r="F9973" s="806"/>
      <c r="W9973" s="806"/>
      <c r="AZ9973" s="806"/>
      <c r="BA9973" s="806"/>
      <c r="BB9973" s="806"/>
    </row>
    <row r="9974" spans="4:54">
      <c r="D9974" s="806"/>
      <c r="F9974" s="806"/>
      <c r="W9974" s="806"/>
      <c r="AZ9974" s="806"/>
      <c r="BA9974" s="806"/>
      <c r="BB9974" s="806"/>
    </row>
    <row r="9975" spans="4:54">
      <c r="D9975" s="806"/>
      <c r="F9975" s="806"/>
      <c r="W9975" s="806"/>
      <c r="AZ9975" s="806"/>
      <c r="BA9975" s="806"/>
      <c r="BB9975" s="806"/>
    </row>
    <row r="9976" spans="4:54">
      <c r="D9976" s="806"/>
      <c r="F9976" s="806"/>
      <c r="W9976" s="806"/>
      <c r="AZ9976" s="806"/>
      <c r="BA9976" s="806"/>
      <c r="BB9976" s="806"/>
    </row>
    <row r="9977" spans="4:54">
      <c r="D9977" s="806"/>
      <c r="F9977" s="806"/>
      <c r="W9977" s="806"/>
      <c r="AZ9977" s="806"/>
      <c r="BA9977" s="806"/>
      <c r="BB9977" s="806"/>
    </row>
    <row r="9978" spans="4:54">
      <c r="D9978" s="806"/>
      <c r="F9978" s="806"/>
      <c r="W9978" s="806"/>
      <c r="AZ9978" s="806"/>
      <c r="BA9978" s="806"/>
      <c r="BB9978" s="806"/>
    </row>
    <row r="9979" spans="4:54">
      <c r="D9979" s="806"/>
      <c r="F9979" s="806"/>
      <c r="W9979" s="806"/>
      <c r="AZ9979" s="806"/>
      <c r="BA9979" s="806"/>
      <c r="BB9979" s="806"/>
    </row>
    <row r="9980" spans="4:54">
      <c r="D9980" s="806"/>
      <c r="F9980" s="806"/>
      <c r="W9980" s="806"/>
      <c r="AZ9980" s="806"/>
      <c r="BA9980" s="806"/>
      <c r="BB9980" s="806"/>
    </row>
    <row r="9981" spans="4:54">
      <c r="D9981" s="806"/>
      <c r="F9981" s="806"/>
      <c r="W9981" s="806"/>
      <c r="AZ9981" s="806"/>
      <c r="BA9981" s="806"/>
      <c r="BB9981" s="806"/>
    </row>
    <row r="9982" spans="4:54">
      <c r="D9982" s="806"/>
      <c r="F9982" s="806"/>
      <c r="W9982" s="806"/>
      <c r="AZ9982" s="806"/>
      <c r="BA9982" s="806"/>
      <c r="BB9982" s="806"/>
    </row>
    <row r="9983" spans="4:54">
      <c r="D9983" s="806"/>
      <c r="F9983" s="806"/>
      <c r="W9983" s="806"/>
      <c r="AZ9983" s="806"/>
      <c r="BA9983" s="806"/>
      <c r="BB9983" s="806"/>
    </row>
    <row r="9984" spans="4:54">
      <c r="D9984" s="806"/>
      <c r="F9984" s="806"/>
      <c r="W9984" s="806"/>
      <c r="AZ9984" s="806"/>
      <c r="BA9984" s="806"/>
      <c r="BB9984" s="806"/>
    </row>
    <row r="9985" spans="4:54">
      <c r="D9985" s="806"/>
      <c r="F9985" s="806"/>
      <c r="W9985" s="806"/>
      <c r="AZ9985" s="806"/>
      <c r="BA9985" s="806"/>
      <c r="BB9985" s="806"/>
    </row>
    <row r="9986" spans="4:54">
      <c r="D9986" s="806"/>
      <c r="F9986" s="806"/>
      <c r="W9986" s="806"/>
      <c r="AZ9986" s="806"/>
      <c r="BA9986" s="806"/>
      <c r="BB9986" s="806"/>
    </row>
    <row r="9987" spans="4:54">
      <c r="D9987" s="806"/>
      <c r="F9987" s="806"/>
      <c r="W9987" s="806"/>
      <c r="AZ9987" s="806"/>
      <c r="BA9987" s="806"/>
      <c r="BB9987" s="806"/>
    </row>
    <row r="9988" spans="4:54">
      <c r="D9988" s="806"/>
      <c r="F9988" s="806"/>
      <c r="W9988" s="806"/>
      <c r="AZ9988" s="806"/>
      <c r="BA9988" s="806"/>
      <c r="BB9988" s="806"/>
    </row>
    <row r="9989" spans="4:54">
      <c r="D9989" s="806"/>
      <c r="F9989" s="806"/>
      <c r="W9989" s="806"/>
      <c r="AZ9989" s="806"/>
      <c r="BA9989" s="806"/>
      <c r="BB9989" s="806"/>
    </row>
    <row r="9990" spans="4:54">
      <c r="D9990" s="806"/>
      <c r="F9990" s="806"/>
      <c r="W9990" s="806"/>
      <c r="AZ9990" s="806"/>
      <c r="BA9990" s="806"/>
      <c r="BB9990" s="806"/>
    </row>
    <row r="9991" spans="4:54">
      <c r="D9991" s="806"/>
      <c r="F9991" s="806"/>
      <c r="W9991" s="806"/>
      <c r="AZ9991" s="806"/>
      <c r="BA9991" s="806"/>
      <c r="BB9991" s="806"/>
    </row>
    <row r="9992" spans="4:54">
      <c r="D9992" s="806"/>
      <c r="F9992" s="806"/>
      <c r="W9992" s="806"/>
      <c r="AZ9992" s="806"/>
      <c r="BA9992" s="806"/>
      <c r="BB9992" s="806"/>
    </row>
    <row r="9993" spans="4:54">
      <c r="D9993" s="806"/>
      <c r="F9993" s="806"/>
      <c r="W9993" s="806"/>
      <c r="AZ9993" s="806"/>
      <c r="BA9993" s="806"/>
      <c r="BB9993" s="806"/>
    </row>
    <row r="9994" spans="4:54">
      <c r="D9994" s="806"/>
      <c r="F9994" s="806"/>
      <c r="W9994" s="806"/>
      <c r="AZ9994" s="806"/>
      <c r="BA9994" s="806"/>
      <c r="BB9994" s="806"/>
    </row>
    <row r="9995" spans="4:54">
      <c r="D9995" s="806"/>
      <c r="F9995" s="806"/>
      <c r="W9995" s="806"/>
      <c r="AZ9995" s="806"/>
      <c r="BA9995" s="806"/>
      <c r="BB9995" s="806"/>
    </row>
    <row r="9996" spans="4:54">
      <c r="D9996" s="806"/>
      <c r="F9996" s="806"/>
      <c r="W9996" s="806"/>
      <c r="AZ9996" s="806"/>
      <c r="BA9996" s="806"/>
      <c r="BB9996" s="806"/>
    </row>
    <row r="9997" spans="4:54">
      <c r="D9997" s="806"/>
      <c r="F9997" s="806"/>
      <c r="W9997" s="806"/>
      <c r="AZ9997" s="806"/>
      <c r="BA9997" s="806"/>
      <c r="BB9997" s="806"/>
    </row>
    <row r="9998" spans="4:54">
      <c r="D9998" s="806"/>
      <c r="F9998" s="806"/>
      <c r="W9998" s="806"/>
      <c r="AZ9998" s="806"/>
      <c r="BA9998" s="806"/>
      <c r="BB9998" s="806"/>
    </row>
    <row r="9999" spans="4:54">
      <c r="D9999" s="806"/>
      <c r="F9999" s="806"/>
      <c r="W9999" s="806"/>
      <c r="AZ9999" s="806"/>
      <c r="BA9999" s="806"/>
      <c r="BB9999" s="806"/>
    </row>
    <row r="10000" spans="4:54">
      <c r="D10000" s="806"/>
      <c r="F10000" s="806"/>
      <c r="W10000" s="806"/>
      <c r="AZ10000" s="806"/>
      <c r="BA10000" s="806"/>
      <c r="BB10000" s="806"/>
    </row>
    <row r="10001" spans="4:54">
      <c r="D10001" s="806"/>
      <c r="F10001" s="806"/>
      <c r="W10001" s="806"/>
      <c r="AZ10001" s="806"/>
      <c r="BA10001" s="806"/>
      <c r="BB10001" s="806"/>
    </row>
    <row r="10002" spans="4:54">
      <c r="D10002" s="806"/>
      <c r="F10002" s="806"/>
      <c r="W10002" s="806"/>
      <c r="AZ10002" s="806"/>
      <c r="BA10002" s="806"/>
      <c r="BB10002" s="806"/>
    </row>
    <row r="10003" spans="4:54">
      <c r="D10003" s="806"/>
      <c r="F10003" s="806"/>
      <c r="W10003" s="806"/>
      <c r="AZ10003" s="806"/>
      <c r="BA10003" s="806"/>
      <c r="BB10003" s="806"/>
    </row>
    <row r="10004" spans="4:54">
      <c r="D10004" s="806"/>
      <c r="F10004" s="806"/>
      <c r="W10004" s="806"/>
      <c r="AZ10004" s="806"/>
      <c r="BA10004" s="806"/>
      <c r="BB10004" s="806"/>
    </row>
    <row r="10005" spans="4:54">
      <c r="D10005" s="806"/>
      <c r="F10005" s="806"/>
      <c r="W10005" s="806"/>
      <c r="AZ10005" s="806"/>
      <c r="BA10005" s="806"/>
      <c r="BB10005" s="806"/>
    </row>
    <row r="10006" spans="4:54">
      <c r="D10006" s="806"/>
      <c r="F10006" s="806"/>
      <c r="W10006" s="806"/>
      <c r="AZ10006" s="806"/>
      <c r="BA10006" s="806"/>
      <c r="BB10006" s="806"/>
    </row>
    <row r="10007" spans="4:54">
      <c r="D10007" s="806"/>
      <c r="F10007" s="806"/>
      <c r="W10007" s="806"/>
      <c r="AZ10007" s="806"/>
      <c r="BA10007" s="806"/>
      <c r="BB10007" s="806"/>
    </row>
    <row r="10008" spans="4:54">
      <c r="D10008" s="806"/>
      <c r="F10008" s="806"/>
      <c r="W10008" s="806"/>
      <c r="AZ10008" s="806"/>
      <c r="BA10008" s="806"/>
      <c r="BB10008" s="806"/>
    </row>
    <row r="10009" spans="4:54">
      <c r="D10009" s="806"/>
      <c r="F10009" s="806"/>
      <c r="W10009" s="806"/>
      <c r="AZ10009" s="806"/>
      <c r="BA10009" s="806"/>
      <c r="BB10009" s="806"/>
    </row>
    <row r="10010" spans="4:54">
      <c r="D10010" s="806"/>
      <c r="F10010" s="806"/>
      <c r="W10010" s="806"/>
      <c r="AZ10010" s="806"/>
      <c r="BA10010" s="806"/>
      <c r="BB10010" s="806"/>
    </row>
    <row r="10011" spans="4:54">
      <c r="D10011" s="806"/>
      <c r="F10011" s="806"/>
      <c r="W10011" s="806"/>
      <c r="AZ10011" s="806"/>
      <c r="BA10011" s="806"/>
      <c r="BB10011" s="806"/>
    </row>
    <row r="10012" spans="4:54">
      <c r="D10012" s="806"/>
      <c r="F10012" s="806"/>
      <c r="W10012" s="806"/>
      <c r="AZ10012" s="806"/>
      <c r="BA10012" s="806"/>
      <c r="BB10012" s="806"/>
    </row>
    <row r="10013" spans="4:54">
      <c r="D10013" s="806"/>
      <c r="F10013" s="806"/>
      <c r="W10013" s="806"/>
      <c r="AZ10013" s="806"/>
      <c r="BA10013" s="806"/>
      <c r="BB10013" s="806"/>
    </row>
    <row r="10014" spans="4:54">
      <c r="D10014" s="806"/>
      <c r="F10014" s="806"/>
      <c r="W10014" s="806"/>
      <c r="AZ10014" s="806"/>
      <c r="BA10014" s="806"/>
      <c r="BB10014" s="806"/>
    </row>
    <row r="10015" spans="4:54">
      <c r="D10015" s="806"/>
      <c r="F10015" s="806"/>
      <c r="W10015" s="806"/>
      <c r="AZ10015" s="806"/>
      <c r="BA10015" s="806"/>
      <c r="BB10015" s="806"/>
    </row>
    <row r="10016" spans="4:54">
      <c r="D10016" s="806"/>
      <c r="F10016" s="806"/>
      <c r="W10016" s="806"/>
      <c r="AZ10016" s="806"/>
      <c r="BA10016" s="806"/>
      <c r="BB10016" s="806"/>
    </row>
    <row r="10017" spans="4:54">
      <c r="D10017" s="806"/>
      <c r="F10017" s="806"/>
      <c r="W10017" s="806"/>
      <c r="AZ10017" s="806"/>
      <c r="BA10017" s="806"/>
      <c r="BB10017" s="806"/>
    </row>
    <row r="10018" spans="4:54">
      <c r="D10018" s="806"/>
      <c r="F10018" s="806"/>
      <c r="W10018" s="806"/>
      <c r="AZ10018" s="806"/>
      <c r="BA10018" s="806"/>
      <c r="BB10018" s="806"/>
    </row>
    <row r="10019" spans="4:54">
      <c r="D10019" s="806"/>
      <c r="F10019" s="806"/>
      <c r="W10019" s="806"/>
      <c r="AZ10019" s="806"/>
      <c r="BA10019" s="806"/>
      <c r="BB10019" s="806"/>
    </row>
    <row r="10020" spans="4:54">
      <c r="D10020" s="806"/>
      <c r="F10020" s="806"/>
      <c r="W10020" s="806"/>
      <c r="AZ10020" s="806"/>
      <c r="BA10020" s="806"/>
      <c r="BB10020" s="806"/>
    </row>
    <row r="10021" spans="4:54">
      <c r="D10021" s="806"/>
      <c r="F10021" s="806"/>
      <c r="W10021" s="806"/>
      <c r="AZ10021" s="806"/>
      <c r="BA10021" s="806"/>
      <c r="BB10021" s="806"/>
    </row>
    <row r="10022" spans="4:54">
      <c r="D10022" s="806"/>
      <c r="F10022" s="806"/>
      <c r="W10022" s="806"/>
      <c r="AZ10022" s="806"/>
      <c r="BA10022" s="806"/>
      <c r="BB10022" s="806"/>
    </row>
    <row r="10023" spans="4:54">
      <c r="D10023" s="806"/>
      <c r="F10023" s="806"/>
      <c r="W10023" s="806"/>
      <c r="AZ10023" s="806"/>
      <c r="BA10023" s="806"/>
      <c r="BB10023" s="806"/>
    </row>
    <row r="10024" spans="4:54">
      <c r="D10024" s="806"/>
      <c r="F10024" s="806"/>
      <c r="W10024" s="806"/>
      <c r="AZ10024" s="806"/>
      <c r="BA10024" s="806"/>
      <c r="BB10024" s="806"/>
    </row>
    <row r="10025" spans="4:54">
      <c r="D10025" s="806"/>
      <c r="F10025" s="806"/>
      <c r="W10025" s="806"/>
      <c r="AZ10025" s="806"/>
      <c r="BA10025" s="806"/>
      <c r="BB10025" s="806"/>
    </row>
    <row r="10026" spans="4:54">
      <c r="D10026" s="806"/>
      <c r="F10026" s="806"/>
      <c r="W10026" s="806"/>
      <c r="AZ10026" s="806"/>
      <c r="BA10026" s="806"/>
      <c r="BB10026" s="806"/>
    </row>
    <row r="10027" spans="4:54">
      <c r="D10027" s="806"/>
      <c r="F10027" s="806"/>
      <c r="W10027" s="806"/>
      <c r="AZ10027" s="806"/>
      <c r="BA10027" s="806"/>
      <c r="BB10027" s="806"/>
    </row>
    <row r="10028" spans="4:54">
      <c r="D10028" s="806"/>
      <c r="F10028" s="806"/>
      <c r="W10028" s="806"/>
      <c r="AZ10028" s="806"/>
      <c r="BA10028" s="806"/>
      <c r="BB10028" s="806"/>
    </row>
    <row r="10029" spans="4:54">
      <c r="D10029" s="806"/>
      <c r="F10029" s="806"/>
      <c r="W10029" s="806"/>
      <c r="AZ10029" s="806"/>
      <c r="BA10029" s="806"/>
      <c r="BB10029" s="806"/>
    </row>
    <row r="10030" spans="4:54">
      <c r="D10030" s="806"/>
      <c r="F10030" s="806"/>
      <c r="W10030" s="806"/>
      <c r="AZ10030" s="806"/>
      <c r="BA10030" s="806"/>
      <c r="BB10030" s="806"/>
    </row>
    <row r="10031" spans="4:54">
      <c r="D10031" s="806"/>
      <c r="F10031" s="806"/>
      <c r="W10031" s="806"/>
      <c r="AZ10031" s="806"/>
      <c r="BA10031" s="806"/>
      <c r="BB10031" s="806"/>
    </row>
    <row r="10032" spans="4:54">
      <c r="D10032" s="806"/>
      <c r="F10032" s="806"/>
      <c r="W10032" s="806"/>
      <c r="AZ10032" s="806"/>
      <c r="BA10032" s="806"/>
      <c r="BB10032" s="806"/>
    </row>
    <row r="10033" spans="4:54">
      <c r="D10033" s="806"/>
      <c r="F10033" s="806"/>
      <c r="W10033" s="806"/>
      <c r="AZ10033" s="806"/>
      <c r="BA10033" s="806"/>
      <c r="BB10033" s="806"/>
    </row>
    <row r="10034" spans="4:54">
      <c r="D10034" s="806"/>
      <c r="F10034" s="806"/>
      <c r="W10034" s="806"/>
      <c r="AZ10034" s="806"/>
      <c r="BA10034" s="806"/>
      <c r="BB10034" s="806"/>
    </row>
    <row r="10035" spans="4:54">
      <c r="D10035" s="806"/>
      <c r="F10035" s="806"/>
      <c r="W10035" s="806"/>
      <c r="AZ10035" s="806"/>
      <c r="BA10035" s="806"/>
      <c r="BB10035" s="806"/>
    </row>
    <row r="10036" spans="4:54">
      <c r="D10036" s="806"/>
      <c r="F10036" s="806"/>
      <c r="W10036" s="806"/>
      <c r="AZ10036" s="806"/>
      <c r="BA10036" s="806"/>
      <c r="BB10036" s="806"/>
    </row>
    <row r="10037" spans="4:54">
      <c r="D10037" s="806"/>
      <c r="F10037" s="806"/>
      <c r="W10037" s="806"/>
      <c r="AZ10037" s="806"/>
      <c r="BA10037" s="806"/>
      <c r="BB10037" s="806"/>
    </row>
    <row r="10038" spans="4:54">
      <c r="D10038" s="806"/>
      <c r="F10038" s="806"/>
      <c r="W10038" s="806"/>
      <c r="AZ10038" s="806"/>
      <c r="BA10038" s="806"/>
      <c r="BB10038" s="806"/>
    </row>
    <row r="10039" spans="4:54">
      <c r="D10039" s="806"/>
      <c r="F10039" s="806"/>
      <c r="W10039" s="806"/>
      <c r="AZ10039" s="806"/>
      <c r="BA10039" s="806"/>
      <c r="BB10039" s="806"/>
    </row>
    <row r="10040" spans="4:54">
      <c r="D10040" s="806"/>
      <c r="F10040" s="806"/>
      <c r="W10040" s="806"/>
      <c r="AZ10040" s="806"/>
      <c r="BA10040" s="806"/>
      <c r="BB10040" s="806"/>
    </row>
    <row r="10041" spans="4:54">
      <c r="D10041" s="806"/>
      <c r="F10041" s="806"/>
      <c r="W10041" s="806"/>
      <c r="AZ10041" s="806"/>
      <c r="BA10041" s="806"/>
      <c r="BB10041" s="806"/>
    </row>
    <row r="10042" spans="4:54">
      <c r="D10042" s="806"/>
      <c r="F10042" s="806"/>
      <c r="W10042" s="806"/>
      <c r="AZ10042" s="806"/>
      <c r="BA10042" s="806"/>
      <c r="BB10042" s="806"/>
    </row>
    <row r="10043" spans="4:54">
      <c r="D10043" s="806"/>
      <c r="F10043" s="806"/>
      <c r="W10043" s="806"/>
      <c r="AZ10043" s="806"/>
      <c r="BA10043" s="806"/>
      <c r="BB10043" s="806"/>
    </row>
    <row r="10044" spans="4:54">
      <c r="D10044" s="806"/>
      <c r="F10044" s="806"/>
      <c r="W10044" s="806"/>
      <c r="AZ10044" s="806"/>
      <c r="BA10044" s="806"/>
      <c r="BB10044" s="806"/>
    </row>
    <row r="10045" spans="4:54">
      <c r="D10045" s="806"/>
      <c r="F10045" s="806"/>
      <c r="W10045" s="806"/>
      <c r="AZ10045" s="806"/>
      <c r="BA10045" s="806"/>
      <c r="BB10045" s="806"/>
    </row>
    <row r="10046" spans="4:54">
      <c r="D10046" s="806"/>
      <c r="F10046" s="806"/>
      <c r="W10046" s="806"/>
      <c r="AZ10046" s="806"/>
      <c r="BA10046" s="806"/>
      <c r="BB10046" s="806"/>
    </row>
    <row r="10047" spans="4:54">
      <c r="D10047" s="806"/>
      <c r="F10047" s="806"/>
      <c r="W10047" s="806"/>
      <c r="AZ10047" s="806"/>
      <c r="BA10047" s="806"/>
      <c r="BB10047" s="806"/>
    </row>
    <row r="10048" spans="4:54">
      <c r="D10048" s="806"/>
      <c r="F10048" s="806"/>
      <c r="W10048" s="806"/>
      <c r="AZ10048" s="806"/>
      <c r="BA10048" s="806"/>
      <c r="BB10048" s="806"/>
    </row>
    <row r="10049" spans="4:54">
      <c r="D10049" s="806"/>
      <c r="F10049" s="806"/>
      <c r="W10049" s="806"/>
      <c r="AZ10049" s="806"/>
      <c r="BA10049" s="806"/>
      <c r="BB10049" s="806"/>
    </row>
    <row r="10050" spans="4:54">
      <c r="D10050" s="806"/>
      <c r="F10050" s="806"/>
      <c r="W10050" s="806"/>
      <c r="AZ10050" s="806"/>
      <c r="BA10050" s="806"/>
      <c r="BB10050" s="806"/>
    </row>
    <row r="10051" spans="4:54">
      <c r="D10051" s="806"/>
      <c r="F10051" s="806"/>
      <c r="W10051" s="806"/>
      <c r="AZ10051" s="806"/>
      <c r="BA10051" s="806"/>
      <c r="BB10051" s="806"/>
    </row>
    <row r="10052" spans="4:54">
      <c r="D10052" s="806"/>
      <c r="F10052" s="806"/>
      <c r="W10052" s="806"/>
      <c r="AZ10052" s="806"/>
      <c r="BA10052" s="806"/>
      <c r="BB10052" s="806"/>
    </row>
    <row r="10053" spans="4:54">
      <c r="D10053" s="806"/>
      <c r="F10053" s="806"/>
      <c r="W10053" s="806"/>
      <c r="AZ10053" s="806"/>
      <c r="BA10053" s="806"/>
      <c r="BB10053" s="806"/>
    </row>
    <row r="10054" spans="4:54">
      <c r="D10054" s="806"/>
      <c r="F10054" s="806"/>
      <c r="W10054" s="806"/>
      <c r="AZ10054" s="806"/>
      <c r="BA10054" s="806"/>
      <c r="BB10054" s="806"/>
    </row>
    <row r="10055" spans="4:54">
      <c r="D10055" s="806"/>
      <c r="F10055" s="806"/>
      <c r="W10055" s="806"/>
      <c r="AZ10055" s="806"/>
      <c r="BA10055" s="806"/>
      <c r="BB10055" s="806"/>
    </row>
    <row r="10056" spans="4:54">
      <c r="D10056" s="806"/>
      <c r="F10056" s="806"/>
      <c r="W10056" s="806"/>
      <c r="AZ10056" s="806"/>
      <c r="BA10056" s="806"/>
      <c r="BB10056" s="806"/>
    </row>
    <row r="10057" spans="4:54">
      <c r="D10057" s="806"/>
      <c r="F10057" s="806"/>
      <c r="W10057" s="806"/>
      <c r="AZ10057" s="806"/>
      <c r="BA10057" s="806"/>
      <c r="BB10057" s="806"/>
    </row>
    <row r="10058" spans="4:54">
      <c r="D10058" s="806"/>
      <c r="F10058" s="806"/>
      <c r="W10058" s="806"/>
      <c r="AZ10058" s="806"/>
      <c r="BA10058" s="806"/>
      <c r="BB10058" s="806"/>
    </row>
    <row r="10059" spans="4:54">
      <c r="D10059" s="806"/>
      <c r="F10059" s="806"/>
      <c r="W10059" s="806"/>
      <c r="AZ10059" s="806"/>
      <c r="BA10059" s="806"/>
      <c r="BB10059" s="806"/>
    </row>
    <row r="10060" spans="4:54">
      <c r="D10060" s="806"/>
      <c r="F10060" s="806"/>
      <c r="W10060" s="806"/>
      <c r="AZ10060" s="806"/>
      <c r="BA10060" s="806"/>
      <c r="BB10060" s="806"/>
    </row>
    <row r="10061" spans="4:54">
      <c r="D10061" s="806"/>
      <c r="F10061" s="806"/>
      <c r="W10061" s="806"/>
      <c r="AZ10061" s="806"/>
      <c r="BA10061" s="806"/>
      <c r="BB10061" s="806"/>
    </row>
    <row r="10062" spans="4:54">
      <c r="D10062" s="806"/>
      <c r="F10062" s="806"/>
      <c r="W10062" s="806"/>
      <c r="AZ10062" s="806"/>
      <c r="BA10062" s="806"/>
      <c r="BB10062" s="806"/>
    </row>
    <row r="10063" spans="4:54">
      <c r="D10063" s="806"/>
      <c r="F10063" s="806"/>
      <c r="W10063" s="806"/>
      <c r="AZ10063" s="806"/>
      <c r="BA10063" s="806"/>
      <c r="BB10063" s="806"/>
    </row>
    <row r="10064" spans="4:54">
      <c r="D10064" s="806"/>
      <c r="F10064" s="806"/>
      <c r="W10064" s="806"/>
      <c r="AZ10064" s="806"/>
      <c r="BA10064" s="806"/>
      <c r="BB10064" s="806"/>
    </row>
    <row r="10065" spans="4:54">
      <c r="D10065" s="806"/>
      <c r="F10065" s="806"/>
      <c r="W10065" s="806"/>
      <c r="AZ10065" s="806"/>
      <c r="BA10065" s="806"/>
      <c r="BB10065" s="806"/>
    </row>
    <row r="10066" spans="4:54">
      <c r="D10066" s="806"/>
      <c r="F10066" s="806"/>
      <c r="W10066" s="806"/>
      <c r="AZ10066" s="806"/>
      <c r="BA10066" s="806"/>
      <c r="BB10066" s="806"/>
    </row>
    <row r="10067" spans="4:54">
      <c r="D10067" s="806"/>
      <c r="F10067" s="806"/>
      <c r="W10067" s="806"/>
      <c r="AZ10067" s="806"/>
      <c r="BA10067" s="806"/>
      <c r="BB10067" s="806"/>
    </row>
    <row r="10068" spans="4:54">
      <c r="D10068" s="806"/>
      <c r="F10068" s="806"/>
      <c r="W10068" s="806"/>
      <c r="AZ10068" s="806"/>
      <c r="BA10068" s="806"/>
      <c r="BB10068" s="806"/>
    </row>
    <row r="10069" spans="4:54">
      <c r="D10069" s="806"/>
      <c r="F10069" s="806"/>
      <c r="W10069" s="806"/>
      <c r="AZ10069" s="806"/>
      <c r="BA10069" s="806"/>
      <c r="BB10069" s="806"/>
    </row>
    <row r="10070" spans="4:54">
      <c r="D10070" s="806"/>
      <c r="F10070" s="806"/>
      <c r="W10070" s="806"/>
      <c r="AZ10070" s="806"/>
      <c r="BA10070" s="806"/>
      <c r="BB10070" s="806"/>
    </row>
    <row r="10071" spans="4:54">
      <c r="D10071" s="806"/>
      <c r="F10071" s="806"/>
      <c r="W10071" s="806"/>
      <c r="AZ10071" s="806"/>
      <c r="BA10071" s="806"/>
      <c r="BB10071" s="806"/>
    </row>
    <row r="10072" spans="4:54">
      <c r="D10072" s="806"/>
      <c r="F10072" s="806"/>
      <c r="W10072" s="806"/>
      <c r="AZ10072" s="806"/>
      <c r="BA10072" s="806"/>
      <c r="BB10072" s="806"/>
    </row>
    <row r="10073" spans="4:54">
      <c r="D10073" s="806"/>
      <c r="F10073" s="806"/>
      <c r="W10073" s="806"/>
      <c r="AZ10073" s="806"/>
      <c r="BA10073" s="806"/>
      <c r="BB10073" s="806"/>
    </row>
    <row r="10074" spans="4:54">
      <c r="D10074" s="806"/>
      <c r="F10074" s="806"/>
      <c r="W10074" s="806"/>
      <c r="AZ10074" s="806"/>
      <c r="BA10074" s="806"/>
      <c r="BB10074" s="806"/>
    </row>
    <row r="10075" spans="4:54">
      <c r="D10075" s="806"/>
      <c r="F10075" s="806"/>
      <c r="W10075" s="806"/>
      <c r="AZ10075" s="806"/>
      <c r="BA10075" s="806"/>
      <c r="BB10075" s="806"/>
    </row>
    <row r="10076" spans="4:54">
      <c r="D10076" s="806"/>
      <c r="F10076" s="806"/>
      <c r="W10076" s="806"/>
      <c r="AZ10076" s="806"/>
      <c r="BA10076" s="806"/>
      <c r="BB10076" s="806"/>
    </row>
    <row r="10077" spans="4:54">
      <c r="D10077" s="806"/>
      <c r="F10077" s="806"/>
      <c r="W10077" s="806"/>
      <c r="AZ10077" s="806"/>
      <c r="BA10077" s="806"/>
      <c r="BB10077" s="806"/>
    </row>
  </sheetData>
  <mergeCells count="48">
    <mergeCell ref="BA6:BB8"/>
    <mergeCell ref="A56:BC56"/>
    <mergeCell ref="AP46:AR46"/>
    <mergeCell ref="Q47:X47"/>
    <mergeCell ref="AF47:AL47"/>
    <mergeCell ref="K46:M46"/>
    <mergeCell ref="Q46:X46"/>
    <mergeCell ref="AF46:AL46"/>
    <mergeCell ref="R8:S8"/>
    <mergeCell ref="T8:U8"/>
    <mergeCell ref="Z8:AA8"/>
    <mergeCell ref="AC8:AD8"/>
    <mergeCell ref="P7:Q7"/>
    <mergeCell ref="R7:S7"/>
    <mergeCell ref="T7:U7"/>
    <mergeCell ref="W7:X7"/>
    <mergeCell ref="H6:U6"/>
    <mergeCell ref="W6:AD6"/>
    <mergeCell ref="AE6:AE7"/>
    <mergeCell ref="AL6:AN7"/>
    <mergeCell ref="AO6:AS7"/>
    <mergeCell ref="Y7:AA7"/>
    <mergeCell ref="AB7:AD7"/>
    <mergeCell ref="H7:I7"/>
    <mergeCell ref="J7:K7"/>
    <mergeCell ref="L7:M7"/>
    <mergeCell ref="N7:O7"/>
    <mergeCell ref="AW7:AW8"/>
    <mergeCell ref="H8:I8"/>
    <mergeCell ref="J8:K8"/>
    <mergeCell ref="L8:M8"/>
    <mergeCell ref="N8:O8"/>
    <mergeCell ref="P8:Q8"/>
    <mergeCell ref="A5:D5"/>
    <mergeCell ref="AC5:AH5"/>
    <mergeCell ref="AK5:AL5"/>
    <mergeCell ref="A1:BC1"/>
    <mergeCell ref="A2:BC2"/>
    <mergeCell ref="A3:BC3"/>
    <mergeCell ref="K47:M47"/>
    <mergeCell ref="AP41:AR41"/>
    <mergeCell ref="AP45:AR45"/>
    <mergeCell ref="AP47:AR47"/>
    <mergeCell ref="K41:M41"/>
    <mergeCell ref="Q41:X41"/>
    <mergeCell ref="AF41:AL41"/>
    <mergeCell ref="K45:M45"/>
    <mergeCell ref="AF45:AL45"/>
  </mergeCells>
  <printOptions horizontalCentered="1"/>
  <pageMargins left="0" right="0" top="0" bottom="0" header="0.3" footer="0.3"/>
  <pageSetup paperSize="9" scale="41" orientation="landscape" horizontalDpi="0" verticalDpi="0" r:id="rId1"/>
  <colBreaks count="2" manualBreakCount="2">
    <brk id="54" max="1048575" man="1"/>
    <brk id="55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Z8796"/>
  <sheetViews>
    <sheetView topLeftCell="A28" zoomScaleNormal="100" workbookViewId="0">
      <pane xSplit="4" topLeftCell="AL1" activePane="topRight" state="frozen"/>
      <selection pane="topRight" activeCell="BK36" sqref="BK36"/>
    </sheetView>
  </sheetViews>
  <sheetFormatPr defaultColWidth="9.140625" defaultRowHeight="12.75"/>
  <cols>
    <col min="1" max="1" width="5.42578125" style="350" customWidth="1"/>
    <col min="2" max="2" width="10.7109375" style="350" hidden="1" customWidth="1"/>
    <col min="3" max="3" width="4.7109375" style="350" hidden="1" customWidth="1"/>
    <col min="4" max="4" width="18.42578125" style="355" customWidth="1"/>
    <col min="5" max="5" width="6" style="350" customWidth="1"/>
    <col min="6" max="6" width="9.28515625" style="350" customWidth="1"/>
    <col min="7" max="7" width="14" style="350" customWidth="1"/>
    <col min="8" max="8" width="4.85546875" style="350" customWidth="1"/>
    <col min="9" max="9" width="13.28515625" style="350" customWidth="1"/>
    <col min="10" max="10" width="4.28515625" style="350" customWidth="1"/>
    <col min="11" max="11" width="10.7109375" style="350" customWidth="1"/>
    <col min="12" max="12" width="4.5703125" style="350" customWidth="1"/>
    <col min="13" max="13" width="10.85546875" style="350" customWidth="1"/>
    <col min="14" max="14" width="4.5703125" style="350" customWidth="1"/>
    <col min="15" max="15" width="10.140625" style="350" customWidth="1"/>
    <col min="16" max="16" width="3.5703125" style="350" hidden="1" customWidth="1"/>
    <col min="17" max="17" width="9.28515625" style="350" hidden="1" customWidth="1"/>
    <col min="18" max="18" width="5.85546875" style="350" customWidth="1"/>
    <col min="19" max="19" width="8" style="300" customWidth="1"/>
    <col min="20" max="20" width="11.5703125" style="350" customWidth="1"/>
    <col min="21" max="21" width="6.42578125" style="350" hidden="1" customWidth="1"/>
    <col min="22" max="22" width="6" style="350" hidden="1" customWidth="1"/>
    <col min="23" max="23" width="12.28515625" style="350" customWidth="1"/>
    <col min="24" max="24" width="6.85546875" style="350" hidden="1" customWidth="1"/>
    <col min="25" max="25" width="3.140625" style="350" hidden="1" customWidth="1"/>
    <col min="26" max="26" width="12" style="350" customWidth="1"/>
    <col min="27" max="27" width="10.28515625" style="350" hidden="1" customWidth="1"/>
    <col min="28" max="28" width="12.140625" style="742" customWidth="1"/>
    <col min="29" max="29" width="10.28515625" style="350" customWidth="1"/>
    <col min="30" max="30" width="12.7109375" style="350" customWidth="1"/>
    <col min="31" max="31" width="11.140625" style="350" customWidth="1"/>
    <col min="32" max="32" width="11.5703125" style="350" customWidth="1"/>
    <col min="33" max="33" width="11" style="350" customWidth="1"/>
    <col min="34" max="34" width="9.42578125" style="350" hidden="1" customWidth="1"/>
    <col min="35" max="35" width="10.7109375" style="350" customWidth="1"/>
    <col min="36" max="36" width="10.28515625" style="350" hidden="1" customWidth="1"/>
    <col min="37" max="37" width="10" style="350" hidden="1" customWidth="1"/>
    <col min="38" max="38" width="10.140625" style="350" customWidth="1"/>
    <col min="39" max="39" width="9.7109375" style="350" hidden="1" customWidth="1"/>
    <col min="40" max="40" width="12.5703125" style="350" customWidth="1"/>
    <col min="41" max="41" width="10.42578125" style="350" customWidth="1"/>
    <col min="42" max="43" width="9.7109375" style="350" customWidth="1"/>
    <col min="44" max="44" width="9.85546875" style="350" customWidth="1"/>
    <col min="45" max="45" width="11.5703125" style="350" customWidth="1"/>
    <col min="46" max="46" width="10.140625" style="350" customWidth="1"/>
    <col min="47" max="47" width="9.42578125" style="350" customWidth="1"/>
    <col min="48" max="48" width="10.5703125" style="350" customWidth="1"/>
    <col min="49" max="49" width="7.7109375" style="350" customWidth="1"/>
    <col min="50" max="50" width="9.5703125" style="350" customWidth="1"/>
    <col min="51" max="51" width="9.140625" style="350" hidden="1" customWidth="1"/>
    <col min="52" max="52" width="11.140625" style="350" hidden="1" customWidth="1"/>
    <col min="53" max="53" width="9.42578125" style="350" hidden="1" customWidth="1"/>
    <col min="54" max="55" width="9.140625" style="350" hidden="1" customWidth="1"/>
    <col min="56" max="56" width="10.28515625" style="350" hidden="1" customWidth="1"/>
    <col min="57" max="57" width="10.28515625" style="1275" customWidth="1"/>
    <col min="58" max="58" width="12.85546875" style="295" customWidth="1"/>
    <col min="59" max="59" width="4.42578125" style="295" customWidth="1"/>
    <col min="60" max="60" width="4.28515625" style="295" customWidth="1"/>
    <col min="61" max="61" width="10.42578125" style="350" hidden="1" customWidth="1"/>
    <col min="62" max="62" width="9.140625" style="350"/>
    <col min="63" max="63" width="9.28515625" style="350" bestFit="1" customWidth="1"/>
    <col min="64" max="64" width="11.140625" style="350" bestFit="1" customWidth="1"/>
    <col min="65" max="65" width="9.140625" style="350"/>
    <col min="66" max="66" width="10.5703125" style="350" customWidth="1"/>
    <col min="67" max="16384" width="9.140625" style="350"/>
  </cols>
  <sheetData>
    <row r="1" spans="1:104" ht="15" customHeight="1"/>
    <row r="2" spans="1:104">
      <c r="A2" s="1349" t="s">
        <v>66</v>
      </c>
      <c r="B2" s="1349"/>
      <c r="C2" s="1349"/>
      <c r="D2" s="1349"/>
      <c r="E2" s="1349"/>
      <c r="F2" s="1349"/>
      <c r="G2" s="1349"/>
      <c r="H2" s="1349"/>
      <c r="I2" s="1349"/>
      <c r="J2" s="1349"/>
      <c r="K2" s="1349"/>
      <c r="L2" s="1349"/>
      <c r="M2" s="1349"/>
      <c r="N2" s="1349"/>
      <c r="O2" s="1349"/>
      <c r="P2" s="1349"/>
      <c r="Q2" s="1349"/>
      <c r="R2" s="1349"/>
      <c r="S2" s="1349"/>
      <c r="T2" s="1349"/>
      <c r="U2" s="1349"/>
      <c r="V2" s="1349"/>
      <c r="W2" s="1349"/>
      <c r="X2" s="1349"/>
      <c r="Y2" s="1349"/>
      <c r="Z2" s="1349"/>
      <c r="AA2" s="1349"/>
      <c r="AB2" s="1349"/>
      <c r="AC2" s="1349"/>
      <c r="AD2" s="1349"/>
      <c r="AE2" s="1349"/>
      <c r="AF2" s="1349"/>
      <c r="AG2" s="1349"/>
      <c r="AH2" s="1349"/>
      <c r="AI2" s="1349"/>
      <c r="AJ2" s="1349"/>
      <c r="AK2" s="1349"/>
      <c r="AL2" s="1349"/>
      <c r="AM2" s="1349"/>
      <c r="AN2" s="1349"/>
      <c r="AO2" s="1349"/>
      <c r="AP2" s="1349"/>
      <c r="AQ2" s="1349"/>
      <c r="AR2" s="1349"/>
      <c r="AS2" s="1349"/>
      <c r="AT2" s="1349"/>
      <c r="AU2" s="1349"/>
      <c r="AV2" s="1349"/>
      <c r="AW2" s="1349"/>
      <c r="AX2" s="1349"/>
      <c r="AY2" s="1349"/>
      <c r="AZ2" s="1349"/>
      <c r="BA2" s="1349"/>
      <c r="BB2" s="1349"/>
      <c r="BC2" s="1349"/>
      <c r="BD2" s="1349"/>
      <c r="BE2" s="1349"/>
      <c r="BF2" s="1349"/>
      <c r="BG2" s="1349"/>
      <c r="BH2" s="1349"/>
      <c r="BI2" s="1349"/>
    </row>
    <row r="3" spans="1:104">
      <c r="A3" s="1350" t="s">
        <v>191</v>
      </c>
      <c r="B3" s="1350"/>
      <c r="C3" s="1350"/>
      <c r="D3" s="1350"/>
      <c r="E3" s="1350"/>
      <c r="F3" s="1350"/>
      <c r="G3" s="1350"/>
      <c r="H3" s="1350"/>
      <c r="I3" s="1350"/>
      <c r="J3" s="1350"/>
      <c r="K3" s="1350"/>
      <c r="L3" s="1350"/>
      <c r="M3" s="1350"/>
      <c r="N3" s="1350"/>
      <c r="O3" s="1350"/>
      <c r="P3" s="1350"/>
      <c r="Q3" s="1350"/>
      <c r="R3" s="1350"/>
      <c r="S3" s="1350"/>
      <c r="T3" s="1350"/>
      <c r="U3" s="1350"/>
      <c r="V3" s="1350"/>
      <c r="W3" s="1350"/>
      <c r="X3" s="1350"/>
      <c r="Y3" s="1350"/>
      <c r="Z3" s="1350"/>
      <c r="AA3" s="1350"/>
      <c r="AB3" s="1350"/>
      <c r="AC3" s="1350"/>
      <c r="AD3" s="1350"/>
      <c r="AE3" s="1350"/>
      <c r="AF3" s="1350"/>
      <c r="AG3" s="1350"/>
      <c r="AH3" s="1350"/>
      <c r="AI3" s="1350"/>
      <c r="AJ3" s="1350"/>
      <c r="AK3" s="1350"/>
      <c r="AL3" s="1350"/>
      <c r="AM3" s="1350"/>
      <c r="AN3" s="1350"/>
      <c r="AO3" s="1350"/>
      <c r="AP3" s="1350"/>
      <c r="AQ3" s="1350"/>
      <c r="AR3" s="1350"/>
      <c r="AS3" s="1350"/>
      <c r="AT3" s="1350"/>
      <c r="AU3" s="1350"/>
      <c r="AV3" s="1350"/>
      <c r="AW3" s="1350"/>
      <c r="AX3" s="1350"/>
      <c r="AY3" s="1350"/>
      <c r="AZ3" s="1350"/>
      <c r="BA3" s="1350"/>
      <c r="BB3" s="1350"/>
      <c r="BC3" s="1350"/>
      <c r="BD3" s="1350"/>
      <c r="BE3" s="1350"/>
      <c r="BF3" s="1350"/>
      <c r="BG3" s="1350"/>
      <c r="BH3" s="1350"/>
      <c r="BI3" s="1350"/>
    </row>
    <row r="4" spans="1:104">
      <c r="A4" s="351"/>
      <c r="B4" s="351"/>
      <c r="C4" s="351"/>
      <c r="D4" s="356"/>
      <c r="E4" s="351"/>
      <c r="F4" s="351"/>
      <c r="G4" s="351"/>
      <c r="H4" s="351"/>
      <c r="I4" s="351"/>
      <c r="J4" s="351"/>
      <c r="K4" s="222"/>
      <c r="L4" s="351"/>
      <c r="M4" s="351"/>
      <c r="N4" s="351"/>
      <c r="O4" s="351"/>
      <c r="P4" s="351"/>
      <c r="Q4" s="351"/>
      <c r="R4" s="351"/>
      <c r="S4" s="357"/>
      <c r="T4" s="351"/>
      <c r="U4" s="351"/>
      <c r="V4" s="351"/>
      <c r="W4" s="351"/>
      <c r="X4" s="351"/>
      <c r="Y4" s="351"/>
      <c r="Z4" s="351"/>
      <c r="AA4" s="351"/>
      <c r="AB4" s="744"/>
      <c r="AC4" s="351"/>
      <c r="AD4" s="351"/>
      <c r="AE4" s="351"/>
      <c r="AF4" s="222"/>
      <c r="AG4" s="351"/>
      <c r="AH4" s="351"/>
      <c r="AI4" s="351"/>
      <c r="AJ4" s="351"/>
      <c r="AK4" s="351"/>
      <c r="AL4" s="351"/>
      <c r="AM4" s="351"/>
      <c r="AN4" s="351"/>
      <c r="AO4" s="351"/>
      <c r="AP4" s="351"/>
      <c r="AQ4" s="358"/>
      <c r="AR4" s="351"/>
      <c r="AS4" s="351"/>
      <c r="AT4" s="351"/>
      <c r="AU4" s="351"/>
      <c r="AV4" s="351"/>
      <c r="AW4" s="351"/>
      <c r="AX4" s="351"/>
      <c r="AY4" s="351"/>
      <c r="AZ4" s="351"/>
      <c r="BA4" s="351"/>
      <c r="BB4" s="351"/>
      <c r="BC4" s="351"/>
      <c r="BD4" s="351"/>
      <c r="BE4" s="1276"/>
      <c r="BF4" s="351"/>
      <c r="BG4" s="351"/>
      <c r="BH4" s="351"/>
      <c r="BI4" s="351"/>
    </row>
    <row r="5" spans="1:104" ht="13.5" thickBot="1">
      <c r="A5" s="1345" t="s">
        <v>192</v>
      </c>
      <c r="B5" s="1345"/>
      <c r="C5" s="1345"/>
      <c r="D5" s="356" t="s">
        <v>416</v>
      </c>
      <c r="E5" s="351"/>
      <c r="F5" s="359"/>
      <c r="G5" s="353"/>
      <c r="H5" s="353"/>
      <c r="I5" s="353"/>
      <c r="J5" s="353"/>
      <c r="K5" s="353"/>
      <c r="L5" s="353"/>
      <c r="M5" s="353"/>
      <c r="N5" s="353"/>
      <c r="O5" s="353"/>
      <c r="P5" s="353"/>
      <c r="Q5" s="353"/>
      <c r="R5" s="353"/>
      <c r="S5" s="290"/>
      <c r="T5" s="353"/>
      <c r="U5" s="353"/>
      <c r="V5" s="353"/>
      <c r="W5" s="353"/>
      <c r="X5" s="353"/>
      <c r="Y5" s="1372" t="s">
        <v>120</v>
      </c>
      <c r="Z5" s="1372"/>
      <c r="AA5" s="1372"/>
      <c r="AB5" s="743"/>
      <c r="AC5" s="352"/>
      <c r="AD5" s="352"/>
      <c r="AE5" s="352"/>
      <c r="AF5" s="352"/>
      <c r="AG5" s="352"/>
      <c r="AH5" s="352"/>
      <c r="AI5" s="352"/>
      <c r="AJ5" s="352"/>
      <c r="AK5" s="352"/>
      <c r="AL5" s="352"/>
      <c r="AM5" s="352"/>
      <c r="AN5" s="1373" t="s">
        <v>121</v>
      </c>
      <c r="AO5" s="1373"/>
      <c r="AP5" s="224" t="s">
        <v>122</v>
      </c>
      <c r="AQ5" s="353"/>
      <c r="AR5" s="353"/>
      <c r="AS5" s="353"/>
      <c r="AT5" s="353"/>
      <c r="AU5" s="353"/>
      <c r="AV5" s="352"/>
      <c r="AW5" s="352"/>
      <c r="AX5" s="352"/>
      <c r="AY5" s="360">
        <f>2976705.97*2%</f>
        <v>59534.119400000003</v>
      </c>
      <c r="AZ5" s="361"/>
      <c r="BA5" s="362"/>
      <c r="BB5" s="362"/>
      <c r="BC5" s="362"/>
      <c r="BD5" s="362"/>
      <c r="BE5" s="362"/>
      <c r="BF5" s="351"/>
      <c r="BG5" s="351"/>
      <c r="BH5" s="351"/>
      <c r="BI5" s="351"/>
    </row>
    <row r="6" spans="1:104" ht="15" customHeight="1">
      <c r="A6" s="363"/>
      <c r="B6" s="364"/>
      <c r="C6" s="364"/>
      <c r="D6" s="365"/>
      <c r="E6" s="364"/>
      <c r="F6" s="364"/>
      <c r="G6" s="364"/>
      <c r="H6" s="1383" t="s">
        <v>124</v>
      </c>
      <c r="I6" s="1384"/>
      <c r="J6" s="1384"/>
      <c r="K6" s="1384"/>
      <c r="L6" s="1384"/>
      <c r="M6" s="1384"/>
      <c r="N6" s="1384"/>
      <c r="O6" s="1384"/>
      <c r="P6" s="1384"/>
      <c r="Q6" s="1385"/>
      <c r="R6" s="366"/>
      <c r="S6" s="1383" t="s">
        <v>125</v>
      </c>
      <c r="T6" s="1384"/>
      <c r="U6" s="1384"/>
      <c r="V6" s="1384"/>
      <c r="W6" s="1384"/>
      <c r="X6" s="1384"/>
      <c r="Y6" s="1384"/>
      <c r="Z6" s="1385"/>
      <c r="AA6" s="1394" t="s">
        <v>97</v>
      </c>
      <c r="AB6" s="1394" t="s">
        <v>23</v>
      </c>
      <c r="AC6" s="367" t="s">
        <v>23</v>
      </c>
      <c r="AD6" s="368"/>
      <c r="AE6" s="367"/>
      <c r="AF6" s="367"/>
      <c r="AG6" s="367"/>
      <c r="AH6" s="367"/>
      <c r="AI6" s="367"/>
      <c r="AJ6" s="367"/>
      <c r="AK6" s="367"/>
      <c r="AL6" s="1394" t="s">
        <v>144</v>
      </c>
      <c r="AM6" s="1394" t="s">
        <v>144</v>
      </c>
      <c r="AN6" s="367" t="s">
        <v>126</v>
      </c>
      <c r="AO6" s="1402"/>
      <c r="AP6" s="1403"/>
      <c r="AQ6" s="364"/>
      <c r="AR6" s="1374" t="s">
        <v>128</v>
      </c>
      <c r="AS6" s="1402"/>
      <c r="AT6" s="1402"/>
      <c r="AU6" s="1402"/>
      <c r="AV6" s="1403"/>
      <c r="AW6" s="364"/>
      <c r="AX6" s="364"/>
      <c r="AY6" s="364"/>
      <c r="AZ6" s="364"/>
      <c r="BA6" s="364" t="s">
        <v>194</v>
      </c>
      <c r="BB6" s="364"/>
      <c r="BC6" s="364"/>
      <c r="BD6" s="364"/>
      <c r="BE6" s="1278"/>
      <c r="BF6" s="364" t="s">
        <v>126</v>
      </c>
      <c r="BG6" s="1374" t="s">
        <v>130</v>
      </c>
      <c r="BH6" s="1375"/>
      <c r="BI6" s="369" t="s">
        <v>131</v>
      </c>
    </row>
    <row r="7" spans="1:104" ht="15" customHeight="1">
      <c r="A7" s="370" t="s">
        <v>132</v>
      </c>
      <c r="B7" s="371" t="s">
        <v>40</v>
      </c>
      <c r="C7" s="371" t="s">
        <v>133</v>
      </c>
      <c r="D7" s="372" t="s">
        <v>81</v>
      </c>
      <c r="E7" s="371" t="s">
        <v>134</v>
      </c>
      <c r="F7" s="371" t="s">
        <v>135</v>
      </c>
      <c r="G7" s="371" t="s">
        <v>135</v>
      </c>
      <c r="H7" s="1380" t="s">
        <v>136</v>
      </c>
      <c r="I7" s="1381"/>
      <c r="J7" s="1380" t="s">
        <v>137</v>
      </c>
      <c r="K7" s="1381"/>
      <c r="L7" s="1380" t="s">
        <v>138</v>
      </c>
      <c r="M7" s="1381"/>
      <c r="N7" s="1380" t="s">
        <v>139</v>
      </c>
      <c r="O7" s="1381"/>
      <c r="P7" s="1380" t="s">
        <v>51</v>
      </c>
      <c r="Q7" s="1381"/>
      <c r="R7" s="373" t="s">
        <v>43</v>
      </c>
      <c r="S7" s="1380" t="s">
        <v>141</v>
      </c>
      <c r="T7" s="1381"/>
      <c r="U7" s="1380" t="s">
        <v>142</v>
      </c>
      <c r="V7" s="1382"/>
      <c r="W7" s="1381"/>
      <c r="X7" s="1397" t="s">
        <v>143</v>
      </c>
      <c r="Y7" s="1398"/>
      <c r="Z7" s="1399"/>
      <c r="AA7" s="1395"/>
      <c r="AB7" s="1395"/>
      <c r="AC7" s="368" t="s">
        <v>195</v>
      </c>
      <c r="AD7" s="368" t="s">
        <v>97</v>
      </c>
      <c r="AE7" s="368" t="s">
        <v>23</v>
      </c>
      <c r="AF7" s="368" t="s">
        <v>23</v>
      </c>
      <c r="AG7" s="374" t="s">
        <v>23</v>
      </c>
      <c r="AH7" s="1390" t="s">
        <v>197</v>
      </c>
      <c r="AI7" s="374" t="s">
        <v>86</v>
      </c>
      <c r="AJ7" s="1351" t="s">
        <v>198</v>
      </c>
      <c r="AK7" s="881" t="s">
        <v>23</v>
      </c>
      <c r="AL7" s="1395"/>
      <c r="AM7" s="1395"/>
      <c r="AN7" s="368" t="s">
        <v>135</v>
      </c>
      <c r="AO7" s="1388" t="s">
        <v>127</v>
      </c>
      <c r="AP7" s="1389"/>
      <c r="AQ7" s="368"/>
      <c r="AR7" s="1378"/>
      <c r="AS7" s="1388"/>
      <c r="AT7" s="1388"/>
      <c r="AU7" s="1388"/>
      <c r="AV7" s="1389"/>
      <c r="AW7" s="371" t="s">
        <v>145</v>
      </c>
      <c r="AX7" s="1392" t="s">
        <v>200</v>
      </c>
      <c r="AY7" s="1390" t="s">
        <v>323</v>
      </c>
      <c r="AZ7" s="233" t="s">
        <v>23</v>
      </c>
      <c r="BA7" s="233" t="s">
        <v>147</v>
      </c>
      <c r="BB7" s="374" t="s">
        <v>199</v>
      </c>
      <c r="BC7" s="1351" t="s">
        <v>148</v>
      </c>
      <c r="BD7" s="354" t="s">
        <v>201</v>
      </c>
      <c r="BE7" s="354" t="s">
        <v>608</v>
      </c>
      <c r="BF7" s="371" t="s">
        <v>135</v>
      </c>
      <c r="BG7" s="1376"/>
      <c r="BH7" s="1377"/>
      <c r="BI7" s="375" t="s">
        <v>149</v>
      </c>
    </row>
    <row r="8" spans="1:104" ht="31.5">
      <c r="A8" s="370" t="s">
        <v>150</v>
      </c>
      <c r="B8" s="371" t="s">
        <v>151</v>
      </c>
      <c r="C8" s="371"/>
      <c r="D8" s="372" t="s">
        <v>152</v>
      </c>
      <c r="E8" s="371" t="s">
        <v>153</v>
      </c>
      <c r="F8" s="371" t="s">
        <v>154</v>
      </c>
      <c r="G8" s="371" t="s">
        <v>155</v>
      </c>
      <c r="H8" s="1380" t="s">
        <v>126</v>
      </c>
      <c r="I8" s="1381"/>
      <c r="J8" s="1380" t="s">
        <v>126</v>
      </c>
      <c r="K8" s="1381"/>
      <c r="L8" s="1380" t="s">
        <v>126</v>
      </c>
      <c r="M8" s="1381"/>
      <c r="N8" s="1386" t="s">
        <v>126</v>
      </c>
      <c r="O8" s="1387"/>
      <c r="P8" s="1380" t="s">
        <v>126</v>
      </c>
      <c r="Q8" s="1381"/>
      <c r="R8" s="376" t="s">
        <v>26</v>
      </c>
      <c r="S8" s="377" t="s">
        <v>156</v>
      </c>
      <c r="T8" s="378" t="s">
        <v>157</v>
      </c>
      <c r="U8" s="376" t="s">
        <v>156</v>
      </c>
      <c r="V8" s="1380" t="s">
        <v>126</v>
      </c>
      <c r="W8" s="1381"/>
      <c r="X8" s="376" t="s">
        <v>156</v>
      </c>
      <c r="Y8" s="1380" t="s">
        <v>126</v>
      </c>
      <c r="Z8" s="1381"/>
      <c r="AA8" s="1396"/>
      <c r="AB8" s="1396"/>
      <c r="AC8" s="376" t="s">
        <v>202</v>
      </c>
      <c r="AD8" s="376"/>
      <c r="AE8" s="376" t="s">
        <v>88</v>
      </c>
      <c r="AF8" s="376" t="s">
        <v>39</v>
      </c>
      <c r="AG8" s="379" t="s">
        <v>159</v>
      </c>
      <c r="AH8" s="1400"/>
      <c r="AI8" s="379" t="s">
        <v>203</v>
      </c>
      <c r="AJ8" s="1401"/>
      <c r="AK8" s="1203" t="s">
        <v>607</v>
      </c>
      <c r="AL8" s="1396"/>
      <c r="AM8" s="379" t="s">
        <v>205</v>
      </c>
      <c r="AN8" s="376" t="s">
        <v>160</v>
      </c>
      <c r="AO8" s="380" t="s">
        <v>161</v>
      </c>
      <c r="AP8" s="380" t="s">
        <v>162</v>
      </c>
      <c r="AQ8" s="380" t="s">
        <v>126</v>
      </c>
      <c r="AR8" s="381" t="s">
        <v>163</v>
      </c>
      <c r="AS8" s="382" t="s">
        <v>164</v>
      </c>
      <c r="AT8" s="382" t="s">
        <v>165</v>
      </c>
      <c r="AU8" s="382" t="s">
        <v>166</v>
      </c>
      <c r="AV8" s="383" t="s">
        <v>126</v>
      </c>
      <c r="AW8" s="380" t="s">
        <v>167</v>
      </c>
      <c r="AX8" s="1393"/>
      <c r="AY8" s="1391"/>
      <c r="AZ8" s="384" t="s">
        <v>198</v>
      </c>
      <c r="BA8" s="384" t="s">
        <v>169</v>
      </c>
      <c r="BB8" s="379" t="s">
        <v>204</v>
      </c>
      <c r="BC8" s="1351"/>
      <c r="BD8" s="354" t="s">
        <v>206</v>
      </c>
      <c r="BE8" s="354"/>
      <c r="BF8" s="380" t="s">
        <v>170</v>
      </c>
      <c r="BG8" s="1378"/>
      <c r="BH8" s="1379"/>
      <c r="BI8" s="385" t="s">
        <v>171</v>
      </c>
    </row>
    <row r="9" spans="1:104" ht="16.5" customHeight="1" thickBot="1">
      <c r="A9" s="386"/>
      <c r="B9" s="387" t="s">
        <v>152</v>
      </c>
      <c r="C9" s="387"/>
      <c r="D9" s="388"/>
      <c r="E9" s="387"/>
      <c r="F9" s="387" t="s">
        <v>172</v>
      </c>
      <c r="G9" s="387" t="s">
        <v>172</v>
      </c>
      <c r="H9" s="389" t="s">
        <v>173</v>
      </c>
      <c r="I9" s="387" t="s">
        <v>172</v>
      </c>
      <c r="J9" s="389" t="s">
        <v>173</v>
      </c>
      <c r="K9" s="387" t="s">
        <v>172</v>
      </c>
      <c r="L9" s="283" t="s">
        <v>173</v>
      </c>
      <c r="M9" s="285" t="s">
        <v>172</v>
      </c>
      <c r="N9" s="283" t="s">
        <v>173</v>
      </c>
      <c r="O9" s="285" t="s">
        <v>172</v>
      </c>
      <c r="P9" s="389" t="s">
        <v>173</v>
      </c>
      <c r="Q9" s="387" t="s">
        <v>172</v>
      </c>
      <c r="R9" s="387"/>
      <c r="S9" s="390" t="s">
        <v>26</v>
      </c>
      <c r="T9" s="389" t="s">
        <v>172</v>
      </c>
      <c r="U9" s="389" t="s">
        <v>26</v>
      </c>
      <c r="V9" s="389" t="s">
        <v>26</v>
      </c>
      <c r="W9" s="389" t="s">
        <v>172</v>
      </c>
      <c r="X9" s="389" t="s">
        <v>45</v>
      </c>
      <c r="Y9" s="389" t="s">
        <v>45</v>
      </c>
      <c r="Z9" s="389" t="s">
        <v>172</v>
      </c>
      <c r="AA9" s="389" t="s">
        <v>172</v>
      </c>
      <c r="AB9" s="389"/>
      <c r="AC9" s="389"/>
      <c r="AD9" s="389"/>
      <c r="AE9" s="389"/>
      <c r="AF9" s="389"/>
      <c r="AG9" s="389"/>
      <c r="AH9" s="389"/>
      <c r="AI9" s="389"/>
      <c r="AJ9" s="389"/>
      <c r="AK9" s="389"/>
      <c r="AL9" s="389"/>
      <c r="AM9" s="389"/>
      <c r="AN9" s="389" t="s">
        <v>172</v>
      </c>
      <c r="AO9" s="389" t="s">
        <v>172</v>
      </c>
      <c r="AP9" s="389" t="s">
        <v>172</v>
      </c>
      <c r="AQ9" s="389" t="s">
        <v>172</v>
      </c>
      <c r="AR9" s="389" t="s">
        <v>172</v>
      </c>
      <c r="AS9" s="389" t="s">
        <v>172</v>
      </c>
      <c r="AT9" s="389" t="s">
        <v>172</v>
      </c>
      <c r="AU9" s="389" t="s">
        <v>172</v>
      </c>
      <c r="AV9" s="283" t="s">
        <v>172</v>
      </c>
      <c r="AW9" s="285"/>
      <c r="AX9" s="285"/>
      <c r="AY9" s="285"/>
      <c r="AZ9" s="285"/>
      <c r="BA9" s="285"/>
      <c r="BB9" s="285"/>
      <c r="BC9" s="285"/>
      <c r="BD9" s="285"/>
      <c r="BE9" s="861"/>
      <c r="BF9" s="285"/>
      <c r="BG9" s="283" t="s">
        <v>19</v>
      </c>
      <c r="BH9" s="284" t="s">
        <v>15</v>
      </c>
      <c r="BI9" s="391" t="s">
        <v>174</v>
      </c>
      <c r="BJ9" s="392"/>
      <c r="BK9" s="393"/>
      <c r="BL9" s="393"/>
      <c r="BM9" s="393"/>
      <c r="BN9" s="393"/>
      <c r="BO9" s="393"/>
      <c r="BP9" s="393"/>
      <c r="BQ9" s="393"/>
      <c r="BR9" s="393"/>
      <c r="BS9" s="393"/>
      <c r="BT9" s="393"/>
      <c r="BU9" s="393"/>
      <c r="BV9" s="393"/>
      <c r="BW9" s="393"/>
      <c r="BX9" s="393"/>
      <c r="BY9" s="393"/>
      <c r="BZ9" s="393"/>
      <c r="CA9" s="393"/>
      <c r="CB9" s="393"/>
      <c r="CC9" s="393"/>
      <c r="CD9" s="393"/>
      <c r="CE9" s="393"/>
      <c r="CF9" s="393"/>
      <c r="CG9" s="393"/>
      <c r="CH9" s="393"/>
      <c r="CI9" s="393"/>
      <c r="CJ9" s="393"/>
      <c r="CK9" s="393"/>
      <c r="CL9" s="393"/>
      <c r="CM9" s="393"/>
      <c r="CN9" s="393"/>
      <c r="CO9" s="393"/>
      <c r="CP9" s="393"/>
      <c r="CQ9" s="393"/>
      <c r="CR9" s="393"/>
      <c r="CS9" s="393"/>
      <c r="CT9" s="393"/>
      <c r="CU9" s="393"/>
      <c r="CV9" s="393"/>
      <c r="CW9" s="393"/>
      <c r="CX9" s="393"/>
      <c r="CY9" s="393"/>
      <c r="CZ9" s="393"/>
    </row>
    <row r="10" spans="1:104" s="598" customFormat="1" ht="44.25" customHeight="1">
      <c r="A10" s="394">
        <v>1</v>
      </c>
      <c r="B10" s="278"/>
      <c r="C10" s="278"/>
      <c r="D10" s="395" t="s">
        <v>80</v>
      </c>
      <c r="E10" s="278">
        <f>Sheet2!D8</f>
        <v>12</v>
      </c>
      <c r="F10" s="396">
        <v>134500</v>
      </c>
      <c r="G10" s="397">
        <f t="shared" ref="G10" si="0">SUM(F10*E10)</f>
        <v>1614000</v>
      </c>
      <c r="H10" s="278">
        <f>Sheet2!E8</f>
        <v>0</v>
      </c>
      <c r="I10" s="397">
        <f t="shared" ref="I10" si="1">SUM(H10*F10)</f>
        <v>0</v>
      </c>
      <c r="J10" s="278">
        <f>Sheet2!F8</f>
        <v>13</v>
      </c>
      <c r="K10" s="397">
        <f>J10*F10</f>
        <v>1748500</v>
      </c>
      <c r="L10" s="278">
        <f>Sheet2!G8</f>
        <v>4</v>
      </c>
      <c r="M10" s="278">
        <f t="shared" ref="M10" si="2">L10*F10</f>
        <v>538000</v>
      </c>
      <c r="N10" s="278">
        <f>Sheet2!H8</f>
        <v>2</v>
      </c>
      <c r="O10" s="398">
        <f>N10*F10</f>
        <v>269000</v>
      </c>
      <c r="P10" s="278">
        <f>Sheet2!I8</f>
        <v>0</v>
      </c>
      <c r="Q10" s="398">
        <f t="shared" ref="Q10" si="3">P10*F10</f>
        <v>0</v>
      </c>
      <c r="R10" s="399">
        <f>E10+H10+J10+L10+N10+P10</f>
        <v>31</v>
      </c>
      <c r="S10" s="400">
        <v>3700</v>
      </c>
      <c r="T10" s="399">
        <f t="shared" ref="T10" si="4">SUM(S10*R10)</f>
        <v>114700</v>
      </c>
      <c r="U10" s="278">
        <v>3500</v>
      </c>
      <c r="V10" s="278">
        <f t="shared" ref="V10" si="5">E10</f>
        <v>12</v>
      </c>
      <c r="W10" s="397">
        <f>V10*U10</f>
        <v>42000</v>
      </c>
      <c r="X10" s="278">
        <v>2500</v>
      </c>
      <c r="Y10" s="400">
        <v>1</v>
      </c>
      <c r="Z10" s="403">
        <v>5000</v>
      </c>
      <c r="AA10" s="278">
        <f>Sheet2!M8</f>
        <v>0</v>
      </c>
      <c r="AB10" s="745">
        <v>824600</v>
      </c>
      <c r="AC10" s="278"/>
      <c r="AD10" s="278"/>
      <c r="AE10" s="278"/>
      <c r="AF10" s="278"/>
      <c r="AG10" s="399"/>
      <c r="AH10" s="399"/>
      <c r="AI10" s="399"/>
      <c r="AJ10" s="404"/>
      <c r="AK10" s="399"/>
      <c r="AL10" s="399"/>
      <c r="AM10" s="399"/>
      <c r="AN10" s="399">
        <f t="shared" ref="AN10:AN29" si="6">G10+I10+K10+M10+O10+Q10+T10+W10+Z10+AA10+AB10+AC10+AE10+AF10+AG10+AH10+AI10+AJ10+AK10-AL10-AM10</f>
        <v>5155800</v>
      </c>
      <c r="AO10" s="250">
        <f t="shared" ref="AO10:AO29" si="7">(4035000+Z10)*0.02</f>
        <v>80800</v>
      </c>
      <c r="AP10" s="600">
        <f t="shared" ref="AP10:AP29" si="8">(4035000+Z10)*0.0454</f>
        <v>183416</v>
      </c>
      <c r="AQ10" s="278">
        <f t="shared" ref="AQ10" si="9">AP10+AO10</f>
        <v>264216</v>
      </c>
      <c r="AR10" s="250">
        <f t="shared" ref="AR10:AR29" si="10">(4035000+Z10)*1%</f>
        <v>40400</v>
      </c>
      <c r="AS10" s="250">
        <f t="shared" ref="AS10:AS29" si="11">(4035000+Z10)*4%</f>
        <v>161600</v>
      </c>
      <c r="AT10" s="250">
        <f t="shared" ref="AT10:AT29" si="12">(4035000+Z10)*1%</f>
        <v>40400</v>
      </c>
      <c r="AU10" s="250">
        <f t="shared" ref="AU10:AU29" si="13">(4035000+Z10)*2%</f>
        <v>80800</v>
      </c>
      <c r="AV10" s="402">
        <f t="shared" ref="AV10" si="14">AR10+AS10+AT10+AU10</f>
        <v>323200</v>
      </c>
      <c r="AW10" s="278"/>
      <c r="AX10" s="278">
        <f>PAJAK!AK39</f>
        <v>0</v>
      </c>
      <c r="AY10" s="399"/>
      <c r="AZ10" s="278">
        <f t="shared" ref="AZ10:AZ22" si="15">AJ10</f>
        <v>0</v>
      </c>
      <c r="BA10" s="278"/>
      <c r="BB10" s="399"/>
      <c r="BC10" s="399"/>
      <c r="BD10" s="399"/>
      <c r="BE10" s="660"/>
      <c r="BF10" s="399">
        <f>AN10-AO10-AR10-AT10-AW10-AX10-AZ10-AY10-BB10+BA10+BC10+BD10+BE10</f>
        <v>4994200</v>
      </c>
      <c r="BG10" s="772">
        <f>Sheet2!K8</f>
        <v>0</v>
      </c>
      <c r="BH10" s="613">
        <f>Sheet2!L8</f>
        <v>0</v>
      </c>
      <c r="BI10" s="258"/>
      <c r="BK10" s="598">
        <f t="shared" ref="BK10" si="16">BG10+BH10</f>
        <v>0</v>
      </c>
      <c r="BL10" s="598">
        <f t="shared" ref="BL10:BL29" si="17">-(F10*BK10)</f>
        <v>0</v>
      </c>
      <c r="BN10" s="598">
        <f t="shared" ref="BN10:BN30" si="18">T10+W10+Z10+AB10+AE10+AF10+AG10+AI10-AL10</f>
        <v>986300</v>
      </c>
    </row>
    <row r="11" spans="1:104" s="656" customFormat="1" ht="44.25" customHeight="1">
      <c r="A11" s="658">
        <v>2</v>
      </c>
      <c r="B11" s="659"/>
      <c r="C11" s="659"/>
      <c r="D11" s="657" t="s">
        <v>325</v>
      </c>
      <c r="E11" s="278">
        <f>Sheet2!D9</f>
        <v>19</v>
      </c>
      <c r="F11" s="396">
        <v>134500</v>
      </c>
      <c r="G11" s="397">
        <f t="shared" ref="G11:G14" si="19">SUM(F11*E11)</f>
        <v>2555500</v>
      </c>
      <c r="H11" s="278">
        <f>Sheet2!E9</f>
        <v>6</v>
      </c>
      <c r="I11" s="397">
        <f t="shared" ref="I11:I29" si="20">SUM(H11*F11)</f>
        <v>807000</v>
      </c>
      <c r="J11" s="278">
        <f>Sheet2!F9</f>
        <v>0</v>
      </c>
      <c r="K11" s="397">
        <f>J11*F11</f>
        <v>0</v>
      </c>
      <c r="L11" s="278">
        <f>Sheet2!G9</f>
        <v>4</v>
      </c>
      <c r="M11" s="278">
        <f t="shared" ref="M11:M13" si="21">L11*F11</f>
        <v>538000</v>
      </c>
      <c r="N11" s="278">
        <f>Sheet2!H9</f>
        <v>2</v>
      </c>
      <c r="O11" s="398">
        <f>N11*F11</f>
        <v>269000</v>
      </c>
      <c r="P11" s="278">
        <f>Sheet2!I9</f>
        <v>0</v>
      </c>
      <c r="Q11" s="398">
        <f t="shared" ref="Q11:Q24" si="22">P11*F11</f>
        <v>0</v>
      </c>
      <c r="R11" s="399">
        <f>E11+H11+J11+L11+N11+P11</f>
        <v>31</v>
      </c>
      <c r="S11" s="247">
        <v>4650</v>
      </c>
      <c r="T11" s="399">
        <f t="shared" ref="T11:T29" si="23">SUM(S11*R11)</f>
        <v>144150</v>
      </c>
      <c r="U11" s="278">
        <v>2500</v>
      </c>
      <c r="V11" s="278">
        <f t="shared" ref="V11" si="24">E11</f>
        <v>19</v>
      </c>
      <c r="W11" s="397">
        <f>V11*U11</f>
        <v>47500</v>
      </c>
      <c r="X11" s="659"/>
      <c r="Y11" s="608"/>
      <c r="Z11" s="249">
        <v>33000</v>
      </c>
      <c r="AA11" s="278">
        <f>Sheet2!M9</f>
        <v>0</v>
      </c>
      <c r="AB11" s="745">
        <v>1415200</v>
      </c>
      <c r="AC11" s="659"/>
      <c r="AD11" s="659"/>
      <c r="AE11" s="659"/>
      <c r="AF11" s="659"/>
      <c r="AG11" s="660"/>
      <c r="AH11" s="660"/>
      <c r="AI11" s="660"/>
      <c r="AJ11" s="661"/>
      <c r="AK11" s="660"/>
      <c r="AL11" s="399"/>
      <c r="AM11" s="660"/>
      <c r="AN11" s="399">
        <f t="shared" si="6"/>
        <v>5809350</v>
      </c>
      <c r="AO11" s="250">
        <f t="shared" si="7"/>
        <v>81360</v>
      </c>
      <c r="AP11" s="600">
        <f t="shared" si="8"/>
        <v>184687.2</v>
      </c>
      <c r="AQ11" s="278">
        <f t="shared" ref="AQ11" si="25">AP11+AO11</f>
        <v>266047.2</v>
      </c>
      <c r="AR11" s="250">
        <f t="shared" si="10"/>
        <v>40680</v>
      </c>
      <c r="AS11" s="250">
        <f t="shared" si="11"/>
        <v>162720</v>
      </c>
      <c r="AT11" s="250">
        <f t="shared" si="12"/>
        <v>40680</v>
      </c>
      <c r="AU11" s="250">
        <f t="shared" si="13"/>
        <v>81360</v>
      </c>
      <c r="AV11" s="402">
        <f t="shared" ref="AV11:AV14" si="26">AR11+AS11+AT11+AU11</f>
        <v>325440</v>
      </c>
      <c r="AW11" s="278">
        <v>4000</v>
      </c>
      <c r="AX11" s="278">
        <f>PAJAK!AK40</f>
        <v>0</v>
      </c>
      <c r="AY11" s="660"/>
      <c r="AZ11" s="278">
        <f t="shared" si="15"/>
        <v>0</v>
      </c>
      <c r="BA11" s="659"/>
      <c r="BB11" s="660"/>
      <c r="BC11" s="660"/>
      <c r="BD11" s="660"/>
      <c r="BE11" s="660"/>
      <c r="BF11" s="399">
        <f t="shared" ref="BF11:BF29" si="27">AN11-AO11-AR11-AT11-AW11-AX11-AZ11-AY11-BB11+BA11+BC11+BD11+BE11</f>
        <v>5642630</v>
      </c>
      <c r="BG11" s="745">
        <f>Sheet2!K9</f>
        <v>0</v>
      </c>
      <c r="BH11" s="781">
        <f>Sheet2!L9</f>
        <v>0</v>
      </c>
      <c r="BI11" s="258"/>
      <c r="BK11" s="666">
        <f t="shared" ref="BK11:BK30" si="28">BG11+BH11</f>
        <v>0</v>
      </c>
      <c r="BL11" s="666">
        <f t="shared" si="17"/>
        <v>0</v>
      </c>
      <c r="BN11" s="925">
        <f t="shared" si="18"/>
        <v>1639850</v>
      </c>
    </row>
    <row r="12" spans="1:104" s="269" customFormat="1" ht="44.25" customHeight="1">
      <c r="A12" s="394">
        <v>3</v>
      </c>
      <c r="B12" s="278"/>
      <c r="C12" s="405" t="s">
        <v>175</v>
      </c>
      <c r="D12" s="406" t="s">
        <v>13</v>
      </c>
      <c r="E12" s="278">
        <f>Sheet2!D10</f>
        <v>24</v>
      </c>
      <c r="F12" s="396">
        <v>134500</v>
      </c>
      <c r="G12" s="407">
        <f t="shared" si="19"/>
        <v>3228000</v>
      </c>
      <c r="H12" s="278">
        <f>Sheet2!E10</f>
        <v>1</v>
      </c>
      <c r="I12" s="397">
        <f t="shared" si="20"/>
        <v>134500</v>
      </c>
      <c r="J12" s="278">
        <f>Sheet2!F10</f>
        <v>0</v>
      </c>
      <c r="K12" s="407">
        <f t="shared" ref="K12:K14" si="29">J12*F12</f>
        <v>0</v>
      </c>
      <c r="L12" s="278">
        <f>Sheet2!G10</f>
        <v>4</v>
      </c>
      <c r="M12" s="278">
        <f t="shared" si="21"/>
        <v>538000</v>
      </c>
      <c r="N12" s="278">
        <f>Sheet2!H10</f>
        <v>2</v>
      </c>
      <c r="O12" s="398">
        <f t="shared" ref="O12:O14" si="30">N12*F12</f>
        <v>269000</v>
      </c>
      <c r="P12" s="278">
        <f>Sheet2!I10</f>
        <v>0</v>
      </c>
      <c r="Q12" s="398">
        <f t="shared" si="22"/>
        <v>0</v>
      </c>
      <c r="R12" s="399">
        <f t="shared" ref="R12:R29" si="31">E12+H12+J12+L12+N12+P12</f>
        <v>31</v>
      </c>
      <c r="S12" s="408">
        <v>4650</v>
      </c>
      <c r="T12" s="278">
        <f t="shared" si="23"/>
        <v>144150</v>
      </c>
      <c r="U12" s="407"/>
      <c r="V12" s="278"/>
      <c r="W12" s="409"/>
      <c r="X12" s="278">
        <v>2500</v>
      </c>
      <c r="Y12" s="278">
        <v>1</v>
      </c>
      <c r="Z12" s="400">
        <v>24000</v>
      </c>
      <c r="AA12" s="278"/>
      <c r="AB12" s="745"/>
      <c r="AC12" s="407"/>
      <c r="AD12" s="407"/>
      <c r="AE12" s="278">
        <f>Sheet2!N10</f>
        <v>148064</v>
      </c>
      <c r="AF12" s="278">
        <f>Sheet2!O10</f>
        <v>355250</v>
      </c>
      <c r="AG12" s="403">
        <v>368000</v>
      </c>
      <c r="AH12" s="403"/>
      <c r="AI12" s="403"/>
      <c r="AJ12" s="399"/>
      <c r="AK12" s="403"/>
      <c r="AL12" s="399">
        <f>-Sheet2!P10</f>
        <v>100127.77777777778</v>
      </c>
      <c r="AM12" s="399"/>
      <c r="AN12" s="399">
        <f t="shared" si="6"/>
        <v>5108836.222222222</v>
      </c>
      <c r="AO12" s="250">
        <f t="shared" si="7"/>
        <v>81180</v>
      </c>
      <c r="AP12" s="600">
        <f t="shared" si="8"/>
        <v>184278.6</v>
      </c>
      <c r="AQ12" s="278">
        <f t="shared" ref="AQ12:AQ14" si="32">AP12+AO12</f>
        <v>265458.59999999998</v>
      </c>
      <c r="AR12" s="250">
        <f t="shared" si="10"/>
        <v>40590</v>
      </c>
      <c r="AS12" s="250">
        <f t="shared" si="11"/>
        <v>162360</v>
      </c>
      <c r="AT12" s="250">
        <f t="shared" si="12"/>
        <v>40590</v>
      </c>
      <c r="AU12" s="250">
        <f t="shared" si="13"/>
        <v>81180</v>
      </c>
      <c r="AV12" s="410">
        <f t="shared" si="26"/>
        <v>324720</v>
      </c>
      <c r="AW12" s="278">
        <v>4000</v>
      </c>
      <c r="AX12" s="278">
        <f>PAJAK!AK41</f>
        <v>0</v>
      </c>
      <c r="AY12" s="399"/>
      <c r="AZ12" s="278">
        <f t="shared" si="15"/>
        <v>0</v>
      </c>
      <c r="BA12" s="278"/>
      <c r="BB12" s="399"/>
      <c r="BC12" s="399"/>
      <c r="BD12" s="399"/>
      <c r="BE12" s="660">
        <v>142479</v>
      </c>
      <c r="BF12" s="399">
        <f t="shared" si="27"/>
        <v>5084955.222222222</v>
      </c>
      <c r="BG12" s="745">
        <f>Sheet2!K10</f>
        <v>0</v>
      </c>
      <c r="BH12" s="781">
        <f>Sheet2!L10</f>
        <v>0</v>
      </c>
      <c r="BI12" s="258"/>
      <c r="BJ12" s="291"/>
      <c r="BK12" s="350">
        <f t="shared" si="28"/>
        <v>0</v>
      </c>
      <c r="BL12" s="350">
        <f t="shared" si="17"/>
        <v>0</v>
      </c>
      <c r="BN12" s="925">
        <f t="shared" si="18"/>
        <v>939336.22222222225</v>
      </c>
    </row>
    <row r="13" spans="1:104" s="269" customFormat="1" ht="44.25" customHeight="1">
      <c r="A13" s="658">
        <v>4</v>
      </c>
      <c r="B13" s="278"/>
      <c r="C13" s="405" t="s">
        <v>175</v>
      </c>
      <c r="D13" s="406" t="s">
        <v>69</v>
      </c>
      <c r="E13" s="278">
        <f>Sheet2!D11</f>
        <v>25</v>
      </c>
      <c r="F13" s="396">
        <v>134500</v>
      </c>
      <c r="G13" s="407">
        <f t="shared" si="19"/>
        <v>3362500</v>
      </c>
      <c r="H13" s="278">
        <f>Sheet2!E11</f>
        <v>0</v>
      </c>
      <c r="I13" s="397">
        <f t="shared" si="20"/>
        <v>0</v>
      </c>
      <c r="J13" s="278">
        <f>Sheet2!F11</f>
        <v>0</v>
      </c>
      <c r="K13" s="407">
        <f t="shared" si="29"/>
        <v>0</v>
      </c>
      <c r="L13" s="278">
        <f>Sheet2!G11</f>
        <v>4</v>
      </c>
      <c r="M13" s="278">
        <f t="shared" si="21"/>
        <v>538000</v>
      </c>
      <c r="N13" s="278">
        <f>Sheet2!H11</f>
        <v>2</v>
      </c>
      <c r="O13" s="398">
        <f t="shared" si="30"/>
        <v>269000</v>
      </c>
      <c r="P13" s="278">
        <f>Sheet2!I11</f>
        <v>0</v>
      </c>
      <c r="Q13" s="398">
        <f t="shared" si="22"/>
        <v>0</v>
      </c>
      <c r="R13" s="399">
        <f t="shared" si="31"/>
        <v>31</v>
      </c>
      <c r="S13" s="408">
        <v>5550</v>
      </c>
      <c r="T13" s="278">
        <f t="shared" si="23"/>
        <v>172050</v>
      </c>
      <c r="U13" s="407"/>
      <c r="V13" s="278"/>
      <c r="W13" s="409"/>
      <c r="X13" s="278">
        <v>2500</v>
      </c>
      <c r="Y13" s="405">
        <v>1</v>
      </c>
      <c r="Z13" s="400">
        <v>24000</v>
      </c>
      <c r="AA13" s="278"/>
      <c r="AB13" s="745"/>
      <c r="AC13" s="407"/>
      <c r="AD13" s="407"/>
      <c r="AE13" s="278">
        <f>Sheet2!N11</f>
        <v>139107</v>
      </c>
      <c r="AF13" s="278">
        <f>Sheet2!O11</f>
        <v>381500</v>
      </c>
      <c r="AG13" s="403">
        <v>499500</v>
      </c>
      <c r="AH13" s="403"/>
      <c r="AI13" s="403"/>
      <c r="AJ13" s="399"/>
      <c r="AK13" s="403"/>
      <c r="AL13" s="399">
        <f>-Sheet2!P11</f>
        <v>59777.777777777781</v>
      </c>
      <c r="AM13" s="399"/>
      <c r="AN13" s="399">
        <f t="shared" si="6"/>
        <v>5325879.222222222</v>
      </c>
      <c r="AO13" s="250">
        <f t="shared" si="7"/>
        <v>81180</v>
      </c>
      <c r="AP13" s="600">
        <f t="shared" si="8"/>
        <v>184278.6</v>
      </c>
      <c r="AQ13" s="278">
        <f t="shared" si="32"/>
        <v>265458.59999999998</v>
      </c>
      <c r="AR13" s="250">
        <f t="shared" si="10"/>
        <v>40590</v>
      </c>
      <c r="AS13" s="250">
        <f t="shared" si="11"/>
        <v>162360</v>
      </c>
      <c r="AT13" s="250">
        <f t="shared" si="12"/>
        <v>40590</v>
      </c>
      <c r="AU13" s="250">
        <f t="shared" si="13"/>
        <v>81180</v>
      </c>
      <c r="AV13" s="410">
        <f t="shared" si="26"/>
        <v>324720</v>
      </c>
      <c r="AW13" s="278">
        <v>4000</v>
      </c>
      <c r="AX13" s="278">
        <f>PAJAK!AK42</f>
        <v>0</v>
      </c>
      <c r="AY13" s="399"/>
      <c r="AZ13" s="278">
        <f t="shared" si="15"/>
        <v>0</v>
      </c>
      <c r="BA13" s="278"/>
      <c r="BB13" s="399"/>
      <c r="BC13" s="278"/>
      <c r="BD13" s="399"/>
      <c r="BE13" s="660">
        <v>178300</v>
      </c>
      <c r="BF13" s="399">
        <f t="shared" si="27"/>
        <v>5337819.222222222</v>
      </c>
      <c r="BG13" s="745">
        <f>Sheet2!K11</f>
        <v>0</v>
      </c>
      <c r="BH13" s="781">
        <f>Sheet2!L11</f>
        <v>0</v>
      </c>
      <c r="BI13" s="258"/>
      <c r="BJ13" s="291"/>
      <c r="BK13" s="350">
        <f t="shared" si="28"/>
        <v>0</v>
      </c>
      <c r="BL13" s="350">
        <f t="shared" si="17"/>
        <v>0</v>
      </c>
      <c r="BN13" s="925">
        <f t="shared" si="18"/>
        <v>1156379.2222222222</v>
      </c>
    </row>
    <row r="14" spans="1:104" s="269" customFormat="1" ht="44.25" customHeight="1">
      <c r="A14" s="394">
        <v>5</v>
      </c>
      <c r="B14" s="278"/>
      <c r="C14" s="405" t="s">
        <v>175</v>
      </c>
      <c r="D14" s="406" t="s">
        <v>14</v>
      </c>
      <c r="E14" s="278">
        <f>Sheet2!D12</f>
        <v>22</v>
      </c>
      <c r="F14" s="396">
        <v>134500</v>
      </c>
      <c r="G14" s="407">
        <f t="shared" si="19"/>
        <v>2959000</v>
      </c>
      <c r="H14" s="278">
        <f>Sheet2!E12</f>
        <v>3</v>
      </c>
      <c r="I14" s="397">
        <f t="shared" si="20"/>
        <v>403500</v>
      </c>
      <c r="J14" s="278">
        <f>Sheet2!F12</f>
        <v>0</v>
      </c>
      <c r="K14" s="407">
        <f t="shared" si="29"/>
        <v>0</v>
      </c>
      <c r="L14" s="278">
        <f>Sheet2!G12</f>
        <v>4</v>
      </c>
      <c r="M14" s="278">
        <f t="shared" ref="M14" si="33">L14*F14</f>
        <v>538000</v>
      </c>
      <c r="N14" s="278">
        <f>Sheet2!H12</f>
        <v>2</v>
      </c>
      <c r="O14" s="398">
        <f t="shared" si="30"/>
        <v>269000</v>
      </c>
      <c r="P14" s="278">
        <f>Sheet2!I12</f>
        <v>0</v>
      </c>
      <c r="Q14" s="398">
        <f t="shared" si="22"/>
        <v>0</v>
      </c>
      <c r="R14" s="399">
        <f t="shared" si="31"/>
        <v>31</v>
      </c>
      <c r="S14" s="408">
        <v>5550</v>
      </c>
      <c r="T14" s="278">
        <f t="shared" si="23"/>
        <v>172050</v>
      </c>
      <c r="U14" s="411"/>
      <c r="V14" s="250"/>
      <c r="W14" s="409"/>
      <c r="X14" s="250">
        <v>2500</v>
      </c>
      <c r="Y14" s="412"/>
      <c r="Z14" s="400">
        <v>21000</v>
      </c>
      <c r="AA14" s="278"/>
      <c r="AB14" s="600"/>
      <c r="AC14" s="411"/>
      <c r="AD14" s="411"/>
      <c r="AE14" s="278">
        <f>Sheet2!N12</f>
        <v>201485</v>
      </c>
      <c r="AF14" s="278">
        <f>Sheet2!O12</f>
        <v>490000</v>
      </c>
      <c r="AG14" s="413">
        <v>552500</v>
      </c>
      <c r="AH14" s="413"/>
      <c r="AI14" s="413"/>
      <c r="AJ14" s="250"/>
      <c r="AK14" s="413"/>
      <c r="AL14" s="399">
        <f>-Sheet2!P12</f>
        <v>46327.777777777781</v>
      </c>
      <c r="AM14" s="278"/>
      <c r="AN14" s="399">
        <f t="shared" si="6"/>
        <v>5560207.222222222</v>
      </c>
      <c r="AO14" s="250">
        <f t="shared" si="7"/>
        <v>81120</v>
      </c>
      <c r="AP14" s="600">
        <f t="shared" si="8"/>
        <v>184142.40000000002</v>
      </c>
      <c r="AQ14" s="278">
        <f t="shared" si="32"/>
        <v>265262.40000000002</v>
      </c>
      <c r="AR14" s="250">
        <f t="shared" si="10"/>
        <v>40560</v>
      </c>
      <c r="AS14" s="250">
        <f t="shared" si="11"/>
        <v>162240</v>
      </c>
      <c r="AT14" s="250">
        <f t="shared" si="12"/>
        <v>40560</v>
      </c>
      <c r="AU14" s="250">
        <f t="shared" si="13"/>
        <v>81120</v>
      </c>
      <c r="AV14" s="410">
        <f t="shared" si="26"/>
        <v>324480</v>
      </c>
      <c r="AW14" s="278">
        <v>4000</v>
      </c>
      <c r="AX14" s="278">
        <f>PAJAK!AK43</f>
        <v>0</v>
      </c>
      <c r="AY14" s="399"/>
      <c r="AZ14" s="278">
        <f t="shared" si="15"/>
        <v>0</v>
      </c>
      <c r="BA14" s="278"/>
      <c r="BB14" s="399"/>
      <c r="BC14" s="278"/>
      <c r="BD14" s="399"/>
      <c r="BE14" s="660">
        <v>141756</v>
      </c>
      <c r="BF14" s="399">
        <f t="shared" si="27"/>
        <v>5535723.222222222</v>
      </c>
      <c r="BG14" s="745">
        <f>Sheet2!K12</f>
        <v>0</v>
      </c>
      <c r="BH14" s="781">
        <f>Sheet2!L12</f>
        <v>0</v>
      </c>
      <c r="BI14" s="258"/>
      <c r="BJ14" s="291"/>
      <c r="BK14" s="350">
        <f t="shared" si="28"/>
        <v>0</v>
      </c>
      <c r="BL14" s="350">
        <f t="shared" si="17"/>
        <v>0</v>
      </c>
      <c r="BN14" s="925">
        <f t="shared" si="18"/>
        <v>1390707.2222222222</v>
      </c>
    </row>
    <row r="15" spans="1:104" s="269" customFormat="1" ht="44.25" customHeight="1">
      <c r="A15" s="658">
        <v>6</v>
      </c>
      <c r="B15" s="250"/>
      <c r="C15" s="412"/>
      <c r="D15" s="406" t="s">
        <v>72</v>
      </c>
      <c r="E15" s="278">
        <f>Sheet2!D13</f>
        <v>25</v>
      </c>
      <c r="F15" s="396">
        <v>134500</v>
      </c>
      <c r="G15" s="407">
        <f t="shared" ref="G15:G29" si="34">SUM(F15*E15)</f>
        <v>3362500</v>
      </c>
      <c r="H15" s="278">
        <f>Sheet2!E13</f>
        <v>0</v>
      </c>
      <c r="I15" s="397">
        <f t="shared" si="20"/>
        <v>0</v>
      </c>
      <c r="J15" s="278">
        <f>Sheet2!F13</f>
        <v>0</v>
      </c>
      <c r="K15" s="407">
        <f t="shared" ref="K15:K29" si="35">J15*F15</f>
        <v>0</v>
      </c>
      <c r="L15" s="278">
        <f>Sheet2!G13</f>
        <v>4</v>
      </c>
      <c r="M15" s="278">
        <f t="shared" ref="M15:M29" si="36">L15*F15</f>
        <v>538000</v>
      </c>
      <c r="N15" s="278">
        <f>Sheet2!H13</f>
        <v>2</v>
      </c>
      <c r="O15" s="398">
        <f t="shared" ref="O15:O29" si="37">N15*F15</f>
        <v>269000</v>
      </c>
      <c r="P15" s="278">
        <f>Sheet2!I13</f>
        <v>0</v>
      </c>
      <c r="Q15" s="415">
        <f t="shared" si="22"/>
        <v>0</v>
      </c>
      <c r="R15" s="399">
        <f t="shared" si="31"/>
        <v>31</v>
      </c>
      <c r="S15" s="408">
        <v>4650</v>
      </c>
      <c r="T15" s="278">
        <f t="shared" si="23"/>
        <v>144150</v>
      </c>
      <c r="U15" s="407"/>
      <c r="V15" s="278"/>
      <c r="W15" s="407"/>
      <c r="X15" s="278"/>
      <c r="Y15" s="405"/>
      <c r="Z15" s="400">
        <v>10000</v>
      </c>
      <c r="AA15" s="278"/>
      <c r="AB15" s="745"/>
      <c r="AC15" s="407"/>
      <c r="AD15" s="407"/>
      <c r="AE15" s="278">
        <f>Sheet2!N13</f>
        <v>170538</v>
      </c>
      <c r="AF15" s="278">
        <f>Sheet2!O13</f>
        <v>444500</v>
      </c>
      <c r="AG15" s="400">
        <v>522000</v>
      </c>
      <c r="AH15" s="400"/>
      <c r="AI15" s="400"/>
      <c r="AJ15" s="278"/>
      <c r="AK15" s="400"/>
      <c r="AL15" s="399">
        <f>-Sheet2!P13</f>
        <v>44833.333333333343</v>
      </c>
      <c r="AM15" s="278"/>
      <c r="AN15" s="399">
        <f t="shared" si="6"/>
        <v>5415854.666666667</v>
      </c>
      <c r="AO15" s="250">
        <f t="shared" si="7"/>
        <v>80900</v>
      </c>
      <c r="AP15" s="600">
        <f t="shared" si="8"/>
        <v>183643</v>
      </c>
      <c r="AQ15" s="278">
        <f t="shared" ref="AQ15" si="38">AP15+AO15</f>
        <v>264543</v>
      </c>
      <c r="AR15" s="250">
        <f t="shared" si="10"/>
        <v>40450</v>
      </c>
      <c r="AS15" s="250">
        <f t="shared" si="11"/>
        <v>161800</v>
      </c>
      <c r="AT15" s="250">
        <f t="shared" si="12"/>
        <v>40450</v>
      </c>
      <c r="AU15" s="250">
        <f t="shared" si="13"/>
        <v>80900</v>
      </c>
      <c r="AV15" s="410">
        <f t="shared" ref="AV15:AV20" si="39">AR15+AS15+AT15+AU15</f>
        <v>323600</v>
      </c>
      <c r="AW15" s="278">
        <v>4000</v>
      </c>
      <c r="AX15" s="278">
        <f>PAJAK!AK44</f>
        <v>0</v>
      </c>
      <c r="AY15" s="399"/>
      <c r="AZ15" s="278">
        <f t="shared" si="15"/>
        <v>0</v>
      </c>
      <c r="BA15" s="417"/>
      <c r="BB15" s="417"/>
      <c r="BC15" s="417"/>
      <c r="BD15" s="417"/>
      <c r="BE15" s="639">
        <v>96770</v>
      </c>
      <c r="BF15" s="399">
        <f t="shared" si="27"/>
        <v>5346824.666666667</v>
      </c>
      <c r="BG15" s="745">
        <f>Sheet2!K13</f>
        <v>0</v>
      </c>
      <c r="BH15" s="781">
        <f>Sheet2!L13</f>
        <v>0</v>
      </c>
      <c r="BI15" s="360"/>
      <c r="BJ15" s="291"/>
      <c r="BK15" s="350">
        <f t="shared" si="28"/>
        <v>0</v>
      </c>
      <c r="BL15" s="350">
        <f t="shared" si="17"/>
        <v>0</v>
      </c>
      <c r="BN15" s="925">
        <f t="shared" si="18"/>
        <v>1246354.6666666667</v>
      </c>
    </row>
    <row r="16" spans="1:104" s="269" customFormat="1" ht="44.25" customHeight="1">
      <c r="A16" s="394">
        <v>7</v>
      </c>
      <c r="B16" s="250"/>
      <c r="C16" s="412"/>
      <c r="D16" s="414" t="s">
        <v>78</v>
      </c>
      <c r="E16" s="278">
        <f>Sheet2!D14</f>
        <v>23</v>
      </c>
      <c r="F16" s="396">
        <v>134500</v>
      </c>
      <c r="G16" s="411">
        <f t="shared" si="34"/>
        <v>3093500</v>
      </c>
      <c r="H16" s="278">
        <f>Sheet2!E14</f>
        <v>2</v>
      </c>
      <c r="I16" s="397">
        <f t="shared" si="20"/>
        <v>269000</v>
      </c>
      <c r="J16" s="278">
        <f>Sheet2!F14</f>
        <v>0</v>
      </c>
      <c r="K16" s="411">
        <f t="shared" si="35"/>
        <v>0</v>
      </c>
      <c r="L16" s="278">
        <f>Sheet2!G14</f>
        <v>4</v>
      </c>
      <c r="M16" s="250">
        <f t="shared" si="36"/>
        <v>538000</v>
      </c>
      <c r="N16" s="278">
        <f>Sheet2!H14</f>
        <v>2</v>
      </c>
      <c r="O16" s="415">
        <f t="shared" si="37"/>
        <v>269000</v>
      </c>
      <c r="P16" s="278">
        <f>Sheet2!I14</f>
        <v>0</v>
      </c>
      <c r="Q16" s="415">
        <f t="shared" si="22"/>
        <v>0</v>
      </c>
      <c r="R16" s="399">
        <f t="shared" si="31"/>
        <v>31</v>
      </c>
      <c r="S16" s="416">
        <v>4650</v>
      </c>
      <c r="T16" s="250">
        <f t="shared" si="23"/>
        <v>144150</v>
      </c>
      <c r="U16" s="411"/>
      <c r="V16" s="250"/>
      <c r="W16" s="411"/>
      <c r="X16" s="250"/>
      <c r="Y16" s="412"/>
      <c r="Z16" s="413">
        <v>5000</v>
      </c>
      <c r="AA16" s="278"/>
      <c r="AB16" s="600"/>
      <c r="AC16" s="411"/>
      <c r="AD16" s="411"/>
      <c r="AE16" s="278">
        <f>Sheet2!N14</f>
        <v>271292</v>
      </c>
      <c r="AF16" s="278">
        <f>Sheet2!O14</f>
        <v>554750</v>
      </c>
      <c r="AG16" s="413">
        <v>627500</v>
      </c>
      <c r="AH16" s="413"/>
      <c r="AI16" s="413"/>
      <c r="AJ16" s="421"/>
      <c r="AK16" s="413"/>
      <c r="AL16" s="399">
        <f>-Sheet2!P14</f>
        <v>0</v>
      </c>
      <c r="AM16" s="250"/>
      <c r="AN16" s="399">
        <f t="shared" si="6"/>
        <v>5772192</v>
      </c>
      <c r="AO16" s="250">
        <f t="shared" si="7"/>
        <v>80800</v>
      </c>
      <c r="AP16" s="600">
        <f t="shared" si="8"/>
        <v>183416</v>
      </c>
      <c r="AQ16" s="420">
        <f t="shared" ref="AQ16:AQ20" si="40">SUM(AP16+AO16)</f>
        <v>264216</v>
      </c>
      <c r="AR16" s="250">
        <f t="shared" si="10"/>
        <v>40400</v>
      </c>
      <c r="AS16" s="250">
        <f t="shared" si="11"/>
        <v>161600</v>
      </c>
      <c r="AT16" s="250">
        <f t="shared" si="12"/>
        <v>40400</v>
      </c>
      <c r="AU16" s="250">
        <f t="shared" si="13"/>
        <v>80800</v>
      </c>
      <c r="AV16" s="410">
        <f t="shared" si="39"/>
        <v>323200</v>
      </c>
      <c r="AW16" s="278">
        <v>4000</v>
      </c>
      <c r="AX16" s="278">
        <f>PAJAK!AK45</f>
        <v>0</v>
      </c>
      <c r="AY16" s="399"/>
      <c r="AZ16" s="278">
        <f t="shared" si="15"/>
        <v>0</v>
      </c>
      <c r="BA16" s="419"/>
      <c r="BB16" s="419"/>
      <c r="BC16" s="417"/>
      <c r="BD16" s="417"/>
      <c r="BE16" s="639">
        <v>32318</v>
      </c>
      <c r="BF16" s="399">
        <f t="shared" si="27"/>
        <v>5638910</v>
      </c>
      <c r="BG16" s="745">
        <f>Sheet2!K14</f>
        <v>0</v>
      </c>
      <c r="BH16" s="781">
        <f>Sheet2!L14</f>
        <v>0</v>
      </c>
      <c r="BI16" s="360"/>
      <c r="BJ16" s="291"/>
      <c r="BK16" s="350">
        <f t="shared" si="28"/>
        <v>0</v>
      </c>
      <c r="BL16" s="350">
        <f t="shared" si="17"/>
        <v>0</v>
      </c>
      <c r="BN16" s="925">
        <f t="shared" si="18"/>
        <v>1602692</v>
      </c>
    </row>
    <row r="17" spans="1:66" s="269" customFormat="1" ht="44.25" customHeight="1">
      <c r="A17" s="658">
        <v>8</v>
      </c>
      <c r="B17" s="422"/>
      <c r="C17" s="423"/>
      <c r="D17" s="414" t="s">
        <v>91</v>
      </c>
      <c r="E17" s="278">
        <f>Sheet2!D15</f>
        <v>24</v>
      </c>
      <c r="F17" s="396">
        <v>134500</v>
      </c>
      <c r="G17" s="407">
        <f t="shared" si="34"/>
        <v>3228000</v>
      </c>
      <c r="H17" s="278">
        <f>Sheet2!E15</f>
        <v>1</v>
      </c>
      <c r="I17" s="397">
        <f t="shared" si="20"/>
        <v>134500</v>
      </c>
      <c r="J17" s="278">
        <f>Sheet2!F15</f>
        <v>0</v>
      </c>
      <c r="K17" s="411">
        <f t="shared" si="35"/>
        <v>0</v>
      </c>
      <c r="L17" s="278">
        <f>Sheet2!G15</f>
        <v>4</v>
      </c>
      <c r="M17" s="250">
        <f t="shared" si="36"/>
        <v>538000</v>
      </c>
      <c r="N17" s="278">
        <f>Sheet2!H15</f>
        <v>2</v>
      </c>
      <c r="O17" s="398">
        <f t="shared" si="37"/>
        <v>269000</v>
      </c>
      <c r="P17" s="278">
        <f>Sheet2!I15</f>
        <v>0</v>
      </c>
      <c r="Q17" s="415">
        <f t="shared" si="22"/>
        <v>0</v>
      </c>
      <c r="R17" s="399">
        <f t="shared" si="31"/>
        <v>31</v>
      </c>
      <c r="S17" s="416">
        <v>2250</v>
      </c>
      <c r="T17" s="250">
        <f t="shared" si="23"/>
        <v>69750</v>
      </c>
      <c r="U17" s="411"/>
      <c r="V17" s="250"/>
      <c r="W17" s="407"/>
      <c r="X17" s="250"/>
      <c r="Y17" s="412"/>
      <c r="Z17" s="1082">
        <v>5000</v>
      </c>
      <c r="AA17" s="278"/>
      <c r="AB17" s="600"/>
      <c r="AC17" s="411"/>
      <c r="AD17" s="411"/>
      <c r="AE17" s="278">
        <f>Sheet2!N15</f>
        <v>275360</v>
      </c>
      <c r="AF17" s="278">
        <f>Sheet2!O15</f>
        <v>393750</v>
      </c>
      <c r="AG17" s="413">
        <v>327000</v>
      </c>
      <c r="AH17" s="413"/>
      <c r="AI17" s="413"/>
      <c r="AJ17" s="421"/>
      <c r="AK17" s="413"/>
      <c r="AL17" s="399">
        <f>-Sheet2!P15</f>
        <v>113577.77777777778</v>
      </c>
      <c r="AM17" s="250"/>
      <c r="AN17" s="399">
        <f t="shared" si="6"/>
        <v>5126782.222222222</v>
      </c>
      <c r="AO17" s="250">
        <f t="shared" si="7"/>
        <v>80800</v>
      </c>
      <c r="AP17" s="600">
        <f t="shared" si="8"/>
        <v>183416</v>
      </c>
      <c r="AQ17" s="424">
        <f t="shared" si="40"/>
        <v>264216</v>
      </c>
      <c r="AR17" s="250">
        <f t="shared" si="10"/>
        <v>40400</v>
      </c>
      <c r="AS17" s="250">
        <f t="shared" si="11"/>
        <v>161600</v>
      </c>
      <c r="AT17" s="250">
        <f t="shared" si="12"/>
        <v>40400</v>
      </c>
      <c r="AU17" s="250">
        <f t="shared" si="13"/>
        <v>80800</v>
      </c>
      <c r="AV17" s="410">
        <f t="shared" si="39"/>
        <v>323200</v>
      </c>
      <c r="AW17" s="412"/>
      <c r="AX17" s="278">
        <f>PAJAK!AK46</f>
        <v>0</v>
      </c>
      <c r="AY17" s="399"/>
      <c r="AZ17" s="278">
        <f t="shared" si="15"/>
        <v>0</v>
      </c>
      <c r="BA17" s="419"/>
      <c r="BB17" s="419"/>
      <c r="BC17" s="419"/>
      <c r="BD17" s="417"/>
      <c r="BE17" s="639"/>
      <c r="BF17" s="399">
        <f t="shared" si="27"/>
        <v>4965182.222222222</v>
      </c>
      <c r="BG17" s="745">
        <f>Sheet2!K15</f>
        <v>0</v>
      </c>
      <c r="BH17" s="781">
        <f>Sheet2!L15</f>
        <v>0</v>
      </c>
      <c r="BI17" s="360"/>
      <c r="BJ17" s="291"/>
      <c r="BK17" s="350">
        <f t="shared" si="28"/>
        <v>0</v>
      </c>
      <c r="BL17" s="350">
        <f t="shared" si="17"/>
        <v>0</v>
      </c>
      <c r="BN17" s="925">
        <f t="shared" si="18"/>
        <v>957282.22222222225</v>
      </c>
    </row>
    <row r="18" spans="1:66" s="269" customFormat="1" ht="44.25" customHeight="1">
      <c r="A18" s="394">
        <v>9</v>
      </c>
      <c r="B18" s="422"/>
      <c r="C18" s="423"/>
      <c r="D18" s="414" t="s">
        <v>92</v>
      </c>
      <c r="E18" s="278">
        <f>Sheet2!D16</f>
        <v>25</v>
      </c>
      <c r="F18" s="396">
        <v>134500</v>
      </c>
      <c r="G18" s="407">
        <f t="shared" si="34"/>
        <v>3362500</v>
      </c>
      <c r="H18" s="278">
        <f>Sheet2!E16</f>
        <v>0</v>
      </c>
      <c r="I18" s="397">
        <f t="shared" si="20"/>
        <v>0</v>
      </c>
      <c r="J18" s="278">
        <f>Sheet2!F16</f>
        <v>0</v>
      </c>
      <c r="K18" s="411">
        <f t="shared" si="35"/>
        <v>0</v>
      </c>
      <c r="L18" s="278">
        <f>Sheet2!G16</f>
        <v>4</v>
      </c>
      <c r="M18" s="250">
        <f t="shared" si="36"/>
        <v>538000</v>
      </c>
      <c r="N18" s="278">
        <f>Sheet2!H16</f>
        <v>2</v>
      </c>
      <c r="O18" s="398">
        <f t="shared" si="37"/>
        <v>269000</v>
      </c>
      <c r="P18" s="278">
        <f>Sheet2!I16</f>
        <v>0</v>
      </c>
      <c r="Q18" s="415">
        <f t="shared" si="22"/>
        <v>0</v>
      </c>
      <c r="R18" s="399">
        <f t="shared" si="31"/>
        <v>31</v>
      </c>
      <c r="S18" s="416">
        <v>4650</v>
      </c>
      <c r="T18" s="250">
        <f t="shared" si="23"/>
        <v>144150</v>
      </c>
      <c r="U18" s="411"/>
      <c r="V18" s="250"/>
      <c r="W18" s="407"/>
      <c r="X18" s="250"/>
      <c r="Y18" s="412"/>
      <c r="Z18" s="400">
        <v>2500</v>
      </c>
      <c r="AA18" s="278"/>
      <c r="AB18" s="600"/>
      <c r="AC18" s="411"/>
      <c r="AD18" s="411">
        <f>Sheet2!M16</f>
        <v>209913.30000000002</v>
      </c>
      <c r="AE18" s="278">
        <f>Sheet2!N16</f>
        <v>810804</v>
      </c>
      <c r="AF18" s="278">
        <f>Sheet2!O16</f>
        <v>588000</v>
      </c>
      <c r="AG18" s="413">
        <v>602000</v>
      </c>
      <c r="AH18" s="413"/>
      <c r="AI18" s="413">
        <v>150000</v>
      </c>
      <c r="AJ18" s="421"/>
      <c r="AK18" s="413"/>
      <c r="AL18" s="399">
        <f>-Sheet2!P16</f>
        <v>0</v>
      </c>
      <c r="AM18" s="250"/>
      <c r="AN18" s="399">
        <f>G18+I18+K18+M18+O18+Q18+T18+W18+Z18+AA18+AB18+AC18+AD18+AE18+AF18+AG18+AH18+AI18+AJ18+AK18-AL18-AM18</f>
        <v>6676867.2999999998</v>
      </c>
      <c r="AO18" s="250">
        <f t="shared" si="7"/>
        <v>80750</v>
      </c>
      <c r="AP18" s="600">
        <f t="shared" si="8"/>
        <v>183302.5</v>
      </c>
      <c r="AQ18" s="424">
        <f t="shared" si="40"/>
        <v>264052.5</v>
      </c>
      <c r="AR18" s="250">
        <f t="shared" si="10"/>
        <v>40375</v>
      </c>
      <c r="AS18" s="250">
        <f t="shared" si="11"/>
        <v>161500</v>
      </c>
      <c r="AT18" s="250">
        <f t="shared" si="12"/>
        <v>40375</v>
      </c>
      <c r="AU18" s="250">
        <f t="shared" si="13"/>
        <v>80750</v>
      </c>
      <c r="AV18" s="410">
        <f t="shared" si="39"/>
        <v>323000</v>
      </c>
      <c r="AW18" s="412"/>
      <c r="AX18" s="278">
        <f>PAJAK!AK47</f>
        <v>17181</v>
      </c>
      <c r="AY18" s="399"/>
      <c r="AZ18" s="278">
        <f t="shared" si="15"/>
        <v>0</v>
      </c>
      <c r="BA18" s="419"/>
      <c r="BB18" s="419"/>
      <c r="BC18" s="419"/>
      <c r="BD18" s="417"/>
      <c r="BE18" s="639"/>
      <c r="BF18" s="399">
        <f t="shared" si="27"/>
        <v>6498186.2999999998</v>
      </c>
      <c r="BG18" s="745">
        <f>Sheet2!K16</f>
        <v>0</v>
      </c>
      <c r="BH18" s="781">
        <f>Sheet2!L16</f>
        <v>0</v>
      </c>
      <c r="BI18" s="360"/>
      <c r="BJ18" s="291"/>
      <c r="BK18" s="350">
        <f t="shared" si="28"/>
        <v>0</v>
      </c>
      <c r="BL18" s="350">
        <f t="shared" si="17"/>
        <v>0</v>
      </c>
      <c r="BN18" s="925">
        <f t="shared" si="18"/>
        <v>2297454</v>
      </c>
    </row>
    <row r="19" spans="1:66" s="269" customFormat="1" ht="44.25" customHeight="1">
      <c r="A19" s="658">
        <v>10</v>
      </c>
      <c r="B19" s="422"/>
      <c r="C19" s="423"/>
      <c r="D19" s="414" t="s">
        <v>93</v>
      </c>
      <c r="E19" s="278">
        <f>Sheet2!D17</f>
        <v>24</v>
      </c>
      <c r="F19" s="396">
        <v>134500</v>
      </c>
      <c r="G19" s="407">
        <f t="shared" si="34"/>
        <v>3228000</v>
      </c>
      <c r="H19" s="278">
        <f>Sheet2!E17</f>
        <v>1</v>
      </c>
      <c r="I19" s="397">
        <f t="shared" si="20"/>
        <v>134500</v>
      </c>
      <c r="J19" s="278">
        <f>Sheet2!F17</f>
        <v>0</v>
      </c>
      <c r="K19" s="411">
        <f t="shared" si="35"/>
        <v>0</v>
      </c>
      <c r="L19" s="278">
        <f>Sheet2!G17</f>
        <v>4</v>
      </c>
      <c r="M19" s="250">
        <f t="shared" si="36"/>
        <v>538000</v>
      </c>
      <c r="N19" s="278">
        <f>Sheet2!H17</f>
        <v>2</v>
      </c>
      <c r="O19" s="398">
        <f t="shared" si="37"/>
        <v>269000</v>
      </c>
      <c r="P19" s="278">
        <f>Sheet2!I17</f>
        <v>0</v>
      </c>
      <c r="Q19" s="415">
        <f t="shared" si="22"/>
        <v>0</v>
      </c>
      <c r="R19" s="399">
        <f t="shared" si="31"/>
        <v>31</v>
      </c>
      <c r="S19" s="416">
        <v>5550</v>
      </c>
      <c r="T19" s="250">
        <f t="shared" si="23"/>
        <v>172050</v>
      </c>
      <c r="U19" s="411"/>
      <c r="V19" s="250"/>
      <c r="W19" s="407"/>
      <c r="X19" s="250"/>
      <c r="Y19" s="412"/>
      <c r="Z19" s="400">
        <v>2500</v>
      </c>
      <c r="AA19" s="278"/>
      <c r="AB19" s="600"/>
      <c r="AC19" s="411"/>
      <c r="AD19" s="411"/>
      <c r="AE19" s="278">
        <f>Sheet2!N17</f>
        <v>484688</v>
      </c>
      <c r="AF19" s="278">
        <f>Sheet2!O17</f>
        <v>514500</v>
      </c>
      <c r="AG19" s="413">
        <v>597000</v>
      </c>
      <c r="AH19" s="413"/>
      <c r="AI19" s="413"/>
      <c r="AJ19" s="421"/>
      <c r="AK19" s="413"/>
      <c r="AL19" s="399">
        <f>-Sheet2!P17</f>
        <v>0</v>
      </c>
      <c r="AM19" s="250"/>
      <c r="AN19" s="399">
        <f t="shared" si="6"/>
        <v>5940238</v>
      </c>
      <c r="AO19" s="250">
        <f t="shared" si="7"/>
        <v>80750</v>
      </c>
      <c r="AP19" s="600">
        <f t="shared" si="8"/>
        <v>183302.5</v>
      </c>
      <c r="AQ19" s="424">
        <f t="shared" si="40"/>
        <v>264052.5</v>
      </c>
      <c r="AR19" s="250">
        <f t="shared" si="10"/>
        <v>40375</v>
      </c>
      <c r="AS19" s="250">
        <f t="shared" si="11"/>
        <v>161500</v>
      </c>
      <c r="AT19" s="250">
        <f t="shared" si="12"/>
        <v>40375</v>
      </c>
      <c r="AU19" s="250">
        <f t="shared" si="13"/>
        <v>80750</v>
      </c>
      <c r="AV19" s="410">
        <f t="shared" si="39"/>
        <v>323000</v>
      </c>
      <c r="AW19" s="412"/>
      <c r="AX19" s="278">
        <f>PAJAK!AK48</f>
        <v>0</v>
      </c>
      <c r="AY19" s="399"/>
      <c r="AZ19" s="278">
        <f t="shared" si="15"/>
        <v>0</v>
      </c>
      <c r="BA19" s="419"/>
      <c r="BB19" s="419"/>
      <c r="BC19" s="419"/>
      <c r="BD19" s="417"/>
      <c r="BE19" s="639">
        <v>211882</v>
      </c>
      <c r="BF19" s="399">
        <f t="shared" si="27"/>
        <v>5990620</v>
      </c>
      <c r="BG19" s="745">
        <f>Sheet2!K17</f>
        <v>0</v>
      </c>
      <c r="BH19" s="781">
        <f>Sheet2!L17</f>
        <v>0</v>
      </c>
      <c r="BI19" s="360"/>
      <c r="BJ19" s="291"/>
      <c r="BK19" s="350">
        <f t="shared" si="28"/>
        <v>0</v>
      </c>
      <c r="BL19" s="350">
        <f t="shared" si="17"/>
        <v>0</v>
      </c>
      <c r="BN19" s="925">
        <f t="shared" si="18"/>
        <v>1770738</v>
      </c>
    </row>
    <row r="20" spans="1:66" s="269" customFormat="1" ht="44.25" customHeight="1">
      <c r="A20" s="394">
        <v>11</v>
      </c>
      <c r="B20" s="422"/>
      <c r="C20" s="423"/>
      <c r="D20" s="414" t="s">
        <v>207</v>
      </c>
      <c r="E20" s="278">
        <f>Sheet2!D18</f>
        <v>23</v>
      </c>
      <c r="F20" s="396">
        <v>134500</v>
      </c>
      <c r="G20" s="407">
        <f t="shared" si="34"/>
        <v>3093500</v>
      </c>
      <c r="H20" s="278">
        <f>Sheet2!E18</f>
        <v>2</v>
      </c>
      <c r="I20" s="397">
        <f t="shared" si="20"/>
        <v>269000</v>
      </c>
      <c r="J20" s="278">
        <f>Sheet2!F18</f>
        <v>0</v>
      </c>
      <c r="K20" s="411">
        <f t="shared" si="35"/>
        <v>0</v>
      </c>
      <c r="L20" s="278">
        <f>Sheet2!G18</f>
        <v>4</v>
      </c>
      <c r="M20" s="250">
        <f t="shared" si="36"/>
        <v>538000</v>
      </c>
      <c r="N20" s="278">
        <f>Sheet2!H18</f>
        <v>2</v>
      </c>
      <c r="O20" s="398">
        <f t="shared" si="37"/>
        <v>269000</v>
      </c>
      <c r="P20" s="278">
        <f>Sheet2!I18</f>
        <v>0</v>
      </c>
      <c r="Q20" s="415">
        <f t="shared" si="22"/>
        <v>0</v>
      </c>
      <c r="R20" s="399">
        <f t="shared" si="31"/>
        <v>31</v>
      </c>
      <c r="S20" s="416">
        <v>5550</v>
      </c>
      <c r="T20" s="250">
        <f t="shared" si="23"/>
        <v>172050</v>
      </c>
      <c r="U20" s="411"/>
      <c r="V20" s="250"/>
      <c r="W20" s="407"/>
      <c r="X20" s="250"/>
      <c r="Y20" s="412"/>
      <c r="Z20" s="400">
        <v>2500</v>
      </c>
      <c r="AA20" s="278"/>
      <c r="AB20" s="600"/>
      <c r="AC20" s="411"/>
      <c r="AD20" s="411"/>
      <c r="AE20" s="278">
        <f>Sheet2!N18</f>
        <v>146742</v>
      </c>
      <c r="AF20" s="278">
        <f>Sheet2!O18</f>
        <v>292250</v>
      </c>
      <c r="AG20" s="413">
        <v>548000</v>
      </c>
      <c r="AH20" s="413"/>
      <c r="AI20" s="413"/>
      <c r="AJ20" s="421"/>
      <c r="AK20" s="413"/>
      <c r="AL20" s="399">
        <f>-Sheet2!P18</f>
        <v>107077.66990291262</v>
      </c>
      <c r="AM20" s="250"/>
      <c r="AN20" s="399">
        <f t="shared" si="6"/>
        <v>5223964.3300970877</v>
      </c>
      <c r="AO20" s="250">
        <f t="shared" si="7"/>
        <v>80750</v>
      </c>
      <c r="AP20" s="600">
        <f t="shared" si="8"/>
        <v>183302.5</v>
      </c>
      <c r="AQ20" s="424">
        <f t="shared" si="40"/>
        <v>264052.5</v>
      </c>
      <c r="AR20" s="250">
        <f t="shared" si="10"/>
        <v>40375</v>
      </c>
      <c r="AS20" s="250">
        <f t="shared" si="11"/>
        <v>161500</v>
      </c>
      <c r="AT20" s="250">
        <f t="shared" si="12"/>
        <v>40375</v>
      </c>
      <c r="AU20" s="250">
        <f t="shared" si="13"/>
        <v>80750</v>
      </c>
      <c r="AV20" s="410">
        <f t="shared" si="39"/>
        <v>323000</v>
      </c>
      <c r="AW20" s="412"/>
      <c r="AX20" s="278">
        <f>PAJAK!AK49</f>
        <v>0</v>
      </c>
      <c r="AY20" s="399"/>
      <c r="AZ20" s="278">
        <f t="shared" si="15"/>
        <v>0</v>
      </c>
      <c r="BA20" s="419"/>
      <c r="BB20" s="419"/>
      <c r="BC20" s="419"/>
      <c r="BD20" s="417"/>
      <c r="BE20" s="639">
        <v>35960</v>
      </c>
      <c r="BF20" s="399">
        <f t="shared" si="27"/>
        <v>5098424.3300970877</v>
      </c>
      <c r="BG20" s="745">
        <f>Sheet2!K18</f>
        <v>0</v>
      </c>
      <c r="BH20" s="781">
        <f>Sheet2!L18</f>
        <v>0</v>
      </c>
      <c r="BI20" s="360"/>
      <c r="BJ20" s="291"/>
      <c r="BK20" s="350">
        <f t="shared" si="28"/>
        <v>0</v>
      </c>
      <c r="BL20" s="350">
        <f t="shared" si="17"/>
        <v>0</v>
      </c>
      <c r="BN20" s="925">
        <f t="shared" si="18"/>
        <v>1054464.3300970874</v>
      </c>
    </row>
    <row r="21" spans="1:66" s="269" customFormat="1" ht="44.25" customHeight="1">
      <c r="A21" s="658">
        <v>12</v>
      </c>
      <c r="B21" s="422"/>
      <c r="C21" s="423"/>
      <c r="D21" s="414" t="s">
        <v>107</v>
      </c>
      <c r="E21" s="278">
        <f>Sheet2!D19</f>
        <v>24</v>
      </c>
      <c r="F21" s="396">
        <v>134500</v>
      </c>
      <c r="G21" s="407">
        <f t="shared" si="34"/>
        <v>3228000</v>
      </c>
      <c r="H21" s="278">
        <f>Sheet2!E19</f>
        <v>1</v>
      </c>
      <c r="I21" s="397">
        <f t="shared" si="20"/>
        <v>134500</v>
      </c>
      <c r="J21" s="278">
        <f>Sheet2!F19</f>
        <v>0</v>
      </c>
      <c r="K21" s="411">
        <f t="shared" si="35"/>
        <v>0</v>
      </c>
      <c r="L21" s="278">
        <f>Sheet2!G19</f>
        <v>4</v>
      </c>
      <c r="M21" s="250">
        <f t="shared" si="36"/>
        <v>538000</v>
      </c>
      <c r="N21" s="278">
        <f>Sheet2!H19</f>
        <v>2</v>
      </c>
      <c r="O21" s="398">
        <f t="shared" si="37"/>
        <v>269000</v>
      </c>
      <c r="P21" s="278">
        <f>Sheet2!I19</f>
        <v>0</v>
      </c>
      <c r="Q21" s="415">
        <f t="shared" si="22"/>
        <v>0</v>
      </c>
      <c r="R21" s="399">
        <f t="shared" si="31"/>
        <v>31</v>
      </c>
      <c r="S21" s="416">
        <v>5550</v>
      </c>
      <c r="T21" s="250">
        <f t="shared" si="23"/>
        <v>172050</v>
      </c>
      <c r="U21" s="411"/>
      <c r="V21" s="250"/>
      <c r="W21" s="407"/>
      <c r="X21" s="250"/>
      <c r="Y21" s="412"/>
      <c r="Z21" s="400">
        <v>2500</v>
      </c>
      <c r="AA21" s="278"/>
      <c r="AB21" s="600"/>
      <c r="AC21" s="411">
        <v>250000</v>
      </c>
      <c r="AD21" s="411">
        <f>Sheet2!M19</f>
        <v>338193.65</v>
      </c>
      <c r="AE21" s="278">
        <f>Sheet2!N19</f>
        <v>415057</v>
      </c>
      <c r="AF21" s="278">
        <f>Sheet2!O19</f>
        <v>493500</v>
      </c>
      <c r="AG21" s="413">
        <v>763000</v>
      </c>
      <c r="AH21" s="413"/>
      <c r="AI21" s="413">
        <v>150000</v>
      </c>
      <c r="AJ21" s="421"/>
      <c r="AK21" s="413"/>
      <c r="AL21" s="399">
        <f>-Sheet2!P19</f>
        <v>0</v>
      </c>
      <c r="AM21" s="250"/>
      <c r="AN21" s="399">
        <f>G21+I21+K21+M21+O21+Q21+T21+W21+Z21+AA21+AB21+AC21+AD21+AE21+AF21+AG21+AH21+AI21+AJ21+AK21-AL21-AM21</f>
        <v>6753800.6500000004</v>
      </c>
      <c r="AO21" s="250">
        <f t="shared" si="7"/>
        <v>80750</v>
      </c>
      <c r="AP21" s="600">
        <f t="shared" si="8"/>
        <v>183302.5</v>
      </c>
      <c r="AQ21" s="424">
        <f t="shared" ref="AQ21" si="41">SUM(AP21+AO21)</f>
        <v>264052.5</v>
      </c>
      <c r="AR21" s="250">
        <f t="shared" si="10"/>
        <v>40375</v>
      </c>
      <c r="AS21" s="250">
        <f t="shared" si="11"/>
        <v>161500</v>
      </c>
      <c r="AT21" s="250">
        <f t="shared" si="12"/>
        <v>40375</v>
      </c>
      <c r="AU21" s="250">
        <f t="shared" si="13"/>
        <v>80750</v>
      </c>
      <c r="AV21" s="410">
        <f t="shared" ref="AV21" si="42">AR21+AS21+AT21+AU21</f>
        <v>323000</v>
      </c>
      <c r="AW21" s="412"/>
      <c r="AX21" s="278">
        <f>PAJAK!AK50</f>
        <v>52119</v>
      </c>
      <c r="AY21" s="399"/>
      <c r="AZ21" s="278">
        <f t="shared" si="15"/>
        <v>0</v>
      </c>
      <c r="BA21" s="419"/>
      <c r="BB21" s="419"/>
      <c r="BC21" s="419"/>
      <c r="BD21" s="419"/>
      <c r="BE21" s="873">
        <v>12598</v>
      </c>
      <c r="BF21" s="399">
        <f t="shared" si="27"/>
        <v>6552779.6500000004</v>
      </c>
      <c r="BG21" s="745">
        <f>Sheet2!K19</f>
        <v>0</v>
      </c>
      <c r="BH21" s="781">
        <f>Sheet2!L19</f>
        <v>0</v>
      </c>
      <c r="BI21" s="360"/>
      <c r="BJ21" s="291"/>
      <c r="BK21" s="559">
        <f t="shared" si="28"/>
        <v>0</v>
      </c>
      <c r="BL21" s="559">
        <f t="shared" si="17"/>
        <v>0</v>
      </c>
      <c r="BN21" s="925">
        <f t="shared" si="18"/>
        <v>1996107</v>
      </c>
    </row>
    <row r="22" spans="1:66" s="269" customFormat="1" ht="44.25" customHeight="1">
      <c r="A22" s="394">
        <v>13</v>
      </c>
      <c r="B22" s="422"/>
      <c r="C22" s="423"/>
      <c r="D22" s="528" t="s">
        <v>304</v>
      </c>
      <c r="E22" s="278">
        <f>Sheet2!D20</f>
        <v>25</v>
      </c>
      <c r="F22" s="396">
        <v>134500</v>
      </c>
      <c r="G22" s="407">
        <f t="shared" si="34"/>
        <v>3362500</v>
      </c>
      <c r="H22" s="278">
        <f>Sheet2!E20</f>
        <v>0</v>
      </c>
      <c r="I22" s="397">
        <f t="shared" si="20"/>
        <v>0</v>
      </c>
      <c r="J22" s="278">
        <f>Sheet2!F20</f>
        <v>0</v>
      </c>
      <c r="K22" s="411">
        <f t="shared" si="35"/>
        <v>0</v>
      </c>
      <c r="L22" s="278">
        <f>Sheet2!G20</f>
        <v>4</v>
      </c>
      <c r="M22" s="250">
        <f t="shared" si="36"/>
        <v>538000</v>
      </c>
      <c r="N22" s="278">
        <f>Sheet2!H20</f>
        <v>2</v>
      </c>
      <c r="O22" s="398">
        <f t="shared" si="37"/>
        <v>269000</v>
      </c>
      <c r="P22" s="278">
        <f>Sheet2!I20</f>
        <v>0</v>
      </c>
      <c r="Q22" s="415">
        <f t="shared" si="22"/>
        <v>0</v>
      </c>
      <c r="R22" s="399">
        <f t="shared" si="31"/>
        <v>31</v>
      </c>
      <c r="S22" s="602">
        <v>5550</v>
      </c>
      <c r="T22" s="250">
        <f t="shared" si="23"/>
        <v>172050</v>
      </c>
      <c r="U22" s="601"/>
      <c r="V22" s="600"/>
      <c r="W22" s="407"/>
      <c r="X22" s="600"/>
      <c r="Y22" s="603"/>
      <c r="Z22" s="400">
        <v>2500</v>
      </c>
      <c r="AA22" s="278"/>
      <c r="AB22" s="600"/>
      <c r="AC22" s="601"/>
      <c r="AD22" s="601"/>
      <c r="AE22" s="278">
        <f>Sheet2!N20</f>
        <v>327856</v>
      </c>
      <c r="AF22" s="278">
        <f>Sheet2!O20</f>
        <v>518000</v>
      </c>
      <c r="AG22" s="604">
        <v>457000</v>
      </c>
      <c r="AH22" s="604"/>
      <c r="AI22" s="604"/>
      <c r="AJ22" s="605"/>
      <c r="AK22" s="604"/>
      <c r="AL22" s="399">
        <f>-Sheet2!P20</f>
        <v>0</v>
      </c>
      <c r="AM22" s="600"/>
      <c r="AN22" s="399">
        <f t="shared" si="6"/>
        <v>5646906</v>
      </c>
      <c r="AO22" s="250">
        <f t="shared" si="7"/>
        <v>80750</v>
      </c>
      <c r="AP22" s="600">
        <f t="shared" si="8"/>
        <v>183302.5</v>
      </c>
      <c r="AQ22" s="424">
        <f t="shared" ref="AQ22" si="43">SUM(AP22+AO22)</f>
        <v>264052.5</v>
      </c>
      <c r="AR22" s="250">
        <f t="shared" si="10"/>
        <v>40375</v>
      </c>
      <c r="AS22" s="250">
        <f t="shared" si="11"/>
        <v>161500</v>
      </c>
      <c r="AT22" s="250">
        <f t="shared" si="12"/>
        <v>40375</v>
      </c>
      <c r="AU22" s="250">
        <f t="shared" si="13"/>
        <v>80750</v>
      </c>
      <c r="AV22" s="410">
        <f t="shared" ref="AV22" si="44">AR22+AS22+AT22+AU22</f>
        <v>323000</v>
      </c>
      <c r="AW22" s="603"/>
      <c r="AX22" s="278">
        <f>PAJAK!AK51</f>
        <v>0</v>
      </c>
      <c r="AY22" s="399"/>
      <c r="AZ22" s="278">
        <f t="shared" si="15"/>
        <v>0</v>
      </c>
      <c r="BA22" s="606"/>
      <c r="BB22" s="606"/>
      <c r="BC22" s="606"/>
      <c r="BD22" s="606"/>
      <c r="BE22" s="873">
        <v>35800</v>
      </c>
      <c r="BF22" s="399">
        <f t="shared" si="27"/>
        <v>5521206</v>
      </c>
      <c r="BG22" s="745">
        <f>Sheet2!K20</f>
        <v>0</v>
      </c>
      <c r="BH22" s="781">
        <f>Sheet2!L20</f>
        <v>0</v>
      </c>
      <c r="BI22" s="607"/>
      <c r="BJ22" s="291"/>
      <c r="BK22" s="599">
        <f t="shared" si="28"/>
        <v>0</v>
      </c>
      <c r="BL22" s="599">
        <f t="shared" si="17"/>
        <v>0</v>
      </c>
      <c r="BN22" s="925">
        <f t="shared" si="18"/>
        <v>1477406</v>
      </c>
    </row>
    <row r="23" spans="1:66" s="269" customFormat="1" ht="44.25" customHeight="1">
      <c r="A23" s="658">
        <v>14</v>
      </c>
      <c r="B23" s="422"/>
      <c r="C23" s="423"/>
      <c r="D23" s="528" t="s">
        <v>303</v>
      </c>
      <c r="E23" s="278">
        <f>Sheet2!D21</f>
        <v>23</v>
      </c>
      <c r="F23" s="396">
        <v>134500</v>
      </c>
      <c r="G23" s="407">
        <f t="shared" si="34"/>
        <v>3093500</v>
      </c>
      <c r="H23" s="278">
        <f>Sheet2!E21</f>
        <v>2</v>
      </c>
      <c r="I23" s="397">
        <f t="shared" si="20"/>
        <v>269000</v>
      </c>
      <c r="J23" s="278">
        <f>Sheet2!F21</f>
        <v>0</v>
      </c>
      <c r="K23" s="411">
        <f t="shared" si="35"/>
        <v>0</v>
      </c>
      <c r="L23" s="278">
        <f>Sheet2!G21</f>
        <v>4</v>
      </c>
      <c r="M23" s="250">
        <f t="shared" si="36"/>
        <v>538000</v>
      </c>
      <c r="N23" s="278">
        <f>Sheet2!H21</f>
        <v>2</v>
      </c>
      <c r="O23" s="398">
        <f t="shared" si="37"/>
        <v>269000</v>
      </c>
      <c r="P23" s="278">
        <f>Sheet2!I22</f>
        <v>0</v>
      </c>
      <c r="Q23" s="415">
        <f t="shared" si="22"/>
        <v>0</v>
      </c>
      <c r="R23" s="399">
        <f t="shared" si="31"/>
        <v>31</v>
      </c>
      <c r="S23" s="602">
        <v>2250</v>
      </c>
      <c r="T23" s="600">
        <f t="shared" si="23"/>
        <v>69750</v>
      </c>
      <c r="U23" s="601"/>
      <c r="V23" s="600"/>
      <c r="W23" s="601"/>
      <c r="X23" s="600"/>
      <c r="Y23" s="603"/>
      <c r="Z23" s="604">
        <v>0</v>
      </c>
      <c r="AA23" s="600"/>
      <c r="AB23" s="600"/>
      <c r="AC23" s="601"/>
      <c r="AD23" s="601"/>
      <c r="AE23" s="278">
        <f>Sheet2!N21</f>
        <v>1595654</v>
      </c>
      <c r="AF23" s="278">
        <f>Sheet2!O21</f>
        <v>651000</v>
      </c>
      <c r="AG23" s="604">
        <v>532500</v>
      </c>
      <c r="AH23" s="604"/>
      <c r="AI23" s="604">
        <v>320410</v>
      </c>
      <c r="AJ23" s="605"/>
      <c r="AK23" s="604"/>
      <c r="AL23" s="399">
        <f>-Sheet2!P21</f>
        <v>0</v>
      </c>
      <c r="AM23" s="600"/>
      <c r="AN23" s="399">
        <f t="shared" si="6"/>
        <v>7338814</v>
      </c>
      <c r="AO23" s="250">
        <f t="shared" si="7"/>
        <v>80700</v>
      </c>
      <c r="AP23" s="600">
        <f t="shared" si="8"/>
        <v>183189</v>
      </c>
      <c r="AQ23" s="424">
        <f t="shared" ref="AQ23:AQ27" si="45">SUM(AP23+AO23)</f>
        <v>263889</v>
      </c>
      <c r="AR23" s="250">
        <f t="shared" si="10"/>
        <v>40350</v>
      </c>
      <c r="AS23" s="250">
        <f t="shared" si="11"/>
        <v>161400</v>
      </c>
      <c r="AT23" s="250">
        <f t="shared" si="12"/>
        <v>40350</v>
      </c>
      <c r="AU23" s="250">
        <f t="shared" si="13"/>
        <v>80700</v>
      </c>
      <c r="AV23" s="410">
        <f t="shared" ref="AV23:AV27" si="46">AR23+AS23+AT23+AU23</f>
        <v>322800</v>
      </c>
      <c r="AW23" s="600"/>
      <c r="AX23" s="278">
        <f>PAJAK!AK52</f>
        <v>113012</v>
      </c>
      <c r="AY23" s="422"/>
      <c r="AZ23" s="600"/>
      <c r="BA23" s="606"/>
      <c r="BB23" s="606"/>
      <c r="BC23" s="606"/>
      <c r="BD23" s="606"/>
      <c r="BE23" s="1279">
        <v>284296</v>
      </c>
      <c r="BF23" s="399">
        <f t="shared" si="27"/>
        <v>7348698</v>
      </c>
      <c r="BG23" s="745">
        <f>Sheet2!K21</f>
        <v>0</v>
      </c>
      <c r="BH23" s="781">
        <f>Sheet2!L21</f>
        <v>0</v>
      </c>
      <c r="BI23" s="607"/>
      <c r="BJ23" s="291"/>
      <c r="BK23" s="880">
        <f t="shared" si="28"/>
        <v>0</v>
      </c>
      <c r="BL23" s="748">
        <f t="shared" si="17"/>
        <v>0</v>
      </c>
      <c r="BN23" s="925">
        <f t="shared" si="18"/>
        <v>3169314</v>
      </c>
    </row>
    <row r="24" spans="1:66" s="269" customFormat="1" ht="44.25" customHeight="1">
      <c r="A24" s="394">
        <v>15</v>
      </c>
      <c r="B24" s="422"/>
      <c r="C24" s="423"/>
      <c r="D24" s="771" t="s">
        <v>350</v>
      </c>
      <c r="E24" s="278">
        <f>Sheet2!D22</f>
        <v>24</v>
      </c>
      <c r="F24" s="396">
        <v>134500</v>
      </c>
      <c r="G24" s="773">
        <f t="shared" si="34"/>
        <v>3228000</v>
      </c>
      <c r="H24" s="278">
        <f>Sheet2!E22</f>
        <v>1</v>
      </c>
      <c r="I24" s="862">
        <f t="shared" si="20"/>
        <v>134500</v>
      </c>
      <c r="J24" s="278">
        <f>Sheet2!F22</f>
        <v>0</v>
      </c>
      <c r="K24" s="411">
        <f t="shared" si="35"/>
        <v>0</v>
      </c>
      <c r="L24" s="278">
        <f>Sheet2!G22</f>
        <v>4</v>
      </c>
      <c r="M24" s="772">
        <f t="shared" si="36"/>
        <v>538000</v>
      </c>
      <c r="N24" s="278">
        <f>Sheet2!H22</f>
        <v>2</v>
      </c>
      <c r="O24" s="863">
        <f t="shared" si="37"/>
        <v>269000</v>
      </c>
      <c r="P24" s="772">
        <f>Sheet2!I23</f>
        <v>0</v>
      </c>
      <c r="Q24" s="863">
        <f t="shared" si="22"/>
        <v>0</v>
      </c>
      <c r="R24" s="422">
        <f t="shared" si="31"/>
        <v>31</v>
      </c>
      <c r="S24" s="774">
        <v>2250</v>
      </c>
      <c r="T24" s="772">
        <f t="shared" si="23"/>
        <v>69750</v>
      </c>
      <c r="U24" s="773"/>
      <c r="V24" s="772"/>
      <c r="W24" s="773"/>
      <c r="X24" s="772"/>
      <c r="Y24" s="775"/>
      <c r="Z24" s="776">
        <v>0</v>
      </c>
      <c r="AA24" s="772"/>
      <c r="AB24" s="772"/>
      <c r="AC24" s="773"/>
      <c r="AD24" s="773"/>
      <c r="AE24" s="278">
        <f>Sheet2!N22</f>
        <v>183170</v>
      </c>
      <c r="AF24" s="278">
        <f>Sheet2!O22</f>
        <v>446250</v>
      </c>
      <c r="AG24" s="776">
        <v>349500</v>
      </c>
      <c r="AH24" s="776"/>
      <c r="AI24" s="776"/>
      <c r="AJ24" s="777"/>
      <c r="AK24" s="776"/>
      <c r="AL24" s="399">
        <f>-Sheet2!P22</f>
        <v>121441.74757281554</v>
      </c>
      <c r="AM24" s="772"/>
      <c r="AN24" s="399">
        <f t="shared" si="6"/>
        <v>5096728.252427184</v>
      </c>
      <c r="AO24" s="250">
        <f t="shared" si="7"/>
        <v>80700</v>
      </c>
      <c r="AP24" s="600">
        <f t="shared" si="8"/>
        <v>183189</v>
      </c>
      <c r="AQ24" s="778">
        <f t="shared" si="45"/>
        <v>263889</v>
      </c>
      <c r="AR24" s="250">
        <f t="shared" si="10"/>
        <v>40350</v>
      </c>
      <c r="AS24" s="250">
        <f t="shared" si="11"/>
        <v>161400</v>
      </c>
      <c r="AT24" s="250">
        <f t="shared" si="12"/>
        <v>40350</v>
      </c>
      <c r="AU24" s="250">
        <f t="shared" si="13"/>
        <v>80700</v>
      </c>
      <c r="AV24" s="779">
        <f t="shared" si="46"/>
        <v>322800</v>
      </c>
      <c r="AW24" s="772"/>
      <c r="AX24" s="278">
        <f>PAJAK!AK53</f>
        <v>0</v>
      </c>
      <c r="AY24" s="422"/>
      <c r="AZ24" s="772"/>
      <c r="BA24" s="780"/>
      <c r="BB24" s="780"/>
      <c r="BC24" s="780"/>
      <c r="BD24" s="780"/>
      <c r="BE24" s="873">
        <v>0</v>
      </c>
      <c r="BF24" s="399">
        <f t="shared" si="27"/>
        <v>4935328.252427184</v>
      </c>
      <c r="BG24" s="745">
        <f>Sheet2!K22</f>
        <v>0</v>
      </c>
      <c r="BH24" s="781">
        <f>Sheet2!L22</f>
        <v>0</v>
      </c>
      <c r="BI24" s="782"/>
      <c r="BJ24" s="291"/>
      <c r="BK24" s="880">
        <f t="shared" si="28"/>
        <v>0</v>
      </c>
      <c r="BL24" s="880">
        <f t="shared" si="17"/>
        <v>0</v>
      </c>
      <c r="BN24" s="925">
        <f t="shared" si="18"/>
        <v>927228.25242718449</v>
      </c>
    </row>
    <row r="25" spans="1:66" s="269" customFormat="1" ht="44.25" customHeight="1">
      <c r="A25" s="658">
        <v>16</v>
      </c>
      <c r="B25" s="858"/>
      <c r="C25" s="864"/>
      <c r="D25" s="865" t="s">
        <v>71</v>
      </c>
      <c r="E25" s="278">
        <f>Sheet2!D23</f>
        <v>25</v>
      </c>
      <c r="F25" s="396">
        <v>134500</v>
      </c>
      <c r="G25" s="773">
        <f t="shared" si="34"/>
        <v>3362500</v>
      </c>
      <c r="H25" s="278">
        <f>Sheet2!E23</f>
        <v>0</v>
      </c>
      <c r="I25" s="866">
        <f t="shared" si="20"/>
        <v>0</v>
      </c>
      <c r="J25" s="278">
        <f>Sheet2!F23</f>
        <v>0</v>
      </c>
      <c r="K25" s="411">
        <f t="shared" si="35"/>
        <v>0</v>
      </c>
      <c r="L25" s="278">
        <f>Sheet2!G23</f>
        <v>4</v>
      </c>
      <c r="M25" s="858">
        <f t="shared" si="36"/>
        <v>538000</v>
      </c>
      <c r="N25" s="278">
        <f>Sheet2!H23</f>
        <v>2</v>
      </c>
      <c r="O25" s="867">
        <f t="shared" si="37"/>
        <v>269000</v>
      </c>
      <c r="P25" s="858"/>
      <c r="Q25" s="867"/>
      <c r="R25" s="858">
        <f t="shared" si="31"/>
        <v>31</v>
      </c>
      <c r="S25" s="416">
        <v>5550</v>
      </c>
      <c r="T25" s="250">
        <f t="shared" si="23"/>
        <v>172050</v>
      </c>
      <c r="U25" s="866"/>
      <c r="V25" s="858"/>
      <c r="W25" s="866"/>
      <c r="X25" s="858"/>
      <c r="Y25" s="864"/>
      <c r="Z25" s="869">
        <v>12500</v>
      </c>
      <c r="AA25" s="858"/>
      <c r="AB25" s="858"/>
      <c r="AC25" s="866"/>
      <c r="AD25" s="866"/>
      <c r="AE25" s="278">
        <f>Sheet2!N23</f>
        <v>119538</v>
      </c>
      <c r="AF25" s="278">
        <f>Sheet2!O23</f>
        <v>344750</v>
      </c>
      <c r="AG25" s="776">
        <v>206000</v>
      </c>
      <c r="AH25" s="869"/>
      <c r="AI25" s="869"/>
      <c r="AJ25" s="870"/>
      <c r="AK25" s="869"/>
      <c r="AL25" s="399">
        <f>-Sheet2!P23</f>
        <v>103116.66666666667</v>
      </c>
      <c r="AM25" s="858"/>
      <c r="AN25" s="399">
        <f t="shared" si="6"/>
        <v>4921221.333333333</v>
      </c>
      <c r="AO25" s="250">
        <f t="shared" si="7"/>
        <v>80950</v>
      </c>
      <c r="AP25" s="600">
        <f t="shared" si="8"/>
        <v>183756.5</v>
      </c>
      <c r="AQ25" s="871">
        <f t="shared" si="45"/>
        <v>264706.5</v>
      </c>
      <c r="AR25" s="250">
        <f t="shared" si="10"/>
        <v>40475</v>
      </c>
      <c r="AS25" s="250">
        <f t="shared" si="11"/>
        <v>161900</v>
      </c>
      <c r="AT25" s="250">
        <f t="shared" si="12"/>
        <v>40475</v>
      </c>
      <c r="AU25" s="250">
        <f t="shared" si="13"/>
        <v>80950</v>
      </c>
      <c r="AV25" s="872">
        <f t="shared" si="46"/>
        <v>323800</v>
      </c>
      <c r="AW25" s="858">
        <v>4000</v>
      </c>
      <c r="AX25" s="278">
        <f>PAJAK!AK54</f>
        <v>0</v>
      </c>
      <c r="AY25" s="858"/>
      <c r="AZ25" s="858"/>
      <c r="BA25" s="873"/>
      <c r="BB25" s="873"/>
      <c r="BC25" s="873"/>
      <c r="BD25" s="873"/>
      <c r="BE25" s="639">
        <v>91417</v>
      </c>
      <c r="BF25" s="399">
        <f t="shared" si="27"/>
        <v>4846738.333333333</v>
      </c>
      <c r="BG25" s="745">
        <f>Sheet2!K23</f>
        <v>0</v>
      </c>
      <c r="BH25" s="781">
        <f>Sheet2!L23</f>
        <v>0</v>
      </c>
      <c r="BI25" s="607"/>
      <c r="BJ25" s="291"/>
      <c r="BK25" s="880">
        <f t="shared" si="28"/>
        <v>0</v>
      </c>
      <c r="BL25" s="880">
        <f t="shared" si="17"/>
        <v>0</v>
      </c>
      <c r="BN25" s="925">
        <f t="shared" si="18"/>
        <v>751721.33333333337</v>
      </c>
    </row>
    <row r="26" spans="1:66" s="269" customFormat="1" ht="44.25" customHeight="1">
      <c r="A26" s="394">
        <v>17</v>
      </c>
      <c r="B26" s="858"/>
      <c r="C26" s="864"/>
      <c r="D26" s="865" t="s">
        <v>390</v>
      </c>
      <c r="E26" s="278">
        <f>Sheet2!D24</f>
        <v>16</v>
      </c>
      <c r="F26" s="396">
        <v>134500</v>
      </c>
      <c r="G26" s="773">
        <f t="shared" si="34"/>
        <v>2152000</v>
      </c>
      <c r="H26" s="278">
        <f>Sheet2!E24</f>
        <v>2</v>
      </c>
      <c r="I26" s="866">
        <f t="shared" si="20"/>
        <v>269000</v>
      </c>
      <c r="J26" s="278">
        <f>Sheet2!F24</f>
        <v>1</v>
      </c>
      <c r="K26" s="411">
        <f t="shared" si="35"/>
        <v>134500</v>
      </c>
      <c r="L26" s="278">
        <f>Sheet2!G24</f>
        <v>4</v>
      </c>
      <c r="M26" s="858">
        <f t="shared" si="36"/>
        <v>538000</v>
      </c>
      <c r="N26" s="278">
        <f>Sheet2!H24</f>
        <v>2</v>
      </c>
      <c r="O26" s="867">
        <f t="shared" si="37"/>
        <v>269000</v>
      </c>
      <c r="P26" s="858"/>
      <c r="Q26" s="867"/>
      <c r="R26" s="858">
        <f t="shared" si="31"/>
        <v>25</v>
      </c>
      <c r="S26" s="868">
        <v>2250</v>
      </c>
      <c r="T26" s="858">
        <f t="shared" si="23"/>
        <v>56250</v>
      </c>
      <c r="U26" s="866"/>
      <c r="V26" s="858"/>
      <c r="W26" s="866"/>
      <c r="X26" s="858"/>
      <c r="Y26" s="864"/>
      <c r="Z26" s="869">
        <v>2500</v>
      </c>
      <c r="AA26" s="858"/>
      <c r="AB26" s="858"/>
      <c r="AC26" s="866"/>
      <c r="AD26" s="866"/>
      <c r="AE26" s="278">
        <f>Sheet2!N24</f>
        <v>0</v>
      </c>
      <c r="AF26" s="278">
        <f>Sheet2!O24</f>
        <v>175000</v>
      </c>
      <c r="AG26" s="776">
        <v>157500</v>
      </c>
      <c r="AH26" s="869"/>
      <c r="AI26" s="869"/>
      <c r="AJ26" s="870"/>
      <c r="AK26" s="869"/>
      <c r="AL26" s="399">
        <f>-Sheet2!P24</f>
        <v>347480.09708737861</v>
      </c>
      <c r="AM26" s="858"/>
      <c r="AN26" s="399">
        <f t="shared" si="6"/>
        <v>3406269.9029126214</v>
      </c>
      <c r="AO26" s="250">
        <f t="shared" si="7"/>
        <v>80750</v>
      </c>
      <c r="AP26" s="600">
        <f t="shared" si="8"/>
        <v>183302.5</v>
      </c>
      <c r="AQ26" s="871">
        <f t="shared" si="45"/>
        <v>264052.5</v>
      </c>
      <c r="AR26" s="250">
        <f t="shared" si="10"/>
        <v>40375</v>
      </c>
      <c r="AS26" s="250">
        <f t="shared" si="11"/>
        <v>161500</v>
      </c>
      <c r="AT26" s="250">
        <f t="shared" si="12"/>
        <v>40375</v>
      </c>
      <c r="AU26" s="250">
        <f t="shared" si="13"/>
        <v>80750</v>
      </c>
      <c r="AV26" s="872">
        <f t="shared" si="46"/>
        <v>323000</v>
      </c>
      <c r="AW26" s="858">
        <v>4000</v>
      </c>
      <c r="AX26" s="278">
        <f>PAJAK!AK55</f>
        <v>0</v>
      </c>
      <c r="AY26" s="858"/>
      <c r="AZ26" s="858"/>
      <c r="BA26" s="873"/>
      <c r="BB26" s="873"/>
      <c r="BC26" s="873"/>
      <c r="BD26" s="873"/>
      <c r="BE26" s="639">
        <v>113237</v>
      </c>
      <c r="BF26" s="399">
        <f t="shared" si="27"/>
        <v>3354006.9029126214</v>
      </c>
      <c r="BG26" s="745">
        <f>Sheet2!K24</f>
        <v>1</v>
      </c>
      <c r="BH26" s="781">
        <f>Sheet2!L24</f>
        <v>5</v>
      </c>
      <c r="BI26" s="607"/>
      <c r="BJ26" s="291"/>
      <c r="BK26" s="880">
        <f t="shared" si="28"/>
        <v>6</v>
      </c>
      <c r="BL26" s="880">
        <f t="shared" si="17"/>
        <v>-807000</v>
      </c>
      <c r="BM26" s="887"/>
      <c r="BN26" s="925">
        <f t="shared" si="18"/>
        <v>43769.902912621386</v>
      </c>
    </row>
    <row r="27" spans="1:66" s="269" customFormat="1" ht="44.25" customHeight="1">
      <c r="A27" s="658">
        <v>18</v>
      </c>
      <c r="B27" s="858"/>
      <c r="C27" s="864"/>
      <c r="D27" s="865" t="s">
        <v>327</v>
      </c>
      <c r="E27" s="278">
        <f>Sheet2!D25</f>
        <v>22</v>
      </c>
      <c r="F27" s="396">
        <v>134500</v>
      </c>
      <c r="G27" s="773">
        <f t="shared" si="34"/>
        <v>2959000</v>
      </c>
      <c r="H27" s="278">
        <f>Sheet2!E25</f>
        <v>1</v>
      </c>
      <c r="I27" s="866">
        <f t="shared" si="20"/>
        <v>134500</v>
      </c>
      <c r="J27" s="278">
        <f>Sheet2!F25</f>
        <v>1</v>
      </c>
      <c r="K27" s="411">
        <f t="shared" si="35"/>
        <v>134500</v>
      </c>
      <c r="L27" s="278">
        <f>Sheet2!G25</f>
        <v>4</v>
      </c>
      <c r="M27" s="858">
        <f t="shared" si="36"/>
        <v>538000</v>
      </c>
      <c r="N27" s="278">
        <f>Sheet2!H25</f>
        <v>2</v>
      </c>
      <c r="O27" s="867">
        <f t="shared" si="37"/>
        <v>269000</v>
      </c>
      <c r="P27" s="858"/>
      <c r="Q27" s="867"/>
      <c r="R27" s="858">
        <f t="shared" si="31"/>
        <v>30</v>
      </c>
      <c r="S27" s="868">
        <v>4650</v>
      </c>
      <c r="T27" s="858">
        <f t="shared" si="23"/>
        <v>139500</v>
      </c>
      <c r="U27" s="866"/>
      <c r="V27" s="858"/>
      <c r="W27" s="866"/>
      <c r="X27" s="858"/>
      <c r="Y27" s="864"/>
      <c r="Z27" s="923">
        <v>40000</v>
      </c>
      <c r="AA27" s="858"/>
      <c r="AB27" s="858"/>
      <c r="AC27" s="866"/>
      <c r="AD27" s="866"/>
      <c r="AE27" s="278">
        <f>Sheet2!N25</f>
        <v>162712</v>
      </c>
      <c r="AF27" s="278">
        <f>Sheet2!O25</f>
        <v>313250</v>
      </c>
      <c r="AG27" s="776">
        <v>150500</v>
      </c>
      <c r="AH27" s="869"/>
      <c r="AI27" s="869"/>
      <c r="AJ27" s="870"/>
      <c r="AK27" s="869"/>
      <c r="AL27" s="399">
        <f>-Sheet2!P25</f>
        <v>101622.22222222222</v>
      </c>
      <c r="AM27" s="858"/>
      <c r="AN27" s="399">
        <f t="shared" si="6"/>
        <v>4739339.777777778</v>
      </c>
      <c r="AO27" s="250">
        <f t="shared" si="7"/>
        <v>81500</v>
      </c>
      <c r="AP27" s="600">
        <f t="shared" si="8"/>
        <v>185005</v>
      </c>
      <c r="AQ27" s="871">
        <f t="shared" si="45"/>
        <v>266505</v>
      </c>
      <c r="AR27" s="250">
        <f t="shared" si="10"/>
        <v>40750</v>
      </c>
      <c r="AS27" s="250">
        <f t="shared" si="11"/>
        <v>163000</v>
      </c>
      <c r="AT27" s="250">
        <f t="shared" si="12"/>
        <v>40750</v>
      </c>
      <c r="AU27" s="250">
        <f t="shared" si="13"/>
        <v>81500</v>
      </c>
      <c r="AV27" s="872">
        <f t="shared" si="46"/>
        <v>326000</v>
      </c>
      <c r="AW27" s="858">
        <v>4000</v>
      </c>
      <c r="AX27" s="278">
        <f>PAJAK!AK56</f>
        <v>0</v>
      </c>
      <c r="AY27" s="858"/>
      <c r="AZ27" s="858"/>
      <c r="BA27" s="873"/>
      <c r="BB27" s="873"/>
      <c r="BC27" s="873"/>
      <c r="BD27" s="873"/>
      <c r="BE27" s="639">
        <v>85072</v>
      </c>
      <c r="BF27" s="399">
        <f t="shared" si="27"/>
        <v>4657411.777777778</v>
      </c>
      <c r="BG27" s="745">
        <f>Sheet2!K25</f>
        <v>0</v>
      </c>
      <c r="BH27" s="781">
        <f>Sheet2!L25</f>
        <v>1</v>
      </c>
      <c r="BI27" s="607"/>
      <c r="BJ27" s="291"/>
      <c r="BK27" s="880">
        <f t="shared" si="28"/>
        <v>1</v>
      </c>
      <c r="BL27" s="880">
        <f t="shared" si="17"/>
        <v>-134500</v>
      </c>
      <c r="BN27" s="925">
        <f t="shared" si="18"/>
        <v>704339.77777777775</v>
      </c>
    </row>
    <row r="28" spans="1:66" s="269" customFormat="1" ht="44.25" customHeight="1">
      <c r="A28" s="394">
        <v>19</v>
      </c>
      <c r="B28" s="858"/>
      <c r="C28" s="864"/>
      <c r="D28" s="865" t="s">
        <v>357</v>
      </c>
      <c r="E28" s="278">
        <f>Sheet2!D26</f>
        <v>21</v>
      </c>
      <c r="F28" s="396">
        <v>134500</v>
      </c>
      <c r="G28" s="773">
        <f t="shared" si="34"/>
        <v>2824500</v>
      </c>
      <c r="H28" s="278">
        <f>Sheet2!E26</f>
        <v>2</v>
      </c>
      <c r="I28" s="866">
        <f t="shared" si="20"/>
        <v>269000</v>
      </c>
      <c r="J28" s="278">
        <f>Sheet2!F26</f>
        <v>0</v>
      </c>
      <c r="K28" s="411">
        <f t="shared" si="35"/>
        <v>0</v>
      </c>
      <c r="L28" s="278">
        <f>Sheet2!G26</f>
        <v>4</v>
      </c>
      <c r="M28" s="858">
        <f t="shared" si="36"/>
        <v>538000</v>
      </c>
      <c r="N28" s="278">
        <f>Sheet2!H26</f>
        <v>2</v>
      </c>
      <c r="O28" s="867">
        <f t="shared" si="37"/>
        <v>269000</v>
      </c>
      <c r="P28" s="858"/>
      <c r="Q28" s="867"/>
      <c r="R28" s="858">
        <f t="shared" si="31"/>
        <v>29</v>
      </c>
      <c r="S28" s="868">
        <v>2250</v>
      </c>
      <c r="T28" s="858">
        <f t="shared" si="23"/>
        <v>65250</v>
      </c>
      <c r="U28" s="866"/>
      <c r="V28" s="858"/>
      <c r="W28" s="866"/>
      <c r="X28" s="858"/>
      <c r="Y28" s="864"/>
      <c r="Z28" s="869">
        <v>5000</v>
      </c>
      <c r="AA28" s="858"/>
      <c r="AB28" s="858"/>
      <c r="AC28" s="866"/>
      <c r="AD28" s="866"/>
      <c r="AE28" s="278">
        <f>Sheet2!N26</f>
        <v>136028</v>
      </c>
      <c r="AF28" s="278">
        <f>Sheet2!O26</f>
        <v>337750</v>
      </c>
      <c r="AG28" s="776">
        <v>366500</v>
      </c>
      <c r="AH28" s="869"/>
      <c r="AI28" s="869"/>
      <c r="AJ28" s="870"/>
      <c r="AK28" s="869"/>
      <c r="AL28" s="399">
        <f>-Sheet2!P26</f>
        <v>393038.88888888888</v>
      </c>
      <c r="AM28" s="858"/>
      <c r="AN28" s="399">
        <f t="shared" si="6"/>
        <v>4417989.111111111</v>
      </c>
      <c r="AO28" s="250">
        <f t="shared" si="7"/>
        <v>80800</v>
      </c>
      <c r="AP28" s="600">
        <f t="shared" si="8"/>
        <v>183416</v>
      </c>
      <c r="AQ28" s="871">
        <f t="shared" ref="AQ28:AQ29" si="47">SUM(AP28+AO28)</f>
        <v>264216</v>
      </c>
      <c r="AR28" s="250">
        <f t="shared" si="10"/>
        <v>40400</v>
      </c>
      <c r="AS28" s="250">
        <f t="shared" si="11"/>
        <v>161600</v>
      </c>
      <c r="AT28" s="250">
        <f t="shared" si="12"/>
        <v>40400</v>
      </c>
      <c r="AU28" s="250">
        <f t="shared" si="13"/>
        <v>80800</v>
      </c>
      <c r="AV28" s="872">
        <f t="shared" ref="AV28:AV29" si="48">AR28+AS28+AT28+AU28</f>
        <v>323200</v>
      </c>
      <c r="AW28" s="858"/>
      <c r="AX28" s="278">
        <f>PAJAK!AK57</f>
        <v>0</v>
      </c>
      <c r="AY28" s="858"/>
      <c r="AZ28" s="858"/>
      <c r="BA28" s="873"/>
      <c r="BB28" s="873"/>
      <c r="BC28" s="873"/>
      <c r="BD28" s="873"/>
      <c r="BE28" s="639"/>
      <c r="BF28" s="399">
        <f t="shared" si="27"/>
        <v>4256389.111111111</v>
      </c>
      <c r="BG28" s="745">
        <f>Sheet2!K26</f>
        <v>0</v>
      </c>
      <c r="BH28" s="781">
        <f>Sheet2!L26</f>
        <v>2</v>
      </c>
      <c r="BI28" s="607"/>
      <c r="BJ28" s="291"/>
      <c r="BK28" s="880">
        <f t="shared" si="28"/>
        <v>2</v>
      </c>
      <c r="BL28" s="880">
        <f t="shared" si="17"/>
        <v>-269000</v>
      </c>
      <c r="BN28" s="925">
        <f t="shared" si="18"/>
        <v>517489.11111111112</v>
      </c>
    </row>
    <row r="29" spans="1:66" s="269" customFormat="1" ht="44.25" customHeight="1">
      <c r="A29" s="658">
        <v>20</v>
      </c>
      <c r="B29" s="772"/>
      <c r="C29" s="775"/>
      <c r="D29" s="771" t="s">
        <v>395</v>
      </c>
      <c r="E29" s="278">
        <f>Sheet2!D27</f>
        <v>25</v>
      </c>
      <c r="F29" s="396">
        <v>134500</v>
      </c>
      <c r="G29" s="773">
        <f t="shared" si="34"/>
        <v>3362500</v>
      </c>
      <c r="H29" s="278">
        <f>Sheet2!E27</f>
        <v>0</v>
      </c>
      <c r="I29" s="866">
        <f t="shared" si="20"/>
        <v>0</v>
      </c>
      <c r="J29" s="278">
        <f>Sheet2!F27</f>
        <v>0</v>
      </c>
      <c r="K29" s="411">
        <f t="shared" si="35"/>
        <v>0</v>
      </c>
      <c r="L29" s="278">
        <f>Sheet2!G27</f>
        <v>4</v>
      </c>
      <c r="M29" s="858">
        <f t="shared" si="36"/>
        <v>538000</v>
      </c>
      <c r="N29" s="278">
        <f>Sheet2!H27</f>
        <v>2</v>
      </c>
      <c r="O29" s="867">
        <f t="shared" si="37"/>
        <v>269000</v>
      </c>
      <c r="P29" s="772"/>
      <c r="Q29" s="863"/>
      <c r="R29" s="858">
        <f t="shared" si="31"/>
        <v>31</v>
      </c>
      <c r="S29" s="868">
        <v>2250</v>
      </c>
      <c r="T29" s="858">
        <f t="shared" si="23"/>
        <v>69750</v>
      </c>
      <c r="U29" s="773"/>
      <c r="V29" s="772"/>
      <c r="W29" s="773"/>
      <c r="X29" s="772"/>
      <c r="Y29" s="775"/>
      <c r="Z29" s="902"/>
      <c r="AA29" s="772"/>
      <c r="AB29" s="772"/>
      <c r="AC29" s="773"/>
      <c r="AD29" s="773"/>
      <c r="AE29" s="278">
        <f>Sheet2!N27</f>
        <v>149386</v>
      </c>
      <c r="AF29" s="278">
        <f>Sheet2!O27</f>
        <v>455000</v>
      </c>
      <c r="AG29" s="776">
        <v>390500</v>
      </c>
      <c r="AH29" s="776"/>
      <c r="AI29" s="776"/>
      <c r="AJ29" s="777"/>
      <c r="AK29" s="776"/>
      <c r="AL29" s="399">
        <f>-Sheet2!P27</f>
        <v>114912.6213592233</v>
      </c>
      <c r="AM29" s="772"/>
      <c r="AN29" s="399">
        <f t="shared" si="6"/>
        <v>5119223.3786407765</v>
      </c>
      <c r="AO29" s="250">
        <f t="shared" si="7"/>
        <v>80700</v>
      </c>
      <c r="AP29" s="600">
        <f t="shared" si="8"/>
        <v>183189</v>
      </c>
      <c r="AQ29" s="871">
        <f t="shared" si="47"/>
        <v>263889</v>
      </c>
      <c r="AR29" s="250">
        <f t="shared" si="10"/>
        <v>40350</v>
      </c>
      <c r="AS29" s="250">
        <f t="shared" si="11"/>
        <v>161400</v>
      </c>
      <c r="AT29" s="250">
        <f t="shared" si="12"/>
        <v>40350</v>
      </c>
      <c r="AU29" s="250">
        <f t="shared" si="13"/>
        <v>80700</v>
      </c>
      <c r="AV29" s="872">
        <f t="shared" si="48"/>
        <v>322800</v>
      </c>
      <c r="AW29" s="772"/>
      <c r="AX29" s="278">
        <f>PAJAK!AK58</f>
        <v>0</v>
      </c>
      <c r="AY29" s="772"/>
      <c r="AZ29" s="772"/>
      <c r="BA29" s="780"/>
      <c r="BB29" s="780"/>
      <c r="BC29" s="780"/>
      <c r="BD29" s="780"/>
      <c r="BE29" s="1279"/>
      <c r="BF29" s="399">
        <f t="shared" si="27"/>
        <v>4957823.3786407765</v>
      </c>
      <c r="BG29" s="745">
        <f>Sheet2!K27</f>
        <v>0</v>
      </c>
      <c r="BH29" s="781">
        <f>Sheet2!L27</f>
        <v>0</v>
      </c>
      <c r="BI29" s="782"/>
      <c r="BJ29" s="291"/>
      <c r="BK29" s="905">
        <f t="shared" si="28"/>
        <v>0</v>
      </c>
      <c r="BL29" s="905">
        <f t="shared" si="17"/>
        <v>0</v>
      </c>
      <c r="BN29" s="925">
        <f t="shared" si="18"/>
        <v>949723.37864077673</v>
      </c>
    </row>
    <row r="30" spans="1:66" ht="44.25" customHeight="1" thickBot="1">
      <c r="A30" s="425"/>
      <c r="B30" s="426"/>
      <c r="C30" s="426"/>
      <c r="D30" s="427" t="s">
        <v>10</v>
      </c>
      <c r="E30" s="426">
        <f>SUM(E10:E29)</f>
        <v>451</v>
      </c>
      <c r="F30" s="426"/>
      <c r="G30" s="426">
        <f t="shared" ref="G30:BI30" si="49">SUM(G10:G29)</f>
        <v>60659500</v>
      </c>
      <c r="H30" s="426">
        <f t="shared" si="49"/>
        <v>25</v>
      </c>
      <c r="I30" s="426">
        <f t="shared" si="49"/>
        <v>3362500</v>
      </c>
      <c r="J30" s="426">
        <f t="shared" si="49"/>
        <v>15</v>
      </c>
      <c r="K30" s="426">
        <f t="shared" si="49"/>
        <v>2017500</v>
      </c>
      <c r="L30" s="426">
        <f t="shared" si="49"/>
        <v>80</v>
      </c>
      <c r="M30" s="426">
        <f t="shared" si="49"/>
        <v>10760000</v>
      </c>
      <c r="N30" s="426">
        <f t="shared" si="49"/>
        <v>40</v>
      </c>
      <c r="O30" s="426">
        <f t="shared" si="49"/>
        <v>5380000</v>
      </c>
      <c r="P30" s="426">
        <f t="shared" si="49"/>
        <v>0</v>
      </c>
      <c r="Q30" s="426">
        <f t="shared" si="49"/>
        <v>0</v>
      </c>
      <c r="R30" s="426">
        <f t="shared" si="49"/>
        <v>611</v>
      </c>
      <c r="S30" s="426">
        <f t="shared" si="49"/>
        <v>83950</v>
      </c>
      <c r="T30" s="426">
        <f t="shared" si="49"/>
        <v>2579800</v>
      </c>
      <c r="U30" s="426">
        <f t="shared" si="49"/>
        <v>6000</v>
      </c>
      <c r="V30" s="426">
        <f t="shared" si="49"/>
        <v>31</v>
      </c>
      <c r="W30" s="426">
        <f t="shared" si="49"/>
        <v>89500</v>
      </c>
      <c r="X30" s="426">
        <f t="shared" si="49"/>
        <v>10000</v>
      </c>
      <c r="Y30" s="426">
        <f t="shared" si="49"/>
        <v>3</v>
      </c>
      <c r="Z30" s="426">
        <f t="shared" si="49"/>
        <v>199500</v>
      </c>
      <c r="AA30" s="426">
        <f t="shared" si="49"/>
        <v>0</v>
      </c>
      <c r="AB30" s="426">
        <f t="shared" si="49"/>
        <v>2239800</v>
      </c>
      <c r="AC30" s="426">
        <f t="shared" si="49"/>
        <v>250000</v>
      </c>
      <c r="AD30" s="426">
        <f t="shared" si="49"/>
        <v>548106.95000000007</v>
      </c>
      <c r="AE30" s="426">
        <f t="shared" si="49"/>
        <v>5737481</v>
      </c>
      <c r="AF30" s="426">
        <f t="shared" si="49"/>
        <v>7749000</v>
      </c>
      <c r="AG30" s="426">
        <f t="shared" si="49"/>
        <v>8016500</v>
      </c>
      <c r="AH30" s="426">
        <f t="shared" si="49"/>
        <v>0</v>
      </c>
      <c r="AI30" s="426">
        <f t="shared" si="49"/>
        <v>620410</v>
      </c>
      <c r="AJ30" s="426">
        <f t="shared" si="49"/>
        <v>0</v>
      </c>
      <c r="AK30" s="426">
        <f t="shared" si="49"/>
        <v>0</v>
      </c>
      <c r="AL30" s="426">
        <f t="shared" si="49"/>
        <v>1653334.3581445522</v>
      </c>
      <c r="AM30" s="426">
        <f t="shared" si="49"/>
        <v>0</v>
      </c>
      <c r="AN30" s="426">
        <f t="shared" si="49"/>
        <v>108556263.59185542</v>
      </c>
      <c r="AO30" s="426">
        <f t="shared" si="49"/>
        <v>1617990</v>
      </c>
      <c r="AP30" s="426">
        <f t="shared" si="49"/>
        <v>3672837.3</v>
      </c>
      <c r="AQ30" s="426">
        <f t="shared" si="49"/>
        <v>5290827.3</v>
      </c>
      <c r="AR30" s="426">
        <f t="shared" si="49"/>
        <v>808995</v>
      </c>
      <c r="AS30" s="426">
        <f t="shared" si="49"/>
        <v>3235980</v>
      </c>
      <c r="AT30" s="426">
        <f t="shared" si="49"/>
        <v>808995</v>
      </c>
      <c r="AU30" s="426">
        <f t="shared" si="49"/>
        <v>1617990</v>
      </c>
      <c r="AV30" s="426">
        <f t="shared" si="49"/>
        <v>6471960</v>
      </c>
      <c r="AW30" s="426">
        <f t="shared" si="49"/>
        <v>36000</v>
      </c>
      <c r="AX30" s="426">
        <f t="shared" si="49"/>
        <v>182312</v>
      </c>
      <c r="AY30" s="426">
        <f t="shared" si="49"/>
        <v>0</v>
      </c>
      <c r="AZ30" s="426">
        <f t="shared" si="49"/>
        <v>0</v>
      </c>
      <c r="BA30" s="426">
        <f t="shared" si="49"/>
        <v>0</v>
      </c>
      <c r="BB30" s="426">
        <f t="shared" si="49"/>
        <v>0</v>
      </c>
      <c r="BC30" s="426">
        <f t="shared" si="49"/>
        <v>0</v>
      </c>
      <c r="BD30" s="426">
        <f t="shared" si="49"/>
        <v>0</v>
      </c>
      <c r="BE30" s="426">
        <f t="shared" si="49"/>
        <v>1461885</v>
      </c>
      <c r="BF30" s="426">
        <f t="shared" si="49"/>
        <v>106563856.59185542</v>
      </c>
      <c r="BG30" s="426">
        <f t="shared" si="49"/>
        <v>1</v>
      </c>
      <c r="BH30" s="914">
        <f t="shared" si="49"/>
        <v>8</v>
      </c>
      <c r="BI30" s="913">
        <f t="shared" si="49"/>
        <v>0</v>
      </c>
      <c r="BK30" s="350">
        <f t="shared" si="28"/>
        <v>9</v>
      </c>
      <c r="BL30" s="350">
        <f>SUM(BL10:BL28)</f>
        <v>-1210500</v>
      </c>
      <c r="BN30" s="925">
        <f t="shared" si="18"/>
        <v>25578656.641855448</v>
      </c>
    </row>
    <row r="31" spans="1:66">
      <c r="A31" s="428"/>
      <c r="B31" s="429"/>
      <c r="C31" s="429"/>
      <c r="M31" s="430"/>
      <c r="N31" s="289"/>
      <c r="O31" s="289"/>
    </row>
    <row r="32" spans="1:66" s="620" customFormat="1" ht="30.75" customHeight="1">
      <c r="A32" s="289"/>
      <c r="B32" s="289"/>
      <c r="C32" s="289"/>
      <c r="D32" s="290" t="s">
        <v>178</v>
      </c>
      <c r="E32" s="289"/>
      <c r="F32" s="291"/>
      <c r="G32" s="289"/>
      <c r="H32" s="289"/>
      <c r="I32" s="289"/>
      <c r="J32" s="289"/>
      <c r="K32" s="1345" t="s">
        <v>179</v>
      </c>
      <c r="L32" s="1345"/>
      <c r="M32" s="1345"/>
      <c r="N32" s="289"/>
      <c r="O32" s="289"/>
      <c r="P32" s="289"/>
      <c r="Q32" s="292"/>
      <c r="R32" s="292"/>
      <c r="S32" s="292"/>
      <c r="T32" s="292"/>
      <c r="U32" s="292"/>
      <c r="V32" s="292"/>
      <c r="W32" s="292"/>
      <c r="X32" s="292"/>
      <c r="Y32" s="292"/>
      <c r="Z32" s="619"/>
      <c r="AA32" s="619"/>
      <c r="AB32" s="741"/>
      <c r="AC32" s="619"/>
      <c r="AD32" s="619"/>
      <c r="AE32" s="292"/>
      <c r="AF32" s="1202" t="s">
        <v>180</v>
      </c>
      <c r="AG32" s="1202"/>
      <c r="AH32" s="1202"/>
      <c r="AI32" s="1202"/>
      <c r="AJ32" s="1202"/>
      <c r="AK32" s="1202"/>
      <c r="AL32" s="1202"/>
      <c r="AM32" s="1202"/>
      <c r="AO32" s="292"/>
      <c r="AP32" s="292"/>
      <c r="AQ32" s="1345" t="s">
        <v>113</v>
      </c>
      <c r="AR32" s="1345"/>
      <c r="AS32" s="1345"/>
      <c r="AT32" s="292"/>
      <c r="AU32" s="292"/>
      <c r="AV32" s="292"/>
      <c r="AW32" s="292"/>
      <c r="AX32" s="292"/>
      <c r="AY32" s="292"/>
      <c r="AZ32" s="292"/>
      <c r="BA32" s="619"/>
      <c r="BB32" s="619"/>
      <c r="BE32" s="1275"/>
      <c r="BF32" s="620">
        <v>106702962</v>
      </c>
    </row>
    <row r="33" spans="1:60" s="620" customFormat="1">
      <c r="A33" s="289"/>
      <c r="B33" s="289"/>
      <c r="C33" s="289"/>
      <c r="D33" s="290"/>
      <c r="E33" s="289"/>
      <c r="F33" s="291"/>
      <c r="G33" s="289"/>
      <c r="H33" s="289"/>
      <c r="I33" s="289"/>
      <c r="J33" s="289"/>
      <c r="K33" s="618"/>
      <c r="L33" s="618"/>
      <c r="M33" s="618"/>
      <c r="N33" s="289"/>
      <c r="O33" s="289"/>
      <c r="P33" s="289"/>
      <c r="Q33" s="618"/>
      <c r="R33" s="618"/>
      <c r="S33" s="618"/>
      <c r="T33" s="618"/>
      <c r="U33" s="618"/>
      <c r="V33" s="618"/>
      <c r="W33" s="618"/>
      <c r="X33" s="618"/>
      <c r="Y33" s="292"/>
      <c r="Z33" s="619"/>
      <c r="AA33" s="619"/>
      <c r="AB33" s="741"/>
      <c r="AC33" s="619"/>
      <c r="AD33" s="619"/>
      <c r="AE33" s="292"/>
      <c r="AF33" s="292"/>
      <c r="AH33" s="618"/>
      <c r="AI33" s="618"/>
      <c r="AJ33" s="618"/>
      <c r="AK33" s="618"/>
      <c r="AL33" s="618"/>
      <c r="AM33" s="618"/>
      <c r="AQ33" s="618"/>
      <c r="AR33" s="618"/>
      <c r="AS33" s="618"/>
      <c r="AT33" s="292"/>
      <c r="AU33" s="292"/>
      <c r="AV33" s="292"/>
      <c r="AW33" s="292"/>
      <c r="AX33" s="292"/>
      <c r="AY33" s="292"/>
      <c r="AZ33" s="292"/>
      <c r="BA33" s="619"/>
      <c r="BB33" s="619"/>
      <c r="BE33" s="1275"/>
      <c r="BF33" s="620">
        <f>BF32-BF30</f>
        <v>139105.40814457834</v>
      </c>
    </row>
    <row r="34" spans="1:60" s="620" customFormat="1" ht="15" customHeight="1">
      <c r="A34" s="223"/>
      <c r="B34" s="223"/>
      <c r="C34" s="618"/>
      <c r="D34" s="293"/>
      <c r="E34" s="618"/>
      <c r="F34" s="224"/>
      <c r="G34" s="618"/>
      <c r="K34" s="618"/>
      <c r="L34" s="618"/>
      <c r="M34" s="618"/>
      <c r="O34" s="618"/>
      <c r="P34" s="618"/>
      <c r="Q34" s="618"/>
      <c r="R34" s="618"/>
      <c r="S34" s="618"/>
      <c r="T34" s="618"/>
      <c r="U34" s="618"/>
      <c r="V34" s="618"/>
      <c r="W34" s="624"/>
      <c r="AB34" s="742"/>
      <c r="AH34" s="618"/>
      <c r="AI34" s="618"/>
      <c r="AJ34" s="618"/>
      <c r="AK34" s="618"/>
      <c r="AL34" s="618"/>
      <c r="AM34" s="624"/>
      <c r="AU34" s="620">
        <f>29*129220</f>
        <v>3747380</v>
      </c>
      <c r="AV34" s="620">
        <f>AE28+AF28+AG28+AK28</f>
        <v>840278</v>
      </c>
      <c r="AX34" s="620">
        <f>AU34+AV34</f>
        <v>4587658</v>
      </c>
      <c r="BA34" s="621"/>
      <c r="BB34" s="621"/>
      <c r="BE34" s="1275"/>
    </row>
    <row r="35" spans="1:60" s="620" customFormat="1" ht="15" customHeight="1">
      <c r="A35" s="624"/>
      <c r="B35" s="624"/>
      <c r="D35" s="296"/>
      <c r="F35" s="297"/>
      <c r="K35" s="1346"/>
      <c r="L35" s="1346"/>
      <c r="M35" s="1346"/>
      <c r="O35" s="298"/>
      <c r="P35" s="298"/>
      <c r="Q35" s="298"/>
      <c r="R35" s="298"/>
      <c r="S35" s="298"/>
      <c r="T35" s="298"/>
      <c r="U35" s="298"/>
      <c r="V35" s="298"/>
      <c r="W35" s="298"/>
      <c r="X35" s="298"/>
      <c r="AB35" s="742"/>
      <c r="AE35" s="298"/>
      <c r="AF35" s="298"/>
      <c r="AG35" s="298"/>
      <c r="AH35" s="298"/>
      <c r="AI35" s="298"/>
      <c r="AJ35" s="298"/>
      <c r="AK35" s="298"/>
      <c r="AL35" s="298"/>
      <c r="AM35" s="298"/>
      <c r="AO35" s="298"/>
      <c r="AP35" s="298"/>
      <c r="AQ35" s="1346"/>
      <c r="AR35" s="1346"/>
      <c r="AS35" s="1346"/>
      <c r="AT35" s="298"/>
      <c r="AU35" s="298"/>
      <c r="AV35" s="298"/>
      <c r="AW35" s="298"/>
      <c r="AX35" s="298">
        <f>AL28+AR28+AT28</f>
        <v>473838.88888888888</v>
      </c>
      <c r="AY35" s="298"/>
      <c r="AZ35" s="298"/>
      <c r="BA35" s="621"/>
      <c r="BB35" s="621"/>
      <c r="BE35" s="1275"/>
    </row>
    <row r="36" spans="1:60" s="620" customFormat="1" ht="17.25" customHeight="1">
      <c r="D36" s="296" t="s">
        <v>36</v>
      </c>
      <c r="F36" s="297"/>
      <c r="K36" s="1346" t="s">
        <v>182</v>
      </c>
      <c r="L36" s="1346"/>
      <c r="M36" s="1346"/>
      <c r="O36" s="299"/>
      <c r="P36" s="299"/>
      <c r="Q36" s="298"/>
      <c r="R36" s="298"/>
      <c r="S36" s="298"/>
      <c r="T36" s="298"/>
      <c r="U36" s="298"/>
      <c r="V36" s="298"/>
      <c r="W36" s="298"/>
      <c r="X36" s="298"/>
      <c r="AB36" s="742"/>
      <c r="AE36" s="299"/>
      <c r="AF36" s="1200" t="s">
        <v>181</v>
      </c>
      <c r="AG36" s="1200"/>
      <c r="AH36" s="1200"/>
      <c r="AI36" s="1200"/>
      <c r="AJ36" s="1200"/>
      <c r="AK36" s="1200"/>
      <c r="AL36" s="1200"/>
      <c r="AM36" s="1200"/>
      <c r="AO36" s="299"/>
      <c r="AP36" s="299"/>
      <c r="AQ36" s="1346" t="s">
        <v>319</v>
      </c>
      <c r="AR36" s="1346"/>
      <c r="AS36" s="1346"/>
      <c r="AT36" s="299"/>
      <c r="AU36" s="299"/>
      <c r="AV36" s="299"/>
      <c r="AW36" s="299"/>
      <c r="AX36" s="299">
        <f>AX34-AX35</f>
        <v>4113819.111111111</v>
      </c>
      <c r="AY36" s="299"/>
      <c r="AZ36" s="299"/>
      <c r="BA36" s="621"/>
      <c r="BB36" s="621"/>
      <c r="BE36" s="1275"/>
    </row>
    <row r="37" spans="1:60" s="620" customFormat="1" ht="15" customHeight="1">
      <c r="D37" s="300" t="s">
        <v>184</v>
      </c>
      <c r="F37" s="297"/>
      <c r="K37" s="1344" t="s">
        <v>185</v>
      </c>
      <c r="L37" s="1344"/>
      <c r="M37" s="1344"/>
      <c r="Q37" s="299"/>
      <c r="R37" s="299"/>
      <c r="S37" s="299"/>
      <c r="T37" s="299"/>
      <c r="U37" s="299"/>
      <c r="V37" s="299"/>
      <c r="W37" s="299"/>
      <c r="X37" s="299"/>
      <c r="AB37" s="742"/>
      <c r="AF37" s="1201" t="s">
        <v>183</v>
      </c>
      <c r="AG37" s="1201"/>
      <c r="AH37" s="1201"/>
      <c r="AI37" s="1201"/>
      <c r="AJ37" s="1201"/>
      <c r="AK37" s="1201"/>
      <c r="AL37" s="1201"/>
      <c r="AQ37" s="1344" t="s">
        <v>320</v>
      </c>
      <c r="AR37" s="1344"/>
      <c r="AS37" s="1344"/>
      <c r="AZ37" s="621"/>
      <c r="BA37" s="621"/>
      <c r="BB37" s="621"/>
      <c r="BE37" s="1275"/>
    </row>
    <row r="38" spans="1:60">
      <c r="D38" s="350"/>
      <c r="S38" s="350"/>
      <c r="AC38" s="304"/>
      <c r="BF38" s="350"/>
      <c r="BG38" s="350"/>
      <c r="BH38" s="350"/>
    </row>
    <row r="39" spans="1:60">
      <c r="D39" s="350"/>
      <c r="S39" s="350"/>
      <c r="BF39" s="350"/>
      <c r="BG39" s="350"/>
      <c r="BH39" s="350"/>
    </row>
    <row r="40" spans="1:60">
      <c r="D40" s="350"/>
      <c r="S40" s="350"/>
      <c r="BF40" s="350"/>
      <c r="BG40" s="350"/>
      <c r="BH40" s="350"/>
    </row>
    <row r="41" spans="1:60">
      <c r="D41" s="350"/>
      <c r="S41" s="350"/>
      <c r="AO41" s="304">
        <v>24</v>
      </c>
      <c r="AP41" s="302">
        <v>34985.550000000003</v>
      </c>
      <c r="AQ41" s="302">
        <f>AO41*AP41</f>
        <v>839653.20000000007</v>
      </c>
      <c r="AR41" s="431">
        <f>AQ41+AQ42</f>
        <v>1492716.8</v>
      </c>
      <c r="BF41" s="350"/>
      <c r="BG41" s="350"/>
      <c r="BH41" s="350"/>
    </row>
    <row r="42" spans="1:60">
      <c r="D42" s="350"/>
      <c r="S42" s="350"/>
      <c r="AC42" s="302"/>
      <c r="AO42" s="304">
        <v>14</v>
      </c>
      <c r="AP42" s="302">
        <v>46647.4</v>
      </c>
      <c r="AQ42" s="303">
        <f>AO42*AP42</f>
        <v>653063.6</v>
      </c>
      <c r="BF42" s="350"/>
      <c r="BG42" s="350"/>
      <c r="BH42" s="350"/>
    </row>
    <row r="43" spans="1:60">
      <c r="D43" s="350"/>
      <c r="S43" s="350"/>
      <c r="BF43" s="350"/>
      <c r="BG43" s="350"/>
      <c r="BH43" s="350"/>
    </row>
    <row r="44" spans="1:60">
      <c r="D44" s="350"/>
      <c r="S44" s="350"/>
      <c r="BF44" s="350"/>
      <c r="BG44" s="350"/>
      <c r="BH44" s="350"/>
    </row>
    <row r="45" spans="1:60">
      <c r="D45" s="350"/>
      <c r="S45" s="350"/>
      <c r="AC45" s="302"/>
      <c r="AE45" s="303"/>
      <c r="BF45" s="350"/>
      <c r="BG45" s="350"/>
      <c r="BH45" s="350"/>
    </row>
    <row r="46" spans="1:60">
      <c r="D46" s="350"/>
      <c r="K46" s="350">
        <f>744+17+4+120+30</f>
        <v>915</v>
      </c>
      <c r="S46" s="350"/>
      <c r="AC46" s="302"/>
      <c r="AL46" s="302"/>
      <c r="BF46" s="350"/>
      <c r="BG46" s="350"/>
      <c r="BH46" s="350"/>
    </row>
    <row r="47" spans="1:60">
      <c r="D47" s="350"/>
      <c r="S47" s="350">
        <f>27+36+4+5</f>
        <v>72</v>
      </c>
      <c r="AO47" s="297"/>
      <c r="AP47" s="303"/>
      <c r="AQ47" s="303"/>
      <c r="AR47" s="303"/>
      <c r="BF47" s="350"/>
      <c r="BG47" s="350"/>
      <c r="BH47" s="350"/>
    </row>
    <row r="48" spans="1:60">
      <c r="D48" s="350"/>
      <c r="S48" s="350"/>
      <c r="AO48" s="297"/>
      <c r="AP48" s="303"/>
      <c r="AQ48" s="303"/>
      <c r="AR48" s="297"/>
      <c r="BF48" s="350"/>
      <c r="BG48" s="350"/>
      <c r="BH48" s="350"/>
    </row>
    <row r="49" spans="4:60">
      <c r="D49" s="350"/>
      <c r="S49" s="350"/>
      <c r="BF49" s="350"/>
      <c r="BG49" s="350"/>
      <c r="BH49" s="350"/>
    </row>
    <row r="50" spans="4:60">
      <c r="D50" s="350"/>
      <c r="S50" s="350"/>
      <c r="BF50" s="350"/>
      <c r="BG50" s="350"/>
      <c r="BH50" s="350"/>
    </row>
    <row r="51" spans="4:60">
      <c r="D51" s="350"/>
      <c r="S51" s="350"/>
      <c r="BF51" s="350"/>
      <c r="BG51" s="350"/>
      <c r="BH51" s="350"/>
    </row>
    <row r="52" spans="4:60">
      <c r="D52" s="350"/>
      <c r="S52" s="350"/>
      <c r="AQ52" s="302"/>
      <c r="AR52" s="302"/>
      <c r="AS52" s="302"/>
      <c r="BF52" s="350"/>
      <c r="BG52" s="350"/>
      <c r="BH52" s="350"/>
    </row>
    <row r="53" spans="4:60">
      <c r="D53" s="350"/>
      <c r="S53" s="350"/>
      <c r="AQ53" s="302"/>
      <c r="AR53" s="302"/>
      <c r="BF53" s="350"/>
      <c r="BG53" s="350"/>
      <c r="BH53" s="350"/>
    </row>
    <row r="54" spans="4:60">
      <c r="D54" s="350"/>
      <c r="S54" s="350"/>
      <c r="BF54" s="350"/>
      <c r="BG54" s="350"/>
      <c r="BH54" s="350"/>
    </row>
    <row r="55" spans="4:60">
      <c r="D55" s="350"/>
      <c r="S55" s="350"/>
      <c r="BF55" s="350"/>
      <c r="BG55" s="350"/>
      <c r="BH55" s="350"/>
    </row>
    <row r="56" spans="4:60">
      <c r="D56" s="350"/>
      <c r="S56" s="350"/>
      <c r="AB56" s="742">
        <f>3.5*4</f>
        <v>14</v>
      </c>
      <c r="AC56" s="350">
        <f>62*15000</f>
        <v>930000</v>
      </c>
      <c r="AJ56" s="302"/>
      <c r="BF56" s="350"/>
      <c r="BG56" s="350"/>
      <c r="BH56" s="350"/>
    </row>
    <row r="57" spans="4:60">
      <c r="D57" s="350"/>
      <c r="S57" s="350"/>
      <c r="AB57" s="742">
        <f>16*3</f>
        <v>48</v>
      </c>
      <c r="AC57" s="350">
        <v>100000</v>
      </c>
      <c r="AJ57" s="302"/>
      <c r="BF57" s="350"/>
      <c r="BG57" s="350"/>
      <c r="BH57" s="350"/>
    </row>
    <row r="58" spans="4:60">
      <c r="D58" s="350"/>
      <c r="S58" s="350"/>
      <c r="AB58" s="742">
        <v>100</v>
      </c>
      <c r="AQ58" s="302"/>
      <c r="BF58" s="350"/>
      <c r="BG58" s="350"/>
      <c r="BH58" s="350"/>
    </row>
    <row r="59" spans="4:60">
      <c r="D59" s="350"/>
      <c r="S59" s="350"/>
      <c r="AC59" s="350">
        <f>1030000-200000</f>
        <v>830000</v>
      </c>
      <c r="AQ59" s="302"/>
      <c r="BF59" s="350"/>
      <c r="BG59" s="350"/>
      <c r="BH59" s="350"/>
    </row>
    <row r="60" spans="4:60">
      <c r="D60" s="350"/>
      <c r="S60" s="350"/>
      <c r="BF60" s="350"/>
      <c r="BG60" s="350"/>
      <c r="BH60" s="350"/>
    </row>
    <row r="61" spans="4:60">
      <c r="D61" s="350"/>
      <c r="S61" s="350"/>
      <c r="BF61" s="350"/>
      <c r="BG61" s="350"/>
      <c r="BH61" s="350"/>
    </row>
    <row r="62" spans="4:60">
      <c r="D62" s="350"/>
      <c r="S62" s="350"/>
      <c r="BF62" s="350"/>
      <c r="BG62" s="350"/>
      <c r="BH62" s="350"/>
    </row>
    <row r="63" spans="4:60">
      <c r="D63" s="350"/>
      <c r="S63" s="350"/>
      <c r="BF63" s="350"/>
      <c r="BG63" s="350"/>
      <c r="BH63" s="350"/>
    </row>
    <row r="64" spans="4:60">
      <c r="D64" s="350"/>
      <c r="S64" s="350"/>
      <c r="BF64" s="350"/>
      <c r="BG64" s="350"/>
      <c r="BH64" s="350"/>
    </row>
    <row r="65" spans="4:60">
      <c r="D65" s="350"/>
      <c r="S65" s="350"/>
      <c r="BF65" s="350"/>
      <c r="BG65" s="350"/>
      <c r="BH65" s="350"/>
    </row>
    <row r="66" spans="4:60">
      <c r="D66" s="350"/>
      <c r="S66" s="350"/>
      <c r="BF66" s="350"/>
      <c r="BG66" s="350"/>
      <c r="BH66" s="350"/>
    </row>
    <row r="67" spans="4:60">
      <c r="D67" s="350"/>
      <c r="S67" s="350"/>
      <c r="BF67" s="350"/>
      <c r="BG67" s="350"/>
      <c r="BH67" s="350"/>
    </row>
    <row r="68" spans="4:60">
      <c r="D68" s="350"/>
      <c r="S68" s="350"/>
      <c r="BF68" s="350"/>
      <c r="BG68" s="350"/>
      <c r="BH68" s="350"/>
    </row>
    <row r="69" spans="4:60">
      <c r="D69" s="350"/>
      <c r="S69" s="350"/>
      <c r="BF69" s="350"/>
      <c r="BG69" s="350"/>
      <c r="BH69" s="350"/>
    </row>
    <row r="70" spans="4:60">
      <c r="D70" s="350"/>
      <c r="S70" s="350"/>
      <c r="BF70" s="350"/>
      <c r="BG70" s="350"/>
      <c r="BH70" s="350"/>
    </row>
    <row r="71" spans="4:60">
      <c r="D71" s="350"/>
      <c r="S71" s="350"/>
      <c r="BF71" s="350"/>
      <c r="BG71" s="350"/>
      <c r="BH71" s="350"/>
    </row>
    <row r="72" spans="4:60">
      <c r="D72" s="350"/>
      <c r="S72" s="350"/>
      <c r="BF72" s="350"/>
      <c r="BG72" s="350"/>
      <c r="BH72" s="350"/>
    </row>
    <row r="73" spans="4:60">
      <c r="D73" s="350"/>
      <c r="S73" s="350"/>
      <c r="BF73" s="350"/>
      <c r="BG73" s="350"/>
      <c r="BH73" s="350"/>
    </row>
    <row r="74" spans="4:60">
      <c r="D74" s="350"/>
      <c r="S74" s="350"/>
      <c r="BF74" s="350"/>
      <c r="BG74" s="350"/>
      <c r="BH74" s="350"/>
    </row>
    <row r="75" spans="4:60">
      <c r="D75" s="350"/>
      <c r="S75" s="350"/>
      <c r="BF75" s="350"/>
      <c r="BG75" s="350"/>
      <c r="BH75" s="350"/>
    </row>
    <row r="76" spans="4:60">
      <c r="D76" s="350"/>
      <c r="S76" s="350"/>
      <c r="BF76" s="350"/>
      <c r="BG76" s="350"/>
      <c r="BH76" s="350"/>
    </row>
    <row r="77" spans="4:60">
      <c r="D77" s="350"/>
      <c r="S77" s="350"/>
      <c r="BF77" s="350"/>
      <c r="BG77" s="350"/>
      <c r="BH77" s="350"/>
    </row>
    <row r="78" spans="4:60">
      <c r="D78" s="350"/>
      <c r="S78" s="350"/>
      <c r="BF78" s="350"/>
      <c r="BG78" s="350"/>
      <c r="BH78" s="350"/>
    </row>
    <row r="79" spans="4:60">
      <c r="D79" s="350"/>
      <c r="S79" s="350"/>
      <c r="BF79" s="350"/>
      <c r="BG79" s="350"/>
      <c r="BH79" s="350"/>
    </row>
    <row r="80" spans="4:60">
      <c r="D80" s="350"/>
      <c r="S80" s="350"/>
      <c r="BF80" s="350"/>
      <c r="BG80" s="350"/>
      <c r="BH80" s="350"/>
    </row>
    <row r="81" spans="4:60">
      <c r="D81" s="350"/>
      <c r="S81" s="350"/>
      <c r="BF81" s="350"/>
      <c r="BG81" s="350"/>
      <c r="BH81" s="350"/>
    </row>
    <row r="82" spans="4:60">
      <c r="D82" s="350"/>
      <c r="S82" s="350"/>
      <c r="BF82" s="350"/>
      <c r="BG82" s="350"/>
      <c r="BH82" s="350"/>
    </row>
    <row r="83" spans="4:60">
      <c r="D83" s="350"/>
      <c r="S83" s="350"/>
      <c r="BF83" s="350"/>
      <c r="BG83" s="350"/>
      <c r="BH83" s="350"/>
    </row>
    <row r="84" spans="4:60">
      <c r="D84" s="350"/>
      <c r="S84" s="350"/>
      <c r="BF84" s="350"/>
      <c r="BG84" s="350"/>
      <c r="BH84" s="350"/>
    </row>
    <row r="85" spans="4:60">
      <c r="D85" s="350"/>
      <c r="S85" s="350"/>
      <c r="BF85" s="350"/>
      <c r="BG85" s="350"/>
      <c r="BH85" s="350"/>
    </row>
    <row r="86" spans="4:60">
      <c r="D86" s="350"/>
      <c r="S86" s="350"/>
      <c r="BF86" s="350"/>
      <c r="BG86" s="350"/>
      <c r="BH86" s="350"/>
    </row>
    <row r="87" spans="4:60">
      <c r="D87" s="350"/>
      <c r="S87" s="350"/>
      <c r="BF87" s="350"/>
      <c r="BG87" s="350"/>
      <c r="BH87" s="350"/>
    </row>
    <row r="88" spans="4:60">
      <c r="D88" s="350"/>
      <c r="S88" s="350"/>
      <c r="BF88" s="350"/>
      <c r="BG88" s="350"/>
      <c r="BH88" s="350"/>
    </row>
    <row r="89" spans="4:60">
      <c r="D89" s="350"/>
      <c r="S89" s="350"/>
      <c r="BF89" s="350"/>
      <c r="BG89" s="350"/>
      <c r="BH89" s="350"/>
    </row>
    <row r="90" spans="4:60">
      <c r="D90" s="350"/>
      <c r="S90" s="350"/>
      <c r="BF90" s="350"/>
      <c r="BG90" s="350"/>
      <c r="BH90" s="350"/>
    </row>
    <row r="91" spans="4:60">
      <c r="D91" s="350"/>
      <c r="S91" s="350"/>
      <c r="BF91" s="350"/>
      <c r="BG91" s="350"/>
      <c r="BH91" s="350"/>
    </row>
    <row r="92" spans="4:60">
      <c r="D92" s="350"/>
      <c r="S92" s="350"/>
      <c r="BF92" s="350"/>
      <c r="BG92" s="350"/>
      <c r="BH92" s="350"/>
    </row>
    <row r="93" spans="4:60">
      <c r="D93" s="350"/>
      <c r="S93" s="350"/>
      <c r="BF93" s="350"/>
      <c r="BG93" s="350"/>
      <c r="BH93" s="350"/>
    </row>
    <row r="94" spans="4:60">
      <c r="D94" s="350"/>
      <c r="S94" s="350"/>
      <c r="BF94" s="350"/>
      <c r="BG94" s="350"/>
      <c r="BH94" s="350"/>
    </row>
    <row r="95" spans="4:60">
      <c r="D95" s="350"/>
      <c r="S95" s="350"/>
      <c r="BF95" s="350"/>
      <c r="BG95" s="350"/>
      <c r="BH95" s="350"/>
    </row>
    <row r="96" spans="4:60">
      <c r="D96" s="350"/>
      <c r="S96" s="350"/>
      <c r="BF96" s="350"/>
      <c r="BG96" s="350"/>
      <c r="BH96" s="350"/>
    </row>
    <row r="97" spans="4:60">
      <c r="D97" s="350"/>
      <c r="S97" s="350"/>
      <c r="BF97" s="350"/>
      <c r="BG97" s="350"/>
      <c r="BH97" s="350"/>
    </row>
    <row r="98" spans="4:60">
      <c r="D98" s="350"/>
      <c r="S98" s="350"/>
      <c r="BF98" s="350"/>
      <c r="BG98" s="350"/>
      <c r="BH98" s="350"/>
    </row>
    <row r="99" spans="4:60">
      <c r="D99" s="350"/>
      <c r="S99" s="350"/>
      <c r="BF99" s="350"/>
      <c r="BG99" s="350"/>
      <c r="BH99" s="350"/>
    </row>
    <row r="100" spans="4:60">
      <c r="D100" s="350"/>
      <c r="S100" s="350"/>
      <c r="BF100" s="350"/>
      <c r="BG100" s="350"/>
      <c r="BH100" s="350"/>
    </row>
    <row r="101" spans="4:60">
      <c r="D101" s="350"/>
      <c r="S101" s="350"/>
      <c r="BF101" s="350"/>
      <c r="BG101" s="350"/>
      <c r="BH101" s="350"/>
    </row>
    <row r="102" spans="4:60">
      <c r="D102" s="350"/>
      <c r="S102" s="350"/>
      <c r="BF102" s="350"/>
      <c r="BG102" s="350"/>
      <c r="BH102" s="350"/>
    </row>
    <row r="103" spans="4:60">
      <c r="D103" s="350"/>
      <c r="S103" s="350"/>
      <c r="BF103" s="350"/>
      <c r="BG103" s="350"/>
      <c r="BH103" s="350"/>
    </row>
    <row r="104" spans="4:60">
      <c r="D104" s="350"/>
      <c r="S104" s="350"/>
      <c r="BF104" s="350"/>
      <c r="BG104" s="350"/>
      <c r="BH104" s="350"/>
    </row>
    <row r="105" spans="4:60">
      <c r="D105" s="350"/>
      <c r="S105" s="350"/>
      <c r="BF105" s="350"/>
      <c r="BG105" s="350"/>
      <c r="BH105" s="350"/>
    </row>
    <row r="106" spans="4:60">
      <c r="D106" s="350"/>
      <c r="S106" s="350"/>
      <c r="BF106" s="350"/>
      <c r="BG106" s="350"/>
      <c r="BH106" s="350"/>
    </row>
    <row r="107" spans="4:60">
      <c r="D107" s="350"/>
      <c r="S107" s="350"/>
      <c r="BF107" s="350"/>
      <c r="BG107" s="350"/>
      <c r="BH107" s="350"/>
    </row>
    <row r="108" spans="4:60">
      <c r="D108" s="350"/>
      <c r="S108" s="350"/>
      <c r="BF108" s="350"/>
      <c r="BG108" s="350"/>
      <c r="BH108" s="350"/>
    </row>
    <row r="109" spans="4:60">
      <c r="D109" s="350"/>
      <c r="S109" s="350"/>
      <c r="BF109" s="350"/>
      <c r="BG109" s="350"/>
      <c r="BH109" s="350"/>
    </row>
    <row r="110" spans="4:60">
      <c r="D110" s="350"/>
      <c r="S110" s="350"/>
      <c r="BF110" s="350"/>
      <c r="BG110" s="350"/>
      <c r="BH110" s="350"/>
    </row>
    <row r="111" spans="4:60">
      <c r="D111" s="350"/>
      <c r="S111" s="350"/>
      <c r="BF111" s="350"/>
      <c r="BG111" s="350"/>
      <c r="BH111" s="350"/>
    </row>
    <row r="112" spans="4:60">
      <c r="D112" s="350"/>
      <c r="S112" s="350"/>
      <c r="BF112" s="350"/>
      <c r="BG112" s="350"/>
      <c r="BH112" s="350"/>
    </row>
    <row r="113" spans="4:60">
      <c r="D113" s="350"/>
      <c r="S113" s="350"/>
      <c r="BF113" s="350"/>
      <c r="BG113" s="350"/>
      <c r="BH113" s="350"/>
    </row>
    <row r="114" spans="4:60">
      <c r="D114" s="350"/>
      <c r="S114" s="350"/>
      <c r="BF114" s="350"/>
      <c r="BG114" s="350"/>
      <c r="BH114" s="350"/>
    </row>
    <row r="115" spans="4:60">
      <c r="D115" s="350"/>
      <c r="S115" s="350"/>
      <c r="BF115" s="350"/>
      <c r="BG115" s="350"/>
      <c r="BH115" s="350"/>
    </row>
    <row r="116" spans="4:60">
      <c r="D116" s="350"/>
      <c r="S116" s="350"/>
      <c r="BF116" s="350"/>
      <c r="BG116" s="350"/>
      <c r="BH116" s="350"/>
    </row>
    <row r="117" spans="4:60">
      <c r="D117" s="350"/>
      <c r="S117" s="350"/>
      <c r="BF117" s="350"/>
      <c r="BG117" s="350"/>
      <c r="BH117" s="350"/>
    </row>
    <row r="118" spans="4:60">
      <c r="D118" s="350"/>
      <c r="S118" s="350"/>
      <c r="BF118" s="350"/>
      <c r="BG118" s="350"/>
      <c r="BH118" s="350"/>
    </row>
    <row r="119" spans="4:60">
      <c r="D119" s="350"/>
      <c r="S119" s="350"/>
      <c r="BF119" s="350"/>
      <c r="BG119" s="350"/>
      <c r="BH119" s="350"/>
    </row>
    <row r="120" spans="4:60">
      <c r="D120" s="350"/>
      <c r="S120" s="350"/>
      <c r="BF120" s="350"/>
      <c r="BG120" s="350"/>
      <c r="BH120" s="350"/>
    </row>
    <row r="121" spans="4:60">
      <c r="D121" s="350"/>
      <c r="S121" s="350"/>
      <c r="BF121" s="350"/>
      <c r="BG121" s="350"/>
      <c r="BH121" s="350"/>
    </row>
    <row r="122" spans="4:60">
      <c r="D122" s="350"/>
      <c r="S122" s="350"/>
      <c r="BF122" s="350"/>
      <c r="BG122" s="350"/>
      <c r="BH122" s="350"/>
    </row>
    <row r="123" spans="4:60">
      <c r="D123" s="350"/>
      <c r="S123" s="350"/>
      <c r="BF123" s="350"/>
      <c r="BG123" s="350"/>
      <c r="BH123" s="350"/>
    </row>
    <row r="124" spans="4:60">
      <c r="D124" s="350"/>
      <c r="S124" s="350"/>
      <c r="BF124" s="350"/>
      <c r="BG124" s="350"/>
      <c r="BH124" s="350"/>
    </row>
    <row r="125" spans="4:60">
      <c r="D125" s="350"/>
      <c r="S125" s="350"/>
      <c r="BF125" s="350"/>
      <c r="BG125" s="350"/>
      <c r="BH125" s="350"/>
    </row>
    <row r="126" spans="4:60">
      <c r="D126" s="350"/>
      <c r="S126" s="350"/>
      <c r="BF126" s="350"/>
      <c r="BG126" s="350"/>
      <c r="BH126" s="350"/>
    </row>
    <row r="127" spans="4:60">
      <c r="D127" s="350"/>
      <c r="S127" s="350"/>
      <c r="BF127" s="350"/>
      <c r="BG127" s="350"/>
      <c r="BH127" s="350"/>
    </row>
    <row r="128" spans="4:60">
      <c r="D128" s="350"/>
      <c r="S128" s="350"/>
      <c r="BF128" s="350"/>
      <c r="BG128" s="350"/>
      <c r="BH128" s="350"/>
    </row>
    <row r="129" spans="4:60">
      <c r="D129" s="350"/>
      <c r="S129" s="350"/>
      <c r="BF129" s="350"/>
      <c r="BG129" s="350"/>
      <c r="BH129" s="350"/>
    </row>
    <row r="130" spans="4:60">
      <c r="D130" s="350"/>
      <c r="S130" s="350"/>
      <c r="BF130" s="350"/>
      <c r="BG130" s="350"/>
      <c r="BH130" s="350"/>
    </row>
    <row r="131" spans="4:60">
      <c r="D131" s="350"/>
      <c r="S131" s="350"/>
      <c r="BF131" s="350"/>
      <c r="BG131" s="350"/>
      <c r="BH131" s="350"/>
    </row>
    <row r="132" spans="4:60">
      <c r="D132" s="350"/>
      <c r="S132" s="350"/>
      <c r="BF132" s="350"/>
      <c r="BG132" s="350"/>
      <c r="BH132" s="350"/>
    </row>
    <row r="133" spans="4:60">
      <c r="D133" s="350"/>
      <c r="S133" s="350"/>
      <c r="BF133" s="350"/>
      <c r="BG133" s="350"/>
      <c r="BH133" s="350"/>
    </row>
    <row r="134" spans="4:60">
      <c r="D134" s="350"/>
      <c r="S134" s="350"/>
      <c r="BF134" s="350"/>
      <c r="BG134" s="350"/>
      <c r="BH134" s="350"/>
    </row>
    <row r="135" spans="4:60">
      <c r="D135" s="350"/>
      <c r="S135" s="350"/>
      <c r="BF135" s="350"/>
      <c r="BG135" s="350"/>
      <c r="BH135" s="350"/>
    </row>
    <row r="136" spans="4:60">
      <c r="D136" s="350"/>
      <c r="S136" s="350"/>
      <c r="BF136" s="350"/>
      <c r="BG136" s="350"/>
      <c r="BH136" s="350"/>
    </row>
    <row r="137" spans="4:60">
      <c r="D137" s="350"/>
      <c r="S137" s="350"/>
      <c r="BF137" s="350"/>
      <c r="BG137" s="350"/>
      <c r="BH137" s="350"/>
    </row>
    <row r="138" spans="4:60">
      <c r="D138" s="350"/>
      <c r="S138" s="350"/>
      <c r="BF138" s="350"/>
      <c r="BG138" s="350"/>
      <c r="BH138" s="350"/>
    </row>
    <row r="139" spans="4:60">
      <c r="D139" s="350"/>
      <c r="S139" s="350"/>
      <c r="BF139" s="350"/>
      <c r="BG139" s="350"/>
      <c r="BH139" s="350"/>
    </row>
    <row r="140" spans="4:60">
      <c r="D140" s="350"/>
      <c r="S140" s="350"/>
      <c r="BF140" s="350"/>
      <c r="BG140" s="350"/>
      <c r="BH140" s="350"/>
    </row>
    <row r="141" spans="4:60">
      <c r="D141" s="350"/>
      <c r="S141" s="350"/>
      <c r="BF141" s="350"/>
      <c r="BG141" s="350"/>
      <c r="BH141" s="350"/>
    </row>
    <row r="142" spans="4:60">
      <c r="D142" s="350"/>
      <c r="S142" s="350"/>
      <c r="BF142" s="350"/>
      <c r="BG142" s="350"/>
      <c r="BH142" s="350"/>
    </row>
    <row r="143" spans="4:60">
      <c r="D143" s="350"/>
      <c r="S143" s="350"/>
      <c r="BF143" s="350"/>
      <c r="BG143" s="350"/>
      <c r="BH143" s="350"/>
    </row>
    <row r="144" spans="4:60">
      <c r="D144" s="350"/>
      <c r="S144" s="350"/>
      <c r="BF144" s="350"/>
      <c r="BG144" s="350"/>
      <c r="BH144" s="350"/>
    </row>
    <row r="145" spans="4:60">
      <c r="D145" s="350"/>
      <c r="S145" s="350"/>
      <c r="BF145" s="350"/>
      <c r="BG145" s="350"/>
      <c r="BH145" s="350"/>
    </row>
    <row r="146" spans="4:60">
      <c r="D146" s="350"/>
      <c r="S146" s="350"/>
      <c r="BF146" s="350"/>
      <c r="BG146" s="350"/>
      <c r="BH146" s="350"/>
    </row>
    <row r="147" spans="4:60">
      <c r="D147" s="350"/>
      <c r="S147" s="350"/>
      <c r="BF147" s="350"/>
      <c r="BG147" s="350"/>
      <c r="BH147" s="350"/>
    </row>
    <row r="148" spans="4:60">
      <c r="D148" s="350"/>
      <c r="S148" s="350"/>
      <c r="BF148" s="350"/>
      <c r="BG148" s="350"/>
      <c r="BH148" s="350"/>
    </row>
    <row r="149" spans="4:60">
      <c r="D149" s="350"/>
      <c r="S149" s="350"/>
      <c r="BF149" s="350"/>
      <c r="BG149" s="350"/>
      <c r="BH149" s="350"/>
    </row>
    <row r="150" spans="4:60">
      <c r="D150" s="350"/>
      <c r="S150" s="350"/>
      <c r="BF150" s="350"/>
      <c r="BG150" s="350"/>
      <c r="BH150" s="350"/>
    </row>
    <row r="151" spans="4:60">
      <c r="D151" s="350"/>
      <c r="S151" s="350"/>
      <c r="BF151" s="350"/>
      <c r="BG151" s="350"/>
      <c r="BH151" s="350"/>
    </row>
    <row r="152" spans="4:60">
      <c r="D152" s="350"/>
      <c r="S152" s="350"/>
      <c r="BF152" s="350"/>
      <c r="BG152" s="350"/>
      <c r="BH152" s="350"/>
    </row>
    <row r="153" spans="4:60">
      <c r="D153" s="350"/>
      <c r="S153" s="350"/>
      <c r="BF153" s="350"/>
      <c r="BG153" s="350"/>
      <c r="BH153" s="350"/>
    </row>
    <row r="154" spans="4:60">
      <c r="D154" s="350"/>
      <c r="S154" s="350"/>
      <c r="BF154" s="350"/>
      <c r="BG154" s="350"/>
      <c r="BH154" s="350"/>
    </row>
    <row r="155" spans="4:60">
      <c r="D155" s="350"/>
      <c r="S155" s="350"/>
      <c r="BF155" s="350"/>
      <c r="BG155" s="350"/>
      <c r="BH155" s="350"/>
    </row>
    <row r="156" spans="4:60">
      <c r="D156" s="350"/>
      <c r="S156" s="350"/>
      <c r="BF156" s="350"/>
      <c r="BG156" s="350"/>
      <c r="BH156" s="350"/>
    </row>
    <row r="157" spans="4:60">
      <c r="D157" s="350"/>
      <c r="S157" s="350"/>
      <c r="BF157" s="350"/>
      <c r="BG157" s="350"/>
      <c r="BH157" s="350"/>
    </row>
    <row r="158" spans="4:60">
      <c r="D158" s="350"/>
      <c r="S158" s="350"/>
      <c r="BF158" s="350"/>
      <c r="BG158" s="350"/>
      <c r="BH158" s="350"/>
    </row>
    <row r="159" spans="4:60">
      <c r="D159" s="350"/>
      <c r="S159" s="350"/>
      <c r="BF159" s="350"/>
      <c r="BG159" s="350"/>
      <c r="BH159" s="350"/>
    </row>
    <row r="160" spans="4:60">
      <c r="D160" s="350"/>
      <c r="S160" s="350"/>
      <c r="BF160" s="350"/>
      <c r="BG160" s="350"/>
      <c r="BH160" s="350"/>
    </row>
    <row r="161" spans="4:60">
      <c r="D161" s="350"/>
      <c r="S161" s="350"/>
      <c r="BF161" s="350"/>
      <c r="BG161" s="350"/>
      <c r="BH161" s="350"/>
    </row>
    <row r="162" spans="4:60">
      <c r="D162" s="350"/>
      <c r="S162" s="350"/>
      <c r="BF162" s="350"/>
      <c r="BG162" s="350"/>
      <c r="BH162" s="350"/>
    </row>
    <row r="163" spans="4:60">
      <c r="D163" s="350"/>
      <c r="S163" s="350"/>
      <c r="BF163" s="350"/>
      <c r="BG163" s="350"/>
      <c r="BH163" s="350"/>
    </row>
    <row r="164" spans="4:60">
      <c r="D164" s="350"/>
      <c r="S164" s="350"/>
      <c r="BF164" s="350"/>
      <c r="BG164" s="350"/>
      <c r="BH164" s="350"/>
    </row>
    <row r="165" spans="4:60">
      <c r="D165" s="350"/>
      <c r="S165" s="350"/>
      <c r="BF165" s="350"/>
      <c r="BG165" s="350"/>
      <c r="BH165" s="350"/>
    </row>
    <row r="166" spans="4:60">
      <c r="D166" s="350"/>
      <c r="S166" s="350"/>
      <c r="BF166" s="350"/>
      <c r="BG166" s="350"/>
      <c r="BH166" s="350"/>
    </row>
    <row r="167" spans="4:60">
      <c r="D167" s="350"/>
      <c r="S167" s="350"/>
      <c r="BF167" s="350"/>
      <c r="BG167" s="350"/>
      <c r="BH167" s="350"/>
    </row>
    <row r="168" spans="4:60">
      <c r="D168" s="350"/>
      <c r="S168" s="350"/>
      <c r="BF168" s="350"/>
      <c r="BG168" s="350"/>
      <c r="BH168" s="350"/>
    </row>
    <row r="169" spans="4:60">
      <c r="D169" s="350"/>
      <c r="S169" s="350"/>
      <c r="BF169" s="350"/>
      <c r="BG169" s="350"/>
      <c r="BH169" s="350"/>
    </row>
    <row r="170" spans="4:60">
      <c r="D170" s="350"/>
      <c r="S170" s="350"/>
      <c r="BF170" s="350"/>
      <c r="BG170" s="350"/>
      <c r="BH170" s="350"/>
    </row>
    <row r="171" spans="4:60">
      <c r="D171" s="350"/>
      <c r="S171" s="350"/>
      <c r="BF171" s="350"/>
      <c r="BG171" s="350"/>
      <c r="BH171" s="350"/>
    </row>
    <row r="172" spans="4:60">
      <c r="D172" s="350"/>
      <c r="S172" s="350"/>
      <c r="BF172" s="350"/>
      <c r="BG172" s="350"/>
      <c r="BH172" s="350"/>
    </row>
    <row r="173" spans="4:60">
      <c r="D173" s="350"/>
      <c r="S173" s="350"/>
      <c r="BF173" s="350"/>
      <c r="BG173" s="350"/>
      <c r="BH173" s="350"/>
    </row>
    <row r="174" spans="4:60">
      <c r="D174" s="350"/>
      <c r="S174" s="350"/>
      <c r="BF174" s="350"/>
      <c r="BG174" s="350"/>
      <c r="BH174" s="350"/>
    </row>
    <row r="175" spans="4:60">
      <c r="D175" s="350"/>
      <c r="S175" s="350"/>
      <c r="BF175" s="350"/>
      <c r="BG175" s="350"/>
      <c r="BH175" s="350"/>
    </row>
    <row r="176" spans="4:60">
      <c r="D176" s="350"/>
      <c r="S176" s="350"/>
      <c r="BF176" s="350"/>
      <c r="BG176" s="350"/>
      <c r="BH176" s="350"/>
    </row>
    <row r="177" spans="4:60">
      <c r="D177" s="350"/>
      <c r="S177" s="350"/>
      <c r="BF177" s="350"/>
      <c r="BG177" s="350"/>
      <c r="BH177" s="350"/>
    </row>
    <row r="178" spans="4:60">
      <c r="D178" s="350"/>
      <c r="S178" s="350"/>
      <c r="BF178" s="350"/>
      <c r="BG178" s="350"/>
      <c r="BH178" s="350"/>
    </row>
    <row r="179" spans="4:60">
      <c r="D179" s="350"/>
      <c r="S179" s="350"/>
      <c r="BF179" s="350"/>
      <c r="BG179" s="350"/>
      <c r="BH179" s="350"/>
    </row>
    <row r="180" spans="4:60">
      <c r="D180" s="350"/>
      <c r="S180" s="350"/>
      <c r="BF180" s="350"/>
      <c r="BG180" s="350"/>
      <c r="BH180" s="350"/>
    </row>
    <row r="181" spans="4:60">
      <c r="D181" s="350"/>
      <c r="S181" s="350"/>
      <c r="BF181" s="350"/>
      <c r="BG181" s="350"/>
      <c r="BH181" s="350"/>
    </row>
    <row r="182" spans="4:60">
      <c r="D182" s="350"/>
      <c r="S182" s="350"/>
      <c r="BF182" s="350"/>
      <c r="BG182" s="350"/>
      <c r="BH182" s="350"/>
    </row>
    <row r="183" spans="4:60">
      <c r="D183" s="350"/>
      <c r="S183" s="350"/>
      <c r="BF183" s="350"/>
      <c r="BG183" s="350"/>
      <c r="BH183" s="350"/>
    </row>
    <row r="184" spans="4:60">
      <c r="D184" s="350"/>
      <c r="S184" s="350"/>
      <c r="BF184" s="350"/>
      <c r="BG184" s="350"/>
      <c r="BH184" s="350"/>
    </row>
    <row r="185" spans="4:60">
      <c r="D185" s="350"/>
      <c r="S185" s="350"/>
      <c r="BF185" s="350"/>
      <c r="BG185" s="350"/>
      <c r="BH185" s="350"/>
    </row>
    <row r="186" spans="4:60">
      <c r="D186" s="350"/>
      <c r="S186" s="350"/>
      <c r="BF186" s="350"/>
      <c r="BG186" s="350"/>
      <c r="BH186" s="350"/>
    </row>
    <row r="187" spans="4:60">
      <c r="D187" s="350"/>
      <c r="S187" s="350"/>
      <c r="BF187" s="350"/>
      <c r="BG187" s="350"/>
      <c r="BH187" s="350"/>
    </row>
    <row r="188" spans="4:60">
      <c r="D188" s="350"/>
      <c r="S188" s="350"/>
      <c r="BF188" s="350"/>
      <c r="BG188" s="350"/>
      <c r="BH188" s="350"/>
    </row>
    <row r="189" spans="4:60">
      <c r="D189" s="350"/>
      <c r="S189" s="350"/>
      <c r="BF189" s="350"/>
      <c r="BG189" s="350"/>
      <c r="BH189" s="350"/>
    </row>
    <row r="190" spans="4:60">
      <c r="D190" s="350"/>
      <c r="S190" s="350"/>
      <c r="BF190" s="350"/>
      <c r="BG190" s="350"/>
      <c r="BH190" s="350"/>
    </row>
    <row r="194" spans="4:60">
      <c r="D194" s="350"/>
      <c r="S194" s="350"/>
      <c r="BF194" s="350"/>
      <c r="BG194" s="350"/>
      <c r="BH194" s="350"/>
    </row>
    <row r="195" spans="4:60">
      <c r="D195" s="350"/>
      <c r="S195" s="350"/>
      <c r="BF195" s="350"/>
      <c r="BG195" s="350"/>
      <c r="BH195" s="350"/>
    </row>
    <row r="197" spans="4:60">
      <c r="D197" s="350"/>
      <c r="S197" s="350"/>
      <c r="BF197" s="350"/>
      <c r="BG197" s="350"/>
      <c r="BH197" s="350"/>
    </row>
    <row r="198" spans="4:60">
      <c r="D198" s="350"/>
      <c r="S198" s="350"/>
      <c r="BF198" s="350"/>
      <c r="BG198" s="350"/>
      <c r="BH198" s="350"/>
    </row>
    <row r="199" spans="4:60">
      <c r="D199" s="350"/>
      <c r="S199" s="350"/>
      <c r="BF199" s="350"/>
      <c r="BG199" s="350"/>
      <c r="BH199" s="350"/>
    </row>
    <row r="200" spans="4:60">
      <c r="D200" s="350"/>
      <c r="S200" s="350"/>
      <c r="BF200" s="350"/>
      <c r="BG200" s="350"/>
      <c r="BH200" s="350"/>
    </row>
    <row r="201" spans="4:60">
      <c r="D201" s="350"/>
      <c r="S201" s="350"/>
      <c r="BF201" s="350"/>
      <c r="BG201" s="350"/>
      <c r="BH201" s="350"/>
    </row>
    <row r="202" spans="4:60">
      <c r="D202" s="350"/>
      <c r="S202" s="350"/>
      <c r="BF202" s="350"/>
      <c r="BG202" s="350"/>
      <c r="BH202" s="350"/>
    </row>
    <row r="203" spans="4:60">
      <c r="D203" s="350"/>
      <c r="S203" s="350"/>
      <c r="BF203" s="350"/>
      <c r="BG203" s="350"/>
      <c r="BH203" s="350"/>
    </row>
    <row r="204" spans="4:60">
      <c r="D204" s="350"/>
      <c r="S204" s="350"/>
      <c r="BF204" s="350"/>
      <c r="BG204" s="350"/>
      <c r="BH204" s="350"/>
    </row>
    <row r="205" spans="4:60">
      <c r="D205" s="350"/>
      <c r="S205" s="350"/>
      <c r="BF205" s="350"/>
      <c r="BG205" s="350"/>
      <c r="BH205" s="350"/>
    </row>
    <row r="206" spans="4:60">
      <c r="D206" s="350"/>
      <c r="S206" s="350"/>
      <c r="BF206" s="350"/>
      <c r="BG206" s="350"/>
      <c r="BH206" s="350"/>
    </row>
    <row r="207" spans="4:60">
      <c r="D207" s="350"/>
      <c r="S207" s="350"/>
      <c r="BF207" s="350"/>
      <c r="BG207" s="350"/>
      <c r="BH207" s="350"/>
    </row>
    <row r="208" spans="4:60">
      <c r="D208" s="350"/>
      <c r="S208" s="350"/>
      <c r="BF208" s="350"/>
      <c r="BG208" s="350"/>
      <c r="BH208" s="350"/>
    </row>
    <row r="209" spans="4:60">
      <c r="D209" s="350"/>
      <c r="S209" s="350"/>
      <c r="BF209" s="350"/>
      <c r="BG209" s="350"/>
      <c r="BH209" s="350"/>
    </row>
    <row r="210" spans="4:60">
      <c r="D210" s="350"/>
      <c r="S210" s="350"/>
      <c r="BF210" s="350"/>
      <c r="BG210" s="350"/>
      <c r="BH210" s="350"/>
    </row>
    <row r="211" spans="4:60">
      <c r="D211" s="350"/>
      <c r="S211" s="350"/>
      <c r="BF211" s="350"/>
      <c r="BG211" s="350"/>
      <c r="BH211" s="350"/>
    </row>
    <row r="212" spans="4:60">
      <c r="D212" s="350"/>
      <c r="S212" s="350"/>
      <c r="BF212" s="350"/>
      <c r="BG212" s="350"/>
      <c r="BH212" s="350"/>
    </row>
    <row r="213" spans="4:60">
      <c r="D213" s="350"/>
      <c r="S213" s="350"/>
      <c r="BF213" s="350"/>
      <c r="BG213" s="350"/>
      <c r="BH213" s="350"/>
    </row>
    <row r="214" spans="4:60">
      <c r="D214" s="350"/>
      <c r="S214" s="350"/>
      <c r="BF214" s="350"/>
      <c r="BG214" s="350"/>
      <c r="BH214" s="350"/>
    </row>
    <row r="215" spans="4:60">
      <c r="D215" s="350"/>
      <c r="S215" s="350"/>
      <c r="BF215" s="350"/>
      <c r="BG215" s="350"/>
      <c r="BH215" s="350"/>
    </row>
    <row r="216" spans="4:60">
      <c r="D216" s="350"/>
      <c r="S216" s="350"/>
      <c r="BF216" s="350"/>
      <c r="BG216" s="350"/>
      <c r="BH216" s="350"/>
    </row>
    <row r="217" spans="4:60">
      <c r="D217" s="350"/>
      <c r="S217" s="350"/>
      <c r="BF217" s="350"/>
      <c r="BG217" s="350"/>
      <c r="BH217" s="350"/>
    </row>
    <row r="218" spans="4:60">
      <c r="D218" s="350"/>
      <c r="S218" s="350"/>
      <c r="BF218" s="350"/>
      <c r="BG218" s="350"/>
      <c r="BH218" s="350"/>
    </row>
    <row r="219" spans="4:60">
      <c r="D219" s="350"/>
      <c r="S219" s="350"/>
      <c r="BF219" s="350"/>
      <c r="BG219" s="350"/>
      <c r="BH219" s="350"/>
    </row>
    <row r="220" spans="4:60">
      <c r="D220" s="350"/>
      <c r="S220" s="350"/>
      <c r="BF220" s="350"/>
      <c r="BG220" s="350"/>
      <c r="BH220" s="350"/>
    </row>
    <row r="221" spans="4:60">
      <c r="D221" s="350"/>
      <c r="S221" s="350"/>
      <c r="BF221" s="350"/>
      <c r="BG221" s="350"/>
      <c r="BH221" s="350"/>
    </row>
    <row r="222" spans="4:60">
      <c r="D222" s="350"/>
      <c r="S222" s="350"/>
      <c r="BF222" s="350"/>
      <c r="BG222" s="350"/>
      <c r="BH222" s="350"/>
    </row>
    <row r="223" spans="4:60">
      <c r="D223" s="350"/>
      <c r="S223" s="350"/>
      <c r="BF223" s="350"/>
      <c r="BG223" s="350"/>
      <c r="BH223" s="350"/>
    </row>
    <row r="224" spans="4:60">
      <c r="D224" s="350"/>
      <c r="S224" s="350"/>
      <c r="BF224" s="350"/>
      <c r="BG224" s="350"/>
      <c r="BH224" s="350"/>
    </row>
    <row r="225" spans="4:60">
      <c r="D225" s="350"/>
      <c r="S225" s="350"/>
      <c r="BF225" s="350"/>
      <c r="BG225" s="350"/>
      <c r="BH225" s="350"/>
    </row>
    <row r="226" spans="4:60">
      <c r="D226" s="350"/>
      <c r="S226" s="350"/>
      <c r="BF226" s="350"/>
      <c r="BG226" s="350"/>
      <c r="BH226" s="350"/>
    </row>
    <row r="227" spans="4:60">
      <c r="D227" s="350"/>
      <c r="S227" s="350"/>
      <c r="BF227" s="350"/>
      <c r="BG227" s="350"/>
      <c r="BH227" s="350"/>
    </row>
    <row r="228" spans="4:60">
      <c r="D228" s="350"/>
      <c r="S228" s="350"/>
      <c r="BF228" s="350"/>
      <c r="BG228" s="350"/>
      <c r="BH228" s="350"/>
    </row>
    <row r="229" spans="4:60">
      <c r="D229" s="350"/>
      <c r="S229" s="350"/>
      <c r="BF229" s="350"/>
      <c r="BG229" s="350"/>
      <c r="BH229" s="350"/>
    </row>
    <row r="230" spans="4:60">
      <c r="D230" s="350"/>
      <c r="S230" s="350"/>
      <c r="BF230" s="350"/>
      <c r="BG230" s="350"/>
      <c r="BH230" s="350"/>
    </row>
    <row r="231" spans="4:60">
      <c r="D231" s="350"/>
      <c r="S231" s="350"/>
      <c r="BF231" s="350"/>
      <c r="BG231" s="350"/>
      <c r="BH231" s="350"/>
    </row>
    <row r="232" spans="4:60">
      <c r="D232" s="350"/>
      <c r="S232" s="350"/>
      <c r="BF232" s="350"/>
      <c r="BG232" s="350"/>
      <c r="BH232" s="350"/>
    </row>
    <row r="233" spans="4:60">
      <c r="D233" s="350"/>
      <c r="S233" s="350"/>
      <c r="BF233" s="350"/>
      <c r="BG233" s="350"/>
      <c r="BH233" s="350"/>
    </row>
    <row r="234" spans="4:60">
      <c r="D234" s="350"/>
      <c r="S234" s="350"/>
      <c r="BF234" s="350"/>
      <c r="BG234" s="350"/>
      <c r="BH234" s="350"/>
    </row>
    <row r="235" spans="4:60">
      <c r="D235" s="350"/>
      <c r="S235" s="350"/>
      <c r="BF235" s="350"/>
      <c r="BG235" s="350"/>
      <c r="BH235" s="350"/>
    </row>
    <row r="236" spans="4:60">
      <c r="D236" s="350"/>
      <c r="S236" s="350"/>
      <c r="BF236" s="350"/>
      <c r="BG236" s="350"/>
      <c r="BH236" s="350"/>
    </row>
    <row r="237" spans="4:60">
      <c r="D237" s="350"/>
      <c r="S237" s="350"/>
      <c r="BF237" s="350"/>
      <c r="BG237" s="350"/>
      <c r="BH237" s="350"/>
    </row>
    <row r="238" spans="4:60">
      <c r="D238" s="350"/>
      <c r="S238" s="350"/>
      <c r="BF238" s="350"/>
      <c r="BG238" s="350"/>
      <c r="BH238" s="350"/>
    </row>
    <row r="239" spans="4:60">
      <c r="D239" s="350"/>
      <c r="S239" s="350"/>
      <c r="BF239" s="350"/>
      <c r="BG239" s="350"/>
      <c r="BH239" s="350"/>
    </row>
    <row r="240" spans="4:60">
      <c r="D240" s="350"/>
      <c r="S240" s="350"/>
      <c r="BF240" s="350"/>
      <c r="BG240" s="350"/>
      <c r="BH240" s="350"/>
    </row>
    <row r="241" spans="4:60">
      <c r="D241" s="350"/>
      <c r="S241" s="350"/>
      <c r="BF241" s="350"/>
      <c r="BG241" s="350"/>
      <c r="BH241" s="350"/>
    </row>
    <row r="242" spans="4:60">
      <c r="D242" s="350"/>
      <c r="S242" s="350"/>
      <c r="BF242" s="350"/>
      <c r="BG242" s="350"/>
      <c r="BH242" s="350"/>
    </row>
    <row r="243" spans="4:60">
      <c r="D243" s="350"/>
      <c r="S243" s="350"/>
      <c r="BF243" s="350"/>
      <c r="BG243" s="350"/>
      <c r="BH243" s="350"/>
    </row>
    <row r="244" spans="4:60">
      <c r="D244" s="350"/>
      <c r="S244" s="350"/>
      <c r="BF244" s="350"/>
      <c r="BG244" s="350"/>
      <c r="BH244" s="350"/>
    </row>
    <row r="245" spans="4:60">
      <c r="D245" s="350"/>
      <c r="S245" s="350"/>
      <c r="BF245" s="350"/>
      <c r="BG245" s="350"/>
      <c r="BH245" s="350"/>
    </row>
    <row r="246" spans="4:60">
      <c r="D246" s="350"/>
      <c r="S246" s="350"/>
      <c r="BF246" s="350"/>
      <c r="BG246" s="350"/>
      <c r="BH246" s="350"/>
    </row>
    <row r="247" spans="4:60">
      <c r="D247" s="350"/>
      <c r="S247" s="350"/>
      <c r="BF247" s="350"/>
      <c r="BG247" s="350"/>
      <c r="BH247" s="350"/>
    </row>
    <row r="248" spans="4:60">
      <c r="D248" s="350"/>
      <c r="S248" s="350"/>
      <c r="BF248" s="350"/>
      <c r="BG248" s="350"/>
      <c r="BH248" s="350"/>
    </row>
    <row r="249" spans="4:60">
      <c r="D249" s="350"/>
      <c r="S249" s="350"/>
      <c r="BF249" s="350"/>
      <c r="BG249" s="350"/>
      <c r="BH249" s="350"/>
    </row>
    <row r="250" spans="4:60">
      <c r="D250" s="350"/>
      <c r="S250" s="350"/>
      <c r="BF250" s="350"/>
      <c r="BG250" s="350"/>
      <c r="BH250" s="350"/>
    </row>
    <row r="251" spans="4:60">
      <c r="D251" s="350"/>
      <c r="S251" s="350"/>
      <c r="BF251" s="350"/>
      <c r="BG251" s="350"/>
      <c r="BH251" s="350"/>
    </row>
    <row r="252" spans="4:60">
      <c r="D252" s="350"/>
      <c r="S252" s="350"/>
      <c r="BF252" s="350"/>
      <c r="BG252" s="350"/>
      <c r="BH252" s="350"/>
    </row>
    <row r="253" spans="4:60">
      <c r="D253" s="350"/>
      <c r="S253" s="350"/>
      <c r="BF253" s="350"/>
      <c r="BG253" s="350"/>
      <c r="BH253" s="350"/>
    </row>
    <row r="254" spans="4:60">
      <c r="D254" s="350"/>
      <c r="S254" s="350"/>
      <c r="BF254" s="350"/>
      <c r="BG254" s="350"/>
      <c r="BH254" s="350"/>
    </row>
    <row r="255" spans="4:60">
      <c r="D255" s="350"/>
      <c r="S255" s="350"/>
      <c r="BF255" s="350"/>
      <c r="BG255" s="350"/>
      <c r="BH255" s="350"/>
    </row>
    <row r="256" spans="4:60">
      <c r="D256" s="350"/>
      <c r="S256" s="350"/>
      <c r="BF256" s="350"/>
      <c r="BG256" s="350"/>
      <c r="BH256" s="350"/>
    </row>
    <row r="257" spans="4:60">
      <c r="D257" s="350"/>
      <c r="S257" s="350"/>
      <c r="BF257" s="350"/>
      <c r="BG257" s="350"/>
      <c r="BH257" s="350"/>
    </row>
    <row r="258" spans="4:60">
      <c r="D258" s="350"/>
      <c r="S258" s="350"/>
      <c r="BF258" s="350"/>
      <c r="BG258" s="350"/>
      <c r="BH258" s="350"/>
    </row>
    <row r="259" spans="4:60">
      <c r="D259" s="350"/>
      <c r="S259" s="350"/>
      <c r="BF259" s="350"/>
      <c r="BG259" s="350"/>
      <c r="BH259" s="350"/>
    </row>
    <row r="260" spans="4:60">
      <c r="D260" s="350"/>
      <c r="S260" s="350"/>
      <c r="BF260" s="350"/>
      <c r="BG260" s="350"/>
      <c r="BH260" s="350"/>
    </row>
    <row r="261" spans="4:60">
      <c r="D261" s="350"/>
      <c r="S261" s="350"/>
      <c r="BF261" s="350"/>
      <c r="BG261" s="350"/>
      <c r="BH261" s="350"/>
    </row>
    <row r="262" spans="4:60">
      <c r="D262" s="350"/>
      <c r="S262" s="350"/>
      <c r="BF262" s="350"/>
      <c r="BG262" s="350"/>
      <c r="BH262" s="350"/>
    </row>
    <row r="263" spans="4:60">
      <c r="D263" s="350"/>
      <c r="S263" s="350"/>
      <c r="BF263" s="350"/>
      <c r="BG263" s="350"/>
      <c r="BH263" s="350"/>
    </row>
    <row r="264" spans="4:60">
      <c r="D264" s="350"/>
      <c r="S264" s="350"/>
      <c r="BF264" s="350"/>
      <c r="BG264" s="350"/>
      <c r="BH264" s="350"/>
    </row>
    <row r="265" spans="4:60">
      <c r="D265" s="350"/>
      <c r="S265" s="350"/>
      <c r="BF265" s="350"/>
      <c r="BG265" s="350"/>
      <c r="BH265" s="350"/>
    </row>
    <row r="266" spans="4:60">
      <c r="D266" s="350"/>
      <c r="S266" s="350"/>
      <c r="BF266" s="350"/>
      <c r="BG266" s="350"/>
      <c r="BH266" s="350"/>
    </row>
    <row r="267" spans="4:60">
      <c r="D267" s="350"/>
      <c r="S267" s="350"/>
      <c r="BF267" s="350"/>
      <c r="BG267" s="350"/>
      <c r="BH267" s="350"/>
    </row>
    <row r="268" spans="4:60">
      <c r="D268" s="350"/>
      <c r="S268" s="350"/>
      <c r="BF268" s="350"/>
      <c r="BG268" s="350"/>
      <c r="BH268" s="350"/>
    </row>
    <row r="269" spans="4:60">
      <c r="D269" s="350"/>
      <c r="S269" s="350"/>
      <c r="BF269" s="350"/>
      <c r="BG269" s="350"/>
      <c r="BH269" s="350"/>
    </row>
    <row r="270" spans="4:60">
      <c r="D270" s="350"/>
      <c r="S270" s="350"/>
      <c r="BF270" s="350"/>
      <c r="BG270" s="350"/>
      <c r="BH270" s="350"/>
    </row>
    <row r="271" spans="4:60">
      <c r="D271" s="350"/>
      <c r="S271" s="350"/>
      <c r="BF271" s="350"/>
      <c r="BG271" s="350"/>
      <c r="BH271" s="350"/>
    </row>
    <row r="272" spans="4:60">
      <c r="D272" s="350"/>
      <c r="S272" s="350"/>
      <c r="BF272" s="350"/>
      <c r="BG272" s="350"/>
      <c r="BH272" s="350"/>
    </row>
    <row r="273" spans="4:60">
      <c r="D273" s="350"/>
      <c r="S273" s="350"/>
      <c r="BF273" s="350"/>
      <c r="BG273" s="350"/>
      <c r="BH273" s="350"/>
    </row>
    <row r="274" spans="4:60">
      <c r="D274" s="350"/>
      <c r="S274" s="350"/>
      <c r="BF274" s="350"/>
      <c r="BG274" s="350"/>
      <c r="BH274" s="350"/>
    </row>
    <row r="275" spans="4:60">
      <c r="D275" s="350"/>
      <c r="S275" s="350"/>
      <c r="BF275" s="350"/>
      <c r="BG275" s="350"/>
      <c r="BH275" s="350"/>
    </row>
    <row r="276" spans="4:60">
      <c r="D276" s="350"/>
      <c r="S276" s="350"/>
      <c r="BF276" s="350"/>
      <c r="BG276" s="350"/>
      <c r="BH276" s="350"/>
    </row>
    <row r="277" spans="4:60">
      <c r="D277" s="350"/>
      <c r="S277" s="350"/>
      <c r="BF277" s="350"/>
      <c r="BG277" s="350"/>
      <c r="BH277" s="350"/>
    </row>
    <row r="278" spans="4:60">
      <c r="D278" s="350"/>
      <c r="S278" s="350"/>
      <c r="BF278" s="350"/>
      <c r="BG278" s="350"/>
      <c r="BH278" s="350"/>
    </row>
    <row r="279" spans="4:60">
      <c r="D279" s="350"/>
      <c r="S279" s="350"/>
      <c r="BF279" s="350"/>
      <c r="BG279" s="350"/>
      <c r="BH279" s="350"/>
    </row>
    <row r="280" spans="4:60">
      <c r="D280" s="350"/>
      <c r="S280" s="350"/>
      <c r="BF280" s="350"/>
      <c r="BG280" s="350"/>
      <c r="BH280" s="350"/>
    </row>
    <row r="281" spans="4:60">
      <c r="D281" s="350"/>
      <c r="S281" s="350"/>
      <c r="BF281" s="350"/>
      <c r="BG281" s="350"/>
      <c r="BH281" s="350"/>
    </row>
    <row r="282" spans="4:60">
      <c r="D282" s="350"/>
      <c r="S282" s="350"/>
      <c r="BF282" s="350"/>
      <c r="BG282" s="350"/>
      <c r="BH282" s="350"/>
    </row>
    <row r="283" spans="4:60">
      <c r="D283" s="350"/>
      <c r="S283" s="350"/>
      <c r="BF283" s="350"/>
      <c r="BG283" s="350"/>
      <c r="BH283" s="350"/>
    </row>
    <row r="284" spans="4:60">
      <c r="D284" s="350"/>
      <c r="S284" s="350"/>
      <c r="BF284" s="350"/>
      <c r="BG284" s="350"/>
      <c r="BH284" s="350"/>
    </row>
    <row r="285" spans="4:60">
      <c r="D285" s="350"/>
      <c r="S285" s="350"/>
      <c r="BF285" s="350"/>
      <c r="BG285" s="350"/>
      <c r="BH285" s="350"/>
    </row>
    <row r="286" spans="4:60">
      <c r="D286" s="350"/>
      <c r="S286" s="350"/>
      <c r="BF286" s="350"/>
      <c r="BG286" s="350"/>
      <c r="BH286" s="350"/>
    </row>
    <row r="287" spans="4:60">
      <c r="D287" s="350"/>
      <c r="S287" s="350"/>
      <c r="BF287" s="350"/>
      <c r="BG287" s="350"/>
      <c r="BH287" s="350"/>
    </row>
    <row r="288" spans="4:60">
      <c r="D288" s="350"/>
      <c r="S288" s="350"/>
      <c r="BF288" s="350"/>
      <c r="BG288" s="350"/>
      <c r="BH288" s="350"/>
    </row>
    <row r="289" spans="4:60">
      <c r="D289" s="350"/>
      <c r="S289" s="350"/>
      <c r="BF289" s="350"/>
      <c r="BG289" s="350"/>
      <c r="BH289" s="350"/>
    </row>
    <row r="290" spans="4:60">
      <c r="D290" s="350"/>
      <c r="S290" s="350"/>
      <c r="BF290" s="350"/>
      <c r="BG290" s="350"/>
      <c r="BH290" s="350"/>
    </row>
    <row r="291" spans="4:60">
      <c r="D291" s="350"/>
      <c r="S291" s="350"/>
      <c r="BF291" s="350"/>
      <c r="BG291" s="350"/>
      <c r="BH291" s="350"/>
    </row>
    <row r="292" spans="4:60">
      <c r="D292" s="350"/>
      <c r="S292" s="350"/>
      <c r="BF292" s="350"/>
      <c r="BG292" s="350"/>
      <c r="BH292" s="350"/>
    </row>
    <row r="293" spans="4:60">
      <c r="D293" s="350"/>
      <c r="S293" s="350"/>
      <c r="BF293" s="350"/>
      <c r="BG293" s="350"/>
      <c r="BH293" s="350"/>
    </row>
    <row r="294" spans="4:60">
      <c r="D294" s="350"/>
      <c r="S294" s="350"/>
      <c r="BF294" s="350"/>
      <c r="BG294" s="350"/>
      <c r="BH294" s="350"/>
    </row>
    <row r="295" spans="4:60">
      <c r="D295" s="350"/>
      <c r="S295" s="350"/>
      <c r="BF295" s="350"/>
      <c r="BG295" s="350"/>
      <c r="BH295" s="350"/>
    </row>
    <row r="296" spans="4:60">
      <c r="D296" s="350"/>
      <c r="S296" s="350"/>
      <c r="BF296" s="350"/>
      <c r="BG296" s="350"/>
      <c r="BH296" s="350"/>
    </row>
    <row r="297" spans="4:60">
      <c r="D297" s="350"/>
      <c r="S297" s="350"/>
      <c r="BF297" s="350"/>
      <c r="BG297" s="350"/>
      <c r="BH297" s="350"/>
    </row>
    <row r="298" spans="4:60">
      <c r="D298" s="350"/>
      <c r="S298" s="350"/>
      <c r="BF298" s="350"/>
      <c r="BG298" s="350"/>
      <c r="BH298" s="350"/>
    </row>
    <row r="299" spans="4:60">
      <c r="D299" s="350"/>
      <c r="S299" s="350"/>
      <c r="BF299" s="350"/>
      <c r="BG299" s="350"/>
      <c r="BH299" s="350"/>
    </row>
    <row r="300" spans="4:60">
      <c r="D300" s="350"/>
      <c r="S300" s="350"/>
      <c r="BF300" s="350"/>
      <c r="BG300" s="350"/>
      <c r="BH300" s="350"/>
    </row>
    <row r="301" spans="4:60">
      <c r="D301" s="350"/>
      <c r="S301" s="350"/>
      <c r="BF301" s="350"/>
      <c r="BG301" s="350"/>
      <c r="BH301" s="350"/>
    </row>
    <row r="302" spans="4:60">
      <c r="D302" s="350"/>
      <c r="S302" s="350"/>
      <c r="BF302" s="350"/>
      <c r="BG302" s="350"/>
      <c r="BH302" s="350"/>
    </row>
    <row r="303" spans="4:60">
      <c r="D303" s="350"/>
      <c r="S303" s="350"/>
      <c r="BF303" s="350"/>
      <c r="BG303" s="350"/>
      <c r="BH303" s="350"/>
    </row>
    <row r="304" spans="4:60">
      <c r="D304" s="350"/>
      <c r="S304" s="350"/>
      <c r="BF304" s="350"/>
      <c r="BG304" s="350"/>
      <c r="BH304" s="350"/>
    </row>
    <row r="305" spans="4:60">
      <c r="D305" s="350"/>
      <c r="S305" s="350"/>
      <c r="BF305" s="350"/>
      <c r="BG305" s="350"/>
      <c r="BH305" s="350"/>
    </row>
    <row r="306" spans="4:60">
      <c r="D306" s="350"/>
      <c r="S306" s="350"/>
      <c r="BF306" s="350"/>
      <c r="BG306" s="350"/>
      <c r="BH306" s="350"/>
    </row>
    <row r="307" spans="4:60">
      <c r="D307" s="350"/>
      <c r="S307" s="350"/>
      <c r="BF307" s="350"/>
      <c r="BG307" s="350"/>
      <c r="BH307" s="350"/>
    </row>
    <row r="308" spans="4:60">
      <c r="D308" s="350"/>
      <c r="S308" s="350"/>
      <c r="BF308" s="350"/>
      <c r="BG308" s="350"/>
      <c r="BH308" s="350"/>
    </row>
    <row r="309" spans="4:60">
      <c r="D309" s="350"/>
      <c r="S309" s="350"/>
      <c r="BF309" s="350"/>
      <c r="BG309" s="350"/>
      <c r="BH309" s="350"/>
    </row>
    <row r="310" spans="4:60">
      <c r="D310" s="350"/>
      <c r="S310" s="350"/>
      <c r="BF310" s="350"/>
      <c r="BG310" s="350"/>
      <c r="BH310" s="350"/>
    </row>
    <row r="311" spans="4:60">
      <c r="D311" s="350"/>
      <c r="S311" s="350"/>
      <c r="BF311" s="350"/>
      <c r="BG311" s="350"/>
      <c r="BH311" s="350"/>
    </row>
    <row r="312" spans="4:60">
      <c r="D312" s="350"/>
      <c r="S312" s="350"/>
      <c r="BF312" s="350"/>
      <c r="BG312" s="350"/>
      <c r="BH312" s="350"/>
    </row>
    <row r="313" spans="4:60">
      <c r="D313" s="350"/>
      <c r="S313" s="350"/>
      <c r="BF313" s="350"/>
      <c r="BG313" s="350"/>
      <c r="BH313" s="350"/>
    </row>
    <row r="314" spans="4:60">
      <c r="D314" s="350"/>
      <c r="S314" s="350"/>
      <c r="BF314" s="350"/>
      <c r="BG314" s="350"/>
      <c r="BH314" s="350"/>
    </row>
    <row r="315" spans="4:60">
      <c r="D315" s="350"/>
      <c r="S315" s="350"/>
      <c r="BF315" s="350"/>
      <c r="BG315" s="350"/>
      <c r="BH315" s="350"/>
    </row>
    <row r="316" spans="4:60">
      <c r="D316" s="350"/>
      <c r="S316" s="350"/>
      <c r="BF316" s="350"/>
      <c r="BG316" s="350"/>
      <c r="BH316" s="350"/>
    </row>
    <row r="317" spans="4:60">
      <c r="D317" s="350"/>
      <c r="S317" s="350"/>
      <c r="BF317" s="350"/>
      <c r="BG317" s="350"/>
      <c r="BH317" s="350"/>
    </row>
    <row r="318" spans="4:60">
      <c r="D318" s="350"/>
      <c r="S318" s="350"/>
      <c r="BF318" s="350"/>
      <c r="BG318" s="350"/>
      <c r="BH318" s="350"/>
    </row>
    <row r="319" spans="4:60">
      <c r="D319" s="350"/>
      <c r="S319" s="350"/>
      <c r="BF319" s="350"/>
      <c r="BG319" s="350"/>
      <c r="BH319" s="350"/>
    </row>
    <row r="320" spans="4:60">
      <c r="D320" s="350"/>
      <c r="S320" s="350"/>
      <c r="BF320" s="350"/>
      <c r="BG320" s="350"/>
      <c r="BH320" s="350"/>
    </row>
    <row r="321" spans="4:60">
      <c r="D321" s="350"/>
      <c r="S321" s="350"/>
      <c r="BF321" s="350"/>
      <c r="BG321" s="350"/>
      <c r="BH321" s="350"/>
    </row>
    <row r="322" spans="4:60">
      <c r="D322" s="350"/>
      <c r="S322" s="350"/>
      <c r="BF322" s="350"/>
      <c r="BG322" s="350"/>
      <c r="BH322" s="350"/>
    </row>
    <row r="323" spans="4:60">
      <c r="D323" s="350"/>
      <c r="S323" s="350"/>
      <c r="BF323" s="350"/>
      <c r="BG323" s="350"/>
      <c r="BH323" s="350"/>
    </row>
    <row r="324" spans="4:60">
      <c r="D324" s="350"/>
      <c r="S324" s="350"/>
      <c r="BF324" s="350"/>
      <c r="BG324" s="350"/>
      <c r="BH324" s="350"/>
    </row>
    <row r="325" spans="4:60">
      <c r="D325" s="350"/>
      <c r="S325" s="350"/>
      <c r="BF325" s="350"/>
      <c r="BG325" s="350"/>
      <c r="BH325" s="350"/>
    </row>
    <row r="326" spans="4:60">
      <c r="D326" s="350"/>
      <c r="S326" s="350"/>
      <c r="BF326" s="350"/>
      <c r="BG326" s="350"/>
      <c r="BH326" s="350"/>
    </row>
    <row r="327" spans="4:60">
      <c r="D327" s="350"/>
      <c r="S327" s="350"/>
      <c r="BF327" s="350"/>
      <c r="BG327" s="350"/>
      <c r="BH327" s="350"/>
    </row>
    <row r="328" spans="4:60">
      <c r="D328" s="350"/>
      <c r="S328" s="350"/>
      <c r="BF328" s="350"/>
      <c r="BG328" s="350"/>
      <c r="BH328" s="350"/>
    </row>
    <row r="329" spans="4:60">
      <c r="D329" s="350"/>
      <c r="S329" s="350"/>
      <c r="BF329" s="350"/>
      <c r="BG329" s="350"/>
      <c r="BH329" s="350"/>
    </row>
    <row r="330" spans="4:60">
      <c r="D330" s="350"/>
      <c r="S330" s="350"/>
      <c r="BF330" s="350"/>
      <c r="BG330" s="350"/>
      <c r="BH330" s="350"/>
    </row>
    <row r="331" spans="4:60">
      <c r="D331" s="350"/>
      <c r="S331" s="350"/>
      <c r="BF331" s="350"/>
      <c r="BG331" s="350"/>
      <c r="BH331" s="350"/>
    </row>
    <row r="332" spans="4:60">
      <c r="D332" s="350"/>
      <c r="S332" s="350"/>
      <c r="BF332" s="350"/>
      <c r="BG332" s="350"/>
      <c r="BH332" s="350"/>
    </row>
    <row r="333" spans="4:60">
      <c r="D333" s="350"/>
      <c r="S333" s="350"/>
      <c r="BF333" s="350"/>
      <c r="BG333" s="350"/>
      <c r="BH333" s="350"/>
    </row>
    <row r="334" spans="4:60">
      <c r="D334" s="350"/>
      <c r="S334" s="350"/>
      <c r="BF334" s="350"/>
      <c r="BG334" s="350"/>
      <c r="BH334" s="350"/>
    </row>
    <row r="335" spans="4:60">
      <c r="D335" s="350"/>
      <c r="S335" s="350"/>
      <c r="BF335" s="350"/>
      <c r="BG335" s="350"/>
      <c r="BH335" s="350"/>
    </row>
    <row r="336" spans="4:60">
      <c r="D336" s="350"/>
      <c r="S336" s="350"/>
      <c r="BF336" s="350"/>
      <c r="BG336" s="350"/>
      <c r="BH336" s="350"/>
    </row>
    <row r="337" spans="4:60">
      <c r="D337" s="350"/>
      <c r="S337" s="350"/>
      <c r="BF337" s="350"/>
      <c r="BG337" s="350"/>
      <c r="BH337" s="350"/>
    </row>
    <row r="338" spans="4:60">
      <c r="D338" s="350"/>
      <c r="S338" s="350"/>
      <c r="BF338" s="350"/>
      <c r="BG338" s="350"/>
      <c r="BH338" s="350"/>
    </row>
    <row r="339" spans="4:60">
      <c r="D339" s="350"/>
      <c r="S339" s="350"/>
      <c r="BF339" s="350"/>
      <c r="BG339" s="350"/>
      <c r="BH339" s="350"/>
    </row>
    <row r="340" spans="4:60">
      <c r="D340" s="350"/>
      <c r="S340" s="350"/>
      <c r="BF340" s="350"/>
      <c r="BG340" s="350"/>
      <c r="BH340" s="350"/>
    </row>
    <row r="341" spans="4:60">
      <c r="D341" s="350"/>
      <c r="S341" s="350"/>
      <c r="BF341" s="350"/>
      <c r="BG341" s="350"/>
      <c r="BH341" s="350"/>
    </row>
    <row r="342" spans="4:60">
      <c r="D342" s="350"/>
      <c r="S342" s="350"/>
      <c r="BF342" s="350"/>
      <c r="BG342" s="350"/>
      <c r="BH342" s="350"/>
    </row>
    <row r="343" spans="4:60">
      <c r="D343" s="350"/>
      <c r="S343" s="350"/>
      <c r="BF343" s="350"/>
      <c r="BG343" s="350"/>
      <c r="BH343" s="350"/>
    </row>
    <row r="344" spans="4:60">
      <c r="D344" s="350"/>
      <c r="S344" s="350"/>
      <c r="BF344" s="350"/>
      <c r="BG344" s="350"/>
      <c r="BH344" s="350"/>
    </row>
    <row r="345" spans="4:60">
      <c r="D345" s="350"/>
      <c r="S345" s="350"/>
      <c r="BF345" s="350"/>
      <c r="BG345" s="350"/>
      <c r="BH345" s="350"/>
    </row>
    <row r="346" spans="4:60">
      <c r="D346" s="350"/>
      <c r="S346" s="350"/>
      <c r="BF346" s="350"/>
      <c r="BG346" s="350"/>
      <c r="BH346" s="350"/>
    </row>
    <row r="347" spans="4:60">
      <c r="D347" s="350"/>
      <c r="S347" s="350"/>
      <c r="BF347" s="350"/>
      <c r="BG347" s="350"/>
      <c r="BH347" s="350"/>
    </row>
    <row r="348" spans="4:60">
      <c r="D348" s="350"/>
      <c r="S348" s="350"/>
      <c r="BF348" s="350"/>
      <c r="BG348" s="350"/>
      <c r="BH348" s="350"/>
    </row>
    <row r="349" spans="4:60">
      <c r="D349" s="350"/>
      <c r="S349" s="350"/>
      <c r="BF349" s="350"/>
      <c r="BG349" s="350"/>
      <c r="BH349" s="350"/>
    </row>
    <row r="350" spans="4:60">
      <c r="D350" s="350"/>
      <c r="S350" s="350"/>
      <c r="BF350" s="350"/>
      <c r="BG350" s="350"/>
      <c r="BH350" s="350"/>
    </row>
    <row r="351" spans="4:60">
      <c r="D351" s="350"/>
      <c r="S351" s="350"/>
      <c r="BF351" s="350"/>
      <c r="BG351" s="350"/>
      <c r="BH351" s="350"/>
    </row>
    <row r="352" spans="4:60">
      <c r="D352" s="350"/>
      <c r="S352" s="350"/>
      <c r="BF352" s="350"/>
      <c r="BG352" s="350"/>
      <c r="BH352" s="350"/>
    </row>
    <row r="353" spans="4:60">
      <c r="D353" s="350"/>
      <c r="S353" s="350"/>
      <c r="BF353" s="350"/>
      <c r="BG353" s="350"/>
      <c r="BH353" s="350"/>
    </row>
    <row r="354" spans="4:60">
      <c r="D354" s="350"/>
      <c r="S354" s="350"/>
      <c r="BF354" s="350"/>
      <c r="BG354" s="350"/>
      <c r="BH354" s="350"/>
    </row>
    <row r="355" spans="4:60">
      <c r="D355" s="350"/>
      <c r="S355" s="350"/>
      <c r="BF355" s="350"/>
      <c r="BG355" s="350"/>
      <c r="BH355" s="350"/>
    </row>
    <row r="356" spans="4:60">
      <c r="D356" s="350"/>
      <c r="S356" s="350"/>
      <c r="BF356" s="350"/>
      <c r="BG356" s="350"/>
      <c r="BH356" s="350"/>
    </row>
    <row r="357" spans="4:60">
      <c r="D357" s="350"/>
      <c r="S357" s="350"/>
      <c r="BF357" s="350"/>
      <c r="BG357" s="350"/>
      <c r="BH357" s="350"/>
    </row>
    <row r="358" spans="4:60">
      <c r="D358" s="350"/>
      <c r="S358" s="350"/>
      <c r="BF358" s="350"/>
      <c r="BG358" s="350"/>
      <c r="BH358" s="350"/>
    </row>
    <row r="359" spans="4:60">
      <c r="D359" s="350"/>
      <c r="S359" s="350"/>
      <c r="BF359" s="350"/>
      <c r="BG359" s="350"/>
      <c r="BH359" s="350"/>
    </row>
    <row r="360" spans="4:60">
      <c r="D360" s="350"/>
      <c r="S360" s="350"/>
      <c r="BF360" s="350"/>
      <c r="BG360" s="350"/>
      <c r="BH360" s="350"/>
    </row>
    <row r="361" spans="4:60">
      <c r="D361" s="350"/>
      <c r="S361" s="350"/>
      <c r="BF361" s="350"/>
      <c r="BG361" s="350"/>
      <c r="BH361" s="350"/>
    </row>
    <row r="362" spans="4:60">
      <c r="D362" s="350"/>
      <c r="S362" s="350"/>
      <c r="BF362" s="350"/>
      <c r="BG362" s="350"/>
      <c r="BH362" s="350"/>
    </row>
    <row r="363" spans="4:60">
      <c r="D363" s="350"/>
      <c r="S363" s="350"/>
      <c r="BF363" s="350"/>
      <c r="BG363" s="350"/>
      <c r="BH363" s="350"/>
    </row>
    <row r="364" spans="4:60">
      <c r="D364" s="350"/>
      <c r="S364" s="350"/>
      <c r="BF364" s="350"/>
      <c r="BG364" s="350"/>
      <c r="BH364" s="350"/>
    </row>
    <row r="365" spans="4:60">
      <c r="D365" s="350"/>
      <c r="S365" s="350"/>
      <c r="BF365" s="350"/>
      <c r="BG365" s="350"/>
      <c r="BH365" s="350"/>
    </row>
    <row r="366" spans="4:60">
      <c r="D366" s="350"/>
      <c r="S366" s="350"/>
      <c r="BF366" s="350"/>
      <c r="BG366" s="350"/>
      <c r="BH366" s="350"/>
    </row>
    <row r="367" spans="4:60">
      <c r="D367" s="350"/>
      <c r="S367" s="350"/>
      <c r="BF367" s="350"/>
      <c r="BG367" s="350"/>
      <c r="BH367" s="350"/>
    </row>
    <row r="368" spans="4:60">
      <c r="D368" s="350"/>
      <c r="S368" s="350"/>
      <c r="BF368" s="350"/>
      <c r="BG368" s="350"/>
      <c r="BH368" s="350"/>
    </row>
    <row r="369" spans="4:60">
      <c r="D369" s="350"/>
      <c r="S369" s="350"/>
      <c r="BF369" s="350"/>
      <c r="BG369" s="350"/>
      <c r="BH369" s="350"/>
    </row>
    <row r="370" spans="4:60">
      <c r="D370" s="350"/>
      <c r="S370" s="350"/>
      <c r="BF370" s="350"/>
      <c r="BG370" s="350"/>
      <c r="BH370" s="350"/>
    </row>
    <row r="374" spans="4:60">
      <c r="D374" s="350"/>
      <c r="S374" s="350"/>
      <c r="BF374" s="350"/>
      <c r="BG374" s="350"/>
      <c r="BH374" s="350"/>
    </row>
    <row r="375" spans="4:60">
      <c r="D375" s="350"/>
      <c r="S375" s="350"/>
      <c r="BF375" s="350"/>
      <c r="BG375" s="350"/>
      <c r="BH375" s="350"/>
    </row>
    <row r="389" spans="4:60">
      <c r="D389" s="350"/>
      <c r="S389" s="350"/>
      <c r="BF389" s="350"/>
      <c r="BG389" s="350"/>
      <c r="BH389" s="350"/>
    </row>
    <row r="390" spans="4:60">
      <c r="D390" s="350"/>
      <c r="S390" s="350"/>
      <c r="BF390" s="350"/>
      <c r="BG390" s="350"/>
      <c r="BH390" s="350"/>
    </row>
    <row r="391" spans="4:60">
      <c r="D391" s="350"/>
      <c r="S391" s="350"/>
      <c r="BF391" s="350"/>
      <c r="BG391" s="350"/>
      <c r="BH391" s="350"/>
    </row>
    <row r="392" spans="4:60">
      <c r="D392" s="350"/>
      <c r="S392" s="350"/>
      <c r="BF392" s="350"/>
      <c r="BG392" s="350"/>
      <c r="BH392" s="350"/>
    </row>
    <row r="393" spans="4:60">
      <c r="D393" s="350"/>
      <c r="S393" s="350"/>
      <c r="BF393" s="350"/>
      <c r="BG393" s="350"/>
      <c r="BH393" s="350"/>
    </row>
    <row r="394" spans="4:60">
      <c r="D394" s="350"/>
      <c r="S394" s="350"/>
      <c r="BF394" s="350"/>
      <c r="BG394" s="350"/>
      <c r="BH394" s="350"/>
    </row>
    <row r="395" spans="4:60">
      <c r="D395" s="350"/>
      <c r="S395" s="350"/>
      <c r="BF395" s="350"/>
      <c r="BG395" s="350"/>
      <c r="BH395" s="350"/>
    </row>
    <row r="396" spans="4:60">
      <c r="D396" s="350"/>
      <c r="S396" s="350"/>
      <c r="BF396" s="350"/>
      <c r="BG396" s="350"/>
      <c r="BH396" s="350"/>
    </row>
    <row r="397" spans="4:60">
      <c r="D397" s="350"/>
      <c r="S397" s="350"/>
      <c r="BF397" s="350"/>
      <c r="BG397" s="350"/>
      <c r="BH397" s="350"/>
    </row>
    <row r="398" spans="4:60">
      <c r="D398" s="350"/>
      <c r="S398" s="350"/>
      <c r="BF398" s="350"/>
      <c r="BG398" s="350"/>
      <c r="BH398" s="350"/>
    </row>
    <row r="399" spans="4:60">
      <c r="D399" s="350"/>
      <c r="S399" s="350"/>
      <c r="BF399" s="350"/>
      <c r="BG399" s="350"/>
      <c r="BH399" s="350"/>
    </row>
    <row r="400" spans="4:60">
      <c r="D400" s="350"/>
      <c r="S400" s="350"/>
      <c r="BF400" s="350"/>
      <c r="BG400" s="350"/>
      <c r="BH400" s="350"/>
    </row>
    <row r="401" spans="4:60">
      <c r="D401" s="350"/>
      <c r="S401" s="350"/>
      <c r="BF401" s="350"/>
      <c r="BG401" s="350"/>
      <c r="BH401" s="350"/>
    </row>
    <row r="402" spans="4:60">
      <c r="D402" s="350"/>
      <c r="S402" s="350"/>
      <c r="BF402" s="350"/>
      <c r="BG402" s="350"/>
      <c r="BH402" s="350"/>
    </row>
    <row r="403" spans="4:60">
      <c r="D403" s="350"/>
      <c r="S403" s="350"/>
      <c r="BF403" s="350"/>
      <c r="BG403" s="350"/>
      <c r="BH403" s="350"/>
    </row>
    <row r="404" spans="4:60">
      <c r="D404" s="350"/>
      <c r="S404" s="350"/>
      <c r="BF404" s="350"/>
      <c r="BG404" s="350"/>
      <c r="BH404" s="350"/>
    </row>
    <row r="405" spans="4:60">
      <c r="D405" s="350"/>
      <c r="S405" s="350"/>
      <c r="BF405" s="350"/>
      <c r="BG405" s="350"/>
      <c r="BH405" s="350"/>
    </row>
    <row r="406" spans="4:60">
      <c r="D406" s="350"/>
      <c r="S406" s="350"/>
      <c r="BF406" s="350"/>
      <c r="BG406" s="350"/>
      <c r="BH406" s="350"/>
    </row>
    <row r="407" spans="4:60">
      <c r="D407" s="350"/>
      <c r="S407" s="350"/>
      <c r="BF407" s="350"/>
      <c r="BG407" s="350"/>
      <c r="BH407" s="350"/>
    </row>
    <row r="408" spans="4:60">
      <c r="D408" s="350"/>
      <c r="S408" s="350"/>
      <c r="BF408" s="350"/>
      <c r="BG408" s="350"/>
      <c r="BH408" s="350"/>
    </row>
    <row r="409" spans="4:60">
      <c r="D409" s="350"/>
      <c r="S409" s="350"/>
      <c r="BF409" s="350"/>
      <c r="BG409" s="350"/>
      <c r="BH409" s="350"/>
    </row>
    <row r="410" spans="4:60">
      <c r="D410" s="350"/>
      <c r="S410" s="350"/>
      <c r="BF410" s="350"/>
      <c r="BG410" s="350"/>
      <c r="BH410" s="350"/>
    </row>
    <row r="411" spans="4:60">
      <c r="D411" s="350"/>
      <c r="S411" s="350"/>
      <c r="BF411" s="350"/>
      <c r="BG411" s="350"/>
      <c r="BH411" s="350"/>
    </row>
    <row r="412" spans="4:60">
      <c r="D412" s="350"/>
      <c r="S412" s="350"/>
      <c r="BF412" s="350"/>
      <c r="BG412" s="350"/>
      <c r="BH412" s="350"/>
    </row>
    <row r="413" spans="4:60">
      <c r="D413" s="350"/>
      <c r="S413" s="350"/>
      <c r="BF413" s="350"/>
      <c r="BG413" s="350"/>
      <c r="BH413" s="350"/>
    </row>
    <row r="414" spans="4:60">
      <c r="D414" s="350"/>
      <c r="S414" s="350"/>
      <c r="BF414" s="350"/>
      <c r="BG414" s="350"/>
      <c r="BH414" s="350"/>
    </row>
    <row r="415" spans="4:60">
      <c r="D415" s="350"/>
      <c r="S415" s="350"/>
      <c r="BF415" s="350"/>
      <c r="BG415" s="350"/>
      <c r="BH415" s="350"/>
    </row>
    <row r="416" spans="4:60">
      <c r="D416" s="350"/>
      <c r="S416" s="350"/>
      <c r="BF416" s="350"/>
      <c r="BG416" s="350"/>
      <c r="BH416" s="350"/>
    </row>
    <row r="417" spans="4:60">
      <c r="D417" s="350"/>
      <c r="S417" s="350"/>
      <c r="BF417" s="350"/>
      <c r="BG417" s="350"/>
      <c r="BH417" s="350"/>
    </row>
    <row r="418" spans="4:60">
      <c r="D418" s="350"/>
      <c r="S418" s="350"/>
      <c r="BF418" s="350"/>
      <c r="BG418" s="350"/>
      <c r="BH418" s="350"/>
    </row>
    <row r="419" spans="4:60">
      <c r="D419" s="350"/>
      <c r="S419" s="350"/>
      <c r="BF419" s="350"/>
      <c r="BG419" s="350"/>
      <c r="BH419" s="350"/>
    </row>
    <row r="420" spans="4:60">
      <c r="D420" s="350"/>
      <c r="S420" s="350"/>
      <c r="BF420" s="350"/>
      <c r="BG420" s="350"/>
      <c r="BH420" s="350"/>
    </row>
    <row r="424" spans="4:60">
      <c r="D424" s="350"/>
      <c r="S424" s="350"/>
      <c r="BF424" s="350"/>
      <c r="BG424" s="350"/>
      <c r="BH424" s="350"/>
    </row>
    <row r="425" spans="4:60">
      <c r="D425" s="350"/>
      <c r="S425" s="350"/>
      <c r="BF425" s="350"/>
      <c r="BG425" s="350"/>
      <c r="BH425" s="350"/>
    </row>
    <row r="427" spans="4:60">
      <c r="D427" s="350"/>
      <c r="S427" s="350"/>
      <c r="BF427" s="350"/>
      <c r="BG427" s="350"/>
      <c r="BH427" s="350"/>
    </row>
    <row r="428" spans="4:60">
      <c r="D428" s="350"/>
      <c r="S428" s="350"/>
      <c r="BF428" s="350"/>
      <c r="BG428" s="350"/>
      <c r="BH428" s="350"/>
    </row>
    <row r="429" spans="4:60">
      <c r="D429" s="350"/>
      <c r="S429" s="350"/>
      <c r="BF429" s="350"/>
      <c r="BG429" s="350"/>
      <c r="BH429" s="350"/>
    </row>
    <row r="430" spans="4:60">
      <c r="D430" s="350"/>
      <c r="S430" s="350"/>
      <c r="BF430" s="350"/>
      <c r="BG430" s="350"/>
      <c r="BH430" s="350"/>
    </row>
    <row r="431" spans="4:60">
      <c r="D431" s="350"/>
      <c r="S431" s="350"/>
      <c r="BF431" s="350"/>
      <c r="BG431" s="350"/>
      <c r="BH431" s="350"/>
    </row>
    <row r="432" spans="4:60">
      <c r="D432" s="350"/>
      <c r="S432" s="350"/>
      <c r="BF432" s="350"/>
      <c r="BG432" s="350"/>
      <c r="BH432" s="350"/>
    </row>
    <row r="433" spans="4:60">
      <c r="D433" s="350"/>
      <c r="S433" s="350"/>
      <c r="BF433" s="350"/>
      <c r="BG433" s="350"/>
      <c r="BH433" s="350"/>
    </row>
    <row r="434" spans="4:60">
      <c r="D434" s="350"/>
      <c r="S434" s="350"/>
      <c r="BF434" s="350"/>
      <c r="BG434" s="350"/>
      <c r="BH434" s="350"/>
    </row>
    <row r="435" spans="4:60">
      <c r="D435" s="350"/>
      <c r="S435" s="350"/>
      <c r="BF435" s="350"/>
      <c r="BG435" s="350"/>
      <c r="BH435" s="350"/>
    </row>
    <row r="436" spans="4:60">
      <c r="D436" s="350"/>
      <c r="S436" s="350"/>
      <c r="BF436" s="350"/>
      <c r="BG436" s="350"/>
      <c r="BH436" s="350"/>
    </row>
    <row r="437" spans="4:60">
      <c r="D437" s="350"/>
      <c r="S437" s="350"/>
      <c r="BF437" s="350"/>
      <c r="BG437" s="350"/>
      <c r="BH437" s="350"/>
    </row>
    <row r="438" spans="4:60">
      <c r="D438" s="350"/>
      <c r="S438" s="350"/>
      <c r="BF438" s="350"/>
      <c r="BG438" s="350"/>
      <c r="BH438" s="350"/>
    </row>
    <row r="439" spans="4:60">
      <c r="D439" s="350"/>
      <c r="S439" s="350"/>
      <c r="BF439" s="350"/>
      <c r="BG439" s="350"/>
      <c r="BH439" s="350"/>
    </row>
    <row r="440" spans="4:60">
      <c r="D440" s="350"/>
      <c r="S440" s="350"/>
      <c r="BF440" s="350"/>
      <c r="BG440" s="350"/>
      <c r="BH440" s="350"/>
    </row>
    <row r="441" spans="4:60">
      <c r="D441" s="350"/>
      <c r="S441" s="350"/>
      <c r="BF441" s="350"/>
      <c r="BG441" s="350"/>
      <c r="BH441" s="350"/>
    </row>
    <row r="442" spans="4:60">
      <c r="D442" s="350"/>
      <c r="S442" s="350"/>
      <c r="BF442" s="350"/>
      <c r="BG442" s="350"/>
      <c r="BH442" s="350"/>
    </row>
    <row r="443" spans="4:60">
      <c r="D443" s="350"/>
      <c r="S443" s="350"/>
      <c r="BF443" s="350"/>
      <c r="BG443" s="350"/>
      <c r="BH443" s="350"/>
    </row>
    <row r="444" spans="4:60">
      <c r="D444" s="350"/>
      <c r="S444" s="350"/>
      <c r="BF444" s="350"/>
      <c r="BG444" s="350"/>
      <c r="BH444" s="350"/>
    </row>
    <row r="445" spans="4:60">
      <c r="D445" s="350"/>
      <c r="S445" s="350"/>
      <c r="BF445" s="350"/>
      <c r="BG445" s="350"/>
      <c r="BH445" s="350"/>
    </row>
    <row r="446" spans="4:60">
      <c r="D446" s="350"/>
      <c r="S446" s="350"/>
      <c r="BF446" s="350"/>
      <c r="BG446" s="350"/>
      <c r="BH446" s="350"/>
    </row>
    <row r="447" spans="4:60">
      <c r="D447" s="350"/>
      <c r="S447" s="350"/>
      <c r="BF447" s="350"/>
      <c r="BG447" s="350"/>
      <c r="BH447" s="350"/>
    </row>
    <row r="448" spans="4:60">
      <c r="D448" s="350"/>
      <c r="S448" s="350"/>
      <c r="BF448" s="350"/>
      <c r="BG448" s="350"/>
      <c r="BH448" s="350"/>
    </row>
    <row r="449" spans="4:60">
      <c r="D449" s="350"/>
      <c r="S449" s="350"/>
      <c r="BF449" s="350"/>
      <c r="BG449" s="350"/>
      <c r="BH449" s="350"/>
    </row>
    <row r="450" spans="4:60">
      <c r="D450" s="350"/>
      <c r="S450" s="350"/>
      <c r="BF450" s="350"/>
      <c r="BG450" s="350"/>
      <c r="BH450" s="350"/>
    </row>
    <row r="451" spans="4:60">
      <c r="D451" s="350"/>
      <c r="S451" s="350"/>
      <c r="BF451" s="350"/>
      <c r="BG451" s="350"/>
      <c r="BH451" s="350"/>
    </row>
    <row r="452" spans="4:60">
      <c r="D452" s="350"/>
      <c r="S452" s="350"/>
      <c r="BF452" s="350"/>
      <c r="BG452" s="350"/>
      <c r="BH452" s="350"/>
    </row>
    <row r="453" spans="4:60">
      <c r="D453" s="350"/>
      <c r="S453" s="350"/>
      <c r="BF453" s="350"/>
      <c r="BG453" s="350"/>
      <c r="BH453" s="350"/>
    </row>
    <row r="454" spans="4:60">
      <c r="D454" s="350"/>
      <c r="S454" s="350"/>
      <c r="BF454" s="350"/>
      <c r="BG454" s="350"/>
      <c r="BH454" s="350"/>
    </row>
    <row r="455" spans="4:60">
      <c r="D455" s="350"/>
      <c r="S455" s="350"/>
      <c r="BF455" s="350"/>
      <c r="BG455" s="350"/>
      <c r="BH455" s="350"/>
    </row>
    <row r="456" spans="4:60">
      <c r="D456" s="350"/>
      <c r="S456" s="350"/>
      <c r="BF456" s="350"/>
      <c r="BG456" s="350"/>
      <c r="BH456" s="350"/>
    </row>
    <row r="457" spans="4:60">
      <c r="D457" s="350"/>
      <c r="S457" s="350"/>
      <c r="BF457" s="350"/>
      <c r="BG457" s="350"/>
      <c r="BH457" s="350"/>
    </row>
    <row r="458" spans="4:60">
      <c r="D458" s="350"/>
      <c r="S458" s="350"/>
      <c r="BF458" s="350"/>
      <c r="BG458" s="350"/>
      <c r="BH458" s="350"/>
    </row>
    <row r="459" spans="4:60">
      <c r="D459" s="350"/>
      <c r="S459" s="350"/>
      <c r="BF459" s="350"/>
      <c r="BG459" s="350"/>
      <c r="BH459" s="350"/>
    </row>
    <row r="460" spans="4:60">
      <c r="D460" s="350"/>
      <c r="S460" s="350"/>
      <c r="BF460" s="350"/>
      <c r="BG460" s="350"/>
      <c r="BH460" s="350"/>
    </row>
    <row r="461" spans="4:60">
      <c r="D461" s="350"/>
      <c r="S461" s="350"/>
      <c r="BF461" s="350"/>
      <c r="BG461" s="350"/>
      <c r="BH461" s="350"/>
    </row>
    <row r="462" spans="4:60">
      <c r="D462" s="350"/>
      <c r="S462" s="350"/>
      <c r="BF462" s="350"/>
      <c r="BG462" s="350"/>
      <c r="BH462" s="350"/>
    </row>
    <row r="463" spans="4:60">
      <c r="D463" s="350"/>
      <c r="S463" s="350"/>
      <c r="BF463" s="350"/>
      <c r="BG463" s="350"/>
      <c r="BH463" s="350"/>
    </row>
    <row r="464" spans="4:60">
      <c r="D464" s="350"/>
      <c r="S464" s="350"/>
      <c r="BF464" s="350"/>
      <c r="BG464" s="350"/>
      <c r="BH464" s="350"/>
    </row>
    <row r="465" spans="4:60">
      <c r="D465" s="350"/>
      <c r="S465" s="350"/>
      <c r="BF465" s="350"/>
      <c r="BG465" s="350"/>
      <c r="BH465" s="350"/>
    </row>
    <row r="466" spans="4:60">
      <c r="D466" s="350"/>
      <c r="S466" s="350"/>
      <c r="BF466" s="350"/>
      <c r="BG466" s="350"/>
      <c r="BH466" s="350"/>
    </row>
    <row r="467" spans="4:60">
      <c r="D467" s="350"/>
      <c r="S467" s="350"/>
      <c r="BF467" s="350"/>
      <c r="BG467" s="350"/>
      <c r="BH467" s="350"/>
    </row>
    <row r="468" spans="4:60">
      <c r="D468" s="350"/>
      <c r="S468" s="350"/>
      <c r="BF468" s="350"/>
      <c r="BG468" s="350"/>
      <c r="BH468" s="350"/>
    </row>
    <row r="469" spans="4:60">
      <c r="D469" s="350"/>
      <c r="S469" s="350"/>
      <c r="BF469" s="350"/>
      <c r="BG469" s="350"/>
      <c r="BH469" s="350"/>
    </row>
    <row r="470" spans="4:60">
      <c r="D470" s="350"/>
      <c r="S470" s="350"/>
      <c r="BF470" s="350"/>
      <c r="BG470" s="350"/>
      <c r="BH470" s="350"/>
    </row>
    <row r="471" spans="4:60">
      <c r="D471" s="350"/>
      <c r="S471" s="350"/>
      <c r="BF471" s="350"/>
      <c r="BG471" s="350"/>
      <c r="BH471" s="350"/>
    </row>
    <row r="472" spans="4:60">
      <c r="D472" s="350"/>
      <c r="S472" s="350"/>
      <c r="BF472" s="350"/>
      <c r="BG472" s="350"/>
      <c r="BH472" s="350"/>
    </row>
    <row r="473" spans="4:60">
      <c r="D473" s="350"/>
      <c r="S473" s="350"/>
      <c r="BF473" s="350"/>
      <c r="BG473" s="350"/>
      <c r="BH473" s="350"/>
    </row>
    <row r="474" spans="4:60">
      <c r="D474" s="350"/>
      <c r="S474" s="350"/>
      <c r="BF474" s="350"/>
      <c r="BG474" s="350"/>
      <c r="BH474" s="350"/>
    </row>
    <row r="475" spans="4:60">
      <c r="D475" s="350"/>
      <c r="S475" s="350"/>
      <c r="BF475" s="350"/>
      <c r="BG475" s="350"/>
      <c r="BH475" s="350"/>
    </row>
    <row r="476" spans="4:60">
      <c r="D476" s="350"/>
      <c r="S476" s="350"/>
      <c r="BF476" s="350"/>
      <c r="BG476" s="350"/>
      <c r="BH476" s="350"/>
    </row>
    <row r="477" spans="4:60">
      <c r="D477" s="350"/>
      <c r="S477" s="350"/>
      <c r="BF477" s="350"/>
      <c r="BG477" s="350"/>
      <c r="BH477" s="350"/>
    </row>
    <row r="478" spans="4:60">
      <c r="D478" s="350"/>
      <c r="S478" s="350"/>
      <c r="BF478" s="350"/>
      <c r="BG478" s="350"/>
      <c r="BH478" s="350"/>
    </row>
    <row r="479" spans="4:60">
      <c r="D479" s="350"/>
      <c r="S479" s="350"/>
      <c r="BF479" s="350"/>
      <c r="BG479" s="350"/>
      <c r="BH479" s="350"/>
    </row>
    <row r="480" spans="4:60">
      <c r="D480" s="350"/>
      <c r="S480" s="350"/>
      <c r="BF480" s="350"/>
      <c r="BG480" s="350"/>
      <c r="BH480" s="350"/>
    </row>
    <row r="481" spans="4:60">
      <c r="D481" s="350"/>
      <c r="S481" s="350"/>
      <c r="BF481" s="350"/>
      <c r="BG481" s="350"/>
      <c r="BH481" s="350"/>
    </row>
    <row r="482" spans="4:60">
      <c r="D482" s="350"/>
      <c r="S482" s="350"/>
      <c r="BF482" s="350"/>
      <c r="BG482" s="350"/>
      <c r="BH482" s="350"/>
    </row>
    <row r="483" spans="4:60">
      <c r="D483" s="350"/>
      <c r="S483" s="350"/>
      <c r="BF483" s="350"/>
      <c r="BG483" s="350"/>
      <c r="BH483" s="350"/>
    </row>
    <row r="484" spans="4:60">
      <c r="D484" s="350"/>
      <c r="S484" s="350"/>
      <c r="BF484" s="350"/>
      <c r="BG484" s="350"/>
      <c r="BH484" s="350"/>
    </row>
    <row r="485" spans="4:60">
      <c r="D485" s="350"/>
      <c r="S485" s="350"/>
      <c r="BF485" s="350"/>
      <c r="BG485" s="350"/>
      <c r="BH485" s="350"/>
    </row>
    <row r="486" spans="4:60">
      <c r="D486" s="350"/>
      <c r="S486" s="350"/>
      <c r="BF486" s="350"/>
      <c r="BG486" s="350"/>
      <c r="BH486" s="350"/>
    </row>
    <row r="487" spans="4:60">
      <c r="D487" s="350"/>
      <c r="S487" s="350"/>
      <c r="BF487" s="350"/>
      <c r="BG487" s="350"/>
      <c r="BH487" s="350"/>
    </row>
    <row r="488" spans="4:60">
      <c r="D488" s="350"/>
      <c r="S488" s="350"/>
      <c r="BF488" s="350"/>
      <c r="BG488" s="350"/>
      <c r="BH488" s="350"/>
    </row>
    <row r="489" spans="4:60">
      <c r="D489" s="350"/>
      <c r="S489" s="350"/>
      <c r="BF489" s="350"/>
      <c r="BG489" s="350"/>
      <c r="BH489" s="350"/>
    </row>
    <row r="490" spans="4:60">
      <c r="D490" s="350"/>
      <c r="S490" s="350"/>
      <c r="BF490" s="350"/>
      <c r="BG490" s="350"/>
      <c r="BH490" s="350"/>
    </row>
    <row r="491" spans="4:60">
      <c r="D491" s="350"/>
      <c r="S491" s="350"/>
      <c r="BF491" s="350"/>
      <c r="BG491" s="350"/>
      <c r="BH491" s="350"/>
    </row>
    <row r="492" spans="4:60">
      <c r="D492" s="350"/>
      <c r="S492" s="350"/>
      <c r="BF492" s="350"/>
      <c r="BG492" s="350"/>
      <c r="BH492" s="350"/>
    </row>
    <row r="493" spans="4:60">
      <c r="D493" s="350"/>
      <c r="S493" s="350"/>
      <c r="BF493" s="350"/>
      <c r="BG493" s="350"/>
      <c r="BH493" s="350"/>
    </row>
    <row r="494" spans="4:60">
      <c r="D494" s="350"/>
      <c r="S494" s="350"/>
      <c r="BF494" s="350"/>
      <c r="BG494" s="350"/>
      <c r="BH494" s="350"/>
    </row>
    <row r="495" spans="4:60">
      <c r="D495" s="350"/>
      <c r="S495" s="350"/>
      <c r="BF495" s="350"/>
      <c r="BG495" s="350"/>
      <c r="BH495" s="350"/>
    </row>
    <row r="496" spans="4:60">
      <c r="D496" s="350"/>
      <c r="S496" s="350"/>
      <c r="BF496" s="350"/>
      <c r="BG496" s="350"/>
      <c r="BH496" s="350"/>
    </row>
    <row r="497" spans="4:60">
      <c r="D497" s="350"/>
      <c r="S497" s="350"/>
      <c r="BF497" s="350"/>
      <c r="BG497" s="350"/>
      <c r="BH497" s="350"/>
    </row>
    <row r="498" spans="4:60">
      <c r="D498" s="350"/>
      <c r="S498" s="350"/>
      <c r="BF498" s="350"/>
      <c r="BG498" s="350"/>
      <c r="BH498" s="350"/>
    </row>
    <row r="499" spans="4:60">
      <c r="D499" s="350"/>
      <c r="S499" s="350"/>
      <c r="BF499" s="350"/>
      <c r="BG499" s="350"/>
      <c r="BH499" s="350"/>
    </row>
    <row r="500" spans="4:60">
      <c r="D500" s="350"/>
      <c r="S500" s="350"/>
      <c r="BF500" s="350"/>
      <c r="BG500" s="350"/>
      <c r="BH500" s="350"/>
    </row>
    <row r="501" spans="4:60">
      <c r="D501" s="350"/>
      <c r="S501" s="350"/>
      <c r="BF501" s="350"/>
      <c r="BG501" s="350"/>
      <c r="BH501" s="350"/>
    </row>
    <row r="502" spans="4:60">
      <c r="D502" s="350"/>
      <c r="S502" s="350"/>
      <c r="BF502" s="350"/>
      <c r="BG502" s="350"/>
      <c r="BH502" s="350"/>
    </row>
    <row r="503" spans="4:60">
      <c r="D503" s="350"/>
      <c r="S503" s="350"/>
      <c r="BF503" s="350"/>
      <c r="BG503" s="350"/>
      <c r="BH503" s="350"/>
    </row>
    <row r="504" spans="4:60">
      <c r="D504" s="350"/>
      <c r="S504" s="350"/>
      <c r="BF504" s="350"/>
      <c r="BG504" s="350"/>
      <c r="BH504" s="350"/>
    </row>
    <row r="505" spans="4:60">
      <c r="D505" s="350"/>
      <c r="S505" s="350"/>
      <c r="BF505" s="350"/>
      <c r="BG505" s="350"/>
      <c r="BH505" s="350"/>
    </row>
    <row r="506" spans="4:60">
      <c r="D506" s="350"/>
      <c r="S506" s="350"/>
      <c r="BF506" s="350"/>
      <c r="BG506" s="350"/>
      <c r="BH506" s="350"/>
    </row>
    <row r="507" spans="4:60">
      <c r="D507" s="350"/>
      <c r="S507" s="350"/>
      <c r="BF507" s="350"/>
      <c r="BG507" s="350"/>
      <c r="BH507" s="350"/>
    </row>
    <row r="508" spans="4:60">
      <c r="D508" s="350"/>
      <c r="S508" s="350"/>
      <c r="BF508" s="350"/>
      <c r="BG508" s="350"/>
      <c r="BH508" s="350"/>
    </row>
    <row r="509" spans="4:60">
      <c r="D509" s="350"/>
      <c r="S509" s="350"/>
      <c r="BF509" s="350"/>
      <c r="BG509" s="350"/>
      <c r="BH509" s="350"/>
    </row>
    <row r="510" spans="4:60">
      <c r="D510" s="350"/>
      <c r="S510" s="350"/>
      <c r="BF510" s="350"/>
      <c r="BG510" s="350"/>
      <c r="BH510" s="350"/>
    </row>
    <row r="511" spans="4:60">
      <c r="D511" s="350"/>
      <c r="S511" s="350"/>
      <c r="BF511" s="350"/>
      <c r="BG511" s="350"/>
      <c r="BH511" s="350"/>
    </row>
    <row r="512" spans="4:60">
      <c r="D512" s="350"/>
      <c r="S512" s="350"/>
      <c r="BF512" s="350"/>
      <c r="BG512" s="350"/>
      <c r="BH512" s="350"/>
    </row>
    <row r="513" spans="4:60">
      <c r="D513" s="350"/>
      <c r="S513" s="350"/>
      <c r="BF513" s="350"/>
      <c r="BG513" s="350"/>
      <c r="BH513" s="350"/>
    </row>
    <row r="514" spans="4:60">
      <c r="D514" s="350"/>
      <c r="S514" s="350"/>
      <c r="BF514" s="350"/>
      <c r="BG514" s="350"/>
      <c r="BH514" s="350"/>
    </row>
    <row r="515" spans="4:60">
      <c r="D515" s="350"/>
      <c r="S515" s="350"/>
      <c r="BF515" s="350"/>
      <c r="BG515" s="350"/>
      <c r="BH515" s="350"/>
    </row>
    <row r="516" spans="4:60">
      <c r="D516" s="350"/>
      <c r="S516" s="350"/>
      <c r="BF516" s="350"/>
      <c r="BG516" s="350"/>
      <c r="BH516" s="350"/>
    </row>
    <row r="517" spans="4:60">
      <c r="D517" s="350"/>
      <c r="S517" s="350"/>
      <c r="BF517" s="350"/>
      <c r="BG517" s="350"/>
      <c r="BH517" s="350"/>
    </row>
    <row r="518" spans="4:60">
      <c r="D518" s="350"/>
      <c r="S518" s="350"/>
      <c r="BF518" s="350"/>
      <c r="BG518" s="350"/>
      <c r="BH518" s="350"/>
    </row>
    <row r="519" spans="4:60">
      <c r="D519" s="350"/>
      <c r="S519" s="350"/>
      <c r="BF519" s="350"/>
      <c r="BG519" s="350"/>
      <c r="BH519" s="350"/>
    </row>
    <row r="520" spans="4:60">
      <c r="D520" s="350"/>
      <c r="S520" s="350"/>
      <c r="BF520" s="350"/>
      <c r="BG520" s="350"/>
      <c r="BH520" s="350"/>
    </row>
    <row r="521" spans="4:60">
      <c r="D521" s="350"/>
      <c r="S521" s="350"/>
      <c r="BF521" s="350"/>
      <c r="BG521" s="350"/>
      <c r="BH521" s="350"/>
    </row>
    <row r="522" spans="4:60">
      <c r="D522" s="350"/>
      <c r="S522" s="350"/>
      <c r="BF522" s="350"/>
      <c r="BG522" s="350"/>
      <c r="BH522" s="350"/>
    </row>
    <row r="523" spans="4:60">
      <c r="D523" s="350"/>
      <c r="S523" s="350"/>
      <c r="BF523" s="350"/>
      <c r="BG523" s="350"/>
      <c r="BH523" s="350"/>
    </row>
    <row r="524" spans="4:60">
      <c r="D524" s="350"/>
      <c r="S524" s="350"/>
      <c r="BF524" s="350"/>
      <c r="BG524" s="350"/>
      <c r="BH524" s="350"/>
    </row>
    <row r="525" spans="4:60">
      <c r="D525" s="350"/>
      <c r="S525" s="350"/>
      <c r="BF525" s="350"/>
      <c r="BG525" s="350"/>
      <c r="BH525" s="350"/>
    </row>
    <row r="526" spans="4:60">
      <c r="D526" s="350"/>
      <c r="S526" s="350"/>
      <c r="BF526" s="350"/>
      <c r="BG526" s="350"/>
      <c r="BH526" s="350"/>
    </row>
    <row r="527" spans="4:60">
      <c r="D527" s="350"/>
      <c r="S527" s="350"/>
      <c r="BF527" s="350"/>
      <c r="BG527" s="350"/>
      <c r="BH527" s="350"/>
    </row>
    <row r="528" spans="4:60">
      <c r="D528" s="350"/>
      <c r="S528" s="350"/>
      <c r="BF528" s="350"/>
      <c r="BG528" s="350"/>
      <c r="BH528" s="350"/>
    </row>
    <row r="529" spans="4:60">
      <c r="D529" s="350"/>
      <c r="S529" s="350"/>
      <c r="BF529" s="350"/>
      <c r="BG529" s="350"/>
      <c r="BH529" s="350"/>
    </row>
    <row r="530" spans="4:60">
      <c r="D530" s="350"/>
      <c r="S530" s="350"/>
      <c r="BF530" s="350"/>
      <c r="BG530" s="350"/>
      <c r="BH530" s="350"/>
    </row>
    <row r="531" spans="4:60">
      <c r="D531" s="350"/>
      <c r="S531" s="350"/>
      <c r="BF531" s="350"/>
      <c r="BG531" s="350"/>
      <c r="BH531" s="350"/>
    </row>
    <row r="532" spans="4:60">
      <c r="D532" s="350"/>
      <c r="S532" s="350"/>
      <c r="BF532" s="350"/>
      <c r="BG532" s="350"/>
      <c r="BH532" s="350"/>
    </row>
    <row r="533" spans="4:60">
      <c r="D533" s="350"/>
      <c r="S533" s="350"/>
      <c r="BF533" s="350"/>
      <c r="BG533" s="350"/>
      <c r="BH533" s="350"/>
    </row>
    <row r="534" spans="4:60">
      <c r="D534" s="350"/>
      <c r="S534" s="350"/>
      <c r="BF534" s="350"/>
      <c r="BG534" s="350"/>
      <c r="BH534" s="350"/>
    </row>
    <row r="535" spans="4:60">
      <c r="D535" s="350"/>
      <c r="S535" s="350"/>
      <c r="BF535" s="350"/>
      <c r="BG535" s="350"/>
      <c r="BH535" s="350"/>
    </row>
    <row r="536" spans="4:60">
      <c r="D536" s="350"/>
      <c r="S536" s="350"/>
      <c r="BF536" s="350"/>
      <c r="BG536" s="350"/>
      <c r="BH536" s="350"/>
    </row>
    <row r="537" spans="4:60">
      <c r="D537" s="350"/>
      <c r="S537" s="350"/>
      <c r="BF537" s="350"/>
      <c r="BG537" s="350"/>
      <c r="BH537" s="350"/>
    </row>
    <row r="538" spans="4:60">
      <c r="D538" s="350"/>
      <c r="S538" s="350"/>
      <c r="BF538" s="350"/>
      <c r="BG538" s="350"/>
      <c r="BH538" s="350"/>
    </row>
    <row r="539" spans="4:60">
      <c r="D539" s="350"/>
      <c r="S539" s="350"/>
      <c r="BF539" s="350"/>
      <c r="BG539" s="350"/>
      <c r="BH539" s="350"/>
    </row>
    <row r="540" spans="4:60">
      <c r="D540" s="350"/>
      <c r="S540" s="350"/>
      <c r="BF540" s="350"/>
      <c r="BG540" s="350"/>
      <c r="BH540" s="350"/>
    </row>
    <row r="541" spans="4:60">
      <c r="D541" s="350"/>
      <c r="S541" s="350"/>
      <c r="BF541" s="350"/>
      <c r="BG541" s="350"/>
      <c r="BH541" s="350"/>
    </row>
    <row r="542" spans="4:60">
      <c r="D542" s="350"/>
      <c r="S542" s="350"/>
      <c r="BF542" s="350"/>
      <c r="BG542" s="350"/>
      <c r="BH542" s="350"/>
    </row>
    <row r="543" spans="4:60">
      <c r="D543" s="350"/>
      <c r="S543" s="350"/>
      <c r="BF543" s="350"/>
      <c r="BG543" s="350"/>
      <c r="BH543" s="350"/>
    </row>
    <row r="544" spans="4:60">
      <c r="D544" s="350"/>
      <c r="S544" s="350"/>
      <c r="BF544" s="350"/>
      <c r="BG544" s="350"/>
      <c r="BH544" s="350"/>
    </row>
    <row r="545" spans="4:60">
      <c r="D545" s="350"/>
      <c r="S545" s="350"/>
      <c r="BF545" s="350"/>
      <c r="BG545" s="350"/>
      <c r="BH545" s="350"/>
    </row>
    <row r="546" spans="4:60">
      <c r="D546" s="350"/>
      <c r="S546" s="350"/>
      <c r="BF546" s="350"/>
      <c r="BG546" s="350"/>
      <c r="BH546" s="350"/>
    </row>
    <row r="547" spans="4:60">
      <c r="D547" s="350"/>
      <c r="S547" s="350"/>
      <c r="BF547" s="350"/>
      <c r="BG547" s="350"/>
      <c r="BH547" s="350"/>
    </row>
    <row r="548" spans="4:60">
      <c r="D548" s="350"/>
      <c r="S548" s="350"/>
      <c r="BF548" s="350"/>
      <c r="BG548" s="350"/>
      <c r="BH548" s="350"/>
    </row>
    <row r="549" spans="4:60">
      <c r="D549" s="350"/>
      <c r="S549" s="350"/>
      <c r="BF549" s="350"/>
      <c r="BG549" s="350"/>
      <c r="BH549" s="350"/>
    </row>
    <row r="550" spans="4:60">
      <c r="D550" s="350"/>
      <c r="S550" s="350"/>
      <c r="BF550" s="350"/>
      <c r="BG550" s="350"/>
      <c r="BH550" s="350"/>
    </row>
    <row r="551" spans="4:60">
      <c r="D551" s="350"/>
      <c r="S551" s="350"/>
      <c r="BF551" s="350"/>
      <c r="BG551" s="350"/>
      <c r="BH551" s="350"/>
    </row>
    <row r="552" spans="4:60">
      <c r="D552" s="350"/>
      <c r="S552" s="350"/>
      <c r="BF552" s="350"/>
      <c r="BG552" s="350"/>
      <c r="BH552" s="350"/>
    </row>
    <row r="553" spans="4:60">
      <c r="D553" s="350"/>
      <c r="S553" s="350"/>
      <c r="BF553" s="350"/>
      <c r="BG553" s="350"/>
      <c r="BH553" s="350"/>
    </row>
    <row r="554" spans="4:60">
      <c r="D554" s="350"/>
      <c r="S554" s="350"/>
      <c r="BF554" s="350"/>
      <c r="BG554" s="350"/>
      <c r="BH554" s="350"/>
    </row>
    <row r="555" spans="4:60">
      <c r="D555" s="350"/>
      <c r="S555" s="350"/>
      <c r="BF555" s="350"/>
      <c r="BG555" s="350"/>
      <c r="BH555" s="350"/>
    </row>
    <row r="556" spans="4:60">
      <c r="D556" s="350"/>
      <c r="S556" s="350"/>
      <c r="BF556" s="350"/>
      <c r="BG556" s="350"/>
      <c r="BH556" s="350"/>
    </row>
    <row r="557" spans="4:60">
      <c r="D557" s="350"/>
      <c r="S557" s="350"/>
      <c r="BF557" s="350"/>
      <c r="BG557" s="350"/>
      <c r="BH557" s="350"/>
    </row>
    <row r="558" spans="4:60">
      <c r="D558" s="350"/>
      <c r="S558" s="350"/>
      <c r="BF558" s="350"/>
      <c r="BG558" s="350"/>
      <c r="BH558" s="350"/>
    </row>
    <row r="559" spans="4:60">
      <c r="D559" s="350"/>
      <c r="S559" s="350"/>
      <c r="BF559" s="350"/>
      <c r="BG559" s="350"/>
      <c r="BH559" s="350"/>
    </row>
    <row r="560" spans="4:60">
      <c r="D560" s="350"/>
      <c r="S560" s="350"/>
      <c r="BF560" s="350"/>
      <c r="BG560" s="350"/>
      <c r="BH560" s="350"/>
    </row>
    <row r="561" spans="4:60">
      <c r="D561" s="350"/>
      <c r="S561" s="350"/>
      <c r="BF561" s="350"/>
      <c r="BG561" s="350"/>
      <c r="BH561" s="350"/>
    </row>
    <row r="562" spans="4:60">
      <c r="D562" s="350"/>
      <c r="S562" s="350"/>
      <c r="BF562" s="350"/>
      <c r="BG562" s="350"/>
      <c r="BH562" s="350"/>
    </row>
    <row r="563" spans="4:60">
      <c r="D563" s="350"/>
      <c r="S563" s="350"/>
      <c r="BF563" s="350"/>
      <c r="BG563" s="350"/>
      <c r="BH563" s="350"/>
    </row>
    <row r="564" spans="4:60">
      <c r="D564" s="350"/>
      <c r="S564" s="350"/>
      <c r="BF564" s="350"/>
      <c r="BG564" s="350"/>
      <c r="BH564" s="350"/>
    </row>
    <row r="565" spans="4:60">
      <c r="D565" s="350"/>
      <c r="S565" s="350"/>
      <c r="BF565" s="350"/>
      <c r="BG565" s="350"/>
      <c r="BH565" s="350"/>
    </row>
    <row r="566" spans="4:60">
      <c r="D566" s="350"/>
      <c r="S566" s="350"/>
      <c r="BF566" s="350"/>
      <c r="BG566" s="350"/>
      <c r="BH566" s="350"/>
    </row>
    <row r="567" spans="4:60">
      <c r="D567" s="350"/>
      <c r="S567" s="350"/>
      <c r="BF567" s="350"/>
      <c r="BG567" s="350"/>
      <c r="BH567" s="350"/>
    </row>
    <row r="568" spans="4:60">
      <c r="D568" s="350"/>
      <c r="S568" s="350"/>
      <c r="BF568" s="350"/>
      <c r="BG568" s="350"/>
      <c r="BH568" s="350"/>
    </row>
    <row r="569" spans="4:60">
      <c r="D569" s="350"/>
      <c r="S569" s="350"/>
      <c r="BF569" s="350"/>
      <c r="BG569" s="350"/>
      <c r="BH569" s="350"/>
    </row>
    <row r="570" spans="4:60">
      <c r="D570" s="350"/>
      <c r="S570" s="350"/>
      <c r="BF570" s="350"/>
      <c r="BG570" s="350"/>
      <c r="BH570" s="350"/>
    </row>
    <row r="571" spans="4:60">
      <c r="D571" s="350"/>
      <c r="S571" s="350"/>
      <c r="BF571" s="350"/>
      <c r="BG571" s="350"/>
      <c r="BH571" s="350"/>
    </row>
    <row r="572" spans="4:60">
      <c r="D572" s="350"/>
      <c r="S572" s="350"/>
      <c r="BF572" s="350"/>
      <c r="BG572" s="350"/>
      <c r="BH572" s="350"/>
    </row>
    <row r="573" spans="4:60">
      <c r="D573" s="350"/>
      <c r="S573" s="350"/>
      <c r="BF573" s="350"/>
      <c r="BG573" s="350"/>
      <c r="BH573" s="350"/>
    </row>
    <row r="574" spans="4:60">
      <c r="D574" s="350"/>
      <c r="S574" s="350"/>
      <c r="BF574" s="350"/>
      <c r="BG574" s="350"/>
      <c r="BH574" s="350"/>
    </row>
    <row r="575" spans="4:60">
      <c r="D575" s="350"/>
      <c r="S575" s="350"/>
      <c r="BF575" s="350"/>
      <c r="BG575" s="350"/>
      <c r="BH575" s="350"/>
    </row>
    <row r="576" spans="4:60">
      <c r="D576" s="350"/>
      <c r="S576" s="350"/>
      <c r="BF576" s="350"/>
      <c r="BG576" s="350"/>
      <c r="BH576" s="350"/>
    </row>
    <row r="577" spans="4:60">
      <c r="D577" s="350"/>
      <c r="S577" s="350"/>
      <c r="BF577" s="350"/>
      <c r="BG577" s="350"/>
      <c r="BH577" s="350"/>
    </row>
    <row r="578" spans="4:60">
      <c r="D578" s="350"/>
      <c r="S578" s="350"/>
      <c r="BF578" s="350"/>
      <c r="BG578" s="350"/>
      <c r="BH578" s="350"/>
    </row>
    <row r="579" spans="4:60">
      <c r="D579" s="350"/>
      <c r="S579" s="350"/>
      <c r="BF579" s="350"/>
      <c r="BG579" s="350"/>
      <c r="BH579" s="350"/>
    </row>
    <row r="580" spans="4:60">
      <c r="D580" s="350"/>
      <c r="S580" s="350"/>
      <c r="BF580" s="350"/>
      <c r="BG580" s="350"/>
      <c r="BH580" s="350"/>
    </row>
    <row r="581" spans="4:60">
      <c r="D581" s="350"/>
      <c r="S581" s="350"/>
      <c r="BF581" s="350"/>
      <c r="BG581" s="350"/>
      <c r="BH581" s="350"/>
    </row>
    <row r="582" spans="4:60">
      <c r="D582" s="350"/>
      <c r="S582" s="350"/>
      <c r="BF582" s="350"/>
      <c r="BG582" s="350"/>
      <c r="BH582" s="350"/>
    </row>
    <row r="583" spans="4:60">
      <c r="D583" s="350"/>
      <c r="S583" s="350"/>
      <c r="BF583" s="350"/>
      <c r="BG583" s="350"/>
      <c r="BH583" s="350"/>
    </row>
    <row r="584" spans="4:60">
      <c r="D584" s="350"/>
      <c r="S584" s="350"/>
      <c r="BF584" s="350"/>
      <c r="BG584" s="350"/>
      <c r="BH584" s="350"/>
    </row>
    <row r="585" spans="4:60">
      <c r="D585" s="350"/>
      <c r="S585" s="350"/>
      <c r="BF585" s="350"/>
      <c r="BG585" s="350"/>
      <c r="BH585" s="350"/>
    </row>
    <row r="586" spans="4:60">
      <c r="D586" s="350"/>
      <c r="S586" s="350"/>
      <c r="BF586" s="350"/>
      <c r="BG586" s="350"/>
      <c r="BH586" s="350"/>
    </row>
    <row r="587" spans="4:60">
      <c r="D587" s="350"/>
      <c r="S587" s="350"/>
      <c r="BF587" s="350"/>
      <c r="BG587" s="350"/>
      <c r="BH587" s="350"/>
    </row>
    <row r="588" spans="4:60">
      <c r="D588" s="350"/>
      <c r="S588" s="350"/>
      <c r="BF588" s="350"/>
      <c r="BG588" s="350"/>
      <c r="BH588" s="350"/>
    </row>
    <row r="589" spans="4:60">
      <c r="D589" s="350"/>
      <c r="S589" s="350"/>
      <c r="BF589" s="350"/>
      <c r="BG589" s="350"/>
      <c r="BH589" s="350"/>
    </row>
    <row r="590" spans="4:60">
      <c r="D590" s="350"/>
      <c r="S590" s="350"/>
      <c r="BF590" s="350"/>
      <c r="BG590" s="350"/>
      <c r="BH590" s="350"/>
    </row>
    <row r="591" spans="4:60">
      <c r="D591" s="350"/>
      <c r="S591" s="350"/>
      <c r="BF591" s="350"/>
      <c r="BG591" s="350"/>
      <c r="BH591" s="350"/>
    </row>
    <row r="592" spans="4:60">
      <c r="D592" s="350"/>
      <c r="S592" s="350"/>
      <c r="BF592" s="350"/>
      <c r="BG592" s="350"/>
      <c r="BH592" s="350"/>
    </row>
    <row r="593" spans="4:60">
      <c r="D593" s="350"/>
      <c r="S593" s="350"/>
      <c r="BF593" s="350"/>
      <c r="BG593" s="350"/>
      <c r="BH593" s="350"/>
    </row>
    <row r="594" spans="4:60">
      <c r="D594" s="350"/>
      <c r="S594" s="350"/>
      <c r="BF594" s="350"/>
      <c r="BG594" s="350"/>
      <c r="BH594" s="350"/>
    </row>
    <row r="595" spans="4:60">
      <c r="D595" s="350"/>
      <c r="S595" s="350"/>
      <c r="BF595" s="350"/>
      <c r="BG595" s="350"/>
      <c r="BH595" s="350"/>
    </row>
    <row r="596" spans="4:60">
      <c r="D596" s="350"/>
      <c r="S596" s="350"/>
      <c r="BF596" s="350"/>
      <c r="BG596" s="350"/>
      <c r="BH596" s="350"/>
    </row>
    <row r="597" spans="4:60">
      <c r="D597" s="350"/>
      <c r="S597" s="350"/>
      <c r="BF597" s="350"/>
      <c r="BG597" s="350"/>
      <c r="BH597" s="350"/>
    </row>
    <row r="598" spans="4:60">
      <c r="D598" s="350"/>
      <c r="S598" s="350"/>
      <c r="BF598" s="350"/>
      <c r="BG598" s="350"/>
      <c r="BH598" s="350"/>
    </row>
    <row r="599" spans="4:60">
      <c r="D599" s="350"/>
      <c r="S599" s="350"/>
      <c r="BF599" s="350"/>
      <c r="BG599" s="350"/>
      <c r="BH599" s="350"/>
    </row>
    <row r="600" spans="4:60">
      <c r="D600" s="350"/>
      <c r="S600" s="350"/>
      <c r="BF600" s="350"/>
      <c r="BG600" s="350"/>
      <c r="BH600" s="350"/>
    </row>
    <row r="604" spans="4:60">
      <c r="D604" s="350"/>
      <c r="S604" s="350"/>
      <c r="BF604" s="350"/>
      <c r="BG604" s="350"/>
      <c r="BH604" s="350"/>
    </row>
    <row r="605" spans="4:60">
      <c r="D605" s="350"/>
      <c r="S605" s="350"/>
      <c r="BF605" s="350"/>
      <c r="BG605" s="350"/>
      <c r="BH605" s="350"/>
    </row>
    <row r="611" spans="4:60">
      <c r="D611" s="350"/>
      <c r="S611" s="350"/>
      <c r="BF611" s="350"/>
      <c r="BG611" s="350"/>
      <c r="BH611" s="350"/>
    </row>
    <row r="612" spans="4:60">
      <c r="D612" s="350"/>
      <c r="S612" s="350"/>
      <c r="BF612" s="350"/>
      <c r="BG612" s="350"/>
      <c r="BH612" s="350"/>
    </row>
    <row r="614" spans="4:60">
      <c r="D614" s="350"/>
      <c r="S614" s="350"/>
      <c r="BF614" s="350"/>
      <c r="BG614" s="350"/>
      <c r="BH614" s="350"/>
    </row>
    <row r="615" spans="4:60">
      <c r="D615" s="350"/>
      <c r="S615" s="350"/>
      <c r="BF615" s="350"/>
      <c r="BG615" s="350"/>
      <c r="BH615" s="350"/>
    </row>
    <row r="616" spans="4:60">
      <c r="D616" s="350"/>
      <c r="S616" s="350"/>
      <c r="BF616" s="350"/>
      <c r="BG616" s="350"/>
      <c r="BH616" s="350"/>
    </row>
    <row r="617" spans="4:60">
      <c r="D617" s="350"/>
      <c r="S617" s="350"/>
      <c r="BF617" s="350"/>
      <c r="BG617" s="350"/>
      <c r="BH617" s="350"/>
    </row>
    <row r="618" spans="4:60">
      <c r="D618" s="350"/>
      <c r="S618" s="350"/>
      <c r="BF618" s="350"/>
      <c r="BG618" s="350"/>
      <c r="BH618" s="350"/>
    </row>
    <row r="619" spans="4:60">
      <c r="D619" s="350"/>
      <c r="S619" s="350"/>
      <c r="BF619" s="350"/>
      <c r="BG619" s="350"/>
      <c r="BH619" s="350"/>
    </row>
    <row r="620" spans="4:60">
      <c r="D620" s="350"/>
      <c r="S620" s="350"/>
      <c r="BF620" s="350"/>
      <c r="BG620" s="350"/>
      <c r="BH620" s="350"/>
    </row>
    <row r="621" spans="4:60">
      <c r="D621" s="350"/>
      <c r="S621" s="350"/>
      <c r="BF621" s="350"/>
      <c r="BG621" s="350"/>
      <c r="BH621" s="350"/>
    </row>
    <row r="622" spans="4:60">
      <c r="D622" s="350"/>
      <c r="S622" s="350"/>
      <c r="BF622" s="350"/>
      <c r="BG622" s="350"/>
      <c r="BH622" s="350"/>
    </row>
    <row r="623" spans="4:60">
      <c r="D623" s="350"/>
      <c r="S623" s="350"/>
      <c r="BF623" s="350"/>
      <c r="BG623" s="350"/>
      <c r="BH623" s="350"/>
    </row>
    <row r="624" spans="4:60">
      <c r="D624" s="350"/>
      <c r="S624" s="350"/>
      <c r="BF624" s="350"/>
      <c r="BG624" s="350"/>
      <c r="BH624" s="350"/>
    </row>
    <row r="625" spans="4:60">
      <c r="D625" s="350"/>
      <c r="S625" s="350"/>
      <c r="BF625" s="350"/>
      <c r="BG625" s="350"/>
      <c r="BH625" s="350"/>
    </row>
    <row r="626" spans="4:60">
      <c r="D626" s="350"/>
      <c r="S626" s="350"/>
      <c r="BF626" s="350"/>
      <c r="BG626" s="350"/>
      <c r="BH626" s="350"/>
    </row>
    <row r="627" spans="4:60">
      <c r="D627" s="350"/>
      <c r="S627" s="350"/>
      <c r="BF627" s="350"/>
      <c r="BG627" s="350"/>
      <c r="BH627" s="350"/>
    </row>
    <row r="628" spans="4:60">
      <c r="D628" s="350"/>
      <c r="S628" s="350"/>
      <c r="BF628" s="350"/>
      <c r="BG628" s="350"/>
      <c r="BH628" s="350"/>
    </row>
    <row r="629" spans="4:60">
      <c r="D629" s="350"/>
      <c r="S629" s="350"/>
      <c r="BF629" s="350"/>
      <c r="BG629" s="350"/>
      <c r="BH629" s="350"/>
    </row>
    <row r="630" spans="4:60">
      <c r="D630" s="350"/>
      <c r="S630" s="350"/>
      <c r="BF630" s="350"/>
      <c r="BG630" s="350"/>
      <c r="BH630" s="350"/>
    </row>
    <row r="631" spans="4:60">
      <c r="D631" s="350"/>
      <c r="S631" s="350"/>
      <c r="BF631" s="350"/>
      <c r="BG631" s="350"/>
      <c r="BH631" s="350"/>
    </row>
    <row r="632" spans="4:60">
      <c r="D632" s="350"/>
      <c r="S632" s="350"/>
      <c r="BF632" s="350"/>
      <c r="BG632" s="350"/>
      <c r="BH632" s="350"/>
    </row>
    <row r="633" spans="4:60">
      <c r="D633" s="350"/>
      <c r="S633" s="350"/>
      <c r="BF633" s="350"/>
      <c r="BG633" s="350"/>
      <c r="BH633" s="350"/>
    </row>
    <row r="634" spans="4:60">
      <c r="D634" s="350"/>
      <c r="S634" s="350"/>
      <c r="BF634" s="350"/>
      <c r="BG634" s="350"/>
      <c r="BH634" s="350"/>
    </row>
    <row r="635" spans="4:60">
      <c r="D635" s="350"/>
      <c r="S635" s="350"/>
      <c r="BF635" s="350"/>
      <c r="BG635" s="350"/>
      <c r="BH635" s="350"/>
    </row>
    <row r="636" spans="4:60">
      <c r="D636" s="350"/>
      <c r="S636" s="350"/>
      <c r="BF636" s="350"/>
      <c r="BG636" s="350"/>
      <c r="BH636" s="350"/>
    </row>
    <row r="637" spans="4:60">
      <c r="D637" s="350"/>
      <c r="S637" s="350"/>
      <c r="BF637" s="350"/>
      <c r="BG637" s="350"/>
      <c r="BH637" s="350"/>
    </row>
    <row r="638" spans="4:60">
      <c r="D638" s="350"/>
      <c r="S638" s="350"/>
      <c r="BF638" s="350"/>
      <c r="BG638" s="350"/>
      <c r="BH638" s="350"/>
    </row>
    <row r="639" spans="4:60">
      <c r="D639" s="350"/>
      <c r="S639" s="350"/>
      <c r="BF639" s="350"/>
      <c r="BG639" s="350"/>
      <c r="BH639" s="350"/>
    </row>
    <row r="640" spans="4:60">
      <c r="D640" s="350"/>
      <c r="S640" s="350"/>
      <c r="BF640" s="350"/>
      <c r="BG640" s="350"/>
      <c r="BH640" s="350"/>
    </row>
    <row r="641" spans="4:60">
      <c r="D641" s="350"/>
      <c r="S641" s="350"/>
      <c r="BF641" s="350"/>
      <c r="BG641" s="350"/>
      <c r="BH641" s="350"/>
    </row>
    <row r="642" spans="4:60">
      <c r="D642" s="350"/>
      <c r="S642" s="350"/>
      <c r="BF642" s="350"/>
      <c r="BG642" s="350"/>
      <c r="BH642" s="350"/>
    </row>
    <row r="643" spans="4:60">
      <c r="D643" s="350"/>
      <c r="S643" s="350"/>
      <c r="BF643" s="350"/>
      <c r="BG643" s="350"/>
      <c r="BH643" s="350"/>
    </row>
    <row r="644" spans="4:60">
      <c r="D644" s="350"/>
      <c r="S644" s="350"/>
      <c r="BF644" s="350"/>
      <c r="BG644" s="350"/>
      <c r="BH644" s="350"/>
    </row>
    <row r="645" spans="4:60">
      <c r="D645" s="350"/>
      <c r="S645" s="350"/>
      <c r="BF645" s="350"/>
      <c r="BG645" s="350"/>
      <c r="BH645" s="350"/>
    </row>
    <row r="646" spans="4:60">
      <c r="D646" s="350"/>
      <c r="S646" s="350"/>
      <c r="BF646" s="350"/>
      <c r="BG646" s="350"/>
      <c r="BH646" s="350"/>
    </row>
    <row r="649" spans="4:60">
      <c r="D649" s="350"/>
      <c r="S649" s="350"/>
      <c r="BF649" s="350"/>
      <c r="BG649" s="350"/>
      <c r="BH649" s="350"/>
    </row>
    <row r="650" spans="4:60">
      <c r="D650" s="350"/>
      <c r="S650" s="350"/>
      <c r="BF650" s="350"/>
      <c r="BG650" s="350"/>
      <c r="BH650" s="350"/>
    </row>
    <row r="651" spans="4:60">
      <c r="D651" s="350"/>
      <c r="S651" s="350"/>
      <c r="BF651" s="350"/>
      <c r="BG651" s="350"/>
      <c r="BH651" s="350"/>
    </row>
    <row r="652" spans="4:60">
      <c r="D652" s="350"/>
      <c r="S652" s="350"/>
      <c r="BF652" s="350"/>
      <c r="BG652" s="350"/>
      <c r="BH652" s="350"/>
    </row>
    <row r="653" spans="4:60">
      <c r="D653" s="350"/>
      <c r="S653" s="350"/>
      <c r="BF653" s="350"/>
      <c r="BG653" s="350"/>
      <c r="BH653" s="350"/>
    </row>
    <row r="654" spans="4:60">
      <c r="D654" s="350"/>
      <c r="S654" s="350"/>
      <c r="BF654" s="350"/>
      <c r="BG654" s="350"/>
      <c r="BH654" s="350"/>
    </row>
    <row r="655" spans="4:60">
      <c r="D655" s="350"/>
      <c r="S655" s="350"/>
      <c r="BF655" s="350"/>
      <c r="BG655" s="350"/>
      <c r="BH655" s="350"/>
    </row>
    <row r="656" spans="4:60">
      <c r="D656" s="350"/>
      <c r="S656" s="350"/>
      <c r="BF656" s="350"/>
      <c r="BG656" s="350"/>
      <c r="BH656" s="350"/>
    </row>
    <row r="657" spans="4:60">
      <c r="D657" s="350"/>
      <c r="S657" s="350"/>
      <c r="BF657" s="350"/>
      <c r="BG657" s="350"/>
      <c r="BH657" s="350"/>
    </row>
    <row r="658" spans="4:60">
      <c r="D658" s="350"/>
      <c r="S658" s="350"/>
      <c r="BF658" s="350"/>
      <c r="BG658" s="350"/>
      <c r="BH658" s="350"/>
    </row>
    <row r="659" spans="4:60">
      <c r="D659" s="350"/>
      <c r="S659" s="350"/>
      <c r="BF659" s="350"/>
      <c r="BG659" s="350"/>
      <c r="BH659" s="350"/>
    </row>
    <row r="660" spans="4:60">
      <c r="D660" s="350"/>
      <c r="S660" s="350"/>
      <c r="BF660" s="350"/>
      <c r="BG660" s="350"/>
      <c r="BH660" s="350"/>
    </row>
    <row r="661" spans="4:60">
      <c r="D661" s="350"/>
      <c r="S661" s="350"/>
      <c r="BF661" s="350"/>
      <c r="BG661" s="350"/>
      <c r="BH661" s="350"/>
    </row>
    <row r="662" spans="4:60">
      <c r="D662" s="350"/>
      <c r="S662" s="350"/>
      <c r="BF662" s="350"/>
      <c r="BG662" s="350"/>
      <c r="BH662" s="350"/>
    </row>
    <row r="663" spans="4:60">
      <c r="D663" s="350"/>
      <c r="S663" s="350"/>
      <c r="BF663" s="350"/>
      <c r="BG663" s="350"/>
      <c r="BH663" s="350"/>
    </row>
    <row r="664" spans="4:60">
      <c r="D664" s="350"/>
      <c r="S664" s="350"/>
      <c r="BF664" s="350"/>
      <c r="BG664" s="350"/>
      <c r="BH664" s="350"/>
    </row>
    <row r="665" spans="4:60">
      <c r="D665" s="350"/>
      <c r="S665" s="350"/>
      <c r="BF665" s="350"/>
      <c r="BG665" s="350"/>
      <c r="BH665" s="350"/>
    </row>
    <row r="666" spans="4:60">
      <c r="D666" s="350"/>
      <c r="S666" s="350"/>
      <c r="BF666" s="350"/>
      <c r="BG666" s="350"/>
      <c r="BH666" s="350"/>
    </row>
    <row r="667" spans="4:60">
      <c r="D667" s="350"/>
      <c r="S667" s="350"/>
      <c r="BF667" s="350"/>
      <c r="BG667" s="350"/>
      <c r="BH667" s="350"/>
    </row>
    <row r="668" spans="4:60">
      <c r="D668" s="350"/>
      <c r="S668" s="350"/>
      <c r="BF668" s="350"/>
      <c r="BG668" s="350"/>
      <c r="BH668" s="350"/>
    </row>
    <row r="669" spans="4:60">
      <c r="D669" s="350"/>
      <c r="S669" s="350"/>
      <c r="BF669" s="350"/>
      <c r="BG669" s="350"/>
      <c r="BH669" s="350"/>
    </row>
    <row r="670" spans="4:60">
      <c r="D670" s="350"/>
      <c r="S670" s="350"/>
      <c r="BF670" s="350"/>
      <c r="BG670" s="350"/>
      <c r="BH670" s="350"/>
    </row>
    <row r="671" spans="4:60">
      <c r="D671" s="350"/>
      <c r="S671" s="350"/>
      <c r="BF671" s="350"/>
      <c r="BG671" s="350"/>
      <c r="BH671" s="350"/>
    </row>
    <row r="672" spans="4:60">
      <c r="D672" s="350"/>
      <c r="S672" s="350"/>
      <c r="BF672" s="350"/>
      <c r="BG672" s="350"/>
      <c r="BH672" s="350"/>
    </row>
    <row r="673" spans="4:60">
      <c r="D673" s="350"/>
      <c r="S673" s="350"/>
      <c r="BF673" s="350"/>
      <c r="BG673" s="350"/>
      <c r="BH673" s="350"/>
    </row>
    <row r="674" spans="4:60">
      <c r="D674" s="350"/>
      <c r="S674" s="350"/>
      <c r="BF674" s="350"/>
      <c r="BG674" s="350"/>
      <c r="BH674" s="350"/>
    </row>
    <row r="675" spans="4:60">
      <c r="D675" s="350"/>
      <c r="S675" s="350"/>
      <c r="BF675" s="350"/>
      <c r="BG675" s="350"/>
      <c r="BH675" s="350"/>
    </row>
    <row r="676" spans="4:60">
      <c r="D676" s="350"/>
      <c r="S676" s="350"/>
      <c r="BF676" s="350"/>
      <c r="BG676" s="350"/>
      <c r="BH676" s="350"/>
    </row>
    <row r="677" spans="4:60">
      <c r="D677" s="350"/>
      <c r="S677" s="350"/>
      <c r="BF677" s="350"/>
      <c r="BG677" s="350"/>
      <c r="BH677" s="350"/>
    </row>
    <row r="678" spans="4:60">
      <c r="D678" s="350"/>
      <c r="S678" s="350"/>
      <c r="BF678" s="350"/>
      <c r="BG678" s="350"/>
      <c r="BH678" s="350"/>
    </row>
    <row r="679" spans="4:60">
      <c r="D679" s="350"/>
      <c r="S679" s="350"/>
      <c r="BF679" s="350"/>
      <c r="BG679" s="350"/>
      <c r="BH679" s="350"/>
    </row>
    <row r="680" spans="4:60">
      <c r="D680" s="350"/>
      <c r="S680" s="350"/>
      <c r="BF680" s="350"/>
      <c r="BG680" s="350"/>
      <c r="BH680" s="350"/>
    </row>
    <row r="681" spans="4:60">
      <c r="D681" s="350"/>
      <c r="S681" s="350"/>
      <c r="BF681" s="350"/>
      <c r="BG681" s="350"/>
      <c r="BH681" s="350"/>
    </row>
    <row r="682" spans="4:60">
      <c r="D682" s="350"/>
      <c r="S682" s="350"/>
      <c r="BF682" s="350"/>
      <c r="BG682" s="350"/>
      <c r="BH682" s="350"/>
    </row>
    <row r="683" spans="4:60">
      <c r="D683" s="350"/>
      <c r="S683" s="350"/>
      <c r="BF683" s="350"/>
      <c r="BG683" s="350"/>
      <c r="BH683" s="350"/>
    </row>
    <row r="684" spans="4:60">
      <c r="D684" s="350"/>
      <c r="S684" s="350"/>
      <c r="BF684" s="350"/>
      <c r="BG684" s="350"/>
      <c r="BH684" s="350"/>
    </row>
    <row r="685" spans="4:60">
      <c r="D685" s="350"/>
      <c r="S685" s="350"/>
      <c r="BF685" s="350"/>
      <c r="BG685" s="350"/>
      <c r="BH685" s="350"/>
    </row>
    <row r="686" spans="4:60">
      <c r="D686" s="350"/>
      <c r="S686" s="350"/>
      <c r="BF686" s="350"/>
      <c r="BG686" s="350"/>
      <c r="BH686" s="350"/>
    </row>
    <row r="687" spans="4:60">
      <c r="D687" s="350"/>
      <c r="S687" s="350"/>
      <c r="BF687" s="350"/>
      <c r="BG687" s="350"/>
      <c r="BH687" s="350"/>
    </row>
    <row r="688" spans="4:60">
      <c r="D688" s="350"/>
      <c r="S688" s="350"/>
      <c r="BF688" s="350"/>
      <c r="BG688" s="350"/>
      <c r="BH688" s="350"/>
    </row>
    <row r="689" spans="4:60">
      <c r="D689" s="350"/>
      <c r="S689" s="350"/>
      <c r="BF689" s="350"/>
      <c r="BG689" s="350"/>
      <c r="BH689" s="350"/>
    </row>
    <row r="690" spans="4:60">
      <c r="D690" s="350"/>
      <c r="S690" s="350"/>
      <c r="BF690" s="350"/>
      <c r="BG690" s="350"/>
      <c r="BH690" s="350"/>
    </row>
    <row r="691" spans="4:60">
      <c r="D691" s="350"/>
      <c r="S691" s="350"/>
      <c r="BF691" s="350"/>
      <c r="BG691" s="350"/>
      <c r="BH691" s="350"/>
    </row>
    <row r="692" spans="4:60">
      <c r="D692" s="350"/>
      <c r="S692" s="350"/>
      <c r="BF692" s="350"/>
      <c r="BG692" s="350"/>
      <c r="BH692" s="350"/>
    </row>
    <row r="693" spans="4:60">
      <c r="D693" s="350"/>
      <c r="S693" s="350"/>
      <c r="BF693" s="350"/>
      <c r="BG693" s="350"/>
      <c r="BH693" s="350"/>
    </row>
    <row r="694" spans="4:60">
      <c r="D694" s="350"/>
      <c r="S694" s="350"/>
      <c r="BF694" s="350"/>
      <c r="BG694" s="350"/>
      <c r="BH694" s="350"/>
    </row>
    <row r="695" spans="4:60">
      <c r="D695" s="350"/>
      <c r="S695" s="350"/>
      <c r="BF695" s="350"/>
      <c r="BG695" s="350"/>
      <c r="BH695" s="350"/>
    </row>
    <row r="696" spans="4:60">
      <c r="D696" s="350"/>
      <c r="S696" s="350"/>
      <c r="BF696" s="350"/>
      <c r="BG696" s="350"/>
      <c r="BH696" s="350"/>
    </row>
    <row r="697" spans="4:60">
      <c r="D697" s="350"/>
      <c r="S697" s="350"/>
      <c r="BF697" s="350"/>
      <c r="BG697" s="350"/>
      <c r="BH697" s="350"/>
    </row>
    <row r="698" spans="4:60">
      <c r="D698" s="350"/>
      <c r="S698" s="350"/>
      <c r="BF698" s="350"/>
      <c r="BG698" s="350"/>
      <c r="BH698" s="350"/>
    </row>
    <row r="699" spans="4:60">
      <c r="D699" s="350"/>
      <c r="S699" s="350"/>
      <c r="BF699" s="350"/>
      <c r="BG699" s="350"/>
      <c r="BH699" s="350"/>
    </row>
    <row r="700" spans="4:60">
      <c r="D700" s="350"/>
      <c r="S700" s="350"/>
      <c r="BF700" s="350"/>
      <c r="BG700" s="350"/>
      <c r="BH700" s="350"/>
    </row>
    <row r="701" spans="4:60">
      <c r="D701" s="350"/>
      <c r="S701" s="350"/>
      <c r="BF701" s="350"/>
      <c r="BG701" s="350"/>
      <c r="BH701" s="350"/>
    </row>
    <row r="702" spans="4:60">
      <c r="D702" s="350"/>
      <c r="S702" s="350"/>
      <c r="BF702" s="350"/>
      <c r="BG702" s="350"/>
      <c r="BH702" s="350"/>
    </row>
    <row r="703" spans="4:60">
      <c r="D703" s="350"/>
      <c r="S703" s="350"/>
      <c r="BF703" s="350"/>
      <c r="BG703" s="350"/>
      <c r="BH703" s="350"/>
    </row>
    <row r="704" spans="4:60">
      <c r="D704" s="350"/>
      <c r="S704" s="350"/>
      <c r="BF704" s="350"/>
      <c r="BG704" s="350"/>
      <c r="BH704" s="350"/>
    </row>
    <row r="705" spans="4:60">
      <c r="D705" s="350"/>
      <c r="S705" s="350"/>
      <c r="BF705" s="350"/>
      <c r="BG705" s="350"/>
      <c r="BH705" s="350"/>
    </row>
    <row r="706" spans="4:60">
      <c r="D706" s="350"/>
      <c r="S706" s="350"/>
      <c r="BF706" s="350"/>
      <c r="BG706" s="350"/>
      <c r="BH706" s="350"/>
    </row>
    <row r="707" spans="4:60">
      <c r="D707" s="350"/>
      <c r="S707" s="350"/>
      <c r="BF707" s="350"/>
      <c r="BG707" s="350"/>
      <c r="BH707" s="350"/>
    </row>
    <row r="708" spans="4:60">
      <c r="D708" s="350"/>
      <c r="S708" s="350"/>
      <c r="BF708" s="350"/>
      <c r="BG708" s="350"/>
      <c r="BH708" s="350"/>
    </row>
    <row r="709" spans="4:60">
      <c r="D709" s="350"/>
      <c r="S709" s="350"/>
      <c r="BF709" s="350"/>
      <c r="BG709" s="350"/>
      <c r="BH709" s="350"/>
    </row>
    <row r="710" spans="4:60">
      <c r="D710" s="350"/>
      <c r="S710" s="350"/>
      <c r="BF710" s="350"/>
      <c r="BG710" s="350"/>
      <c r="BH710" s="350"/>
    </row>
    <row r="711" spans="4:60">
      <c r="D711" s="350"/>
      <c r="S711" s="350"/>
      <c r="BF711" s="350"/>
      <c r="BG711" s="350"/>
      <c r="BH711" s="350"/>
    </row>
    <row r="712" spans="4:60">
      <c r="D712" s="350"/>
      <c r="S712" s="350"/>
      <c r="BF712" s="350"/>
      <c r="BG712" s="350"/>
      <c r="BH712" s="350"/>
    </row>
    <row r="713" spans="4:60">
      <c r="D713" s="350"/>
      <c r="S713" s="350"/>
      <c r="BF713" s="350"/>
      <c r="BG713" s="350"/>
      <c r="BH713" s="350"/>
    </row>
    <row r="714" spans="4:60">
      <c r="D714" s="350"/>
      <c r="S714" s="350"/>
      <c r="BF714" s="350"/>
      <c r="BG714" s="350"/>
      <c r="BH714" s="350"/>
    </row>
    <row r="715" spans="4:60">
      <c r="D715" s="350"/>
      <c r="S715" s="350"/>
      <c r="BF715" s="350"/>
      <c r="BG715" s="350"/>
      <c r="BH715" s="350"/>
    </row>
    <row r="716" spans="4:60">
      <c r="D716" s="350"/>
      <c r="S716" s="350"/>
      <c r="BF716" s="350"/>
      <c r="BG716" s="350"/>
      <c r="BH716" s="350"/>
    </row>
    <row r="717" spans="4:60">
      <c r="D717" s="350"/>
      <c r="S717" s="350"/>
      <c r="BF717" s="350"/>
      <c r="BG717" s="350"/>
      <c r="BH717" s="350"/>
    </row>
    <row r="718" spans="4:60">
      <c r="D718" s="350"/>
      <c r="S718" s="350"/>
      <c r="BF718" s="350"/>
      <c r="BG718" s="350"/>
      <c r="BH718" s="350"/>
    </row>
    <row r="719" spans="4:60">
      <c r="D719" s="350"/>
      <c r="S719" s="350"/>
      <c r="BF719" s="350"/>
      <c r="BG719" s="350"/>
      <c r="BH719" s="350"/>
    </row>
    <row r="720" spans="4:60">
      <c r="D720" s="350"/>
      <c r="S720" s="350"/>
      <c r="BF720" s="350"/>
      <c r="BG720" s="350"/>
      <c r="BH720" s="350"/>
    </row>
    <row r="721" spans="4:60">
      <c r="D721" s="350"/>
      <c r="S721" s="350"/>
      <c r="BF721" s="350"/>
      <c r="BG721" s="350"/>
      <c r="BH721" s="350"/>
    </row>
    <row r="722" spans="4:60">
      <c r="D722" s="350"/>
      <c r="S722" s="350"/>
      <c r="BF722" s="350"/>
      <c r="BG722" s="350"/>
      <c r="BH722" s="350"/>
    </row>
    <row r="723" spans="4:60">
      <c r="D723" s="350"/>
      <c r="S723" s="350"/>
      <c r="BF723" s="350"/>
      <c r="BG723" s="350"/>
      <c r="BH723" s="350"/>
    </row>
    <row r="724" spans="4:60">
      <c r="D724" s="350"/>
      <c r="S724" s="350"/>
      <c r="BF724" s="350"/>
      <c r="BG724" s="350"/>
      <c r="BH724" s="350"/>
    </row>
    <row r="725" spans="4:60">
      <c r="D725" s="350"/>
      <c r="S725" s="350"/>
      <c r="BF725" s="350"/>
      <c r="BG725" s="350"/>
      <c r="BH725" s="350"/>
    </row>
    <row r="726" spans="4:60">
      <c r="D726" s="350"/>
      <c r="S726" s="350"/>
      <c r="BF726" s="350"/>
      <c r="BG726" s="350"/>
      <c r="BH726" s="350"/>
    </row>
    <row r="727" spans="4:60">
      <c r="D727" s="350"/>
      <c r="S727" s="350"/>
      <c r="BF727" s="350"/>
      <c r="BG727" s="350"/>
      <c r="BH727" s="350"/>
    </row>
    <row r="728" spans="4:60">
      <c r="D728" s="350"/>
      <c r="S728" s="350"/>
      <c r="BF728" s="350"/>
      <c r="BG728" s="350"/>
      <c r="BH728" s="350"/>
    </row>
    <row r="729" spans="4:60">
      <c r="D729" s="350"/>
      <c r="S729" s="350"/>
      <c r="BF729" s="350"/>
      <c r="BG729" s="350"/>
      <c r="BH729" s="350"/>
    </row>
    <row r="730" spans="4:60">
      <c r="D730" s="350"/>
      <c r="S730" s="350"/>
      <c r="BF730" s="350"/>
      <c r="BG730" s="350"/>
      <c r="BH730" s="350"/>
    </row>
    <row r="731" spans="4:60">
      <c r="D731" s="350"/>
      <c r="S731" s="350"/>
      <c r="BF731" s="350"/>
      <c r="BG731" s="350"/>
      <c r="BH731" s="350"/>
    </row>
    <row r="732" spans="4:60">
      <c r="D732" s="350"/>
      <c r="S732" s="350"/>
      <c r="BF732" s="350"/>
      <c r="BG732" s="350"/>
      <c r="BH732" s="350"/>
    </row>
    <row r="733" spans="4:60">
      <c r="D733" s="350"/>
      <c r="S733" s="350"/>
      <c r="BF733" s="350"/>
      <c r="BG733" s="350"/>
      <c r="BH733" s="350"/>
    </row>
    <row r="734" spans="4:60">
      <c r="D734" s="350"/>
      <c r="S734" s="350"/>
      <c r="BF734" s="350"/>
      <c r="BG734" s="350"/>
      <c r="BH734" s="350"/>
    </row>
    <row r="735" spans="4:60">
      <c r="D735" s="350"/>
      <c r="S735" s="350"/>
      <c r="BF735" s="350"/>
      <c r="BG735" s="350"/>
      <c r="BH735" s="350"/>
    </row>
    <row r="736" spans="4:60">
      <c r="D736" s="350"/>
      <c r="S736" s="350"/>
      <c r="BF736" s="350"/>
      <c r="BG736" s="350"/>
      <c r="BH736" s="350"/>
    </row>
    <row r="737" spans="4:60">
      <c r="D737" s="350"/>
      <c r="S737" s="350"/>
      <c r="BF737" s="350"/>
      <c r="BG737" s="350"/>
      <c r="BH737" s="350"/>
    </row>
    <row r="738" spans="4:60">
      <c r="D738" s="350"/>
      <c r="S738" s="350"/>
      <c r="BF738" s="350"/>
      <c r="BG738" s="350"/>
      <c r="BH738" s="350"/>
    </row>
    <row r="739" spans="4:60">
      <c r="D739" s="350"/>
      <c r="S739" s="350"/>
      <c r="BF739" s="350"/>
      <c r="BG739" s="350"/>
      <c r="BH739" s="350"/>
    </row>
    <row r="740" spans="4:60">
      <c r="D740" s="350"/>
      <c r="S740" s="350"/>
      <c r="BF740" s="350"/>
      <c r="BG740" s="350"/>
      <c r="BH740" s="350"/>
    </row>
    <row r="741" spans="4:60">
      <c r="D741" s="350"/>
      <c r="S741" s="350"/>
      <c r="BF741" s="350"/>
      <c r="BG741" s="350"/>
      <c r="BH741" s="350"/>
    </row>
    <row r="742" spans="4:60">
      <c r="D742" s="350"/>
      <c r="S742" s="350"/>
      <c r="BF742" s="350"/>
      <c r="BG742" s="350"/>
      <c r="BH742" s="350"/>
    </row>
    <row r="743" spans="4:60">
      <c r="D743" s="350"/>
      <c r="S743" s="350"/>
      <c r="BF743" s="350"/>
      <c r="BG743" s="350"/>
      <c r="BH743" s="350"/>
    </row>
    <row r="744" spans="4:60">
      <c r="D744" s="350"/>
      <c r="S744" s="350"/>
      <c r="BF744" s="350"/>
      <c r="BG744" s="350"/>
      <c r="BH744" s="350"/>
    </row>
    <row r="745" spans="4:60">
      <c r="D745" s="350"/>
      <c r="S745" s="350"/>
      <c r="BF745" s="350"/>
      <c r="BG745" s="350"/>
      <c r="BH745" s="350"/>
    </row>
    <row r="746" spans="4:60">
      <c r="D746" s="350"/>
      <c r="S746" s="350"/>
      <c r="BF746" s="350"/>
      <c r="BG746" s="350"/>
      <c r="BH746" s="350"/>
    </row>
    <row r="747" spans="4:60">
      <c r="D747" s="350"/>
      <c r="S747" s="350"/>
      <c r="BF747" s="350"/>
      <c r="BG747" s="350"/>
      <c r="BH747" s="350"/>
    </row>
    <row r="748" spans="4:60">
      <c r="D748" s="350"/>
      <c r="S748" s="350"/>
      <c r="BF748" s="350"/>
      <c r="BG748" s="350"/>
      <c r="BH748" s="350"/>
    </row>
    <row r="749" spans="4:60">
      <c r="D749" s="350"/>
      <c r="S749" s="350"/>
      <c r="BF749" s="350"/>
      <c r="BG749" s="350"/>
      <c r="BH749" s="350"/>
    </row>
    <row r="750" spans="4:60">
      <c r="D750" s="350"/>
      <c r="S750" s="350"/>
      <c r="BF750" s="350"/>
      <c r="BG750" s="350"/>
      <c r="BH750" s="350"/>
    </row>
    <row r="751" spans="4:60">
      <c r="D751" s="350"/>
      <c r="S751" s="350"/>
      <c r="BF751" s="350"/>
      <c r="BG751" s="350"/>
      <c r="BH751" s="350"/>
    </row>
    <row r="752" spans="4:60">
      <c r="D752" s="350"/>
      <c r="S752" s="350"/>
      <c r="BF752" s="350"/>
      <c r="BG752" s="350"/>
      <c r="BH752" s="350"/>
    </row>
    <row r="753" spans="4:60">
      <c r="D753" s="350"/>
      <c r="S753" s="350"/>
      <c r="BF753" s="350"/>
      <c r="BG753" s="350"/>
      <c r="BH753" s="350"/>
    </row>
    <row r="754" spans="4:60">
      <c r="D754" s="350"/>
      <c r="S754" s="350"/>
      <c r="BF754" s="350"/>
      <c r="BG754" s="350"/>
      <c r="BH754" s="350"/>
    </row>
    <row r="755" spans="4:60">
      <c r="D755" s="350"/>
      <c r="S755" s="350"/>
      <c r="BF755" s="350"/>
      <c r="BG755" s="350"/>
      <c r="BH755" s="350"/>
    </row>
    <row r="756" spans="4:60">
      <c r="D756" s="350"/>
      <c r="S756" s="350"/>
      <c r="BF756" s="350"/>
      <c r="BG756" s="350"/>
      <c r="BH756" s="350"/>
    </row>
    <row r="757" spans="4:60">
      <c r="D757" s="350"/>
      <c r="S757" s="350"/>
      <c r="BF757" s="350"/>
      <c r="BG757" s="350"/>
      <c r="BH757" s="350"/>
    </row>
    <row r="758" spans="4:60">
      <c r="D758" s="350"/>
      <c r="S758" s="350"/>
      <c r="BF758" s="350"/>
      <c r="BG758" s="350"/>
      <c r="BH758" s="350"/>
    </row>
    <row r="759" spans="4:60">
      <c r="D759" s="350"/>
      <c r="S759" s="350"/>
      <c r="BF759" s="350"/>
      <c r="BG759" s="350"/>
      <c r="BH759" s="350"/>
    </row>
    <row r="760" spans="4:60">
      <c r="D760" s="350"/>
      <c r="S760" s="350"/>
      <c r="BF760" s="350"/>
      <c r="BG760" s="350"/>
      <c r="BH760" s="350"/>
    </row>
    <row r="761" spans="4:60">
      <c r="D761" s="350"/>
      <c r="S761" s="350"/>
      <c r="BF761" s="350"/>
      <c r="BG761" s="350"/>
      <c r="BH761" s="350"/>
    </row>
    <row r="762" spans="4:60">
      <c r="D762" s="350"/>
      <c r="S762" s="350"/>
      <c r="BF762" s="350"/>
      <c r="BG762" s="350"/>
      <c r="BH762" s="350"/>
    </row>
    <row r="763" spans="4:60">
      <c r="D763" s="350"/>
      <c r="S763" s="350"/>
      <c r="BF763" s="350"/>
      <c r="BG763" s="350"/>
      <c r="BH763" s="350"/>
    </row>
    <row r="764" spans="4:60">
      <c r="D764" s="350"/>
      <c r="S764" s="350"/>
      <c r="BF764" s="350"/>
      <c r="BG764" s="350"/>
      <c r="BH764" s="350"/>
    </row>
    <row r="765" spans="4:60">
      <c r="D765" s="350"/>
      <c r="S765" s="350"/>
      <c r="BF765" s="350"/>
      <c r="BG765" s="350"/>
      <c r="BH765" s="350"/>
    </row>
    <row r="766" spans="4:60">
      <c r="D766" s="350"/>
      <c r="S766" s="350"/>
      <c r="BF766" s="350"/>
      <c r="BG766" s="350"/>
      <c r="BH766" s="350"/>
    </row>
    <row r="767" spans="4:60">
      <c r="D767" s="350"/>
      <c r="S767" s="350"/>
      <c r="BF767" s="350"/>
      <c r="BG767" s="350"/>
      <c r="BH767" s="350"/>
    </row>
    <row r="768" spans="4:60">
      <c r="D768" s="350"/>
      <c r="S768" s="350"/>
      <c r="BF768" s="350"/>
      <c r="BG768" s="350"/>
      <c r="BH768" s="350"/>
    </row>
    <row r="769" spans="4:60">
      <c r="D769" s="350"/>
      <c r="S769" s="350"/>
      <c r="BF769" s="350"/>
      <c r="BG769" s="350"/>
      <c r="BH769" s="350"/>
    </row>
    <row r="770" spans="4:60">
      <c r="D770" s="350"/>
      <c r="S770" s="350"/>
      <c r="BF770" s="350"/>
      <c r="BG770" s="350"/>
      <c r="BH770" s="350"/>
    </row>
    <row r="771" spans="4:60">
      <c r="D771" s="350"/>
      <c r="S771" s="350"/>
      <c r="BF771" s="350"/>
      <c r="BG771" s="350"/>
      <c r="BH771" s="350"/>
    </row>
    <row r="772" spans="4:60">
      <c r="D772" s="350"/>
      <c r="S772" s="350"/>
      <c r="BF772" s="350"/>
      <c r="BG772" s="350"/>
      <c r="BH772" s="350"/>
    </row>
    <row r="773" spans="4:60">
      <c r="D773" s="350"/>
      <c r="S773" s="350"/>
      <c r="BF773" s="350"/>
      <c r="BG773" s="350"/>
      <c r="BH773" s="350"/>
    </row>
    <row r="774" spans="4:60">
      <c r="D774" s="350"/>
      <c r="S774" s="350"/>
      <c r="BF774" s="350"/>
      <c r="BG774" s="350"/>
      <c r="BH774" s="350"/>
    </row>
    <row r="775" spans="4:60">
      <c r="D775" s="350"/>
      <c r="S775" s="350"/>
      <c r="BF775" s="350"/>
      <c r="BG775" s="350"/>
      <c r="BH775" s="350"/>
    </row>
    <row r="776" spans="4:60">
      <c r="D776" s="350"/>
      <c r="S776" s="350"/>
      <c r="BF776" s="350"/>
      <c r="BG776" s="350"/>
      <c r="BH776" s="350"/>
    </row>
    <row r="777" spans="4:60">
      <c r="D777" s="350"/>
      <c r="S777" s="350"/>
      <c r="BF777" s="350"/>
      <c r="BG777" s="350"/>
      <c r="BH777" s="350"/>
    </row>
    <row r="778" spans="4:60">
      <c r="D778" s="350"/>
      <c r="S778" s="350"/>
      <c r="BF778" s="350"/>
      <c r="BG778" s="350"/>
      <c r="BH778" s="350"/>
    </row>
    <row r="779" spans="4:60">
      <c r="D779" s="350"/>
      <c r="S779" s="350"/>
      <c r="BF779" s="350"/>
      <c r="BG779" s="350"/>
      <c r="BH779" s="350"/>
    </row>
    <row r="780" spans="4:60">
      <c r="D780" s="350"/>
      <c r="S780" s="350"/>
      <c r="BF780" s="350"/>
      <c r="BG780" s="350"/>
      <c r="BH780" s="350"/>
    </row>
    <row r="781" spans="4:60">
      <c r="D781" s="350"/>
      <c r="S781" s="350"/>
      <c r="BF781" s="350"/>
      <c r="BG781" s="350"/>
      <c r="BH781" s="350"/>
    </row>
    <row r="782" spans="4:60">
      <c r="D782" s="350"/>
      <c r="S782" s="350"/>
      <c r="BF782" s="350"/>
      <c r="BG782" s="350"/>
      <c r="BH782" s="350"/>
    </row>
    <row r="783" spans="4:60">
      <c r="D783" s="350"/>
      <c r="S783" s="350"/>
      <c r="BF783" s="350"/>
      <c r="BG783" s="350"/>
      <c r="BH783" s="350"/>
    </row>
    <row r="784" spans="4:60">
      <c r="D784" s="350"/>
      <c r="S784" s="350"/>
      <c r="BF784" s="350"/>
      <c r="BG784" s="350"/>
      <c r="BH784" s="350"/>
    </row>
    <row r="785" spans="4:60">
      <c r="D785" s="350"/>
      <c r="S785" s="350"/>
      <c r="BF785" s="350"/>
      <c r="BG785" s="350"/>
      <c r="BH785" s="350"/>
    </row>
    <row r="786" spans="4:60">
      <c r="D786" s="350"/>
      <c r="S786" s="350"/>
      <c r="BF786" s="350"/>
      <c r="BG786" s="350"/>
      <c r="BH786" s="350"/>
    </row>
    <row r="787" spans="4:60">
      <c r="D787" s="350"/>
      <c r="S787" s="350"/>
      <c r="BF787" s="350"/>
      <c r="BG787" s="350"/>
      <c r="BH787" s="350"/>
    </row>
    <row r="788" spans="4:60">
      <c r="D788" s="350"/>
      <c r="S788" s="350"/>
      <c r="BF788" s="350"/>
      <c r="BG788" s="350"/>
      <c r="BH788" s="350"/>
    </row>
    <row r="789" spans="4:60">
      <c r="D789" s="350"/>
      <c r="S789" s="350"/>
      <c r="BF789" s="350"/>
      <c r="BG789" s="350"/>
      <c r="BH789" s="350"/>
    </row>
    <row r="790" spans="4:60">
      <c r="D790" s="350"/>
      <c r="S790" s="350"/>
      <c r="BF790" s="350"/>
      <c r="BG790" s="350"/>
      <c r="BH790" s="350"/>
    </row>
    <row r="791" spans="4:60">
      <c r="D791" s="350"/>
      <c r="S791" s="350"/>
      <c r="BF791" s="350"/>
      <c r="BG791" s="350"/>
      <c r="BH791" s="350"/>
    </row>
    <row r="792" spans="4:60">
      <c r="D792" s="350"/>
      <c r="S792" s="350"/>
      <c r="BF792" s="350"/>
      <c r="BG792" s="350"/>
      <c r="BH792" s="350"/>
    </row>
    <row r="793" spans="4:60">
      <c r="D793" s="350"/>
      <c r="S793" s="350"/>
      <c r="BF793" s="350"/>
      <c r="BG793" s="350"/>
      <c r="BH793" s="350"/>
    </row>
    <row r="794" spans="4:60">
      <c r="D794" s="350"/>
      <c r="S794" s="350"/>
      <c r="BF794" s="350"/>
      <c r="BG794" s="350"/>
      <c r="BH794" s="350"/>
    </row>
    <row r="795" spans="4:60">
      <c r="D795" s="350"/>
      <c r="S795" s="350"/>
      <c r="BF795" s="350"/>
      <c r="BG795" s="350"/>
      <c r="BH795" s="350"/>
    </row>
    <row r="796" spans="4:60">
      <c r="D796" s="350"/>
      <c r="S796" s="350"/>
      <c r="BF796" s="350"/>
      <c r="BG796" s="350"/>
      <c r="BH796" s="350"/>
    </row>
    <row r="797" spans="4:60">
      <c r="D797" s="350"/>
      <c r="S797" s="350"/>
      <c r="BF797" s="350"/>
      <c r="BG797" s="350"/>
      <c r="BH797" s="350"/>
    </row>
    <row r="798" spans="4:60">
      <c r="D798" s="350"/>
      <c r="S798" s="350"/>
      <c r="BF798" s="350"/>
      <c r="BG798" s="350"/>
      <c r="BH798" s="350"/>
    </row>
    <row r="799" spans="4:60">
      <c r="D799" s="350"/>
      <c r="S799" s="350"/>
      <c r="BF799" s="350"/>
      <c r="BG799" s="350"/>
      <c r="BH799" s="350"/>
    </row>
    <row r="800" spans="4:60">
      <c r="D800" s="350"/>
      <c r="S800" s="350"/>
      <c r="BF800" s="350"/>
      <c r="BG800" s="350"/>
      <c r="BH800" s="350"/>
    </row>
    <row r="801" spans="4:60">
      <c r="D801" s="350"/>
      <c r="S801" s="350"/>
      <c r="BF801" s="350"/>
      <c r="BG801" s="350"/>
      <c r="BH801" s="350"/>
    </row>
    <row r="802" spans="4:60">
      <c r="D802" s="350"/>
      <c r="S802" s="350"/>
      <c r="BF802" s="350"/>
      <c r="BG802" s="350"/>
      <c r="BH802" s="350"/>
    </row>
    <row r="803" spans="4:60">
      <c r="D803" s="350"/>
      <c r="S803" s="350"/>
      <c r="BF803" s="350"/>
      <c r="BG803" s="350"/>
      <c r="BH803" s="350"/>
    </row>
    <row r="804" spans="4:60">
      <c r="D804" s="350"/>
      <c r="S804" s="350"/>
      <c r="BF804" s="350"/>
      <c r="BG804" s="350"/>
      <c r="BH804" s="350"/>
    </row>
    <row r="805" spans="4:60">
      <c r="D805" s="350"/>
      <c r="S805" s="350"/>
      <c r="BF805" s="350"/>
      <c r="BG805" s="350"/>
      <c r="BH805" s="350"/>
    </row>
    <row r="806" spans="4:60">
      <c r="D806" s="350"/>
      <c r="S806" s="350"/>
      <c r="BF806" s="350"/>
      <c r="BG806" s="350"/>
      <c r="BH806" s="350"/>
    </row>
    <row r="807" spans="4:60">
      <c r="D807" s="350"/>
      <c r="S807" s="350"/>
      <c r="BF807" s="350"/>
      <c r="BG807" s="350"/>
      <c r="BH807" s="350"/>
    </row>
    <row r="808" spans="4:60">
      <c r="D808" s="350"/>
      <c r="S808" s="350"/>
      <c r="BF808" s="350"/>
      <c r="BG808" s="350"/>
      <c r="BH808" s="350"/>
    </row>
    <row r="809" spans="4:60">
      <c r="D809" s="350"/>
      <c r="S809" s="350"/>
      <c r="BF809" s="350"/>
      <c r="BG809" s="350"/>
      <c r="BH809" s="350"/>
    </row>
    <row r="810" spans="4:60">
      <c r="D810" s="350"/>
      <c r="S810" s="350"/>
      <c r="BF810" s="350"/>
      <c r="BG810" s="350"/>
      <c r="BH810" s="350"/>
    </row>
    <row r="811" spans="4:60">
      <c r="D811" s="350"/>
      <c r="S811" s="350"/>
      <c r="BF811" s="350"/>
      <c r="BG811" s="350"/>
      <c r="BH811" s="350"/>
    </row>
    <row r="812" spans="4:60">
      <c r="D812" s="350"/>
      <c r="S812" s="350"/>
      <c r="BF812" s="350"/>
      <c r="BG812" s="350"/>
      <c r="BH812" s="350"/>
    </row>
    <row r="813" spans="4:60">
      <c r="D813" s="350"/>
      <c r="S813" s="350"/>
      <c r="BF813" s="350"/>
      <c r="BG813" s="350"/>
      <c r="BH813" s="350"/>
    </row>
    <row r="814" spans="4:60">
      <c r="D814" s="350"/>
      <c r="S814" s="350"/>
      <c r="BF814" s="350"/>
      <c r="BG814" s="350"/>
      <c r="BH814" s="350"/>
    </row>
    <row r="815" spans="4:60">
      <c r="D815" s="350"/>
      <c r="S815" s="350"/>
      <c r="BF815" s="350"/>
      <c r="BG815" s="350"/>
      <c r="BH815" s="350"/>
    </row>
    <row r="816" spans="4:60">
      <c r="D816" s="350"/>
      <c r="S816" s="350"/>
      <c r="BF816" s="350"/>
      <c r="BG816" s="350"/>
      <c r="BH816" s="350"/>
    </row>
    <row r="817" spans="4:60">
      <c r="D817" s="350"/>
      <c r="S817" s="350"/>
      <c r="BF817" s="350"/>
      <c r="BG817" s="350"/>
      <c r="BH817" s="350"/>
    </row>
    <row r="818" spans="4:60">
      <c r="D818" s="350"/>
      <c r="S818" s="350"/>
      <c r="BF818" s="350"/>
      <c r="BG818" s="350"/>
      <c r="BH818" s="350"/>
    </row>
    <row r="819" spans="4:60">
      <c r="D819" s="350"/>
      <c r="S819" s="350"/>
      <c r="BF819" s="350"/>
      <c r="BG819" s="350"/>
      <c r="BH819" s="350"/>
    </row>
    <row r="820" spans="4:60">
      <c r="D820" s="350"/>
      <c r="S820" s="350"/>
      <c r="BF820" s="350"/>
      <c r="BG820" s="350"/>
      <c r="BH820" s="350"/>
    </row>
    <row r="821" spans="4:60">
      <c r="D821" s="350"/>
      <c r="S821" s="350"/>
      <c r="BF821" s="350"/>
      <c r="BG821" s="350"/>
      <c r="BH821" s="350"/>
    </row>
    <row r="822" spans="4:60">
      <c r="D822" s="350"/>
      <c r="S822" s="350"/>
      <c r="BF822" s="350"/>
      <c r="BG822" s="350"/>
      <c r="BH822" s="350"/>
    </row>
    <row r="823" spans="4:60">
      <c r="D823" s="350"/>
      <c r="S823" s="350"/>
      <c r="BF823" s="350"/>
      <c r="BG823" s="350"/>
      <c r="BH823" s="350"/>
    </row>
    <row r="824" spans="4:60">
      <c r="D824" s="350"/>
      <c r="S824" s="350"/>
      <c r="BF824" s="350"/>
      <c r="BG824" s="350"/>
      <c r="BH824" s="350"/>
    </row>
    <row r="825" spans="4:60">
      <c r="D825" s="350"/>
      <c r="S825" s="350"/>
      <c r="BF825" s="350"/>
      <c r="BG825" s="350"/>
      <c r="BH825" s="350"/>
    </row>
    <row r="829" spans="4:60">
      <c r="D829" s="350"/>
      <c r="S829" s="350"/>
      <c r="BF829" s="350"/>
      <c r="BG829" s="350"/>
      <c r="BH829" s="350"/>
    </row>
    <row r="830" spans="4:60">
      <c r="D830" s="350"/>
      <c r="S830" s="350"/>
      <c r="BF830" s="350"/>
      <c r="BG830" s="350"/>
      <c r="BH830" s="350"/>
    </row>
    <row r="837" spans="4:60">
      <c r="D837" s="350"/>
      <c r="S837" s="350"/>
      <c r="BF837" s="350"/>
      <c r="BG837" s="350"/>
      <c r="BH837" s="350"/>
    </row>
    <row r="841" spans="4:60">
      <c r="D841" s="350"/>
      <c r="S841" s="350"/>
      <c r="BF841" s="350"/>
      <c r="BG841" s="350"/>
      <c r="BH841" s="350"/>
    </row>
    <row r="842" spans="4:60">
      <c r="D842" s="350"/>
      <c r="S842" s="350"/>
      <c r="BF842" s="350"/>
      <c r="BG842" s="350"/>
      <c r="BH842" s="350"/>
    </row>
    <row r="856" spans="4:60">
      <c r="D856" s="350"/>
      <c r="S856" s="350"/>
      <c r="BF856" s="350"/>
      <c r="BG856" s="350"/>
      <c r="BH856" s="350"/>
    </row>
    <row r="857" spans="4:60">
      <c r="D857" s="350"/>
      <c r="S857" s="350"/>
      <c r="BF857" s="350"/>
      <c r="BG857" s="350"/>
      <c r="BH857" s="350"/>
    </row>
    <row r="858" spans="4:60">
      <c r="D858" s="350"/>
      <c r="S858" s="350"/>
      <c r="BF858" s="350"/>
      <c r="BG858" s="350"/>
      <c r="BH858" s="350"/>
    </row>
    <row r="859" spans="4:60">
      <c r="D859" s="350"/>
      <c r="S859" s="350"/>
      <c r="BF859" s="350"/>
      <c r="BG859" s="350"/>
      <c r="BH859" s="350"/>
    </row>
    <row r="860" spans="4:60">
      <c r="D860" s="350"/>
      <c r="S860" s="350"/>
      <c r="BF860" s="350"/>
      <c r="BG860" s="350"/>
      <c r="BH860" s="350"/>
    </row>
    <row r="861" spans="4:60">
      <c r="D861" s="350"/>
      <c r="S861" s="350"/>
      <c r="BF861" s="350"/>
      <c r="BG861" s="350"/>
      <c r="BH861" s="350"/>
    </row>
    <row r="862" spans="4:60">
      <c r="D862" s="350"/>
      <c r="S862" s="350"/>
      <c r="BF862" s="350"/>
      <c r="BG862" s="350"/>
      <c r="BH862" s="350"/>
    </row>
    <row r="863" spans="4:60">
      <c r="D863" s="350"/>
      <c r="S863" s="350"/>
      <c r="BF863" s="350"/>
      <c r="BG863" s="350"/>
      <c r="BH863" s="350"/>
    </row>
    <row r="864" spans="4:60">
      <c r="D864" s="350"/>
      <c r="S864" s="350"/>
      <c r="BF864" s="350"/>
      <c r="BG864" s="350"/>
      <c r="BH864" s="350"/>
    </row>
    <row r="865" spans="4:60">
      <c r="D865" s="350"/>
      <c r="S865" s="350"/>
      <c r="BF865" s="350"/>
      <c r="BG865" s="350"/>
      <c r="BH865" s="350"/>
    </row>
    <row r="866" spans="4:60">
      <c r="D866" s="350"/>
      <c r="S866" s="350"/>
      <c r="BF866" s="350"/>
      <c r="BG866" s="350"/>
      <c r="BH866" s="350"/>
    </row>
    <row r="867" spans="4:60">
      <c r="D867" s="350"/>
      <c r="S867" s="350"/>
      <c r="BF867" s="350"/>
      <c r="BG867" s="350"/>
      <c r="BH867" s="350"/>
    </row>
    <row r="868" spans="4:60">
      <c r="D868" s="350"/>
      <c r="S868" s="350"/>
      <c r="BF868" s="350"/>
      <c r="BG868" s="350"/>
      <c r="BH868" s="350"/>
    </row>
    <row r="869" spans="4:60">
      <c r="D869" s="350"/>
      <c r="S869" s="350"/>
      <c r="BF869" s="350"/>
      <c r="BG869" s="350"/>
      <c r="BH869" s="350"/>
    </row>
    <row r="870" spans="4:60">
      <c r="D870" s="350"/>
      <c r="S870" s="350"/>
      <c r="BF870" s="350"/>
      <c r="BG870" s="350"/>
      <c r="BH870" s="350"/>
    </row>
    <row r="871" spans="4:60">
      <c r="D871" s="350"/>
      <c r="S871" s="350"/>
      <c r="BF871" s="350"/>
      <c r="BG871" s="350"/>
      <c r="BH871" s="350"/>
    </row>
    <row r="872" spans="4:60">
      <c r="D872" s="350"/>
      <c r="S872" s="350"/>
      <c r="BF872" s="350"/>
      <c r="BG872" s="350"/>
      <c r="BH872" s="350"/>
    </row>
    <row r="873" spans="4:60">
      <c r="D873" s="350"/>
      <c r="S873" s="350"/>
      <c r="BF873" s="350"/>
      <c r="BG873" s="350"/>
      <c r="BH873" s="350"/>
    </row>
    <row r="874" spans="4:60">
      <c r="D874" s="350"/>
      <c r="S874" s="350"/>
      <c r="BF874" s="350"/>
      <c r="BG874" s="350"/>
      <c r="BH874" s="350"/>
    </row>
    <row r="875" spans="4:60">
      <c r="D875" s="350"/>
      <c r="S875" s="350"/>
      <c r="BF875" s="350"/>
      <c r="BG875" s="350"/>
      <c r="BH875" s="350"/>
    </row>
    <row r="876" spans="4:60">
      <c r="D876" s="350"/>
      <c r="S876" s="350"/>
      <c r="BF876" s="350"/>
      <c r="BG876" s="350"/>
      <c r="BH876" s="350"/>
    </row>
    <row r="877" spans="4:60">
      <c r="D877" s="350"/>
      <c r="S877" s="350"/>
      <c r="BF877" s="350"/>
      <c r="BG877" s="350"/>
      <c r="BH877" s="350"/>
    </row>
    <row r="878" spans="4:60">
      <c r="D878" s="350"/>
      <c r="S878" s="350"/>
      <c r="BF878" s="350"/>
      <c r="BG878" s="350"/>
      <c r="BH878" s="350"/>
    </row>
    <row r="879" spans="4:60">
      <c r="D879" s="350"/>
      <c r="S879" s="350"/>
      <c r="BF879" s="350"/>
      <c r="BG879" s="350"/>
      <c r="BH879" s="350"/>
    </row>
    <row r="880" spans="4:60">
      <c r="D880" s="350"/>
      <c r="S880" s="350"/>
      <c r="BF880" s="350"/>
      <c r="BG880" s="350"/>
      <c r="BH880" s="350"/>
    </row>
    <row r="881" spans="4:60">
      <c r="D881" s="350"/>
      <c r="S881" s="350"/>
      <c r="BF881" s="350"/>
      <c r="BG881" s="350"/>
      <c r="BH881" s="350"/>
    </row>
    <row r="882" spans="4:60">
      <c r="D882" s="350"/>
      <c r="S882" s="350"/>
      <c r="BF882" s="350"/>
      <c r="BG882" s="350"/>
      <c r="BH882" s="350"/>
    </row>
    <row r="883" spans="4:60">
      <c r="D883" s="350"/>
      <c r="S883" s="350"/>
      <c r="BF883" s="350"/>
      <c r="BG883" s="350"/>
      <c r="BH883" s="350"/>
    </row>
    <row r="884" spans="4:60">
      <c r="D884" s="350"/>
      <c r="S884" s="350"/>
      <c r="BF884" s="350"/>
      <c r="BG884" s="350"/>
      <c r="BH884" s="350"/>
    </row>
    <row r="885" spans="4:60">
      <c r="D885" s="350"/>
      <c r="S885" s="350"/>
      <c r="BF885" s="350"/>
      <c r="BG885" s="350"/>
      <c r="BH885" s="350"/>
    </row>
    <row r="886" spans="4:60">
      <c r="D886" s="350"/>
      <c r="S886" s="350"/>
      <c r="BF886" s="350"/>
      <c r="BG886" s="350"/>
      <c r="BH886" s="350"/>
    </row>
    <row r="887" spans="4:60">
      <c r="D887" s="350"/>
      <c r="S887" s="350"/>
      <c r="BF887" s="350"/>
      <c r="BG887" s="350"/>
      <c r="BH887" s="350"/>
    </row>
    <row r="891" spans="4:60">
      <c r="D891" s="350"/>
      <c r="S891" s="350"/>
      <c r="BF891" s="350"/>
      <c r="BG891" s="350"/>
      <c r="BH891" s="350"/>
    </row>
    <row r="892" spans="4:60">
      <c r="D892" s="350"/>
      <c r="S892" s="350"/>
      <c r="BF892" s="350"/>
      <c r="BG892" s="350"/>
      <c r="BH892" s="350"/>
    </row>
    <row r="894" spans="4:60">
      <c r="D894" s="350"/>
      <c r="S894" s="350"/>
      <c r="BF894" s="350"/>
      <c r="BG894" s="350"/>
      <c r="BH894" s="350"/>
    </row>
    <row r="895" spans="4:60">
      <c r="D895" s="350"/>
      <c r="S895" s="350"/>
      <c r="BF895" s="350"/>
      <c r="BG895" s="350"/>
      <c r="BH895" s="350"/>
    </row>
    <row r="896" spans="4:60">
      <c r="D896" s="350"/>
      <c r="S896" s="350"/>
      <c r="BF896" s="350"/>
      <c r="BG896" s="350"/>
      <c r="BH896" s="350"/>
    </row>
    <row r="897" spans="4:60">
      <c r="D897" s="350"/>
      <c r="S897" s="350"/>
      <c r="BF897" s="350"/>
      <c r="BG897" s="350"/>
      <c r="BH897" s="350"/>
    </row>
    <row r="898" spans="4:60">
      <c r="D898" s="350"/>
      <c r="S898" s="350"/>
      <c r="BF898" s="350"/>
      <c r="BG898" s="350"/>
      <c r="BH898" s="350"/>
    </row>
    <row r="899" spans="4:60">
      <c r="D899" s="350"/>
      <c r="S899" s="350"/>
      <c r="BF899" s="350"/>
      <c r="BG899" s="350"/>
      <c r="BH899" s="350"/>
    </row>
    <row r="900" spans="4:60">
      <c r="D900" s="350"/>
      <c r="S900" s="350"/>
      <c r="BF900" s="350"/>
      <c r="BG900" s="350"/>
      <c r="BH900" s="350"/>
    </row>
    <row r="901" spans="4:60">
      <c r="D901" s="350"/>
      <c r="S901" s="350"/>
      <c r="BF901" s="350"/>
      <c r="BG901" s="350"/>
      <c r="BH901" s="350"/>
    </row>
    <row r="902" spans="4:60">
      <c r="D902" s="350"/>
      <c r="S902" s="350"/>
      <c r="BF902" s="350"/>
      <c r="BG902" s="350"/>
      <c r="BH902" s="350"/>
    </row>
    <row r="903" spans="4:60">
      <c r="D903" s="350"/>
      <c r="S903" s="350"/>
      <c r="BF903" s="350"/>
      <c r="BG903" s="350"/>
      <c r="BH903" s="350"/>
    </row>
    <row r="904" spans="4:60">
      <c r="D904" s="350"/>
      <c r="S904" s="350"/>
      <c r="BF904" s="350"/>
      <c r="BG904" s="350"/>
      <c r="BH904" s="350"/>
    </row>
    <row r="905" spans="4:60">
      <c r="D905" s="350"/>
      <c r="S905" s="350"/>
      <c r="BF905" s="350"/>
      <c r="BG905" s="350"/>
      <c r="BH905" s="350"/>
    </row>
    <row r="906" spans="4:60">
      <c r="D906" s="350"/>
      <c r="S906" s="350"/>
      <c r="BF906" s="350"/>
      <c r="BG906" s="350"/>
      <c r="BH906" s="350"/>
    </row>
    <row r="907" spans="4:60">
      <c r="D907" s="350"/>
      <c r="S907" s="350"/>
      <c r="BF907" s="350"/>
      <c r="BG907" s="350"/>
      <c r="BH907" s="350"/>
    </row>
    <row r="908" spans="4:60">
      <c r="D908" s="350"/>
      <c r="S908" s="350"/>
      <c r="BF908" s="350"/>
      <c r="BG908" s="350"/>
      <c r="BH908" s="350"/>
    </row>
    <row r="909" spans="4:60">
      <c r="D909" s="350"/>
      <c r="S909" s="350"/>
      <c r="BF909" s="350"/>
      <c r="BG909" s="350"/>
      <c r="BH909" s="350"/>
    </row>
    <row r="910" spans="4:60">
      <c r="D910" s="350"/>
      <c r="S910" s="350"/>
      <c r="BF910" s="350"/>
      <c r="BG910" s="350"/>
      <c r="BH910" s="350"/>
    </row>
    <row r="911" spans="4:60">
      <c r="D911" s="350"/>
      <c r="S911" s="350"/>
      <c r="BF911" s="350"/>
      <c r="BG911" s="350"/>
      <c r="BH911" s="350"/>
    </row>
    <row r="912" spans="4:60">
      <c r="D912" s="350"/>
      <c r="S912" s="350"/>
      <c r="BF912" s="350"/>
      <c r="BG912" s="350"/>
      <c r="BH912" s="350"/>
    </row>
    <row r="913" spans="4:60">
      <c r="D913" s="350"/>
      <c r="S913" s="350"/>
      <c r="BF913" s="350"/>
      <c r="BG913" s="350"/>
      <c r="BH913" s="350"/>
    </row>
    <row r="914" spans="4:60">
      <c r="D914" s="350"/>
      <c r="S914" s="350"/>
      <c r="BF914" s="350"/>
      <c r="BG914" s="350"/>
      <c r="BH914" s="350"/>
    </row>
    <row r="915" spans="4:60">
      <c r="D915" s="350"/>
      <c r="S915" s="350"/>
      <c r="BF915" s="350"/>
      <c r="BG915" s="350"/>
      <c r="BH915" s="350"/>
    </row>
    <row r="916" spans="4:60">
      <c r="D916" s="350"/>
      <c r="S916" s="350"/>
      <c r="BF916" s="350"/>
      <c r="BG916" s="350"/>
      <c r="BH916" s="350"/>
    </row>
    <row r="917" spans="4:60">
      <c r="D917" s="350"/>
      <c r="S917" s="350"/>
      <c r="BF917" s="350"/>
      <c r="BG917" s="350"/>
      <c r="BH917" s="350"/>
    </row>
    <row r="918" spans="4:60">
      <c r="D918" s="350"/>
      <c r="S918" s="350"/>
      <c r="BF918" s="350"/>
      <c r="BG918" s="350"/>
      <c r="BH918" s="350"/>
    </row>
    <row r="919" spans="4:60">
      <c r="D919" s="350"/>
      <c r="S919" s="350"/>
      <c r="BF919" s="350"/>
      <c r="BG919" s="350"/>
      <c r="BH919" s="350"/>
    </row>
    <row r="920" spans="4:60">
      <c r="D920" s="350"/>
      <c r="S920" s="350"/>
      <c r="BF920" s="350"/>
      <c r="BG920" s="350"/>
      <c r="BH920" s="350"/>
    </row>
    <row r="921" spans="4:60">
      <c r="D921" s="350"/>
      <c r="S921" s="350"/>
      <c r="BF921" s="350"/>
      <c r="BG921" s="350"/>
      <c r="BH921" s="350"/>
    </row>
    <row r="922" spans="4:60">
      <c r="D922" s="350"/>
      <c r="S922" s="350"/>
      <c r="BF922" s="350"/>
      <c r="BG922" s="350"/>
      <c r="BH922" s="350"/>
    </row>
    <row r="923" spans="4:60">
      <c r="D923" s="350"/>
      <c r="S923" s="350"/>
      <c r="BF923" s="350"/>
      <c r="BG923" s="350"/>
      <c r="BH923" s="350"/>
    </row>
    <row r="924" spans="4:60">
      <c r="D924" s="350"/>
      <c r="S924" s="350"/>
      <c r="BF924" s="350"/>
      <c r="BG924" s="350"/>
      <c r="BH924" s="350"/>
    </row>
    <row r="925" spans="4:60">
      <c r="D925" s="350"/>
      <c r="S925" s="350"/>
      <c r="BF925" s="350"/>
      <c r="BG925" s="350"/>
      <c r="BH925" s="350"/>
    </row>
    <row r="926" spans="4:60">
      <c r="D926" s="350"/>
      <c r="S926" s="350"/>
      <c r="BF926" s="350"/>
      <c r="BG926" s="350"/>
      <c r="BH926" s="350"/>
    </row>
    <row r="927" spans="4:60">
      <c r="D927" s="350"/>
      <c r="S927" s="350"/>
      <c r="BF927" s="350"/>
      <c r="BG927" s="350"/>
      <c r="BH927" s="350"/>
    </row>
    <row r="928" spans="4:60">
      <c r="D928" s="350"/>
      <c r="S928" s="350"/>
      <c r="BF928" s="350"/>
      <c r="BG928" s="350"/>
      <c r="BH928" s="350"/>
    </row>
    <row r="929" spans="4:60">
      <c r="D929" s="350"/>
      <c r="S929" s="350"/>
      <c r="BF929" s="350"/>
      <c r="BG929" s="350"/>
      <c r="BH929" s="350"/>
    </row>
    <row r="930" spans="4:60">
      <c r="D930" s="350"/>
      <c r="S930" s="350"/>
      <c r="BF930" s="350"/>
      <c r="BG930" s="350"/>
      <c r="BH930" s="350"/>
    </row>
    <row r="931" spans="4:60">
      <c r="D931" s="350"/>
      <c r="S931" s="350"/>
      <c r="BF931" s="350"/>
      <c r="BG931" s="350"/>
      <c r="BH931" s="350"/>
    </row>
    <row r="932" spans="4:60">
      <c r="D932" s="350"/>
      <c r="S932" s="350"/>
      <c r="BF932" s="350"/>
      <c r="BG932" s="350"/>
      <c r="BH932" s="350"/>
    </row>
    <row r="933" spans="4:60">
      <c r="D933" s="350"/>
      <c r="S933" s="350"/>
      <c r="BF933" s="350"/>
      <c r="BG933" s="350"/>
      <c r="BH933" s="350"/>
    </row>
    <row r="934" spans="4:60">
      <c r="D934" s="350"/>
      <c r="S934" s="350"/>
      <c r="BF934" s="350"/>
      <c r="BG934" s="350"/>
      <c r="BH934" s="350"/>
    </row>
    <row r="935" spans="4:60">
      <c r="D935" s="350"/>
      <c r="S935" s="350"/>
      <c r="BF935" s="350"/>
      <c r="BG935" s="350"/>
      <c r="BH935" s="350"/>
    </row>
    <row r="936" spans="4:60">
      <c r="D936" s="350"/>
      <c r="S936" s="350"/>
      <c r="BF936" s="350"/>
      <c r="BG936" s="350"/>
      <c r="BH936" s="350"/>
    </row>
    <row r="937" spans="4:60">
      <c r="D937" s="350"/>
      <c r="S937" s="350"/>
      <c r="BF937" s="350"/>
      <c r="BG937" s="350"/>
      <c r="BH937" s="350"/>
    </row>
    <row r="938" spans="4:60">
      <c r="D938" s="350"/>
      <c r="S938" s="350"/>
      <c r="BF938" s="350"/>
      <c r="BG938" s="350"/>
      <c r="BH938" s="350"/>
    </row>
    <row r="939" spans="4:60">
      <c r="D939" s="350"/>
      <c r="S939" s="350"/>
      <c r="BF939" s="350"/>
      <c r="BG939" s="350"/>
      <c r="BH939" s="350"/>
    </row>
    <row r="940" spans="4:60">
      <c r="D940" s="350"/>
      <c r="S940" s="350"/>
      <c r="BF940" s="350"/>
      <c r="BG940" s="350"/>
      <c r="BH940" s="350"/>
    </row>
    <row r="941" spans="4:60">
      <c r="D941" s="350"/>
      <c r="S941" s="350"/>
      <c r="BF941" s="350"/>
      <c r="BG941" s="350"/>
      <c r="BH941" s="350"/>
    </row>
    <row r="942" spans="4:60">
      <c r="D942" s="350"/>
      <c r="S942" s="350"/>
      <c r="BF942" s="350"/>
      <c r="BG942" s="350"/>
      <c r="BH942" s="350"/>
    </row>
    <row r="943" spans="4:60">
      <c r="D943" s="350"/>
      <c r="S943" s="350"/>
      <c r="BF943" s="350"/>
      <c r="BG943" s="350"/>
      <c r="BH943" s="350"/>
    </row>
    <row r="944" spans="4:60">
      <c r="D944" s="350"/>
      <c r="S944" s="350"/>
      <c r="BF944" s="350"/>
      <c r="BG944" s="350"/>
      <c r="BH944" s="350"/>
    </row>
    <row r="945" spans="4:60">
      <c r="D945" s="350"/>
      <c r="S945" s="350"/>
      <c r="BF945" s="350"/>
      <c r="BG945" s="350"/>
      <c r="BH945" s="350"/>
    </row>
    <row r="946" spans="4:60">
      <c r="D946" s="350"/>
      <c r="S946" s="350"/>
      <c r="BF946" s="350"/>
      <c r="BG946" s="350"/>
      <c r="BH946" s="350"/>
    </row>
    <row r="947" spans="4:60">
      <c r="D947" s="350"/>
      <c r="S947" s="350"/>
      <c r="BF947" s="350"/>
      <c r="BG947" s="350"/>
      <c r="BH947" s="350"/>
    </row>
    <row r="948" spans="4:60">
      <c r="D948" s="350"/>
      <c r="S948" s="350"/>
      <c r="BF948" s="350"/>
      <c r="BG948" s="350"/>
      <c r="BH948" s="350"/>
    </row>
    <row r="949" spans="4:60">
      <c r="D949" s="350"/>
      <c r="S949" s="350"/>
      <c r="BF949" s="350"/>
      <c r="BG949" s="350"/>
      <c r="BH949" s="350"/>
    </row>
    <row r="950" spans="4:60">
      <c r="D950" s="350"/>
      <c r="S950" s="350"/>
      <c r="BF950" s="350"/>
      <c r="BG950" s="350"/>
      <c r="BH950" s="350"/>
    </row>
    <row r="951" spans="4:60">
      <c r="D951" s="350"/>
      <c r="S951" s="350"/>
      <c r="BF951" s="350"/>
      <c r="BG951" s="350"/>
      <c r="BH951" s="350"/>
    </row>
    <row r="952" spans="4:60">
      <c r="D952" s="350"/>
      <c r="S952" s="350"/>
      <c r="BF952" s="350"/>
      <c r="BG952" s="350"/>
      <c r="BH952" s="350"/>
    </row>
    <row r="953" spans="4:60">
      <c r="D953" s="350"/>
      <c r="S953" s="350"/>
      <c r="BF953" s="350"/>
      <c r="BG953" s="350"/>
      <c r="BH953" s="350"/>
    </row>
    <row r="954" spans="4:60">
      <c r="D954" s="350"/>
      <c r="S954" s="350"/>
      <c r="BF954" s="350"/>
      <c r="BG954" s="350"/>
      <c r="BH954" s="350"/>
    </row>
    <row r="955" spans="4:60">
      <c r="D955" s="350"/>
      <c r="S955" s="350"/>
      <c r="BF955" s="350"/>
      <c r="BG955" s="350"/>
      <c r="BH955" s="350"/>
    </row>
    <row r="956" spans="4:60">
      <c r="D956" s="350"/>
      <c r="S956" s="350"/>
      <c r="BF956" s="350"/>
      <c r="BG956" s="350"/>
      <c r="BH956" s="350"/>
    </row>
    <row r="957" spans="4:60">
      <c r="D957" s="350"/>
      <c r="S957" s="350"/>
      <c r="BF957" s="350"/>
      <c r="BG957" s="350"/>
      <c r="BH957" s="350"/>
    </row>
    <row r="958" spans="4:60">
      <c r="D958" s="350"/>
      <c r="S958" s="350"/>
      <c r="BF958" s="350"/>
      <c r="BG958" s="350"/>
      <c r="BH958" s="350"/>
    </row>
    <row r="959" spans="4:60">
      <c r="D959" s="350"/>
      <c r="S959" s="350"/>
      <c r="BF959" s="350"/>
      <c r="BG959" s="350"/>
      <c r="BH959" s="350"/>
    </row>
    <row r="960" spans="4:60">
      <c r="D960" s="350"/>
      <c r="S960" s="350"/>
      <c r="BF960" s="350"/>
      <c r="BG960" s="350"/>
      <c r="BH960" s="350"/>
    </row>
    <row r="961" spans="4:60">
      <c r="D961" s="350"/>
      <c r="S961" s="350"/>
      <c r="BF961" s="350"/>
      <c r="BG961" s="350"/>
      <c r="BH961" s="350"/>
    </row>
    <row r="962" spans="4:60">
      <c r="D962" s="350"/>
      <c r="S962" s="350"/>
      <c r="BF962" s="350"/>
      <c r="BG962" s="350"/>
      <c r="BH962" s="350"/>
    </row>
    <row r="963" spans="4:60">
      <c r="D963" s="350"/>
      <c r="S963" s="350"/>
      <c r="BF963" s="350"/>
      <c r="BG963" s="350"/>
      <c r="BH963" s="350"/>
    </row>
    <row r="964" spans="4:60">
      <c r="D964" s="350"/>
      <c r="S964" s="350"/>
      <c r="BF964" s="350"/>
      <c r="BG964" s="350"/>
      <c r="BH964" s="350"/>
    </row>
    <row r="965" spans="4:60">
      <c r="D965" s="350"/>
      <c r="S965" s="350"/>
      <c r="BF965" s="350"/>
      <c r="BG965" s="350"/>
      <c r="BH965" s="350"/>
    </row>
    <row r="966" spans="4:60">
      <c r="D966" s="350"/>
      <c r="S966" s="350"/>
      <c r="BF966" s="350"/>
      <c r="BG966" s="350"/>
      <c r="BH966" s="350"/>
    </row>
    <row r="967" spans="4:60">
      <c r="D967" s="350"/>
      <c r="S967" s="350"/>
      <c r="BF967" s="350"/>
      <c r="BG967" s="350"/>
      <c r="BH967" s="350"/>
    </row>
    <row r="968" spans="4:60">
      <c r="D968" s="350"/>
      <c r="S968" s="350"/>
      <c r="BF968" s="350"/>
      <c r="BG968" s="350"/>
      <c r="BH968" s="350"/>
    </row>
    <row r="969" spans="4:60">
      <c r="D969" s="350"/>
      <c r="S969" s="350"/>
      <c r="BF969" s="350"/>
      <c r="BG969" s="350"/>
      <c r="BH969" s="350"/>
    </row>
    <row r="970" spans="4:60">
      <c r="D970" s="350"/>
      <c r="S970" s="350"/>
      <c r="BF970" s="350"/>
      <c r="BG970" s="350"/>
      <c r="BH970" s="350"/>
    </row>
    <row r="971" spans="4:60">
      <c r="D971" s="350"/>
      <c r="S971" s="350"/>
      <c r="BF971" s="350"/>
      <c r="BG971" s="350"/>
      <c r="BH971" s="350"/>
    </row>
    <row r="972" spans="4:60">
      <c r="D972" s="350"/>
      <c r="S972" s="350"/>
      <c r="BF972" s="350"/>
      <c r="BG972" s="350"/>
      <c r="BH972" s="350"/>
    </row>
    <row r="973" spans="4:60">
      <c r="D973" s="350"/>
      <c r="S973" s="350"/>
      <c r="BF973" s="350"/>
      <c r="BG973" s="350"/>
      <c r="BH973" s="350"/>
    </row>
    <row r="974" spans="4:60">
      <c r="D974" s="350"/>
      <c r="S974" s="350"/>
      <c r="BF974" s="350"/>
      <c r="BG974" s="350"/>
      <c r="BH974" s="350"/>
    </row>
    <row r="975" spans="4:60">
      <c r="D975" s="350"/>
      <c r="S975" s="350"/>
      <c r="BF975" s="350"/>
      <c r="BG975" s="350"/>
      <c r="BH975" s="350"/>
    </row>
    <row r="976" spans="4:60">
      <c r="D976" s="350"/>
      <c r="S976" s="350"/>
      <c r="BF976" s="350"/>
      <c r="BG976" s="350"/>
      <c r="BH976" s="350"/>
    </row>
    <row r="977" spans="4:60">
      <c r="D977" s="350"/>
      <c r="S977" s="350"/>
      <c r="BF977" s="350"/>
      <c r="BG977" s="350"/>
      <c r="BH977" s="350"/>
    </row>
    <row r="978" spans="4:60">
      <c r="D978" s="350"/>
      <c r="S978" s="350"/>
      <c r="BF978" s="350"/>
      <c r="BG978" s="350"/>
      <c r="BH978" s="350"/>
    </row>
    <row r="979" spans="4:60">
      <c r="D979" s="350"/>
      <c r="S979" s="350"/>
      <c r="BF979" s="350"/>
      <c r="BG979" s="350"/>
      <c r="BH979" s="350"/>
    </row>
    <row r="980" spans="4:60">
      <c r="D980" s="350"/>
      <c r="S980" s="350"/>
      <c r="BF980" s="350"/>
      <c r="BG980" s="350"/>
      <c r="BH980" s="350"/>
    </row>
    <row r="981" spans="4:60">
      <c r="D981" s="350"/>
      <c r="S981" s="350"/>
      <c r="BF981" s="350"/>
      <c r="BG981" s="350"/>
      <c r="BH981" s="350"/>
    </row>
    <row r="982" spans="4:60">
      <c r="D982" s="350"/>
      <c r="S982" s="350"/>
      <c r="BF982" s="350"/>
      <c r="BG982" s="350"/>
      <c r="BH982" s="350"/>
    </row>
    <row r="983" spans="4:60">
      <c r="D983" s="350"/>
      <c r="S983" s="350"/>
      <c r="BF983" s="350"/>
      <c r="BG983" s="350"/>
      <c r="BH983" s="350"/>
    </row>
    <row r="984" spans="4:60">
      <c r="D984" s="350"/>
      <c r="S984" s="350"/>
      <c r="BF984" s="350"/>
      <c r="BG984" s="350"/>
      <c r="BH984" s="350"/>
    </row>
    <row r="985" spans="4:60">
      <c r="D985" s="350"/>
      <c r="S985" s="350"/>
      <c r="BF985" s="350"/>
      <c r="BG985" s="350"/>
      <c r="BH985" s="350"/>
    </row>
    <row r="986" spans="4:60">
      <c r="D986" s="350"/>
      <c r="S986" s="350"/>
      <c r="BF986" s="350"/>
      <c r="BG986" s="350"/>
      <c r="BH986" s="350"/>
    </row>
    <row r="987" spans="4:60">
      <c r="D987" s="350"/>
      <c r="S987" s="350"/>
      <c r="BF987" s="350"/>
      <c r="BG987" s="350"/>
      <c r="BH987" s="350"/>
    </row>
    <row r="988" spans="4:60">
      <c r="D988" s="350"/>
      <c r="S988" s="350"/>
      <c r="BF988" s="350"/>
      <c r="BG988" s="350"/>
      <c r="BH988" s="350"/>
    </row>
    <row r="989" spans="4:60">
      <c r="D989" s="350"/>
      <c r="S989" s="350"/>
      <c r="BF989" s="350"/>
      <c r="BG989" s="350"/>
      <c r="BH989" s="350"/>
    </row>
    <row r="990" spans="4:60">
      <c r="D990" s="350"/>
      <c r="S990" s="350"/>
      <c r="BF990" s="350"/>
      <c r="BG990" s="350"/>
      <c r="BH990" s="350"/>
    </row>
    <row r="991" spans="4:60">
      <c r="D991" s="350"/>
      <c r="S991" s="350"/>
      <c r="BF991" s="350"/>
      <c r="BG991" s="350"/>
      <c r="BH991" s="350"/>
    </row>
    <row r="992" spans="4:60">
      <c r="D992" s="350"/>
      <c r="S992" s="350"/>
      <c r="BF992" s="350"/>
      <c r="BG992" s="350"/>
      <c r="BH992" s="350"/>
    </row>
    <row r="993" spans="4:60">
      <c r="D993" s="350"/>
      <c r="S993" s="350"/>
      <c r="BF993" s="350"/>
      <c r="BG993" s="350"/>
      <c r="BH993" s="350"/>
    </row>
    <row r="994" spans="4:60">
      <c r="D994" s="350"/>
      <c r="S994" s="350"/>
      <c r="BF994" s="350"/>
      <c r="BG994" s="350"/>
      <c r="BH994" s="350"/>
    </row>
    <row r="995" spans="4:60">
      <c r="D995" s="350"/>
      <c r="S995" s="350"/>
      <c r="BF995" s="350"/>
      <c r="BG995" s="350"/>
      <c r="BH995" s="350"/>
    </row>
    <row r="996" spans="4:60">
      <c r="D996" s="350"/>
      <c r="S996" s="350"/>
      <c r="BF996" s="350"/>
      <c r="BG996" s="350"/>
      <c r="BH996" s="350"/>
    </row>
    <row r="997" spans="4:60">
      <c r="D997" s="350"/>
      <c r="S997" s="350"/>
      <c r="BF997" s="350"/>
      <c r="BG997" s="350"/>
      <c r="BH997" s="350"/>
    </row>
    <row r="998" spans="4:60">
      <c r="D998" s="350"/>
      <c r="S998" s="350"/>
      <c r="BF998" s="350"/>
      <c r="BG998" s="350"/>
      <c r="BH998" s="350"/>
    </row>
    <row r="999" spans="4:60">
      <c r="D999" s="350"/>
      <c r="S999" s="350"/>
      <c r="BF999" s="350"/>
      <c r="BG999" s="350"/>
      <c r="BH999" s="350"/>
    </row>
    <row r="1000" spans="4:60">
      <c r="D1000" s="350"/>
      <c r="S1000" s="350"/>
      <c r="BF1000" s="350"/>
      <c r="BG1000" s="350"/>
      <c r="BH1000" s="350"/>
    </row>
    <row r="1001" spans="4:60">
      <c r="D1001" s="350"/>
      <c r="S1001" s="350"/>
      <c r="BF1001" s="350"/>
      <c r="BG1001" s="350"/>
      <c r="BH1001" s="350"/>
    </row>
    <row r="1002" spans="4:60">
      <c r="D1002" s="350"/>
      <c r="S1002" s="350"/>
      <c r="BF1002" s="350"/>
      <c r="BG1002" s="350"/>
      <c r="BH1002" s="350"/>
    </row>
    <row r="1003" spans="4:60">
      <c r="D1003" s="350"/>
      <c r="S1003" s="350"/>
      <c r="BF1003" s="350"/>
      <c r="BG1003" s="350"/>
      <c r="BH1003" s="350"/>
    </row>
    <row r="1004" spans="4:60">
      <c r="D1004" s="350"/>
      <c r="S1004" s="350"/>
      <c r="BF1004" s="350"/>
      <c r="BG1004" s="350"/>
      <c r="BH1004" s="350"/>
    </row>
    <row r="1005" spans="4:60">
      <c r="D1005" s="350"/>
      <c r="S1005" s="350"/>
      <c r="BF1005" s="350"/>
      <c r="BG1005" s="350"/>
      <c r="BH1005" s="350"/>
    </row>
    <row r="1006" spans="4:60">
      <c r="D1006" s="350"/>
      <c r="S1006" s="350"/>
      <c r="BF1006" s="350"/>
      <c r="BG1006" s="350"/>
      <c r="BH1006" s="350"/>
    </row>
    <row r="1007" spans="4:60">
      <c r="D1007" s="350"/>
      <c r="S1007" s="350"/>
      <c r="BF1007" s="350"/>
      <c r="BG1007" s="350"/>
      <c r="BH1007" s="350"/>
    </row>
    <row r="1008" spans="4:60">
      <c r="D1008" s="350"/>
      <c r="S1008" s="350"/>
      <c r="BF1008" s="350"/>
      <c r="BG1008" s="350"/>
      <c r="BH1008" s="350"/>
    </row>
    <row r="1009" spans="4:60">
      <c r="D1009" s="350"/>
      <c r="S1009" s="350"/>
      <c r="BF1009" s="350"/>
      <c r="BG1009" s="350"/>
      <c r="BH1009" s="350"/>
    </row>
    <row r="1010" spans="4:60">
      <c r="D1010" s="350"/>
      <c r="S1010" s="350"/>
      <c r="BF1010" s="350"/>
      <c r="BG1010" s="350"/>
      <c r="BH1010" s="350"/>
    </row>
    <row r="1011" spans="4:60">
      <c r="D1011" s="350"/>
      <c r="S1011" s="350"/>
      <c r="BF1011" s="350"/>
      <c r="BG1011" s="350"/>
      <c r="BH1011" s="350"/>
    </row>
    <row r="1012" spans="4:60">
      <c r="D1012" s="350"/>
      <c r="S1012" s="350"/>
      <c r="BF1012" s="350"/>
      <c r="BG1012" s="350"/>
      <c r="BH1012" s="350"/>
    </row>
    <row r="1013" spans="4:60">
      <c r="D1013" s="350"/>
      <c r="S1013" s="350"/>
      <c r="BF1013" s="350"/>
      <c r="BG1013" s="350"/>
      <c r="BH1013" s="350"/>
    </row>
    <row r="1014" spans="4:60">
      <c r="D1014" s="350"/>
      <c r="S1014" s="350"/>
      <c r="BF1014" s="350"/>
      <c r="BG1014" s="350"/>
      <c r="BH1014" s="350"/>
    </row>
    <row r="1015" spans="4:60">
      <c r="D1015" s="350"/>
      <c r="S1015" s="350"/>
      <c r="BF1015" s="350"/>
      <c r="BG1015" s="350"/>
      <c r="BH1015" s="350"/>
    </row>
    <row r="1016" spans="4:60">
      <c r="D1016" s="350"/>
      <c r="S1016" s="350"/>
      <c r="BF1016" s="350"/>
      <c r="BG1016" s="350"/>
      <c r="BH1016" s="350"/>
    </row>
    <row r="1017" spans="4:60">
      <c r="D1017" s="350"/>
      <c r="S1017" s="350"/>
      <c r="BF1017" s="350"/>
      <c r="BG1017" s="350"/>
      <c r="BH1017" s="350"/>
    </row>
    <row r="1018" spans="4:60">
      <c r="D1018" s="350"/>
      <c r="S1018" s="350"/>
      <c r="BF1018" s="350"/>
      <c r="BG1018" s="350"/>
      <c r="BH1018" s="350"/>
    </row>
    <row r="1019" spans="4:60">
      <c r="D1019" s="350"/>
      <c r="S1019" s="350"/>
      <c r="BF1019" s="350"/>
      <c r="BG1019" s="350"/>
      <c r="BH1019" s="350"/>
    </row>
    <row r="1020" spans="4:60">
      <c r="D1020" s="350"/>
      <c r="S1020" s="350"/>
      <c r="BF1020" s="350"/>
      <c r="BG1020" s="350"/>
      <c r="BH1020" s="350"/>
    </row>
    <row r="1021" spans="4:60">
      <c r="D1021" s="350"/>
      <c r="S1021" s="350"/>
      <c r="BF1021" s="350"/>
      <c r="BG1021" s="350"/>
      <c r="BH1021" s="350"/>
    </row>
    <row r="1022" spans="4:60">
      <c r="D1022" s="350"/>
      <c r="S1022" s="350"/>
      <c r="BF1022" s="350"/>
      <c r="BG1022" s="350"/>
      <c r="BH1022" s="350"/>
    </row>
    <row r="1023" spans="4:60">
      <c r="D1023" s="350"/>
      <c r="S1023" s="350"/>
      <c r="BF1023" s="350"/>
      <c r="BG1023" s="350"/>
      <c r="BH1023" s="350"/>
    </row>
    <row r="1024" spans="4:60">
      <c r="D1024" s="350"/>
      <c r="S1024" s="350"/>
      <c r="BF1024" s="350"/>
      <c r="BG1024" s="350"/>
      <c r="BH1024" s="350"/>
    </row>
    <row r="1025" spans="4:60">
      <c r="D1025" s="350"/>
      <c r="S1025" s="350"/>
      <c r="BF1025" s="350"/>
      <c r="BG1025" s="350"/>
      <c r="BH1025" s="350"/>
    </row>
    <row r="1026" spans="4:60">
      <c r="D1026" s="350"/>
      <c r="S1026" s="350"/>
      <c r="BF1026" s="350"/>
      <c r="BG1026" s="350"/>
      <c r="BH1026" s="350"/>
    </row>
    <row r="1027" spans="4:60">
      <c r="D1027" s="350"/>
      <c r="S1027" s="350"/>
      <c r="BF1027" s="350"/>
      <c r="BG1027" s="350"/>
      <c r="BH1027" s="350"/>
    </row>
    <row r="1028" spans="4:60">
      <c r="D1028" s="350"/>
      <c r="S1028" s="350"/>
      <c r="BF1028" s="350"/>
      <c r="BG1028" s="350"/>
      <c r="BH1028" s="350"/>
    </row>
    <row r="1029" spans="4:60">
      <c r="D1029" s="350"/>
      <c r="S1029" s="350"/>
      <c r="BF1029" s="350"/>
      <c r="BG1029" s="350"/>
      <c r="BH1029" s="350"/>
    </row>
    <row r="1030" spans="4:60">
      <c r="D1030" s="350"/>
      <c r="S1030" s="350"/>
      <c r="BF1030" s="350"/>
      <c r="BG1030" s="350"/>
      <c r="BH1030" s="350"/>
    </row>
    <row r="1031" spans="4:60">
      <c r="D1031" s="350"/>
      <c r="S1031" s="350"/>
      <c r="BF1031" s="350"/>
      <c r="BG1031" s="350"/>
      <c r="BH1031" s="350"/>
    </row>
    <row r="1032" spans="4:60">
      <c r="D1032" s="350"/>
      <c r="S1032" s="350"/>
      <c r="BF1032" s="350"/>
      <c r="BG1032" s="350"/>
      <c r="BH1032" s="350"/>
    </row>
    <row r="1033" spans="4:60">
      <c r="D1033" s="350"/>
      <c r="S1033" s="350"/>
      <c r="BF1033" s="350"/>
      <c r="BG1033" s="350"/>
      <c r="BH1033" s="350"/>
    </row>
    <row r="1034" spans="4:60">
      <c r="D1034" s="350"/>
      <c r="S1034" s="350"/>
      <c r="BF1034" s="350"/>
      <c r="BG1034" s="350"/>
      <c r="BH1034" s="350"/>
    </row>
    <row r="1035" spans="4:60">
      <c r="D1035" s="350"/>
      <c r="S1035" s="350"/>
      <c r="BF1035" s="350"/>
      <c r="BG1035" s="350"/>
      <c r="BH1035" s="350"/>
    </row>
    <row r="1036" spans="4:60">
      <c r="D1036" s="350"/>
      <c r="S1036" s="350"/>
      <c r="BF1036" s="350"/>
      <c r="BG1036" s="350"/>
      <c r="BH1036" s="350"/>
    </row>
    <row r="1037" spans="4:60">
      <c r="D1037" s="350"/>
      <c r="S1037" s="350"/>
      <c r="BF1037" s="350"/>
      <c r="BG1037" s="350"/>
      <c r="BH1037" s="350"/>
    </row>
    <row r="1038" spans="4:60">
      <c r="D1038" s="350"/>
      <c r="S1038" s="350"/>
      <c r="BF1038" s="350"/>
      <c r="BG1038" s="350"/>
      <c r="BH1038" s="350"/>
    </row>
    <row r="1039" spans="4:60">
      <c r="D1039" s="350"/>
      <c r="S1039" s="350"/>
      <c r="BF1039" s="350"/>
      <c r="BG1039" s="350"/>
      <c r="BH1039" s="350"/>
    </row>
    <row r="1040" spans="4:60">
      <c r="D1040" s="350"/>
      <c r="S1040" s="350"/>
      <c r="BF1040" s="350"/>
      <c r="BG1040" s="350"/>
      <c r="BH1040" s="350"/>
    </row>
    <row r="1041" spans="4:60">
      <c r="D1041" s="350"/>
      <c r="S1041" s="350"/>
      <c r="BF1041" s="350"/>
      <c r="BG1041" s="350"/>
      <c r="BH1041" s="350"/>
    </row>
    <row r="1042" spans="4:60">
      <c r="D1042" s="350"/>
      <c r="S1042" s="350"/>
      <c r="BF1042" s="350"/>
      <c r="BG1042" s="350"/>
      <c r="BH1042" s="350"/>
    </row>
    <row r="1043" spans="4:60">
      <c r="D1043" s="350"/>
      <c r="S1043" s="350"/>
      <c r="BF1043" s="350"/>
      <c r="BG1043" s="350"/>
      <c r="BH1043" s="350"/>
    </row>
    <row r="1044" spans="4:60">
      <c r="D1044" s="350"/>
      <c r="S1044" s="350"/>
      <c r="BF1044" s="350"/>
      <c r="BG1044" s="350"/>
      <c r="BH1044" s="350"/>
    </row>
    <row r="1045" spans="4:60">
      <c r="D1045" s="350"/>
      <c r="S1045" s="350"/>
      <c r="BF1045" s="350"/>
      <c r="BG1045" s="350"/>
      <c r="BH1045" s="350"/>
    </row>
    <row r="1046" spans="4:60">
      <c r="D1046" s="350"/>
      <c r="S1046" s="350"/>
      <c r="BF1046" s="350"/>
      <c r="BG1046" s="350"/>
      <c r="BH1046" s="350"/>
    </row>
    <row r="1047" spans="4:60">
      <c r="D1047" s="350"/>
      <c r="S1047" s="350"/>
      <c r="BF1047" s="350"/>
      <c r="BG1047" s="350"/>
      <c r="BH1047" s="350"/>
    </row>
    <row r="1048" spans="4:60">
      <c r="D1048" s="350"/>
      <c r="S1048" s="350"/>
      <c r="BF1048" s="350"/>
      <c r="BG1048" s="350"/>
      <c r="BH1048" s="350"/>
    </row>
    <row r="1049" spans="4:60">
      <c r="D1049" s="350"/>
      <c r="S1049" s="350"/>
      <c r="BF1049" s="350"/>
      <c r="BG1049" s="350"/>
      <c r="BH1049" s="350"/>
    </row>
    <row r="1050" spans="4:60">
      <c r="D1050" s="350"/>
      <c r="S1050" s="350"/>
      <c r="BF1050" s="350"/>
      <c r="BG1050" s="350"/>
      <c r="BH1050" s="350"/>
    </row>
    <row r="1051" spans="4:60">
      <c r="D1051" s="350"/>
      <c r="S1051" s="350"/>
      <c r="BF1051" s="350"/>
      <c r="BG1051" s="350"/>
      <c r="BH1051" s="350"/>
    </row>
    <row r="1052" spans="4:60">
      <c r="D1052" s="350"/>
      <c r="S1052" s="350"/>
      <c r="BF1052" s="350"/>
      <c r="BG1052" s="350"/>
      <c r="BH1052" s="350"/>
    </row>
    <row r="1053" spans="4:60">
      <c r="D1053" s="350"/>
      <c r="S1053" s="350"/>
      <c r="BF1053" s="350"/>
      <c r="BG1053" s="350"/>
      <c r="BH1053" s="350"/>
    </row>
    <row r="1054" spans="4:60">
      <c r="D1054" s="350"/>
      <c r="S1054" s="350"/>
      <c r="BF1054" s="350"/>
      <c r="BG1054" s="350"/>
      <c r="BH1054" s="350"/>
    </row>
    <row r="1055" spans="4:60">
      <c r="D1055" s="350"/>
      <c r="S1055" s="350"/>
      <c r="BF1055" s="350"/>
      <c r="BG1055" s="350"/>
      <c r="BH1055" s="350"/>
    </row>
    <row r="1056" spans="4:60">
      <c r="D1056" s="350"/>
      <c r="S1056" s="350"/>
      <c r="BF1056" s="350"/>
      <c r="BG1056" s="350"/>
      <c r="BH1056" s="350"/>
    </row>
    <row r="1057" spans="4:60">
      <c r="D1057" s="350"/>
      <c r="S1057" s="350"/>
      <c r="BF1057" s="350"/>
      <c r="BG1057" s="350"/>
      <c r="BH1057" s="350"/>
    </row>
    <row r="1058" spans="4:60">
      <c r="D1058" s="350"/>
      <c r="S1058" s="350"/>
      <c r="BF1058" s="350"/>
      <c r="BG1058" s="350"/>
      <c r="BH1058" s="350"/>
    </row>
    <row r="1059" spans="4:60">
      <c r="D1059" s="350"/>
      <c r="S1059" s="350"/>
      <c r="BF1059" s="350"/>
      <c r="BG1059" s="350"/>
      <c r="BH1059" s="350"/>
    </row>
    <row r="1060" spans="4:60">
      <c r="D1060" s="350"/>
      <c r="S1060" s="350"/>
      <c r="BF1060" s="350"/>
      <c r="BG1060" s="350"/>
      <c r="BH1060" s="350"/>
    </row>
    <row r="1061" spans="4:60">
      <c r="D1061" s="350"/>
      <c r="S1061" s="350"/>
      <c r="BF1061" s="350"/>
      <c r="BG1061" s="350"/>
      <c r="BH1061" s="350"/>
    </row>
    <row r="1062" spans="4:60">
      <c r="D1062" s="350"/>
      <c r="S1062" s="350"/>
      <c r="BF1062" s="350"/>
      <c r="BG1062" s="350"/>
      <c r="BH1062" s="350"/>
    </row>
    <row r="1063" spans="4:60">
      <c r="D1063" s="350"/>
      <c r="S1063" s="350"/>
      <c r="BF1063" s="350"/>
      <c r="BG1063" s="350"/>
      <c r="BH1063" s="350"/>
    </row>
    <row r="1064" spans="4:60">
      <c r="D1064" s="350"/>
      <c r="S1064" s="350"/>
      <c r="BF1064" s="350"/>
      <c r="BG1064" s="350"/>
      <c r="BH1064" s="350"/>
    </row>
    <row r="1065" spans="4:60">
      <c r="D1065" s="350"/>
      <c r="S1065" s="350"/>
      <c r="BF1065" s="350"/>
      <c r="BG1065" s="350"/>
      <c r="BH1065" s="350"/>
    </row>
    <row r="1066" spans="4:60">
      <c r="D1066" s="350"/>
      <c r="S1066" s="350"/>
      <c r="BF1066" s="350"/>
      <c r="BG1066" s="350"/>
      <c r="BH1066" s="350"/>
    </row>
    <row r="1067" spans="4:60">
      <c r="D1067" s="350"/>
      <c r="S1067" s="350"/>
      <c r="BF1067" s="350"/>
      <c r="BG1067" s="350"/>
      <c r="BH1067" s="350"/>
    </row>
    <row r="1071" spans="4:60">
      <c r="D1071" s="350"/>
      <c r="S1071" s="350"/>
      <c r="BF1071" s="350"/>
      <c r="BG1071" s="350"/>
      <c r="BH1071" s="350"/>
    </row>
    <row r="1072" spans="4:60">
      <c r="D1072" s="350"/>
      <c r="S1072" s="350"/>
      <c r="BF1072" s="350"/>
      <c r="BG1072" s="350"/>
      <c r="BH1072" s="350"/>
    </row>
    <row r="1076" spans="4:60">
      <c r="D1076" s="350"/>
      <c r="S1076" s="350"/>
      <c r="BF1076" s="350"/>
      <c r="BG1076" s="350"/>
      <c r="BH1076" s="350"/>
    </row>
    <row r="1077" spans="4:60">
      <c r="D1077" s="350"/>
      <c r="S1077" s="350"/>
      <c r="BF1077" s="350"/>
      <c r="BG1077" s="350"/>
      <c r="BH1077" s="350"/>
    </row>
    <row r="1078" spans="4:60">
      <c r="D1078" s="350"/>
      <c r="S1078" s="350"/>
      <c r="BF1078" s="350"/>
      <c r="BG1078" s="350"/>
      <c r="BH1078" s="350"/>
    </row>
    <row r="1079" spans="4:60">
      <c r="D1079" s="350"/>
      <c r="S1079" s="350"/>
      <c r="BF1079" s="350"/>
      <c r="BG1079" s="350"/>
      <c r="BH1079" s="350"/>
    </row>
    <row r="1080" spans="4:60">
      <c r="D1080" s="350"/>
      <c r="S1080" s="350"/>
      <c r="BF1080" s="350"/>
      <c r="BG1080" s="350"/>
      <c r="BH1080" s="350"/>
    </row>
    <row r="1081" spans="4:60">
      <c r="D1081" s="350"/>
      <c r="S1081" s="350"/>
      <c r="BF1081" s="350"/>
      <c r="BG1081" s="350"/>
      <c r="BH1081" s="350"/>
    </row>
    <row r="1082" spans="4:60">
      <c r="D1082" s="350"/>
      <c r="S1082" s="350"/>
      <c r="BF1082" s="350"/>
      <c r="BG1082" s="350"/>
      <c r="BH1082" s="350"/>
    </row>
    <row r="1083" spans="4:60">
      <c r="D1083" s="350"/>
      <c r="S1083" s="350"/>
      <c r="BF1083" s="350"/>
      <c r="BG1083" s="350"/>
      <c r="BH1083" s="350"/>
    </row>
    <row r="1084" spans="4:60">
      <c r="D1084" s="350"/>
      <c r="S1084" s="350"/>
      <c r="BF1084" s="350"/>
      <c r="BG1084" s="350"/>
      <c r="BH1084" s="350"/>
    </row>
    <row r="1085" spans="4:60">
      <c r="D1085" s="350"/>
      <c r="S1085" s="350"/>
      <c r="BF1085" s="350"/>
      <c r="BG1085" s="350"/>
      <c r="BH1085" s="350"/>
    </row>
    <row r="1086" spans="4:60">
      <c r="D1086" s="350"/>
      <c r="S1086" s="350"/>
      <c r="BF1086" s="350"/>
      <c r="BG1086" s="350"/>
      <c r="BH1086" s="350"/>
    </row>
    <row r="1087" spans="4:60">
      <c r="D1087" s="350"/>
      <c r="S1087" s="350"/>
      <c r="BF1087" s="350"/>
      <c r="BG1087" s="350"/>
      <c r="BH1087" s="350"/>
    </row>
    <row r="1088" spans="4:60">
      <c r="D1088" s="350"/>
      <c r="S1088" s="350"/>
      <c r="BF1088" s="350"/>
      <c r="BG1088" s="350"/>
      <c r="BH1088" s="350"/>
    </row>
    <row r="1089" spans="4:60">
      <c r="D1089" s="350"/>
      <c r="S1089" s="350"/>
      <c r="BF1089" s="350"/>
      <c r="BG1089" s="350"/>
      <c r="BH1089" s="350"/>
    </row>
    <row r="1090" spans="4:60">
      <c r="D1090" s="350"/>
      <c r="S1090" s="350"/>
      <c r="BF1090" s="350"/>
      <c r="BG1090" s="350"/>
      <c r="BH1090" s="350"/>
    </row>
    <row r="1091" spans="4:60">
      <c r="D1091" s="350"/>
      <c r="S1091" s="350"/>
      <c r="BF1091" s="350"/>
      <c r="BG1091" s="350"/>
      <c r="BH1091" s="350"/>
    </row>
    <row r="1092" spans="4:60">
      <c r="D1092" s="350"/>
      <c r="S1092" s="350"/>
      <c r="BF1092" s="350"/>
      <c r="BG1092" s="350"/>
      <c r="BH1092" s="350"/>
    </row>
    <row r="1093" spans="4:60">
      <c r="D1093" s="350"/>
      <c r="S1093" s="350"/>
      <c r="BF1093" s="350"/>
      <c r="BG1093" s="350"/>
      <c r="BH1093" s="350"/>
    </row>
    <row r="1094" spans="4:60">
      <c r="D1094" s="350"/>
      <c r="S1094" s="350"/>
      <c r="BF1094" s="350"/>
      <c r="BG1094" s="350"/>
      <c r="BH1094" s="350"/>
    </row>
    <row r="1095" spans="4:60">
      <c r="D1095" s="350"/>
      <c r="S1095" s="350"/>
      <c r="BF1095" s="350"/>
      <c r="BG1095" s="350"/>
      <c r="BH1095" s="350"/>
    </row>
    <row r="1096" spans="4:60">
      <c r="D1096" s="350"/>
      <c r="S1096" s="350"/>
      <c r="BF1096" s="350"/>
      <c r="BG1096" s="350"/>
      <c r="BH1096" s="350"/>
    </row>
    <row r="1097" spans="4:60">
      <c r="D1097" s="350"/>
      <c r="S1097" s="350"/>
      <c r="BF1097" s="350"/>
      <c r="BG1097" s="350"/>
      <c r="BH1097" s="350"/>
    </row>
    <row r="1098" spans="4:60">
      <c r="D1098" s="350"/>
      <c r="S1098" s="350"/>
      <c r="BF1098" s="350"/>
      <c r="BG1098" s="350"/>
      <c r="BH1098" s="350"/>
    </row>
    <row r="1099" spans="4:60">
      <c r="D1099" s="350"/>
      <c r="S1099" s="350"/>
      <c r="BF1099" s="350"/>
      <c r="BG1099" s="350"/>
      <c r="BH1099" s="350"/>
    </row>
    <row r="1100" spans="4:60">
      <c r="D1100" s="350"/>
      <c r="S1100" s="350"/>
      <c r="BF1100" s="350"/>
      <c r="BG1100" s="350"/>
      <c r="BH1100" s="350"/>
    </row>
    <row r="1101" spans="4:60">
      <c r="D1101" s="350"/>
      <c r="S1101" s="350"/>
      <c r="BF1101" s="350"/>
      <c r="BG1101" s="350"/>
      <c r="BH1101" s="350"/>
    </row>
    <row r="1102" spans="4:60">
      <c r="D1102" s="350"/>
      <c r="S1102" s="350"/>
      <c r="BF1102" s="350"/>
      <c r="BG1102" s="350"/>
      <c r="BH1102" s="350"/>
    </row>
    <row r="1103" spans="4:60">
      <c r="D1103" s="350"/>
      <c r="S1103" s="350"/>
      <c r="BF1103" s="350"/>
      <c r="BG1103" s="350"/>
      <c r="BH1103" s="350"/>
    </row>
    <row r="1104" spans="4:60">
      <c r="D1104" s="350"/>
      <c r="S1104" s="350"/>
      <c r="BF1104" s="350"/>
      <c r="BG1104" s="350"/>
      <c r="BH1104" s="350"/>
    </row>
    <row r="1105" spans="4:60">
      <c r="D1105" s="350"/>
      <c r="S1105" s="350"/>
      <c r="BF1105" s="350"/>
      <c r="BG1105" s="350"/>
      <c r="BH1105" s="350"/>
    </row>
    <row r="1106" spans="4:60">
      <c r="D1106" s="350"/>
      <c r="S1106" s="350"/>
      <c r="BF1106" s="350"/>
      <c r="BG1106" s="350"/>
      <c r="BH1106" s="350"/>
    </row>
    <row r="1107" spans="4:60">
      <c r="D1107" s="350"/>
      <c r="S1107" s="350"/>
      <c r="BF1107" s="350"/>
      <c r="BG1107" s="350"/>
      <c r="BH1107" s="350"/>
    </row>
    <row r="1108" spans="4:60">
      <c r="D1108" s="350"/>
      <c r="S1108" s="350"/>
      <c r="BF1108" s="350"/>
      <c r="BG1108" s="350"/>
      <c r="BH1108" s="350"/>
    </row>
    <row r="1109" spans="4:60">
      <c r="D1109" s="350"/>
      <c r="S1109" s="350"/>
      <c r="BF1109" s="350"/>
      <c r="BG1109" s="350"/>
      <c r="BH1109" s="350"/>
    </row>
    <row r="1110" spans="4:60">
      <c r="D1110" s="350"/>
      <c r="S1110" s="350"/>
      <c r="BF1110" s="350"/>
      <c r="BG1110" s="350"/>
      <c r="BH1110" s="350"/>
    </row>
    <row r="1111" spans="4:60">
      <c r="D1111" s="350"/>
      <c r="S1111" s="350"/>
      <c r="BF1111" s="350"/>
      <c r="BG1111" s="350"/>
      <c r="BH1111" s="350"/>
    </row>
    <row r="1112" spans="4:60">
      <c r="D1112" s="350"/>
      <c r="S1112" s="350"/>
      <c r="BF1112" s="350"/>
      <c r="BG1112" s="350"/>
      <c r="BH1112" s="350"/>
    </row>
    <row r="1113" spans="4:60">
      <c r="D1113" s="350"/>
      <c r="S1113" s="350"/>
      <c r="BF1113" s="350"/>
      <c r="BG1113" s="350"/>
      <c r="BH1113" s="350"/>
    </row>
    <row r="1114" spans="4:60">
      <c r="D1114" s="350"/>
      <c r="S1114" s="350"/>
      <c r="BF1114" s="350"/>
      <c r="BG1114" s="350"/>
      <c r="BH1114" s="350"/>
    </row>
    <row r="1115" spans="4:60">
      <c r="D1115" s="350"/>
      <c r="S1115" s="350"/>
      <c r="BF1115" s="350"/>
      <c r="BG1115" s="350"/>
      <c r="BH1115" s="350"/>
    </row>
    <row r="1116" spans="4:60">
      <c r="D1116" s="350"/>
      <c r="S1116" s="350"/>
      <c r="BF1116" s="350"/>
      <c r="BG1116" s="350"/>
      <c r="BH1116" s="350"/>
    </row>
    <row r="1117" spans="4:60">
      <c r="D1117" s="350"/>
      <c r="S1117" s="350"/>
      <c r="BF1117" s="350"/>
      <c r="BG1117" s="350"/>
      <c r="BH1117" s="350"/>
    </row>
    <row r="1118" spans="4:60">
      <c r="D1118" s="350"/>
      <c r="S1118" s="350"/>
      <c r="BF1118" s="350"/>
      <c r="BG1118" s="350"/>
      <c r="BH1118" s="350"/>
    </row>
    <row r="1119" spans="4:60">
      <c r="D1119" s="350"/>
      <c r="S1119" s="350"/>
      <c r="BF1119" s="350"/>
      <c r="BG1119" s="350"/>
      <c r="BH1119" s="350"/>
    </row>
    <row r="1120" spans="4:60">
      <c r="D1120" s="350"/>
      <c r="S1120" s="350"/>
      <c r="BF1120" s="350"/>
      <c r="BG1120" s="350"/>
      <c r="BH1120" s="350"/>
    </row>
    <row r="1121" spans="4:60">
      <c r="D1121" s="350"/>
      <c r="S1121" s="350"/>
      <c r="BF1121" s="350"/>
      <c r="BG1121" s="350"/>
      <c r="BH1121" s="350"/>
    </row>
    <row r="1122" spans="4:60">
      <c r="D1122" s="350"/>
      <c r="S1122" s="350"/>
      <c r="BF1122" s="350"/>
      <c r="BG1122" s="350"/>
      <c r="BH1122" s="350"/>
    </row>
    <row r="1123" spans="4:60">
      <c r="D1123" s="350"/>
      <c r="S1123" s="350"/>
      <c r="BF1123" s="350"/>
      <c r="BG1123" s="350"/>
      <c r="BH1123" s="350"/>
    </row>
    <row r="1124" spans="4:60">
      <c r="D1124" s="350"/>
      <c r="S1124" s="350"/>
      <c r="BF1124" s="350"/>
      <c r="BG1124" s="350"/>
      <c r="BH1124" s="350"/>
    </row>
    <row r="1125" spans="4:60">
      <c r="D1125" s="350"/>
      <c r="S1125" s="350"/>
      <c r="BF1125" s="350"/>
      <c r="BG1125" s="350"/>
      <c r="BH1125" s="350"/>
    </row>
    <row r="1126" spans="4:60">
      <c r="D1126" s="350"/>
      <c r="S1126" s="350"/>
      <c r="BF1126" s="350"/>
      <c r="BG1126" s="350"/>
      <c r="BH1126" s="350"/>
    </row>
    <row r="1127" spans="4:60">
      <c r="D1127" s="350"/>
      <c r="S1127" s="350"/>
      <c r="BF1127" s="350"/>
      <c r="BG1127" s="350"/>
      <c r="BH1127" s="350"/>
    </row>
    <row r="1128" spans="4:60">
      <c r="D1128" s="350"/>
      <c r="S1128" s="350"/>
      <c r="BF1128" s="350"/>
      <c r="BG1128" s="350"/>
      <c r="BH1128" s="350"/>
    </row>
    <row r="1129" spans="4:60">
      <c r="D1129" s="350"/>
      <c r="S1129" s="350"/>
      <c r="BF1129" s="350"/>
      <c r="BG1129" s="350"/>
      <c r="BH1129" s="350"/>
    </row>
    <row r="1130" spans="4:60">
      <c r="D1130" s="350"/>
      <c r="S1130" s="350"/>
      <c r="BF1130" s="350"/>
      <c r="BG1130" s="350"/>
      <c r="BH1130" s="350"/>
    </row>
    <row r="1131" spans="4:60">
      <c r="D1131" s="350"/>
      <c r="S1131" s="350"/>
      <c r="BF1131" s="350"/>
      <c r="BG1131" s="350"/>
      <c r="BH1131" s="350"/>
    </row>
    <row r="1132" spans="4:60">
      <c r="D1132" s="350"/>
      <c r="S1132" s="350"/>
      <c r="BF1132" s="350"/>
      <c r="BG1132" s="350"/>
      <c r="BH1132" s="350"/>
    </row>
    <row r="1133" spans="4:60">
      <c r="D1133" s="350"/>
      <c r="S1133" s="350"/>
      <c r="BF1133" s="350"/>
      <c r="BG1133" s="350"/>
      <c r="BH1133" s="350"/>
    </row>
    <row r="1134" spans="4:60">
      <c r="D1134" s="350"/>
      <c r="S1134" s="350"/>
      <c r="BF1134" s="350"/>
      <c r="BG1134" s="350"/>
      <c r="BH1134" s="350"/>
    </row>
    <row r="1135" spans="4:60">
      <c r="D1135" s="350"/>
      <c r="S1135" s="350"/>
      <c r="BF1135" s="350"/>
      <c r="BG1135" s="350"/>
      <c r="BH1135" s="350"/>
    </row>
    <row r="1136" spans="4:60">
      <c r="D1136" s="350"/>
      <c r="S1136" s="350"/>
      <c r="BF1136" s="350"/>
      <c r="BG1136" s="350"/>
      <c r="BH1136" s="350"/>
    </row>
    <row r="1137" spans="4:60">
      <c r="D1137" s="350"/>
      <c r="S1137" s="350"/>
      <c r="BF1137" s="350"/>
      <c r="BG1137" s="350"/>
      <c r="BH1137" s="350"/>
    </row>
    <row r="1138" spans="4:60">
      <c r="D1138" s="350"/>
      <c r="S1138" s="350"/>
      <c r="BF1138" s="350"/>
      <c r="BG1138" s="350"/>
      <c r="BH1138" s="350"/>
    </row>
    <row r="1139" spans="4:60">
      <c r="D1139" s="350"/>
      <c r="S1139" s="350"/>
      <c r="BF1139" s="350"/>
      <c r="BG1139" s="350"/>
      <c r="BH1139" s="350"/>
    </row>
    <row r="1140" spans="4:60">
      <c r="D1140" s="350"/>
      <c r="S1140" s="350"/>
      <c r="BF1140" s="350"/>
      <c r="BG1140" s="350"/>
      <c r="BH1140" s="350"/>
    </row>
    <row r="1141" spans="4:60">
      <c r="D1141" s="350"/>
      <c r="S1141" s="350"/>
      <c r="BF1141" s="350"/>
      <c r="BG1141" s="350"/>
      <c r="BH1141" s="350"/>
    </row>
    <row r="1142" spans="4:60">
      <c r="D1142" s="350"/>
      <c r="S1142" s="350"/>
      <c r="BF1142" s="350"/>
      <c r="BG1142" s="350"/>
      <c r="BH1142" s="350"/>
    </row>
    <row r="1143" spans="4:60">
      <c r="D1143" s="350"/>
      <c r="S1143" s="350"/>
      <c r="BF1143" s="350"/>
      <c r="BG1143" s="350"/>
      <c r="BH1143" s="350"/>
    </row>
    <row r="1144" spans="4:60">
      <c r="D1144" s="350"/>
      <c r="S1144" s="350"/>
      <c r="BF1144" s="350"/>
      <c r="BG1144" s="350"/>
      <c r="BH1144" s="350"/>
    </row>
    <row r="1145" spans="4:60">
      <c r="D1145" s="350"/>
      <c r="S1145" s="350"/>
      <c r="BF1145" s="350"/>
      <c r="BG1145" s="350"/>
      <c r="BH1145" s="350"/>
    </row>
    <row r="1146" spans="4:60">
      <c r="D1146" s="350"/>
      <c r="S1146" s="350"/>
      <c r="BF1146" s="350"/>
      <c r="BG1146" s="350"/>
      <c r="BH1146" s="350"/>
    </row>
    <row r="1147" spans="4:60">
      <c r="D1147" s="350"/>
      <c r="S1147" s="350"/>
      <c r="BF1147" s="350"/>
      <c r="BG1147" s="350"/>
      <c r="BH1147" s="350"/>
    </row>
    <row r="1148" spans="4:60">
      <c r="D1148" s="350"/>
      <c r="S1148" s="350"/>
      <c r="BF1148" s="350"/>
      <c r="BG1148" s="350"/>
      <c r="BH1148" s="350"/>
    </row>
    <row r="1149" spans="4:60">
      <c r="D1149" s="350"/>
      <c r="S1149" s="350"/>
      <c r="BF1149" s="350"/>
      <c r="BG1149" s="350"/>
      <c r="BH1149" s="350"/>
    </row>
    <row r="1150" spans="4:60">
      <c r="D1150" s="350"/>
      <c r="S1150" s="350"/>
      <c r="BF1150" s="350"/>
      <c r="BG1150" s="350"/>
      <c r="BH1150" s="350"/>
    </row>
    <row r="1151" spans="4:60">
      <c r="D1151" s="350"/>
      <c r="S1151" s="350"/>
      <c r="BF1151" s="350"/>
      <c r="BG1151" s="350"/>
      <c r="BH1151" s="350"/>
    </row>
    <row r="1152" spans="4:60">
      <c r="D1152" s="350"/>
      <c r="S1152" s="350"/>
      <c r="BF1152" s="350"/>
      <c r="BG1152" s="350"/>
      <c r="BH1152" s="350"/>
    </row>
    <row r="1153" spans="4:60">
      <c r="D1153" s="350"/>
      <c r="S1153" s="350"/>
      <c r="BF1153" s="350"/>
      <c r="BG1153" s="350"/>
      <c r="BH1153" s="350"/>
    </row>
    <row r="1154" spans="4:60">
      <c r="D1154" s="350"/>
      <c r="S1154" s="350"/>
      <c r="BF1154" s="350"/>
      <c r="BG1154" s="350"/>
      <c r="BH1154" s="350"/>
    </row>
    <row r="1155" spans="4:60">
      <c r="D1155" s="350"/>
      <c r="S1155" s="350"/>
      <c r="BF1155" s="350"/>
      <c r="BG1155" s="350"/>
      <c r="BH1155" s="350"/>
    </row>
    <row r="1156" spans="4:60">
      <c r="D1156" s="350"/>
      <c r="S1156" s="350"/>
      <c r="BF1156" s="350"/>
      <c r="BG1156" s="350"/>
      <c r="BH1156" s="350"/>
    </row>
    <row r="1157" spans="4:60">
      <c r="D1157" s="350"/>
      <c r="S1157" s="350"/>
      <c r="BF1157" s="350"/>
      <c r="BG1157" s="350"/>
      <c r="BH1157" s="350"/>
    </row>
    <row r="1158" spans="4:60">
      <c r="D1158" s="350"/>
      <c r="S1158" s="350"/>
      <c r="BF1158" s="350"/>
      <c r="BG1158" s="350"/>
      <c r="BH1158" s="350"/>
    </row>
    <row r="1159" spans="4:60">
      <c r="D1159" s="350"/>
      <c r="S1159" s="350"/>
      <c r="BF1159" s="350"/>
      <c r="BG1159" s="350"/>
      <c r="BH1159" s="350"/>
    </row>
    <row r="1160" spans="4:60">
      <c r="D1160" s="350"/>
      <c r="S1160" s="350"/>
      <c r="BF1160" s="350"/>
      <c r="BG1160" s="350"/>
      <c r="BH1160" s="350"/>
    </row>
    <row r="1161" spans="4:60">
      <c r="D1161" s="350"/>
      <c r="S1161" s="350"/>
      <c r="BF1161" s="350"/>
      <c r="BG1161" s="350"/>
      <c r="BH1161" s="350"/>
    </row>
    <row r="1162" spans="4:60">
      <c r="D1162" s="350"/>
      <c r="S1162" s="350"/>
      <c r="BF1162" s="350"/>
      <c r="BG1162" s="350"/>
      <c r="BH1162" s="350"/>
    </row>
    <row r="1163" spans="4:60">
      <c r="D1163" s="350"/>
      <c r="S1163" s="350"/>
      <c r="BF1163" s="350"/>
      <c r="BG1163" s="350"/>
      <c r="BH1163" s="350"/>
    </row>
    <row r="1164" spans="4:60">
      <c r="D1164" s="350"/>
      <c r="S1164" s="350"/>
      <c r="BF1164" s="350"/>
      <c r="BG1164" s="350"/>
      <c r="BH1164" s="350"/>
    </row>
    <row r="1165" spans="4:60">
      <c r="D1165" s="350"/>
      <c r="S1165" s="350"/>
      <c r="BF1165" s="350"/>
      <c r="BG1165" s="350"/>
      <c r="BH1165" s="350"/>
    </row>
    <row r="1166" spans="4:60">
      <c r="D1166" s="350"/>
      <c r="S1166" s="350"/>
      <c r="BF1166" s="350"/>
      <c r="BG1166" s="350"/>
      <c r="BH1166" s="350"/>
    </row>
    <row r="1167" spans="4:60">
      <c r="D1167" s="350"/>
      <c r="S1167" s="350"/>
      <c r="BF1167" s="350"/>
      <c r="BG1167" s="350"/>
      <c r="BH1167" s="350"/>
    </row>
    <row r="1168" spans="4:60">
      <c r="D1168" s="350"/>
      <c r="S1168" s="350"/>
      <c r="BF1168" s="350"/>
      <c r="BG1168" s="350"/>
      <c r="BH1168" s="350"/>
    </row>
    <row r="1169" spans="4:60">
      <c r="D1169" s="350"/>
      <c r="S1169" s="350"/>
      <c r="BF1169" s="350"/>
      <c r="BG1169" s="350"/>
      <c r="BH1169" s="350"/>
    </row>
    <row r="1170" spans="4:60">
      <c r="D1170" s="350"/>
      <c r="S1170" s="350"/>
      <c r="BF1170" s="350"/>
      <c r="BG1170" s="350"/>
      <c r="BH1170" s="350"/>
    </row>
    <row r="1171" spans="4:60">
      <c r="D1171" s="350"/>
      <c r="S1171" s="350"/>
      <c r="BF1171" s="350"/>
      <c r="BG1171" s="350"/>
      <c r="BH1171" s="350"/>
    </row>
    <row r="1172" spans="4:60">
      <c r="D1172" s="350"/>
      <c r="S1172" s="350"/>
      <c r="BF1172" s="350"/>
      <c r="BG1172" s="350"/>
      <c r="BH1172" s="350"/>
    </row>
    <row r="1173" spans="4:60">
      <c r="D1173" s="350"/>
      <c r="S1173" s="350"/>
      <c r="BF1173" s="350"/>
      <c r="BG1173" s="350"/>
      <c r="BH1173" s="350"/>
    </row>
    <row r="1174" spans="4:60">
      <c r="D1174" s="350"/>
      <c r="S1174" s="350"/>
      <c r="BF1174" s="350"/>
      <c r="BG1174" s="350"/>
      <c r="BH1174" s="350"/>
    </row>
    <row r="1175" spans="4:60">
      <c r="D1175" s="350"/>
      <c r="S1175" s="350"/>
      <c r="BF1175" s="350"/>
      <c r="BG1175" s="350"/>
      <c r="BH1175" s="350"/>
    </row>
    <row r="1176" spans="4:60">
      <c r="D1176" s="350"/>
      <c r="S1176" s="350"/>
      <c r="BF1176" s="350"/>
      <c r="BG1176" s="350"/>
      <c r="BH1176" s="350"/>
    </row>
    <row r="1177" spans="4:60">
      <c r="D1177" s="350"/>
      <c r="S1177" s="350"/>
      <c r="BF1177" s="350"/>
      <c r="BG1177" s="350"/>
      <c r="BH1177" s="350"/>
    </row>
    <row r="1178" spans="4:60">
      <c r="D1178" s="350"/>
      <c r="S1178" s="350"/>
      <c r="BF1178" s="350"/>
      <c r="BG1178" s="350"/>
      <c r="BH1178" s="350"/>
    </row>
    <row r="1179" spans="4:60">
      <c r="D1179" s="350"/>
      <c r="S1179" s="350"/>
      <c r="BF1179" s="350"/>
      <c r="BG1179" s="350"/>
      <c r="BH1179" s="350"/>
    </row>
    <row r="1180" spans="4:60">
      <c r="D1180" s="350"/>
      <c r="S1180" s="350"/>
      <c r="BF1180" s="350"/>
      <c r="BG1180" s="350"/>
      <c r="BH1180" s="350"/>
    </row>
    <row r="1181" spans="4:60">
      <c r="D1181" s="350"/>
      <c r="S1181" s="350"/>
      <c r="BF1181" s="350"/>
      <c r="BG1181" s="350"/>
      <c r="BH1181" s="350"/>
    </row>
    <row r="1182" spans="4:60">
      <c r="D1182" s="350"/>
      <c r="S1182" s="350"/>
      <c r="BF1182" s="350"/>
      <c r="BG1182" s="350"/>
      <c r="BH1182" s="350"/>
    </row>
    <row r="1183" spans="4:60">
      <c r="D1183" s="350"/>
      <c r="S1183" s="350"/>
      <c r="BF1183" s="350"/>
      <c r="BG1183" s="350"/>
      <c r="BH1183" s="350"/>
    </row>
    <row r="1184" spans="4:60">
      <c r="D1184" s="350"/>
      <c r="S1184" s="350"/>
      <c r="BF1184" s="350"/>
      <c r="BG1184" s="350"/>
      <c r="BH1184" s="350"/>
    </row>
    <row r="1185" spans="4:60">
      <c r="D1185" s="350"/>
      <c r="S1185" s="350"/>
      <c r="BF1185" s="350"/>
      <c r="BG1185" s="350"/>
      <c r="BH1185" s="350"/>
    </row>
    <row r="1186" spans="4:60">
      <c r="D1186" s="350"/>
      <c r="S1186" s="350"/>
      <c r="BF1186" s="350"/>
      <c r="BG1186" s="350"/>
      <c r="BH1186" s="350"/>
    </row>
    <row r="1187" spans="4:60">
      <c r="D1187" s="350"/>
      <c r="S1187" s="350"/>
      <c r="BF1187" s="350"/>
      <c r="BG1187" s="350"/>
      <c r="BH1187" s="350"/>
    </row>
    <row r="1188" spans="4:60">
      <c r="D1188" s="350"/>
      <c r="S1188" s="350"/>
      <c r="BF1188" s="350"/>
      <c r="BG1188" s="350"/>
      <c r="BH1188" s="350"/>
    </row>
    <row r="1189" spans="4:60">
      <c r="D1189" s="350"/>
      <c r="S1189" s="350"/>
      <c r="BF1189" s="350"/>
      <c r="BG1189" s="350"/>
      <c r="BH1189" s="350"/>
    </row>
    <row r="1190" spans="4:60">
      <c r="D1190" s="350"/>
      <c r="S1190" s="350"/>
      <c r="BF1190" s="350"/>
      <c r="BG1190" s="350"/>
      <c r="BH1190" s="350"/>
    </row>
    <row r="1191" spans="4:60">
      <c r="D1191" s="350"/>
      <c r="S1191" s="350"/>
      <c r="BF1191" s="350"/>
      <c r="BG1191" s="350"/>
      <c r="BH1191" s="350"/>
    </row>
    <row r="1192" spans="4:60">
      <c r="D1192" s="350"/>
      <c r="S1192" s="350"/>
      <c r="BF1192" s="350"/>
      <c r="BG1192" s="350"/>
      <c r="BH1192" s="350"/>
    </row>
    <row r="1193" spans="4:60">
      <c r="D1193" s="350"/>
      <c r="S1193" s="350"/>
      <c r="BF1193" s="350"/>
      <c r="BG1193" s="350"/>
      <c r="BH1193" s="350"/>
    </row>
    <row r="1194" spans="4:60">
      <c r="D1194" s="350"/>
      <c r="S1194" s="350"/>
      <c r="BF1194" s="350"/>
      <c r="BG1194" s="350"/>
      <c r="BH1194" s="350"/>
    </row>
    <row r="1195" spans="4:60">
      <c r="D1195" s="350"/>
      <c r="S1195" s="350"/>
      <c r="BF1195" s="350"/>
      <c r="BG1195" s="350"/>
      <c r="BH1195" s="350"/>
    </row>
    <row r="1196" spans="4:60">
      <c r="D1196" s="350"/>
      <c r="S1196" s="350"/>
      <c r="BF1196" s="350"/>
      <c r="BG1196" s="350"/>
      <c r="BH1196" s="350"/>
    </row>
    <row r="1197" spans="4:60">
      <c r="D1197" s="350"/>
      <c r="S1197" s="350"/>
      <c r="BF1197" s="350"/>
      <c r="BG1197" s="350"/>
      <c r="BH1197" s="350"/>
    </row>
    <row r="1198" spans="4:60">
      <c r="D1198" s="350"/>
      <c r="S1198" s="350"/>
      <c r="BF1198" s="350"/>
      <c r="BG1198" s="350"/>
      <c r="BH1198" s="350"/>
    </row>
    <row r="1199" spans="4:60">
      <c r="D1199" s="350"/>
      <c r="S1199" s="350"/>
      <c r="BF1199" s="350"/>
      <c r="BG1199" s="350"/>
      <c r="BH1199" s="350"/>
    </row>
    <row r="1200" spans="4:60">
      <c r="D1200" s="350"/>
      <c r="S1200" s="350"/>
      <c r="BF1200" s="350"/>
      <c r="BG1200" s="350"/>
      <c r="BH1200" s="350"/>
    </row>
    <row r="1201" spans="4:60">
      <c r="D1201" s="350"/>
      <c r="S1201" s="350"/>
      <c r="BF1201" s="350"/>
      <c r="BG1201" s="350"/>
      <c r="BH1201" s="350"/>
    </row>
    <row r="1202" spans="4:60">
      <c r="D1202" s="350"/>
      <c r="S1202" s="350"/>
      <c r="BF1202" s="350"/>
      <c r="BG1202" s="350"/>
      <c r="BH1202" s="350"/>
    </row>
    <row r="1203" spans="4:60">
      <c r="D1203" s="350"/>
      <c r="S1203" s="350"/>
      <c r="BF1203" s="350"/>
      <c r="BG1203" s="350"/>
      <c r="BH1203" s="350"/>
    </row>
    <row r="1204" spans="4:60">
      <c r="D1204" s="350"/>
      <c r="S1204" s="350"/>
      <c r="BF1204" s="350"/>
      <c r="BG1204" s="350"/>
      <c r="BH1204" s="350"/>
    </row>
    <row r="1205" spans="4:60">
      <c r="D1205" s="350"/>
      <c r="S1205" s="350"/>
      <c r="BF1205" s="350"/>
      <c r="BG1205" s="350"/>
      <c r="BH1205" s="350"/>
    </row>
    <row r="1206" spans="4:60">
      <c r="D1206" s="350"/>
      <c r="S1206" s="350"/>
      <c r="BF1206" s="350"/>
      <c r="BG1206" s="350"/>
      <c r="BH1206" s="350"/>
    </row>
    <row r="1207" spans="4:60">
      <c r="D1207" s="350"/>
      <c r="S1207" s="350"/>
      <c r="BF1207" s="350"/>
      <c r="BG1207" s="350"/>
      <c r="BH1207" s="350"/>
    </row>
    <row r="1208" spans="4:60">
      <c r="D1208" s="350"/>
      <c r="S1208" s="350"/>
      <c r="BF1208" s="350"/>
      <c r="BG1208" s="350"/>
      <c r="BH1208" s="350"/>
    </row>
    <row r="1209" spans="4:60">
      <c r="D1209" s="350"/>
      <c r="S1209" s="350"/>
      <c r="BF1209" s="350"/>
      <c r="BG1209" s="350"/>
      <c r="BH1209" s="350"/>
    </row>
    <row r="1210" spans="4:60">
      <c r="D1210" s="350"/>
      <c r="S1210" s="350"/>
      <c r="BF1210" s="350"/>
      <c r="BG1210" s="350"/>
      <c r="BH1210" s="350"/>
    </row>
    <row r="1211" spans="4:60">
      <c r="D1211" s="350"/>
      <c r="S1211" s="350"/>
      <c r="BF1211" s="350"/>
      <c r="BG1211" s="350"/>
      <c r="BH1211" s="350"/>
    </row>
    <row r="1212" spans="4:60">
      <c r="D1212" s="350"/>
      <c r="S1212" s="350"/>
      <c r="BF1212" s="350"/>
      <c r="BG1212" s="350"/>
      <c r="BH1212" s="350"/>
    </row>
    <row r="1213" spans="4:60">
      <c r="D1213" s="350"/>
      <c r="S1213" s="350"/>
      <c r="BF1213" s="350"/>
      <c r="BG1213" s="350"/>
      <c r="BH1213" s="350"/>
    </row>
    <row r="1214" spans="4:60">
      <c r="D1214" s="350"/>
      <c r="S1214" s="350"/>
      <c r="BF1214" s="350"/>
      <c r="BG1214" s="350"/>
      <c r="BH1214" s="350"/>
    </row>
    <row r="1215" spans="4:60">
      <c r="D1215" s="350"/>
      <c r="S1215" s="350"/>
      <c r="BF1215" s="350"/>
      <c r="BG1215" s="350"/>
      <c r="BH1215" s="350"/>
    </row>
    <row r="1216" spans="4:60">
      <c r="D1216" s="350"/>
      <c r="S1216" s="350"/>
      <c r="BF1216" s="350"/>
      <c r="BG1216" s="350"/>
      <c r="BH1216" s="350"/>
    </row>
    <row r="1217" spans="4:60">
      <c r="D1217" s="350"/>
      <c r="S1217" s="350"/>
      <c r="BF1217" s="350"/>
      <c r="BG1217" s="350"/>
      <c r="BH1217" s="350"/>
    </row>
    <row r="1218" spans="4:60">
      <c r="D1218" s="350"/>
      <c r="S1218" s="350"/>
      <c r="BF1218" s="350"/>
      <c r="BG1218" s="350"/>
      <c r="BH1218" s="350"/>
    </row>
    <row r="1219" spans="4:60">
      <c r="D1219" s="350"/>
      <c r="S1219" s="350"/>
      <c r="BF1219" s="350"/>
      <c r="BG1219" s="350"/>
      <c r="BH1219" s="350"/>
    </row>
    <row r="1220" spans="4:60">
      <c r="D1220" s="350"/>
      <c r="S1220" s="350"/>
      <c r="BF1220" s="350"/>
      <c r="BG1220" s="350"/>
      <c r="BH1220" s="350"/>
    </row>
    <row r="1221" spans="4:60">
      <c r="D1221" s="350"/>
      <c r="S1221" s="350"/>
      <c r="BF1221" s="350"/>
      <c r="BG1221" s="350"/>
      <c r="BH1221" s="350"/>
    </row>
    <row r="1222" spans="4:60">
      <c r="D1222" s="350"/>
      <c r="S1222" s="350"/>
      <c r="BF1222" s="350"/>
      <c r="BG1222" s="350"/>
      <c r="BH1222" s="350"/>
    </row>
    <row r="1223" spans="4:60">
      <c r="D1223" s="350"/>
      <c r="S1223" s="350"/>
      <c r="BF1223" s="350"/>
      <c r="BG1223" s="350"/>
      <c r="BH1223" s="350"/>
    </row>
    <row r="1224" spans="4:60">
      <c r="D1224" s="350"/>
      <c r="S1224" s="350"/>
      <c r="BF1224" s="350"/>
      <c r="BG1224" s="350"/>
      <c r="BH1224" s="350"/>
    </row>
    <row r="1225" spans="4:60">
      <c r="D1225" s="350"/>
      <c r="S1225" s="350"/>
      <c r="BF1225" s="350"/>
      <c r="BG1225" s="350"/>
      <c r="BH1225" s="350"/>
    </row>
    <row r="1226" spans="4:60">
      <c r="D1226" s="350"/>
      <c r="S1226" s="350"/>
      <c r="BF1226" s="350"/>
      <c r="BG1226" s="350"/>
      <c r="BH1226" s="350"/>
    </row>
    <row r="1227" spans="4:60">
      <c r="D1227" s="350"/>
      <c r="S1227" s="350"/>
      <c r="BF1227" s="350"/>
      <c r="BG1227" s="350"/>
      <c r="BH1227" s="350"/>
    </row>
    <row r="1228" spans="4:60">
      <c r="D1228" s="350"/>
      <c r="S1228" s="350"/>
      <c r="BF1228" s="350"/>
      <c r="BG1228" s="350"/>
      <c r="BH1228" s="350"/>
    </row>
    <row r="1229" spans="4:60">
      <c r="D1229" s="350"/>
      <c r="S1229" s="350"/>
      <c r="BF1229" s="350"/>
      <c r="BG1229" s="350"/>
      <c r="BH1229" s="350"/>
    </row>
    <row r="1230" spans="4:60">
      <c r="D1230" s="350"/>
      <c r="S1230" s="350"/>
      <c r="BF1230" s="350"/>
      <c r="BG1230" s="350"/>
      <c r="BH1230" s="350"/>
    </row>
    <row r="1231" spans="4:60">
      <c r="D1231" s="350"/>
      <c r="S1231" s="350"/>
      <c r="BF1231" s="350"/>
      <c r="BG1231" s="350"/>
      <c r="BH1231" s="350"/>
    </row>
    <row r="1232" spans="4:60">
      <c r="D1232" s="350"/>
      <c r="S1232" s="350"/>
      <c r="BF1232" s="350"/>
      <c r="BG1232" s="350"/>
      <c r="BH1232" s="350"/>
    </row>
    <row r="1233" spans="4:60">
      <c r="D1233" s="350"/>
      <c r="S1233" s="350"/>
      <c r="BF1233" s="350"/>
      <c r="BG1233" s="350"/>
      <c r="BH1233" s="350"/>
    </row>
    <row r="1234" spans="4:60">
      <c r="D1234" s="350"/>
      <c r="S1234" s="350"/>
      <c r="BF1234" s="350"/>
      <c r="BG1234" s="350"/>
      <c r="BH1234" s="350"/>
    </row>
    <row r="1235" spans="4:60">
      <c r="D1235" s="350"/>
      <c r="S1235" s="350"/>
      <c r="BF1235" s="350"/>
      <c r="BG1235" s="350"/>
      <c r="BH1235" s="350"/>
    </row>
    <row r="1236" spans="4:60">
      <c r="D1236" s="350"/>
      <c r="S1236" s="350"/>
      <c r="BF1236" s="350"/>
      <c r="BG1236" s="350"/>
      <c r="BH1236" s="350"/>
    </row>
    <row r="1237" spans="4:60">
      <c r="D1237" s="350"/>
      <c r="S1237" s="350"/>
      <c r="BF1237" s="350"/>
      <c r="BG1237" s="350"/>
      <c r="BH1237" s="350"/>
    </row>
    <row r="1238" spans="4:60">
      <c r="D1238" s="350"/>
      <c r="S1238" s="350"/>
      <c r="BF1238" s="350"/>
      <c r="BG1238" s="350"/>
      <c r="BH1238" s="350"/>
    </row>
    <row r="1239" spans="4:60">
      <c r="D1239" s="350"/>
      <c r="S1239" s="350"/>
      <c r="BF1239" s="350"/>
      <c r="BG1239" s="350"/>
      <c r="BH1239" s="350"/>
    </row>
    <row r="1240" spans="4:60">
      <c r="D1240" s="350"/>
      <c r="S1240" s="350"/>
      <c r="BF1240" s="350"/>
      <c r="BG1240" s="350"/>
      <c r="BH1240" s="350"/>
    </row>
    <row r="1241" spans="4:60">
      <c r="D1241" s="350"/>
      <c r="S1241" s="350"/>
      <c r="BF1241" s="350"/>
      <c r="BG1241" s="350"/>
      <c r="BH1241" s="350"/>
    </row>
    <row r="1242" spans="4:60">
      <c r="D1242" s="350"/>
      <c r="S1242" s="350"/>
      <c r="BF1242" s="350"/>
      <c r="BG1242" s="350"/>
      <c r="BH1242" s="350"/>
    </row>
    <row r="1243" spans="4:60">
      <c r="D1243" s="350"/>
      <c r="S1243" s="350"/>
      <c r="BF1243" s="350"/>
      <c r="BG1243" s="350"/>
      <c r="BH1243" s="350"/>
    </row>
    <row r="1244" spans="4:60">
      <c r="D1244" s="350"/>
      <c r="S1244" s="350"/>
      <c r="BF1244" s="350"/>
      <c r="BG1244" s="350"/>
      <c r="BH1244" s="350"/>
    </row>
    <row r="1245" spans="4:60">
      <c r="D1245" s="350"/>
      <c r="S1245" s="350"/>
      <c r="BF1245" s="350"/>
      <c r="BG1245" s="350"/>
      <c r="BH1245" s="350"/>
    </row>
    <row r="1246" spans="4:60">
      <c r="D1246" s="350"/>
      <c r="S1246" s="350"/>
      <c r="BF1246" s="350"/>
      <c r="BG1246" s="350"/>
      <c r="BH1246" s="350"/>
    </row>
    <row r="1247" spans="4:60">
      <c r="D1247" s="350"/>
      <c r="S1247" s="350"/>
      <c r="BF1247" s="350"/>
      <c r="BG1247" s="350"/>
      <c r="BH1247" s="350"/>
    </row>
    <row r="1248" spans="4:60">
      <c r="D1248" s="350"/>
      <c r="S1248" s="350"/>
      <c r="BF1248" s="350"/>
      <c r="BG1248" s="350"/>
      <c r="BH1248" s="350"/>
    </row>
    <row r="1249" spans="4:60">
      <c r="D1249" s="350"/>
      <c r="S1249" s="350"/>
      <c r="BF1249" s="350"/>
      <c r="BG1249" s="350"/>
      <c r="BH1249" s="350"/>
    </row>
    <row r="1250" spans="4:60">
      <c r="D1250" s="350"/>
      <c r="S1250" s="350"/>
      <c r="BF1250" s="350"/>
      <c r="BG1250" s="350"/>
      <c r="BH1250" s="350"/>
    </row>
    <row r="1251" spans="4:60">
      <c r="D1251" s="350"/>
      <c r="S1251" s="350"/>
      <c r="BF1251" s="350"/>
      <c r="BG1251" s="350"/>
      <c r="BH1251" s="350"/>
    </row>
    <row r="1252" spans="4:60">
      <c r="D1252" s="350"/>
      <c r="S1252" s="350"/>
      <c r="BF1252" s="350"/>
      <c r="BG1252" s="350"/>
      <c r="BH1252" s="350"/>
    </row>
    <row r="1253" spans="4:60">
      <c r="D1253" s="350"/>
      <c r="S1253" s="350"/>
      <c r="BF1253" s="350"/>
      <c r="BG1253" s="350"/>
      <c r="BH1253" s="350"/>
    </row>
    <row r="1254" spans="4:60">
      <c r="D1254" s="350"/>
      <c r="S1254" s="350"/>
      <c r="BF1254" s="350"/>
      <c r="BG1254" s="350"/>
      <c r="BH1254" s="350"/>
    </row>
    <row r="1255" spans="4:60">
      <c r="D1255" s="350"/>
      <c r="S1255" s="350"/>
      <c r="BF1255" s="350"/>
      <c r="BG1255" s="350"/>
      <c r="BH1255" s="350"/>
    </row>
    <row r="1256" spans="4:60">
      <c r="D1256" s="350"/>
      <c r="S1256" s="350"/>
      <c r="BF1256" s="350"/>
      <c r="BG1256" s="350"/>
      <c r="BH1256" s="350"/>
    </row>
    <row r="1257" spans="4:60">
      <c r="D1257" s="350"/>
      <c r="S1257" s="350"/>
      <c r="BF1257" s="350"/>
      <c r="BG1257" s="350"/>
      <c r="BH1257" s="350"/>
    </row>
    <row r="1258" spans="4:60">
      <c r="D1258" s="350"/>
      <c r="S1258" s="350"/>
      <c r="BF1258" s="350"/>
      <c r="BG1258" s="350"/>
      <c r="BH1258" s="350"/>
    </row>
    <row r="1259" spans="4:60">
      <c r="D1259" s="350"/>
      <c r="S1259" s="350"/>
      <c r="BF1259" s="350"/>
      <c r="BG1259" s="350"/>
      <c r="BH1259" s="350"/>
    </row>
    <row r="1260" spans="4:60">
      <c r="D1260" s="350"/>
      <c r="S1260" s="350"/>
      <c r="BF1260" s="350"/>
      <c r="BG1260" s="350"/>
      <c r="BH1260" s="350"/>
    </row>
    <row r="1261" spans="4:60">
      <c r="D1261" s="350"/>
      <c r="S1261" s="350"/>
      <c r="BF1261" s="350"/>
      <c r="BG1261" s="350"/>
      <c r="BH1261" s="350"/>
    </row>
    <row r="1262" spans="4:60">
      <c r="D1262" s="350"/>
      <c r="S1262" s="350"/>
      <c r="BF1262" s="350"/>
      <c r="BG1262" s="350"/>
      <c r="BH1262" s="350"/>
    </row>
    <row r="1263" spans="4:60">
      <c r="D1263" s="350"/>
      <c r="S1263" s="350"/>
      <c r="BF1263" s="350"/>
      <c r="BG1263" s="350"/>
      <c r="BH1263" s="350"/>
    </row>
    <row r="1264" spans="4:60">
      <c r="D1264" s="350"/>
      <c r="S1264" s="350"/>
      <c r="BF1264" s="350"/>
      <c r="BG1264" s="350"/>
      <c r="BH1264" s="350"/>
    </row>
    <row r="1265" spans="4:60">
      <c r="D1265" s="350"/>
      <c r="S1265" s="350"/>
      <c r="BF1265" s="350"/>
      <c r="BG1265" s="350"/>
      <c r="BH1265" s="350"/>
    </row>
    <row r="1266" spans="4:60">
      <c r="D1266" s="350"/>
      <c r="S1266" s="350"/>
      <c r="BF1266" s="350"/>
      <c r="BG1266" s="350"/>
      <c r="BH1266" s="350"/>
    </row>
    <row r="1267" spans="4:60">
      <c r="D1267" s="350"/>
      <c r="S1267" s="350"/>
      <c r="BF1267" s="350"/>
      <c r="BG1267" s="350"/>
      <c r="BH1267" s="350"/>
    </row>
    <row r="1268" spans="4:60">
      <c r="D1268" s="350"/>
      <c r="S1268" s="350"/>
      <c r="BF1268" s="350"/>
      <c r="BG1268" s="350"/>
      <c r="BH1268" s="350"/>
    </row>
    <row r="1269" spans="4:60">
      <c r="D1269" s="350"/>
      <c r="S1269" s="350"/>
      <c r="BF1269" s="350"/>
      <c r="BG1269" s="350"/>
      <c r="BH1269" s="350"/>
    </row>
    <row r="1270" spans="4:60">
      <c r="D1270" s="350"/>
      <c r="S1270" s="350"/>
      <c r="BF1270" s="350"/>
      <c r="BG1270" s="350"/>
      <c r="BH1270" s="350"/>
    </row>
    <row r="1271" spans="4:60">
      <c r="D1271" s="350"/>
      <c r="S1271" s="350"/>
      <c r="BF1271" s="350"/>
      <c r="BG1271" s="350"/>
      <c r="BH1271" s="350"/>
    </row>
    <row r="1272" spans="4:60">
      <c r="D1272" s="350"/>
      <c r="S1272" s="350"/>
      <c r="BF1272" s="350"/>
      <c r="BG1272" s="350"/>
      <c r="BH1272" s="350"/>
    </row>
    <row r="1273" spans="4:60">
      <c r="D1273" s="350"/>
      <c r="S1273" s="350"/>
      <c r="BF1273" s="350"/>
      <c r="BG1273" s="350"/>
      <c r="BH1273" s="350"/>
    </row>
    <row r="1274" spans="4:60">
      <c r="D1274" s="350"/>
      <c r="S1274" s="350"/>
      <c r="BF1274" s="350"/>
      <c r="BG1274" s="350"/>
      <c r="BH1274" s="350"/>
    </row>
    <row r="1275" spans="4:60">
      <c r="D1275" s="350"/>
      <c r="S1275" s="350"/>
      <c r="BF1275" s="350"/>
      <c r="BG1275" s="350"/>
      <c r="BH1275" s="350"/>
    </row>
    <row r="1276" spans="4:60">
      <c r="D1276" s="350"/>
      <c r="S1276" s="350"/>
      <c r="BF1276" s="350"/>
      <c r="BG1276" s="350"/>
      <c r="BH1276" s="350"/>
    </row>
    <row r="1277" spans="4:60">
      <c r="D1277" s="350"/>
      <c r="S1277" s="350"/>
      <c r="BF1277" s="350"/>
      <c r="BG1277" s="350"/>
      <c r="BH1277" s="350"/>
    </row>
    <row r="1278" spans="4:60">
      <c r="D1278" s="350"/>
      <c r="S1278" s="350"/>
      <c r="BF1278" s="350"/>
      <c r="BG1278" s="350"/>
      <c r="BH1278" s="350"/>
    </row>
    <row r="1279" spans="4:60">
      <c r="D1279" s="350"/>
      <c r="S1279" s="350"/>
      <c r="BF1279" s="350"/>
      <c r="BG1279" s="350"/>
      <c r="BH1279" s="350"/>
    </row>
    <row r="1280" spans="4:60">
      <c r="D1280" s="350"/>
      <c r="S1280" s="350"/>
      <c r="BF1280" s="350"/>
      <c r="BG1280" s="350"/>
      <c r="BH1280" s="350"/>
    </row>
    <row r="1281" spans="4:60">
      <c r="D1281" s="350"/>
      <c r="S1281" s="350"/>
      <c r="BF1281" s="350"/>
      <c r="BG1281" s="350"/>
      <c r="BH1281" s="350"/>
    </row>
    <row r="1282" spans="4:60">
      <c r="D1282" s="350"/>
      <c r="S1282" s="350"/>
      <c r="BF1282" s="350"/>
      <c r="BG1282" s="350"/>
      <c r="BH1282" s="350"/>
    </row>
    <row r="1283" spans="4:60">
      <c r="D1283" s="350"/>
      <c r="S1283" s="350"/>
      <c r="BF1283" s="350"/>
      <c r="BG1283" s="350"/>
      <c r="BH1283" s="350"/>
    </row>
    <row r="1284" spans="4:60">
      <c r="D1284" s="350"/>
      <c r="S1284" s="350"/>
      <c r="BF1284" s="350"/>
      <c r="BG1284" s="350"/>
      <c r="BH1284" s="350"/>
    </row>
    <row r="1285" spans="4:60">
      <c r="D1285" s="350"/>
      <c r="S1285" s="350"/>
      <c r="BF1285" s="350"/>
      <c r="BG1285" s="350"/>
      <c r="BH1285" s="350"/>
    </row>
    <row r="1286" spans="4:60">
      <c r="D1286" s="350"/>
      <c r="S1286" s="350"/>
      <c r="BF1286" s="350"/>
      <c r="BG1286" s="350"/>
      <c r="BH1286" s="350"/>
    </row>
    <row r="1287" spans="4:60">
      <c r="D1287" s="350"/>
      <c r="S1287" s="350"/>
      <c r="BF1287" s="350"/>
      <c r="BG1287" s="350"/>
      <c r="BH1287" s="350"/>
    </row>
    <row r="1288" spans="4:60">
      <c r="D1288" s="350"/>
      <c r="S1288" s="350"/>
      <c r="BF1288" s="350"/>
      <c r="BG1288" s="350"/>
      <c r="BH1288" s="350"/>
    </row>
    <row r="1289" spans="4:60">
      <c r="D1289" s="350"/>
      <c r="S1289" s="350"/>
      <c r="BF1289" s="350"/>
      <c r="BG1289" s="350"/>
      <c r="BH1289" s="350"/>
    </row>
    <row r="1290" spans="4:60">
      <c r="D1290" s="350"/>
      <c r="S1290" s="350"/>
      <c r="BF1290" s="350"/>
      <c r="BG1290" s="350"/>
      <c r="BH1290" s="350"/>
    </row>
    <row r="1291" spans="4:60">
      <c r="D1291" s="350"/>
      <c r="S1291" s="350"/>
      <c r="BF1291" s="350"/>
      <c r="BG1291" s="350"/>
      <c r="BH1291" s="350"/>
    </row>
    <row r="1292" spans="4:60">
      <c r="D1292" s="350"/>
      <c r="S1292" s="350"/>
      <c r="BF1292" s="350"/>
      <c r="BG1292" s="350"/>
      <c r="BH1292" s="350"/>
    </row>
    <row r="1293" spans="4:60">
      <c r="D1293" s="350"/>
      <c r="S1293" s="350"/>
      <c r="BF1293" s="350"/>
      <c r="BG1293" s="350"/>
      <c r="BH1293" s="350"/>
    </row>
    <row r="1294" spans="4:60">
      <c r="D1294" s="350"/>
      <c r="S1294" s="350"/>
      <c r="BF1294" s="350"/>
      <c r="BG1294" s="350"/>
      <c r="BH1294" s="350"/>
    </row>
    <row r="1295" spans="4:60">
      <c r="D1295" s="350"/>
      <c r="S1295" s="350"/>
      <c r="BF1295" s="350"/>
      <c r="BG1295" s="350"/>
      <c r="BH1295" s="350"/>
    </row>
    <row r="1296" spans="4:60">
      <c r="D1296" s="350"/>
      <c r="S1296" s="350"/>
      <c r="BF1296" s="350"/>
      <c r="BG1296" s="350"/>
      <c r="BH1296" s="350"/>
    </row>
    <row r="1297" spans="4:60">
      <c r="D1297" s="350"/>
      <c r="S1297" s="350"/>
      <c r="BF1297" s="350"/>
      <c r="BG1297" s="350"/>
      <c r="BH1297" s="350"/>
    </row>
    <row r="1298" spans="4:60">
      <c r="D1298" s="350"/>
      <c r="S1298" s="350"/>
      <c r="BF1298" s="350"/>
      <c r="BG1298" s="350"/>
      <c r="BH1298" s="350"/>
    </row>
    <row r="1299" spans="4:60">
      <c r="D1299" s="350"/>
      <c r="S1299" s="350"/>
      <c r="BF1299" s="350"/>
      <c r="BG1299" s="350"/>
      <c r="BH1299" s="350"/>
    </row>
    <row r="1300" spans="4:60">
      <c r="D1300" s="350"/>
      <c r="S1300" s="350"/>
      <c r="BF1300" s="350"/>
      <c r="BG1300" s="350"/>
      <c r="BH1300" s="350"/>
    </row>
    <row r="1301" spans="4:60">
      <c r="D1301" s="350"/>
      <c r="S1301" s="350"/>
      <c r="BF1301" s="350"/>
      <c r="BG1301" s="350"/>
      <c r="BH1301" s="350"/>
    </row>
    <row r="1302" spans="4:60">
      <c r="D1302" s="350"/>
      <c r="S1302" s="350"/>
      <c r="BF1302" s="350"/>
      <c r="BG1302" s="350"/>
      <c r="BH1302" s="350"/>
    </row>
    <row r="1303" spans="4:60">
      <c r="D1303" s="350"/>
      <c r="S1303" s="350"/>
      <c r="BF1303" s="350"/>
      <c r="BG1303" s="350"/>
      <c r="BH1303" s="350"/>
    </row>
    <row r="1304" spans="4:60">
      <c r="D1304" s="350"/>
      <c r="S1304" s="350"/>
      <c r="BF1304" s="350"/>
      <c r="BG1304" s="350"/>
      <c r="BH1304" s="350"/>
    </row>
    <row r="1305" spans="4:60">
      <c r="D1305" s="350"/>
      <c r="S1305" s="350"/>
      <c r="BF1305" s="350"/>
      <c r="BG1305" s="350"/>
      <c r="BH1305" s="350"/>
    </row>
    <row r="1306" spans="4:60">
      <c r="D1306" s="350"/>
      <c r="S1306" s="350"/>
      <c r="BF1306" s="350"/>
      <c r="BG1306" s="350"/>
      <c r="BH1306" s="350"/>
    </row>
    <row r="1307" spans="4:60">
      <c r="D1307" s="350"/>
      <c r="S1307" s="350"/>
      <c r="BF1307" s="350"/>
      <c r="BG1307" s="350"/>
      <c r="BH1307" s="350"/>
    </row>
    <row r="1308" spans="4:60">
      <c r="D1308" s="350"/>
      <c r="S1308" s="350"/>
      <c r="BF1308" s="350"/>
      <c r="BG1308" s="350"/>
      <c r="BH1308" s="350"/>
    </row>
    <row r="1309" spans="4:60">
      <c r="D1309" s="350"/>
      <c r="S1309" s="350"/>
      <c r="BF1309" s="350"/>
      <c r="BG1309" s="350"/>
      <c r="BH1309" s="350"/>
    </row>
    <row r="1310" spans="4:60">
      <c r="D1310" s="350"/>
      <c r="S1310" s="350"/>
      <c r="BF1310" s="350"/>
      <c r="BG1310" s="350"/>
      <c r="BH1310" s="350"/>
    </row>
    <row r="1311" spans="4:60">
      <c r="D1311" s="350"/>
      <c r="S1311" s="350"/>
      <c r="BF1311" s="350"/>
      <c r="BG1311" s="350"/>
      <c r="BH1311" s="350"/>
    </row>
    <row r="1312" spans="4:60">
      <c r="D1312" s="350"/>
      <c r="S1312" s="350"/>
      <c r="BF1312" s="350"/>
      <c r="BG1312" s="350"/>
      <c r="BH1312" s="350"/>
    </row>
    <row r="1313" spans="4:60">
      <c r="D1313" s="350"/>
      <c r="S1313" s="350"/>
      <c r="BF1313" s="350"/>
      <c r="BG1313" s="350"/>
      <c r="BH1313" s="350"/>
    </row>
    <row r="1314" spans="4:60">
      <c r="D1314" s="350"/>
      <c r="S1314" s="350"/>
      <c r="BF1314" s="350"/>
      <c r="BG1314" s="350"/>
      <c r="BH1314" s="350"/>
    </row>
    <row r="1315" spans="4:60">
      <c r="D1315" s="350"/>
      <c r="S1315" s="350"/>
      <c r="BF1315" s="350"/>
      <c r="BG1315" s="350"/>
      <c r="BH1315" s="350"/>
    </row>
    <row r="1316" spans="4:60">
      <c r="D1316" s="350"/>
      <c r="S1316" s="350"/>
      <c r="BF1316" s="350"/>
      <c r="BG1316" s="350"/>
      <c r="BH1316" s="350"/>
    </row>
    <row r="1317" spans="4:60">
      <c r="D1317" s="350"/>
      <c r="S1317" s="350"/>
      <c r="BF1317" s="350"/>
      <c r="BG1317" s="350"/>
      <c r="BH1317" s="350"/>
    </row>
    <row r="1318" spans="4:60">
      <c r="D1318" s="350"/>
      <c r="S1318" s="350"/>
      <c r="BF1318" s="350"/>
      <c r="BG1318" s="350"/>
      <c r="BH1318" s="350"/>
    </row>
    <row r="1319" spans="4:60">
      <c r="D1319" s="350"/>
      <c r="S1319" s="350"/>
      <c r="BF1319" s="350"/>
      <c r="BG1319" s="350"/>
      <c r="BH1319" s="350"/>
    </row>
    <row r="1320" spans="4:60">
      <c r="D1320" s="350"/>
      <c r="S1320" s="350"/>
      <c r="BF1320" s="350"/>
      <c r="BG1320" s="350"/>
      <c r="BH1320" s="350"/>
    </row>
    <row r="1321" spans="4:60">
      <c r="D1321" s="350"/>
      <c r="S1321" s="350"/>
      <c r="BF1321" s="350"/>
      <c r="BG1321" s="350"/>
      <c r="BH1321" s="350"/>
    </row>
    <row r="1322" spans="4:60">
      <c r="D1322" s="350"/>
      <c r="S1322" s="350"/>
      <c r="BF1322" s="350"/>
      <c r="BG1322" s="350"/>
      <c r="BH1322" s="350"/>
    </row>
    <row r="1323" spans="4:60">
      <c r="D1323" s="350"/>
      <c r="S1323" s="350"/>
      <c r="BF1323" s="350"/>
      <c r="BG1323" s="350"/>
      <c r="BH1323" s="350"/>
    </row>
    <row r="1324" spans="4:60">
      <c r="D1324" s="350"/>
      <c r="S1324" s="350"/>
      <c r="BF1324" s="350"/>
      <c r="BG1324" s="350"/>
      <c r="BH1324" s="350"/>
    </row>
    <row r="1325" spans="4:60">
      <c r="D1325" s="350"/>
      <c r="S1325" s="350"/>
      <c r="BF1325" s="350"/>
      <c r="BG1325" s="350"/>
      <c r="BH1325" s="350"/>
    </row>
    <row r="1326" spans="4:60">
      <c r="D1326" s="350"/>
      <c r="S1326" s="350"/>
      <c r="BF1326" s="350"/>
      <c r="BG1326" s="350"/>
      <c r="BH1326" s="350"/>
    </row>
    <row r="1327" spans="4:60">
      <c r="D1327" s="350"/>
      <c r="S1327" s="350"/>
      <c r="BF1327" s="350"/>
      <c r="BG1327" s="350"/>
      <c r="BH1327" s="350"/>
    </row>
    <row r="1328" spans="4:60">
      <c r="D1328" s="350"/>
      <c r="S1328" s="350"/>
      <c r="BF1328" s="350"/>
      <c r="BG1328" s="350"/>
      <c r="BH1328" s="350"/>
    </row>
    <row r="1329" spans="4:60">
      <c r="D1329" s="350"/>
      <c r="S1329" s="350"/>
      <c r="BF1329" s="350"/>
      <c r="BG1329" s="350"/>
      <c r="BH1329" s="350"/>
    </row>
    <row r="1330" spans="4:60">
      <c r="D1330" s="350"/>
      <c r="S1330" s="350"/>
      <c r="BF1330" s="350"/>
      <c r="BG1330" s="350"/>
      <c r="BH1330" s="350"/>
    </row>
    <row r="1331" spans="4:60">
      <c r="D1331" s="350"/>
      <c r="S1331" s="350"/>
      <c r="BF1331" s="350"/>
      <c r="BG1331" s="350"/>
      <c r="BH1331" s="350"/>
    </row>
    <row r="1332" spans="4:60">
      <c r="D1332" s="350"/>
      <c r="S1332" s="350"/>
      <c r="BF1332" s="350"/>
      <c r="BG1332" s="350"/>
      <c r="BH1332" s="350"/>
    </row>
    <row r="1333" spans="4:60">
      <c r="D1333" s="350"/>
      <c r="S1333" s="350"/>
      <c r="BF1333" s="350"/>
      <c r="BG1333" s="350"/>
      <c r="BH1333" s="350"/>
    </row>
    <row r="1334" spans="4:60">
      <c r="D1334" s="350"/>
      <c r="S1334" s="350"/>
      <c r="BF1334" s="350"/>
      <c r="BG1334" s="350"/>
      <c r="BH1334" s="350"/>
    </row>
    <row r="1335" spans="4:60">
      <c r="D1335" s="350"/>
      <c r="S1335" s="350"/>
      <c r="BF1335" s="350"/>
      <c r="BG1335" s="350"/>
      <c r="BH1335" s="350"/>
    </row>
    <row r="1336" spans="4:60">
      <c r="D1336" s="350"/>
      <c r="S1336" s="350"/>
      <c r="BF1336" s="350"/>
      <c r="BG1336" s="350"/>
      <c r="BH1336" s="350"/>
    </row>
    <row r="1337" spans="4:60">
      <c r="D1337" s="350"/>
      <c r="S1337" s="350"/>
      <c r="BF1337" s="350"/>
      <c r="BG1337" s="350"/>
      <c r="BH1337" s="350"/>
    </row>
    <row r="1338" spans="4:60">
      <c r="D1338" s="350"/>
      <c r="S1338" s="350"/>
      <c r="BF1338" s="350"/>
      <c r="BG1338" s="350"/>
      <c r="BH1338" s="350"/>
    </row>
    <row r="1339" spans="4:60">
      <c r="D1339" s="350"/>
      <c r="S1339" s="350"/>
      <c r="BF1339" s="350"/>
      <c r="BG1339" s="350"/>
      <c r="BH1339" s="350"/>
    </row>
    <row r="1340" spans="4:60">
      <c r="D1340" s="350"/>
      <c r="S1340" s="350"/>
      <c r="BF1340" s="350"/>
      <c r="BG1340" s="350"/>
      <c r="BH1340" s="350"/>
    </row>
    <row r="1341" spans="4:60">
      <c r="D1341" s="350"/>
      <c r="S1341" s="350"/>
      <c r="BF1341" s="350"/>
      <c r="BG1341" s="350"/>
      <c r="BH1341" s="350"/>
    </row>
    <row r="1342" spans="4:60">
      <c r="D1342" s="350"/>
      <c r="S1342" s="350"/>
      <c r="BF1342" s="350"/>
      <c r="BG1342" s="350"/>
      <c r="BH1342" s="350"/>
    </row>
    <row r="1343" spans="4:60">
      <c r="D1343" s="350"/>
      <c r="S1343" s="350"/>
      <c r="BF1343" s="350"/>
      <c r="BG1343" s="350"/>
      <c r="BH1343" s="350"/>
    </row>
    <row r="1344" spans="4:60">
      <c r="D1344" s="350"/>
      <c r="S1344" s="350"/>
      <c r="BF1344" s="350"/>
      <c r="BG1344" s="350"/>
      <c r="BH1344" s="350"/>
    </row>
    <row r="1345" spans="4:60">
      <c r="D1345" s="350"/>
      <c r="S1345" s="350"/>
      <c r="BF1345" s="350"/>
      <c r="BG1345" s="350"/>
      <c r="BH1345" s="350"/>
    </row>
    <row r="1346" spans="4:60">
      <c r="D1346" s="350"/>
      <c r="S1346" s="350"/>
      <c r="BF1346" s="350"/>
      <c r="BG1346" s="350"/>
      <c r="BH1346" s="350"/>
    </row>
    <row r="1347" spans="4:60">
      <c r="D1347" s="350"/>
      <c r="S1347" s="350"/>
      <c r="BF1347" s="350"/>
      <c r="BG1347" s="350"/>
      <c r="BH1347" s="350"/>
    </row>
    <row r="1348" spans="4:60">
      <c r="D1348" s="350"/>
      <c r="S1348" s="350"/>
      <c r="BF1348" s="350"/>
      <c r="BG1348" s="350"/>
      <c r="BH1348" s="350"/>
    </row>
    <row r="1349" spans="4:60">
      <c r="D1349" s="350"/>
      <c r="S1349" s="350"/>
      <c r="BF1349" s="350"/>
      <c r="BG1349" s="350"/>
      <c r="BH1349" s="350"/>
    </row>
    <row r="1350" spans="4:60">
      <c r="D1350" s="350"/>
      <c r="S1350" s="350"/>
      <c r="BF1350" s="350"/>
      <c r="BG1350" s="350"/>
      <c r="BH1350" s="350"/>
    </row>
    <row r="1351" spans="4:60">
      <c r="D1351" s="350"/>
      <c r="S1351" s="350"/>
      <c r="BF1351" s="350"/>
      <c r="BG1351" s="350"/>
      <c r="BH1351" s="350"/>
    </row>
    <row r="1352" spans="4:60">
      <c r="D1352" s="350"/>
      <c r="S1352" s="350"/>
      <c r="BF1352" s="350"/>
      <c r="BG1352" s="350"/>
      <c r="BH1352" s="350"/>
    </row>
    <row r="1353" spans="4:60">
      <c r="D1353" s="350"/>
      <c r="S1353" s="350"/>
      <c r="BF1353" s="350"/>
      <c r="BG1353" s="350"/>
      <c r="BH1353" s="350"/>
    </row>
    <row r="1354" spans="4:60">
      <c r="D1354" s="350"/>
      <c r="S1354" s="350"/>
      <c r="BF1354" s="350"/>
      <c r="BG1354" s="350"/>
      <c r="BH1354" s="350"/>
    </row>
    <row r="1355" spans="4:60">
      <c r="D1355" s="350"/>
      <c r="S1355" s="350"/>
      <c r="BF1355" s="350"/>
      <c r="BG1355" s="350"/>
      <c r="BH1355" s="350"/>
    </row>
    <row r="1356" spans="4:60">
      <c r="D1356" s="350"/>
      <c r="S1356" s="350"/>
      <c r="BF1356" s="350"/>
      <c r="BG1356" s="350"/>
      <c r="BH1356" s="350"/>
    </row>
    <row r="1357" spans="4:60">
      <c r="D1357" s="350"/>
      <c r="S1357" s="350"/>
      <c r="BF1357" s="350"/>
      <c r="BG1357" s="350"/>
      <c r="BH1357" s="350"/>
    </row>
    <row r="1358" spans="4:60">
      <c r="D1358" s="350"/>
      <c r="S1358" s="350"/>
      <c r="BF1358" s="350"/>
      <c r="BG1358" s="350"/>
      <c r="BH1358" s="350"/>
    </row>
    <row r="1359" spans="4:60">
      <c r="D1359" s="350"/>
      <c r="S1359" s="350"/>
      <c r="BF1359" s="350"/>
      <c r="BG1359" s="350"/>
      <c r="BH1359" s="350"/>
    </row>
    <row r="1360" spans="4:60">
      <c r="D1360" s="350"/>
      <c r="S1360" s="350"/>
      <c r="BF1360" s="350"/>
      <c r="BG1360" s="350"/>
      <c r="BH1360" s="350"/>
    </row>
    <row r="1361" spans="4:60">
      <c r="D1361" s="350"/>
      <c r="S1361" s="350"/>
      <c r="BF1361" s="350"/>
      <c r="BG1361" s="350"/>
      <c r="BH1361" s="350"/>
    </row>
    <row r="1362" spans="4:60">
      <c r="D1362" s="350"/>
      <c r="S1362" s="350"/>
      <c r="BF1362" s="350"/>
      <c r="BG1362" s="350"/>
      <c r="BH1362" s="350"/>
    </row>
    <row r="1363" spans="4:60">
      <c r="D1363" s="350"/>
      <c r="S1363" s="350"/>
      <c r="BF1363" s="350"/>
      <c r="BG1363" s="350"/>
      <c r="BH1363" s="350"/>
    </row>
    <row r="1364" spans="4:60">
      <c r="D1364" s="350"/>
      <c r="S1364" s="350"/>
      <c r="BF1364" s="350"/>
      <c r="BG1364" s="350"/>
      <c r="BH1364" s="350"/>
    </row>
    <row r="1365" spans="4:60">
      <c r="D1365" s="350"/>
      <c r="S1365" s="350"/>
      <c r="BF1365" s="350"/>
      <c r="BG1365" s="350"/>
      <c r="BH1365" s="350"/>
    </row>
    <row r="1366" spans="4:60">
      <c r="D1366" s="350"/>
      <c r="S1366" s="350"/>
      <c r="BF1366" s="350"/>
      <c r="BG1366" s="350"/>
      <c r="BH1366" s="350"/>
    </row>
    <row r="1367" spans="4:60">
      <c r="D1367" s="350"/>
      <c r="S1367" s="350"/>
      <c r="BF1367" s="350"/>
      <c r="BG1367" s="350"/>
      <c r="BH1367" s="350"/>
    </row>
    <row r="1368" spans="4:60">
      <c r="D1368" s="350"/>
      <c r="S1368" s="350"/>
      <c r="BF1368" s="350"/>
      <c r="BG1368" s="350"/>
      <c r="BH1368" s="350"/>
    </row>
    <row r="1369" spans="4:60">
      <c r="D1369" s="350"/>
      <c r="S1369" s="350"/>
      <c r="BF1369" s="350"/>
      <c r="BG1369" s="350"/>
      <c r="BH1369" s="350"/>
    </row>
    <row r="1370" spans="4:60">
      <c r="D1370" s="350"/>
      <c r="S1370" s="350"/>
      <c r="BF1370" s="350"/>
      <c r="BG1370" s="350"/>
      <c r="BH1370" s="350"/>
    </row>
    <row r="1371" spans="4:60">
      <c r="D1371" s="350"/>
      <c r="S1371" s="350"/>
      <c r="BF1371" s="350"/>
      <c r="BG1371" s="350"/>
      <c r="BH1371" s="350"/>
    </row>
    <row r="1372" spans="4:60">
      <c r="D1372" s="350"/>
      <c r="S1372" s="350"/>
      <c r="BF1372" s="350"/>
      <c r="BG1372" s="350"/>
      <c r="BH1372" s="350"/>
    </row>
    <row r="1373" spans="4:60">
      <c r="D1373" s="350"/>
      <c r="S1373" s="350"/>
      <c r="BF1373" s="350"/>
      <c r="BG1373" s="350"/>
      <c r="BH1373" s="350"/>
    </row>
    <row r="1374" spans="4:60">
      <c r="D1374" s="350"/>
      <c r="S1374" s="350"/>
      <c r="BF1374" s="350"/>
      <c r="BG1374" s="350"/>
      <c r="BH1374" s="350"/>
    </row>
    <row r="1375" spans="4:60">
      <c r="D1375" s="350"/>
      <c r="S1375" s="350"/>
      <c r="BF1375" s="350"/>
      <c r="BG1375" s="350"/>
      <c r="BH1375" s="350"/>
    </row>
    <row r="1376" spans="4:60">
      <c r="D1376" s="350"/>
      <c r="S1376" s="350"/>
      <c r="BF1376" s="350"/>
      <c r="BG1376" s="350"/>
      <c r="BH1376" s="350"/>
    </row>
    <row r="1377" spans="4:60">
      <c r="D1377" s="350"/>
      <c r="S1377" s="350"/>
      <c r="BF1377" s="350"/>
      <c r="BG1377" s="350"/>
      <c r="BH1377" s="350"/>
    </row>
    <row r="1378" spans="4:60">
      <c r="D1378" s="350"/>
      <c r="S1378" s="350"/>
      <c r="BF1378" s="350"/>
      <c r="BG1378" s="350"/>
      <c r="BH1378" s="350"/>
    </row>
    <row r="1379" spans="4:60">
      <c r="D1379" s="350"/>
      <c r="S1379" s="350"/>
      <c r="BF1379" s="350"/>
      <c r="BG1379" s="350"/>
      <c r="BH1379" s="350"/>
    </row>
    <row r="1380" spans="4:60">
      <c r="D1380" s="350"/>
      <c r="S1380" s="350"/>
      <c r="BF1380" s="350"/>
      <c r="BG1380" s="350"/>
      <c r="BH1380" s="350"/>
    </row>
    <row r="1381" spans="4:60">
      <c r="D1381" s="350"/>
      <c r="S1381" s="350"/>
      <c r="BF1381" s="350"/>
      <c r="BG1381" s="350"/>
      <c r="BH1381" s="350"/>
    </row>
    <row r="1382" spans="4:60">
      <c r="D1382" s="350"/>
      <c r="S1382" s="350"/>
      <c r="BF1382" s="350"/>
      <c r="BG1382" s="350"/>
      <c r="BH1382" s="350"/>
    </row>
    <row r="1383" spans="4:60">
      <c r="D1383" s="350"/>
      <c r="S1383" s="350"/>
      <c r="BF1383" s="350"/>
      <c r="BG1383" s="350"/>
      <c r="BH1383" s="350"/>
    </row>
    <row r="1384" spans="4:60">
      <c r="D1384" s="350"/>
      <c r="S1384" s="350"/>
      <c r="BF1384" s="350"/>
      <c r="BG1384" s="350"/>
      <c r="BH1384" s="350"/>
    </row>
    <row r="1385" spans="4:60">
      <c r="D1385" s="350"/>
      <c r="S1385" s="350"/>
      <c r="BF1385" s="350"/>
      <c r="BG1385" s="350"/>
      <c r="BH1385" s="350"/>
    </row>
    <row r="1386" spans="4:60">
      <c r="D1386" s="350"/>
      <c r="S1386" s="350"/>
      <c r="BF1386" s="350"/>
      <c r="BG1386" s="350"/>
      <c r="BH1386" s="350"/>
    </row>
    <row r="1387" spans="4:60">
      <c r="D1387" s="350"/>
      <c r="S1387" s="350"/>
      <c r="BF1387" s="350"/>
      <c r="BG1387" s="350"/>
      <c r="BH1387" s="350"/>
    </row>
    <row r="1388" spans="4:60">
      <c r="D1388" s="350"/>
      <c r="S1388" s="350"/>
      <c r="BF1388" s="350"/>
      <c r="BG1388" s="350"/>
      <c r="BH1388" s="350"/>
    </row>
    <row r="1389" spans="4:60">
      <c r="D1389" s="350"/>
      <c r="S1389" s="350"/>
      <c r="BF1389" s="350"/>
      <c r="BG1389" s="350"/>
      <c r="BH1389" s="350"/>
    </row>
    <row r="1390" spans="4:60">
      <c r="D1390" s="350"/>
      <c r="S1390" s="350"/>
      <c r="BF1390" s="350"/>
      <c r="BG1390" s="350"/>
      <c r="BH1390" s="350"/>
    </row>
    <row r="1391" spans="4:60">
      <c r="D1391" s="350"/>
      <c r="S1391" s="350"/>
      <c r="BF1391" s="350"/>
      <c r="BG1391" s="350"/>
      <c r="BH1391" s="350"/>
    </row>
    <row r="1392" spans="4:60">
      <c r="D1392" s="350"/>
      <c r="S1392" s="350"/>
      <c r="BF1392" s="350"/>
      <c r="BG1392" s="350"/>
      <c r="BH1392" s="350"/>
    </row>
    <row r="1393" spans="4:60">
      <c r="D1393" s="350"/>
      <c r="S1393" s="350"/>
      <c r="BF1393" s="350"/>
      <c r="BG1393" s="350"/>
      <c r="BH1393" s="350"/>
    </row>
    <row r="1394" spans="4:60">
      <c r="D1394" s="350"/>
      <c r="S1394" s="350"/>
      <c r="BF1394" s="350"/>
      <c r="BG1394" s="350"/>
      <c r="BH1394" s="350"/>
    </row>
    <row r="1395" spans="4:60">
      <c r="D1395" s="350"/>
      <c r="S1395" s="350"/>
      <c r="BF1395" s="350"/>
      <c r="BG1395" s="350"/>
      <c r="BH1395" s="350"/>
    </row>
    <row r="1396" spans="4:60">
      <c r="D1396" s="350"/>
      <c r="S1396" s="350"/>
      <c r="BF1396" s="350"/>
      <c r="BG1396" s="350"/>
      <c r="BH1396" s="350"/>
    </row>
    <row r="1397" spans="4:60">
      <c r="D1397" s="350"/>
      <c r="S1397" s="350"/>
      <c r="BF1397" s="350"/>
      <c r="BG1397" s="350"/>
      <c r="BH1397" s="350"/>
    </row>
    <row r="1398" spans="4:60">
      <c r="D1398" s="350"/>
      <c r="S1398" s="350"/>
      <c r="BF1398" s="350"/>
      <c r="BG1398" s="350"/>
      <c r="BH1398" s="350"/>
    </row>
    <row r="1399" spans="4:60">
      <c r="D1399" s="350"/>
      <c r="S1399" s="350"/>
      <c r="BF1399" s="350"/>
      <c r="BG1399" s="350"/>
      <c r="BH1399" s="350"/>
    </row>
    <row r="1400" spans="4:60">
      <c r="D1400" s="350"/>
      <c r="S1400" s="350"/>
      <c r="BF1400" s="350"/>
      <c r="BG1400" s="350"/>
      <c r="BH1400" s="350"/>
    </row>
    <row r="1401" spans="4:60">
      <c r="D1401" s="350"/>
      <c r="S1401" s="350"/>
      <c r="BF1401" s="350"/>
      <c r="BG1401" s="350"/>
      <c r="BH1401" s="350"/>
    </row>
    <row r="1402" spans="4:60">
      <c r="D1402" s="350"/>
      <c r="S1402" s="350"/>
      <c r="BF1402" s="350"/>
      <c r="BG1402" s="350"/>
      <c r="BH1402" s="350"/>
    </row>
    <row r="1415" spans="4:60">
      <c r="D1415" s="350"/>
      <c r="S1415" s="350"/>
      <c r="BF1415" s="350"/>
      <c r="BG1415" s="350"/>
      <c r="BH1415" s="350"/>
    </row>
    <row r="1416" spans="4:60">
      <c r="D1416" s="350"/>
      <c r="S1416" s="350"/>
      <c r="BF1416" s="350"/>
      <c r="BG1416" s="350"/>
      <c r="BH1416" s="350"/>
    </row>
    <row r="1417" spans="4:60">
      <c r="D1417" s="350"/>
      <c r="S1417" s="350"/>
      <c r="BF1417" s="350"/>
      <c r="BG1417" s="350"/>
      <c r="BH1417" s="350"/>
    </row>
    <row r="1418" spans="4:60">
      <c r="D1418" s="350"/>
      <c r="S1418" s="350"/>
      <c r="BF1418" s="350"/>
      <c r="BG1418" s="350"/>
      <c r="BH1418" s="350"/>
    </row>
    <row r="1419" spans="4:60">
      <c r="D1419" s="350"/>
      <c r="S1419" s="350"/>
      <c r="BF1419" s="350"/>
      <c r="BG1419" s="350"/>
      <c r="BH1419" s="350"/>
    </row>
    <row r="1420" spans="4:60">
      <c r="D1420" s="350"/>
      <c r="S1420" s="350"/>
      <c r="BF1420" s="350"/>
      <c r="BG1420" s="350"/>
      <c r="BH1420" s="350"/>
    </row>
    <row r="1421" spans="4:60">
      <c r="D1421" s="350"/>
      <c r="S1421" s="350"/>
      <c r="BF1421" s="350"/>
      <c r="BG1421" s="350"/>
      <c r="BH1421" s="350"/>
    </row>
    <row r="1422" spans="4:60">
      <c r="D1422" s="350"/>
      <c r="S1422" s="350"/>
      <c r="BF1422" s="350"/>
      <c r="BG1422" s="350"/>
      <c r="BH1422" s="350"/>
    </row>
    <row r="1423" spans="4:60">
      <c r="D1423" s="350"/>
      <c r="S1423" s="350"/>
      <c r="BF1423" s="350"/>
      <c r="BG1423" s="350"/>
      <c r="BH1423" s="350"/>
    </row>
    <row r="1424" spans="4:60">
      <c r="D1424" s="350"/>
      <c r="S1424" s="350"/>
      <c r="BF1424" s="350"/>
      <c r="BG1424" s="350"/>
      <c r="BH1424" s="350"/>
    </row>
    <row r="1425" spans="4:60">
      <c r="D1425" s="350"/>
      <c r="S1425" s="350"/>
      <c r="BF1425" s="350"/>
      <c r="BG1425" s="350"/>
      <c r="BH1425" s="350"/>
    </row>
    <row r="1426" spans="4:60">
      <c r="D1426" s="350"/>
      <c r="S1426" s="350"/>
      <c r="BF1426" s="350"/>
      <c r="BG1426" s="350"/>
      <c r="BH1426" s="350"/>
    </row>
    <row r="1427" spans="4:60">
      <c r="D1427" s="350"/>
      <c r="S1427" s="350"/>
      <c r="BF1427" s="350"/>
      <c r="BG1427" s="350"/>
      <c r="BH1427" s="350"/>
    </row>
    <row r="1428" spans="4:60">
      <c r="D1428" s="350"/>
      <c r="S1428" s="350"/>
      <c r="BF1428" s="350"/>
      <c r="BG1428" s="350"/>
      <c r="BH1428" s="350"/>
    </row>
    <row r="1429" spans="4:60">
      <c r="D1429" s="350"/>
      <c r="S1429" s="350"/>
      <c r="BF1429" s="350"/>
      <c r="BG1429" s="350"/>
      <c r="BH1429" s="350"/>
    </row>
    <row r="1430" spans="4:60">
      <c r="D1430" s="350"/>
      <c r="S1430" s="350"/>
      <c r="BF1430" s="350"/>
      <c r="BG1430" s="350"/>
      <c r="BH1430" s="350"/>
    </row>
    <row r="1431" spans="4:60">
      <c r="D1431" s="350"/>
      <c r="S1431" s="350"/>
      <c r="BF1431" s="350"/>
      <c r="BG1431" s="350"/>
      <c r="BH1431" s="350"/>
    </row>
    <row r="1432" spans="4:60">
      <c r="D1432" s="350"/>
      <c r="S1432" s="350"/>
      <c r="BF1432" s="350"/>
      <c r="BG1432" s="350"/>
      <c r="BH1432" s="350"/>
    </row>
    <row r="1433" spans="4:60">
      <c r="D1433" s="350"/>
      <c r="S1433" s="350"/>
      <c r="BF1433" s="350"/>
      <c r="BG1433" s="350"/>
      <c r="BH1433" s="350"/>
    </row>
    <row r="1434" spans="4:60">
      <c r="D1434" s="350"/>
      <c r="S1434" s="350"/>
      <c r="BF1434" s="350"/>
      <c r="BG1434" s="350"/>
      <c r="BH1434" s="350"/>
    </row>
    <row r="1435" spans="4:60">
      <c r="D1435" s="350"/>
      <c r="S1435" s="350"/>
      <c r="BF1435" s="350"/>
      <c r="BG1435" s="350"/>
      <c r="BH1435" s="350"/>
    </row>
    <row r="1436" spans="4:60">
      <c r="D1436" s="350"/>
      <c r="S1436" s="350"/>
      <c r="BF1436" s="350"/>
      <c r="BG1436" s="350"/>
      <c r="BH1436" s="350"/>
    </row>
    <row r="1437" spans="4:60">
      <c r="D1437" s="350"/>
      <c r="S1437" s="350"/>
      <c r="BF1437" s="350"/>
      <c r="BG1437" s="350"/>
      <c r="BH1437" s="350"/>
    </row>
    <row r="1438" spans="4:60">
      <c r="D1438" s="350"/>
      <c r="S1438" s="350"/>
      <c r="BF1438" s="350"/>
      <c r="BG1438" s="350"/>
      <c r="BH1438" s="350"/>
    </row>
    <row r="1439" spans="4:60">
      <c r="D1439" s="350"/>
      <c r="S1439" s="350"/>
      <c r="BF1439" s="350"/>
      <c r="BG1439" s="350"/>
      <c r="BH1439" s="350"/>
    </row>
    <row r="1440" spans="4:60">
      <c r="D1440" s="350"/>
      <c r="S1440" s="350"/>
      <c r="BF1440" s="350"/>
      <c r="BG1440" s="350"/>
      <c r="BH1440" s="350"/>
    </row>
    <row r="1441" spans="4:60">
      <c r="D1441" s="350"/>
      <c r="S1441" s="350"/>
      <c r="BF1441" s="350"/>
      <c r="BG1441" s="350"/>
      <c r="BH1441" s="350"/>
    </row>
    <row r="1442" spans="4:60">
      <c r="D1442" s="350"/>
      <c r="S1442" s="350"/>
      <c r="BF1442" s="350"/>
      <c r="BG1442" s="350"/>
      <c r="BH1442" s="350"/>
    </row>
    <row r="1443" spans="4:60">
      <c r="D1443" s="350"/>
      <c r="S1443" s="350"/>
      <c r="BF1443" s="350"/>
      <c r="BG1443" s="350"/>
      <c r="BH1443" s="350"/>
    </row>
    <row r="1444" spans="4:60">
      <c r="D1444" s="350"/>
      <c r="S1444" s="350"/>
      <c r="BF1444" s="350"/>
      <c r="BG1444" s="350"/>
      <c r="BH1444" s="350"/>
    </row>
    <row r="1445" spans="4:60">
      <c r="D1445" s="350"/>
      <c r="S1445" s="350"/>
      <c r="BF1445" s="350"/>
      <c r="BG1445" s="350"/>
      <c r="BH1445" s="350"/>
    </row>
    <row r="1446" spans="4:60">
      <c r="D1446" s="350"/>
      <c r="S1446" s="350"/>
      <c r="BF1446" s="350"/>
      <c r="BG1446" s="350"/>
      <c r="BH1446" s="350"/>
    </row>
    <row r="1447" spans="4:60">
      <c r="D1447" s="350"/>
      <c r="S1447" s="350"/>
      <c r="BF1447" s="350"/>
      <c r="BG1447" s="350"/>
      <c r="BH1447" s="350"/>
    </row>
    <row r="1448" spans="4:60">
      <c r="D1448" s="350"/>
      <c r="S1448" s="350"/>
      <c r="BF1448" s="350"/>
      <c r="BG1448" s="350"/>
      <c r="BH1448" s="350"/>
    </row>
    <row r="1449" spans="4:60">
      <c r="D1449" s="350"/>
      <c r="S1449" s="350"/>
      <c r="BF1449" s="350"/>
      <c r="BG1449" s="350"/>
      <c r="BH1449" s="350"/>
    </row>
    <row r="1450" spans="4:60">
      <c r="D1450" s="350"/>
      <c r="S1450" s="350"/>
      <c r="BF1450" s="350"/>
      <c r="BG1450" s="350"/>
      <c r="BH1450" s="350"/>
    </row>
    <row r="1451" spans="4:60">
      <c r="D1451" s="350"/>
      <c r="S1451" s="350"/>
      <c r="BF1451" s="350"/>
      <c r="BG1451" s="350"/>
      <c r="BH1451" s="350"/>
    </row>
    <row r="1452" spans="4:60">
      <c r="D1452" s="350"/>
      <c r="S1452" s="350"/>
      <c r="BF1452" s="350"/>
      <c r="BG1452" s="350"/>
      <c r="BH1452" s="350"/>
    </row>
    <row r="1453" spans="4:60">
      <c r="D1453" s="350"/>
      <c r="S1453" s="350"/>
      <c r="BF1453" s="350"/>
      <c r="BG1453" s="350"/>
      <c r="BH1453" s="350"/>
    </row>
    <row r="1454" spans="4:60">
      <c r="D1454" s="350"/>
      <c r="S1454" s="350"/>
      <c r="BF1454" s="350"/>
      <c r="BG1454" s="350"/>
      <c r="BH1454" s="350"/>
    </row>
    <row r="1455" spans="4:60">
      <c r="D1455" s="350"/>
      <c r="S1455" s="350"/>
      <c r="BF1455" s="350"/>
      <c r="BG1455" s="350"/>
      <c r="BH1455" s="350"/>
    </row>
    <row r="1456" spans="4:60">
      <c r="D1456" s="350"/>
      <c r="S1456" s="350"/>
      <c r="BF1456" s="350"/>
      <c r="BG1456" s="350"/>
      <c r="BH1456" s="350"/>
    </row>
    <row r="1457" spans="4:60">
      <c r="D1457" s="350"/>
      <c r="S1457" s="350"/>
      <c r="BF1457" s="350"/>
      <c r="BG1457" s="350"/>
      <c r="BH1457" s="350"/>
    </row>
    <row r="1458" spans="4:60">
      <c r="D1458" s="350"/>
      <c r="S1458" s="350"/>
      <c r="BF1458" s="350"/>
      <c r="BG1458" s="350"/>
      <c r="BH1458" s="350"/>
    </row>
    <row r="1459" spans="4:60">
      <c r="D1459" s="350"/>
      <c r="S1459" s="350"/>
      <c r="BF1459" s="350"/>
      <c r="BG1459" s="350"/>
      <c r="BH1459" s="350"/>
    </row>
    <row r="1460" spans="4:60">
      <c r="D1460" s="350"/>
      <c r="S1460" s="350"/>
      <c r="BF1460" s="350"/>
      <c r="BG1460" s="350"/>
      <c r="BH1460" s="350"/>
    </row>
    <row r="1461" spans="4:60">
      <c r="D1461" s="350"/>
      <c r="S1461" s="350"/>
      <c r="BF1461" s="350"/>
      <c r="BG1461" s="350"/>
      <c r="BH1461" s="350"/>
    </row>
    <row r="1462" spans="4:60">
      <c r="D1462" s="350"/>
      <c r="S1462" s="350"/>
      <c r="BF1462" s="350"/>
      <c r="BG1462" s="350"/>
      <c r="BH1462" s="350"/>
    </row>
    <row r="1463" spans="4:60">
      <c r="D1463" s="350"/>
      <c r="S1463" s="350"/>
      <c r="BF1463" s="350"/>
      <c r="BG1463" s="350"/>
      <c r="BH1463" s="350"/>
    </row>
    <row r="1464" spans="4:60">
      <c r="D1464" s="350"/>
      <c r="S1464" s="350"/>
      <c r="BF1464" s="350"/>
      <c r="BG1464" s="350"/>
      <c r="BH1464" s="350"/>
    </row>
    <row r="1465" spans="4:60">
      <c r="D1465" s="350"/>
      <c r="S1465" s="350"/>
      <c r="BF1465" s="350"/>
      <c r="BG1465" s="350"/>
      <c r="BH1465" s="350"/>
    </row>
    <row r="1466" spans="4:60">
      <c r="D1466" s="350"/>
      <c r="S1466" s="350"/>
      <c r="BF1466" s="350"/>
      <c r="BG1466" s="350"/>
      <c r="BH1466" s="350"/>
    </row>
    <row r="1467" spans="4:60">
      <c r="D1467" s="350"/>
      <c r="S1467" s="350"/>
      <c r="BF1467" s="350"/>
      <c r="BG1467" s="350"/>
      <c r="BH1467" s="350"/>
    </row>
    <row r="1468" spans="4:60">
      <c r="D1468" s="350"/>
      <c r="S1468" s="350"/>
      <c r="BF1468" s="350"/>
      <c r="BG1468" s="350"/>
      <c r="BH1468" s="350"/>
    </row>
    <row r="1469" spans="4:60">
      <c r="D1469" s="350"/>
      <c r="S1469" s="350"/>
      <c r="BF1469" s="350"/>
      <c r="BG1469" s="350"/>
      <c r="BH1469" s="350"/>
    </row>
    <row r="1470" spans="4:60">
      <c r="D1470" s="350"/>
      <c r="S1470" s="350"/>
      <c r="BF1470" s="350"/>
      <c r="BG1470" s="350"/>
      <c r="BH1470" s="350"/>
    </row>
    <row r="1471" spans="4:60">
      <c r="D1471" s="350"/>
      <c r="S1471" s="350"/>
      <c r="BF1471" s="350"/>
      <c r="BG1471" s="350"/>
      <c r="BH1471" s="350"/>
    </row>
    <row r="1472" spans="4:60">
      <c r="D1472" s="350"/>
      <c r="S1472" s="350"/>
      <c r="BF1472" s="350"/>
      <c r="BG1472" s="350"/>
      <c r="BH1472" s="350"/>
    </row>
    <row r="1473" spans="4:60">
      <c r="D1473" s="350"/>
      <c r="S1473" s="350"/>
      <c r="BF1473" s="350"/>
      <c r="BG1473" s="350"/>
      <c r="BH1473" s="350"/>
    </row>
    <row r="1474" spans="4:60">
      <c r="D1474" s="350"/>
      <c r="S1474" s="350"/>
      <c r="BF1474" s="350"/>
      <c r="BG1474" s="350"/>
      <c r="BH1474" s="350"/>
    </row>
    <row r="1475" spans="4:60">
      <c r="D1475" s="350"/>
      <c r="S1475" s="350"/>
      <c r="BF1475" s="350"/>
      <c r="BG1475" s="350"/>
      <c r="BH1475" s="350"/>
    </row>
    <row r="1476" spans="4:60">
      <c r="D1476" s="350"/>
      <c r="S1476" s="350"/>
      <c r="BF1476" s="350"/>
      <c r="BG1476" s="350"/>
      <c r="BH1476" s="350"/>
    </row>
    <row r="1477" spans="4:60">
      <c r="D1477" s="350"/>
      <c r="S1477" s="350"/>
      <c r="BF1477" s="350"/>
      <c r="BG1477" s="350"/>
      <c r="BH1477" s="350"/>
    </row>
    <row r="1478" spans="4:60">
      <c r="D1478" s="350"/>
      <c r="S1478" s="350"/>
      <c r="BF1478" s="350"/>
      <c r="BG1478" s="350"/>
      <c r="BH1478" s="350"/>
    </row>
    <row r="1479" spans="4:60">
      <c r="D1479" s="350"/>
      <c r="S1479" s="350"/>
      <c r="BF1479" s="350"/>
      <c r="BG1479" s="350"/>
      <c r="BH1479" s="350"/>
    </row>
    <row r="1480" spans="4:60">
      <c r="D1480" s="350"/>
      <c r="S1480" s="350"/>
      <c r="BF1480" s="350"/>
      <c r="BG1480" s="350"/>
      <c r="BH1480" s="350"/>
    </row>
    <row r="1481" spans="4:60">
      <c r="D1481" s="350"/>
      <c r="S1481" s="350"/>
      <c r="BF1481" s="350"/>
      <c r="BG1481" s="350"/>
      <c r="BH1481" s="350"/>
    </row>
    <row r="1482" spans="4:60">
      <c r="D1482" s="350"/>
      <c r="S1482" s="350"/>
      <c r="BF1482" s="350"/>
      <c r="BG1482" s="350"/>
      <c r="BH1482" s="350"/>
    </row>
    <row r="1483" spans="4:60">
      <c r="D1483" s="350"/>
      <c r="S1483" s="350"/>
      <c r="BF1483" s="350"/>
      <c r="BG1483" s="350"/>
      <c r="BH1483" s="350"/>
    </row>
    <row r="1484" spans="4:60">
      <c r="D1484" s="350"/>
      <c r="S1484" s="350"/>
      <c r="BF1484" s="350"/>
      <c r="BG1484" s="350"/>
      <c r="BH1484" s="350"/>
    </row>
    <row r="1485" spans="4:60">
      <c r="D1485" s="350"/>
      <c r="S1485" s="350"/>
      <c r="BF1485" s="350"/>
      <c r="BG1485" s="350"/>
      <c r="BH1485" s="350"/>
    </row>
    <row r="1486" spans="4:60">
      <c r="D1486" s="350"/>
      <c r="S1486" s="350"/>
      <c r="BF1486" s="350"/>
      <c r="BG1486" s="350"/>
      <c r="BH1486" s="350"/>
    </row>
    <row r="1487" spans="4:60">
      <c r="D1487" s="350"/>
      <c r="S1487" s="350"/>
      <c r="BF1487" s="350"/>
      <c r="BG1487" s="350"/>
      <c r="BH1487" s="350"/>
    </row>
    <row r="1488" spans="4:60">
      <c r="D1488" s="350"/>
      <c r="S1488" s="350"/>
      <c r="BF1488" s="350"/>
      <c r="BG1488" s="350"/>
      <c r="BH1488" s="350"/>
    </row>
    <row r="1489" spans="4:60">
      <c r="D1489" s="350"/>
      <c r="S1489" s="350"/>
      <c r="BF1489" s="350"/>
      <c r="BG1489" s="350"/>
      <c r="BH1489" s="350"/>
    </row>
    <row r="1490" spans="4:60">
      <c r="D1490" s="350"/>
      <c r="S1490" s="350"/>
      <c r="BF1490" s="350"/>
      <c r="BG1490" s="350"/>
      <c r="BH1490" s="350"/>
    </row>
    <row r="1491" spans="4:60">
      <c r="D1491" s="350"/>
      <c r="S1491" s="350"/>
      <c r="BF1491" s="350"/>
      <c r="BG1491" s="350"/>
      <c r="BH1491" s="350"/>
    </row>
    <row r="1492" spans="4:60">
      <c r="D1492" s="350"/>
      <c r="S1492" s="350"/>
      <c r="BF1492" s="350"/>
      <c r="BG1492" s="350"/>
      <c r="BH1492" s="350"/>
    </row>
    <row r="1493" spans="4:60">
      <c r="D1493" s="350"/>
      <c r="S1493" s="350"/>
      <c r="BF1493" s="350"/>
      <c r="BG1493" s="350"/>
      <c r="BH1493" s="350"/>
    </row>
    <row r="1494" spans="4:60">
      <c r="D1494" s="350"/>
      <c r="S1494" s="350"/>
      <c r="BF1494" s="350"/>
      <c r="BG1494" s="350"/>
      <c r="BH1494" s="350"/>
    </row>
    <row r="1495" spans="4:60">
      <c r="D1495" s="350"/>
      <c r="S1495" s="350"/>
      <c r="BF1495" s="350"/>
      <c r="BG1495" s="350"/>
      <c r="BH1495" s="350"/>
    </row>
    <row r="1496" spans="4:60">
      <c r="D1496" s="350"/>
      <c r="S1496" s="350"/>
      <c r="BF1496" s="350"/>
      <c r="BG1496" s="350"/>
      <c r="BH1496" s="350"/>
    </row>
    <row r="1497" spans="4:60">
      <c r="D1497" s="350"/>
      <c r="S1497" s="350"/>
      <c r="BF1497" s="350"/>
      <c r="BG1497" s="350"/>
      <c r="BH1497" s="350"/>
    </row>
    <row r="1498" spans="4:60">
      <c r="D1498" s="350"/>
      <c r="S1498" s="350"/>
      <c r="BF1498" s="350"/>
      <c r="BG1498" s="350"/>
      <c r="BH1498" s="350"/>
    </row>
    <row r="1499" spans="4:60">
      <c r="D1499" s="350"/>
      <c r="S1499" s="350"/>
      <c r="BF1499" s="350"/>
      <c r="BG1499" s="350"/>
      <c r="BH1499" s="350"/>
    </row>
    <row r="1500" spans="4:60">
      <c r="D1500" s="350"/>
      <c r="S1500" s="350"/>
      <c r="BF1500" s="350"/>
      <c r="BG1500" s="350"/>
      <c r="BH1500" s="350"/>
    </row>
    <row r="1501" spans="4:60">
      <c r="D1501" s="350"/>
      <c r="S1501" s="350"/>
      <c r="BF1501" s="350"/>
      <c r="BG1501" s="350"/>
      <c r="BH1501" s="350"/>
    </row>
    <row r="1502" spans="4:60">
      <c r="D1502" s="350"/>
      <c r="S1502" s="350"/>
      <c r="BF1502" s="350"/>
      <c r="BG1502" s="350"/>
      <c r="BH1502" s="350"/>
    </row>
    <row r="1503" spans="4:60">
      <c r="D1503" s="350"/>
      <c r="S1503" s="350"/>
      <c r="BF1503" s="350"/>
      <c r="BG1503" s="350"/>
      <c r="BH1503" s="350"/>
    </row>
    <row r="1504" spans="4:60">
      <c r="D1504" s="350"/>
      <c r="S1504" s="350"/>
      <c r="BF1504" s="350"/>
      <c r="BG1504" s="350"/>
      <c r="BH1504" s="350"/>
    </row>
    <row r="1505" spans="4:60">
      <c r="D1505" s="350"/>
      <c r="S1505" s="350"/>
      <c r="BF1505" s="350"/>
      <c r="BG1505" s="350"/>
      <c r="BH1505" s="350"/>
    </row>
    <row r="1506" spans="4:60">
      <c r="D1506" s="350"/>
      <c r="S1506" s="350"/>
      <c r="BF1506" s="350"/>
      <c r="BG1506" s="350"/>
      <c r="BH1506" s="350"/>
    </row>
    <row r="1507" spans="4:60">
      <c r="D1507" s="350"/>
      <c r="S1507" s="350"/>
      <c r="BF1507" s="350"/>
      <c r="BG1507" s="350"/>
      <c r="BH1507" s="350"/>
    </row>
    <row r="1508" spans="4:60">
      <c r="D1508" s="350"/>
      <c r="S1508" s="350"/>
      <c r="BF1508" s="350"/>
      <c r="BG1508" s="350"/>
      <c r="BH1508" s="350"/>
    </row>
    <row r="1509" spans="4:60">
      <c r="D1509" s="350"/>
      <c r="S1509" s="350"/>
      <c r="BF1509" s="350"/>
      <c r="BG1509" s="350"/>
      <c r="BH1509" s="350"/>
    </row>
    <row r="1510" spans="4:60">
      <c r="D1510" s="350"/>
      <c r="S1510" s="350"/>
      <c r="BF1510" s="350"/>
      <c r="BG1510" s="350"/>
      <c r="BH1510" s="350"/>
    </row>
    <row r="1511" spans="4:60">
      <c r="D1511" s="350"/>
      <c r="S1511" s="350"/>
      <c r="BF1511" s="350"/>
      <c r="BG1511" s="350"/>
      <c r="BH1511" s="350"/>
    </row>
    <row r="1512" spans="4:60">
      <c r="D1512" s="350"/>
      <c r="S1512" s="350"/>
      <c r="BF1512" s="350"/>
      <c r="BG1512" s="350"/>
      <c r="BH1512" s="350"/>
    </row>
    <row r="1513" spans="4:60">
      <c r="D1513" s="350"/>
      <c r="S1513" s="350"/>
      <c r="BF1513" s="350"/>
      <c r="BG1513" s="350"/>
      <c r="BH1513" s="350"/>
    </row>
    <row r="1514" spans="4:60">
      <c r="D1514" s="350"/>
      <c r="S1514" s="350"/>
      <c r="BF1514" s="350"/>
      <c r="BG1514" s="350"/>
      <c r="BH1514" s="350"/>
    </row>
    <row r="1515" spans="4:60">
      <c r="D1515" s="350"/>
      <c r="S1515" s="350"/>
      <c r="BF1515" s="350"/>
      <c r="BG1515" s="350"/>
      <c r="BH1515" s="350"/>
    </row>
    <row r="1516" spans="4:60">
      <c r="D1516" s="350"/>
      <c r="S1516" s="350"/>
      <c r="BF1516" s="350"/>
      <c r="BG1516" s="350"/>
      <c r="BH1516" s="350"/>
    </row>
    <row r="1517" spans="4:60">
      <c r="D1517" s="350"/>
      <c r="S1517" s="350"/>
      <c r="BF1517" s="350"/>
      <c r="BG1517" s="350"/>
      <c r="BH1517" s="350"/>
    </row>
    <row r="1518" spans="4:60">
      <c r="D1518" s="350"/>
      <c r="S1518" s="350"/>
      <c r="BF1518" s="350"/>
      <c r="BG1518" s="350"/>
      <c r="BH1518" s="350"/>
    </row>
    <row r="1519" spans="4:60">
      <c r="D1519" s="350"/>
      <c r="S1519" s="350"/>
      <c r="BF1519" s="350"/>
      <c r="BG1519" s="350"/>
      <c r="BH1519" s="350"/>
    </row>
    <row r="1520" spans="4:60">
      <c r="D1520" s="350"/>
      <c r="S1520" s="350"/>
      <c r="BF1520" s="350"/>
      <c r="BG1520" s="350"/>
      <c r="BH1520" s="350"/>
    </row>
    <row r="1521" spans="4:60">
      <c r="D1521" s="350"/>
      <c r="S1521" s="350"/>
      <c r="BF1521" s="350"/>
      <c r="BG1521" s="350"/>
      <c r="BH1521" s="350"/>
    </row>
    <row r="1522" spans="4:60">
      <c r="D1522" s="350"/>
      <c r="S1522" s="350"/>
      <c r="BF1522" s="350"/>
      <c r="BG1522" s="350"/>
      <c r="BH1522" s="350"/>
    </row>
    <row r="1523" spans="4:60">
      <c r="D1523" s="350"/>
      <c r="S1523" s="350"/>
      <c r="BF1523" s="350"/>
      <c r="BG1523" s="350"/>
      <c r="BH1523" s="350"/>
    </row>
    <row r="1524" spans="4:60">
      <c r="D1524" s="350"/>
      <c r="S1524" s="350"/>
      <c r="BF1524" s="350"/>
      <c r="BG1524" s="350"/>
      <c r="BH1524" s="350"/>
    </row>
    <row r="1525" spans="4:60">
      <c r="D1525" s="350"/>
      <c r="S1525" s="350"/>
      <c r="BF1525" s="350"/>
      <c r="BG1525" s="350"/>
      <c r="BH1525" s="350"/>
    </row>
    <row r="1526" spans="4:60">
      <c r="D1526" s="350"/>
      <c r="S1526" s="350"/>
      <c r="BF1526" s="350"/>
      <c r="BG1526" s="350"/>
      <c r="BH1526" s="350"/>
    </row>
    <row r="1527" spans="4:60">
      <c r="D1527" s="350"/>
      <c r="S1527" s="350"/>
      <c r="BF1527" s="350"/>
      <c r="BG1527" s="350"/>
      <c r="BH1527" s="350"/>
    </row>
    <row r="1528" spans="4:60">
      <c r="D1528" s="350"/>
      <c r="S1528" s="350"/>
      <c r="BF1528" s="350"/>
      <c r="BG1528" s="350"/>
      <c r="BH1528" s="350"/>
    </row>
    <row r="1529" spans="4:60">
      <c r="D1529" s="350"/>
      <c r="S1529" s="350"/>
      <c r="BF1529" s="350"/>
      <c r="BG1529" s="350"/>
      <c r="BH1529" s="350"/>
    </row>
    <row r="1530" spans="4:60">
      <c r="D1530" s="350"/>
      <c r="S1530" s="350"/>
      <c r="BF1530" s="350"/>
      <c r="BG1530" s="350"/>
      <c r="BH1530" s="350"/>
    </row>
    <row r="1531" spans="4:60">
      <c r="D1531" s="350"/>
      <c r="S1531" s="350"/>
      <c r="BF1531" s="350"/>
      <c r="BG1531" s="350"/>
      <c r="BH1531" s="350"/>
    </row>
    <row r="1532" spans="4:60">
      <c r="D1532" s="350"/>
      <c r="S1532" s="350"/>
      <c r="BF1532" s="350"/>
      <c r="BG1532" s="350"/>
      <c r="BH1532" s="350"/>
    </row>
    <row r="1533" spans="4:60">
      <c r="D1533" s="350"/>
      <c r="S1533" s="350"/>
      <c r="BF1533" s="350"/>
      <c r="BG1533" s="350"/>
      <c r="BH1533" s="350"/>
    </row>
    <row r="1534" spans="4:60">
      <c r="D1534" s="350"/>
      <c r="S1534" s="350"/>
      <c r="BF1534" s="350"/>
      <c r="BG1534" s="350"/>
      <c r="BH1534" s="350"/>
    </row>
    <row r="1535" spans="4:60">
      <c r="D1535" s="350"/>
      <c r="S1535" s="350"/>
      <c r="BF1535" s="350"/>
      <c r="BG1535" s="350"/>
      <c r="BH1535" s="350"/>
    </row>
    <row r="1536" spans="4:60">
      <c r="D1536" s="350"/>
      <c r="S1536" s="350"/>
      <c r="BF1536" s="350"/>
      <c r="BG1536" s="350"/>
      <c r="BH1536" s="350"/>
    </row>
    <row r="1537" spans="4:60">
      <c r="D1537" s="350"/>
      <c r="S1537" s="350"/>
      <c r="BF1537" s="350"/>
      <c r="BG1537" s="350"/>
      <c r="BH1537" s="350"/>
    </row>
    <row r="1538" spans="4:60">
      <c r="D1538" s="350"/>
      <c r="S1538" s="350"/>
      <c r="BF1538" s="350"/>
      <c r="BG1538" s="350"/>
      <c r="BH1538" s="350"/>
    </row>
    <row r="1539" spans="4:60">
      <c r="D1539" s="350"/>
      <c r="S1539" s="350"/>
      <c r="BF1539" s="350"/>
      <c r="BG1539" s="350"/>
      <c r="BH1539" s="350"/>
    </row>
    <row r="1540" spans="4:60">
      <c r="D1540" s="350"/>
      <c r="S1540" s="350"/>
      <c r="BF1540" s="350"/>
      <c r="BG1540" s="350"/>
      <c r="BH1540" s="350"/>
    </row>
    <row r="1541" spans="4:60">
      <c r="D1541" s="350"/>
      <c r="S1541" s="350"/>
      <c r="BF1541" s="350"/>
      <c r="BG1541" s="350"/>
      <c r="BH1541" s="350"/>
    </row>
    <row r="1542" spans="4:60">
      <c r="D1542" s="350"/>
      <c r="S1542" s="350"/>
      <c r="BF1542" s="350"/>
      <c r="BG1542" s="350"/>
      <c r="BH1542" s="350"/>
    </row>
    <row r="1543" spans="4:60">
      <c r="D1543" s="350"/>
      <c r="S1543" s="350"/>
      <c r="BF1543" s="350"/>
      <c r="BG1543" s="350"/>
      <c r="BH1543" s="350"/>
    </row>
    <row r="1544" spans="4:60">
      <c r="D1544" s="350"/>
      <c r="S1544" s="350"/>
      <c r="BF1544" s="350"/>
      <c r="BG1544" s="350"/>
      <c r="BH1544" s="350"/>
    </row>
    <row r="1545" spans="4:60">
      <c r="D1545" s="350"/>
      <c r="S1545" s="350"/>
      <c r="BF1545" s="350"/>
      <c r="BG1545" s="350"/>
      <c r="BH1545" s="350"/>
    </row>
    <row r="1546" spans="4:60">
      <c r="D1546" s="350"/>
      <c r="S1546" s="350"/>
      <c r="BF1546" s="350"/>
      <c r="BG1546" s="350"/>
      <c r="BH1546" s="350"/>
    </row>
    <row r="1547" spans="4:60">
      <c r="D1547" s="350"/>
      <c r="S1547" s="350"/>
      <c r="BF1547" s="350"/>
      <c r="BG1547" s="350"/>
      <c r="BH1547" s="350"/>
    </row>
    <row r="1548" spans="4:60">
      <c r="D1548" s="350"/>
      <c r="S1548" s="350"/>
      <c r="BF1548" s="350"/>
      <c r="BG1548" s="350"/>
      <c r="BH1548" s="350"/>
    </row>
    <row r="1549" spans="4:60">
      <c r="D1549" s="350"/>
      <c r="S1549" s="350"/>
      <c r="BF1549" s="350"/>
      <c r="BG1549" s="350"/>
      <c r="BH1549" s="350"/>
    </row>
    <row r="1550" spans="4:60">
      <c r="D1550" s="350"/>
      <c r="S1550" s="350"/>
      <c r="BF1550" s="350"/>
      <c r="BG1550" s="350"/>
      <c r="BH1550" s="350"/>
    </row>
    <row r="1551" spans="4:60">
      <c r="D1551" s="350"/>
      <c r="S1551" s="350"/>
      <c r="BF1551" s="350"/>
      <c r="BG1551" s="350"/>
      <c r="BH1551" s="350"/>
    </row>
    <row r="1552" spans="4:60">
      <c r="D1552" s="350"/>
      <c r="S1552" s="350"/>
      <c r="BF1552" s="350"/>
      <c r="BG1552" s="350"/>
      <c r="BH1552" s="350"/>
    </row>
    <row r="1553" spans="4:60">
      <c r="D1553" s="350"/>
      <c r="S1553" s="350"/>
      <c r="BF1553" s="350"/>
      <c r="BG1553" s="350"/>
      <c r="BH1553" s="350"/>
    </row>
    <row r="1554" spans="4:60">
      <c r="D1554" s="350"/>
      <c r="S1554" s="350"/>
      <c r="BF1554" s="350"/>
      <c r="BG1554" s="350"/>
      <c r="BH1554" s="350"/>
    </row>
    <row r="1555" spans="4:60">
      <c r="D1555" s="350"/>
      <c r="S1555" s="350"/>
      <c r="BF1555" s="350"/>
      <c r="BG1555" s="350"/>
      <c r="BH1555" s="350"/>
    </row>
    <row r="1556" spans="4:60">
      <c r="D1556" s="350"/>
      <c r="S1556" s="350"/>
      <c r="BF1556" s="350"/>
      <c r="BG1556" s="350"/>
      <c r="BH1556" s="350"/>
    </row>
    <row r="1557" spans="4:60">
      <c r="D1557" s="350"/>
      <c r="S1557" s="350"/>
      <c r="BF1557" s="350"/>
      <c r="BG1557" s="350"/>
      <c r="BH1557" s="350"/>
    </row>
    <row r="1558" spans="4:60">
      <c r="D1558" s="350"/>
      <c r="S1558" s="350"/>
      <c r="BF1558" s="350"/>
      <c r="BG1558" s="350"/>
      <c r="BH1558" s="350"/>
    </row>
    <row r="1559" spans="4:60">
      <c r="D1559" s="350"/>
      <c r="S1559" s="350"/>
      <c r="BF1559" s="350"/>
      <c r="BG1559" s="350"/>
      <c r="BH1559" s="350"/>
    </row>
    <row r="1560" spans="4:60">
      <c r="D1560" s="350"/>
      <c r="S1560" s="350"/>
      <c r="BF1560" s="350"/>
      <c r="BG1560" s="350"/>
      <c r="BH1560" s="350"/>
    </row>
    <row r="1561" spans="4:60">
      <c r="D1561" s="350"/>
      <c r="S1561" s="350"/>
      <c r="BF1561" s="350"/>
      <c r="BG1561" s="350"/>
      <c r="BH1561" s="350"/>
    </row>
    <row r="1562" spans="4:60">
      <c r="D1562" s="350"/>
      <c r="S1562" s="350"/>
      <c r="BF1562" s="350"/>
      <c r="BG1562" s="350"/>
      <c r="BH1562" s="350"/>
    </row>
    <row r="1563" spans="4:60">
      <c r="D1563" s="350"/>
      <c r="S1563" s="350"/>
      <c r="BF1563" s="350"/>
      <c r="BG1563" s="350"/>
      <c r="BH1563" s="350"/>
    </row>
    <row r="1564" spans="4:60">
      <c r="D1564" s="350"/>
      <c r="S1564" s="350"/>
      <c r="BF1564" s="350"/>
      <c r="BG1564" s="350"/>
      <c r="BH1564" s="350"/>
    </row>
    <row r="1565" spans="4:60">
      <c r="D1565" s="350"/>
      <c r="S1565" s="350"/>
      <c r="BF1565" s="350"/>
      <c r="BG1565" s="350"/>
      <c r="BH1565" s="350"/>
    </row>
    <row r="1566" spans="4:60">
      <c r="D1566" s="350"/>
      <c r="S1566" s="350"/>
      <c r="BF1566" s="350"/>
      <c r="BG1566" s="350"/>
      <c r="BH1566" s="350"/>
    </row>
    <row r="1567" spans="4:60">
      <c r="D1567" s="350"/>
      <c r="S1567" s="350"/>
      <c r="BF1567" s="350"/>
      <c r="BG1567" s="350"/>
      <c r="BH1567" s="350"/>
    </row>
    <row r="1568" spans="4:60">
      <c r="D1568" s="350"/>
      <c r="S1568" s="350"/>
      <c r="BF1568" s="350"/>
      <c r="BG1568" s="350"/>
      <c r="BH1568" s="350"/>
    </row>
    <row r="1569" spans="4:60">
      <c r="D1569" s="350"/>
      <c r="S1569" s="350"/>
      <c r="BF1569" s="350"/>
      <c r="BG1569" s="350"/>
      <c r="BH1569" s="350"/>
    </row>
    <row r="1570" spans="4:60">
      <c r="D1570" s="350"/>
      <c r="S1570" s="350"/>
      <c r="BF1570" s="350"/>
      <c r="BG1570" s="350"/>
      <c r="BH1570" s="350"/>
    </row>
    <row r="1571" spans="4:60">
      <c r="D1571" s="350"/>
      <c r="S1571" s="350"/>
      <c r="BF1571" s="350"/>
      <c r="BG1571" s="350"/>
      <c r="BH1571" s="350"/>
    </row>
    <row r="1572" spans="4:60">
      <c r="D1572" s="350"/>
      <c r="S1572" s="350"/>
      <c r="BF1572" s="350"/>
      <c r="BG1572" s="350"/>
      <c r="BH1572" s="350"/>
    </row>
    <row r="1573" spans="4:60">
      <c r="D1573" s="350"/>
      <c r="S1573" s="350"/>
      <c r="BF1573" s="350"/>
      <c r="BG1573" s="350"/>
      <c r="BH1573" s="350"/>
    </row>
    <row r="1574" spans="4:60">
      <c r="D1574" s="350"/>
      <c r="S1574" s="350"/>
      <c r="BF1574" s="350"/>
      <c r="BG1574" s="350"/>
      <c r="BH1574" s="350"/>
    </row>
    <row r="1575" spans="4:60">
      <c r="D1575" s="350"/>
      <c r="S1575" s="350"/>
      <c r="BF1575" s="350"/>
      <c r="BG1575" s="350"/>
      <c r="BH1575" s="350"/>
    </row>
    <row r="1576" spans="4:60">
      <c r="D1576" s="350"/>
      <c r="S1576" s="350"/>
      <c r="BF1576" s="350"/>
      <c r="BG1576" s="350"/>
      <c r="BH1576" s="350"/>
    </row>
    <row r="1577" spans="4:60">
      <c r="D1577" s="350"/>
      <c r="S1577" s="350"/>
      <c r="BF1577" s="350"/>
      <c r="BG1577" s="350"/>
      <c r="BH1577" s="350"/>
    </row>
    <row r="1578" spans="4:60">
      <c r="D1578" s="350"/>
      <c r="S1578" s="350"/>
      <c r="BF1578" s="350"/>
      <c r="BG1578" s="350"/>
      <c r="BH1578" s="350"/>
    </row>
    <row r="1579" spans="4:60">
      <c r="D1579" s="350"/>
      <c r="S1579" s="350"/>
      <c r="BF1579" s="350"/>
      <c r="BG1579" s="350"/>
      <c r="BH1579" s="350"/>
    </row>
    <row r="1580" spans="4:60">
      <c r="D1580" s="350"/>
      <c r="S1580" s="350"/>
      <c r="BF1580" s="350"/>
      <c r="BG1580" s="350"/>
      <c r="BH1580" s="350"/>
    </row>
    <row r="1581" spans="4:60">
      <c r="D1581" s="350"/>
      <c r="S1581" s="350"/>
      <c r="BF1581" s="350"/>
      <c r="BG1581" s="350"/>
      <c r="BH1581" s="350"/>
    </row>
    <row r="1582" spans="4:60">
      <c r="D1582" s="350"/>
      <c r="S1582" s="350"/>
      <c r="BF1582" s="350"/>
      <c r="BG1582" s="350"/>
      <c r="BH1582" s="350"/>
    </row>
    <row r="1583" spans="4:60">
      <c r="D1583" s="350"/>
      <c r="S1583" s="350"/>
      <c r="BF1583" s="350"/>
      <c r="BG1583" s="350"/>
      <c r="BH1583" s="350"/>
    </row>
    <row r="1584" spans="4:60">
      <c r="D1584" s="350"/>
      <c r="S1584" s="350"/>
      <c r="BF1584" s="350"/>
      <c r="BG1584" s="350"/>
      <c r="BH1584" s="350"/>
    </row>
    <row r="1585" spans="4:60">
      <c r="D1585" s="350"/>
      <c r="S1585" s="350"/>
      <c r="BF1585" s="350"/>
      <c r="BG1585" s="350"/>
      <c r="BH1585" s="350"/>
    </row>
    <row r="1586" spans="4:60">
      <c r="D1586" s="350"/>
      <c r="S1586" s="350"/>
      <c r="BF1586" s="350"/>
      <c r="BG1586" s="350"/>
      <c r="BH1586" s="350"/>
    </row>
    <row r="1587" spans="4:60">
      <c r="D1587" s="350"/>
      <c r="S1587" s="350"/>
      <c r="BF1587" s="350"/>
      <c r="BG1587" s="350"/>
      <c r="BH1587" s="350"/>
    </row>
    <row r="1588" spans="4:60">
      <c r="D1588" s="350"/>
      <c r="S1588" s="350"/>
      <c r="BF1588" s="350"/>
      <c r="BG1588" s="350"/>
      <c r="BH1588" s="350"/>
    </row>
    <row r="1589" spans="4:60">
      <c r="D1589" s="350"/>
      <c r="S1589" s="350"/>
      <c r="BF1589" s="350"/>
      <c r="BG1589" s="350"/>
      <c r="BH1589" s="350"/>
    </row>
    <row r="1590" spans="4:60">
      <c r="D1590" s="350"/>
      <c r="S1590" s="350"/>
      <c r="BF1590" s="350"/>
      <c r="BG1590" s="350"/>
      <c r="BH1590" s="350"/>
    </row>
    <row r="1591" spans="4:60">
      <c r="D1591" s="350"/>
      <c r="S1591" s="350"/>
      <c r="BF1591" s="350"/>
      <c r="BG1591" s="350"/>
      <c r="BH1591" s="350"/>
    </row>
    <row r="1592" spans="4:60">
      <c r="D1592" s="350"/>
      <c r="S1592" s="350"/>
      <c r="BF1592" s="350"/>
      <c r="BG1592" s="350"/>
      <c r="BH1592" s="350"/>
    </row>
    <row r="1593" spans="4:60">
      <c r="D1593" s="350"/>
      <c r="S1593" s="350"/>
      <c r="BF1593" s="350"/>
      <c r="BG1593" s="350"/>
      <c r="BH1593" s="350"/>
    </row>
    <row r="1594" spans="4:60">
      <c r="D1594" s="350"/>
      <c r="S1594" s="350"/>
      <c r="BF1594" s="350"/>
      <c r="BG1594" s="350"/>
      <c r="BH1594" s="350"/>
    </row>
    <row r="1595" spans="4:60">
      <c r="D1595" s="350"/>
      <c r="S1595" s="350"/>
      <c r="BF1595" s="350"/>
      <c r="BG1595" s="350"/>
      <c r="BH1595" s="350"/>
    </row>
    <row r="1596" spans="4:60">
      <c r="D1596" s="350"/>
      <c r="S1596" s="350"/>
      <c r="BF1596" s="350"/>
      <c r="BG1596" s="350"/>
      <c r="BH1596" s="350"/>
    </row>
    <row r="1597" spans="4:60">
      <c r="D1597" s="350"/>
      <c r="S1597" s="350"/>
      <c r="BF1597" s="350"/>
      <c r="BG1597" s="350"/>
      <c r="BH1597" s="350"/>
    </row>
    <row r="1598" spans="4:60">
      <c r="D1598" s="350"/>
      <c r="S1598" s="350"/>
      <c r="BF1598" s="350"/>
      <c r="BG1598" s="350"/>
      <c r="BH1598" s="350"/>
    </row>
    <row r="1599" spans="4:60">
      <c r="D1599" s="350"/>
      <c r="S1599" s="350"/>
      <c r="BF1599" s="350"/>
      <c r="BG1599" s="350"/>
      <c r="BH1599" s="350"/>
    </row>
    <row r="1600" spans="4:60">
      <c r="D1600" s="350"/>
      <c r="S1600" s="350"/>
      <c r="BF1600" s="350"/>
      <c r="BG1600" s="350"/>
      <c r="BH1600" s="350"/>
    </row>
    <row r="1601" spans="4:60">
      <c r="D1601" s="350"/>
      <c r="S1601" s="350"/>
      <c r="BF1601" s="350"/>
      <c r="BG1601" s="350"/>
      <c r="BH1601" s="350"/>
    </row>
    <row r="1602" spans="4:60">
      <c r="D1602" s="350"/>
      <c r="S1602" s="350"/>
      <c r="BF1602" s="350"/>
      <c r="BG1602" s="350"/>
      <c r="BH1602" s="350"/>
    </row>
    <row r="1603" spans="4:60">
      <c r="D1603" s="350"/>
      <c r="S1603" s="350"/>
      <c r="BF1603" s="350"/>
      <c r="BG1603" s="350"/>
      <c r="BH1603" s="350"/>
    </row>
    <row r="1604" spans="4:60">
      <c r="D1604" s="350"/>
      <c r="S1604" s="350"/>
      <c r="BF1604" s="350"/>
      <c r="BG1604" s="350"/>
      <c r="BH1604" s="350"/>
    </row>
    <row r="1605" spans="4:60">
      <c r="D1605" s="350"/>
      <c r="S1605" s="350"/>
      <c r="BF1605" s="350"/>
      <c r="BG1605" s="350"/>
      <c r="BH1605" s="350"/>
    </row>
    <row r="1606" spans="4:60">
      <c r="D1606" s="350"/>
      <c r="S1606" s="350"/>
      <c r="BF1606" s="350"/>
      <c r="BG1606" s="350"/>
      <c r="BH1606" s="350"/>
    </row>
    <row r="1607" spans="4:60">
      <c r="D1607" s="350"/>
      <c r="S1607" s="350"/>
      <c r="BF1607" s="350"/>
      <c r="BG1607" s="350"/>
      <c r="BH1607" s="350"/>
    </row>
    <row r="1608" spans="4:60">
      <c r="D1608" s="350"/>
      <c r="S1608" s="350"/>
      <c r="BF1608" s="350"/>
      <c r="BG1608" s="350"/>
      <c r="BH1608" s="350"/>
    </row>
    <row r="1609" spans="4:60">
      <c r="D1609" s="350"/>
      <c r="S1609" s="350"/>
      <c r="BF1609" s="350"/>
      <c r="BG1609" s="350"/>
      <c r="BH1609" s="350"/>
    </row>
    <row r="1620" spans="4:60">
      <c r="D1620" s="350"/>
      <c r="S1620" s="350"/>
      <c r="BF1620" s="350"/>
      <c r="BG1620" s="350"/>
      <c r="BH1620" s="350"/>
    </row>
    <row r="1621" spans="4:60">
      <c r="D1621" s="350"/>
      <c r="S1621" s="350"/>
      <c r="BF1621" s="350"/>
      <c r="BG1621" s="350"/>
      <c r="BH1621" s="350"/>
    </row>
    <row r="1622" spans="4:60">
      <c r="D1622" s="350"/>
      <c r="S1622" s="350"/>
      <c r="BF1622" s="350"/>
      <c r="BG1622" s="350"/>
      <c r="BH1622" s="350"/>
    </row>
    <row r="1623" spans="4:60">
      <c r="D1623" s="350"/>
      <c r="S1623" s="350"/>
      <c r="BF1623" s="350"/>
      <c r="BG1623" s="350"/>
      <c r="BH1623" s="350"/>
    </row>
    <row r="1624" spans="4:60">
      <c r="D1624" s="350"/>
      <c r="S1624" s="350"/>
      <c r="BF1624" s="350"/>
      <c r="BG1624" s="350"/>
      <c r="BH1624" s="350"/>
    </row>
    <row r="1625" spans="4:60">
      <c r="D1625" s="350"/>
      <c r="S1625" s="350"/>
      <c r="BF1625" s="350"/>
      <c r="BG1625" s="350"/>
      <c r="BH1625" s="350"/>
    </row>
    <row r="1626" spans="4:60">
      <c r="D1626" s="350"/>
      <c r="S1626" s="350"/>
      <c r="BF1626" s="350"/>
      <c r="BG1626" s="350"/>
      <c r="BH1626" s="350"/>
    </row>
    <row r="1627" spans="4:60">
      <c r="D1627" s="350"/>
      <c r="S1627" s="350"/>
      <c r="BF1627" s="350"/>
      <c r="BG1627" s="350"/>
      <c r="BH1627" s="350"/>
    </row>
    <row r="1628" spans="4:60">
      <c r="D1628" s="350"/>
      <c r="S1628" s="350"/>
      <c r="BF1628" s="350"/>
      <c r="BG1628" s="350"/>
      <c r="BH1628" s="350"/>
    </row>
    <row r="1629" spans="4:60">
      <c r="D1629" s="350"/>
      <c r="S1629" s="350"/>
      <c r="BF1629" s="350"/>
      <c r="BG1629" s="350"/>
      <c r="BH1629" s="350"/>
    </row>
    <row r="1630" spans="4:60">
      <c r="D1630" s="350"/>
      <c r="S1630" s="350"/>
      <c r="BF1630" s="350"/>
      <c r="BG1630" s="350"/>
      <c r="BH1630" s="350"/>
    </row>
    <row r="1631" spans="4:60">
      <c r="D1631" s="350"/>
      <c r="S1631" s="350"/>
      <c r="BF1631" s="350"/>
      <c r="BG1631" s="350"/>
      <c r="BH1631" s="350"/>
    </row>
    <row r="1632" spans="4:60">
      <c r="D1632" s="350"/>
      <c r="S1632" s="350"/>
      <c r="BF1632" s="350"/>
      <c r="BG1632" s="350"/>
      <c r="BH1632" s="350"/>
    </row>
    <row r="1633" spans="4:60">
      <c r="D1633" s="350"/>
      <c r="S1633" s="350"/>
      <c r="BF1633" s="350"/>
      <c r="BG1633" s="350"/>
      <c r="BH1633" s="350"/>
    </row>
    <row r="1634" spans="4:60">
      <c r="D1634" s="350"/>
      <c r="S1634" s="350"/>
      <c r="BF1634" s="350"/>
      <c r="BG1634" s="350"/>
      <c r="BH1634" s="350"/>
    </row>
    <row r="1635" spans="4:60">
      <c r="D1635" s="350"/>
      <c r="S1635" s="350"/>
      <c r="BF1635" s="350"/>
      <c r="BG1635" s="350"/>
      <c r="BH1635" s="350"/>
    </row>
    <row r="1636" spans="4:60">
      <c r="D1636" s="350"/>
      <c r="S1636" s="350"/>
      <c r="BF1636" s="350"/>
      <c r="BG1636" s="350"/>
      <c r="BH1636" s="350"/>
    </row>
    <row r="1637" spans="4:60">
      <c r="D1637" s="350"/>
      <c r="S1637" s="350"/>
      <c r="BF1637" s="350"/>
      <c r="BG1637" s="350"/>
      <c r="BH1637" s="350"/>
    </row>
    <row r="1638" spans="4:60">
      <c r="D1638" s="350"/>
      <c r="S1638" s="350"/>
      <c r="BF1638" s="350"/>
      <c r="BG1638" s="350"/>
      <c r="BH1638" s="350"/>
    </row>
    <row r="1639" spans="4:60">
      <c r="D1639" s="350"/>
      <c r="S1639" s="350"/>
      <c r="BF1639" s="350"/>
      <c r="BG1639" s="350"/>
      <c r="BH1639" s="350"/>
    </row>
    <row r="1640" spans="4:60">
      <c r="D1640" s="350"/>
      <c r="S1640" s="350"/>
      <c r="BF1640" s="350"/>
      <c r="BG1640" s="350"/>
      <c r="BH1640" s="350"/>
    </row>
    <row r="1641" spans="4:60">
      <c r="D1641" s="350"/>
      <c r="S1641" s="350"/>
      <c r="BF1641" s="350"/>
      <c r="BG1641" s="350"/>
      <c r="BH1641" s="350"/>
    </row>
    <row r="1642" spans="4:60">
      <c r="D1642" s="350"/>
      <c r="S1642" s="350"/>
      <c r="BF1642" s="350"/>
      <c r="BG1642" s="350"/>
      <c r="BH1642" s="350"/>
    </row>
    <row r="1643" spans="4:60">
      <c r="D1643" s="350"/>
      <c r="S1643" s="350"/>
      <c r="BF1643" s="350"/>
      <c r="BG1643" s="350"/>
      <c r="BH1643" s="350"/>
    </row>
    <row r="1644" spans="4:60">
      <c r="D1644" s="350"/>
      <c r="S1644" s="350"/>
      <c r="BF1644" s="350"/>
      <c r="BG1644" s="350"/>
      <c r="BH1644" s="350"/>
    </row>
    <row r="1645" spans="4:60">
      <c r="D1645" s="350"/>
      <c r="S1645" s="350"/>
      <c r="BF1645" s="350"/>
      <c r="BG1645" s="350"/>
      <c r="BH1645" s="350"/>
    </row>
    <row r="1646" spans="4:60">
      <c r="D1646" s="350"/>
      <c r="S1646" s="350"/>
      <c r="BF1646" s="350"/>
      <c r="BG1646" s="350"/>
      <c r="BH1646" s="350"/>
    </row>
    <row r="1647" spans="4:60">
      <c r="D1647" s="350"/>
      <c r="S1647" s="350"/>
      <c r="BF1647" s="350"/>
      <c r="BG1647" s="350"/>
      <c r="BH1647" s="350"/>
    </row>
    <row r="1648" spans="4:60">
      <c r="D1648" s="350"/>
      <c r="S1648" s="350"/>
      <c r="BF1648" s="350"/>
      <c r="BG1648" s="350"/>
      <c r="BH1648" s="350"/>
    </row>
    <row r="1649" spans="4:60">
      <c r="D1649" s="350"/>
      <c r="S1649" s="350"/>
      <c r="BF1649" s="350"/>
      <c r="BG1649" s="350"/>
      <c r="BH1649" s="350"/>
    </row>
    <row r="1650" spans="4:60">
      <c r="D1650" s="350"/>
      <c r="S1650" s="350"/>
      <c r="BF1650" s="350"/>
      <c r="BG1650" s="350"/>
      <c r="BH1650" s="350"/>
    </row>
    <row r="1651" spans="4:60">
      <c r="D1651" s="350"/>
      <c r="S1651" s="350"/>
      <c r="BF1651" s="350"/>
      <c r="BG1651" s="350"/>
      <c r="BH1651" s="350"/>
    </row>
    <row r="1652" spans="4:60">
      <c r="D1652" s="350"/>
      <c r="S1652" s="350"/>
      <c r="BF1652" s="350"/>
      <c r="BG1652" s="350"/>
      <c r="BH1652" s="350"/>
    </row>
    <row r="1653" spans="4:60">
      <c r="D1653" s="350"/>
      <c r="S1653" s="350"/>
      <c r="BF1653" s="350"/>
      <c r="BG1653" s="350"/>
      <c r="BH1653" s="350"/>
    </row>
    <row r="1654" spans="4:60">
      <c r="D1654" s="350"/>
      <c r="S1654" s="350"/>
      <c r="BF1654" s="350"/>
      <c r="BG1654" s="350"/>
      <c r="BH1654" s="350"/>
    </row>
    <row r="1655" spans="4:60">
      <c r="D1655" s="350"/>
      <c r="S1655" s="350"/>
      <c r="BF1655" s="350"/>
      <c r="BG1655" s="350"/>
      <c r="BH1655" s="350"/>
    </row>
    <row r="1656" spans="4:60">
      <c r="D1656" s="350"/>
      <c r="S1656" s="350"/>
      <c r="BF1656" s="350"/>
      <c r="BG1656" s="350"/>
      <c r="BH1656" s="350"/>
    </row>
    <row r="1657" spans="4:60">
      <c r="D1657" s="350"/>
      <c r="S1657" s="350"/>
      <c r="BF1657" s="350"/>
      <c r="BG1657" s="350"/>
      <c r="BH1657" s="350"/>
    </row>
    <row r="1658" spans="4:60">
      <c r="D1658" s="350"/>
      <c r="S1658" s="350"/>
      <c r="BF1658" s="350"/>
      <c r="BG1658" s="350"/>
      <c r="BH1658" s="350"/>
    </row>
    <row r="1659" spans="4:60">
      <c r="D1659" s="350"/>
      <c r="S1659" s="350"/>
      <c r="BF1659" s="350"/>
      <c r="BG1659" s="350"/>
      <c r="BH1659" s="350"/>
    </row>
    <row r="1660" spans="4:60">
      <c r="D1660" s="350"/>
      <c r="S1660" s="350"/>
      <c r="BF1660" s="350"/>
      <c r="BG1660" s="350"/>
      <c r="BH1660" s="350"/>
    </row>
    <row r="1661" spans="4:60">
      <c r="D1661" s="350"/>
      <c r="S1661" s="350"/>
      <c r="BF1661" s="350"/>
      <c r="BG1661" s="350"/>
      <c r="BH1661" s="350"/>
    </row>
    <row r="1662" spans="4:60">
      <c r="D1662" s="350"/>
      <c r="S1662" s="350"/>
      <c r="BF1662" s="350"/>
      <c r="BG1662" s="350"/>
      <c r="BH1662" s="350"/>
    </row>
    <row r="1663" spans="4:60">
      <c r="D1663" s="350"/>
      <c r="S1663" s="350"/>
      <c r="BF1663" s="350"/>
      <c r="BG1663" s="350"/>
      <c r="BH1663" s="350"/>
    </row>
    <row r="1664" spans="4:60">
      <c r="D1664" s="350"/>
      <c r="S1664" s="350"/>
      <c r="BF1664" s="350"/>
      <c r="BG1664" s="350"/>
      <c r="BH1664" s="350"/>
    </row>
    <row r="1665" spans="4:60">
      <c r="D1665" s="350"/>
      <c r="S1665" s="350"/>
      <c r="BF1665" s="350"/>
      <c r="BG1665" s="350"/>
      <c r="BH1665" s="350"/>
    </row>
    <row r="1666" spans="4:60">
      <c r="D1666" s="350"/>
      <c r="S1666" s="350"/>
      <c r="BF1666" s="350"/>
      <c r="BG1666" s="350"/>
      <c r="BH1666" s="350"/>
    </row>
    <row r="1667" spans="4:60">
      <c r="D1667" s="350"/>
      <c r="S1667" s="350"/>
      <c r="BF1667" s="350"/>
      <c r="BG1667" s="350"/>
      <c r="BH1667" s="350"/>
    </row>
    <row r="1668" spans="4:60">
      <c r="D1668" s="350"/>
      <c r="S1668" s="350"/>
      <c r="BF1668" s="350"/>
      <c r="BG1668" s="350"/>
      <c r="BH1668" s="350"/>
    </row>
    <row r="1669" spans="4:60">
      <c r="D1669" s="350"/>
      <c r="S1669" s="350"/>
      <c r="BF1669" s="350"/>
      <c r="BG1669" s="350"/>
      <c r="BH1669" s="350"/>
    </row>
    <row r="1670" spans="4:60">
      <c r="D1670" s="350"/>
      <c r="S1670" s="350"/>
      <c r="BF1670" s="350"/>
      <c r="BG1670" s="350"/>
      <c r="BH1670" s="350"/>
    </row>
    <row r="1671" spans="4:60">
      <c r="D1671" s="350"/>
      <c r="S1671" s="350"/>
      <c r="BF1671" s="350"/>
      <c r="BG1671" s="350"/>
      <c r="BH1671" s="350"/>
    </row>
    <row r="1672" spans="4:60">
      <c r="D1672" s="350"/>
      <c r="S1672" s="350"/>
      <c r="BF1672" s="350"/>
      <c r="BG1672" s="350"/>
      <c r="BH1672" s="350"/>
    </row>
    <row r="1673" spans="4:60">
      <c r="D1673" s="350"/>
      <c r="S1673" s="350"/>
      <c r="BF1673" s="350"/>
      <c r="BG1673" s="350"/>
      <c r="BH1673" s="350"/>
    </row>
    <row r="1674" spans="4:60">
      <c r="D1674" s="350"/>
      <c r="S1674" s="350"/>
      <c r="BF1674" s="350"/>
      <c r="BG1674" s="350"/>
      <c r="BH1674" s="350"/>
    </row>
    <row r="1675" spans="4:60">
      <c r="D1675" s="350"/>
      <c r="S1675" s="350"/>
      <c r="BF1675" s="350"/>
      <c r="BG1675" s="350"/>
      <c r="BH1675" s="350"/>
    </row>
    <row r="1676" spans="4:60">
      <c r="D1676" s="350"/>
      <c r="S1676" s="350"/>
      <c r="BF1676" s="350"/>
      <c r="BG1676" s="350"/>
      <c r="BH1676" s="350"/>
    </row>
    <row r="1677" spans="4:60">
      <c r="D1677" s="350"/>
      <c r="S1677" s="350"/>
      <c r="BF1677" s="350"/>
      <c r="BG1677" s="350"/>
      <c r="BH1677" s="350"/>
    </row>
    <row r="1678" spans="4:60">
      <c r="D1678" s="350"/>
      <c r="S1678" s="350"/>
      <c r="BF1678" s="350"/>
      <c r="BG1678" s="350"/>
      <c r="BH1678" s="350"/>
    </row>
    <row r="1679" spans="4:60">
      <c r="D1679" s="350"/>
      <c r="S1679" s="350"/>
      <c r="BF1679" s="350"/>
      <c r="BG1679" s="350"/>
      <c r="BH1679" s="350"/>
    </row>
    <row r="1680" spans="4:60">
      <c r="D1680" s="350"/>
      <c r="S1680" s="350"/>
      <c r="BF1680" s="350"/>
      <c r="BG1680" s="350"/>
      <c r="BH1680" s="350"/>
    </row>
    <row r="1681" spans="4:60">
      <c r="D1681" s="350"/>
      <c r="S1681" s="350"/>
      <c r="BF1681" s="350"/>
      <c r="BG1681" s="350"/>
      <c r="BH1681" s="350"/>
    </row>
    <row r="1682" spans="4:60">
      <c r="D1682" s="350"/>
      <c r="S1682" s="350"/>
      <c r="BF1682" s="350"/>
      <c r="BG1682" s="350"/>
      <c r="BH1682" s="350"/>
    </row>
    <row r="1683" spans="4:60">
      <c r="D1683" s="350"/>
      <c r="S1683" s="350"/>
      <c r="BF1683" s="350"/>
      <c r="BG1683" s="350"/>
      <c r="BH1683" s="350"/>
    </row>
    <row r="1684" spans="4:60">
      <c r="D1684" s="350"/>
      <c r="S1684" s="350"/>
      <c r="BF1684" s="350"/>
      <c r="BG1684" s="350"/>
      <c r="BH1684" s="350"/>
    </row>
    <row r="1685" spans="4:60">
      <c r="D1685" s="350"/>
      <c r="S1685" s="350"/>
      <c r="BF1685" s="350"/>
      <c r="BG1685" s="350"/>
      <c r="BH1685" s="350"/>
    </row>
    <row r="1686" spans="4:60">
      <c r="D1686" s="350"/>
      <c r="S1686" s="350"/>
      <c r="BF1686" s="350"/>
      <c r="BG1686" s="350"/>
      <c r="BH1686" s="350"/>
    </row>
    <row r="1687" spans="4:60">
      <c r="D1687" s="350"/>
      <c r="S1687" s="350"/>
      <c r="BF1687" s="350"/>
      <c r="BG1687" s="350"/>
      <c r="BH1687" s="350"/>
    </row>
    <row r="1688" spans="4:60">
      <c r="D1688" s="350"/>
      <c r="S1688" s="350"/>
      <c r="BF1688" s="350"/>
      <c r="BG1688" s="350"/>
      <c r="BH1688" s="350"/>
    </row>
    <row r="1689" spans="4:60">
      <c r="D1689" s="350"/>
      <c r="S1689" s="350"/>
      <c r="BF1689" s="350"/>
      <c r="BG1689" s="350"/>
      <c r="BH1689" s="350"/>
    </row>
    <row r="1690" spans="4:60">
      <c r="D1690" s="350"/>
      <c r="S1690" s="350"/>
      <c r="BF1690" s="350"/>
      <c r="BG1690" s="350"/>
      <c r="BH1690" s="350"/>
    </row>
    <row r="1691" spans="4:60">
      <c r="D1691" s="350"/>
      <c r="S1691" s="350"/>
      <c r="BF1691" s="350"/>
      <c r="BG1691" s="350"/>
      <c r="BH1691" s="350"/>
    </row>
    <row r="1692" spans="4:60">
      <c r="D1692" s="350"/>
      <c r="S1692" s="350"/>
      <c r="BF1692" s="350"/>
      <c r="BG1692" s="350"/>
      <c r="BH1692" s="350"/>
    </row>
    <row r="1693" spans="4:60">
      <c r="D1693" s="350"/>
      <c r="S1693" s="350"/>
      <c r="BF1693" s="350"/>
      <c r="BG1693" s="350"/>
      <c r="BH1693" s="350"/>
    </row>
    <row r="1694" spans="4:60">
      <c r="D1694" s="350"/>
      <c r="S1694" s="350"/>
      <c r="BF1694" s="350"/>
      <c r="BG1694" s="350"/>
      <c r="BH1694" s="350"/>
    </row>
    <row r="1695" spans="4:60">
      <c r="D1695" s="350"/>
      <c r="S1695" s="350"/>
      <c r="BF1695" s="350"/>
      <c r="BG1695" s="350"/>
      <c r="BH1695" s="350"/>
    </row>
    <row r="1696" spans="4:60">
      <c r="D1696" s="350"/>
      <c r="S1696" s="350"/>
      <c r="BF1696" s="350"/>
      <c r="BG1696" s="350"/>
      <c r="BH1696" s="350"/>
    </row>
    <row r="1697" spans="4:60">
      <c r="D1697" s="350"/>
      <c r="S1697" s="350"/>
      <c r="BF1697" s="350"/>
      <c r="BG1697" s="350"/>
      <c r="BH1697" s="350"/>
    </row>
    <row r="1698" spans="4:60">
      <c r="D1698" s="350"/>
      <c r="S1698" s="350"/>
      <c r="BF1698" s="350"/>
      <c r="BG1698" s="350"/>
      <c r="BH1698" s="350"/>
    </row>
    <row r="1699" spans="4:60">
      <c r="D1699" s="350"/>
      <c r="S1699" s="350"/>
      <c r="BF1699" s="350"/>
      <c r="BG1699" s="350"/>
      <c r="BH1699" s="350"/>
    </row>
    <row r="1700" spans="4:60">
      <c r="D1700" s="350"/>
      <c r="S1700" s="350"/>
      <c r="BF1700" s="350"/>
      <c r="BG1700" s="350"/>
      <c r="BH1700" s="350"/>
    </row>
    <row r="1701" spans="4:60">
      <c r="D1701" s="350"/>
      <c r="S1701" s="350"/>
      <c r="BF1701" s="350"/>
      <c r="BG1701" s="350"/>
      <c r="BH1701" s="350"/>
    </row>
    <row r="1702" spans="4:60">
      <c r="D1702" s="350"/>
      <c r="S1702" s="350"/>
      <c r="BF1702" s="350"/>
      <c r="BG1702" s="350"/>
      <c r="BH1702" s="350"/>
    </row>
    <row r="1703" spans="4:60">
      <c r="D1703" s="350"/>
      <c r="S1703" s="350"/>
      <c r="BF1703" s="350"/>
      <c r="BG1703" s="350"/>
      <c r="BH1703" s="350"/>
    </row>
    <row r="1704" spans="4:60">
      <c r="D1704" s="350"/>
      <c r="S1704" s="350"/>
      <c r="BF1704" s="350"/>
      <c r="BG1704" s="350"/>
      <c r="BH1704" s="350"/>
    </row>
    <row r="1705" spans="4:60">
      <c r="D1705" s="350"/>
      <c r="S1705" s="350"/>
      <c r="BF1705" s="350"/>
      <c r="BG1705" s="350"/>
      <c r="BH1705" s="350"/>
    </row>
    <row r="1706" spans="4:60">
      <c r="D1706" s="350"/>
      <c r="S1706" s="350"/>
      <c r="BF1706" s="350"/>
      <c r="BG1706" s="350"/>
      <c r="BH1706" s="350"/>
    </row>
    <row r="1707" spans="4:60">
      <c r="D1707" s="350"/>
      <c r="S1707" s="350"/>
      <c r="BF1707" s="350"/>
      <c r="BG1707" s="350"/>
      <c r="BH1707" s="350"/>
    </row>
    <row r="1708" spans="4:60">
      <c r="D1708" s="350"/>
      <c r="S1708" s="350"/>
      <c r="BF1708" s="350"/>
      <c r="BG1708" s="350"/>
      <c r="BH1708" s="350"/>
    </row>
    <row r="1709" spans="4:60">
      <c r="D1709" s="350"/>
      <c r="S1709" s="350"/>
      <c r="BF1709" s="350"/>
      <c r="BG1709" s="350"/>
      <c r="BH1709" s="350"/>
    </row>
    <row r="1710" spans="4:60">
      <c r="D1710" s="350"/>
      <c r="S1710" s="350"/>
      <c r="BF1710" s="350"/>
      <c r="BG1710" s="350"/>
      <c r="BH1710" s="350"/>
    </row>
    <row r="1711" spans="4:60">
      <c r="D1711" s="350"/>
      <c r="S1711" s="350"/>
      <c r="BF1711" s="350"/>
      <c r="BG1711" s="350"/>
      <c r="BH1711" s="350"/>
    </row>
    <row r="1712" spans="4:60">
      <c r="D1712" s="350"/>
      <c r="S1712" s="350"/>
      <c r="BF1712" s="350"/>
      <c r="BG1712" s="350"/>
      <c r="BH1712" s="350"/>
    </row>
    <row r="1713" spans="4:60">
      <c r="D1713" s="350"/>
      <c r="S1713" s="350"/>
      <c r="BF1713" s="350"/>
      <c r="BG1713" s="350"/>
      <c r="BH1713" s="350"/>
    </row>
    <row r="1714" spans="4:60">
      <c r="D1714" s="350"/>
      <c r="S1714" s="350"/>
      <c r="BF1714" s="350"/>
      <c r="BG1714" s="350"/>
      <c r="BH1714" s="350"/>
    </row>
    <row r="1715" spans="4:60">
      <c r="D1715" s="350"/>
      <c r="S1715" s="350"/>
      <c r="BF1715" s="350"/>
      <c r="BG1715" s="350"/>
      <c r="BH1715" s="350"/>
    </row>
    <row r="1716" spans="4:60">
      <c r="D1716" s="350"/>
      <c r="S1716" s="350"/>
      <c r="BF1716" s="350"/>
      <c r="BG1716" s="350"/>
      <c r="BH1716" s="350"/>
    </row>
    <row r="1717" spans="4:60">
      <c r="D1717" s="350"/>
      <c r="S1717" s="350"/>
      <c r="BF1717" s="350"/>
      <c r="BG1717" s="350"/>
      <c r="BH1717" s="350"/>
    </row>
    <row r="1718" spans="4:60">
      <c r="D1718" s="350"/>
      <c r="S1718" s="350"/>
      <c r="BF1718" s="350"/>
      <c r="BG1718" s="350"/>
      <c r="BH1718" s="350"/>
    </row>
    <row r="1719" spans="4:60">
      <c r="D1719" s="350"/>
      <c r="S1719" s="350"/>
      <c r="BF1719" s="350"/>
      <c r="BG1719" s="350"/>
      <c r="BH1719" s="350"/>
    </row>
    <row r="1720" spans="4:60">
      <c r="D1720" s="350"/>
      <c r="S1720" s="350"/>
      <c r="BF1720" s="350"/>
      <c r="BG1720" s="350"/>
      <c r="BH1720" s="350"/>
    </row>
    <row r="1721" spans="4:60">
      <c r="D1721" s="350"/>
      <c r="S1721" s="350"/>
      <c r="BF1721" s="350"/>
      <c r="BG1721" s="350"/>
      <c r="BH1721" s="350"/>
    </row>
    <row r="1722" spans="4:60">
      <c r="D1722" s="350"/>
      <c r="S1722" s="350"/>
      <c r="BF1722" s="350"/>
      <c r="BG1722" s="350"/>
      <c r="BH1722" s="350"/>
    </row>
    <row r="1723" spans="4:60">
      <c r="D1723" s="350"/>
      <c r="S1723" s="350"/>
      <c r="BF1723" s="350"/>
      <c r="BG1723" s="350"/>
      <c r="BH1723" s="350"/>
    </row>
    <row r="1724" spans="4:60">
      <c r="D1724" s="350"/>
      <c r="S1724" s="350"/>
      <c r="BF1724" s="350"/>
      <c r="BG1724" s="350"/>
      <c r="BH1724" s="350"/>
    </row>
    <row r="1725" spans="4:60">
      <c r="D1725" s="350"/>
      <c r="S1725" s="350"/>
      <c r="BF1725" s="350"/>
      <c r="BG1725" s="350"/>
      <c r="BH1725" s="350"/>
    </row>
    <row r="1726" spans="4:60">
      <c r="D1726" s="350"/>
      <c r="S1726" s="350"/>
      <c r="BF1726" s="350"/>
      <c r="BG1726" s="350"/>
      <c r="BH1726" s="350"/>
    </row>
    <row r="1727" spans="4:60">
      <c r="D1727" s="350"/>
      <c r="S1727" s="350"/>
      <c r="BF1727" s="350"/>
      <c r="BG1727" s="350"/>
      <c r="BH1727" s="350"/>
    </row>
    <row r="1728" spans="4:60">
      <c r="D1728" s="350"/>
      <c r="S1728" s="350"/>
      <c r="BF1728" s="350"/>
      <c r="BG1728" s="350"/>
      <c r="BH1728" s="350"/>
    </row>
    <row r="1729" spans="4:60">
      <c r="D1729" s="350"/>
      <c r="S1729" s="350"/>
      <c r="BF1729" s="350"/>
      <c r="BG1729" s="350"/>
      <c r="BH1729" s="350"/>
    </row>
    <row r="1730" spans="4:60">
      <c r="D1730" s="350"/>
      <c r="S1730" s="350"/>
      <c r="BF1730" s="350"/>
      <c r="BG1730" s="350"/>
      <c r="BH1730" s="350"/>
    </row>
    <row r="1731" spans="4:60">
      <c r="D1731" s="350"/>
      <c r="S1731" s="350"/>
      <c r="BF1731" s="350"/>
      <c r="BG1731" s="350"/>
      <c r="BH1731" s="350"/>
    </row>
    <row r="1732" spans="4:60">
      <c r="D1732" s="350"/>
      <c r="S1732" s="350"/>
      <c r="BF1732" s="350"/>
      <c r="BG1732" s="350"/>
      <c r="BH1732" s="350"/>
    </row>
    <row r="1733" spans="4:60">
      <c r="D1733" s="350"/>
      <c r="S1733" s="350"/>
      <c r="BF1733" s="350"/>
      <c r="BG1733" s="350"/>
      <c r="BH1733" s="350"/>
    </row>
    <row r="1734" spans="4:60">
      <c r="D1734" s="350"/>
      <c r="S1734" s="350"/>
      <c r="BF1734" s="350"/>
      <c r="BG1734" s="350"/>
      <c r="BH1734" s="350"/>
    </row>
    <row r="1735" spans="4:60">
      <c r="D1735" s="350"/>
      <c r="S1735" s="350"/>
      <c r="BF1735" s="350"/>
      <c r="BG1735" s="350"/>
      <c r="BH1735" s="350"/>
    </row>
    <row r="1736" spans="4:60">
      <c r="D1736" s="350"/>
      <c r="S1736" s="350"/>
      <c r="BF1736" s="350"/>
      <c r="BG1736" s="350"/>
      <c r="BH1736" s="350"/>
    </row>
    <row r="1737" spans="4:60">
      <c r="D1737" s="350"/>
      <c r="S1737" s="350"/>
      <c r="BF1737" s="350"/>
      <c r="BG1737" s="350"/>
      <c r="BH1737" s="350"/>
    </row>
    <row r="1738" spans="4:60">
      <c r="D1738" s="350"/>
      <c r="S1738" s="350"/>
      <c r="BF1738" s="350"/>
      <c r="BG1738" s="350"/>
      <c r="BH1738" s="350"/>
    </row>
    <row r="1739" spans="4:60">
      <c r="D1739" s="350"/>
      <c r="S1739" s="350"/>
      <c r="BF1739" s="350"/>
      <c r="BG1739" s="350"/>
      <c r="BH1739" s="350"/>
    </row>
    <row r="1740" spans="4:60">
      <c r="D1740" s="350"/>
      <c r="S1740" s="350"/>
      <c r="BF1740" s="350"/>
      <c r="BG1740" s="350"/>
      <c r="BH1740" s="350"/>
    </row>
    <row r="1741" spans="4:60">
      <c r="D1741" s="350"/>
      <c r="S1741" s="350"/>
      <c r="BF1741" s="350"/>
      <c r="BG1741" s="350"/>
      <c r="BH1741" s="350"/>
    </row>
    <row r="1742" spans="4:60">
      <c r="D1742" s="350"/>
      <c r="S1742" s="350"/>
      <c r="BF1742" s="350"/>
      <c r="BG1742" s="350"/>
      <c r="BH1742" s="350"/>
    </row>
    <row r="1743" spans="4:60">
      <c r="D1743" s="350"/>
      <c r="S1743" s="350"/>
      <c r="BF1743" s="350"/>
      <c r="BG1743" s="350"/>
      <c r="BH1743" s="350"/>
    </row>
    <row r="1744" spans="4:60">
      <c r="D1744" s="350"/>
      <c r="S1744" s="350"/>
      <c r="BF1744" s="350"/>
      <c r="BG1744" s="350"/>
      <c r="BH1744" s="350"/>
    </row>
    <row r="1745" spans="4:60">
      <c r="D1745" s="350"/>
      <c r="S1745" s="350"/>
      <c r="BF1745" s="350"/>
      <c r="BG1745" s="350"/>
      <c r="BH1745" s="350"/>
    </row>
    <row r="1746" spans="4:60">
      <c r="D1746" s="350"/>
      <c r="S1746" s="350"/>
      <c r="BF1746" s="350"/>
      <c r="BG1746" s="350"/>
      <c r="BH1746" s="350"/>
    </row>
    <row r="1747" spans="4:60">
      <c r="D1747" s="350"/>
      <c r="S1747" s="350"/>
      <c r="BF1747" s="350"/>
      <c r="BG1747" s="350"/>
      <c r="BH1747" s="350"/>
    </row>
    <row r="1748" spans="4:60">
      <c r="D1748" s="350"/>
      <c r="S1748" s="350"/>
      <c r="BF1748" s="350"/>
      <c r="BG1748" s="350"/>
      <c r="BH1748" s="350"/>
    </row>
    <row r="1749" spans="4:60">
      <c r="D1749" s="350"/>
      <c r="S1749" s="350"/>
      <c r="BF1749" s="350"/>
      <c r="BG1749" s="350"/>
      <c r="BH1749" s="350"/>
    </row>
    <row r="1750" spans="4:60">
      <c r="D1750" s="350"/>
      <c r="S1750" s="350"/>
      <c r="BF1750" s="350"/>
      <c r="BG1750" s="350"/>
      <c r="BH1750" s="350"/>
    </row>
    <row r="1751" spans="4:60">
      <c r="D1751" s="350"/>
      <c r="S1751" s="350"/>
      <c r="BF1751" s="350"/>
      <c r="BG1751" s="350"/>
      <c r="BH1751" s="350"/>
    </row>
    <row r="1752" spans="4:60">
      <c r="D1752" s="350"/>
      <c r="S1752" s="350"/>
      <c r="BF1752" s="350"/>
      <c r="BG1752" s="350"/>
      <c r="BH1752" s="350"/>
    </row>
    <row r="1753" spans="4:60">
      <c r="D1753" s="350"/>
      <c r="S1753" s="350"/>
      <c r="BF1753" s="350"/>
      <c r="BG1753" s="350"/>
      <c r="BH1753" s="350"/>
    </row>
    <row r="1754" spans="4:60">
      <c r="D1754" s="350"/>
      <c r="S1754" s="350"/>
      <c r="BF1754" s="350"/>
      <c r="BG1754" s="350"/>
      <c r="BH1754" s="350"/>
    </row>
    <row r="1755" spans="4:60">
      <c r="D1755" s="350"/>
      <c r="S1755" s="350"/>
      <c r="BF1755" s="350"/>
      <c r="BG1755" s="350"/>
      <c r="BH1755" s="350"/>
    </row>
    <row r="1756" spans="4:60">
      <c r="D1756" s="350"/>
      <c r="S1756" s="350"/>
      <c r="BF1756" s="350"/>
      <c r="BG1756" s="350"/>
      <c r="BH1756" s="350"/>
    </row>
    <row r="1757" spans="4:60">
      <c r="D1757" s="350"/>
      <c r="S1757" s="350"/>
      <c r="BF1757" s="350"/>
      <c r="BG1757" s="350"/>
      <c r="BH1757" s="350"/>
    </row>
    <row r="1758" spans="4:60">
      <c r="D1758" s="350"/>
      <c r="S1758" s="350"/>
      <c r="BF1758" s="350"/>
      <c r="BG1758" s="350"/>
      <c r="BH1758" s="350"/>
    </row>
    <row r="1759" spans="4:60">
      <c r="D1759" s="350"/>
      <c r="S1759" s="350"/>
      <c r="BF1759" s="350"/>
      <c r="BG1759" s="350"/>
      <c r="BH1759" s="350"/>
    </row>
    <row r="1760" spans="4:60">
      <c r="D1760" s="350"/>
      <c r="S1760" s="350"/>
      <c r="BF1760" s="350"/>
      <c r="BG1760" s="350"/>
      <c r="BH1760" s="350"/>
    </row>
    <row r="1761" spans="4:60">
      <c r="D1761" s="350"/>
      <c r="S1761" s="350"/>
      <c r="BF1761" s="350"/>
      <c r="BG1761" s="350"/>
      <c r="BH1761" s="350"/>
    </row>
    <row r="1762" spans="4:60">
      <c r="D1762" s="350"/>
      <c r="S1762" s="350"/>
      <c r="BF1762" s="350"/>
      <c r="BG1762" s="350"/>
      <c r="BH1762" s="350"/>
    </row>
    <row r="1763" spans="4:60">
      <c r="D1763" s="350"/>
      <c r="S1763" s="350"/>
      <c r="BF1763" s="350"/>
      <c r="BG1763" s="350"/>
      <c r="BH1763" s="350"/>
    </row>
    <row r="1764" spans="4:60">
      <c r="D1764" s="350"/>
      <c r="S1764" s="350"/>
      <c r="BF1764" s="350"/>
      <c r="BG1764" s="350"/>
      <c r="BH1764" s="350"/>
    </row>
    <row r="1765" spans="4:60">
      <c r="D1765" s="350"/>
      <c r="S1765" s="350"/>
      <c r="BF1765" s="350"/>
      <c r="BG1765" s="350"/>
      <c r="BH1765" s="350"/>
    </row>
    <row r="1766" spans="4:60">
      <c r="D1766" s="350"/>
      <c r="S1766" s="350"/>
      <c r="BF1766" s="350"/>
      <c r="BG1766" s="350"/>
      <c r="BH1766" s="350"/>
    </row>
    <row r="1767" spans="4:60">
      <c r="D1767" s="350"/>
      <c r="S1767" s="350"/>
      <c r="BF1767" s="350"/>
      <c r="BG1767" s="350"/>
      <c r="BH1767" s="350"/>
    </row>
    <row r="1768" spans="4:60">
      <c r="D1768" s="350"/>
      <c r="S1768" s="350"/>
      <c r="BF1768" s="350"/>
      <c r="BG1768" s="350"/>
      <c r="BH1768" s="350"/>
    </row>
    <row r="1769" spans="4:60">
      <c r="D1769" s="350"/>
      <c r="S1769" s="350"/>
      <c r="BF1769" s="350"/>
      <c r="BG1769" s="350"/>
      <c r="BH1769" s="350"/>
    </row>
    <row r="1770" spans="4:60">
      <c r="D1770" s="350"/>
      <c r="S1770" s="350"/>
      <c r="BF1770" s="350"/>
      <c r="BG1770" s="350"/>
      <c r="BH1770" s="350"/>
    </row>
    <row r="1771" spans="4:60">
      <c r="D1771" s="350"/>
      <c r="S1771" s="350"/>
      <c r="BF1771" s="350"/>
      <c r="BG1771" s="350"/>
      <c r="BH1771" s="350"/>
    </row>
    <row r="1772" spans="4:60">
      <c r="D1772" s="350"/>
      <c r="S1772" s="350"/>
      <c r="BF1772" s="350"/>
      <c r="BG1772" s="350"/>
      <c r="BH1772" s="350"/>
    </row>
    <row r="1773" spans="4:60">
      <c r="D1773" s="350"/>
      <c r="S1773" s="350"/>
      <c r="BF1773" s="350"/>
      <c r="BG1773" s="350"/>
      <c r="BH1773" s="350"/>
    </row>
    <row r="1774" spans="4:60">
      <c r="D1774" s="350"/>
      <c r="S1774" s="350"/>
      <c r="BF1774" s="350"/>
      <c r="BG1774" s="350"/>
      <c r="BH1774" s="350"/>
    </row>
    <row r="1775" spans="4:60">
      <c r="D1775" s="350"/>
      <c r="S1775" s="350"/>
      <c r="BF1775" s="350"/>
      <c r="BG1775" s="350"/>
      <c r="BH1775" s="350"/>
    </row>
    <row r="1776" spans="4:60">
      <c r="D1776" s="350"/>
      <c r="S1776" s="350"/>
      <c r="BF1776" s="350"/>
      <c r="BG1776" s="350"/>
      <c r="BH1776" s="350"/>
    </row>
    <row r="1777" spans="4:60">
      <c r="D1777" s="350"/>
      <c r="S1777" s="350"/>
      <c r="BF1777" s="350"/>
      <c r="BG1777" s="350"/>
      <c r="BH1777" s="350"/>
    </row>
    <row r="1783" spans="4:60">
      <c r="D1783" s="350"/>
      <c r="S1783" s="350"/>
      <c r="BF1783" s="350"/>
      <c r="BG1783" s="350"/>
      <c r="BH1783" s="350"/>
    </row>
    <row r="1784" spans="4:60">
      <c r="D1784" s="350"/>
      <c r="S1784" s="350"/>
      <c r="BF1784" s="350"/>
      <c r="BG1784" s="350"/>
      <c r="BH1784" s="350"/>
    </row>
    <row r="1785" spans="4:60">
      <c r="D1785" s="350"/>
      <c r="S1785" s="350"/>
      <c r="BF1785" s="350"/>
      <c r="BG1785" s="350"/>
      <c r="BH1785" s="350"/>
    </row>
    <row r="1786" spans="4:60">
      <c r="D1786" s="350"/>
      <c r="S1786" s="350"/>
      <c r="BF1786" s="350"/>
      <c r="BG1786" s="350"/>
      <c r="BH1786" s="350"/>
    </row>
    <row r="1787" spans="4:60">
      <c r="D1787" s="350"/>
      <c r="S1787" s="350"/>
      <c r="BF1787" s="350"/>
      <c r="BG1787" s="350"/>
      <c r="BH1787" s="350"/>
    </row>
    <row r="1788" spans="4:60">
      <c r="D1788" s="350"/>
      <c r="S1788" s="350"/>
      <c r="BF1788" s="350"/>
      <c r="BG1788" s="350"/>
      <c r="BH1788" s="350"/>
    </row>
    <row r="1789" spans="4:60">
      <c r="D1789" s="350"/>
      <c r="S1789" s="350"/>
      <c r="BF1789" s="350"/>
      <c r="BG1789" s="350"/>
      <c r="BH1789" s="350"/>
    </row>
    <row r="1790" spans="4:60">
      <c r="D1790" s="350"/>
      <c r="S1790" s="350"/>
      <c r="BF1790" s="350"/>
      <c r="BG1790" s="350"/>
      <c r="BH1790" s="350"/>
    </row>
    <row r="1791" spans="4:60">
      <c r="D1791" s="350"/>
      <c r="S1791" s="350"/>
      <c r="BF1791" s="350"/>
      <c r="BG1791" s="350"/>
      <c r="BH1791" s="350"/>
    </row>
    <row r="1792" spans="4:60">
      <c r="D1792" s="350"/>
      <c r="S1792" s="350"/>
      <c r="BF1792" s="350"/>
      <c r="BG1792" s="350"/>
      <c r="BH1792" s="350"/>
    </row>
    <row r="1793" spans="4:60">
      <c r="D1793" s="350"/>
      <c r="S1793" s="350"/>
      <c r="BF1793" s="350"/>
      <c r="BG1793" s="350"/>
      <c r="BH1793" s="350"/>
    </row>
    <row r="1794" spans="4:60">
      <c r="D1794" s="350"/>
      <c r="S1794" s="350"/>
      <c r="BF1794" s="350"/>
      <c r="BG1794" s="350"/>
      <c r="BH1794" s="350"/>
    </row>
    <row r="1795" spans="4:60">
      <c r="D1795" s="350"/>
      <c r="S1795" s="350"/>
      <c r="BF1795" s="350"/>
      <c r="BG1795" s="350"/>
      <c r="BH1795" s="350"/>
    </row>
    <row r="1796" spans="4:60">
      <c r="D1796" s="350"/>
      <c r="S1796" s="350"/>
      <c r="BF1796" s="350"/>
      <c r="BG1796" s="350"/>
      <c r="BH1796" s="350"/>
    </row>
    <row r="1797" spans="4:60">
      <c r="D1797" s="350"/>
      <c r="S1797" s="350"/>
      <c r="BF1797" s="350"/>
      <c r="BG1797" s="350"/>
      <c r="BH1797" s="350"/>
    </row>
    <row r="1798" spans="4:60">
      <c r="D1798" s="350"/>
      <c r="S1798" s="350"/>
      <c r="BF1798" s="350"/>
      <c r="BG1798" s="350"/>
      <c r="BH1798" s="350"/>
    </row>
    <row r="1799" spans="4:60">
      <c r="D1799" s="350"/>
      <c r="S1799" s="350"/>
      <c r="BF1799" s="350"/>
      <c r="BG1799" s="350"/>
      <c r="BH1799" s="350"/>
    </row>
    <row r="1800" spans="4:60">
      <c r="D1800" s="350"/>
      <c r="S1800" s="350"/>
      <c r="BF1800" s="350"/>
      <c r="BG1800" s="350"/>
      <c r="BH1800" s="350"/>
    </row>
    <row r="1801" spans="4:60">
      <c r="D1801" s="350"/>
      <c r="S1801" s="350"/>
      <c r="BF1801" s="350"/>
      <c r="BG1801" s="350"/>
      <c r="BH1801" s="350"/>
    </row>
    <row r="1802" spans="4:60">
      <c r="D1802" s="350"/>
      <c r="S1802" s="350"/>
      <c r="BF1802" s="350"/>
      <c r="BG1802" s="350"/>
      <c r="BH1802" s="350"/>
    </row>
    <row r="1803" spans="4:60">
      <c r="D1803" s="350"/>
      <c r="S1803" s="350"/>
      <c r="BF1803" s="350"/>
      <c r="BG1803" s="350"/>
      <c r="BH1803" s="350"/>
    </row>
    <row r="1804" spans="4:60">
      <c r="D1804" s="350"/>
      <c r="S1804" s="350"/>
      <c r="BF1804" s="350"/>
      <c r="BG1804" s="350"/>
      <c r="BH1804" s="350"/>
    </row>
    <row r="1805" spans="4:60">
      <c r="D1805" s="350"/>
      <c r="S1805" s="350"/>
      <c r="BF1805" s="350"/>
      <c r="BG1805" s="350"/>
      <c r="BH1805" s="350"/>
    </row>
    <row r="1806" spans="4:60">
      <c r="D1806" s="350"/>
      <c r="S1806" s="350"/>
      <c r="BF1806" s="350"/>
      <c r="BG1806" s="350"/>
      <c r="BH1806" s="350"/>
    </row>
    <row r="1807" spans="4:60">
      <c r="D1807" s="350"/>
      <c r="S1807" s="350"/>
      <c r="BF1807" s="350"/>
      <c r="BG1807" s="350"/>
      <c r="BH1807" s="350"/>
    </row>
    <row r="1808" spans="4:60">
      <c r="D1808" s="350"/>
      <c r="S1808" s="350"/>
      <c r="BF1808" s="350"/>
      <c r="BG1808" s="350"/>
      <c r="BH1808" s="350"/>
    </row>
    <row r="1809" spans="4:60">
      <c r="D1809" s="350"/>
      <c r="S1809" s="350"/>
      <c r="BF1809" s="350"/>
      <c r="BG1809" s="350"/>
      <c r="BH1809" s="350"/>
    </row>
    <row r="1810" spans="4:60">
      <c r="D1810" s="350"/>
      <c r="S1810" s="350"/>
      <c r="BF1810" s="350"/>
      <c r="BG1810" s="350"/>
      <c r="BH1810" s="350"/>
    </row>
    <row r="1811" spans="4:60">
      <c r="D1811" s="350"/>
      <c r="S1811" s="350"/>
      <c r="BF1811" s="350"/>
      <c r="BG1811" s="350"/>
      <c r="BH1811" s="350"/>
    </row>
    <row r="1812" spans="4:60">
      <c r="D1812" s="350"/>
      <c r="S1812" s="350"/>
      <c r="BF1812" s="350"/>
      <c r="BG1812" s="350"/>
      <c r="BH1812" s="350"/>
    </row>
    <row r="1813" spans="4:60">
      <c r="D1813" s="350"/>
      <c r="S1813" s="350"/>
      <c r="BF1813" s="350"/>
      <c r="BG1813" s="350"/>
      <c r="BH1813" s="350"/>
    </row>
    <row r="1814" spans="4:60">
      <c r="D1814" s="350"/>
      <c r="S1814" s="350"/>
      <c r="BF1814" s="350"/>
      <c r="BG1814" s="350"/>
      <c r="BH1814" s="350"/>
    </row>
    <row r="1815" spans="4:60">
      <c r="D1815" s="350"/>
      <c r="S1815" s="350"/>
      <c r="BF1815" s="350"/>
      <c r="BG1815" s="350"/>
      <c r="BH1815" s="350"/>
    </row>
    <row r="1816" spans="4:60">
      <c r="D1816" s="350"/>
      <c r="S1816" s="350"/>
      <c r="BF1816" s="350"/>
      <c r="BG1816" s="350"/>
      <c r="BH1816" s="350"/>
    </row>
    <row r="1817" spans="4:60">
      <c r="D1817" s="350"/>
      <c r="S1817" s="350"/>
      <c r="BF1817" s="350"/>
      <c r="BG1817" s="350"/>
      <c r="BH1817" s="350"/>
    </row>
    <row r="1818" spans="4:60">
      <c r="D1818" s="350"/>
      <c r="S1818" s="350"/>
      <c r="BF1818" s="350"/>
      <c r="BG1818" s="350"/>
      <c r="BH1818" s="350"/>
    </row>
    <row r="1819" spans="4:60">
      <c r="D1819" s="350"/>
      <c r="S1819" s="350"/>
      <c r="BF1819" s="350"/>
      <c r="BG1819" s="350"/>
      <c r="BH1819" s="350"/>
    </row>
    <row r="1820" spans="4:60">
      <c r="D1820" s="350"/>
      <c r="S1820" s="350"/>
      <c r="BF1820" s="350"/>
      <c r="BG1820" s="350"/>
      <c r="BH1820" s="350"/>
    </row>
    <row r="1821" spans="4:60">
      <c r="D1821" s="350"/>
      <c r="S1821" s="350"/>
      <c r="BF1821" s="350"/>
      <c r="BG1821" s="350"/>
      <c r="BH1821" s="350"/>
    </row>
    <row r="1822" spans="4:60">
      <c r="D1822" s="350"/>
      <c r="S1822" s="350"/>
      <c r="BF1822" s="350"/>
      <c r="BG1822" s="350"/>
      <c r="BH1822" s="350"/>
    </row>
    <row r="1823" spans="4:60">
      <c r="D1823" s="350"/>
      <c r="S1823" s="350"/>
      <c r="BF1823" s="350"/>
      <c r="BG1823" s="350"/>
      <c r="BH1823" s="350"/>
    </row>
    <row r="1824" spans="4:60">
      <c r="D1824" s="350"/>
      <c r="S1824" s="350"/>
      <c r="BF1824" s="350"/>
      <c r="BG1824" s="350"/>
      <c r="BH1824" s="350"/>
    </row>
    <row r="1825" spans="4:60">
      <c r="D1825" s="350"/>
      <c r="S1825" s="350"/>
      <c r="BF1825" s="350"/>
      <c r="BG1825" s="350"/>
      <c r="BH1825" s="350"/>
    </row>
    <row r="1826" spans="4:60">
      <c r="D1826" s="350"/>
      <c r="S1826" s="350"/>
      <c r="BF1826" s="350"/>
      <c r="BG1826" s="350"/>
      <c r="BH1826" s="350"/>
    </row>
    <row r="1827" spans="4:60">
      <c r="D1827" s="350"/>
      <c r="S1827" s="350"/>
      <c r="BF1827" s="350"/>
      <c r="BG1827" s="350"/>
      <c r="BH1827" s="350"/>
    </row>
    <row r="1828" spans="4:60">
      <c r="D1828" s="350"/>
      <c r="S1828" s="350"/>
      <c r="BF1828" s="350"/>
      <c r="BG1828" s="350"/>
      <c r="BH1828" s="350"/>
    </row>
    <row r="1829" spans="4:60">
      <c r="D1829" s="350"/>
      <c r="S1829" s="350"/>
      <c r="BF1829" s="350"/>
      <c r="BG1829" s="350"/>
      <c r="BH1829" s="350"/>
    </row>
    <row r="1830" spans="4:60">
      <c r="D1830" s="350"/>
      <c r="S1830" s="350"/>
      <c r="BF1830" s="350"/>
      <c r="BG1830" s="350"/>
      <c r="BH1830" s="350"/>
    </row>
    <row r="1831" spans="4:60">
      <c r="D1831" s="350"/>
      <c r="S1831" s="350"/>
      <c r="BF1831" s="350"/>
      <c r="BG1831" s="350"/>
      <c r="BH1831" s="350"/>
    </row>
    <row r="1832" spans="4:60">
      <c r="D1832" s="350"/>
      <c r="S1832" s="350"/>
      <c r="BF1832" s="350"/>
      <c r="BG1832" s="350"/>
      <c r="BH1832" s="350"/>
    </row>
    <row r="1833" spans="4:60">
      <c r="D1833" s="350"/>
      <c r="S1833" s="350"/>
      <c r="BF1833" s="350"/>
      <c r="BG1833" s="350"/>
      <c r="BH1833" s="350"/>
    </row>
    <row r="1834" spans="4:60">
      <c r="D1834" s="350"/>
      <c r="S1834" s="350"/>
      <c r="BF1834" s="350"/>
      <c r="BG1834" s="350"/>
      <c r="BH1834" s="350"/>
    </row>
    <row r="1835" spans="4:60">
      <c r="D1835" s="350"/>
      <c r="S1835" s="350"/>
      <c r="BF1835" s="350"/>
      <c r="BG1835" s="350"/>
      <c r="BH1835" s="350"/>
    </row>
    <row r="1836" spans="4:60">
      <c r="D1836" s="350"/>
      <c r="S1836" s="350"/>
      <c r="BF1836" s="350"/>
      <c r="BG1836" s="350"/>
      <c r="BH1836" s="350"/>
    </row>
    <row r="1837" spans="4:60">
      <c r="D1837" s="350"/>
      <c r="S1837" s="350"/>
      <c r="BF1837" s="350"/>
      <c r="BG1837" s="350"/>
      <c r="BH1837" s="350"/>
    </row>
    <row r="1838" spans="4:60">
      <c r="D1838" s="350"/>
      <c r="S1838" s="350"/>
      <c r="BF1838" s="350"/>
      <c r="BG1838" s="350"/>
      <c r="BH1838" s="350"/>
    </row>
    <row r="1839" spans="4:60">
      <c r="D1839" s="350"/>
      <c r="S1839" s="350"/>
      <c r="BF1839" s="350"/>
      <c r="BG1839" s="350"/>
      <c r="BH1839" s="350"/>
    </row>
    <row r="1840" spans="4:60">
      <c r="D1840" s="350"/>
      <c r="S1840" s="350"/>
      <c r="BF1840" s="350"/>
      <c r="BG1840" s="350"/>
      <c r="BH1840" s="350"/>
    </row>
    <row r="1841" spans="4:60">
      <c r="D1841" s="350"/>
      <c r="S1841" s="350"/>
      <c r="BF1841" s="350"/>
      <c r="BG1841" s="350"/>
      <c r="BH1841" s="350"/>
    </row>
    <row r="1842" spans="4:60">
      <c r="D1842" s="350"/>
      <c r="S1842" s="350"/>
      <c r="BF1842" s="350"/>
      <c r="BG1842" s="350"/>
      <c r="BH1842" s="350"/>
    </row>
    <row r="1853" spans="4:60">
      <c r="D1853" s="350"/>
      <c r="S1853" s="350"/>
      <c r="BF1853" s="350"/>
      <c r="BG1853" s="350"/>
      <c r="BH1853" s="350"/>
    </row>
    <row r="1854" spans="4:60">
      <c r="D1854" s="350"/>
      <c r="S1854" s="350"/>
      <c r="BF1854" s="350"/>
      <c r="BG1854" s="350"/>
      <c r="BH1854" s="350"/>
    </row>
    <row r="1855" spans="4:60">
      <c r="D1855" s="350"/>
      <c r="S1855" s="350"/>
      <c r="BF1855" s="350"/>
      <c r="BG1855" s="350"/>
      <c r="BH1855" s="350"/>
    </row>
    <row r="1856" spans="4:60">
      <c r="D1856" s="350"/>
      <c r="S1856" s="350"/>
      <c r="BF1856" s="350"/>
      <c r="BG1856" s="350"/>
      <c r="BH1856" s="350"/>
    </row>
    <row r="1857" spans="4:60">
      <c r="D1857" s="350"/>
      <c r="S1857" s="350"/>
      <c r="BF1857" s="350"/>
      <c r="BG1857" s="350"/>
      <c r="BH1857" s="350"/>
    </row>
    <row r="1858" spans="4:60">
      <c r="D1858" s="350"/>
      <c r="S1858" s="350"/>
      <c r="BF1858" s="350"/>
      <c r="BG1858" s="350"/>
      <c r="BH1858" s="350"/>
    </row>
    <row r="1859" spans="4:60">
      <c r="D1859" s="350"/>
      <c r="S1859" s="350"/>
      <c r="BF1859" s="350"/>
      <c r="BG1859" s="350"/>
      <c r="BH1859" s="350"/>
    </row>
    <row r="1860" spans="4:60">
      <c r="D1860" s="350"/>
      <c r="S1860" s="350"/>
      <c r="BF1860" s="350"/>
      <c r="BG1860" s="350"/>
      <c r="BH1860" s="350"/>
    </row>
    <row r="1861" spans="4:60">
      <c r="D1861" s="350"/>
      <c r="S1861" s="350"/>
      <c r="BF1861" s="350"/>
      <c r="BG1861" s="350"/>
      <c r="BH1861" s="350"/>
    </row>
    <row r="1862" spans="4:60">
      <c r="D1862" s="350"/>
      <c r="S1862" s="350"/>
      <c r="BF1862" s="350"/>
      <c r="BG1862" s="350"/>
      <c r="BH1862" s="350"/>
    </row>
    <row r="1863" spans="4:60">
      <c r="D1863" s="350"/>
      <c r="S1863" s="350"/>
      <c r="BF1863" s="350"/>
      <c r="BG1863" s="350"/>
      <c r="BH1863" s="350"/>
    </row>
    <row r="1864" spans="4:60">
      <c r="D1864" s="350"/>
      <c r="S1864" s="350"/>
      <c r="BF1864" s="350"/>
      <c r="BG1864" s="350"/>
      <c r="BH1864" s="350"/>
    </row>
    <row r="1865" spans="4:60">
      <c r="D1865" s="350"/>
      <c r="S1865" s="350"/>
      <c r="BF1865" s="350"/>
      <c r="BG1865" s="350"/>
      <c r="BH1865" s="350"/>
    </row>
    <row r="1866" spans="4:60">
      <c r="D1866" s="350"/>
      <c r="S1866" s="350"/>
      <c r="BF1866" s="350"/>
      <c r="BG1866" s="350"/>
      <c r="BH1866" s="350"/>
    </row>
    <row r="1867" spans="4:60">
      <c r="D1867" s="350"/>
      <c r="S1867" s="350"/>
      <c r="BF1867" s="350"/>
      <c r="BG1867" s="350"/>
      <c r="BH1867" s="350"/>
    </row>
    <row r="1868" spans="4:60">
      <c r="D1868" s="350"/>
      <c r="S1868" s="350"/>
      <c r="BF1868" s="350"/>
      <c r="BG1868" s="350"/>
      <c r="BH1868" s="350"/>
    </row>
    <row r="1869" spans="4:60">
      <c r="D1869" s="350"/>
      <c r="S1869" s="350"/>
      <c r="BF1869" s="350"/>
      <c r="BG1869" s="350"/>
      <c r="BH1869" s="350"/>
    </row>
    <row r="1870" spans="4:60">
      <c r="D1870" s="350"/>
      <c r="S1870" s="350"/>
      <c r="BF1870" s="350"/>
      <c r="BG1870" s="350"/>
      <c r="BH1870" s="350"/>
    </row>
    <row r="1871" spans="4:60">
      <c r="D1871" s="350"/>
      <c r="S1871" s="350"/>
      <c r="BF1871" s="350"/>
      <c r="BG1871" s="350"/>
      <c r="BH1871" s="350"/>
    </row>
    <row r="1872" spans="4:60">
      <c r="D1872" s="350"/>
      <c r="S1872" s="350"/>
      <c r="BF1872" s="350"/>
      <c r="BG1872" s="350"/>
      <c r="BH1872" s="350"/>
    </row>
    <row r="1873" spans="4:60">
      <c r="D1873" s="350"/>
      <c r="S1873" s="350"/>
      <c r="BF1873" s="350"/>
      <c r="BG1873" s="350"/>
      <c r="BH1873" s="350"/>
    </row>
    <row r="1874" spans="4:60">
      <c r="D1874" s="350"/>
      <c r="S1874" s="350"/>
      <c r="BF1874" s="350"/>
      <c r="BG1874" s="350"/>
      <c r="BH1874" s="350"/>
    </row>
    <row r="1875" spans="4:60">
      <c r="D1875" s="350"/>
      <c r="S1875" s="350"/>
      <c r="BF1875" s="350"/>
      <c r="BG1875" s="350"/>
      <c r="BH1875" s="350"/>
    </row>
    <row r="1876" spans="4:60">
      <c r="D1876" s="350"/>
      <c r="S1876" s="350"/>
      <c r="BF1876" s="350"/>
      <c r="BG1876" s="350"/>
      <c r="BH1876" s="350"/>
    </row>
    <row r="1877" spans="4:60">
      <c r="D1877" s="350"/>
      <c r="S1877" s="350"/>
      <c r="BF1877" s="350"/>
      <c r="BG1877" s="350"/>
      <c r="BH1877" s="350"/>
    </row>
    <row r="1878" spans="4:60">
      <c r="D1878" s="350"/>
      <c r="S1878" s="350"/>
      <c r="BF1878" s="350"/>
      <c r="BG1878" s="350"/>
      <c r="BH1878" s="350"/>
    </row>
    <row r="1879" spans="4:60">
      <c r="D1879" s="350"/>
      <c r="S1879" s="350"/>
      <c r="BF1879" s="350"/>
      <c r="BG1879" s="350"/>
      <c r="BH1879" s="350"/>
    </row>
    <row r="1880" spans="4:60">
      <c r="D1880" s="350"/>
      <c r="S1880" s="350"/>
      <c r="BF1880" s="350"/>
      <c r="BG1880" s="350"/>
      <c r="BH1880" s="350"/>
    </row>
    <row r="1881" spans="4:60">
      <c r="D1881" s="350"/>
      <c r="S1881" s="350"/>
      <c r="BF1881" s="350"/>
      <c r="BG1881" s="350"/>
      <c r="BH1881" s="350"/>
    </row>
    <row r="1882" spans="4:60">
      <c r="D1882" s="350"/>
      <c r="S1882" s="350"/>
      <c r="BF1882" s="350"/>
      <c r="BG1882" s="350"/>
      <c r="BH1882" s="350"/>
    </row>
    <row r="1883" spans="4:60">
      <c r="D1883" s="350"/>
      <c r="S1883" s="350"/>
      <c r="BF1883" s="350"/>
      <c r="BG1883" s="350"/>
      <c r="BH1883" s="350"/>
    </row>
    <row r="1884" spans="4:60">
      <c r="D1884" s="350"/>
      <c r="S1884" s="350"/>
      <c r="BF1884" s="350"/>
      <c r="BG1884" s="350"/>
      <c r="BH1884" s="350"/>
    </row>
    <row r="1885" spans="4:60">
      <c r="D1885" s="350"/>
      <c r="S1885" s="350"/>
      <c r="BF1885" s="350"/>
      <c r="BG1885" s="350"/>
      <c r="BH1885" s="350"/>
    </row>
    <row r="1886" spans="4:60">
      <c r="D1886" s="350"/>
      <c r="S1886" s="350"/>
      <c r="BF1886" s="350"/>
      <c r="BG1886" s="350"/>
      <c r="BH1886" s="350"/>
    </row>
    <row r="1887" spans="4:60">
      <c r="D1887" s="350"/>
      <c r="S1887" s="350"/>
      <c r="BF1887" s="350"/>
      <c r="BG1887" s="350"/>
      <c r="BH1887" s="350"/>
    </row>
    <row r="1888" spans="4:60">
      <c r="D1888" s="350"/>
      <c r="S1888" s="350"/>
      <c r="BF1888" s="350"/>
      <c r="BG1888" s="350"/>
      <c r="BH1888" s="350"/>
    </row>
    <row r="1889" spans="4:60">
      <c r="D1889" s="350"/>
      <c r="S1889" s="350"/>
      <c r="BF1889" s="350"/>
      <c r="BG1889" s="350"/>
      <c r="BH1889" s="350"/>
    </row>
    <row r="1890" spans="4:60">
      <c r="D1890" s="350"/>
      <c r="S1890" s="350"/>
      <c r="BF1890" s="350"/>
      <c r="BG1890" s="350"/>
      <c r="BH1890" s="350"/>
    </row>
    <row r="1891" spans="4:60">
      <c r="D1891" s="350"/>
      <c r="S1891" s="350"/>
      <c r="BF1891" s="350"/>
      <c r="BG1891" s="350"/>
      <c r="BH1891" s="350"/>
    </row>
    <row r="1892" spans="4:60">
      <c r="D1892" s="350"/>
      <c r="S1892" s="350"/>
      <c r="BF1892" s="350"/>
      <c r="BG1892" s="350"/>
      <c r="BH1892" s="350"/>
    </row>
    <row r="1893" spans="4:60">
      <c r="D1893" s="350"/>
      <c r="S1893" s="350"/>
      <c r="BF1893" s="350"/>
      <c r="BG1893" s="350"/>
      <c r="BH1893" s="350"/>
    </row>
    <row r="1894" spans="4:60">
      <c r="D1894" s="350"/>
      <c r="S1894" s="350"/>
      <c r="BF1894" s="350"/>
      <c r="BG1894" s="350"/>
      <c r="BH1894" s="350"/>
    </row>
    <row r="1895" spans="4:60">
      <c r="D1895" s="350"/>
      <c r="S1895" s="350"/>
      <c r="BF1895" s="350"/>
      <c r="BG1895" s="350"/>
      <c r="BH1895" s="350"/>
    </row>
    <row r="1896" spans="4:60">
      <c r="D1896" s="350"/>
      <c r="S1896" s="350"/>
      <c r="BF1896" s="350"/>
      <c r="BG1896" s="350"/>
      <c r="BH1896" s="350"/>
    </row>
    <row r="1897" spans="4:60">
      <c r="D1897" s="350"/>
      <c r="S1897" s="350"/>
      <c r="BF1897" s="350"/>
      <c r="BG1897" s="350"/>
      <c r="BH1897" s="350"/>
    </row>
    <row r="1898" spans="4:60">
      <c r="D1898" s="350"/>
      <c r="S1898" s="350"/>
      <c r="BF1898" s="350"/>
      <c r="BG1898" s="350"/>
      <c r="BH1898" s="350"/>
    </row>
    <row r="1899" spans="4:60">
      <c r="D1899" s="350"/>
      <c r="S1899" s="350"/>
      <c r="BF1899" s="350"/>
      <c r="BG1899" s="350"/>
      <c r="BH1899" s="350"/>
    </row>
    <row r="1900" spans="4:60">
      <c r="D1900" s="350"/>
      <c r="S1900" s="350"/>
      <c r="BF1900" s="350"/>
      <c r="BG1900" s="350"/>
      <c r="BH1900" s="350"/>
    </row>
    <row r="1901" spans="4:60">
      <c r="D1901" s="350"/>
      <c r="S1901" s="350"/>
      <c r="BF1901" s="350"/>
      <c r="BG1901" s="350"/>
      <c r="BH1901" s="350"/>
    </row>
    <row r="1902" spans="4:60">
      <c r="D1902" s="350"/>
      <c r="S1902" s="350"/>
      <c r="BF1902" s="350"/>
      <c r="BG1902" s="350"/>
      <c r="BH1902" s="350"/>
    </row>
    <row r="1903" spans="4:60">
      <c r="D1903" s="350"/>
      <c r="S1903" s="350"/>
      <c r="BF1903" s="350"/>
      <c r="BG1903" s="350"/>
      <c r="BH1903" s="350"/>
    </row>
    <row r="1904" spans="4:60">
      <c r="D1904" s="350"/>
      <c r="S1904" s="350"/>
      <c r="BF1904" s="350"/>
      <c r="BG1904" s="350"/>
      <c r="BH1904" s="350"/>
    </row>
    <row r="1905" spans="4:60">
      <c r="D1905" s="350"/>
      <c r="S1905" s="350"/>
      <c r="BF1905" s="350"/>
      <c r="BG1905" s="350"/>
      <c r="BH1905" s="350"/>
    </row>
    <row r="1906" spans="4:60">
      <c r="D1906" s="350"/>
      <c r="S1906" s="350"/>
      <c r="BF1906" s="350"/>
      <c r="BG1906" s="350"/>
      <c r="BH1906" s="350"/>
    </row>
    <row r="1907" spans="4:60">
      <c r="D1907" s="350"/>
      <c r="S1907" s="350"/>
      <c r="BF1907" s="350"/>
      <c r="BG1907" s="350"/>
      <c r="BH1907" s="350"/>
    </row>
    <row r="1908" spans="4:60">
      <c r="D1908" s="350"/>
      <c r="S1908" s="350"/>
      <c r="BF1908" s="350"/>
      <c r="BG1908" s="350"/>
      <c r="BH1908" s="350"/>
    </row>
    <row r="1909" spans="4:60">
      <c r="D1909" s="350"/>
      <c r="S1909" s="350"/>
      <c r="BF1909" s="350"/>
      <c r="BG1909" s="350"/>
      <c r="BH1909" s="350"/>
    </row>
    <row r="1910" spans="4:60">
      <c r="D1910" s="350"/>
      <c r="S1910" s="350"/>
      <c r="BF1910" s="350"/>
      <c r="BG1910" s="350"/>
      <c r="BH1910" s="350"/>
    </row>
    <row r="1911" spans="4:60">
      <c r="D1911" s="350"/>
      <c r="S1911" s="350"/>
      <c r="BF1911" s="350"/>
      <c r="BG1911" s="350"/>
      <c r="BH1911" s="350"/>
    </row>
    <row r="1912" spans="4:60">
      <c r="D1912" s="350"/>
      <c r="S1912" s="350"/>
      <c r="BF1912" s="350"/>
      <c r="BG1912" s="350"/>
      <c r="BH1912" s="350"/>
    </row>
    <row r="1913" spans="4:60">
      <c r="D1913" s="350"/>
      <c r="S1913" s="350"/>
      <c r="BF1913" s="350"/>
      <c r="BG1913" s="350"/>
      <c r="BH1913" s="350"/>
    </row>
    <row r="1914" spans="4:60">
      <c r="D1914" s="350"/>
      <c r="S1914" s="350"/>
      <c r="BF1914" s="350"/>
      <c r="BG1914" s="350"/>
      <c r="BH1914" s="350"/>
    </row>
    <row r="1915" spans="4:60">
      <c r="D1915" s="350"/>
      <c r="S1915" s="350"/>
      <c r="BF1915" s="350"/>
      <c r="BG1915" s="350"/>
      <c r="BH1915" s="350"/>
    </row>
    <row r="1916" spans="4:60">
      <c r="D1916" s="350"/>
      <c r="S1916" s="350"/>
      <c r="BF1916" s="350"/>
      <c r="BG1916" s="350"/>
      <c r="BH1916" s="350"/>
    </row>
    <row r="1917" spans="4:60">
      <c r="D1917" s="350"/>
      <c r="S1917" s="350"/>
      <c r="BF1917" s="350"/>
      <c r="BG1917" s="350"/>
      <c r="BH1917" s="350"/>
    </row>
    <row r="1918" spans="4:60">
      <c r="D1918" s="350"/>
      <c r="S1918" s="350"/>
      <c r="BF1918" s="350"/>
      <c r="BG1918" s="350"/>
      <c r="BH1918" s="350"/>
    </row>
    <row r="1919" spans="4:60">
      <c r="D1919" s="350"/>
      <c r="S1919" s="350"/>
      <c r="BF1919" s="350"/>
      <c r="BG1919" s="350"/>
      <c r="BH1919" s="350"/>
    </row>
    <row r="1920" spans="4:60">
      <c r="D1920" s="350"/>
      <c r="S1920" s="350"/>
      <c r="BF1920" s="350"/>
      <c r="BG1920" s="350"/>
      <c r="BH1920" s="350"/>
    </row>
    <row r="1921" spans="4:60">
      <c r="D1921" s="350"/>
      <c r="S1921" s="350"/>
      <c r="BF1921" s="350"/>
      <c r="BG1921" s="350"/>
      <c r="BH1921" s="350"/>
    </row>
    <row r="1922" spans="4:60">
      <c r="D1922" s="350"/>
      <c r="S1922" s="350"/>
      <c r="BF1922" s="350"/>
      <c r="BG1922" s="350"/>
      <c r="BH1922" s="350"/>
    </row>
    <row r="1923" spans="4:60">
      <c r="D1923" s="350"/>
      <c r="S1923" s="350"/>
      <c r="BF1923" s="350"/>
      <c r="BG1923" s="350"/>
      <c r="BH1923" s="350"/>
    </row>
    <row r="1924" spans="4:60">
      <c r="D1924" s="350"/>
      <c r="S1924" s="350"/>
      <c r="BF1924" s="350"/>
      <c r="BG1924" s="350"/>
      <c r="BH1924" s="350"/>
    </row>
    <row r="1925" spans="4:60">
      <c r="D1925" s="350"/>
      <c r="S1925" s="350"/>
      <c r="BF1925" s="350"/>
      <c r="BG1925" s="350"/>
      <c r="BH1925" s="350"/>
    </row>
    <row r="1926" spans="4:60">
      <c r="D1926" s="350"/>
      <c r="S1926" s="350"/>
      <c r="BF1926" s="350"/>
      <c r="BG1926" s="350"/>
      <c r="BH1926" s="350"/>
    </row>
    <row r="1927" spans="4:60">
      <c r="D1927" s="350"/>
      <c r="S1927" s="350"/>
      <c r="BF1927" s="350"/>
      <c r="BG1927" s="350"/>
      <c r="BH1927" s="350"/>
    </row>
    <row r="1928" spans="4:60">
      <c r="D1928" s="350"/>
      <c r="S1928" s="350"/>
      <c r="BF1928" s="350"/>
      <c r="BG1928" s="350"/>
      <c r="BH1928" s="350"/>
    </row>
    <row r="1929" spans="4:60">
      <c r="D1929" s="350"/>
      <c r="S1929" s="350"/>
      <c r="BF1929" s="350"/>
      <c r="BG1929" s="350"/>
      <c r="BH1929" s="350"/>
    </row>
    <row r="1930" spans="4:60">
      <c r="D1930" s="350"/>
      <c r="S1930" s="350"/>
      <c r="BF1930" s="350"/>
      <c r="BG1930" s="350"/>
      <c r="BH1930" s="350"/>
    </row>
    <row r="1931" spans="4:60">
      <c r="D1931" s="350"/>
      <c r="S1931" s="350"/>
      <c r="BF1931" s="350"/>
      <c r="BG1931" s="350"/>
      <c r="BH1931" s="350"/>
    </row>
    <row r="1932" spans="4:60">
      <c r="D1932" s="350"/>
      <c r="S1932" s="350"/>
      <c r="BF1932" s="350"/>
      <c r="BG1932" s="350"/>
      <c r="BH1932" s="350"/>
    </row>
    <row r="1933" spans="4:60">
      <c r="D1933" s="350"/>
      <c r="S1933" s="350"/>
      <c r="BF1933" s="350"/>
      <c r="BG1933" s="350"/>
      <c r="BH1933" s="350"/>
    </row>
    <row r="1934" spans="4:60">
      <c r="D1934" s="350"/>
      <c r="S1934" s="350"/>
      <c r="BF1934" s="350"/>
      <c r="BG1934" s="350"/>
      <c r="BH1934" s="350"/>
    </row>
    <row r="1935" spans="4:60">
      <c r="D1935" s="350"/>
      <c r="S1935" s="350"/>
      <c r="BF1935" s="350"/>
      <c r="BG1935" s="350"/>
      <c r="BH1935" s="350"/>
    </row>
    <row r="1936" spans="4:60">
      <c r="D1936" s="350"/>
      <c r="S1936" s="350"/>
      <c r="BF1936" s="350"/>
      <c r="BG1936" s="350"/>
      <c r="BH1936" s="350"/>
    </row>
    <row r="1937" spans="4:60">
      <c r="D1937" s="350"/>
      <c r="S1937" s="350"/>
      <c r="BF1937" s="350"/>
      <c r="BG1937" s="350"/>
      <c r="BH1937" s="350"/>
    </row>
    <row r="1938" spans="4:60">
      <c r="D1938" s="350"/>
      <c r="S1938" s="350"/>
      <c r="BF1938" s="350"/>
      <c r="BG1938" s="350"/>
      <c r="BH1938" s="350"/>
    </row>
    <row r="1939" spans="4:60">
      <c r="D1939" s="350"/>
      <c r="S1939" s="350"/>
      <c r="BF1939" s="350"/>
      <c r="BG1939" s="350"/>
      <c r="BH1939" s="350"/>
    </row>
    <row r="1940" spans="4:60">
      <c r="D1940" s="350"/>
      <c r="S1940" s="350"/>
      <c r="BF1940" s="350"/>
      <c r="BG1940" s="350"/>
      <c r="BH1940" s="350"/>
    </row>
    <row r="1941" spans="4:60">
      <c r="D1941" s="350"/>
      <c r="S1941" s="350"/>
      <c r="BF1941" s="350"/>
      <c r="BG1941" s="350"/>
      <c r="BH1941" s="350"/>
    </row>
    <row r="1942" spans="4:60">
      <c r="D1942" s="350"/>
      <c r="S1942" s="350"/>
      <c r="BF1942" s="350"/>
      <c r="BG1942" s="350"/>
      <c r="BH1942" s="350"/>
    </row>
    <row r="1943" spans="4:60">
      <c r="D1943" s="350"/>
      <c r="S1943" s="350"/>
      <c r="BF1943" s="350"/>
      <c r="BG1943" s="350"/>
      <c r="BH1943" s="350"/>
    </row>
    <row r="1944" spans="4:60">
      <c r="D1944" s="350"/>
      <c r="S1944" s="350"/>
      <c r="BF1944" s="350"/>
      <c r="BG1944" s="350"/>
      <c r="BH1944" s="350"/>
    </row>
    <row r="1945" spans="4:60">
      <c r="D1945" s="350"/>
      <c r="S1945" s="350"/>
      <c r="BF1945" s="350"/>
      <c r="BG1945" s="350"/>
      <c r="BH1945" s="350"/>
    </row>
    <row r="1946" spans="4:60">
      <c r="D1946" s="350"/>
      <c r="S1946" s="350"/>
      <c r="BF1946" s="350"/>
      <c r="BG1946" s="350"/>
      <c r="BH1946" s="350"/>
    </row>
    <row r="1947" spans="4:60">
      <c r="D1947" s="350"/>
      <c r="S1947" s="350"/>
      <c r="BF1947" s="350"/>
      <c r="BG1947" s="350"/>
      <c r="BH1947" s="350"/>
    </row>
    <row r="1948" spans="4:60">
      <c r="D1948" s="350"/>
      <c r="S1948" s="350"/>
      <c r="BF1948" s="350"/>
      <c r="BG1948" s="350"/>
      <c r="BH1948" s="350"/>
    </row>
    <row r="1949" spans="4:60">
      <c r="D1949" s="350"/>
      <c r="S1949" s="350"/>
      <c r="BF1949" s="350"/>
      <c r="BG1949" s="350"/>
      <c r="BH1949" s="350"/>
    </row>
    <row r="1950" spans="4:60">
      <c r="D1950" s="350"/>
      <c r="S1950" s="350"/>
      <c r="BF1950" s="350"/>
      <c r="BG1950" s="350"/>
      <c r="BH1950" s="350"/>
    </row>
    <row r="1951" spans="4:60">
      <c r="D1951" s="350"/>
      <c r="S1951" s="350"/>
      <c r="BF1951" s="350"/>
      <c r="BG1951" s="350"/>
      <c r="BH1951" s="350"/>
    </row>
    <row r="1952" spans="4:60">
      <c r="D1952" s="350"/>
      <c r="S1952" s="350"/>
      <c r="BF1952" s="350"/>
      <c r="BG1952" s="350"/>
      <c r="BH1952" s="350"/>
    </row>
    <row r="1953" spans="4:60">
      <c r="D1953" s="350"/>
      <c r="S1953" s="350"/>
      <c r="BF1953" s="350"/>
      <c r="BG1953" s="350"/>
      <c r="BH1953" s="350"/>
    </row>
    <row r="1954" spans="4:60">
      <c r="D1954" s="350"/>
      <c r="S1954" s="350"/>
      <c r="BF1954" s="350"/>
      <c r="BG1954" s="350"/>
      <c r="BH1954" s="350"/>
    </row>
    <row r="1955" spans="4:60">
      <c r="D1955" s="350"/>
      <c r="S1955" s="350"/>
      <c r="BF1955" s="350"/>
      <c r="BG1955" s="350"/>
      <c r="BH1955" s="350"/>
    </row>
    <row r="1956" spans="4:60">
      <c r="D1956" s="350"/>
      <c r="S1956" s="350"/>
      <c r="BF1956" s="350"/>
      <c r="BG1956" s="350"/>
      <c r="BH1956" s="350"/>
    </row>
    <row r="1957" spans="4:60">
      <c r="D1957" s="350"/>
      <c r="S1957" s="350"/>
      <c r="BF1957" s="350"/>
      <c r="BG1957" s="350"/>
      <c r="BH1957" s="350"/>
    </row>
    <row r="1958" spans="4:60">
      <c r="D1958" s="350"/>
      <c r="S1958" s="350"/>
      <c r="BF1958" s="350"/>
      <c r="BG1958" s="350"/>
      <c r="BH1958" s="350"/>
    </row>
    <row r="1959" spans="4:60">
      <c r="D1959" s="350"/>
      <c r="S1959" s="350"/>
      <c r="BF1959" s="350"/>
      <c r="BG1959" s="350"/>
      <c r="BH1959" s="350"/>
    </row>
    <row r="1960" spans="4:60">
      <c r="D1960" s="350"/>
      <c r="S1960" s="350"/>
      <c r="BF1960" s="350"/>
      <c r="BG1960" s="350"/>
      <c r="BH1960" s="350"/>
    </row>
    <row r="1961" spans="4:60">
      <c r="D1961" s="350"/>
      <c r="S1961" s="350"/>
      <c r="BF1961" s="350"/>
      <c r="BG1961" s="350"/>
      <c r="BH1961" s="350"/>
    </row>
    <row r="1962" spans="4:60">
      <c r="D1962" s="350"/>
      <c r="S1962" s="350"/>
      <c r="BF1962" s="350"/>
      <c r="BG1962" s="350"/>
      <c r="BH1962" s="350"/>
    </row>
    <row r="1963" spans="4:60">
      <c r="D1963" s="350"/>
      <c r="S1963" s="350"/>
      <c r="BF1963" s="350"/>
      <c r="BG1963" s="350"/>
      <c r="BH1963" s="350"/>
    </row>
    <row r="1964" spans="4:60">
      <c r="D1964" s="350"/>
      <c r="S1964" s="350"/>
      <c r="BF1964" s="350"/>
      <c r="BG1964" s="350"/>
      <c r="BH1964" s="350"/>
    </row>
    <row r="1965" spans="4:60">
      <c r="D1965" s="350"/>
      <c r="S1965" s="350"/>
      <c r="BF1965" s="350"/>
      <c r="BG1965" s="350"/>
      <c r="BH1965" s="350"/>
    </row>
    <row r="1966" spans="4:60">
      <c r="D1966" s="350"/>
      <c r="S1966" s="350"/>
      <c r="BF1966" s="350"/>
      <c r="BG1966" s="350"/>
      <c r="BH1966" s="350"/>
    </row>
    <row r="1967" spans="4:60">
      <c r="D1967" s="350"/>
      <c r="S1967" s="350"/>
      <c r="BF1967" s="350"/>
      <c r="BG1967" s="350"/>
      <c r="BH1967" s="350"/>
    </row>
    <row r="1968" spans="4:60">
      <c r="D1968" s="350"/>
      <c r="S1968" s="350"/>
      <c r="BF1968" s="350"/>
      <c r="BG1968" s="350"/>
      <c r="BH1968" s="350"/>
    </row>
    <row r="1969" spans="4:60">
      <c r="D1969" s="350"/>
      <c r="S1969" s="350"/>
      <c r="BF1969" s="350"/>
      <c r="BG1969" s="350"/>
      <c r="BH1969" s="350"/>
    </row>
    <row r="1970" spans="4:60">
      <c r="D1970" s="350"/>
      <c r="S1970" s="350"/>
      <c r="BF1970" s="350"/>
      <c r="BG1970" s="350"/>
      <c r="BH1970" s="350"/>
    </row>
    <row r="1971" spans="4:60">
      <c r="D1971" s="350"/>
      <c r="S1971" s="350"/>
      <c r="BF1971" s="350"/>
      <c r="BG1971" s="350"/>
      <c r="BH1971" s="350"/>
    </row>
    <row r="1972" spans="4:60">
      <c r="D1972" s="350"/>
      <c r="S1972" s="350"/>
      <c r="BF1972" s="350"/>
      <c r="BG1972" s="350"/>
      <c r="BH1972" s="350"/>
    </row>
    <row r="1973" spans="4:60">
      <c r="D1973" s="350"/>
      <c r="S1973" s="350"/>
      <c r="BF1973" s="350"/>
      <c r="BG1973" s="350"/>
      <c r="BH1973" s="350"/>
    </row>
    <row r="1974" spans="4:60">
      <c r="D1974" s="350"/>
      <c r="S1974" s="350"/>
      <c r="BF1974" s="350"/>
      <c r="BG1974" s="350"/>
      <c r="BH1974" s="350"/>
    </row>
    <row r="1975" spans="4:60">
      <c r="D1975" s="350"/>
      <c r="S1975" s="350"/>
      <c r="BF1975" s="350"/>
      <c r="BG1975" s="350"/>
      <c r="BH1975" s="350"/>
    </row>
    <row r="1976" spans="4:60">
      <c r="D1976" s="350"/>
      <c r="S1976" s="350"/>
      <c r="BF1976" s="350"/>
      <c r="BG1976" s="350"/>
      <c r="BH1976" s="350"/>
    </row>
    <row r="1977" spans="4:60">
      <c r="D1977" s="350"/>
      <c r="S1977" s="350"/>
      <c r="BF1977" s="350"/>
      <c r="BG1977" s="350"/>
      <c r="BH1977" s="350"/>
    </row>
    <row r="1978" spans="4:60">
      <c r="D1978" s="350"/>
      <c r="S1978" s="350"/>
      <c r="BF1978" s="350"/>
      <c r="BG1978" s="350"/>
      <c r="BH1978" s="350"/>
    </row>
    <row r="1979" spans="4:60">
      <c r="D1979" s="350"/>
      <c r="S1979" s="350"/>
      <c r="BF1979" s="350"/>
      <c r="BG1979" s="350"/>
      <c r="BH1979" s="350"/>
    </row>
    <row r="1980" spans="4:60">
      <c r="D1980" s="350"/>
      <c r="S1980" s="350"/>
      <c r="BF1980" s="350"/>
      <c r="BG1980" s="350"/>
      <c r="BH1980" s="350"/>
    </row>
    <row r="1981" spans="4:60">
      <c r="D1981" s="350"/>
      <c r="S1981" s="350"/>
      <c r="BF1981" s="350"/>
      <c r="BG1981" s="350"/>
      <c r="BH1981" s="350"/>
    </row>
    <row r="1982" spans="4:60">
      <c r="D1982" s="350"/>
      <c r="S1982" s="350"/>
      <c r="BF1982" s="350"/>
      <c r="BG1982" s="350"/>
      <c r="BH1982" s="350"/>
    </row>
    <row r="1983" spans="4:60">
      <c r="D1983" s="350"/>
      <c r="S1983" s="350"/>
      <c r="BF1983" s="350"/>
      <c r="BG1983" s="350"/>
      <c r="BH1983" s="350"/>
    </row>
    <row r="1984" spans="4:60">
      <c r="D1984" s="350"/>
      <c r="S1984" s="350"/>
      <c r="BF1984" s="350"/>
      <c r="BG1984" s="350"/>
      <c r="BH1984" s="350"/>
    </row>
    <row r="1985" spans="4:60">
      <c r="D1985" s="350"/>
      <c r="S1985" s="350"/>
      <c r="BF1985" s="350"/>
      <c r="BG1985" s="350"/>
      <c r="BH1985" s="350"/>
    </row>
    <row r="1986" spans="4:60">
      <c r="D1986" s="350"/>
      <c r="S1986" s="350"/>
      <c r="BF1986" s="350"/>
      <c r="BG1986" s="350"/>
      <c r="BH1986" s="350"/>
    </row>
    <row r="1987" spans="4:60">
      <c r="D1987" s="350"/>
      <c r="S1987" s="350"/>
      <c r="BF1987" s="350"/>
      <c r="BG1987" s="350"/>
      <c r="BH1987" s="350"/>
    </row>
    <row r="1988" spans="4:60">
      <c r="D1988" s="350"/>
      <c r="S1988" s="350"/>
      <c r="BF1988" s="350"/>
      <c r="BG1988" s="350"/>
      <c r="BH1988" s="350"/>
    </row>
    <row r="1989" spans="4:60">
      <c r="D1989" s="350"/>
      <c r="S1989" s="350"/>
      <c r="BF1989" s="350"/>
      <c r="BG1989" s="350"/>
      <c r="BH1989" s="350"/>
    </row>
    <row r="1990" spans="4:60">
      <c r="D1990" s="350"/>
      <c r="S1990" s="350"/>
      <c r="BF1990" s="350"/>
      <c r="BG1990" s="350"/>
      <c r="BH1990" s="350"/>
    </row>
    <row r="1991" spans="4:60">
      <c r="D1991" s="350"/>
      <c r="S1991" s="350"/>
      <c r="BF1991" s="350"/>
      <c r="BG1991" s="350"/>
      <c r="BH1991" s="350"/>
    </row>
    <row r="1992" spans="4:60">
      <c r="D1992" s="350"/>
      <c r="S1992" s="350"/>
      <c r="BF1992" s="350"/>
      <c r="BG1992" s="350"/>
      <c r="BH1992" s="350"/>
    </row>
    <row r="1993" spans="4:60">
      <c r="D1993" s="350"/>
      <c r="S1993" s="350"/>
      <c r="BF1993" s="350"/>
      <c r="BG1993" s="350"/>
      <c r="BH1993" s="350"/>
    </row>
    <row r="1994" spans="4:60">
      <c r="D1994" s="350"/>
      <c r="S1994" s="350"/>
      <c r="BF1994" s="350"/>
      <c r="BG1994" s="350"/>
      <c r="BH1994" s="350"/>
    </row>
    <row r="1995" spans="4:60">
      <c r="D1995" s="350"/>
      <c r="S1995" s="350"/>
      <c r="BF1995" s="350"/>
      <c r="BG1995" s="350"/>
      <c r="BH1995" s="350"/>
    </row>
    <row r="1996" spans="4:60">
      <c r="D1996" s="350"/>
      <c r="S1996" s="350"/>
      <c r="BF1996" s="350"/>
      <c r="BG1996" s="350"/>
      <c r="BH1996" s="350"/>
    </row>
    <row r="1997" spans="4:60">
      <c r="D1997" s="350"/>
      <c r="S1997" s="350"/>
      <c r="BF1997" s="350"/>
      <c r="BG1997" s="350"/>
      <c r="BH1997" s="350"/>
    </row>
    <row r="1998" spans="4:60">
      <c r="D1998" s="350"/>
      <c r="S1998" s="350"/>
      <c r="BF1998" s="350"/>
      <c r="BG1998" s="350"/>
      <c r="BH1998" s="350"/>
    </row>
    <row r="1999" spans="4:60">
      <c r="D1999" s="350"/>
      <c r="S1999" s="350"/>
      <c r="BF1999" s="350"/>
      <c r="BG1999" s="350"/>
      <c r="BH1999" s="350"/>
    </row>
    <row r="2000" spans="4:60">
      <c r="D2000" s="350"/>
      <c r="S2000" s="350"/>
      <c r="BF2000" s="350"/>
      <c r="BG2000" s="350"/>
      <c r="BH2000" s="350"/>
    </row>
    <row r="2001" spans="4:60">
      <c r="D2001" s="350"/>
      <c r="S2001" s="350"/>
      <c r="BF2001" s="350"/>
      <c r="BG2001" s="350"/>
      <c r="BH2001" s="350"/>
    </row>
    <row r="2002" spans="4:60">
      <c r="D2002" s="350"/>
      <c r="S2002" s="350"/>
      <c r="BF2002" s="350"/>
      <c r="BG2002" s="350"/>
      <c r="BH2002" s="350"/>
    </row>
    <row r="2003" spans="4:60">
      <c r="D2003" s="350"/>
      <c r="S2003" s="350"/>
      <c r="BF2003" s="350"/>
      <c r="BG2003" s="350"/>
      <c r="BH2003" s="350"/>
    </row>
    <row r="2004" spans="4:60">
      <c r="D2004" s="350"/>
      <c r="S2004" s="350"/>
      <c r="BF2004" s="350"/>
      <c r="BG2004" s="350"/>
      <c r="BH2004" s="350"/>
    </row>
    <row r="2005" spans="4:60">
      <c r="D2005" s="350"/>
      <c r="S2005" s="350"/>
      <c r="BF2005" s="350"/>
      <c r="BG2005" s="350"/>
      <c r="BH2005" s="350"/>
    </row>
    <row r="2006" spans="4:60">
      <c r="D2006" s="350"/>
      <c r="S2006" s="350"/>
      <c r="BF2006" s="350"/>
      <c r="BG2006" s="350"/>
      <c r="BH2006" s="350"/>
    </row>
    <row r="2007" spans="4:60">
      <c r="D2007" s="350"/>
      <c r="S2007" s="350"/>
      <c r="BF2007" s="350"/>
      <c r="BG2007" s="350"/>
      <c r="BH2007" s="350"/>
    </row>
    <row r="2008" spans="4:60">
      <c r="D2008" s="350"/>
      <c r="S2008" s="350"/>
      <c r="BF2008" s="350"/>
      <c r="BG2008" s="350"/>
      <c r="BH2008" s="350"/>
    </row>
    <row r="2009" spans="4:60">
      <c r="D2009" s="350"/>
      <c r="S2009" s="350"/>
      <c r="BF2009" s="350"/>
      <c r="BG2009" s="350"/>
      <c r="BH2009" s="350"/>
    </row>
    <row r="2010" spans="4:60">
      <c r="D2010" s="350"/>
      <c r="S2010" s="350"/>
      <c r="BF2010" s="350"/>
      <c r="BG2010" s="350"/>
      <c r="BH2010" s="350"/>
    </row>
    <row r="2011" spans="4:60">
      <c r="D2011" s="350"/>
      <c r="S2011" s="350"/>
      <c r="BF2011" s="350"/>
      <c r="BG2011" s="350"/>
      <c r="BH2011" s="350"/>
    </row>
    <row r="2015" spans="4:60">
      <c r="D2015" s="350"/>
      <c r="S2015" s="350"/>
      <c r="BF2015" s="350"/>
      <c r="BG2015" s="350"/>
      <c r="BH2015" s="350"/>
    </row>
    <row r="2016" spans="4:60">
      <c r="D2016" s="350"/>
      <c r="S2016" s="350"/>
      <c r="BF2016" s="350"/>
      <c r="BG2016" s="350"/>
      <c r="BH2016" s="350"/>
    </row>
    <row r="2017" spans="4:60">
      <c r="D2017" s="350"/>
      <c r="S2017" s="350"/>
      <c r="BF2017" s="350"/>
      <c r="BG2017" s="350"/>
      <c r="BH2017" s="350"/>
    </row>
    <row r="2018" spans="4:60">
      <c r="D2018" s="350"/>
      <c r="S2018" s="350"/>
      <c r="BF2018" s="350"/>
      <c r="BG2018" s="350"/>
      <c r="BH2018" s="350"/>
    </row>
    <row r="2019" spans="4:60">
      <c r="D2019" s="350"/>
      <c r="S2019" s="350"/>
      <c r="BF2019" s="350"/>
      <c r="BG2019" s="350"/>
      <c r="BH2019" s="350"/>
    </row>
    <row r="2020" spans="4:60">
      <c r="D2020" s="350"/>
      <c r="S2020" s="350"/>
      <c r="BF2020" s="350"/>
      <c r="BG2020" s="350"/>
      <c r="BH2020" s="350"/>
    </row>
    <row r="2021" spans="4:60">
      <c r="D2021" s="350"/>
      <c r="S2021" s="350"/>
      <c r="BF2021" s="350"/>
      <c r="BG2021" s="350"/>
      <c r="BH2021" s="350"/>
    </row>
    <row r="2022" spans="4:60">
      <c r="D2022" s="350"/>
      <c r="S2022" s="350"/>
      <c r="BF2022" s="350"/>
      <c r="BG2022" s="350"/>
      <c r="BH2022" s="350"/>
    </row>
    <row r="2023" spans="4:60">
      <c r="D2023" s="350"/>
      <c r="S2023" s="350"/>
      <c r="BF2023" s="350"/>
      <c r="BG2023" s="350"/>
      <c r="BH2023" s="350"/>
    </row>
    <row r="2024" spans="4:60">
      <c r="D2024" s="350"/>
      <c r="S2024" s="350"/>
      <c r="BF2024" s="350"/>
      <c r="BG2024" s="350"/>
      <c r="BH2024" s="350"/>
    </row>
    <row r="2025" spans="4:60">
      <c r="D2025" s="350"/>
      <c r="S2025" s="350"/>
      <c r="BF2025" s="350"/>
      <c r="BG2025" s="350"/>
      <c r="BH2025" s="350"/>
    </row>
    <row r="2026" spans="4:60">
      <c r="D2026" s="350"/>
      <c r="S2026" s="350"/>
      <c r="BF2026" s="350"/>
      <c r="BG2026" s="350"/>
      <c r="BH2026" s="350"/>
    </row>
    <row r="2027" spans="4:60">
      <c r="D2027" s="350"/>
      <c r="S2027" s="350"/>
      <c r="BF2027" s="350"/>
      <c r="BG2027" s="350"/>
      <c r="BH2027" s="350"/>
    </row>
    <row r="2028" spans="4:60">
      <c r="D2028" s="350"/>
      <c r="S2028" s="350"/>
      <c r="BF2028" s="350"/>
      <c r="BG2028" s="350"/>
      <c r="BH2028" s="350"/>
    </row>
    <row r="2029" spans="4:60">
      <c r="D2029" s="350"/>
      <c r="S2029" s="350"/>
      <c r="BF2029" s="350"/>
      <c r="BG2029" s="350"/>
      <c r="BH2029" s="350"/>
    </row>
    <row r="2030" spans="4:60">
      <c r="D2030" s="350"/>
      <c r="S2030" s="350"/>
      <c r="BF2030" s="350"/>
      <c r="BG2030" s="350"/>
      <c r="BH2030" s="350"/>
    </row>
    <row r="2031" spans="4:60">
      <c r="D2031" s="350"/>
      <c r="S2031" s="350"/>
      <c r="BF2031" s="350"/>
      <c r="BG2031" s="350"/>
      <c r="BH2031" s="350"/>
    </row>
    <row r="2032" spans="4:60">
      <c r="D2032" s="350"/>
      <c r="S2032" s="350"/>
      <c r="BF2032" s="350"/>
      <c r="BG2032" s="350"/>
      <c r="BH2032" s="350"/>
    </row>
    <row r="2033" spans="4:60">
      <c r="D2033" s="350"/>
      <c r="S2033" s="350"/>
      <c r="BF2033" s="350"/>
      <c r="BG2033" s="350"/>
      <c r="BH2033" s="350"/>
    </row>
    <row r="2034" spans="4:60">
      <c r="D2034" s="350"/>
      <c r="S2034" s="350"/>
      <c r="BF2034" s="350"/>
      <c r="BG2034" s="350"/>
      <c r="BH2034" s="350"/>
    </row>
    <row r="2035" spans="4:60">
      <c r="D2035" s="350"/>
      <c r="S2035" s="350"/>
      <c r="BF2035" s="350"/>
      <c r="BG2035" s="350"/>
      <c r="BH2035" s="350"/>
    </row>
    <row r="2036" spans="4:60">
      <c r="D2036" s="350"/>
      <c r="S2036" s="350"/>
      <c r="BF2036" s="350"/>
      <c r="BG2036" s="350"/>
      <c r="BH2036" s="350"/>
    </row>
    <row r="2037" spans="4:60">
      <c r="D2037" s="350"/>
      <c r="S2037" s="350"/>
      <c r="BF2037" s="350"/>
      <c r="BG2037" s="350"/>
      <c r="BH2037" s="350"/>
    </row>
    <row r="2038" spans="4:60">
      <c r="D2038" s="350"/>
      <c r="S2038" s="350"/>
      <c r="BF2038" s="350"/>
      <c r="BG2038" s="350"/>
      <c r="BH2038" s="350"/>
    </row>
    <row r="2039" spans="4:60">
      <c r="D2039" s="350"/>
      <c r="S2039" s="350"/>
      <c r="BF2039" s="350"/>
      <c r="BG2039" s="350"/>
      <c r="BH2039" s="350"/>
    </row>
    <row r="2040" spans="4:60">
      <c r="D2040" s="350"/>
      <c r="S2040" s="350"/>
      <c r="BF2040" s="350"/>
      <c r="BG2040" s="350"/>
      <c r="BH2040" s="350"/>
    </row>
    <row r="2041" spans="4:60">
      <c r="D2041" s="350"/>
      <c r="S2041" s="350"/>
      <c r="BF2041" s="350"/>
      <c r="BG2041" s="350"/>
      <c r="BH2041" s="350"/>
    </row>
    <row r="2042" spans="4:60">
      <c r="D2042" s="350"/>
      <c r="S2042" s="350"/>
      <c r="BF2042" s="350"/>
      <c r="BG2042" s="350"/>
      <c r="BH2042" s="350"/>
    </row>
    <row r="2043" spans="4:60">
      <c r="D2043" s="350"/>
      <c r="S2043" s="350"/>
      <c r="BF2043" s="350"/>
      <c r="BG2043" s="350"/>
      <c r="BH2043" s="350"/>
    </row>
    <row r="2044" spans="4:60">
      <c r="D2044" s="350"/>
      <c r="S2044" s="350"/>
      <c r="BF2044" s="350"/>
      <c r="BG2044" s="350"/>
      <c r="BH2044" s="350"/>
    </row>
    <row r="2045" spans="4:60">
      <c r="D2045" s="350"/>
      <c r="S2045" s="350"/>
      <c r="BF2045" s="350"/>
      <c r="BG2045" s="350"/>
      <c r="BH2045" s="350"/>
    </row>
    <row r="2046" spans="4:60">
      <c r="D2046" s="350"/>
      <c r="S2046" s="350"/>
      <c r="BF2046" s="350"/>
      <c r="BG2046" s="350"/>
      <c r="BH2046" s="350"/>
    </row>
    <row r="2047" spans="4:60">
      <c r="D2047" s="350"/>
      <c r="S2047" s="350"/>
      <c r="BF2047" s="350"/>
      <c r="BG2047" s="350"/>
      <c r="BH2047" s="350"/>
    </row>
    <row r="2048" spans="4:60">
      <c r="D2048" s="350"/>
      <c r="S2048" s="350"/>
      <c r="BF2048" s="350"/>
      <c r="BG2048" s="350"/>
      <c r="BH2048" s="350"/>
    </row>
    <row r="2049" spans="4:60">
      <c r="D2049" s="350"/>
      <c r="S2049" s="350"/>
      <c r="BF2049" s="350"/>
      <c r="BG2049" s="350"/>
      <c r="BH2049" s="350"/>
    </row>
    <row r="2050" spans="4:60">
      <c r="D2050" s="350"/>
      <c r="S2050" s="350"/>
      <c r="BF2050" s="350"/>
      <c r="BG2050" s="350"/>
      <c r="BH2050" s="350"/>
    </row>
    <row r="2051" spans="4:60">
      <c r="D2051" s="350"/>
      <c r="S2051" s="350"/>
      <c r="BF2051" s="350"/>
      <c r="BG2051" s="350"/>
      <c r="BH2051" s="350"/>
    </row>
    <row r="2052" spans="4:60">
      <c r="D2052" s="350"/>
      <c r="S2052" s="350"/>
      <c r="BF2052" s="350"/>
      <c r="BG2052" s="350"/>
      <c r="BH2052" s="350"/>
    </row>
    <row r="2053" spans="4:60">
      <c r="D2053" s="350"/>
      <c r="S2053" s="350"/>
      <c r="BF2053" s="350"/>
      <c r="BG2053" s="350"/>
      <c r="BH2053" s="350"/>
    </row>
    <row r="2054" spans="4:60">
      <c r="D2054" s="350"/>
      <c r="S2054" s="350"/>
      <c r="BF2054" s="350"/>
      <c r="BG2054" s="350"/>
      <c r="BH2054" s="350"/>
    </row>
    <row r="2055" spans="4:60">
      <c r="D2055" s="350"/>
      <c r="S2055" s="350"/>
      <c r="BF2055" s="350"/>
      <c r="BG2055" s="350"/>
      <c r="BH2055" s="350"/>
    </row>
    <row r="2056" spans="4:60">
      <c r="D2056" s="350"/>
      <c r="S2056" s="350"/>
      <c r="BF2056" s="350"/>
      <c r="BG2056" s="350"/>
      <c r="BH2056" s="350"/>
    </row>
    <row r="2057" spans="4:60">
      <c r="D2057" s="350"/>
      <c r="S2057" s="350"/>
      <c r="BF2057" s="350"/>
      <c r="BG2057" s="350"/>
      <c r="BH2057" s="350"/>
    </row>
    <row r="2058" spans="4:60">
      <c r="D2058" s="350"/>
      <c r="S2058" s="350"/>
      <c r="BF2058" s="350"/>
      <c r="BG2058" s="350"/>
      <c r="BH2058" s="350"/>
    </row>
    <row r="2059" spans="4:60">
      <c r="D2059" s="350"/>
      <c r="S2059" s="350"/>
      <c r="BF2059" s="350"/>
      <c r="BG2059" s="350"/>
      <c r="BH2059" s="350"/>
    </row>
    <row r="2060" spans="4:60">
      <c r="D2060" s="350"/>
      <c r="S2060" s="350"/>
      <c r="BF2060" s="350"/>
      <c r="BG2060" s="350"/>
      <c r="BH2060" s="350"/>
    </row>
    <row r="2061" spans="4:60">
      <c r="D2061" s="350"/>
      <c r="S2061" s="350"/>
      <c r="BF2061" s="350"/>
      <c r="BG2061" s="350"/>
      <c r="BH2061" s="350"/>
    </row>
    <row r="2062" spans="4:60">
      <c r="D2062" s="350"/>
      <c r="S2062" s="350"/>
      <c r="BF2062" s="350"/>
      <c r="BG2062" s="350"/>
      <c r="BH2062" s="350"/>
    </row>
    <row r="2063" spans="4:60">
      <c r="D2063" s="350"/>
      <c r="S2063" s="350"/>
      <c r="BF2063" s="350"/>
      <c r="BG2063" s="350"/>
      <c r="BH2063" s="350"/>
    </row>
    <row r="2064" spans="4:60">
      <c r="D2064" s="350"/>
      <c r="S2064" s="350"/>
      <c r="BF2064" s="350"/>
      <c r="BG2064" s="350"/>
      <c r="BH2064" s="350"/>
    </row>
    <row r="2065" spans="4:60">
      <c r="D2065" s="350"/>
      <c r="S2065" s="350"/>
      <c r="BF2065" s="350"/>
      <c r="BG2065" s="350"/>
      <c r="BH2065" s="350"/>
    </row>
    <row r="2066" spans="4:60">
      <c r="D2066" s="350"/>
      <c r="S2066" s="350"/>
      <c r="BF2066" s="350"/>
      <c r="BG2066" s="350"/>
      <c r="BH2066" s="350"/>
    </row>
    <row r="2067" spans="4:60">
      <c r="D2067" s="350"/>
      <c r="S2067" s="350"/>
      <c r="BF2067" s="350"/>
      <c r="BG2067" s="350"/>
      <c r="BH2067" s="350"/>
    </row>
    <row r="2068" spans="4:60">
      <c r="D2068" s="350"/>
      <c r="S2068" s="350"/>
      <c r="BF2068" s="350"/>
      <c r="BG2068" s="350"/>
      <c r="BH2068" s="350"/>
    </row>
    <row r="2069" spans="4:60">
      <c r="D2069" s="350"/>
      <c r="S2069" s="350"/>
      <c r="BF2069" s="350"/>
      <c r="BG2069" s="350"/>
      <c r="BH2069" s="350"/>
    </row>
    <row r="2070" spans="4:60">
      <c r="D2070" s="350"/>
      <c r="S2070" s="350"/>
      <c r="BF2070" s="350"/>
      <c r="BG2070" s="350"/>
      <c r="BH2070" s="350"/>
    </row>
    <row r="2071" spans="4:60">
      <c r="D2071" s="350"/>
      <c r="S2071" s="350"/>
      <c r="BF2071" s="350"/>
      <c r="BG2071" s="350"/>
      <c r="BH2071" s="350"/>
    </row>
    <row r="2072" spans="4:60">
      <c r="D2072" s="350"/>
      <c r="S2072" s="350"/>
      <c r="BF2072" s="350"/>
      <c r="BG2072" s="350"/>
      <c r="BH2072" s="350"/>
    </row>
    <row r="2073" spans="4:60">
      <c r="D2073" s="350"/>
      <c r="S2073" s="350"/>
      <c r="BF2073" s="350"/>
      <c r="BG2073" s="350"/>
      <c r="BH2073" s="350"/>
    </row>
    <row r="2074" spans="4:60">
      <c r="D2074" s="350"/>
      <c r="S2074" s="350"/>
      <c r="BF2074" s="350"/>
      <c r="BG2074" s="350"/>
      <c r="BH2074" s="350"/>
    </row>
    <row r="2075" spans="4:60">
      <c r="D2075" s="350"/>
      <c r="S2075" s="350"/>
      <c r="BF2075" s="350"/>
      <c r="BG2075" s="350"/>
      <c r="BH2075" s="350"/>
    </row>
    <row r="2076" spans="4:60">
      <c r="D2076" s="350"/>
      <c r="S2076" s="350"/>
      <c r="BF2076" s="350"/>
      <c r="BG2076" s="350"/>
      <c r="BH2076" s="350"/>
    </row>
    <row r="2077" spans="4:60">
      <c r="D2077" s="350"/>
      <c r="S2077" s="350"/>
      <c r="BF2077" s="350"/>
      <c r="BG2077" s="350"/>
      <c r="BH2077" s="350"/>
    </row>
    <row r="2078" spans="4:60">
      <c r="D2078" s="350"/>
      <c r="S2078" s="350"/>
      <c r="BF2078" s="350"/>
      <c r="BG2078" s="350"/>
      <c r="BH2078" s="350"/>
    </row>
    <row r="2079" spans="4:60">
      <c r="D2079" s="350"/>
      <c r="S2079" s="350"/>
      <c r="BF2079" s="350"/>
      <c r="BG2079" s="350"/>
      <c r="BH2079" s="350"/>
    </row>
    <row r="2080" spans="4:60">
      <c r="D2080" s="350"/>
      <c r="S2080" s="350"/>
      <c r="BF2080" s="350"/>
      <c r="BG2080" s="350"/>
      <c r="BH2080" s="350"/>
    </row>
    <row r="2081" spans="4:60">
      <c r="D2081" s="350"/>
      <c r="S2081" s="350"/>
      <c r="BF2081" s="350"/>
      <c r="BG2081" s="350"/>
      <c r="BH2081" s="350"/>
    </row>
    <row r="2082" spans="4:60">
      <c r="D2082" s="350"/>
      <c r="S2082" s="350"/>
      <c r="BF2082" s="350"/>
      <c r="BG2082" s="350"/>
      <c r="BH2082" s="350"/>
    </row>
    <row r="2083" spans="4:60">
      <c r="D2083" s="350"/>
      <c r="S2083" s="350"/>
      <c r="BF2083" s="350"/>
      <c r="BG2083" s="350"/>
      <c r="BH2083" s="350"/>
    </row>
    <row r="2084" spans="4:60">
      <c r="D2084" s="350"/>
      <c r="S2084" s="350"/>
      <c r="BF2084" s="350"/>
      <c r="BG2084" s="350"/>
      <c r="BH2084" s="350"/>
    </row>
    <row r="2085" spans="4:60">
      <c r="D2085" s="350"/>
      <c r="S2085" s="350"/>
      <c r="BF2085" s="350"/>
      <c r="BG2085" s="350"/>
      <c r="BH2085" s="350"/>
    </row>
    <row r="2086" spans="4:60">
      <c r="D2086" s="350"/>
      <c r="S2086" s="350"/>
      <c r="BF2086" s="350"/>
      <c r="BG2086" s="350"/>
      <c r="BH2086" s="350"/>
    </row>
    <row r="2087" spans="4:60">
      <c r="D2087" s="350"/>
      <c r="S2087" s="350"/>
      <c r="BF2087" s="350"/>
      <c r="BG2087" s="350"/>
      <c r="BH2087" s="350"/>
    </row>
    <row r="2088" spans="4:60">
      <c r="D2088" s="350"/>
      <c r="S2088" s="350"/>
      <c r="BF2088" s="350"/>
      <c r="BG2088" s="350"/>
      <c r="BH2088" s="350"/>
    </row>
    <row r="2090" spans="4:60">
      <c r="D2090" s="350"/>
      <c r="S2090" s="350"/>
      <c r="BF2090" s="350"/>
      <c r="BG2090" s="350"/>
      <c r="BH2090" s="350"/>
    </row>
    <row r="2091" spans="4:60">
      <c r="D2091" s="350"/>
      <c r="S2091" s="350"/>
      <c r="BF2091" s="350"/>
      <c r="BG2091" s="350"/>
      <c r="BH2091" s="350"/>
    </row>
    <row r="2096" spans="4:60">
      <c r="D2096" s="350"/>
      <c r="S2096" s="350"/>
      <c r="BF2096" s="350"/>
      <c r="BG2096" s="350"/>
      <c r="BH2096" s="350"/>
    </row>
    <row r="2097" spans="4:60">
      <c r="D2097" s="350"/>
      <c r="S2097" s="350"/>
      <c r="BF2097" s="350"/>
      <c r="BG2097" s="350"/>
      <c r="BH2097" s="350"/>
    </row>
    <row r="2099" spans="4:60">
      <c r="D2099" s="350"/>
      <c r="S2099" s="350"/>
      <c r="BF2099" s="350"/>
      <c r="BG2099" s="350"/>
      <c r="BH2099" s="350"/>
    </row>
    <row r="2100" spans="4:60">
      <c r="D2100" s="350"/>
      <c r="S2100" s="350"/>
      <c r="BF2100" s="350"/>
      <c r="BG2100" s="350"/>
      <c r="BH2100" s="350"/>
    </row>
    <row r="2101" spans="4:60">
      <c r="D2101" s="350"/>
      <c r="S2101" s="350"/>
      <c r="BF2101" s="350"/>
      <c r="BG2101" s="350"/>
      <c r="BH2101" s="350"/>
    </row>
    <row r="2102" spans="4:60">
      <c r="D2102" s="350"/>
      <c r="S2102" s="350"/>
      <c r="BF2102" s="350"/>
      <c r="BG2102" s="350"/>
      <c r="BH2102" s="350"/>
    </row>
    <row r="2103" spans="4:60">
      <c r="D2103" s="350"/>
      <c r="S2103" s="350"/>
      <c r="BF2103" s="350"/>
      <c r="BG2103" s="350"/>
      <c r="BH2103" s="350"/>
    </row>
    <row r="2104" spans="4:60">
      <c r="D2104" s="350"/>
      <c r="S2104" s="350"/>
      <c r="BF2104" s="350"/>
      <c r="BG2104" s="350"/>
      <c r="BH2104" s="350"/>
    </row>
    <row r="2105" spans="4:60">
      <c r="D2105" s="350"/>
      <c r="S2105" s="350"/>
      <c r="BF2105" s="350"/>
      <c r="BG2105" s="350"/>
      <c r="BH2105" s="350"/>
    </row>
    <row r="2106" spans="4:60">
      <c r="D2106" s="350"/>
      <c r="S2106" s="350"/>
      <c r="BF2106" s="350"/>
      <c r="BG2106" s="350"/>
      <c r="BH2106" s="350"/>
    </row>
    <row r="2107" spans="4:60">
      <c r="D2107" s="350"/>
      <c r="S2107" s="350"/>
      <c r="BF2107" s="350"/>
      <c r="BG2107" s="350"/>
      <c r="BH2107" s="350"/>
    </row>
    <row r="2108" spans="4:60">
      <c r="D2108" s="350"/>
      <c r="S2108" s="350"/>
      <c r="BF2108" s="350"/>
      <c r="BG2108" s="350"/>
      <c r="BH2108" s="350"/>
    </row>
    <row r="2109" spans="4:60">
      <c r="D2109" s="350"/>
      <c r="S2109" s="350"/>
      <c r="BF2109" s="350"/>
      <c r="BG2109" s="350"/>
      <c r="BH2109" s="350"/>
    </row>
    <row r="2110" spans="4:60">
      <c r="D2110" s="350"/>
      <c r="S2110" s="350"/>
      <c r="BF2110" s="350"/>
      <c r="BG2110" s="350"/>
      <c r="BH2110" s="350"/>
    </row>
    <row r="2111" spans="4:60">
      <c r="D2111" s="350"/>
      <c r="S2111" s="350"/>
      <c r="BF2111" s="350"/>
      <c r="BG2111" s="350"/>
      <c r="BH2111" s="350"/>
    </row>
    <row r="2112" spans="4:60">
      <c r="D2112" s="350"/>
      <c r="S2112" s="350"/>
      <c r="BF2112" s="350"/>
      <c r="BG2112" s="350"/>
      <c r="BH2112" s="350"/>
    </row>
    <row r="2113" spans="4:60">
      <c r="D2113" s="350"/>
      <c r="S2113" s="350"/>
      <c r="BF2113" s="350"/>
      <c r="BG2113" s="350"/>
      <c r="BH2113" s="350"/>
    </row>
    <row r="2114" spans="4:60">
      <c r="D2114" s="350"/>
      <c r="S2114" s="350"/>
      <c r="BF2114" s="350"/>
      <c r="BG2114" s="350"/>
      <c r="BH2114" s="350"/>
    </row>
    <row r="2115" spans="4:60">
      <c r="D2115" s="350"/>
      <c r="S2115" s="350"/>
      <c r="BF2115" s="350"/>
      <c r="BG2115" s="350"/>
      <c r="BH2115" s="350"/>
    </row>
    <row r="2116" spans="4:60">
      <c r="D2116" s="350"/>
      <c r="S2116" s="350"/>
      <c r="BF2116" s="350"/>
      <c r="BG2116" s="350"/>
      <c r="BH2116" s="350"/>
    </row>
    <row r="2117" spans="4:60">
      <c r="D2117" s="350"/>
      <c r="S2117" s="350"/>
      <c r="BF2117" s="350"/>
      <c r="BG2117" s="350"/>
      <c r="BH2117" s="350"/>
    </row>
    <row r="2118" spans="4:60">
      <c r="D2118" s="350"/>
      <c r="S2118" s="350"/>
      <c r="BF2118" s="350"/>
      <c r="BG2118" s="350"/>
      <c r="BH2118" s="350"/>
    </row>
    <row r="2119" spans="4:60">
      <c r="D2119" s="350"/>
      <c r="S2119" s="350"/>
      <c r="BF2119" s="350"/>
      <c r="BG2119" s="350"/>
      <c r="BH2119" s="350"/>
    </row>
    <row r="2120" spans="4:60">
      <c r="D2120" s="350"/>
      <c r="S2120" s="350"/>
      <c r="BF2120" s="350"/>
      <c r="BG2120" s="350"/>
      <c r="BH2120" s="350"/>
    </row>
    <row r="2121" spans="4:60">
      <c r="D2121" s="350"/>
      <c r="S2121" s="350"/>
      <c r="BF2121" s="350"/>
      <c r="BG2121" s="350"/>
      <c r="BH2121" s="350"/>
    </row>
    <row r="2122" spans="4:60">
      <c r="D2122" s="350"/>
      <c r="S2122" s="350"/>
      <c r="BF2122" s="350"/>
      <c r="BG2122" s="350"/>
      <c r="BH2122" s="350"/>
    </row>
    <row r="2123" spans="4:60">
      <c r="D2123" s="350"/>
      <c r="S2123" s="350"/>
      <c r="BF2123" s="350"/>
      <c r="BG2123" s="350"/>
      <c r="BH2123" s="350"/>
    </row>
    <row r="2124" spans="4:60">
      <c r="D2124" s="350"/>
      <c r="S2124" s="350"/>
      <c r="BF2124" s="350"/>
      <c r="BG2124" s="350"/>
      <c r="BH2124" s="350"/>
    </row>
    <row r="2125" spans="4:60">
      <c r="D2125" s="350"/>
      <c r="S2125" s="350"/>
      <c r="BF2125" s="350"/>
      <c r="BG2125" s="350"/>
      <c r="BH2125" s="350"/>
    </row>
    <row r="2126" spans="4:60">
      <c r="D2126" s="350"/>
      <c r="S2126" s="350"/>
      <c r="BF2126" s="350"/>
      <c r="BG2126" s="350"/>
      <c r="BH2126" s="350"/>
    </row>
    <row r="2127" spans="4:60">
      <c r="D2127" s="350"/>
      <c r="S2127" s="350"/>
      <c r="BF2127" s="350"/>
      <c r="BG2127" s="350"/>
      <c r="BH2127" s="350"/>
    </row>
    <row r="2128" spans="4:60">
      <c r="D2128" s="350"/>
      <c r="S2128" s="350"/>
      <c r="BF2128" s="350"/>
      <c r="BG2128" s="350"/>
      <c r="BH2128" s="350"/>
    </row>
    <row r="2129" spans="4:60">
      <c r="D2129" s="350"/>
      <c r="S2129" s="350"/>
      <c r="BF2129" s="350"/>
      <c r="BG2129" s="350"/>
      <c r="BH2129" s="350"/>
    </row>
    <row r="2130" spans="4:60">
      <c r="D2130" s="350"/>
      <c r="S2130" s="350"/>
      <c r="BF2130" s="350"/>
      <c r="BG2130" s="350"/>
      <c r="BH2130" s="350"/>
    </row>
    <row r="2131" spans="4:60">
      <c r="D2131" s="350"/>
      <c r="S2131" s="350"/>
      <c r="BF2131" s="350"/>
      <c r="BG2131" s="350"/>
      <c r="BH2131" s="350"/>
    </row>
    <row r="2132" spans="4:60">
      <c r="D2132" s="350"/>
      <c r="S2132" s="350"/>
      <c r="BF2132" s="350"/>
      <c r="BG2132" s="350"/>
      <c r="BH2132" s="350"/>
    </row>
    <row r="2133" spans="4:60">
      <c r="D2133" s="350"/>
      <c r="S2133" s="350"/>
      <c r="BF2133" s="350"/>
      <c r="BG2133" s="350"/>
      <c r="BH2133" s="350"/>
    </row>
    <row r="2134" spans="4:60">
      <c r="D2134" s="350"/>
      <c r="S2134" s="350"/>
      <c r="BF2134" s="350"/>
      <c r="BG2134" s="350"/>
      <c r="BH2134" s="350"/>
    </row>
    <row r="2135" spans="4:60">
      <c r="D2135" s="350"/>
      <c r="S2135" s="350"/>
      <c r="BF2135" s="350"/>
      <c r="BG2135" s="350"/>
      <c r="BH2135" s="350"/>
    </row>
    <row r="2136" spans="4:60">
      <c r="D2136" s="350"/>
      <c r="S2136" s="350"/>
      <c r="BF2136" s="350"/>
      <c r="BG2136" s="350"/>
      <c r="BH2136" s="350"/>
    </row>
    <row r="2137" spans="4:60">
      <c r="D2137" s="350"/>
      <c r="S2137" s="350"/>
      <c r="BF2137" s="350"/>
      <c r="BG2137" s="350"/>
      <c r="BH2137" s="350"/>
    </row>
    <row r="2138" spans="4:60">
      <c r="D2138" s="350"/>
      <c r="S2138" s="350"/>
      <c r="BF2138" s="350"/>
      <c r="BG2138" s="350"/>
      <c r="BH2138" s="350"/>
    </row>
    <row r="2139" spans="4:60">
      <c r="D2139" s="350"/>
      <c r="S2139" s="350"/>
      <c r="BF2139" s="350"/>
      <c r="BG2139" s="350"/>
      <c r="BH2139" s="350"/>
    </row>
    <row r="2140" spans="4:60">
      <c r="D2140" s="350"/>
      <c r="S2140" s="350"/>
      <c r="BF2140" s="350"/>
      <c r="BG2140" s="350"/>
      <c r="BH2140" s="350"/>
    </row>
    <row r="2141" spans="4:60">
      <c r="D2141" s="350"/>
      <c r="S2141" s="350"/>
      <c r="BF2141" s="350"/>
      <c r="BG2141" s="350"/>
      <c r="BH2141" s="350"/>
    </row>
    <row r="2142" spans="4:60">
      <c r="D2142" s="350"/>
      <c r="S2142" s="350"/>
      <c r="BF2142" s="350"/>
      <c r="BG2142" s="350"/>
      <c r="BH2142" s="350"/>
    </row>
    <row r="2143" spans="4:60">
      <c r="D2143" s="350"/>
      <c r="S2143" s="350"/>
      <c r="BF2143" s="350"/>
      <c r="BG2143" s="350"/>
      <c r="BH2143" s="350"/>
    </row>
    <row r="2144" spans="4:60">
      <c r="D2144" s="350"/>
      <c r="S2144" s="350"/>
      <c r="BF2144" s="350"/>
      <c r="BG2144" s="350"/>
      <c r="BH2144" s="350"/>
    </row>
    <row r="2145" spans="4:60">
      <c r="D2145" s="350"/>
      <c r="S2145" s="350"/>
      <c r="BF2145" s="350"/>
      <c r="BG2145" s="350"/>
      <c r="BH2145" s="350"/>
    </row>
    <row r="2146" spans="4:60">
      <c r="D2146" s="350"/>
      <c r="S2146" s="350"/>
      <c r="BF2146" s="350"/>
      <c r="BG2146" s="350"/>
      <c r="BH2146" s="350"/>
    </row>
    <row r="2147" spans="4:60">
      <c r="D2147" s="350"/>
      <c r="S2147" s="350"/>
      <c r="BF2147" s="350"/>
      <c r="BG2147" s="350"/>
      <c r="BH2147" s="350"/>
    </row>
    <row r="2148" spans="4:60">
      <c r="D2148" s="350"/>
      <c r="S2148" s="350"/>
      <c r="BF2148" s="350"/>
      <c r="BG2148" s="350"/>
      <c r="BH2148" s="350"/>
    </row>
    <row r="2149" spans="4:60">
      <c r="D2149" s="350"/>
      <c r="S2149" s="350"/>
      <c r="BF2149" s="350"/>
      <c r="BG2149" s="350"/>
      <c r="BH2149" s="350"/>
    </row>
    <row r="2150" spans="4:60">
      <c r="D2150" s="350"/>
      <c r="S2150" s="350"/>
      <c r="BF2150" s="350"/>
      <c r="BG2150" s="350"/>
      <c r="BH2150" s="350"/>
    </row>
    <row r="2151" spans="4:60">
      <c r="D2151" s="350"/>
      <c r="S2151" s="350"/>
      <c r="BF2151" s="350"/>
      <c r="BG2151" s="350"/>
      <c r="BH2151" s="350"/>
    </row>
    <row r="2152" spans="4:60">
      <c r="D2152" s="350"/>
      <c r="S2152" s="350"/>
      <c r="BF2152" s="350"/>
      <c r="BG2152" s="350"/>
      <c r="BH2152" s="350"/>
    </row>
    <row r="2153" spans="4:60">
      <c r="D2153" s="350"/>
      <c r="S2153" s="350"/>
      <c r="BF2153" s="350"/>
      <c r="BG2153" s="350"/>
      <c r="BH2153" s="350"/>
    </row>
    <row r="2154" spans="4:60">
      <c r="D2154" s="350"/>
      <c r="S2154" s="350"/>
      <c r="BF2154" s="350"/>
      <c r="BG2154" s="350"/>
      <c r="BH2154" s="350"/>
    </row>
    <row r="2155" spans="4:60">
      <c r="D2155" s="350"/>
      <c r="S2155" s="350"/>
      <c r="BF2155" s="350"/>
      <c r="BG2155" s="350"/>
      <c r="BH2155" s="350"/>
    </row>
    <row r="2156" spans="4:60">
      <c r="D2156" s="350"/>
      <c r="S2156" s="350"/>
      <c r="BF2156" s="350"/>
      <c r="BG2156" s="350"/>
      <c r="BH2156" s="350"/>
    </row>
    <row r="2157" spans="4:60">
      <c r="D2157" s="350"/>
      <c r="S2157" s="350"/>
      <c r="BF2157" s="350"/>
      <c r="BG2157" s="350"/>
      <c r="BH2157" s="350"/>
    </row>
    <row r="2158" spans="4:60">
      <c r="D2158" s="350"/>
      <c r="S2158" s="350"/>
      <c r="BF2158" s="350"/>
      <c r="BG2158" s="350"/>
      <c r="BH2158" s="350"/>
    </row>
    <row r="2159" spans="4:60">
      <c r="D2159" s="350"/>
      <c r="S2159" s="350"/>
      <c r="BF2159" s="350"/>
      <c r="BG2159" s="350"/>
      <c r="BH2159" s="350"/>
    </row>
    <row r="2160" spans="4:60">
      <c r="D2160" s="350"/>
      <c r="S2160" s="350"/>
      <c r="BF2160" s="350"/>
      <c r="BG2160" s="350"/>
      <c r="BH2160" s="350"/>
    </row>
    <row r="2161" spans="4:60">
      <c r="D2161" s="350"/>
      <c r="S2161" s="350"/>
      <c r="BF2161" s="350"/>
      <c r="BG2161" s="350"/>
      <c r="BH2161" s="350"/>
    </row>
    <row r="2162" spans="4:60">
      <c r="D2162" s="350"/>
      <c r="S2162" s="350"/>
      <c r="BF2162" s="350"/>
      <c r="BG2162" s="350"/>
      <c r="BH2162" s="350"/>
    </row>
    <row r="2163" spans="4:60">
      <c r="D2163" s="350"/>
      <c r="S2163" s="350"/>
      <c r="BF2163" s="350"/>
      <c r="BG2163" s="350"/>
      <c r="BH2163" s="350"/>
    </row>
    <row r="2164" spans="4:60">
      <c r="D2164" s="350"/>
      <c r="S2164" s="350"/>
      <c r="BF2164" s="350"/>
      <c r="BG2164" s="350"/>
      <c r="BH2164" s="350"/>
    </row>
    <row r="2165" spans="4:60">
      <c r="D2165" s="350"/>
      <c r="S2165" s="350"/>
      <c r="BF2165" s="350"/>
      <c r="BG2165" s="350"/>
      <c r="BH2165" s="350"/>
    </row>
    <row r="2166" spans="4:60">
      <c r="D2166" s="350"/>
      <c r="S2166" s="350"/>
      <c r="BF2166" s="350"/>
      <c r="BG2166" s="350"/>
      <c r="BH2166" s="350"/>
    </row>
    <row r="2167" spans="4:60">
      <c r="D2167" s="350"/>
      <c r="S2167" s="350"/>
      <c r="BF2167" s="350"/>
      <c r="BG2167" s="350"/>
      <c r="BH2167" s="350"/>
    </row>
    <row r="2168" spans="4:60">
      <c r="D2168" s="350"/>
      <c r="S2168" s="350"/>
      <c r="BF2168" s="350"/>
      <c r="BG2168" s="350"/>
      <c r="BH2168" s="350"/>
    </row>
    <row r="2169" spans="4:60">
      <c r="D2169" s="350"/>
      <c r="S2169" s="350"/>
      <c r="BF2169" s="350"/>
      <c r="BG2169" s="350"/>
      <c r="BH2169" s="350"/>
    </row>
    <row r="2170" spans="4:60">
      <c r="D2170" s="350"/>
      <c r="S2170" s="350"/>
      <c r="BF2170" s="350"/>
      <c r="BG2170" s="350"/>
      <c r="BH2170" s="350"/>
    </row>
    <row r="2171" spans="4:60">
      <c r="D2171" s="350"/>
      <c r="S2171" s="350"/>
      <c r="BF2171" s="350"/>
      <c r="BG2171" s="350"/>
      <c r="BH2171" s="350"/>
    </row>
    <row r="2172" spans="4:60">
      <c r="D2172" s="350"/>
      <c r="S2172" s="350"/>
      <c r="BF2172" s="350"/>
      <c r="BG2172" s="350"/>
      <c r="BH2172" s="350"/>
    </row>
    <row r="2173" spans="4:60">
      <c r="D2173" s="350"/>
      <c r="S2173" s="350"/>
      <c r="BF2173" s="350"/>
      <c r="BG2173" s="350"/>
      <c r="BH2173" s="350"/>
    </row>
    <row r="2174" spans="4:60">
      <c r="D2174" s="350"/>
      <c r="S2174" s="350"/>
      <c r="BF2174" s="350"/>
      <c r="BG2174" s="350"/>
      <c r="BH2174" s="350"/>
    </row>
    <row r="2175" spans="4:60">
      <c r="D2175" s="350"/>
      <c r="S2175" s="350"/>
      <c r="BF2175" s="350"/>
      <c r="BG2175" s="350"/>
      <c r="BH2175" s="350"/>
    </row>
    <row r="2176" spans="4:60">
      <c r="D2176" s="350"/>
      <c r="S2176" s="350"/>
      <c r="BF2176" s="350"/>
      <c r="BG2176" s="350"/>
      <c r="BH2176" s="350"/>
    </row>
    <row r="2177" spans="4:60">
      <c r="D2177" s="350"/>
      <c r="S2177" s="350"/>
      <c r="BF2177" s="350"/>
      <c r="BG2177" s="350"/>
      <c r="BH2177" s="350"/>
    </row>
    <row r="2178" spans="4:60">
      <c r="D2178" s="350"/>
      <c r="S2178" s="350"/>
      <c r="BF2178" s="350"/>
      <c r="BG2178" s="350"/>
      <c r="BH2178" s="350"/>
    </row>
    <row r="2179" spans="4:60">
      <c r="D2179" s="350"/>
      <c r="S2179" s="350"/>
      <c r="BF2179" s="350"/>
      <c r="BG2179" s="350"/>
      <c r="BH2179" s="350"/>
    </row>
    <row r="2180" spans="4:60">
      <c r="D2180" s="350"/>
      <c r="S2180" s="350"/>
      <c r="BF2180" s="350"/>
      <c r="BG2180" s="350"/>
      <c r="BH2180" s="350"/>
    </row>
    <row r="2181" spans="4:60">
      <c r="D2181" s="350"/>
      <c r="S2181" s="350"/>
      <c r="BF2181" s="350"/>
      <c r="BG2181" s="350"/>
      <c r="BH2181" s="350"/>
    </row>
    <row r="2182" spans="4:60">
      <c r="D2182" s="350"/>
      <c r="S2182" s="350"/>
      <c r="BF2182" s="350"/>
      <c r="BG2182" s="350"/>
      <c r="BH2182" s="350"/>
    </row>
    <row r="2183" spans="4:60">
      <c r="D2183" s="350"/>
      <c r="S2183" s="350"/>
      <c r="BF2183" s="350"/>
      <c r="BG2183" s="350"/>
      <c r="BH2183" s="350"/>
    </row>
    <row r="2184" spans="4:60">
      <c r="D2184" s="350"/>
      <c r="S2184" s="350"/>
      <c r="BF2184" s="350"/>
      <c r="BG2184" s="350"/>
      <c r="BH2184" s="350"/>
    </row>
    <row r="2185" spans="4:60">
      <c r="D2185" s="350"/>
      <c r="S2185" s="350"/>
      <c r="BF2185" s="350"/>
      <c r="BG2185" s="350"/>
      <c r="BH2185" s="350"/>
    </row>
    <row r="2186" spans="4:60">
      <c r="D2186" s="350"/>
      <c r="S2186" s="350"/>
      <c r="BF2186" s="350"/>
      <c r="BG2186" s="350"/>
      <c r="BH2186" s="350"/>
    </row>
    <row r="2187" spans="4:60">
      <c r="D2187" s="350"/>
      <c r="S2187" s="350"/>
      <c r="BF2187" s="350"/>
      <c r="BG2187" s="350"/>
      <c r="BH2187" s="350"/>
    </row>
    <row r="2188" spans="4:60">
      <c r="D2188" s="350"/>
      <c r="S2188" s="350"/>
      <c r="BF2188" s="350"/>
      <c r="BG2188" s="350"/>
      <c r="BH2188" s="350"/>
    </row>
    <row r="2189" spans="4:60">
      <c r="D2189" s="350"/>
      <c r="S2189" s="350"/>
      <c r="BF2189" s="350"/>
      <c r="BG2189" s="350"/>
      <c r="BH2189" s="350"/>
    </row>
    <row r="2190" spans="4:60">
      <c r="D2190" s="350"/>
      <c r="S2190" s="350"/>
      <c r="BF2190" s="350"/>
      <c r="BG2190" s="350"/>
      <c r="BH2190" s="350"/>
    </row>
    <row r="2191" spans="4:60">
      <c r="D2191" s="350"/>
      <c r="S2191" s="350"/>
      <c r="BF2191" s="350"/>
      <c r="BG2191" s="350"/>
      <c r="BH2191" s="350"/>
    </row>
    <row r="2192" spans="4:60">
      <c r="D2192" s="350"/>
      <c r="S2192" s="350"/>
      <c r="BF2192" s="350"/>
      <c r="BG2192" s="350"/>
      <c r="BH2192" s="350"/>
    </row>
    <row r="2193" spans="4:60">
      <c r="D2193" s="350"/>
      <c r="S2193" s="350"/>
      <c r="BF2193" s="350"/>
      <c r="BG2193" s="350"/>
      <c r="BH2193" s="350"/>
    </row>
    <row r="2194" spans="4:60">
      <c r="D2194" s="350"/>
      <c r="S2194" s="350"/>
      <c r="BF2194" s="350"/>
      <c r="BG2194" s="350"/>
      <c r="BH2194" s="350"/>
    </row>
    <row r="2195" spans="4:60">
      <c r="D2195" s="350"/>
      <c r="S2195" s="350"/>
      <c r="BF2195" s="350"/>
      <c r="BG2195" s="350"/>
      <c r="BH2195" s="350"/>
    </row>
    <row r="2196" spans="4:60">
      <c r="D2196" s="350"/>
      <c r="S2196" s="350"/>
      <c r="BF2196" s="350"/>
      <c r="BG2196" s="350"/>
      <c r="BH2196" s="350"/>
    </row>
    <row r="2197" spans="4:60">
      <c r="D2197" s="350"/>
      <c r="S2197" s="350"/>
      <c r="BF2197" s="350"/>
      <c r="BG2197" s="350"/>
      <c r="BH2197" s="350"/>
    </row>
    <row r="2198" spans="4:60">
      <c r="D2198" s="350"/>
      <c r="S2198" s="350"/>
      <c r="BF2198" s="350"/>
      <c r="BG2198" s="350"/>
      <c r="BH2198" s="350"/>
    </row>
    <row r="2199" spans="4:60">
      <c r="D2199" s="350"/>
      <c r="S2199" s="350"/>
      <c r="BF2199" s="350"/>
      <c r="BG2199" s="350"/>
      <c r="BH2199" s="350"/>
    </row>
    <row r="2200" spans="4:60">
      <c r="D2200" s="350"/>
      <c r="S2200" s="350"/>
      <c r="BF2200" s="350"/>
      <c r="BG2200" s="350"/>
      <c r="BH2200" s="350"/>
    </row>
    <row r="2201" spans="4:60">
      <c r="D2201" s="350"/>
      <c r="S2201" s="350"/>
      <c r="BF2201" s="350"/>
      <c r="BG2201" s="350"/>
      <c r="BH2201" s="350"/>
    </row>
    <row r="2202" spans="4:60">
      <c r="D2202" s="350"/>
      <c r="S2202" s="350"/>
      <c r="BF2202" s="350"/>
      <c r="BG2202" s="350"/>
      <c r="BH2202" s="350"/>
    </row>
    <row r="2203" spans="4:60">
      <c r="D2203" s="350"/>
      <c r="S2203" s="350"/>
      <c r="BF2203" s="350"/>
      <c r="BG2203" s="350"/>
      <c r="BH2203" s="350"/>
    </row>
    <row r="2204" spans="4:60">
      <c r="D2204" s="350"/>
      <c r="S2204" s="350"/>
      <c r="BF2204" s="350"/>
      <c r="BG2204" s="350"/>
      <c r="BH2204" s="350"/>
    </row>
    <row r="2205" spans="4:60">
      <c r="D2205" s="350"/>
      <c r="S2205" s="350"/>
      <c r="BF2205" s="350"/>
      <c r="BG2205" s="350"/>
      <c r="BH2205" s="350"/>
    </row>
    <row r="2206" spans="4:60">
      <c r="D2206" s="350"/>
      <c r="S2206" s="350"/>
      <c r="BF2206" s="350"/>
      <c r="BG2206" s="350"/>
      <c r="BH2206" s="350"/>
    </row>
    <row r="2207" spans="4:60">
      <c r="D2207" s="350"/>
      <c r="S2207" s="350"/>
      <c r="BF2207" s="350"/>
      <c r="BG2207" s="350"/>
      <c r="BH2207" s="350"/>
    </row>
    <row r="2208" spans="4:60">
      <c r="D2208" s="350"/>
      <c r="S2208" s="350"/>
      <c r="BF2208" s="350"/>
      <c r="BG2208" s="350"/>
      <c r="BH2208" s="350"/>
    </row>
    <row r="2209" spans="4:60">
      <c r="D2209" s="350"/>
      <c r="S2209" s="350"/>
      <c r="BF2209" s="350"/>
      <c r="BG2209" s="350"/>
      <c r="BH2209" s="350"/>
    </row>
    <row r="2210" spans="4:60">
      <c r="D2210" s="350"/>
      <c r="S2210" s="350"/>
      <c r="BF2210" s="350"/>
      <c r="BG2210" s="350"/>
      <c r="BH2210" s="350"/>
    </row>
    <row r="2211" spans="4:60">
      <c r="D2211" s="350"/>
      <c r="S2211" s="350"/>
      <c r="BF2211" s="350"/>
      <c r="BG2211" s="350"/>
      <c r="BH2211" s="350"/>
    </row>
    <row r="2212" spans="4:60">
      <c r="D2212" s="350"/>
      <c r="S2212" s="350"/>
      <c r="BF2212" s="350"/>
      <c r="BG2212" s="350"/>
      <c r="BH2212" s="350"/>
    </row>
    <row r="2213" spans="4:60">
      <c r="D2213" s="350"/>
      <c r="S2213" s="350"/>
      <c r="BF2213" s="350"/>
      <c r="BG2213" s="350"/>
      <c r="BH2213" s="350"/>
    </row>
    <row r="2214" spans="4:60">
      <c r="D2214" s="350"/>
      <c r="S2214" s="350"/>
      <c r="BF2214" s="350"/>
      <c r="BG2214" s="350"/>
      <c r="BH2214" s="350"/>
    </row>
    <row r="2215" spans="4:60">
      <c r="D2215" s="350"/>
      <c r="S2215" s="350"/>
      <c r="BF2215" s="350"/>
      <c r="BG2215" s="350"/>
      <c r="BH2215" s="350"/>
    </row>
    <row r="2216" spans="4:60">
      <c r="D2216" s="350"/>
      <c r="S2216" s="350"/>
      <c r="BF2216" s="350"/>
      <c r="BG2216" s="350"/>
      <c r="BH2216" s="350"/>
    </row>
    <row r="2217" spans="4:60">
      <c r="D2217" s="350"/>
      <c r="S2217" s="350"/>
      <c r="BF2217" s="350"/>
      <c r="BG2217" s="350"/>
      <c r="BH2217" s="350"/>
    </row>
    <row r="2218" spans="4:60">
      <c r="D2218" s="350"/>
      <c r="S2218" s="350"/>
      <c r="BF2218" s="350"/>
      <c r="BG2218" s="350"/>
      <c r="BH2218" s="350"/>
    </row>
    <row r="2219" spans="4:60">
      <c r="D2219" s="350"/>
      <c r="S2219" s="350"/>
      <c r="BF2219" s="350"/>
      <c r="BG2219" s="350"/>
      <c r="BH2219" s="350"/>
    </row>
    <row r="2220" spans="4:60">
      <c r="D2220" s="350"/>
      <c r="S2220" s="350"/>
      <c r="BF2220" s="350"/>
      <c r="BG2220" s="350"/>
      <c r="BH2220" s="350"/>
    </row>
    <row r="2221" spans="4:60">
      <c r="D2221" s="350"/>
      <c r="S2221" s="350"/>
      <c r="BF2221" s="350"/>
      <c r="BG2221" s="350"/>
      <c r="BH2221" s="350"/>
    </row>
    <row r="2222" spans="4:60">
      <c r="D2222" s="350"/>
      <c r="S2222" s="350"/>
      <c r="BF2222" s="350"/>
      <c r="BG2222" s="350"/>
      <c r="BH2222" s="350"/>
    </row>
    <row r="2223" spans="4:60">
      <c r="D2223" s="350"/>
      <c r="S2223" s="350"/>
      <c r="BF2223" s="350"/>
      <c r="BG2223" s="350"/>
      <c r="BH2223" s="350"/>
    </row>
    <row r="2224" spans="4:60">
      <c r="D2224" s="350"/>
      <c r="S2224" s="350"/>
      <c r="BF2224" s="350"/>
      <c r="BG2224" s="350"/>
      <c r="BH2224" s="350"/>
    </row>
    <row r="2225" spans="4:60">
      <c r="D2225" s="350"/>
      <c r="S2225" s="350"/>
      <c r="BF2225" s="350"/>
      <c r="BG2225" s="350"/>
      <c r="BH2225" s="350"/>
    </row>
    <row r="2226" spans="4:60">
      <c r="D2226" s="350"/>
      <c r="S2226" s="350"/>
      <c r="BF2226" s="350"/>
      <c r="BG2226" s="350"/>
      <c r="BH2226" s="350"/>
    </row>
    <row r="2227" spans="4:60">
      <c r="D2227" s="350"/>
      <c r="S2227" s="350"/>
      <c r="BF2227" s="350"/>
      <c r="BG2227" s="350"/>
      <c r="BH2227" s="350"/>
    </row>
    <row r="2228" spans="4:60">
      <c r="D2228" s="350"/>
      <c r="S2228" s="350"/>
      <c r="BF2228" s="350"/>
      <c r="BG2228" s="350"/>
      <c r="BH2228" s="350"/>
    </row>
    <row r="2229" spans="4:60">
      <c r="D2229" s="350"/>
      <c r="S2229" s="350"/>
      <c r="BF2229" s="350"/>
      <c r="BG2229" s="350"/>
      <c r="BH2229" s="350"/>
    </row>
    <row r="2230" spans="4:60">
      <c r="D2230" s="350"/>
      <c r="S2230" s="350"/>
      <c r="BF2230" s="350"/>
      <c r="BG2230" s="350"/>
      <c r="BH2230" s="350"/>
    </row>
    <row r="2231" spans="4:60">
      <c r="D2231" s="350"/>
      <c r="S2231" s="350"/>
      <c r="BF2231" s="350"/>
      <c r="BG2231" s="350"/>
      <c r="BH2231" s="350"/>
    </row>
    <row r="2232" spans="4:60">
      <c r="D2232" s="350"/>
      <c r="S2232" s="350"/>
      <c r="BF2232" s="350"/>
      <c r="BG2232" s="350"/>
      <c r="BH2232" s="350"/>
    </row>
    <row r="2233" spans="4:60">
      <c r="D2233" s="350"/>
      <c r="S2233" s="350"/>
      <c r="BF2233" s="350"/>
      <c r="BG2233" s="350"/>
      <c r="BH2233" s="350"/>
    </row>
    <row r="2234" spans="4:60">
      <c r="D2234" s="350"/>
      <c r="S2234" s="350"/>
      <c r="BF2234" s="350"/>
      <c r="BG2234" s="350"/>
      <c r="BH2234" s="350"/>
    </row>
    <row r="2235" spans="4:60">
      <c r="D2235" s="350"/>
      <c r="S2235" s="350"/>
      <c r="BF2235" s="350"/>
      <c r="BG2235" s="350"/>
      <c r="BH2235" s="350"/>
    </row>
    <row r="2236" spans="4:60">
      <c r="D2236" s="350"/>
      <c r="S2236" s="350"/>
      <c r="BF2236" s="350"/>
      <c r="BG2236" s="350"/>
      <c r="BH2236" s="350"/>
    </row>
    <row r="2237" spans="4:60">
      <c r="D2237" s="350"/>
      <c r="S2237" s="350"/>
      <c r="BF2237" s="350"/>
      <c r="BG2237" s="350"/>
      <c r="BH2237" s="350"/>
    </row>
    <row r="2238" spans="4:60">
      <c r="D2238" s="350"/>
      <c r="S2238" s="350"/>
      <c r="BF2238" s="350"/>
      <c r="BG2238" s="350"/>
      <c r="BH2238" s="350"/>
    </row>
    <row r="2239" spans="4:60">
      <c r="D2239" s="350"/>
      <c r="S2239" s="350"/>
      <c r="BF2239" s="350"/>
      <c r="BG2239" s="350"/>
      <c r="BH2239" s="350"/>
    </row>
    <row r="2240" spans="4:60">
      <c r="D2240" s="350"/>
      <c r="S2240" s="350"/>
      <c r="BF2240" s="350"/>
      <c r="BG2240" s="350"/>
      <c r="BH2240" s="350"/>
    </row>
    <row r="2241" spans="4:60">
      <c r="D2241" s="350"/>
      <c r="S2241" s="350"/>
      <c r="BF2241" s="350"/>
      <c r="BG2241" s="350"/>
      <c r="BH2241" s="350"/>
    </row>
    <row r="2242" spans="4:60">
      <c r="D2242" s="350"/>
      <c r="S2242" s="350"/>
      <c r="BF2242" s="350"/>
      <c r="BG2242" s="350"/>
      <c r="BH2242" s="350"/>
    </row>
    <row r="2243" spans="4:60">
      <c r="D2243" s="350"/>
      <c r="S2243" s="350"/>
      <c r="BF2243" s="350"/>
      <c r="BG2243" s="350"/>
      <c r="BH2243" s="350"/>
    </row>
    <row r="2244" spans="4:60">
      <c r="D2244" s="350"/>
      <c r="S2244" s="350"/>
      <c r="BF2244" s="350"/>
      <c r="BG2244" s="350"/>
      <c r="BH2244" s="350"/>
    </row>
    <row r="2245" spans="4:60">
      <c r="D2245" s="350"/>
      <c r="S2245" s="350"/>
      <c r="BF2245" s="350"/>
      <c r="BG2245" s="350"/>
      <c r="BH2245" s="350"/>
    </row>
    <row r="2246" spans="4:60">
      <c r="D2246" s="350"/>
      <c r="S2246" s="350"/>
      <c r="BF2246" s="350"/>
      <c r="BG2246" s="350"/>
      <c r="BH2246" s="350"/>
    </row>
    <row r="2247" spans="4:60">
      <c r="D2247" s="350"/>
      <c r="S2247" s="350"/>
      <c r="BF2247" s="350"/>
      <c r="BG2247" s="350"/>
      <c r="BH2247" s="350"/>
    </row>
    <row r="2248" spans="4:60">
      <c r="D2248" s="350"/>
      <c r="S2248" s="350"/>
      <c r="BF2248" s="350"/>
      <c r="BG2248" s="350"/>
      <c r="BH2248" s="350"/>
    </row>
    <row r="2249" spans="4:60">
      <c r="D2249" s="350"/>
      <c r="S2249" s="350"/>
      <c r="BF2249" s="350"/>
      <c r="BG2249" s="350"/>
      <c r="BH2249" s="350"/>
    </row>
    <row r="2250" spans="4:60">
      <c r="D2250" s="350"/>
      <c r="S2250" s="350"/>
      <c r="BF2250" s="350"/>
      <c r="BG2250" s="350"/>
      <c r="BH2250" s="350"/>
    </row>
    <row r="2251" spans="4:60">
      <c r="D2251" s="350"/>
      <c r="S2251" s="350"/>
      <c r="BF2251" s="350"/>
      <c r="BG2251" s="350"/>
      <c r="BH2251" s="350"/>
    </row>
    <row r="2252" spans="4:60">
      <c r="D2252" s="350"/>
      <c r="S2252" s="350"/>
      <c r="BF2252" s="350"/>
      <c r="BG2252" s="350"/>
      <c r="BH2252" s="350"/>
    </row>
    <row r="2253" spans="4:60">
      <c r="D2253" s="350"/>
      <c r="S2253" s="350"/>
      <c r="BF2253" s="350"/>
      <c r="BG2253" s="350"/>
      <c r="BH2253" s="350"/>
    </row>
    <row r="2254" spans="4:60">
      <c r="D2254" s="350"/>
      <c r="S2254" s="350"/>
      <c r="BF2254" s="350"/>
      <c r="BG2254" s="350"/>
      <c r="BH2254" s="350"/>
    </row>
    <row r="2255" spans="4:60">
      <c r="D2255" s="350"/>
      <c r="S2255" s="350"/>
      <c r="BF2255" s="350"/>
      <c r="BG2255" s="350"/>
      <c r="BH2255" s="350"/>
    </row>
    <row r="2256" spans="4:60">
      <c r="D2256" s="350"/>
      <c r="S2256" s="350"/>
      <c r="BF2256" s="350"/>
      <c r="BG2256" s="350"/>
      <c r="BH2256" s="350"/>
    </row>
    <row r="2264" spans="4:60">
      <c r="D2264" s="350"/>
      <c r="S2264" s="350"/>
      <c r="BF2264" s="350"/>
      <c r="BG2264" s="350"/>
      <c r="BH2264" s="350"/>
    </row>
    <row r="2265" spans="4:60">
      <c r="D2265" s="350"/>
      <c r="S2265" s="350"/>
      <c r="BF2265" s="350"/>
      <c r="BG2265" s="350"/>
      <c r="BH2265" s="350"/>
    </row>
    <row r="2266" spans="4:60">
      <c r="D2266" s="350"/>
      <c r="S2266" s="350"/>
      <c r="BF2266" s="350"/>
      <c r="BG2266" s="350"/>
      <c r="BH2266" s="350"/>
    </row>
    <row r="2267" spans="4:60">
      <c r="D2267" s="350"/>
      <c r="S2267" s="350"/>
      <c r="BF2267" s="350"/>
      <c r="BG2267" s="350"/>
      <c r="BH2267" s="350"/>
    </row>
    <row r="2268" spans="4:60">
      <c r="D2268" s="350"/>
      <c r="S2268" s="350"/>
      <c r="BF2268" s="350"/>
      <c r="BG2268" s="350"/>
      <c r="BH2268" s="350"/>
    </row>
    <row r="2269" spans="4:60">
      <c r="D2269" s="350"/>
      <c r="S2269" s="350"/>
      <c r="BF2269" s="350"/>
      <c r="BG2269" s="350"/>
      <c r="BH2269" s="350"/>
    </row>
    <row r="2270" spans="4:60">
      <c r="D2270" s="350"/>
      <c r="S2270" s="350"/>
      <c r="BF2270" s="350"/>
      <c r="BG2270" s="350"/>
      <c r="BH2270" s="350"/>
    </row>
    <row r="2271" spans="4:60">
      <c r="D2271" s="350"/>
      <c r="S2271" s="350"/>
      <c r="BF2271" s="350"/>
      <c r="BG2271" s="350"/>
      <c r="BH2271" s="350"/>
    </row>
    <row r="2272" spans="4:60">
      <c r="D2272" s="350"/>
      <c r="S2272" s="350"/>
      <c r="BF2272" s="350"/>
      <c r="BG2272" s="350"/>
      <c r="BH2272" s="350"/>
    </row>
    <row r="2273" spans="4:60">
      <c r="D2273" s="350"/>
      <c r="S2273" s="350"/>
      <c r="BF2273" s="350"/>
      <c r="BG2273" s="350"/>
      <c r="BH2273" s="350"/>
    </row>
    <row r="2274" spans="4:60">
      <c r="D2274" s="350"/>
      <c r="S2274" s="350"/>
      <c r="BF2274" s="350"/>
      <c r="BG2274" s="350"/>
      <c r="BH2274" s="350"/>
    </row>
    <row r="2275" spans="4:60">
      <c r="D2275" s="350"/>
      <c r="S2275" s="350"/>
      <c r="BF2275" s="350"/>
      <c r="BG2275" s="350"/>
      <c r="BH2275" s="350"/>
    </row>
    <row r="2276" spans="4:60">
      <c r="D2276" s="350"/>
      <c r="S2276" s="350"/>
      <c r="BF2276" s="350"/>
      <c r="BG2276" s="350"/>
      <c r="BH2276" s="350"/>
    </row>
    <row r="2277" spans="4:60">
      <c r="D2277" s="350"/>
      <c r="S2277" s="350"/>
      <c r="BF2277" s="350"/>
      <c r="BG2277" s="350"/>
      <c r="BH2277" s="350"/>
    </row>
    <row r="2278" spans="4:60">
      <c r="D2278" s="350"/>
      <c r="S2278" s="350"/>
      <c r="BF2278" s="350"/>
      <c r="BG2278" s="350"/>
      <c r="BH2278" s="350"/>
    </row>
    <row r="2279" spans="4:60">
      <c r="D2279" s="350"/>
      <c r="S2279" s="350"/>
      <c r="BF2279" s="350"/>
      <c r="BG2279" s="350"/>
      <c r="BH2279" s="350"/>
    </row>
    <row r="2280" spans="4:60">
      <c r="D2280" s="350"/>
      <c r="S2280" s="350"/>
      <c r="BF2280" s="350"/>
      <c r="BG2280" s="350"/>
      <c r="BH2280" s="350"/>
    </row>
    <row r="2281" spans="4:60">
      <c r="D2281" s="350"/>
      <c r="S2281" s="350"/>
      <c r="BF2281" s="350"/>
      <c r="BG2281" s="350"/>
      <c r="BH2281" s="350"/>
    </row>
    <row r="2282" spans="4:60">
      <c r="D2282" s="350"/>
      <c r="S2282" s="350"/>
      <c r="BF2282" s="350"/>
      <c r="BG2282" s="350"/>
      <c r="BH2282" s="350"/>
    </row>
    <row r="2283" spans="4:60">
      <c r="D2283" s="350"/>
      <c r="S2283" s="350"/>
      <c r="BF2283" s="350"/>
      <c r="BG2283" s="350"/>
      <c r="BH2283" s="350"/>
    </row>
    <row r="2284" spans="4:60">
      <c r="D2284" s="350"/>
      <c r="S2284" s="350"/>
      <c r="BF2284" s="350"/>
      <c r="BG2284" s="350"/>
      <c r="BH2284" s="350"/>
    </row>
    <row r="2285" spans="4:60">
      <c r="D2285" s="350"/>
      <c r="S2285" s="350"/>
      <c r="BF2285" s="350"/>
      <c r="BG2285" s="350"/>
      <c r="BH2285" s="350"/>
    </row>
    <row r="2286" spans="4:60">
      <c r="D2286" s="350"/>
      <c r="S2286" s="350"/>
      <c r="BF2286" s="350"/>
      <c r="BG2286" s="350"/>
      <c r="BH2286" s="350"/>
    </row>
    <row r="2287" spans="4:60">
      <c r="D2287" s="350"/>
      <c r="S2287" s="350"/>
      <c r="BF2287" s="350"/>
      <c r="BG2287" s="350"/>
      <c r="BH2287" s="350"/>
    </row>
    <row r="2288" spans="4:60">
      <c r="D2288" s="350"/>
      <c r="S2288" s="350"/>
      <c r="BF2288" s="350"/>
      <c r="BG2288" s="350"/>
      <c r="BH2288" s="350"/>
    </row>
    <row r="2289" spans="4:60">
      <c r="D2289" s="350"/>
      <c r="S2289" s="350"/>
      <c r="BF2289" s="350"/>
      <c r="BG2289" s="350"/>
      <c r="BH2289" s="350"/>
    </row>
    <row r="2290" spans="4:60">
      <c r="D2290" s="350"/>
      <c r="S2290" s="350"/>
      <c r="BF2290" s="350"/>
      <c r="BG2290" s="350"/>
      <c r="BH2290" s="350"/>
    </row>
    <row r="2291" spans="4:60">
      <c r="D2291" s="350"/>
      <c r="S2291" s="350"/>
      <c r="BF2291" s="350"/>
      <c r="BG2291" s="350"/>
      <c r="BH2291" s="350"/>
    </row>
    <row r="2292" spans="4:60">
      <c r="D2292" s="350"/>
      <c r="S2292" s="350"/>
      <c r="BF2292" s="350"/>
      <c r="BG2292" s="350"/>
      <c r="BH2292" s="350"/>
    </row>
    <row r="2293" spans="4:60">
      <c r="D2293" s="350"/>
      <c r="S2293" s="350"/>
      <c r="BF2293" s="350"/>
      <c r="BG2293" s="350"/>
      <c r="BH2293" s="350"/>
    </row>
    <row r="2294" spans="4:60">
      <c r="D2294" s="350"/>
      <c r="S2294" s="350"/>
      <c r="BF2294" s="350"/>
      <c r="BG2294" s="350"/>
      <c r="BH2294" s="350"/>
    </row>
    <row r="2295" spans="4:60">
      <c r="D2295" s="350"/>
      <c r="S2295" s="350"/>
      <c r="BF2295" s="350"/>
      <c r="BG2295" s="350"/>
      <c r="BH2295" s="350"/>
    </row>
    <row r="2296" spans="4:60">
      <c r="D2296" s="350"/>
      <c r="S2296" s="350"/>
      <c r="BF2296" s="350"/>
      <c r="BG2296" s="350"/>
      <c r="BH2296" s="350"/>
    </row>
    <row r="2297" spans="4:60">
      <c r="D2297" s="350"/>
      <c r="S2297" s="350"/>
      <c r="BF2297" s="350"/>
      <c r="BG2297" s="350"/>
      <c r="BH2297" s="350"/>
    </row>
    <row r="2298" spans="4:60">
      <c r="D2298" s="350"/>
      <c r="S2298" s="350"/>
      <c r="BF2298" s="350"/>
      <c r="BG2298" s="350"/>
      <c r="BH2298" s="350"/>
    </row>
    <row r="2299" spans="4:60">
      <c r="D2299" s="350"/>
      <c r="S2299" s="350"/>
      <c r="BF2299" s="350"/>
      <c r="BG2299" s="350"/>
      <c r="BH2299" s="350"/>
    </row>
    <row r="2300" spans="4:60">
      <c r="D2300" s="350"/>
      <c r="S2300" s="350"/>
      <c r="BF2300" s="350"/>
      <c r="BG2300" s="350"/>
      <c r="BH2300" s="350"/>
    </row>
    <row r="2301" spans="4:60">
      <c r="D2301" s="350"/>
      <c r="S2301" s="350"/>
      <c r="BF2301" s="350"/>
      <c r="BG2301" s="350"/>
      <c r="BH2301" s="350"/>
    </row>
    <row r="2302" spans="4:60">
      <c r="D2302" s="350"/>
      <c r="S2302" s="350"/>
      <c r="BF2302" s="350"/>
      <c r="BG2302" s="350"/>
      <c r="BH2302" s="350"/>
    </row>
    <row r="2303" spans="4:60">
      <c r="D2303" s="350"/>
      <c r="S2303" s="350"/>
      <c r="BF2303" s="350"/>
      <c r="BG2303" s="350"/>
      <c r="BH2303" s="350"/>
    </row>
    <row r="2304" spans="4:60">
      <c r="D2304" s="350"/>
      <c r="S2304" s="350"/>
      <c r="BF2304" s="350"/>
      <c r="BG2304" s="350"/>
      <c r="BH2304" s="350"/>
    </row>
    <row r="2305" spans="4:60">
      <c r="D2305" s="350"/>
      <c r="S2305" s="350"/>
      <c r="BF2305" s="350"/>
      <c r="BG2305" s="350"/>
      <c r="BH2305" s="350"/>
    </row>
    <row r="2306" spans="4:60">
      <c r="D2306" s="350"/>
      <c r="S2306" s="350"/>
      <c r="BF2306" s="350"/>
      <c r="BG2306" s="350"/>
      <c r="BH2306" s="350"/>
    </row>
    <row r="2307" spans="4:60">
      <c r="D2307" s="350"/>
      <c r="S2307" s="350"/>
      <c r="BF2307" s="350"/>
      <c r="BG2307" s="350"/>
      <c r="BH2307" s="350"/>
    </row>
    <row r="2308" spans="4:60">
      <c r="D2308" s="350"/>
      <c r="S2308" s="350"/>
      <c r="BF2308" s="350"/>
      <c r="BG2308" s="350"/>
      <c r="BH2308" s="350"/>
    </row>
    <row r="2309" spans="4:60">
      <c r="D2309" s="350"/>
      <c r="S2309" s="350"/>
      <c r="BF2309" s="350"/>
      <c r="BG2309" s="350"/>
      <c r="BH2309" s="350"/>
    </row>
    <row r="2310" spans="4:60">
      <c r="D2310" s="350"/>
      <c r="S2310" s="350"/>
      <c r="BF2310" s="350"/>
      <c r="BG2310" s="350"/>
      <c r="BH2310" s="350"/>
    </row>
    <row r="2312" spans="4:60">
      <c r="D2312" s="350"/>
      <c r="S2312" s="350"/>
      <c r="BF2312" s="350"/>
      <c r="BG2312" s="350"/>
      <c r="BH2312" s="350"/>
    </row>
    <row r="2313" spans="4:60">
      <c r="D2313" s="350"/>
      <c r="S2313" s="350"/>
      <c r="BF2313" s="350"/>
      <c r="BG2313" s="350"/>
      <c r="BH2313" s="350"/>
    </row>
    <row r="2318" spans="4:60">
      <c r="D2318" s="350"/>
      <c r="S2318" s="350"/>
      <c r="BF2318" s="350"/>
      <c r="BG2318" s="350"/>
      <c r="BH2318" s="350"/>
    </row>
    <row r="2319" spans="4:60">
      <c r="D2319" s="350"/>
      <c r="S2319" s="350"/>
      <c r="BF2319" s="350"/>
      <c r="BG2319" s="350"/>
      <c r="BH2319" s="350"/>
    </row>
    <row r="2321" spans="4:60">
      <c r="D2321" s="350"/>
      <c r="S2321" s="350"/>
      <c r="BF2321" s="350"/>
      <c r="BG2321" s="350"/>
      <c r="BH2321" s="350"/>
    </row>
    <row r="2322" spans="4:60">
      <c r="D2322" s="350"/>
      <c r="S2322" s="350"/>
      <c r="BF2322" s="350"/>
      <c r="BG2322" s="350"/>
      <c r="BH2322" s="350"/>
    </row>
    <row r="2323" spans="4:60">
      <c r="D2323" s="350"/>
      <c r="S2323" s="350"/>
      <c r="BF2323" s="350"/>
      <c r="BG2323" s="350"/>
      <c r="BH2323" s="350"/>
    </row>
    <row r="2324" spans="4:60">
      <c r="D2324" s="350"/>
      <c r="S2324" s="350"/>
      <c r="BF2324" s="350"/>
      <c r="BG2324" s="350"/>
      <c r="BH2324" s="350"/>
    </row>
    <row r="2325" spans="4:60">
      <c r="D2325" s="350"/>
      <c r="S2325" s="350"/>
      <c r="BF2325" s="350"/>
      <c r="BG2325" s="350"/>
      <c r="BH2325" s="350"/>
    </row>
    <row r="2326" spans="4:60">
      <c r="D2326" s="350"/>
      <c r="S2326" s="350"/>
      <c r="BF2326" s="350"/>
      <c r="BG2326" s="350"/>
      <c r="BH2326" s="350"/>
    </row>
    <row r="2327" spans="4:60">
      <c r="D2327" s="350"/>
      <c r="S2327" s="350"/>
      <c r="BF2327" s="350"/>
      <c r="BG2327" s="350"/>
      <c r="BH2327" s="350"/>
    </row>
    <row r="2328" spans="4:60">
      <c r="D2328" s="350"/>
      <c r="S2328" s="350"/>
      <c r="BF2328" s="350"/>
      <c r="BG2328" s="350"/>
      <c r="BH2328" s="350"/>
    </row>
    <row r="2329" spans="4:60">
      <c r="D2329" s="350"/>
      <c r="S2329" s="350"/>
      <c r="BF2329" s="350"/>
      <c r="BG2329" s="350"/>
      <c r="BH2329" s="350"/>
    </row>
    <row r="2330" spans="4:60">
      <c r="D2330" s="350"/>
      <c r="S2330" s="350"/>
      <c r="BF2330" s="350"/>
      <c r="BG2330" s="350"/>
      <c r="BH2330" s="350"/>
    </row>
    <row r="2331" spans="4:60">
      <c r="D2331" s="350"/>
      <c r="S2331" s="350"/>
      <c r="BF2331" s="350"/>
      <c r="BG2331" s="350"/>
      <c r="BH2331" s="350"/>
    </row>
    <row r="2332" spans="4:60">
      <c r="D2332" s="350"/>
      <c r="S2332" s="350"/>
      <c r="BF2332" s="350"/>
      <c r="BG2332" s="350"/>
      <c r="BH2332" s="350"/>
    </row>
    <row r="2333" spans="4:60">
      <c r="D2333" s="350"/>
      <c r="S2333" s="350"/>
      <c r="BF2333" s="350"/>
      <c r="BG2333" s="350"/>
      <c r="BH2333" s="350"/>
    </row>
    <row r="2334" spans="4:60">
      <c r="D2334" s="350"/>
      <c r="S2334" s="350"/>
      <c r="BF2334" s="350"/>
      <c r="BG2334" s="350"/>
      <c r="BH2334" s="350"/>
    </row>
    <row r="2335" spans="4:60">
      <c r="D2335" s="350"/>
      <c r="S2335" s="350"/>
      <c r="BF2335" s="350"/>
      <c r="BG2335" s="350"/>
      <c r="BH2335" s="350"/>
    </row>
    <row r="2336" spans="4:60">
      <c r="D2336" s="350"/>
      <c r="S2336" s="350"/>
      <c r="BF2336" s="350"/>
      <c r="BG2336" s="350"/>
      <c r="BH2336" s="350"/>
    </row>
    <row r="2337" spans="4:60">
      <c r="D2337" s="350"/>
      <c r="S2337" s="350"/>
      <c r="BF2337" s="350"/>
      <c r="BG2337" s="350"/>
      <c r="BH2337" s="350"/>
    </row>
    <row r="2338" spans="4:60">
      <c r="D2338" s="350"/>
      <c r="S2338" s="350"/>
      <c r="BF2338" s="350"/>
      <c r="BG2338" s="350"/>
      <c r="BH2338" s="350"/>
    </row>
    <row r="2339" spans="4:60">
      <c r="D2339" s="350"/>
      <c r="S2339" s="350"/>
      <c r="BF2339" s="350"/>
      <c r="BG2339" s="350"/>
      <c r="BH2339" s="350"/>
    </row>
    <row r="2340" spans="4:60">
      <c r="D2340" s="350"/>
      <c r="S2340" s="350"/>
      <c r="BF2340" s="350"/>
      <c r="BG2340" s="350"/>
      <c r="BH2340" s="350"/>
    </row>
    <row r="2341" spans="4:60">
      <c r="D2341" s="350"/>
      <c r="S2341" s="350"/>
      <c r="BF2341" s="350"/>
      <c r="BG2341" s="350"/>
      <c r="BH2341" s="350"/>
    </row>
    <row r="2342" spans="4:60">
      <c r="D2342" s="350"/>
      <c r="S2342" s="350"/>
      <c r="BF2342" s="350"/>
      <c r="BG2342" s="350"/>
      <c r="BH2342" s="350"/>
    </row>
    <row r="2343" spans="4:60">
      <c r="D2343" s="350"/>
      <c r="S2343" s="350"/>
      <c r="BF2343" s="350"/>
      <c r="BG2343" s="350"/>
      <c r="BH2343" s="350"/>
    </row>
    <row r="2344" spans="4:60">
      <c r="D2344" s="350"/>
      <c r="S2344" s="350"/>
      <c r="BF2344" s="350"/>
      <c r="BG2344" s="350"/>
      <c r="BH2344" s="350"/>
    </row>
    <row r="2345" spans="4:60">
      <c r="D2345" s="350"/>
      <c r="S2345" s="350"/>
      <c r="BF2345" s="350"/>
      <c r="BG2345" s="350"/>
      <c r="BH2345" s="350"/>
    </row>
    <row r="2346" spans="4:60">
      <c r="D2346" s="350"/>
      <c r="S2346" s="350"/>
      <c r="BF2346" s="350"/>
      <c r="BG2346" s="350"/>
      <c r="BH2346" s="350"/>
    </row>
    <row r="2347" spans="4:60">
      <c r="D2347" s="350"/>
      <c r="S2347" s="350"/>
      <c r="BF2347" s="350"/>
      <c r="BG2347" s="350"/>
      <c r="BH2347" s="350"/>
    </row>
    <row r="2348" spans="4:60">
      <c r="D2348" s="350"/>
      <c r="S2348" s="350"/>
      <c r="BF2348" s="350"/>
      <c r="BG2348" s="350"/>
      <c r="BH2348" s="350"/>
    </row>
    <row r="2349" spans="4:60">
      <c r="D2349" s="350"/>
      <c r="S2349" s="350"/>
      <c r="BF2349" s="350"/>
      <c r="BG2349" s="350"/>
      <c r="BH2349" s="350"/>
    </row>
    <row r="2350" spans="4:60">
      <c r="D2350" s="350"/>
      <c r="S2350" s="350"/>
      <c r="BF2350" s="350"/>
      <c r="BG2350" s="350"/>
      <c r="BH2350" s="350"/>
    </row>
    <row r="2351" spans="4:60">
      <c r="D2351" s="350"/>
      <c r="S2351" s="350"/>
      <c r="BF2351" s="350"/>
      <c r="BG2351" s="350"/>
      <c r="BH2351" s="350"/>
    </row>
    <row r="2352" spans="4:60">
      <c r="D2352" s="350"/>
      <c r="S2352" s="350"/>
      <c r="BF2352" s="350"/>
      <c r="BG2352" s="350"/>
      <c r="BH2352" s="350"/>
    </row>
    <row r="2353" spans="4:60">
      <c r="D2353" s="350"/>
      <c r="S2353" s="350"/>
      <c r="BF2353" s="350"/>
      <c r="BG2353" s="350"/>
      <c r="BH2353" s="350"/>
    </row>
    <row r="2354" spans="4:60">
      <c r="D2354" s="350"/>
      <c r="S2354" s="350"/>
      <c r="BF2354" s="350"/>
      <c r="BG2354" s="350"/>
      <c r="BH2354" s="350"/>
    </row>
    <row r="2355" spans="4:60">
      <c r="D2355" s="350"/>
      <c r="S2355" s="350"/>
      <c r="BF2355" s="350"/>
      <c r="BG2355" s="350"/>
      <c r="BH2355" s="350"/>
    </row>
    <row r="2356" spans="4:60">
      <c r="D2356" s="350"/>
      <c r="S2356" s="350"/>
      <c r="BF2356" s="350"/>
      <c r="BG2356" s="350"/>
      <c r="BH2356" s="350"/>
    </row>
    <row r="2357" spans="4:60">
      <c r="D2357" s="350"/>
      <c r="S2357" s="350"/>
      <c r="BF2357" s="350"/>
      <c r="BG2357" s="350"/>
      <c r="BH2357" s="350"/>
    </row>
    <row r="2358" spans="4:60">
      <c r="D2358" s="350"/>
      <c r="S2358" s="350"/>
      <c r="BF2358" s="350"/>
      <c r="BG2358" s="350"/>
      <c r="BH2358" s="350"/>
    </row>
    <row r="2359" spans="4:60">
      <c r="D2359" s="350"/>
      <c r="S2359" s="350"/>
      <c r="BF2359" s="350"/>
      <c r="BG2359" s="350"/>
      <c r="BH2359" s="350"/>
    </row>
    <row r="2360" spans="4:60">
      <c r="D2360" s="350"/>
      <c r="S2360" s="350"/>
      <c r="BF2360" s="350"/>
      <c r="BG2360" s="350"/>
      <c r="BH2360" s="350"/>
    </row>
    <row r="2361" spans="4:60">
      <c r="D2361" s="350"/>
      <c r="S2361" s="350"/>
      <c r="BF2361" s="350"/>
      <c r="BG2361" s="350"/>
      <c r="BH2361" s="350"/>
    </row>
    <row r="2362" spans="4:60">
      <c r="D2362" s="350"/>
      <c r="S2362" s="350"/>
      <c r="BF2362" s="350"/>
      <c r="BG2362" s="350"/>
      <c r="BH2362" s="350"/>
    </row>
    <row r="2363" spans="4:60">
      <c r="D2363" s="350"/>
      <c r="S2363" s="350"/>
      <c r="BF2363" s="350"/>
      <c r="BG2363" s="350"/>
      <c r="BH2363" s="350"/>
    </row>
    <row r="2364" spans="4:60">
      <c r="D2364" s="350"/>
      <c r="S2364" s="350"/>
      <c r="BF2364" s="350"/>
      <c r="BG2364" s="350"/>
      <c r="BH2364" s="350"/>
    </row>
    <row r="2365" spans="4:60">
      <c r="D2365" s="350"/>
      <c r="S2365" s="350"/>
      <c r="BF2365" s="350"/>
      <c r="BG2365" s="350"/>
      <c r="BH2365" s="350"/>
    </row>
    <row r="2366" spans="4:60">
      <c r="D2366" s="350"/>
      <c r="S2366" s="350"/>
      <c r="BF2366" s="350"/>
      <c r="BG2366" s="350"/>
      <c r="BH2366" s="350"/>
    </row>
    <row r="2367" spans="4:60">
      <c r="D2367" s="350"/>
      <c r="S2367" s="350"/>
      <c r="BF2367" s="350"/>
      <c r="BG2367" s="350"/>
      <c r="BH2367" s="350"/>
    </row>
    <row r="2368" spans="4:60">
      <c r="D2368" s="350"/>
      <c r="S2368" s="350"/>
      <c r="BF2368" s="350"/>
      <c r="BG2368" s="350"/>
      <c r="BH2368" s="350"/>
    </row>
    <row r="2369" spans="4:60">
      <c r="D2369" s="350"/>
      <c r="S2369" s="350"/>
      <c r="BF2369" s="350"/>
      <c r="BG2369" s="350"/>
      <c r="BH2369" s="350"/>
    </row>
    <row r="2370" spans="4:60">
      <c r="D2370" s="350"/>
      <c r="S2370" s="350"/>
      <c r="BF2370" s="350"/>
      <c r="BG2370" s="350"/>
      <c r="BH2370" s="350"/>
    </row>
    <row r="2371" spans="4:60">
      <c r="D2371" s="350"/>
      <c r="S2371" s="350"/>
      <c r="BF2371" s="350"/>
      <c r="BG2371" s="350"/>
      <c r="BH2371" s="350"/>
    </row>
    <row r="2372" spans="4:60">
      <c r="D2372" s="350"/>
      <c r="S2372" s="350"/>
      <c r="BF2372" s="350"/>
      <c r="BG2372" s="350"/>
      <c r="BH2372" s="350"/>
    </row>
    <row r="2373" spans="4:60">
      <c r="D2373" s="350"/>
      <c r="S2373" s="350"/>
      <c r="BF2373" s="350"/>
      <c r="BG2373" s="350"/>
      <c r="BH2373" s="350"/>
    </row>
    <row r="2374" spans="4:60">
      <c r="D2374" s="350"/>
      <c r="S2374" s="350"/>
      <c r="BF2374" s="350"/>
      <c r="BG2374" s="350"/>
      <c r="BH2374" s="350"/>
    </row>
    <row r="2375" spans="4:60">
      <c r="D2375" s="350"/>
      <c r="S2375" s="350"/>
      <c r="BF2375" s="350"/>
      <c r="BG2375" s="350"/>
      <c r="BH2375" s="350"/>
    </row>
    <row r="2376" spans="4:60">
      <c r="D2376" s="350"/>
      <c r="S2376" s="350"/>
      <c r="BF2376" s="350"/>
      <c r="BG2376" s="350"/>
      <c r="BH2376" s="350"/>
    </row>
    <row r="2377" spans="4:60">
      <c r="D2377" s="350"/>
      <c r="S2377" s="350"/>
      <c r="BF2377" s="350"/>
      <c r="BG2377" s="350"/>
      <c r="BH2377" s="350"/>
    </row>
    <row r="2378" spans="4:60">
      <c r="D2378" s="350"/>
      <c r="S2378" s="350"/>
      <c r="BF2378" s="350"/>
      <c r="BG2378" s="350"/>
      <c r="BH2378" s="350"/>
    </row>
    <row r="2379" spans="4:60">
      <c r="D2379" s="350"/>
      <c r="S2379" s="350"/>
      <c r="BF2379" s="350"/>
      <c r="BG2379" s="350"/>
      <c r="BH2379" s="350"/>
    </row>
    <row r="2380" spans="4:60">
      <c r="D2380" s="350"/>
      <c r="S2380" s="350"/>
      <c r="BF2380" s="350"/>
      <c r="BG2380" s="350"/>
      <c r="BH2380" s="350"/>
    </row>
    <row r="2381" spans="4:60">
      <c r="D2381" s="350"/>
      <c r="S2381" s="350"/>
      <c r="BF2381" s="350"/>
      <c r="BG2381" s="350"/>
      <c r="BH2381" s="350"/>
    </row>
    <row r="2382" spans="4:60">
      <c r="D2382" s="350"/>
      <c r="S2382" s="350"/>
      <c r="BF2382" s="350"/>
      <c r="BG2382" s="350"/>
      <c r="BH2382" s="350"/>
    </row>
    <row r="2383" spans="4:60">
      <c r="D2383" s="350"/>
      <c r="S2383" s="350"/>
      <c r="BF2383" s="350"/>
      <c r="BG2383" s="350"/>
      <c r="BH2383" s="350"/>
    </row>
    <row r="2384" spans="4:60">
      <c r="D2384" s="350"/>
      <c r="S2384" s="350"/>
      <c r="BF2384" s="350"/>
      <c r="BG2384" s="350"/>
      <c r="BH2384" s="350"/>
    </row>
    <row r="2385" spans="4:60">
      <c r="D2385" s="350"/>
      <c r="S2385" s="350"/>
      <c r="BF2385" s="350"/>
      <c r="BG2385" s="350"/>
      <c r="BH2385" s="350"/>
    </row>
    <row r="2386" spans="4:60">
      <c r="D2386" s="350"/>
      <c r="S2386" s="350"/>
      <c r="BF2386" s="350"/>
      <c r="BG2386" s="350"/>
      <c r="BH2386" s="350"/>
    </row>
    <row r="2387" spans="4:60">
      <c r="D2387" s="350"/>
      <c r="S2387" s="350"/>
      <c r="BF2387" s="350"/>
      <c r="BG2387" s="350"/>
      <c r="BH2387" s="350"/>
    </row>
    <row r="2388" spans="4:60">
      <c r="D2388" s="350"/>
      <c r="S2388" s="350"/>
      <c r="BF2388" s="350"/>
      <c r="BG2388" s="350"/>
      <c r="BH2388" s="350"/>
    </row>
    <row r="2389" spans="4:60">
      <c r="D2389" s="350"/>
      <c r="S2389" s="350"/>
      <c r="BF2389" s="350"/>
      <c r="BG2389" s="350"/>
      <c r="BH2389" s="350"/>
    </row>
    <row r="2390" spans="4:60">
      <c r="D2390" s="350"/>
      <c r="S2390" s="350"/>
      <c r="BF2390" s="350"/>
      <c r="BG2390" s="350"/>
      <c r="BH2390" s="350"/>
    </row>
    <row r="2391" spans="4:60">
      <c r="D2391" s="350"/>
      <c r="S2391" s="350"/>
      <c r="BF2391" s="350"/>
      <c r="BG2391" s="350"/>
      <c r="BH2391" s="350"/>
    </row>
    <row r="2392" spans="4:60">
      <c r="D2392" s="350"/>
      <c r="S2392" s="350"/>
      <c r="BF2392" s="350"/>
      <c r="BG2392" s="350"/>
      <c r="BH2392" s="350"/>
    </row>
    <row r="2393" spans="4:60">
      <c r="D2393" s="350"/>
      <c r="S2393" s="350"/>
      <c r="BF2393" s="350"/>
      <c r="BG2393" s="350"/>
      <c r="BH2393" s="350"/>
    </row>
    <row r="2394" spans="4:60">
      <c r="D2394" s="350"/>
      <c r="S2394" s="350"/>
      <c r="BF2394" s="350"/>
      <c r="BG2394" s="350"/>
      <c r="BH2394" s="350"/>
    </row>
    <row r="2395" spans="4:60">
      <c r="D2395" s="350"/>
      <c r="S2395" s="350"/>
      <c r="BF2395" s="350"/>
      <c r="BG2395" s="350"/>
      <c r="BH2395" s="350"/>
    </row>
    <row r="2396" spans="4:60">
      <c r="D2396" s="350"/>
      <c r="S2396" s="350"/>
      <c r="BF2396" s="350"/>
      <c r="BG2396" s="350"/>
      <c r="BH2396" s="350"/>
    </row>
    <row r="2397" spans="4:60">
      <c r="D2397" s="350"/>
      <c r="S2397" s="350"/>
      <c r="BF2397" s="350"/>
      <c r="BG2397" s="350"/>
      <c r="BH2397" s="350"/>
    </row>
    <row r="2398" spans="4:60">
      <c r="D2398" s="350"/>
      <c r="S2398" s="350"/>
      <c r="BF2398" s="350"/>
      <c r="BG2398" s="350"/>
      <c r="BH2398" s="350"/>
    </row>
    <row r="2399" spans="4:60">
      <c r="D2399" s="350"/>
      <c r="S2399" s="350"/>
      <c r="BF2399" s="350"/>
      <c r="BG2399" s="350"/>
      <c r="BH2399" s="350"/>
    </row>
    <row r="2400" spans="4:60">
      <c r="D2400" s="350"/>
      <c r="S2400" s="350"/>
      <c r="BF2400" s="350"/>
      <c r="BG2400" s="350"/>
      <c r="BH2400" s="350"/>
    </row>
    <row r="2401" spans="4:60">
      <c r="D2401" s="350"/>
      <c r="S2401" s="350"/>
      <c r="BF2401" s="350"/>
      <c r="BG2401" s="350"/>
      <c r="BH2401" s="350"/>
    </row>
    <row r="2402" spans="4:60">
      <c r="D2402" s="350"/>
      <c r="S2402" s="350"/>
      <c r="BF2402" s="350"/>
      <c r="BG2402" s="350"/>
      <c r="BH2402" s="350"/>
    </row>
    <row r="2403" spans="4:60">
      <c r="D2403" s="350"/>
      <c r="S2403" s="350"/>
      <c r="BF2403" s="350"/>
      <c r="BG2403" s="350"/>
      <c r="BH2403" s="350"/>
    </row>
    <row r="2404" spans="4:60">
      <c r="D2404" s="350"/>
      <c r="S2404" s="350"/>
      <c r="BF2404" s="350"/>
      <c r="BG2404" s="350"/>
      <c r="BH2404" s="350"/>
    </row>
    <row r="2405" spans="4:60">
      <c r="D2405" s="350"/>
      <c r="S2405" s="350"/>
      <c r="BF2405" s="350"/>
      <c r="BG2405" s="350"/>
      <c r="BH2405" s="350"/>
    </row>
    <row r="2406" spans="4:60">
      <c r="D2406" s="350"/>
      <c r="S2406" s="350"/>
      <c r="BF2406" s="350"/>
      <c r="BG2406" s="350"/>
      <c r="BH2406" s="350"/>
    </row>
    <row r="2407" spans="4:60">
      <c r="D2407" s="350"/>
      <c r="S2407" s="350"/>
      <c r="BF2407" s="350"/>
      <c r="BG2407" s="350"/>
      <c r="BH2407" s="350"/>
    </row>
    <row r="2408" spans="4:60">
      <c r="D2408" s="350"/>
      <c r="S2408" s="350"/>
      <c r="BF2408" s="350"/>
      <c r="BG2408" s="350"/>
      <c r="BH2408" s="350"/>
    </row>
    <row r="2409" spans="4:60">
      <c r="D2409" s="350"/>
      <c r="S2409" s="350"/>
      <c r="BF2409" s="350"/>
      <c r="BG2409" s="350"/>
      <c r="BH2409" s="350"/>
    </row>
    <row r="2410" spans="4:60">
      <c r="D2410" s="350"/>
      <c r="S2410" s="350"/>
      <c r="BF2410" s="350"/>
      <c r="BG2410" s="350"/>
      <c r="BH2410" s="350"/>
    </row>
    <row r="2411" spans="4:60">
      <c r="D2411" s="350"/>
      <c r="S2411" s="350"/>
      <c r="BF2411" s="350"/>
      <c r="BG2411" s="350"/>
      <c r="BH2411" s="350"/>
    </row>
    <row r="2412" spans="4:60">
      <c r="D2412" s="350"/>
      <c r="S2412" s="350"/>
      <c r="BF2412" s="350"/>
      <c r="BG2412" s="350"/>
      <c r="BH2412" s="350"/>
    </row>
    <row r="2413" spans="4:60">
      <c r="D2413" s="350"/>
      <c r="S2413" s="350"/>
      <c r="BF2413" s="350"/>
      <c r="BG2413" s="350"/>
      <c r="BH2413" s="350"/>
    </row>
    <row r="2414" spans="4:60">
      <c r="D2414" s="350"/>
      <c r="S2414" s="350"/>
      <c r="BF2414" s="350"/>
      <c r="BG2414" s="350"/>
      <c r="BH2414" s="350"/>
    </row>
    <row r="2415" spans="4:60">
      <c r="D2415" s="350"/>
      <c r="S2415" s="350"/>
      <c r="BF2415" s="350"/>
      <c r="BG2415" s="350"/>
      <c r="BH2415" s="350"/>
    </row>
    <row r="2416" spans="4:60">
      <c r="D2416" s="350"/>
      <c r="S2416" s="350"/>
      <c r="BF2416" s="350"/>
      <c r="BG2416" s="350"/>
      <c r="BH2416" s="350"/>
    </row>
    <row r="2417" spans="4:60">
      <c r="D2417" s="350"/>
      <c r="S2417" s="350"/>
      <c r="BF2417" s="350"/>
      <c r="BG2417" s="350"/>
      <c r="BH2417" s="350"/>
    </row>
    <row r="2418" spans="4:60">
      <c r="D2418" s="350"/>
      <c r="S2418" s="350"/>
      <c r="BF2418" s="350"/>
      <c r="BG2418" s="350"/>
      <c r="BH2418" s="350"/>
    </row>
    <row r="2419" spans="4:60">
      <c r="D2419" s="350"/>
      <c r="S2419" s="350"/>
      <c r="BF2419" s="350"/>
      <c r="BG2419" s="350"/>
      <c r="BH2419" s="350"/>
    </row>
    <row r="2420" spans="4:60">
      <c r="D2420" s="350"/>
      <c r="S2420" s="350"/>
      <c r="BF2420" s="350"/>
      <c r="BG2420" s="350"/>
      <c r="BH2420" s="350"/>
    </row>
    <row r="2421" spans="4:60">
      <c r="D2421" s="350"/>
      <c r="S2421" s="350"/>
      <c r="BF2421" s="350"/>
      <c r="BG2421" s="350"/>
      <c r="BH2421" s="350"/>
    </row>
    <row r="2422" spans="4:60">
      <c r="D2422" s="350"/>
      <c r="S2422" s="350"/>
      <c r="BF2422" s="350"/>
      <c r="BG2422" s="350"/>
      <c r="BH2422" s="350"/>
    </row>
    <row r="2423" spans="4:60">
      <c r="D2423" s="350"/>
      <c r="S2423" s="350"/>
      <c r="BF2423" s="350"/>
      <c r="BG2423" s="350"/>
      <c r="BH2423" s="350"/>
    </row>
    <row r="2424" spans="4:60">
      <c r="D2424" s="350"/>
      <c r="S2424" s="350"/>
      <c r="BF2424" s="350"/>
      <c r="BG2424" s="350"/>
      <c r="BH2424" s="350"/>
    </row>
    <row r="2425" spans="4:60">
      <c r="D2425" s="350"/>
      <c r="S2425" s="350"/>
      <c r="BF2425" s="350"/>
      <c r="BG2425" s="350"/>
      <c r="BH2425" s="350"/>
    </row>
    <row r="2426" spans="4:60">
      <c r="D2426" s="350"/>
      <c r="S2426" s="350"/>
      <c r="BF2426" s="350"/>
      <c r="BG2426" s="350"/>
      <c r="BH2426" s="350"/>
    </row>
    <row r="2427" spans="4:60">
      <c r="D2427" s="350"/>
      <c r="S2427" s="350"/>
      <c r="BF2427" s="350"/>
      <c r="BG2427" s="350"/>
      <c r="BH2427" s="350"/>
    </row>
    <row r="2428" spans="4:60">
      <c r="D2428" s="350"/>
      <c r="S2428" s="350"/>
      <c r="BF2428" s="350"/>
      <c r="BG2428" s="350"/>
      <c r="BH2428" s="350"/>
    </row>
    <row r="2429" spans="4:60">
      <c r="D2429" s="350"/>
      <c r="S2429" s="350"/>
      <c r="BF2429" s="350"/>
      <c r="BG2429" s="350"/>
      <c r="BH2429" s="350"/>
    </row>
    <row r="2430" spans="4:60">
      <c r="D2430" s="350"/>
      <c r="S2430" s="350"/>
      <c r="BF2430" s="350"/>
      <c r="BG2430" s="350"/>
      <c r="BH2430" s="350"/>
    </row>
    <row r="2431" spans="4:60">
      <c r="D2431" s="350"/>
      <c r="S2431" s="350"/>
      <c r="BF2431" s="350"/>
      <c r="BG2431" s="350"/>
      <c r="BH2431" s="350"/>
    </row>
    <row r="2432" spans="4:60">
      <c r="D2432" s="350"/>
      <c r="S2432" s="350"/>
      <c r="BF2432" s="350"/>
      <c r="BG2432" s="350"/>
      <c r="BH2432" s="350"/>
    </row>
    <row r="2433" spans="4:60">
      <c r="D2433" s="350"/>
      <c r="S2433" s="350"/>
      <c r="BF2433" s="350"/>
      <c r="BG2433" s="350"/>
      <c r="BH2433" s="350"/>
    </row>
    <row r="2434" spans="4:60">
      <c r="D2434" s="350"/>
      <c r="S2434" s="350"/>
      <c r="BF2434" s="350"/>
      <c r="BG2434" s="350"/>
      <c r="BH2434" s="350"/>
    </row>
    <row r="2435" spans="4:60">
      <c r="D2435" s="350"/>
      <c r="S2435" s="350"/>
      <c r="BF2435" s="350"/>
      <c r="BG2435" s="350"/>
      <c r="BH2435" s="350"/>
    </row>
    <row r="2436" spans="4:60">
      <c r="D2436" s="350"/>
      <c r="S2436" s="350"/>
      <c r="BF2436" s="350"/>
      <c r="BG2436" s="350"/>
      <c r="BH2436" s="350"/>
    </row>
    <row r="2437" spans="4:60">
      <c r="D2437" s="350"/>
      <c r="S2437" s="350"/>
      <c r="BF2437" s="350"/>
      <c r="BG2437" s="350"/>
      <c r="BH2437" s="350"/>
    </row>
    <row r="2438" spans="4:60">
      <c r="D2438" s="350"/>
      <c r="S2438" s="350"/>
      <c r="BF2438" s="350"/>
      <c r="BG2438" s="350"/>
      <c r="BH2438" s="350"/>
    </row>
    <row r="2439" spans="4:60">
      <c r="D2439" s="350"/>
      <c r="S2439" s="350"/>
      <c r="BF2439" s="350"/>
      <c r="BG2439" s="350"/>
      <c r="BH2439" s="350"/>
    </row>
    <row r="2440" spans="4:60">
      <c r="D2440" s="350"/>
      <c r="S2440" s="350"/>
      <c r="BF2440" s="350"/>
      <c r="BG2440" s="350"/>
      <c r="BH2440" s="350"/>
    </row>
    <row r="2441" spans="4:60">
      <c r="D2441" s="350"/>
      <c r="S2441" s="350"/>
      <c r="BF2441" s="350"/>
      <c r="BG2441" s="350"/>
      <c r="BH2441" s="350"/>
    </row>
    <row r="2442" spans="4:60">
      <c r="D2442" s="350"/>
      <c r="S2442" s="350"/>
      <c r="BF2442" s="350"/>
      <c r="BG2442" s="350"/>
      <c r="BH2442" s="350"/>
    </row>
    <row r="2443" spans="4:60">
      <c r="D2443" s="350"/>
      <c r="S2443" s="350"/>
      <c r="BF2443" s="350"/>
      <c r="BG2443" s="350"/>
      <c r="BH2443" s="350"/>
    </row>
    <row r="2444" spans="4:60">
      <c r="D2444" s="350"/>
      <c r="S2444" s="350"/>
      <c r="BF2444" s="350"/>
      <c r="BG2444" s="350"/>
      <c r="BH2444" s="350"/>
    </row>
    <row r="2445" spans="4:60">
      <c r="D2445" s="350"/>
      <c r="S2445" s="350"/>
      <c r="BF2445" s="350"/>
      <c r="BG2445" s="350"/>
      <c r="BH2445" s="350"/>
    </row>
    <row r="2446" spans="4:60">
      <c r="D2446" s="350"/>
      <c r="S2446" s="350"/>
      <c r="BF2446" s="350"/>
      <c r="BG2446" s="350"/>
      <c r="BH2446" s="350"/>
    </row>
    <row r="2447" spans="4:60">
      <c r="D2447" s="350"/>
      <c r="S2447" s="350"/>
      <c r="BF2447" s="350"/>
      <c r="BG2447" s="350"/>
      <c r="BH2447" s="350"/>
    </row>
    <row r="2448" spans="4:60">
      <c r="D2448" s="350"/>
      <c r="S2448" s="350"/>
      <c r="BF2448" s="350"/>
      <c r="BG2448" s="350"/>
      <c r="BH2448" s="350"/>
    </row>
    <row r="2449" spans="4:60">
      <c r="D2449" s="350"/>
      <c r="S2449" s="350"/>
      <c r="BF2449" s="350"/>
      <c r="BG2449" s="350"/>
      <c r="BH2449" s="350"/>
    </row>
    <row r="2450" spans="4:60">
      <c r="D2450" s="350"/>
      <c r="S2450" s="350"/>
      <c r="BF2450" s="350"/>
      <c r="BG2450" s="350"/>
      <c r="BH2450" s="350"/>
    </row>
    <row r="2451" spans="4:60">
      <c r="D2451" s="350"/>
      <c r="S2451" s="350"/>
      <c r="BF2451" s="350"/>
      <c r="BG2451" s="350"/>
      <c r="BH2451" s="350"/>
    </row>
    <row r="2452" spans="4:60">
      <c r="D2452" s="350"/>
      <c r="S2452" s="350"/>
      <c r="BF2452" s="350"/>
      <c r="BG2452" s="350"/>
      <c r="BH2452" s="350"/>
    </row>
    <row r="2453" spans="4:60">
      <c r="D2453" s="350"/>
      <c r="S2453" s="350"/>
      <c r="BF2453" s="350"/>
      <c r="BG2453" s="350"/>
      <c r="BH2453" s="350"/>
    </row>
    <row r="2454" spans="4:60">
      <c r="D2454" s="350"/>
      <c r="S2454" s="350"/>
      <c r="BF2454" s="350"/>
      <c r="BG2454" s="350"/>
      <c r="BH2454" s="350"/>
    </row>
    <row r="2455" spans="4:60">
      <c r="D2455" s="350"/>
      <c r="S2455" s="350"/>
      <c r="BF2455" s="350"/>
      <c r="BG2455" s="350"/>
      <c r="BH2455" s="350"/>
    </row>
    <row r="2456" spans="4:60">
      <c r="D2456" s="350"/>
      <c r="S2456" s="350"/>
      <c r="BF2456" s="350"/>
      <c r="BG2456" s="350"/>
      <c r="BH2456" s="350"/>
    </row>
    <row r="2457" spans="4:60">
      <c r="D2457" s="350"/>
      <c r="S2457" s="350"/>
      <c r="BF2457" s="350"/>
      <c r="BG2457" s="350"/>
      <c r="BH2457" s="350"/>
    </row>
    <row r="2458" spans="4:60">
      <c r="D2458" s="350"/>
      <c r="S2458" s="350"/>
      <c r="BF2458" s="350"/>
      <c r="BG2458" s="350"/>
      <c r="BH2458" s="350"/>
    </row>
    <row r="2459" spans="4:60">
      <c r="D2459" s="350"/>
      <c r="S2459" s="350"/>
      <c r="BF2459" s="350"/>
      <c r="BG2459" s="350"/>
      <c r="BH2459" s="350"/>
    </row>
    <row r="2460" spans="4:60">
      <c r="D2460" s="350"/>
      <c r="S2460" s="350"/>
      <c r="BF2460" s="350"/>
      <c r="BG2460" s="350"/>
      <c r="BH2460" s="350"/>
    </row>
    <row r="2461" spans="4:60">
      <c r="D2461" s="350"/>
      <c r="S2461" s="350"/>
      <c r="BF2461" s="350"/>
      <c r="BG2461" s="350"/>
      <c r="BH2461" s="350"/>
    </row>
    <row r="2462" spans="4:60">
      <c r="D2462" s="350"/>
      <c r="S2462" s="350"/>
      <c r="BF2462" s="350"/>
      <c r="BG2462" s="350"/>
      <c r="BH2462" s="350"/>
    </row>
    <row r="2463" spans="4:60">
      <c r="D2463" s="350"/>
      <c r="S2463" s="350"/>
      <c r="BF2463" s="350"/>
      <c r="BG2463" s="350"/>
      <c r="BH2463" s="350"/>
    </row>
    <row r="2464" spans="4:60">
      <c r="D2464" s="350"/>
      <c r="S2464" s="350"/>
      <c r="BF2464" s="350"/>
      <c r="BG2464" s="350"/>
      <c r="BH2464" s="350"/>
    </row>
    <row r="2465" spans="4:60">
      <c r="D2465" s="350"/>
      <c r="S2465" s="350"/>
      <c r="BF2465" s="350"/>
      <c r="BG2465" s="350"/>
      <c r="BH2465" s="350"/>
    </row>
    <row r="2466" spans="4:60">
      <c r="D2466" s="350"/>
      <c r="S2466" s="350"/>
      <c r="BF2466" s="350"/>
      <c r="BG2466" s="350"/>
      <c r="BH2466" s="350"/>
    </row>
    <row r="2467" spans="4:60">
      <c r="D2467" s="350"/>
      <c r="S2467" s="350"/>
      <c r="BF2467" s="350"/>
      <c r="BG2467" s="350"/>
      <c r="BH2467" s="350"/>
    </row>
    <row r="2468" spans="4:60">
      <c r="D2468" s="350"/>
      <c r="S2468" s="350"/>
      <c r="BF2468" s="350"/>
      <c r="BG2468" s="350"/>
      <c r="BH2468" s="350"/>
    </row>
    <row r="2469" spans="4:60">
      <c r="D2469" s="350"/>
      <c r="S2469" s="350"/>
      <c r="BF2469" s="350"/>
      <c r="BG2469" s="350"/>
      <c r="BH2469" s="350"/>
    </row>
    <row r="2470" spans="4:60">
      <c r="D2470" s="350"/>
      <c r="S2470" s="350"/>
      <c r="BF2470" s="350"/>
      <c r="BG2470" s="350"/>
      <c r="BH2470" s="350"/>
    </row>
    <row r="2471" spans="4:60">
      <c r="D2471" s="350"/>
      <c r="S2471" s="350"/>
      <c r="BF2471" s="350"/>
      <c r="BG2471" s="350"/>
      <c r="BH2471" s="350"/>
    </row>
    <row r="2472" spans="4:60">
      <c r="D2472" s="350"/>
      <c r="S2472" s="350"/>
      <c r="BF2472" s="350"/>
      <c r="BG2472" s="350"/>
      <c r="BH2472" s="350"/>
    </row>
    <row r="2473" spans="4:60">
      <c r="D2473" s="350"/>
      <c r="S2473" s="350"/>
      <c r="BF2473" s="350"/>
      <c r="BG2473" s="350"/>
      <c r="BH2473" s="350"/>
    </row>
    <row r="2474" spans="4:60">
      <c r="D2474" s="350"/>
      <c r="S2474" s="350"/>
      <c r="BF2474" s="350"/>
      <c r="BG2474" s="350"/>
      <c r="BH2474" s="350"/>
    </row>
    <row r="2475" spans="4:60">
      <c r="D2475" s="350"/>
      <c r="S2475" s="350"/>
      <c r="BF2475" s="350"/>
      <c r="BG2475" s="350"/>
      <c r="BH2475" s="350"/>
    </row>
    <row r="2476" spans="4:60">
      <c r="D2476" s="350"/>
      <c r="S2476" s="350"/>
      <c r="BF2476" s="350"/>
      <c r="BG2476" s="350"/>
      <c r="BH2476" s="350"/>
    </row>
    <row r="2477" spans="4:60">
      <c r="D2477" s="350"/>
      <c r="S2477" s="350"/>
      <c r="BF2477" s="350"/>
      <c r="BG2477" s="350"/>
      <c r="BH2477" s="350"/>
    </row>
    <row r="2478" spans="4:60">
      <c r="D2478" s="350"/>
      <c r="S2478" s="350"/>
      <c r="BF2478" s="350"/>
      <c r="BG2478" s="350"/>
      <c r="BH2478" s="350"/>
    </row>
    <row r="2486" spans="4:60">
      <c r="D2486" s="350"/>
      <c r="S2486" s="350"/>
      <c r="BF2486" s="350"/>
      <c r="BG2486" s="350"/>
      <c r="BH2486" s="350"/>
    </row>
    <row r="2487" spans="4:60">
      <c r="D2487" s="350"/>
      <c r="S2487" s="350"/>
      <c r="BF2487" s="350"/>
      <c r="BG2487" s="350"/>
      <c r="BH2487" s="350"/>
    </row>
    <row r="2488" spans="4:60">
      <c r="D2488" s="350"/>
      <c r="S2488" s="350"/>
      <c r="BF2488" s="350"/>
      <c r="BG2488" s="350"/>
      <c r="BH2488" s="350"/>
    </row>
    <row r="2489" spans="4:60">
      <c r="D2489" s="350"/>
      <c r="S2489" s="350"/>
      <c r="BF2489" s="350"/>
      <c r="BG2489" s="350"/>
      <c r="BH2489" s="350"/>
    </row>
    <row r="2490" spans="4:60">
      <c r="D2490" s="350"/>
      <c r="S2490" s="350"/>
      <c r="BF2490" s="350"/>
      <c r="BG2490" s="350"/>
      <c r="BH2490" s="350"/>
    </row>
    <row r="2491" spans="4:60">
      <c r="D2491" s="350"/>
      <c r="S2491" s="350"/>
      <c r="BF2491" s="350"/>
      <c r="BG2491" s="350"/>
      <c r="BH2491" s="350"/>
    </row>
    <row r="2492" spans="4:60">
      <c r="D2492" s="350"/>
      <c r="S2492" s="350"/>
      <c r="BF2492" s="350"/>
      <c r="BG2492" s="350"/>
      <c r="BH2492" s="350"/>
    </row>
    <row r="2493" spans="4:60">
      <c r="D2493" s="350"/>
      <c r="S2493" s="350"/>
      <c r="BF2493" s="350"/>
      <c r="BG2493" s="350"/>
      <c r="BH2493" s="350"/>
    </row>
    <row r="2494" spans="4:60">
      <c r="D2494" s="350"/>
      <c r="S2494" s="350"/>
      <c r="BF2494" s="350"/>
      <c r="BG2494" s="350"/>
      <c r="BH2494" s="350"/>
    </row>
    <row r="2495" spans="4:60">
      <c r="D2495" s="350"/>
      <c r="S2495" s="350"/>
      <c r="BF2495" s="350"/>
      <c r="BG2495" s="350"/>
      <c r="BH2495" s="350"/>
    </row>
    <row r="2496" spans="4:60">
      <c r="D2496" s="350"/>
      <c r="S2496" s="350"/>
      <c r="BF2496" s="350"/>
      <c r="BG2496" s="350"/>
      <c r="BH2496" s="350"/>
    </row>
    <row r="2497" spans="4:60">
      <c r="D2497" s="350"/>
      <c r="S2497" s="350"/>
      <c r="BF2497" s="350"/>
      <c r="BG2497" s="350"/>
      <c r="BH2497" s="350"/>
    </row>
    <row r="2498" spans="4:60">
      <c r="D2498" s="350"/>
      <c r="S2498" s="350"/>
      <c r="BF2498" s="350"/>
      <c r="BG2498" s="350"/>
      <c r="BH2498" s="350"/>
    </row>
    <row r="2499" spans="4:60">
      <c r="D2499" s="350"/>
      <c r="S2499" s="350"/>
      <c r="BF2499" s="350"/>
      <c r="BG2499" s="350"/>
      <c r="BH2499" s="350"/>
    </row>
    <row r="2500" spans="4:60">
      <c r="D2500" s="350"/>
      <c r="S2500" s="350"/>
      <c r="BF2500" s="350"/>
      <c r="BG2500" s="350"/>
      <c r="BH2500" s="350"/>
    </row>
    <row r="2501" spans="4:60">
      <c r="D2501" s="350"/>
      <c r="S2501" s="350"/>
      <c r="BF2501" s="350"/>
      <c r="BG2501" s="350"/>
      <c r="BH2501" s="350"/>
    </row>
    <row r="2502" spans="4:60">
      <c r="D2502" s="350"/>
      <c r="S2502" s="350"/>
      <c r="BF2502" s="350"/>
      <c r="BG2502" s="350"/>
      <c r="BH2502" s="350"/>
    </row>
    <row r="2503" spans="4:60">
      <c r="D2503" s="350"/>
      <c r="S2503" s="350"/>
      <c r="BF2503" s="350"/>
      <c r="BG2503" s="350"/>
      <c r="BH2503" s="350"/>
    </row>
    <row r="2504" spans="4:60">
      <c r="D2504" s="350"/>
      <c r="S2504" s="350"/>
      <c r="BF2504" s="350"/>
      <c r="BG2504" s="350"/>
      <c r="BH2504" s="350"/>
    </row>
    <row r="2505" spans="4:60">
      <c r="D2505" s="350"/>
      <c r="S2505" s="350"/>
      <c r="BF2505" s="350"/>
      <c r="BG2505" s="350"/>
      <c r="BH2505" s="350"/>
    </row>
    <row r="2506" spans="4:60">
      <c r="D2506" s="350"/>
      <c r="S2506" s="350"/>
      <c r="BF2506" s="350"/>
      <c r="BG2506" s="350"/>
      <c r="BH2506" s="350"/>
    </row>
    <row r="2507" spans="4:60">
      <c r="D2507" s="350"/>
      <c r="S2507" s="350"/>
      <c r="BF2507" s="350"/>
      <c r="BG2507" s="350"/>
      <c r="BH2507" s="350"/>
    </row>
    <row r="2508" spans="4:60">
      <c r="D2508" s="350"/>
      <c r="S2508" s="350"/>
      <c r="BF2508" s="350"/>
      <c r="BG2508" s="350"/>
      <c r="BH2508" s="350"/>
    </row>
    <row r="2509" spans="4:60">
      <c r="D2509" s="350"/>
      <c r="S2509" s="350"/>
      <c r="BF2509" s="350"/>
      <c r="BG2509" s="350"/>
      <c r="BH2509" s="350"/>
    </row>
    <row r="2510" spans="4:60">
      <c r="D2510" s="350"/>
      <c r="S2510" s="350"/>
      <c r="BF2510" s="350"/>
      <c r="BG2510" s="350"/>
      <c r="BH2510" s="350"/>
    </row>
    <row r="2511" spans="4:60">
      <c r="D2511" s="350"/>
      <c r="S2511" s="350"/>
      <c r="BF2511" s="350"/>
      <c r="BG2511" s="350"/>
      <c r="BH2511" s="350"/>
    </row>
    <row r="2512" spans="4:60">
      <c r="D2512" s="350"/>
      <c r="S2512" s="350"/>
      <c r="BF2512" s="350"/>
      <c r="BG2512" s="350"/>
      <c r="BH2512" s="350"/>
    </row>
    <row r="2513" spans="4:60">
      <c r="D2513" s="350"/>
      <c r="S2513" s="350"/>
      <c r="BF2513" s="350"/>
      <c r="BG2513" s="350"/>
      <c r="BH2513" s="350"/>
    </row>
    <row r="2514" spans="4:60">
      <c r="D2514" s="350"/>
      <c r="S2514" s="350"/>
      <c r="BF2514" s="350"/>
      <c r="BG2514" s="350"/>
      <c r="BH2514" s="350"/>
    </row>
    <row r="2515" spans="4:60">
      <c r="D2515" s="350"/>
      <c r="S2515" s="350"/>
      <c r="BF2515" s="350"/>
      <c r="BG2515" s="350"/>
      <c r="BH2515" s="350"/>
    </row>
    <row r="2516" spans="4:60">
      <c r="D2516" s="350"/>
      <c r="S2516" s="350"/>
      <c r="BF2516" s="350"/>
      <c r="BG2516" s="350"/>
      <c r="BH2516" s="350"/>
    </row>
    <row r="2517" spans="4:60">
      <c r="D2517" s="350"/>
      <c r="S2517" s="350"/>
      <c r="BF2517" s="350"/>
      <c r="BG2517" s="350"/>
      <c r="BH2517" s="350"/>
    </row>
    <row r="2518" spans="4:60">
      <c r="D2518" s="350"/>
      <c r="S2518" s="350"/>
      <c r="BF2518" s="350"/>
      <c r="BG2518" s="350"/>
      <c r="BH2518" s="350"/>
    </row>
    <row r="2519" spans="4:60">
      <c r="D2519" s="350"/>
      <c r="S2519" s="350"/>
      <c r="BF2519" s="350"/>
      <c r="BG2519" s="350"/>
      <c r="BH2519" s="350"/>
    </row>
    <row r="2520" spans="4:60">
      <c r="D2520" s="350"/>
      <c r="S2520" s="350"/>
      <c r="BF2520" s="350"/>
      <c r="BG2520" s="350"/>
      <c r="BH2520" s="350"/>
    </row>
    <row r="2521" spans="4:60">
      <c r="D2521" s="350"/>
      <c r="S2521" s="350"/>
      <c r="BF2521" s="350"/>
      <c r="BG2521" s="350"/>
      <c r="BH2521" s="350"/>
    </row>
    <row r="2523" spans="4:60">
      <c r="D2523" s="350"/>
      <c r="S2523" s="350"/>
      <c r="BF2523" s="350"/>
      <c r="BG2523" s="350"/>
      <c r="BH2523" s="350"/>
    </row>
    <row r="2524" spans="4:60">
      <c r="D2524" s="350"/>
      <c r="S2524" s="350"/>
      <c r="BF2524" s="350"/>
      <c r="BG2524" s="350"/>
      <c r="BH2524" s="350"/>
    </row>
    <row r="2529" spans="4:60">
      <c r="D2529" s="350"/>
      <c r="S2529" s="350"/>
      <c r="BF2529" s="350"/>
      <c r="BG2529" s="350"/>
      <c r="BH2529" s="350"/>
    </row>
    <row r="2530" spans="4:60">
      <c r="D2530" s="350"/>
      <c r="S2530" s="350"/>
      <c r="BF2530" s="350"/>
      <c r="BG2530" s="350"/>
      <c r="BH2530" s="350"/>
    </row>
    <row r="2532" spans="4:60">
      <c r="D2532" s="350"/>
      <c r="S2532" s="350"/>
      <c r="BF2532" s="350"/>
      <c r="BG2532" s="350"/>
      <c r="BH2532" s="350"/>
    </row>
    <row r="2533" spans="4:60">
      <c r="D2533" s="350"/>
      <c r="S2533" s="350"/>
      <c r="BF2533" s="350"/>
      <c r="BG2533" s="350"/>
      <c r="BH2533" s="350"/>
    </row>
    <row r="2534" spans="4:60">
      <c r="D2534" s="350"/>
      <c r="S2534" s="350"/>
      <c r="BF2534" s="350"/>
      <c r="BG2534" s="350"/>
      <c r="BH2534" s="350"/>
    </row>
    <row r="2535" spans="4:60">
      <c r="D2535" s="350"/>
      <c r="S2535" s="350"/>
      <c r="BF2535" s="350"/>
      <c r="BG2535" s="350"/>
      <c r="BH2535" s="350"/>
    </row>
    <row r="2536" spans="4:60">
      <c r="D2536" s="350"/>
      <c r="S2536" s="350"/>
      <c r="BF2536" s="350"/>
      <c r="BG2536" s="350"/>
      <c r="BH2536" s="350"/>
    </row>
    <row r="2537" spans="4:60">
      <c r="D2537" s="350"/>
      <c r="S2537" s="350"/>
      <c r="BF2537" s="350"/>
      <c r="BG2537" s="350"/>
      <c r="BH2537" s="350"/>
    </row>
    <row r="2538" spans="4:60">
      <c r="D2538" s="350"/>
      <c r="S2538" s="350"/>
      <c r="BF2538" s="350"/>
      <c r="BG2538" s="350"/>
      <c r="BH2538" s="350"/>
    </row>
    <row r="2539" spans="4:60">
      <c r="D2539" s="350"/>
      <c r="S2539" s="350"/>
      <c r="BF2539" s="350"/>
      <c r="BG2539" s="350"/>
      <c r="BH2539" s="350"/>
    </row>
    <row r="2540" spans="4:60">
      <c r="D2540" s="350"/>
      <c r="S2540" s="350"/>
      <c r="BF2540" s="350"/>
      <c r="BG2540" s="350"/>
      <c r="BH2540" s="350"/>
    </row>
    <row r="2541" spans="4:60">
      <c r="D2541" s="350"/>
      <c r="S2541" s="350"/>
      <c r="BF2541" s="350"/>
      <c r="BG2541" s="350"/>
      <c r="BH2541" s="350"/>
    </row>
    <row r="2542" spans="4:60">
      <c r="D2542" s="350"/>
      <c r="S2542" s="350"/>
      <c r="BF2542" s="350"/>
      <c r="BG2542" s="350"/>
      <c r="BH2542" s="350"/>
    </row>
    <row r="2543" spans="4:60">
      <c r="D2543" s="350"/>
      <c r="S2543" s="350"/>
      <c r="BF2543" s="350"/>
      <c r="BG2543" s="350"/>
      <c r="BH2543" s="350"/>
    </row>
    <row r="2544" spans="4:60">
      <c r="D2544" s="350"/>
      <c r="S2544" s="350"/>
      <c r="BF2544" s="350"/>
      <c r="BG2544" s="350"/>
      <c r="BH2544" s="350"/>
    </row>
    <row r="2545" spans="4:60">
      <c r="D2545" s="350"/>
      <c r="S2545" s="350"/>
      <c r="BF2545" s="350"/>
      <c r="BG2545" s="350"/>
      <c r="BH2545" s="350"/>
    </row>
    <row r="2546" spans="4:60">
      <c r="D2546" s="350"/>
      <c r="S2546" s="350"/>
      <c r="BF2546" s="350"/>
      <c r="BG2546" s="350"/>
      <c r="BH2546" s="350"/>
    </row>
    <row r="2547" spans="4:60">
      <c r="D2547" s="350"/>
      <c r="S2547" s="350"/>
      <c r="BF2547" s="350"/>
      <c r="BG2547" s="350"/>
      <c r="BH2547" s="350"/>
    </row>
    <row r="2548" spans="4:60">
      <c r="D2548" s="350"/>
      <c r="S2548" s="350"/>
      <c r="BF2548" s="350"/>
      <c r="BG2548" s="350"/>
      <c r="BH2548" s="350"/>
    </row>
    <row r="2549" spans="4:60">
      <c r="D2549" s="350"/>
      <c r="S2549" s="350"/>
      <c r="BF2549" s="350"/>
      <c r="BG2549" s="350"/>
      <c r="BH2549" s="350"/>
    </row>
    <row r="2550" spans="4:60">
      <c r="D2550" s="350"/>
      <c r="S2550" s="350"/>
      <c r="BF2550" s="350"/>
      <c r="BG2550" s="350"/>
      <c r="BH2550" s="350"/>
    </row>
    <row r="2551" spans="4:60">
      <c r="D2551" s="350"/>
      <c r="S2551" s="350"/>
      <c r="BF2551" s="350"/>
      <c r="BG2551" s="350"/>
      <c r="BH2551" s="350"/>
    </row>
    <row r="2552" spans="4:60">
      <c r="D2552" s="350"/>
      <c r="S2552" s="350"/>
      <c r="BF2552" s="350"/>
      <c r="BG2552" s="350"/>
      <c r="BH2552" s="350"/>
    </row>
    <row r="2553" spans="4:60">
      <c r="D2553" s="350"/>
      <c r="S2553" s="350"/>
      <c r="BF2553" s="350"/>
      <c r="BG2553" s="350"/>
      <c r="BH2553" s="350"/>
    </row>
    <row r="2554" spans="4:60">
      <c r="D2554" s="350"/>
      <c r="S2554" s="350"/>
      <c r="BF2554" s="350"/>
      <c r="BG2554" s="350"/>
      <c r="BH2554" s="350"/>
    </row>
    <row r="2555" spans="4:60">
      <c r="D2555" s="350"/>
      <c r="S2555" s="350"/>
      <c r="BF2555" s="350"/>
      <c r="BG2555" s="350"/>
      <c r="BH2555" s="350"/>
    </row>
    <row r="2556" spans="4:60">
      <c r="D2556" s="350"/>
      <c r="S2556" s="350"/>
      <c r="BF2556" s="350"/>
      <c r="BG2556" s="350"/>
      <c r="BH2556" s="350"/>
    </row>
    <row r="2557" spans="4:60">
      <c r="D2557" s="350"/>
      <c r="S2557" s="350"/>
      <c r="BF2557" s="350"/>
      <c r="BG2557" s="350"/>
      <c r="BH2557" s="350"/>
    </row>
    <row r="2558" spans="4:60">
      <c r="D2558" s="350"/>
      <c r="S2558" s="350"/>
      <c r="BF2558" s="350"/>
      <c r="BG2558" s="350"/>
      <c r="BH2558" s="350"/>
    </row>
    <row r="2559" spans="4:60">
      <c r="D2559" s="350"/>
      <c r="S2559" s="350"/>
      <c r="BF2559" s="350"/>
      <c r="BG2559" s="350"/>
      <c r="BH2559" s="350"/>
    </row>
    <row r="2560" spans="4:60">
      <c r="D2560" s="350"/>
      <c r="S2560" s="350"/>
      <c r="BF2560" s="350"/>
      <c r="BG2560" s="350"/>
      <c r="BH2560" s="350"/>
    </row>
    <row r="2561" spans="4:60">
      <c r="D2561" s="350"/>
      <c r="S2561" s="350"/>
      <c r="BF2561" s="350"/>
      <c r="BG2561" s="350"/>
      <c r="BH2561" s="350"/>
    </row>
    <row r="2562" spans="4:60">
      <c r="D2562" s="350"/>
      <c r="S2562" s="350"/>
      <c r="BF2562" s="350"/>
      <c r="BG2562" s="350"/>
      <c r="BH2562" s="350"/>
    </row>
    <row r="2563" spans="4:60">
      <c r="D2563" s="350"/>
      <c r="S2563" s="350"/>
      <c r="BF2563" s="350"/>
      <c r="BG2563" s="350"/>
      <c r="BH2563" s="350"/>
    </row>
    <row r="2564" spans="4:60">
      <c r="D2564" s="350"/>
      <c r="S2564" s="350"/>
      <c r="BF2564" s="350"/>
      <c r="BG2564" s="350"/>
      <c r="BH2564" s="350"/>
    </row>
    <row r="2565" spans="4:60">
      <c r="D2565" s="350"/>
      <c r="S2565" s="350"/>
      <c r="BF2565" s="350"/>
      <c r="BG2565" s="350"/>
      <c r="BH2565" s="350"/>
    </row>
    <row r="2566" spans="4:60">
      <c r="D2566" s="350"/>
      <c r="S2566" s="350"/>
      <c r="BF2566" s="350"/>
      <c r="BG2566" s="350"/>
      <c r="BH2566" s="350"/>
    </row>
    <row r="2567" spans="4:60">
      <c r="D2567" s="350"/>
      <c r="S2567" s="350"/>
      <c r="BF2567" s="350"/>
      <c r="BG2567" s="350"/>
      <c r="BH2567" s="350"/>
    </row>
    <row r="2568" spans="4:60">
      <c r="D2568" s="350"/>
      <c r="S2568" s="350"/>
      <c r="BF2568" s="350"/>
      <c r="BG2568" s="350"/>
      <c r="BH2568" s="350"/>
    </row>
    <row r="2569" spans="4:60">
      <c r="D2569" s="350"/>
      <c r="S2569" s="350"/>
      <c r="BF2569" s="350"/>
      <c r="BG2569" s="350"/>
      <c r="BH2569" s="350"/>
    </row>
    <row r="2570" spans="4:60">
      <c r="D2570" s="350"/>
      <c r="S2570" s="350"/>
      <c r="BF2570" s="350"/>
      <c r="BG2570" s="350"/>
      <c r="BH2570" s="350"/>
    </row>
    <row r="2571" spans="4:60">
      <c r="D2571" s="350"/>
      <c r="S2571" s="350"/>
      <c r="BF2571" s="350"/>
      <c r="BG2571" s="350"/>
      <c r="BH2571" s="350"/>
    </row>
    <row r="2572" spans="4:60">
      <c r="D2572" s="350"/>
      <c r="S2572" s="350"/>
      <c r="BF2572" s="350"/>
      <c r="BG2572" s="350"/>
      <c r="BH2572" s="350"/>
    </row>
    <row r="2573" spans="4:60">
      <c r="D2573" s="350"/>
      <c r="S2573" s="350"/>
      <c r="BF2573" s="350"/>
      <c r="BG2573" s="350"/>
      <c r="BH2573" s="350"/>
    </row>
    <row r="2574" spans="4:60">
      <c r="D2574" s="350"/>
      <c r="S2574" s="350"/>
      <c r="BF2574" s="350"/>
      <c r="BG2574" s="350"/>
      <c r="BH2574" s="350"/>
    </row>
    <row r="2575" spans="4:60">
      <c r="D2575" s="350"/>
      <c r="S2575" s="350"/>
      <c r="BF2575" s="350"/>
      <c r="BG2575" s="350"/>
      <c r="BH2575" s="350"/>
    </row>
    <row r="2576" spans="4:60">
      <c r="D2576" s="350"/>
      <c r="S2576" s="350"/>
      <c r="BF2576" s="350"/>
      <c r="BG2576" s="350"/>
      <c r="BH2576" s="350"/>
    </row>
    <row r="2577" spans="4:60">
      <c r="D2577" s="350"/>
      <c r="S2577" s="350"/>
      <c r="BF2577" s="350"/>
      <c r="BG2577" s="350"/>
      <c r="BH2577" s="350"/>
    </row>
    <row r="2578" spans="4:60">
      <c r="D2578" s="350"/>
      <c r="S2578" s="350"/>
      <c r="BF2578" s="350"/>
      <c r="BG2578" s="350"/>
      <c r="BH2578" s="350"/>
    </row>
    <row r="2579" spans="4:60">
      <c r="D2579" s="350"/>
      <c r="S2579" s="350"/>
      <c r="BF2579" s="350"/>
      <c r="BG2579" s="350"/>
      <c r="BH2579" s="350"/>
    </row>
    <row r="2580" spans="4:60">
      <c r="D2580" s="350"/>
      <c r="S2580" s="350"/>
      <c r="BF2580" s="350"/>
      <c r="BG2580" s="350"/>
      <c r="BH2580" s="350"/>
    </row>
    <row r="2581" spans="4:60">
      <c r="D2581" s="350"/>
      <c r="S2581" s="350"/>
      <c r="BF2581" s="350"/>
      <c r="BG2581" s="350"/>
      <c r="BH2581" s="350"/>
    </row>
    <row r="2582" spans="4:60">
      <c r="D2582" s="350"/>
      <c r="S2582" s="350"/>
      <c r="BF2582" s="350"/>
      <c r="BG2582" s="350"/>
      <c r="BH2582" s="350"/>
    </row>
    <row r="2583" spans="4:60">
      <c r="D2583" s="350"/>
      <c r="S2583" s="350"/>
      <c r="BF2583" s="350"/>
      <c r="BG2583" s="350"/>
      <c r="BH2583" s="350"/>
    </row>
    <row r="2584" spans="4:60">
      <c r="D2584" s="350"/>
      <c r="S2584" s="350"/>
      <c r="BF2584" s="350"/>
      <c r="BG2584" s="350"/>
      <c r="BH2584" s="350"/>
    </row>
    <row r="2585" spans="4:60">
      <c r="D2585" s="350"/>
      <c r="S2585" s="350"/>
      <c r="BF2585" s="350"/>
      <c r="BG2585" s="350"/>
      <c r="BH2585" s="350"/>
    </row>
    <row r="2586" spans="4:60">
      <c r="D2586" s="350"/>
      <c r="S2586" s="350"/>
      <c r="BF2586" s="350"/>
      <c r="BG2586" s="350"/>
      <c r="BH2586" s="350"/>
    </row>
    <row r="2587" spans="4:60">
      <c r="D2587" s="350"/>
      <c r="S2587" s="350"/>
      <c r="BF2587" s="350"/>
      <c r="BG2587" s="350"/>
      <c r="BH2587" s="350"/>
    </row>
    <row r="2588" spans="4:60">
      <c r="D2588" s="350"/>
      <c r="S2588" s="350"/>
      <c r="BF2588" s="350"/>
      <c r="BG2588" s="350"/>
      <c r="BH2588" s="350"/>
    </row>
    <row r="2589" spans="4:60">
      <c r="D2589" s="350"/>
      <c r="S2589" s="350"/>
      <c r="BF2589" s="350"/>
      <c r="BG2589" s="350"/>
      <c r="BH2589" s="350"/>
    </row>
    <row r="2590" spans="4:60">
      <c r="D2590" s="350"/>
      <c r="S2590" s="350"/>
      <c r="BF2590" s="350"/>
      <c r="BG2590" s="350"/>
      <c r="BH2590" s="350"/>
    </row>
    <row r="2591" spans="4:60">
      <c r="D2591" s="350"/>
      <c r="S2591" s="350"/>
      <c r="BF2591" s="350"/>
      <c r="BG2591" s="350"/>
      <c r="BH2591" s="350"/>
    </row>
    <row r="2592" spans="4:60">
      <c r="D2592" s="350"/>
      <c r="S2592" s="350"/>
      <c r="BF2592" s="350"/>
      <c r="BG2592" s="350"/>
      <c r="BH2592" s="350"/>
    </row>
    <row r="2593" spans="4:60">
      <c r="D2593" s="350"/>
      <c r="S2593" s="350"/>
      <c r="BF2593" s="350"/>
      <c r="BG2593" s="350"/>
      <c r="BH2593" s="350"/>
    </row>
    <row r="2594" spans="4:60">
      <c r="D2594" s="350"/>
      <c r="S2594" s="350"/>
      <c r="BF2594" s="350"/>
      <c r="BG2594" s="350"/>
      <c r="BH2594" s="350"/>
    </row>
    <row r="2595" spans="4:60">
      <c r="D2595" s="350"/>
      <c r="S2595" s="350"/>
      <c r="BF2595" s="350"/>
      <c r="BG2595" s="350"/>
      <c r="BH2595" s="350"/>
    </row>
    <row r="2596" spans="4:60">
      <c r="D2596" s="350"/>
      <c r="S2596" s="350"/>
      <c r="BF2596" s="350"/>
      <c r="BG2596" s="350"/>
      <c r="BH2596" s="350"/>
    </row>
    <row r="2597" spans="4:60">
      <c r="D2597" s="350"/>
      <c r="S2597" s="350"/>
      <c r="BF2597" s="350"/>
      <c r="BG2597" s="350"/>
      <c r="BH2597" s="350"/>
    </row>
    <row r="2598" spans="4:60">
      <c r="D2598" s="350"/>
      <c r="S2598" s="350"/>
      <c r="BF2598" s="350"/>
      <c r="BG2598" s="350"/>
      <c r="BH2598" s="350"/>
    </row>
    <row r="2599" spans="4:60">
      <c r="D2599" s="350"/>
      <c r="S2599" s="350"/>
      <c r="BF2599" s="350"/>
      <c r="BG2599" s="350"/>
      <c r="BH2599" s="350"/>
    </row>
    <row r="2600" spans="4:60">
      <c r="D2600" s="350"/>
      <c r="S2600" s="350"/>
      <c r="BF2600" s="350"/>
      <c r="BG2600" s="350"/>
      <c r="BH2600" s="350"/>
    </row>
    <row r="2601" spans="4:60">
      <c r="D2601" s="350"/>
      <c r="S2601" s="350"/>
      <c r="BF2601" s="350"/>
      <c r="BG2601" s="350"/>
      <c r="BH2601" s="350"/>
    </row>
    <row r="2602" spans="4:60">
      <c r="D2602" s="350"/>
      <c r="S2602" s="350"/>
      <c r="BF2602" s="350"/>
      <c r="BG2602" s="350"/>
      <c r="BH2602" s="350"/>
    </row>
    <row r="2603" spans="4:60">
      <c r="D2603" s="350"/>
      <c r="S2603" s="350"/>
      <c r="BF2603" s="350"/>
      <c r="BG2603" s="350"/>
      <c r="BH2603" s="350"/>
    </row>
    <row r="2604" spans="4:60">
      <c r="D2604" s="350"/>
      <c r="S2604" s="350"/>
      <c r="BF2604" s="350"/>
      <c r="BG2604" s="350"/>
      <c r="BH2604" s="350"/>
    </row>
    <row r="2605" spans="4:60">
      <c r="D2605" s="350"/>
      <c r="S2605" s="350"/>
      <c r="BF2605" s="350"/>
      <c r="BG2605" s="350"/>
      <c r="BH2605" s="350"/>
    </row>
    <row r="2606" spans="4:60">
      <c r="D2606" s="350"/>
      <c r="S2606" s="350"/>
      <c r="BF2606" s="350"/>
      <c r="BG2606" s="350"/>
      <c r="BH2606" s="350"/>
    </row>
    <row r="2607" spans="4:60">
      <c r="D2607" s="350"/>
      <c r="S2607" s="350"/>
      <c r="BF2607" s="350"/>
      <c r="BG2607" s="350"/>
      <c r="BH2607" s="350"/>
    </row>
    <row r="2608" spans="4:60">
      <c r="D2608" s="350"/>
      <c r="S2608" s="350"/>
      <c r="BF2608" s="350"/>
      <c r="BG2608" s="350"/>
      <c r="BH2608" s="350"/>
    </row>
    <row r="2609" spans="4:60">
      <c r="D2609" s="350"/>
      <c r="S2609" s="350"/>
      <c r="BF2609" s="350"/>
      <c r="BG2609" s="350"/>
      <c r="BH2609" s="350"/>
    </row>
    <row r="2610" spans="4:60">
      <c r="D2610" s="350"/>
      <c r="S2610" s="350"/>
      <c r="BF2610" s="350"/>
      <c r="BG2610" s="350"/>
      <c r="BH2610" s="350"/>
    </row>
    <row r="2611" spans="4:60">
      <c r="D2611" s="350"/>
      <c r="S2611" s="350"/>
      <c r="BF2611" s="350"/>
      <c r="BG2611" s="350"/>
      <c r="BH2611" s="350"/>
    </row>
    <row r="2612" spans="4:60">
      <c r="D2612" s="350"/>
      <c r="S2612" s="350"/>
      <c r="BF2612" s="350"/>
      <c r="BG2612" s="350"/>
      <c r="BH2612" s="350"/>
    </row>
    <row r="2613" spans="4:60">
      <c r="D2613" s="350"/>
      <c r="S2613" s="350"/>
      <c r="BF2613" s="350"/>
      <c r="BG2613" s="350"/>
      <c r="BH2613" s="350"/>
    </row>
    <row r="2614" spans="4:60">
      <c r="D2614" s="350"/>
      <c r="S2614" s="350"/>
      <c r="BF2614" s="350"/>
      <c r="BG2614" s="350"/>
      <c r="BH2614" s="350"/>
    </row>
    <row r="2615" spans="4:60">
      <c r="D2615" s="350"/>
      <c r="S2615" s="350"/>
      <c r="BF2615" s="350"/>
      <c r="BG2615" s="350"/>
      <c r="BH2615" s="350"/>
    </row>
    <row r="2616" spans="4:60">
      <c r="D2616" s="350"/>
      <c r="S2616" s="350"/>
      <c r="BF2616" s="350"/>
      <c r="BG2616" s="350"/>
      <c r="BH2616" s="350"/>
    </row>
    <row r="2617" spans="4:60">
      <c r="D2617" s="350"/>
      <c r="S2617" s="350"/>
      <c r="BF2617" s="350"/>
      <c r="BG2617" s="350"/>
      <c r="BH2617" s="350"/>
    </row>
    <row r="2618" spans="4:60">
      <c r="D2618" s="350"/>
      <c r="S2618" s="350"/>
      <c r="BF2618" s="350"/>
      <c r="BG2618" s="350"/>
      <c r="BH2618" s="350"/>
    </row>
    <row r="2619" spans="4:60">
      <c r="D2619" s="350"/>
      <c r="S2619" s="350"/>
      <c r="BF2619" s="350"/>
      <c r="BG2619" s="350"/>
      <c r="BH2619" s="350"/>
    </row>
    <row r="2620" spans="4:60">
      <c r="D2620" s="350"/>
      <c r="S2620" s="350"/>
      <c r="BF2620" s="350"/>
      <c r="BG2620" s="350"/>
      <c r="BH2620" s="350"/>
    </row>
    <row r="2621" spans="4:60">
      <c r="D2621" s="350"/>
      <c r="S2621" s="350"/>
      <c r="BF2621" s="350"/>
      <c r="BG2621" s="350"/>
      <c r="BH2621" s="350"/>
    </row>
    <row r="2622" spans="4:60">
      <c r="D2622" s="350"/>
      <c r="S2622" s="350"/>
      <c r="BF2622" s="350"/>
      <c r="BG2622" s="350"/>
      <c r="BH2622" s="350"/>
    </row>
    <row r="2623" spans="4:60">
      <c r="D2623" s="350"/>
      <c r="S2623" s="350"/>
      <c r="BF2623" s="350"/>
      <c r="BG2623" s="350"/>
      <c r="BH2623" s="350"/>
    </row>
    <row r="2624" spans="4:60">
      <c r="D2624" s="350"/>
      <c r="S2624" s="350"/>
      <c r="BF2624" s="350"/>
      <c r="BG2624" s="350"/>
      <c r="BH2624" s="350"/>
    </row>
    <row r="2625" spans="4:60">
      <c r="D2625" s="350"/>
      <c r="S2625" s="350"/>
      <c r="BF2625" s="350"/>
      <c r="BG2625" s="350"/>
      <c r="BH2625" s="350"/>
    </row>
    <row r="2626" spans="4:60">
      <c r="D2626" s="350"/>
      <c r="S2626" s="350"/>
      <c r="BF2626" s="350"/>
      <c r="BG2626" s="350"/>
      <c r="BH2626" s="350"/>
    </row>
    <row r="2627" spans="4:60">
      <c r="D2627" s="350"/>
      <c r="S2627" s="350"/>
      <c r="BF2627" s="350"/>
      <c r="BG2627" s="350"/>
      <c r="BH2627" s="350"/>
    </row>
    <row r="2628" spans="4:60">
      <c r="D2628" s="350"/>
      <c r="S2628" s="350"/>
      <c r="BF2628" s="350"/>
      <c r="BG2628" s="350"/>
      <c r="BH2628" s="350"/>
    </row>
    <row r="2629" spans="4:60">
      <c r="D2629" s="350"/>
      <c r="S2629" s="350"/>
      <c r="BF2629" s="350"/>
      <c r="BG2629" s="350"/>
      <c r="BH2629" s="350"/>
    </row>
    <row r="2630" spans="4:60">
      <c r="D2630" s="350"/>
      <c r="S2630" s="350"/>
      <c r="BF2630" s="350"/>
      <c r="BG2630" s="350"/>
      <c r="BH2630" s="350"/>
    </row>
    <row r="2631" spans="4:60">
      <c r="D2631" s="350"/>
      <c r="S2631" s="350"/>
      <c r="BF2631" s="350"/>
      <c r="BG2631" s="350"/>
      <c r="BH2631" s="350"/>
    </row>
    <row r="2632" spans="4:60">
      <c r="D2632" s="350"/>
      <c r="S2632" s="350"/>
      <c r="BF2632" s="350"/>
      <c r="BG2632" s="350"/>
      <c r="BH2632" s="350"/>
    </row>
    <row r="2633" spans="4:60">
      <c r="D2633" s="350"/>
      <c r="S2633" s="350"/>
      <c r="BF2633" s="350"/>
      <c r="BG2633" s="350"/>
      <c r="BH2633" s="350"/>
    </row>
    <row r="2634" spans="4:60">
      <c r="D2634" s="350"/>
      <c r="S2634" s="350"/>
      <c r="BF2634" s="350"/>
      <c r="BG2634" s="350"/>
      <c r="BH2634" s="350"/>
    </row>
    <row r="2635" spans="4:60">
      <c r="D2635" s="350"/>
      <c r="S2635" s="350"/>
      <c r="BF2635" s="350"/>
      <c r="BG2635" s="350"/>
      <c r="BH2635" s="350"/>
    </row>
    <row r="2636" spans="4:60">
      <c r="D2636" s="350"/>
      <c r="S2636" s="350"/>
      <c r="BF2636" s="350"/>
      <c r="BG2636" s="350"/>
      <c r="BH2636" s="350"/>
    </row>
    <row r="2637" spans="4:60">
      <c r="D2637" s="350"/>
      <c r="S2637" s="350"/>
      <c r="BF2637" s="350"/>
      <c r="BG2637" s="350"/>
      <c r="BH2637" s="350"/>
    </row>
    <row r="2638" spans="4:60">
      <c r="D2638" s="350"/>
      <c r="S2638" s="350"/>
      <c r="BF2638" s="350"/>
      <c r="BG2638" s="350"/>
      <c r="BH2638" s="350"/>
    </row>
    <row r="2639" spans="4:60">
      <c r="D2639" s="350"/>
      <c r="S2639" s="350"/>
      <c r="BF2639" s="350"/>
      <c r="BG2639" s="350"/>
      <c r="BH2639" s="350"/>
    </row>
    <row r="2640" spans="4:60">
      <c r="D2640" s="350"/>
      <c r="S2640" s="350"/>
      <c r="BF2640" s="350"/>
      <c r="BG2640" s="350"/>
      <c r="BH2640" s="350"/>
    </row>
    <row r="2641" spans="4:60">
      <c r="D2641" s="350"/>
      <c r="S2641" s="350"/>
      <c r="BF2641" s="350"/>
      <c r="BG2641" s="350"/>
      <c r="BH2641" s="350"/>
    </row>
    <row r="2642" spans="4:60">
      <c r="D2642" s="350"/>
      <c r="S2642" s="350"/>
      <c r="BF2642" s="350"/>
      <c r="BG2642" s="350"/>
      <c r="BH2642" s="350"/>
    </row>
    <row r="2643" spans="4:60">
      <c r="D2643" s="350"/>
      <c r="S2643" s="350"/>
      <c r="BF2643" s="350"/>
      <c r="BG2643" s="350"/>
      <c r="BH2643" s="350"/>
    </row>
    <row r="2644" spans="4:60">
      <c r="D2644" s="350"/>
      <c r="S2644" s="350"/>
      <c r="BF2644" s="350"/>
      <c r="BG2644" s="350"/>
      <c r="BH2644" s="350"/>
    </row>
    <row r="2645" spans="4:60">
      <c r="D2645" s="350"/>
      <c r="S2645" s="350"/>
      <c r="BF2645" s="350"/>
      <c r="BG2645" s="350"/>
      <c r="BH2645" s="350"/>
    </row>
    <row r="2646" spans="4:60">
      <c r="D2646" s="350"/>
      <c r="S2646" s="350"/>
      <c r="BF2646" s="350"/>
      <c r="BG2646" s="350"/>
      <c r="BH2646" s="350"/>
    </row>
    <row r="2647" spans="4:60">
      <c r="D2647" s="350"/>
      <c r="S2647" s="350"/>
      <c r="BF2647" s="350"/>
      <c r="BG2647" s="350"/>
      <c r="BH2647" s="350"/>
    </row>
    <row r="2648" spans="4:60">
      <c r="D2648" s="350"/>
      <c r="S2648" s="350"/>
      <c r="BF2648" s="350"/>
      <c r="BG2648" s="350"/>
      <c r="BH2648" s="350"/>
    </row>
    <row r="2649" spans="4:60">
      <c r="D2649" s="350"/>
      <c r="S2649" s="350"/>
      <c r="BF2649" s="350"/>
      <c r="BG2649" s="350"/>
      <c r="BH2649" s="350"/>
    </row>
    <row r="2650" spans="4:60">
      <c r="D2650" s="350"/>
      <c r="S2650" s="350"/>
      <c r="BF2650" s="350"/>
      <c r="BG2650" s="350"/>
      <c r="BH2650" s="350"/>
    </row>
    <row r="2651" spans="4:60">
      <c r="D2651" s="350"/>
      <c r="S2651" s="350"/>
      <c r="BF2651" s="350"/>
      <c r="BG2651" s="350"/>
      <c r="BH2651" s="350"/>
    </row>
    <row r="2652" spans="4:60">
      <c r="D2652" s="350"/>
      <c r="S2652" s="350"/>
      <c r="BF2652" s="350"/>
      <c r="BG2652" s="350"/>
      <c r="BH2652" s="350"/>
    </row>
    <row r="2653" spans="4:60">
      <c r="D2653" s="350"/>
      <c r="S2653" s="350"/>
      <c r="BF2653" s="350"/>
      <c r="BG2653" s="350"/>
      <c r="BH2653" s="350"/>
    </row>
    <row r="2654" spans="4:60">
      <c r="D2654" s="350"/>
      <c r="S2654" s="350"/>
      <c r="BF2654" s="350"/>
      <c r="BG2654" s="350"/>
      <c r="BH2654" s="350"/>
    </row>
    <row r="2655" spans="4:60">
      <c r="D2655" s="350"/>
      <c r="S2655" s="350"/>
      <c r="BF2655" s="350"/>
      <c r="BG2655" s="350"/>
      <c r="BH2655" s="350"/>
    </row>
    <row r="2656" spans="4:60">
      <c r="D2656" s="350"/>
      <c r="S2656" s="350"/>
      <c r="BF2656" s="350"/>
      <c r="BG2656" s="350"/>
      <c r="BH2656" s="350"/>
    </row>
    <row r="2657" spans="4:60">
      <c r="D2657" s="350"/>
      <c r="S2657" s="350"/>
      <c r="BF2657" s="350"/>
      <c r="BG2657" s="350"/>
      <c r="BH2657" s="350"/>
    </row>
    <row r="2658" spans="4:60">
      <c r="D2658" s="350"/>
      <c r="S2658" s="350"/>
      <c r="BF2658" s="350"/>
      <c r="BG2658" s="350"/>
      <c r="BH2658" s="350"/>
    </row>
    <row r="2659" spans="4:60">
      <c r="D2659" s="350"/>
      <c r="S2659" s="350"/>
      <c r="BF2659" s="350"/>
      <c r="BG2659" s="350"/>
      <c r="BH2659" s="350"/>
    </row>
    <row r="2660" spans="4:60">
      <c r="D2660" s="350"/>
      <c r="S2660" s="350"/>
      <c r="BF2660" s="350"/>
      <c r="BG2660" s="350"/>
      <c r="BH2660" s="350"/>
    </row>
    <row r="2661" spans="4:60">
      <c r="D2661" s="350"/>
      <c r="S2661" s="350"/>
      <c r="BF2661" s="350"/>
      <c r="BG2661" s="350"/>
      <c r="BH2661" s="350"/>
    </row>
    <row r="2662" spans="4:60">
      <c r="D2662" s="350"/>
      <c r="S2662" s="350"/>
      <c r="BF2662" s="350"/>
      <c r="BG2662" s="350"/>
      <c r="BH2662" s="350"/>
    </row>
    <row r="2663" spans="4:60">
      <c r="D2663" s="350"/>
      <c r="S2663" s="350"/>
      <c r="BF2663" s="350"/>
      <c r="BG2663" s="350"/>
      <c r="BH2663" s="350"/>
    </row>
    <row r="2664" spans="4:60">
      <c r="D2664" s="350"/>
      <c r="S2664" s="350"/>
      <c r="BF2664" s="350"/>
      <c r="BG2664" s="350"/>
      <c r="BH2664" s="350"/>
    </row>
    <row r="2665" spans="4:60">
      <c r="D2665" s="350"/>
      <c r="S2665" s="350"/>
      <c r="BF2665" s="350"/>
      <c r="BG2665" s="350"/>
      <c r="BH2665" s="350"/>
    </row>
    <row r="2666" spans="4:60">
      <c r="D2666" s="350"/>
      <c r="S2666" s="350"/>
      <c r="BF2666" s="350"/>
      <c r="BG2666" s="350"/>
      <c r="BH2666" s="350"/>
    </row>
    <row r="2667" spans="4:60">
      <c r="D2667" s="350"/>
      <c r="S2667" s="350"/>
      <c r="BF2667" s="350"/>
      <c r="BG2667" s="350"/>
      <c r="BH2667" s="350"/>
    </row>
    <row r="2668" spans="4:60">
      <c r="D2668" s="350"/>
      <c r="S2668" s="350"/>
      <c r="BF2668" s="350"/>
      <c r="BG2668" s="350"/>
      <c r="BH2668" s="350"/>
    </row>
    <row r="2669" spans="4:60">
      <c r="D2669" s="350"/>
      <c r="S2669" s="350"/>
      <c r="BF2669" s="350"/>
      <c r="BG2669" s="350"/>
      <c r="BH2669" s="350"/>
    </row>
    <row r="2670" spans="4:60">
      <c r="D2670" s="350"/>
      <c r="S2670" s="350"/>
      <c r="BF2670" s="350"/>
      <c r="BG2670" s="350"/>
      <c r="BH2670" s="350"/>
    </row>
    <row r="2671" spans="4:60">
      <c r="D2671" s="350"/>
      <c r="S2671" s="350"/>
      <c r="BF2671" s="350"/>
      <c r="BG2671" s="350"/>
      <c r="BH2671" s="350"/>
    </row>
    <row r="2672" spans="4:60">
      <c r="D2672" s="350"/>
      <c r="S2672" s="350"/>
      <c r="BF2672" s="350"/>
      <c r="BG2672" s="350"/>
      <c r="BH2672" s="350"/>
    </row>
    <row r="2673" spans="4:60">
      <c r="D2673" s="350"/>
      <c r="S2673" s="350"/>
      <c r="BF2673" s="350"/>
      <c r="BG2673" s="350"/>
      <c r="BH2673" s="350"/>
    </row>
    <row r="2674" spans="4:60">
      <c r="D2674" s="350"/>
      <c r="S2674" s="350"/>
      <c r="BF2674" s="350"/>
      <c r="BG2674" s="350"/>
      <c r="BH2674" s="350"/>
    </row>
    <row r="2675" spans="4:60">
      <c r="D2675" s="350"/>
      <c r="S2675" s="350"/>
      <c r="BF2675" s="350"/>
      <c r="BG2675" s="350"/>
      <c r="BH2675" s="350"/>
    </row>
    <row r="2676" spans="4:60">
      <c r="D2676" s="350"/>
      <c r="S2676" s="350"/>
      <c r="BF2676" s="350"/>
      <c r="BG2676" s="350"/>
      <c r="BH2676" s="350"/>
    </row>
    <row r="2677" spans="4:60">
      <c r="D2677" s="350"/>
      <c r="S2677" s="350"/>
      <c r="BF2677" s="350"/>
      <c r="BG2677" s="350"/>
      <c r="BH2677" s="350"/>
    </row>
    <row r="2678" spans="4:60">
      <c r="D2678" s="350"/>
      <c r="S2678" s="350"/>
      <c r="BF2678" s="350"/>
      <c r="BG2678" s="350"/>
      <c r="BH2678" s="350"/>
    </row>
    <row r="2679" spans="4:60">
      <c r="D2679" s="350"/>
      <c r="S2679" s="350"/>
      <c r="BF2679" s="350"/>
      <c r="BG2679" s="350"/>
      <c r="BH2679" s="350"/>
    </row>
    <row r="2680" spans="4:60">
      <c r="D2680" s="350"/>
      <c r="S2680" s="350"/>
      <c r="BF2680" s="350"/>
      <c r="BG2680" s="350"/>
      <c r="BH2680" s="350"/>
    </row>
    <row r="2681" spans="4:60">
      <c r="D2681" s="350"/>
      <c r="S2681" s="350"/>
      <c r="BF2681" s="350"/>
      <c r="BG2681" s="350"/>
      <c r="BH2681" s="350"/>
    </row>
    <row r="2682" spans="4:60">
      <c r="D2682" s="350"/>
      <c r="S2682" s="350"/>
      <c r="BF2682" s="350"/>
      <c r="BG2682" s="350"/>
      <c r="BH2682" s="350"/>
    </row>
    <row r="2683" spans="4:60">
      <c r="D2683" s="350"/>
      <c r="S2683" s="350"/>
      <c r="BF2683" s="350"/>
      <c r="BG2683" s="350"/>
      <c r="BH2683" s="350"/>
    </row>
    <row r="2684" spans="4:60">
      <c r="D2684" s="350"/>
      <c r="S2684" s="350"/>
      <c r="BF2684" s="350"/>
      <c r="BG2684" s="350"/>
      <c r="BH2684" s="350"/>
    </row>
    <row r="2685" spans="4:60">
      <c r="D2685" s="350"/>
      <c r="S2685" s="350"/>
      <c r="BF2685" s="350"/>
      <c r="BG2685" s="350"/>
      <c r="BH2685" s="350"/>
    </row>
    <row r="2686" spans="4:60">
      <c r="D2686" s="350"/>
      <c r="S2686" s="350"/>
      <c r="BF2686" s="350"/>
      <c r="BG2686" s="350"/>
      <c r="BH2686" s="350"/>
    </row>
    <row r="2687" spans="4:60">
      <c r="D2687" s="350"/>
      <c r="S2687" s="350"/>
      <c r="BF2687" s="350"/>
      <c r="BG2687" s="350"/>
      <c r="BH2687" s="350"/>
    </row>
    <row r="2688" spans="4:60">
      <c r="D2688" s="350"/>
      <c r="S2688" s="350"/>
      <c r="BF2688" s="350"/>
      <c r="BG2688" s="350"/>
      <c r="BH2688" s="350"/>
    </row>
    <row r="2689" spans="4:60">
      <c r="D2689" s="350"/>
      <c r="S2689" s="350"/>
      <c r="BF2689" s="350"/>
      <c r="BG2689" s="350"/>
      <c r="BH2689" s="350"/>
    </row>
    <row r="2690" spans="4:60">
      <c r="D2690" s="350"/>
      <c r="S2690" s="350"/>
      <c r="BF2690" s="350"/>
      <c r="BG2690" s="350"/>
      <c r="BH2690" s="350"/>
    </row>
    <row r="2691" spans="4:60">
      <c r="D2691" s="350"/>
      <c r="S2691" s="350"/>
      <c r="BF2691" s="350"/>
      <c r="BG2691" s="350"/>
      <c r="BH2691" s="350"/>
    </row>
    <row r="2694" spans="4:60">
      <c r="D2694" s="350"/>
      <c r="S2694" s="350"/>
      <c r="BF2694" s="350"/>
      <c r="BG2694" s="350"/>
      <c r="BH2694" s="350"/>
    </row>
    <row r="2695" spans="4:60">
      <c r="D2695" s="350"/>
      <c r="S2695" s="350"/>
      <c r="BF2695" s="350"/>
      <c r="BG2695" s="350"/>
      <c r="BH2695" s="350"/>
    </row>
    <row r="2697" spans="4:60">
      <c r="D2697" s="350"/>
      <c r="S2697" s="350"/>
      <c r="BF2697" s="350"/>
      <c r="BG2697" s="350"/>
      <c r="BH2697" s="350"/>
    </row>
    <row r="2698" spans="4:60">
      <c r="D2698" s="350"/>
      <c r="S2698" s="350"/>
      <c r="BF2698" s="350"/>
      <c r="BG2698" s="350"/>
      <c r="BH2698" s="350"/>
    </row>
    <row r="2699" spans="4:60">
      <c r="D2699" s="350"/>
      <c r="S2699" s="350"/>
      <c r="BF2699" s="350"/>
      <c r="BG2699" s="350"/>
      <c r="BH2699" s="350"/>
    </row>
    <row r="2700" spans="4:60">
      <c r="D2700" s="350"/>
      <c r="S2700" s="350"/>
      <c r="BF2700" s="350"/>
      <c r="BG2700" s="350"/>
      <c r="BH2700" s="350"/>
    </row>
    <row r="2701" spans="4:60">
      <c r="D2701" s="350"/>
      <c r="S2701" s="350"/>
      <c r="BF2701" s="350"/>
      <c r="BG2701" s="350"/>
      <c r="BH2701" s="350"/>
    </row>
    <row r="2702" spans="4:60">
      <c r="D2702" s="350"/>
      <c r="S2702" s="350"/>
      <c r="BF2702" s="350"/>
      <c r="BG2702" s="350"/>
      <c r="BH2702" s="350"/>
    </row>
    <row r="2703" spans="4:60">
      <c r="D2703" s="350"/>
      <c r="S2703" s="350"/>
      <c r="BF2703" s="350"/>
      <c r="BG2703" s="350"/>
      <c r="BH2703" s="350"/>
    </row>
    <row r="2704" spans="4:60">
      <c r="D2704" s="350"/>
      <c r="S2704" s="350"/>
      <c r="BF2704" s="350"/>
      <c r="BG2704" s="350"/>
      <c r="BH2704" s="350"/>
    </row>
    <row r="2705" spans="4:60">
      <c r="D2705" s="350"/>
      <c r="S2705" s="350"/>
      <c r="BF2705" s="350"/>
      <c r="BG2705" s="350"/>
      <c r="BH2705" s="350"/>
    </row>
    <row r="2706" spans="4:60">
      <c r="D2706" s="350"/>
      <c r="S2706" s="350"/>
      <c r="BF2706" s="350"/>
      <c r="BG2706" s="350"/>
      <c r="BH2706" s="350"/>
    </row>
    <row r="2707" spans="4:60">
      <c r="D2707" s="350"/>
      <c r="S2707" s="350"/>
      <c r="BF2707" s="350"/>
      <c r="BG2707" s="350"/>
      <c r="BH2707" s="350"/>
    </row>
    <row r="2708" spans="4:60">
      <c r="D2708" s="350"/>
      <c r="S2708" s="350"/>
      <c r="BF2708" s="350"/>
      <c r="BG2708" s="350"/>
      <c r="BH2708" s="350"/>
    </row>
    <row r="2709" spans="4:60">
      <c r="D2709" s="350"/>
      <c r="S2709" s="350"/>
      <c r="BF2709" s="350"/>
      <c r="BG2709" s="350"/>
      <c r="BH2709" s="350"/>
    </row>
    <row r="2710" spans="4:60">
      <c r="D2710" s="350"/>
      <c r="S2710" s="350"/>
      <c r="BF2710" s="350"/>
      <c r="BG2710" s="350"/>
      <c r="BH2710" s="350"/>
    </row>
    <row r="2711" spans="4:60">
      <c r="D2711" s="350"/>
      <c r="S2711" s="350"/>
      <c r="BF2711" s="350"/>
      <c r="BG2711" s="350"/>
      <c r="BH2711" s="350"/>
    </row>
    <row r="2712" spans="4:60">
      <c r="D2712" s="350"/>
      <c r="S2712" s="350"/>
      <c r="BF2712" s="350"/>
      <c r="BG2712" s="350"/>
      <c r="BH2712" s="350"/>
    </row>
    <row r="2713" spans="4:60">
      <c r="D2713" s="350"/>
      <c r="S2713" s="350"/>
      <c r="BF2713" s="350"/>
      <c r="BG2713" s="350"/>
      <c r="BH2713" s="350"/>
    </row>
    <row r="2714" spans="4:60">
      <c r="D2714" s="350"/>
      <c r="S2714" s="350"/>
      <c r="BF2714" s="350"/>
      <c r="BG2714" s="350"/>
      <c r="BH2714" s="350"/>
    </row>
    <row r="2715" spans="4:60">
      <c r="D2715" s="350"/>
      <c r="S2715" s="350"/>
      <c r="BF2715" s="350"/>
      <c r="BG2715" s="350"/>
      <c r="BH2715" s="350"/>
    </row>
    <row r="2716" spans="4:60">
      <c r="D2716" s="350"/>
      <c r="S2716" s="350"/>
      <c r="BF2716" s="350"/>
      <c r="BG2716" s="350"/>
      <c r="BH2716" s="350"/>
    </row>
    <row r="2717" spans="4:60">
      <c r="D2717" s="350"/>
      <c r="S2717" s="350"/>
      <c r="BF2717" s="350"/>
      <c r="BG2717" s="350"/>
      <c r="BH2717" s="350"/>
    </row>
    <row r="2718" spans="4:60">
      <c r="D2718" s="350"/>
      <c r="S2718" s="350"/>
      <c r="BF2718" s="350"/>
      <c r="BG2718" s="350"/>
      <c r="BH2718" s="350"/>
    </row>
    <row r="2719" spans="4:60">
      <c r="D2719" s="350"/>
      <c r="S2719" s="350"/>
      <c r="BF2719" s="350"/>
      <c r="BG2719" s="350"/>
      <c r="BH2719" s="350"/>
    </row>
    <row r="2720" spans="4:60">
      <c r="D2720" s="350"/>
      <c r="S2720" s="350"/>
      <c r="BF2720" s="350"/>
      <c r="BG2720" s="350"/>
      <c r="BH2720" s="350"/>
    </row>
    <row r="2721" spans="4:60">
      <c r="D2721" s="350"/>
      <c r="S2721" s="350"/>
      <c r="BF2721" s="350"/>
      <c r="BG2721" s="350"/>
      <c r="BH2721" s="350"/>
    </row>
    <row r="2722" spans="4:60">
      <c r="D2722" s="350"/>
      <c r="S2722" s="350"/>
      <c r="BF2722" s="350"/>
      <c r="BG2722" s="350"/>
      <c r="BH2722" s="350"/>
    </row>
    <row r="2723" spans="4:60">
      <c r="D2723" s="350"/>
      <c r="S2723" s="350"/>
      <c r="BF2723" s="350"/>
      <c r="BG2723" s="350"/>
      <c r="BH2723" s="350"/>
    </row>
    <row r="2724" spans="4:60">
      <c r="D2724" s="350"/>
      <c r="S2724" s="350"/>
      <c r="BF2724" s="350"/>
      <c r="BG2724" s="350"/>
      <c r="BH2724" s="350"/>
    </row>
    <row r="2725" spans="4:60">
      <c r="D2725" s="350"/>
      <c r="S2725" s="350"/>
      <c r="BF2725" s="350"/>
      <c r="BG2725" s="350"/>
      <c r="BH2725" s="350"/>
    </row>
    <row r="2726" spans="4:60">
      <c r="D2726" s="350"/>
      <c r="S2726" s="350"/>
      <c r="BF2726" s="350"/>
      <c r="BG2726" s="350"/>
      <c r="BH2726" s="350"/>
    </row>
    <row r="2727" spans="4:60">
      <c r="D2727" s="350"/>
      <c r="S2727" s="350"/>
      <c r="BF2727" s="350"/>
      <c r="BG2727" s="350"/>
      <c r="BH2727" s="350"/>
    </row>
    <row r="2728" spans="4:60">
      <c r="D2728" s="350"/>
      <c r="S2728" s="350"/>
      <c r="BF2728" s="350"/>
      <c r="BG2728" s="350"/>
      <c r="BH2728" s="350"/>
    </row>
    <row r="2729" spans="4:60">
      <c r="D2729" s="350"/>
      <c r="S2729" s="350"/>
      <c r="BF2729" s="350"/>
      <c r="BG2729" s="350"/>
      <c r="BH2729" s="350"/>
    </row>
    <row r="2730" spans="4:60">
      <c r="D2730" s="350"/>
      <c r="S2730" s="350"/>
      <c r="BF2730" s="350"/>
      <c r="BG2730" s="350"/>
      <c r="BH2730" s="350"/>
    </row>
    <row r="2731" spans="4:60">
      <c r="D2731" s="350"/>
      <c r="S2731" s="350"/>
      <c r="BF2731" s="350"/>
      <c r="BG2731" s="350"/>
      <c r="BH2731" s="350"/>
    </row>
    <row r="2732" spans="4:60">
      <c r="D2732" s="350"/>
      <c r="S2732" s="350"/>
      <c r="BF2732" s="350"/>
      <c r="BG2732" s="350"/>
      <c r="BH2732" s="350"/>
    </row>
    <row r="2734" spans="4:60">
      <c r="D2734" s="350"/>
      <c r="S2734" s="350"/>
      <c r="BF2734" s="350"/>
      <c r="BG2734" s="350"/>
      <c r="BH2734" s="350"/>
    </row>
    <row r="2735" spans="4:60">
      <c r="D2735" s="350"/>
      <c r="S2735" s="350"/>
      <c r="BF2735" s="350"/>
      <c r="BG2735" s="350"/>
      <c r="BH2735" s="350"/>
    </row>
    <row r="2740" spans="4:60">
      <c r="D2740" s="350"/>
      <c r="S2740" s="350"/>
      <c r="BF2740" s="350"/>
      <c r="BG2740" s="350"/>
      <c r="BH2740" s="350"/>
    </row>
    <row r="2741" spans="4:60">
      <c r="D2741" s="350"/>
      <c r="S2741" s="350"/>
      <c r="BF2741" s="350"/>
      <c r="BG2741" s="350"/>
      <c r="BH2741" s="350"/>
    </row>
    <row r="2743" spans="4:60">
      <c r="D2743" s="350"/>
      <c r="S2743" s="350"/>
      <c r="BF2743" s="350"/>
      <c r="BG2743" s="350"/>
      <c r="BH2743" s="350"/>
    </row>
    <row r="2744" spans="4:60">
      <c r="D2744" s="350"/>
      <c r="S2744" s="350"/>
      <c r="BF2744" s="350"/>
      <c r="BG2744" s="350"/>
      <c r="BH2744" s="350"/>
    </row>
    <row r="2745" spans="4:60">
      <c r="D2745" s="350"/>
      <c r="S2745" s="350"/>
      <c r="BF2745" s="350"/>
      <c r="BG2745" s="350"/>
      <c r="BH2745" s="350"/>
    </row>
    <row r="2746" spans="4:60">
      <c r="D2746" s="350"/>
      <c r="S2746" s="350"/>
      <c r="BF2746" s="350"/>
      <c r="BG2746" s="350"/>
      <c r="BH2746" s="350"/>
    </row>
    <row r="2747" spans="4:60">
      <c r="D2747" s="350"/>
      <c r="S2747" s="350"/>
      <c r="BF2747" s="350"/>
      <c r="BG2747" s="350"/>
      <c r="BH2747" s="350"/>
    </row>
    <row r="2748" spans="4:60">
      <c r="D2748" s="350"/>
      <c r="S2748" s="350"/>
      <c r="BF2748" s="350"/>
      <c r="BG2748" s="350"/>
      <c r="BH2748" s="350"/>
    </row>
    <row r="2749" spans="4:60">
      <c r="D2749" s="350"/>
      <c r="S2749" s="350"/>
      <c r="BF2749" s="350"/>
      <c r="BG2749" s="350"/>
      <c r="BH2749" s="350"/>
    </row>
    <row r="2750" spans="4:60">
      <c r="D2750" s="350"/>
      <c r="S2750" s="350"/>
      <c r="BF2750" s="350"/>
      <c r="BG2750" s="350"/>
      <c r="BH2750" s="350"/>
    </row>
    <row r="2751" spans="4:60">
      <c r="D2751" s="350"/>
      <c r="S2751" s="350"/>
      <c r="BF2751" s="350"/>
      <c r="BG2751" s="350"/>
      <c r="BH2751" s="350"/>
    </row>
    <row r="2752" spans="4:60">
      <c r="D2752" s="350"/>
      <c r="S2752" s="350"/>
      <c r="BF2752" s="350"/>
      <c r="BG2752" s="350"/>
      <c r="BH2752" s="350"/>
    </row>
    <row r="2753" spans="4:60">
      <c r="D2753" s="350"/>
      <c r="S2753" s="350"/>
      <c r="BF2753" s="350"/>
      <c r="BG2753" s="350"/>
      <c r="BH2753" s="350"/>
    </row>
    <row r="2754" spans="4:60">
      <c r="D2754" s="350"/>
      <c r="S2754" s="350"/>
      <c r="BF2754" s="350"/>
      <c r="BG2754" s="350"/>
      <c r="BH2754" s="350"/>
    </row>
    <row r="2755" spans="4:60">
      <c r="D2755" s="350"/>
      <c r="S2755" s="350"/>
      <c r="BF2755" s="350"/>
      <c r="BG2755" s="350"/>
      <c r="BH2755" s="350"/>
    </row>
    <row r="2756" spans="4:60">
      <c r="D2756" s="350"/>
      <c r="S2756" s="350"/>
      <c r="BF2756" s="350"/>
      <c r="BG2756" s="350"/>
      <c r="BH2756" s="350"/>
    </row>
    <row r="2757" spans="4:60">
      <c r="D2757" s="350"/>
      <c r="S2757" s="350"/>
      <c r="BF2757" s="350"/>
      <c r="BG2757" s="350"/>
      <c r="BH2757" s="350"/>
    </row>
    <row r="2758" spans="4:60">
      <c r="D2758" s="350"/>
      <c r="S2758" s="350"/>
      <c r="BF2758" s="350"/>
      <c r="BG2758" s="350"/>
      <c r="BH2758" s="350"/>
    </row>
    <row r="2759" spans="4:60">
      <c r="D2759" s="350"/>
      <c r="S2759" s="350"/>
      <c r="BF2759" s="350"/>
      <c r="BG2759" s="350"/>
      <c r="BH2759" s="350"/>
    </row>
    <row r="2760" spans="4:60">
      <c r="D2760" s="350"/>
      <c r="S2760" s="350"/>
      <c r="BF2760" s="350"/>
      <c r="BG2760" s="350"/>
      <c r="BH2760" s="350"/>
    </row>
    <row r="2761" spans="4:60">
      <c r="D2761" s="350"/>
      <c r="S2761" s="350"/>
      <c r="BF2761" s="350"/>
      <c r="BG2761" s="350"/>
      <c r="BH2761" s="350"/>
    </row>
    <row r="2762" spans="4:60">
      <c r="D2762" s="350"/>
      <c r="S2762" s="350"/>
      <c r="BF2762" s="350"/>
      <c r="BG2762" s="350"/>
      <c r="BH2762" s="350"/>
    </row>
    <row r="2763" spans="4:60">
      <c r="D2763" s="350"/>
      <c r="S2763" s="350"/>
      <c r="BF2763" s="350"/>
      <c r="BG2763" s="350"/>
      <c r="BH2763" s="350"/>
    </row>
    <row r="2764" spans="4:60">
      <c r="D2764" s="350"/>
      <c r="S2764" s="350"/>
      <c r="BF2764" s="350"/>
      <c r="BG2764" s="350"/>
      <c r="BH2764" s="350"/>
    </row>
    <row r="2765" spans="4:60">
      <c r="D2765" s="350"/>
      <c r="S2765" s="350"/>
      <c r="BF2765" s="350"/>
      <c r="BG2765" s="350"/>
      <c r="BH2765" s="350"/>
    </row>
    <row r="2766" spans="4:60">
      <c r="D2766" s="350"/>
      <c r="S2766" s="350"/>
      <c r="BF2766" s="350"/>
      <c r="BG2766" s="350"/>
      <c r="BH2766" s="350"/>
    </row>
    <row r="2767" spans="4:60">
      <c r="D2767" s="350"/>
      <c r="S2767" s="350"/>
      <c r="BF2767" s="350"/>
      <c r="BG2767" s="350"/>
      <c r="BH2767" s="350"/>
    </row>
    <row r="2768" spans="4:60">
      <c r="D2768" s="350"/>
      <c r="S2768" s="350"/>
      <c r="BF2768" s="350"/>
      <c r="BG2768" s="350"/>
      <c r="BH2768" s="350"/>
    </row>
    <row r="2769" spans="4:60">
      <c r="D2769" s="350"/>
      <c r="S2769" s="350"/>
      <c r="BF2769" s="350"/>
      <c r="BG2769" s="350"/>
      <c r="BH2769" s="350"/>
    </row>
    <row r="2770" spans="4:60">
      <c r="D2770" s="350"/>
      <c r="S2770" s="350"/>
      <c r="BF2770" s="350"/>
      <c r="BG2770" s="350"/>
      <c r="BH2770" s="350"/>
    </row>
    <row r="2771" spans="4:60">
      <c r="D2771" s="350"/>
      <c r="S2771" s="350"/>
      <c r="BF2771" s="350"/>
      <c r="BG2771" s="350"/>
      <c r="BH2771" s="350"/>
    </row>
    <row r="2772" spans="4:60">
      <c r="D2772" s="350"/>
      <c r="S2772" s="350"/>
      <c r="BF2772" s="350"/>
      <c r="BG2772" s="350"/>
      <c r="BH2772" s="350"/>
    </row>
    <row r="2773" spans="4:60">
      <c r="D2773" s="350"/>
      <c r="S2773" s="350"/>
      <c r="BF2773" s="350"/>
      <c r="BG2773" s="350"/>
      <c r="BH2773" s="350"/>
    </row>
    <row r="2774" spans="4:60">
      <c r="D2774" s="350"/>
      <c r="S2774" s="350"/>
      <c r="BF2774" s="350"/>
      <c r="BG2774" s="350"/>
      <c r="BH2774" s="350"/>
    </row>
    <row r="2775" spans="4:60">
      <c r="D2775" s="350"/>
      <c r="S2775" s="350"/>
      <c r="BF2775" s="350"/>
      <c r="BG2775" s="350"/>
      <c r="BH2775" s="350"/>
    </row>
    <row r="2776" spans="4:60">
      <c r="D2776" s="350"/>
      <c r="S2776" s="350"/>
      <c r="BF2776" s="350"/>
      <c r="BG2776" s="350"/>
      <c r="BH2776" s="350"/>
    </row>
    <row r="2777" spans="4:60">
      <c r="D2777" s="350"/>
      <c r="S2777" s="350"/>
      <c r="BF2777" s="350"/>
      <c r="BG2777" s="350"/>
      <c r="BH2777" s="350"/>
    </row>
    <row r="2778" spans="4:60">
      <c r="D2778" s="350"/>
      <c r="S2778" s="350"/>
      <c r="BF2778" s="350"/>
      <c r="BG2778" s="350"/>
      <c r="BH2778" s="350"/>
    </row>
    <row r="2779" spans="4:60">
      <c r="D2779" s="350"/>
      <c r="S2779" s="350"/>
      <c r="BF2779" s="350"/>
      <c r="BG2779" s="350"/>
      <c r="BH2779" s="350"/>
    </row>
    <row r="2780" spans="4:60">
      <c r="D2780" s="350"/>
      <c r="S2780" s="350"/>
      <c r="BF2780" s="350"/>
      <c r="BG2780" s="350"/>
      <c r="BH2780" s="350"/>
    </row>
    <row r="2781" spans="4:60">
      <c r="D2781" s="350"/>
      <c r="S2781" s="350"/>
      <c r="BF2781" s="350"/>
      <c r="BG2781" s="350"/>
      <c r="BH2781" s="350"/>
    </row>
    <row r="2782" spans="4:60">
      <c r="D2782" s="350"/>
      <c r="S2782" s="350"/>
      <c r="BF2782" s="350"/>
      <c r="BG2782" s="350"/>
      <c r="BH2782" s="350"/>
    </row>
    <row r="2783" spans="4:60">
      <c r="D2783" s="350"/>
      <c r="S2783" s="350"/>
      <c r="BF2783" s="350"/>
      <c r="BG2783" s="350"/>
      <c r="BH2783" s="350"/>
    </row>
    <row r="2784" spans="4:60">
      <c r="D2784" s="350"/>
      <c r="S2784" s="350"/>
      <c r="BF2784" s="350"/>
      <c r="BG2784" s="350"/>
      <c r="BH2784" s="350"/>
    </row>
    <row r="2785" spans="4:60">
      <c r="D2785" s="350"/>
      <c r="S2785" s="350"/>
      <c r="BF2785" s="350"/>
      <c r="BG2785" s="350"/>
      <c r="BH2785" s="350"/>
    </row>
    <row r="2786" spans="4:60">
      <c r="D2786" s="350"/>
      <c r="S2786" s="350"/>
      <c r="BF2786" s="350"/>
      <c r="BG2786" s="350"/>
      <c r="BH2786" s="350"/>
    </row>
    <row r="2787" spans="4:60">
      <c r="D2787" s="350"/>
      <c r="S2787" s="350"/>
      <c r="BF2787" s="350"/>
      <c r="BG2787" s="350"/>
      <c r="BH2787" s="350"/>
    </row>
    <row r="2788" spans="4:60">
      <c r="D2788" s="350"/>
      <c r="S2788" s="350"/>
      <c r="BF2788" s="350"/>
      <c r="BG2788" s="350"/>
      <c r="BH2788" s="350"/>
    </row>
    <row r="2789" spans="4:60">
      <c r="D2789" s="350"/>
      <c r="S2789" s="350"/>
      <c r="BF2789" s="350"/>
      <c r="BG2789" s="350"/>
      <c r="BH2789" s="350"/>
    </row>
    <row r="2790" spans="4:60">
      <c r="D2790" s="350"/>
      <c r="S2790" s="350"/>
      <c r="BF2790" s="350"/>
      <c r="BG2790" s="350"/>
      <c r="BH2790" s="350"/>
    </row>
    <row r="2791" spans="4:60">
      <c r="D2791" s="350"/>
      <c r="S2791" s="350"/>
      <c r="BF2791" s="350"/>
      <c r="BG2791" s="350"/>
      <c r="BH2791" s="350"/>
    </row>
    <row r="2792" spans="4:60">
      <c r="D2792" s="350"/>
      <c r="S2792" s="350"/>
      <c r="BF2792" s="350"/>
      <c r="BG2792" s="350"/>
      <c r="BH2792" s="350"/>
    </row>
    <row r="2793" spans="4:60">
      <c r="D2793" s="350"/>
      <c r="S2793" s="350"/>
      <c r="BF2793" s="350"/>
      <c r="BG2793" s="350"/>
      <c r="BH2793" s="350"/>
    </row>
    <row r="2794" spans="4:60">
      <c r="D2794" s="350"/>
      <c r="S2794" s="350"/>
      <c r="BF2794" s="350"/>
      <c r="BG2794" s="350"/>
      <c r="BH2794" s="350"/>
    </row>
    <row r="2795" spans="4:60">
      <c r="D2795" s="350"/>
      <c r="S2795" s="350"/>
      <c r="BF2795" s="350"/>
      <c r="BG2795" s="350"/>
      <c r="BH2795" s="350"/>
    </row>
    <row r="2796" spans="4:60">
      <c r="D2796" s="350"/>
      <c r="S2796" s="350"/>
      <c r="BF2796" s="350"/>
      <c r="BG2796" s="350"/>
      <c r="BH2796" s="350"/>
    </row>
    <row r="2797" spans="4:60">
      <c r="D2797" s="350"/>
      <c r="S2797" s="350"/>
      <c r="BF2797" s="350"/>
      <c r="BG2797" s="350"/>
      <c r="BH2797" s="350"/>
    </row>
    <row r="2798" spans="4:60">
      <c r="D2798" s="350"/>
      <c r="S2798" s="350"/>
      <c r="BF2798" s="350"/>
      <c r="BG2798" s="350"/>
      <c r="BH2798" s="350"/>
    </row>
    <row r="2799" spans="4:60">
      <c r="D2799" s="350"/>
      <c r="S2799" s="350"/>
      <c r="BF2799" s="350"/>
      <c r="BG2799" s="350"/>
      <c r="BH2799" s="350"/>
    </row>
    <row r="2800" spans="4:60">
      <c r="D2800" s="350"/>
      <c r="S2800" s="350"/>
      <c r="BF2800" s="350"/>
      <c r="BG2800" s="350"/>
      <c r="BH2800" s="350"/>
    </row>
    <row r="2801" spans="4:60">
      <c r="D2801" s="350"/>
      <c r="S2801" s="350"/>
      <c r="BF2801" s="350"/>
      <c r="BG2801" s="350"/>
      <c r="BH2801" s="350"/>
    </row>
    <row r="2802" spans="4:60">
      <c r="D2802" s="350"/>
      <c r="S2802" s="350"/>
      <c r="BF2802" s="350"/>
      <c r="BG2802" s="350"/>
      <c r="BH2802" s="350"/>
    </row>
    <row r="2803" spans="4:60">
      <c r="D2803" s="350"/>
      <c r="S2803" s="350"/>
      <c r="BF2803" s="350"/>
      <c r="BG2803" s="350"/>
      <c r="BH2803" s="350"/>
    </row>
    <row r="2804" spans="4:60">
      <c r="D2804" s="350"/>
      <c r="S2804" s="350"/>
      <c r="BF2804" s="350"/>
      <c r="BG2804" s="350"/>
      <c r="BH2804" s="350"/>
    </row>
    <row r="2805" spans="4:60">
      <c r="D2805" s="350"/>
      <c r="S2805" s="350"/>
      <c r="BF2805" s="350"/>
      <c r="BG2805" s="350"/>
      <c r="BH2805" s="350"/>
    </row>
    <row r="2806" spans="4:60">
      <c r="D2806" s="350"/>
      <c r="S2806" s="350"/>
      <c r="BF2806" s="350"/>
      <c r="BG2806" s="350"/>
      <c r="BH2806" s="350"/>
    </row>
    <row r="2807" spans="4:60">
      <c r="D2807" s="350"/>
      <c r="S2807" s="350"/>
      <c r="BF2807" s="350"/>
      <c r="BG2807" s="350"/>
      <c r="BH2807" s="350"/>
    </row>
    <row r="2808" spans="4:60">
      <c r="D2808" s="350"/>
      <c r="S2808" s="350"/>
      <c r="BF2808" s="350"/>
      <c r="BG2808" s="350"/>
      <c r="BH2808" s="350"/>
    </row>
    <row r="2809" spans="4:60">
      <c r="D2809" s="350"/>
      <c r="S2809" s="350"/>
      <c r="BF2809" s="350"/>
      <c r="BG2809" s="350"/>
      <c r="BH2809" s="350"/>
    </row>
    <row r="2810" spans="4:60">
      <c r="D2810" s="350"/>
      <c r="S2810" s="350"/>
      <c r="BF2810" s="350"/>
      <c r="BG2810" s="350"/>
      <c r="BH2810" s="350"/>
    </row>
    <row r="2811" spans="4:60">
      <c r="D2811" s="350"/>
      <c r="S2811" s="350"/>
      <c r="BF2811" s="350"/>
      <c r="BG2811" s="350"/>
      <c r="BH2811" s="350"/>
    </row>
    <row r="2812" spans="4:60">
      <c r="D2812" s="350"/>
      <c r="S2812" s="350"/>
      <c r="BF2812" s="350"/>
      <c r="BG2812" s="350"/>
      <c r="BH2812" s="350"/>
    </row>
    <row r="2813" spans="4:60">
      <c r="D2813" s="350"/>
      <c r="S2813" s="350"/>
      <c r="BF2813" s="350"/>
      <c r="BG2813" s="350"/>
      <c r="BH2813" s="350"/>
    </row>
    <row r="2814" spans="4:60">
      <c r="D2814" s="350"/>
      <c r="S2814" s="350"/>
      <c r="BF2814" s="350"/>
      <c r="BG2814" s="350"/>
      <c r="BH2814" s="350"/>
    </row>
    <row r="2815" spans="4:60">
      <c r="D2815" s="350"/>
      <c r="S2815" s="350"/>
      <c r="BF2815" s="350"/>
      <c r="BG2815" s="350"/>
      <c r="BH2815" s="350"/>
    </row>
    <row r="2816" spans="4:60">
      <c r="D2816" s="350"/>
      <c r="S2816" s="350"/>
      <c r="BF2816" s="350"/>
      <c r="BG2816" s="350"/>
      <c r="BH2816" s="350"/>
    </row>
    <row r="2817" spans="4:60">
      <c r="D2817" s="350"/>
      <c r="S2817" s="350"/>
      <c r="BF2817" s="350"/>
      <c r="BG2817" s="350"/>
      <c r="BH2817" s="350"/>
    </row>
    <row r="2818" spans="4:60">
      <c r="D2818" s="350"/>
      <c r="S2818" s="350"/>
      <c r="BF2818" s="350"/>
      <c r="BG2818" s="350"/>
      <c r="BH2818" s="350"/>
    </row>
    <row r="2819" spans="4:60">
      <c r="D2819" s="350"/>
      <c r="S2819" s="350"/>
      <c r="BF2819" s="350"/>
      <c r="BG2819" s="350"/>
      <c r="BH2819" s="350"/>
    </row>
    <row r="2820" spans="4:60">
      <c r="D2820" s="350"/>
      <c r="S2820" s="350"/>
      <c r="BF2820" s="350"/>
      <c r="BG2820" s="350"/>
      <c r="BH2820" s="350"/>
    </row>
    <row r="2821" spans="4:60">
      <c r="D2821" s="350"/>
      <c r="S2821" s="350"/>
      <c r="BF2821" s="350"/>
      <c r="BG2821" s="350"/>
      <c r="BH2821" s="350"/>
    </row>
    <row r="2822" spans="4:60">
      <c r="D2822" s="350"/>
      <c r="S2822" s="350"/>
      <c r="BF2822" s="350"/>
      <c r="BG2822" s="350"/>
      <c r="BH2822" s="350"/>
    </row>
    <row r="2823" spans="4:60">
      <c r="D2823" s="350"/>
      <c r="S2823" s="350"/>
      <c r="BF2823" s="350"/>
      <c r="BG2823" s="350"/>
      <c r="BH2823" s="350"/>
    </row>
    <row r="2824" spans="4:60">
      <c r="D2824" s="350"/>
      <c r="S2824" s="350"/>
      <c r="BF2824" s="350"/>
      <c r="BG2824" s="350"/>
      <c r="BH2824" s="350"/>
    </row>
    <row r="2825" spans="4:60">
      <c r="D2825" s="350"/>
      <c r="S2825" s="350"/>
      <c r="BF2825" s="350"/>
      <c r="BG2825" s="350"/>
      <c r="BH2825" s="350"/>
    </row>
    <row r="2826" spans="4:60">
      <c r="D2826" s="350"/>
      <c r="S2826" s="350"/>
      <c r="BF2826" s="350"/>
      <c r="BG2826" s="350"/>
      <c r="BH2826" s="350"/>
    </row>
    <row r="2827" spans="4:60">
      <c r="D2827" s="350"/>
      <c r="S2827" s="350"/>
      <c r="BF2827" s="350"/>
      <c r="BG2827" s="350"/>
      <c r="BH2827" s="350"/>
    </row>
    <row r="2828" spans="4:60">
      <c r="D2828" s="350"/>
      <c r="S2828" s="350"/>
      <c r="BF2828" s="350"/>
      <c r="BG2828" s="350"/>
      <c r="BH2828" s="350"/>
    </row>
    <row r="2829" spans="4:60">
      <c r="D2829" s="350"/>
      <c r="S2829" s="350"/>
      <c r="BF2829" s="350"/>
      <c r="BG2829" s="350"/>
      <c r="BH2829" s="350"/>
    </row>
    <row r="2830" spans="4:60">
      <c r="D2830" s="350"/>
      <c r="S2830" s="350"/>
      <c r="BF2830" s="350"/>
      <c r="BG2830" s="350"/>
      <c r="BH2830" s="350"/>
    </row>
    <row r="2831" spans="4:60">
      <c r="D2831" s="350"/>
      <c r="S2831" s="350"/>
      <c r="BF2831" s="350"/>
      <c r="BG2831" s="350"/>
      <c r="BH2831" s="350"/>
    </row>
    <row r="2832" spans="4:60">
      <c r="D2832" s="350"/>
      <c r="S2832" s="350"/>
      <c r="BF2832" s="350"/>
      <c r="BG2832" s="350"/>
      <c r="BH2832" s="350"/>
    </row>
    <row r="2833" spans="4:60">
      <c r="D2833" s="350"/>
      <c r="S2833" s="350"/>
      <c r="BF2833" s="350"/>
      <c r="BG2833" s="350"/>
      <c r="BH2833" s="350"/>
    </row>
    <row r="2834" spans="4:60">
      <c r="D2834" s="350"/>
      <c r="S2834" s="350"/>
      <c r="BF2834" s="350"/>
      <c r="BG2834" s="350"/>
      <c r="BH2834" s="350"/>
    </row>
    <row r="2835" spans="4:60">
      <c r="D2835" s="350"/>
      <c r="S2835" s="350"/>
      <c r="BF2835" s="350"/>
      <c r="BG2835" s="350"/>
      <c r="BH2835" s="350"/>
    </row>
    <row r="2836" spans="4:60">
      <c r="D2836" s="350"/>
      <c r="S2836" s="350"/>
      <c r="BF2836" s="350"/>
      <c r="BG2836" s="350"/>
      <c r="BH2836" s="350"/>
    </row>
    <row r="2837" spans="4:60">
      <c r="D2837" s="350"/>
      <c r="S2837" s="350"/>
      <c r="BF2837" s="350"/>
      <c r="BG2837" s="350"/>
      <c r="BH2837" s="350"/>
    </row>
    <row r="2838" spans="4:60">
      <c r="D2838" s="350"/>
      <c r="S2838" s="350"/>
      <c r="BF2838" s="350"/>
      <c r="BG2838" s="350"/>
      <c r="BH2838" s="350"/>
    </row>
    <row r="2839" spans="4:60">
      <c r="D2839" s="350"/>
      <c r="S2839" s="350"/>
      <c r="BF2839" s="350"/>
      <c r="BG2839" s="350"/>
      <c r="BH2839" s="350"/>
    </row>
    <row r="2840" spans="4:60">
      <c r="D2840" s="350"/>
      <c r="S2840" s="350"/>
      <c r="BF2840" s="350"/>
      <c r="BG2840" s="350"/>
      <c r="BH2840" s="350"/>
    </row>
    <row r="2841" spans="4:60">
      <c r="D2841" s="350"/>
      <c r="S2841" s="350"/>
      <c r="BF2841" s="350"/>
      <c r="BG2841" s="350"/>
      <c r="BH2841" s="350"/>
    </row>
    <row r="2842" spans="4:60">
      <c r="D2842" s="350"/>
      <c r="S2842" s="350"/>
      <c r="BF2842" s="350"/>
      <c r="BG2842" s="350"/>
      <c r="BH2842" s="350"/>
    </row>
    <row r="2843" spans="4:60">
      <c r="D2843" s="350"/>
      <c r="S2843" s="350"/>
      <c r="BF2843" s="350"/>
      <c r="BG2843" s="350"/>
      <c r="BH2843" s="350"/>
    </row>
    <row r="2844" spans="4:60">
      <c r="D2844" s="350"/>
      <c r="S2844" s="350"/>
      <c r="BF2844" s="350"/>
      <c r="BG2844" s="350"/>
      <c r="BH2844" s="350"/>
    </row>
    <row r="2845" spans="4:60">
      <c r="D2845" s="350"/>
      <c r="S2845" s="350"/>
      <c r="BF2845" s="350"/>
      <c r="BG2845" s="350"/>
      <c r="BH2845" s="350"/>
    </row>
    <row r="2846" spans="4:60">
      <c r="D2846" s="350"/>
      <c r="S2846" s="350"/>
      <c r="BF2846" s="350"/>
      <c r="BG2846" s="350"/>
      <c r="BH2846" s="350"/>
    </row>
    <row r="2847" spans="4:60">
      <c r="D2847" s="350"/>
      <c r="S2847" s="350"/>
      <c r="BF2847" s="350"/>
      <c r="BG2847" s="350"/>
      <c r="BH2847" s="350"/>
    </row>
    <row r="2848" spans="4:60">
      <c r="D2848" s="350"/>
      <c r="S2848" s="350"/>
      <c r="BF2848" s="350"/>
      <c r="BG2848" s="350"/>
      <c r="BH2848" s="350"/>
    </row>
    <row r="2849" spans="4:60">
      <c r="D2849" s="350"/>
      <c r="S2849" s="350"/>
      <c r="BF2849" s="350"/>
      <c r="BG2849" s="350"/>
      <c r="BH2849" s="350"/>
    </row>
    <row r="2850" spans="4:60">
      <c r="D2850" s="350"/>
      <c r="S2850" s="350"/>
      <c r="BF2850" s="350"/>
      <c r="BG2850" s="350"/>
      <c r="BH2850" s="350"/>
    </row>
    <row r="2851" spans="4:60">
      <c r="D2851" s="350"/>
      <c r="S2851" s="350"/>
      <c r="BF2851" s="350"/>
      <c r="BG2851" s="350"/>
      <c r="BH2851" s="350"/>
    </row>
    <row r="2852" spans="4:60">
      <c r="D2852" s="350"/>
      <c r="S2852" s="350"/>
      <c r="BF2852" s="350"/>
      <c r="BG2852" s="350"/>
      <c r="BH2852" s="350"/>
    </row>
    <row r="2853" spans="4:60">
      <c r="D2853" s="350"/>
      <c r="S2853" s="350"/>
      <c r="BF2853" s="350"/>
      <c r="BG2853" s="350"/>
      <c r="BH2853" s="350"/>
    </row>
    <row r="2854" spans="4:60">
      <c r="D2854" s="350"/>
      <c r="S2854" s="350"/>
      <c r="BF2854" s="350"/>
      <c r="BG2854" s="350"/>
      <c r="BH2854" s="350"/>
    </row>
    <row r="2855" spans="4:60">
      <c r="D2855" s="350"/>
      <c r="S2855" s="350"/>
      <c r="BF2855" s="350"/>
      <c r="BG2855" s="350"/>
      <c r="BH2855" s="350"/>
    </row>
    <row r="2856" spans="4:60">
      <c r="D2856" s="350"/>
      <c r="S2856" s="350"/>
      <c r="BF2856" s="350"/>
      <c r="BG2856" s="350"/>
      <c r="BH2856" s="350"/>
    </row>
    <row r="2857" spans="4:60">
      <c r="D2857" s="350"/>
      <c r="S2857" s="350"/>
      <c r="BF2857" s="350"/>
      <c r="BG2857" s="350"/>
      <c r="BH2857" s="350"/>
    </row>
    <row r="2858" spans="4:60">
      <c r="D2858" s="350"/>
      <c r="S2858" s="350"/>
      <c r="BF2858" s="350"/>
      <c r="BG2858" s="350"/>
      <c r="BH2858" s="350"/>
    </row>
    <row r="2859" spans="4:60">
      <c r="D2859" s="350"/>
      <c r="S2859" s="350"/>
      <c r="BF2859" s="350"/>
      <c r="BG2859" s="350"/>
      <c r="BH2859" s="350"/>
    </row>
    <row r="2860" spans="4:60">
      <c r="D2860" s="350"/>
      <c r="S2860" s="350"/>
      <c r="BF2860" s="350"/>
      <c r="BG2860" s="350"/>
      <c r="BH2860" s="350"/>
    </row>
    <row r="2861" spans="4:60">
      <c r="D2861" s="350"/>
      <c r="S2861" s="350"/>
      <c r="BF2861" s="350"/>
      <c r="BG2861" s="350"/>
      <c r="BH2861" s="350"/>
    </row>
    <row r="2862" spans="4:60">
      <c r="D2862" s="350"/>
      <c r="S2862" s="350"/>
      <c r="BF2862" s="350"/>
      <c r="BG2862" s="350"/>
      <c r="BH2862" s="350"/>
    </row>
    <row r="2863" spans="4:60">
      <c r="D2863" s="350"/>
      <c r="S2863" s="350"/>
      <c r="BF2863" s="350"/>
      <c r="BG2863" s="350"/>
      <c r="BH2863" s="350"/>
    </row>
    <row r="2864" spans="4:60">
      <c r="D2864" s="350"/>
      <c r="S2864" s="350"/>
      <c r="BF2864" s="350"/>
      <c r="BG2864" s="350"/>
      <c r="BH2864" s="350"/>
    </row>
    <row r="2865" spans="4:60">
      <c r="D2865" s="350"/>
      <c r="S2865" s="350"/>
      <c r="BF2865" s="350"/>
      <c r="BG2865" s="350"/>
      <c r="BH2865" s="350"/>
    </row>
    <row r="2866" spans="4:60">
      <c r="D2866" s="350"/>
      <c r="S2866" s="350"/>
      <c r="BF2866" s="350"/>
      <c r="BG2866" s="350"/>
      <c r="BH2866" s="350"/>
    </row>
    <row r="2867" spans="4:60">
      <c r="D2867" s="350"/>
      <c r="S2867" s="350"/>
      <c r="BF2867" s="350"/>
      <c r="BG2867" s="350"/>
      <c r="BH2867" s="350"/>
    </row>
    <row r="2868" spans="4:60">
      <c r="D2868" s="350"/>
      <c r="S2868" s="350"/>
      <c r="BF2868" s="350"/>
      <c r="BG2868" s="350"/>
      <c r="BH2868" s="350"/>
    </row>
    <row r="2869" spans="4:60">
      <c r="D2869" s="350"/>
      <c r="S2869" s="350"/>
      <c r="BF2869" s="350"/>
      <c r="BG2869" s="350"/>
      <c r="BH2869" s="350"/>
    </row>
    <row r="2870" spans="4:60">
      <c r="D2870" s="350"/>
      <c r="S2870" s="350"/>
      <c r="BF2870" s="350"/>
      <c r="BG2870" s="350"/>
      <c r="BH2870" s="350"/>
    </row>
    <row r="2871" spans="4:60">
      <c r="D2871" s="350"/>
      <c r="S2871" s="350"/>
      <c r="BF2871" s="350"/>
      <c r="BG2871" s="350"/>
      <c r="BH2871" s="350"/>
    </row>
    <row r="2872" spans="4:60">
      <c r="D2872" s="350"/>
      <c r="S2872" s="350"/>
      <c r="BF2872" s="350"/>
      <c r="BG2872" s="350"/>
      <c r="BH2872" s="350"/>
    </row>
    <row r="2873" spans="4:60">
      <c r="D2873" s="350"/>
      <c r="S2873" s="350"/>
      <c r="BF2873" s="350"/>
      <c r="BG2873" s="350"/>
      <c r="BH2873" s="350"/>
    </row>
    <row r="2874" spans="4:60">
      <c r="D2874" s="350"/>
      <c r="S2874" s="350"/>
      <c r="BF2874" s="350"/>
      <c r="BG2874" s="350"/>
      <c r="BH2874" s="350"/>
    </row>
    <row r="2875" spans="4:60">
      <c r="D2875" s="350"/>
      <c r="S2875" s="350"/>
      <c r="BF2875" s="350"/>
      <c r="BG2875" s="350"/>
      <c r="BH2875" s="350"/>
    </row>
    <row r="2876" spans="4:60">
      <c r="D2876" s="350"/>
      <c r="S2876" s="350"/>
      <c r="BF2876" s="350"/>
      <c r="BG2876" s="350"/>
      <c r="BH2876" s="350"/>
    </row>
    <row r="2877" spans="4:60">
      <c r="D2877" s="350"/>
      <c r="S2877" s="350"/>
      <c r="BF2877" s="350"/>
      <c r="BG2877" s="350"/>
      <c r="BH2877" s="350"/>
    </row>
    <row r="2878" spans="4:60">
      <c r="D2878" s="350"/>
      <c r="S2878" s="350"/>
      <c r="BF2878" s="350"/>
      <c r="BG2878" s="350"/>
      <c r="BH2878" s="350"/>
    </row>
    <row r="2879" spans="4:60">
      <c r="D2879" s="350"/>
      <c r="S2879" s="350"/>
      <c r="BF2879" s="350"/>
      <c r="BG2879" s="350"/>
      <c r="BH2879" s="350"/>
    </row>
    <row r="2880" spans="4:60">
      <c r="D2880" s="350"/>
      <c r="S2880" s="350"/>
      <c r="BF2880" s="350"/>
      <c r="BG2880" s="350"/>
      <c r="BH2880" s="350"/>
    </row>
    <row r="2881" spans="4:60">
      <c r="D2881" s="350"/>
      <c r="S2881" s="350"/>
      <c r="BF2881" s="350"/>
      <c r="BG2881" s="350"/>
      <c r="BH2881" s="350"/>
    </row>
    <row r="2882" spans="4:60">
      <c r="D2882" s="350"/>
      <c r="S2882" s="350"/>
      <c r="BF2882" s="350"/>
      <c r="BG2882" s="350"/>
      <c r="BH2882" s="350"/>
    </row>
    <row r="2883" spans="4:60">
      <c r="D2883" s="350"/>
      <c r="S2883" s="350"/>
      <c r="BF2883" s="350"/>
      <c r="BG2883" s="350"/>
      <c r="BH2883" s="350"/>
    </row>
    <row r="2884" spans="4:60">
      <c r="D2884" s="350"/>
      <c r="S2884" s="350"/>
      <c r="BF2884" s="350"/>
      <c r="BG2884" s="350"/>
      <c r="BH2884" s="350"/>
    </row>
    <row r="2885" spans="4:60">
      <c r="D2885" s="350"/>
      <c r="S2885" s="350"/>
      <c r="BF2885" s="350"/>
      <c r="BG2885" s="350"/>
      <c r="BH2885" s="350"/>
    </row>
    <row r="2886" spans="4:60">
      <c r="D2886" s="350"/>
      <c r="S2886" s="350"/>
      <c r="BF2886" s="350"/>
      <c r="BG2886" s="350"/>
      <c r="BH2886" s="350"/>
    </row>
    <row r="2887" spans="4:60">
      <c r="D2887" s="350"/>
      <c r="S2887" s="350"/>
      <c r="BF2887" s="350"/>
      <c r="BG2887" s="350"/>
      <c r="BH2887" s="350"/>
    </row>
    <row r="2888" spans="4:60">
      <c r="D2888" s="350"/>
      <c r="S2888" s="350"/>
      <c r="BF2888" s="350"/>
      <c r="BG2888" s="350"/>
      <c r="BH2888" s="350"/>
    </row>
    <row r="2889" spans="4:60">
      <c r="D2889" s="350"/>
      <c r="S2889" s="350"/>
      <c r="BF2889" s="350"/>
      <c r="BG2889" s="350"/>
      <c r="BH2889" s="350"/>
    </row>
    <row r="2890" spans="4:60">
      <c r="D2890" s="350"/>
      <c r="S2890" s="350"/>
      <c r="BF2890" s="350"/>
      <c r="BG2890" s="350"/>
      <c r="BH2890" s="350"/>
    </row>
    <row r="2891" spans="4:60">
      <c r="D2891" s="350"/>
      <c r="S2891" s="350"/>
      <c r="BF2891" s="350"/>
      <c r="BG2891" s="350"/>
      <c r="BH2891" s="350"/>
    </row>
    <row r="2892" spans="4:60">
      <c r="D2892" s="350"/>
      <c r="S2892" s="350"/>
      <c r="BF2892" s="350"/>
      <c r="BG2892" s="350"/>
      <c r="BH2892" s="350"/>
    </row>
    <row r="2893" spans="4:60">
      <c r="D2893" s="350"/>
      <c r="S2893" s="350"/>
      <c r="BF2893" s="350"/>
      <c r="BG2893" s="350"/>
      <c r="BH2893" s="350"/>
    </row>
    <row r="2894" spans="4:60">
      <c r="D2894" s="350"/>
      <c r="S2894" s="350"/>
      <c r="BF2894" s="350"/>
      <c r="BG2894" s="350"/>
      <c r="BH2894" s="350"/>
    </row>
    <row r="2895" spans="4:60">
      <c r="D2895" s="350"/>
      <c r="S2895" s="350"/>
      <c r="BF2895" s="350"/>
      <c r="BG2895" s="350"/>
      <c r="BH2895" s="350"/>
    </row>
    <row r="2896" spans="4:60">
      <c r="D2896" s="350"/>
      <c r="S2896" s="350"/>
      <c r="BF2896" s="350"/>
      <c r="BG2896" s="350"/>
      <c r="BH2896" s="350"/>
    </row>
    <row r="2897" spans="4:60">
      <c r="D2897" s="350"/>
      <c r="S2897" s="350"/>
      <c r="BF2897" s="350"/>
      <c r="BG2897" s="350"/>
      <c r="BH2897" s="350"/>
    </row>
    <row r="2898" spans="4:60">
      <c r="D2898" s="350"/>
      <c r="S2898" s="350"/>
      <c r="BF2898" s="350"/>
      <c r="BG2898" s="350"/>
      <c r="BH2898" s="350"/>
    </row>
    <row r="2899" spans="4:60">
      <c r="D2899" s="350"/>
      <c r="S2899" s="350"/>
      <c r="BF2899" s="350"/>
      <c r="BG2899" s="350"/>
      <c r="BH2899" s="350"/>
    </row>
    <row r="2900" spans="4:60">
      <c r="D2900" s="350"/>
      <c r="S2900" s="350"/>
      <c r="BF2900" s="350"/>
      <c r="BG2900" s="350"/>
      <c r="BH2900" s="350"/>
    </row>
    <row r="2903" spans="4:60">
      <c r="D2903" s="350"/>
      <c r="S2903" s="350"/>
      <c r="BF2903" s="350"/>
      <c r="BG2903" s="350"/>
      <c r="BH2903" s="350"/>
    </row>
    <row r="2904" spans="4:60">
      <c r="D2904" s="350"/>
      <c r="S2904" s="350"/>
      <c r="BF2904" s="350"/>
      <c r="BG2904" s="350"/>
      <c r="BH2904" s="350"/>
    </row>
    <row r="2905" spans="4:60">
      <c r="D2905" s="350"/>
      <c r="S2905" s="350"/>
      <c r="BF2905" s="350"/>
      <c r="BG2905" s="350"/>
      <c r="BH2905" s="350"/>
    </row>
    <row r="2906" spans="4:60">
      <c r="D2906" s="350"/>
      <c r="S2906" s="350"/>
      <c r="BF2906" s="350"/>
      <c r="BG2906" s="350"/>
      <c r="BH2906" s="350"/>
    </row>
    <row r="2907" spans="4:60">
      <c r="D2907" s="350"/>
      <c r="S2907" s="350"/>
      <c r="BF2907" s="350"/>
      <c r="BG2907" s="350"/>
      <c r="BH2907" s="350"/>
    </row>
    <row r="2908" spans="4:60">
      <c r="D2908" s="350"/>
      <c r="S2908" s="350"/>
      <c r="BF2908" s="350"/>
      <c r="BG2908" s="350"/>
      <c r="BH2908" s="350"/>
    </row>
    <row r="2909" spans="4:60">
      <c r="D2909" s="350"/>
      <c r="S2909" s="350"/>
      <c r="BF2909" s="350"/>
      <c r="BG2909" s="350"/>
      <c r="BH2909" s="350"/>
    </row>
    <row r="2912" spans="4:60">
      <c r="D2912" s="350"/>
      <c r="S2912" s="350"/>
      <c r="BF2912" s="350"/>
      <c r="BG2912" s="350"/>
      <c r="BH2912" s="350"/>
    </row>
    <row r="2913" spans="4:60">
      <c r="D2913" s="350"/>
      <c r="S2913" s="350"/>
      <c r="BF2913" s="350"/>
      <c r="BG2913" s="350"/>
      <c r="BH2913" s="350"/>
    </row>
    <row r="2915" spans="4:60">
      <c r="D2915" s="350"/>
      <c r="S2915" s="350"/>
      <c r="BF2915" s="350"/>
      <c r="BG2915" s="350"/>
      <c r="BH2915" s="350"/>
    </row>
    <row r="2916" spans="4:60">
      <c r="D2916" s="350"/>
      <c r="S2916" s="350"/>
      <c r="BF2916" s="350"/>
      <c r="BG2916" s="350"/>
      <c r="BH2916" s="350"/>
    </row>
    <row r="2917" spans="4:60">
      <c r="D2917" s="350"/>
      <c r="S2917" s="350"/>
      <c r="BF2917" s="350"/>
      <c r="BG2917" s="350"/>
      <c r="BH2917" s="350"/>
    </row>
    <row r="2918" spans="4:60">
      <c r="D2918" s="350"/>
      <c r="S2918" s="350"/>
      <c r="BF2918" s="350"/>
      <c r="BG2918" s="350"/>
      <c r="BH2918" s="350"/>
    </row>
    <row r="2919" spans="4:60">
      <c r="D2919" s="350"/>
      <c r="S2919" s="350"/>
      <c r="BF2919" s="350"/>
      <c r="BG2919" s="350"/>
      <c r="BH2919" s="350"/>
    </row>
    <row r="2920" spans="4:60">
      <c r="D2920" s="350"/>
      <c r="S2920" s="350"/>
      <c r="BF2920" s="350"/>
      <c r="BG2920" s="350"/>
      <c r="BH2920" s="350"/>
    </row>
    <row r="2921" spans="4:60">
      <c r="D2921" s="350"/>
      <c r="S2921" s="350"/>
      <c r="BF2921" s="350"/>
      <c r="BG2921" s="350"/>
      <c r="BH2921" s="350"/>
    </row>
    <row r="2922" spans="4:60">
      <c r="D2922" s="350"/>
      <c r="S2922" s="350"/>
      <c r="BF2922" s="350"/>
      <c r="BG2922" s="350"/>
      <c r="BH2922" s="350"/>
    </row>
    <row r="2923" spans="4:60">
      <c r="D2923" s="350"/>
      <c r="S2923" s="350"/>
      <c r="BF2923" s="350"/>
      <c r="BG2923" s="350"/>
      <c r="BH2923" s="350"/>
    </row>
    <row r="2924" spans="4:60">
      <c r="D2924" s="350"/>
      <c r="S2924" s="350"/>
      <c r="BF2924" s="350"/>
      <c r="BG2924" s="350"/>
      <c r="BH2924" s="350"/>
    </row>
    <row r="2925" spans="4:60">
      <c r="D2925" s="350"/>
      <c r="S2925" s="350"/>
      <c r="BF2925" s="350"/>
      <c r="BG2925" s="350"/>
      <c r="BH2925" s="350"/>
    </row>
    <row r="2926" spans="4:60">
      <c r="D2926" s="350"/>
      <c r="S2926" s="350"/>
      <c r="BF2926" s="350"/>
      <c r="BG2926" s="350"/>
      <c r="BH2926" s="350"/>
    </row>
    <row r="2927" spans="4:60">
      <c r="D2927" s="350"/>
      <c r="S2927" s="350"/>
      <c r="BF2927" s="350"/>
      <c r="BG2927" s="350"/>
      <c r="BH2927" s="350"/>
    </row>
    <row r="2928" spans="4:60">
      <c r="D2928" s="350"/>
      <c r="S2928" s="350"/>
      <c r="BF2928" s="350"/>
      <c r="BG2928" s="350"/>
      <c r="BH2928" s="350"/>
    </row>
    <row r="2929" spans="4:60">
      <c r="D2929" s="350"/>
      <c r="S2929" s="350"/>
      <c r="BF2929" s="350"/>
      <c r="BG2929" s="350"/>
      <c r="BH2929" s="350"/>
    </row>
    <row r="2930" spans="4:60">
      <c r="D2930" s="350"/>
      <c r="S2930" s="350"/>
      <c r="BF2930" s="350"/>
      <c r="BG2930" s="350"/>
      <c r="BH2930" s="350"/>
    </row>
    <row r="2931" spans="4:60">
      <c r="D2931" s="350"/>
      <c r="S2931" s="350"/>
      <c r="BF2931" s="350"/>
      <c r="BG2931" s="350"/>
      <c r="BH2931" s="350"/>
    </row>
    <row r="2932" spans="4:60">
      <c r="D2932" s="350"/>
      <c r="S2932" s="350"/>
      <c r="BF2932" s="350"/>
      <c r="BG2932" s="350"/>
      <c r="BH2932" s="350"/>
    </row>
    <row r="2933" spans="4:60">
      <c r="D2933" s="350"/>
      <c r="S2933" s="350"/>
      <c r="BF2933" s="350"/>
      <c r="BG2933" s="350"/>
      <c r="BH2933" s="350"/>
    </row>
    <row r="2934" spans="4:60">
      <c r="D2934" s="350"/>
      <c r="S2934" s="350"/>
      <c r="BF2934" s="350"/>
      <c r="BG2934" s="350"/>
      <c r="BH2934" s="350"/>
    </row>
    <row r="2935" spans="4:60">
      <c r="D2935" s="350"/>
      <c r="S2935" s="350"/>
      <c r="BF2935" s="350"/>
      <c r="BG2935" s="350"/>
      <c r="BH2935" s="350"/>
    </row>
    <row r="2936" spans="4:60">
      <c r="D2936" s="350"/>
      <c r="S2936" s="350"/>
      <c r="BF2936" s="350"/>
      <c r="BG2936" s="350"/>
      <c r="BH2936" s="350"/>
    </row>
    <row r="2937" spans="4:60">
      <c r="D2937" s="350"/>
      <c r="S2937" s="350"/>
      <c r="BF2937" s="350"/>
      <c r="BG2937" s="350"/>
      <c r="BH2937" s="350"/>
    </row>
    <row r="2938" spans="4:60">
      <c r="D2938" s="350"/>
      <c r="S2938" s="350"/>
      <c r="BF2938" s="350"/>
      <c r="BG2938" s="350"/>
      <c r="BH2938" s="350"/>
    </row>
    <row r="2939" spans="4:60">
      <c r="D2939" s="350"/>
      <c r="S2939" s="350"/>
      <c r="BF2939" s="350"/>
      <c r="BG2939" s="350"/>
      <c r="BH2939" s="350"/>
    </row>
    <row r="2940" spans="4:60">
      <c r="D2940" s="350"/>
      <c r="S2940" s="350"/>
      <c r="BF2940" s="350"/>
      <c r="BG2940" s="350"/>
      <c r="BH2940" s="350"/>
    </row>
    <row r="2941" spans="4:60">
      <c r="D2941" s="350"/>
      <c r="S2941" s="350"/>
      <c r="BF2941" s="350"/>
      <c r="BG2941" s="350"/>
      <c r="BH2941" s="350"/>
    </row>
    <row r="2942" spans="4:60">
      <c r="D2942" s="350"/>
      <c r="S2942" s="350"/>
      <c r="BF2942" s="350"/>
      <c r="BG2942" s="350"/>
      <c r="BH2942" s="350"/>
    </row>
    <row r="2943" spans="4:60">
      <c r="D2943" s="350"/>
      <c r="S2943" s="350"/>
      <c r="BF2943" s="350"/>
      <c r="BG2943" s="350"/>
      <c r="BH2943" s="350"/>
    </row>
    <row r="2944" spans="4:60">
      <c r="D2944" s="350"/>
      <c r="S2944" s="350"/>
      <c r="BF2944" s="350"/>
      <c r="BG2944" s="350"/>
      <c r="BH2944" s="350"/>
    </row>
    <row r="2945" spans="4:60">
      <c r="D2945" s="350"/>
      <c r="S2945" s="350"/>
      <c r="BF2945" s="350"/>
      <c r="BG2945" s="350"/>
      <c r="BH2945" s="350"/>
    </row>
    <row r="2946" spans="4:60">
      <c r="D2946" s="350"/>
      <c r="S2946" s="350"/>
      <c r="BF2946" s="350"/>
      <c r="BG2946" s="350"/>
      <c r="BH2946" s="350"/>
    </row>
    <row r="2947" spans="4:60">
      <c r="D2947" s="350"/>
      <c r="S2947" s="350"/>
      <c r="BF2947" s="350"/>
      <c r="BG2947" s="350"/>
      <c r="BH2947" s="350"/>
    </row>
    <row r="2948" spans="4:60">
      <c r="D2948" s="350"/>
      <c r="S2948" s="350"/>
      <c r="BF2948" s="350"/>
      <c r="BG2948" s="350"/>
      <c r="BH2948" s="350"/>
    </row>
    <row r="2949" spans="4:60">
      <c r="D2949" s="350"/>
      <c r="S2949" s="350"/>
      <c r="BF2949" s="350"/>
      <c r="BG2949" s="350"/>
      <c r="BH2949" s="350"/>
    </row>
    <row r="2950" spans="4:60">
      <c r="D2950" s="350"/>
      <c r="S2950" s="350"/>
      <c r="BF2950" s="350"/>
      <c r="BG2950" s="350"/>
      <c r="BH2950" s="350"/>
    </row>
    <row r="2952" spans="4:60">
      <c r="D2952" s="350"/>
      <c r="S2952" s="350"/>
      <c r="BF2952" s="350"/>
      <c r="BG2952" s="350"/>
      <c r="BH2952" s="350"/>
    </row>
    <row r="2953" spans="4:60">
      <c r="D2953" s="350"/>
      <c r="S2953" s="350"/>
      <c r="BF2953" s="350"/>
      <c r="BG2953" s="350"/>
      <c r="BH2953" s="350"/>
    </row>
    <row r="2958" spans="4:60">
      <c r="D2958" s="350"/>
      <c r="S2958" s="350"/>
      <c r="BF2958" s="350"/>
      <c r="BG2958" s="350"/>
      <c r="BH2958" s="350"/>
    </row>
    <row r="2959" spans="4:60">
      <c r="D2959" s="350"/>
      <c r="S2959" s="350"/>
      <c r="BF2959" s="350"/>
      <c r="BG2959" s="350"/>
      <c r="BH2959" s="350"/>
    </row>
    <row r="2961" spans="4:60">
      <c r="D2961" s="350"/>
      <c r="S2961" s="350"/>
      <c r="BF2961" s="350"/>
      <c r="BG2961" s="350"/>
      <c r="BH2961" s="350"/>
    </row>
    <row r="2962" spans="4:60">
      <c r="D2962" s="350"/>
      <c r="S2962" s="350"/>
      <c r="BF2962" s="350"/>
      <c r="BG2962" s="350"/>
      <c r="BH2962" s="350"/>
    </row>
    <row r="2963" spans="4:60">
      <c r="D2963" s="350"/>
      <c r="S2963" s="350"/>
      <c r="BF2963" s="350"/>
      <c r="BG2963" s="350"/>
      <c r="BH2963" s="350"/>
    </row>
    <row r="2964" spans="4:60">
      <c r="D2964" s="350"/>
      <c r="S2964" s="350"/>
      <c r="BF2964" s="350"/>
      <c r="BG2964" s="350"/>
      <c r="BH2964" s="350"/>
    </row>
    <row r="2965" spans="4:60">
      <c r="D2965" s="350"/>
      <c r="S2965" s="350"/>
      <c r="BF2965" s="350"/>
      <c r="BG2965" s="350"/>
      <c r="BH2965" s="350"/>
    </row>
    <row r="2966" spans="4:60">
      <c r="D2966" s="350"/>
      <c r="S2966" s="350"/>
      <c r="BF2966" s="350"/>
      <c r="BG2966" s="350"/>
      <c r="BH2966" s="350"/>
    </row>
    <row r="2967" spans="4:60">
      <c r="D2967" s="350"/>
      <c r="S2967" s="350"/>
      <c r="BF2967" s="350"/>
      <c r="BG2967" s="350"/>
      <c r="BH2967" s="350"/>
    </row>
    <row r="2968" spans="4:60">
      <c r="D2968" s="350"/>
      <c r="S2968" s="350"/>
      <c r="BF2968" s="350"/>
      <c r="BG2968" s="350"/>
      <c r="BH2968" s="350"/>
    </row>
    <row r="2969" spans="4:60">
      <c r="D2969" s="350"/>
      <c r="S2969" s="350"/>
      <c r="BF2969" s="350"/>
      <c r="BG2969" s="350"/>
      <c r="BH2969" s="350"/>
    </row>
    <row r="2970" spans="4:60">
      <c r="D2970" s="350"/>
      <c r="S2970" s="350"/>
      <c r="BF2970" s="350"/>
      <c r="BG2970" s="350"/>
      <c r="BH2970" s="350"/>
    </row>
    <row r="2971" spans="4:60">
      <c r="D2971" s="350"/>
      <c r="S2971" s="350"/>
      <c r="BF2971" s="350"/>
      <c r="BG2971" s="350"/>
      <c r="BH2971" s="350"/>
    </row>
    <row r="2972" spans="4:60">
      <c r="D2972" s="350"/>
      <c r="S2972" s="350"/>
      <c r="BF2972" s="350"/>
      <c r="BG2972" s="350"/>
      <c r="BH2972" s="350"/>
    </row>
    <row r="2973" spans="4:60">
      <c r="D2973" s="350"/>
      <c r="S2973" s="350"/>
      <c r="BF2973" s="350"/>
      <c r="BG2973" s="350"/>
      <c r="BH2973" s="350"/>
    </row>
    <row r="2974" spans="4:60">
      <c r="D2974" s="350"/>
      <c r="S2974" s="350"/>
      <c r="BF2974" s="350"/>
      <c r="BG2974" s="350"/>
      <c r="BH2974" s="350"/>
    </row>
    <row r="2975" spans="4:60">
      <c r="D2975" s="350"/>
      <c r="S2975" s="350"/>
      <c r="BF2975" s="350"/>
      <c r="BG2975" s="350"/>
      <c r="BH2975" s="350"/>
    </row>
    <row r="2976" spans="4:60">
      <c r="D2976" s="350"/>
      <c r="S2976" s="350"/>
      <c r="BF2976" s="350"/>
      <c r="BG2976" s="350"/>
      <c r="BH2976" s="350"/>
    </row>
    <row r="2977" spans="4:60">
      <c r="D2977" s="350"/>
      <c r="S2977" s="350"/>
      <c r="BF2977" s="350"/>
      <c r="BG2977" s="350"/>
      <c r="BH2977" s="350"/>
    </row>
    <row r="2978" spans="4:60">
      <c r="D2978" s="350"/>
      <c r="S2978" s="350"/>
      <c r="BF2978" s="350"/>
      <c r="BG2978" s="350"/>
      <c r="BH2978" s="350"/>
    </row>
    <row r="2979" spans="4:60">
      <c r="D2979" s="350"/>
      <c r="S2979" s="350"/>
      <c r="BF2979" s="350"/>
      <c r="BG2979" s="350"/>
      <c r="BH2979" s="350"/>
    </row>
    <row r="2980" spans="4:60">
      <c r="D2980" s="350"/>
      <c r="S2980" s="350"/>
      <c r="BF2980" s="350"/>
      <c r="BG2980" s="350"/>
      <c r="BH2980" s="350"/>
    </row>
    <row r="2981" spans="4:60">
      <c r="D2981" s="350"/>
      <c r="S2981" s="350"/>
      <c r="BF2981" s="350"/>
      <c r="BG2981" s="350"/>
      <c r="BH2981" s="350"/>
    </row>
    <row r="2982" spans="4:60">
      <c r="D2982" s="350"/>
      <c r="S2982" s="350"/>
      <c r="BF2982" s="350"/>
      <c r="BG2982" s="350"/>
      <c r="BH2982" s="350"/>
    </row>
    <row r="2983" spans="4:60">
      <c r="D2983" s="350"/>
      <c r="S2983" s="350"/>
      <c r="BF2983" s="350"/>
      <c r="BG2983" s="350"/>
      <c r="BH2983" s="350"/>
    </row>
    <row r="2984" spans="4:60">
      <c r="D2984" s="350"/>
      <c r="S2984" s="350"/>
      <c r="BF2984" s="350"/>
      <c r="BG2984" s="350"/>
      <c r="BH2984" s="350"/>
    </row>
    <row r="2985" spans="4:60">
      <c r="D2985" s="350"/>
      <c r="S2985" s="350"/>
      <c r="BF2985" s="350"/>
      <c r="BG2985" s="350"/>
      <c r="BH2985" s="350"/>
    </row>
    <row r="2986" spans="4:60">
      <c r="D2986" s="350"/>
      <c r="S2986" s="350"/>
      <c r="BF2986" s="350"/>
      <c r="BG2986" s="350"/>
      <c r="BH2986" s="350"/>
    </row>
    <row r="2987" spans="4:60">
      <c r="D2987" s="350"/>
      <c r="S2987" s="350"/>
      <c r="BF2987" s="350"/>
      <c r="BG2987" s="350"/>
      <c r="BH2987" s="350"/>
    </row>
    <row r="2988" spans="4:60">
      <c r="D2988" s="350"/>
      <c r="S2988" s="350"/>
      <c r="BF2988" s="350"/>
      <c r="BG2988" s="350"/>
      <c r="BH2988" s="350"/>
    </row>
    <row r="2989" spans="4:60">
      <c r="D2989" s="350"/>
      <c r="S2989" s="350"/>
      <c r="BF2989" s="350"/>
      <c r="BG2989" s="350"/>
      <c r="BH2989" s="350"/>
    </row>
    <row r="2990" spans="4:60">
      <c r="D2990" s="350"/>
      <c r="S2990" s="350"/>
      <c r="BF2990" s="350"/>
      <c r="BG2990" s="350"/>
      <c r="BH2990" s="350"/>
    </row>
    <row r="2991" spans="4:60">
      <c r="D2991" s="350"/>
      <c r="S2991" s="350"/>
      <c r="BF2991" s="350"/>
      <c r="BG2991" s="350"/>
      <c r="BH2991" s="350"/>
    </row>
    <row r="2992" spans="4:60">
      <c r="D2992" s="350"/>
      <c r="S2992" s="350"/>
      <c r="BF2992" s="350"/>
      <c r="BG2992" s="350"/>
      <c r="BH2992" s="350"/>
    </row>
    <row r="2993" spans="4:60">
      <c r="D2993" s="350"/>
      <c r="S2993" s="350"/>
      <c r="BF2993" s="350"/>
      <c r="BG2993" s="350"/>
      <c r="BH2993" s="350"/>
    </row>
    <row r="2994" spans="4:60">
      <c r="D2994" s="350"/>
      <c r="S2994" s="350"/>
      <c r="BF2994" s="350"/>
      <c r="BG2994" s="350"/>
      <c r="BH2994" s="350"/>
    </row>
    <row r="2995" spans="4:60">
      <c r="D2995" s="350"/>
      <c r="S2995" s="350"/>
      <c r="BF2995" s="350"/>
      <c r="BG2995" s="350"/>
      <c r="BH2995" s="350"/>
    </row>
    <row r="2996" spans="4:60">
      <c r="D2996" s="350"/>
      <c r="S2996" s="350"/>
      <c r="BF2996" s="350"/>
      <c r="BG2996" s="350"/>
      <c r="BH2996" s="350"/>
    </row>
    <row r="2997" spans="4:60">
      <c r="D2997" s="350"/>
      <c r="S2997" s="350"/>
      <c r="BF2997" s="350"/>
      <c r="BG2997" s="350"/>
      <c r="BH2997" s="350"/>
    </row>
    <row r="2998" spans="4:60">
      <c r="D2998" s="350"/>
      <c r="S2998" s="350"/>
      <c r="BF2998" s="350"/>
      <c r="BG2998" s="350"/>
      <c r="BH2998" s="350"/>
    </row>
    <row r="2999" spans="4:60">
      <c r="D2999" s="350"/>
      <c r="S2999" s="350"/>
      <c r="BF2999" s="350"/>
      <c r="BG2999" s="350"/>
      <c r="BH2999" s="350"/>
    </row>
    <row r="3000" spans="4:60">
      <c r="D3000" s="350"/>
      <c r="S3000" s="350"/>
      <c r="BF3000" s="350"/>
      <c r="BG3000" s="350"/>
      <c r="BH3000" s="350"/>
    </row>
    <row r="3001" spans="4:60">
      <c r="D3001" s="350"/>
      <c r="S3001" s="350"/>
      <c r="BF3001" s="350"/>
      <c r="BG3001" s="350"/>
      <c r="BH3001" s="350"/>
    </row>
    <row r="3002" spans="4:60">
      <c r="D3002" s="350"/>
      <c r="S3002" s="350"/>
      <c r="BF3002" s="350"/>
      <c r="BG3002" s="350"/>
      <c r="BH3002" s="350"/>
    </row>
    <row r="3003" spans="4:60">
      <c r="D3003" s="350"/>
      <c r="S3003" s="350"/>
      <c r="BF3003" s="350"/>
      <c r="BG3003" s="350"/>
      <c r="BH3003" s="350"/>
    </row>
    <row r="3004" spans="4:60">
      <c r="D3004" s="350"/>
      <c r="S3004" s="350"/>
      <c r="BF3004" s="350"/>
      <c r="BG3004" s="350"/>
      <c r="BH3004" s="350"/>
    </row>
    <row r="3005" spans="4:60">
      <c r="D3005" s="350"/>
      <c r="S3005" s="350"/>
      <c r="BF3005" s="350"/>
      <c r="BG3005" s="350"/>
      <c r="BH3005" s="350"/>
    </row>
    <row r="3006" spans="4:60">
      <c r="D3006" s="350"/>
      <c r="S3006" s="350"/>
      <c r="BF3006" s="350"/>
      <c r="BG3006" s="350"/>
      <c r="BH3006" s="350"/>
    </row>
    <row r="3007" spans="4:60">
      <c r="D3007" s="350"/>
      <c r="S3007" s="350"/>
      <c r="BF3007" s="350"/>
      <c r="BG3007" s="350"/>
      <c r="BH3007" s="350"/>
    </row>
    <row r="3008" spans="4:60">
      <c r="D3008" s="350"/>
      <c r="S3008" s="350"/>
      <c r="BF3008" s="350"/>
      <c r="BG3008" s="350"/>
      <c r="BH3008" s="350"/>
    </row>
    <row r="3009" spans="4:60">
      <c r="D3009" s="350"/>
      <c r="S3009" s="350"/>
      <c r="BF3009" s="350"/>
      <c r="BG3009" s="350"/>
      <c r="BH3009" s="350"/>
    </row>
    <row r="3010" spans="4:60">
      <c r="D3010" s="350"/>
      <c r="S3010" s="350"/>
      <c r="BF3010" s="350"/>
      <c r="BG3010" s="350"/>
      <c r="BH3010" s="350"/>
    </row>
    <row r="3011" spans="4:60">
      <c r="D3011" s="350"/>
      <c r="S3011" s="350"/>
      <c r="BF3011" s="350"/>
      <c r="BG3011" s="350"/>
      <c r="BH3011" s="350"/>
    </row>
    <row r="3012" spans="4:60">
      <c r="D3012" s="350"/>
      <c r="S3012" s="350"/>
      <c r="BF3012" s="350"/>
      <c r="BG3012" s="350"/>
      <c r="BH3012" s="350"/>
    </row>
    <row r="3013" spans="4:60">
      <c r="D3013" s="350"/>
      <c r="S3013" s="350"/>
      <c r="BF3013" s="350"/>
      <c r="BG3013" s="350"/>
      <c r="BH3013" s="350"/>
    </row>
    <row r="3014" spans="4:60">
      <c r="D3014" s="350"/>
      <c r="S3014" s="350"/>
      <c r="BF3014" s="350"/>
      <c r="BG3014" s="350"/>
      <c r="BH3014" s="350"/>
    </row>
    <row r="3015" spans="4:60">
      <c r="D3015" s="350"/>
      <c r="S3015" s="350"/>
      <c r="BF3015" s="350"/>
      <c r="BG3015" s="350"/>
      <c r="BH3015" s="350"/>
    </row>
    <row r="3016" spans="4:60">
      <c r="D3016" s="350"/>
      <c r="S3016" s="350"/>
      <c r="BF3016" s="350"/>
      <c r="BG3016" s="350"/>
      <c r="BH3016" s="350"/>
    </row>
    <row r="3017" spans="4:60">
      <c r="D3017" s="350"/>
      <c r="S3017" s="350"/>
      <c r="BF3017" s="350"/>
      <c r="BG3017" s="350"/>
      <c r="BH3017" s="350"/>
    </row>
    <row r="3018" spans="4:60">
      <c r="D3018" s="350"/>
      <c r="S3018" s="350"/>
      <c r="BF3018" s="350"/>
      <c r="BG3018" s="350"/>
      <c r="BH3018" s="350"/>
    </row>
    <row r="3019" spans="4:60">
      <c r="D3019" s="350"/>
      <c r="S3019" s="350"/>
      <c r="BF3019" s="350"/>
      <c r="BG3019" s="350"/>
      <c r="BH3019" s="350"/>
    </row>
    <row r="3020" spans="4:60">
      <c r="D3020" s="350"/>
      <c r="S3020" s="350"/>
      <c r="BF3020" s="350"/>
      <c r="BG3020" s="350"/>
      <c r="BH3020" s="350"/>
    </row>
    <row r="3021" spans="4:60">
      <c r="D3021" s="350"/>
      <c r="S3021" s="350"/>
      <c r="BF3021" s="350"/>
      <c r="BG3021" s="350"/>
      <c r="BH3021" s="350"/>
    </row>
    <row r="3022" spans="4:60">
      <c r="D3022" s="350"/>
      <c r="S3022" s="350"/>
      <c r="BF3022" s="350"/>
      <c r="BG3022" s="350"/>
      <c r="BH3022" s="350"/>
    </row>
    <row r="3023" spans="4:60">
      <c r="D3023" s="350"/>
      <c r="S3023" s="350"/>
      <c r="BF3023" s="350"/>
      <c r="BG3023" s="350"/>
      <c r="BH3023" s="350"/>
    </row>
    <row r="3024" spans="4:60">
      <c r="D3024" s="350"/>
      <c r="S3024" s="350"/>
      <c r="BF3024" s="350"/>
      <c r="BG3024" s="350"/>
      <c r="BH3024" s="350"/>
    </row>
    <row r="3025" spans="4:60">
      <c r="D3025" s="350"/>
      <c r="S3025" s="350"/>
      <c r="BF3025" s="350"/>
      <c r="BG3025" s="350"/>
      <c r="BH3025" s="350"/>
    </row>
    <row r="3026" spans="4:60">
      <c r="D3026" s="350"/>
      <c r="S3026" s="350"/>
      <c r="BF3026" s="350"/>
      <c r="BG3026" s="350"/>
      <c r="BH3026" s="350"/>
    </row>
    <row r="3027" spans="4:60">
      <c r="D3027" s="350"/>
      <c r="S3027" s="350"/>
      <c r="BF3027" s="350"/>
      <c r="BG3027" s="350"/>
      <c r="BH3027" s="350"/>
    </row>
    <row r="3028" spans="4:60">
      <c r="D3028" s="350"/>
      <c r="S3028" s="350"/>
      <c r="BF3028" s="350"/>
      <c r="BG3028" s="350"/>
      <c r="BH3028" s="350"/>
    </row>
    <row r="3029" spans="4:60">
      <c r="D3029" s="350"/>
      <c r="S3029" s="350"/>
      <c r="BF3029" s="350"/>
      <c r="BG3029" s="350"/>
      <c r="BH3029" s="350"/>
    </row>
    <row r="3030" spans="4:60">
      <c r="D3030" s="350"/>
      <c r="S3030" s="350"/>
      <c r="BF3030" s="350"/>
      <c r="BG3030" s="350"/>
      <c r="BH3030" s="350"/>
    </row>
    <row r="3031" spans="4:60">
      <c r="D3031" s="350"/>
      <c r="S3031" s="350"/>
      <c r="BF3031" s="350"/>
      <c r="BG3031" s="350"/>
      <c r="BH3031" s="350"/>
    </row>
    <row r="3032" spans="4:60">
      <c r="D3032" s="350"/>
      <c r="S3032" s="350"/>
      <c r="BF3032" s="350"/>
      <c r="BG3032" s="350"/>
      <c r="BH3032" s="350"/>
    </row>
    <row r="3033" spans="4:60">
      <c r="D3033" s="350"/>
      <c r="S3033" s="350"/>
      <c r="BF3033" s="350"/>
      <c r="BG3033" s="350"/>
      <c r="BH3033" s="350"/>
    </row>
    <row r="3034" spans="4:60">
      <c r="D3034" s="350"/>
      <c r="S3034" s="350"/>
      <c r="BF3034" s="350"/>
      <c r="BG3034" s="350"/>
      <c r="BH3034" s="350"/>
    </row>
    <row r="3035" spans="4:60">
      <c r="D3035" s="350"/>
      <c r="S3035" s="350"/>
      <c r="BF3035" s="350"/>
      <c r="BG3035" s="350"/>
      <c r="BH3035" s="350"/>
    </row>
    <row r="3036" spans="4:60">
      <c r="D3036" s="350"/>
      <c r="S3036" s="350"/>
      <c r="BF3036" s="350"/>
      <c r="BG3036" s="350"/>
      <c r="BH3036" s="350"/>
    </row>
    <row r="3037" spans="4:60">
      <c r="D3037" s="350"/>
      <c r="S3037" s="350"/>
      <c r="BF3037" s="350"/>
      <c r="BG3037" s="350"/>
      <c r="BH3037" s="350"/>
    </row>
    <row r="3038" spans="4:60">
      <c r="D3038" s="350"/>
      <c r="S3038" s="350"/>
      <c r="BF3038" s="350"/>
      <c r="BG3038" s="350"/>
      <c r="BH3038" s="350"/>
    </row>
    <row r="3039" spans="4:60">
      <c r="D3039" s="350"/>
      <c r="S3039" s="350"/>
      <c r="BF3039" s="350"/>
      <c r="BG3039" s="350"/>
      <c r="BH3039" s="350"/>
    </row>
    <row r="3040" spans="4:60">
      <c r="D3040" s="350"/>
      <c r="S3040" s="350"/>
      <c r="BF3040" s="350"/>
      <c r="BG3040" s="350"/>
      <c r="BH3040" s="350"/>
    </row>
    <row r="3041" spans="4:60">
      <c r="D3041" s="350"/>
      <c r="S3041" s="350"/>
      <c r="BF3041" s="350"/>
      <c r="BG3041" s="350"/>
      <c r="BH3041" s="350"/>
    </row>
    <row r="3042" spans="4:60">
      <c r="D3042" s="350"/>
      <c r="S3042" s="350"/>
      <c r="BF3042" s="350"/>
      <c r="BG3042" s="350"/>
      <c r="BH3042" s="350"/>
    </row>
    <row r="3043" spans="4:60">
      <c r="D3043" s="350"/>
      <c r="S3043" s="350"/>
      <c r="BF3043" s="350"/>
      <c r="BG3043" s="350"/>
      <c r="BH3043" s="350"/>
    </row>
    <row r="3044" spans="4:60">
      <c r="D3044" s="350"/>
      <c r="S3044" s="350"/>
      <c r="BF3044" s="350"/>
      <c r="BG3044" s="350"/>
      <c r="BH3044" s="350"/>
    </row>
    <row r="3045" spans="4:60">
      <c r="D3045" s="350"/>
      <c r="S3045" s="350"/>
      <c r="BF3045" s="350"/>
      <c r="BG3045" s="350"/>
      <c r="BH3045" s="350"/>
    </row>
    <row r="3046" spans="4:60">
      <c r="D3046" s="350"/>
      <c r="S3046" s="350"/>
      <c r="BF3046" s="350"/>
      <c r="BG3046" s="350"/>
      <c r="BH3046" s="350"/>
    </row>
    <row r="3047" spans="4:60">
      <c r="D3047" s="350"/>
      <c r="S3047" s="350"/>
      <c r="BF3047" s="350"/>
      <c r="BG3047" s="350"/>
      <c r="BH3047" s="350"/>
    </row>
    <row r="3048" spans="4:60">
      <c r="D3048" s="350"/>
      <c r="S3048" s="350"/>
      <c r="BF3048" s="350"/>
      <c r="BG3048" s="350"/>
      <c r="BH3048" s="350"/>
    </row>
    <row r="3049" spans="4:60">
      <c r="D3049" s="350"/>
      <c r="S3049" s="350"/>
      <c r="BF3049" s="350"/>
      <c r="BG3049" s="350"/>
      <c r="BH3049" s="350"/>
    </row>
    <row r="3050" spans="4:60">
      <c r="D3050" s="350"/>
      <c r="S3050" s="350"/>
      <c r="BF3050" s="350"/>
      <c r="BG3050" s="350"/>
      <c r="BH3050" s="350"/>
    </row>
    <row r="3051" spans="4:60">
      <c r="D3051" s="350"/>
      <c r="S3051" s="350"/>
      <c r="BF3051" s="350"/>
      <c r="BG3051" s="350"/>
      <c r="BH3051" s="350"/>
    </row>
    <row r="3052" spans="4:60">
      <c r="D3052" s="350"/>
      <c r="S3052" s="350"/>
      <c r="BF3052" s="350"/>
      <c r="BG3052" s="350"/>
      <c r="BH3052" s="350"/>
    </row>
    <row r="3053" spans="4:60">
      <c r="D3053" s="350"/>
      <c r="S3053" s="350"/>
      <c r="BF3053" s="350"/>
      <c r="BG3053" s="350"/>
      <c r="BH3053" s="350"/>
    </row>
    <row r="3054" spans="4:60">
      <c r="D3054" s="350"/>
      <c r="S3054" s="350"/>
      <c r="BF3054" s="350"/>
      <c r="BG3054" s="350"/>
      <c r="BH3054" s="350"/>
    </row>
    <row r="3055" spans="4:60">
      <c r="D3055" s="350"/>
      <c r="S3055" s="350"/>
      <c r="BF3055" s="350"/>
      <c r="BG3055" s="350"/>
      <c r="BH3055" s="350"/>
    </row>
    <row r="3056" spans="4:60">
      <c r="D3056" s="350"/>
      <c r="S3056" s="350"/>
      <c r="BF3056" s="350"/>
      <c r="BG3056" s="350"/>
      <c r="BH3056" s="350"/>
    </row>
    <row r="3057" spans="4:60">
      <c r="D3057" s="350"/>
      <c r="S3057" s="350"/>
      <c r="BF3057" s="350"/>
      <c r="BG3057" s="350"/>
      <c r="BH3057" s="350"/>
    </row>
    <row r="3058" spans="4:60">
      <c r="D3058" s="350"/>
      <c r="S3058" s="350"/>
      <c r="BF3058" s="350"/>
      <c r="BG3058" s="350"/>
      <c r="BH3058" s="350"/>
    </row>
    <row r="3059" spans="4:60">
      <c r="D3059" s="350"/>
      <c r="S3059" s="350"/>
      <c r="BF3059" s="350"/>
      <c r="BG3059" s="350"/>
      <c r="BH3059" s="350"/>
    </row>
    <row r="3060" spans="4:60">
      <c r="D3060" s="350"/>
      <c r="S3060" s="350"/>
      <c r="BF3060" s="350"/>
      <c r="BG3060" s="350"/>
      <c r="BH3060" s="350"/>
    </row>
    <row r="3061" spans="4:60">
      <c r="D3061" s="350"/>
      <c r="S3061" s="350"/>
      <c r="BF3061" s="350"/>
      <c r="BG3061" s="350"/>
      <c r="BH3061" s="350"/>
    </row>
    <row r="3062" spans="4:60">
      <c r="D3062" s="350"/>
      <c r="S3062" s="350"/>
      <c r="BF3062" s="350"/>
      <c r="BG3062" s="350"/>
      <c r="BH3062" s="350"/>
    </row>
    <row r="3063" spans="4:60">
      <c r="D3063" s="350"/>
      <c r="S3063" s="350"/>
      <c r="BF3063" s="350"/>
      <c r="BG3063" s="350"/>
      <c r="BH3063" s="350"/>
    </row>
    <row r="3064" spans="4:60">
      <c r="D3064" s="350"/>
      <c r="S3064" s="350"/>
      <c r="BF3064" s="350"/>
      <c r="BG3064" s="350"/>
      <c r="BH3064" s="350"/>
    </row>
    <row r="3065" spans="4:60">
      <c r="D3065" s="350"/>
      <c r="S3065" s="350"/>
      <c r="BF3065" s="350"/>
      <c r="BG3065" s="350"/>
      <c r="BH3065" s="350"/>
    </row>
    <row r="3066" spans="4:60">
      <c r="D3066" s="350"/>
      <c r="S3066" s="350"/>
      <c r="BF3066" s="350"/>
      <c r="BG3066" s="350"/>
      <c r="BH3066" s="350"/>
    </row>
    <row r="3067" spans="4:60">
      <c r="D3067" s="350"/>
      <c r="S3067" s="350"/>
      <c r="BF3067" s="350"/>
      <c r="BG3067" s="350"/>
      <c r="BH3067" s="350"/>
    </row>
    <row r="3068" spans="4:60">
      <c r="D3068" s="350"/>
      <c r="S3068" s="350"/>
      <c r="BF3068" s="350"/>
      <c r="BG3068" s="350"/>
      <c r="BH3068" s="350"/>
    </row>
    <row r="3069" spans="4:60">
      <c r="D3069" s="350"/>
      <c r="S3069" s="350"/>
      <c r="BF3069" s="350"/>
      <c r="BG3069" s="350"/>
      <c r="BH3069" s="350"/>
    </row>
    <row r="3070" spans="4:60">
      <c r="D3070" s="350"/>
      <c r="S3070" s="350"/>
      <c r="BF3070" s="350"/>
      <c r="BG3070" s="350"/>
      <c r="BH3070" s="350"/>
    </row>
    <row r="3071" spans="4:60">
      <c r="D3071" s="350"/>
      <c r="S3071" s="350"/>
      <c r="BF3071" s="350"/>
      <c r="BG3071" s="350"/>
      <c r="BH3071" s="350"/>
    </row>
    <row r="3072" spans="4:60">
      <c r="D3072" s="350"/>
      <c r="S3072" s="350"/>
      <c r="BF3072" s="350"/>
      <c r="BG3072" s="350"/>
      <c r="BH3072" s="350"/>
    </row>
    <row r="3073" spans="4:60">
      <c r="D3073" s="350"/>
      <c r="S3073" s="350"/>
      <c r="BF3073" s="350"/>
      <c r="BG3073" s="350"/>
      <c r="BH3073" s="350"/>
    </row>
    <row r="3074" spans="4:60">
      <c r="D3074" s="350"/>
      <c r="S3074" s="350"/>
      <c r="BF3074" s="350"/>
      <c r="BG3074" s="350"/>
      <c r="BH3074" s="350"/>
    </row>
    <row r="3075" spans="4:60">
      <c r="D3075" s="350"/>
      <c r="S3075" s="350"/>
      <c r="BF3075" s="350"/>
      <c r="BG3075" s="350"/>
      <c r="BH3075" s="350"/>
    </row>
    <row r="3076" spans="4:60">
      <c r="D3076" s="350"/>
      <c r="S3076" s="350"/>
      <c r="BF3076" s="350"/>
      <c r="BG3076" s="350"/>
      <c r="BH3076" s="350"/>
    </row>
    <row r="3077" spans="4:60">
      <c r="D3077" s="350"/>
      <c r="S3077" s="350"/>
      <c r="BF3077" s="350"/>
      <c r="BG3077" s="350"/>
      <c r="BH3077" s="350"/>
    </row>
    <row r="3078" spans="4:60">
      <c r="D3078" s="350"/>
      <c r="S3078" s="350"/>
      <c r="BF3078" s="350"/>
      <c r="BG3078" s="350"/>
      <c r="BH3078" s="350"/>
    </row>
    <row r="3079" spans="4:60">
      <c r="D3079" s="350"/>
      <c r="S3079" s="350"/>
      <c r="BF3079" s="350"/>
      <c r="BG3079" s="350"/>
      <c r="BH3079" s="350"/>
    </row>
    <row r="3080" spans="4:60">
      <c r="D3080" s="350"/>
      <c r="S3080" s="350"/>
      <c r="BF3080" s="350"/>
      <c r="BG3080" s="350"/>
      <c r="BH3080" s="350"/>
    </row>
    <row r="3081" spans="4:60">
      <c r="D3081" s="350"/>
      <c r="S3081" s="350"/>
      <c r="BF3081" s="350"/>
      <c r="BG3081" s="350"/>
      <c r="BH3081" s="350"/>
    </row>
    <row r="3082" spans="4:60">
      <c r="D3082" s="350"/>
      <c r="S3082" s="350"/>
      <c r="BF3082" s="350"/>
      <c r="BG3082" s="350"/>
      <c r="BH3082" s="350"/>
    </row>
    <row r="3083" spans="4:60">
      <c r="D3083" s="350"/>
      <c r="S3083" s="350"/>
      <c r="BF3083" s="350"/>
      <c r="BG3083" s="350"/>
      <c r="BH3083" s="350"/>
    </row>
    <row r="3084" spans="4:60">
      <c r="D3084" s="350"/>
      <c r="S3084" s="350"/>
      <c r="BF3084" s="350"/>
      <c r="BG3084" s="350"/>
      <c r="BH3084" s="350"/>
    </row>
    <row r="3085" spans="4:60">
      <c r="D3085" s="350"/>
      <c r="S3085" s="350"/>
      <c r="BF3085" s="350"/>
      <c r="BG3085" s="350"/>
      <c r="BH3085" s="350"/>
    </row>
    <row r="3086" spans="4:60">
      <c r="D3086" s="350"/>
      <c r="S3086" s="350"/>
      <c r="BF3086" s="350"/>
      <c r="BG3086" s="350"/>
      <c r="BH3086" s="350"/>
    </row>
    <row r="3087" spans="4:60">
      <c r="D3087" s="350"/>
      <c r="S3087" s="350"/>
      <c r="BF3087" s="350"/>
      <c r="BG3087" s="350"/>
      <c r="BH3087" s="350"/>
    </row>
    <row r="3088" spans="4:60">
      <c r="D3088" s="350"/>
      <c r="S3088" s="350"/>
      <c r="BF3088" s="350"/>
      <c r="BG3088" s="350"/>
      <c r="BH3088" s="350"/>
    </row>
    <row r="3089" spans="4:60">
      <c r="D3089" s="350"/>
      <c r="S3089" s="350"/>
      <c r="BF3089" s="350"/>
      <c r="BG3089" s="350"/>
      <c r="BH3089" s="350"/>
    </row>
    <row r="3090" spans="4:60">
      <c r="D3090" s="350"/>
      <c r="S3090" s="350"/>
      <c r="BF3090" s="350"/>
      <c r="BG3090" s="350"/>
      <c r="BH3090" s="350"/>
    </row>
    <row r="3091" spans="4:60">
      <c r="D3091" s="350"/>
      <c r="S3091" s="350"/>
      <c r="BF3091" s="350"/>
      <c r="BG3091" s="350"/>
      <c r="BH3091" s="350"/>
    </row>
    <row r="3092" spans="4:60">
      <c r="D3092" s="350"/>
      <c r="S3092" s="350"/>
      <c r="BF3092" s="350"/>
      <c r="BG3092" s="350"/>
      <c r="BH3092" s="350"/>
    </row>
    <row r="3093" spans="4:60">
      <c r="D3093" s="350"/>
      <c r="S3093" s="350"/>
      <c r="BF3093" s="350"/>
      <c r="BG3093" s="350"/>
      <c r="BH3093" s="350"/>
    </row>
    <row r="3094" spans="4:60">
      <c r="D3094" s="350"/>
      <c r="S3094" s="350"/>
      <c r="BF3094" s="350"/>
      <c r="BG3094" s="350"/>
      <c r="BH3094" s="350"/>
    </row>
    <row r="3095" spans="4:60">
      <c r="D3095" s="350"/>
      <c r="S3095" s="350"/>
      <c r="BF3095" s="350"/>
      <c r="BG3095" s="350"/>
      <c r="BH3095" s="350"/>
    </row>
    <row r="3096" spans="4:60">
      <c r="D3096" s="350"/>
      <c r="S3096" s="350"/>
      <c r="BF3096" s="350"/>
      <c r="BG3096" s="350"/>
      <c r="BH3096" s="350"/>
    </row>
    <row r="3097" spans="4:60">
      <c r="D3097" s="350"/>
      <c r="S3097" s="350"/>
      <c r="BF3097" s="350"/>
      <c r="BG3097" s="350"/>
      <c r="BH3097" s="350"/>
    </row>
    <row r="3098" spans="4:60">
      <c r="D3098" s="350"/>
      <c r="S3098" s="350"/>
      <c r="BF3098" s="350"/>
      <c r="BG3098" s="350"/>
      <c r="BH3098" s="350"/>
    </row>
    <row r="3099" spans="4:60">
      <c r="D3099" s="350"/>
      <c r="S3099" s="350"/>
      <c r="BF3099" s="350"/>
      <c r="BG3099" s="350"/>
      <c r="BH3099" s="350"/>
    </row>
    <row r="3100" spans="4:60">
      <c r="D3100" s="350"/>
      <c r="S3100" s="350"/>
      <c r="BF3100" s="350"/>
      <c r="BG3100" s="350"/>
      <c r="BH3100" s="350"/>
    </row>
    <row r="3101" spans="4:60">
      <c r="D3101" s="350"/>
      <c r="S3101" s="350"/>
      <c r="BF3101" s="350"/>
      <c r="BG3101" s="350"/>
      <c r="BH3101" s="350"/>
    </row>
    <row r="3102" spans="4:60">
      <c r="D3102" s="350"/>
      <c r="S3102" s="350"/>
      <c r="BF3102" s="350"/>
      <c r="BG3102" s="350"/>
      <c r="BH3102" s="350"/>
    </row>
    <row r="3103" spans="4:60">
      <c r="D3103" s="350"/>
      <c r="S3103" s="350"/>
      <c r="BF3103" s="350"/>
      <c r="BG3103" s="350"/>
      <c r="BH3103" s="350"/>
    </row>
    <row r="3104" spans="4:60">
      <c r="D3104" s="350"/>
      <c r="S3104" s="350"/>
      <c r="BF3104" s="350"/>
      <c r="BG3104" s="350"/>
      <c r="BH3104" s="350"/>
    </row>
    <row r="3105" spans="4:60">
      <c r="D3105" s="350"/>
      <c r="S3105" s="350"/>
      <c r="BF3105" s="350"/>
      <c r="BG3105" s="350"/>
      <c r="BH3105" s="350"/>
    </row>
    <row r="3106" spans="4:60">
      <c r="D3106" s="350"/>
      <c r="S3106" s="350"/>
      <c r="BF3106" s="350"/>
      <c r="BG3106" s="350"/>
      <c r="BH3106" s="350"/>
    </row>
    <row r="3107" spans="4:60">
      <c r="D3107" s="350"/>
      <c r="S3107" s="350"/>
      <c r="BF3107" s="350"/>
      <c r="BG3107" s="350"/>
      <c r="BH3107" s="350"/>
    </row>
    <row r="3108" spans="4:60">
      <c r="D3108" s="350"/>
      <c r="S3108" s="350"/>
      <c r="BF3108" s="350"/>
      <c r="BG3108" s="350"/>
      <c r="BH3108" s="350"/>
    </row>
    <row r="3109" spans="4:60">
      <c r="D3109" s="350"/>
      <c r="S3109" s="350"/>
      <c r="BF3109" s="350"/>
      <c r="BG3109" s="350"/>
      <c r="BH3109" s="350"/>
    </row>
    <row r="3110" spans="4:60">
      <c r="D3110" s="350"/>
      <c r="S3110" s="350"/>
      <c r="BF3110" s="350"/>
      <c r="BG3110" s="350"/>
      <c r="BH3110" s="350"/>
    </row>
    <row r="3111" spans="4:60">
      <c r="D3111" s="350"/>
      <c r="S3111" s="350"/>
      <c r="BF3111" s="350"/>
      <c r="BG3111" s="350"/>
      <c r="BH3111" s="350"/>
    </row>
    <row r="3112" spans="4:60">
      <c r="D3112" s="350"/>
      <c r="S3112" s="350"/>
      <c r="BF3112" s="350"/>
      <c r="BG3112" s="350"/>
      <c r="BH3112" s="350"/>
    </row>
    <row r="3113" spans="4:60">
      <c r="D3113" s="350"/>
      <c r="S3113" s="350"/>
      <c r="BF3113" s="350"/>
      <c r="BG3113" s="350"/>
      <c r="BH3113" s="350"/>
    </row>
    <row r="3114" spans="4:60">
      <c r="D3114" s="350"/>
      <c r="S3114" s="350"/>
      <c r="BF3114" s="350"/>
      <c r="BG3114" s="350"/>
      <c r="BH3114" s="350"/>
    </row>
    <row r="3115" spans="4:60">
      <c r="D3115" s="350"/>
      <c r="S3115" s="350"/>
      <c r="BF3115" s="350"/>
      <c r="BG3115" s="350"/>
      <c r="BH3115" s="350"/>
    </row>
    <row r="3116" spans="4:60">
      <c r="D3116" s="350"/>
      <c r="S3116" s="350"/>
      <c r="BF3116" s="350"/>
      <c r="BG3116" s="350"/>
      <c r="BH3116" s="350"/>
    </row>
    <row r="3117" spans="4:60">
      <c r="D3117" s="350"/>
      <c r="S3117" s="350"/>
      <c r="BF3117" s="350"/>
      <c r="BG3117" s="350"/>
      <c r="BH3117" s="350"/>
    </row>
    <row r="3118" spans="4:60">
      <c r="D3118" s="350"/>
      <c r="S3118" s="350"/>
      <c r="BF3118" s="350"/>
      <c r="BG3118" s="350"/>
      <c r="BH3118" s="350"/>
    </row>
    <row r="3128" spans="4:60">
      <c r="D3128" s="350"/>
      <c r="S3128" s="350"/>
      <c r="BF3128" s="350"/>
      <c r="BG3128" s="350"/>
      <c r="BH3128" s="350"/>
    </row>
    <row r="3129" spans="4:60">
      <c r="D3129" s="350"/>
      <c r="S3129" s="350"/>
      <c r="BF3129" s="350"/>
      <c r="BG3129" s="350"/>
      <c r="BH3129" s="350"/>
    </row>
    <row r="3130" spans="4:60">
      <c r="D3130" s="350"/>
      <c r="S3130" s="350"/>
      <c r="BF3130" s="350"/>
      <c r="BG3130" s="350"/>
      <c r="BH3130" s="350"/>
    </row>
    <row r="3131" spans="4:60">
      <c r="D3131" s="350"/>
      <c r="S3131" s="350"/>
      <c r="BF3131" s="350"/>
      <c r="BG3131" s="350"/>
      <c r="BH3131" s="350"/>
    </row>
    <row r="3132" spans="4:60">
      <c r="D3132" s="350"/>
      <c r="S3132" s="350"/>
      <c r="BF3132" s="350"/>
      <c r="BG3132" s="350"/>
      <c r="BH3132" s="350"/>
    </row>
    <row r="3133" spans="4:60">
      <c r="D3133" s="350"/>
      <c r="S3133" s="350"/>
      <c r="BF3133" s="350"/>
      <c r="BG3133" s="350"/>
      <c r="BH3133" s="350"/>
    </row>
    <row r="3134" spans="4:60">
      <c r="D3134" s="350"/>
      <c r="S3134" s="350"/>
      <c r="BF3134" s="350"/>
      <c r="BG3134" s="350"/>
      <c r="BH3134" s="350"/>
    </row>
    <row r="3135" spans="4:60">
      <c r="D3135" s="350"/>
      <c r="S3135" s="350"/>
      <c r="BF3135" s="350"/>
      <c r="BG3135" s="350"/>
      <c r="BH3135" s="350"/>
    </row>
    <row r="3136" spans="4:60">
      <c r="D3136" s="350"/>
      <c r="S3136" s="350"/>
      <c r="BF3136" s="350"/>
      <c r="BG3136" s="350"/>
      <c r="BH3136" s="350"/>
    </row>
    <row r="3137" spans="4:60">
      <c r="D3137" s="350"/>
      <c r="S3137" s="350"/>
      <c r="BF3137" s="350"/>
      <c r="BG3137" s="350"/>
      <c r="BH3137" s="350"/>
    </row>
    <row r="3138" spans="4:60">
      <c r="D3138" s="350"/>
      <c r="S3138" s="350"/>
      <c r="BF3138" s="350"/>
      <c r="BG3138" s="350"/>
      <c r="BH3138" s="350"/>
    </row>
    <row r="3139" spans="4:60">
      <c r="D3139" s="350"/>
      <c r="S3139" s="350"/>
      <c r="BF3139" s="350"/>
      <c r="BG3139" s="350"/>
      <c r="BH3139" s="350"/>
    </row>
    <row r="3140" spans="4:60">
      <c r="D3140" s="350"/>
      <c r="S3140" s="350"/>
      <c r="BF3140" s="350"/>
      <c r="BG3140" s="350"/>
      <c r="BH3140" s="350"/>
    </row>
    <row r="3141" spans="4:60">
      <c r="D3141" s="350"/>
      <c r="S3141" s="350"/>
      <c r="BF3141" s="350"/>
      <c r="BG3141" s="350"/>
      <c r="BH3141" s="350"/>
    </row>
    <row r="3142" spans="4:60">
      <c r="D3142" s="350"/>
      <c r="S3142" s="350"/>
      <c r="BF3142" s="350"/>
      <c r="BG3142" s="350"/>
      <c r="BH3142" s="350"/>
    </row>
    <row r="3143" spans="4:60">
      <c r="D3143" s="350"/>
      <c r="S3143" s="350"/>
      <c r="BF3143" s="350"/>
      <c r="BG3143" s="350"/>
      <c r="BH3143" s="350"/>
    </row>
    <row r="3144" spans="4:60">
      <c r="D3144" s="350"/>
      <c r="S3144" s="350"/>
      <c r="BF3144" s="350"/>
      <c r="BG3144" s="350"/>
      <c r="BH3144" s="350"/>
    </row>
    <row r="3145" spans="4:60">
      <c r="D3145" s="350"/>
      <c r="S3145" s="350"/>
      <c r="BF3145" s="350"/>
      <c r="BG3145" s="350"/>
      <c r="BH3145" s="350"/>
    </row>
    <row r="3146" spans="4:60">
      <c r="D3146" s="350"/>
      <c r="S3146" s="350"/>
      <c r="BF3146" s="350"/>
      <c r="BG3146" s="350"/>
      <c r="BH3146" s="350"/>
    </row>
    <row r="3147" spans="4:60">
      <c r="D3147" s="350"/>
      <c r="S3147" s="350"/>
      <c r="BF3147" s="350"/>
      <c r="BG3147" s="350"/>
      <c r="BH3147" s="350"/>
    </row>
    <row r="3148" spans="4:60">
      <c r="D3148" s="350"/>
      <c r="S3148" s="350"/>
      <c r="BF3148" s="350"/>
      <c r="BG3148" s="350"/>
      <c r="BH3148" s="350"/>
    </row>
    <row r="3150" spans="4:60">
      <c r="D3150" s="350"/>
      <c r="S3150" s="350"/>
      <c r="BF3150" s="350"/>
      <c r="BG3150" s="350"/>
      <c r="BH3150" s="350"/>
    </row>
    <row r="3151" spans="4:60">
      <c r="D3151" s="350"/>
      <c r="S3151" s="350"/>
      <c r="BF3151" s="350"/>
      <c r="BG3151" s="350"/>
      <c r="BH3151" s="350"/>
    </row>
    <row r="3152" spans="4:60">
      <c r="D3152" s="350"/>
      <c r="S3152" s="350"/>
      <c r="BF3152" s="350"/>
      <c r="BG3152" s="350"/>
      <c r="BH3152" s="350"/>
    </row>
    <row r="3154" spans="4:60">
      <c r="D3154" s="350"/>
      <c r="S3154" s="350"/>
      <c r="BF3154" s="350"/>
      <c r="BG3154" s="350"/>
      <c r="BH3154" s="350"/>
    </row>
    <row r="3155" spans="4:60">
      <c r="D3155" s="350"/>
      <c r="S3155" s="350"/>
      <c r="BF3155" s="350"/>
      <c r="BG3155" s="350"/>
      <c r="BH3155" s="350"/>
    </row>
    <row r="3156" spans="4:60">
      <c r="D3156" s="350"/>
      <c r="S3156" s="350"/>
      <c r="BF3156" s="350"/>
      <c r="BG3156" s="350"/>
      <c r="BH3156" s="350"/>
    </row>
    <row r="3157" spans="4:60">
      <c r="D3157" s="350"/>
      <c r="S3157" s="350"/>
      <c r="BF3157" s="350"/>
      <c r="BG3157" s="350"/>
      <c r="BH3157" s="350"/>
    </row>
    <row r="3158" spans="4:60">
      <c r="D3158" s="350"/>
      <c r="S3158" s="350"/>
      <c r="BF3158" s="350"/>
      <c r="BG3158" s="350"/>
      <c r="BH3158" s="350"/>
    </row>
    <row r="3159" spans="4:60">
      <c r="D3159" s="350"/>
      <c r="S3159" s="350"/>
      <c r="BF3159" s="350"/>
      <c r="BG3159" s="350"/>
      <c r="BH3159" s="350"/>
    </row>
    <row r="3160" spans="4:60">
      <c r="D3160" s="350"/>
      <c r="S3160" s="350"/>
      <c r="BF3160" s="350"/>
      <c r="BG3160" s="350"/>
      <c r="BH3160" s="350"/>
    </row>
    <row r="3161" spans="4:60">
      <c r="D3161" s="350"/>
      <c r="S3161" s="350"/>
      <c r="BF3161" s="350"/>
      <c r="BG3161" s="350"/>
      <c r="BH3161" s="350"/>
    </row>
    <row r="3162" spans="4:60">
      <c r="D3162" s="350"/>
      <c r="S3162" s="350"/>
      <c r="BF3162" s="350"/>
      <c r="BG3162" s="350"/>
      <c r="BH3162" s="350"/>
    </row>
    <row r="3163" spans="4:60">
      <c r="D3163" s="350"/>
      <c r="S3163" s="350"/>
      <c r="BF3163" s="350"/>
      <c r="BG3163" s="350"/>
      <c r="BH3163" s="350"/>
    </row>
    <row r="3164" spans="4:60">
      <c r="D3164" s="350"/>
      <c r="S3164" s="350"/>
      <c r="BF3164" s="350"/>
      <c r="BG3164" s="350"/>
      <c r="BH3164" s="350"/>
    </row>
    <row r="3165" spans="4:60">
      <c r="D3165" s="350"/>
      <c r="S3165" s="350"/>
      <c r="BF3165" s="350"/>
      <c r="BG3165" s="350"/>
      <c r="BH3165" s="350"/>
    </row>
    <row r="3166" spans="4:60">
      <c r="D3166" s="350"/>
      <c r="S3166" s="350"/>
      <c r="BF3166" s="350"/>
      <c r="BG3166" s="350"/>
      <c r="BH3166" s="350"/>
    </row>
    <row r="3167" spans="4:60">
      <c r="D3167" s="350"/>
      <c r="S3167" s="350"/>
      <c r="BF3167" s="350"/>
      <c r="BG3167" s="350"/>
      <c r="BH3167" s="350"/>
    </row>
    <row r="3168" spans="4:60">
      <c r="D3168" s="350"/>
      <c r="S3168" s="350"/>
      <c r="BF3168" s="350"/>
      <c r="BG3168" s="350"/>
      <c r="BH3168" s="350"/>
    </row>
    <row r="3169" spans="4:60">
      <c r="D3169" s="350"/>
      <c r="S3169" s="350"/>
      <c r="BF3169" s="350"/>
      <c r="BG3169" s="350"/>
      <c r="BH3169" s="350"/>
    </row>
    <row r="3170" spans="4:60">
      <c r="D3170" s="350"/>
      <c r="S3170" s="350"/>
      <c r="BF3170" s="350"/>
      <c r="BG3170" s="350"/>
      <c r="BH3170" s="350"/>
    </row>
    <row r="3171" spans="4:60">
      <c r="D3171" s="350"/>
      <c r="S3171" s="350"/>
      <c r="BF3171" s="350"/>
      <c r="BG3171" s="350"/>
      <c r="BH3171" s="350"/>
    </row>
    <row r="3172" spans="4:60">
      <c r="D3172" s="350"/>
      <c r="S3172" s="350"/>
      <c r="BF3172" s="350"/>
      <c r="BG3172" s="350"/>
      <c r="BH3172" s="350"/>
    </row>
    <row r="3173" spans="4:60">
      <c r="D3173" s="350"/>
      <c r="S3173" s="350"/>
      <c r="BF3173" s="350"/>
      <c r="BG3173" s="350"/>
      <c r="BH3173" s="350"/>
    </row>
    <row r="3174" spans="4:60">
      <c r="D3174" s="350"/>
      <c r="S3174" s="350"/>
      <c r="BF3174" s="350"/>
      <c r="BG3174" s="350"/>
      <c r="BH3174" s="350"/>
    </row>
    <row r="3175" spans="4:60">
      <c r="D3175" s="350"/>
      <c r="S3175" s="350"/>
      <c r="BF3175" s="350"/>
      <c r="BG3175" s="350"/>
      <c r="BH3175" s="350"/>
    </row>
    <row r="3176" spans="4:60">
      <c r="D3176" s="350"/>
      <c r="S3176" s="350"/>
      <c r="BF3176" s="350"/>
      <c r="BG3176" s="350"/>
      <c r="BH3176" s="350"/>
    </row>
    <row r="3177" spans="4:60">
      <c r="D3177" s="350"/>
      <c r="S3177" s="350"/>
      <c r="BF3177" s="350"/>
      <c r="BG3177" s="350"/>
      <c r="BH3177" s="350"/>
    </row>
    <row r="3178" spans="4:60">
      <c r="D3178" s="350"/>
      <c r="S3178" s="350"/>
      <c r="BF3178" s="350"/>
      <c r="BG3178" s="350"/>
      <c r="BH3178" s="350"/>
    </row>
    <row r="3179" spans="4:60">
      <c r="D3179" s="350"/>
      <c r="S3179" s="350"/>
      <c r="BF3179" s="350"/>
      <c r="BG3179" s="350"/>
      <c r="BH3179" s="350"/>
    </row>
    <row r="3180" spans="4:60">
      <c r="D3180" s="350"/>
      <c r="S3180" s="350"/>
      <c r="BF3180" s="350"/>
      <c r="BG3180" s="350"/>
      <c r="BH3180" s="350"/>
    </row>
    <row r="3181" spans="4:60">
      <c r="D3181" s="350"/>
      <c r="S3181" s="350"/>
      <c r="BF3181" s="350"/>
      <c r="BG3181" s="350"/>
      <c r="BH3181" s="350"/>
    </row>
    <row r="3182" spans="4:60">
      <c r="D3182" s="350"/>
      <c r="S3182" s="350"/>
      <c r="BF3182" s="350"/>
      <c r="BG3182" s="350"/>
      <c r="BH3182" s="350"/>
    </row>
    <row r="3183" spans="4:60">
      <c r="D3183" s="350"/>
      <c r="S3183" s="350"/>
      <c r="BF3183" s="350"/>
      <c r="BG3183" s="350"/>
      <c r="BH3183" s="350"/>
    </row>
    <row r="3184" spans="4:60">
      <c r="D3184" s="350"/>
      <c r="S3184" s="350"/>
      <c r="BF3184" s="350"/>
      <c r="BG3184" s="350"/>
      <c r="BH3184" s="350"/>
    </row>
    <row r="3185" spans="4:60">
      <c r="D3185" s="350"/>
      <c r="S3185" s="350"/>
      <c r="BF3185" s="350"/>
      <c r="BG3185" s="350"/>
      <c r="BH3185" s="350"/>
    </row>
    <row r="3186" spans="4:60">
      <c r="D3186" s="350"/>
      <c r="S3186" s="350"/>
      <c r="BF3186" s="350"/>
      <c r="BG3186" s="350"/>
      <c r="BH3186" s="350"/>
    </row>
    <row r="3187" spans="4:60">
      <c r="D3187" s="350"/>
      <c r="S3187" s="350"/>
      <c r="BF3187" s="350"/>
      <c r="BG3187" s="350"/>
      <c r="BH3187" s="350"/>
    </row>
    <row r="3188" spans="4:60">
      <c r="D3188" s="350"/>
      <c r="S3188" s="350"/>
      <c r="BF3188" s="350"/>
      <c r="BG3188" s="350"/>
      <c r="BH3188" s="350"/>
    </row>
    <row r="3189" spans="4:60">
      <c r="D3189" s="350"/>
      <c r="S3189" s="350"/>
      <c r="BF3189" s="350"/>
      <c r="BG3189" s="350"/>
      <c r="BH3189" s="350"/>
    </row>
    <row r="3190" spans="4:60">
      <c r="D3190" s="350"/>
      <c r="S3190" s="350"/>
      <c r="BF3190" s="350"/>
      <c r="BG3190" s="350"/>
      <c r="BH3190" s="350"/>
    </row>
    <row r="3191" spans="4:60">
      <c r="D3191" s="350"/>
      <c r="S3191" s="350"/>
      <c r="BF3191" s="350"/>
      <c r="BG3191" s="350"/>
      <c r="BH3191" s="350"/>
    </row>
    <row r="3192" spans="4:60">
      <c r="D3192" s="350"/>
      <c r="S3192" s="350"/>
      <c r="BF3192" s="350"/>
      <c r="BG3192" s="350"/>
      <c r="BH3192" s="350"/>
    </row>
    <row r="3193" spans="4:60">
      <c r="D3193" s="350"/>
      <c r="S3193" s="350"/>
      <c r="BF3193" s="350"/>
      <c r="BG3193" s="350"/>
      <c r="BH3193" s="350"/>
    </row>
    <row r="3194" spans="4:60">
      <c r="D3194" s="350"/>
      <c r="S3194" s="350"/>
      <c r="BF3194" s="350"/>
      <c r="BG3194" s="350"/>
      <c r="BH3194" s="350"/>
    </row>
    <row r="3195" spans="4:60">
      <c r="D3195" s="350"/>
      <c r="S3195" s="350"/>
      <c r="BF3195" s="350"/>
      <c r="BG3195" s="350"/>
      <c r="BH3195" s="350"/>
    </row>
    <row r="3196" spans="4:60">
      <c r="D3196" s="350"/>
      <c r="S3196" s="350"/>
      <c r="BF3196" s="350"/>
      <c r="BG3196" s="350"/>
      <c r="BH3196" s="350"/>
    </row>
    <row r="3197" spans="4:60">
      <c r="D3197" s="350"/>
      <c r="S3197" s="350"/>
      <c r="BF3197" s="350"/>
      <c r="BG3197" s="350"/>
      <c r="BH3197" s="350"/>
    </row>
    <row r="3198" spans="4:60">
      <c r="D3198" s="350"/>
      <c r="S3198" s="350"/>
      <c r="BF3198" s="350"/>
      <c r="BG3198" s="350"/>
      <c r="BH3198" s="350"/>
    </row>
    <row r="3199" spans="4:60">
      <c r="D3199" s="350"/>
      <c r="S3199" s="350"/>
      <c r="BF3199" s="350"/>
      <c r="BG3199" s="350"/>
      <c r="BH3199" s="350"/>
    </row>
    <row r="3200" spans="4:60">
      <c r="D3200" s="350"/>
      <c r="S3200" s="350"/>
      <c r="BF3200" s="350"/>
      <c r="BG3200" s="350"/>
      <c r="BH3200" s="350"/>
    </row>
    <row r="3201" spans="4:60">
      <c r="D3201" s="350"/>
      <c r="S3201" s="350"/>
      <c r="BF3201" s="350"/>
      <c r="BG3201" s="350"/>
      <c r="BH3201" s="350"/>
    </row>
    <row r="3202" spans="4:60">
      <c r="D3202" s="350"/>
      <c r="S3202" s="350"/>
      <c r="BF3202" s="350"/>
      <c r="BG3202" s="350"/>
      <c r="BH3202" s="350"/>
    </row>
    <row r="3203" spans="4:60">
      <c r="D3203" s="350"/>
      <c r="S3203" s="350"/>
      <c r="BF3203" s="350"/>
      <c r="BG3203" s="350"/>
      <c r="BH3203" s="350"/>
    </row>
    <row r="3204" spans="4:60">
      <c r="D3204" s="350"/>
      <c r="S3204" s="350"/>
      <c r="BF3204" s="350"/>
      <c r="BG3204" s="350"/>
      <c r="BH3204" s="350"/>
    </row>
    <row r="3205" spans="4:60">
      <c r="D3205" s="350"/>
      <c r="S3205" s="350"/>
      <c r="BF3205" s="350"/>
      <c r="BG3205" s="350"/>
      <c r="BH3205" s="350"/>
    </row>
    <row r="3206" spans="4:60">
      <c r="D3206" s="350"/>
      <c r="S3206" s="350"/>
      <c r="BF3206" s="350"/>
      <c r="BG3206" s="350"/>
      <c r="BH3206" s="350"/>
    </row>
    <row r="3207" spans="4:60">
      <c r="D3207" s="350"/>
      <c r="S3207" s="350"/>
      <c r="BF3207" s="350"/>
      <c r="BG3207" s="350"/>
      <c r="BH3207" s="350"/>
    </row>
    <row r="3208" spans="4:60">
      <c r="D3208" s="350"/>
      <c r="S3208" s="350"/>
      <c r="BF3208" s="350"/>
      <c r="BG3208" s="350"/>
      <c r="BH3208" s="350"/>
    </row>
    <row r="3209" spans="4:60">
      <c r="D3209" s="350"/>
      <c r="S3209" s="350"/>
      <c r="BF3209" s="350"/>
      <c r="BG3209" s="350"/>
      <c r="BH3209" s="350"/>
    </row>
    <row r="3210" spans="4:60">
      <c r="D3210" s="350"/>
      <c r="S3210" s="350"/>
      <c r="BF3210" s="350"/>
      <c r="BG3210" s="350"/>
      <c r="BH3210" s="350"/>
    </row>
    <row r="3211" spans="4:60">
      <c r="D3211" s="350"/>
      <c r="S3211" s="350"/>
      <c r="BF3211" s="350"/>
      <c r="BG3211" s="350"/>
      <c r="BH3211" s="350"/>
    </row>
    <row r="3212" spans="4:60">
      <c r="D3212" s="350"/>
      <c r="S3212" s="350"/>
      <c r="BF3212" s="350"/>
      <c r="BG3212" s="350"/>
      <c r="BH3212" s="350"/>
    </row>
    <row r="3213" spans="4:60">
      <c r="D3213" s="350"/>
      <c r="S3213" s="350"/>
      <c r="BF3213" s="350"/>
      <c r="BG3213" s="350"/>
      <c r="BH3213" s="350"/>
    </row>
    <row r="3214" spans="4:60">
      <c r="D3214" s="350"/>
      <c r="S3214" s="350"/>
      <c r="BF3214" s="350"/>
      <c r="BG3214" s="350"/>
      <c r="BH3214" s="350"/>
    </row>
    <row r="3215" spans="4:60">
      <c r="D3215" s="350"/>
      <c r="S3215" s="350"/>
      <c r="BF3215" s="350"/>
      <c r="BG3215" s="350"/>
      <c r="BH3215" s="350"/>
    </row>
    <row r="3216" spans="4:60">
      <c r="D3216" s="350"/>
      <c r="S3216" s="350"/>
      <c r="BF3216" s="350"/>
      <c r="BG3216" s="350"/>
      <c r="BH3216" s="350"/>
    </row>
    <row r="3217" spans="4:60">
      <c r="D3217" s="350"/>
      <c r="S3217" s="350"/>
      <c r="BF3217" s="350"/>
      <c r="BG3217" s="350"/>
      <c r="BH3217" s="350"/>
    </row>
    <row r="3218" spans="4:60">
      <c r="D3218" s="350"/>
      <c r="S3218" s="350"/>
      <c r="BF3218" s="350"/>
      <c r="BG3218" s="350"/>
      <c r="BH3218" s="350"/>
    </row>
    <row r="3219" spans="4:60">
      <c r="D3219" s="350"/>
      <c r="S3219" s="350"/>
      <c r="BF3219" s="350"/>
      <c r="BG3219" s="350"/>
      <c r="BH3219" s="350"/>
    </row>
    <row r="3220" spans="4:60">
      <c r="D3220" s="350"/>
      <c r="S3220" s="350"/>
      <c r="BF3220" s="350"/>
      <c r="BG3220" s="350"/>
      <c r="BH3220" s="350"/>
    </row>
    <row r="3221" spans="4:60">
      <c r="D3221" s="350"/>
      <c r="S3221" s="350"/>
      <c r="BF3221" s="350"/>
      <c r="BG3221" s="350"/>
      <c r="BH3221" s="350"/>
    </row>
    <row r="3222" spans="4:60">
      <c r="D3222" s="350"/>
      <c r="S3222" s="350"/>
      <c r="BF3222" s="350"/>
      <c r="BG3222" s="350"/>
      <c r="BH3222" s="350"/>
    </row>
    <row r="3223" spans="4:60">
      <c r="D3223" s="350"/>
      <c r="S3223" s="350"/>
      <c r="BF3223" s="350"/>
      <c r="BG3223" s="350"/>
      <c r="BH3223" s="350"/>
    </row>
    <row r="3224" spans="4:60">
      <c r="D3224" s="350"/>
      <c r="S3224" s="350"/>
      <c r="BF3224" s="350"/>
      <c r="BG3224" s="350"/>
      <c r="BH3224" s="350"/>
    </row>
    <row r="3225" spans="4:60">
      <c r="D3225" s="350"/>
      <c r="S3225" s="350"/>
      <c r="BF3225" s="350"/>
      <c r="BG3225" s="350"/>
      <c r="BH3225" s="350"/>
    </row>
    <row r="3226" spans="4:60">
      <c r="D3226" s="350"/>
      <c r="S3226" s="350"/>
      <c r="BF3226" s="350"/>
      <c r="BG3226" s="350"/>
      <c r="BH3226" s="350"/>
    </row>
    <row r="3227" spans="4:60">
      <c r="D3227" s="350"/>
      <c r="S3227" s="350"/>
      <c r="BF3227" s="350"/>
      <c r="BG3227" s="350"/>
      <c r="BH3227" s="350"/>
    </row>
    <row r="3228" spans="4:60">
      <c r="D3228" s="350"/>
      <c r="S3228" s="350"/>
      <c r="BF3228" s="350"/>
      <c r="BG3228" s="350"/>
      <c r="BH3228" s="350"/>
    </row>
    <row r="3229" spans="4:60">
      <c r="D3229" s="350"/>
      <c r="S3229" s="350"/>
      <c r="BF3229" s="350"/>
      <c r="BG3229" s="350"/>
      <c r="BH3229" s="350"/>
    </row>
    <row r="3230" spans="4:60">
      <c r="D3230" s="350"/>
      <c r="S3230" s="350"/>
      <c r="BF3230" s="350"/>
      <c r="BG3230" s="350"/>
      <c r="BH3230" s="350"/>
    </row>
    <row r="3231" spans="4:60">
      <c r="D3231" s="350"/>
      <c r="S3231" s="350"/>
      <c r="BF3231" s="350"/>
      <c r="BG3231" s="350"/>
      <c r="BH3231" s="350"/>
    </row>
    <row r="3232" spans="4:60">
      <c r="D3232" s="350"/>
      <c r="S3232" s="350"/>
      <c r="BF3232" s="350"/>
      <c r="BG3232" s="350"/>
      <c r="BH3232" s="350"/>
    </row>
    <row r="3233" spans="4:60">
      <c r="D3233" s="350"/>
      <c r="S3233" s="350"/>
      <c r="BF3233" s="350"/>
      <c r="BG3233" s="350"/>
      <c r="BH3233" s="350"/>
    </row>
    <row r="3234" spans="4:60">
      <c r="D3234" s="350"/>
      <c r="S3234" s="350"/>
      <c r="BF3234" s="350"/>
      <c r="BG3234" s="350"/>
      <c r="BH3234" s="350"/>
    </row>
    <row r="3235" spans="4:60">
      <c r="D3235" s="350"/>
      <c r="S3235" s="350"/>
      <c r="BF3235" s="350"/>
      <c r="BG3235" s="350"/>
      <c r="BH3235" s="350"/>
    </row>
    <row r="3236" spans="4:60">
      <c r="D3236" s="350"/>
      <c r="S3236" s="350"/>
      <c r="BF3236" s="350"/>
      <c r="BG3236" s="350"/>
      <c r="BH3236" s="350"/>
    </row>
    <row r="3237" spans="4:60">
      <c r="D3237" s="350"/>
      <c r="S3237" s="350"/>
      <c r="BF3237" s="350"/>
      <c r="BG3237" s="350"/>
      <c r="BH3237" s="350"/>
    </row>
    <row r="3238" spans="4:60">
      <c r="D3238" s="350"/>
      <c r="S3238" s="350"/>
      <c r="BF3238" s="350"/>
      <c r="BG3238" s="350"/>
      <c r="BH3238" s="350"/>
    </row>
    <row r="3239" spans="4:60">
      <c r="D3239" s="350"/>
      <c r="S3239" s="350"/>
      <c r="BF3239" s="350"/>
      <c r="BG3239" s="350"/>
      <c r="BH3239" s="350"/>
    </row>
    <row r="3240" spans="4:60">
      <c r="D3240" s="350"/>
      <c r="S3240" s="350"/>
      <c r="BF3240" s="350"/>
      <c r="BG3240" s="350"/>
      <c r="BH3240" s="350"/>
    </row>
    <row r="3241" spans="4:60">
      <c r="D3241" s="350"/>
      <c r="S3241" s="350"/>
      <c r="BF3241" s="350"/>
      <c r="BG3241" s="350"/>
      <c r="BH3241" s="350"/>
    </row>
    <row r="3242" spans="4:60">
      <c r="D3242" s="350"/>
      <c r="S3242" s="350"/>
      <c r="BF3242" s="350"/>
      <c r="BG3242" s="350"/>
      <c r="BH3242" s="350"/>
    </row>
    <row r="3243" spans="4:60">
      <c r="D3243" s="350"/>
      <c r="S3243" s="350"/>
      <c r="BF3243" s="350"/>
      <c r="BG3243" s="350"/>
      <c r="BH3243" s="350"/>
    </row>
    <row r="3244" spans="4:60">
      <c r="D3244" s="350"/>
      <c r="S3244" s="350"/>
      <c r="BF3244" s="350"/>
      <c r="BG3244" s="350"/>
      <c r="BH3244" s="350"/>
    </row>
    <row r="3245" spans="4:60">
      <c r="D3245" s="350"/>
      <c r="S3245" s="350"/>
      <c r="BF3245" s="350"/>
      <c r="BG3245" s="350"/>
      <c r="BH3245" s="350"/>
    </row>
    <row r="3246" spans="4:60">
      <c r="D3246" s="350"/>
      <c r="S3246" s="350"/>
      <c r="BF3246" s="350"/>
      <c r="BG3246" s="350"/>
      <c r="BH3246" s="350"/>
    </row>
    <row r="3247" spans="4:60">
      <c r="D3247" s="350"/>
      <c r="S3247" s="350"/>
      <c r="BF3247" s="350"/>
      <c r="BG3247" s="350"/>
      <c r="BH3247" s="350"/>
    </row>
    <row r="3248" spans="4:60">
      <c r="D3248" s="350"/>
      <c r="S3248" s="350"/>
      <c r="BF3248" s="350"/>
      <c r="BG3248" s="350"/>
      <c r="BH3248" s="350"/>
    </row>
    <row r="3249" spans="4:60">
      <c r="D3249" s="350"/>
      <c r="S3249" s="350"/>
      <c r="BF3249" s="350"/>
      <c r="BG3249" s="350"/>
      <c r="BH3249" s="350"/>
    </row>
    <row r="3250" spans="4:60">
      <c r="D3250" s="350"/>
      <c r="S3250" s="350"/>
      <c r="BF3250" s="350"/>
      <c r="BG3250" s="350"/>
      <c r="BH3250" s="350"/>
    </row>
    <row r="3251" spans="4:60">
      <c r="D3251" s="350"/>
      <c r="S3251" s="350"/>
      <c r="BF3251" s="350"/>
      <c r="BG3251" s="350"/>
      <c r="BH3251" s="350"/>
    </row>
    <row r="3252" spans="4:60">
      <c r="D3252" s="350"/>
      <c r="S3252" s="350"/>
      <c r="BF3252" s="350"/>
      <c r="BG3252" s="350"/>
      <c r="BH3252" s="350"/>
    </row>
    <row r="3253" spans="4:60">
      <c r="D3253" s="350"/>
      <c r="S3253" s="350"/>
      <c r="BF3253" s="350"/>
      <c r="BG3253" s="350"/>
      <c r="BH3253" s="350"/>
    </row>
    <row r="3254" spans="4:60">
      <c r="D3254" s="350"/>
      <c r="S3254" s="350"/>
      <c r="BF3254" s="350"/>
      <c r="BG3254" s="350"/>
      <c r="BH3254" s="350"/>
    </row>
    <row r="3255" spans="4:60">
      <c r="D3255" s="350"/>
      <c r="S3255" s="350"/>
      <c r="BF3255" s="350"/>
      <c r="BG3255" s="350"/>
      <c r="BH3255" s="350"/>
    </row>
    <row r="3256" spans="4:60">
      <c r="D3256" s="350"/>
      <c r="S3256" s="350"/>
      <c r="BF3256" s="350"/>
      <c r="BG3256" s="350"/>
      <c r="BH3256" s="350"/>
    </row>
    <row r="3257" spans="4:60">
      <c r="D3257" s="350"/>
      <c r="S3257" s="350"/>
      <c r="BF3257" s="350"/>
      <c r="BG3257" s="350"/>
      <c r="BH3257" s="350"/>
    </row>
    <row r="3258" spans="4:60">
      <c r="D3258" s="350"/>
      <c r="S3258" s="350"/>
      <c r="BF3258" s="350"/>
      <c r="BG3258" s="350"/>
      <c r="BH3258" s="350"/>
    </row>
    <row r="3259" spans="4:60">
      <c r="D3259" s="350"/>
      <c r="S3259" s="350"/>
      <c r="BF3259" s="350"/>
      <c r="BG3259" s="350"/>
      <c r="BH3259" s="350"/>
    </row>
    <row r="3260" spans="4:60">
      <c r="D3260" s="350"/>
      <c r="S3260" s="350"/>
      <c r="BF3260" s="350"/>
      <c r="BG3260" s="350"/>
      <c r="BH3260" s="350"/>
    </row>
    <row r="3261" spans="4:60">
      <c r="D3261" s="350"/>
      <c r="S3261" s="350"/>
      <c r="BF3261" s="350"/>
      <c r="BG3261" s="350"/>
      <c r="BH3261" s="350"/>
    </row>
    <row r="3262" spans="4:60">
      <c r="D3262" s="350"/>
      <c r="S3262" s="350"/>
      <c r="BF3262" s="350"/>
      <c r="BG3262" s="350"/>
      <c r="BH3262" s="350"/>
    </row>
    <row r="3263" spans="4:60">
      <c r="D3263" s="350"/>
      <c r="S3263" s="350"/>
      <c r="BF3263" s="350"/>
      <c r="BG3263" s="350"/>
      <c r="BH3263" s="350"/>
    </row>
    <row r="3264" spans="4:60">
      <c r="D3264" s="350"/>
      <c r="S3264" s="350"/>
      <c r="BF3264" s="350"/>
      <c r="BG3264" s="350"/>
      <c r="BH3264" s="350"/>
    </row>
    <row r="3265" spans="4:60">
      <c r="D3265" s="350"/>
      <c r="S3265" s="350"/>
      <c r="BF3265" s="350"/>
      <c r="BG3265" s="350"/>
      <c r="BH3265" s="350"/>
    </row>
    <row r="3266" spans="4:60">
      <c r="D3266" s="350"/>
      <c r="S3266" s="350"/>
      <c r="BF3266" s="350"/>
      <c r="BG3266" s="350"/>
      <c r="BH3266" s="350"/>
    </row>
    <row r="3267" spans="4:60">
      <c r="D3267" s="350"/>
      <c r="S3267" s="350"/>
      <c r="BF3267" s="350"/>
      <c r="BG3267" s="350"/>
      <c r="BH3267" s="350"/>
    </row>
    <row r="3268" spans="4:60">
      <c r="D3268" s="350"/>
      <c r="S3268" s="350"/>
      <c r="BF3268" s="350"/>
      <c r="BG3268" s="350"/>
      <c r="BH3268" s="350"/>
    </row>
    <row r="3269" spans="4:60">
      <c r="D3269" s="350"/>
      <c r="S3269" s="350"/>
      <c r="BF3269" s="350"/>
      <c r="BG3269" s="350"/>
      <c r="BH3269" s="350"/>
    </row>
    <row r="3270" spans="4:60">
      <c r="D3270" s="350"/>
      <c r="S3270" s="350"/>
      <c r="BF3270" s="350"/>
      <c r="BG3270" s="350"/>
      <c r="BH3270" s="350"/>
    </row>
    <row r="3271" spans="4:60">
      <c r="D3271" s="350"/>
      <c r="S3271" s="350"/>
      <c r="BF3271" s="350"/>
      <c r="BG3271" s="350"/>
      <c r="BH3271" s="350"/>
    </row>
    <row r="3272" spans="4:60">
      <c r="D3272" s="350"/>
      <c r="S3272" s="350"/>
      <c r="BF3272" s="350"/>
      <c r="BG3272" s="350"/>
      <c r="BH3272" s="350"/>
    </row>
    <row r="3273" spans="4:60">
      <c r="D3273" s="350"/>
      <c r="S3273" s="350"/>
      <c r="BF3273" s="350"/>
      <c r="BG3273" s="350"/>
      <c r="BH3273" s="350"/>
    </row>
    <row r="3274" spans="4:60">
      <c r="D3274" s="350"/>
      <c r="S3274" s="350"/>
      <c r="BF3274" s="350"/>
      <c r="BG3274" s="350"/>
      <c r="BH3274" s="350"/>
    </row>
    <row r="3275" spans="4:60">
      <c r="D3275" s="350"/>
      <c r="S3275" s="350"/>
      <c r="BF3275" s="350"/>
      <c r="BG3275" s="350"/>
      <c r="BH3275" s="350"/>
    </row>
    <row r="3276" spans="4:60">
      <c r="D3276" s="350"/>
      <c r="S3276" s="350"/>
      <c r="BF3276" s="350"/>
      <c r="BG3276" s="350"/>
      <c r="BH3276" s="350"/>
    </row>
    <row r="3277" spans="4:60">
      <c r="D3277" s="350"/>
      <c r="S3277" s="350"/>
      <c r="BF3277" s="350"/>
      <c r="BG3277" s="350"/>
      <c r="BH3277" s="350"/>
    </row>
    <row r="3278" spans="4:60">
      <c r="D3278" s="350"/>
      <c r="S3278" s="350"/>
      <c r="BF3278" s="350"/>
      <c r="BG3278" s="350"/>
      <c r="BH3278" s="350"/>
    </row>
    <row r="3279" spans="4:60">
      <c r="D3279" s="350"/>
      <c r="S3279" s="350"/>
      <c r="BF3279" s="350"/>
      <c r="BG3279" s="350"/>
      <c r="BH3279" s="350"/>
    </row>
    <row r="3280" spans="4:60">
      <c r="D3280" s="350"/>
      <c r="S3280" s="350"/>
      <c r="BF3280" s="350"/>
      <c r="BG3280" s="350"/>
      <c r="BH3280" s="350"/>
    </row>
    <row r="3281" spans="4:60">
      <c r="D3281" s="350"/>
      <c r="S3281" s="350"/>
      <c r="BF3281" s="350"/>
      <c r="BG3281" s="350"/>
      <c r="BH3281" s="350"/>
    </row>
    <row r="3282" spans="4:60">
      <c r="D3282" s="350"/>
      <c r="S3282" s="350"/>
      <c r="BF3282" s="350"/>
      <c r="BG3282" s="350"/>
      <c r="BH3282" s="350"/>
    </row>
    <row r="3283" spans="4:60">
      <c r="D3283" s="350"/>
      <c r="S3283" s="350"/>
      <c r="BF3283" s="350"/>
      <c r="BG3283" s="350"/>
      <c r="BH3283" s="350"/>
    </row>
    <row r="3284" spans="4:60">
      <c r="D3284" s="350"/>
      <c r="S3284" s="350"/>
      <c r="BF3284" s="350"/>
      <c r="BG3284" s="350"/>
      <c r="BH3284" s="350"/>
    </row>
    <row r="3285" spans="4:60">
      <c r="D3285" s="350"/>
      <c r="S3285" s="350"/>
      <c r="BF3285" s="350"/>
      <c r="BG3285" s="350"/>
      <c r="BH3285" s="350"/>
    </row>
    <row r="3286" spans="4:60">
      <c r="D3286" s="350"/>
      <c r="S3286" s="350"/>
      <c r="BF3286" s="350"/>
      <c r="BG3286" s="350"/>
      <c r="BH3286" s="350"/>
    </row>
    <row r="3287" spans="4:60">
      <c r="D3287" s="350"/>
      <c r="S3287" s="350"/>
      <c r="BF3287" s="350"/>
      <c r="BG3287" s="350"/>
      <c r="BH3287" s="350"/>
    </row>
    <row r="3288" spans="4:60">
      <c r="D3288" s="350"/>
      <c r="S3288" s="350"/>
      <c r="BF3288" s="350"/>
      <c r="BG3288" s="350"/>
      <c r="BH3288" s="350"/>
    </row>
    <row r="3289" spans="4:60">
      <c r="D3289" s="350"/>
      <c r="S3289" s="350"/>
      <c r="BF3289" s="350"/>
      <c r="BG3289" s="350"/>
      <c r="BH3289" s="350"/>
    </row>
    <row r="3290" spans="4:60">
      <c r="D3290" s="350"/>
      <c r="S3290" s="350"/>
      <c r="BF3290" s="350"/>
      <c r="BG3290" s="350"/>
      <c r="BH3290" s="350"/>
    </row>
    <row r="3291" spans="4:60">
      <c r="D3291" s="350"/>
      <c r="S3291" s="350"/>
      <c r="BF3291" s="350"/>
      <c r="BG3291" s="350"/>
      <c r="BH3291" s="350"/>
    </row>
    <row r="3292" spans="4:60">
      <c r="D3292" s="350"/>
      <c r="S3292" s="350"/>
      <c r="BF3292" s="350"/>
      <c r="BG3292" s="350"/>
      <c r="BH3292" s="350"/>
    </row>
    <row r="3293" spans="4:60">
      <c r="D3293" s="350"/>
      <c r="S3293" s="350"/>
      <c r="BF3293" s="350"/>
      <c r="BG3293" s="350"/>
      <c r="BH3293" s="350"/>
    </row>
    <row r="3294" spans="4:60">
      <c r="D3294" s="350"/>
      <c r="S3294" s="350"/>
      <c r="BF3294" s="350"/>
      <c r="BG3294" s="350"/>
      <c r="BH3294" s="350"/>
    </row>
    <row r="3295" spans="4:60">
      <c r="D3295" s="350"/>
      <c r="S3295" s="350"/>
      <c r="BF3295" s="350"/>
      <c r="BG3295" s="350"/>
      <c r="BH3295" s="350"/>
    </row>
    <row r="3296" spans="4:60">
      <c r="D3296" s="350"/>
      <c r="S3296" s="350"/>
      <c r="BF3296" s="350"/>
      <c r="BG3296" s="350"/>
      <c r="BH3296" s="350"/>
    </row>
    <row r="3297" spans="4:60">
      <c r="D3297" s="350"/>
      <c r="S3297" s="350"/>
      <c r="BF3297" s="350"/>
      <c r="BG3297" s="350"/>
      <c r="BH3297" s="350"/>
    </row>
    <row r="3298" spans="4:60">
      <c r="D3298" s="350"/>
      <c r="S3298" s="350"/>
      <c r="BF3298" s="350"/>
      <c r="BG3298" s="350"/>
      <c r="BH3298" s="350"/>
    </row>
    <row r="3299" spans="4:60">
      <c r="D3299" s="350"/>
      <c r="S3299" s="350"/>
      <c r="BF3299" s="350"/>
      <c r="BG3299" s="350"/>
      <c r="BH3299" s="350"/>
    </row>
    <row r="3300" spans="4:60">
      <c r="D3300" s="350"/>
      <c r="S3300" s="350"/>
      <c r="BF3300" s="350"/>
      <c r="BG3300" s="350"/>
      <c r="BH3300" s="350"/>
    </row>
    <row r="3301" spans="4:60">
      <c r="D3301" s="350"/>
      <c r="S3301" s="350"/>
      <c r="BF3301" s="350"/>
      <c r="BG3301" s="350"/>
      <c r="BH3301" s="350"/>
    </row>
    <row r="3302" spans="4:60">
      <c r="D3302" s="350"/>
      <c r="S3302" s="350"/>
      <c r="BF3302" s="350"/>
      <c r="BG3302" s="350"/>
      <c r="BH3302" s="350"/>
    </row>
    <row r="3303" spans="4:60">
      <c r="D3303" s="350"/>
      <c r="S3303" s="350"/>
      <c r="BF3303" s="350"/>
      <c r="BG3303" s="350"/>
      <c r="BH3303" s="350"/>
    </row>
    <row r="3304" spans="4:60">
      <c r="D3304" s="350"/>
      <c r="S3304" s="350"/>
      <c r="BF3304" s="350"/>
      <c r="BG3304" s="350"/>
      <c r="BH3304" s="350"/>
    </row>
    <row r="3305" spans="4:60">
      <c r="D3305" s="350"/>
      <c r="S3305" s="350"/>
      <c r="BF3305" s="350"/>
      <c r="BG3305" s="350"/>
      <c r="BH3305" s="350"/>
    </row>
    <row r="3306" spans="4:60">
      <c r="D3306" s="350"/>
      <c r="S3306" s="350"/>
      <c r="BF3306" s="350"/>
      <c r="BG3306" s="350"/>
      <c r="BH3306" s="350"/>
    </row>
    <row r="3307" spans="4:60">
      <c r="D3307" s="350"/>
      <c r="S3307" s="350"/>
      <c r="BF3307" s="350"/>
      <c r="BG3307" s="350"/>
      <c r="BH3307" s="350"/>
    </row>
    <row r="3308" spans="4:60">
      <c r="D3308" s="350"/>
      <c r="S3308" s="350"/>
      <c r="BF3308" s="350"/>
      <c r="BG3308" s="350"/>
      <c r="BH3308" s="350"/>
    </row>
    <row r="3309" spans="4:60">
      <c r="D3309" s="350"/>
      <c r="S3309" s="350"/>
      <c r="BF3309" s="350"/>
      <c r="BG3309" s="350"/>
      <c r="BH3309" s="350"/>
    </row>
    <row r="3310" spans="4:60">
      <c r="D3310" s="350"/>
      <c r="S3310" s="350"/>
      <c r="BF3310" s="350"/>
      <c r="BG3310" s="350"/>
      <c r="BH3310" s="350"/>
    </row>
    <row r="3311" spans="4:60">
      <c r="D3311" s="350"/>
      <c r="S3311" s="350"/>
      <c r="BF3311" s="350"/>
      <c r="BG3311" s="350"/>
      <c r="BH3311" s="350"/>
    </row>
    <row r="3312" spans="4:60">
      <c r="D3312" s="350"/>
      <c r="S3312" s="350"/>
      <c r="BF3312" s="350"/>
      <c r="BG3312" s="350"/>
      <c r="BH3312" s="350"/>
    </row>
    <row r="3313" spans="4:60">
      <c r="D3313" s="350"/>
      <c r="S3313" s="350"/>
      <c r="BF3313" s="350"/>
      <c r="BG3313" s="350"/>
      <c r="BH3313" s="350"/>
    </row>
    <row r="3314" spans="4:60">
      <c r="D3314" s="350"/>
      <c r="S3314" s="350"/>
      <c r="BF3314" s="350"/>
      <c r="BG3314" s="350"/>
      <c r="BH3314" s="350"/>
    </row>
    <row r="3315" spans="4:60">
      <c r="D3315" s="350"/>
      <c r="S3315" s="350"/>
      <c r="BF3315" s="350"/>
      <c r="BG3315" s="350"/>
      <c r="BH3315" s="350"/>
    </row>
    <row r="3316" spans="4:60">
      <c r="D3316" s="350"/>
      <c r="S3316" s="350"/>
      <c r="BF3316" s="350"/>
      <c r="BG3316" s="350"/>
      <c r="BH3316" s="350"/>
    </row>
    <row r="3317" spans="4:60">
      <c r="D3317" s="350"/>
      <c r="S3317" s="350"/>
      <c r="BF3317" s="350"/>
      <c r="BG3317" s="350"/>
      <c r="BH3317" s="350"/>
    </row>
    <row r="3318" spans="4:60">
      <c r="D3318" s="350"/>
      <c r="S3318" s="350"/>
      <c r="BF3318" s="350"/>
      <c r="BG3318" s="350"/>
      <c r="BH3318" s="350"/>
    </row>
    <row r="3321" spans="4:60">
      <c r="D3321" s="350"/>
      <c r="S3321" s="350"/>
      <c r="BF3321" s="350"/>
      <c r="BG3321" s="350"/>
      <c r="BH3321" s="350"/>
    </row>
    <row r="3322" spans="4:60">
      <c r="D3322" s="350"/>
      <c r="S3322" s="350"/>
      <c r="BF3322" s="350"/>
      <c r="BG3322" s="350"/>
      <c r="BH3322" s="350"/>
    </row>
    <row r="3323" spans="4:60">
      <c r="D3323" s="350"/>
      <c r="S3323" s="350"/>
      <c r="BF3323" s="350"/>
      <c r="BG3323" s="350"/>
      <c r="BH3323" s="350"/>
    </row>
    <row r="3324" spans="4:60">
      <c r="D3324" s="350"/>
      <c r="S3324" s="350"/>
      <c r="BF3324" s="350"/>
      <c r="BG3324" s="350"/>
      <c r="BH3324" s="350"/>
    </row>
    <row r="3325" spans="4:60">
      <c r="D3325" s="350"/>
      <c r="S3325" s="350"/>
      <c r="BF3325" s="350"/>
      <c r="BG3325" s="350"/>
      <c r="BH3325" s="350"/>
    </row>
    <row r="3326" spans="4:60">
      <c r="D3326" s="350"/>
      <c r="S3326" s="350"/>
      <c r="BF3326" s="350"/>
      <c r="BG3326" s="350"/>
      <c r="BH3326" s="350"/>
    </row>
    <row r="3327" spans="4:60">
      <c r="D3327" s="350"/>
      <c r="S3327" s="350"/>
      <c r="BF3327" s="350"/>
      <c r="BG3327" s="350"/>
      <c r="BH3327" s="350"/>
    </row>
    <row r="3328" spans="4:60">
      <c r="D3328" s="350"/>
      <c r="S3328" s="350"/>
      <c r="BF3328" s="350"/>
      <c r="BG3328" s="350"/>
      <c r="BH3328" s="350"/>
    </row>
    <row r="3329" spans="4:60">
      <c r="D3329" s="350"/>
      <c r="S3329" s="350"/>
      <c r="BF3329" s="350"/>
      <c r="BG3329" s="350"/>
      <c r="BH3329" s="350"/>
    </row>
    <row r="3330" spans="4:60">
      <c r="D3330" s="350"/>
      <c r="S3330" s="350"/>
      <c r="BF3330" s="350"/>
      <c r="BG3330" s="350"/>
      <c r="BH3330" s="350"/>
    </row>
    <row r="3331" spans="4:60">
      <c r="D3331" s="350"/>
      <c r="S3331" s="350"/>
      <c r="BF3331" s="350"/>
      <c r="BG3331" s="350"/>
      <c r="BH3331" s="350"/>
    </row>
    <row r="3332" spans="4:60">
      <c r="D3332" s="350"/>
      <c r="S3332" s="350"/>
      <c r="BF3332" s="350"/>
      <c r="BG3332" s="350"/>
      <c r="BH3332" s="350"/>
    </row>
    <row r="3333" spans="4:60">
      <c r="D3333" s="350"/>
      <c r="S3333" s="350"/>
      <c r="BF3333" s="350"/>
      <c r="BG3333" s="350"/>
      <c r="BH3333" s="350"/>
    </row>
    <row r="3334" spans="4:60">
      <c r="D3334" s="350"/>
      <c r="S3334" s="350"/>
      <c r="BF3334" s="350"/>
      <c r="BG3334" s="350"/>
      <c r="BH3334" s="350"/>
    </row>
    <row r="3335" spans="4:60">
      <c r="D3335" s="350"/>
      <c r="S3335" s="350"/>
      <c r="BF3335" s="350"/>
      <c r="BG3335" s="350"/>
      <c r="BH3335" s="350"/>
    </row>
    <row r="3336" spans="4:60">
      <c r="D3336" s="350"/>
      <c r="S3336" s="350"/>
      <c r="BF3336" s="350"/>
      <c r="BG3336" s="350"/>
      <c r="BH3336" s="350"/>
    </row>
    <row r="3337" spans="4:60">
      <c r="D3337" s="350"/>
      <c r="S3337" s="350"/>
      <c r="BF3337" s="350"/>
      <c r="BG3337" s="350"/>
      <c r="BH3337" s="350"/>
    </row>
    <row r="3338" spans="4:60">
      <c r="D3338" s="350"/>
      <c r="S3338" s="350"/>
      <c r="BF3338" s="350"/>
      <c r="BG3338" s="350"/>
      <c r="BH3338" s="350"/>
    </row>
    <row r="3339" spans="4:60">
      <c r="D3339" s="350"/>
      <c r="S3339" s="350"/>
      <c r="BF3339" s="350"/>
      <c r="BG3339" s="350"/>
      <c r="BH3339" s="350"/>
    </row>
    <row r="3340" spans="4:60">
      <c r="D3340" s="350"/>
      <c r="S3340" s="350"/>
      <c r="BF3340" s="350"/>
      <c r="BG3340" s="350"/>
      <c r="BH3340" s="350"/>
    </row>
    <row r="3341" spans="4:60">
      <c r="D3341" s="350"/>
      <c r="S3341" s="350"/>
      <c r="BF3341" s="350"/>
      <c r="BG3341" s="350"/>
      <c r="BH3341" s="350"/>
    </row>
    <row r="3342" spans="4:60">
      <c r="D3342" s="350"/>
      <c r="S3342" s="350"/>
      <c r="BF3342" s="350"/>
      <c r="BG3342" s="350"/>
      <c r="BH3342" s="350"/>
    </row>
    <row r="3343" spans="4:60">
      <c r="D3343" s="350"/>
      <c r="S3343" s="350"/>
      <c r="BF3343" s="350"/>
      <c r="BG3343" s="350"/>
      <c r="BH3343" s="350"/>
    </row>
    <row r="3344" spans="4:60">
      <c r="D3344" s="350"/>
      <c r="S3344" s="350"/>
      <c r="BF3344" s="350"/>
      <c r="BG3344" s="350"/>
      <c r="BH3344" s="350"/>
    </row>
    <row r="3345" spans="4:60">
      <c r="D3345" s="350"/>
      <c r="S3345" s="350"/>
      <c r="BF3345" s="350"/>
      <c r="BG3345" s="350"/>
      <c r="BH3345" s="350"/>
    </row>
    <row r="3347" spans="4:60">
      <c r="D3347" s="350"/>
      <c r="S3347" s="350"/>
      <c r="BF3347" s="350"/>
      <c r="BG3347" s="350"/>
      <c r="BH3347" s="350"/>
    </row>
    <row r="3348" spans="4:60">
      <c r="D3348" s="350"/>
      <c r="S3348" s="350"/>
      <c r="BF3348" s="350"/>
      <c r="BG3348" s="350"/>
      <c r="BH3348" s="350"/>
    </row>
    <row r="3349" spans="4:60">
      <c r="D3349" s="350"/>
      <c r="S3349" s="350"/>
      <c r="BF3349" s="350"/>
      <c r="BG3349" s="350"/>
      <c r="BH3349" s="350"/>
    </row>
    <row r="3350" spans="4:60">
      <c r="D3350" s="350"/>
      <c r="S3350" s="350"/>
      <c r="BF3350" s="350"/>
      <c r="BG3350" s="350"/>
      <c r="BH3350" s="350"/>
    </row>
    <row r="3352" spans="4:60">
      <c r="D3352" s="350"/>
      <c r="S3352" s="350"/>
      <c r="BF3352" s="350"/>
      <c r="BG3352" s="350"/>
      <c r="BH3352" s="350"/>
    </row>
    <row r="3353" spans="4:60">
      <c r="D3353" s="350"/>
      <c r="S3353" s="350"/>
      <c r="BF3353" s="350"/>
      <c r="BG3353" s="350"/>
      <c r="BH3353" s="350"/>
    </row>
    <row r="3354" spans="4:60">
      <c r="D3354" s="350"/>
      <c r="S3354" s="350"/>
      <c r="BF3354" s="350"/>
      <c r="BG3354" s="350"/>
      <c r="BH3354" s="350"/>
    </row>
    <row r="3355" spans="4:60">
      <c r="D3355" s="350"/>
      <c r="S3355" s="350"/>
      <c r="BF3355" s="350"/>
      <c r="BG3355" s="350"/>
      <c r="BH3355" s="350"/>
    </row>
    <row r="3356" spans="4:60">
      <c r="D3356" s="350"/>
      <c r="S3356" s="350"/>
      <c r="BF3356" s="350"/>
      <c r="BG3356" s="350"/>
      <c r="BH3356" s="350"/>
    </row>
    <row r="3357" spans="4:60">
      <c r="D3357" s="350"/>
      <c r="S3357" s="350"/>
      <c r="BF3357" s="350"/>
      <c r="BG3357" s="350"/>
      <c r="BH3357" s="350"/>
    </row>
    <row r="3358" spans="4:60">
      <c r="D3358" s="350"/>
      <c r="S3358" s="350"/>
      <c r="BF3358" s="350"/>
      <c r="BG3358" s="350"/>
      <c r="BH3358" s="350"/>
    </row>
    <row r="3359" spans="4:60">
      <c r="D3359" s="350"/>
      <c r="S3359" s="350"/>
      <c r="BF3359" s="350"/>
      <c r="BG3359" s="350"/>
      <c r="BH3359" s="350"/>
    </row>
    <row r="3360" spans="4:60">
      <c r="D3360" s="350"/>
      <c r="S3360" s="350"/>
      <c r="BF3360" s="350"/>
      <c r="BG3360" s="350"/>
      <c r="BH3360" s="350"/>
    </row>
    <row r="3361" spans="4:60">
      <c r="D3361" s="350"/>
      <c r="S3361" s="350"/>
      <c r="BF3361" s="350"/>
      <c r="BG3361" s="350"/>
      <c r="BH3361" s="350"/>
    </row>
    <row r="3362" spans="4:60">
      <c r="D3362" s="350"/>
      <c r="S3362" s="350"/>
      <c r="BF3362" s="350"/>
      <c r="BG3362" s="350"/>
      <c r="BH3362" s="350"/>
    </row>
    <row r="3363" spans="4:60">
      <c r="D3363" s="350"/>
      <c r="S3363" s="350"/>
      <c r="BF3363" s="350"/>
      <c r="BG3363" s="350"/>
      <c r="BH3363" s="350"/>
    </row>
    <row r="3364" spans="4:60">
      <c r="D3364" s="350"/>
      <c r="S3364" s="350"/>
      <c r="BF3364" s="350"/>
      <c r="BG3364" s="350"/>
      <c r="BH3364" s="350"/>
    </row>
    <row r="3365" spans="4:60">
      <c r="D3365" s="350"/>
      <c r="S3365" s="350"/>
      <c r="BF3365" s="350"/>
      <c r="BG3365" s="350"/>
      <c r="BH3365" s="350"/>
    </row>
    <row r="3366" spans="4:60">
      <c r="D3366" s="350"/>
      <c r="S3366" s="350"/>
      <c r="BF3366" s="350"/>
      <c r="BG3366" s="350"/>
      <c r="BH3366" s="350"/>
    </row>
    <row r="3367" spans="4:60">
      <c r="D3367" s="350"/>
      <c r="S3367" s="350"/>
      <c r="BF3367" s="350"/>
      <c r="BG3367" s="350"/>
      <c r="BH3367" s="350"/>
    </row>
    <row r="3368" spans="4:60">
      <c r="D3368" s="350"/>
      <c r="S3368" s="350"/>
      <c r="BF3368" s="350"/>
      <c r="BG3368" s="350"/>
      <c r="BH3368" s="350"/>
    </row>
    <row r="3369" spans="4:60">
      <c r="D3369" s="350"/>
      <c r="S3369" s="350"/>
      <c r="BF3369" s="350"/>
      <c r="BG3369" s="350"/>
      <c r="BH3369" s="350"/>
    </row>
    <row r="3370" spans="4:60">
      <c r="D3370" s="350"/>
      <c r="S3370" s="350"/>
      <c r="BF3370" s="350"/>
      <c r="BG3370" s="350"/>
      <c r="BH3370" s="350"/>
    </row>
    <row r="3371" spans="4:60">
      <c r="D3371" s="350"/>
      <c r="S3371" s="350"/>
      <c r="BF3371" s="350"/>
      <c r="BG3371" s="350"/>
      <c r="BH3371" s="350"/>
    </row>
    <row r="3372" spans="4:60">
      <c r="D3372" s="350"/>
      <c r="S3372" s="350"/>
      <c r="BF3372" s="350"/>
      <c r="BG3372" s="350"/>
      <c r="BH3372" s="350"/>
    </row>
    <row r="3373" spans="4:60">
      <c r="D3373" s="350"/>
      <c r="S3373" s="350"/>
      <c r="BF3373" s="350"/>
      <c r="BG3373" s="350"/>
      <c r="BH3373" s="350"/>
    </row>
    <row r="3374" spans="4:60">
      <c r="D3374" s="350"/>
      <c r="S3374" s="350"/>
      <c r="BF3374" s="350"/>
      <c r="BG3374" s="350"/>
      <c r="BH3374" s="350"/>
    </row>
    <row r="3375" spans="4:60">
      <c r="D3375" s="350"/>
      <c r="S3375" s="350"/>
      <c r="BF3375" s="350"/>
      <c r="BG3375" s="350"/>
      <c r="BH3375" s="350"/>
    </row>
    <row r="3376" spans="4:60">
      <c r="D3376" s="350"/>
      <c r="S3376" s="350"/>
      <c r="BF3376" s="350"/>
      <c r="BG3376" s="350"/>
      <c r="BH3376" s="350"/>
    </row>
    <row r="3377" spans="4:60">
      <c r="D3377" s="350"/>
      <c r="S3377" s="350"/>
      <c r="BF3377" s="350"/>
      <c r="BG3377" s="350"/>
      <c r="BH3377" s="350"/>
    </row>
    <row r="3378" spans="4:60">
      <c r="D3378" s="350"/>
      <c r="S3378" s="350"/>
      <c r="BF3378" s="350"/>
      <c r="BG3378" s="350"/>
      <c r="BH3378" s="350"/>
    </row>
    <row r="3379" spans="4:60">
      <c r="D3379" s="350"/>
      <c r="S3379" s="350"/>
      <c r="BF3379" s="350"/>
      <c r="BG3379" s="350"/>
      <c r="BH3379" s="350"/>
    </row>
    <row r="3380" spans="4:60">
      <c r="D3380" s="350"/>
      <c r="S3380" s="350"/>
      <c r="BF3380" s="350"/>
      <c r="BG3380" s="350"/>
      <c r="BH3380" s="350"/>
    </row>
    <row r="3381" spans="4:60">
      <c r="D3381" s="350"/>
      <c r="S3381" s="350"/>
      <c r="BF3381" s="350"/>
      <c r="BG3381" s="350"/>
      <c r="BH3381" s="350"/>
    </row>
    <row r="3382" spans="4:60">
      <c r="D3382" s="350"/>
      <c r="S3382" s="350"/>
      <c r="BF3382" s="350"/>
      <c r="BG3382" s="350"/>
      <c r="BH3382" s="350"/>
    </row>
    <row r="3383" spans="4:60">
      <c r="D3383" s="350"/>
      <c r="S3383" s="350"/>
      <c r="BF3383" s="350"/>
      <c r="BG3383" s="350"/>
      <c r="BH3383" s="350"/>
    </row>
    <row r="3384" spans="4:60">
      <c r="D3384" s="350"/>
      <c r="S3384" s="350"/>
      <c r="BF3384" s="350"/>
      <c r="BG3384" s="350"/>
      <c r="BH3384" s="350"/>
    </row>
    <row r="3385" spans="4:60">
      <c r="D3385" s="350"/>
      <c r="S3385" s="350"/>
      <c r="BF3385" s="350"/>
      <c r="BG3385" s="350"/>
      <c r="BH3385" s="350"/>
    </row>
    <row r="3386" spans="4:60">
      <c r="D3386" s="350"/>
      <c r="S3386" s="350"/>
      <c r="BF3386" s="350"/>
      <c r="BG3386" s="350"/>
      <c r="BH3386" s="350"/>
    </row>
    <row r="3387" spans="4:60">
      <c r="D3387" s="350"/>
      <c r="S3387" s="350"/>
      <c r="BF3387" s="350"/>
      <c r="BG3387" s="350"/>
      <c r="BH3387" s="350"/>
    </row>
    <row r="3388" spans="4:60">
      <c r="D3388" s="350"/>
      <c r="S3388" s="350"/>
      <c r="BF3388" s="350"/>
      <c r="BG3388" s="350"/>
      <c r="BH3388" s="350"/>
    </row>
    <row r="3389" spans="4:60">
      <c r="D3389" s="350"/>
      <c r="S3389" s="350"/>
      <c r="BF3389" s="350"/>
      <c r="BG3389" s="350"/>
      <c r="BH3389" s="350"/>
    </row>
    <row r="3390" spans="4:60">
      <c r="D3390" s="350"/>
      <c r="S3390" s="350"/>
      <c r="BF3390" s="350"/>
      <c r="BG3390" s="350"/>
      <c r="BH3390" s="350"/>
    </row>
    <row r="3391" spans="4:60">
      <c r="D3391" s="350"/>
      <c r="S3391" s="350"/>
      <c r="BF3391" s="350"/>
      <c r="BG3391" s="350"/>
      <c r="BH3391" s="350"/>
    </row>
    <row r="3392" spans="4:60">
      <c r="D3392" s="350"/>
      <c r="S3392" s="350"/>
      <c r="BF3392" s="350"/>
      <c r="BG3392" s="350"/>
      <c r="BH3392" s="350"/>
    </row>
    <row r="3393" spans="4:60">
      <c r="D3393" s="350"/>
      <c r="S3393" s="350"/>
      <c r="BF3393" s="350"/>
      <c r="BG3393" s="350"/>
      <c r="BH3393" s="350"/>
    </row>
    <row r="3394" spans="4:60">
      <c r="D3394" s="350"/>
      <c r="S3394" s="350"/>
      <c r="BF3394" s="350"/>
      <c r="BG3394" s="350"/>
      <c r="BH3394" s="350"/>
    </row>
    <row r="3395" spans="4:60">
      <c r="D3395" s="350"/>
      <c r="S3395" s="350"/>
      <c r="BF3395" s="350"/>
      <c r="BG3395" s="350"/>
      <c r="BH3395" s="350"/>
    </row>
    <row r="3396" spans="4:60">
      <c r="D3396" s="350"/>
      <c r="S3396" s="350"/>
      <c r="BF3396" s="350"/>
      <c r="BG3396" s="350"/>
      <c r="BH3396" s="350"/>
    </row>
    <row r="3397" spans="4:60">
      <c r="D3397" s="350"/>
      <c r="S3397" s="350"/>
      <c r="BF3397" s="350"/>
      <c r="BG3397" s="350"/>
      <c r="BH3397" s="350"/>
    </row>
    <row r="3398" spans="4:60">
      <c r="D3398" s="350"/>
      <c r="S3398" s="350"/>
      <c r="BF3398" s="350"/>
      <c r="BG3398" s="350"/>
      <c r="BH3398" s="350"/>
    </row>
    <row r="3399" spans="4:60">
      <c r="D3399" s="350"/>
      <c r="S3399" s="350"/>
      <c r="BF3399" s="350"/>
      <c r="BG3399" s="350"/>
      <c r="BH3399" s="350"/>
    </row>
    <row r="3400" spans="4:60">
      <c r="D3400" s="350"/>
      <c r="S3400" s="350"/>
      <c r="BF3400" s="350"/>
      <c r="BG3400" s="350"/>
      <c r="BH3400" s="350"/>
    </row>
    <row r="3401" spans="4:60">
      <c r="D3401" s="350"/>
      <c r="S3401" s="350"/>
      <c r="BF3401" s="350"/>
      <c r="BG3401" s="350"/>
      <c r="BH3401" s="350"/>
    </row>
    <row r="3402" spans="4:60">
      <c r="D3402" s="350"/>
      <c r="S3402" s="350"/>
      <c r="BF3402" s="350"/>
      <c r="BG3402" s="350"/>
      <c r="BH3402" s="350"/>
    </row>
    <row r="3403" spans="4:60">
      <c r="D3403" s="350"/>
      <c r="S3403" s="350"/>
      <c r="BF3403" s="350"/>
      <c r="BG3403" s="350"/>
      <c r="BH3403" s="350"/>
    </row>
    <row r="3404" spans="4:60">
      <c r="D3404" s="350"/>
      <c r="S3404" s="350"/>
      <c r="BF3404" s="350"/>
      <c r="BG3404" s="350"/>
      <c r="BH3404" s="350"/>
    </row>
    <row r="3405" spans="4:60">
      <c r="D3405" s="350"/>
      <c r="S3405" s="350"/>
      <c r="BF3405" s="350"/>
      <c r="BG3405" s="350"/>
      <c r="BH3405" s="350"/>
    </row>
    <row r="3406" spans="4:60">
      <c r="D3406" s="350"/>
      <c r="S3406" s="350"/>
      <c r="BF3406" s="350"/>
      <c r="BG3406" s="350"/>
      <c r="BH3406" s="350"/>
    </row>
    <row r="3407" spans="4:60">
      <c r="D3407" s="350"/>
      <c r="S3407" s="350"/>
      <c r="BF3407" s="350"/>
      <c r="BG3407" s="350"/>
      <c r="BH3407" s="350"/>
    </row>
    <row r="3408" spans="4:60">
      <c r="D3408" s="350"/>
      <c r="S3408" s="350"/>
      <c r="BF3408" s="350"/>
      <c r="BG3408" s="350"/>
      <c r="BH3408" s="350"/>
    </row>
    <row r="3409" spans="4:60">
      <c r="D3409" s="350"/>
      <c r="S3409" s="350"/>
      <c r="BF3409" s="350"/>
      <c r="BG3409" s="350"/>
      <c r="BH3409" s="350"/>
    </row>
    <row r="3410" spans="4:60">
      <c r="D3410" s="350"/>
      <c r="S3410" s="350"/>
      <c r="BF3410" s="350"/>
      <c r="BG3410" s="350"/>
      <c r="BH3410" s="350"/>
    </row>
    <row r="3411" spans="4:60">
      <c r="D3411" s="350"/>
      <c r="S3411" s="350"/>
      <c r="BF3411" s="350"/>
      <c r="BG3411" s="350"/>
      <c r="BH3411" s="350"/>
    </row>
    <row r="3412" spans="4:60">
      <c r="D3412" s="350"/>
      <c r="S3412" s="350"/>
      <c r="BF3412" s="350"/>
      <c r="BG3412" s="350"/>
      <c r="BH3412" s="350"/>
    </row>
    <row r="3413" spans="4:60">
      <c r="D3413" s="350"/>
      <c r="S3413" s="350"/>
      <c r="BF3413" s="350"/>
      <c r="BG3413" s="350"/>
      <c r="BH3413" s="350"/>
    </row>
    <row r="3414" spans="4:60">
      <c r="D3414" s="350"/>
      <c r="S3414" s="350"/>
      <c r="BF3414" s="350"/>
      <c r="BG3414" s="350"/>
      <c r="BH3414" s="350"/>
    </row>
    <row r="3415" spans="4:60">
      <c r="D3415" s="350"/>
      <c r="S3415" s="350"/>
      <c r="BF3415" s="350"/>
      <c r="BG3415" s="350"/>
      <c r="BH3415" s="350"/>
    </row>
    <row r="3416" spans="4:60">
      <c r="D3416" s="350"/>
      <c r="S3416" s="350"/>
      <c r="BF3416" s="350"/>
      <c r="BG3416" s="350"/>
      <c r="BH3416" s="350"/>
    </row>
    <row r="3417" spans="4:60">
      <c r="D3417" s="350"/>
      <c r="S3417" s="350"/>
      <c r="BF3417" s="350"/>
      <c r="BG3417" s="350"/>
      <c r="BH3417" s="350"/>
    </row>
    <row r="3418" spans="4:60">
      <c r="D3418" s="350"/>
      <c r="S3418" s="350"/>
      <c r="BF3418" s="350"/>
      <c r="BG3418" s="350"/>
      <c r="BH3418" s="350"/>
    </row>
    <row r="3419" spans="4:60">
      <c r="D3419" s="350"/>
      <c r="S3419" s="350"/>
      <c r="BF3419" s="350"/>
      <c r="BG3419" s="350"/>
      <c r="BH3419" s="350"/>
    </row>
    <row r="3420" spans="4:60">
      <c r="D3420" s="350"/>
      <c r="S3420" s="350"/>
      <c r="BF3420" s="350"/>
      <c r="BG3420" s="350"/>
      <c r="BH3420" s="350"/>
    </row>
    <row r="3421" spans="4:60">
      <c r="D3421" s="350"/>
      <c r="S3421" s="350"/>
      <c r="BF3421" s="350"/>
      <c r="BG3421" s="350"/>
      <c r="BH3421" s="350"/>
    </row>
    <row r="3422" spans="4:60">
      <c r="D3422" s="350"/>
      <c r="S3422" s="350"/>
      <c r="BF3422" s="350"/>
      <c r="BG3422" s="350"/>
      <c r="BH3422" s="350"/>
    </row>
    <row r="3423" spans="4:60">
      <c r="D3423" s="350"/>
      <c r="S3423" s="350"/>
      <c r="BF3423" s="350"/>
      <c r="BG3423" s="350"/>
      <c r="BH3423" s="350"/>
    </row>
    <row r="3424" spans="4:60">
      <c r="D3424" s="350"/>
      <c r="S3424" s="350"/>
      <c r="BF3424" s="350"/>
      <c r="BG3424" s="350"/>
      <c r="BH3424" s="350"/>
    </row>
    <row r="3425" spans="4:60">
      <c r="D3425" s="350"/>
      <c r="S3425" s="350"/>
      <c r="BF3425" s="350"/>
      <c r="BG3425" s="350"/>
      <c r="BH3425" s="350"/>
    </row>
    <row r="3426" spans="4:60">
      <c r="D3426" s="350"/>
      <c r="S3426" s="350"/>
      <c r="BF3426" s="350"/>
      <c r="BG3426" s="350"/>
      <c r="BH3426" s="350"/>
    </row>
    <row r="3427" spans="4:60">
      <c r="D3427" s="350"/>
      <c r="S3427" s="350"/>
      <c r="BF3427" s="350"/>
      <c r="BG3427" s="350"/>
      <c r="BH3427" s="350"/>
    </row>
    <row r="3428" spans="4:60">
      <c r="D3428" s="350"/>
      <c r="S3428" s="350"/>
      <c r="BF3428" s="350"/>
      <c r="BG3428" s="350"/>
      <c r="BH3428" s="350"/>
    </row>
    <row r="3429" spans="4:60">
      <c r="D3429" s="350"/>
      <c r="S3429" s="350"/>
      <c r="BF3429" s="350"/>
      <c r="BG3429" s="350"/>
      <c r="BH3429" s="350"/>
    </row>
    <row r="3430" spans="4:60">
      <c r="D3430" s="350"/>
      <c r="S3430" s="350"/>
      <c r="BF3430" s="350"/>
      <c r="BG3430" s="350"/>
      <c r="BH3430" s="350"/>
    </row>
    <row r="3431" spans="4:60">
      <c r="D3431" s="350"/>
      <c r="S3431" s="350"/>
      <c r="BF3431" s="350"/>
      <c r="BG3431" s="350"/>
      <c r="BH3431" s="350"/>
    </row>
    <row r="3432" spans="4:60">
      <c r="D3432" s="350"/>
      <c r="S3432" s="350"/>
      <c r="BF3432" s="350"/>
      <c r="BG3432" s="350"/>
      <c r="BH3432" s="350"/>
    </row>
    <row r="3433" spans="4:60">
      <c r="D3433" s="350"/>
      <c r="S3433" s="350"/>
      <c r="BF3433" s="350"/>
      <c r="BG3433" s="350"/>
      <c r="BH3433" s="350"/>
    </row>
    <row r="3434" spans="4:60">
      <c r="D3434" s="350"/>
      <c r="S3434" s="350"/>
      <c r="BF3434" s="350"/>
      <c r="BG3434" s="350"/>
      <c r="BH3434" s="350"/>
    </row>
    <row r="3435" spans="4:60">
      <c r="D3435" s="350"/>
      <c r="S3435" s="350"/>
      <c r="BF3435" s="350"/>
      <c r="BG3435" s="350"/>
      <c r="BH3435" s="350"/>
    </row>
    <row r="3436" spans="4:60">
      <c r="D3436" s="350"/>
      <c r="S3436" s="350"/>
      <c r="BF3436" s="350"/>
      <c r="BG3436" s="350"/>
      <c r="BH3436" s="350"/>
    </row>
    <row r="3437" spans="4:60">
      <c r="D3437" s="350"/>
      <c r="S3437" s="350"/>
      <c r="BF3437" s="350"/>
      <c r="BG3437" s="350"/>
      <c r="BH3437" s="350"/>
    </row>
    <row r="3438" spans="4:60">
      <c r="D3438" s="350"/>
      <c r="S3438" s="350"/>
      <c r="BF3438" s="350"/>
      <c r="BG3438" s="350"/>
      <c r="BH3438" s="350"/>
    </row>
    <row r="3439" spans="4:60">
      <c r="D3439" s="350"/>
      <c r="S3439" s="350"/>
      <c r="BF3439" s="350"/>
      <c r="BG3439" s="350"/>
      <c r="BH3439" s="350"/>
    </row>
    <row r="3440" spans="4:60">
      <c r="D3440" s="350"/>
      <c r="S3440" s="350"/>
      <c r="BF3440" s="350"/>
      <c r="BG3440" s="350"/>
      <c r="BH3440" s="350"/>
    </row>
    <row r="3441" spans="4:60">
      <c r="D3441" s="350"/>
      <c r="S3441" s="350"/>
      <c r="BF3441" s="350"/>
      <c r="BG3441" s="350"/>
      <c r="BH3441" s="350"/>
    </row>
    <row r="3442" spans="4:60">
      <c r="D3442" s="350"/>
      <c r="S3442" s="350"/>
      <c r="BF3442" s="350"/>
      <c r="BG3442" s="350"/>
      <c r="BH3442" s="350"/>
    </row>
    <row r="3443" spans="4:60">
      <c r="D3443" s="350"/>
      <c r="S3443" s="350"/>
      <c r="BF3443" s="350"/>
      <c r="BG3443" s="350"/>
      <c r="BH3443" s="350"/>
    </row>
    <row r="3444" spans="4:60">
      <c r="D3444" s="350"/>
      <c r="S3444" s="350"/>
      <c r="BF3444" s="350"/>
      <c r="BG3444" s="350"/>
      <c r="BH3444" s="350"/>
    </row>
    <row r="3445" spans="4:60">
      <c r="D3445" s="350"/>
      <c r="S3445" s="350"/>
      <c r="BF3445" s="350"/>
      <c r="BG3445" s="350"/>
      <c r="BH3445" s="350"/>
    </row>
    <row r="3446" spans="4:60">
      <c r="D3446" s="350"/>
      <c r="S3446" s="350"/>
      <c r="BF3446" s="350"/>
      <c r="BG3446" s="350"/>
      <c r="BH3446" s="350"/>
    </row>
    <row r="3447" spans="4:60">
      <c r="D3447" s="350"/>
      <c r="S3447" s="350"/>
      <c r="BF3447" s="350"/>
      <c r="BG3447" s="350"/>
      <c r="BH3447" s="350"/>
    </row>
    <row r="3448" spans="4:60">
      <c r="D3448" s="350"/>
      <c r="S3448" s="350"/>
      <c r="BF3448" s="350"/>
      <c r="BG3448" s="350"/>
      <c r="BH3448" s="350"/>
    </row>
    <row r="3449" spans="4:60">
      <c r="D3449" s="350"/>
      <c r="S3449" s="350"/>
      <c r="BF3449" s="350"/>
      <c r="BG3449" s="350"/>
      <c r="BH3449" s="350"/>
    </row>
    <row r="3450" spans="4:60">
      <c r="D3450" s="350"/>
      <c r="S3450" s="350"/>
      <c r="BF3450" s="350"/>
      <c r="BG3450" s="350"/>
      <c r="BH3450" s="350"/>
    </row>
    <row r="3451" spans="4:60">
      <c r="D3451" s="350"/>
      <c r="S3451" s="350"/>
      <c r="BF3451" s="350"/>
      <c r="BG3451" s="350"/>
      <c r="BH3451" s="350"/>
    </row>
    <row r="3452" spans="4:60">
      <c r="D3452" s="350"/>
      <c r="S3452" s="350"/>
      <c r="BF3452" s="350"/>
      <c r="BG3452" s="350"/>
      <c r="BH3452" s="350"/>
    </row>
    <row r="3453" spans="4:60">
      <c r="D3453" s="350"/>
      <c r="S3453" s="350"/>
      <c r="BF3453" s="350"/>
      <c r="BG3453" s="350"/>
      <c r="BH3453" s="350"/>
    </row>
    <row r="3454" spans="4:60">
      <c r="D3454" s="350"/>
      <c r="S3454" s="350"/>
      <c r="BF3454" s="350"/>
      <c r="BG3454" s="350"/>
      <c r="BH3454" s="350"/>
    </row>
    <row r="3455" spans="4:60">
      <c r="D3455" s="350"/>
      <c r="S3455" s="350"/>
      <c r="BF3455" s="350"/>
      <c r="BG3455" s="350"/>
      <c r="BH3455" s="350"/>
    </row>
    <row r="3456" spans="4:60">
      <c r="D3456" s="350"/>
      <c r="S3456" s="350"/>
      <c r="BF3456" s="350"/>
      <c r="BG3456" s="350"/>
      <c r="BH3456" s="350"/>
    </row>
    <row r="3457" spans="4:60">
      <c r="D3457" s="350"/>
      <c r="S3457" s="350"/>
      <c r="BF3457" s="350"/>
      <c r="BG3457" s="350"/>
      <c r="BH3457" s="350"/>
    </row>
    <row r="3458" spans="4:60">
      <c r="D3458" s="350"/>
      <c r="S3458" s="350"/>
      <c r="BF3458" s="350"/>
      <c r="BG3458" s="350"/>
      <c r="BH3458" s="350"/>
    </row>
    <row r="3459" spans="4:60">
      <c r="D3459" s="350"/>
      <c r="S3459" s="350"/>
      <c r="BF3459" s="350"/>
      <c r="BG3459" s="350"/>
      <c r="BH3459" s="350"/>
    </row>
    <row r="3460" spans="4:60">
      <c r="D3460" s="350"/>
      <c r="S3460" s="350"/>
      <c r="BF3460" s="350"/>
      <c r="BG3460" s="350"/>
      <c r="BH3460" s="350"/>
    </row>
    <row r="3461" spans="4:60">
      <c r="D3461" s="350"/>
      <c r="S3461" s="350"/>
      <c r="BF3461" s="350"/>
      <c r="BG3461" s="350"/>
      <c r="BH3461" s="350"/>
    </row>
    <row r="3462" spans="4:60">
      <c r="D3462" s="350"/>
      <c r="S3462" s="350"/>
      <c r="BF3462" s="350"/>
      <c r="BG3462" s="350"/>
      <c r="BH3462" s="350"/>
    </row>
    <row r="3463" spans="4:60">
      <c r="D3463" s="350"/>
      <c r="S3463" s="350"/>
      <c r="BF3463" s="350"/>
      <c r="BG3463" s="350"/>
      <c r="BH3463" s="350"/>
    </row>
    <row r="3464" spans="4:60">
      <c r="D3464" s="350"/>
      <c r="S3464" s="350"/>
      <c r="BF3464" s="350"/>
      <c r="BG3464" s="350"/>
      <c r="BH3464" s="350"/>
    </row>
    <row r="3465" spans="4:60">
      <c r="D3465" s="350"/>
      <c r="S3465" s="350"/>
      <c r="BF3465" s="350"/>
      <c r="BG3465" s="350"/>
      <c r="BH3465" s="350"/>
    </row>
    <row r="3466" spans="4:60">
      <c r="D3466" s="350"/>
      <c r="S3466" s="350"/>
      <c r="BF3466" s="350"/>
      <c r="BG3466" s="350"/>
      <c r="BH3466" s="350"/>
    </row>
    <row r="3467" spans="4:60">
      <c r="D3467" s="350"/>
      <c r="S3467" s="350"/>
      <c r="BF3467" s="350"/>
      <c r="BG3467" s="350"/>
      <c r="BH3467" s="350"/>
    </row>
    <row r="3468" spans="4:60">
      <c r="D3468" s="350"/>
      <c r="S3468" s="350"/>
      <c r="BF3468" s="350"/>
      <c r="BG3468" s="350"/>
      <c r="BH3468" s="350"/>
    </row>
    <row r="3469" spans="4:60">
      <c r="D3469" s="350"/>
      <c r="S3469" s="350"/>
      <c r="BF3469" s="350"/>
      <c r="BG3469" s="350"/>
      <c r="BH3469" s="350"/>
    </row>
    <row r="3470" spans="4:60">
      <c r="D3470" s="350"/>
      <c r="S3470" s="350"/>
      <c r="BF3470" s="350"/>
      <c r="BG3470" s="350"/>
      <c r="BH3470" s="350"/>
    </row>
    <row r="3471" spans="4:60">
      <c r="D3471" s="350"/>
      <c r="S3471" s="350"/>
      <c r="BF3471" s="350"/>
      <c r="BG3471" s="350"/>
      <c r="BH3471" s="350"/>
    </row>
    <row r="3472" spans="4:60">
      <c r="D3472" s="350"/>
      <c r="S3472" s="350"/>
      <c r="BF3472" s="350"/>
      <c r="BG3472" s="350"/>
      <c r="BH3472" s="350"/>
    </row>
    <row r="3473" spans="4:60">
      <c r="D3473" s="350"/>
      <c r="S3473" s="350"/>
      <c r="BF3473" s="350"/>
      <c r="BG3473" s="350"/>
      <c r="BH3473" s="350"/>
    </row>
    <row r="3474" spans="4:60">
      <c r="D3474" s="350"/>
      <c r="S3474" s="350"/>
      <c r="BF3474" s="350"/>
      <c r="BG3474" s="350"/>
      <c r="BH3474" s="350"/>
    </row>
    <row r="3475" spans="4:60">
      <c r="D3475" s="350"/>
      <c r="S3475" s="350"/>
      <c r="BF3475" s="350"/>
      <c r="BG3475" s="350"/>
      <c r="BH3475" s="350"/>
    </row>
    <row r="3476" spans="4:60">
      <c r="D3476" s="350"/>
      <c r="S3476" s="350"/>
      <c r="BF3476" s="350"/>
      <c r="BG3476" s="350"/>
      <c r="BH3476" s="350"/>
    </row>
    <row r="3477" spans="4:60">
      <c r="D3477" s="350"/>
      <c r="S3477" s="350"/>
      <c r="BF3477" s="350"/>
      <c r="BG3477" s="350"/>
      <c r="BH3477" s="350"/>
    </row>
    <row r="3478" spans="4:60">
      <c r="D3478" s="350"/>
      <c r="S3478" s="350"/>
      <c r="BF3478" s="350"/>
      <c r="BG3478" s="350"/>
      <c r="BH3478" s="350"/>
    </row>
    <row r="3479" spans="4:60">
      <c r="D3479" s="350"/>
      <c r="S3479" s="350"/>
      <c r="BF3479" s="350"/>
      <c r="BG3479" s="350"/>
      <c r="BH3479" s="350"/>
    </row>
    <row r="3480" spans="4:60">
      <c r="D3480" s="350"/>
      <c r="S3480" s="350"/>
      <c r="BF3480" s="350"/>
      <c r="BG3480" s="350"/>
      <c r="BH3480" s="350"/>
    </row>
    <row r="3481" spans="4:60">
      <c r="D3481" s="350"/>
      <c r="S3481" s="350"/>
      <c r="BF3481" s="350"/>
      <c r="BG3481" s="350"/>
      <c r="BH3481" s="350"/>
    </row>
    <row r="3482" spans="4:60">
      <c r="D3482" s="350"/>
      <c r="S3482" s="350"/>
      <c r="BF3482" s="350"/>
      <c r="BG3482" s="350"/>
      <c r="BH3482" s="350"/>
    </row>
    <row r="3483" spans="4:60">
      <c r="D3483" s="350"/>
      <c r="S3483" s="350"/>
      <c r="BF3483" s="350"/>
      <c r="BG3483" s="350"/>
      <c r="BH3483" s="350"/>
    </row>
    <row r="3484" spans="4:60">
      <c r="D3484" s="350"/>
      <c r="S3484" s="350"/>
      <c r="BF3484" s="350"/>
      <c r="BG3484" s="350"/>
      <c r="BH3484" s="350"/>
    </row>
    <row r="3485" spans="4:60">
      <c r="D3485" s="350"/>
      <c r="S3485" s="350"/>
      <c r="BF3485" s="350"/>
      <c r="BG3485" s="350"/>
      <c r="BH3485" s="350"/>
    </row>
    <row r="3486" spans="4:60">
      <c r="D3486" s="350"/>
      <c r="S3486" s="350"/>
      <c r="BF3486" s="350"/>
      <c r="BG3486" s="350"/>
      <c r="BH3486" s="350"/>
    </row>
    <row r="3487" spans="4:60">
      <c r="D3487" s="350"/>
      <c r="S3487" s="350"/>
      <c r="BF3487" s="350"/>
      <c r="BG3487" s="350"/>
      <c r="BH3487" s="350"/>
    </row>
    <row r="3488" spans="4:60">
      <c r="D3488" s="350"/>
      <c r="S3488" s="350"/>
      <c r="BF3488" s="350"/>
      <c r="BG3488" s="350"/>
      <c r="BH3488" s="350"/>
    </row>
    <row r="3489" spans="4:60">
      <c r="D3489" s="350"/>
      <c r="S3489" s="350"/>
      <c r="BF3489" s="350"/>
      <c r="BG3489" s="350"/>
      <c r="BH3489" s="350"/>
    </row>
    <row r="3490" spans="4:60">
      <c r="D3490" s="350"/>
      <c r="S3490" s="350"/>
      <c r="BF3490" s="350"/>
      <c r="BG3490" s="350"/>
      <c r="BH3490" s="350"/>
    </row>
    <row r="3491" spans="4:60">
      <c r="D3491" s="350"/>
      <c r="S3491" s="350"/>
      <c r="BF3491" s="350"/>
      <c r="BG3491" s="350"/>
      <c r="BH3491" s="350"/>
    </row>
    <row r="3492" spans="4:60">
      <c r="D3492" s="350"/>
      <c r="S3492" s="350"/>
      <c r="BF3492" s="350"/>
      <c r="BG3492" s="350"/>
      <c r="BH3492" s="350"/>
    </row>
    <row r="3493" spans="4:60">
      <c r="D3493" s="350"/>
      <c r="S3493" s="350"/>
      <c r="BF3493" s="350"/>
      <c r="BG3493" s="350"/>
      <c r="BH3493" s="350"/>
    </row>
    <row r="3494" spans="4:60">
      <c r="D3494" s="350"/>
      <c r="S3494" s="350"/>
      <c r="BF3494" s="350"/>
      <c r="BG3494" s="350"/>
      <c r="BH3494" s="350"/>
    </row>
    <row r="3495" spans="4:60">
      <c r="D3495" s="350"/>
      <c r="S3495" s="350"/>
      <c r="BF3495" s="350"/>
      <c r="BG3495" s="350"/>
      <c r="BH3495" s="350"/>
    </row>
    <row r="3496" spans="4:60">
      <c r="D3496" s="350"/>
      <c r="S3496" s="350"/>
      <c r="BF3496" s="350"/>
      <c r="BG3496" s="350"/>
      <c r="BH3496" s="350"/>
    </row>
    <row r="3497" spans="4:60">
      <c r="D3497" s="350"/>
      <c r="S3497" s="350"/>
      <c r="BF3497" s="350"/>
      <c r="BG3497" s="350"/>
      <c r="BH3497" s="350"/>
    </row>
    <row r="3498" spans="4:60">
      <c r="D3498" s="350"/>
      <c r="S3498" s="350"/>
      <c r="BF3498" s="350"/>
      <c r="BG3498" s="350"/>
      <c r="BH3498" s="350"/>
    </row>
    <row r="3499" spans="4:60">
      <c r="D3499" s="350"/>
      <c r="S3499" s="350"/>
      <c r="BF3499" s="350"/>
      <c r="BG3499" s="350"/>
      <c r="BH3499" s="350"/>
    </row>
    <row r="3500" spans="4:60">
      <c r="D3500" s="350"/>
      <c r="S3500" s="350"/>
      <c r="BF3500" s="350"/>
      <c r="BG3500" s="350"/>
      <c r="BH3500" s="350"/>
    </row>
    <row r="3501" spans="4:60">
      <c r="D3501" s="350"/>
      <c r="S3501" s="350"/>
      <c r="BF3501" s="350"/>
      <c r="BG3501" s="350"/>
      <c r="BH3501" s="350"/>
    </row>
    <row r="3502" spans="4:60">
      <c r="D3502" s="350"/>
      <c r="S3502" s="350"/>
      <c r="BF3502" s="350"/>
      <c r="BG3502" s="350"/>
      <c r="BH3502" s="350"/>
    </row>
    <row r="3503" spans="4:60">
      <c r="D3503" s="350"/>
      <c r="S3503" s="350"/>
      <c r="BF3503" s="350"/>
      <c r="BG3503" s="350"/>
      <c r="BH3503" s="350"/>
    </row>
    <row r="3504" spans="4:60">
      <c r="D3504" s="350"/>
      <c r="S3504" s="350"/>
      <c r="BF3504" s="350"/>
      <c r="BG3504" s="350"/>
      <c r="BH3504" s="350"/>
    </row>
    <row r="3505" spans="4:60">
      <c r="D3505" s="350"/>
      <c r="S3505" s="350"/>
      <c r="BF3505" s="350"/>
      <c r="BG3505" s="350"/>
      <c r="BH3505" s="350"/>
    </row>
    <row r="3506" spans="4:60">
      <c r="D3506" s="350"/>
      <c r="S3506" s="350"/>
      <c r="BF3506" s="350"/>
      <c r="BG3506" s="350"/>
      <c r="BH3506" s="350"/>
    </row>
    <row r="3507" spans="4:60">
      <c r="D3507" s="350"/>
      <c r="S3507" s="350"/>
      <c r="BF3507" s="350"/>
      <c r="BG3507" s="350"/>
      <c r="BH3507" s="350"/>
    </row>
    <row r="3508" spans="4:60">
      <c r="D3508" s="350"/>
      <c r="S3508" s="350"/>
      <c r="BF3508" s="350"/>
      <c r="BG3508" s="350"/>
      <c r="BH3508" s="350"/>
    </row>
    <row r="3509" spans="4:60">
      <c r="D3509" s="350"/>
      <c r="S3509" s="350"/>
      <c r="BF3509" s="350"/>
      <c r="BG3509" s="350"/>
      <c r="BH3509" s="350"/>
    </row>
    <row r="3510" spans="4:60">
      <c r="D3510" s="350"/>
      <c r="S3510" s="350"/>
      <c r="BF3510" s="350"/>
      <c r="BG3510" s="350"/>
      <c r="BH3510" s="350"/>
    </row>
    <row r="3511" spans="4:60">
      <c r="D3511" s="350"/>
      <c r="S3511" s="350"/>
      <c r="BF3511" s="350"/>
      <c r="BG3511" s="350"/>
      <c r="BH3511" s="350"/>
    </row>
    <row r="3512" spans="4:60">
      <c r="D3512" s="350"/>
      <c r="S3512" s="350"/>
      <c r="BF3512" s="350"/>
      <c r="BG3512" s="350"/>
      <c r="BH3512" s="350"/>
    </row>
    <row r="3513" spans="4:60">
      <c r="D3513" s="350"/>
      <c r="S3513" s="350"/>
      <c r="BF3513" s="350"/>
      <c r="BG3513" s="350"/>
      <c r="BH3513" s="350"/>
    </row>
    <row r="3515" spans="4:60">
      <c r="D3515" s="350"/>
      <c r="S3515" s="350"/>
      <c r="BF3515" s="350"/>
      <c r="BG3515" s="350"/>
      <c r="BH3515" s="350"/>
    </row>
    <row r="3516" spans="4:60">
      <c r="D3516" s="350"/>
      <c r="S3516" s="350"/>
      <c r="BF3516" s="350"/>
      <c r="BG3516" s="350"/>
      <c r="BH3516" s="350"/>
    </row>
    <row r="3519" spans="4:60">
      <c r="D3519" s="350"/>
      <c r="S3519" s="350"/>
      <c r="BF3519" s="350"/>
      <c r="BG3519" s="350"/>
      <c r="BH3519" s="350"/>
    </row>
    <row r="3520" spans="4:60">
      <c r="D3520" s="350"/>
      <c r="S3520" s="350"/>
      <c r="BF3520" s="350"/>
      <c r="BG3520" s="350"/>
      <c r="BH3520" s="350"/>
    </row>
    <row r="3521" spans="4:60">
      <c r="D3521" s="350"/>
      <c r="S3521" s="350"/>
      <c r="BF3521" s="350"/>
      <c r="BG3521" s="350"/>
      <c r="BH3521" s="350"/>
    </row>
    <row r="3522" spans="4:60">
      <c r="D3522" s="350"/>
      <c r="S3522" s="350"/>
      <c r="BF3522" s="350"/>
      <c r="BG3522" s="350"/>
      <c r="BH3522" s="350"/>
    </row>
    <row r="3523" spans="4:60">
      <c r="D3523" s="350"/>
      <c r="S3523" s="350"/>
      <c r="BF3523" s="350"/>
      <c r="BG3523" s="350"/>
      <c r="BH3523" s="350"/>
    </row>
    <row r="3524" spans="4:60">
      <c r="D3524" s="350"/>
      <c r="S3524" s="350"/>
      <c r="BF3524" s="350"/>
      <c r="BG3524" s="350"/>
      <c r="BH3524" s="350"/>
    </row>
    <row r="3525" spans="4:60">
      <c r="D3525" s="350"/>
      <c r="S3525" s="350"/>
      <c r="BF3525" s="350"/>
      <c r="BG3525" s="350"/>
      <c r="BH3525" s="350"/>
    </row>
    <row r="3526" spans="4:60">
      <c r="D3526" s="350"/>
      <c r="S3526" s="350"/>
      <c r="BF3526" s="350"/>
      <c r="BG3526" s="350"/>
      <c r="BH3526" s="350"/>
    </row>
    <row r="3527" spans="4:60">
      <c r="D3527" s="350"/>
      <c r="S3527" s="350"/>
      <c r="BF3527" s="350"/>
      <c r="BG3527" s="350"/>
      <c r="BH3527" s="350"/>
    </row>
    <row r="3528" spans="4:60">
      <c r="D3528" s="350"/>
      <c r="S3528" s="350"/>
      <c r="BF3528" s="350"/>
      <c r="BG3528" s="350"/>
      <c r="BH3528" s="350"/>
    </row>
    <row r="3529" spans="4:60">
      <c r="D3529" s="350"/>
      <c r="S3529" s="350"/>
      <c r="BF3529" s="350"/>
      <c r="BG3529" s="350"/>
      <c r="BH3529" s="350"/>
    </row>
    <row r="3530" spans="4:60">
      <c r="D3530" s="350"/>
      <c r="S3530" s="350"/>
      <c r="BF3530" s="350"/>
      <c r="BG3530" s="350"/>
      <c r="BH3530" s="350"/>
    </row>
    <row r="3531" spans="4:60">
      <c r="D3531" s="350"/>
      <c r="S3531" s="350"/>
      <c r="BF3531" s="350"/>
      <c r="BG3531" s="350"/>
      <c r="BH3531" s="350"/>
    </row>
    <row r="3532" spans="4:60">
      <c r="D3532" s="350"/>
      <c r="S3532" s="350"/>
      <c r="BF3532" s="350"/>
      <c r="BG3532" s="350"/>
      <c r="BH3532" s="350"/>
    </row>
    <row r="3533" spans="4:60">
      <c r="D3533" s="350"/>
      <c r="S3533" s="350"/>
      <c r="BF3533" s="350"/>
      <c r="BG3533" s="350"/>
      <c r="BH3533" s="350"/>
    </row>
    <row r="3534" spans="4:60">
      <c r="D3534" s="350"/>
      <c r="S3534" s="350"/>
      <c r="BF3534" s="350"/>
      <c r="BG3534" s="350"/>
      <c r="BH3534" s="350"/>
    </row>
    <row r="3535" spans="4:60">
      <c r="D3535" s="350"/>
      <c r="S3535" s="350"/>
      <c r="BF3535" s="350"/>
      <c r="BG3535" s="350"/>
      <c r="BH3535" s="350"/>
    </row>
    <row r="3536" spans="4:60">
      <c r="D3536" s="350"/>
      <c r="S3536" s="350"/>
      <c r="BF3536" s="350"/>
      <c r="BG3536" s="350"/>
      <c r="BH3536" s="350"/>
    </row>
    <row r="3537" spans="4:60">
      <c r="D3537" s="350"/>
      <c r="S3537" s="350"/>
      <c r="BF3537" s="350"/>
      <c r="BG3537" s="350"/>
      <c r="BH3537" s="350"/>
    </row>
    <row r="3538" spans="4:60">
      <c r="D3538" s="350"/>
      <c r="S3538" s="350"/>
      <c r="BF3538" s="350"/>
      <c r="BG3538" s="350"/>
      <c r="BH3538" s="350"/>
    </row>
    <row r="3539" spans="4:60">
      <c r="D3539" s="350"/>
      <c r="S3539" s="350"/>
      <c r="BF3539" s="350"/>
      <c r="BG3539" s="350"/>
      <c r="BH3539" s="350"/>
    </row>
    <row r="3540" spans="4:60">
      <c r="D3540" s="350"/>
      <c r="S3540" s="350"/>
      <c r="BF3540" s="350"/>
      <c r="BG3540" s="350"/>
      <c r="BH3540" s="350"/>
    </row>
    <row r="3541" spans="4:60">
      <c r="D3541" s="350"/>
      <c r="S3541" s="350"/>
      <c r="BF3541" s="350"/>
      <c r="BG3541" s="350"/>
      <c r="BH3541" s="350"/>
    </row>
    <row r="3542" spans="4:60">
      <c r="D3542" s="350"/>
      <c r="S3542" s="350"/>
      <c r="BF3542" s="350"/>
      <c r="BG3542" s="350"/>
      <c r="BH3542" s="350"/>
    </row>
    <row r="3543" spans="4:60">
      <c r="D3543" s="350"/>
      <c r="S3543" s="350"/>
      <c r="BF3543" s="350"/>
      <c r="BG3543" s="350"/>
      <c r="BH3543" s="350"/>
    </row>
    <row r="3545" spans="4:60">
      <c r="D3545" s="350"/>
      <c r="S3545" s="350"/>
      <c r="BF3545" s="350"/>
      <c r="BG3545" s="350"/>
      <c r="BH3545" s="350"/>
    </row>
    <row r="3546" spans="4:60">
      <c r="D3546" s="350"/>
      <c r="S3546" s="350"/>
      <c r="BF3546" s="350"/>
      <c r="BG3546" s="350"/>
      <c r="BH3546" s="350"/>
    </row>
    <row r="3551" spans="4:60">
      <c r="D3551" s="350"/>
      <c r="S3551" s="350"/>
      <c r="BF3551" s="350"/>
      <c r="BG3551" s="350"/>
      <c r="BH3551" s="350"/>
    </row>
    <row r="3552" spans="4:60">
      <c r="D3552" s="350"/>
      <c r="S3552" s="350"/>
      <c r="BF3552" s="350"/>
      <c r="BG3552" s="350"/>
      <c r="BH3552" s="350"/>
    </row>
    <row r="3554" spans="4:60">
      <c r="D3554" s="350"/>
      <c r="S3554" s="350"/>
      <c r="BF3554" s="350"/>
      <c r="BG3554" s="350"/>
      <c r="BH3554" s="350"/>
    </row>
    <row r="3555" spans="4:60">
      <c r="D3555" s="350"/>
      <c r="S3555" s="350"/>
      <c r="BF3555" s="350"/>
      <c r="BG3555" s="350"/>
      <c r="BH3555" s="350"/>
    </row>
    <row r="3556" spans="4:60">
      <c r="D3556" s="350"/>
      <c r="S3556" s="350"/>
      <c r="BF3556" s="350"/>
      <c r="BG3556" s="350"/>
      <c r="BH3556" s="350"/>
    </row>
    <row r="3557" spans="4:60">
      <c r="D3557" s="350"/>
      <c r="S3557" s="350"/>
      <c r="BF3557" s="350"/>
      <c r="BG3557" s="350"/>
      <c r="BH3557" s="350"/>
    </row>
    <row r="3558" spans="4:60">
      <c r="D3558" s="350"/>
      <c r="S3558" s="350"/>
      <c r="BF3558" s="350"/>
      <c r="BG3558" s="350"/>
      <c r="BH3558" s="350"/>
    </row>
    <row r="3559" spans="4:60">
      <c r="D3559" s="350"/>
      <c r="S3559" s="350"/>
      <c r="BF3559" s="350"/>
      <c r="BG3559" s="350"/>
      <c r="BH3559" s="350"/>
    </row>
    <row r="3560" spans="4:60">
      <c r="D3560" s="350"/>
      <c r="S3560" s="350"/>
      <c r="BF3560" s="350"/>
      <c r="BG3560" s="350"/>
      <c r="BH3560" s="350"/>
    </row>
    <row r="3561" spans="4:60">
      <c r="D3561" s="350"/>
      <c r="S3561" s="350"/>
      <c r="BF3561" s="350"/>
      <c r="BG3561" s="350"/>
      <c r="BH3561" s="350"/>
    </row>
    <row r="3562" spans="4:60">
      <c r="D3562" s="350"/>
      <c r="S3562" s="350"/>
      <c r="BF3562" s="350"/>
      <c r="BG3562" s="350"/>
      <c r="BH3562" s="350"/>
    </row>
    <row r="3563" spans="4:60">
      <c r="D3563" s="350"/>
      <c r="S3563" s="350"/>
      <c r="BF3563" s="350"/>
      <c r="BG3563" s="350"/>
      <c r="BH3563" s="350"/>
    </row>
    <row r="3564" spans="4:60">
      <c r="D3564" s="350"/>
      <c r="S3564" s="350"/>
      <c r="BF3564" s="350"/>
      <c r="BG3564" s="350"/>
      <c r="BH3564" s="350"/>
    </row>
    <row r="3565" spans="4:60">
      <c r="D3565" s="350"/>
      <c r="S3565" s="350"/>
      <c r="BF3565" s="350"/>
      <c r="BG3565" s="350"/>
      <c r="BH3565" s="350"/>
    </row>
    <row r="3566" spans="4:60">
      <c r="D3566" s="350"/>
      <c r="S3566" s="350"/>
      <c r="BF3566" s="350"/>
      <c r="BG3566" s="350"/>
      <c r="BH3566" s="350"/>
    </row>
    <row r="3567" spans="4:60">
      <c r="D3567" s="350"/>
      <c r="S3567" s="350"/>
      <c r="BF3567" s="350"/>
      <c r="BG3567" s="350"/>
      <c r="BH3567" s="350"/>
    </row>
    <row r="3568" spans="4:60">
      <c r="D3568" s="350"/>
      <c r="S3568" s="350"/>
      <c r="BF3568" s="350"/>
      <c r="BG3568" s="350"/>
      <c r="BH3568" s="350"/>
    </row>
    <row r="3569" spans="4:60">
      <c r="D3569" s="350"/>
      <c r="S3569" s="350"/>
      <c r="BF3569" s="350"/>
      <c r="BG3569" s="350"/>
      <c r="BH3569" s="350"/>
    </row>
    <row r="3570" spans="4:60">
      <c r="D3570" s="350"/>
      <c r="S3570" s="350"/>
      <c r="BF3570" s="350"/>
      <c r="BG3570" s="350"/>
      <c r="BH3570" s="350"/>
    </row>
    <row r="3571" spans="4:60">
      <c r="D3571" s="350"/>
      <c r="S3571" s="350"/>
      <c r="BF3571" s="350"/>
      <c r="BG3571" s="350"/>
      <c r="BH3571" s="350"/>
    </row>
    <row r="3572" spans="4:60">
      <c r="D3572" s="350"/>
      <c r="S3572" s="350"/>
      <c r="BF3572" s="350"/>
      <c r="BG3572" s="350"/>
      <c r="BH3572" s="350"/>
    </row>
    <row r="3573" spans="4:60">
      <c r="D3573" s="350"/>
      <c r="S3573" s="350"/>
      <c r="BF3573" s="350"/>
      <c r="BG3573" s="350"/>
      <c r="BH3573" s="350"/>
    </row>
    <row r="3574" spans="4:60">
      <c r="D3574" s="350"/>
      <c r="S3574" s="350"/>
      <c r="BF3574" s="350"/>
      <c r="BG3574" s="350"/>
      <c r="BH3574" s="350"/>
    </row>
    <row r="3575" spans="4:60">
      <c r="D3575" s="350"/>
      <c r="S3575" s="350"/>
      <c r="BF3575" s="350"/>
      <c r="BG3575" s="350"/>
      <c r="BH3575" s="350"/>
    </row>
    <row r="3576" spans="4:60">
      <c r="D3576" s="350"/>
      <c r="S3576" s="350"/>
      <c r="BF3576" s="350"/>
      <c r="BG3576" s="350"/>
      <c r="BH3576" s="350"/>
    </row>
    <row r="3577" spans="4:60">
      <c r="D3577" s="350"/>
      <c r="S3577" s="350"/>
      <c r="BF3577" s="350"/>
      <c r="BG3577" s="350"/>
      <c r="BH3577" s="350"/>
    </row>
    <row r="3578" spans="4:60">
      <c r="D3578" s="350"/>
      <c r="S3578" s="350"/>
      <c r="BF3578" s="350"/>
      <c r="BG3578" s="350"/>
      <c r="BH3578" s="350"/>
    </row>
    <row r="3579" spans="4:60">
      <c r="D3579" s="350"/>
      <c r="S3579" s="350"/>
      <c r="BF3579" s="350"/>
      <c r="BG3579" s="350"/>
      <c r="BH3579" s="350"/>
    </row>
    <row r="3580" spans="4:60">
      <c r="D3580" s="350"/>
      <c r="S3580" s="350"/>
      <c r="BF3580" s="350"/>
      <c r="BG3580" s="350"/>
      <c r="BH3580" s="350"/>
    </row>
    <row r="3581" spans="4:60">
      <c r="D3581" s="350"/>
      <c r="S3581" s="350"/>
      <c r="BF3581" s="350"/>
      <c r="BG3581" s="350"/>
      <c r="BH3581" s="350"/>
    </row>
    <row r="3582" spans="4:60">
      <c r="D3582" s="350"/>
      <c r="S3582" s="350"/>
      <c r="BF3582" s="350"/>
      <c r="BG3582" s="350"/>
      <c r="BH3582" s="350"/>
    </row>
    <row r="3583" spans="4:60">
      <c r="D3583" s="350"/>
      <c r="S3583" s="350"/>
      <c r="BF3583" s="350"/>
      <c r="BG3583" s="350"/>
      <c r="BH3583" s="350"/>
    </row>
    <row r="3584" spans="4:60">
      <c r="D3584" s="350"/>
      <c r="S3584" s="350"/>
      <c r="BF3584" s="350"/>
      <c r="BG3584" s="350"/>
      <c r="BH3584" s="350"/>
    </row>
    <row r="3585" spans="4:60">
      <c r="D3585" s="350"/>
      <c r="S3585" s="350"/>
      <c r="BF3585" s="350"/>
      <c r="BG3585" s="350"/>
      <c r="BH3585" s="350"/>
    </row>
    <row r="3586" spans="4:60">
      <c r="D3586" s="350"/>
      <c r="S3586" s="350"/>
      <c r="BF3586" s="350"/>
      <c r="BG3586" s="350"/>
      <c r="BH3586" s="350"/>
    </row>
    <row r="3587" spans="4:60">
      <c r="D3587" s="350"/>
      <c r="S3587" s="350"/>
      <c r="BF3587" s="350"/>
      <c r="BG3587" s="350"/>
      <c r="BH3587" s="350"/>
    </row>
    <row r="3588" spans="4:60">
      <c r="D3588" s="350"/>
      <c r="S3588" s="350"/>
      <c r="BF3588" s="350"/>
      <c r="BG3588" s="350"/>
      <c r="BH3588" s="350"/>
    </row>
    <row r="3589" spans="4:60">
      <c r="D3589" s="350"/>
      <c r="S3589" s="350"/>
      <c r="BF3589" s="350"/>
      <c r="BG3589" s="350"/>
      <c r="BH3589" s="350"/>
    </row>
    <row r="3590" spans="4:60">
      <c r="D3590" s="350"/>
      <c r="S3590" s="350"/>
      <c r="BF3590" s="350"/>
      <c r="BG3590" s="350"/>
      <c r="BH3590" s="350"/>
    </row>
    <row r="3591" spans="4:60">
      <c r="D3591" s="350"/>
      <c r="S3591" s="350"/>
      <c r="BF3591" s="350"/>
      <c r="BG3591" s="350"/>
      <c r="BH3591" s="350"/>
    </row>
    <row r="3592" spans="4:60">
      <c r="D3592" s="350"/>
      <c r="S3592" s="350"/>
      <c r="BF3592" s="350"/>
      <c r="BG3592" s="350"/>
      <c r="BH3592" s="350"/>
    </row>
    <row r="3593" spans="4:60">
      <c r="D3593" s="350"/>
      <c r="S3593" s="350"/>
      <c r="BF3593" s="350"/>
      <c r="BG3593" s="350"/>
      <c r="BH3593" s="350"/>
    </row>
    <row r="3594" spans="4:60">
      <c r="D3594" s="350"/>
      <c r="S3594" s="350"/>
      <c r="BF3594" s="350"/>
      <c r="BG3594" s="350"/>
      <c r="BH3594" s="350"/>
    </row>
    <row r="3595" spans="4:60">
      <c r="D3595" s="350"/>
      <c r="S3595" s="350"/>
      <c r="BF3595" s="350"/>
      <c r="BG3595" s="350"/>
      <c r="BH3595" s="350"/>
    </row>
    <row r="3596" spans="4:60">
      <c r="D3596" s="350"/>
      <c r="S3596" s="350"/>
      <c r="BF3596" s="350"/>
      <c r="BG3596" s="350"/>
      <c r="BH3596" s="350"/>
    </row>
    <row r="3597" spans="4:60">
      <c r="D3597" s="350"/>
      <c r="S3597" s="350"/>
      <c r="BF3597" s="350"/>
      <c r="BG3597" s="350"/>
      <c r="BH3597" s="350"/>
    </row>
    <row r="3598" spans="4:60">
      <c r="D3598" s="350"/>
      <c r="S3598" s="350"/>
      <c r="BF3598" s="350"/>
      <c r="BG3598" s="350"/>
      <c r="BH3598" s="350"/>
    </row>
    <row r="3599" spans="4:60">
      <c r="D3599" s="350"/>
      <c r="S3599" s="350"/>
      <c r="BF3599" s="350"/>
      <c r="BG3599" s="350"/>
      <c r="BH3599" s="350"/>
    </row>
    <row r="3600" spans="4:60">
      <c r="D3600" s="350"/>
      <c r="S3600" s="350"/>
      <c r="BF3600" s="350"/>
      <c r="BG3600" s="350"/>
      <c r="BH3600" s="350"/>
    </row>
    <row r="3601" spans="4:60">
      <c r="D3601" s="350"/>
      <c r="S3601" s="350"/>
      <c r="BF3601" s="350"/>
      <c r="BG3601" s="350"/>
      <c r="BH3601" s="350"/>
    </row>
    <row r="3602" spans="4:60">
      <c r="D3602" s="350"/>
      <c r="S3602" s="350"/>
      <c r="BF3602" s="350"/>
      <c r="BG3602" s="350"/>
      <c r="BH3602" s="350"/>
    </row>
    <row r="3603" spans="4:60">
      <c r="D3603" s="350"/>
      <c r="S3603" s="350"/>
      <c r="BF3603" s="350"/>
      <c r="BG3603" s="350"/>
      <c r="BH3603" s="350"/>
    </row>
    <row r="3604" spans="4:60">
      <c r="D3604" s="350"/>
      <c r="S3604" s="350"/>
      <c r="BF3604" s="350"/>
      <c r="BG3604" s="350"/>
      <c r="BH3604" s="350"/>
    </row>
    <row r="3605" spans="4:60">
      <c r="D3605" s="350"/>
      <c r="S3605" s="350"/>
      <c r="BF3605" s="350"/>
      <c r="BG3605" s="350"/>
      <c r="BH3605" s="350"/>
    </row>
    <row r="3606" spans="4:60">
      <c r="D3606" s="350"/>
      <c r="S3606" s="350"/>
      <c r="BF3606" s="350"/>
      <c r="BG3606" s="350"/>
      <c r="BH3606" s="350"/>
    </row>
    <row r="3607" spans="4:60">
      <c r="D3607" s="350"/>
      <c r="S3607" s="350"/>
      <c r="BF3607" s="350"/>
      <c r="BG3607" s="350"/>
      <c r="BH3607" s="350"/>
    </row>
    <row r="3608" spans="4:60">
      <c r="D3608" s="350"/>
      <c r="S3608" s="350"/>
      <c r="BF3608" s="350"/>
      <c r="BG3608" s="350"/>
      <c r="BH3608" s="350"/>
    </row>
    <row r="3609" spans="4:60">
      <c r="D3609" s="350"/>
      <c r="S3609" s="350"/>
      <c r="BF3609" s="350"/>
      <c r="BG3609" s="350"/>
      <c r="BH3609" s="350"/>
    </row>
    <row r="3610" spans="4:60">
      <c r="D3610" s="350"/>
      <c r="S3610" s="350"/>
      <c r="BF3610" s="350"/>
      <c r="BG3610" s="350"/>
      <c r="BH3610" s="350"/>
    </row>
    <row r="3611" spans="4:60">
      <c r="D3611" s="350"/>
      <c r="S3611" s="350"/>
      <c r="BF3611" s="350"/>
      <c r="BG3611" s="350"/>
      <c r="BH3611" s="350"/>
    </row>
    <row r="3612" spans="4:60">
      <c r="D3612" s="350"/>
      <c r="S3612" s="350"/>
      <c r="BF3612" s="350"/>
      <c r="BG3612" s="350"/>
      <c r="BH3612" s="350"/>
    </row>
    <row r="3613" spans="4:60">
      <c r="D3613" s="350"/>
      <c r="S3613" s="350"/>
      <c r="BF3613" s="350"/>
      <c r="BG3613" s="350"/>
      <c r="BH3613" s="350"/>
    </row>
    <row r="3614" spans="4:60">
      <c r="D3614" s="350"/>
      <c r="S3614" s="350"/>
      <c r="BF3614" s="350"/>
      <c r="BG3614" s="350"/>
      <c r="BH3614" s="350"/>
    </row>
    <row r="3615" spans="4:60">
      <c r="D3615" s="350"/>
      <c r="S3615" s="350"/>
      <c r="BF3615" s="350"/>
      <c r="BG3615" s="350"/>
      <c r="BH3615" s="350"/>
    </row>
    <row r="3616" spans="4:60">
      <c r="D3616" s="350"/>
      <c r="S3616" s="350"/>
      <c r="BF3616" s="350"/>
      <c r="BG3616" s="350"/>
      <c r="BH3616" s="350"/>
    </row>
    <row r="3617" spans="4:60">
      <c r="D3617" s="350"/>
      <c r="S3617" s="350"/>
      <c r="BF3617" s="350"/>
      <c r="BG3617" s="350"/>
      <c r="BH3617" s="350"/>
    </row>
    <row r="3618" spans="4:60">
      <c r="D3618" s="350"/>
      <c r="S3618" s="350"/>
      <c r="BF3618" s="350"/>
      <c r="BG3618" s="350"/>
      <c r="BH3618" s="350"/>
    </row>
    <row r="3619" spans="4:60">
      <c r="D3619" s="350"/>
      <c r="S3619" s="350"/>
      <c r="BF3619" s="350"/>
      <c r="BG3619" s="350"/>
      <c r="BH3619" s="350"/>
    </row>
    <row r="3620" spans="4:60">
      <c r="D3620" s="350"/>
      <c r="S3620" s="350"/>
      <c r="BF3620" s="350"/>
      <c r="BG3620" s="350"/>
      <c r="BH3620" s="350"/>
    </row>
    <row r="3621" spans="4:60">
      <c r="D3621" s="350"/>
      <c r="S3621" s="350"/>
      <c r="BF3621" s="350"/>
      <c r="BG3621" s="350"/>
      <c r="BH3621" s="350"/>
    </row>
    <row r="3622" spans="4:60">
      <c r="D3622" s="350"/>
      <c r="S3622" s="350"/>
      <c r="BF3622" s="350"/>
      <c r="BG3622" s="350"/>
      <c r="BH3622" s="350"/>
    </row>
    <row r="3623" spans="4:60">
      <c r="D3623" s="350"/>
      <c r="S3623" s="350"/>
      <c r="BF3623" s="350"/>
      <c r="BG3623" s="350"/>
      <c r="BH3623" s="350"/>
    </row>
    <row r="3624" spans="4:60">
      <c r="D3624" s="350"/>
      <c r="S3624" s="350"/>
      <c r="BF3624" s="350"/>
      <c r="BG3624" s="350"/>
      <c r="BH3624" s="350"/>
    </row>
    <row r="3625" spans="4:60">
      <c r="D3625" s="350"/>
      <c r="S3625" s="350"/>
      <c r="BF3625" s="350"/>
      <c r="BG3625" s="350"/>
      <c r="BH3625" s="350"/>
    </row>
    <row r="3626" spans="4:60">
      <c r="D3626" s="350"/>
      <c r="S3626" s="350"/>
      <c r="BF3626" s="350"/>
      <c r="BG3626" s="350"/>
      <c r="BH3626" s="350"/>
    </row>
    <row r="3627" spans="4:60">
      <c r="D3627" s="350"/>
      <c r="S3627" s="350"/>
      <c r="BF3627" s="350"/>
      <c r="BG3627" s="350"/>
      <c r="BH3627" s="350"/>
    </row>
    <row r="3628" spans="4:60">
      <c r="D3628" s="350"/>
      <c r="S3628" s="350"/>
      <c r="BF3628" s="350"/>
      <c r="BG3628" s="350"/>
      <c r="BH3628" s="350"/>
    </row>
    <row r="3629" spans="4:60">
      <c r="D3629" s="350"/>
      <c r="S3629" s="350"/>
      <c r="BF3629" s="350"/>
      <c r="BG3629" s="350"/>
      <c r="BH3629" s="350"/>
    </row>
    <row r="3630" spans="4:60">
      <c r="D3630" s="350"/>
      <c r="S3630" s="350"/>
      <c r="BF3630" s="350"/>
      <c r="BG3630" s="350"/>
      <c r="BH3630" s="350"/>
    </row>
    <row r="3631" spans="4:60">
      <c r="D3631" s="350"/>
      <c r="S3631" s="350"/>
      <c r="BF3631" s="350"/>
      <c r="BG3631" s="350"/>
      <c r="BH3631" s="350"/>
    </row>
    <row r="3632" spans="4:60">
      <c r="D3632" s="350"/>
      <c r="S3632" s="350"/>
      <c r="BF3632" s="350"/>
      <c r="BG3632" s="350"/>
      <c r="BH3632" s="350"/>
    </row>
    <row r="3633" spans="4:60">
      <c r="D3633" s="350"/>
      <c r="S3633" s="350"/>
      <c r="BF3633" s="350"/>
      <c r="BG3633" s="350"/>
      <c r="BH3633" s="350"/>
    </row>
    <row r="3634" spans="4:60">
      <c r="D3634" s="350"/>
      <c r="S3634" s="350"/>
      <c r="BF3634" s="350"/>
      <c r="BG3634" s="350"/>
      <c r="BH3634" s="350"/>
    </row>
    <row r="3635" spans="4:60">
      <c r="D3635" s="350"/>
      <c r="S3635" s="350"/>
      <c r="BF3635" s="350"/>
      <c r="BG3635" s="350"/>
      <c r="BH3635" s="350"/>
    </row>
    <row r="3636" spans="4:60">
      <c r="D3636" s="350"/>
      <c r="S3636" s="350"/>
      <c r="BF3636" s="350"/>
      <c r="BG3636" s="350"/>
      <c r="BH3636" s="350"/>
    </row>
    <row r="3637" spans="4:60">
      <c r="D3637" s="350"/>
      <c r="S3637" s="350"/>
      <c r="BF3637" s="350"/>
      <c r="BG3637" s="350"/>
      <c r="BH3637" s="350"/>
    </row>
    <row r="3638" spans="4:60">
      <c r="D3638" s="350"/>
      <c r="S3638" s="350"/>
      <c r="BF3638" s="350"/>
      <c r="BG3638" s="350"/>
      <c r="BH3638" s="350"/>
    </row>
    <row r="3639" spans="4:60">
      <c r="D3639" s="350"/>
      <c r="S3639" s="350"/>
      <c r="BF3639" s="350"/>
      <c r="BG3639" s="350"/>
      <c r="BH3639" s="350"/>
    </row>
    <row r="3640" spans="4:60">
      <c r="D3640" s="350"/>
      <c r="S3640" s="350"/>
      <c r="BF3640" s="350"/>
      <c r="BG3640" s="350"/>
      <c r="BH3640" s="350"/>
    </row>
    <row r="3641" spans="4:60">
      <c r="D3641" s="350"/>
      <c r="S3641" s="350"/>
      <c r="BF3641" s="350"/>
      <c r="BG3641" s="350"/>
      <c r="BH3641" s="350"/>
    </row>
    <row r="3642" spans="4:60">
      <c r="D3642" s="350"/>
      <c r="S3642" s="350"/>
      <c r="BF3642" s="350"/>
      <c r="BG3642" s="350"/>
      <c r="BH3642" s="350"/>
    </row>
    <row r="3643" spans="4:60">
      <c r="D3643" s="350"/>
      <c r="S3643" s="350"/>
      <c r="BF3643" s="350"/>
      <c r="BG3643" s="350"/>
      <c r="BH3643" s="350"/>
    </row>
    <row r="3644" spans="4:60">
      <c r="D3644" s="350"/>
      <c r="S3644" s="350"/>
      <c r="BF3644" s="350"/>
      <c r="BG3644" s="350"/>
      <c r="BH3644" s="350"/>
    </row>
    <row r="3645" spans="4:60">
      <c r="D3645" s="350"/>
      <c r="S3645" s="350"/>
      <c r="BF3645" s="350"/>
      <c r="BG3645" s="350"/>
      <c r="BH3645" s="350"/>
    </row>
    <row r="3646" spans="4:60">
      <c r="D3646" s="350"/>
      <c r="S3646" s="350"/>
      <c r="BF3646" s="350"/>
      <c r="BG3646" s="350"/>
      <c r="BH3646" s="350"/>
    </row>
    <row r="3647" spans="4:60">
      <c r="D3647" s="350"/>
      <c r="S3647" s="350"/>
      <c r="BF3647" s="350"/>
      <c r="BG3647" s="350"/>
      <c r="BH3647" s="350"/>
    </row>
    <row r="3648" spans="4:60">
      <c r="D3648" s="350"/>
      <c r="S3648" s="350"/>
      <c r="BF3648" s="350"/>
      <c r="BG3648" s="350"/>
      <c r="BH3648" s="350"/>
    </row>
    <row r="3649" spans="4:60">
      <c r="D3649" s="350"/>
      <c r="S3649" s="350"/>
      <c r="BF3649" s="350"/>
      <c r="BG3649" s="350"/>
      <c r="BH3649" s="350"/>
    </row>
    <row r="3650" spans="4:60">
      <c r="D3650" s="350"/>
      <c r="S3650" s="350"/>
      <c r="BF3650" s="350"/>
      <c r="BG3650" s="350"/>
      <c r="BH3650" s="350"/>
    </row>
    <row r="3651" spans="4:60">
      <c r="D3651" s="350"/>
      <c r="S3651" s="350"/>
      <c r="BF3651" s="350"/>
      <c r="BG3651" s="350"/>
      <c r="BH3651" s="350"/>
    </row>
    <row r="3652" spans="4:60">
      <c r="D3652" s="350"/>
      <c r="S3652" s="350"/>
      <c r="BF3652" s="350"/>
      <c r="BG3652" s="350"/>
      <c r="BH3652" s="350"/>
    </row>
    <row r="3653" spans="4:60">
      <c r="D3653" s="350"/>
      <c r="S3653" s="350"/>
      <c r="BF3653" s="350"/>
      <c r="BG3653" s="350"/>
      <c r="BH3653" s="350"/>
    </row>
    <row r="3654" spans="4:60">
      <c r="D3654" s="350"/>
      <c r="S3654" s="350"/>
      <c r="BF3654" s="350"/>
      <c r="BG3654" s="350"/>
      <c r="BH3654" s="350"/>
    </row>
    <row r="3655" spans="4:60">
      <c r="D3655" s="350"/>
      <c r="S3655" s="350"/>
      <c r="BF3655" s="350"/>
      <c r="BG3655" s="350"/>
      <c r="BH3655" s="350"/>
    </row>
    <row r="3656" spans="4:60">
      <c r="D3656" s="350"/>
      <c r="S3656" s="350"/>
      <c r="BF3656" s="350"/>
      <c r="BG3656" s="350"/>
      <c r="BH3656" s="350"/>
    </row>
    <row r="3657" spans="4:60">
      <c r="D3657" s="350"/>
      <c r="S3657" s="350"/>
      <c r="BF3657" s="350"/>
      <c r="BG3657" s="350"/>
      <c r="BH3657" s="350"/>
    </row>
    <row r="3658" spans="4:60">
      <c r="D3658" s="350"/>
      <c r="S3658" s="350"/>
      <c r="BF3658" s="350"/>
      <c r="BG3658" s="350"/>
      <c r="BH3658" s="350"/>
    </row>
    <row r="3659" spans="4:60">
      <c r="D3659" s="350"/>
      <c r="S3659" s="350"/>
      <c r="BF3659" s="350"/>
      <c r="BG3659" s="350"/>
      <c r="BH3659" s="350"/>
    </row>
    <row r="3660" spans="4:60">
      <c r="D3660" s="350"/>
      <c r="S3660" s="350"/>
      <c r="BF3660" s="350"/>
      <c r="BG3660" s="350"/>
      <c r="BH3660" s="350"/>
    </row>
    <row r="3661" spans="4:60">
      <c r="D3661" s="350"/>
      <c r="S3661" s="350"/>
      <c r="BF3661" s="350"/>
      <c r="BG3661" s="350"/>
      <c r="BH3661" s="350"/>
    </row>
    <row r="3662" spans="4:60">
      <c r="D3662" s="350"/>
      <c r="S3662" s="350"/>
      <c r="BF3662" s="350"/>
      <c r="BG3662" s="350"/>
      <c r="BH3662" s="350"/>
    </row>
    <row r="3663" spans="4:60">
      <c r="D3663" s="350"/>
      <c r="S3663" s="350"/>
      <c r="BF3663" s="350"/>
      <c r="BG3663" s="350"/>
      <c r="BH3663" s="350"/>
    </row>
    <row r="3664" spans="4:60">
      <c r="D3664" s="350"/>
      <c r="S3664" s="350"/>
      <c r="BF3664" s="350"/>
      <c r="BG3664" s="350"/>
      <c r="BH3664" s="350"/>
    </row>
    <row r="3665" spans="4:60">
      <c r="D3665" s="350"/>
      <c r="S3665" s="350"/>
      <c r="BF3665" s="350"/>
      <c r="BG3665" s="350"/>
      <c r="BH3665" s="350"/>
    </row>
    <row r="3666" spans="4:60">
      <c r="D3666" s="350"/>
      <c r="S3666" s="350"/>
      <c r="BF3666" s="350"/>
      <c r="BG3666" s="350"/>
      <c r="BH3666" s="350"/>
    </row>
    <row r="3667" spans="4:60">
      <c r="D3667" s="350"/>
      <c r="S3667" s="350"/>
      <c r="BF3667" s="350"/>
      <c r="BG3667" s="350"/>
      <c r="BH3667" s="350"/>
    </row>
    <row r="3668" spans="4:60">
      <c r="D3668" s="350"/>
      <c r="S3668" s="350"/>
      <c r="BF3668" s="350"/>
      <c r="BG3668" s="350"/>
      <c r="BH3668" s="350"/>
    </row>
    <row r="3669" spans="4:60">
      <c r="D3669" s="350"/>
      <c r="S3669" s="350"/>
      <c r="BF3669" s="350"/>
      <c r="BG3669" s="350"/>
      <c r="BH3669" s="350"/>
    </row>
    <row r="3670" spans="4:60">
      <c r="D3670" s="350"/>
      <c r="S3670" s="350"/>
      <c r="BF3670" s="350"/>
      <c r="BG3670" s="350"/>
      <c r="BH3670" s="350"/>
    </row>
    <row r="3671" spans="4:60">
      <c r="D3671" s="350"/>
      <c r="S3671" s="350"/>
      <c r="BF3671" s="350"/>
      <c r="BG3671" s="350"/>
      <c r="BH3671" s="350"/>
    </row>
    <row r="3672" spans="4:60">
      <c r="D3672" s="350"/>
      <c r="S3672" s="350"/>
      <c r="BF3672" s="350"/>
      <c r="BG3672" s="350"/>
      <c r="BH3672" s="350"/>
    </row>
    <row r="3673" spans="4:60">
      <c r="D3673" s="350"/>
      <c r="S3673" s="350"/>
      <c r="BF3673" s="350"/>
      <c r="BG3673" s="350"/>
      <c r="BH3673" s="350"/>
    </row>
    <row r="3674" spans="4:60">
      <c r="D3674" s="350"/>
      <c r="S3674" s="350"/>
      <c r="BF3674" s="350"/>
      <c r="BG3674" s="350"/>
      <c r="BH3674" s="350"/>
    </row>
    <row r="3675" spans="4:60">
      <c r="D3675" s="350"/>
      <c r="S3675" s="350"/>
      <c r="BF3675" s="350"/>
      <c r="BG3675" s="350"/>
      <c r="BH3675" s="350"/>
    </row>
    <row r="3676" spans="4:60">
      <c r="D3676" s="350"/>
      <c r="S3676" s="350"/>
      <c r="BF3676" s="350"/>
      <c r="BG3676" s="350"/>
      <c r="BH3676" s="350"/>
    </row>
    <row r="3677" spans="4:60">
      <c r="D3677" s="350"/>
      <c r="S3677" s="350"/>
      <c r="BF3677" s="350"/>
      <c r="BG3677" s="350"/>
      <c r="BH3677" s="350"/>
    </row>
    <row r="3678" spans="4:60">
      <c r="D3678" s="350"/>
      <c r="S3678" s="350"/>
      <c r="BF3678" s="350"/>
      <c r="BG3678" s="350"/>
      <c r="BH3678" s="350"/>
    </row>
    <row r="3679" spans="4:60">
      <c r="D3679" s="350"/>
      <c r="S3679" s="350"/>
      <c r="BF3679" s="350"/>
      <c r="BG3679" s="350"/>
      <c r="BH3679" s="350"/>
    </row>
    <row r="3680" spans="4:60">
      <c r="D3680" s="350"/>
      <c r="S3680" s="350"/>
      <c r="BF3680" s="350"/>
      <c r="BG3680" s="350"/>
      <c r="BH3680" s="350"/>
    </row>
    <row r="3681" spans="4:60">
      <c r="D3681" s="350"/>
      <c r="S3681" s="350"/>
      <c r="BF3681" s="350"/>
      <c r="BG3681" s="350"/>
      <c r="BH3681" s="350"/>
    </row>
    <row r="3682" spans="4:60">
      <c r="D3682" s="350"/>
      <c r="S3682" s="350"/>
      <c r="BF3682" s="350"/>
      <c r="BG3682" s="350"/>
      <c r="BH3682" s="350"/>
    </row>
    <row r="3683" spans="4:60">
      <c r="D3683" s="350"/>
      <c r="S3683" s="350"/>
      <c r="BF3683" s="350"/>
      <c r="BG3683" s="350"/>
      <c r="BH3683" s="350"/>
    </row>
    <row r="3684" spans="4:60">
      <c r="D3684" s="350"/>
      <c r="S3684" s="350"/>
      <c r="BF3684" s="350"/>
      <c r="BG3684" s="350"/>
      <c r="BH3684" s="350"/>
    </row>
    <row r="3685" spans="4:60">
      <c r="D3685" s="350"/>
      <c r="S3685" s="350"/>
      <c r="BF3685" s="350"/>
      <c r="BG3685" s="350"/>
      <c r="BH3685" s="350"/>
    </row>
    <row r="3686" spans="4:60">
      <c r="D3686" s="350"/>
      <c r="S3686" s="350"/>
      <c r="BF3686" s="350"/>
      <c r="BG3686" s="350"/>
      <c r="BH3686" s="350"/>
    </row>
    <row r="3687" spans="4:60">
      <c r="D3687" s="350"/>
      <c r="S3687" s="350"/>
      <c r="BF3687" s="350"/>
      <c r="BG3687" s="350"/>
      <c r="BH3687" s="350"/>
    </row>
    <row r="3688" spans="4:60">
      <c r="D3688" s="350"/>
      <c r="S3688" s="350"/>
      <c r="BF3688" s="350"/>
      <c r="BG3688" s="350"/>
      <c r="BH3688" s="350"/>
    </row>
    <row r="3689" spans="4:60">
      <c r="D3689" s="350"/>
      <c r="S3689" s="350"/>
      <c r="BF3689" s="350"/>
      <c r="BG3689" s="350"/>
      <c r="BH3689" s="350"/>
    </row>
    <row r="3690" spans="4:60">
      <c r="D3690" s="350"/>
      <c r="S3690" s="350"/>
      <c r="BF3690" s="350"/>
      <c r="BG3690" s="350"/>
      <c r="BH3690" s="350"/>
    </row>
    <row r="3691" spans="4:60">
      <c r="D3691" s="350"/>
      <c r="S3691" s="350"/>
      <c r="BF3691" s="350"/>
      <c r="BG3691" s="350"/>
      <c r="BH3691" s="350"/>
    </row>
    <row r="3692" spans="4:60">
      <c r="D3692" s="350"/>
      <c r="S3692" s="350"/>
      <c r="BF3692" s="350"/>
      <c r="BG3692" s="350"/>
      <c r="BH3692" s="350"/>
    </row>
    <row r="3693" spans="4:60">
      <c r="D3693" s="350"/>
      <c r="S3693" s="350"/>
      <c r="BF3693" s="350"/>
      <c r="BG3693" s="350"/>
      <c r="BH3693" s="350"/>
    </row>
    <row r="3694" spans="4:60">
      <c r="D3694" s="350"/>
      <c r="S3694" s="350"/>
      <c r="BF3694" s="350"/>
      <c r="BG3694" s="350"/>
      <c r="BH3694" s="350"/>
    </row>
    <row r="3695" spans="4:60">
      <c r="D3695" s="350"/>
      <c r="S3695" s="350"/>
      <c r="BF3695" s="350"/>
      <c r="BG3695" s="350"/>
      <c r="BH3695" s="350"/>
    </row>
    <row r="3696" spans="4:60">
      <c r="D3696" s="350"/>
      <c r="S3696" s="350"/>
      <c r="BF3696" s="350"/>
      <c r="BG3696" s="350"/>
      <c r="BH3696" s="350"/>
    </row>
    <row r="3697" spans="4:60">
      <c r="D3697" s="350"/>
      <c r="S3697" s="350"/>
      <c r="BF3697" s="350"/>
      <c r="BG3697" s="350"/>
      <c r="BH3697" s="350"/>
    </row>
    <row r="3698" spans="4:60">
      <c r="D3698" s="350"/>
      <c r="S3698" s="350"/>
      <c r="BF3698" s="350"/>
      <c r="BG3698" s="350"/>
      <c r="BH3698" s="350"/>
    </row>
    <row r="3699" spans="4:60">
      <c r="D3699" s="350"/>
      <c r="S3699" s="350"/>
      <c r="BF3699" s="350"/>
      <c r="BG3699" s="350"/>
      <c r="BH3699" s="350"/>
    </row>
    <row r="3700" spans="4:60">
      <c r="D3700" s="350"/>
      <c r="S3700" s="350"/>
      <c r="BF3700" s="350"/>
      <c r="BG3700" s="350"/>
      <c r="BH3700" s="350"/>
    </row>
    <row r="3701" spans="4:60">
      <c r="D3701" s="350"/>
      <c r="S3701" s="350"/>
      <c r="BF3701" s="350"/>
      <c r="BG3701" s="350"/>
      <c r="BH3701" s="350"/>
    </row>
    <row r="3702" spans="4:60">
      <c r="D3702" s="350"/>
      <c r="S3702" s="350"/>
      <c r="BF3702" s="350"/>
      <c r="BG3702" s="350"/>
      <c r="BH3702" s="350"/>
    </row>
    <row r="3703" spans="4:60">
      <c r="D3703" s="350"/>
      <c r="S3703" s="350"/>
      <c r="BF3703" s="350"/>
      <c r="BG3703" s="350"/>
      <c r="BH3703" s="350"/>
    </row>
    <row r="3704" spans="4:60">
      <c r="D3704" s="350"/>
      <c r="S3704" s="350"/>
      <c r="BF3704" s="350"/>
      <c r="BG3704" s="350"/>
      <c r="BH3704" s="350"/>
    </row>
    <row r="3705" spans="4:60">
      <c r="D3705" s="350"/>
      <c r="S3705" s="350"/>
      <c r="BF3705" s="350"/>
      <c r="BG3705" s="350"/>
      <c r="BH3705" s="350"/>
    </row>
    <row r="3706" spans="4:60">
      <c r="D3706" s="350"/>
      <c r="S3706" s="350"/>
      <c r="BF3706" s="350"/>
      <c r="BG3706" s="350"/>
      <c r="BH3706" s="350"/>
    </row>
    <row r="3707" spans="4:60">
      <c r="D3707" s="350"/>
      <c r="S3707" s="350"/>
      <c r="BF3707" s="350"/>
      <c r="BG3707" s="350"/>
      <c r="BH3707" s="350"/>
    </row>
    <row r="3708" spans="4:60">
      <c r="D3708" s="350"/>
      <c r="S3708" s="350"/>
      <c r="BF3708" s="350"/>
      <c r="BG3708" s="350"/>
      <c r="BH3708" s="350"/>
    </row>
    <row r="3709" spans="4:60">
      <c r="D3709" s="350"/>
      <c r="S3709" s="350"/>
      <c r="BF3709" s="350"/>
      <c r="BG3709" s="350"/>
      <c r="BH3709" s="350"/>
    </row>
    <row r="3710" spans="4:60">
      <c r="D3710" s="350"/>
      <c r="S3710" s="350"/>
      <c r="BF3710" s="350"/>
      <c r="BG3710" s="350"/>
      <c r="BH3710" s="350"/>
    </row>
    <row r="3711" spans="4:60">
      <c r="D3711" s="350"/>
      <c r="S3711" s="350"/>
      <c r="BF3711" s="350"/>
      <c r="BG3711" s="350"/>
      <c r="BH3711" s="350"/>
    </row>
    <row r="3719" spans="4:60">
      <c r="D3719" s="350"/>
      <c r="S3719" s="350"/>
      <c r="BF3719" s="350"/>
      <c r="BG3719" s="350"/>
      <c r="BH3719" s="350"/>
    </row>
    <row r="3720" spans="4:60">
      <c r="D3720" s="350"/>
      <c r="S3720" s="350"/>
      <c r="BF3720" s="350"/>
      <c r="BG3720" s="350"/>
      <c r="BH3720" s="350"/>
    </row>
    <row r="3721" spans="4:60">
      <c r="D3721" s="350"/>
      <c r="S3721" s="350"/>
      <c r="BF3721" s="350"/>
      <c r="BG3721" s="350"/>
      <c r="BH3721" s="350"/>
    </row>
    <row r="3722" spans="4:60">
      <c r="D3722" s="350"/>
      <c r="S3722" s="350"/>
      <c r="BF3722" s="350"/>
      <c r="BG3722" s="350"/>
      <c r="BH3722" s="350"/>
    </row>
    <row r="3723" spans="4:60">
      <c r="D3723" s="350"/>
      <c r="S3723" s="350"/>
      <c r="BF3723" s="350"/>
      <c r="BG3723" s="350"/>
      <c r="BH3723" s="350"/>
    </row>
    <row r="3724" spans="4:60">
      <c r="D3724" s="350"/>
      <c r="S3724" s="350"/>
      <c r="BF3724" s="350"/>
      <c r="BG3724" s="350"/>
      <c r="BH3724" s="350"/>
    </row>
    <row r="3725" spans="4:60">
      <c r="D3725" s="350"/>
      <c r="S3725" s="350"/>
      <c r="BF3725" s="350"/>
      <c r="BG3725" s="350"/>
      <c r="BH3725" s="350"/>
    </row>
    <row r="3726" spans="4:60">
      <c r="D3726" s="350"/>
      <c r="S3726" s="350"/>
      <c r="BF3726" s="350"/>
      <c r="BG3726" s="350"/>
      <c r="BH3726" s="350"/>
    </row>
    <row r="3727" spans="4:60">
      <c r="D3727" s="350"/>
      <c r="S3727" s="350"/>
      <c r="BF3727" s="350"/>
      <c r="BG3727" s="350"/>
      <c r="BH3727" s="350"/>
    </row>
    <row r="3728" spans="4:60">
      <c r="D3728" s="350"/>
      <c r="S3728" s="350"/>
      <c r="BF3728" s="350"/>
      <c r="BG3728" s="350"/>
      <c r="BH3728" s="350"/>
    </row>
    <row r="3729" spans="4:60">
      <c r="D3729" s="350"/>
      <c r="S3729" s="350"/>
      <c r="BF3729" s="350"/>
      <c r="BG3729" s="350"/>
      <c r="BH3729" s="350"/>
    </row>
    <row r="3730" spans="4:60">
      <c r="D3730" s="350"/>
      <c r="S3730" s="350"/>
      <c r="BF3730" s="350"/>
      <c r="BG3730" s="350"/>
      <c r="BH3730" s="350"/>
    </row>
    <row r="3731" spans="4:60">
      <c r="D3731" s="350"/>
      <c r="S3731" s="350"/>
      <c r="BF3731" s="350"/>
      <c r="BG3731" s="350"/>
      <c r="BH3731" s="350"/>
    </row>
    <row r="3732" spans="4:60">
      <c r="D3732" s="350"/>
      <c r="S3732" s="350"/>
      <c r="BF3732" s="350"/>
      <c r="BG3732" s="350"/>
      <c r="BH3732" s="350"/>
    </row>
    <row r="3733" spans="4:60">
      <c r="D3733" s="350"/>
      <c r="S3733" s="350"/>
      <c r="BF3733" s="350"/>
      <c r="BG3733" s="350"/>
      <c r="BH3733" s="350"/>
    </row>
    <row r="3734" spans="4:60">
      <c r="D3734" s="350"/>
      <c r="S3734" s="350"/>
      <c r="BF3734" s="350"/>
      <c r="BG3734" s="350"/>
      <c r="BH3734" s="350"/>
    </row>
    <row r="3735" spans="4:60">
      <c r="D3735" s="350"/>
      <c r="S3735" s="350"/>
      <c r="BF3735" s="350"/>
      <c r="BG3735" s="350"/>
      <c r="BH3735" s="350"/>
    </row>
    <row r="3736" spans="4:60">
      <c r="D3736" s="350"/>
      <c r="S3736" s="350"/>
      <c r="BF3736" s="350"/>
      <c r="BG3736" s="350"/>
      <c r="BH3736" s="350"/>
    </row>
    <row r="3737" spans="4:60">
      <c r="D3737" s="350"/>
      <c r="S3737" s="350"/>
      <c r="BF3737" s="350"/>
      <c r="BG3737" s="350"/>
      <c r="BH3737" s="350"/>
    </row>
    <row r="3738" spans="4:60">
      <c r="D3738" s="350"/>
      <c r="S3738" s="350"/>
      <c r="BF3738" s="350"/>
      <c r="BG3738" s="350"/>
      <c r="BH3738" s="350"/>
    </row>
    <row r="3740" spans="4:60">
      <c r="D3740" s="350"/>
      <c r="S3740" s="350"/>
      <c r="BF3740" s="350"/>
      <c r="BG3740" s="350"/>
      <c r="BH3740" s="350"/>
    </row>
    <row r="3741" spans="4:60">
      <c r="D3741" s="350"/>
      <c r="S3741" s="350"/>
      <c r="BF3741" s="350"/>
      <c r="BG3741" s="350"/>
      <c r="BH3741" s="350"/>
    </row>
    <row r="3744" spans="4:60">
      <c r="D3744" s="350"/>
      <c r="S3744" s="350"/>
      <c r="BF3744" s="350"/>
      <c r="BG3744" s="350"/>
      <c r="BH3744" s="350"/>
    </row>
    <row r="3745" spans="4:60">
      <c r="D3745" s="350"/>
      <c r="S3745" s="350"/>
      <c r="BF3745" s="350"/>
      <c r="BG3745" s="350"/>
      <c r="BH3745" s="350"/>
    </row>
    <row r="3746" spans="4:60">
      <c r="D3746" s="350"/>
      <c r="S3746" s="350"/>
      <c r="BF3746" s="350"/>
      <c r="BG3746" s="350"/>
      <c r="BH3746" s="350"/>
    </row>
    <row r="3747" spans="4:60">
      <c r="D3747" s="350"/>
      <c r="S3747" s="350"/>
      <c r="BF3747" s="350"/>
      <c r="BG3747" s="350"/>
      <c r="BH3747" s="350"/>
    </row>
    <row r="3748" spans="4:60">
      <c r="D3748" s="350"/>
      <c r="S3748" s="350"/>
      <c r="BF3748" s="350"/>
      <c r="BG3748" s="350"/>
      <c r="BH3748" s="350"/>
    </row>
    <row r="3749" spans="4:60">
      <c r="D3749" s="350"/>
      <c r="S3749" s="350"/>
      <c r="BF3749" s="350"/>
      <c r="BG3749" s="350"/>
      <c r="BH3749" s="350"/>
    </row>
    <row r="3750" spans="4:60">
      <c r="D3750" s="350"/>
      <c r="S3750" s="350"/>
      <c r="BF3750" s="350"/>
      <c r="BG3750" s="350"/>
      <c r="BH3750" s="350"/>
    </row>
    <row r="3751" spans="4:60">
      <c r="D3751" s="350"/>
      <c r="S3751" s="350"/>
      <c r="BF3751" s="350"/>
      <c r="BG3751" s="350"/>
      <c r="BH3751" s="350"/>
    </row>
    <row r="3752" spans="4:60">
      <c r="D3752" s="350"/>
      <c r="S3752" s="350"/>
      <c r="BF3752" s="350"/>
      <c r="BG3752" s="350"/>
      <c r="BH3752" s="350"/>
    </row>
    <row r="3753" spans="4:60">
      <c r="D3753" s="350"/>
      <c r="S3753" s="350"/>
      <c r="BF3753" s="350"/>
      <c r="BG3753" s="350"/>
      <c r="BH3753" s="350"/>
    </row>
    <row r="3754" spans="4:60">
      <c r="D3754" s="350"/>
      <c r="S3754" s="350"/>
      <c r="BF3754" s="350"/>
      <c r="BG3754" s="350"/>
      <c r="BH3754" s="350"/>
    </row>
    <row r="3755" spans="4:60">
      <c r="D3755" s="350"/>
      <c r="S3755" s="350"/>
      <c r="BF3755" s="350"/>
      <c r="BG3755" s="350"/>
      <c r="BH3755" s="350"/>
    </row>
    <row r="3756" spans="4:60">
      <c r="D3756" s="350"/>
      <c r="S3756" s="350"/>
      <c r="BF3756" s="350"/>
      <c r="BG3756" s="350"/>
      <c r="BH3756" s="350"/>
    </row>
    <row r="3757" spans="4:60">
      <c r="D3757" s="350"/>
      <c r="S3757" s="350"/>
      <c r="BF3757" s="350"/>
      <c r="BG3757" s="350"/>
      <c r="BH3757" s="350"/>
    </row>
    <row r="3758" spans="4:60">
      <c r="D3758" s="350"/>
      <c r="S3758" s="350"/>
      <c r="BF3758" s="350"/>
      <c r="BG3758" s="350"/>
      <c r="BH3758" s="350"/>
    </row>
    <row r="3759" spans="4:60">
      <c r="D3759" s="350"/>
      <c r="S3759" s="350"/>
      <c r="BF3759" s="350"/>
      <c r="BG3759" s="350"/>
      <c r="BH3759" s="350"/>
    </row>
    <row r="3760" spans="4:60">
      <c r="D3760" s="350"/>
      <c r="S3760" s="350"/>
      <c r="BF3760" s="350"/>
      <c r="BG3760" s="350"/>
      <c r="BH3760" s="350"/>
    </row>
    <row r="3761" spans="4:60">
      <c r="D3761" s="350"/>
      <c r="S3761" s="350"/>
      <c r="BF3761" s="350"/>
      <c r="BG3761" s="350"/>
      <c r="BH3761" s="350"/>
    </row>
    <row r="3762" spans="4:60">
      <c r="D3762" s="350"/>
      <c r="S3762" s="350"/>
      <c r="BF3762" s="350"/>
      <c r="BG3762" s="350"/>
      <c r="BH3762" s="350"/>
    </row>
    <row r="3763" spans="4:60">
      <c r="D3763" s="350"/>
      <c r="S3763" s="350"/>
      <c r="BF3763" s="350"/>
      <c r="BG3763" s="350"/>
      <c r="BH3763" s="350"/>
    </row>
    <row r="3764" spans="4:60">
      <c r="D3764" s="350"/>
      <c r="S3764" s="350"/>
      <c r="BF3764" s="350"/>
      <c r="BG3764" s="350"/>
      <c r="BH3764" s="350"/>
    </row>
    <row r="3765" spans="4:60">
      <c r="D3765" s="350"/>
      <c r="S3765" s="350"/>
      <c r="BF3765" s="350"/>
      <c r="BG3765" s="350"/>
      <c r="BH3765" s="350"/>
    </row>
    <row r="3766" spans="4:60">
      <c r="D3766" s="350"/>
      <c r="S3766" s="350"/>
      <c r="BF3766" s="350"/>
      <c r="BG3766" s="350"/>
      <c r="BH3766" s="350"/>
    </row>
    <row r="3767" spans="4:60">
      <c r="D3767" s="350"/>
      <c r="S3767" s="350"/>
      <c r="BF3767" s="350"/>
      <c r="BG3767" s="350"/>
      <c r="BH3767" s="350"/>
    </row>
    <row r="3768" spans="4:60">
      <c r="D3768" s="350"/>
      <c r="S3768" s="350"/>
      <c r="BF3768" s="350"/>
      <c r="BG3768" s="350"/>
      <c r="BH3768" s="350"/>
    </row>
    <row r="3770" spans="4:60">
      <c r="D3770" s="350"/>
      <c r="S3770" s="350"/>
      <c r="BF3770" s="350"/>
      <c r="BG3770" s="350"/>
      <c r="BH3770" s="350"/>
    </row>
    <row r="3771" spans="4:60">
      <c r="D3771" s="350"/>
      <c r="S3771" s="350"/>
      <c r="BF3771" s="350"/>
      <c r="BG3771" s="350"/>
      <c r="BH3771" s="350"/>
    </row>
    <row r="3776" spans="4:60">
      <c r="D3776" s="350"/>
      <c r="S3776" s="350"/>
      <c r="BF3776" s="350"/>
      <c r="BG3776" s="350"/>
      <c r="BH3776" s="350"/>
    </row>
    <row r="3777" spans="4:60">
      <c r="D3777" s="350"/>
      <c r="S3777" s="350"/>
      <c r="BF3777" s="350"/>
      <c r="BG3777" s="350"/>
      <c r="BH3777" s="350"/>
    </row>
    <row r="3778" spans="4:60">
      <c r="D3778" s="350"/>
      <c r="S3778" s="350"/>
      <c r="BF3778" s="350"/>
      <c r="BG3778" s="350"/>
      <c r="BH3778" s="350"/>
    </row>
    <row r="3779" spans="4:60">
      <c r="D3779" s="350"/>
      <c r="S3779" s="350"/>
      <c r="BF3779" s="350"/>
      <c r="BG3779" s="350"/>
      <c r="BH3779" s="350"/>
    </row>
    <row r="3780" spans="4:60">
      <c r="D3780" s="350"/>
      <c r="S3780" s="350"/>
      <c r="BF3780" s="350"/>
      <c r="BG3780" s="350"/>
      <c r="BH3780" s="350"/>
    </row>
    <row r="3781" spans="4:60">
      <c r="D3781" s="350"/>
      <c r="S3781" s="350"/>
      <c r="BF3781" s="350"/>
      <c r="BG3781" s="350"/>
      <c r="BH3781" s="350"/>
    </row>
    <row r="3782" spans="4:60">
      <c r="D3782" s="350"/>
      <c r="S3782" s="350"/>
      <c r="BF3782" s="350"/>
      <c r="BG3782" s="350"/>
      <c r="BH3782" s="350"/>
    </row>
    <row r="3783" spans="4:60">
      <c r="D3783" s="350"/>
      <c r="S3783" s="350"/>
      <c r="BF3783" s="350"/>
      <c r="BG3783" s="350"/>
      <c r="BH3783" s="350"/>
    </row>
    <row r="3784" spans="4:60">
      <c r="D3784" s="350"/>
      <c r="S3784" s="350"/>
      <c r="BF3784" s="350"/>
      <c r="BG3784" s="350"/>
      <c r="BH3784" s="350"/>
    </row>
    <row r="3785" spans="4:60">
      <c r="D3785" s="350"/>
      <c r="S3785" s="350"/>
      <c r="BF3785" s="350"/>
      <c r="BG3785" s="350"/>
      <c r="BH3785" s="350"/>
    </row>
    <row r="3786" spans="4:60">
      <c r="D3786" s="350"/>
      <c r="S3786" s="350"/>
      <c r="BF3786" s="350"/>
      <c r="BG3786" s="350"/>
      <c r="BH3786" s="350"/>
    </row>
    <row r="3787" spans="4:60">
      <c r="D3787" s="350"/>
      <c r="S3787" s="350"/>
      <c r="BF3787" s="350"/>
      <c r="BG3787" s="350"/>
      <c r="BH3787" s="350"/>
    </row>
    <row r="3788" spans="4:60">
      <c r="D3788" s="350"/>
      <c r="S3788" s="350"/>
      <c r="BF3788" s="350"/>
      <c r="BG3788" s="350"/>
      <c r="BH3788" s="350"/>
    </row>
    <row r="3789" spans="4:60">
      <c r="D3789" s="350"/>
      <c r="S3789" s="350"/>
      <c r="BF3789" s="350"/>
      <c r="BG3789" s="350"/>
      <c r="BH3789" s="350"/>
    </row>
    <row r="3790" spans="4:60">
      <c r="D3790" s="350"/>
      <c r="S3790" s="350"/>
      <c r="BF3790" s="350"/>
      <c r="BG3790" s="350"/>
      <c r="BH3790" s="350"/>
    </row>
    <row r="3791" spans="4:60">
      <c r="D3791" s="350"/>
      <c r="S3791" s="350"/>
      <c r="BF3791" s="350"/>
      <c r="BG3791" s="350"/>
      <c r="BH3791" s="350"/>
    </row>
    <row r="3792" spans="4:60">
      <c r="D3792" s="350"/>
      <c r="S3792" s="350"/>
      <c r="BF3792" s="350"/>
      <c r="BG3792" s="350"/>
      <c r="BH3792" s="350"/>
    </row>
    <row r="3793" spans="4:60">
      <c r="D3793" s="350"/>
      <c r="S3793" s="350"/>
      <c r="BF3793" s="350"/>
      <c r="BG3793" s="350"/>
      <c r="BH3793" s="350"/>
    </row>
    <row r="3794" spans="4:60">
      <c r="D3794" s="350"/>
      <c r="S3794" s="350"/>
      <c r="BF3794" s="350"/>
      <c r="BG3794" s="350"/>
      <c r="BH3794" s="350"/>
    </row>
    <row r="3795" spans="4:60">
      <c r="D3795" s="350"/>
      <c r="S3795" s="350"/>
      <c r="BF3795" s="350"/>
      <c r="BG3795" s="350"/>
      <c r="BH3795" s="350"/>
    </row>
    <row r="3796" spans="4:60">
      <c r="D3796" s="350"/>
      <c r="S3796" s="350"/>
      <c r="BF3796" s="350"/>
      <c r="BG3796" s="350"/>
      <c r="BH3796" s="350"/>
    </row>
    <row r="3797" spans="4:60">
      <c r="D3797" s="350"/>
      <c r="S3797" s="350"/>
      <c r="BF3797" s="350"/>
      <c r="BG3797" s="350"/>
      <c r="BH3797" s="350"/>
    </row>
    <row r="3798" spans="4:60">
      <c r="D3798" s="350"/>
      <c r="S3798" s="350"/>
      <c r="BF3798" s="350"/>
      <c r="BG3798" s="350"/>
      <c r="BH3798" s="350"/>
    </row>
    <row r="3799" spans="4:60">
      <c r="D3799" s="350"/>
      <c r="S3799" s="350"/>
      <c r="BF3799" s="350"/>
      <c r="BG3799" s="350"/>
      <c r="BH3799" s="350"/>
    </row>
    <row r="3800" spans="4:60">
      <c r="D3800" s="350"/>
      <c r="S3800" s="350"/>
      <c r="BF3800" s="350"/>
      <c r="BG3800" s="350"/>
      <c r="BH3800" s="350"/>
    </row>
    <row r="3801" spans="4:60">
      <c r="D3801" s="350"/>
      <c r="S3801" s="350"/>
      <c r="BF3801" s="350"/>
      <c r="BG3801" s="350"/>
      <c r="BH3801" s="350"/>
    </row>
    <row r="3802" spans="4:60">
      <c r="D3802" s="350"/>
      <c r="S3802" s="350"/>
      <c r="BF3802" s="350"/>
      <c r="BG3802" s="350"/>
      <c r="BH3802" s="350"/>
    </row>
    <row r="3803" spans="4:60">
      <c r="D3803" s="350"/>
      <c r="S3803" s="350"/>
      <c r="BF3803" s="350"/>
      <c r="BG3803" s="350"/>
      <c r="BH3803" s="350"/>
    </row>
    <row r="3804" spans="4:60">
      <c r="D3804" s="350"/>
      <c r="S3804" s="350"/>
      <c r="BF3804" s="350"/>
      <c r="BG3804" s="350"/>
      <c r="BH3804" s="350"/>
    </row>
    <row r="3805" spans="4:60">
      <c r="D3805" s="350"/>
      <c r="S3805" s="350"/>
      <c r="BF3805" s="350"/>
      <c r="BG3805" s="350"/>
      <c r="BH3805" s="350"/>
    </row>
    <row r="3806" spans="4:60">
      <c r="D3806" s="350"/>
      <c r="S3806" s="350"/>
      <c r="BF3806" s="350"/>
      <c r="BG3806" s="350"/>
      <c r="BH3806" s="350"/>
    </row>
    <row r="3807" spans="4:60">
      <c r="D3807" s="350"/>
      <c r="S3807" s="350"/>
      <c r="BF3807" s="350"/>
      <c r="BG3807" s="350"/>
      <c r="BH3807" s="350"/>
    </row>
    <row r="3808" spans="4:60">
      <c r="D3808" s="350"/>
      <c r="S3808" s="350"/>
      <c r="BF3808" s="350"/>
      <c r="BG3808" s="350"/>
      <c r="BH3808" s="350"/>
    </row>
    <row r="3809" spans="4:60">
      <c r="D3809" s="350"/>
      <c r="S3809" s="350"/>
      <c r="BF3809" s="350"/>
      <c r="BG3809" s="350"/>
      <c r="BH3809" s="350"/>
    </row>
    <row r="3810" spans="4:60">
      <c r="D3810" s="350"/>
      <c r="S3810" s="350"/>
      <c r="BF3810" s="350"/>
      <c r="BG3810" s="350"/>
      <c r="BH3810" s="350"/>
    </row>
    <row r="3811" spans="4:60">
      <c r="D3811" s="350"/>
      <c r="S3811" s="350"/>
      <c r="BF3811" s="350"/>
      <c r="BG3811" s="350"/>
      <c r="BH3811" s="350"/>
    </row>
    <row r="3812" spans="4:60">
      <c r="D3812" s="350"/>
      <c r="S3812" s="350"/>
      <c r="BF3812" s="350"/>
      <c r="BG3812" s="350"/>
      <c r="BH3812" s="350"/>
    </row>
    <row r="3813" spans="4:60">
      <c r="D3813" s="350"/>
      <c r="S3813" s="350"/>
      <c r="BF3813" s="350"/>
      <c r="BG3813" s="350"/>
      <c r="BH3813" s="350"/>
    </row>
    <row r="3814" spans="4:60">
      <c r="D3814" s="350"/>
      <c r="S3814" s="350"/>
      <c r="BF3814" s="350"/>
      <c r="BG3814" s="350"/>
      <c r="BH3814" s="350"/>
    </row>
    <row r="3815" spans="4:60">
      <c r="D3815" s="350"/>
      <c r="S3815" s="350"/>
      <c r="BF3815" s="350"/>
      <c r="BG3815" s="350"/>
      <c r="BH3815" s="350"/>
    </row>
    <row r="3816" spans="4:60">
      <c r="D3816" s="350"/>
      <c r="S3816" s="350"/>
      <c r="BF3816" s="350"/>
      <c r="BG3816" s="350"/>
      <c r="BH3816" s="350"/>
    </row>
    <row r="3817" spans="4:60">
      <c r="D3817" s="350"/>
      <c r="S3817" s="350"/>
      <c r="BF3817" s="350"/>
      <c r="BG3817" s="350"/>
      <c r="BH3817" s="350"/>
    </row>
    <row r="3818" spans="4:60">
      <c r="D3818" s="350"/>
      <c r="S3818" s="350"/>
      <c r="BF3818" s="350"/>
      <c r="BG3818" s="350"/>
      <c r="BH3818" s="350"/>
    </row>
    <row r="3819" spans="4:60">
      <c r="D3819" s="350"/>
      <c r="S3819" s="350"/>
      <c r="BF3819" s="350"/>
      <c r="BG3819" s="350"/>
      <c r="BH3819" s="350"/>
    </row>
    <row r="3820" spans="4:60">
      <c r="D3820" s="350"/>
      <c r="S3820" s="350"/>
      <c r="BF3820" s="350"/>
      <c r="BG3820" s="350"/>
      <c r="BH3820" s="350"/>
    </row>
    <row r="3821" spans="4:60">
      <c r="D3821" s="350"/>
      <c r="S3821" s="350"/>
      <c r="BF3821" s="350"/>
      <c r="BG3821" s="350"/>
      <c r="BH3821" s="350"/>
    </row>
    <row r="3822" spans="4:60">
      <c r="D3822" s="350"/>
      <c r="S3822" s="350"/>
      <c r="BF3822" s="350"/>
      <c r="BG3822" s="350"/>
      <c r="BH3822" s="350"/>
    </row>
    <row r="3823" spans="4:60">
      <c r="D3823" s="350"/>
      <c r="S3823" s="350"/>
      <c r="BF3823" s="350"/>
      <c r="BG3823" s="350"/>
      <c r="BH3823" s="350"/>
    </row>
    <row r="3824" spans="4:60">
      <c r="D3824" s="350"/>
      <c r="S3824" s="350"/>
      <c r="BF3824" s="350"/>
      <c r="BG3824" s="350"/>
      <c r="BH3824" s="350"/>
    </row>
    <row r="3825" spans="4:60">
      <c r="D3825" s="350"/>
      <c r="S3825" s="350"/>
      <c r="BF3825" s="350"/>
      <c r="BG3825" s="350"/>
      <c r="BH3825" s="350"/>
    </row>
    <row r="3826" spans="4:60">
      <c r="D3826" s="350"/>
      <c r="S3826" s="350"/>
      <c r="BF3826" s="350"/>
      <c r="BG3826" s="350"/>
      <c r="BH3826" s="350"/>
    </row>
    <row r="3827" spans="4:60">
      <c r="D3827" s="350"/>
      <c r="S3827" s="350"/>
      <c r="BF3827" s="350"/>
      <c r="BG3827" s="350"/>
      <c r="BH3827" s="350"/>
    </row>
    <row r="3828" spans="4:60">
      <c r="D3828" s="350"/>
      <c r="S3828" s="350"/>
      <c r="BF3828" s="350"/>
      <c r="BG3828" s="350"/>
      <c r="BH3828" s="350"/>
    </row>
    <row r="3829" spans="4:60">
      <c r="D3829" s="350"/>
      <c r="S3829" s="350"/>
      <c r="BF3829" s="350"/>
      <c r="BG3829" s="350"/>
      <c r="BH3829" s="350"/>
    </row>
    <row r="3830" spans="4:60">
      <c r="D3830" s="350"/>
      <c r="S3830" s="350"/>
      <c r="BF3830" s="350"/>
      <c r="BG3830" s="350"/>
      <c r="BH3830" s="350"/>
    </row>
    <row r="3831" spans="4:60">
      <c r="D3831" s="350"/>
      <c r="S3831" s="350"/>
      <c r="BF3831" s="350"/>
      <c r="BG3831" s="350"/>
      <c r="BH3831" s="350"/>
    </row>
    <row r="3832" spans="4:60">
      <c r="D3832" s="350"/>
      <c r="S3832" s="350"/>
      <c r="BF3832" s="350"/>
      <c r="BG3832" s="350"/>
      <c r="BH3832" s="350"/>
    </row>
    <row r="3833" spans="4:60">
      <c r="D3833" s="350"/>
      <c r="S3833" s="350"/>
      <c r="BF3833" s="350"/>
      <c r="BG3833" s="350"/>
      <c r="BH3833" s="350"/>
    </row>
    <row r="3834" spans="4:60">
      <c r="D3834" s="350"/>
      <c r="S3834" s="350"/>
      <c r="BF3834" s="350"/>
      <c r="BG3834" s="350"/>
      <c r="BH3834" s="350"/>
    </row>
    <row r="3835" spans="4:60">
      <c r="D3835" s="350"/>
      <c r="S3835" s="350"/>
      <c r="BF3835" s="350"/>
      <c r="BG3835" s="350"/>
      <c r="BH3835" s="350"/>
    </row>
    <row r="3836" spans="4:60">
      <c r="D3836" s="350"/>
      <c r="S3836" s="350"/>
      <c r="BF3836" s="350"/>
      <c r="BG3836" s="350"/>
      <c r="BH3836" s="350"/>
    </row>
    <row r="3837" spans="4:60">
      <c r="D3837" s="350"/>
      <c r="S3837" s="350"/>
      <c r="BF3837" s="350"/>
      <c r="BG3837" s="350"/>
      <c r="BH3837" s="350"/>
    </row>
    <row r="3838" spans="4:60">
      <c r="D3838" s="350"/>
      <c r="S3838" s="350"/>
      <c r="BF3838" s="350"/>
      <c r="BG3838" s="350"/>
      <c r="BH3838" s="350"/>
    </row>
    <row r="3839" spans="4:60">
      <c r="D3839" s="350"/>
      <c r="S3839" s="350"/>
      <c r="BF3839" s="350"/>
      <c r="BG3839" s="350"/>
      <c r="BH3839" s="350"/>
    </row>
    <row r="3840" spans="4:60">
      <c r="D3840" s="350"/>
      <c r="S3840" s="350"/>
      <c r="BF3840" s="350"/>
      <c r="BG3840" s="350"/>
      <c r="BH3840" s="350"/>
    </row>
    <row r="3841" spans="4:60">
      <c r="D3841" s="350"/>
      <c r="S3841" s="350"/>
      <c r="BF3841" s="350"/>
      <c r="BG3841" s="350"/>
      <c r="BH3841" s="350"/>
    </row>
    <row r="3842" spans="4:60">
      <c r="D3842" s="350"/>
      <c r="S3842" s="350"/>
      <c r="BF3842" s="350"/>
      <c r="BG3842" s="350"/>
      <c r="BH3842" s="350"/>
    </row>
    <row r="3843" spans="4:60">
      <c r="D3843" s="350"/>
      <c r="S3843" s="350"/>
      <c r="BF3843" s="350"/>
      <c r="BG3843" s="350"/>
      <c r="BH3843" s="350"/>
    </row>
    <row r="3844" spans="4:60">
      <c r="D3844" s="350"/>
      <c r="S3844" s="350"/>
      <c r="BF3844" s="350"/>
      <c r="BG3844" s="350"/>
      <c r="BH3844" s="350"/>
    </row>
    <row r="3845" spans="4:60">
      <c r="D3845" s="350"/>
      <c r="S3845" s="350"/>
      <c r="BF3845" s="350"/>
      <c r="BG3845" s="350"/>
      <c r="BH3845" s="350"/>
    </row>
    <row r="3846" spans="4:60">
      <c r="D3846" s="350"/>
      <c r="S3846" s="350"/>
      <c r="BF3846" s="350"/>
      <c r="BG3846" s="350"/>
      <c r="BH3846" s="350"/>
    </row>
    <row r="3847" spans="4:60">
      <c r="D3847" s="350"/>
      <c r="S3847" s="350"/>
      <c r="BF3847" s="350"/>
      <c r="BG3847" s="350"/>
      <c r="BH3847" s="350"/>
    </row>
    <row r="3848" spans="4:60">
      <c r="D3848" s="350"/>
      <c r="S3848" s="350"/>
      <c r="BF3848" s="350"/>
      <c r="BG3848" s="350"/>
      <c r="BH3848" s="350"/>
    </row>
    <row r="3849" spans="4:60">
      <c r="D3849" s="350"/>
      <c r="S3849" s="350"/>
      <c r="BF3849" s="350"/>
      <c r="BG3849" s="350"/>
      <c r="BH3849" s="350"/>
    </row>
    <row r="3850" spans="4:60">
      <c r="D3850" s="350"/>
      <c r="S3850" s="350"/>
      <c r="BF3850" s="350"/>
      <c r="BG3850" s="350"/>
      <c r="BH3850" s="350"/>
    </row>
    <row r="3851" spans="4:60">
      <c r="D3851" s="350"/>
      <c r="S3851" s="350"/>
      <c r="BF3851" s="350"/>
      <c r="BG3851" s="350"/>
      <c r="BH3851" s="350"/>
    </row>
    <row r="3852" spans="4:60">
      <c r="D3852" s="350"/>
      <c r="S3852" s="350"/>
      <c r="BF3852" s="350"/>
      <c r="BG3852" s="350"/>
      <c r="BH3852" s="350"/>
    </row>
    <row r="3853" spans="4:60">
      <c r="D3853" s="350"/>
      <c r="S3853" s="350"/>
      <c r="BF3853" s="350"/>
      <c r="BG3853" s="350"/>
      <c r="BH3853" s="350"/>
    </row>
    <row r="3854" spans="4:60">
      <c r="D3854" s="350"/>
      <c r="S3854" s="350"/>
      <c r="BF3854" s="350"/>
      <c r="BG3854" s="350"/>
      <c r="BH3854" s="350"/>
    </row>
    <row r="3855" spans="4:60">
      <c r="D3855" s="350"/>
      <c r="S3855" s="350"/>
      <c r="BF3855" s="350"/>
      <c r="BG3855" s="350"/>
      <c r="BH3855" s="350"/>
    </row>
    <row r="3856" spans="4:60">
      <c r="D3856" s="350"/>
      <c r="S3856" s="350"/>
      <c r="BF3856" s="350"/>
      <c r="BG3856" s="350"/>
      <c r="BH3856" s="350"/>
    </row>
    <row r="3857" spans="4:60">
      <c r="D3857" s="350"/>
      <c r="S3857" s="350"/>
      <c r="BF3857" s="350"/>
      <c r="BG3857" s="350"/>
      <c r="BH3857" s="350"/>
    </row>
    <row r="3858" spans="4:60">
      <c r="D3858" s="350"/>
      <c r="S3858" s="350"/>
      <c r="BF3858" s="350"/>
      <c r="BG3858" s="350"/>
      <c r="BH3858" s="350"/>
    </row>
    <row r="3859" spans="4:60">
      <c r="D3859" s="350"/>
      <c r="S3859" s="350"/>
      <c r="BF3859" s="350"/>
      <c r="BG3859" s="350"/>
      <c r="BH3859" s="350"/>
    </row>
    <row r="3860" spans="4:60">
      <c r="D3860" s="350"/>
      <c r="S3860" s="350"/>
      <c r="BF3860" s="350"/>
      <c r="BG3860" s="350"/>
      <c r="BH3860" s="350"/>
    </row>
    <row r="3861" spans="4:60">
      <c r="D3861" s="350"/>
      <c r="S3861" s="350"/>
      <c r="BF3861" s="350"/>
      <c r="BG3861" s="350"/>
      <c r="BH3861" s="350"/>
    </row>
    <row r="3862" spans="4:60">
      <c r="D3862" s="350"/>
      <c r="S3862" s="350"/>
      <c r="BF3862" s="350"/>
      <c r="BG3862" s="350"/>
      <c r="BH3862" s="350"/>
    </row>
    <row r="3863" spans="4:60">
      <c r="D3863" s="350"/>
      <c r="S3863" s="350"/>
      <c r="BF3863" s="350"/>
      <c r="BG3863" s="350"/>
      <c r="BH3863" s="350"/>
    </row>
    <row r="3864" spans="4:60">
      <c r="D3864" s="350"/>
      <c r="S3864" s="350"/>
      <c r="BF3864" s="350"/>
      <c r="BG3864" s="350"/>
      <c r="BH3864" s="350"/>
    </row>
    <row r="3865" spans="4:60">
      <c r="D3865" s="350"/>
      <c r="S3865" s="350"/>
      <c r="BF3865" s="350"/>
      <c r="BG3865" s="350"/>
      <c r="BH3865" s="350"/>
    </row>
    <row r="3866" spans="4:60">
      <c r="D3866" s="350"/>
      <c r="S3866" s="350"/>
      <c r="BF3866" s="350"/>
      <c r="BG3866" s="350"/>
      <c r="BH3866" s="350"/>
    </row>
    <row r="3867" spans="4:60">
      <c r="D3867" s="350"/>
      <c r="S3867" s="350"/>
      <c r="BF3867" s="350"/>
      <c r="BG3867" s="350"/>
      <c r="BH3867" s="350"/>
    </row>
    <row r="3868" spans="4:60">
      <c r="D3868" s="350"/>
      <c r="S3868" s="350"/>
      <c r="BF3868" s="350"/>
      <c r="BG3868" s="350"/>
      <c r="BH3868" s="350"/>
    </row>
    <row r="3869" spans="4:60">
      <c r="D3869" s="350"/>
      <c r="S3869" s="350"/>
      <c r="BF3869" s="350"/>
      <c r="BG3869" s="350"/>
      <c r="BH3869" s="350"/>
    </row>
    <row r="3870" spans="4:60">
      <c r="D3870" s="350"/>
      <c r="S3870" s="350"/>
      <c r="BF3870" s="350"/>
      <c r="BG3870" s="350"/>
      <c r="BH3870" s="350"/>
    </row>
    <row r="3871" spans="4:60">
      <c r="D3871" s="350"/>
      <c r="S3871" s="350"/>
      <c r="BF3871" s="350"/>
      <c r="BG3871" s="350"/>
      <c r="BH3871" s="350"/>
    </row>
    <row r="3872" spans="4:60">
      <c r="D3872" s="350"/>
      <c r="S3872" s="350"/>
      <c r="BF3872" s="350"/>
      <c r="BG3872" s="350"/>
      <c r="BH3872" s="350"/>
    </row>
    <row r="3873" spans="4:60">
      <c r="D3873" s="350"/>
      <c r="S3873" s="350"/>
      <c r="BF3873" s="350"/>
      <c r="BG3873" s="350"/>
      <c r="BH3873" s="350"/>
    </row>
    <row r="3874" spans="4:60">
      <c r="D3874" s="350"/>
      <c r="S3874" s="350"/>
      <c r="BF3874" s="350"/>
      <c r="BG3874" s="350"/>
      <c r="BH3874" s="350"/>
    </row>
    <row r="3875" spans="4:60">
      <c r="D3875" s="350"/>
      <c r="S3875" s="350"/>
      <c r="BF3875" s="350"/>
      <c r="BG3875" s="350"/>
      <c r="BH3875" s="350"/>
    </row>
    <row r="3876" spans="4:60">
      <c r="D3876" s="350"/>
      <c r="S3876" s="350"/>
      <c r="BF3876" s="350"/>
      <c r="BG3876" s="350"/>
      <c r="BH3876" s="350"/>
    </row>
    <row r="3877" spans="4:60">
      <c r="D3877" s="350"/>
      <c r="S3877" s="350"/>
      <c r="BF3877" s="350"/>
      <c r="BG3877" s="350"/>
      <c r="BH3877" s="350"/>
    </row>
    <row r="3878" spans="4:60">
      <c r="D3878" s="350"/>
      <c r="S3878" s="350"/>
      <c r="BF3878" s="350"/>
      <c r="BG3878" s="350"/>
      <c r="BH3878" s="350"/>
    </row>
    <row r="3879" spans="4:60">
      <c r="D3879" s="350"/>
      <c r="S3879" s="350"/>
      <c r="BF3879" s="350"/>
      <c r="BG3879" s="350"/>
      <c r="BH3879" s="350"/>
    </row>
    <row r="3880" spans="4:60">
      <c r="D3880" s="350"/>
      <c r="S3880" s="350"/>
      <c r="BF3880" s="350"/>
      <c r="BG3880" s="350"/>
      <c r="BH3880" s="350"/>
    </row>
    <row r="3881" spans="4:60">
      <c r="D3881" s="350"/>
      <c r="S3881" s="350"/>
      <c r="BF3881" s="350"/>
      <c r="BG3881" s="350"/>
      <c r="BH3881" s="350"/>
    </row>
    <row r="3882" spans="4:60">
      <c r="D3882" s="350"/>
      <c r="S3882" s="350"/>
      <c r="BF3882" s="350"/>
      <c r="BG3882" s="350"/>
      <c r="BH3882" s="350"/>
    </row>
    <row r="3883" spans="4:60">
      <c r="D3883" s="350"/>
      <c r="S3883" s="350"/>
      <c r="BF3883" s="350"/>
      <c r="BG3883" s="350"/>
      <c r="BH3883" s="350"/>
    </row>
    <row r="3884" spans="4:60">
      <c r="D3884" s="350"/>
      <c r="S3884" s="350"/>
      <c r="BF3884" s="350"/>
      <c r="BG3884" s="350"/>
      <c r="BH3884" s="350"/>
    </row>
    <row r="3885" spans="4:60">
      <c r="D3885" s="350"/>
      <c r="S3885" s="350"/>
      <c r="BF3885" s="350"/>
      <c r="BG3885" s="350"/>
      <c r="BH3885" s="350"/>
    </row>
    <row r="3886" spans="4:60">
      <c r="D3886" s="350"/>
      <c r="S3886" s="350"/>
      <c r="BF3886" s="350"/>
      <c r="BG3886" s="350"/>
      <c r="BH3886" s="350"/>
    </row>
    <row r="3887" spans="4:60">
      <c r="D3887" s="350"/>
      <c r="S3887" s="350"/>
      <c r="BF3887" s="350"/>
      <c r="BG3887" s="350"/>
      <c r="BH3887" s="350"/>
    </row>
    <row r="3888" spans="4:60">
      <c r="D3888" s="350"/>
      <c r="S3888" s="350"/>
      <c r="BF3888" s="350"/>
      <c r="BG3888" s="350"/>
      <c r="BH3888" s="350"/>
    </row>
    <row r="3889" spans="4:60">
      <c r="D3889" s="350"/>
      <c r="S3889" s="350"/>
      <c r="BF3889" s="350"/>
      <c r="BG3889" s="350"/>
      <c r="BH3889" s="350"/>
    </row>
    <row r="3890" spans="4:60">
      <c r="D3890" s="350"/>
      <c r="S3890" s="350"/>
      <c r="BF3890" s="350"/>
      <c r="BG3890" s="350"/>
      <c r="BH3890" s="350"/>
    </row>
    <row r="3891" spans="4:60">
      <c r="D3891" s="350"/>
      <c r="S3891" s="350"/>
      <c r="BF3891" s="350"/>
      <c r="BG3891" s="350"/>
      <c r="BH3891" s="350"/>
    </row>
    <row r="3892" spans="4:60">
      <c r="D3892" s="350"/>
      <c r="S3892" s="350"/>
      <c r="BF3892" s="350"/>
      <c r="BG3892" s="350"/>
      <c r="BH3892" s="350"/>
    </row>
    <row r="3893" spans="4:60">
      <c r="D3893" s="350"/>
      <c r="S3893" s="350"/>
      <c r="BF3893" s="350"/>
      <c r="BG3893" s="350"/>
      <c r="BH3893" s="350"/>
    </row>
    <row r="3894" spans="4:60">
      <c r="D3894" s="350"/>
      <c r="S3894" s="350"/>
      <c r="BF3894" s="350"/>
      <c r="BG3894" s="350"/>
      <c r="BH3894" s="350"/>
    </row>
    <row r="3895" spans="4:60">
      <c r="D3895" s="350"/>
      <c r="S3895" s="350"/>
      <c r="BF3895" s="350"/>
      <c r="BG3895" s="350"/>
      <c r="BH3895" s="350"/>
    </row>
    <row r="3896" spans="4:60">
      <c r="D3896" s="350"/>
      <c r="S3896" s="350"/>
      <c r="BF3896" s="350"/>
      <c r="BG3896" s="350"/>
      <c r="BH3896" s="350"/>
    </row>
    <row r="3897" spans="4:60">
      <c r="D3897" s="350"/>
      <c r="S3897" s="350"/>
      <c r="BF3897" s="350"/>
      <c r="BG3897" s="350"/>
      <c r="BH3897" s="350"/>
    </row>
    <row r="3898" spans="4:60">
      <c r="D3898" s="350"/>
      <c r="S3898" s="350"/>
      <c r="BF3898" s="350"/>
      <c r="BG3898" s="350"/>
      <c r="BH3898" s="350"/>
    </row>
    <row r="3899" spans="4:60">
      <c r="D3899" s="350"/>
      <c r="S3899" s="350"/>
      <c r="BF3899" s="350"/>
      <c r="BG3899" s="350"/>
      <c r="BH3899" s="350"/>
    </row>
    <row r="3900" spans="4:60">
      <c r="D3900" s="350"/>
      <c r="S3900" s="350"/>
      <c r="BF3900" s="350"/>
      <c r="BG3900" s="350"/>
      <c r="BH3900" s="350"/>
    </row>
    <row r="3901" spans="4:60">
      <c r="D3901" s="350"/>
      <c r="S3901" s="350"/>
      <c r="BF3901" s="350"/>
      <c r="BG3901" s="350"/>
      <c r="BH3901" s="350"/>
    </row>
    <row r="3902" spans="4:60">
      <c r="D3902" s="350"/>
      <c r="S3902" s="350"/>
      <c r="BF3902" s="350"/>
      <c r="BG3902" s="350"/>
      <c r="BH3902" s="350"/>
    </row>
    <row r="3903" spans="4:60">
      <c r="D3903" s="350"/>
      <c r="S3903" s="350"/>
      <c r="BF3903" s="350"/>
      <c r="BG3903" s="350"/>
      <c r="BH3903" s="350"/>
    </row>
    <row r="3904" spans="4:60">
      <c r="D3904" s="350"/>
      <c r="S3904" s="350"/>
      <c r="BF3904" s="350"/>
      <c r="BG3904" s="350"/>
      <c r="BH3904" s="350"/>
    </row>
    <row r="3905" spans="4:60">
      <c r="D3905" s="350"/>
      <c r="S3905" s="350"/>
      <c r="BF3905" s="350"/>
      <c r="BG3905" s="350"/>
      <c r="BH3905" s="350"/>
    </row>
    <row r="3906" spans="4:60">
      <c r="D3906" s="350"/>
      <c r="S3906" s="350"/>
      <c r="BF3906" s="350"/>
      <c r="BG3906" s="350"/>
      <c r="BH3906" s="350"/>
    </row>
    <row r="3907" spans="4:60">
      <c r="D3907" s="350"/>
      <c r="S3907" s="350"/>
      <c r="BF3907" s="350"/>
      <c r="BG3907" s="350"/>
      <c r="BH3907" s="350"/>
    </row>
    <row r="3908" spans="4:60">
      <c r="D3908" s="350"/>
      <c r="S3908" s="350"/>
      <c r="BF3908" s="350"/>
      <c r="BG3908" s="350"/>
      <c r="BH3908" s="350"/>
    </row>
    <row r="3909" spans="4:60">
      <c r="D3909" s="350"/>
      <c r="S3909" s="350"/>
      <c r="BF3909" s="350"/>
      <c r="BG3909" s="350"/>
      <c r="BH3909" s="350"/>
    </row>
    <row r="3910" spans="4:60">
      <c r="D3910" s="350"/>
      <c r="S3910" s="350"/>
      <c r="BF3910" s="350"/>
      <c r="BG3910" s="350"/>
      <c r="BH3910" s="350"/>
    </row>
    <row r="3911" spans="4:60">
      <c r="D3911" s="350"/>
      <c r="S3911" s="350"/>
      <c r="BF3911" s="350"/>
      <c r="BG3911" s="350"/>
      <c r="BH3911" s="350"/>
    </row>
    <row r="3912" spans="4:60">
      <c r="D3912" s="350"/>
      <c r="S3912" s="350"/>
      <c r="BF3912" s="350"/>
      <c r="BG3912" s="350"/>
      <c r="BH3912" s="350"/>
    </row>
    <row r="3913" spans="4:60">
      <c r="D3913" s="350"/>
      <c r="S3913" s="350"/>
      <c r="BF3913" s="350"/>
      <c r="BG3913" s="350"/>
      <c r="BH3913" s="350"/>
    </row>
    <row r="3914" spans="4:60">
      <c r="D3914" s="350"/>
      <c r="S3914" s="350"/>
      <c r="BF3914" s="350"/>
      <c r="BG3914" s="350"/>
      <c r="BH3914" s="350"/>
    </row>
    <row r="3915" spans="4:60">
      <c r="D3915" s="350"/>
      <c r="S3915" s="350"/>
      <c r="BF3915" s="350"/>
      <c r="BG3915" s="350"/>
      <c r="BH3915" s="350"/>
    </row>
    <row r="3916" spans="4:60">
      <c r="D3916" s="350"/>
      <c r="S3916" s="350"/>
      <c r="BF3916" s="350"/>
      <c r="BG3916" s="350"/>
      <c r="BH3916" s="350"/>
    </row>
    <row r="3917" spans="4:60">
      <c r="D3917" s="350"/>
      <c r="S3917" s="350"/>
      <c r="BF3917" s="350"/>
      <c r="BG3917" s="350"/>
      <c r="BH3917" s="350"/>
    </row>
    <row r="3918" spans="4:60">
      <c r="D3918" s="350"/>
      <c r="S3918" s="350"/>
      <c r="BF3918" s="350"/>
      <c r="BG3918" s="350"/>
      <c r="BH3918" s="350"/>
    </row>
    <row r="3919" spans="4:60">
      <c r="D3919" s="350"/>
      <c r="S3919" s="350"/>
      <c r="BF3919" s="350"/>
      <c r="BG3919" s="350"/>
      <c r="BH3919" s="350"/>
    </row>
    <row r="3920" spans="4:60">
      <c r="D3920" s="350"/>
      <c r="S3920" s="350"/>
      <c r="BF3920" s="350"/>
      <c r="BG3920" s="350"/>
      <c r="BH3920" s="350"/>
    </row>
    <row r="3921" spans="4:60">
      <c r="D3921" s="350"/>
      <c r="S3921" s="350"/>
      <c r="BF3921" s="350"/>
      <c r="BG3921" s="350"/>
      <c r="BH3921" s="350"/>
    </row>
    <row r="3922" spans="4:60">
      <c r="D3922" s="350"/>
      <c r="S3922" s="350"/>
      <c r="BF3922" s="350"/>
      <c r="BG3922" s="350"/>
      <c r="BH3922" s="350"/>
    </row>
    <row r="3923" spans="4:60">
      <c r="D3923" s="350"/>
      <c r="S3923" s="350"/>
      <c r="BF3923" s="350"/>
      <c r="BG3923" s="350"/>
      <c r="BH3923" s="350"/>
    </row>
    <row r="3924" spans="4:60">
      <c r="D3924" s="350"/>
      <c r="S3924" s="350"/>
      <c r="BF3924" s="350"/>
      <c r="BG3924" s="350"/>
      <c r="BH3924" s="350"/>
    </row>
    <row r="3925" spans="4:60">
      <c r="D3925" s="350"/>
      <c r="S3925" s="350"/>
      <c r="BF3925" s="350"/>
      <c r="BG3925" s="350"/>
      <c r="BH3925" s="350"/>
    </row>
    <row r="3926" spans="4:60">
      <c r="D3926" s="350"/>
      <c r="S3926" s="350"/>
      <c r="BF3926" s="350"/>
      <c r="BG3926" s="350"/>
      <c r="BH3926" s="350"/>
    </row>
    <row r="3927" spans="4:60">
      <c r="D3927" s="350"/>
      <c r="S3927" s="350"/>
      <c r="BF3927" s="350"/>
      <c r="BG3927" s="350"/>
      <c r="BH3927" s="350"/>
    </row>
    <row r="3928" spans="4:60">
      <c r="D3928" s="350"/>
      <c r="S3928" s="350"/>
      <c r="BF3928" s="350"/>
      <c r="BG3928" s="350"/>
      <c r="BH3928" s="350"/>
    </row>
    <row r="3929" spans="4:60">
      <c r="D3929" s="350"/>
      <c r="S3929" s="350"/>
      <c r="BF3929" s="350"/>
      <c r="BG3929" s="350"/>
      <c r="BH3929" s="350"/>
    </row>
    <row r="3930" spans="4:60">
      <c r="D3930" s="350"/>
      <c r="S3930" s="350"/>
      <c r="BF3930" s="350"/>
      <c r="BG3930" s="350"/>
      <c r="BH3930" s="350"/>
    </row>
    <row r="3931" spans="4:60">
      <c r="D3931" s="350"/>
      <c r="S3931" s="350"/>
      <c r="BF3931" s="350"/>
      <c r="BG3931" s="350"/>
      <c r="BH3931" s="350"/>
    </row>
    <row r="3932" spans="4:60">
      <c r="D3932" s="350"/>
      <c r="S3932" s="350"/>
      <c r="BF3932" s="350"/>
      <c r="BG3932" s="350"/>
      <c r="BH3932" s="350"/>
    </row>
    <row r="3933" spans="4:60">
      <c r="D3933" s="350"/>
      <c r="S3933" s="350"/>
      <c r="BF3933" s="350"/>
      <c r="BG3933" s="350"/>
      <c r="BH3933" s="350"/>
    </row>
    <row r="3934" spans="4:60">
      <c r="D3934" s="350"/>
      <c r="S3934" s="350"/>
      <c r="BF3934" s="350"/>
      <c r="BG3934" s="350"/>
      <c r="BH3934" s="350"/>
    </row>
    <row r="3935" spans="4:60">
      <c r="D3935" s="350"/>
      <c r="S3935" s="350"/>
      <c r="BF3935" s="350"/>
      <c r="BG3935" s="350"/>
      <c r="BH3935" s="350"/>
    </row>
    <row r="3936" spans="4:60">
      <c r="D3936" s="350"/>
      <c r="S3936" s="350"/>
      <c r="BF3936" s="350"/>
      <c r="BG3936" s="350"/>
      <c r="BH3936" s="350"/>
    </row>
    <row r="3937" spans="4:60">
      <c r="D3937" s="350"/>
      <c r="S3937" s="350"/>
      <c r="BF3937" s="350"/>
      <c r="BG3937" s="350"/>
      <c r="BH3937" s="350"/>
    </row>
    <row r="3938" spans="4:60">
      <c r="D3938" s="350"/>
      <c r="S3938" s="350"/>
      <c r="BF3938" s="350"/>
      <c r="BG3938" s="350"/>
      <c r="BH3938" s="350"/>
    </row>
    <row r="3941" spans="4:60">
      <c r="D3941" s="350"/>
      <c r="S3941" s="350"/>
      <c r="BF3941" s="350"/>
      <c r="BG3941" s="350"/>
      <c r="BH3941" s="350"/>
    </row>
    <row r="3942" spans="4:60">
      <c r="D3942" s="350"/>
      <c r="S3942" s="350"/>
      <c r="BF3942" s="350"/>
      <c r="BG3942" s="350"/>
      <c r="BH3942" s="350"/>
    </row>
    <row r="3944" spans="4:60">
      <c r="D3944" s="350"/>
      <c r="S3944" s="350"/>
      <c r="BF3944" s="350"/>
      <c r="BG3944" s="350"/>
      <c r="BH3944" s="350"/>
    </row>
    <row r="3945" spans="4:60">
      <c r="D3945" s="350"/>
      <c r="S3945" s="350"/>
      <c r="BF3945" s="350"/>
      <c r="BG3945" s="350"/>
      <c r="BH3945" s="350"/>
    </row>
    <row r="3946" spans="4:60">
      <c r="D3946" s="350"/>
      <c r="S3946" s="350"/>
      <c r="BF3946" s="350"/>
      <c r="BG3946" s="350"/>
      <c r="BH3946" s="350"/>
    </row>
    <row r="3947" spans="4:60">
      <c r="D3947" s="350"/>
      <c r="S3947" s="350"/>
      <c r="BF3947" s="350"/>
      <c r="BG3947" s="350"/>
      <c r="BH3947" s="350"/>
    </row>
    <row r="3948" spans="4:60">
      <c r="D3948" s="350"/>
      <c r="S3948" s="350"/>
      <c r="BF3948" s="350"/>
      <c r="BG3948" s="350"/>
      <c r="BH3948" s="350"/>
    </row>
    <row r="3949" spans="4:60">
      <c r="D3949" s="350"/>
      <c r="S3949" s="350"/>
      <c r="BF3949" s="350"/>
      <c r="BG3949" s="350"/>
      <c r="BH3949" s="350"/>
    </row>
    <row r="3950" spans="4:60">
      <c r="D3950" s="350"/>
      <c r="S3950" s="350"/>
      <c r="BF3950" s="350"/>
      <c r="BG3950" s="350"/>
      <c r="BH3950" s="350"/>
    </row>
    <row r="3951" spans="4:60">
      <c r="D3951" s="350"/>
      <c r="S3951" s="350"/>
      <c r="BF3951" s="350"/>
      <c r="BG3951" s="350"/>
      <c r="BH3951" s="350"/>
    </row>
    <row r="3952" spans="4:60">
      <c r="D3952" s="350"/>
      <c r="S3952" s="350"/>
      <c r="BF3952" s="350"/>
      <c r="BG3952" s="350"/>
      <c r="BH3952" s="350"/>
    </row>
    <row r="3953" spans="4:60">
      <c r="D3953" s="350"/>
      <c r="S3953" s="350"/>
      <c r="BF3953" s="350"/>
      <c r="BG3953" s="350"/>
      <c r="BH3953" s="350"/>
    </row>
    <row r="3954" spans="4:60">
      <c r="D3954" s="350"/>
      <c r="S3954" s="350"/>
      <c r="BF3954" s="350"/>
      <c r="BG3954" s="350"/>
      <c r="BH3954" s="350"/>
    </row>
    <row r="3955" spans="4:60">
      <c r="D3955" s="350"/>
      <c r="S3955" s="350"/>
      <c r="BF3955" s="350"/>
      <c r="BG3955" s="350"/>
      <c r="BH3955" s="350"/>
    </row>
    <row r="3956" spans="4:60">
      <c r="D3956" s="350"/>
      <c r="S3956" s="350"/>
      <c r="BF3956" s="350"/>
      <c r="BG3956" s="350"/>
      <c r="BH3956" s="350"/>
    </row>
    <row r="3957" spans="4:60">
      <c r="D3957" s="350"/>
      <c r="S3957" s="350"/>
      <c r="BF3957" s="350"/>
      <c r="BG3957" s="350"/>
      <c r="BH3957" s="350"/>
    </row>
    <row r="3958" spans="4:60">
      <c r="D3958" s="350"/>
      <c r="S3958" s="350"/>
      <c r="BF3958" s="350"/>
      <c r="BG3958" s="350"/>
      <c r="BH3958" s="350"/>
    </row>
    <row r="3959" spans="4:60">
      <c r="D3959" s="350"/>
      <c r="S3959" s="350"/>
      <c r="BF3959" s="350"/>
      <c r="BG3959" s="350"/>
      <c r="BH3959" s="350"/>
    </row>
    <row r="3961" spans="4:60">
      <c r="D3961" s="350"/>
      <c r="S3961" s="350"/>
      <c r="BF3961" s="350"/>
      <c r="BG3961" s="350"/>
      <c r="BH3961" s="350"/>
    </row>
    <row r="3962" spans="4:60">
      <c r="D3962" s="350"/>
      <c r="S3962" s="350"/>
      <c r="BF3962" s="350"/>
      <c r="BG3962" s="350"/>
      <c r="BH3962" s="350"/>
    </row>
    <row r="3967" spans="4:60">
      <c r="D3967" s="350"/>
      <c r="S3967" s="350"/>
      <c r="BF3967" s="350"/>
      <c r="BG3967" s="350"/>
      <c r="BH3967" s="350"/>
    </row>
    <row r="3968" spans="4:60">
      <c r="D3968" s="350"/>
      <c r="S3968" s="350"/>
      <c r="BF3968" s="350"/>
      <c r="BG3968" s="350"/>
      <c r="BH3968" s="350"/>
    </row>
    <row r="3970" spans="4:60">
      <c r="D3970" s="350"/>
      <c r="S3970" s="350"/>
      <c r="BF3970" s="350"/>
      <c r="BG3970" s="350"/>
      <c r="BH3970" s="350"/>
    </row>
    <row r="3971" spans="4:60">
      <c r="D3971" s="350"/>
      <c r="S3971" s="350"/>
      <c r="BF3971" s="350"/>
      <c r="BG3971" s="350"/>
      <c r="BH3971" s="350"/>
    </row>
    <row r="3972" spans="4:60">
      <c r="D3972" s="350"/>
      <c r="S3972" s="350"/>
      <c r="BF3972" s="350"/>
      <c r="BG3972" s="350"/>
      <c r="BH3972" s="350"/>
    </row>
    <row r="3973" spans="4:60">
      <c r="D3973" s="350"/>
      <c r="S3973" s="350"/>
      <c r="BF3973" s="350"/>
      <c r="BG3973" s="350"/>
      <c r="BH3973" s="350"/>
    </row>
    <row r="3974" spans="4:60">
      <c r="D3974" s="350"/>
      <c r="S3974" s="350"/>
      <c r="BF3974" s="350"/>
      <c r="BG3974" s="350"/>
      <c r="BH3974" s="350"/>
    </row>
    <row r="3975" spans="4:60">
      <c r="D3975" s="350"/>
      <c r="S3975" s="350"/>
      <c r="BF3975" s="350"/>
      <c r="BG3975" s="350"/>
      <c r="BH3975" s="350"/>
    </row>
    <row r="3976" spans="4:60">
      <c r="D3976" s="350"/>
      <c r="S3976" s="350"/>
      <c r="BF3976" s="350"/>
      <c r="BG3976" s="350"/>
      <c r="BH3976" s="350"/>
    </row>
    <row r="3977" spans="4:60">
      <c r="D3977" s="350"/>
      <c r="S3977" s="350"/>
      <c r="BF3977" s="350"/>
      <c r="BG3977" s="350"/>
      <c r="BH3977" s="350"/>
    </row>
    <row r="3978" spans="4:60">
      <c r="D3978" s="350"/>
      <c r="S3978" s="350"/>
      <c r="BF3978" s="350"/>
      <c r="BG3978" s="350"/>
      <c r="BH3978" s="350"/>
    </row>
    <row r="3979" spans="4:60">
      <c r="D3979" s="350"/>
      <c r="S3979" s="350"/>
      <c r="BF3979" s="350"/>
      <c r="BG3979" s="350"/>
      <c r="BH3979" s="350"/>
    </row>
    <row r="3980" spans="4:60">
      <c r="D3980" s="350"/>
      <c r="S3980" s="350"/>
      <c r="BF3980" s="350"/>
      <c r="BG3980" s="350"/>
      <c r="BH3980" s="350"/>
    </row>
    <row r="3981" spans="4:60">
      <c r="D3981" s="350"/>
      <c r="S3981" s="350"/>
      <c r="BF3981" s="350"/>
      <c r="BG3981" s="350"/>
      <c r="BH3981" s="350"/>
    </row>
    <row r="3982" spans="4:60">
      <c r="D3982" s="350"/>
      <c r="S3982" s="350"/>
      <c r="BF3982" s="350"/>
      <c r="BG3982" s="350"/>
      <c r="BH3982" s="350"/>
    </row>
    <row r="3983" spans="4:60">
      <c r="D3983" s="350"/>
      <c r="S3983" s="350"/>
      <c r="BF3983" s="350"/>
      <c r="BG3983" s="350"/>
      <c r="BH3983" s="350"/>
    </row>
    <row r="3984" spans="4:60">
      <c r="D3984" s="350"/>
      <c r="S3984" s="350"/>
      <c r="BF3984" s="350"/>
      <c r="BG3984" s="350"/>
      <c r="BH3984" s="350"/>
    </row>
    <row r="3985" spans="4:60">
      <c r="D3985" s="350"/>
      <c r="S3985" s="350"/>
      <c r="BF3985" s="350"/>
      <c r="BG3985" s="350"/>
      <c r="BH3985" s="350"/>
    </row>
    <row r="3986" spans="4:60">
      <c r="D3986" s="350"/>
      <c r="S3986" s="350"/>
      <c r="BF3986" s="350"/>
      <c r="BG3986" s="350"/>
      <c r="BH3986" s="350"/>
    </row>
    <row r="3987" spans="4:60">
      <c r="D3987" s="350"/>
      <c r="S3987" s="350"/>
      <c r="BF3987" s="350"/>
      <c r="BG3987" s="350"/>
      <c r="BH3987" s="350"/>
    </row>
    <row r="3988" spans="4:60">
      <c r="D3988" s="350"/>
      <c r="S3988" s="350"/>
      <c r="BF3988" s="350"/>
      <c r="BG3988" s="350"/>
      <c r="BH3988" s="350"/>
    </row>
    <row r="3989" spans="4:60">
      <c r="D3989" s="350"/>
      <c r="S3989" s="350"/>
      <c r="BF3989" s="350"/>
      <c r="BG3989" s="350"/>
      <c r="BH3989" s="350"/>
    </row>
    <row r="3990" spans="4:60">
      <c r="D3990" s="350"/>
      <c r="S3990" s="350"/>
      <c r="BF3990" s="350"/>
      <c r="BG3990" s="350"/>
      <c r="BH3990" s="350"/>
    </row>
    <row r="3991" spans="4:60">
      <c r="D3991" s="350"/>
      <c r="S3991" s="350"/>
      <c r="BF3991" s="350"/>
      <c r="BG3991" s="350"/>
      <c r="BH3991" s="350"/>
    </row>
    <row r="3992" spans="4:60">
      <c r="D3992" s="350"/>
      <c r="S3992" s="350"/>
      <c r="BF3992" s="350"/>
      <c r="BG3992" s="350"/>
      <c r="BH3992" s="350"/>
    </row>
    <row r="3993" spans="4:60">
      <c r="D3993" s="350"/>
      <c r="S3993" s="350"/>
      <c r="BF3993" s="350"/>
      <c r="BG3993" s="350"/>
      <c r="BH3993" s="350"/>
    </row>
    <row r="3994" spans="4:60">
      <c r="D3994" s="350"/>
      <c r="S3994" s="350"/>
      <c r="BF3994" s="350"/>
      <c r="BG3994" s="350"/>
      <c r="BH3994" s="350"/>
    </row>
    <row r="3995" spans="4:60">
      <c r="D3995" s="350"/>
      <c r="S3995" s="350"/>
      <c r="BF3995" s="350"/>
      <c r="BG3995" s="350"/>
      <c r="BH3995" s="350"/>
    </row>
    <row r="3996" spans="4:60">
      <c r="D3996" s="350"/>
      <c r="S3996" s="350"/>
      <c r="BF3996" s="350"/>
      <c r="BG3996" s="350"/>
      <c r="BH3996" s="350"/>
    </row>
    <row r="3997" spans="4:60">
      <c r="D3997" s="350"/>
      <c r="S3997" s="350"/>
      <c r="BF3997" s="350"/>
      <c r="BG3997" s="350"/>
      <c r="BH3997" s="350"/>
    </row>
    <row r="3998" spans="4:60">
      <c r="D3998" s="350"/>
      <c r="S3998" s="350"/>
      <c r="BF3998" s="350"/>
      <c r="BG3998" s="350"/>
      <c r="BH3998" s="350"/>
    </row>
    <row r="3999" spans="4:60">
      <c r="D3999" s="350"/>
      <c r="S3999" s="350"/>
      <c r="BF3999" s="350"/>
      <c r="BG3999" s="350"/>
      <c r="BH3999" s="350"/>
    </row>
    <row r="4000" spans="4:60">
      <c r="D4000" s="350"/>
      <c r="S4000" s="350"/>
      <c r="BF4000" s="350"/>
      <c r="BG4000" s="350"/>
      <c r="BH4000" s="350"/>
    </row>
    <row r="4001" spans="4:60">
      <c r="D4001" s="350"/>
      <c r="S4001" s="350"/>
      <c r="BF4001" s="350"/>
      <c r="BG4001" s="350"/>
      <c r="BH4001" s="350"/>
    </row>
    <row r="4002" spans="4:60">
      <c r="D4002" s="350"/>
      <c r="S4002" s="350"/>
      <c r="BF4002" s="350"/>
      <c r="BG4002" s="350"/>
      <c r="BH4002" s="350"/>
    </row>
    <row r="4003" spans="4:60">
      <c r="D4003" s="350"/>
      <c r="S4003" s="350"/>
      <c r="BF4003" s="350"/>
      <c r="BG4003" s="350"/>
      <c r="BH4003" s="350"/>
    </row>
    <row r="4004" spans="4:60">
      <c r="D4004" s="350"/>
      <c r="S4004" s="350"/>
      <c r="BF4004" s="350"/>
      <c r="BG4004" s="350"/>
      <c r="BH4004" s="350"/>
    </row>
    <row r="4005" spans="4:60">
      <c r="D4005" s="350"/>
      <c r="S4005" s="350"/>
      <c r="BF4005" s="350"/>
      <c r="BG4005" s="350"/>
      <c r="BH4005" s="350"/>
    </row>
    <row r="4006" spans="4:60">
      <c r="D4006" s="350"/>
      <c r="S4006" s="350"/>
      <c r="BF4006" s="350"/>
      <c r="BG4006" s="350"/>
      <c r="BH4006" s="350"/>
    </row>
    <row r="4007" spans="4:60">
      <c r="D4007" s="350"/>
      <c r="S4007" s="350"/>
      <c r="BF4007" s="350"/>
      <c r="BG4007" s="350"/>
      <c r="BH4007" s="350"/>
    </row>
    <row r="4008" spans="4:60">
      <c r="D4008" s="350"/>
      <c r="S4008" s="350"/>
      <c r="BF4008" s="350"/>
      <c r="BG4008" s="350"/>
      <c r="BH4008" s="350"/>
    </row>
    <row r="4009" spans="4:60">
      <c r="D4009" s="350"/>
      <c r="S4009" s="350"/>
      <c r="BF4009" s="350"/>
      <c r="BG4009" s="350"/>
      <c r="BH4009" s="350"/>
    </row>
    <row r="4010" spans="4:60">
      <c r="D4010" s="350"/>
      <c r="S4010" s="350"/>
      <c r="BF4010" s="350"/>
      <c r="BG4010" s="350"/>
      <c r="BH4010" s="350"/>
    </row>
    <row r="4011" spans="4:60">
      <c r="D4011" s="350"/>
      <c r="S4011" s="350"/>
      <c r="BF4011" s="350"/>
      <c r="BG4011" s="350"/>
      <c r="BH4011" s="350"/>
    </row>
    <row r="4012" spans="4:60">
      <c r="D4012" s="350"/>
      <c r="S4012" s="350"/>
      <c r="BF4012" s="350"/>
      <c r="BG4012" s="350"/>
      <c r="BH4012" s="350"/>
    </row>
    <row r="4013" spans="4:60">
      <c r="D4013" s="350"/>
      <c r="S4013" s="350"/>
      <c r="BF4013" s="350"/>
      <c r="BG4013" s="350"/>
      <c r="BH4013" s="350"/>
    </row>
    <row r="4014" spans="4:60">
      <c r="D4014" s="350"/>
      <c r="S4014" s="350"/>
      <c r="BF4014" s="350"/>
      <c r="BG4014" s="350"/>
      <c r="BH4014" s="350"/>
    </row>
    <row r="4015" spans="4:60">
      <c r="D4015" s="350"/>
      <c r="S4015" s="350"/>
      <c r="BF4015" s="350"/>
      <c r="BG4015" s="350"/>
      <c r="BH4015" s="350"/>
    </row>
    <row r="4016" spans="4:60">
      <c r="D4016" s="350"/>
      <c r="S4016" s="350"/>
      <c r="BF4016" s="350"/>
      <c r="BG4016" s="350"/>
      <c r="BH4016" s="350"/>
    </row>
    <row r="4017" spans="4:60">
      <c r="D4017" s="350"/>
      <c r="S4017" s="350"/>
      <c r="BF4017" s="350"/>
      <c r="BG4017" s="350"/>
      <c r="BH4017" s="350"/>
    </row>
    <row r="4018" spans="4:60">
      <c r="D4018" s="350"/>
      <c r="S4018" s="350"/>
      <c r="BF4018" s="350"/>
      <c r="BG4018" s="350"/>
      <c r="BH4018" s="350"/>
    </row>
    <row r="4019" spans="4:60">
      <c r="D4019" s="350"/>
      <c r="S4019" s="350"/>
      <c r="BF4019" s="350"/>
      <c r="BG4019" s="350"/>
      <c r="BH4019" s="350"/>
    </row>
    <row r="4020" spans="4:60">
      <c r="D4020" s="350"/>
      <c r="S4020" s="350"/>
      <c r="BF4020" s="350"/>
      <c r="BG4020" s="350"/>
      <c r="BH4020" s="350"/>
    </row>
    <row r="4021" spans="4:60">
      <c r="D4021" s="350"/>
      <c r="S4021" s="350"/>
      <c r="BF4021" s="350"/>
      <c r="BG4021" s="350"/>
      <c r="BH4021" s="350"/>
    </row>
    <row r="4022" spans="4:60">
      <c r="D4022" s="350"/>
      <c r="S4022" s="350"/>
      <c r="BF4022" s="350"/>
      <c r="BG4022" s="350"/>
      <c r="BH4022" s="350"/>
    </row>
    <row r="4023" spans="4:60">
      <c r="D4023" s="350"/>
      <c r="S4023" s="350"/>
      <c r="BF4023" s="350"/>
      <c r="BG4023" s="350"/>
      <c r="BH4023" s="350"/>
    </row>
    <row r="4024" spans="4:60">
      <c r="D4024" s="350"/>
      <c r="S4024" s="350"/>
      <c r="BF4024" s="350"/>
      <c r="BG4024" s="350"/>
      <c r="BH4024" s="350"/>
    </row>
    <row r="4025" spans="4:60">
      <c r="D4025" s="350"/>
      <c r="S4025" s="350"/>
      <c r="BF4025" s="350"/>
      <c r="BG4025" s="350"/>
      <c r="BH4025" s="350"/>
    </row>
    <row r="4026" spans="4:60">
      <c r="D4026" s="350"/>
      <c r="S4026" s="350"/>
      <c r="BF4026" s="350"/>
      <c r="BG4026" s="350"/>
      <c r="BH4026" s="350"/>
    </row>
    <row r="4027" spans="4:60">
      <c r="D4027" s="350"/>
      <c r="S4027" s="350"/>
      <c r="BF4027" s="350"/>
      <c r="BG4027" s="350"/>
      <c r="BH4027" s="350"/>
    </row>
    <row r="4028" spans="4:60">
      <c r="D4028" s="350"/>
      <c r="S4028" s="350"/>
      <c r="BF4028" s="350"/>
      <c r="BG4028" s="350"/>
      <c r="BH4028" s="350"/>
    </row>
    <row r="4029" spans="4:60">
      <c r="D4029" s="350"/>
      <c r="S4029" s="350"/>
      <c r="BF4029" s="350"/>
      <c r="BG4029" s="350"/>
      <c r="BH4029" s="350"/>
    </row>
    <row r="4030" spans="4:60">
      <c r="D4030" s="350"/>
      <c r="S4030" s="350"/>
      <c r="BF4030" s="350"/>
      <c r="BG4030" s="350"/>
      <c r="BH4030" s="350"/>
    </row>
    <row r="4031" spans="4:60">
      <c r="D4031" s="350"/>
      <c r="S4031" s="350"/>
      <c r="BF4031" s="350"/>
      <c r="BG4031" s="350"/>
      <c r="BH4031" s="350"/>
    </row>
    <row r="4032" spans="4:60">
      <c r="D4032" s="350"/>
      <c r="S4032" s="350"/>
      <c r="BF4032" s="350"/>
      <c r="BG4032" s="350"/>
      <c r="BH4032" s="350"/>
    </row>
    <row r="4033" spans="4:60">
      <c r="D4033" s="350"/>
      <c r="S4033" s="350"/>
      <c r="BF4033" s="350"/>
      <c r="BG4033" s="350"/>
      <c r="BH4033" s="350"/>
    </row>
    <row r="4034" spans="4:60">
      <c r="D4034" s="350"/>
      <c r="S4034" s="350"/>
      <c r="BF4034" s="350"/>
      <c r="BG4034" s="350"/>
      <c r="BH4034" s="350"/>
    </row>
    <row r="4035" spans="4:60">
      <c r="D4035" s="350"/>
      <c r="S4035" s="350"/>
      <c r="BF4035" s="350"/>
      <c r="BG4035" s="350"/>
      <c r="BH4035" s="350"/>
    </row>
    <row r="4036" spans="4:60">
      <c r="D4036" s="350"/>
      <c r="S4036" s="350"/>
      <c r="BF4036" s="350"/>
      <c r="BG4036" s="350"/>
      <c r="BH4036" s="350"/>
    </row>
    <row r="4037" spans="4:60">
      <c r="D4037" s="350"/>
      <c r="S4037" s="350"/>
      <c r="BF4037" s="350"/>
      <c r="BG4037" s="350"/>
      <c r="BH4037" s="350"/>
    </row>
    <row r="4038" spans="4:60">
      <c r="D4038" s="350"/>
      <c r="S4038" s="350"/>
      <c r="BF4038" s="350"/>
      <c r="BG4038" s="350"/>
      <c r="BH4038" s="350"/>
    </row>
    <row r="4039" spans="4:60">
      <c r="D4039" s="350"/>
      <c r="S4039" s="350"/>
      <c r="BF4039" s="350"/>
      <c r="BG4039" s="350"/>
      <c r="BH4039" s="350"/>
    </row>
    <row r="4040" spans="4:60">
      <c r="D4040" s="350"/>
      <c r="S4040" s="350"/>
      <c r="BF4040" s="350"/>
      <c r="BG4040" s="350"/>
      <c r="BH4040" s="350"/>
    </row>
    <row r="4041" spans="4:60">
      <c r="D4041" s="350"/>
      <c r="S4041" s="350"/>
      <c r="BF4041" s="350"/>
      <c r="BG4041" s="350"/>
      <c r="BH4041" s="350"/>
    </row>
    <row r="4042" spans="4:60">
      <c r="D4042" s="350"/>
      <c r="S4042" s="350"/>
      <c r="BF4042" s="350"/>
      <c r="BG4042" s="350"/>
      <c r="BH4042" s="350"/>
    </row>
    <row r="4043" spans="4:60">
      <c r="D4043" s="350"/>
      <c r="S4043" s="350"/>
      <c r="BF4043" s="350"/>
      <c r="BG4043" s="350"/>
      <c r="BH4043" s="350"/>
    </row>
    <row r="4044" spans="4:60">
      <c r="D4044" s="350"/>
      <c r="S4044" s="350"/>
      <c r="BF4044" s="350"/>
      <c r="BG4044" s="350"/>
      <c r="BH4044" s="350"/>
    </row>
    <row r="4045" spans="4:60">
      <c r="D4045" s="350"/>
      <c r="S4045" s="350"/>
      <c r="BF4045" s="350"/>
      <c r="BG4045" s="350"/>
      <c r="BH4045" s="350"/>
    </row>
    <row r="4046" spans="4:60">
      <c r="D4046" s="350"/>
      <c r="S4046" s="350"/>
      <c r="BF4046" s="350"/>
      <c r="BG4046" s="350"/>
      <c r="BH4046" s="350"/>
    </row>
    <row r="4047" spans="4:60">
      <c r="D4047" s="350"/>
      <c r="S4047" s="350"/>
      <c r="BF4047" s="350"/>
      <c r="BG4047" s="350"/>
      <c r="BH4047" s="350"/>
    </row>
    <row r="4048" spans="4:60">
      <c r="D4048" s="350"/>
      <c r="S4048" s="350"/>
      <c r="BF4048" s="350"/>
      <c r="BG4048" s="350"/>
      <c r="BH4048" s="350"/>
    </row>
    <row r="4049" spans="4:60">
      <c r="D4049" s="350"/>
      <c r="S4049" s="350"/>
      <c r="BF4049" s="350"/>
      <c r="BG4049" s="350"/>
      <c r="BH4049" s="350"/>
    </row>
    <row r="4050" spans="4:60">
      <c r="D4050" s="350"/>
      <c r="S4050" s="350"/>
      <c r="BF4050" s="350"/>
      <c r="BG4050" s="350"/>
      <c r="BH4050" s="350"/>
    </row>
    <row r="4051" spans="4:60">
      <c r="D4051" s="350"/>
      <c r="S4051" s="350"/>
      <c r="BF4051" s="350"/>
      <c r="BG4051" s="350"/>
      <c r="BH4051" s="350"/>
    </row>
    <row r="4052" spans="4:60">
      <c r="D4052" s="350"/>
      <c r="S4052" s="350"/>
      <c r="BF4052" s="350"/>
      <c r="BG4052" s="350"/>
      <c r="BH4052" s="350"/>
    </row>
    <row r="4053" spans="4:60">
      <c r="D4053" s="350"/>
      <c r="S4053" s="350"/>
      <c r="BF4053" s="350"/>
      <c r="BG4053" s="350"/>
      <c r="BH4053" s="350"/>
    </row>
    <row r="4054" spans="4:60">
      <c r="D4054" s="350"/>
      <c r="S4054" s="350"/>
      <c r="BF4054" s="350"/>
      <c r="BG4054" s="350"/>
      <c r="BH4054" s="350"/>
    </row>
    <row r="4055" spans="4:60">
      <c r="D4055" s="350"/>
      <c r="S4055" s="350"/>
      <c r="BF4055" s="350"/>
      <c r="BG4055" s="350"/>
      <c r="BH4055" s="350"/>
    </row>
    <row r="4056" spans="4:60">
      <c r="D4056" s="350"/>
      <c r="S4056" s="350"/>
      <c r="BF4056" s="350"/>
      <c r="BG4056" s="350"/>
      <c r="BH4056" s="350"/>
    </row>
    <row r="4057" spans="4:60">
      <c r="D4057" s="350"/>
      <c r="S4057" s="350"/>
      <c r="BF4057" s="350"/>
      <c r="BG4057" s="350"/>
      <c r="BH4057" s="350"/>
    </row>
    <row r="4058" spans="4:60">
      <c r="D4058" s="350"/>
      <c r="S4058" s="350"/>
      <c r="BF4058" s="350"/>
      <c r="BG4058" s="350"/>
      <c r="BH4058" s="350"/>
    </row>
    <row r="4059" spans="4:60">
      <c r="D4059" s="350"/>
      <c r="S4059" s="350"/>
      <c r="BF4059" s="350"/>
      <c r="BG4059" s="350"/>
      <c r="BH4059" s="350"/>
    </row>
    <row r="4060" spans="4:60">
      <c r="D4060" s="350"/>
      <c r="S4060" s="350"/>
      <c r="BF4060" s="350"/>
      <c r="BG4060" s="350"/>
      <c r="BH4060" s="350"/>
    </row>
    <row r="4061" spans="4:60">
      <c r="D4061" s="350"/>
      <c r="S4061" s="350"/>
      <c r="BF4061" s="350"/>
      <c r="BG4061" s="350"/>
      <c r="BH4061" s="350"/>
    </row>
    <row r="4062" spans="4:60">
      <c r="D4062" s="350"/>
      <c r="S4062" s="350"/>
      <c r="BF4062" s="350"/>
      <c r="BG4062" s="350"/>
      <c r="BH4062" s="350"/>
    </row>
    <row r="4063" spans="4:60">
      <c r="D4063" s="350"/>
      <c r="S4063" s="350"/>
      <c r="BF4063" s="350"/>
      <c r="BG4063" s="350"/>
      <c r="BH4063" s="350"/>
    </row>
    <row r="4064" spans="4:60">
      <c r="D4064" s="350"/>
      <c r="S4064" s="350"/>
      <c r="BF4064" s="350"/>
      <c r="BG4064" s="350"/>
      <c r="BH4064" s="350"/>
    </row>
    <row r="4065" spans="4:60">
      <c r="D4065" s="350"/>
      <c r="S4065" s="350"/>
      <c r="BF4065" s="350"/>
      <c r="BG4065" s="350"/>
      <c r="BH4065" s="350"/>
    </row>
    <row r="4066" spans="4:60">
      <c r="D4066" s="350"/>
      <c r="S4066" s="350"/>
      <c r="BF4066" s="350"/>
      <c r="BG4066" s="350"/>
      <c r="BH4066" s="350"/>
    </row>
    <row r="4067" spans="4:60">
      <c r="D4067" s="350"/>
      <c r="S4067" s="350"/>
      <c r="BF4067" s="350"/>
      <c r="BG4067" s="350"/>
      <c r="BH4067" s="350"/>
    </row>
    <row r="4068" spans="4:60">
      <c r="D4068" s="350"/>
      <c r="S4068" s="350"/>
      <c r="BF4068" s="350"/>
      <c r="BG4068" s="350"/>
      <c r="BH4068" s="350"/>
    </row>
    <row r="4069" spans="4:60">
      <c r="D4069" s="350"/>
      <c r="S4069" s="350"/>
      <c r="BF4069" s="350"/>
      <c r="BG4069" s="350"/>
      <c r="BH4069" s="350"/>
    </row>
    <row r="4070" spans="4:60">
      <c r="D4070" s="350"/>
      <c r="S4070" s="350"/>
      <c r="BF4070" s="350"/>
      <c r="BG4070" s="350"/>
      <c r="BH4070" s="350"/>
    </row>
    <row r="4071" spans="4:60">
      <c r="D4071" s="350"/>
      <c r="S4071" s="350"/>
      <c r="BF4071" s="350"/>
      <c r="BG4071" s="350"/>
      <c r="BH4071" s="350"/>
    </row>
    <row r="4072" spans="4:60">
      <c r="D4072" s="350"/>
      <c r="S4072" s="350"/>
      <c r="BF4072" s="350"/>
      <c r="BG4072" s="350"/>
      <c r="BH4072" s="350"/>
    </row>
    <row r="4073" spans="4:60">
      <c r="D4073" s="350"/>
      <c r="S4073" s="350"/>
      <c r="BF4073" s="350"/>
      <c r="BG4073" s="350"/>
      <c r="BH4073" s="350"/>
    </row>
    <row r="4074" spans="4:60">
      <c r="D4074" s="350"/>
      <c r="S4074" s="350"/>
      <c r="BF4074" s="350"/>
      <c r="BG4074" s="350"/>
      <c r="BH4074" s="350"/>
    </row>
    <row r="4075" spans="4:60">
      <c r="D4075" s="350"/>
      <c r="S4075" s="350"/>
      <c r="BF4075" s="350"/>
      <c r="BG4075" s="350"/>
      <c r="BH4075" s="350"/>
    </row>
    <row r="4076" spans="4:60">
      <c r="D4076" s="350"/>
      <c r="S4076" s="350"/>
      <c r="BF4076" s="350"/>
      <c r="BG4076" s="350"/>
      <c r="BH4076" s="350"/>
    </row>
    <row r="4077" spans="4:60">
      <c r="D4077" s="350"/>
      <c r="S4077" s="350"/>
      <c r="BF4077" s="350"/>
      <c r="BG4077" s="350"/>
      <c r="BH4077" s="350"/>
    </row>
    <row r="4078" spans="4:60">
      <c r="D4078" s="350"/>
      <c r="S4078" s="350"/>
      <c r="BF4078" s="350"/>
      <c r="BG4078" s="350"/>
      <c r="BH4078" s="350"/>
    </row>
    <row r="4079" spans="4:60">
      <c r="D4079" s="350"/>
      <c r="S4079" s="350"/>
      <c r="BF4079" s="350"/>
      <c r="BG4079" s="350"/>
      <c r="BH4079" s="350"/>
    </row>
    <row r="4080" spans="4:60">
      <c r="D4080" s="350"/>
      <c r="S4080" s="350"/>
      <c r="BF4080" s="350"/>
      <c r="BG4080" s="350"/>
      <c r="BH4080" s="350"/>
    </row>
    <row r="4081" spans="4:60">
      <c r="D4081" s="350"/>
      <c r="S4081" s="350"/>
      <c r="BF4081" s="350"/>
      <c r="BG4081" s="350"/>
      <c r="BH4081" s="350"/>
    </row>
    <row r="4082" spans="4:60">
      <c r="D4082" s="350"/>
      <c r="S4082" s="350"/>
      <c r="BF4082" s="350"/>
      <c r="BG4082" s="350"/>
      <c r="BH4082" s="350"/>
    </row>
    <row r="4083" spans="4:60">
      <c r="D4083" s="350"/>
      <c r="S4083" s="350"/>
      <c r="BF4083" s="350"/>
      <c r="BG4083" s="350"/>
      <c r="BH4083" s="350"/>
    </row>
    <row r="4084" spans="4:60">
      <c r="D4084" s="350"/>
      <c r="S4084" s="350"/>
      <c r="BF4084" s="350"/>
      <c r="BG4084" s="350"/>
      <c r="BH4084" s="350"/>
    </row>
    <row r="4085" spans="4:60">
      <c r="D4085" s="350"/>
      <c r="S4085" s="350"/>
      <c r="BF4085" s="350"/>
      <c r="BG4085" s="350"/>
      <c r="BH4085" s="350"/>
    </row>
    <row r="4086" spans="4:60">
      <c r="D4086" s="350"/>
      <c r="S4086" s="350"/>
      <c r="BF4086" s="350"/>
      <c r="BG4086" s="350"/>
      <c r="BH4086" s="350"/>
    </row>
    <row r="4087" spans="4:60">
      <c r="D4087" s="350"/>
      <c r="S4087" s="350"/>
      <c r="BF4087" s="350"/>
      <c r="BG4087" s="350"/>
      <c r="BH4087" s="350"/>
    </row>
    <row r="4088" spans="4:60">
      <c r="D4088" s="350"/>
      <c r="S4088" s="350"/>
      <c r="BF4088" s="350"/>
      <c r="BG4088" s="350"/>
      <c r="BH4088" s="350"/>
    </row>
    <row r="4089" spans="4:60">
      <c r="D4089" s="350"/>
      <c r="S4089" s="350"/>
      <c r="BF4089" s="350"/>
      <c r="BG4089" s="350"/>
      <c r="BH4089" s="350"/>
    </row>
    <row r="4090" spans="4:60">
      <c r="D4090" s="350"/>
      <c r="S4090" s="350"/>
      <c r="BF4090" s="350"/>
      <c r="BG4090" s="350"/>
      <c r="BH4090" s="350"/>
    </row>
    <row r="4091" spans="4:60">
      <c r="D4091" s="350"/>
      <c r="S4091" s="350"/>
      <c r="BF4091" s="350"/>
      <c r="BG4091" s="350"/>
      <c r="BH4091" s="350"/>
    </row>
    <row r="4092" spans="4:60">
      <c r="D4092" s="350"/>
      <c r="S4092" s="350"/>
      <c r="BF4092" s="350"/>
      <c r="BG4092" s="350"/>
      <c r="BH4092" s="350"/>
    </row>
    <row r="4093" spans="4:60">
      <c r="D4093" s="350"/>
      <c r="S4093" s="350"/>
      <c r="BF4093" s="350"/>
      <c r="BG4093" s="350"/>
      <c r="BH4093" s="350"/>
    </row>
    <row r="4094" spans="4:60">
      <c r="D4094" s="350"/>
      <c r="S4094" s="350"/>
      <c r="BF4094" s="350"/>
      <c r="BG4094" s="350"/>
      <c r="BH4094" s="350"/>
    </row>
    <row r="4095" spans="4:60">
      <c r="D4095" s="350"/>
      <c r="S4095" s="350"/>
      <c r="BF4095" s="350"/>
      <c r="BG4095" s="350"/>
      <c r="BH4095" s="350"/>
    </row>
    <row r="4096" spans="4:60">
      <c r="D4096" s="350"/>
      <c r="S4096" s="350"/>
      <c r="BF4096" s="350"/>
      <c r="BG4096" s="350"/>
      <c r="BH4096" s="350"/>
    </row>
    <row r="4097" spans="4:60">
      <c r="D4097" s="350"/>
      <c r="S4097" s="350"/>
      <c r="BF4097" s="350"/>
      <c r="BG4097" s="350"/>
      <c r="BH4097" s="350"/>
    </row>
    <row r="4098" spans="4:60">
      <c r="D4098" s="350"/>
      <c r="S4098" s="350"/>
      <c r="BF4098" s="350"/>
      <c r="BG4098" s="350"/>
      <c r="BH4098" s="350"/>
    </row>
    <row r="4099" spans="4:60">
      <c r="D4099" s="350"/>
      <c r="S4099" s="350"/>
      <c r="BF4099" s="350"/>
      <c r="BG4099" s="350"/>
      <c r="BH4099" s="350"/>
    </row>
    <row r="4100" spans="4:60">
      <c r="D4100" s="350"/>
      <c r="S4100" s="350"/>
      <c r="BF4100" s="350"/>
      <c r="BG4100" s="350"/>
      <c r="BH4100" s="350"/>
    </row>
    <row r="4101" spans="4:60">
      <c r="D4101" s="350"/>
      <c r="S4101" s="350"/>
      <c r="BF4101" s="350"/>
      <c r="BG4101" s="350"/>
      <c r="BH4101" s="350"/>
    </row>
    <row r="4102" spans="4:60">
      <c r="D4102" s="350"/>
      <c r="S4102" s="350"/>
      <c r="BF4102" s="350"/>
      <c r="BG4102" s="350"/>
      <c r="BH4102" s="350"/>
    </row>
    <row r="4103" spans="4:60">
      <c r="D4103" s="350"/>
      <c r="S4103" s="350"/>
      <c r="BF4103" s="350"/>
      <c r="BG4103" s="350"/>
      <c r="BH4103" s="350"/>
    </row>
    <row r="4104" spans="4:60">
      <c r="D4104" s="350"/>
      <c r="S4104" s="350"/>
      <c r="BF4104" s="350"/>
      <c r="BG4104" s="350"/>
      <c r="BH4104" s="350"/>
    </row>
    <row r="4105" spans="4:60">
      <c r="D4105" s="350"/>
      <c r="S4105" s="350"/>
      <c r="BF4105" s="350"/>
      <c r="BG4105" s="350"/>
      <c r="BH4105" s="350"/>
    </row>
    <row r="4106" spans="4:60">
      <c r="D4106" s="350"/>
      <c r="S4106" s="350"/>
      <c r="BF4106" s="350"/>
      <c r="BG4106" s="350"/>
      <c r="BH4106" s="350"/>
    </row>
    <row r="4107" spans="4:60">
      <c r="D4107" s="350"/>
      <c r="S4107" s="350"/>
      <c r="BF4107" s="350"/>
      <c r="BG4107" s="350"/>
      <c r="BH4107" s="350"/>
    </row>
    <row r="4108" spans="4:60">
      <c r="D4108" s="350"/>
      <c r="S4108" s="350"/>
      <c r="BF4108" s="350"/>
      <c r="BG4108" s="350"/>
      <c r="BH4108" s="350"/>
    </row>
    <row r="4109" spans="4:60">
      <c r="D4109" s="350"/>
      <c r="S4109" s="350"/>
      <c r="BF4109" s="350"/>
      <c r="BG4109" s="350"/>
      <c r="BH4109" s="350"/>
    </row>
    <row r="4110" spans="4:60">
      <c r="D4110" s="350"/>
      <c r="S4110" s="350"/>
      <c r="BF4110" s="350"/>
      <c r="BG4110" s="350"/>
      <c r="BH4110" s="350"/>
    </row>
    <row r="4111" spans="4:60">
      <c r="D4111" s="350"/>
      <c r="S4111" s="350"/>
      <c r="BF4111" s="350"/>
      <c r="BG4111" s="350"/>
      <c r="BH4111" s="350"/>
    </row>
    <row r="4112" spans="4:60">
      <c r="D4112" s="350"/>
      <c r="S4112" s="350"/>
      <c r="BF4112" s="350"/>
      <c r="BG4112" s="350"/>
      <c r="BH4112" s="350"/>
    </row>
    <row r="4113" spans="4:60">
      <c r="D4113" s="350"/>
      <c r="S4113" s="350"/>
      <c r="BF4113" s="350"/>
      <c r="BG4113" s="350"/>
      <c r="BH4113" s="350"/>
    </row>
    <row r="4114" spans="4:60">
      <c r="D4114" s="350"/>
      <c r="S4114" s="350"/>
      <c r="BF4114" s="350"/>
      <c r="BG4114" s="350"/>
      <c r="BH4114" s="350"/>
    </row>
    <row r="4115" spans="4:60">
      <c r="D4115" s="350"/>
      <c r="S4115" s="350"/>
      <c r="BF4115" s="350"/>
      <c r="BG4115" s="350"/>
      <c r="BH4115" s="350"/>
    </row>
    <row r="4116" spans="4:60">
      <c r="D4116" s="350"/>
      <c r="S4116" s="350"/>
      <c r="BF4116" s="350"/>
      <c r="BG4116" s="350"/>
      <c r="BH4116" s="350"/>
    </row>
    <row r="4117" spans="4:60">
      <c r="D4117" s="350"/>
      <c r="S4117" s="350"/>
      <c r="BF4117" s="350"/>
      <c r="BG4117" s="350"/>
      <c r="BH4117" s="350"/>
    </row>
    <row r="4118" spans="4:60">
      <c r="D4118" s="350"/>
      <c r="S4118" s="350"/>
      <c r="BF4118" s="350"/>
      <c r="BG4118" s="350"/>
      <c r="BH4118" s="350"/>
    </row>
    <row r="4119" spans="4:60">
      <c r="D4119" s="350"/>
      <c r="S4119" s="350"/>
      <c r="BF4119" s="350"/>
      <c r="BG4119" s="350"/>
      <c r="BH4119" s="350"/>
    </row>
    <row r="4120" spans="4:60">
      <c r="D4120" s="350"/>
      <c r="S4120" s="350"/>
      <c r="BF4120" s="350"/>
      <c r="BG4120" s="350"/>
      <c r="BH4120" s="350"/>
    </row>
    <row r="4121" spans="4:60">
      <c r="D4121" s="350"/>
      <c r="S4121" s="350"/>
      <c r="BF4121" s="350"/>
      <c r="BG4121" s="350"/>
      <c r="BH4121" s="350"/>
    </row>
    <row r="4122" spans="4:60">
      <c r="D4122" s="350"/>
      <c r="S4122" s="350"/>
      <c r="BF4122" s="350"/>
      <c r="BG4122" s="350"/>
      <c r="BH4122" s="350"/>
    </row>
    <row r="4123" spans="4:60">
      <c r="D4123" s="350"/>
      <c r="S4123" s="350"/>
      <c r="BF4123" s="350"/>
      <c r="BG4123" s="350"/>
      <c r="BH4123" s="350"/>
    </row>
    <row r="4124" spans="4:60">
      <c r="D4124" s="350"/>
      <c r="S4124" s="350"/>
      <c r="BF4124" s="350"/>
      <c r="BG4124" s="350"/>
      <c r="BH4124" s="350"/>
    </row>
    <row r="4125" spans="4:60">
      <c r="D4125" s="350"/>
      <c r="S4125" s="350"/>
      <c r="BF4125" s="350"/>
      <c r="BG4125" s="350"/>
      <c r="BH4125" s="350"/>
    </row>
    <row r="4126" spans="4:60">
      <c r="D4126" s="350"/>
      <c r="S4126" s="350"/>
      <c r="BF4126" s="350"/>
      <c r="BG4126" s="350"/>
      <c r="BH4126" s="350"/>
    </row>
    <row r="4127" spans="4:60">
      <c r="D4127" s="350"/>
      <c r="S4127" s="350"/>
      <c r="BF4127" s="350"/>
      <c r="BG4127" s="350"/>
      <c r="BH4127" s="350"/>
    </row>
    <row r="4131" spans="4:60">
      <c r="D4131" s="350"/>
      <c r="S4131" s="350"/>
      <c r="BF4131" s="350"/>
      <c r="BG4131" s="350"/>
      <c r="BH4131" s="350"/>
    </row>
    <row r="4132" spans="4:60">
      <c r="D4132" s="350"/>
      <c r="S4132" s="350"/>
      <c r="BF4132" s="350"/>
      <c r="BG4132" s="350"/>
      <c r="BH4132" s="350"/>
    </row>
    <row r="4133" spans="4:60">
      <c r="D4133" s="350"/>
      <c r="S4133" s="350"/>
      <c r="BF4133" s="350"/>
      <c r="BG4133" s="350"/>
      <c r="BH4133" s="350"/>
    </row>
    <row r="4134" spans="4:60">
      <c r="D4134" s="350"/>
      <c r="S4134" s="350"/>
      <c r="BF4134" s="350"/>
      <c r="BG4134" s="350"/>
      <c r="BH4134" s="350"/>
    </row>
    <row r="4135" spans="4:60">
      <c r="D4135" s="350"/>
      <c r="S4135" s="350"/>
      <c r="BF4135" s="350"/>
      <c r="BG4135" s="350"/>
      <c r="BH4135" s="350"/>
    </row>
    <row r="4136" spans="4:60">
      <c r="D4136" s="350"/>
      <c r="S4136" s="350"/>
      <c r="BF4136" s="350"/>
      <c r="BG4136" s="350"/>
      <c r="BH4136" s="350"/>
    </row>
    <row r="4137" spans="4:60">
      <c r="D4137" s="350"/>
      <c r="S4137" s="350"/>
      <c r="BF4137" s="350"/>
      <c r="BG4137" s="350"/>
      <c r="BH4137" s="350"/>
    </row>
    <row r="4138" spans="4:60">
      <c r="D4138" s="350"/>
      <c r="S4138" s="350"/>
      <c r="BF4138" s="350"/>
      <c r="BG4138" s="350"/>
      <c r="BH4138" s="350"/>
    </row>
    <row r="4140" spans="4:60">
      <c r="D4140" s="350"/>
      <c r="S4140" s="350"/>
      <c r="BF4140" s="350"/>
      <c r="BG4140" s="350"/>
      <c r="BH4140" s="350"/>
    </row>
    <row r="4141" spans="4:60">
      <c r="D4141" s="350"/>
      <c r="S4141" s="350"/>
      <c r="BF4141" s="350"/>
      <c r="BG4141" s="350"/>
      <c r="BH4141" s="350"/>
    </row>
    <row r="4142" spans="4:60">
      <c r="D4142" s="350"/>
      <c r="S4142" s="350"/>
      <c r="BF4142" s="350"/>
      <c r="BG4142" s="350"/>
      <c r="BH4142" s="350"/>
    </row>
    <row r="4144" spans="4:60">
      <c r="D4144" s="350"/>
      <c r="S4144" s="350"/>
      <c r="BF4144" s="350"/>
      <c r="BG4144" s="350"/>
      <c r="BH4144" s="350"/>
    </row>
    <row r="4145" spans="4:60">
      <c r="D4145" s="350"/>
      <c r="S4145" s="350"/>
      <c r="BF4145" s="350"/>
      <c r="BG4145" s="350"/>
      <c r="BH4145" s="350"/>
    </row>
    <row r="4146" spans="4:60">
      <c r="D4146" s="350"/>
      <c r="S4146" s="350"/>
      <c r="BF4146" s="350"/>
      <c r="BG4146" s="350"/>
      <c r="BH4146" s="350"/>
    </row>
    <row r="4147" spans="4:60">
      <c r="D4147" s="350"/>
      <c r="S4147" s="350"/>
      <c r="BF4147" s="350"/>
      <c r="BG4147" s="350"/>
      <c r="BH4147" s="350"/>
    </row>
    <row r="4148" spans="4:60">
      <c r="D4148" s="350"/>
      <c r="S4148" s="350"/>
      <c r="BF4148" s="350"/>
      <c r="BG4148" s="350"/>
      <c r="BH4148" s="350"/>
    </row>
    <row r="4149" spans="4:60">
      <c r="D4149" s="350"/>
      <c r="S4149" s="350"/>
      <c r="BF4149" s="350"/>
      <c r="BG4149" s="350"/>
      <c r="BH4149" s="350"/>
    </row>
    <row r="4150" spans="4:60">
      <c r="D4150" s="350"/>
      <c r="S4150" s="350"/>
      <c r="BF4150" s="350"/>
      <c r="BG4150" s="350"/>
      <c r="BH4150" s="350"/>
    </row>
    <row r="4151" spans="4:60">
      <c r="D4151" s="350"/>
      <c r="S4151" s="350"/>
      <c r="BF4151" s="350"/>
      <c r="BG4151" s="350"/>
      <c r="BH4151" s="350"/>
    </row>
    <row r="4152" spans="4:60">
      <c r="D4152" s="350"/>
      <c r="S4152" s="350"/>
      <c r="BF4152" s="350"/>
      <c r="BG4152" s="350"/>
      <c r="BH4152" s="350"/>
    </row>
    <row r="4153" spans="4:60">
      <c r="D4153" s="350"/>
      <c r="S4153" s="350"/>
      <c r="BF4153" s="350"/>
      <c r="BG4153" s="350"/>
      <c r="BH4153" s="350"/>
    </row>
    <row r="4154" spans="4:60">
      <c r="D4154" s="350"/>
      <c r="S4154" s="350"/>
      <c r="BF4154" s="350"/>
      <c r="BG4154" s="350"/>
      <c r="BH4154" s="350"/>
    </row>
    <row r="4155" spans="4:60">
      <c r="D4155" s="350"/>
      <c r="S4155" s="350"/>
      <c r="BF4155" s="350"/>
      <c r="BG4155" s="350"/>
      <c r="BH4155" s="350"/>
    </row>
    <row r="4156" spans="4:60">
      <c r="D4156" s="350"/>
      <c r="S4156" s="350"/>
      <c r="BF4156" s="350"/>
      <c r="BG4156" s="350"/>
      <c r="BH4156" s="350"/>
    </row>
    <row r="4157" spans="4:60">
      <c r="D4157" s="350"/>
      <c r="S4157" s="350"/>
      <c r="BF4157" s="350"/>
      <c r="BG4157" s="350"/>
      <c r="BH4157" s="350"/>
    </row>
    <row r="4158" spans="4:60">
      <c r="D4158" s="350"/>
      <c r="S4158" s="350"/>
      <c r="BF4158" s="350"/>
      <c r="BG4158" s="350"/>
      <c r="BH4158" s="350"/>
    </row>
    <row r="4159" spans="4:60">
      <c r="D4159" s="350"/>
      <c r="S4159" s="350"/>
      <c r="BF4159" s="350"/>
      <c r="BG4159" s="350"/>
      <c r="BH4159" s="350"/>
    </row>
    <row r="4160" spans="4:60">
      <c r="D4160" s="350"/>
      <c r="S4160" s="350"/>
      <c r="BF4160" s="350"/>
      <c r="BG4160" s="350"/>
      <c r="BH4160" s="350"/>
    </row>
    <row r="4161" spans="4:60">
      <c r="D4161" s="350"/>
      <c r="S4161" s="350"/>
      <c r="BF4161" s="350"/>
      <c r="BG4161" s="350"/>
      <c r="BH4161" s="350"/>
    </row>
    <row r="4162" spans="4:60">
      <c r="D4162" s="350"/>
      <c r="S4162" s="350"/>
      <c r="BF4162" s="350"/>
      <c r="BG4162" s="350"/>
      <c r="BH4162" s="350"/>
    </row>
    <row r="4166" spans="4:60">
      <c r="D4166" s="350"/>
      <c r="S4166" s="350"/>
      <c r="BF4166" s="350"/>
      <c r="BG4166" s="350"/>
      <c r="BH4166" s="350"/>
    </row>
    <row r="4167" spans="4:60">
      <c r="D4167" s="350"/>
      <c r="S4167" s="350"/>
      <c r="BF4167" s="350"/>
      <c r="BG4167" s="350"/>
      <c r="BH4167" s="350"/>
    </row>
    <row r="4168" spans="4:60">
      <c r="D4168" s="350"/>
      <c r="S4168" s="350"/>
      <c r="BF4168" s="350"/>
      <c r="BG4168" s="350"/>
      <c r="BH4168" s="350"/>
    </row>
    <row r="4170" spans="4:60">
      <c r="D4170" s="350"/>
      <c r="S4170" s="350"/>
      <c r="BF4170" s="350"/>
      <c r="BG4170" s="350"/>
      <c r="BH4170" s="350"/>
    </row>
    <row r="4171" spans="4:60">
      <c r="D4171" s="350"/>
      <c r="S4171" s="350"/>
      <c r="BF4171" s="350"/>
      <c r="BG4171" s="350"/>
      <c r="BH4171" s="350"/>
    </row>
    <row r="4172" spans="4:60">
      <c r="D4172" s="350"/>
      <c r="S4172" s="350"/>
      <c r="BF4172" s="350"/>
      <c r="BG4172" s="350"/>
      <c r="BH4172" s="350"/>
    </row>
    <row r="4173" spans="4:60">
      <c r="D4173" s="350"/>
      <c r="S4173" s="350"/>
      <c r="BF4173" s="350"/>
      <c r="BG4173" s="350"/>
      <c r="BH4173" s="350"/>
    </row>
    <row r="4174" spans="4:60">
      <c r="D4174" s="350"/>
      <c r="S4174" s="350"/>
      <c r="BF4174" s="350"/>
      <c r="BG4174" s="350"/>
      <c r="BH4174" s="350"/>
    </row>
    <row r="4175" spans="4:60">
      <c r="D4175" s="350"/>
      <c r="S4175" s="350"/>
      <c r="BF4175" s="350"/>
      <c r="BG4175" s="350"/>
      <c r="BH4175" s="350"/>
    </row>
    <row r="4176" spans="4:60">
      <c r="D4176" s="350"/>
      <c r="S4176" s="350"/>
      <c r="BF4176" s="350"/>
      <c r="BG4176" s="350"/>
      <c r="BH4176" s="350"/>
    </row>
    <row r="4177" spans="4:60">
      <c r="D4177" s="350"/>
      <c r="S4177" s="350"/>
      <c r="BF4177" s="350"/>
      <c r="BG4177" s="350"/>
      <c r="BH4177" s="350"/>
    </row>
    <row r="4178" spans="4:60">
      <c r="D4178" s="350"/>
      <c r="S4178" s="350"/>
      <c r="BF4178" s="350"/>
      <c r="BG4178" s="350"/>
      <c r="BH4178" s="350"/>
    </row>
    <row r="4179" spans="4:60">
      <c r="D4179" s="350"/>
      <c r="S4179" s="350"/>
      <c r="BF4179" s="350"/>
      <c r="BG4179" s="350"/>
      <c r="BH4179" s="350"/>
    </row>
    <row r="4180" spans="4:60">
      <c r="D4180" s="350"/>
      <c r="S4180" s="350"/>
      <c r="BF4180" s="350"/>
      <c r="BG4180" s="350"/>
      <c r="BH4180" s="350"/>
    </row>
    <row r="4181" spans="4:60">
      <c r="D4181" s="350"/>
      <c r="S4181" s="350"/>
      <c r="BF4181" s="350"/>
      <c r="BG4181" s="350"/>
      <c r="BH4181" s="350"/>
    </row>
    <row r="4182" spans="4:60">
      <c r="D4182" s="350"/>
      <c r="S4182" s="350"/>
      <c r="BF4182" s="350"/>
      <c r="BG4182" s="350"/>
      <c r="BH4182" s="350"/>
    </row>
    <row r="4183" spans="4:60">
      <c r="D4183" s="350"/>
      <c r="S4183" s="350"/>
      <c r="BF4183" s="350"/>
      <c r="BG4183" s="350"/>
      <c r="BH4183" s="350"/>
    </row>
    <row r="4184" spans="4:60">
      <c r="D4184" s="350"/>
      <c r="S4184" s="350"/>
      <c r="BF4184" s="350"/>
      <c r="BG4184" s="350"/>
      <c r="BH4184" s="350"/>
    </row>
    <row r="4185" spans="4:60">
      <c r="D4185" s="350"/>
      <c r="S4185" s="350"/>
      <c r="BF4185" s="350"/>
      <c r="BG4185" s="350"/>
      <c r="BH4185" s="350"/>
    </row>
    <row r="4186" spans="4:60">
      <c r="D4186" s="350"/>
      <c r="S4186" s="350"/>
      <c r="BF4186" s="350"/>
      <c r="BG4186" s="350"/>
      <c r="BH4186" s="350"/>
    </row>
    <row r="4187" spans="4:60">
      <c r="D4187" s="350"/>
      <c r="S4187" s="350"/>
      <c r="BF4187" s="350"/>
      <c r="BG4187" s="350"/>
      <c r="BH4187" s="350"/>
    </row>
    <row r="4188" spans="4:60">
      <c r="D4188" s="350"/>
      <c r="S4188" s="350"/>
      <c r="BF4188" s="350"/>
      <c r="BG4188" s="350"/>
      <c r="BH4188" s="350"/>
    </row>
    <row r="4189" spans="4:60">
      <c r="D4189" s="350"/>
      <c r="S4189" s="350"/>
      <c r="BF4189" s="350"/>
      <c r="BG4189" s="350"/>
      <c r="BH4189" s="350"/>
    </row>
    <row r="4190" spans="4:60">
      <c r="D4190" s="350"/>
      <c r="S4190" s="350"/>
      <c r="BF4190" s="350"/>
      <c r="BG4190" s="350"/>
      <c r="BH4190" s="350"/>
    </row>
    <row r="4191" spans="4:60">
      <c r="D4191" s="350"/>
      <c r="S4191" s="350"/>
      <c r="BF4191" s="350"/>
      <c r="BG4191" s="350"/>
      <c r="BH4191" s="350"/>
    </row>
    <row r="4192" spans="4:60">
      <c r="D4192" s="350"/>
      <c r="S4192" s="350"/>
      <c r="BF4192" s="350"/>
      <c r="BG4192" s="350"/>
      <c r="BH4192" s="350"/>
    </row>
    <row r="4193" spans="4:60">
      <c r="D4193" s="350"/>
      <c r="S4193" s="350"/>
      <c r="BF4193" s="350"/>
      <c r="BG4193" s="350"/>
      <c r="BH4193" s="350"/>
    </row>
    <row r="4194" spans="4:60">
      <c r="D4194" s="350"/>
      <c r="S4194" s="350"/>
      <c r="BF4194" s="350"/>
      <c r="BG4194" s="350"/>
      <c r="BH4194" s="350"/>
    </row>
    <row r="4195" spans="4:60">
      <c r="D4195" s="350"/>
      <c r="S4195" s="350"/>
      <c r="BF4195" s="350"/>
      <c r="BG4195" s="350"/>
      <c r="BH4195" s="350"/>
    </row>
    <row r="4196" spans="4:60">
      <c r="D4196" s="350"/>
      <c r="S4196" s="350"/>
      <c r="BF4196" s="350"/>
      <c r="BG4196" s="350"/>
      <c r="BH4196" s="350"/>
    </row>
    <row r="4197" spans="4:60">
      <c r="D4197" s="350"/>
      <c r="S4197" s="350"/>
      <c r="BF4197" s="350"/>
      <c r="BG4197" s="350"/>
      <c r="BH4197" s="350"/>
    </row>
    <row r="4198" spans="4:60">
      <c r="D4198" s="350"/>
      <c r="S4198" s="350"/>
      <c r="BF4198" s="350"/>
      <c r="BG4198" s="350"/>
      <c r="BH4198" s="350"/>
    </row>
    <row r="4199" spans="4:60">
      <c r="D4199" s="350"/>
      <c r="S4199" s="350"/>
      <c r="BF4199" s="350"/>
      <c r="BG4199" s="350"/>
      <c r="BH4199" s="350"/>
    </row>
    <row r="4200" spans="4:60">
      <c r="D4200" s="350"/>
      <c r="S4200" s="350"/>
      <c r="BF4200" s="350"/>
      <c r="BG4200" s="350"/>
      <c r="BH4200" s="350"/>
    </row>
    <row r="4201" spans="4:60">
      <c r="D4201" s="350"/>
      <c r="S4201" s="350"/>
      <c r="BF4201" s="350"/>
      <c r="BG4201" s="350"/>
      <c r="BH4201" s="350"/>
    </row>
    <row r="4202" spans="4:60">
      <c r="D4202" s="350"/>
      <c r="S4202" s="350"/>
      <c r="BF4202" s="350"/>
      <c r="BG4202" s="350"/>
      <c r="BH4202" s="350"/>
    </row>
    <row r="4203" spans="4:60">
      <c r="D4203" s="350"/>
      <c r="S4203" s="350"/>
      <c r="BF4203" s="350"/>
      <c r="BG4203" s="350"/>
      <c r="BH4203" s="350"/>
    </row>
    <row r="4204" spans="4:60">
      <c r="D4204" s="350"/>
      <c r="S4204" s="350"/>
      <c r="BF4204" s="350"/>
      <c r="BG4204" s="350"/>
      <c r="BH4204" s="350"/>
    </row>
    <row r="4205" spans="4:60">
      <c r="D4205" s="350"/>
      <c r="S4205" s="350"/>
      <c r="BF4205" s="350"/>
      <c r="BG4205" s="350"/>
      <c r="BH4205" s="350"/>
    </row>
    <row r="4206" spans="4:60">
      <c r="D4206" s="350"/>
      <c r="S4206" s="350"/>
      <c r="BF4206" s="350"/>
      <c r="BG4206" s="350"/>
      <c r="BH4206" s="350"/>
    </row>
    <row r="4207" spans="4:60">
      <c r="D4207" s="350"/>
      <c r="S4207" s="350"/>
      <c r="BF4207" s="350"/>
      <c r="BG4207" s="350"/>
      <c r="BH4207" s="350"/>
    </row>
    <row r="4208" spans="4:60">
      <c r="D4208" s="350"/>
      <c r="S4208" s="350"/>
      <c r="BF4208" s="350"/>
      <c r="BG4208" s="350"/>
      <c r="BH4208" s="350"/>
    </row>
    <row r="4209" spans="4:60">
      <c r="D4209" s="350"/>
      <c r="S4209" s="350"/>
      <c r="BF4209" s="350"/>
      <c r="BG4209" s="350"/>
      <c r="BH4209" s="350"/>
    </row>
    <row r="4210" spans="4:60">
      <c r="D4210" s="350"/>
      <c r="S4210" s="350"/>
      <c r="BF4210" s="350"/>
      <c r="BG4210" s="350"/>
      <c r="BH4210" s="350"/>
    </row>
    <row r="4211" spans="4:60">
      <c r="D4211" s="350"/>
      <c r="S4211" s="350"/>
      <c r="BF4211" s="350"/>
      <c r="BG4211" s="350"/>
      <c r="BH4211" s="350"/>
    </row>
    <row r="4212" spans="4:60">
      <c r="D4212" s="350"/>
      <c r="S4212" s="350"/>
      <c r="BF4212" s="350"/>
      <c r="BG4212" s="350"/>
      <c r="BH4212" s="350"/>
    </row>
    <row r="4213" spans="4:60">
      <c r="D4213" s="350"/>
      <c r="S4213" s="350"/>
      <c r="BF4213" s="350"/>
      <c r="BG4213" s="350"/>
      <c r="BH4213" s="350"/>
    </row>
    <row r="4214" spans="4:60">
      <c r="D4214" s="350"/>
      <c r="S4214" s="350"/>
      <c r="BF4214" s="350"/>
      <c r="BG4214" s="350"/>
      <c r="BH4214" s="350"/>
    </row>
    <row r="4215" spans="4:60">
      <c r="D4215" s="350"/>
      <c r="S4215" s="350"/>
      <c r="BF4215" s="350"/>
      <c r="BG4215" s="350"/>
      <c r="BH4215" s="350"/>
    </row>
    <row r="4216" spans="4:60">
      <c r="D4216" s="350"/>
      <c r="S4216" s="350"/>
      <c r="BF4216" s="350"/>
      <c r="BG4216" s="350"/>
      <c r="BH4216" s="350"/>
    </row>
    <row r="4217" spans="4:60">
      <c r="D4217" s="350"/>
      <c r="S4217" s="350"/>
      <c r="BF4217" s="350"/>
      <c r="BG4217" s="350"/>
      <c r="BH4217" s="350"/>
    </row>
    <row r="4218" spans="4:60">
      <c r="D4218" s="350"/>
      <c r="S4218" s="350"/>
      <c r="BF4218" s="350"/>
      <c r="BG4218" s="350"/>
      <c r="BH4218" s="350"/>
    </row>
    <row r="4219" spans="4:60">
      <c r="D4219" s="350"/>
      <c r="S4219" s="350"/>
      <c r="BF4219" s="350"/>
      <c r="BG4219" s="350"/>
      <c r="BH4219" s="350"/>
    </row>
    <row r="4220" spans="4:60">
      <c r="D4220" s="350"/>
      <c r="S4220" s="350"/>
      <c r="BF4220" s="350"/>
      <c r="BG4220" s="350"/>
      <c r="BH4220" s="350"/>
    </row>
    <row r="4221" spans="4:60">
      <c r="D4221" s="350"/>
      <c r="S4221" s="350"/>
      <c r="BF4221" s="350"/>
      <c r="BG4221" s="350"/>
      <c r="BH4221" s="350"/>
    </row>
    <row r="4222" spans="4:60">
      <c r="D4222" s="350"/>
      <c r="S4222" s="350"/>
      <c r="BF4222" s="350"/>
      <c r="BG4222" s="350"/>
      <c r="BH4222" s="350"/>
    </row>
    <row r="4223" spans="4:60">
      <c r="D4223" s="350"/>
      <c r="S4223" s="350"/>
      <c r="BF4223" s="350"/>
      <c r="BG4223" s="350"/>
      <c r="BH4223" s="350"/>
    </row>
    <row r="4224" spans="4:60">
      <c r="D4224" s="350"/>
      <c r="S4224" s="350"/>
      <c r="BF4224" s="350"/>
      <c r="BG4224" s="350"/>
      <c r="BH4224" s="350"/>
    </row>
    <row r="4225" spans="4:60">
      <c r="D4225" s="350"/>
      <c r="S4225" s="350"/>
      <c r="BF4225" s="350"/>
      <c r="BG4225" s="350"/>
      <c r="BH4225" s="350"/>
    </row>
    <row r="4226" spans="4:60">
      <c r="D4226" s="350"/>
      <c r="S4226" s="350"/>
      <c r="BF4226" s="350"/>
      <c r="BG4226" s="350"/>
      <c r="BH4226" s="350"/>
    </row>
    <row r="4227" spans="4:60">
      <c r="D4227" s="350"/>
      <c r="S4227" s="350"/>
      <c r="BF4227" s="350"/>
      <c r="BG4227" s="350"/>
      <c r="BH4227" s="350"/>
    </row>
    <row r="4228" spans="4:60">
      <c r="D4228" s="350"/>
      <c r="S4228" s="350"/>
      <c r="BF4228" s="350"/>
      <c r="BG4228" s="350"/>
      <c r="BH4228" s="350"/>
    </row>
    <row r="4229" spans="4:60">
      <c r="D4229" s="350"/>
      <c r="S4229" s="350"/>
      <c r="BF4229" s="350"/>
      <c r="BG4229" s="350"/>
      <c r="BH4229" s="350"/>
    </row>
    <row r="4230" spans="4:60">
      <c r="D4230" s="350"/>
      <c r="S4230" s="350"/>
      <c r="BF4230" s="350"/>
      <c r="BG4230" s="350"/>
      <c r="BH4230" s="350"/>
    </row>
    <row r="4231" spans="4:60">
      <c r="D4231" s="350"/>
      <c r="S4231" s="350"/>
      <c r="BF4231" s="350"/>
      <c r="BG4231" s="350"/>
      <c r="BH4231" s="350"/>
    </row>
    <row r="4232" spans="4:60">
      <c r="D4232" s="350"/>
      <c r="S4232" s="350"/>
      <c r="BF4232" s="350"/>
      <c r="BG4232" s="350"/>
      <c r="BH4232" s="350"/>
    </row>
    <row r="4233" spans="4:60">
      <c r="D4233" s="350"/>
      <c r="S4233" s="350"/>
      <c r="BF4233" s="350"/>
      <c r="BG4233" s="350"/>
      <c r="BH4233" s="350"/>
    </row>
    <row r="4234" spans="4:60">
      <c r="D4234" s="350"/>
      <c r="S4234" s="350"/>
      <c r="BF4234" s="350"/>
      <c r="BG4234" s="350"/>
      <c r="BH4234" s="350"/>
    </row>
    <row r="4235" spans="4:60">
      <c r="D4235" s="350"/>
      <c r="S4235" s="350"/>
      <c r="BF4235" s="350"/>
      <c r="BG4235" s="350"/>
      <c r="BH4235" s="350"/>
    </row>
    <row r="4236" spans="4:60">
      <c r="D4236" s="350"/>
      <c r="S4236" s="350"/>
      <c r="BF4236" s="350"/>
      <c r="BG4236" s="350"/>
      <c r="BH4236" s="350"/>
    </row>
    <row r="4237" spans="4:60">
      <c r="D4237" s="350"/>
      <c r="S4237" s="350"/>
      <c r="BF4237" s="350"/>
      <c r="BG4237" s="350"/>
      <c r="BH4237" s="350"/>
    </row>
    <row r="4238" spans="4:60">
      <c r="D4238" s="350"/>
      <c r="S4238" s="350"/>
      <c r="BF4238" s="350"/>
      <c r="BG4238" s="350"/>
      <c r="BH4238" s="350"/>
    </row>
    <row r="4239" spans="4:60">
      <c r="D4239" s="350"/>
      <c r="S4239" s="350"/>
      <c r="BF4239" s="350"/>
      <c r="BG4239" s="350"/>
      <c r="BH4239" s="350"/>
    </row>
    <row r="4240" spans="4:60">
      <c r="D4240" s="350"/>
      <c r="S4240" s="350"/>
      <c r="BF4240" s="350"/>
      <c r="BG4240" s="350"/>
      <c r="BH4240" s="350"/>
    </row>
    <row r="4241" spans="4:60">
      <c r="D4241" s="350"/>
      <c r="S4241" s="350"/>
      <c r="BF4241" s="350"/>
      <c r="BG4241" s="350"/>
      <c r="BH4241" s="350"/>
    </row>
    <row r="4242" spans="4:60">
      <c r="D4242" s="350"/>
      <c r="S4242" s="350"/>
      <c r="BF4242" s="350"/>
      <c r="BG4242" s="350"/>
      <c r="BH4242" s="350"/>
    </row>
    <row r="4243" spans="4:60">
      <c r="D4243" s="350"/>
      <c r="S4243" s="350"/>
      <c r="BF4243" s="350"/>
      <c r="BG4243" s="350"/>
      <c r="BH4243" s="350"/>
    </row>
    <row r="4244" spans="4:60">
      <c r="D4244" s="350"/>
      <c r="S4244" s="350"/>
      <c r="BF4244" s="350"/>
      <c r="BG4244" s="350"/>
      <c r="BH4244" s="350"/>
    </row>
    <row r="4245" spans="4:60">
      <c r="D4245" s="350"/>
      <c r="S4245" s="350"/>
      <c r="BF4245" s="350"/>
      <c r="BG4245" s="350"/>
      <c r="BH4245" s="350"/>
    </row>
    <row r="4246" spans="4:60">
      <c r="D4246" s="350"/>
      <c r="S4246" s="350"/>
      <c r="BF4246" s="350"/>
      <c r="BG4246" s="350"/>
      <c r="BH4246" s="350"/>
    </row>
    <row r="4247" spans="4:60">
      <c r="D4247" s="350"/>
      <c r="S4247" s="350"/>
      <c r="BF4247" s="350"/>
      <c r="BG4247" s="350"/>
      <c r="BH4247" s="350"/>
    </row>
    <row r="4248" spans="4:60">
      <c r="D4248" s="350"/>
      <c r="S4248" s="350"/>
      <c r="BF4248" s="350"/>
      <c r="BG4248" s="350"/>
      <c r="BH4248" s="350"/>
    </row>
    <row r="4249" spans="4:60">
      <c r="D4249" s="350"/>
      <c r="S4249" s="350"/>
      <c r="BF4249" s="350"/>
      <c r="BG4249" s="350"/>
      <c r="BH4249" s="350"/>
    </row>
    <row r="4250" spans="4:60">
      <c r="D4250" s="350"/>
      <c r="S4250" s="350"/>
      <c r="BF4250" s="350"/>
      <c r="BG4250" s="350"/>
      <c r="BH4250" s="350"/>
    </row>
    <row r="4251" spans="4:60">
      <c r="D4251" s="350"/>
      <c r="S4251" s="350"/>
      <c r="BF4251" s="350"/>
      <c r="BG4251" s="350"/>
      <c r="BH4251" s="350"/>
    </row>
    <row r="4252" spans="4:60">
      <c r="D4252" s="350"/>
      <c r="S4252" s="350"/>
      <c r="BF4252" s="350"/>
      <c r="BG4252" s="350"/>
      <c r="BH4252" s="350"/>
    </row>
    <row r="4253" spans="4:60">
      <c r="D4253" s="350"/>
      <c r="S4253" s="350"/>
      <c r="BF4253" s="350"/>
      <c r="BG4253" s="350"/>
      <c r="BH4253" s="350"/>
    </row>
    <row r="4254" spans="4:60">
      <c r="D4254" s="350"/>
      <c r="S4254" s="350"/>
      <c r="BF4254" s="350"/>
      <c r="BG4254" s="350"/>
      <c r="BH4254" s="350"/>
    </row>
    <row r="4255" spans="4:60">
      <c r="D4255" s="350"/>
      <c r="S4255" s="350"/>
      <c r="BF4255" s="350"/>
      <c r="BG4255" s="350"/>
      <c r="BH4255" s="350"/>
    </row>
    <row r="4256" spans="4:60">
      <c r="D4256" s="350"/>
      <c r="S4256" s="350"/>
      <c r="BF4256" s="350"/>
      <c r="BG4256" s="350"/>
      <c r="BH4256" s="350"/>
    </row>
    <row r="4257" spans="4:60">
      <c r="D4257" s="350"/>
      <c r="S4257" s="350"/>
      <c r="BF4257" s="350"/>
      <c r="BG4257" s="350"/>
      <c r="BH4257" s="350"/>
    </row>
    <row r="4258" spans="4:60">
      <c r="D4258" s="350"/>
      <c r="S4258" s="350"/>
      <c r="BF4258" s="350"/>
      <c r="BG4258" s="350"/>
      <c r="BH4258" s="350"/>
    </row>
    <row r="4259" spans="4:60">
      <c r="D4259" s="350"/>
      <c r="S4259" s="350"/>
      <c r="BF4259" s="350"/>
      <c r="BG4259" s="350"/>
      <c r="BH4259" s="350"/>
    </row>
    <row r="4260" spans="4:60">
      <c r="D4260" s="350"/>
      <c r="S4260" s="350"/>
      <c r="BF4260" s="350"/>
      <c r="BG4260" s="350"/>
      <c r="BH4260" s="350"/>
    </row>
    <row r="4261" spans="4:60">
      <c r="D4261" s="350"/>
      <c r="S4261" s="350"/>
      <c r="BF4261" s="350"/>
      <c r="BG4261" s="350"/>
      <c r="BH4261" s="350"/>
    </row>
    <row r="4262" spans="4:60">
      <c r="D4262" s="350"/>
      <c r="S4262" s="350"/>
      <c r="BF4262" s="350"/>
      <c r="BG4262" s="350"/>
      <c r="BH4262" s="350"/>
    </row>
    <row r="4263" spans="4:60">
      <c r="D4263" s="350"/>
      <c r="S4263" s="350"/>
      <c r="BF4263" s="350"/>
      <c r="BG4263" s="350"/>
      <c r="BH4263" s="350"/>
    </row>
    <row r="4264" spans="4:60">
      <c r="D4264" s="350"/>
      <c r="S4264" s="350"/>
      <c r="BF4264" s="350"/>
      <c r="BG4264" s="350"/>
      <c r="BH4264" s="350"/>
    </row>
    <row r="4265" spans="4:60">
      <c r="D4265" s="350"/>
      <c r="S4265" s="350"/>
      <c r="BF4265" s="350"/>
      <c r="BG4265" s="350"/>
      <c r="BH4265" s="350"/>
    </row>
    <row r="4266" spans="4:60">
      <c r="D4266" s="350"/>
      <c r="S4266" s="350"/>
      <c r="BF4266" s="350"/>
      <c r="BG4266" s="350"/>
      <c r="BH4266" s="350"/>
    </row>
    <row r="4267" spans="4:60">
      <c r="D4267" s="350"/>
      <c r="S4267" s="350"/>
      <c r="BF4267" s="350"/>
      <c r="BG4267" s="350"/>
      <c r="BH4267" s="350"/>
    </row>
    <row r="4268" spans="4:60">
      <c r="D4268" s="350"/>
      <c r="S4268" s="350"/>
      <c r="BF4268" s="350"/>
      <c r="BG4268" s="350"/>
      <c r="BH4268" s="350"/>
    </row>
    <row r="4269" spans="4:60">
      <c r="D4269" s="350"/>
      <c r="S4269" s="350"/>
      <c r="BF4269" s="350"/>
      <c r="BG4269" s="350"/>
      <c r="BH4269" s="350"/>
    </row>
    <row r="4270" spans="4:60">
      <c r="D4270" s="350"/>
      <c r="S4270" s="350"/>
      <c r="BF4270" s="350"/>
      <c r="BG4270" s="350"/>
      <c r="BH4270" s="350"/>
    </row>
    <row r="4271" spans="4:60">
      <c r="D4271" s="350"/>
      <c r="S4271" s="350"/>
      <c r="BF4271" s="350"/>
      <c r="BG4271" s="350"/>
      <c r="BH4271" s="350"/>
    </row>
    <row r="4272" spans="4:60">
      <c r="D4272" s="350"/>
      <c r="S4272" s="350"/>
      <c r="BF4272" s="350"/>
      <c r="BG4272" s="350"/>
      <c r="BH4272" s="350"/>
    </row>
    <row r="4273" spans="4:60">
      <c r="D4273" s="350"/>
      <c r="S4273" s="350"/>
      <c r="BF4273" s="350"/>
      <c r="BG4273" s="350"/>
      <c r="BH4273" s="350"/>
    </row>
    <row r="4274" spans="4:60">
      <c r="D4274" s="350"/>
      <c r="S4274" s="350"/>
      <c r="BF4274" s="350"/>
      <c r="BG4274" s="350"/>
      <c r="BH4274" s="350"/>
    </row>
    <row r="4275" spans="4:60">
      <c r="D4275" s="350"/>
      <c r="S4275" s="350"/>
      <c r="BF4275" s="350"/>
      <c r="BG4275" s="350"/>
      <c r="BH4275" s="350"/>
    </row>
    <row r="4276" spans="4:60">
      <c r="D4276" s="350"/>
      <c r="S4276" s="350"/>
      <c r="BF4276" s="350"/>
      <c r="BG4276" s="350"/>
      <c r="BH4276" s="350"/>
    </row>
    <row r="4277" spans="4:60">
      <c r="D4277" s="350"/>
      <c r="S4277" s="350"/>
      <c r="BF4277" s="350"/>
      <c r="BG4277" s="350"/>
      <c r="BH4277" s="350"/>
    </row>
    <row r="4278" spans="4:60">
      <c r="D4278" s="350"/>
      <c r="S4278" s="350"/>
      <c r="BF4278" s="350"/>
      <c r="BG4278" s="350"/>
      <c r="BH4278" s="350"/>
    </row>
    <row r="4279" spans="4:60">
      <c r="D4279" s="350"/>
      <c r="S4279" s="350"/>
      <c r="BF4279" s="350"/>
      <c r="BG4279" s="350"/>
      <c r="BH4279" s="350"/>
    </row>
    <row r="4280" spans="4:60">
      <c r="D4280" s="350"/>
      <c r="S4280" s="350"/>
      <c r="BF4280" s="350"/>
      <c r="BG4280" s="350"/>
      <c r="BH4280" s="350"/>
    </row>
    <row r="4281" spans="4:60">
      <c r="D4281" s="350"/>
      <c r="S4281" s="350"/>
      <c r="BF4281" s="350"/>
      <c r="BG4281" s="350"/>
      <c r="BH4281" s="350"/>
    </row>
    <row r="4282" spans="4:60">
      <c r="D4282" s="350"/>
      <c r="S4282" s="350"/>
      <c r="BF4282" s="350"/>
      <c r="BG4282" s="350"/>
      <c r="BH4282" s="350"/>
    </row>
    <row r="4283" spans="4:60">
      <c r="D4283" s="350"/>
      <c r="S4283" s="350"/>
      <c r="BF4283" s="350"/>
      <c r="BG4283" s="350"/>
      <c r="BH4283" s="350"/>
    </row>
    <row r="4284" spans="4:60">
      <c r="D4284" s="350"/>
      <c r="S4284" s="350"/>
      <c r="BF4284" s="350"/>
      <c r="BG4284" s="350"/>
      <c r="BH4284" s="350"/>
    </row>
    <row r="4285" spans="4:60">
      <c r="D4285" s="350"/>
      <c r="S4285" s="350"/>
      <c r="BF4285" s="350"/>
      <c r="BG4285" s="350"/>
      <c r="BH4285" s="350"/>
    </row>
    <row r="4286" spans="4:60">
      <c r="D4286" s="350"/>
      <c r="S4286" s="350"/>
      <c r="BF4286" s="350"/>
      <c r="BG4286" s="350"/>
      <c r="BH4286" s="350"/>
    </row>
    <row r="4287" spans="4:60">
      <c r="D4287" s="350"/>
      <c r="S4287" s="350"/>
      <c r="BF4287" s="350"/>
      <c r="BG4287" s="350"/>
      <c r="BH4287" s="350"/>
    </row>
    <row r="4288" spans="4:60">
      <c r="D4288" s="350"/>
      <c r="S4288" s="350"/>
      <c r="BF4288" s="350"/>
      <c r="BG4288" s="350"/>
      <c r="BH4288" s="350"/>
    </row>
    <row r="4289" spans="4:60">
      <c r="D4289" s="350"/>
      <c r="S4289" s="350"/>
      <c r="BF4289" s="350"/>
      <c r="BG4289" s="350"/>
      <c r="BH4289" s="350"/>
    </row>
    <row r="4290" spans="4:60">
      <c r="D4290" s="350"/>
      <c r="S4290" s="350"/>
      <c r="BF4290" s="350"/>
      <c r="BG4290" s="350"/>
      <c r="BH4290" s="350"/>
    </row>
    <row r="4291" spans="4:60">
      <c r="D4291" s="350"/>
      <c r="S4291" s="350"/>
      <c r="BF4291" s="350"/>
      <c r="BG4291" s="350"/>
      <c r="BH4291" s="350"/>
    </row>
    <row r="4292" spans="4:60">
      <c r="D4292" s="350"/>
      <c r="S4292" s="350"/>
      <c r="BF4292" s="350"/>
      <c r="BG4292" s="350"/>
      <c r="BH4292" s="350"/>
    </row>
    <row r="4293" spans="4:60">
      <c r="D4293" s="350"/>
      <c r="S4293" s="350"/>
      <c r="BF4293" s="350"/>
      <c r="BG4293" s="350"/>
      <c r="BH4293" s="350"/>
    </row>
    <row r="4294" spans="4:60">
      <c r="D4294" s="350"/>
      <c r="S4294" s="350"/>
      <c r="BF4294" s="350"/>
      <c r="BG4294" s="350"/>
      <c r="BH4294" s="350"/>
    </row>
    <row r="4295" spans="4:60">
      <c r="D4295" s="350"/>
      <c r="S4295" s="350"/>
      <c r="BF4295" s="350"/>
      <c r="BG4295" s="350"/>
      <c r="BH4295" s="350"/>
    </row>
    <row r="4296" spans="4:60">
      <c r="D4296" s="350"/>
      <c r="S4296" s="350"/>
      <c r="BF4296" s="350"/>
      <c r="BG4296" s="350"/>
      <c r="BH4296" s="350"/>
    </row>
    <row r="4297" spans="4:60">
      <c r="D4297" s="350"/>
      <c r="S4297" s="350"/>
      <c r="BF4297" s="350"/>
      <c r="BG4297" s="350"/>
      <c r="BH4297" s="350"/>
    </row>
    <row r="4298" spans="4:60">
      <c r="D4298" s="350"/>
      <c r="S4298" s="350"/>
      <c r="BF4298" s="350"/>
      <c r="BG4298" s="350"/>
      <c r="BH4298" s="350"/>
    </row>
    <row r="4299" spans="4:60">
      <c r="D4299" s="350"/>
      <c r="S4299" s="350"/>
      <c r="BF4299" s="350"/>
      <c r="BG4299" s="350"/>
      <c r="BH4299" s="350"/>
    </row>
    <row r="4300" spans="4:60">
      <c r="D4300" s="350"/>
      <c r="S4300" s="350"/>
      <c r="BF4300" s="350"/>
      <c r="BG4300" s="350"/>
      <c r="BH4300" s="350"/>
    </row>
    <row r="4301" spans="4:60">
      <c r="D4301" s="350"/>
      <c r="S4301" s="350"/>
      <c r="BF4301" s="350"/>
      <c r="BG4301" s="350"/>
      <c r="BH4301" s="350"/>
    </row>
    <row r="4302" spans="4:60">
      <c r="D4302" s="350"/>
      <c r="S4302" s="350"/>
      <c r="BF4302" s="350"/>
      <c r="BG4302" s="350"/>
      <c r="BH4302" s="350"/>
    </row>
    <row r="4303" spans="4:60">
      <c r="D4303" s="350"/>
      <c r="S4303" s="350"/>
      <c r="BF4303" s="350"/>
      <c r="BG4303" s="350"/>
      <c r="BH4303" s="350"/>
    </row>
    <row r="4304" spans="4:60">
      <c r="D4304" s="350"/>
      <c r="S4304" s="350"/>
      <c r="BF4304" s="350"/>
      <c r="BG4304" s="350"/>
      <c r="BH4304" s="350"/>
    </row>
    <row r="4305" spans="4:60">
      <c r="D4305" s="350"/>
      <c r="S4305" s="350"/>
      <c r="BF4305" s="350"/>
      <c r="BG4305" s="350"/>
      <c r="BH4305" s="350"/>
    </row>
    <row r="4306" spans="4:60">
      <c r="D4306" s="350"/>
      <c r="S4306" s="350"/>
      <c r="BF4306" s="350"/>
      <c r="BG4306" s="350"/>
      <c r="BH4306" s="350"/>
    </row>
    <row r="4307" spans="4:60">
      <c r="D4307" s="350"/>
      <c r="S4307" s="350"/>
      <c r="BF4307" s="350"/>
      <c r="BG4307" s="350"/>
      <c r="BH4307" s="350"/>
    </row>
    <row r="4308" spans="4:60">
      <c r="D4308" s="350"/>
      <c r="S4308" s="350"/>
      <c r="BF4308" s="350"/>
      <c r="BG4308" s="350"/>
      <c r="BH4308" s="350"/>
    </row>
    <row r="4309" spans="4:60">
      <c r="D4309" s="350"/>
      <c r="S4309" s="350"/>
      <c r="BF4309" s="350"/>
      <c r="BG4309" s="350"/>
      <c r="BH4309" s="350"/>
    </row>
    <row r="4310" spans="4:60">
      <c r="D4310" s="350"/>
      <c r="S4310" s="350"/>
      <c r="BF4310" s="350"/>
      <c r="BG4310" s="350"/>
      <c r="BH4310" s="350"/>
    </row>
    <row r="4311" spans="4:60">
      <c r="D4311" s="350"/>
      <c r="S4311" s="350"/>
      <c r="BF4311" s="350"/>
      <c r="BG4311" s="350"/>
      <c r="BH4311" s="350"/>
    </row>
    <row r="4312" spans="4:60">
      <c r="D4312" s="350"/>
      <c r="S4312" s="350"/>
      <c r="BF4312" s="350"/>
      <c r="BG4312" s="350"/>
      <c r="BH4312" s="350"/>
    </row>
    <row r="4313" spans="4:60">
      <c r="D4313" s="350"/>
      <c r="S4313" s="350"/>
      <c r="BF4313" s="350"/>
      <c r="BG4313" s="350"/>
      <c r="BH4313" s="350"/>
    </row>
    <row r="4314" spans="4:60">
      <c r="D4314" s="350"/>
      <c r="S4314" s="350"/>
      <c r="BF4314" s="350"/>
      <c r="BG4314" s="350"/>
      <c r="BH4314" s="350"/>
    </row>
    <row r="4315" spans="4:60">
      <c r="D4315" s="350"/>
      <c r="S4315" s="350"/>
      <c r="BF4315" s="350"/>
      <c r="BG4315" s="350"/>
      <c r="BH4315" s="350"/>
    </row>
    <row r="4316" spans="4:60">
      <c r="D4316" s="350"/>
      <c r="S4316" s="350"/>
      <c r="BF4316" s="350"/>
      <c r="BG4316" s="350"/>
      <c r="BH4316" s="350"/>
    </row>
    <row r="4317" spans="4:60">
      <c r="D4317" s="350"/>
      <c r="S4317" s="350"/>
      <c r="BF4317" s="350"/>
      <c r="BG4317" s="350"/>
      <c r="BH4317" s="350"/>
    </row>
    <row r="4318" spans="4:60">
      <c r="D4318" s="350"/>
      <c r="S4318" s="350"/>
      <c r="BF4318" s="350"/>
      <c r="BG4318" s="350"/>
      <c r="BH4318" s="350"/>
    </row>
    <row r="4319" spans="4:60">
      <c r="D4319" s="350"/>
      <c r="S4319" s="350"/>
      <c r="BF4319" s="350"/>
      <c r="BG4319" s="350"/>
      <c r="BH4319" s="350"/>
    </row>
    <row r="4320" spans="4:60">
      <c r="D4320" s="350"/>
      <c r="S4320" s="350"/>
      <c r="BF4320" s="350"/>
      <c r="BG4320" s="350"/>
      <c r="BH4320" s="350"/>
    </row>
    <row r="4321" spans="4:60">
      <c r="D4321" s="350"/>
      <c r="S4321" s="350"/>
      <c r="BF4321" s="350"/>
      <c r="BG4321" s="350"/>
      <c r="BH4321" s="350"/>
    </row>
    <row r="4322" spans="4:60">
      <c r="D4322" s="350"/>
      <c r="S4322" s="350"/>
      <c r="BF4322" s="350"/>
      <c r="BG4322" s="350"/>
      <c r="BH4322" s="350"/>
    </row>
    <row r="4323" spans="4:60">
      <c r="D4323" s="350"/>
      <c r="S4323" s="350"/>
      <c r="BF4323" s="350"/>
      <c r="BG4323" s="350"/>
      <c r="BH4323" s="350"/>
    </row>
    <row r="4324" spans="4:60">
      <c r="D4324" s="350"/>
      <c r="S4324" s="350"/>
      <c r="BF4324" s="350"/>
      <c r="BG4324" s="350"/>
      <c r="BH4324" s="350"/>
    </row>
    <row r="4325" spans="4:60">
      <c r="D4325" s="350"/>
      <c r="S4325" s="350"/>
      <c r="BF4325" s="350"/>
      <c r="BG4325" s="350"/>
      <c r="BH4325" s="350"/>
    </row>
    <row r="4326" spans="4:60">
      <c r="D4326" s="350"/>
      <c r="S4326" s="350"/>
      <c r="BF4326" s="350"/>
      <c r="BG4326" s="350"/>
      <c r="BH4326" s="350"/>
    </row>
    <row r="4327" spans="4:60">
      <c r="D4327" s="350"/>
      <c r="S4327" s="350"/>
      <c r="BF4327" s="350"/>
      <c r="BG4327" s="350"/>
      <c r="BH4327" s="350"/>
    </row>
    <row r="4330" spans="4:60">
      <c r="D4330" s="350"/>
      <c r="S4330" s="350"/>
      <c r="BF4330" s="350"/>
      <c r="BG4330" s="350"/>
      <c r="BH4330" s="350"/>
    </row>
    <row r="4331" spans="4:60">
      <c r="D4331" s="350"/>
      <c r="S4331" s="350"/>
      <c r="BF4331" s="350"/>
      <c r="BG4331" s="350"/>
      <c r="BH4331" s="350"/>
    </row>
    <row r="4336" spans="4:60">
      <c r="D4336" s="350"/>
      <c r="S4336" s="350"/>
      <c r="BF4336" s="350"/>
      <c r="BG4336" s="350"/>
      <c r="BH4336" s="350"/>
    </row>
    <row r="4337" spans="4:60">
      <c r="D4337" s="350"/>
      <c r="S4337" s="350"/>
      <c r="BF4337" s="350"/>
      <c r="BG4337" s="350"/>
      <c r="BH4337" s="350"/>
    </row>
    <row r="4338" spans="4:60">
      <c r="D4338" s="350"/>
      <c r="S4338" s="350"/>
      <c r="BF4338" s="350"/>
      <c r="BG4338" s="350"/>
      <c r="BH4338" s="350"/>
    </row>
    <row r="4339" spans="4:60">
      <c r="D4339" s="350"/>
      <c r="S4339" s="350"/>
      <c r="BF4339" s="350"/>
      <c r="BG4339" s="350"/>
      <c r="BH4339" s="350"/>
    </row>
    <row r="4340" spans="4:60">
      <c r="D4340" s="350"/>
      <c r="S4340" s="350"/>
      <c r="BF4340" s="350"/>
      <c r="BG4340" s="350"/>
      <c r="BH4340" s="350"/>
    </row>
    <row r="4341" spans="4:60">
      <c r="D4341" s="350"/>
      <c r="S4341" s="350"/>
      <c r="BF4341" s="350"/>
      <c r="BG4341" s="350"/>
      <c r="BH4341" s="350"/>
    </row>
    <row r="4342" spans="4:60">
      <c r="D4342" s="350"/>
      <c r="S4342" s="350"/>
      <c r="BF4342" s="350"/>
      <c r="BG4342" s="350"/>
      <c r="BH4342" s="350"/>
    </row>
    <row r="4343" spans="4:60">
      <c r="D4343" s="350"/>
      <c r="S4343" s="350"/>
      <c r="BF4343" s="350"/>
      <c r="BG4343" s="350"/>
      <c r="BH4343" s="350"/>
    </row>
    <row r="4344" spans="4:60">
      <c r="D4344" s="350"/>
      <c r="S4344" s="350"/>
      <c r="BF4344" s="350"/>
      <c r="BG4344" s="350"/>
      <c r="BH4344" s="350"/>
    </row>
    <row r="4345" spans="4:60">
      <c r="D4345" s="350"/>
      <c r="S4345" s="350"/>
      <c r="BF4345" s="350"/>
      <c r="BG4345" s="350"/>
      <c r="BH4345" s="350"/>
    </row>
    <row r="4346" spans="4:60">
      <c r="D4346" s="350"/>
      <c r="S4346" s="350"/>
      <c r="BF4346" s="350"/>
      <c r="BG4346" s="350"/>
      <c r="BH4346" s="350"/>
    </row>
    <row r="4347" spans="4:60">
      <c r="D4347" s="350"/>
      <c r="S4347" s="350"/>
      <c r="BF4347" s="350"/>
      <c r="BG4347" s="350"/>
      <c r="BH4347" s="350"/>
    </row>
    <row r="4348" spans="4:60">
      <c r="D4348" s="350"/>
      <c r="S4348" s="350"/>
      <c r="BF4348" s="350"/>
      <c r="BG4348" s="350"/>
      <c r="BH4348" s="350"/>
    </row>
    <row r="4349" spans="4:60">
      <c r="D4349" s="350"/>
      <c r="S4349" s="350"/>
      <c r="BF4349" s="350"/>
      <c r="BG4349" s="350"/>
      <c r="BH4349" s="350"/>
    </row>
    <row r="4350" spans="4:60">
      <c r="D4350" s="350"/>
      <c r="S4350" s="350"/>
      <c r="BF4350" s="350"/>
      <c r="BG4350" s="350"/>
      <c r="BH4350" s="350"/>
    </row>
    <row r="4351" spans="4:60">
      <c r="D4351" s="350"/>
      <c r="S4351" s="350"/>
      <c r="BF4351" s="350"/>
      <c r="BG4351" s="350"/>
      <c r="BH4351" s="350"/>
    </row>
    <row r="4352" spans="4:60">
      <c r="D4352" s="350"/>
      <c r="S4352" s="350"/>
      <c r="BF4352" s="350"/>
      <c r="BG4352" s="350"/>
      <c r="BH4352" s="350"/>
    </row>
    <row r="4353" spans="4:60">
      <c r="D4353" s="350"/>
      <c r="S4353" s="350"/>
      <c r="BF4353" s="350"/>
      <c r="BG4353" s="350"/>
      <c r="BH4353" s="350"/>
    </row>
    <row r="4354" spans="4:60">
      <c r="D4354" s="350"/>
      <c r="S4354" s="350"/>
      <c r="BF4354" s="350"/>
      <c r="BG4354" s="350"/>
      <c r="BH4354" s="350"/>
    </row>
    <row r="4355" spans="4:60">
      <c r="D4355" s="350"/>
      <c r="S4355" s="350"/>
      <c r="BF4355" s="350"/>
      <c r="BG4355" s="350"/>
      <c r="BH4355" s="350"/>
    </row>
    <row r="4356" spans="4:60">
      <c r="D4356" s="350"/>
      <c r="S4356" s="350"/>
      <c r="BF4356" s="350"/>
      <c r="BG4356" s="350"/>
      <c r="BH4356" s="350"/>
    </row>
    <row r="4357" spans="4:60">
      <c r="D4357" s="350"/>
      <c r="S4357" s="350"/>
      <c r="BF4357" s="350"/>
      <c r="BG4357" s="350"/>
      <c r="BH4357" s="350"/>
    </row>
    <row r="4358" spans="4:60">
      <c r="D4358" s="350"/>
      <c r="S4358" s="350"/>
      <c r="BF4358" s="350"/>
      <c r="BG4358" s="350"/>
      <c r="BH4358" s="350"/>
    </row>
    <row r="4359" spans="4:60">
      <c r="D4359" s="350"/>
      <c r="S4359" s="350"/>
      <c r="BF4359" s="350"/>
      <c r="BG4359" s="350"/>
      <c r="BH4359" s="350"/>
    </row>
    <row r="4360" spans="4:60">
      <c r="D4360" s="350"/>
      <c r="S4360" s="350"/>
      <c r="BF4360" s="350"/>
      <c r="BG4360" s="350"/>
      <c r="BH4360" s="350"/>
    </row>
    <row r="4361" spans="4:60">
      <c r="D4361" s="350"/>
      <c r="S4361" s="350"/>
      <c r="BF4361" s="350"/>
      <c r="BG4361" s="350"/>
      <c r="BH4361" s="350"/>
    </row>
    <row r="4362" spans="4:60">
      <c r="D4362" s="350"/>
      <c r="S4362" s="350"/>
      <c r="BF4362" s="350"/>
      <c r="BG4362" s="350"/>
      <c r="BH4362" s="350"/>
    </row>
    <row r="4363" spans="4:60">
      <c r="D4363" s="350"/>
      <c r="S4363" s="350"/>
      <c r="BF4363" s="350"/>
      <c r="BG4363" s="350"/>
      <c r="BH4363" s="350"/>
    </row>
    <row r="4364" spans="4:60">
      <c r="D4364" s="350"/>
      <c r="S4364" s="350"/>
      <c r="BF4364" s="350"/>
      <c r="BG4364" s="350"/>
      <c r="BH4364" s="350"/>
    </row>
    <row r="4365" spans="4:60">
      <c r="D4365" s="350"/>
      <c r="S4365" s="350"/>
      <c r="BF4365" s="350"/>
      <c r="BG4365" s="350"/>
      <c r="BH4365" s="350"/>
    </row>
    <row r="4366" spans="4:60">
      <c r="D4366" s="350"/>
      <c r="S4366" s="350"/>
      <c r="BF4366" s="350"/>
      <c r="BG4366" s="350"/>
      <c r="BH4366" s="350"/>
    </row>
    <row r="4367" spans="4:60">
      <c r="D4367" s="350"/>
      <c r="S4367" s="350"/>
      <c r="BF4367" s="350"/>
      <c r="BG4367" s="350"/>
      <c r="BH4367" s="350"/>
    </row>
    <row r="4368" spans="4:60">
      <c r="D4368" s="350"/>
      <c r="S4368" s="350"/>
      <c r="BF4368" s="350"/>
      <c r="BG4368" s="350"/>
      <c r="BH4368" s="350"/>
    </row>
    <row r="4369" spans="4:60">
      <c r="D4369" s="350"/>
      <c r="S4369" s="350"/>
      <c r="BF4369" s="350"/>
      <c r="BG4369" s="350"/>
      <c r="BH4369" s="350"/>
    </row>
    <row r="4370" spans="4:60">
      <c r="D4370" s="350"/>
      <c r="S4370" s="350"/>
      <c r="BF4370" s="350"/>
      <c r="BG4370" s="350"/>
      <c r="BH4370" s="350"/>
    </row>
    <row r="4371" spans="4:60">
      <c r="D4371" s="350"/>
      <c r="S4371" s="350"/>
      <c r="BF4371" s="350"/>
      <c r="BG4371" s="350"/>
      <c r="BH4371" s="350"/>
    </row>
    <row r="4372" spans="4:60">
      <c r="D4372" s="350"/>
      <c r="S4372" s="350"/>
      <c r="BF4372" s="350"/>
      <c r="BG4372" s="350"/>
      <c r="BH4372" s="350"/>
    </row>
    <row r="4373" spans="4:60">
      <c r="D4373" s="350"/>
      <c r="S4373" s="350"/>
      <c r="BF4373" s="350"/>
      <c r="BG4373" s="350"/>
      <c r="BH4373" s="350"/>
    </row>
    <row r="4374" spans="4:60">
      <c r="D4374" s="350"/>
      <c r="S4374" s="350"/>
      <c r="BF4374" s="350"/>
      <c r="BG4374" s="350"/>
      <c r="BH4374" s="350"/>
    </row>
    <row r="4375" spans="4:60">
      <c r="D4375" s="350"/>
      <c r="S4375" s="350"/>
      <c r="BF4375" s="350"/>
      <c r="BG4375" s="350"/>
      <c r="BH4375" s="350"/>
    </row>
    <row r="4376" spans="4:60">
      <c r="D4376" s="350"/>
      <c r="S4376" s="350"/>
      <c r="BF4376" s="350"/>
      <c r="BG4376" s="350"/>
      <c r="BH4376" s="350"/>
    </row>
    <row r="4377" spans="4:60">
      <c r="D4377" s="350"/>
      <c r="S4377" s="350"/>
      <c r="BF4377" s="350"/>
      <c r="BG4377" s="350"/>
      <c r="BH4377" s="350"/>
    </row>
    <row r="4378" spans="4:60">
      <c r="D4378" s="350"/>
      <c r="S4378" s="350"/>
      <c r="BF4378" s="350"/>
      <c r="BG4378" s="350"/>
      <c r="BH4378" s="350"/>
    </row>
    <row r="4379" spans="4:60">
      <c r="D4379" s="350"/>
      <c r="S4379" s="350"/>
      <c r="BF4379" s="350"/>
      <c r="BG4379" s="350"/>
      <c r="BH4379" s="350"/>
    </row>
    <row r="4380" spans="4:60">
      <c r="D4380" s="350"/>
      <c r="S4380" s="350"/>
      <c r="BF4380" s="350"/>
      <c r="BG4380" s="350"/>
      <c r="BH4380" s="350"/>
    </row>
    <row r="4381" spans="4:60">
      <c r="D4381" s="350"/>
      <c r="S4381" s="350"/>
      <c r="BF4381" s="350"/>
      <c r="BG4381" s="350"/>
      <c r="BH4381" s="350"/>
    </row>
    <row r="4382" spans="4:60">
      <c r="D4382" s="350"/>
      <c r="S4382" s="350"/>
      <c r="BF4382" s="350"/>
      <c r="BG4382" s="350"/>
      <c r="BH4382" s="350"/>
    </row>
    <row r="4383" spans="4:60">
      <c r="D4383" s="350"/>
      <c r="S4383" s="350"/>
      <c r="BF4383" s="350"/>
      <c r="BG4383" s="350"/>
      <c r="BH4383" s="350"/>
    </row>
    <row r="4384" spans="4:60">
      <c r="D4384" s="350"/>
      <c r="S4384" s="350"/>
      <c r="BF4384" s="350"/>
      <c r="BG4384" s="350"/>
      <c r="BH4384" s="350"/>
    </row>
    <row r="4385" spans="4:60">
      <c r="D4385" s="350"/>
      <c r="S4385" s="350"/>
      <c r="BF4385" s="350"/>
      <c r="BG4385" s="350"/>
      <c r="BH4385" s="350"/>
    </row>
    <row r="4386" spans="4:60">
      <c r="D4386" s="350"/>
      <c r="S4386" s="350"/>
      <c r="BF4386" s="350"/>
      <c r="BG4386" s="350"/>
      <c r="BH4386" s="350"/>
    </row>
    <row r="4387" spans="4:60">
      <c r="D4387" s="350"/>
      <c r="S4387" s="350"/>
      <c r="BF4387" s="350"/>
      <c r="BG4387" s="350"/>
      <c r="BH4387" s="350"/>
    </row>
    <row r="4388" spans="4:60">
      <c r="D4388" s="350"/>
      <c r="S4388" s="350"/>
      <c r="BF4388" s="350"/>
      <c r="BG4388" s="350"/>
      <c r="BH4388" s="350"/>
    </row>
    <row r="4389" spans="4:60">
      <c r="D4389" s="350"/>
      <c r="S4389" s="350"/>
      <c r="BF4389" s="350"/>
      <c r="BG4389" s="350"/>
      <c r="BH4389" s="350"/>
    </row>
    <row r="4390" spans="4:60">
      <c r="D4390" s="350"/>
      <c r="S4390" s="350"/>
      <c r="BF4390" s="350"/>
      <c r="BG4390" s="350"/>
      <c r="BH4390" s="350"/>
    </row>
    <row r="4391" spans="4:60">
      <c r="D4391" s="350"/>
      <c r="S4391" s="350"/>
      <c r="BF4391" s="350"/>
      <c r="BG4391" s="350"/>
      <c r="BH4391" s="350"/>
    </row>
    <row r="4392" spans="4:60">
      <c r="D4392" s="350"/>
      <c r="S4392" s="350"/>
      <c r="BF4392" s="350"/>
      <c r="BG4392" s="350"/>
      <c r="BH4392" s="350"/>
    </row>
    <row r="4393" spans="4:60">
      <c r="D4393" s="350"/>
      <c r="S4393" s="350"/>
      <c r="BF4393" s="350"/>
      <c r="BG4393" s="350"/>
      <c r="BH4393" s="350"/>
    </row>
    <row r="4394" spans="4:60">
      <c r="D4394" s="350"/>
      <c r="S4394" s="350"/>
      <c r="BF4394" s="350"/>
      <c r="BG4394" s="350"/>
      <c r="BH4394" s="350"/>
    </row>
    <row r="4395" spans="4:60">
      <c r="D4395" s="350"/>
      <c r="S4395" s="350"/>
      <c r="BF4395" s="350"/>
      <c r="BG4395" s="350"/>
      <c r="BH4395" s="350"/>
    </row>
    <row r="4396" spans="4:60">
      <c r="D4396" s="350"/>
      <c r="S4396" s="350"/>
      <c r="BF4396" s="350"/>
      <c r="BG4396" s="350"/>
      <c r="BH4396" s="350"/>
    </row>
    <row r="4397" spans="4:60">
      <c r="D4397" s="350"/>
      <c r="S4397" s="350"/>
      <c r="BF4397" s="350"/>
      <c r="BG4397" s="350"/>
      <c r="BH4397" s="350"/>
    </row>
    <row r="4398" spans="4:60">
      <c r="D4398" s="350"/>
      <c r="S4398" s="350"/>
      <c r="BF4398" s="350"/>
      <c r="BG4398" s="350"/>
      <c r="BH4398" s="350"/>
    </row>
    <row r="4399" spans="4:60">
      <c r="D4399" s="350"/>
      <c r="S4399" s="350"/>
      <c r="BF4399" s="350"/>
      <c r="BG4399" s="350"/>
      <c r="BH4399" s="350"/>
    </row>
    <row r="4400" spans="4:60">
      <c r="D4400" s="350"/>
      <c r="S4400" s="350"/>
      <c r="BF4400" s="350"/>
      <c r="BG4400" s="350"/>
      <c r="BH4400" s="350"/>
    </row>
    <row r="4401" spans="4:60">
      <c r="D4401" s="350"/>
      <c r="S4401" s="350"/>
      <c r="BF4401" s="350"/>
      <c r="BG4401" s="350"/>
      <c r="BH4401" s="350"/>
    </row>
    <row r="4402" spans="4:60">
      <c r="D4402" s="350"/>
      <c r="S4402" s="350"/>
      <c r="BF4402" s="350"/>
      <c r="BG4402" s="350"/>
      <c r="BH4402" s="350"/>
    </row>
    <row r="4403" spans="4:60">
      <c r="D4403" s="350"/>
      <c r="S4403" s="350"/>
      <c r="BF4403" s="350"/>
      <c r="BG4403" s="350"/>
      <c r="BH4403" s="350"/>
    </row>
    <row r="4404" spans="4:60">
      <c r="D4404" s="350"/>
      <c r="S4404" s="350"/>
      <c r="BF4404" s="350"/>
      <c r="BG4404" s="350"/>
      <c r="BH4404" s="350"/>
    </row>
    <row r="4405" spans="4:60">
      <c r="D4405" s="350"/>
      <c r="S4405" s="350"/>
      <c r="BF4405" s="350"/>
      <c r="BG4405" s="350"/>
      <c r="BH4405" s="350"/>
    </row>
    <row r="4406" spans="4:60">
      <c r="D4406" s="350"/>
      <c r="S4406" s="350"/>
      <c r="BF4406" s="350"/>
      <c r="BG4406" s="350"/>
      <c r="BH4406" s="350"/>
    </row>
    <row r="4407" spans="4:60">
      <c r="D4407" s="350"/>
      <c r="S4407" s="350"/>
      <c r="BF4407" s="350"/>
      <c r="BG4407" s="350"/>
      <c r="BH4407" s="350"/>
    </row>
    <row r="4408" spans="4:60">
      <c r="D4408" s="350"/>
      <c r="S4408" s="350"/>
      <c r="BF4408" s="350"/>
      <c r="BG4408" s="350"/>
      <c r="BH4408" s="350"/>
    </row>
    <row r="4409" spans="4:60">
      <c r="D4409" s="350"/>
      <c r="S4409" s="350"/>
      <c r="BF4409" s="350"/>
      <c r="BG4409" s="350"/>
      <c r="BH4409" s="350"/>
    </row>
    <row r="4410" spans="4:60">
      <c r="D4410" s="350"/>
      <c r="S4410" s="350"/>
      <c r="BF4410" s="350"/>
      <c r="BG4410" s="350"/>
      <c r="BH4410" s="350"/>
    </row>
    <row r="4411" spans="4:60">
      <c r="D4411" s="350"/>
      <c r="S4411" s="350"/>
      <c r="BF4411" s="350"/>
      <c r="BG4411" s="350"/>
      <c r="BH4411" s="350"/>
    </row>
    <row r="4412" spans="4:60">
      <c r="D4412" s="350"/>
      <c r="S4412" s="350"/>
      <c r="BF4412" s="350"/>
      <c r="BG4412" s="350"/>
      <c r="BH4412" s="350"/>
    </row>
    <row r="4413" spans="4:60">
      <c r="D4413" s="350"/>
      <c r="S4413" s="350"/>
      <c r="BF4413" s="350"/>
      <c r="BG4413" s="350"/>
      <c r="BH4413" s="350"/>
    </row>
    <row r="4414" spans="4:60">
      <c r="D4414" s="350"/>
      <c r="S4414" s="350"/>
      <c r="BF4414" s="350"/>
      <c r="BG4414" s="350"/>
      <c r="BH4414" s="350"/>
    </row>
    <row r="4415" spans="4:60">
      <c r="D4415" s="350"/>
      <c r="S4415" s="350"/>
      <c r="BF4415" s="350"/>
      <c r="BG4415" s="350"/>
      <c r="BH4415" s="350"/>
    </row>
    <row r="4416" spans="4:60">
      <c r="D4416" s="350"/>
      <c r="S4416" s="350"/>
      <c r="BF4416" s="350"/>
      <c r="BG4416" s="350"/>
      <c r="BH4416" s="350"/>
    </row>
    <row r="4417" spans="4:60">
      <c r="D4417" s="350"/>
      <c r="S4417" s="350"/>
      <c r="BF4417" s="350"/>
      <c r="BG4417" s="350"/>
      <c r="BH4417" s="350"/>
    </row>
    <row r="4418" spans="4:60">
      <c r="D4418" s="350"/>
      <c r="S4418" s="350"/>
      <c r="BF4418" s="350"/>
      <c r="BG4418" s="350"/>
      <c r="BH4418" s="350"/>
    </row>
    <row r="4419" spans="4:60">
      <c r="D4419" s="350"/>
      <c r="S4419" s="350"/>
      <c r="BF4419" s="350"/>
      <c r="BG4419" s="350"/>
      <c r="BH4419" s="350"/>
    </row>
    <row r="4420" spans="4:60">
      <c r="D4420" s="350"/>
      <c r="S4420" s="350"/>
      <c r="BF4420" s="350"/>
      <c r="BG4420" s="350"/>
      <c r="BH4420" s="350"/>
    </row>
    <row r="4421" spans="4:60">
      <c r="D4421" s="350"/>
      <c r="S4421" s="350"/>
      <c r="BF4421" s="350"/>
      <c r="BG4421" s="350"/>
      <c r="BH4421" s="350"/>
    </row>
    <row r="4422" spans="4:60">
      <c r="D4422" s="350"/>
      <c r="S4422" s="350"/>
      <c r="BF4422" s="350"/>
      <c r="BG4422" s="350"/>
      <c r="BH4422" s="350"/>
    </row>
    <row r="4423" spans="4:60">
      <c r="D4423" s="350"/>
      <c r="S4423" s="350"/>
      <c r="BF4423" s="350"/>
      <c r="BG4423" s="350"/>
      <c r="BH4423" s="350"/>
    </row>
    <row r="4424" spans="4:60">
      <c r="D4424" s="350"/>
      <c r="S4424" s="350"/>
      <c r="BF4424" s="350"/>
      <c r="BG4424" s="350"/>
      <c r="BH4424" s="350"/>
    </row>
    <row r="4425" spans="4:60">
      <c r="D4425" s="350"/>
      <c r="S4425" s="350"/>
      <c r="BF4425" s="350"/>
      <c r="BG4425" s="350"/>
      <c r="BH4425" s="350"/>
    </row>
    <row r="4426" spans="4:60">
      <c r="D4426" s="350"/>
      <c r="S4426" s="350"/>
      <c r="BF4426" s="350"/>
      <c r="BG4426" s="350"/>
      <c r="BH4426" s="350"/>
    </row>
    <row r="4427" spans="4:60">
      <c r="D4427" s="350"/>
      <c r="S4427" s="350"/>
      <c r="BF4427" s="350"/>
      <c r="BG4427" s="350"/>
      <c r="BH4427" s="350"/>
    </row>
    <row r="4428" spans="4:60">
      <c r="D4428" s="350"/>
      <c r="S4428" s="350"/>
      <c r="BF4428" s="350"/>
      <c r="BG4428" s="350"/>
      <c r="BH4428" s="350"/>
    </row>
    <row r="4429" spans="4:60">
      <c r="D4429" s="350"/>
      <c r="S4429" s="350"/>
      <c r="BF4429" s="350"/>
      <c r="BG4429" s="350"/>
      <c r="BH4429" s="350"/>
    </row>
    <row r="4430" spans="4:60">
      <c r="D4430" s="350"/>
      <c r="S4430" s="350"/>
      <c r="BF4430" s="350"/>
      <c r="BG4430" s="350"/>
      <c r="BH4430" s="350"/>
    </row>
    <row r="4431" spans="4:60">
      <c r="D4431" s="350"/>
      <c r="S4431" s="350"/>
      <c r="BF4431" s="350"/>
      <c r="BG4431" s="350"/>
      <c r="BH4431" s="350"/>
    </row>
    <row r="4432" spans="4:60">
      <c r="D4432" s="350"/>
      <c r="S4432" s="350"/>
      <c r="BF4432" s="350"/>
      <c r="BG4432" s="350"/>
      <c r="BH4432" s="350"/>
    </row>
    <row r="4433" spans="4:60">
      <c r="D4433" s="350"/>
      <c r="S4433" s="350"/>
      <c r="BF4433" s="350"/>
      <c r="BG4433" s="350"/>
      <c r="BH4433" s="350"/>
    </row>
    <row r="4434" spans="4:60">
      <c r="D4434" s="350"/>
      <c r="S4434" s="350"/>
      <c r="BF4434" s="350"/>
      <c r="BG4434" s="350"/>
      <c r="BH4434" s="350"/>
    </row>
    <row r="4435" spans="4:60">
      <c r="D4435" s="350"/>
      <c r="S4435" s="350"/>
      <c r="BF4435" s="350"/>
      <c r="BG4435" s="350"/>
      <c r="BH4435" s="350"/>
    </row>
    <row r="4436" spans="4:60">
      <c r="D4436" s="350"/>
      <c r="S4436" s="350"/>
      <c r="BF4436" s="350"/>
      <c r="BG4436" s="350"/>
      <c r="BH4436" s="350"/>
    </row>
    <row r="4437" spans="4:60">
      <c r="D4437" s="350"/>
      <c r="S4437" s="350"/>
      <c r="BF4437" s="350"/>
      <c r="BG4437" s="350"/>
      <c r="BH4437" s="350"/>
    </row>
    <row r="4438" spans="4:60">
      <c r="D4438" s="350"/>
      <c r="S4438" s="350"/>
      <c r="BF4438" s="350"/>
      <c r="BG4438" s="350"/>
      <c r="BH4438" s="350"/>
    </row>
    <row r="4439" spans="4:60">
      <c r="D4439" s="350"/>
      <c r="S4439" s="350"/>
      <c r="BF4439" s="350"/>
      <c r="BG4439" s="350"/>
      <c r="BH4439" s="350"/>
    </row>
    <row r="4440" spans="4:60">
      <c r="D4440" s="350"/>
      <c r="S4440" s="350"/>
      <c r="BF4440" s="350"/>
      <c r="BG4440" s="350"/>
      <c r="BH4440" s="350"/>
    </row>
    <row r="4441" spans="4:60">
      <c r="D4441" s="350"/>
      <c r="S4441" s="350"/>
      <c r="BF4441" s="350"/>
      <c r="BG4441" s="350"/>
      <c r="BH4441" s="350"/>
    </row>
    <row r="4442" spans="4:60">
      <c r="D4442" s="350"/>
      <c r="S4442" s="350"/>
      <c r="BF4442" s="350"/>
      <c r="BG4442" s="350"/>
      <c r="BH4442" s="350"/>
    </row>
    <row r="4443" spans="4:60">
      <c r="D4443" s="350"/>
      <c r="S4443" s="350"/>
      <c r="BF4443" s="350"/>
      <c r="BG4443" s="350"/>
      <c r="BH4443" s="350"/>
    </row>
    <row r="4444" spans="4:60">
      <c r="D4444" s="350"/>
      <c r="S4444" s="350"/>
      <c r="BF4444" s="350"/>
      <c r="BG4444" s="350"/>
      <c r="BH4444" s="350"/>
    </row>
    <row r="4445" spans="4:60">
      <c r="D4445" s="350"/>
      <c r="S4445" s="350"/>
      <c r="BF4445" s="350"/>
      <c r="BG4445" s="350"/>
      <c r="BH4445" s="350"/>
    </row>
    <row r="4446" spans="4:60">
      <c r="D4446" s="350"/>
      <c r="S4446" s="350"/>
      <c r="BF4446" s="350"/>
      <c r="BG4446" s="350"/>
      <c r="BH4446" s="350"/>
    </row>
    <row r="4447" spans="4:60">
      <c r="D4447" s="350"/>
      <c r="S4447" s="350"/>
      <c r="BF4447" s="350"/>
      <c r="BG4447" s="350"/>
      <c r="BH4447" s="350"/>
    </row>
    <row r="4448" spans="4:60">
      <c r="D4448" s="350"/>
      <c r="S4448" s="350"/>
      <c r="BF4448" s="350"/>
      <c r="BG4448" s="350"/>
      <c r="BH4448" s="350"/>
    </row>
    <row r="4449" spans="4:60">
      <c r="D4449" s="350"/>
      <c r="S4449" s="350"/>
      <c r="BF4449" s="350"/>
      <c r="BG4449" s="350"/>
      <c r="BH4449" s="350"/>
    </row>
    <row r="4450" spans="4:60">
      <c r="D4450" s="350"/>
      <c r="S4450" s="350"/>
      <c r="BF4450" s="350"/>
      <c r="BG4450" s="350"/>
      <c r="BH4450" s="350"/>
    </row>
    <row r="4451" spans="4:60">
      <c r="D4451" s="350"/>
      <c r="S4451" s="350"/>
      <c r="BF4451" s="350"/>
      <c r="BG4451" s="350"/>
      <c r="BH4451" s="350"/>
    </row>
    <row r="4452" spans="4:60">
      <c r="D4452" s="350"/>
      <c r="S4452" s="350"/>
      <c r="BF4452" s="350"/>
      <c r="BG4452" s="350"/>
      <c r="BH4452" s="350"/>
    </row>
    <row r="4453" spans="4:60">
      <c r="D4453" s="350"/>
      <c r="S4453" s="350"/>
      <c r="BF4453" s="350"/>
      <c r="BG4453" s="350"/>
      <c r="BH4453" s="350"/>
    </row>
    <row r="4454" spans="4:60">
      <c r="D4454" s="350"/>
      <c r="S4454" s="350"/>
      <c r="BF4454" s="350"/>
      <c r="BG4454" s="350"/>
      <c r="BH4454" s="350"/>
    </row>
    <row r="4455" spans="4:60">
      <c r="D4455" s="350"/>
      <c r="S4455" s="350"/>
      <c r="BF4455" s="350"/>
      <c r="BG4455" s="350"/>
      <c r="BH4455" s="350"/>
    </row>
    <row r="4456" spans="4:60">
      <c r="D4456" s="350"/>
      <c r="S4456" s="350"/>
      <c r="BF4456" s="350"/>
      <c r="BG4456" s="350"/>
      <c r="BH4456" s="350"/>
    </row>
    <row r="4457" spans="4:60">
      <c r="D4457" s="350"/>
      <c r="S4457" s="350"/>
      <c r="BF4457" s="350"/>
      <c r="BG4457" s="350"/>
      <c r="BH4457" s="350"/>
    </row>
    <row r="4458" spans="4:60">
      <c r="D4458" s="350"/>
      <c r="S4458" s="350"/>
      <c r="BF4458" s="350"/>
      <c r="BG4458" s="350"/>
      <c r="BH4458" s="350"/>
    </row>
    <row r="4459" spans="4:60">
      <c r="D4459" s="350"/>
      <c r="S4459" s="350"/>
      <c r="BF4459" s="350"/>
      <c r="BG4459" s="350"/>
      <c r="BH4459" s="350"/>
    </row>
    <row r="4460" spans="4:60">
      <c r="D4460" s="350"/>
      <c r="S4460" s="350"/>
      <c r="BF4460" s="350"/>
      <c r="BG4460" s="350"/>
      <c r="BH4460" s="350"/>
    </row>
    <row r="4461" spans="4:60">
      <c r="D4461" s="350"/>
      <c r="S4461" s="350"/>
      <c r="BF4461" s="350"/>
      <c r="BG4461" s="350"/>
      <c r="BH4461" s="350"/>
    </row>
    <row r="4462" spans="4:60">
      <c r="D4462" s="350"/>
      <c r="S4462" s="350"/>
      <c r="BF4462" s="350"/>
      <c r="BG4462" s="350"/>
      <c r="BH4462" s="350"/>
    </row>
    <row r="4463" spans="4:60">
      <c r="D4463" s="350"/>
      <c r="S4463" s="350"/>
      <c r="BF4463" s="350"/>
      <c r="BG4463" s="350"/>
      <c r="BH4463" s="350"/>
    </row>
    <row r="4464" spans="4:60">
      <c r="D4464" s="350"/>
      <c r="S4464" s="350"/>
      <c r="BF4464" s="350"/>
      <c r="BG4464" s="350"/>
      <c r="BH4464" s="350"/>
    </row>
    <row r="4465" spans="4:60">
      <c r="D4465" s="350"/>
      <c r="S4465" s="350"/>
      <c r="BF4465" s="350"/>
      <c r="BG4465" s="350"/>
      <c r="BH4465" s="350"/>
    </row>
    <row r="4466" spans="4:60">
      <c r="D4466" s="350"/>
      <c r="S4466" s="350"/>
      <c r="BF4466" s="350"/>
      <c r="BG4466" s="350"/>
      <c r="BH4466" s="350"/>
    </row>
    <row r="4467" spans="4:60">
      <c r="D4467" s="350"/>
      <c r="S4467" s="350"/>
      <c r="BF4467" s="350"/>
      <c r="BG4467" s="350"/>
      <c r="BH4467" s="350"/>
    </row>
    <row r="4468" spans="4:60">
      <c r="D4468" s="350"/>
      <c r="S4468" s="350"/>
      <c r="BF4468" s="350"/>
      <c r="BG4468" s="350"/>
      <c r="BH4468" s="350"/>
    </row>
    <row r="4469" spans="4:60">
      <c r="D4469" s="350"/>
      <c r="S4469" s="350"/>
      <c r="BF4469" s="350"/>
      <c r="BG4469" s="350"/>
      <c r="BH4469" s="350"/>
    </row>
    <row r="4470" spans="4:60">
      <c r="D4470" s="350"/>
      <c r="S4470" s="350"/>
      <c r="BF4470" s="350"/>
      <c r="BG4470" s="350"/>
      <c r="BH4470" s="350"/>
    </row>
    <row r="4471" spans="4:60">
      <c r="D4471" s="350"/>
      <c r="S4471" s="350"/>
      <c r="BF4471" s="350"/>
      <c r="BG4471" s="350"/>
      <c r="BH4471" s="350"/>
    </row>
    <row r="4472" spans="4:60">
      <c r="D4472" s="350"/>
      <c r="S4472" s="350"/>
      <c r="BF4472" s="350"/>
      <c r="BG4472" s="350"/>
      <c r="BH4472" s="350"/>
    </row>
    <row r="4473" spans="4:60">
      <c r="D4473" s="350"/>
      <c r="S4473" s="350"/>
      <c r="BF4473" s="350"/>
      <c r="BG4473" s="350"/>
      <c r="BH4473" s="350"/>
    </row>
    <row r="4474" spans="4:60">
      <c r="D4474" s="350"/>
      <c r="S4474" s="350"/>
      <c r="BF4474" s="350"/>
      <c r="BG4474" s="350"/>
      <c r="BH4474" s="350"/>
    </row>
    <row r="4475" spans="4:60">
      <c r="D4475" s="350"/>
      <c r="S4475" s="350"/>
      <c r="BF4475" s="350"/>
      <c r="BG4475" s="350"/>
      <c r="BH4475" s="350"/>
    </row>
    <row r="4476" spans="4:60">
      <c r="D4476" s="350"/>
      <c r="S4476" s="350"/>
      <c r="BF4476" s="350"/>
      <c r="BG4476" s="350"/>
      <c r="BH4476" s="350"/>
    </row>
    <row r="4477" spans="4:60">
      <c r="D4477" s="350"/>
      <c r="S4477" s="350"/>
      <c r="BF4477" s="350"/>
      <c r="BG4477" s="350"/>
      <c r="BH4477" s="350"/>
    </row>
    <row r="4478" spans="4:60">
      <c r="D4478" s="350"/>
      <c r="S4478" s="350"/>
      <c r="BF4478" s="350"/>
      <c r="BG4478" s="350"/>
      <c r="BH4478" s="350"/>
    </row>
    <row r="4479" spans="4:60">
      <c r="D4479" s="350"/>
      <c r="S4479" s="350"/>
      <c r="BF4479" s="350"/>
      <c r="BG4479" s="350"/>
      <c r="BH4479" s="350"/>
    </row>
    <row r="4480" spans="4:60">
      <c r="D4480" s="350"/>
      <c r="S4480" s="350"/>
      <c r="BF4480" s="350"/>
      <c r="BG4480" s="350"/>
      <c r="BH4480" s="350"/>
    </row>
    <row r="4481" spans="4:60">
      <c r="D4481" s="350"/>
      <c r="S4481" s="350"/>
      <c r="BF4481" s="350"/>
      <c r="BG4481" s="350"/>
      <c r="BH4481" s="350"/>
    </row>
    <row r="4482" spans="4:60">
      <c r="D4482" s="350"/>
      <c r="S4482" s="350"/>
      <c r="BF4482" s="350"/>
      <c r="BG4482" s="350"/>
      <c r="BH4482" s="350"/>
    </row>
    <row r="4483" spans="4:60">
      <c r="D4483" s="350"/>
      <c r="S4483" s="350"/>
      <c r="BF4483" s="350"/>
      <c r="BG4483" s="350"/>
      <c r="BH4483" s="350"/>
    </row>
    <row r="4484" spans="4:60">
      <c r="D4484" s="350"/>
      <c r="S4484" s="350"/>
      <c r="BF4484" s="350"/>
      <c r="BG4484" s="350"/>
      <c r="BH4484" s="350"/>
    </row>
    <row r="4485" spans="4:60">
      <c r="D4485" s="350"/>
      <c r="S4485" s="350"/>
      <c r="BF4485" s="350"/>
      <c r="BG4485" s="350"/>
      <c r="BH4485" s="350"/>
    </row>
    <row r="4486" spans="4:60">
      <c r="D4486" s="350"/>
      <c r="S4486" s="350"/>
      <c r="BF4486" s="350"/>
      <c r="BG4486" s="350"/>
      <c r="BH4486" s="350"/>
    </row>
    <row r="4497" spans="4:60">
      <c r="D4497" s="350"/>
      <c r="S4497" s="350"/>
      <c r="BF4497" s="350"/>
      <c r="BG4497" s="350"/>
      <c r="BH4497" s="350"/>
    </row>
    <row r="4498" spans="4:60">
      <c r="D4498" s="350"/>
      <c r="S4498" s="350"/>
      <c r="BF4498" s="350"/>
      <c r="BG4498" s="350"/>
      <c r="BH4498" s="350"/>
    </row>
    <row r="4499" spans="4:60">
      <c r="D4499" s="350"/>
      <c r="S4499" s="350"/>
      <c r="BF4499" s="350"/>
      <c r="BG4499" s="350"/>
      <c r="BH4499" s="350"/>
    </row>
    <row r="4500" spans="4:60">
      <c r="D4500" s="350"/>
      <c r="S4500" s="350"/>
      <c r="BF4500" s="350"/>
      <c r="BG4500" s="350"/>
      <c r="BH4500" s="350"/>
    </row>
    <row r="4501" spans="4:60">
      <c r="D4501" s="350"/>
      <c r="S4501" s="350"/>
      <c r="BF4501" s="350"/>
      <c r="BG4501" s="350"/>
      <c r="BH4501" s="350"/>
    </row>
    <row r="4502" spans="4:60">
      <c r="D4502" s="350"/>
      <c r="S4502" s="350"/>
      <c r="BF4502" s="350"/>
      <c r="BG4502" s="350"/>
      <c r="BH4502" s="350"/>
    </row>
    <row r="4503" spans="4:60">
      <c r="D4503" s="350"/>
      <c r="S4503" s="350"/>
      <c r="BF4503" s="350"/>
      <c r="BG4503" s="350"/>
      <c r="BH4503" s="350"/>
    </row>
    <row r="4504" spans="4:60">
      <c r="D4504" s="350"/>
      <c r="S4504" s="350"/>
      <c r="BF4504" s="350"/>
      <c r="BG4504" s="350"/>
      <c r="BH4504" s="350"/>
    </row>
    <row r="4505" spans="4:60">
      <c r="D4505" s="350"/>
      <c r="S4505" s="350"/>
      <c r="BF4505" s="350"/>
      <c r="BG4505" s="350"/>
      <c r="BH4505" s="350"/>
    </row>
    <row r="4506" spans="4:60">
      <c r="D4506" s="350"/>
      <c r="S4506" s="350"/>
      <c r="BF4506" s="350"/>
      <c r="BG4506" s="350"/>
      <c r="BH4506" s="350"/>
    </row>
    <row r="4507" spans="4:60">
      <c r="D4507" s="350"/>
      <c r="S4507" s="350"/>
      <c r="BF4507" s="350"/>
      <c r="BG4507" s="350"/>
      <c r="BH4507" s="350"/>
    </row>
    <row r="4508" spans="4:60">
      <c r="D4508" s="350"/>
      <c r="S4508" s="350"/>
      <c r="BF4508" s="350"/>
      <c r="BG4508" s="350"/>
      <c r="BH4508" s="350"/>
    </row>
    <row r="4509" spans="4:60">
      <c r="D4509" s="350"/>
      <c r="S4509" s="350"/>
      <c r="BF4509" s="350"/>
      <c r="BG4509" s="350"/>
      <c r="BH4509" s="350"/>
    </row>
    <row r="4510" spans="4:60">
      <c r="D4510" s="350"/>
      <c r="S4510" s="350"/>
      <c r="BF4510" s="350"/>
      <c r="BG4510" s="350"/>
      <c r="BH4510" s="350"/>
    </row>
    <row r="4511" spans="4:60">
      <c r="D4511" s="350"/>
      <c r="S4511" s="350"/>
      <c r="BF4511" s="350"/>
      <c r="BG4511" s="350"/>
      <c r="BH4511" s="350"/>
    </row>
    <row r="4512" spans="4:60">
      <c r="D4512" s="350"/>
      <c r="S4512" s="350"/>
      <c r="BF4512" s="350"/>
      <c r="BG4512" s="350"/>
      <c r="BH4512" s="350"/>
    </row>
    <row r="4513" spans="4:60">
      <c r="D4513" s="350"/>
      <c r="S4513" s="350"/>
      <c r="BF4513" s="350"/>
      <c r="BG4513" s="350"/>
      <c r="BH4513" s="350"/>
    </row>
    <row r="4514" spans="4:60">
      <c r="D4514" s="350"/>
      <c r="S4514" s="350"/>
      <c r="BF4514" s="350"/>
      <c r="BG4514" s="350"/>
      <c r="BH4514" s="350"/>
    </row>
    <row r="4515" spans="4:60">
      <c r="D4515" s="350"/>
      <c r="S4515" s="350"/>
      <c r="BF4515" s="350"/>
      <c r="BG4515" s="350"/>
      <c r="BH4515" s="350"/>
    </row>
    <row r="4516" spans="4:60">
      <c r="D4516" s="350"/>
      <c r="S4516" s="350"/>
      <c r="BF4516" s="350"/>
      <c r="BG4516" s="350"/>
      <c r="BH4516" s="350"/>
    </row>
    <row r="4517" spans="4:60">
      <c r="D4517" s="350"/>
      <c r="S4517" s="350"/>
      <c r="BF4517" s="350"/>
      <c r="BG4517" s="350"/>
      <c r="BH4517" s="350"/>
    </row>
    <row r="4518" spans="4:60">
      <c r="D4518" s="350"/>
      <c r="S4518" s="350"/>
      <c r="BF4518" s="350"/>
      <c r="BG4518" s="350"/>
      <c r="BH4518" s="350"/>
    </row>
    <row r="4519" spans="4:60">
      <c r="D4519" s="350"/>
      <c r="S4519" s="350"/>
      <c r="BF4519" s="350"/>
      <c r="BG4519" s="350"/>
      <c r="BH4519" s="350"/>
    </row>
    <row r="4520" spans="4:60">
      <c r="D4520" s="350"/>
      <c r="S4520" s="350"/>
      <c r="BF4520" s="350"/>
      <c r="BG4520" s="350"/>
      <c r="BH4520" s="350"/>
    </row>
    <row r="4521" spans="4:60">
      <c r="D4521" s="350"/>
      <c r="S4521" s="350"/>
      <c r="BF4521" s="350"/>
      <c r="BG4521" s="350"/>
      <c r="BH4521" s="350"/>
    </row>
    <row r="4522" spans="4:60">
      <c r="D4522" s="350"/>
      <c r="S4522" s="350"/>
      <c r="BF4522" s="350"/>
      <c r="BG4522" s="350"/>
      <c r="BH4522" s="350"/>
    </row>
    <row r="4523" spans="4:60">
      <c r="D4523" s="350"/>
      <c r="S4523" s="350"/>
      <c r="BF4523" s="350"/>
      <c r="BG4523" s="350"/>
      <c r="BH4523" s="350"/>
    </row>
    <row r="4524" spans="4:60">
      <c r="D4524" s="350"/>
      <c r="S4524" s="350"/>
      <c r="BF4524" s="350"/>
      <c r="BG4524" s="350"/>
      <c r="BH4524" s="350"/>
    </row>
    <row r="4525" spans="4:60">
      <c r="D4525" s="350"/>
      <c r="S4525" s="350"/>
      <c r="BF4525" s="350"/>
      <c r="BG4525" s="350"/>
      <c r="BH4525" s="350"/>
    </row>
    <row r="4526" spans="4:60">
      <c r="D4526" s="350"/>
      <c r="S4526" s="350"/>
      <c r="BF4526" s="350"/>
      <c r="BG4526" s="350"/>
      <c r="BH4526" s="350"/>
    </row>
    <row r="4527" spans="4:60">
      <c r="D4527" s="350"/>
      <c r="S4527" s="350"/>
      <c r="BF4527" s="350"/>
      <c r="BG4527" s="350"/>
      <c r="BH4527" s="350"/>
    </row>
    <row r="4528" spans="4:60">
      <c r="D4528" s="350"/>
      <c r="S4528" s="350"/>
      <c r="BF4528" s="350"/>
      <c r="BG4528" s="350"/>
      <c r="BH4528" s="350"/>
    </row>
    <row r="4529" spans="4:60">
      <c r="D4529" s="350"/>
      <c r="S4529" s="350"/>
      <c r="BF4529" s="350"/>
      <c r="BG4529" s="350"/>
      <c r="BH4529" s="350"/>
    </row>
    <row r="4530" spans="4:60">
      <c r="D4530" s="350"/>
      <c r="S4530" s="350"/>
      <c r="BF4530" s="350"/>
      <c r="BG4530" s="350"/>
      <c r="BH4530" s="350"/>
    </row>
    <row r="4531" spans="4:60">
      <c r="D4531" s="350"/>
      <c r="S4531" s="350"/>
      <c r="BF4531" s="350"/>
      <c r="BG4531" s="350"/>
      <c r="BH4531" s="350"/>
    </row>
    <row r="4532" spans="4:60">
      <c r="D4532" s="350"/>
      <c r="S4532" s="350"/>
      <c r="BF4532" s="350"/>
      <c r="BG4532" s="350"/>
      <c r="BH4532" s="350"/>
    </row>
    <row r="4533" spans="4:60">
      <c r="D4533" s="350"/>
      <c r="S4533" s="350"/>
      <c r="BF4533" s="350"/>
      <c r="BG4533" s="350"/>
      <c r="BH4533" s="350"/>
    </row>
    <row r="4534" spans="4:60">
      <c r="D4534" s="350"/>
      <c r="S4534" s="350"/>
      <c r="BF4534" s="350"/>
      <c r="BG4534" s="350"/>
      <c r="BH4534" s="350"/>
    </row>
    <row r="4535" spans="4:60">
      <c r="D4535" s="350"/>
      <c r="S4535" s="350"/>
      <c r="BF4535" s="350"/>
      <c r="BG4535" s="350"/>
      <c r="BH4535" s="350"/>
    </row>
    <row r="4536" spans="4:60">
      <c r="D4536" s="350"/>
      <c r="S4536" s="350"/>
      <c r="BF4536" s="350"/>
      <c r="BG4536" s="350"/>
      <c r="BH4536" s="350"/>
    </row>
    <row r="4537" spans="4:60">
      <c r="D4537" s="350"/>
      <c r="S4537" s="350"/>
      <c r="BF4537" s="350"/>
      <c r="BG4537" s="350"/>
      <c r="BH4537" s="350"/>
    </row>
    <row r="4538" spans="4:60">
      <c r="D4538" s="350"/>
      <c r="S4538" s="350"/>
      <c r="BF4538" s="350"/>
      <c r="BG4538" s="350"/>
      <c r="BH4538" s="350"/>
    </row>
    <row r="4539" spans="4:60">
      <c r="D4539" s="350"/>
      <c r="S4539" s="350"/>
      <c r="BF4539" s="350"/>
      <c r="BG4539" s="350"/>
      <c r="BH4539" s="350"/>
    </row>
    <row r="4540" spans="4:60">
      <c r="D4540" s="350"/>
      <c r="S4540" s="350"/>
      <c r="BF4540" s="350"/>
      <c r="BG4540" s="350"/>
      <c r="BH4540" s="350"/>
    </row>
    <row r="4541" spans="4:60">
      <c r="D4541" s="350"/>
      <c r="S4541" s="350"/>
      <c r="BF4541" s="350"/>
      <c r="BG4541" s="350"/>
      <c r="BH4541" s="350"/>
    </row>
    <row r="4542" spans="4:60">
      <c r="D4542" s="350"/>
      <c r="S4542" s="350"/>
      <c r="BF4542" s="350"/>
      <c r="BG4542" s="350"/>
      <c r="BH4542" s="350"/>
    </row>
    <row r="4543" spans="4:60">
      <c r="D4543" s="350"/>
      <c r="S4543" s="350"/>
      <c r="BF4543" s="350"/>
      <c r="BG4543" s="350"/>
      <c r="BH4543" s="350"/>
    </row>
    <row r="4544" spans="4:60">
      <c r="D4544" s="350"/>
      <c r="S4544" s="350"/>
      <c r="BF4544" s="350"/>
      <c r="BG4544" s="350"/>
      <c r="BH4544" s="350"/>
    </row>
    <row r="4545" spans="4:60">
      <c r="D4545" s="350"/>
      <c r="S4545" s="350"/>
      <c r="BF4545" s="350"/>
      <c r="BG4545" s="350"/>
      <c r="BH4545" s="350"/>
    </row>
    <row r="4546" spans="4:60">
      <c r="D4546" s="350"/>
      <c r="S4546" s="350"/>
      <c r="BF4546" s="350"/>
      <c r="BG4546" s="350"/>
      <c r="BH4546" s="350"/>
    </row>
    <row r="4547" spans="4:60">
      <c r="D4547" s="350"/>
      <c r="S4547" s="350"/>
      <c r="BF4547" s="350"/>
      <c r="BG4547" s="350"/>
      <c r="BH4547" s="350"/>
    </row>
    <row r="4548" spans="4:60">
      <c r="D4548" s="350"/>
      <c r="S4548" s="350"/>
      <c r="BF4548" s="350"/>
      <c r="BG4548" s="350"/>
      <c r="BH4548" s="350"/>
    </row>
    <row r="4549" spans="4:60">
      <c r="D4549" s="350"/>
      <c r="S4549" s="350"/>
      <c r="BF4549" s="350"/>
      <c r="BG4549" s="350"/>
      <c r="BH4549" s="350"/>
    </row>
    <row r="4550" spans="4:60">
      <c r="D4550" s="350"/>
      <c r="S4550" s="350"/>
      <c r="BF4550" s="350"/>
      <c r="BG4550" s="350"/>
      <c r="BH4550" s="350"/>
    </row>
    <row r="4551" spans="4:60">
      <c r="D4551" s="350"/>
      <c r="S4551" s="350"/>
      <c r="BF4551" s="350"/>
      <c r="BG4551" s="350"/>
      <c r="BH4551" s="350"/>
    </row>
    <row r="4552" spans="4:60">
      <c r="D4552" s="350"/>
      <c r="S4552" s="350"/>
      <c r="BF4552" s="350"/>
      <c r="BG4552" s="350"/>
      <c r="BH4552" s="350"/>
    </row>
    <row r="4553" spans="4:60">
      <c r="D4553" s="350"/>
      <c r="S4553" s="350"/>
      <c r="BF4553" s="350"/>
      <c r="BG4553" s="350"/>
      <c r="BH4553" s="350"/>
    </row>
    <row r="4554" spans="4:60">
      <c r="D4554" s="350"/>
      <c r="S4554" s="350"/>
      <c r="BF4554" s="350"/>
      <c r="BG4554" s="350"/>
      <c r="BH4554" s="350"/>
    </row>
    <row r="4555" spans="4:60">
      <c r="D4555" s="350"/>
      <c r="S4555" s="350"/>
      <c r="BF4555" s="350"/>
      <c r="BG4555" s="350"/>
      <c r="BH4555" s="350"/>
    </row>
    <row r="4556" spans="4:60">
      <c r="D4556" s="350"/>
      <c r="S4556" s="350"/>
      <c r="BF4556" s="350"/>
      <c r="BG4556" s="350"/>
      <c r="BH4556" s="350"/>
    </row>
    <row r="4557" spans="4:60">
      <c r="D4557" s="350"/>
      <c r="S4557" s="350"/>
      <c r="BF4557" s="350"/>
      <c r="BG4557" s="350"/>
      <c r="BH4557" s="350"/>
    </row>
    <row r="4558" spans="4:60">
      <c r="D4558" s="350"/>
      <c r="S4558" s="350"/>
      <c r="BF4558" s="350"/>
      <c r="BG4558" s="350"/>
      <c r="BH4558" s="350"/>
    </row>
    <row r="4559" spans="4:60">
      <c r="D4559" s="350"/>
      <c r="S4559" s="350"/>
      <c r="BF4559" s="350"/>
      <c r="BG4559" s="350"/>
      <c r="BH4559" s="350"/>
    </row>
    <row r="4560" spans="4:60">
      <c r="D4560" s="350"/>
      <c r="S4560" s="350"/>
      <c r="BF4560" s="350"/>
      <c r="BG4560" s="350"/>
      <c r="BH4560" s="350"/>
    </row>
    <row r="4561" spans="4:60">
      <c r="D4561" s="350"/>
      <c r="S4561" s="350"/>
      <c r="BF4561" s="350"/>
      <c r="BG4561" s="350"/>
      <c r="BH4561" s="350"/>
    </row>
    <row r="4562" spans="4:60">
      <c r="D4562" s="350"/>
      <c r="S4562" s="350"/>
      <c r="BF4562" s="350"/>
      <c r="BG4562" s="350"/>
      <c r="BH4562" s="350"/>
    </row>
    <row r="4563" spans="4:60">
      <c r="D4563" s="350"/>
      <c r="S4563" s="350"/>
      <c r="BF4563" s="350"/>
      <c r="BG4563" s="350"/>
      <c r="BH4563" s="350"/>
    </row>
    <row r="4564" spans="4:60">
      <c r="D4564" s="350"/>
      <c r="S4564" s="350"/>
      <c r="BF4564" s="350"/>
      <c r="BG4564" s="350"/>
      <c r="BH4564" s="350"/>
    </row>
    <row r="4565" spans="4:60">
      <c r="D4565" s="350"/>
      <c r="S4565" s="350"/>
      <c r="BF4565" s="350"/>
      <c r="BG4565" s="350"/>
      <c r="BH4565" s="350"/>
    </row>
    <row r="4566" spans="4:60">
      <c r="D4566" s="350"/>
      <c r="S4566" s="350"/>
      <c r="BF4566" s="350"/>
      <c r="BG4566" s="350"/>
      <c r="BH4566" s="350"/>
    </row>
    <row r="4567" spans="4:60">
      <c r="D4567" s="350"/>
      <c r="S4567" s="350"/>
      <c r="BF4567" s="350"/>
      <c r="BG4567" s="350"/>
      <c r="BH4567" s="350"/>
    </row>
    <row r="4568" spans="4:60">
      <c r="D4568" s="350"/>
      <c r="S4568" s="350"/>
      <c r="BF4568" s="350"/>
      <c r="BG4568" s="350"/>
      <c r="BH4568" s="350"/>
    </row>
    <row r="4569" spans="4:60">
      <c r="D4569" s="350"/>
      <c r="S4569" s="350"/>
      <c r="BF4569" s="350"/>
      <c r="BG4569" s="350"/>
      <c r="BH4569" s="350"/>
    </row>
    <row r="4570" spans="4:60">
      <c r="D4570" s="350"/>
      <c r="S4570" s="350"/>
      <c r="BF4570" s="350"/>
      <c r="BG4570" s="350"/>
      <c r="BH4570" s="350"/>
    </row>
    <row r="4571" spans="4:60">
      <c r="D4571" s="350"/>
      <c r="S4571" s="350"/>
      <c r="BF4571" s="350"/>
      <c r="BG4571" s="350"/>
      <c r="BH4571" s="350"/>
    </row>
    <row r="4572" spans="4:60">
      <c r="D4572" s="350"/>
      <c r="S4572" s="350"/>
      <c r="BF4572" s="350"/>
      <c r="BG4572" s="350"/>
      <c r="BH4572" s="350"/>
    </row>
    <row r="4573" spans="4:60">
      <c r="D4573" s="350"/>
      <c r="S4573" s="350"/>
      <c r="BF4573" s="350"/>
      <c r="BG4573" s="350"/>
      <c r="BH4573" s="350"/>
    </row>
    <row r="4574" spans="4:60">
      <c r="D4574" s="350"/>
      <c r="S4574" s="350"/>
      <c r="BF4574" s="350"/>
      <c r="BG4574" s="350"/>
      <c r="BH4574" s="350"/>
    </row>
    <row r="4575" spans="4:60">
      <c r="D4575" s="350"/>
      <c r="S4575" s="350"/>
      <c r="BF4575" s="350"/>
      <c r="BG4575" s="350"/>
      <c r="BH4575" s="350"/>
    </row>
    <row r="4576" spans="4:60">
      <c r="D4576" s="350"/>
      <c r="S4576" s="350"/>
      <c r="BF4576" s="350"/>
      <c r="BG4576" s="350"/>
      <c r="BH4576" s="350"/>
    </row>
    <row r="4577" spans="4:60">
      <c r="D4577" s="350"/>
      <c r="S4577" s="350"/>
      <c r="BF4577" s="350"/>
      <c r="BG4577" s="350"/>
      <c r="BH4577" s="350"/>
    </row>
    <row r="4578" spans="4:60">
      <c r="D4578" s="350"/>
      <c r="S4578" s="350"/>
      <c r="BF4578" s="350"/>
      <c r="BG4578" s="350"/>
      <c r="BH4578" s="350"/>
    </row>
    <row r="4579" spans="4:60">
      <c r="D4579" s="350"/>
      <c r="S4579" s="350"/>
      <c r="BF4579" s="350"/>
      <c r="BG4579" s="350"/>
      <c r="BH4579" s="350"/>
    </row>
    <row r="4580" spans="4:60">
      <c r="D4580" s="350"/>
      <c r="S4580" s="350"/>
      <c r="BF4580" s="350"/>
      <c r="BG4580" s="350"/>
      <c r="BH4580" s="350"/>
    </row>
    <row r="4581" spans="4:60">
      <c r="D4581" s="350"/>
      <c r="S4581" s="350"/>
      <c r="BF4581" s="350"/>
      <c r="BG4581" s="350"/>
      <c r="BH4581" s="350"/>
    </row>
    <row r="4582" spans="4:60">
      <c r="D4582" s="350"/>
      <c r="S4582" s="350"/>
      <c r="BF4582" s="350"/>
      <c r="BG4582" s="350"/>
      <c r="BH4582" s="350"/>
    </row>
    <row r="4583" spans="4:60">
      <c r="D4583" s="350"/>
      <c r="S4583" s="350"/>
      <c r="BF4583" s="350"/>
      <c r="BG4583" s="350"/>
      <c r="BH4583" s="350"/>
    </row>
    <row r="4584" spans="4:60">
      <c r="D4584" s="350"/>
      <c r="S4584" s="350"/>
      <c r="BF4584" s="350"/>
      <c r="BG4584" s="350"/>
      <c r="BH4584" s="350"/>
    </row>
    <row r="4585" spans="4:60">
      <c r="D4585" s="350"/>
      <c r="S4585" s="350"/>
      <c r="BF4585" s="350"/>
      <c r="BG4585" s="350"/>
      <c r="BH4585" s="350"/>
    </row>
    <row r="4586" spans="4:60">
      <c r="D4586" s="350"/>
      <c r="S4586" s="350"/>
      <c r="BF4586" s="350"/>
      <c r="BG4586" s="350"/>
      <c r="BH4586" s="350"/>
    </row>
    <row r="4587" spans="4:60">
      <c r="D4587" s="350"/>
      <c r="S4587" s="350"/>
      <c r="BF4587" s="350"/>
      <c r="BG4587" s="350"/>
      <c r="BH4587" s="350"/>
    </row>
    <row r="4588" spans="4:60">
      <c r="D4588" s="350"/>
      <c r="S4588" s="350"/>
      <c r="BF4588" s="350"/>
      <c r="BG4588" s="350"/>
      <c r="BH4588" s="350"/>
    </row>
    <row r="4589" spans="4:60">
      <c r="D4589" s="350"/>
      <c r="S4589" s="350"/>
      <c r="BF4589" s="350"/>
      <c r="BG4589" s="350"/>
      <c r="BH4589" s="350"/>
    </row>
    <row r="4590" spans="4:60">
      <c r="D4590" s="350"/>
      <c r="S4590" s="350"/>
      <c r="BF4590" s="350"/>
      <c r="BG4590" s="350"/>
      <c r="BH4590" s="350"/>
    </row>
    <row r="4591" spans="4:60">
      <c r="D4591" s="350"/>
      <c r="S4591" s="350"/>
      <c r="BF4591" s="350"/>
      <c r="BG4591" s="350"/>
      <c r="BH4591" s="350"/>
    </row>
    <row r="4592" spans="4:60">
      <c r="D4592" s="350"/>
      <c r="S4592" s="350"/>
      <c r="BF4592" s="350"/>
      <c r="BG4592" s="350"/>
      <c r="BH4592" s="350"/>
    </row>
    <row r="4593" spans="4:60">
      <c r="D4593" s="350"/>
      <c r="S4593" s="350"/>
      <c r="BF4593" s="350"/>
      <c r="BG4593" s="350"/>
      <c r="BH4593" s="350"/>
    </row>
    <row r="4594" spans="4:60">
      <c r="D4594" s="350"/>
      <c r="S4594" s="350"/>
      <c r="BF4594" s="350"/>
      <c r="BG4594" s="350"/>
      <c r="BH4594" s="350"/>
    </row>
    <row r="4595" spans="4:60">
      <c r="D4595" s="350"/>
      <c r="S4595" s="350"/>
      <c r="BF4595" s="350"/>
      <c r="BG4595" s="350"/>
      <c r="BH4595" s="350"/>
    </row>
    <row r="4596" spans="4:60">
      <c r="D4596" s="350"/>
      <c r="S4596" s="350"/>
      <c r="BF4596" s="350"/>
      <c r="BG4596" s="350"/>
      <c r="BH4596" s="350"/>
    </row>
    <row r="4597" spans="4:60">
      <c r="D4597" s="350"/>
      <c r="S4597" s="350"/>
      <c r="BF4597" s="350"/>
      <c r="BG4597" s="350"/>
      <c r="BH4597" s="350"/>
    </row>
    <row r="4598" spans="4:60">
      <c r="D4598" s="350"/>
      <c r="S4598" s="350"/>
      <c r="BF4598" s="350"/>
      <c r="BG4598" s="350"/>
      <c r="BH4598" s="350"/>
    </row>
    <row r="4599" spans="4:60">
      <c r="D4599" s="350"/>
      <c r="S4599" s="350"/>
      <c r="BF4599" s="350"/>
      <c r="BG4599" s="350"/>
      <c r="BH4599" s="350"/>
    </row>
    <row r="4600" spans="4:60">
      <c r="D4600" s="350"/>
      <c r="S4600" s="350"/>
      <c r="BF4600" s="350"/>
      <c r="BG4600" s="350"/>
      <c r="BH4600" s="350"/>
    </row>
    <row r="4601" spans="4:60">
      <c r="D4601" s="350"/>
      <c r="S4601" s="350"/>
      <c r="BF4601" s="350"/>
      <c r="BG4601" s="350"/>
      <c r="BH4601" s="350"/>
    </row>
    <row r="4602" spans="4:60">
      <c r="D4602" s="350"/>
      <c r="S4602" s="350"/>
      <c r="BF4602" s="350"/>
      <c r="BG4602" s="350"/>
      <c r="BH4602" s="350"/>
    </row>
    <row r="4603" spans="4:60">
      <c r="D4603" s="350"/>
      <c r="S4603" s="350"/>
      <c r="BF4603" s="350"/>
      <c r="BG4603" s="350"/>
      <c r="BH4603" s="350"/>
    </row>
    <row r="4604" spans="4:60">
      <c r="D4604" s="350"/>
      <c r="S4604" s="350"/>
      <c r="BF4604" s="350"/>
      <c r="BG4604" s="350"/>
      <c r="BH4604" s="350"/>
    </row>
    <row r="4605" spans="4:60">
      <c r="D4605" s="350"/>
      <c r="S4605" s="350"/>
      <c r="BF4605" s="350"/>
      <c r="BG4605" s="350"/>
      <c r="BH4605" s="350"/>
    </row>
    <row r="4606" spans="4:60">
      <c r="D4606" s="350"/>
      <c r="S4606" s="350"/>
      <c r="BF4606" s="350"/>
      <c r="BG4606" s="350"/>
      <c r="BH4606" s="350"/>
    </row>
    <row r="4607" spans="4:60">
      <c r="D4607" s="350"/>
      <c r="S4607" s="350"/>
      <c r="BF4607" s="350"/>
      <c r="BG4607" s="350"/>
      <c r="BH4607" s="350"/>
    </row>
    <row r="4608" spans="4:60">
      <c r="D4608" s="350"/>
      <c r="S4608" s="350"/>
      <c r="BF4608" s="350"/>
      <c r="BG4608" s="350"/>
      <c r="BH4608" s="350"/>
    </row>
    <row r="4609" spans="4:60">
      <c r="D4609" s="350"/>
      <c r="S4609" s="350"/>
      <c r="BF4609" s="350"/>
      <c r="BG4609" s="350"/>
      <c r="BH4609" s="350"/>
    </row>
    <row r="4610" spans="4:60">
      <c r="D4610" s="350"/>
      <c r="S4610" s="350"/>
      <c r="BF4610" s="350"/>
      <c r="BG4610" s="350"/>
      <c r="BH4610" s="350"/>
    </row>
    <row r="4611" spans="4:60">
      <c r="D4611" s="350"/>
      <c r="S4611" s="350"/>
      <c r="BF4611" s="350"/>
      <c r="BG4611" s="350"/>
      <c r="BH4611" s="350"/>
    </row>
    <row r="4612" spans="4:60">
      <c r="D4612" s="350"/>
      <c r="S4612" s="350"/>
      <c r="BF4612" s="350"/>
      <c r="BG4612" s="350"/>
      <c r="BH4612" s="350"/>
    </row>
    <row r="4613" spans="4:60">
      <c r="D4613" s="350"/>
      <c r="S4613" s="350"/>
      <c r="BF4613" s="350"/>
      <c r="BG4613" s="350"/>
      <c r="BH4613" s="350"/>
    </row>
    <row r="4614" spans="4:60">
      <c r="D4614" s="350"/>
      <c r="S4614" s="350"/>
      <c r="BF4614" s="350"/>
      <c r="BG4614" s="350"/>
      <c r="BH4614" s="350"/>
    </row>
    <row r="4615" spans="4:60">
      <c r="D4615" s="350"/>
      <c r="S4615" s="350"/>
      <c r="BF4615" s="350"/>
      <c r="BG4615" s="350"/>
      <c r="BH4615" s="350"/>
    </row>
    <row r="4616" spans="4:60">
      <c r="D4616" s="350"/>
      <c r="S4616" s="350"/>
      <c r="BF4616" s="350"/>
      <c r="BG4616" s="350"/>
      <c r="BH4616" s="350"/>
    </row>
    <row r="4617" spans="4:60">
      <c r="D4617" s="350"/>
      <c r="S4617" s="350"/>
      <c r="BF4617" s="350"/>
      <c r="BG4617" s="350"/>
      <c r="BH4617" s="350"/>
    </row>
    <row r="4618" spans="4:60">
      <c r="D4618" s="350"/>
      <c r="S4618" s="350"/>
      <c r="BF4618" s="350"/>
      <c r="BG4618" s="350"/>
      <c r="BH4618" s="350"/>
    </row>
    <row r="4619" spans="4:60">
      <c r="D4619" s="350"/>
      <c r="S4619" s="350"/>
      <c r="BF4619" s="350"/>
      <c r="BG4619" s="350"/>
      <c r="BH4619" s="350"/>
    </row>
    <row r="4620" spans="4:60">
      <c r="D4620" s="350"/>
      <c r="S4620" s="350"/>
      <c r="BF4620" s="350"/>
      <c r="BG4620" s="350"/>
      <c r="BH4620" s="350"/>
    </row>
    <row r="4621" spans="4:60">
      <c r="D4621" s="350"/>
      <c r="S4621" s="350"/>
      <c r="BF4621" s="350"/>
      <c r="BG4621" s="350"/>
      <c r="BH4621" s="350"/>
    </row>
    <row r="4622" spans="4:60">
      <c r="D4622" s="350"/>
      <c r="S4622" s="350"/>
      <c r="BF4622" s="350"/>
      <c r="BG4622" s="350"/>
      <c r="BH4622" s="350"/>
    </row>
    <row r="4623" spans="4:60">
      <c r="D4623" s="350"/>
      <c r="S4623" s="350"/>
      <c r="BF4623" s="350"/>
      <c r="BG4623" s="350"/>
      <c r="BH4623" s="350"/>
    </row>
    <row r="4624" spans="4:60">
      <c r="D4624" s="350"/>
      <c r="S4624" s="350"/>
      <c r="BF4624" s="350"/>
      <c r="BG4624" s="350"/>
      <c r="BH4624" s="350"/>
    </row>
    <row r="4625" spans="4:60">
      <c r="D4625" s="350"/>
      <c r="S4625" s="350"/>
      <c r="BF4625" s="350"/>
      <c r="BG4625" s="350"/>
      <c r="BH4625" s="350"/>
    </row>
    <row r="4626" spans="4:60">
      <c r="D4626" s="350"/>
      <c r="S4626" s="350"/>
      <c r="BF4626" s="350"/>
      <c r="BG4626" s="350"/>
      <c r="BH4626" s="350"/>
    </row>
    <row r="4627" spans="4:60">
      <c r="D4627" s="350"/>
      <c r="S4627" s="350"/>
      <c r="BF4627" s="350"/>
      <c r="BG4627" s="350"/>
      <c r="BH4627" s="350"/>
    </row>
    <row r="4628" spans="4:60">
      <c r="D4628" s="350"/>
      <c r="S4628" s="350"/>
      <c r="BF4628" s="350"/>
      <c r="BG4628" s="350"/>
      <c r="BH4628" s="350"/>
    </row>
    <row r="4629" spans="4:60">
      <c r="D4629" s="350"/>
      <c r="S4629" s="350"/>
      <c r="BF4629" s="350"/>
      <c r="BG4629" s="350"/>
      <c r="BH4629" s="350"/>
    </row>
    <row r="4630" spans="4:60">
      <c r="D4630" s="350"/>
      <c r="S4630" s="350"/>
      <c r="BF4630" s="350"/>
      <c r="BG4630" s="350"/>
      <c r="BH4630" s="350"/>
    </row>
    <row r="4631" spans="4:60">
      <c r="D4631" s="350"/>
      <c r="S4631" s="350"/>
      <c r="BF4631" s="350"/>
      <c r="BG4631" s="350"/>
      <c r="BH4631" s="350"/>
    </row>
    <row r="4632" spans="4:60">
      <c r="D4632" s="350"/>
      <c r="S4632" s="350"/>
      <c r="BF4632" s="350"/>
      <c r="BG4632" s="350"/>
      <c r="BH4632" s="350"/>
    </row>
    <row r="4633" spans="4:60">
      <c r="D4633" s="350"/>
      <c r="S4633" s="350"/>
      <c r="BF4633" s="350"/>
      <c r="BG4633" s="350"/>
      <c r="BH4633" s="350"/>
    </row>
    <row r="4634" spans="4:60">
      <c r="D4634" s="350"/>
      <c r="S4634" s="350"/>
      <c r="BF4634" s="350"/>
      <c r="BG4634" s="350"/>
      <c r="BH4634" s="350"/>
    </row>
    <row r="4635" spans="4:60">
      <c r="D4635" s="350"/>
      <c r="S4635" s="350"/>
      <c r="BF4635" s="350"/>
      <c r="BG4635" s="350"/>
      <c r="BH4635" s="350"/>
    </row>
    <row r="4636" spans="4:60">
      <c r="D4636" s="350"/>
      <c r="S4636" s="350"/>
      <c r="BF4636" s="350"/>
      <c r="BG4636" s="350"/>
      <c r="BH4636" s="350"/>
    </row>
    <row r="4637" spans="4:60">
      <c r="D4637" s="350"/>
      <c r="S4637" s="350"/>
      <c r="BF4637" s="350"/>
      <c r="BG4637" s="350"/>
      <c r="BH4637" s="350"/>
    </row>
    <row r="4638" spans="4:60">
      <c r="D4638" s="350"/>
      <c r="S4638" s="350"/>
      <c r="BF4638" s="350"/>
      <c r="BG4638" s="350"/>
      <c r="BH4638" s="350"/>
    </row>
    <row r="4639" spans="4:60">
      <c r="D4639" s="350"/>
      <c r="S4639" s="350"/>
      <c r="BF4639" s="350"/>
      <c r="BG4639" s="350"/>
      <c r="BH4639" s="350"/>
    </row>
    <row r="4640" spans="4:60">
      <c r="D4640" s="350"/>
      <c r="S4640" s="350"/>
      <c r="BF4640" s="350"/>
      <c r="BG4640" s="350"/>
      <c r="BH4640" s="350"/>
    </row>
    <row r="4641" spans="4:60">
      <c r="D4641" s="350"/>
      <c r="S4641" s="350"/>
      <c r="BF4641" s="350"/>
      <c r="BG4641" s="350"/>
      <c r="BH4641" s="350"/>
    </row>
    <row r="4642" spans="4:60">
      <c r="D4642" s="350"/>
      <c r="S4642" s="350"/>
      <c r="BF4642" s="350"/>
      <c r="BG4642" s="350"/>
      <c r="BH4642" s="350"/>
    </row>
    <row r="4643" spans="4:60">
      <c r="D4643" s="350"/>
      <c r="S4643" s="350"/>
      <c r="BF4643" s="350"/>
      <c r="BG4643" s="350"/>
      <c r="BH4643" s="350"/>
    </row>
    <row r="4644" spans="4:60">
      <c r="D4644" s="350"/>
      <c r="S4644" s="350"/>
      <c r="BF4644" s="350"/>
      <c r="BG4644" s="350"/>
      <c r="BH4644" s="350"/>
    </row>
    <row r="4645" spans="4:60">
      <c r="D4645" s="350"/>
      <c r="S4645" s="350"/>
      <c r="BF4645" s="350"/>
      <c r="BG4645" s="350"/>
      <c r="BH4645" s="350"/>
    </row>
    <row r="4646" spans="4:60">
      <c r="D4646" s="350"/>
      <c r="S4646" s="350"/>
      <c r="BF4646" s="350"/>
      <c r="BG4646" s="350"/>
      <c r="BH4646" s="350"/>
    </row>
    <row r="4647" spans="4:60">
      <c r="D4647" s="350"/>
      <c r="S4647" s="350"/>
      <c r="BF4647" s="350"/>
      <c r="BG4647" s="350"/>
      <c r="BH4647" s="350"/>
    </row>
    <row r="4648" spans="4:60">
      <c r="D4648" s="350"/>
      <c r="S4648" s="350"/>
      <c r="BF4648" s="350"/>
      <c r="BG4648" s="350"/>
      <c r="BH4648" s="350"/>
    </row>
    <row r="4649" spans="4:60">
      <c r="D4649" s="350"/>
      <c r="S4649" s="350"/>
      <c r="BF4649" s="350"/>
      <c r="BG4649" s="350"/>
      <c r="BH4649" s="350"/>
    </row>
    <row r="4650" spans="4:60">
      <c r="D4650" s="350"/>
      <c r="S4650" s="350"/>
      <c r="BF4650" s="350"/>
      <c r="BG4650" s="350"/>
      <c r="BH4650" s="350"/>
    </row>
    <row r="4651" spans="4:60">
      <c r="D4651" s="350"/>
      <c r="S4651" s="350"/>
      <c r="BF4651" s="350"/>
      <c r="BG4651" s="350"/>
      <c r="BH4651" s="350"/>
    </row>
    <row r="4652" spans="4:60">
      <c r="D4652" s="350"/>
      <c r="S4652" s="350"/>
      <c r="BF4652" s="350"/>
      <c r="BG4652" s="350"/>
      <c r="BH4652" s="350"/>
    </row>
    <row r="4653" spans="4:60">
      <c r="D4653" s="350"/>
      <c r="S4653" s="350"/>
      <c r="BF4653" s="350"/>
      <c r="BG4653" s="350"/>
      <c r="BH4653" s="350"/>
    </row>
    <row r="4654" spans="4:60">
      <c r="D4654" s="350"/>
      <c r="S4654" s="350"/>
      <c r="BF4654" s="350"/>
      <c r="BG4654" s="350"/>
      <c r="BH4654" s="350"/>
    </row>
    <row r="4655" spans="4:60">
      <c r="D4655" s="350"/>
      <c r="S4655" s="350"/>
      <c r="BF4655" s="350"/>
      <c r="BG4655" s="350"/>
      <c r="BH4655" s="350"/>
    </row>
    <row r="4656" spans="4:60">
      <c r="D4656" s="350"/>
      <c r="S4656" s="350"/>
      <c r="BF4656" s="350"/>
      <c r="BG4656" s="350"/>
      <c r="BH4656" s="350"/>
    </row>
    <row r="4657" spans="4:60">
      <c r="D4657" s="350"/>
      <c r="S4657" s="350"/>
      <c r="BF4657" s="350"/>
      <c r="BG4657" s="350"/>
      <c r="BH4657" s="350"/>
    </row>
    <row r="4658" spans="4:60">
      <c r="D4658" s="350"/>
      <c r="S4658" s="350"/>
      <c r="BF4658" s="350"/>
      <c r="BG4658" s="350"/>
      <c r="BH4658" s="350"/>
    </row>
    <row r="4659" spans="4:60">
      <c r="D4659" s="350"/>
      <c r="S4659" s="350"/>
      <c r="BF4659" s="350"/>
      <c r="BG4659" s="350"/>
      <c r="BH4659" s="350"/>
    </row>
    <row r="4660" spans="4:60">
      <c r="D4660" s="350"/>
      <c r="S4660" s="350"/>
      <c r="BF4660" s="350"/>
      <c r="BG4660" s="350"/>
      <c r="BH4660" s="350"/>
    </row>
    <row r="4661" spans="4:60">
      <c r="D4661" s="350"/>
      <c r="S4661" s="350"/>
      <c r="BF4661" s="350"/>
      <c r="BG4661" s="350"/>
      <c r="BH4661" s="350"/>
    </row>
    <row r="4662" spans="4:60">
      <c r="D4662" s="350"/>
      <c r="S4662" s="350"/>
      <c r="BF4662" s="350"/>
      <c r="BG4662" s="350"/>
      <c r="BH4662" s="350"/>
    </row>
    <row r="4663" spans="4:60">
      <c r="D4663" s="350"/>
      <c r="S4663" s="350"/>
      <c r="BF4663" s="350"/>
      <c r="BG4663" s="350"/>
      <c r="BH4663" s="350"/>
    </row>
    <row r="4664" spans="4:60">
      <c r="D4664" s="350"/>
      <c r="S4664" s="350"/>
      <c r="BF4664" s="350"/>
      <c r="BG4664" s="350"/>
      <c r="BH4664" s="350"/>
    </row>
    <row r="4665" spans="4:60">
      <c r="D4665" s="350"/>
      <c r="S4665" s="350"/>
      <c r="BF4665" s="350"/>
      <c r="BG4665" s="350"/>
      <c r="BH4665" s="350"/>
    </row>
    <row r="4666" spans="4:60">
      <c r="D4666" s="350"/>
      <c r="S4666" s="350"/>
      <c r="BF4666" s="350"/>
      <c r="BG4666" s="350"/>
      <c r="BH4666" s="350"/>
    </row>
    <row r="4667" spans="4:60">
      <c r="D4667" s="350"/>
      <c r="S4667" s="350"/>
      <c r="BF4667" s="350"/>
      <c r="BG4667" s="350"/>
      <c r="BH4667" s="350"/>
    </row>
    <row r="4668" spans="4:60">
      <c r="D4668" s="350"/>
      <c r="S4668" s="350"/>
      <c r="BF4668" s="350"/>
      <c r="BG4668" s="350"/>
      <c r="BH4668" s="350"/>
    </row>
    <row r="4669" spans="4:60">
      <c r="D4669" s="350"/>
      <c r="S4669" s="350"/>
      <c r="BF4669" s="350"/>
      <c r="BG4669" s="350"/>
      <c r="BH4669" s="350"/>
    </row>
    <row r="4670" spans="4:60">
      <c r="D4670" s="350"/>
      <c r="S4670" s="350"/>
      <c r="BF4670" s="350"/>
      <c r="BG4670" s="350"/>
      <c r="BH4670" s="350"/>
    </row>
    <row r="4671" spans="4:60">
      <c r="D4671" s="350"/>
      <c r="S4671" s="350"/>
      <c r="BF4671" s="350"/>
      <c r="BG4671" s="350"/>
      <c r="BH4671" s="350"/>
    </row>
    <row r="4672" spans="4:60">
      <c r="D4672" s="350"/>
      <c r="S4672" s="350"/>
      <c r="BF4672" s="350"/>
      <c r="BG4672" s="350"/>
      <c r="BH4672" s="350"/>
    </row>
    <row r="4673" spans="4:60">
      <c r="D4673" s="350"/>
      <c r="S4673" s="350"/>
      <c r="BF4673" s="350"/>
      <c r="BG4673" s="350"/>
      <c r="BH4673" s="350"/>
    </row>
    <row r="4674" spans="4:60">
      <c r="D4674" s="350"/>
      <c r="S4674" s="350"/>
      <c r="BF4674" s="350"/>
      <c r="BG4674" s="350"/>
      <c r="BH4674" s="350"/>
    </row>
    <row r="4675" spans="4:60">
      <c r="D4675" s="350"/>
      <c r="S4675" s="350"/>
      <c r="BF4675" s="350"/>
      <c r="BG4675" s="350"/>
      <c r="BH4675" s="350"/>
    </row>
    <row r="4676" spans="4:60">
      <c r="D4676" s="350"/>
      <c r="S4676" s="350"/>
      <c r="BF4676" s="350"/>
      <c r="BG4676" s="350"/>
      <c r="BH4676" s="350"/>
    </row>
    <row r="4677" spans="4:60">
      <c r="D4677" s="350"/>
      <c r="S4677" s="350"/>
      <c r="BF4677" s="350"/>
      <c r="BG4677" s="350"/>
      <c r="BH4677" s="350"/>
    </row>
    <row r="4678" spans="4:60">
      <c r="D4678" s="350"/>
      <c r="S4678" s="350"/>
      <c r="BF4678" s="350"/>
      <c r="BG4678" s="350"/>
      <c r="BH4678" s="350"/>
    </row>
    <row r="4679" spans="4:60">
      <c r="D4679" s="350"/>
      <c r="S4679" s="350"/>
      <c r="BF4679" s="350"/>
      <c r="BG4679" s="350"/>
      <c r="BH4679" s="350"/>
    </row>
    <row r="4680" spans="4:60">
      <c r="D4680" s="350"/>
      <c r="S4680" s="350"/>
      <c r="BF4680" s="350"/>
      <c r="BG4680" s="350"/>
      <c r="BH4680" s="350"/>
    </row>
    <row r="4681" spans="4:60">
      <c r="D4681" s="350"/>
      <c r="S4681" s="350"/>
      <c r="BF4681" s="350"/>
      <c r="BG4681" s="350"/>
      <c r="BH4681" s="350"/>
    </row>
    <row r="4682" spans="4:60">
      <c r="D4682" s="350"/>
      <c r="S4682" s="350"/>
      <c r="BF4682" s="350"/>
      <c r="BG4682" s="350"/>
      <c r="BH4682" s="350"/>
    </row>
    <row r="4683" spans="4:60">
      <c r="D4683" s="350"/>
      <c r="S4683" s="350"/>
      <c r="BF4683" s="350"/>
      <c r="BG4683" s="350"/>
      <c r="BH4683" s="350"/>
    </row>
    <row r="4684" spans="4:60">
      <c r="D4684" s="350"/>
      <c r="S4684" s="350"/>
      <c r="BF4684" s="350"/>
      <c r="BG4684" s="350"/>
      <c r="BH4684" s="350"/>
    </row>
    <row r="4685" spans="4:60">
      <c r="D4685" s="350"/>
      <c r="S4685" s="350"/>
      <c r="BF4685" s="350"/>
      <c r="BG4685" s="350"/>
      <c r="BH4685" s="350"/>
    </row>
    <row r="4686" spans="4:60">
      <c r="D4686" s="350"/>
      <c r="S4686" s="350"/>
      <c r="BF4686" s="350"/>
      <c r="BG4686" s="350"/>
      <c r="BH4686" s="350"/>
    </row>
    <row r="4687" spans="4:60">
      <c r="D4687" s="350"/>
      <c r="S4687" s="350"/>
      <c r="BF4687" s="350"/>
      <c r="BG4687" s="350"/>
      <c r="BH4687" s="350"/>
    </row>
    <row r="4688" spans="4:60">
      <c r="D4688" s="350"/>
      <c r="S4688" s="350"/>
      <c r="BF4688" s="350"/>
      <c r="BG4688" s="350"/>
      <c r="BH4688" s="350"/>
    </row>
    <row r="4689" spans="4:60">
      <c r="D4689" s="350"/>
      <c r="S4689" s="350"/>
      <c r="BF4689" s="350"/>
      <c r="BG4689" s="350"/>
      <c r="BH4689" s="350"/>
    </row>
    <row r="4690" spans="4:60">
      <c r="D4690" s="350"/>
      <c r="S4690" s="350"/>
      <c r="BF4690" s="350"/>
      <c r="BG4690" s="350"/>
      <c r="BH4690" s="350"/>
    </row>
    <row r="4691" spans="4:60">
      <c r="D4691" s="350"/>
      <c r="S4691" s="350"/>
      <c r="BF4691" s="350"/>
      <c r="BG4691" s="350"/>
      <c r="BH4691" s="350"/>
    </row>
    <row r="4692" spans="4:60">
      <c r="D4692" s="350"/>
      <c r="S4692" s="350"/>
      <c r="BF4692" s="350"/>
      <c r="BG4692" s="350"/>
      <c r="BH4692" s="350"/>
    </row>
    <row r="4693" spans="4:60">
      <c r="D4693" s="350"/>
      <c r="S4693" s="350"/>
      <c r="BF4693" s="350"/>
      <c r="BG4693" s="350"/>
      <c r="BH4693" s="350"/>
    </row>
    <row r="4694" spans="4:60">
      <c r="D4694" s="350"/>
      <c r="S4694" s="350"/>
      <c r="BF4694" s="350"/>
      <c r="BG4694" s="350"/>
      <c r="BH4694" s="350"/>
    </row>
    <row r="4695" spans="4:60">
      <c r="D4695" s="350"/>
      <c r="S4695" s="350"/>
      <c r="BF4695" s="350"/>
      <c r="BG4695" s="350"/>
      <c r="BH4695" s="350"/>
    </row>
    <row r="4696" spans="4:60">
      <c r="D4696" s="350"/>
      <c r="S4696" s="350"/>
      <c r="BF4696" s="350"/>
      <c r="BG4696" s="350"/>
      <c r="BH4696" s="350"/>
    </row>
    <row r="4697" spans="4:60">
      <c r="D4697" s="350"/>
      <c r="S4697" s="350"/>
      <c r="BF4697" s="350"/>
      <c r="BG4697" s="350"/>
      <c r="BH4697" s="350"/>
    </row>
    <row r="4698" spans="4:60">
      <c r="D4698" s="350"/>
      <c r="S4698" s="350"/>
      <c r="BF4698" s="350"/>
      <c r="BG4698" s="350"/>
      <c r="BH4698" s="350"/>
    </row>
    <row r="4699" spans="4:60">
      <c r="D4699" s="350"/>
      <c r="S4699" s="350"/>
      <c r="BF4699" s="350"/>
      <c r="BG4699" s="350"/>
      <c r="BH4699" s="350"/>
    </row>
    <row r="4700" spans="4:60">
      <c r="D4700" s="350"/>
      <c r="S4700" s="350"/>
      <c r="BF4700" s="350"/>
      <c r="BG4700" s="350"/>
      <c r="BH4700" s="350"/>
    </row>
    <row r="4701" spans="4:60">
      <c r="D4701" s="350"/>
      <c r="S4701" s="350"/>
      <c r="BF4701" s="350"/>
      <c r="BG4701" s="350"/>
      <c r="BH4701" s="350"/>
    </row>
    <row r="4702" spans="4:60">
      <c r="D4702" s="350"/>
      <c r="S4702" s="350"/>
      <c r="BF4702" s="350"/>
      <c r="BG4702" s="350"/>
      <c r="BH4702" s="350"/>
    </row>
    <row r="4703" spans="4:60">
      <c r="D4703" s="350"/>
      <c r="S4703" s="350"/>
      <c r="BF4703" s="350"/>
      <c r="BG4703" s="350"/>
      <c r="BH4703" s="350"/>
    </row>
    <row r="4704" spans="4:60">
      <c r="D4704" s="350"/>
      <c r="S4704" s="350"/>
      <c r="BF4704" s="350"/>
      <c r="BG4704" s="350"/>
      <c r="BH4704" s="350"/>
    </row>
    <row r="4705" spans="4:60">
      <c r="D4705" s="350"/>
      <c r="S4705" s="350"/>
      <c r="BF4705" s="350"/>
      <c r="BG4705" s="350"/>
      <c r="BH4705" s="350"/>
    </row>
    <row r="4706" spans="4:60">
      <c r="D4706" s="350"/>
      <c r="S4706" s="350"/>
      <c r="BF4706" s="350"/>
      <c r="BG4706" s="350"/>
      <c r="BH4706" s="350"/>
    </row>
    <row r="4707" spans="4:60">
      <c r="D4707" s="350"/>
      <c r="S4707" s="350"/>
      <c r="BF4707" s="350"/>
      <c r="BG4707" s="350"/>
      <c r="BH4707" s="350"/>
    </row>
    <row r="4708" spans="4:60">
      <c r="D4708" s="350"/>
      <c r="S4708" s="350"/>
      <c r="BF4708" s="350"/>
      <c r="BG4708" s="350"/>
      <c r="BH4708" s="350"/>
    </row>
    <row r="4709" spans="4:60">
      <c r="D4709" s="350"/>
      <c r="S4709" s="350"/>
      <c r="BF4709" s="350"/>
      <c r="BG4709" s="350"/>
      <c r="BH4709" s="350"/>
    </row>
    <row r="4710" spans="4:60">
      <c r="D4710" s="350"/>
      <c r="S4710" s="350"/>
      <c r="BF4710" s="350"/>
      <c r="BG4710" s="350"/>
      <c r="BH4710" s="350"/>
    </row>
    <row r="4711" spans="4:60">
      <c r="D4711" s="350"/>
      <c r="S4711" s="350"/>
      <c r="BF4711" s="350"/>
      <c r="BG4711" s="350"/>
      <c r="BH4711" s="350"/>
    </row>
    <row r="4712" spans="4:60">
      <c r="D4712" s="350"/>
      <c r="S4712" s="350"/>
      <c r="BF4712" s="350"/>
      <c r="BG4712" s="350"/>
      <c r="BH4712" s="350"/>
    </row>
    <row r="4713" spans="4:60">
      <c r="D4713" s="350"/>
      <c r="S4713" s="350"/>
      <c r="BF4713" s="350"/>
      <c r="BG4713" s="350"/>
      <c r="BH4713" s="350"/>
    </row>
    <row r="4714" spans="4:60">
      <c r="D4714" s="350"/>
      <c r="S4714" s="350"/>
      <c r="BF4714" s="350"/>
      <c r="BG4714" s="350"/>
      <c r="BH4714" s="350"/>
    </row>
    <row r="4715" spans="4:60">
      <c r="D4715" s="350"/>
      <c r="S4715" s="350"/>
      <c r="BF4715" s="350"/>
      <c r="BG4715" s="350"/>
      <c r="BH4715" s="350"/>
    </row>
    <row r="4716" spans="4:60">
      <c r="D4716" s="350"/>
      <c r="S4716" s="350"/>
      <c r="BF4716" s="350"/>
      <c r="BG4716" s="350"/>
      <c r="BH4716" s="350"/>
    </row>
    <row r="4717" spans="4:60">
      <c r="D4717" s="350"/>
      <c r="S4717" s="350"/>
      <c r="BF4717" s="350"/>
      <c r="BG4717" s="350"/>
      <c r="BH4717" s="350"/>
    </row>
    <row r="4718" spans="4:60">
      <c r="D4718" s="350"/>
      <c r="S4718" s="350"/>
      <c r="BF4718" s="350"/>
      <c r="BG4718" s="350"/>
      <c r="BH4718" s="350"/>
    </row>
    <row r="4719" spans="4:60">
      <c r="D4719" s="350"/>
      <c r="S4719" s="350"/>
      <c r="BF4719" s="350"/>
      <c r="BG4719" s="350"/>
      <c r="BH4719" s="350"/>
    </row>
    <row r="4720" spans="4:60">
      <c r="D4720" s="350"/>
      <c r="S4720" s="350"/>
      <c r="BF4720" s="350"/>
      <c r="BG4720" s="350"/>
      <c r="BH4720" s="350"/>
    </row>
    <row r="4721" spans="4:60">
      <c r="D4721" s="350"/>
      <c r="S4721" s="350"/>
      <c r="BF4721" s="350"/>
      <c r="BG4721" s="350"/>
      <c r="BH4721" s="350"/>
    </row>
    <row r="4722" spans="4:60">
      <c r="D4722" s="350"/>
      <c r="S4722" s="350"/>
      <c r="BF4722" s="350"/>
      <c r="BG4722" s="350"/>
      <c r="BH4722" s="350"/>
    </row>
    <row r="4723" spans="4:60">
      <c r="D4723" s="350"/>
      <c r="S4723" s="350"/>
      <c r="BF4723" s="350"/>
      <c r="BG4723" s="350"/>
      <c r="BH4723" s="350"/>
    </row>
    <row r="4724" spans="4:60">
      <c r="D4724" s="350"/>
      <c r="S4724" s="350"/>
      <c r="BF4724" s="350"/>
      <c r="BG4724" s="350"/>
      <c r="BH4724" s="350"/>
    </row>
    <row r="4725" spans="4:60">
      <c r="D4725" s="350"/>
      <c r="S4725" s="350"/>
      <c r="BF4725" s="350"/>
      <c r="BG4725" s="350"/>
      <c r="BH4725" s="350"/>
    </row>
    <row r="4726" spans="4:60">
      <c r="D4726" s="350"/>
      <c r="S4726" s="350"/>
      <c r="BF4726" s="350"/>
      <c r="BG4726" s="350"/>
      <c r="BH4726" s="350"/>
    </row>
    <row r="4727" spans="4:60">
      <c r="D4727" s="350"/>
      <c r="S4727" s="350"/>
      <c r="BF4727" s="350"/>
      <c r="BG4727" s="350"/>
      <c r="BH4727" s="350"/>
    </row>
    <row r="4728" spans="4:60">
      <c r="D4728" s="350"/>
      <c r="S4728" s="350"/>
      <c r="BF4728" s="350"/>
      <c r="BG4728" s="350"/>
      <c r="BH4728" s="350"/>
    </row>
    <row r="4729" spans="4:60">
      <c r="D4729" s="350"/>
      <c r="S4729" s="350"/>
      <c r="BF4729" s="350"/>
      <c r="BG4729" s="350"/>
      <c r="BH4729" s="350"/>
    </row>
    <row r="4730" spans="4:60">
      <c r="D4730" s="350"/>
      <c r="S4730" s="350"/>
      <c r="BF4730" s="350"/>
      <c r="BG4730" s="350"/>
      <c r="BH4730" s="350"/>
    </row>
    <row r="4731" spans="4:60">
      <c r="D4731" s="350"/>
      <c r="S4731" s="350"/>
      <c r="BF4731" s="350"/>
      <c r="BG4731" s="350"/>
      <c r="BH4731" s="350"/>
    </row>
    <row r="4732" spans="4:60">
      <c r="D4732" s="350"/>
      <c r="S4732" s="350"/>
      <c r="BF4732" s="350"/>
      <c r="BG4732" s="350"/>
      <c r="BH4732" s="350"/>
    </row>
    <row r="4733" spans="4:60">
      <c r="D4733" s="350"/>
      <c r="S4733" s="350"/>
      <c r="BF4733" s="350"/>
      <c r="BG4733" s="350"/>
      <c r="BH4733" s="350"/>
    </row>
    <row r="4734" spans="4:60">
      <c r="D4734" s="350"/>
      <c r="S4734" s="350"/>
      <c r="BF4734" s="350"/>
      <c r="BG4734" s="350"/>
      <c r="BH4734" s="350"/>
    </row>
    <row r="4735" spans="4:60">
      <c r="D4735" s="350"/>
      <c r="S4735" s="350"/>
      <c r="BF4735" s="350"/>
      <c r="BG4735" s="350"/>
      <c r="BH4735" s="350"/>
    </row>
    <row r="4736" spans="4:60">
      <c r="D4736" s="350"/>
      <c r="S4736" s="350"/>
      <c r="BF4736" s="350"/>
      <c r="BG4736" s="350"/>
      <c r="BH4736" s="350"/>
    </row>
    <row r="4737" spans="4:60">
      <c r="D4737" s="350"/>
      <c r="S4737" s="350"/>
      <c r="BF4737" s="350"/>
      <c r="BG4737" s="350"/>
      <c r="BH4737" s="350"/>
    </row>
    <row r="4738" spans="4:60">
      <c r="D4738" s="350"/>
      <c r="S4738" s="350"/>
      <c r="BF4738" s="350"/>
      <c r="BG4738" s="350"/>
      <c r="BH4738" s="350"/>
    </row>
    <row r="4739" spans="4:60">
      <c r="D4739" s="350"/>
      <c r="S4739" s="350"/>
      <c r="BF4739" s="350"/>
      <c r="BG4739" s="350"/>
      <c r="BH4739" s="350"/>
    </row>
    <row r="4740" spans="4:60">
      <c r="D4740" s="350"/>
      <c r="S4740" s="350"/>
      <c r="BF4740" s="350"/>
      <c r="BG4740" s="350"/>
      <c r="BH4740" s="350"/>
    </row>
    <row r="4741" spans="4:60">
      <c r="D4741" s="350"/>
      <c r="S4741" s="350"/>
      <c r="BF4741" s="350"/>
      <c r="BG4741" s="350"/>
      <c r="BH4741" s="350"/>
    </row>
    <row r="4742" spans="4:60">
      <c r="D4742" s="350"/>
      <c r="S4742" s="350"/>
      <c r="BF4742" s="350"/>
      <c r="BG4742" s="350"/>
      <c r="BH4742" s="350"/>
    </row>
    <row r="4743" spans="4:60">
      <c r="D4743" s="350"/>
      <c r="S4743" s="350"/>
      <c r="BF4743" s="350"/>
      <c r="BG4743" s="350"/>
      <c r="BH4743" s="350"/>
    </row>
    <row r="4744" spans="4:60">
      <c r="D4744" s="350"/>
      <c r="S4744" s="350"/>
      <c r="BF4744" s="350"/>
      <c r="BG4744" s="350"/>
      <c r="BH4744" s="350"/>
    </row>
    <row r="4745" spans="4:60">
      <c r="D4745" s="350"/>
      <c r="S4745" s="350"/>
      <c r="BF4745" s="350"/>
      <c r="BG4745" s="350"/>
      <c r="BH4745" s="350"/>
    </row>
    <row r="4746" spans="4:60">
      <c r="D4746" s="350"/>
      <c r="S4746" s="350"/>
      <c r="BF4746" s="350"/>
      <c r="BG4746" s="350"/>
      <c r="BH4746" s="350"/>
    </row>
    <row r="4747" spans="4:60">
      <c r="D4747" s="350"/>
      <c r="S4747" s="350"/>
      <c r="BF4747" s="350"/>
      <c r="BG4747" s="350"/>
      <c r="BH4747" s="350"/>
    </row>
    <row r="4748" spans="4:60">
      <c r="D4748" s="350"/>
      <c r="S4748" s="350"/>
      <c r="BF4748" s="350"/>
      <c r="BG4748" s="350"/>
      <c r="BH4748" s="350"/>
    </row>
    <row r="4749" spans="4:60">
      <c r="D4749" s="350"/>
      <c r="S4749" s="350"/>
      <c r="BF4749" s="350"/>
      <c r="BG4749" s="350"/>
      <c r="BH4749" s="350"/>
    </row>
    <row r="4750" spans="4:60">
      <c r="D4750" s="350"/>
      <c r="S4750" s="350"/>
      <c r="BF4750" s="350"/>
      <c r="BG4750" s="350"/>
      <c r="BH4750" s="350"/>
    </row>
    <row r="4751" spans="4:60">
      <c r="D4751" s="350"/>
      <c r="S4751" s="350"/>
      <c r="BF4751" s="350"/>
      <c r="BG4751" s="350"/>
      <c r="BH4751" s="350"/>
    </row>
    <row r="4752" spans="4:60">
      <c r="D4752" s="350"/>
      <c r="S4752" s="350"/>
      <c r="BF4752" s="350"/>
      <c r="BG4752" s="350"/>
      <c r="BH4752" s="350"/>
    </row>
    <row r="4753" spans="4:60">
      <c r="D4753" s="350"/>
      <c r="S4753" s="350"/>
      <c r="BF4753" s="350"/>
      <c r="BG4753" s="350"/>
      <c r="BH4753" s="350"/>
    </row>
    <row r="4754" spans="4:60">
      <c r="D4754" s="350"/>
      <c r="S4754" s="350"/>
      <c r="BF4754" s="350"/>
      <c r="BG4754" s="350"/>
      <c r="BH4754" s="350"/>
    </row>
    <row r="4755" spans="4:60">
      <c r="D4755" s="350"/>
      <c r="S4755" s="350"/>
      <c r="BF4755" s="350"/>
      <c r="BG4755" s="350"/>
      <c r="BH4755" s="350"/>
    </row>
    <row r="4756" spans="4:60">
      <c r="D4756" s="350"/>
      <c r="S4756" s="350"/>
      <c r="BF4756" s="350"/>
      <c r="BG4756" s="350"/>
      <c r="BH4756" s="350"/>
    </row>
    <row r="4757" spans="4:60">
      <c r="D4757" s="350"/>
      <c r="S4757" s="350"/>
      <c r="BF4757" s="350"/>
      <c r="BG4757" s="350"/>
      <c r="BH4757" s="350"/>
    </row>
    <row r="4758" spans="4:60">
      <c r="D4758" s="350"/>
      <c r="S4758" s="350"/>
      <c r="BF4758" s="350"/>
      <c r="BG4758" s="350"/>
      <c r="BH4758" s="350"/>
    </row>
    <row r="4763" spans="4:60">
      <c r="D4763" s="350"/>
      <c r="S4763" s="350"/>
      <c r="BF4763" s="350"/>
      <c r="BG4763" s="350"/>
      <c r="BH4763" s="350"/>
    </row>
    <row r="4764" spans="4:60">
      <c r="D4764" s="350"/>
      <c r="S4764" s="350"/>
      <c r="BF4764" s="350"/>
      <c r="BG4764" s="350"/>
      <c r="BH4764" s="350"/>
    </row>
    <row r="4767" spans="4:60">
      <c r="D4767" s="350"/>
      <c r="S4767" s="350"/>
      <c r="BF4767" s="350"/>
      <c r="BG4767" s="350"/>
      <c r="BH4767" s="350"/>
    </row>
    <row r="4768" spans="4:60">
      <c r="D4768" s="350"/>
      <c r="S4768" s="350"/>
      <c r="BF4768" s="350"/>
      <c r="BG4768" s="350"/>
      <c r="BH4768" s="350"/>
    </row>
    <row r="4769" spans="4:60">
      <c r="D4769" s="350"/>
      <c r="S4769" s="350"/>
      <c r="BF4769" s="350"/>
      <c r="BG4769" s="350"/>
      <c r="BH4769" s="350"/>
    </row>
    <row r="4770" spans="4:60">
      <c r="D4770" s="350"/>
      <c r="S4770" s="350"/>
      <c r="BF4770" s="350"/>
      <c r="BG4770" s="350"/>
      <c r="BH4770" s="350"/>
    </row>
    <row r="4771" spans="4:60">
      <c r="D4771" s="350"/>
      <c r="S4771" s="350"/>
      <c r="BF4771" s="350"/>
      <c r="BG4771" s="350"/>
      <c r="BH4771" s="350"/>
    </row>
    <row r="4772" spans="4:60">
      <c r="D4772" s="350"/>
      <c r="S4772" s="350"/>
      <c r="BF4772" s="350"/>
      <c r="BG4772" s="350"/>
      <c r="BH4772" s="350"/>
    </row>
    <row r="4773" spans="4:60">
      <c r="D4773" s="350"/>
      <c r="S4773" s="350"/>
      <c r="BF4773" s="350"/>
      <c r="BG4773" s="350"/>
      <c r="BH4773" s="350"/>
    </row>
    <row r="4774" spans="4:60">
      <c r="D4774" s="350"/>
      <c r="S4774" s="350"/>
      <c r="BF4774" s="350"/>
      <c r="BG4774" s="350"/>
      <c r="BH4774" s="350"/>
    </row>
    <row r="4775" spans="4:60">
      <c r="D4775" s="350"/>
      <c r="S4775" s="350"/>
      <c r="BF4775" s="350"/>
      <c r="BG4775" s="350"/>
      <c r="BH4775" s="350"/>
    </row>
    <row r="4776" spans="4:60">
      <c r="D4776" s="350"/>
      <c r="S4776" s="350"/>
      <c r="BF4776" s="350"/>
      <c r="BG4776" s="350"/>
      <c r="BH4776" s="350"/>
    </row>
    <row r="4777" spans="4:60">
      <c r="D4777" s="350"/>
      <c r="S4777" s="350"/>
      <c r="BF4777" s="350"/>
      <c r="BG4777" s="350"/>
      <c r="BH4777" s="350"/>
    </row>
    <row r="4778" spans="4:60">
      <c r="D4778" s="350"/>
      <c r="S4778" s="350"/>
      <c r="BF4778" s="350"/>
      <c r="BG4778" s="350"/>
      <c r="BH4778" s="350"/>
    </row>
    <row r="4779" spans="4:60">
      <c r="D4779" s="350"/>
      <c r="S4779" s="350"/>
      <c r="BF4779" s="350"/>
      <c r="BG4779" s="350"/>
      <c r="BH4779" s="350"/>
    </row>
    <row r="4780" spans="4:60">
      <c r="D4780" s="350"/>
      <c r="S4780" s="350"/>
      <c r="BF4780" s="350"/>
      <c r="BG4780" s="350"/>
      <c r="BH4780" s="350"/>
    </row>
    <row r="4781" spans="4:60">
      <c r="D4781" s="350"/>
      <c r="S4781" s="350"/>
      <c r="BF4781" s="350"/>
      <c r="BG4781" s="350"/>
      <c r="BH4781" s="350"/>
    </row>
    <row r="4782" spans="4:60">
      <c r="D4782" s="350"/>
      <c r="S4782" s="350"/>
      <c r="BF4782" s="350"/>
      <c r="BG4782" s="350"/>
      <c r="BH4782" s="350"/>
    </row>
    <row r="4783" spans="4:60">
      <c r="D4783" s="350"/>
      <c r="S4783" s="350"/>
      <c r="BF4783" s="350"/>
      <c r="BG4783" s="350"/>
      <c r="BH4783" s="350"/>
    </row>
    <row r="4784" spans="4:60">
      <c r="D4784" s="350"/>
      <c r="S4784" s="350"/>
      <c r="BF4784" s="350"/>
      <c r="BG4784" s="350"/>
      <c r="BH4784" s="350"/>
    </row>
    <row r="4785" spans="4:60">
      <c r="D4785" s="350"/>
      <c r="S4785" s="350"/>
      <c r="BF4785" s="350"/>
      <c r="BG4785" s="350"/>
      <c r="BH4785" s="350"/>
    </row>
    <row r="4786" spans="4:60">
      <c r="D4786" s="350"/>
      <c r="S4786" s="350"/>
      <c r="BF4786" s="350"/>
      <c r="BG4786" s="350"/>
      <c r="BH4786" s="350"/>
    </row>
    <row r="4787" spans="4:60">
      <c r="D4787" s="350"/>
      <c r="S4787" s="350"/>
      <c r="BF4787" s="350"/>
      <c r="BG4787" s="350"/>
      <c r="BH4787" s="350"/>
    </row>
    <row r="4788" spans="4:60">
      <c r="D4788" s="350"/>
      <c r="S4788" s="350"/>
      <c r="BF4788" s="350"/>
      <c r="BG4788" s="350"/>
      <c r="BH4788" s="350"/>
    </row>
    <row r="4789" spans="4:60">
      <c r="D4789" s="350"/>
      <c r="S4789" s="350"/>
      <c r="BF4789" s="350"/>
      <c r="BG4789" s="350"/>
      <c r="BH4789" s="350"/>
    </row>
    <row r="4790" spans="4:60">
      <c r="D4790" s="350"/>
      <c r="S4790" s="350"/>
      <c r="BF4790" s="350"/>
      <c r="BG4790" s="350"/>
      <c r="BH4790" s="350"/>
    </row>
    <row r="4791" spans="4:60">
      <c r="D4791" s="350"/>
      <c r="S4791" s="350"/>
      <c r="BF4791" s="350"/>
      <c r="BG4791" s="350"/>
      <c r="BH4791" s="350"/>
    </row>
    <row r="4792" spans="4:60">
      <c r="D4792" s="350"/>
      <c r="S4792" s="350"/>
      <c r="BF4792" s="350"/>
      <c r="BG4792" s="350"/>
      <c r="BH4792" s="350"/>
    </row>
    <row r="4793" spans="4:60">
      <c r="D4793" s="350"/>
      <c r="S4793" s="350"/>
      <c r="BF4793" s="350"/>
      <c r="BG4793" s="350"/>
      <c r="BH4793" s="350"/>
    </row>
    <row r="4794" spans="4:60">
      <c r="D4794" s="350"/>
      <c r="S4794" s="350"/>
      <c r="BF4794" s="350"/>
      <c r="BG4794" s="350"/>
      <c r="BH4794" s="350"/>
    </row>
    <row r="4795" spans="4:60">
      <c r="D4795" s="350"/>
      <c r="S4795" s="350"/>
      <c r="BF4795" s="350"/>
      <c r="BG4795" s="350"/>
      <c r="BH4795" s="350"/>
    </row>
    <row r="4796" spans="4:60">
      <c r="D4796" s="350"/>
      <c r="S4796" s="350"/>
      <c r="BF4796" s="350"/>
      <c r="BG4796" s="350"/>
      <c r="BH4796" s="350"/>
    </row>
    <row r="4797" spans="4:60">
      <c r="D4797" s="350"/>
      <c r="S4797" s="350"/>
      <c r="BF4797" s="350"/>
      <c r="BG4797" s="350"/>
      <c r="BH4797" s="350"/>
    </row>
    <row r="4798" spans="4:60">
      <c r="D4798" s="350"/>
      <c r="S4798" s="350"/>
      <c r="BF4798" s="350"/>
      <c r="BG4798" s="350"/>
      <c r="BH4798" s="350"/>
    </row>
    <row r="4799" spans="4:60">
      <c r="D4799" s="350"/>
      <c r="S4799" s="350"/>
      <c r="BF4799" s="350"/>
      <c r="BG4799" s="350"/>
      <c r="BH4799" s="350"/>
    </row>
    <row r="4800" spans="4:60">
      <c r="D4800" s="350"/>
      <c r="S4800" s="350"/>
      <c r="BF4800" s="350"/>
      <c r="BG4800" s="350"/>
      <c r="BH4800" s="350"/>
    </row>
    <row r="4801" spans="4:60">
      <c r="D4801" s="350"/>
      <c r="S4801" s="350"/>
      <c r="BF4801" s="350"/>
      <c r="BG4801" s="350"/>
      <c r="BH4801" s="350"/>
    </row>
    <row r="4802" spans="4:60">
      <c r="D4802" s="350"/>
      <c r="S4802" s="350"/>
      <c r="BF4802" s="350"/>
      <c r="BG4802" s="350"/>
      <c r="BH4802" s="350"/>
    </row>
    <row r="4803" spans="4:60">
      <c r="D4803" s="350"/>
      <c r="S4803" s="350"/>
      <c r="BF4803" s="350"/>
      <c r="BG4803" s="350"/>
      <c r="BH4803" s="350"/>
    </row>
    <row r="4804" spans="4:60">
      <c r="D4804" s="350"/>
      <c r="S4804" s="350"/>
      <c r="BF4804" s="350"/>
      <c r="BG4804" s="350"/>
      <c r="BH4804" s="350"/>
    </row>
    <row r="4805" spans="4:60">
      <c r="D4805" s="350"/>
      <c r="S4805" s="350"/>
      <c r="BF4805" s="350"/>
      <c r="BG4805" s="350"/>
      <c r="BH4805" s="350"/>
    </row>
    <row r="4806" spans="4:60">
      <c r="D4806" s="350"/>
      <c r="S4806" s="350"/>
      <c r="BF4806" s="350"/>
      <c r="BG4806" s="350"/>
      <c r="BH4806" s="350"/>
    </row>
    <row r="4807" spans="4:60">
      <c r="D4807" s="350"/>
      <c r="S4807" s="350"/>
      <c r="BF4807" s="350"/>
      <c r="BG4807" s="350"/>
      <c r="BH4807" s="350"/>
    </row>
    <row r="4808" spans="4:60">
      <c r="D4808" s="350"/>
      <c r="S4808" s="350"/>
      <c r="BF4808" s="350"/>
      <c r="BG4808" s="350"/>
      <c r="BH4808" s="350"/>
    </row>
    <row r="4809" spans="4:60">
      <c r="D4809" s="350"/>
      <c r="S4809" s="350"/>
      <c r="BF4809" s="350"/>
      <c r="BG4809" s="350"/>
      <c r="BH4809" s="350"/>
    </row>
    <row r="4810" spans="4:60">
      <c r="D4810" s="350"/>
      <c r="S4810" s="350"/>
      <c r="BF4810" s="350"/>
      <c r="BG4810" s="350"/>
      <c r="BH4810" s="350"/>
    </row>
    <row r="4811" spans="4:60">
      <c r="D4811" s="350"/>
      <c r="S4811" s="350"/>
      <c r="BF4811" s="350"/>
      <c r="BG4811" s="350"/>
      <c r="BH4811" s="350"/>
    </row>
    <row r="4812" spans="4:60">
      <c r="D4812" s="350"/>
      <c r="S4812" s="350"/>
      <c r="BF4812" s="350"/>
      <c r="BG4812" s="350"/>
      <c r="BH4812" s="350"/>
    </row>
    <row r="4813" spans="4:60">
      <c r="D4813" s="350"/>
      <c r="S4813" s="350"/>
      <c r="BF4813" s="350"/>
      <c r="BG4813" s="350"/>
      <c r="BH4813" s="350"/>
    </row>
    <row r="4814" spans="4:60">
      <c r="D4814" s="350"/>
      <c r="S4814" s="350"/>
      <c r="BF4814" s="350"/>
      <c r="BG4814" s="350"/>
      <c r="BH4814" s="350"/>
    </row>
    <row r="4815" spans="4:60">
      <c r="D4815" s="350"/>
      <c r="S4815" s="350"/>
      <c r="BF4815" s="350"/>
      <c r="BG4815" s="350"/>
      <c r="BH4815" s="350"/>
    </row>
    <row r="4816" spans="4:60">
      <c r="D4816" s="350"/>
      <c r="S4816" s="350"/>
      <c r="BF4816" s="350"/>
      <c r="BG4816" s="350"/>
      <c r="BH4816" s="350"/>
    </row>
    <row r="4817" spans="4:60">
      <c r="D4817" s="350"/>
      <c r="S4817" s="350"/>
      <c r="BF4817" s="350"/>
      <c r="BG4817" s="350"/>
      <c r="BH4817" s="350"/>
    </row>
    <row r="4818" spans="4:60">
      <c r="D4818" s="350"/>
      <c r="S4818" s="350"/>
      <c r="BF4818" s="350"/>
      <c r="BG4818" s="350"/>
      <c r="BH4818" s="350"/>
    </row>
    <row r="4819" spans="4:60">
      <c r="D4819" s="350"/>
      <c r="S4819" s="350"/>
      <c r="BF4819" s="350"/>
      <c r="BG4819" s="350"/>
      <c r="BH4819" s="350"/>
    </row>
    <row r="4820" spans="4:60">
      <c r="D4820" s="350"/>
      <c r="S4820" s="350"/>
      <c r="BF4820" s="350"/>
      <c r="BG4820" s="350"/>
      <c r="BH4820" s="350"/>
    </row>
    <row r="4821" spans="4:60">
      <c r="D4821" s="350"/>
      <c r="S4821" s="350"/>
      <c r="BF4821" s="350"/>
      <c r="BG4821" s="350"/>
      <c r="BH4821" s="350"/>
    </row>
    <row r="4822" spans="4:60">
      <c r="D4822" s="350"/>
      <c r="S4822" s="350"/>
      <c r="BF4822" s="350"/>
      <c r="BG4822" s="350"/>
      <c r="BH4822" s="350"/>
    </row>
    <row r="4823" spans="4:60">
      <c r="D4823" s="350"/>
      <c r="S4823" s="350"/>
      <c r="BF4823" s="350"/>
      <c r="BG4823" s="350"/>
      <c r="BH4823" s="350"/>
    </row>
    <row r="4824" spans="4:60">
      <c r="D4824" s="350"/>
      <c r="S4824" s="350"/>
      <c r="BF4824" s="350"/>
      <c r="BG4824" s="350"/>
      <c r="BH4824" s="350"/>
    </row>
    <row r="4827" spans="4:60">
      <c r="D4827" s="350"/>
      <c r="S4827" s="350"/>
      <c r="BF4827" s="350"/>
      <c r="BG4827" s="350"/>
      <c r="BH4827" s="350"/>
    </row>
    <row r="4828" spans="4:60">
      <c r="D4828" s="350"/>
      <c r="S4828" s="350"/>
      <c r="BF4828" s="350"/>
      <c r="BG4828" s="350"/>
      <c r="BH4828" s="350"/>
    </row>
    <row r="4833" spans="4:60">
      <c r="D4833" s="350"/>
      <c r="S4833" s="350"/>
      <c r="BF4833" s="350"/>
      <c r="BG4833" s="350"/>
      <c r="BH4833" s="350"/>
    </row>
    <row r="4834" spans="4:60">
      <c r="D4834" s="350"/>
      <c r="S4834" s="350"/>
      <c r="BF4834" s="350"/>
      <c r="BG4834" s="350"/>
      <c r="BH4834" s="350"/>
    </row>
    <row r="4835" spans="4:60">
      <c r="D4835" s="350"/>
      <c r="S4835" s="350"/>
      <c r="BF4835" s="350"/>
      <c r="BG4835" s="350"/>
      <c r="BH4835" s="350"/>
    </row>
    <row r="4836" spans="4:60">
      <c r="D4836" s="350"/>
      <c r="S4836" s="350"/>
      <c r="BF4836" s="350"/>
      <c r="BG4836" s="350"/>
      <c r="BH4836" s="350"/>
    </row>
    <row r="4837" spans="4:60">
      <c r="D4837" s="350"/>
      <c r="S4837" s="350"/>
      <c r="BF4837" s="350"/>
      <c r="BG4837" s="350"/>
      <c r="BH4837" s="350"/>
    </row>
    <row r="4838" spans="4:60">
      <c r="D4838" s="350"/>
      <c r="S4838" s="350"/>
      <c r="BF4838" s="350"/>
      <c r="BG4838" s="350"/>
      <c r="BH4838" s="350"/>
    </row>
    <row r="4839" spans="4:60">
      <c r="D4839" s="350"/>
      <c r="S4839" s="350"/>
      <c r="BF4839" s="350"/>
      <c r="BG4839" s="350"/>
      <c r="BH4839" s="350"/>
    </row>
    <row r="4840" spans="4:60">
      <c r="D4840" s="350"/>
      <c r="S4840" s="350"/>
      <c r="BF4840" s="350"/>
      <c r="BG4840" s="350"/>
      <c r="BH4840" s="350"/>
    </row>
    <row r="4841" spans="4:60">
      <c r="D4841" s="350"/>
      <c r="S4841" s="350"/>
      <c r="BF4841" s="350"/>
      <c r="BG4841" s="350"/>
      <c r="BH4841" s="350"/>
    </row>
    <row r="4842" spans="4:60">
      <c r="D4842" s="350"/>
      <c r="S4842" s="350"/>
      <c r="BF4842" s="350"/>
      <c r="BG4842" s="350"/>
      <c r="BH4842" s="350"/>
    </row>
    <row r="4843" spans="4:60">
      <c r="D4843" s="350"/>
      <c r="S4843" s="350"/>
      <c r="BF4843" s="350"/>
      <c r="BG4843" s="350"/>
      <c r="BH4843" s="350"/>
    </row>
    <row r="4844" spans="4:60">
      <c r="D4844" s="350"/>
      <c r="S4844" s="350"/>
      <c r="BF4844" s="350"/>
      <c r="BG4844" s="350"/>
      <c r="BH4844" s="350"/>
    </row>
    <row r="4845" spans="4:60">
      <c r="D4845" s="350"/>
      <c r="S4845" s="350"/>
      <c r="BF4845" s="350"/>
      <c r="BG4845" s="350"/>
      <c r="BH4845" s="350"/>
    </row>
    <row r="4846" spans="4:60">
      <c r="D4846" s="350"/>
      <c r="S4846" s="350"/>
      <c r="BF4846" s="350"/>
      <c r="BG4846" s="350"/>
      <c r="BH4846" s="350"/>
    </row>
    <row r="4847" spans="4:60">
      <c r="D4847" s="350"/>
      <c r="S4847" s="350"/>
      <c r="BF4847" s="350"/>
      <c r="BG4847" s="350"/>
      <c r="BH4847" s="350"/>
    </row>
    <row r="4848" spans="4:60">
      <c r="D4848" s="350"/>
      <c r="S4848" s="350"/>
      <c r="BF4848" s="350"/>
      <c r="BG4848" s="350"/>
      <c r="BH4848" s="350"/>
    </row>
    <row r="4849" spans="4:60">
      <c r="D4849" s="350"/>
      <c r="S4849" s="350"/>
      <c r="BF4849" s="350"/>
      <c r="BG4849" s="350"/>
      <c r="BH4849" s="350"/>
    </row>
    <row r="4850" spans="4:60">
      <c r="D4850" s="350"/>
      <c r="S4850" s="350"/>
      <c r="BF4850" s="350"/>
      <c r="BG4850" s="350"/>
      <c r="BH4850" s="350"/>
    </row>
    <row r="4851" spans="4:60">
      <c r="D4851" s="350"/>
      <c r="S4851" s="350"/>
      <c r="BF4851" s="350"/>
      <c r="BG4851" s="350"/>
      <c r="BH4851" s="350"/>
    </row>
    <row r="4852" spans="4:60">
      <c r="D4852" s="350"/>
      <c r="S4852" s="350"/>
      <c r="BF4852" s="350"/>
      <c r="BG4852" s="350"/>
      <c r="BH4852" s="350"/>
    </row>
    <row r="4853" spans="4:60">
      <c r="D4853" s="350"/>
      <c r="S4853" s="350"/>
      <c r="BF4853" s="350"/>
      <c r="BG4853" s="350"/>
      <c r="BH4853" s="350"/>
    </row>
    <row r="4854" spans="4:60">
      <c r="D4854" s="350"/>
      <c r="S4854" s="350"/>
      <c r="BF4854" s="350"/>
      <c r="BG4854" s="350"/>
      <c r="BH4854" s="350"/>
    </row>
    <row r="4855" spans="4:60">
      <c r="D4855" s="350"/>
      <c r="S4855" s="350"/>
      <c r="BF4855" s="350"/>
      <c r="BG4855" s="350"/>
      <c r="BH4855" s="350"/>
    </row>
    <row r="4856" spans="4:60">
      <c r="D4856" s="350"/>
      <c r="S4856" s="350"/>
      <c r="BF4856" s="350"/>
      <c r="BG4856" s="350"/>
      <c r="BH4856" s="350"/>
    </row>
    <row r="4857" spans="4:60">
      <c r="D4857" s="350"/>
      <c r="S4857" s="350"/>
      <c r="BF4857" s="350"/>
      <c r="BG4857" s="350"/>
      <c r="BH4857" s="350"/>
    </row>
    <row r="4858" spans="4:60">
      <c r="D4858" s="350"/>
      <c r="S4858" s="350"/>
      <c r="BF4858" s="350"/>
      <c r="BG4858" s="350"/>
      <c r="BH4858" s="350"/>
    </row>
    <row r="4859" spans="4:60">
      <c r="D4859" s="350"/>
      <c r="S4859" s="350"/>
      <c r="BF4859" s="350"/>
      <c r="BG4859" s="350"/>
      <c r="BH4859" s="350"/>
    </row>
    <row r="4860" spans="4:60">
      <c r="D4860" s="350"/>
      <c r="S4860" s="350"/>
      <c r="BF4860" s="350"/>
      <c r="BG4860" s="350"/>
      <c r="BH4860" s="350"/>
    </row>
    <row r="4861" spans="4:60">
      <c r="D4861" s="350"/>
      <c r="S4861" s="350"/>
      <c r="BF4861" s="350"/>
      <c r="BG4861" s="350"/>
      <c r="BH4861" s="350"/>
    </row>
    <row r="4862" spans="4:60">
      <c r="D4862" s="350"/>
      <c r="S4862" s="350"/>
      <c r="BF4862" s="350"/>
      <c r="BG4862" s="350"/>
      <c r="BH4862" s="350"/>
    </row>
    <row r="4863" spans="4:60">
      <c r="D4863" s="350"/>
      <c r="S4863" s="350"/>
      <c r="BF4863" s="350"/>
      <c r="BG4863" s="350"/>
      <c r="BH4863" s="350"/>
    </row>
    <row r="4864" spans="4:60">
      <c r="D4864" s="350"/>
      <c r="S4864" s="350"/>
      <c r="BF4864" s="350"/>
      <c r="BG4864" s="350"/>
      <c r="BH4864" s="350"/>
    </row>
    <row r="4865" spans="4:60">
      <c r="D4865" s="350"/>
      <c r="S4865" s="350"/>
      <c r="BF4865" s="350"/>
      <c r="BG4865" s="350"/>
      <c r="BH4865" s="350"/>
    </row>
    <row r="4866" spans="4:60">
      <c r="D4866" s="350"/>
      <c r="S4866" s="350"/>
      <c r="BF4866" s="350"/>
      <c r="BG4866" s="350"/>
      <c r="BH4866" s="350"/>
    </row>
    <row r="4867" spans="4:60">
      <c r="D4867" s="350"/>
      <c r="S4867" s="350"/>
      <c r="BF4867" s="350"/>
      <c r="BG4867" s="350"/>
      <c r="BH4867" s="350"/>
    </row>
    <row r="4868" spans="4:60">
      <c r="D4868" s="350"/>
      <c r="S4868" s="350"/>
      <c r="BF4868" s="350"/>
      <c r="BG4868" s="350"/>
      <c r="BH4868" s="350"/>
    </row>
    <row r="4869" spans="4:60">
      <c r="D4869" s="350"/>
      <c r="S4869" s="350"/>
      <c r="BF4869" s="350"/>
      <c r="BG4869" s="350"/>
      <c r="BH4869" s="350"/>
    </row>
    <row r="4870" spans="4:60">
      <c r="D4870" s="350"/>
      <c r="S4870" s="350"/>
      <c r="BF4870" s="350"/>
      <c r="BG4870" s="350"/>
      <c r="BH4870" s="350"/>
    </row>
    <row r="4871" spans="4:60">
      <c r="D4871" s="350"/>
      <c r="S4871" s="350"/>
      <c r="BF4871" s="350"/>
      <c r="BG4871" s="350"/>
      <c r="BH4871" s="350"/>
    </row>
    <row r="4872" spans="4:60">
      <c r="D4872" s="350"/>
      <c r="S4872" s="350"/>
      <c r="BF4872" s="350"/>
      <c r="BG4872" s="350"/>
      <c r="BH4872" s="350"/>
    </row>
    <row r="4873" spans="4:60">
      <c r="D4873" s="350"/>
      <c r="S4873" s="350"/>
      <c r="BF4873" s="350"/>
      <c r="BG4873" s="350"/>
      <c r="BH4873" s="350"/>
    </row>
    <row r="4874" spans="4:60">
      <c r="D4874" s="350"/>
      <c r="S4874" s="350"/>
      <c r="BF4874" s="350"/>
      <c r="BG4874" s="350"/>
      <c r="BH4874" s="350"/>
    </row>
    <row r="4875" spans="4:60">
      <c r="D4875" s="350"/>
      <c r="S4875" s="350"/>
      <c r="BF4875" s="350"/>
      <c r="BG4875" s="350"/>
      <c r="BH4875" s="350"/>
    </row>
    <row r="4876" spans="4:60">
      <c r="D4876" s="350"/>
      <c r="S4876" s="350"/>
      <c r="BF4876" s="350"/>
      <c r="BG4876" s="350"/>
      <c r="BH4876" s="350"/>
    </row>
    <row r="4877" spans="4:60">
      <c r="D4877" s="350"/>
      <c r="S4877" s="350"/>
      <c r="BF4877" s="350"/>
      <c r="BG4877" s="350"/>
      <c r="BH4877" s="350"/>
    </row>
    <row r="4878" spans="4:60">
      <c r="D4878" s="350"/>
      <c r="S4878" s="350"/>
      <c r="BF4878" s="350"/>
      <c r="BG4878" s="350"/>
      <c r="BH4878" s="350"/>
    </row>
    <row r="4879" spans="4:60">
      <c r="D4879" s="350"/>
      <c r="S4879" s="350"/>
      <c r="BF4879" s="350"/>
      <c r="BG4879" s="350"/>
      <c r="BH4879" s="350"/>
    </row>
    <row r="4880" spans="4:60">
      <c r="D4880" s="350"/>
      <c r="S4880" s="350"/>
      <c r="BF4880" s="350"/>
      <c r="BG4880" s="350"/>
      <c r="BH4880" s="350"/>
    </row>
    <row r="4881" spans="4:60">
      <c r="D4881" s="350"/>
      <c r="S4881" s="350"/>
      <c r="BF4881" s="350"/>
      <c r="BG4881" s="350"/>
      <c r="BH4881" s="350"/>
    </row>
    <row r="4882" spans="4:60">
      <c r="D4882" s="350"/>
      <c r="S4882" s="350"/>
      <c r="BF4882" s="350"/>
      <c r="BG4882" s="350"/>
      <c r="BH4882" s="350"/>
    </row>
    <row r="4883" spans="4:60">
      <c r="D4883" s="350"/>
      <c r="S4883" s="350"/>
      <c r="BF4883" s="350"/>
      <c r="BG4883" s="350"/>
      <c r="BH4883" s="350"/>
    </row>
    <row r="4884" spans="4:60">
      <c r="D4884" s="350"/>
      <c r="S4884" s="350"/>
      <c r="BF4884" s="350"/>
      <c r="BG4884" s="350"/>
      <c r="BH4884" s="350"/>
    </row>
    <row r="4885" spans="4:60">
      <c r="D4885" s="350"/>
      <c r="S4885" s="350"/>
      <c r="BF4885" s="350"/>
      <c r="BG4885" s="350"/>
      <c r="BH4885" s="350"/>
    </row>
    <row r="4886" spans="4:60">
      <c r="D4886" s="350"/>
      <c r="S4886" s="350"/>
      <c r="BF4886" s="350"/>
      <c r="BG4886" s="350"/>
      <c r="BH4886" s="350"/>
    </row>
    <row r="4887" spans="4:60">
      <c r="D4887" s="350"/>
      <c r="S4887" s="350"/>
      <c r="BF4887" s="350"/>
      <c r="BG4887" s="350"/>
      <c r="BH4887" s="350"/>
    </row>
    <row r="4888" spans="4:60">
      <c r="D4888" s="350"/>
      <c r="S4888" s="350"/>
      <c r="BF4888" s="350"/>
      <c r="BG4888" s="350"/>
      <c r="BH4888" s="350"/>
    </row>
    <row r="4889" spans="4:60">
      <c r="D4889" s="350"/>
      <c r="S4889" s="350"/>
      <c r="BF4889" s="350"/>
      <c r="BG4889" s="350"/>
      <c r="BH4889" s="350"/>
    </row>
    <row r="4890" spans="4:60">
      <c r="D4890" s="350"/>
      <c r="S4890" s="350"/>
      <c r="BF4890" s="350"/>
      <c r="BG4890" s="350"/>
      <c r="BH4890" s="350"/>
    </row>
    <row r="4891" spans="4:60">
      <c r="D4891" s="350"/>
      <c r="S4891" s="350"/>
      <c r="BF4891" s="350"/>
      <c r="BG4891" s="350"/>
      <c r="BH4891" s="350"/>
    </row>
    <row r="4892" spans="4:60">
      <c r="D4892" s="350"/>
      <c r="S4892" s="350"/>
      <c r="BF4892" s="350"/>
      <c r="BG4892" s="350"/>
      <c r="BH4892" s="350"/>
    </row>
    <row r="4893" spans="4:60">
      <c r="D4893" s="350"/>
      <c r="S4893" s="350"/>
      <c r="BF4893" s="350"/>
      <c r="BG4893" s="350"/>
      <c r="BH4893" s="350"/>
    </row>
    <row r="4894" spans="4:60">
      <c r="D4894" s="350"/>
      <c r="S4894" s="350"/>
      <c r="BF4894" s="350"/>
      <c r="BG4894" s="350"/>
      <c r="BH4894" s="350"/>
    </row>
    <row r="4895" spans="4:60">
      <c r="D4895" s="350"/>
      <c r="S4895" s="350"/>
      <c r="BF4895" s="350"/>
      <c r="BG4895" s="350"/>
      <c r="BH4895" s="350"/>
    </row>
    <row r="4896" spans="4:60">
      <c r="D4896" s="350"/>
      <c r="S4896" s="350"/>
      <c r="BF4896" s="350"/>
      <c r="BG4896" s="350"/>
      <c r="BH4896" s="350"/>
    </row>
    <row r="4897" spans="4:60">
      <c r="D4897" s="350"/>
      <c r="S4897" s="350"/>
      <c r="BF4897" s="350"/>
      <c r="BG4897" s="350"/>
      <c r="BH4897" s="350"/>
    </row>
    <row r="4898" spans="4:60">
      <c r="D4898" s="350"/>
      <c r="S4898" s="350"/>
      <c r="BF4898" s="350"/>
      <c r="BG4898" s="350"/>
      <c r="BH4898" s="350"/>
    </row>
    <row r="4899" spans="4:60">
      <c r="D4899" s="350"/>
      <c r="S4899" s="350"/>
      <c r="BF4899" s="350"/>
      <c r="BG4899" s="350"/>
      <c r="BH4899" s="350"/>
    </row>
    <row r="4900" spans="4:60">
      <c r="D4900" s="350"/>
      <c r="S4900" s="350"/>
      <c r="BF4900" s="350"/>
      <c r="BG4900" s="350"/>
      <c r="BH4900" s="350"/>
    </row>
    <row r="4901" spans="4:60">
      <c r="D4901" s="350"/>
      <c r="S4901" s="350"/>
      <c r="BF4901" s="350"/>
      <c r="BG4901" s="350"/>
      <c r="BH4901" s="350"/>
    </row>
    <row r="4902" spans="4:60">
      <c r="D4902" s="350"/>
      <c r="S4902" s="350"/>
      <c r="BF4902" s="350"/>
      <c r="BG4902" s="350"/>
      <c r="BH4902" s="350"/>
    </row>
    <row r="4903" spans="4:60">
      <c r="D4903" s="350"/>
      <c r="S4903" s="350"/>
      <c r="BF4903" s="350"/>
      <c r="BG4903" s="350"/>
      <c r="BH4903" s="350"/>
    </row>
    <row r="4904" spans="4:60">
      <c r="D4904" s="350"/>
      <c r="S4904" s="350"/>
      <c r="BF4904" s="350"/>
      <c r="BG4904" s="350"/>
      <c r="BH4904" s="350"/>
    </row>
    <row r="4905" spans="4:60">
      <c r="D4905" s="350"/>
      <c r="S4905" s="350"/>
      <c r="BF4905" s="350"/>
      <c r="BG4905" s="350"/>
      <c r="BH4905" s="350"/>
    </row>
    <row r="4906" spans="4:60">
      <c r="D4906" s="350"/>
      <c r="S4906" s="350"/>
      <c r="BF4906" s="350"/>
      <c r="BG4906" s="350"/>
      <c r="BH4906" s="350"/>
    </row>
    <row r="4907" spans="4:60">
      <c r="D4907" s="350"/>
      <c r="S4907" s="350"/>
      <c r="BF4907" s="350"/>
      <c r="BG4907" s="350"/>
      <c r="BH4907" s="350"/>
    </row>
    <row r="4908" spans="4:60">
      <c r="D4908" s="350"/>
      <c r="S4908" s="350"/>
      <c r="BF4908" s="350"/>
      <c r="BG4908" s="350"/>
      <c r="BH4908" s="350"/>
    </row>
    <row r="4909" spans="4:60">
      <c r="D4909" s="350"/>
      <c r="S4909" s="350"/>
      <c r="BF4909" s="350"/>
      <c r="BG4909" s="350"/>
      <c r="BH4909" s="350"/>
    </row>
    <row r="4910" spans="4:60">
      <c r="D4910" s="350"/>
      <c r="S4910" s="350"/>
      <c r="BF4910" s="350"/>
      <c r="BG4910" s="350"/>
      <c r="BH4910" s="350"/>
    </row>
    <row r="4911" spans="4:60">
      <c r="D4911" s="350"/>
      <c r="S4911" s="350"/>
      <c r="BF4911" s="350"/>
      <c r="BG4911" s="350"/>
      <c r="BH4911" s="350"/>
    </row>
    <row r="4912" spans="4:60">
      <c r="D4912" s="350"/>
      <c r="S4912" s="350"/>
      <c r="BF4912" s="350"/>
      <c r="BG4912" s="350"/>
      <c r="BH4912" s="350"/>
    </row>
    <row r="4913" spans="4:60">
      <c r="D4913" s="350"/>
      <c r="S4913" s="350"/>
      <c r="BF4913" s="350"/>
      <c r="BG4913" s="350"/>
      <c r="BH4913" s="350"/>
    </row>
    <row r="4914" spans="4:60">
      <c r="D4914" s="350"/>
      <c r="S4914" s="350"/>
      <c r="BF4914" s="350"/>
      <c r="BG4914" s="350"/>
      <c r="BH4914" s="350"/>
    </row>
    <row r="4915" spans="4:60">
      <c r="D4915" s="350"/>
      <c r="S4915" s="350"/>
      <c r="BF4915" s="350"/>
      <c r="BG4915" s="350"/>
      <c r="BH4915" s="350"/>
    </row>
    <row r="4916" spans="4:60">
      <c r="D4916" s="350"/>
      <c r="S4916" s="350"/>
      <c r="BF4916" s="350"/>
      <c r="BG4916" s="350"/>
      <c r="BH4916" s="350"/>
    </row>
    <row r="4917" spans="4:60">
      <c r="D4917" s="350"/>
      <c r="S4917" s="350"/>
      <c r="BF4917" s="350"/>
      <c r="BG4917" s="350"/>
      <c r="BH4917" s="350"/>
    </row>
    <row r="4918" spans="4:60">
      <c r="D4918" s="350"/>
      <c r="S4918" s="350"/>
      <c r="BF4918" s="350"/>
      <c r="BG4918" s="350"/>
      <c r="BH4918" s="350"/>
    </row>
    <row r="4919" spans="4:60">
      <c r="D4919" s="350"/>
      <c r="S4919" s="350"/>
      <c r="BF4919" s="350"/>
      <c r="BG4919" s="350"/>
      <c r="BH4919" s="350"/>
    </row>
    <row r="4920" spans="4:60">
      <c r="D4920" s="350"/>
      <c r="S4920" s="350"/>
      <c r="BF4920" s="350"/>
      <c r="BG4920" s="350"/>
      <c r="BH4920" s="350"/>
    </row>
    <row r="4921" spans="4:60">
      <c r="D4921" s="350"/>
      <c r="S4921" s="350"/>
      <c r="BF4921" s="350"/>
      <c r="BG4921" s="350"/>
      <c r="BH4921" s="350"/>
    </row>
    <row r="4922" spans="4:60">
      <c r="D4922" s="350"/>
      <c r="S4922" s="350"/>
      <c r="BF4922" s="350"/>
      <c r="BG4922" s="350"/>
      <c r="BH4922" s="350"/>
    </row>
    <row r="4923" spans="4:60">
      <c r="D4923" s="350"/>
      <c r="S4923" s="350"/>
      <c r="BF4923" s="350"/>
      <c r="BG4923" s="350"/>
      <c r="BH4923" s="350"/>
    </row>
    <row r="4924" spans="4:60">
      <c r="D4924" s="350"/>
      <c r="S4924" s="350"/>
      <c r="BF4924" s="350"/>
      <c r="BG4924" s="350"/>
      <c r="BH4924" s="350"/>
    </row>
    <row r="4925" spans="4:60">
      <c r="D4925" s="350"/>
      <c r="S4925" s="350"/>
      <c r="BF4925" s="350"/>
      <c r="BG4925" s="350"/>
      <c r="BH4925" s="350"/>
    </row>
    <row r="4926" spans="4:60">
      <c r="D4926" s="350"/>
      <c r="S4926" s="350"/>
      <c r="BF4926" s="350"/>
      <c r="BG4926" s="350"/>
      <c r="BH4926" s="350"/>
    </row>
    <row r="4927" spans="4:60">
      <c r="D4927" s="350"/>
      <c r="S4927" s="350"/>
      <c r="BF4927" s="350"/>
      <c r="BG4927" s="350"/>
      <c r="BH4927" s="350"/>
    </row>
    <row r="4928" spans="4:60">
      <c r="D4928" s="350"/>
      <c r="S4928" s="350"/>
      <c r="BF4928" s="350"/>
      <c r="BG4928" s="350"/>
      <c r="BH4928" s="350"/>
    </row>
    <row r="4929" spans="4:60">
      <c r="D4929" s="350"/>
      <c r="S4929" s="350"/>
      <c r="BF4929" s="350"/>
      <c r="BG4929" s="350"/>
      <c r="BH4929" s="350"/>
    </row>
    <row r="4930" spans="4:60">
      <c r="D4930" s="350"/>
      <c r="S4930" s="350"/>
      <c r="BF4930" s="350"/>
      <c r="BG4930" s="350"/>
      <c r="BH4930" s="350"/>
    </row>
    <row r="4931" spans="4:60">
      <c r="D4931" s="350"/>
      <c r="S4931" s="350"/>
      <c r="BF4931" s="350"/>
      <c r="BG4931" s="350"/>
      <c r="BH4931" s="350"/>
    </row>
    <row r="4932" spans="4:60">
      <c r="D4932" s="350"/>
      <c r="S4932" s="350"/>
      <c r="BF4932" s="350"/>
      <c r="BG4932" s="350"/>
      <c r="BH4932" s="350"/>
    </row>
    <row r="4933" spans="4:60">
      <c r="D4933" s="350"/>
      <c r="S4933" s="350"/>
      <c r="BF4933" s="350"/>
      <c r="BG4933" s="350"/>
      <c r="BH4933" s="350"/>
    </row>
    <row r="4934" spans="4:60">
      <c r="D4934" s="350"/>
      <c r="S4934" s="350"/>
      <c r="BF4934" s="350"/>
      <c r="BG4934" s="350"/>
      <c r="BH4934" s="350"/>
    </row>
    <row r="4935" spans="4:60">
      <c r="D4935" s="350"/>
      <c r="S4935" s="350"/>
      <c r="BF4935" s="350"/>
      <c r="BG4935" s="350"/>
      <c r="BH4935" s="350"/>
    </row>
    <row r="4936" spans="4:60">
      <c r="D4936" s="350"/>
      <c r="S4936" s="350"/>
      <c r="BF4936" s="350"/>
      <c r="BG4936" s="350"/>
      <c r="BH4936" s="350"/>
    </row>
    <row r="4937" spans="4:60">
      <c r="D4937" s="350"/>
      <c r="S4937" s="350"/>
      <c r="BF4937" s="350"/>
      <c r="BG4937" s="350"/>
      <c r="BH4937" s="350"/>
    </row>
    <row r="4938" spans="4:60">
      <c r="D4938" s="350"/>
      <c r="S4938" s="350"/>
      <c r="BF4938" s="350"/>
      <c r="BG4938" s="350"/>
      <c r="BH4938" s="350"/>
    </row>
    <row r="4939" spans="4:60">
      <c r="D4939" s="350"/>
      <c r="S4939" s="350"/>
      <c r="BF4939" s="350"/>
      <c r="BG4939" s="350"/>
      <c r="BH4939" s="350"/>
    </row>
    <row r="4940" spans="4:60">
      <c r="D4940" s="350"/>
      <c r="S4940" s="350"/>
      <c r="BF4940" s="350"/>
      <c r="BG4940" s="350"/>
      <c r="BH4940" s="350"/>
    </row>
    <row r="4941" spans="4:60">
      <c r="D4941" s="350"/>
      <c r="S4941" s="350"/>
      <c r="BF4941" s="350"/>
      <c r="BG4941" s="350"/>
      <c r="BH4941" s="350"/>
    </row>
    <row r="4942" spans="4:60">
      <c r="D4942" s="350"/>
      <c r="S4942" s="350"/>
      <c r="BF4942" s="350"/>
      <c r="BG4942" s="350"/>
      <c r="BH4942" s="350"/>
    </row>
    <row r="4943" spans="4:60">
      <c r="D4943" s="350"/>
      <c r="S4943" s="350"/>
      <c r="BF4943" s="350"/>
      <c r="BG4943" s="350"/>
      <c r="BH4943" s="350"/>
    </row>
    <row r="4944" spans="4:60">
      <c r="D4944" s="350"/>
      <c r="S4944" s="350"/>
      <c r="BF4944" s="350"/>
      <c r="BG4944" s="350"/>
      <c r="BH4944" s="350"/>
    </row>
    <row r="4945" spans="4:60">
      <c r="D4945" s="350"/>
      <c r="S4945" s="350"/>
      <c r="BF4945" s="350"/>
      <c r="BG4945" s="350"/>
      <c r="BH4945" s="350"/>
    </row>
    <row r="4946" spans="4:60">
      <c r="D4946" s="350"/>
      <c r="S4946" s="350"/>
      <c r="BF4946" s="350"/>
      <c r="BG4946" s="350"/>
      <c r="BH4946" s="350"/>
    </row>
    <row r="4947" spans="4:60">
      <c r="D4947" s="350"/>
      <c r="S4947" s="350"/>
      <c r="BF4947" s="350"/>
      <c r="BG4947" s="350"/>
      <c r="BH4947" s="350"/>
    </row>
    <row r="4948" spans="4:60">
      <c r="D4948" s="350"/>
      <c r="S4948" s="350"/>
      <c r="BF4948" s="350"/>
      <c r="BG4948" s="350"/>
      <c r="BH4948" s="350"/>
    </row>
    <row r="4949" spans="4:60">
      <c r="D4949" s="350"/>
      <c r="S4949" s="350"/>
      <c r="BF4949" s="350"/>
      <c r="BG4949" s="350"/>
      <c r="BH4949" s="350"/>
    </row>
    <row r="4950" spans="4:60">
      <c r="D4950" s="350"/>
      <c r="S4950" s="350"/>
      <c r="BF4950" s="350"/>
      <c r="BG4950" s="350"/>
      <c r="BH4950" s="350"/>
    </row>
    <row r="4951" spans="4:60">
      <c r="D4951" s="350"/>
      <c r="S4951" s="350"/>
      <c r="BF4951" s="350"/>
      <c r="BG4951" s="350"/>
      <c r="BH4951" s="350"/>
    </row>
    <row r="4952" spans="4:60">
      <c r="D4952" s="350"/>
      <c r="S4952" s="350"/>
      <c r="BF4952" s="350"/>
      <c r="BG4952" s="350"/>
      <c r="BH4952" s="350"/>
    </row>
    <row r="4953" spans="4:60">
      <c r="D4953" s="350"/>
      <c r="S4953" s="350"/>
      <c r="BF4953" s="350"/>
      <c r="BG4953" s="350"/>
      <c r="BH4953" s="350"/>
    </row>
    <row r="4954" spans="4:60">
      <c r="D4954" s="350"/>
      <c r="S4954" s="350"/>
      <c r="BF4954" s="350"/>
      <c r="BG4954" s="350"/>
      <c r="BH4954" s="350"/>
    </row>
    <row r="4955" spans="4:60">
      <c r="D4955" s="350"/>
      <c r="S4955" s="350"/>
      <c r="BF4955" s="350"/>
      <c r="BG4955" s="350"/>
      <c r="BH4955" s="350"/>
    </row>
    <row r="4956" spans="4:60">
      <c r="D4956" s="350"/>
      <c r="S4956" s="350"/>
      <c r="BF4956" s="350"/>
      <c r="BG4956" s="350"/>
      <c r="BH4956" s="350"/>
    </row>
    <row r="4957" spans="4:60">
      <c r="D4957" s="350"/>
      <c r="S4957" s="350"/>
      <c r="BF4957" s="350"/>
      <c r="BG4957" s="350"/>
      <c r="BH4957" s="350"/>
    </row>
    <row r="4958" spans="4:60">
      <c r="D4958" s="350"/>
      <c r="S4958" s="350"/>
      <c r="BF4958" s="350"/>
      <c r="BG4958" s="350"/>
      <c r="BH4958" s="350"/>
    </row>
    <row r="4959" spans="4:60">
      <c r="D4959" s="350"/>
      <c r="S4959" s="350"/>
      <c r="BF4959" s="350"/>
      <c r="BG4959" s="350"/>
      <c r="BH4959" s="350"/>
    </row>
    <row r="4960" spans="4:60">
      <c r="D4960" s="350"/>
      <c r="S4960" s="350"/>
      <c r="BF4960" s="350"/>
      <c r="BG4960" s="350"/>
      <c r="BH4960" s="350"/>
    </row>
    <row r="4961" spans="4:60">
      <c r="D4961" s="350"/>
      <c r="S4961" s="350"/>
      <c r="BF4961" s="350"/>
      <c r="BG4961" s="350"/>
      <c r="BH4961" s="350"/>
    </row>
    <row r="4962" spans="4:60">
      <c r="D4962" s="350"/>
      <c r="S4962" s="350"/>
      <c r="BF4962" s="350"/>
      <c r="BG4962" s="350"/>
      <c r="BH4962" s="350"/>
    </row>
    <row r="4963" spans="4:60">
      <c r="D4963" s="350"/>
      <c r="S4963" s="350"/>
      <c r="BF4963" s="350"/>
      <c r="BG4963" s="350"/>
      <c r="BH4963" s="350"/>
    </row>
    <row r="4964" spans="4:60">
      <c r="D4964" s="350"/>
      <c r="S4964" s="350"/>
      <c r="BF4964" s="350"/>
      <c r="BG4964" s="350"/>
      <c r="BH4964" s="350"/>
    </row>
    <row r="4965" spans="4:60">
      <c r="D4965" s="350"/>
      <c r="S4965" s="350"/>
      <c r="BF4965" s="350"/>
      <c r="BG4965" s="350"/>
      <c r="BH4965" s="350"/>
    </row>
    <row r="4966" spans="4:60">
      <c r="D4966" s="350"/>
      <c r="S4966" s="350"/>
      <c r="BF4966" s="350"/>
      <c r="BG4966" s="350"/>
      <c r="BH4966" s="350"/>
    </row>
    <row r="4967" spans="4:60">
      <c r="D4967" s="350"/>
      <c r="S4967" s="350"/>
      <c r="BF4967" s="350"/>
      <c r="BG4967" s="350"/>
      <c r="BH4967" s="350"/>
    </row>
    <row r="4968" spans="4:60">
      <c r="D4968" s="350"/>
      <c r="S4968" s="350"/>
      <c r="BF4968" s="350"/>
      <c r="BG4968" s="350"/>
      <c r="BH4968" s="350"/>
    </row>
    <row r="4969" spans="4:60">
      <c r="D4969" s="350"/>
      <c r="S4969" s="350"/>
      <c r="BF4969" s="350"/>
      <c r="BG4969" s="350"/>
      <c r="BH4969" s="350"/>
    </row>
    <row r="4970" spans="4:60">
      <c r="D4970" s="350"/>
      <c r="S4970" s="350"/>
      <c r="BF4970" s="350"/>
      <c r="BG4970" s="350"/>
      <c r="BH4970" s="350"/>
    </row>
    <row r="4971" spans="4:60">
      <c r="D4971" s="350"/>
      <c r="S4971" s="350"/>
      <c r="BF4971" s="350"/>
      <c r="BG4971" s="350"/>
      <c r="BH4971" s="350"/>
    </row>
    <row r="4972" spans="4:60">
      <c r="D4972" s="350"/>
      <c r="S4972" s="350"/>
      <c r="BF4972" s="350"/>
      <c r="BG4972" s="350"/>
      <c r="BH4972" s="350"/>
    </row>
    <row r="4973" spans="4:60">
      <c r="D4973" s="350"/>
      <c r="S4973" s="350"/>
      <c r="BF4973" s="350"/>
      <c r="BG4973" s="350"/>
      <c r="BH4973" s="350"/>
    </row>
    <row r="4974" spans="4:60">
      <c r="D4974" s="350"/>
      <c r="S4974" s="350"/>
      <c r="BF4974" s="350"/>
      <c r="BG4974" s="350"/>
      <c r="BH4974" s="350"/>
    </row>
    <row r="4975" spans="4:60">
      <c r="D4975" s="350"/>
      <c r="S4975" s="350"/>
      <c r="BF4975" s="350"/>
      <c r="BG4975" s="350"/>
      <c r="BH4975" s="350"/>
    </row>
    <row r="4976" spans="4:60">
      <c r="D4976" s="350"/>
      <c r="S4976" s="350"/>
      <c r="BF4976" s="350"/>
      <c r="BG4976" s="350"/>
      <c r="BH4976" s="350"/>
    </row>
    <row r="4977" spans="4:60">
      <c r="D4977" s="350"/>
      <c r="S4977" s="350"/>
      <c r="BF4977" s="350"/>
      <c r="BG4977" s="350"/>
      <c r="BH4977" s="350"/>
    </row>
    <row r="4978" spans="4:60">
      <c r="D4978" s="350"/>
      <c r="S4978" s="350"/>
      <c r="BF4978" s="350"/>
      <c r="BG4978" s="350"/>
      <c r="BH4978" s="350"/>
    </row>
    <row r="4979" spans="4:60">
      <c r="D4979" s="350"/>
      <c r="S4979" s="350"/>
      <c r="BF4979" s="350"/>
      <c r="BG4979" s="350"/>
      <c r="BH4979" s="350"/>
    </row>
    <row r="4980" spans="4:60">
      <c r="D4980" s="350"/>
      <c r="S4980" s="350"/>
      <c r="BF4980" s="350"/>
      <c r="BG4980" s="350"/>
      <c r="BH4980" s="350"/>
    </row>
    <row r="4981" spans="4:60">
      <c r="D4981" s="350"/>
      <c r="S4981" s="350"/>
      <c r="BF4981" s="350"/>
      <c r="BG4981" s="350"/>
      <c r="BH4981" s="350"/>
    </row>
    <row r="4982" spans="4:60">
      <c r="D4982" s="350"/>
      <c r="S4982" s="350"/>
      <c r="BF4982" s="350"/>
      <c r="BG4982" s="350"/>
      <c r="BH4982" s="350"/>
    </row>
    <row r="4983" spans="4:60">
      <c r="D4983" s="350"/>
      <c r="S4983" s="350"/>
      <c r="BF4983" s="350"/>
      <c r="BG4983" s="350"/>
      <c r="BH4983" s="350"/>
    </row>
    <row r="4998" spans="4:60">
      <c r="D4998" s="350"/>
      <c r="S4998" s="350"/>
      <c r="BF4998" s="350"/>
      <c r="BG4998" s="350"/>
      <c r="BH4998" s="350"/>
    </row>
    <row r="4999" spans="4:60">
      <c r="D4999" s="350"/>
      <c r="S4999" s="350"/>
      <c r="BF4999" s="350"/>
      <c r="BG4999" s="350"/>
      <c r="BH4999" s="350"/>
    </row>
    <row r="5000" spans="4:60">
      <c r="D5000" s="350"/>
      <c r="S5000" s="350"/>
      <c r="BF5000" s="350"/>
      <c r="BG5000" s="350"/>
      <c r="BH5000" s="350"/>
    </row>
    <row r="5001" spans="4:60">
      <c r="D5001" s="350"/>
      <c r="S5001" s="350"/>
      <c r="BF5001" s="350"/>
      <c r="BG5001" s="350"/>
      <c r="BH5001" s="350"/>
    </row>
    <row r="5002" spans="4:60">
      <c r="D5002" s="350"/>
      <c r="S5002" s="350"/>
      <c r="BF5002" s="350"/>
      <c r="BG5002" s="350"/>
      <c r="BH5002" s="350"/>
    </row>
    <row r="5003" spans="4:60">
      <c r="D5003" s="350"/>
      <c r="S5003" s="350"/>
      <c r="BF5003" s="350"/>
      <c r="BG5003" s="350"/>
      <c r="BH5003" s="350"/>
    </row>
    <row r="5004" spans="4:60">
      <c r="D5004" s="350"/>
      <c r="S5004" s="350"/>
      <c r="BF5004" s="350"/>
      <c r="BG5004" s="350"/>
      <c r="BH5004" s="350"/>
    </row>
    <row r="5005" spans="4:60">
      <c r="D5005" s="350"/>
      <c r="S5005" s="350"/>
      <c r="BF5005" s="350"/>
      <c r="BG5005" s="350"/>
      <c r="BH5005" s="350"/>
    </row>
    <row r="5006" spans="4:60">
      <c r="D5006" s="350"/>
      <c r="S5006" s="350"/>
      <c r="BF5006" s="350"/>
      <c r="BG5006" s="350"/>
      <c r="BH5006" s="350"/>
    </row>
    <row r="5007" spans="4:60">
      <c r="D5007" s="350"/>
      <c r="S5007" s="350"/>
      <c r="BF5007" s="350"/>
      <c r="BG5007" s="350"/>
      <c r="BH5007" s="350"/>
    </row>
    <row r="5008" spans="4:60">
      <c r="D5008" s="350"/>
      <c r="S5008" s="350"/>
      <c r="BF5008" s="350"/>
      <c r="BG5008" s="350"/>
      <c r="BH5008" s="350"/>
    </row>
    <row r="5009" spans="4:60">
      <c r="D5009" s="350"/>
      <c r="S5009" s="350"/>
      <c r="BF5009" s="350"/>
      <c r="BG5009" s="350"/>
      <c r="BH5009" s="350"/>
    </row>
    <row r="5010" spans="4:60">
      <c r="D5010" s="350"/>
      <c r="S5010" s="350"/>
      <c r="BF5010" s="350"/>
      <c r="BG5010" s="350"/>
      <c r="BH5010" s="350"/>
    </row>
    <row r="5011" spans="4:60">
      <c r="D5011" s="350"/>
      <c r="S5011" s="350"/>
      <c r="BF5011" s="350"/>
      <c r="BG5011" s="350"/>
      <c r="BH5011" s="350"/>
    </row>
    <row r="5012" spans="4:60">
      <c r="D5012" s="350"/>
      <c r="S5012" s="350"/>
      <c r="BF5012" s="350"/>
      <c r="BG5012" s="350"/>
      <c r="BH5012" s="350"/>
    </row>
    <row r="5013" spans="4:60">
      <c r="D5013" s="350"/>
      <c r="S5013" s="350"/>
      <c r="BF5013" s="350"/>
      <c r="BG5013" s="350"/>
      <c r="BH5013" s="350"/>
    </row>
    <row r="5014" spans="4:60">
      <c r="D5014" s="350"/>
      <c r="S5014" s="350"/>
      <c r="BF5014" s="350"/>
      <c r="BG5014" s="350"/>
      <c r="BH5014" s="350"/>
    </row>
    <row r="5015" spans="4:60">
      <c r="D5015" s="350"/>
      <c r="S5015" s="350"/>
      <c r="BF5015" s="350"/>
      <c r="BG5015" s="350"/>
      <c r="BH5015" s="350"/>
    </row>
    <row r="5016" spans="4:60">
      <c r="D5016" s="350"/>
      <c r="S5016" s="350"/>
      <c r="BF5016" s="350"/>
      <c r="BG5016" s="350"/>
      <c r="BH5016" s="350"/>
    </row>
    <row r="5017" spans="4:60">
      <c r="D5017" s="350"/>
      <c r="S5017" s="350"/>
      <c r="BF5017" s="350"/>
      <c r="BG5017" s="350"/>
      <c r="BH5017" s="350"/>
    </row>
    <row r="5018" spans="4:60">
      <c r="D5018" s="350"/>
      <c r="S5018" s="350"/>
      <c r="BF5018" s="350"/>
      <c r="BG5018" s="350"/>
      <c r="BH5018" s="350"/>
    </row>
    <row r="5019" spans="4:60">
      <c r="D5019" s="350"/>
      <c r="S5019" s="350"/>
      <c r="BF5019" s="350"/>
      <c r="BG5019" s="350"/>
      <c r="BH5019" s="350"/>
    </row>
    <row r="5020" spans="4:60">
      <c r="D5020" s="350"/>
      <c r="S5020" s="350"/>
      <c r="BF5020" s="350"/>
      <c r="BG5020" s="350"/>
      <c r="BH5020" s="350"/>
    </row>
    <row r="5021" spans="4:60">
      <c r="D5021" s="350"/>
      <c r="S5021" s="350"/>
      <c r="BF5021" s="350"/>
      <c r="BG5021" s="350"/>
      <c r="BH5021" s="350"/>
    </row>
    <row r="5022" spans="4:60">
      <c r="D5022" s="350"/>
      <c r="S5022" s="350"/>
      <c r="BF5022" s="350"/>
      <c r="BG5022" s="350"/>
      <c r="BH5022" s="350"/>
    </row>
    <row r="5023" spans="4:60">
      <c r="D5023" s="350"/>
      <c r="S5023" s="350"/>
      <c r="BF5023" s="350"/>
      <c r="BG5023" s="350"/>
      <c r="BH5023" s="350"/>
    </row>
    <row r="5024" spans="4:60">
      <c r="D5024" s="350"/>
      <c r="S5024" s="350"/>
      <c r="BF5024" s="350"/>
      <c r="BG5024" s="350"/>
      <c r="BH5024" s="350"/>
    </row>
    <row r="5025" spans="4:60">
      <c r="D5025" s="350"/>
      <c r="S5025" s="350"/>
      <c r="BF5025" s="350"/>
      <c r="BG5025" s="350"/>
      <c r="BH5025" s="350"/>
    </row>
    <row r="5026" spans="4:60">
      <c r="D5026" s="350"/>
      <c r="S5026" s="350"/>
      <c r="BF5026" s="350"/>
      <c r="BG5026" s="350"/>
      <c r="BH5026" s="350"/>
    </row>
    <row r="5027" spans="4:60">
      <c r="D5027" s="350"/>
      <c r="S5027" s="350"/>
      <c r="BF5027" s="350"/>
      <c r="BG5027" s="350"/>
      <c r="BH5027" s="350"/>
    </row>
    <row r="5028" spans="4:60">
      <c r="D5028" s="350"/>
      <c r="S5028" s="350"/>
      <c r="BF5028" s="350"/>
      <c r="BG5028" s="350"/>
      <c r="BH5028" s="350"/>
    </row>
    <row r="5029" spans="4:60">
      <c r="D5029" s="350"/>
      <c r="S5029" s="350"/>
      <c r="BF5029" s="350"/>
      <c r="BG5029" s="350"/>
      <c r="BH5029" s="350"/>
    </row>
    <row r="5030" spans="4:60">
      <c r="D5030" s="350"/>
      <c r="S5030" s="350"/>
      <c r="BF5030" s="350"/>
      <c r="BG5030" s="350"/>
      <c r="BH5030" s="350"/>
    </row>
    <row r="5031" spans="4:60">
      <c r="D5031" s="350"/>
      <c r="S5031" s="350"/>
      <c r="BF5031" s="350"/>
      <c r="BG5031" s="350"/>
      <c r="BH5031" s="350"/>
    </row>
    <row r="5032" spans="4:60">
      <c r="D5032" s="350"/>
      <c r="S5032" s="350"/>
      <c r="BF5032" s="350"/>
      <c r="BG5032" s="350"/>
      <c r="BH5032" s="350"/>
    </row>
    <row r="5033" spans="4:60">
      <c r="D5033" s="350"/>
      <c r="S5033" s="350"/>
      <c r="BF5033" s="350"/>
      <c r="BG5033" s="350"/>
      <c r="BH5033" s="350"/>
    </row>
    <row r="5034" spans="4:60">
      <c r="D5034" s="350"/>
      <c r="S5034" s="350"/>
      <c r="BF5034" s="350"/>
      <c r="BG5034" s="350"/>
      <c r="BH5034" s="350"/>
    </row>
    <row r="5035" spans="4:60">
      <c r="D5035" s="350"/>
      <c r="S5035" s="350"/>
      <c r="BF5035" s="350"/>
      <c r="BG5035" s="350"/>
      <c r="BH5035" s="350"/>
    </row>
    <row r="5036" spans="4:60">
      <c r="D5036" s="350"/>
      <c r="S5036" s="350"/>
      <c r="BF5036" s="350"/>
      <c r="BG5036" s="350"/>
      <c r="BH5036" s="350"/>
    </row>
    <row r="5037" spans="4:60">
      <c r="D5037" s="350"/>
      <c r="S5037" s="350"/>
      <c r="BF5037" s="350"/>
      <c r="BG5037" s="350"/>
      <c r="BH5037" s="350"/>
    </row>
    <row r="5038" spans="4:60">
      <c r="D5038" s="350"/>
      <c r="S5038" s="350"/>
      <c r="BF5038" s="350"/>
      <c r="BG5038" s="350"/>
      <c r="BH5038" s="350"/>
    </row>
    <row r="5039" spans="4:60">
      <c r="D5039" s="350"/>
      <c r="S5039" s="350"/>
      <c r="BF5039" s="350"/>
      <c r="BG5039" s="350"/>
      <c r="BH5039" s="350"/>
    </row>
    <row r="5040" spans="4:60">
      <c r="D5040" s="350"/>
      <c r="S5040" s="350"/>
      <c r="BF5040" s="350"/>
      <c r="BG5040" s="350"/>
      <c r="BH5040" s="350"/>
    </row>
    <row r="5045" spans="4:60">
      <c r="D5045" s="350"/>
      <c r="S5045" s="350"/>
      <c r="BF5045" s="350"/>
      <c r="BG5045" s="350"/>
      <c r="BH5045" s="350"/>
    </row>
    <row r="5046" spans="4:60">
      <c r="D5046" s="350"/>
      <c r="S5046" s="350"/>
      <c r="BF5046" s="350"/>
      <c r="BG5046" s="350"/>
      <c r="BH5046" s="350"/>
    </row>
    <row r="5049" spans="4:60">
      <c r="D5049" s="350"/>
      <c r="S5049" s="350"/>
      <c r="BF5049" s="350"/>
      <c r="BG5049" s="350"/>
      <c r="BH5049" s="350"/>
    </row>
    <row r="5050" spans="4:60">
      <c r="D5050" s="350"/>
      <c r="S5050" s="350"/>
      <c r="BF5050" s="350"/>
      <c r="BG5050" s="350"/>
      <c r="BH5050" s="350"/>
    </row>
    <row r="5051" spans="4:60">
      <c r="D5051" s="350"/>
      <c r="S5051" s="350"/>
      <c r="BF5051" s="350"/>
      <c r="BG5051" s="350"/>
      <c r="BH5051" s="350"/>
    </row>
    <row r="5052" spans="4:60">
      <c r="D5052" s="350"/>
      <c r="S5052" s="350"/>
      <c r="BF5052" s="350"/>
      <c r="BG5052" s="350"/>
      <c r="BH5052" s="350"/>
    </row>
    <row r="5053" spans="4:60">
      <c r="D5053" s="350"/>
      <c r="S5053" s="350"/>
      <c r="BF5053" s="350"/>
      <c r="BG5053" s="350"/>
      <c r="BH5053" s="350"/>
    </row>
    <row r="5054" spans="4:60">
      <c r="D5054" s="350"/>
      <c r="S5054" s="350"/>
      <c r="BF5054" s="350"/>
      <c r="BG5054" s="350"/>
      <c r="BH5054" s="350"/>
    </row>
    <row r="5055" spans="4:60">
      <c r="D5055" s="350"/>
      <c r="S5055" s="350"/>
      <c r="BF5055" s="350"/>
      <c r="BG5055" s="350"/>
      <c r="BH5055" s="350"/>
    </row>
    <row r="5056" spans="4:60">
      <c r="D5056" s="350"/>
      <c r="S5056" s="350"/>
      <c r="BF5056" s="350"/>
      <c r="BG5056" s="350"/>
      <c r="BH5056" s="350"/>
    </row>
    <row r="5057" spans="4:60">
      <c r="D5057" s="350"/>
      <c r="S5057" s="350"/>
      <c r="BF5057" s="350"/>
      <c r="BG5057" s="350"/>
      <c r="BH5057" s="350"/>
    </row>
    <row r="5058" spans="4:60">
      <c r="D5058" s="350"/>
      <c r="S5058" s="350"/>
      <c r="BF5058" s="350"/>
      <c r="BG5058" s="350"/>
      <c r="BH5058" s="350"/>
    </row>
    <row r="5059" spans="4:60">
      <c r="D5059" s="350"/>
      <c r="S5059" s="350"/>
      <c r="BF5059" s="350"/>
      <c r="BG5059" s="350"/>
      <c r="BH5059" s="350"/>
    </row>
    <row r="5060" spans="4:60">
      <c r="D5060" s="350"/>
      <c r="S5060" s="350"/>
      <c r="BF5060" s="350"/>
      <c r="BG5060" s="350"/>
      <c r="BH5060" s="350"/>
    </row>
    <row r="5061" spans="4:60">
      <c r="D5061" s="350"/>
      <c r="S5061" s="350"/>
      <c r="BF5061" s="350"/>
      <c r="BG5061" s="350"/>
      <c r="BH5061" s="350"/>
    </row>
    <row r="5062" spans="4:60">
      <c r="D5062" s="350"/>
      <c r="S5062" s="350"/>
      <c r="BF5062" s="350"/>
      <c r="BG5062" s="350"/>
      <c r="BH5062" s="350"/>
    </row>
    <row r="5063" spans="4:60">
      <c r="D5063" s="350"/>
      <c r="S5063" s="350"/>
      <c r="BF5063" s="350"/>
      <c r="BG5063" s="350"/>
      <c r="BH5063" s="350"/>
    </row>
    <row r="5064" spans="4:60">
      <c r="D5064" s="350"/>
      <c r="S5064" s="350"/>
      <c r="BF5064" s="350"/>
      <c r="BG5064" s="350"/>
      <c r="BH5064" s="350"/>
    </row>
    <row r="5065" spans="4:60">
      <c r="D5065" s="350"/>
      <c r="S5065" s="350"/>
      <c r="BF5065" s="350"/>
      <c r="BG5065" s="350"/>
      <c r="BH5065" s="350"/>
    </row>
    <row r="5066" spans="4:60">
      <c r="D5066" s="350"/>
      <c r="S5066" s="350"/>
      <c r="BF5066" s="350"/>
      <c r="BG5066" s="350"/>
      <c r="BH5066" s="350"/>
    </row>
    <row r="5067" spans="4:60">
      <c r="D5067" s="350"/>
      <c r="S5067" s="350"/>
      <c r="BF5067" s="350"/>
      <c r="BG5067" s="350"/>
      <c r="BH5067" s="350"/>
    </row>
    <row r="5068" spans="4:60">
      <c r="D5068" s="350"/>
      <c r="S5068" s="350"/>
      <c r="BF5068" s="350"/>
      <c r="BG5068" s="350"/>
      <c r="BH5068" s="350"/>
    </row>
    <row r="5069" spans="4:60">
      <c r="D5069" s="350"/>
      <c r="S5069" s="350"/>
      <c r="BF5069" s="350"/>
      <c r="BG5069" s="350"/>
      <c r="BH5069" s="350"/>
    </row>
    <row r="5070" spans="4:60">
      <c r="D5070" s="350"/>
      <c r="S5070" s="350"/>
      <c r="BF5070" s="350"/>
      <c r="BG5070" s="350"/>
      <c r="BH5070" s="350"/>
    </row>
    <row r="5071" spans="4:60">
      <c r="D5071" s="350"/>
      <c r="S5071" s="350"/>
      <c r="BF5071" s="350"/>
      <c r="BG5071" s="350"/>
      <c r="BH5071" s="350"/>
    </row>
    <row r="5072" spans="4:60">
      <c r="D5072" s="350"/>
      <c r="S5072" s="350"/>
      <c r="BF5072" s="350"/>
      <c r="BG5072" s="350"/>
      <c r="BH5072" s="350"/>
    </row>
    <row r="5073" spans="4:60">
      <c r="D5073" s="350"/>
      <c r="S5073" s="350"/>
      <c r="BF5073" s="350"/>
      <c r="BG5073" s="350"/>
      <c r="BH5073" s="350"/>
    </row>
    <row r="5074" spans="4:60">
      <c r="D5074" s="350"/>
      <c r="S5074" s="350"/>
      <c r="BF5074" s="350"/>
      <c r="BG5074" s="350"/>
      <c r="BH5074" s="350"/>
    </row>
    <row r="5075" spans="4:60">
      <c r="D5075" s="350"/>
      <c r="S5075" s="350"/>
      <c r="BF5075" s="350"/>
      <c r="BG5075" s="350"/>
      <c r="BH5075" s="350"/>
    </row>
    <row r="5076" spans="4:60">
      <c r="D5076" s="350"/>
      <c r="S5076" s="350"/>
      <c r="BF5076" s="350"/>
      <c r="BG5076" s="350"/>
      <c r="BH5076" s="350"/>
    </row>
    <row r="5077" spans="4:60">
      <c r="D5077" s="350"/>
      <c r="S5077" s="350"/>
      <c r="BF5077" s="350"/>
      <c r="BG5077" s="350"/>
      <c r="BH5077" s="350"/>
    </row>
    <row r="5078" spans="4:60">
      <c r="D5078" s="350"/>
      <c r="S5078" s="350"/>
      <c r="BF5078" s="350"/>
      <c r="BG5078" s="350"/>
      <c r="BH5078" s="350"/>
    </row>
    <row r="5079" spans="4:60">
      <c r="D5079" s="350"/>
      <c r="S5079" s="350"/>
      <c r="BF5079" s="350"/>
      <c r="BG5079" s="350"/>
      <c r="BH5079" s="350"/>
    </row>
    <row r="5080" spans="4:60">
      <c r="D5080" s="350"/>
      <c r="S5080" s="350"/>
      <c r="BF5080" s="350"/>
      <c r="BG5080" s="350"/>
      <c r="BH5080" s="350"/>
    </row>
    <row r="5081" spans="4:60">
      <c r="D5081" s="350"/>
      <c r="S5081" s="350"/>
      <c r="BF5081" s="350"/>
      <c r="BG5081" s="350"/>
      <c r="BH5081" s="350"/>
    </row>
    <row r="5082" spans="4:60">
      <c r="D5082" s="350"/>
      <c r="S5082" s="350"/>
      <c r="BF5082" s="350"/>
      <c r="BG5082" s="350"/>
      <c r="BH5082" s="350"/>
    </row>
    <row r="5083" spans="4:60">
      <c r="D5083" s="350"/>
      <c r="S5083" s="350"/>
      <c r="BF5083" s="350"/>
      <c r="BG5083" s="350"/>
      <c r="BH5083" s="350"/>
    </row>
    <row r="5084" spans="4:60">
      <c r="D5084" s="350"/>
      <c r="S5084" s="350"/>
      <c r="BF5084" s="350"/>
      <c r="BG5084" s="350"/>
      <c r="BH5084" s="350"/>
    </row>
    <row r="5085" spans="4:60">
      <c r="D5085" s="350"/>
      <c r="S5085" s="350"/>
      <c r="BF5085" s="350"/>
      <c r="BG5085" s="350"/>
      <c r="BH5085" s="350"/>
    </row>
    <row r="5086" spans="4:60">
      <c r="D5086" s="350"/>
      <c r="S5086" s="350"/>
      <c r="BF5086" s="350"/>
      <c r="BG5086" s="350"/>
      <c r="BH5086" s="350"/>
    </row>
    <row r="5087" spans="4:60">
      <c r="D5087" s="350"/>
      <c r="S5087" s="350"/>
      <c r="BF5087" s="350"/>
      <c r="BG5087" s="350"/>
      <c r="BH5087" s="350"/>
    </row>
    <row r="5088" spans="4:60">
      <c r="D5088" s="350"/>
      <c r="S5088" s="350"/>
      <c r="BF5088" s="350"/>
      <c r="BG5088" s="350"/>
      <c r="BH5088" s="350"/>
    </row>
    <row r="5089" spans="4:60">
      <c r="D5089" s="350"/>
      <c r="S5089" s="350"/>
      <c r="BF5089" s="350"/>
      <c r="BG5089" s="350"/>
      <c r="BH5089" s="350"/>
    </row>
    <row r="5090" spans="4:60">
      <c r="D5090" s="350"/>
      <c r="S5090" s="350"/>
      <c r="BF5090" s="350"/>
      <c r="BG5090" s="350"/>
      <c r="BH5090" s="350"/>
    </row>
    <row r="5091" spans="4:60">
      <c r="D5091" s="350"/>
      <c r="S5091" s="350"/>
      <c r="BF5091" s="350"/>
      <c r="BG5091" s="350"/>
      <c r="BH5091" s="350"/>
    </row>
    <row r="5092" spans="4:60">
      <c r="D5092" s="350"/>
      <c r="S5092" s="350"/>
      <c r="BF5092" s="350"/>
      <c r="BG5092" s="350"/>
      <c r="BH5092" s="350"/>
    </row>
    <row r="5093" spans="4:60">
      <c r="D5093" s="350"/>
      <c r="S5093" s="350"/>
      <c r="BF5093" s="350"/>
      <c r="BG5093" s="350"/>
      <c r="BH5093" s="350"/>
    </row>
    <row r="5094" spans="4:60">
      <c r="D5094" s="350"/>
      <c r="S5094" s="350"/>
      <c r="BF5094" s="350"/>
      <c r="BG5094" s="350"/>
      <c r="BH5094" s="350"/>
    </row>
    <row r="5095" spans="4:60">
      <c r="D5095" s="350"/>
      <c r="S5095" s="350"/>
      <c r="BF5095" s="350"/>
      <c r="BG5095" s="350"/>
      <c r="BH5095" s="350"/>
    </row>
    <row r="5096" spans="4:60">
      <c r="D5096" s="350"/>
      <c r="S5096" s="350"/>
      <c r="BF5096" s="350"/>
      <c r="BG5096" s="350"/>
      <c r="BH5096" s="350"/>
    </row>
    <row r="5097" spans="4:60">
      <c r="D5097" s="350"/>
      <c r="S5097" s="350"/>
      <c r="BF5097" s="350"/>
      <c r="BG5097" s="350"/>
      <c r="BH5097" s="350"/>
    </row>
    <row r="5098" spans="4:60">
      <c r="D5098" s="350"/>
      <c r="S5098" s="350"/>
      <c r="BF5098" s="350"/>
      <c r="BG5098" s="350"/>
      <c r="BH5098" s="350"/>
    </row>
    <row r="5099" spans="4:60">
      <c r="D5099" s="350"/>
      <c r="S5099" s="350"/>
      <c r="BF5099" s="350"/>
      <c r="BG5099" s="350"/>
      <c r="BH5099" s="350"/>
    </row>
    <row r="5100" spans="4:60">
      <c r="D5100" s="350"/>
      <c r="S5100" s="350"/>
      <c r="BF5100" s="350"/>
      <c r="BG5100" s="350"/>
      <c r="BH5100" s="350"/>
    </row>
    <row r="5101" spans="4:60">
      <c r="D5101" s="350"/>
      <c r="S5101" s="350"/>
      <c r="BF5101" s="350"/>
      <c r="BG5101" s="350"/>
      <c r="BH5101" s="350"/>
    </row>
    <row r="5102" spans="4:60">
      <c r="D5102" s="350"/>
      <c r="S5102" s="350"/>
      <c r="BF5102" s="350"/>
      <c r="BG5102" s="350"/>
      <c r="BH5102" s="350"/>
    </row>
    <row r="5103" spans="4:60">
      <c r="D5103" s="350"/>
      <c r="S5103" s="350"/>
      <c r="BF5103" s="350"/>
      <c r="BG5103" s="350"/>
      <c r="BH5103" s="350"/>
    </row>
    <row r="5104" spans="4:60">
      <c r="D5104" s="350"/>
      <c r="S5104" s="350"/>
      <c r="BF5104" s="350"/>
      <c r="BG5104" s="350"/>
      <c r="BH5104" s="350"/>
    </row>
    <row r="5105" spans="4:60">
      <c r="D5105" s="350"/>
      <c r="S5105" s="350"/>
      <c r="BF5105" s="350"/>
      <c r="BG5105" s="350"/>
      <c r="BH5105" s="350"/>
    </row>
    <row r="5106" spans="4:60">
      <c r="D5106" s="350"/>
      <c r="S5106" s="350"/>
      <c r="BF5106" s="350"/>
      <c r="BG5106" s="350"/>
      <c r="BH5106" s="350"/>
    </row>
    <row r="5107" spans="4:60">
      <c r="D5107" s="350"/>
      <c r="S5107" s="350"/>
      <c r="BF5107" s="350"/>
      <c r="BG5107" s="350"/>
      <c r="BH5107" s="350"/>
    </row>
    <row r="5108" spans="4:60">
      <c r="D5108" s="350"/>
      <c r="S5108" s="350"/>
      <c r="BF5108" s="350"/>
      <c r="BG5108" s="350"/>
      <c r="BH5108" s="350"/>
    </row>
    <row r="5109" spans="4:60">
      <c r="D5109" s="350"/>
      <c r="S5109" s="350"/>
      <c r="BF5109" s="350"/>
      <c r="BG5109" s="350"/>
      <c r="BH5109" s="350"/>
    </row>
    <row r="5110" spans="4:60">
      <c r="D5110" s="350"/>
      <c r="S5110" s="350"/>
      <c r="BF5110" s="350"/>
      <c r="BG5110" s="350"/>
      <c r="BH5110" s="350"/>
    </row>
    <row r="5111" spans="4:60">
      <c r="D5111" s="350"/>
      <c r="S5111" s="350"/>
      <c r="BF5111" s="350"/>
      <c r="BG5111" s="350"/>
      <c r="BH5111" s="350"/>
    </row>
    <row r="5112" spans="4:60">
      <c r="D5112" s="350"/>
      <c r="S5112" s="350"/>
      <c r="BF5112" s="350"/>
      <c r="BG5112" s="350"/>
      <c r="BH5112" s="350"/>
    </row>
    <row r="5113" spans="4:60">
      <c r="D5113" s="350"/>
      <c r="S5113" s="350"/>
      <c r="BF5113" s="350"/>
      <c r="BG5113" s="350"/>
      <c r="BH5113" s="350"/>
    </row>
    <row r="5114" spans="4:60">
      <c r="D5114" s="350"/>
      <c r="S5114" s="350"/>
      <c r="BF5114" s="350"/>
      <c r="BG5114" s="350"/>
      <c r="BH5114" s="350"/>
    </row>
    <row r="5115" spans="4:60">
      <c r="D5115" s="350"/>
      <c r="S5115" s="350"/>
      <c r="BF5115" s="350"/>
      <c r="BG5115" s="350"/>
      <c r="BH5115" s="350"/>
    </row>
    <row r="5116" spans="4:60">
      <c r="D5116" s="350"/>
      <c r="S5116" s="350"/>
      <c r="BF5116" s="350"/>
      <c r="BG5116" s="350"/>
      <c r="BH5116" s="350"/>
    </row>
    <row r="5117" spans="4:60">
      <c r="D5117" s="350"/>
      <c r="S5117" s="350"/>
      <c r="BF5117" s="350"/>
      <c r="BG5117" s="350"/>
      <c r="BH5117" s="350"/>
    </row>
    <row r="5118" spans="4:60">
      <c r="D5118" s="350"/>
      <c r="S5118" s="350"/>
      <c r="BF5118" s="350"/>
      <c r="BG5118" s="350"/>
      <c r="BH5118" s="350"/>
    </row>
    <row r="5119" spans="4:60">
      <c r="D5119" s="350"/>
      <c r="S5119" s="350"/>
      <c r="BF5119" s="350"/>
      <c r="BG5119" s="350"/>
      <c r="BH5119" s="350"/>
    </row>
    <row r="5120" spans="4:60">
      <c r="D5120" s="350"/>
      <c r="S5120" s="350"/>
      <c r="BF5120" s="350"/>
      <c r="BG5120" s="350"/>
      <c r="BH5120" s="350"/>
    </row>
    <row r="5121" spans="4:60">
      <c r="D5121" s="350"/>
      <c r="S5121" s="350"/>
      <c r="BF5121" s="350"/>
      <c r="BG5121" s="350"/>
      <c r="BH5121" s="350"/>
    </row>
    <row r="5122" spans="4:60">
      <c r="D5122" s="350"/>
      <c r="S5122" s="350"/>
      <c r="BF5122" s="350"/>
      <c r="BG5122" s="350"/>
      <c r="BH5122" s="350"/>
    </row>
    <row r="5123" spans="4:60">
      <c r="D5123" s="350"/>
      <c r="S5123" s="350"/>
      <c r="BF5123" s="350"/>
      <c r="BG5123" s="350"/>
      <c r="BH5123" s="350"/>
    </row>
    <row r="5124" spans="4:60">
      <c r="D5124" s="350"/>
      <c r="S5124" s="350"/>
      <c r="BF5124" s="350"/>
      <c r="BG5124" s="350"/>
      <c r="BH5124" s="350"/>
    </row>
    <row r="5125" spans="4:60">
      <c r="D5125" s="350"/>
      <c r="S5125" s="350"/>
      <c r="BF5125" s="350"/>
      <c r="BG5125" s="350"/>
      <c r="BH5125" s="350"/>
    </row>
    <row r="5126" spans="4:60">
      <c r="D5126" s="350"/>
      <c r="S5126" s="350"/>
      <c r="BF5126" s="350"/>
      <c r="BG5126" s="350"/>
      <c r="BH5126" s="350"/>
    </row>
    <row r="5127" spans="4:60">
      <c r="D5127" s="350"/>
      <c r="S5127" s="350"/>
      <c r="BF5127" s="350"/>
      <c r="BG5127" s="350"/>
      <c r="BH5127" s="350"/>
    </row>
    <row r="5128" spans="4:60">
      <c r="D5128" s="350"/>
      <c r="S5128" s="350"/>
      <c r="BF5128" s="350"/>
      <c r="BG5128" s="350"/>
      <c r="BH5128" s="350"/>
    </row>
    <row r="5129" spans="4:60">
      <c r="D5129" s="350"/>
      <c r="S5129" s="350"/>
      <c r="BF5129" s="350"/>
      <c r="BG5129" s="350"/>
      <c r="BH5129" s="350"/>
    </row>
    <row r="5130" spans="4:60">
      <c r="D5130" s="350"/>
      <c r="S5130" s="350"/>
      <c r="BF5130" s="350"/>
      <c r="BG5130" s="350"/>
      <c r="BH5130" s="350"/>
    </row>
    <row r="5131" spans="4:60">
      <c r="D5131" s="350"/>
      <c r="S5131" s="350"/>
      <c r="BF5131" s="350"/>
      <c r="BG5131" s="350"/>
      <c r="BH5131" s="350"/>
    </row>
    <row r="5132" spans="4:60">
      <c r="D5132" s="350"/>
      <c r="S5132" s="350"/>
      <c r="BF5132" s="350"/>
      <c r="BG5132" s="350"/>
      <c r="BH5132" s="350"/>
    </row>
    <row r="5133" spans="4:60">
      <c r="D5133" s="350"/>
      <c r="S5133" s="350"/>
      <c r="BF5133" s="350"/>
      <c r="BG5133" s="350"/>
      <c r="BH5133" s="350"/>
    </row>
    <row r="5134" spans="4:60">
      <c r="D5134" s="350"/>
      <c r="S5134" s="350"/>
      <c r="BF5134" s="350"/>
      <c r="BG5134" s="350"/>
      <c r="BH5134" s="350"/>
    </row>
    <row r="5135" spans="4:60">
      <c r="D5135" s="350"/>
      <c r="S5135" s="350"/>
      <c r="BF5135" s="350"/>
      <c r="BG5135" s="350"/>
      <c r="BH5135" s="350"/>
    </row>
    <row r="5136" spans="4:60">
      <c r="D5136" s="350"/>
      <c r="S5136" s="350"/>
      <c r="BF5136" s="350"/>
      <c r="BG5136" s="350"/>
      <c r="BH5136" s="350"/>
    </row>
    <row r="5137" spans="4:60">
      <c r="D5137" s="350"/>
      <c r="S5137" s="350"/>
      <c r="BF5137" s="350"/>
      <c r="BG5137" s="350"/>
      <c r="BH5137" s="350"/>
    </row>
    <row r="5138" spans="4:60">
      <c r="D5138" s="350"/>
      <c r="S5138" s="350"/>
      <c r="BF5138" s="350"/>
      <c r="BG5138" s="350"/>
      <c r="BH5138" s="350"/>
    </row>
    <row r="5139" spans="4:60">
      <c r="D5139" s="350"/>
      <c r="S5139" s="350"/>
      <c r="BF5139" s="350"/>
      <c r="BG5139" s="350"/>
      <c r="BH5139" s="350"/>
    </row>
    <row r="5140" spans="4:60">
      <c r="D5140" s="350"/>
      <c r="S5140" s="350"/>
      <c r="BF5140" s="350"/>
      <c r="BG5140" s="350"/>
      <c r="BH5140" s="350"/>
    </row>
    <row r="5141" spans="4:60">
      <c r="D5141" s="350"/>
      <c r="S5141" s="350"/>
      <c r="BF5141" s="350"/>
      <c r="BG5141" s="350"/>
      <c r="BH5141" s="350"/>
    </row>
    <row r="5142" spans="4:60">
      <c r="D5142" s="350"/>
      <c r="S5142" s="350"/>
      <c r="BF5142" s="350"/>
      <c r="BG5142" s="350"/>
      <c r="BH5142" s="350"/>
    </row>
    <row r="5143" spans="4:60">
      <c r="D5143" s="350"/>
      <c r="S5143" s="350"/>
      <c r="BF5143" s="350"/>
      <c r="BG5143" s="350"/>
      <c r="BH5143" s="350"/>
    </row>
    <row r="5144" spans="4:60">
      <c r="D5144" s="350"/>
      <c r="S5144" s="350"/>
      <c r="BF5144" s="350"/>
      <c r="BG5144" s="350"/>
      <c r="BH5144" s="350"/>
    </row>
    <row r="5145" spans="4:60">
      <c r="D5145" s="350"/>
      <c r="S5145" s="350"/>
      <c r="BF5145" s="350"/>
      <c r="BG5145" s="350"/>
      <c r="BH5145" s="350"/>
    </row>
    <row r="5146" spans="4:60">
      <c r="D5146" s="350"/>
      <c r="S5146" s="350"/>
      <c r="BF5146" s="350"/>
      <c r="BG5146" s="350"/>
      <c r="BH5146" s="350"/>
    </row>
    <row r="5147" spans="4:60">
      <c r="D5147" s="350"/>
      <c r="S5147" s="350"/>
      <c r="BF5147" s="350"/>
      <c r="BG5147" s="350"/>
      <c r="BH5147" s="350"/>
    </row>
    <row r="5148" spans="4:60">
      <c r="D5148" s="350"/>
      <c r="S5148" s="350"/>
      <c r="BF5148" s="350"/>
      <c r="BG5148" s="350"/>
      <c r="BH5148" s="350"/>
    </row>
    <row r="5149" spans="4:60">
      <c r="D5149" s="350"/>
      <c r="S5149" s="350"/>
      <c r="BF5149" s="350"/>
      <c r="BG5149" s="350"/>
      <c r="BH5149" s="350"/>
    </row>
    <row r="5150" spans="4:60">
      <c r="D5150" s="350"/>
      <c r="S5150" s="350"/>
      <c r="BF5150" s="350"/>
      <c r="BG5150" s="350"/>
      <c r="BH5150" s="350"/>
    </row>
    <row r="5151" spans="4:60">
      <c r="D5151" s="350"/>
      <c r="S5151" s="350"/>
      <c r="BF5151" s="350"/>
      <c r="BG5151" s="350"/>
      <c r="BH5151" s="350"/>
    </row>
    <row r="5152" spans="4:60">
      <c r="D5152" s="350"/>
      <c r="S5152" s="350"/>
      <c r="BF5152" s="350"/>
      <c r="BG5152" s="350"/>
      <c r="BH5152" s="350"/>
    </row>
    <row r="5153" spans="4:60">
      <c r="D5153" s="350"/>
      <c r="S5153" s="350"/>
      <c r="BF5153" s="350"/>
      <c r="BG5153" s="350"/>
      <c r="BH5153" s="350"/>
    </row>
    <row r="5154" spans="4:60">
      <c r="D5154" s="350"/>
      <c r="S5154" s="350"/>
      <c r="BF5154" s="350"/>
      <c r="BG5154" s="350"/>
      <c r="BH5154" s="350"/>
    </row>
    <row r="5155" spans="4:60">
      <c r="D5155" s="350"/>
      <c r="S5155" s="350"/>
      <c r="BF5155" s="350"/>
      <c r="BG5155" s="350"/>
      <c r="BH5155" s="350"/>
    </row>
    <row r="5156" spans="4:60">
      <c r="D5156" s="350"/>
      <c r="S5156" s="350"/>
      <c r="BF5156" s="350"/>
      <c r="BG5156" s="350"/>
      <c r="BH5156" s="350"/>
    </row>
    <row r="5157" spans="4:60">
      <c r="D5157" s="350"/>
      <c r="S5157" s="350"/>
      <c r="BF5157" s="350"/>
      <c r="BG5157" s="350"/>
      <c r="BH5157" s="350"/>
    </row>
    <row r="5158" spans="4:60">
      <c r="D5158" s="350"/>
      <c r="S5158" s="350"/>
      <c r="BF5158" s="350"/>
      <c r="BG5158" s="350"/>
      <c r="BH5158" s="350"/>
    </row>
    <row r="5159" spans="4:60">
      <c r="D5159" s="350"/>
      <c r="S5159" s="350"/>
      <c r="BF5159" s="350"/>
      <c r="BG5159" s="350"/>
      <c r="BH5159" s="350"/>
    </row>
    <row r="5160" spans="4:60">
      <c r="D5160" s="350"/>
      <c r="S5160" s="350"/>
      <c r="BF5160" s="350"/>
      <c r="BG5160" s="350"/>
      <c r="BH5160" s="350"/>
    </row>
    <row r="5161" spans="4:60">
      <c r="D5161" s="350"/>
      <c r="S5161" s="350"/>
      <c r="BF5161" s="350"/>
      <c r="BG5161" s="350"/>
      <c r="BH5161" s="350"/>
    </row>
    <row r="5162" spans="4:60">
      <c r="D5162" s="350"/>
      <c r="S5162" s="350"/>
      <c r="BF5162" s="350"/>
      <c r="BG5162" s="350"/>
      <c r="BH5162" s="350"/>
    </row>
    <row r="5163" spans="4:60">
      <c r="D5163" s="350"/>
      <c r="S5163" s="350"/>
      <c r="BF5163" s="350"/>
      <c r="BG5163" s="350"/>
      <c r="BH5163" s="350"/>
    </row>
    <row r="5164" spans="4:60">
      <c r="D5164" s="350"/>
      <c r="S5164" s="350"/>
      <c r="BF5164" s="350"/>
      <c r="BG5164" s="350"/>
      <c r="BH5164" s="350"/>
    </row>
    <row r="5165" spans="4:60">
      <c r="D5165" s="350"/>
      <c r="S5165" s="350"/>
      <c r="BF5165" s="350"/>
      <c r="BG5165" s="350"/>
      <c r="BH5165" s="350"/>
    </row>
    <row r="5166" spans="4:60">
      <c r="D5166" s="350"/>
      <c r="S5166" s="350"/>
      <c r="BF5166" s="350"/>
      <c r="BG5166" s="350"/>
      <c r="BH5166" s="350"/>
    </row>
    <row r="5167" spans="4:60">
      <c r="D5167" s="350"/>
      <c r="S5167" s="350"/>
      <c r="BF5167" s="350"/>
      <c r="BG5167" s="350"/>
      <c r="BH5167" s="350"/>
    </row>
    <row r="5168" spans="4:60">
      <c r="D5168" s="350"/>
      <c r="S5168" s="350"/>
      <c r="BF5168" s="350"/>
      <c r="BG5168" s="350"/>
      <c r="BH5168" s="350"/>
    </row>
    <row r="5169" spans="4:60">
      <c r="D5169" s="350"/>
      <c r="S5169" s="350"/>
      <c r="BF5169" s="350"/>
      <c r="BG5169" s="350"/>
      <c r="BH5169" s="350"/>
    </row>
    <row r="5170" spans="4:60">
      <c r="D5170" s="350"/>
      <c r="S5170" s="350"/>
      <c r="BF5170" s="350"/>
      <c r="BG5170" s="350"/>
      <c r="BH5170" s="350"/>
    </row>
    <row r="5171" spans="4:60">
      <c r="D5171" s="350"/>
      <c r="S5171" s="350"/>
      <c r="BF5171" s="350"/>
      <c r="BG5171" s="350"/>
      <c r="BH5171" s="350"/>
    </row>
    <row r="5172" spans="4:60">
      <c r="D5172" s="350"/>
      <c r="S5172" s="350"/>
      <c r="BF5172" s="350"/>
      <c r="BG5172" s="350"/>
      <c r="BH5172" s="350"/>
    </row>
    <row r="5173" spans="4:60">
      <c r="D5173" s="350"/>
      <c r="S5173" s="350"/>
      <c r="BF5173" s="350"/>
      <c r="BG5173" s="350"/>
      <c r="BH5173" s="350"/>
    </row>
    <row r="5174" spans="4:60">
      <c r="D5174" s="350"/>
      <c r="S5174" s="350"/>
      <c r="BF5174" s="350"/>
      <c r="BG5174" s="350"/>
      <c r="BH5174" s="350"/>
    </row>
    <row r="5175" spans="4:60">
      <c r="D5175" s="350"/>
      <c r="S5175" s="350"/>
      <c r="BF5175" s="350"/>
      <c r="BG5175" s="350"/>
      <c r="BH5175" s="350"/>
    </row>
    <row r="5176" spans="4:60">
      <c r="D5176" s="350"/>
      <c r="S5176" s="350"/>
      <c r="BF5176" s="350"/>
      <c r="BG5176" s="350"/>
      <c r="BH5176" s="350"/>
    </row>
    <row r="5177" spans="4:60">
      <c r="D5177" s="350"/>
      <c r="S5177" s="350"/>
      <c r="BF5177" s="350"/>
      <c r="BG5177" s="350"/>
      <c r="BH5177" s="350"/>
    </row>
    <row r="5178" spans="4:60">
      <c r="D5178" s="350"/>
      <c r="S5178" s="350"/>
      <c r="BF5178" s="350"/>
      <c r="BG5178" s="350"/>
      <c r="BH5178" s="350"/>
    </row>
    <row r="5179" spans="4:60">
      <c r="D5179" s="350"/>
      <c r="S5179" s="350"/>
      <c r="BF5179" s="350"/>
      <c r="BG5179" s="350"/>
      <c r="BH5179" s="350"/>
    </row>
    <row r="5180" spans="4:60">
      <c r="D5180" s="350"/>
      <c r="S5180" s="350"/>
      <c r="BF5180" s="350"/>
      <c r="BG5180" s="350"/>
      <c r="BH5180" s="350"/>
    </row>
    <row r="5181" spans="4:60">
      <c r="D5181" s="350"/>
      <c r="S5181" s="350"/>
      <c r="BF5181" s="350"/>
      <c r="BG5181" s="350"/>
      <c r="BH5181" s="350"/>
    </row>
    <row r="5182" spans="4:60">
      <c r="D5182" s="350"/>
      <c r="S5182" s="350"/>
      <c r="BF5182" s="350"/>
      <c r="BG5182" s="350"/>
      <c r="BH5182" s="350"/>
    </row>
    <row r="5183" spans="4:60">
      <c r="D5183" s="350"/>
      <c r="S5183" s="350"/>
      <c r="BF5183" s="350"/>
      <c r="BG5183" s="350"/>
      <c r="BH5183" s="350"/>
    </row>
    <row r="5184" spans="4:60">
      <c r="D5184" s="350"/>
      <c r="S5184" s="350"/>
      <c r="BF5184" s="350"/>
      <c r="BG5184" s="350"/>
      <c r="BH5184" s="350"/>
    </row>
    <row r="5185" spans="4:60">
      <c r="D5185" s="350"/>
      <c r="S5185" s="350"/>
      <c r="BF5185" s="350"/>
      <c r="BG5185" s="350"/>
      <c r="BH5185" s="350"/>
    </row>
    <row r="5186" spans="4:60">
      <c r="D5186" s="350"/>
      <c r="S5186" s="350"/>
      <c r="BF5186" s="350"/>
      <c r="BG5186" s="350"/>
      <c r="BH5186" s="350"/>
    </row>
    <row r="5187" spans="4:60">
      <c r="D5187" s="350"/>
      <c r="S5187" s="350"/>
      <c r="BF5187" s="350"/>
      <c r="BG5187" s="350"/>
      <c r="BH5187" s="350"/>
    </row>
    <row r="5188" spans="4:60">
      <c r="D5188" s="350"/>
      <c r="S5188" s="350"/>
      <c r="BF5188" s="350"/>
      <c r="BG5188" s="350"/>
      <c r="BH5188" s="350"/>
    </row>
    <row r="5189" spans="4:60">
      <c r="D5189" s="350"/>
      <c r="S5189" s="350"/>
      <c r="BF5189" s="350"/>
      <c r="BG5189" s="350"/>
      <c r="BH5189" s="350"/>
    </row>
    <row r="5190" spans="4:60">
      <c r="D5190" s="350"/>
      <c r="S5190" s="350"/>
      <c r="BF5190" s="350"/>
      <c r="BG5190" s="350"/>
      <c r="BH5190" s="350"/>
    </row>
    <row r="5191" spans="4:60">
      <c r="D5191" s="350"/>
      <c r="S5191" s="350"/>
      <c r="BF5191" s="350"/>
      <c r="BG5191" s="350"/>
      <c r="BH5191" s="350"/>
    </row>
    <row r="5192" spans="4:60">
      <c r="D5192" s="350"/>
      <c r="S5192" s="350"/>
      <c r="BF5192" s="350"/>
      <c r="BG5192" s="350"/>
      <c r="BH5192" s="350"/>
    </row>
    <row r="5193" spans="4:60">
      <c r="D5193" s="350"/>
      <c r="S5193" s="350"/>
      <c r="BF5193" s="350"/>
      <c r="BG5193" s="350"/>
      <c r="BH5193" s="350"/>
    </row>
    <row r="5194" spans="4:60">
      <c r="D5194" s="350"/>
      <c r="S5194" s="350"/>
      <c r="BF5194" s="350"/>
      <c r="BG5194" s="350"/>
      <c r="BH5194" s="350"/>
    </row>
    <row r="5195" spans="4:60">
      <c r="D5195" s="350"/>
      <c r="S5195" s="350"/>
      <c r="BF5195" s="350"/>
      <c r="BG5195" s="350"/>
      <c r="BH5195" s="350"/>
    </row>
    <row r="5196" spans="4:60">
      <c r="D5196" s="350"/>
      <c r="S5196" s="350"/>
      <c r="BF5196" s="350"/>
      <c r="BG5196" s="350"/>
      <c r="BH5196" s="350"/>
    </row>
    <row r="5197" spans="4:60">
      <c r="D5197" s="350"/>
      <c r="S5197" s="350"/>
      <c r="BF5197" s="350"/>
      <c r="BG5197" s="350"/>
      <c r="BH5197" s="350"/>
    </row>
    <row r="5198" spans="4:60">
      <c r="D5198" s="350"/>
      <c r="S5198" s="350"/>
      <c r="BF5198" s="350"/>
      <c r="BG5198" s="350"/>
      <c r="BH5198" s="350"/>
    </row>
    <row r="5199" spans="4:60">
      <c r="D5199" s="350"/>
      <c r="S5199" s="350"/>
      <c r="BF5199" s="350"/>
      <c r="BG5199" s="350"/>
      <c r="BH5199" s="350"/>
    </row>
    <row r="5200" spans="4:60">
      <c r="D5200" s="350"/>
      <c r="S5200" s="350"/>
      <c r="BF5200" s="350"/>
      <c r="BG5200" s="350"/>
      <c r="BH5200" s="350"/>
    </row>
    <row r="5201" spans="4:60">
      <c r="D5201" s="350"/>
      <c r="S5201" s="350"/>
      <c r="BF5201" s="350"/>
      <c r="BG5201" s="350"/>
      <c r="BH5201" s="350"/>
    </row>
    <row r="5202" spans="4:60">
      <c r="D5202" s="350"/>
      <c r="S5202" s="350"/>
      <c r="BF5202" s="350"/>
      <c r="BG5202" s="350"/>
      <c r="BH5202" s="350"/>
    </row>
    <row r="5203" spans="4:60">
      <c r="D5203" s="350"/>
      <c r="S5203" s="350"/>
      <c r="BF5203" s="350"/>
      <c r="BG5203" s="350"/>
      <c r="BH5203" s="350"/>
    </row>
    <row r="5204" spans="4:60">
      <c r="D5204" s="350"/>
      <c r="S5204" s="350"/>
      <c r="BF5204" s="350"/>
      <c r="BG5204" s="350"/>
      <c r="BH5204" s="350"/>
    </row>
    <row r="5205" spans="4:60">
      <c r="D5205" s="350"/>
      <c r="S5205" s="350"/>
      <c r="BF5205" s="350"/>
      <c r="BG5205" s="350"/>
      <c r="BH5205" s="350"/>
    </row>
    <row r="5206" spans="4:60">
      <c r="D5206" s="350"/>
      <c r="S5206" s="350"/>
      <c r="BF5206" s="350"/>
      <c r="BG5206" s="350"/>
      <c r="BH5206" s="350"/>
    </row>
    <row r="5207" spans="4:60">
      <c r="D5207" s="350"/>
      <c r="S5207" s="350"/>
      <c r="BF5207" s="350"/>
      <c r="BG5207" s="350"/>
      <c r="BH5207" s="350"/>
    </row>
    <row r="5208" spans="4:60">
      <c r="D5208" s="350"/>
      <c r="S5208" s="350"/>
      <c r="BF5208" s="350"/>
      <c r="BG5208" s="350"/>
      <c r="BH5208" s="350"/>
    </row>
    <row r="5209" spans="4:60">
      <c r="D5209" s="350"/>
      <c r="S5209" s="350"/>
      <c r="BF5209" s="350"/>
      <c r="BG5209" s="350"/>
      <c r="BH5209" s="350"/>
    </row>
    <row r="5210" spans="4:60">
      <c r="D5210" s="350"/>
      <c r="S5210" s="350"/>
      <c r="BF5210" s="350"/>
      <c r="BG5210" s="350"/>
      <c r="BH5210" s="350"/>
    </row>
    <row r="5211" spans="4:60">
      <c r="D5211" s="350"/>
      <c r="S5211" s="350"/>
      <c r="BF5211" s="350"/>
      <c r="BG5211" s="350"/>
      <c r="BH5211" s="350"/>
    </row>
    <row r="5212" spans="4:60">
      <c r="D5212" s="350"/>
      <c r="S5212" s="350"/>
      <c r="BF5212" s="350"/>
      <c r="BG5212" s="350"/>
      <c r="BH5212" s="350"/>
    </row>
    <row r="5213" spans="4:60">
      <c r="D5213" s="350"/>
      <c r="S5213" s="350"/>
      <c r="BF5213" s="350"/>
      <c r="BG5213" s="350"/>
      <c r="BH5213" s="350"/>
    </row>
    <row r="5214" spans="4:60">
      <c r="D5214" s="350"/>
      <c r="S5214" s="350"/>
      <c r="BF5214" s="350"/>
      <c r="BG5214" s="350"/>
      <c r="BH5214" s="350"/>
    </row>
    <row r="5215" spans="4:60">
      <c r="D5215" s="350"/>
      <c r="S5215" s="350"/>
      <c r="BF5215" s="350"/>
      <c r="BG5215" s="350"/>
      <c r="BH5215" s="350"/>
    </row>
    <row r="5216" spans="4:60">
      <c r="D5216" s="350"/>
      <c r="S5216" s="350"/>
      <c r="BF5216" s="350"/>
      <c r="BG5216" s="350"/>
      <c r="BH5216" s="350"/>
    </row>
    <row r="5217" spans="4:60">
      <c r="D5217" s="350"/>
      <c r="S5217" s="350"/>
      <c r="BF5217" s="350"/>
      <c r="BG5217" s="350"/>
      <c r="BH5217" s="350"/>
    </row>
    <row r="5218" spans="4:60">
      <c r="D5218" s="350"/>
      <c r="S5218" s="350"/>
      <c r="BF5218" s="350"/>
      <c r="BG5218" s="350"/>
      <c r="BH5218" s="350"/>
    </row>
    <row r="5219" spans="4:60">
      <c r="D5219" s="350"/>
      <c r="S5219" s="350"/>
      <c r="BF5219" s="350"/>
      <c r="BG5219" s="350"/>
      <c r="BH5219" s="350"/>
    </row>
    <row r="5220" spans="4:60">
      <c r="D5220" s="350"/>
      <c r="S5220" s="350"/>
      <c r="BF5220" s="350"/>
      <c r="BG5220" s="350"/>
      <c r="BH5220" s="350"/>
    </row>
    <row r="5221" spans="4:60">
      <c r="D5221" s="350"/>
      <c r="S5221" s="350"/>
      <c r="BF5221" s="350"/>
      <c r="BG5221" s="350"/>
      <c r="BH5221" s="350"/>
    </row>
    <row r="5222" spans="4:60">
      <c r="D5222" s="350"/>
      <c r="S5222" s="350"/>
      <c r="BF5222" s="350"/>
      <c r="BG5222" s="350"/>
      <c r="BH5222" s="350"/>
    </row>
    <row r="5223" spans="4:60">
      <c r="D5223" s="350"/>
      <c r="S5223" s="350"/>
      <c r="BF5223" s="350"/>
      <c r="BG5223" s="350"/>
      <c r="BH5223" s="350"/>
    </row>
    <row r="5224" spans="4:60">
      <c r="D5224" s="350"/>
      <c r="S5224" s="350"/>
      <c r="BF5224" s="350"/>
      <c r="BG5224" s="350"/>
      <c r="BH5224" s="350"/>
    </row>
    <row r="5225" spans="4:60">
      <c r="D5225" s="350"/>
      <c r="S5225" s="350"/>
      <c r="BF5225" s="350"/>
      <c r="BG5225" s="350"/>
      <c r="BH5225" s="350"/>
    </row>
    <row r="5226" spans="4:60">
      <c r="D5226" s="350"/>
      <c r="S5226" s="350"/>
      <c r="BF5226" s="350"/>
      <c r="BG5226" s="350"/>
      <c r="BH5226" s="350"/>
    </row>
    <row r="5227" spans="4:60">
      <c r="D5227" s="350"/>
      <c r="S5227" s="350"/>
      <c r="BF5227" s="350"/>
      <c r="BG5227" s="350"/>
      <c r="BH5227" s="350"/>
    </row>
    <row r="5228" spans="4:60">
      <c r="D5228" s="350"/>
      <c r="S5228" s="350"/>
      <c r="BF5228" s="350"/>
      <c r="BG5228" s="350"/>
      <c r="BH5228" s="350"/>
    </row>
    <row r="5229" spans="4:60">
      <c r="D5229" s="350"/>
      <c r="S5229" s="350"/>
      <c r="BF5229" s="350"/>
      <c r="BG5229" s="350"/>
      <c r="BH5229" s="350"/>
    </row>
    <row r="5230" spans="4:60">
      <c r="D5230" s="350"/>
      <c r="S5230" s="350"/>
      <c r="BF5230" s="350"/>
      <c r="BG5230" s="350"/>
      <c r="BH5230" s="350"/>
    </row>
    <row r="5231" spans="4:60">
      <c r="D5231" s="350"/>
      <c r="S5231" s="350"/>
      <c r="BF5231" s="350"/>
      <c r="BG5231" s="350"/>
      <c r="BH5231" s="350"/>
    </row>
    <row r="5232" spans="4:60">
      <c r="D5232" s="350"/>
      <c r="S5232" s="350"/>
      <c r="BF5232" s="350"/>
      <c r="BG5232" s="350"/>
      <c r="BH5232" s="350"/>
    </row>
    <row r="5233" spans="4:60">
      <c r="D5233" s="350"/>
      <c r="S5233" s="350"/>
      <c r="BF5233" s="350"/>
      <c r="BG5233" s="350"/>
      <c r="BH5233" s="350"/>
    </row>
    <row r="5234" spans="4:60">
      <c r="D5234" s="350"/>
      <c r="S5234" s="350"/>
      <c r="BF5234" s="350"/>
      <c r="BG5234" s="350"/>
      <c r="BH5234" s="350"/>
    </row>
    <row r="5235" spans="4:60">
      <c r="D5235" s="350"/>
      <c r="S5235" s="350"/>
      <c r="BF5235" s="350"/>
      <c r="BG5235" s="350"/>
      <c r="BH5235" s="350"/>
    </row>
    <row r="5236" spans="4:60">
      <c r="D5236" s="350"/>
      <c r="S5236" s="350"/>
      <c r="BF5236" s="350"/>
      <c r="BG5236" s="350"/>
      <c r="BH5236" s="350"/>
    </row>
    <row r="5237" spans="4:60">
      <c r="D5237" s="350"/>
      <c r="S5237" s="350"/>
      <c r="BF5237" s="350"/>
      <c r="BG5237" s="350"/>
      <c r="BH5237" s="350"/>
    </row>
    <row r="5238" spans="4:60">
      <c r="D5238" s="350"/>
      <c r="S5238" s="350"/>
      <c r="BF5238" s="350"/>
      <c r="BG5238" s="350"/>
      <c r="BH5238" s="350"/>
    </row>
    <row r="5239" spans="4:60">
      <c r="D5239" s="350"/>
      <c r="S5239" s="350"/>
      <c r="BF5239" s="350"/>
      <c r="BG5239" s="350"/>
      <c r="BH5239" s="350"/>
    </row>
    <row r="5240" spans="4:60">
      <c r="D5240" s="350"/>
      <c r="S5240" s="350"/>
      <c r="BF5240" s="350"/>
      <c r="BG5240" s="350"/>
      <c r="BH5240" s="350"/>
    </row>
    <row r="5241" spans="4:60">
      <c r="D5241" s="350"/>
      <c r="S5241" s="350"/>
      <c r="BF5241" s="350"/>
      <c r="BG5241" s="350"/>
      <c r="BH5241" s="350"/>
    </row>
    <row r="5242" spans="4:60">
      <c r="D5242" s="350"/>
      <c r="S5242" s="350"/>
      <c r="BF5242" s="350"/>
      <c r="BG5242" s="350"/>
      <c r="BH5242" s="350"/>
    </row>
    <row r="5243" spans="4:60">
      <c r="D5243" s="350"/>
      <c r="S5243" s="350"/>
      <c r="BF5243" s="350"/>
      <c r="BG5243" s="350"/>
      <c r="BH5243" s="350"/>
    </row>
    <row r="5244" spans="4:60">
      <c r="D5244" s="350"/>
      <c r="S5244" s="350"/>
      <c r="BF5244" s="350"/>
      <c r="BG5244" s="350"/>
      <c r="BH5244" s="350"/>
    </row>
    <row r="5245" spans="4:60">
      <c r="D5245" s="350"/>
      <c r="S5245" s="350"/>
      <c r="BF5245" s="350"/>
      <c r="BG5245" s="350"/>
      <c r="BH5245" s="350"/>
    </row>
    <row r="5246" spans="4:60">
      <c r="D5246" s="350"/>
      <c r="S5246" s="350"/>
      <c r="BF5246" s="350"/>
      <c r="BG5246" s="350"/>
      <c r="BH5246" s="350"/>
    </row>
    <row r="5247" spans="4:60">
      <c r="D5247" s="350"/>
      <c r="S5247" s="350"/>
      <c r="BF5247" s="350"/>
      <c r="BG5247" s="350"/>
      <c r="BH5247" s="350"/>
    </row>
    <row r="5248" spans="4:60">
      <c r="D5248" s="350"/>
      <c r="S5248" s="350"/>
      <c r="BF5248" s="350"/>
      <c r="BG5248" s="350"/>
      <c r="BH5248" s="350"/>
    </row>
    <row r="5249" spans="4:60">
      <c r="D5249" s="350"/>
      <c r="S5249" s="350"/>
      <c r="BF5249" s="350"/>
      <c r="BG5249" s="350"/>
      <c r="BH5249" s="350"/>
    </row>
    <row r="5250" spans="4:60">
      <c r="D5250" s="350"/>
      <c r="S5250" s="350"/>
      <c r="BF5250" s="350"/>
      <c r="BG5250" s="350"/>
      <c r="BH5250" s="350"/>
    </row>
    <row r="5251" spans="4:60">
      <c r="D5251" s="350"/>
      <c r="S5251" s="350"/>
      <c r="BF5251" s="350"/>
      <c r="BG5251" s="350"/>
      <c r="BH5251" s="350"/>
    </row>
    <row r="5252" spans="4:60">
      <c r="D5252" s="350"/>
      <c r="S5252" s="350"/>
      <c r="BF5252" s="350"/>
      <c r="BG5252" s="350"/>
      <c r="BH5252" s="350"/>
    </row>
    <row r="5253" spans="4:60">
      <c r="D5253" s="350"/>
      <c r="S5253" s="350"/>
      <c r="BF5253" s="350"/>
      <c r="BG5253" s="350"/>
      <c r="BH5253" s="350"/>
    </row>
    <row r="5254" spans="4:60">
      <c r="D5254" s="350"/>
      <c r="S5254" s="350"/>
      <c r="BF5254" s="350"/>
      <c r="BG5254" s="350"/>
      <c r="BH5254" s="350"/>
    </row>
    <row r="5255" spans="4:60">
      <c r="D5255" s="350"/>
      <c r="S5255" s="350"/>
      <c r="BF5255" s="350"/>
      <c r="BG5255" s="350"/>
      <c r="BH5255" s="350"/>
    </row>
    <row r="5256" spans="4:60">
      <c r="D5256" s="350"/>
      <c r="S5256" s="350"/>
      <c r="BF5256" s="350"/>
      <c r="BG5256" s="350"/>
      <c r="BH5256" s="350"/>
    </row>
    <row r="5257" spans="4:60">
      <c r="D5257" s="350"/>
      <c r="S5257" s="350"/>
      <c r="BF5257" s="350"/>
      <c r="BG5257" s="350"/>
      <c r="BH5257" s="350"/>
    </row>
    <row r="5258" spans="4:60">
      <c r="D5258" s="350"/>
      <c r="S5258" s="350"/>
      <c r="BF5258" s="350"/>
      <c r="BG5258" s="350"/>
      <c r="BH5258" s="350"/>
    </row>
    <row r="5259" spans="4:60">
      <c r="D5259" s="350"/>
      <c r="S5259" s="350"/>
      <c r="BF5259" s="350"/>
      <c r="BG5259" s="350"/>
      <c r="BH5259" s="350"/>
    </row>
    <row r="5260" spans="4:60">
      <c r="D5260" s="350"/>
      <c r="S5260" s="350"/>
      <c r="BF5260" s="350"/>
      <c r="BG5260" s="350"/>
      <c r="BH5260" s="350"/>
    </row>
    <row r="5261" spans="4:60">
      <c r="D5261" s="350"/>
      <c r="S5261" s="350"/>
      <c r="BF5261" s="350"/>
      <c r="BG5261" s="350"/>
      <c r="BH5261" s="350"/>
    </row>
    <row r="5262" spans="4:60">
      <c r="D5262" s="350"/>
      <c r="S5262" s="350"/>
      <c r="BF5262" s="350"/>
      <c r="BG5262" s="350"/>
      <c r="BH5262" s="350"/>
    </row>
    <row r="5263" spans="4:60">
      <c r="D5263" s="350"/>
      <c r="S5263" s="350"/>
      <c r="BF5263" s="350"/>
      <c r="BG5263" s="350"/>
      <c r="BH5263" s="350"/>
    </row>
    <row r="5264" spans="4:60">
      <c r="D5264" s="350"/>
      <c r="S5264" s="350"/>
      <c r="BF5264" s="350"/>
      <c r="BG5264" s="350"/>
      <c r="BH5264" s="350"/>
    </row>
    <row r="5265" spans="4:60">
      <c r="D5265" s="350"/>
      <c r="S5265" s="350"/>
      <c r="BF5265" s="350"/>
      <c r="BG5265" s="350"/>
      <c r="BH5265" s="350"/>
    </row>
    <row r="5266" spans="4:60">
      <c r="D5266" s="350"/>
      <c r="S5266" s="350"/>
      <c r="BF5266" s="350"/>
      <c r="BG5266" s="350"/>
      <c r="BH5266" s="350"/>
    </row>
    <row r="5267" spans="4:60">
      <c r="D5267" s="350"/>
      <c r="S5267" s="350"/>
      <c r="BF5267" s="350"/>
      <c r="BG5267" s="350"/>
      <c r="BH5267" s="350"/>
    </row>
    <row r="5268" spans="4:60">
      <c r="D5268" s="350"/>
      <c r="S5268" s="350"/>
      <c r="BF5268" s="350"/>
      <c r="BG5268" s="350"/>
      <c r="BH5268" s="350"/>
    </row>
    <row r="5269" spans="4:60">
      <c r="D5269" s="350"/>
      <c r="S5269" s="350"/>
      <c r="BF5269" s="350"/>
      <c r="BG5269" s="350"/>
      <c r="BH5269" s="350"/>
    </row>
    <row r="5270" spans="4:60">
      <c r="D5270" s="350"/>
      <c r="S5270" s="350"/>
      <c r="BF5270" s="350"/>
      <c r="BG5270" s="350"/>
      <c r="BH5270" s="350"/>
    </row>
    <row r="5271" spans="4:60">
      <c r="D5271" s="350"/>
      <c r="S5271" s="350"/>
      <c r="BF5271" s="350"/>
      <c r="BG5271" s="350"/>
      <c r="BH5271" s="350"/>
    </row>
    <row r="5272" spans="4:60">
      <c r="D5272" s="350"/>
      <c r="S5272" s="350"/>
      <c r="BF5272" s="350"/>
      <c r="BG5272" s="350"/>
      <c r="BH5272" s="350"/>
    </row>
    <row r="5273" spans="4:60">
      <c r="D5273" s="350"/>
      <c r="S5273" s="350"/>
      <c r="BF5273" s="350"/>
      <c r="BG5273" s="350"/>
      <c r="BH5273" s="350"/>
    </row>
    <row r="5274" spans="4:60">
      <c r="D5274" s="350"/>
      <c r="S5274" s="350"/>
      <c r="BF5274" s="350"/>
      <c r="BG5274" s="350"/>
      <c r="BH5274" s="350"/>
    </row>
    <row r="5275" spans="4:60">
      <c r="D5275" s="350"/>
      <c r="S5275" s="350"/>
      <c r="BF5275" s="350"/>
      <c r="BG5275" s="350"/>
      <c r="BH5275" s="350"/>
    </row>
    <row r="5276" spans="4:60">
      <c r="D5276" s="350"/>
      <c r="S5276" s="350"/>
      <c r="BF5276" s="350"/>
      <c r="BG5276" s="350"/>
      <c r="BH5276" s="350"/>
    </row>
    <row r="5277" spans="4:60">
      <c r="D5277" s="350"/>
      <c r="S5277" s="350"/>
      <c r="BF5277" s="350"/>
      <c r="BG5277" s="350"/>
      <c r="BH5277" s="350"/>
    </row>
    <row r="5278" spans="4:60">
      <c r="D5278" s="350"/>
      <c r="S5278" s="350"/>
      <c r="BF5278" s="350"/>
      <c r="BG5278" s="350"/>
      <c r="BH5278" s="350"/>
    </row>
    <row r="5279" spans="4:60">
      <c r="D5279" s="350"/>
      <c r="S5279" s="350"/>
      <c r="BF5279" s="350"/>
      <c r="BG5279" s="350"/>
      <c r="BH5279" s="350"/>
    </row>
    <row r="5280" spans="4:60">
      <c r="D5280" s="350"/>
      <c r="S5280" s="350"/>
      <c r="BF5280" s="350"/>
      <c r="BG5280" s="350"/>
      <c r="BH5280" s="350"/>
    </row>
    <row r="5281" spans="4:60">
      <c r="D5281" s="350"/>
      <c r="S5281" s="350"/>
      <c r="BF5281" s="350"/>
      <c r="BG5281" s="350"/>
      <c r="BH5281" s="350"/>
    </row>
    <row r="5282" spans="4:60">
      <c r="D5282" s="350"/>
      <c r="S5282" s="350"/>
      <c r="BF5282" s="350"/>
      <c r="BG5282" s="350"/>
      <c r="BH5282" s="350"/>
    </row>
    <row r="5283" spans="4:60">
      <c r="D5283" s="350"/>
      <c r="S5283" s="350"/>
      <c r="BF5283" s="350"/>
      <c r="BG5283" s="350"/>
      <c r="BH5283" s="350"/>
    </row>
    <row r="5284" spans="4:60">
      <c r="D5284" s="350"/>
      <c r="S5284" s="350"/>
      <c r="BF5284" s="350"/>
      <c r="BG5284" s="350"/>
      <c r="BH5284" s="350"/>
    </row>
    <row r="5285" spans="4:60">
      <c r="D5285" s="350"/>
      <c r="S5285" s="350"/>
      <c r="BF5285" s="350"/>
      <c r="BG5285" s="350"/>
      <c r="BH5285" s="350"/>
    </row>
    <row r="5286" spans="4:60">
      <c r="D5286" s="350"/>
      <c r="S5286" s="350"/>
      <c r="BF5286" s="350"/>
      <c r="BG5286" s="350"/>
      <c r="BH5286" s="350"/>
    </row>
    <row r="5287" spans="4:60">
      <c r="D5287" s="350"/>
      <c r="S5287" s="350"/>
      <c r="BF5287" s="350"/>
      <c r="BG5287" s="350"/>
      <c r="BH5287" s="350"/>
    </row>
    <row r="5288" spans="4:60">
      <c r="D5288" s="350"/>
      <c r="S5288" s="350"/>
      <c r="BF5288" s="350"/>
      <c r="BG5288" s="350"/>
      <c r="BH5288" s="350"/>
    </row>
    <row r="5289" spans="4:60">
      <c r="D5289" s="350"/>
      <c r="S5289" s="350"/>
      <c r="BF5289" s="350"/>
      <c r="BG5289" s="350"/>
      <c r="BH5289" s="350"/>
    </row>
    <row r="5290" spans="4:60">
      <c r="D5290" s="350"/>
      <c r="S5290" s="350"/>
      <c r="BF5290" s="350"/>
      <c r="BG5290" s="350"/>
      <c r="BH5290" s="350"/>
    </row>
    <row r="5291" spans="4:60">
      <c r="D5291" s="350"/>
      <c r="S5291" s="350"/>
      <c r="BF5291" s="350"/>
      <c r="BG5291" s="350"/>
      <c r="BH5291" s="350"/>
    </row>
    <row r="5292" spans="4:60">
      <c r="D5292" s="350"/>
      <c r="S5292" s="350"/>
      <c r="BF5292" s="350"/>
      <c r="BG5292" s="350"/>
      <c r="BH5292" s="350"/>
    </row>
    <row r="5293" spans="4:60">
      <c r="D5293" s="350"/>
      <c r="S5293" s="350"/>
      <c r="BF5293" s="350"/>
      <c r="BG5293" s="350"/>
      <c r="BH5293" s="350"/>
    </row>
    <row r="5294" spans="4:60">
      <c r="D5294" s="350"/>
      <c r="S5294" s="350"/>
      <c r="BF5294" s="350"/>
      <c r="BG5294" s="350"/>
      <c r="BH5294" s="350"/>
    </row>
    <row r="5295" spans="4:60">
      <c r="D5295" s="350"/>
      <c r="S5295" s="350"/>
      <c r="BF5295" s="350"/>
      <c r="BG5295" s="350"/>
      <c r="BH5295" s="350"/>
    </row>
    <row r="5296" spans="4:60">
      <c r="D5296" s="350"/>
      <c r="S5296" s="350"/>
      <c r="BF5296" s="350"/>
      <c r="BG5296" s="350"/>
      <c r="BH5296" s="350"/>
    </row>
    <row r="5297" spans="4:60">
      <c r="D5297" s="350"/>
      <c r="S5297" s="350"/>
      <c r="BF5297" s="350"/>
      <c r="BG5297" s="350"/>
      <c r="BH5297" s="350"/>
    </row>
    <row r="5298" spans="4:60">
      <c r="D5298" s="350"/>
      <c r="S5298" s="350"/>
      <c r="BF5298" s="350"/>
      <c r="BG5298" s="350"/>
      <c r="BH5298" s="350"/>
    </row>
    <row r="5299" spans="4:60">
      <c r="D5299" s="350"/>
      <c r="S5299" s="350"/>
      <c r="BF5299" s="350"/>
      <c r="BG5299" s="350"/>
      <c r="BH5299" s="350"/>
    </row>
    <row r="5300" spans="4:60">
      <c r="D5300" s="350"/>
      <c r="S5300" s="350"/>
      <c r="BF5300" s="350"/>
      <c r="BG5300" s="350"/>
      <c r="BH5300" s="350"/>
    </row>
    <row r="5301" spans="4:60">
      <c r="D5301" s="350"/>
      <c r="S5301" s="350"/>
      <c r="BF5301" s="350"/>
      <c r="BG5301" s="350"/>
      <c r="BH5301" s="350"/>
    </row>
    <row r="5302" spans="4:60">
      <c r="D5302" s="350"/>
      <c r="S5302" s="350"/>
      <c r="BF5302" s="350"/>
      <c r="BG5302" s="350"/>
      <c r="BH5302" s="350"/>
    </row>
    <row r="5303" spans="4:60">
      <c r="D5303" s="350"/>
      <c r="S5303" s="350"/>
      <c r="BF5303" s="350"/>
      <c r="BG5303" s="350"/>
      <c r="BH5303" s="350"/>
    </row>
    <row r="5304" spans="4:60">
      <c r="D5304" s="350"/>
      <c r="S5304" s="350"/>
      <c r="BF5304" s="350"/>
      <c r="BG5304" s="350"/>
      <c r="BH5304" s="350"/>
    </row>
    <row r="5305" spans="4:60">
      <c r="D5305" s="350"/>
      <c r="S5305" s="350"/>
      <c r="BF5305" s="350"/>
      <c r="BG5305" s="350"/>
      <c r="BH5305" s="350"/>
    </row>
    <row r="5306" spans="4:60">
      <c r="D5306" s="350"/>
      <c r="S5306" s="350"/>
      <c r="BF5306" s="350"/>
      <c r="BG5306" s="350"/>
      <c r="BH5306" s="350"/>
    </row>
    <row r="5307" spans="4:60">
      <c r="D5307" s="350"/>
      <c r="S5307" s="350"/>
      <c r="BF5307" s="350"/>
      <c r="BG5307" s="350"/>
      <c r="BH5307" s="350"/>
    </row>
    <row r="5308" spans="4:60">
      <c r="D5308" s="350"/>
      <c r="S5308" s="350"/>
      <c r="BF5308" s="350"/>
      <c r="BG5308" s="350"/>
      <c r="BH5308" s="350"/>
    </row>
    <row r="5309" spans="4:60">
      <c r="D5309" s="350"/>
      <c r="S5309" s="350"/>
      <c r="BF5309" s="350"/>
      <c r="BG5309" s="350"/>
      <c r="BH5309" s="350"/>
    </row>
    <row r="5310" spans="4:60">
      <c r="D5310" s="350"/>
      <c r="S5310" s="350"/>
      <c r="BF5310" s="350"/>
      <c r="BG5310" s="350"/>
      <c r="BH5310" s="350"/>
    </row>
    <row r="5315" spans="4:60">
      <c r="D5315" s="350"/>
      <c r="S5315" s="350"/>
      <c r="BF5315" s="350"/>
      <c r="BG5315" s="350"/>
      <c r="BH5315" s="350"/>
    </row>
    <row r="5316" spans="4:60">
      <c r="D5316" s="350"/>
      <c r="S5316" s="350"/>
      <c r="BF5316" s="350"/>
      <c r="BG5316" s="350"/>
      <c r="BH5316" s="350"/>
    </row>
    <row r="5319" spans="4:60">
      <c r="D5319" s="350"/>
      <c r="S5319" s="350"/>
      <c r="BF5319" s="350"/>
      <c r="BG5319" s="350"/>
      <c r="BH5319" s="350"/>
    </row>
    <row r="5320" spans="4:60">
      <c r="D5320" s="350"/>
      <c r="S5320" s="350"/>
      <c r="BF5320" s="350"/>
      <c r="BG5320" s="350"/>
      <c r="BH5320" s="350"/>
    </row>
    <row r="5321" spans="4:60">
      <c r="D5321" s="350"/>
      <c r="S5321" s="350"/>
      <c r="BF5321" s="350"/>
      <c r="BG5321" s="350"/>
      <c r="BH5321" s="350"/>
    </row>
    <row r="5322" spans="4:60">
      <c r="D5322" s="350"/>
      <c r="S5322" s="350"/>
      <c r="BF5322" s="350"/>
      <c r="BG5322" s="350"/>
      <c r="BH5322" s="350"/>
    </row>
    <row r="5323" spans="4:60">
      <c r="D5323" s="350"/>
      <c r="S5323" s="350"/>
      <c r="BF5323" s="350"/>
      <c r="BG5323" s="350"/>
      <c r="BH5323" s="350"/>
    </row>
    <row r="5324" spans="4:60">
      <c r="D5324" s="350"/>
      <c r="S5324" s="350"/>
      <c r="BF5324" s="350"/>
      <c r="BG5324" s="350"/>
      <c r="BH5324" s="350"/>
    </row>
    <row r="5325" spans="4:60">
      <c r="D5325" s="350"/>
      <c r="S5325" s="350"/>
      <c r="BF5325" s="350"/>
      <c r="BG5325" s="350"/>
      <c r="BH5325" s="350"/>
    </row>
    <row r="5326" spans="4:60">
      <c r="D5326" s="350"/>
      <c r="S5326" s="350"/>
      <c r="BF5326" s="350"/>
      <c r="BG5326" s="350"/>
      <c r="BH5326" s="350"/>
    </row>
    <row r="5327" spans="4:60">
      <c r="D5327" s="350"/>
      <c r="S5327" s="350"/>
      <c r="BF5327" s="350"/>
      <c r="BG5327" s="350"/>
      <c r="BH5327" s="350"/>
    </row>
    <row r="5328" spans="4:60">
      <c r="D5328" s="350"/>
      <c r="S5328" s="350"/>
      <c r="BF5328" s="350"/>
      <c r="BG5328" s="350"/>
      <c r="BH5328" s="350"/>
    </row>
    <row r="5329" spans="4:60">
      <c r="D5329" s="350"/>
      <c r="S5329" s="350"/>
      <c r="BF5329" s="350"/>
      <c r="BG5329" s="350"/>
      <c r="BH5329" s="350"/>
    </row>
    <row r="5330" spans="4:60">
      <c r="D5330" s="350"/>
      <c r="S5330" s="350"/>
      <c r="BF5330" s="350"/>
      <c r="BG5330" s="350"/>
      <c r="BH5330" s="350"/>
    </row>
    <row r="5331" spans="4:60">
      <c r="D5331" s="350"/>
      <c r="S5331" s="350"/>
      <c r="BF5331" s="350"/>
      <c r="BG5331" s="350"/>
      <c r="BH5331" s="350"/>
    </row>
    <row r="5332" spans="4:60">
      <c r="D5332" s="350"/>
      <c r="S5332" s="350"/>
      <c r="BF5332" s="350"/>
      <c r="BG5332" s="350"/>
      <c r="BH5332" s="350"/>
    </row>
    <row r="5333" spans="4:60">
      <c r="D5333" s="350"/>
      <c r="S5333" s="350"/>
      <c r="BF5333" s="350"/>
      <c r="BG5333" s="350"/>
      <c r="BH5333" s="350"/>
    </row>
    <row r="5334" spans="4:60">
      <c r="D5334" s="350"/>
      <c r="S5334" s="350"/>
      <c r="BF5334" s="350"/>
      <c r="BG5334" s="350"/>
      <c r="BH5334" s="350"/>
    </row>
    <row r="5335" spans="4:60">
      <c r="D5335" s="350"/>
      <c r="S5335" s="350"/>
      <c r="BF5335" s="350"/>
      <c r="BG5335" s="350"/>
      <c r="BH5335" s="350"/>
    </row>
    <row r="5336" spans="4:60">
      <c r="D5336" s="350"/>
      <c r="S5336" s="350"/>
      <c r="BF5336" s="350"/>
      <c r="BG5336" s="350"/>
      <c r="BH5336" s="350"/>
    </row>
    <row r="5337" spans="4:60">
      <c r="D5337" s="350"/>
      <c r="S5337" s="350"/>
      <c r="BF5337" s="350"/>
      <c r="BG5337" s="350"/>
      <c r="BH5337" s="350"/>
    </row>
    <row r="5338" spans="4:60">
      <c r="D5338" s="350"/>
      <c r="S5338" s="350"/>
      <c r="BF5338" s="350"/>
      <c r="BG5338" s="350"/>
      <c r="BH5338" s="350"/>
    </row>
    <row r="5339" spans="4:60">
      <c r="D5339" s="350"/>
      <c r="S5339" s="350"/>
      <c r="BF5339" s="350"/>
      <c r="BG5339" s="350"/>
      <c r="BH5339" s="350"/>
    </row>
    <row r="5340" spans="4:60">
      <c r="D5340" s="350"/>
      <c r="S5340" s="350"/>
      <c r="BF5340" s="350"/>
      <c r="BG5340" s="350"/>
      <c r="BH5340" s="350"/>
    </row>
    <row r="5341" spans="4:60">
      <c r="D5341" s="350"/>
      <c r="S5341" s="350"/>
      <c r="BF5341" s="350"/>
      <c r="BG5341" s="350"/>
      <c r="BH5341" s="350"/>
    </row>
    <row r="5342" spans="4:60">
      <c r="D5342" s="350"/>
      <c r="S5342" s="350"/>
      <c r="BF5342" s="350"/>
      <c r="BG5342" s="350"/>
      <c r="BH5342" s="350"/>
    </row>
    <row r="5343" spans="4:60">
      <c r="D5343" s="350"/>
      <c r="S5343" s="350"/>
      <c r="BF5343" s="350"/>
      <c r="BG5343" s="350"/>
      <c r="BH5343" s="350"/>
    </row>
    <row r="5344" spans="4:60">
      <c r="D5344" s="350"/>
      <c r="S5344" s="350"/>
      <c r="BF5344" s="350"/>
      <c r="BG5344" s="350"/>
      <c r="BH5344" s="350"/>
    </row>
    <row r="5345" spans="4:60">
      <c r="D5345" s="350"/>
      <c r="S5345" s="350"/>
      <c r="BF5345" s="350"/>
      <c r="BG5345" s="350"/>
      <c r="BH5345" s="350"/>
    </row>
    <row r="5346" spans="4:60">
      <c r="D5346" s="350"/>
      <c r="S5346" s="350"/>
      <c r="BF5346" s="350"/>
      <c r="BG5346" s="350"/>
      <c r="BH5346" s="350"/>
    </row>
    <row r="5347" spans="4:60">
      <c r="D5347" s="350"/>
      <c r="S5347" s="350"/>
      <c r="BF5347" s="350"/>
      <c r="BG5347" s="350"/>
      <c r="BH5347" s="350"/>
    </row>
    <row r="5348" spans="4:60">
      <c r="D5348" s="350"/>
      <c r="S5348" s="350"/>
      <c r="BF5348" s="350"/>
      <c r="BG5348" s="350"/>
      <c r="BH5348" s="350"/>
    </row>
    <row r="5349" spans="4:60">
      <c r="D5349" s="350"/>
      <c r="S5349" s="350"/>
      <c r="BF5349" s="350"/>
      <c r="BG5349" s="350"/>
      <c r="BH5349" s="350"/>
    </row>
    <row r="5350" spans="4:60">
      <c r="D5350" s="350"/>
      <c r="S5350" s="350"/>
      <c r="BF5350" s="350"/>
      <c r="BG5350" s="350"/>
      <c r="BH5350" s="350"/>
    </row>
    <row r="5351" spans="4:60">
      <c r="D5351" s="350"/>
      <c r="S5351" s="350"/>
      <c r="BF5351" s="350"/>
      <c r="BG5351" s="350"/>
      <c r="BH5351" s="350"/>
    </row>
    <row r="5352" spans="4:60">
      <c r="D5352" s="350"/>
      <c r="S5352" s="350"/>
      <c r="BF5352" s="350"/>
      <c r="BG5352" s="350"/>
      <c r="BH5352" s="350"/>
    </row>
    <row r="5353" spans="4:60">
      <c r="D5353" s="350"/>
      <c r="S5353" s="350"/>
      <c r="BF5353" s="350"/>
      <c r="BG5353" s="350"/>
      <c r="BH5353" s="350"/>
    </row>
    <row r="5354" spans="4:60">
      <c r="D5354" s="350"/>
      <c r="S5354" s="350"/>
      <c r="BF5354" s="350"/>
      <c r="BG5354" s="350"/>
      <c r="BH5354" s="350"/>
    </row>
    <row r="5355" spans="4:60">
      <c r="D5355" s="350"/>
      <c r="S5355" s="350"/>
      <c r="BF5355" s="350"/>
      <c r="BG5355" s="350"/>
      <c r="BH5355" s="350"/>
    </row>
    <row r="5356" spans="4:60">
      <c r="D5356" s="350"/>
      <c r="S5356" s="350"/>
      <c r="BF5356" s="350"/>
      <c r="BG5356" s="350"/>
      <c r="BH5356" s="350"/>
    </row>
    <row r="5357" spans="4:60">
      <c r="D5357" s="350"/>
      <c r="S5357" s="350"/>
      <c r="BF5357" s="350"/>
      <c r="BG5357" s="350"/>
      <c r="BH5357" s="350"/>
    </row>
    <row r="5358" spans="4:60">
      <c r="D5358" s="350"/>
      <c r="S5358" s="350"/>
      <c r="BF5358" s="350"/>
      <c r="BG5358" s="350"/>
      <c r="BH5358" s="350"/>
    </row>
    <row r="5359" spans="4:60">
      <c r="D5359" s="350"/>
      <c r="S5359" s="350"/>
      <c r="BF5359" s="350"/>
      <c r="BG5359" s="350"/>
      <c r="BH5359" s="350"/>
    </row>
    <row r="5360" spans="4:60">
      <c r="D5360" s="350"/>
      <c r="S5360" s="350"/>
      <c r="BF5360" s="350"/>
      <c r="BG5360" s="350"/>
      <c r="BH5360" s="350"/>
    </row>
    <row r="5361" spans="4:60">
      <c r="D5361" s="350"/>
      <c r="S5361" s="350"/>
      <c r="BF5361" s="350"/>
      <c r="BG5361" s="350"/>
      <c r="BH5361" s="350"/>
    </row>
    <row r="5362" spans="4:60">
      <c r="D5362" s="350"/>
      <c r="S5362" s="350"/>
      <c r="BF5362" s="350"/>
      <c r="BG5362" s="350"/>
      <c r="BH5362" s="350"/>
    </row>
    <row r="5363" spans="4:60">
      <c r="D5363" s="350"/>
      <c r="S5363" s="350"/>
      <c r="BF5363" s="350"/>
      <c r="BG5363" s="350"/>
      <c r="BH5363" s="350"/>
    </row>
    <row r="5364" spans="4:60">
      <c r="D5364" s="350"/>
      <c r="S5364" s="350"/>
      <c r="BF5364" s="350"/>
      <c r="BG5364" s="350"/>
      <c r="BH5364" s="350"/>
    </row>
    <row r="5365" spans="4:60">
      <c r="D5365" s="350"/>
      <c r="S5365" s="350"/>
      <c r="BF5365" s="350"/>
      <c r="BG5365" s="350"/>
      <c r="BH5365" s="350"/>
    </row>
    <row r="5366" spans="4:60">
      <c r="D5366" s="350"/>
      <c r="S5366" s="350"/>
      <c r="BF5366" s="350"/>
      <c r="BG5366" s="350"/>
      <c r="BH5366" s="350"/>
    </row>
    <row r="5367" spans="4:60">
      <c r="D5367" s="350"/>
      <c r="S5367" s="350"/>
      <c r="BF5367" s="350"/>
      <c r="BG5367" s="350"/>
      <c r="BH5367" s="350"/>
    </row>
    <row r="5368" spans="4:60">
      <c r="D5368" s="350"/>
      <c r="S5368" s="350"/>
      <c r="BF5368" s="350"/>
      <c r="BG5368" s="350"/>
      <c r="BH5368" s="350"/>
    </row>
    <row r="5369" spans="4:60">
      <c r="D5369" s="350"/>
      <c r="S5369" s="350"/>
      <c r="BF5369" s="350"/>
      <c r="BG5369" s="350"/>
      <c r="BH5369" s="350"/>
    </row>
    <row r="5370" spans="4:60">
      <c r="D5370" s="350"/>
      <c r="S5370" s="350"/>
      <c r="BF5370" s="350"/>
      <c r="BG5370" s="350"/>
      <c r="BH5370" s="350"/>
    </row>
    <row r="5371" spans="4:60">
      <c r="D5371" s="350"/>
      <c r="S5371" s="350"/>
      <c r="BF5371" s="350"/>
      <c r="BG5371" s="350"/>
      <c r="BH5371" s="350"/>
    </row>
    <row r="5372" spans="4:60">
      <c r="D5372" s="350"/>
      <c r="S5372" s="350"/>
      <c r="BF5372" s="350"/>
      <c r="BG5372" s="350"/>
      <c r="BH5372" s="350"/>
    </row>
    <row r="5373" spans="4:60">
      <c r="D5373" s="350"/>
      <c r="S5373" s="350"/>
      <c r="BF5373" s="350"/>
      <c r="BG5373" s="350"/>
      <c r="BH5373" s="350"/>
    </row>
    <row r="5374" spans="4:60">
      <c r="D5374" s="350"/>
      <c r="S5374" s="350"/>
      <c r="BF5374" s="350"/>
      <c r="BG5374" s="350"/>
      <c r="BH5374" s="350"/>
    </row>
    <row r="5375" spans="4:60">
      <c r="D5375" s="350"/>
      <c r="S5375" s="350"/>
      <c r="BF5375" s="350"/>
      <c r="BG5375" s="350"/>
      <c r="BH5375" s="350"/>
    </row>
    <row r="5376" spans="4:60">
      <c r="D5376" s="350"/>
      <c r="S5376" s="350"/>
      <c r="BF5376" s="350"/>
      <c r="BG5376" s="350"/>
      <c r="BH5376" s="350"/>
    </row>
    <row r="5377" spans="4:60">
      <c r="D5377" s="350"/>
      <c r="S5377" s="350"/>
      <c r="BF5377" s="350"/>
      <c r="BG5377" s="350"/>
      <c r="BH5377" s="350"/>
    </row>
    <row r="5378" spans="4:60">
      <c r="D5378" s="350"/>
      <c r="S5378" s="350"/>
      <c r="BF5378" s="350"/>
      <c r="BG5378" s="350"/>
      <c r="BH5378" s="350"/>
    </row>
    <row r="5379" spans="4:60">
      <c r="D5379" s="350"/>
      <c r="S5379" s="350"/>
      <c r="BF5379" s="350"/>
      <c r="BG5379" s="350"/>
      <c r="BH5379" s="350"/>
    </row>
    <row r="5380" spans="4:60">
      <c r="D5380" s="350"/>
      <c r="S5380" s="350"/>
      <c r="BF5380" s="350"/>
      <c r="BG5380" s="350"/>
      <c r="BH5380" s="350"/>
    </row>
    <row r="5381" spans="4:60">
      <c r="D5381" s="350"/>
      <c r="S5381" s="350"/>
      <c r="BF5381" s="350"/>
      <c r="BG5381" s="350"/>
      <c r="BH5381" s="350"/>
    </row>
    <row r="5382" spans="4:60">
      <c r="D5382" s="350"/>
      <c r="S5382" s="350"/>
      <c r="BF5382" s="350"/>
      <c r="BG5382" s="350"/>
      <c r="BH5382" s="350"/>
    </row>
    <row r="5383" spans="4:60">
      <c r="D5383" s="350"/>
      <c r="S5383" s="350"/>
      <c r="BF5383" s="350"/>
      <c r="BG5383" s="350"/>
      <c r="BH5383" s="350"/>
    </row>
    <row r="5384" spans="4:60">
      <c r="D5384" s="350"/>
      <c r="S5384" s="350"/>
      <c r="BF5384" s="350"/>
      <c r="BG5384" s="350"/>
      <c r="BH5384" s="350"/>
    </row>
    <row r="5385" spans="4:60">
      <c r="D5385" s="350"/>
      <c r="S5385" s="350"/>
      <c r="BF5385" s="350"/>
      <c r="BG5385" s="350"/>
      <c r="BH5385" s="350"/>
    </row>
    <row r="5386" spans="4:60">
      <c r="D5386" s="350"/>
      <c r="S5386" s="350"/>
      <c r="BF5386" s="350"/>
      <c r="BG5386" s="350"/>
      <c r="BH5386" s="350"/>
    </row>
    <row r="5387" spans="4:60">
      <c r="D5387" s="350"/>
      <c r="S5387" s="350"/>
      <c r="BF5387" s="350"/>
      <c r="BG5387" s="350"/>
      <c r="BH5387" s="350"/>
    </row>
    <row r="5388" spans="4:60">
      <c r="D5388" s="350"/>
      <c r="S5388" s="350"/>
      <c r="BF5388" s="350"/>
      <c r="BG5388" s="350"/>
      <c r="BH5388" s="350"/>
    </row>
    <row r="5389" spans="4:60">
      <c r="D5389" s="350"/>
      <c r="S5389" s="350"/>
      <c r="BF5389" s="350"/>
      <c r="BG5389" s="350"/>
      <c r="BH5389" s="350"/>
    </row>
    <row r="5390" spans="4:60">
      <c r="D5390" s="350"/>
      <c r="S5390" s="350"/>
      <c r="BF5390" s="350"/>
      <c r="BG5390" s="350"/>
      <c r="BH5390" s="350"/>
    </row>
    <row r="5391" spans="4:60">
      <c r="D5391" s="350"/>
      <c r="S5391" s="350"/>
      <c r="BF5391" s="350"/>
      <c r="BG5391" s="350"/>
      <c r="BH5391" s="350"/>
    </row>
    <row r="5392" spans="4:60">
      <c r="D5392" s="350"/>
      <c r="S5392" s="350"/>
      <c r="BF5392" s="350"/>
      <c r="BG5392" s="350"/>
      <c r="BH5392" s="350"/>
    </row>
    <row r="5393" spans="4:60">
      <c r="D5393" s="350"/>
      <c r="S5393" s="350"/>
      <c r="BF5393" s="350"/>
      <c r="BG5393" s="350"/>
      <c r="BH5393" s="350"/>
    </row>
    <row r="5394" spans="4:60">
      <c r="D5394" s="350"/>
      <c r="S5394" s="350"/>
      <c r="BF5394" s="350"/>
      <c r="BG5394" s="350"/>
      <c r="BH5394" s="350"/>
    </row>
    <row r="5395" spans="4:60">
      <c r="D5395" s="350"/>
      <c r="S5395" s="350"/>
      <c r="BF5395" s="350"/>
      <c r="BG5395" s="350"/>
      <c r="BH5395" s="350"/>
    </row>
    <row r="5396" spans="4:60">
      <c r="D5396" s="350"/>
      <c r="S5396" s="350"/>
      <c r="BF5396" s="350"/>
      <c r="BG5396" s="350"/>
      <c r="BH5396" s="350"/>
    </row>
    <row r="5397" spans="4:60">
      <c r="D5397" s="350"/>
      <c r="S5397" s="350"/>
      <c r="BF5397" s="350"/>
      <c r="BG5397" s="350"/>
      <c r="BH5397" s="350"/>
    </row>
    <row r="5398" spans="4:60">
      <c r="D5398" s="350"/>
      <c r="S5398" s="350"/>
      <c r="BF5398" s="350"/>
      <c r="BG5398" s="350"/>
      <c r="BH5398" s="350"/>
    </row>
    <row r="5399" spans="4:60">
      <c r="D5399" s="350"/>
      <c r="S5399" s="350"/>
      <c r="BF5399" s="350"/>
      <c r="BG5399" s="350"/>
      <c r="BH5399" s="350"/>
    </row>
    <row r="5400" spans="4:60">
      <c r="D5400" s="350"/>
      <c r="S5400" s="350"/>
      <c r="BF5400" s="350"/>
      <c r="BG5400" s="350"/>
      <c r="BH5400" s="350"/>
    </row>
    <row r="5401" spans="4:60">
      <c r="D5401" s="350"/>
      <c r="S5401" s="350"/>
      <c r="BF5401" s="350"/>
      <c r="BG5401" s="350"/>
      <c r="BH5401" s="350"/>
    </row>
    <row r="5402" spans="4:60">
      <c r="D5402" s="350"/>
      <c r="S5402" s="350"/>
      <c r="BF5402" s="350"/>
      <c r="BG5402" s="350"/>
      <c r="BH5402" s="350"/>
    </row>
    <row r="5403" spans="4:60">
      <c r="D5403" s="350"/>
      <c r="S5403" s="350"/>
      <c r="BF5403" s="350"/>
      <c r="BG5403" s="350"/>
      <c r="BH5403" s="350"/>
    </row>
    <row r="5404" spans="4:60">
      <c r="D5404" s="350"/>
      <c r="S5404" s="350"/>
      <c r="BF5404" s="350"/>
      <c r="BG5404" s="350"/>
      <c r="BH5404" s="350"/>
    </row>
    <row r="5405" spans="4:60">
      <c r="D5405" s="350"/>
      <c r="S5405" s="350"/>
      <c r="BF5405" s="350"/>
      <c r="BG5405" s="350"/>
      <c r="BH5405" s="350"/>
    </row>
    <row r="5406" spans="4:60">
      <c r="D5406" s="350"/>
      <c r="S5406" s="350"/>
      <c r="BF5406" s="350"/>
      <c r="BG5406" s="350"/>
      <c r="BH5406" s="350"/>
    </row>
    <row r="5407" spans="4:60">
      <c r="D5407" s="350"/>
      <c r="S5407" s="350"/>
      <c r="BF5407" s="350"/>
      <c r="BG5407" s="350"/>
      <c r="BH5407" s="350"/>
    </row>
    <row r="5408" spans="4:60">
      <c r="D5408" s="350"/>
      <c r="S5408" s="350"/>
      <c r="BF5408" s="350"/>
      <c r="BG5408" s="350"/>
      <c r="BH5408" s="350"/>
    </row>
    <row r="5409" spans="4:60">
      <c r="D5409" s="350"/>
      <c r="S5409" s="350"/>
      <c r="BF5409" s="350"/>
      <c r="BG5409" s="350"/>
      <c r="BH5409" s="350"/>
    </row>
    <row r="5410" spans="4:60">
      <c r="D5410" s="350"/>
      <c r="S5410" s="350"/>
      <c r="BF5410" s="350"/>
      <c r="BG5410" s="350"/>
      <c r="BH5410" s="350"/>
    </row>
    <row r="5411" spans="4:60">
      <c r="D5411" s="350"/>
      <c r="S5411" s="350"/>
      <c r="BF5411" s="350"/>
      <c r="BG5411" s="350"/>
      <c r="BH5411" s="350"/>
    </row>
    <row r="5412" spans="4:60">
      <c r="D5412" s="350"/>
      <c r="S5412" s="350"/>
      <c r="BF5412" s="350"/>
      <c r="BG5412" s="350"/>
      <c r="BH5412" s="350"/>
    </row>
    <row r="5413" spans="4:60">
      <c r="D5413" s="350"/>
      <c r="S5413" s="350"/>
      <c r="BF5413" s="350"/>
      <c r="BG5413" s="350"/>
      <c r="BH5413" s="350"/>
    </row>
    <row r="5414" spans="4:60">
      <c r="D5414" s="350"/>
      <c r="S5414" s="350"/>
      <c r="BF5414" s="350"/>
      <c r="BG5414" s="350"/>
      <c r="BH5414" s="350"/>
    </row>
    <row r="5415" spans="4:60">
      <c r="D5415" s="350"/>
      <c r="S5415" s="350"/>
      <c r="BF5415" s="350"/>
      <c r="BG5415" s="350"/>
      <c r="BH5415" s="350"/>
    </row>
    <row r="5416" spans="4:60">
      <c r="D5416" s="350"/>
      <c r="S5416" s="350"/>
      <c r="BF5416" s="350"/>
      <c r="BG5416" s="350"/>
      <c r="BH5416" s="350"/>
    </row>
    <row r="5417" spans="4:60">
      <c r="D5417" s="350"/>
      <c r="S5417" s="350"/>
      <c r="BF5417" s="350"/>
      <c r="BG5417" s="350"/>
      <c r="BH5417" s="350"/>
    </row>
    <row r="5418" spans="4:60">
      <c r="D5418" s="350"/>
      <c r="S5418" s="350"/>
      <c r="BF5418" s="350"/>
      <c r="BG5418" s="350"/>
      <c r="BH5418" s="350"/>
    </row>
    <row r="5419" spans="4:60">
      <c r="D5419" s="350"/>
      <c r="S5419" s="350"/>
      <c r="BF5419" s="350"/>
      <c r="BG5419" s="350"/>
      <c r="BH5419" s="350"/>
    </row>
    <row r="5420" spans="4:60">
      <c r="D5420" s="350"/>
      <c r="S5420" s="350"/>
      <c r="BF5420" s="350"/>
      <c r="BG5420" s="350"/>
      <c r="BH5420" s="350"/>
    </row>
    <row r="5421" spans="4:60">
      <c r="D5421" s="350"/>
      <c r="S5421" s="350"/>
      <c r="BF5421" s="350"/>
      <c r="BG5421" s="350"/>
      <c r="BH5421" s="350"/>
    </row>
    <row r="5422" spans="4:60">
      <c r="D5422" s="350"/>
      <c r="S5422" s="350"/>
      <c r="BF5422" s="350"/>
      <c r="BG5422" s="350"/>
      <c r="BH5422" s="350"/>
    </row>
    <row r="5423" spans="4:60">
      <c r="D5423" s="350"/>
      <c r="S5423" s="350"/>
      <c r="BF5423" s="350"/>
      <c r="BG5423" s="350"/>
      <c r="BH5423" s="350"/>
    </row>
    <row r="5424" spans="4:60">
      <c r="D5424" s="350"/>
      <c r="S5424" s="350"/>
      <c r="BF5424" s="350"/>
      <c r="BG5424" s="350"/>
      <c r="BH5424" s="350"/>
    </row>
    <row r="5425" spans="4:60">
      <c r="D5425" s="350"/>
      <c r="S5425" s="350"/>
      <c r="BF5425" s="350"/>
      <c r="BG5425" s="350"/>
      <c r="BH5425" s="350"/>
    </row>
    <row r="5426" spans="4:60">
      <c r="D5426" s="350"/>
      <c r="S5426" s="350"/>
      <c r="BF5426" s="350"/>
      <c r="BG5426" s="350"/>
      <c r="BH5426" s="350"/>
    </row>
    <row r="5427" spans="4:60">
      <c r="D5427" s="350"/>
      <c r="S5427" s="350"/>
      <c r="BF5427" s="350"/>
      <c r="BG5427" s="350"/>
      <c r="BH5427" s="350"/>
    </row>
    <row r="5428" spans="4:60">
      <c r="D5428" s="350"/>
      <c r="S5428" s="350"/>
      <c r="BF5428" s="350"/>
      <c r="BG5428" s="350"/>
      <c r="BH5428" s="350"/>
    </row>
    <row r="5429" spans="4:60">
      <c r="D5429" s="350"/>
      <c r="S5429" s="350"/>
      <c r="BF5429" s="350"/>
      <c r="BG5429" s="350"/>
      <c r="BH5429" s="350"/>
    </row>
    <row r="5430" spans="4:60">
      <c r="D5430" s="350"/>
      <c r="S5430" s="350"/>
      <c r="BF5430" s="350"/>
      <c r="BG5430" s="350"/>
      <c r="BH5430" s="350"/>
    </row>
    <row r="5431" spans="4:60">
      <c r="D5431" s="350"/>
      <c r="S5431" s="350"/>
      <c r="BF5431" s="350"/>
      <c r="BG5431" s="350"/>
      <c r="BH5431" s="350"/>
    </row>
    <row r="5432" spans="4:60">
      <c r="D5432" s="350"/>
      <c r="S5432" s="350"/>
      <c r="BF5432" s="350"/>
      <c r="BG5432" s="350"/>
      <c r="BH5432" s="350"/>
    </row>
    <row r="5433" spans="4:60">
      <c r="D5433" s="350"/>
      <c r="S5433" s="350"/>
      <c r="BF5433" s="350"/>
      <c r="BG5433" s="350"/>
      <c r="BH5433" s="350"/>
    </row>
    <row r="5434" spans="4:60">
      <c r="D5434" s="350"/>
      <c r="S5434" s="350"/>
      <c r="BF5434" s="350"/>
      <c r="BG5434" s="350"/>
      <c r="BH5434" s="350"/>
    </row>
    <row r="5435" spans="4:60">
      <c r="D5435" s="350"/>
      <c r="S5435" s="350"/>
      <c r="BF5435" s="350"/>
      <c r="BG5435" s="350"/>
      <c r="BH5435" s="350"/>
    </row>
    <row r="5436" spans="4:60">
      <c r="D5436" s="350"/>
      <c r="S5436" s="350"/>
      <c r="BF5436" s="350"/>
      <c r="BG5436" s="350"/>
      <c r="BH5436" s="350"/>
    </row>
    <row r="5437" spans="4:60">
      <c r="D5437" s="350"/>
      <c r="S5437" s="350"/>
      <c r="BF5437" s="350"/>
      <c r="BG5437" s="350"/>
      <c r="BH5437" s="350"/>
    </row>
    <row r="5438" spans="4:60">
      <c r="D5438" s="350"/>
      <c r="S5438" s="350"/>
      <c r="BF5438" s="350"/>
      <c r="BG5438" s="350"/>
      <c r="BH5438" s="350"/>
    </row>
    <row r="5439" spans="4:60">
      <c r="D5439" s="350"/>
      <c r="S5439" s="350"/>
      <c r="BF5439" s="350"/>
      <c r="BG5439" s="350"/>
      <c r="BH5439" s="350"/>
    </row>
    <row r="5440" spans="4:60">
      <c r="D5440" s="350"/>
      <c r="S5440" s="350"/>
      <c r="BF5440" s="350"/>
      <c r="BG5440" s="350"/>
      <c r="BH5440" s="350"/>
    </row>
    <row r="5441" spans="4:60">
      <c r="D5441" s="350"/>
      <c r="S5441" s="350"/>
      <c r="BF5441" s="350"/>
      <c r="BG5441" s="350"/>
      <c r="BH5441" s="350"/>
    </row>
    <row r="5442" spans="4:60">
      <c r="D5442" s="350"/>
      <c r="S5442" s="350"/>
      <c r="BF5442" s="350"/>
      <c r="BG5442" s="350"/>
      <c r="BH5442" s="350"/>
    </row>
    <row r="5443" spans="4:60">
      <c r="D5443" s="350"/>
      <c r="S5443" s="350"/>
      <c r="BF5443" s="350"/>
      <c r="BG5443" s="350"/>
      <c r="BH5443" s="350"/>
    </row>
    <row r="5444" spans="4:60">
      <c r="D5444" s="350"/>
      <c r="S5444" s="350"/>
      <c r="BF5444" s="350"/>
      <c r="BG5444" s="350"/>
      <c r="BH5444" s="350"/>
    </row>
    <row r="5445" spans="4:60">
      <c r="D5445" s="350"/>
      <c r="S5445" s="350"/>
      <c r="BF5445" s="350"/>
      <c r="BG5445" s="350"/>
      <c r="BH5445" s="350"/>
    </row>
    <row r="5446" spans="4:60">
      <c r="D5446" s="350"/>
      <c r="S5446" s="350"/>
      <c r="BF5446" s="350"/>
      <c r="BG5446" s="350"/>
      <c r="BH5446" s="350"/>
    </row>
    <row r="5447" spans="4:60">
      <c r="D5447" s="350"/>
      <c r="S5447" s="350"/>
      <c r="BF5447" s="350"/>
      <c r="BG5447" s="350"/>
      <c r="BH5447" s="350"/>
    </row>
    <row r="5448" spans="4:60">
      <c r="D5448" s="350"/>
      <c r="S5448" s="350"/>
      <c r="BF5448" s="350"/>
      <c r="BG5448" s="350"/>
      <c r="BH5448" s="350"/>
    </row>
    <row r="5449" spans="4:60">
      <c r="D5449" s="350"/>
      <c r="S5449" s="350"/>
      <c r="BF5449" s="350"/>
      <c r="BG5449" s="350"/>
      <c r="BH5449" s="350"/>
    </row>
    <row r="5450" spans="4:60">
      <c r="D5450" s="350"/>
      <c r="S5450" s="350"/>
      <c r="BF5450" s="350"/>
      <c r="BG5450" s="350"/>
      <c r="BH5450" s="350"/>
    </row>
    <row r="5451" spans="4:60">
      <c r="D5451" s="350"/>
      <c r="S5451" s="350"/>
      <c r="BF5451" s="350"/>
      <c r="BG5451" s="350"/>
      <c r="BH5451" s="350"/>
    </row>
    <row r="5452" spans="4:60">
      <c r="D5452" s="350"/>
      <c r="S5452" s="350"/>
      <c r="BF5452" s="350"/>
      <c r="BG5452" s="350"/>
      <c r="BH5452" s="350"/>
    </row>
    <row r="5453" spans="4:60">
      <c r="D5453" s="350"/>
      <c r="S5453" s="350"/>
      <c r="BF5453" s="350"/>
      <c r="BG5453" s="350"/>
      <c r="BH5453" s="350"/>
    </row>
    <row r="5454" spans="4:60">
      <c r="D5454" s="350"/>
      <c r="S5454" s="350"/>
      <c r="BF5454" s="350"/>
      <c r="BG5454" s="350"/>
      <c r="BH5454" s="350"/>
    </row>
    <row r="5455" spans="4:60">
      <c r="D5455" s="350"/>
      <c r="S5455" s="350"/>
      <c r="BF5455" s="350"/>
      <c r="BG5455" s="350"/>
      <c r="BH5455" s="350"/>
    </row>
    <row r="5456" spans="4:60">
      <c r="D5456" s="350"/>
      <c r="S5456" s="350"/>
      <c r="BF5456" s="350"/>
      <c r="BG5456" s="350"/>
      <c r="BH5456" s="350"/>
    </row>
    <row r="5457" spans="4:60">
      <c r="D5457" s="350"/>
      <c r="S5457" s="350"/>
      <c r="BF5457" s="350"/>
      <c r="BG5457" s="350"/>
      <c r="BH5457" s="350"/>
    </row>
    <row r="5458" spans="4:60">
      <c r="D5458" s="350"/>
      <c r="S5458" s="350"/>
      <c r="BF5458" s="350"/>
      <c r="BG5458" s="350"/>
      <c r="BH5458" s="350"/>
    </row>
    <row r="5459" spans="4:60">
      <c r="D5459" s="350"/>
      <c r="S5459" s="350"/>
      <c r="BF5459" s="350"/>
      <c r="BG5459" s="350"/>
      <c r="BH5459" s="350"/>
    </row>
    <row r="5460" spans="4:60">
      <c r="D5460" s="350"/>
      <c r="S5460" s="350"/>
      <c r="BF5460" s="350"/>
      <c r="BG5460" s="350"/>
      <c r="BH5460" s="350"/>
    </row>
    <row r="5461" spans="4:60">
      <c r="D5461" s="350"/>
      <c r="S5461" s="350"/>
      <c r="BF5461" s="350"/>
      <c r="BG5461" s="350"/>
      <c r="BH5461" s="350"/>
    </row>
    <row r="5462" spans="4:60">
      <c r="D5462" s="350"/>
      <c r="S5462" s="350"/>
      <c r="BF5462" s="350"/>
      <c r="BG5462" s="350"/>
      <c r="BH5462" s="350"/>
    </row>
    <row r="5463" spans="4:60">
      <c r="D5463" s="350"/>
      <c r="S5463" s="350"/>
      <c r="BF5463" s="350"/>
      <c r="BG5463" s="350"/>
      <c r="BH5463" s="350"/>
    </row>
    <row r="5464" spans="4:60">
      <c r="D5464" s="350"/>
      <c r="S5464" s="350"/>
      <c r="BF5464" s="350"/>
      <c r="BG5464" s="350"/>
      <c r="BH5464" s="350"/>
    </row>
    <row r="5465" spans="4:60">
      <c r="D5465" s="350"/>
      <c r="S5465" s="350"/>
      <c r="BF5465" s="350"/>
      <c r="BG5465" s="350"/>
      <c r="BH5465" s="350"/>
    </row>
    <row r="5466" spans="4:60">
      <c r="D5466" s="350"/>
      <c r="S5466" s="350"/>
      <c r="BF5466" s="350"/>
      <c r="BG5466" s="350"/>
      <c r="BH5466" s="350"/>
    </row>
    <row r="5467" spans="4:60">
      <c r="D5467" s="350"/>
      <c r="S5467" s="350"/>
      <c r="BF5467" s="350"/>
      <c r="BG5467" s="350"/>
      <c r="BH5467" s="350"/>
    </row>
    <row r="5468" spans="4:60">
      <c r="D5468" s="350"/>
      <c r="S5468" s="350"/>
      <c r="BF5468" s="350"/>
      <c r="BG5468" s="350"/>
      <c r="BH5468" s="350"/>
    </row>
    <row r="5469" spans="4:60">
      <c r="D5469" s="350"/>
      <c r="S5469" s="350"/>
      <c r="BF5469" s="350"/>
      <c r="BG5469" s="350"/>
      <c r="BH5469" s="350"/>
    </row>
    <row r="5470" spans="4:60">
      <c r="D5470" s="350"/>
      <c r="S5470" s="350"/>
      <c r="BF5470" s="350"/>
      <c r="BG5470" s="350"/>
      <c r="BH5470" s="350"/>
    </row>
    <row r="5471" spans="4:60">
      <c r="D5471" s="350"/>
      <c r="S5471" s="350"/>
      <c r="BF5471" s="350"/>
      <c r="BG5471" s="350"/>
      <c r="BH5471" s="350"/>
    </row>
    <row r="5472" spans="4:60">
      <c r="D5472" s="350"/>
      <c r="S5472" s="350"/>
      <c r="BF5472" s="350"/>
      <c r="BG5472" s="350"/>
      <c r="BH5472" s="350"/>
    </row>
    <row r="5473" spans="4:60">
      <c r="D5473" s="350"/>
      <c r="S5473" s="350"/>
      <c r="BF5473" s="350"/>
      <c r="BG5473" s="350"/>
      <c r="BH5473" s="350"/>
    </row>
    <row r="5474" spans="4:60">
      <c r="D5474" s="350"/>
      <c r="S5474" s="350"/>
      <c r="BF5474" s="350"/>
      <c r="BG5474" s="350"/>
      <c r="BH5474" s="350"/>
    </row>
    <row r="5475" spans="4:60">
      <c r="D5475" s="350"/>
      <c r="S5475" s="350"/>
      <c r="BF5475" s="350"/>
      <c r="BG5475" s="350"/>
      <c r="BH5475" s="350"/>
    </row>
    <row r="5476" spans="4:60">
      <c r="D5476" s="350"/>
      <c r="S5476" s="350"/>
      <c r="BF5476" s="350"/>
      <c r="BG5476" s="350"/>
      <c r="BH5476" s="350"/>
    </row>
    <row r="5477" spans="4:60">
      <c r="D5477" s="350"/>
      <c r="S5477" s="350"/>
      <c r="BF5477" s="350"/>
      <c r="BG5477" s="350"/>
      <c r="BH5477" s="350"/>
    </row>
    <row r="5478" spans="4:60">
      <c r="D5478" s="350"/>
      <c r="S5478" s="350"/>
      <c r="BF5478" s="350"/>
      <c r="BG5478" s="350"/>
      <c r="BH5478" s="350"/>
    </row>
    <row r="5479" spans="4:60">
      <c r="D5479" s="350"/>
      <c r="S5479" s="350"/>
      <c r="BF5479" s="350"/>
      <c r="BG5479" s="350"/>
      <c r="BH5479" s="350"/>
    </row>
    <row r="5480" spans="4:60">
      <c r="D5480" s="350"/>
      <c r="S5480" s="350"/>
      <c r="BF5480" s="350"/>
      <c r="BG5480" s="350"/>
      <c r="BH5480" s="350"/>
    </row>
    <row r="5481" spans="4:60">
      <c r="D5481" s="350"/>
      <c r="S5481" s="350"/>
      <c r="BF5481" s="350"/>
      <c r="BG5481" s="350"/>
      <c r="BH5481" s="350"/>
    </row>
    <row r="5482" spans="4:60">
      <c r="D5482" s="350"/>
      <c r="S5482" s="350"/>
      <c r="BF5482" s="350"/>
      <c r="BG5482" s="350"/>
      <c r="BH5482" s="350"/>
    </row>
    <row r="5483" spans="4:60">
      <c r="D5483" s="350"/>
      <c r="S5483" s="350"/>
      <c r="BF5483" s="350"/>
      <c r="BG5483" s="350"/>
      <c r="BH5483" s="350"/>
    </row>
    <row r="5484" spans="4:60">
      <c r="D5484" s="350"/>
      <c r="S5484" s="350"/>
      <c r="BF5484" s="350"/>
      <c r="BG5484" s="350"/>
      <c r="BH5484" s="350"/>
    </row>
    <row r="5485" spans="4:60">
      <c r="D5485" s="350"/>
      <c r="S5485" s="350"/>
      <c r="BF5485" s="350"/>
      <c r="BG5485" s="350"/>
      <c r="BH5485" s="350"/>
    </row>
    <row r="5486" spans="4:60">
      <c r="D5486" s="350"/>
      <c r="S5486" s="350"/>
      <c r="BF5486" s="350"/>
      <c r="BG5486" s="350"/>
      <c r="BH5486" s="350"/>
    </row>
    <row r="5487" spans="4:60">
      <c r="D5487" s="350"/>
      <c r="S5487" s="350"/>
      <c r="BF5487" s="350"/>
      <c r="BG5487" s="350"/>
      <c r="BH5487" s="350"/>
    </row>
    <row r="5488" spans="4:60">
      <c r="D5488" s="350"/>
      <c r="S5488" s="350"/>
      <c r="BF5488" s="350"/>
      <c r="BG5488" s="350"/>
      <c r="BH5488" s="350"/>
    </row>
    <row r="5489" spans="4:60">
      <c r="D5489" s="350"/>
      <c r="S5489" s="350"/>
      <c r="BF5489" s="350"/>
      <c r="BG5489" s="350"/>
      <c r="BH5489" s="350"/>
    </row>
    <row r="5490" spans="4:60">
      <c r="D5490" s="350"/>
      <c r="S5490" s="350"/>
      <c r="BF5490" s="350"/>
      <c r="BG5490" s="350"/>
      <c r="BH5490" s="350"/>
    </row>
    <row r="5491" spans="4:60">
      <c r="D5491" s="350"/>
      <c r="S5491" s="350"/>
      <c r="BF5491" s="350"/>
      <c r="BG5491" s="350"/>
      <c r="BH5491" s="350"/>
    </row>
    <row r="5492" spans="4:60">
      <c r="D5492" s="350"/>
      <c r="S5492" s="350"/>
      <c r="BF5492" s="350"/>
      <c r="BG5492" s="350"/>
      <c r="BH5492" s="350"/>
    </row>
    <row r="5493" spans="4:60">
      <c r="D5493" s="350"/>
      <c r="S5493" s="350"/>
      <c r="BF5493" s="350"/>
      <c r="BG5493" s="350"/>
      <c r="BH5493" s="350"/>
    </row>
    <row r="5494" spans="4:60">
      <c r="D5494" s="350"/>
      <c r="S5494" s="350"/>
      <c r="BF5494" s="350"/>
      <c r="BG5494" s="350"/>
      <c r="BH5494" s="350"/>
    </row>
    <row r="5495" spans="4:60">
      <c r="D5495" s="350"/>
      <c r="S5495" s="350"/>
      <c r="BF5495" s="350"/>
      <c r="BG5495" s="350"/>
      <c r="BH5495" s="350"/>
    </row>
    <row r="5496" spans="4:60">
      <c r="D5496" s="350"/>
      <c r="S5496" s="350"/>
      <c r="BF5496" s="350"/>
      <c r="BG5496" s="350"/>
      <c r="BH5496" s="350"/>
    </row>
    <row r="5497" spans="4:60">
      <c r="D5497" s="350"/>
      <c r="S5497" s="350"/>
      <c r="BF5497" s="350"/>
      <c r="BG5497" s="350"/>
      <c r="BH5497" s="350"/>
    </row>
    <row r="5498" spans="4:60">
      <c r="D5498" s="350"/>
      <c r="S5498" s="350"/>
      <c r="BF5498" s="350"/>
      <c r="BG5498" s="350"/>
      <c r="BH5498" s="350"/>
    </row>
    <row r="5499" spans="4:60">
      <c r="D5499" s="350"/>
      <c r="S5499" s="350"/>
      <c r="BF5499" s="350"/>
      <c r="BG5499" s="350"/>
      <c r="BH5499" s="350"/>
    </row>
    <row r="5500" spans="4:60">
      <c r="D5500" s="350"/>
      <c r="S5500" s="350"/>
      <c r="BF5500" s="350"/>
      <c r="BG5500" s="350"/>
      <c r="BH5500" s="350"/>
    </row>
    <row r="5501" spans="4:60">
      <c r="D5501" s="350"/>
      <c r="S5501" s="350"/>
      <c r="BF5501" s="350"/>
      <c r="BG5501" s="350"/>
      <c r="BH5501" s="350"/>
    </row>
    <row r="5502" spans="4:60">
      <c r="D5502" s="350"/>
      <c r="S5502" s="350"/>
      <c r="BF5502" s="350"/>
      <c r="BG5502" s="350"/>
      <c r="BH5502" s="350"/>
    </row>
    <row r="5503" spans="4:60">
      <c r="D5503" s="350"/>
      <c r="S5503" s="350"/>
      <c r="BF5503" s="350"/>
      <c r="BG5503" s="350"/>
      <c r="BH5503" s="350"/>
    </row>
    <row r="5504" spans="4:60">
      <c r="D5504" s="350"/>
      <c r="S5504" s="350"/>
      <c r="BF5504" s="350"/>
      <c r="BG5504" s="350"/>
      <c r="BH5504" s="350"/>
    </row>
    <row r="5505" spans="4:60">
      <c r="D5505" s="350"/>
      <c r="S5505" s="350"/>
      <c r="BF5505" s="350"/>
      <c r="BG5505" s="350"/>
      <c r="BH5505" s="350"/>
    </row>
    <row r="5506" spans="4:60">
      <c r="D5506" s="350"/>
      <c r="S5506" s="350"/>
      <c r="BF5506" s="350"/>
      <c r="BG5506" s="350"/>
      <c r="BH5506" s="350"/>
    </row>
    <row r="5507" spans="4:60">
      <c r="D5507" s="350"/>
      <c r="S5507" s="350"/>
      <c r="BF5507" s="350"/>
      <c r="BG5507" s="350"/>
      <c r="BH5507" s="350"/>
    </row>
    <row r="5508" spans="4:60">
      <c r="D5508" s="350"/>
      <c r="S5508" s="350"/>
      <c r="BF5508" s="350"/>
      <c r="BG5508" s="350"/>
      <c r="BH5508" s="350"/>
    </row>
    <row r="5509" spans="4:60">
      <c r="D5509" s="350"/>
      <c r="S5509" s="350"/>
      <c r="BF5509" s="350"/>
      <c r="BG5509" s="350"/>
      <c r="BH5509" s="350"/>
    </row>
    <row r="5510" spans="4:60">
      <c r="D5510" s="350"/>
      <c r="S5510" s="350"/>
      <c r="BF5510" s="350"/>
      <c r="BG5510" s="350"/>
      <c r="BH5510" s="350"/>
    </row>
    <row r="5511" spans="4:60">
      <c r="D5511" s="350"/>
      <c r="S5511" s="350"/>
      <c r="BF5511" s="350"/>
      <c r="BG5511" s="350"/>
      <c r="BH5511" s="350"/>
    </row>
    <row r="5512" spans="4:60">
      <c r="D5512" s="350"/>
      <c r="S5512" s="350"/>
      <c r="BF5512" s="350"/>
      <c r="BG5512" s="350"/>
      <c r="BH5512" s="350"/>
    </row>
    <row r="5513" spans="4:60">
      <c r="D5513" s="350"/>
      <c r="S5513" s="350"/>
      <c r="BF5513" s="350"/>
      <c r="BG5513" s="350"/>
      <c r="BH5513" s="350"/>
    </row>
    <row r="5514" spans="4:60">
      <c r="D5514" s="350"/>
      <c r="S5514" s="350"/>
      <c r="BF5514" s="350"/>
      <c r="BG5514" s="350"/>
      <c r="BH5514" s="350"/>
    </row>
    <row r="5515" spans="4:60">
      <c r="D5515" s="350"/>
      <c r="S5515" s="350"/>
      <c r="BF5515" s="350"/>
      <c r="BG5515" s="350"/>
      <c r="BH5515" s="350"/>
    </row>
    <row r="5516" spans="4:60">
      <c r="D5516" s="350"/>
      <c r="S5516" s="350"/>
      <c r="BF5516" s="350"/>
      <c r="BG5516" s="350"/>
      <c r="BH5516" s="350"/>
    </row>
    <row r="5517" spans="4:60">
      <c r="D5517" s="350"/>
      <c r="S5517" s="350"/>
      <c r="BF5517" s="350"/>
      <c r="BG5517" s="350"/>
      <c r="BH5517" s="350"/>
    </row>
    <row r="5518" spans="4:60">
      <c r="D5518" s="350"/>
      <c r="S5518" s="350"/>
      <c r="BF5518" s="350"/>
      <c r="BG5518" s="350"/>
      <c r="BH5518" s="350"/>
    </row>
    <row r="5519" spans="4:60">
      <c r="D5519" s="350"/>
      <c r="S5519" s="350"/>
      <c r="BF5519" s="350"/>
      <c r="BG5519" s="350"/>
      <c r="BH5519" s="350"/>
    </row>
    <row r="5520" spans="4:60">
      <c r="D5520" s="350"/>
      <c r="S5520" s="350"/>
      <c r="BF5520" s="350"/>
      <c r="BG5520" s="350"/>
      <c r="BH5520" s="350"/>
    </row>
    <row r="5521" spans="4:60">
      <c r="D5521" s="350"/>
      <c r="S5521" s="350"/>
      <c r="BF5521" s="350"/>
      <c r="BG5521" s="350"/>
      <c r="BH5521" s="350"/>
    </row>
    <row r="5522" spans="4:60">
      <c r="D5522" s="350"/>
      <c r="S5522" s="350"/>
      <c r="BF5522" s="350"/>
      <c r="BG5522" s="350"/>
      <c r="BH5522" s="350"/>
    </row>
    <row r="5523" spans="4:60">
      <c r="D5523" s="350"/>
      <c r="S5523" s="350"/>
      <c r="BF5523" s="350"/>
      <c r="BG5523" s="350"/>
      <c r="BH5523" s="350"/>
    </row>
    <row r="5524" spans="4:60">
      <c r="D5524" s="350"/>
      <c r="S5524" s="350"/>
      <c r="BF5524" s="350"/>
      <c r="BG5524" s="350"/>
      <c r="BH5524" s="350"/>
    </row>
    <row r="5525" spans="4:60">
      <c r="D5525" s="350"/>
      <c r="S5525" s="350"/>
      <c r="BF5525" s="350"/>
      <c r="BG5525" s="350"/>
      <c r="BH5525" s="350"/>
    </row>
    <row r="5526" spans="4:60">
      <c r="D5526" s="350"/>
      <c r="S5526" s="350"/>
      <c r="BF5526" s="350"/>
      <c r="BG5526" s="350"/>
      <c r="BH5526" s="350"/>
    </row>
    <row r="5527" spans="4:60">
      <c r="D5527" s="350"/>
      <c r="S5527" s="350"/>
      <c r="BF5527" s="350"/>
      <c r="BG5527" s="350"/>
      <c r="BH5527" s="350"/>
    </row>
    <row r="5528" spans="4:60">
      <c r="D5528" s="350"/>
      <c r="S5528" s="350"/>
      <c r="BF5528" s="350"/>
      <c r="BG5528" s="350"/>
      <c r="BH5528" s="350"/>
    </row>
    <row r="5529" spans="4:60">
      <c r="D5529" s="350"/>
      <c r="S5529" s="350"/>
      <c r="BF5529" s="350"/>
      <c r="BG5529" s="350"/>
      <c r="BH5529" s="350"/>
    </row>
    <row r="5530" spans="4:60">
      <c r="D5530" s="350"/>
      <c r="S5530" s="350"/>
      <c r="BF5530" s="350"/>
      <c r="BG5530" s="350"/>
      <c r="BH5530" s="350"/>
    </row>
    <row r="5531" spans="4:60">
      <c r="D5531" s="350"/>
      <c r="S5531" s="350"/>
      <c r="BF5531" s="350"/>
      <c r="BG5531" s="350"/>
      <c r="BH5531" s="350"/>
    </row>
    <row r="5532" spans="4:60">
      <c r="D5532" s="350"/>
      <c r="S5532" s="350"/>
      <c r="BF5532" s="350"/>
      <c r="BG5532" s="350"/>
      <c r="BH5532" s="350"/>
    </row>
    <row r="5533" spans="4:60">
      <c r="D5533" s="350"/>
      <c r="S5533" s="350"/>
      <c r="BF5533" s="350"/>
      <c r="BG5533" s="350"/>
      <c r="BH5533" s="350"/>
    </row>
    <row r="5534" spans="4:60">
      <c r="D5534" s="350"/>
      <c r="S5534" s="350"/>
      <c r="BF5534" s="350"/>
      <c r="BG5534" s="350"/>
      <c r="BH5534" s="350"/>
    </row>
    <row r="5535" spans="4:60">
      <c r="D5535" s="350"/>
      <c r="S5535" s="350"/>
      <c r="BF5535" s="350"/>
      <c r="BG5535" s="350"/>
      <c r="BH5535" s="350"/>
    </row>
    <row r="5536" spans="4:60">
      <c r="D5536" s="350"/>
      <c r="S5536" s="350"/>
      <c r="BF5536" s="350"/>
      <c r="BG5536" s="350"/>
      <c r="BH5536" s="350"/>
    </row>
    <row r="5537" spans="4:60">
      <c r="D5537" s="350"/>
      <c r="S5537" s="350"/>
      <c r="BF5537" s="350"/>
      <c r="BG5537" s="350"/>
      <c r="BH5537" s="350"/>
    </row>
    <row r="5538" spans="4:60">
      <c r="D5538" s="350"/>
      <c r="S5538" s="350"/>
      <c r="BF5538" s="350"/>
      <c r="BG5538" s="350"/>
      <c r="BH5538" s="350"/>
    </row>
    <row r="5539" spans="4:60">
      <c r="D5539" s="350"/>
      <c r="S5539" s="350"/>
      <c r="BF5539" s="350"/>
      <c r="BG5539" s="350"/>
      <c r="BH5539" s="350"/>
    </row>
    <row r="5540" spans="4:60">
      <c r="D5540" s="350"/>
      <c r="S5540" s="350"/>
      <c r="BF5540" s="350"/>
      <c r="BG5540" s="350"/>
      <c r="BH5540" s="350"/>
    </row>
    <row r="5541" spans="4:60">
      <c r="D5541" s="350"/>
      <c r="S5541" s="350"/>
      <c r="BF5541" s="350"/>
      <c r="BG5541" s="350"/>
      <c r="BH5541" s="350"/>
    </row>
    <row r="5542" spans="4:60">
      <c r="D5542" s="350"/>
      <c r="S5542" s="350"/>
      <c r="BF5542" s="350"/>
      <c r="BG5542" s="350"/>
      <c r="BH5542" s="350"/>
    </row>
    <row r="5543" spans="4:60">
      <c r="D5543" s="350"/>
      <c r="S5543" s="350"/>
      <c r="BF5543" s="350"/>
      <c r="BG5543" s="350"/>
      <c r="BH5543" s="350"/>
    </row>
    <row r="5544" spans="4:60">
      <c r="D5544" s="350"/>
      <c r="S5544" s="350"/>
      <c r="BF5544" s="350"/>
      <c r="BG5544" s="350"/>
      <c r="BH5544" s="350"/>
    </row>
    <row r="5545" spans="4:60">
      <c r="D5545" s="350"/>
      <c r="S5545" s="350"/>
      <c r="BF5545" s="350"/>
      <c r="BG5545" s="350"/>
      <c r="BH5545" s="350"/>
    </row>
    <row r="5546" spans="4:60">
      <c r="D5546" s="350"/>
      <c r="S5546" s="350"/>
      <c r="BF5546" s="350"/>
      <c r="BG5546" s="350"/>
      <c r="BH5546" s="350"/>
    </row>
    <row r="5547" spans="4:60">
      <c r="D5547" s="350"/>
      <c r="S5547" s="350"/>
      <c r="BF5547" s="350"/>
      <c r="BG5547" s="350"/>
      <c r="BH5547" s="350"/>
    </row>
    <row r="5548" spans="4:60">
      <c r="D5548" s="350"/>
      <c r="S5548" s="350"/>
      <c r="BF5548" s="350"/>
      <c r="BG5548" s="350"/>
      <c r="BH5548" s="350"/>
    </row>
    <row r="5549" spans="4:60">
      <c r="D5549" s="350"/>
      <c r="S5549" s="350"/>
      <c r="BF5549" s="350"/>
      <c r="BG5549" s="350"/>
      <c r="BH5549" s="350"/>
    </row>
    <row r="5550" spans="4:60">
      <c r="D5550" s="350"/>
      <c r="S5550" s="350"/>
      <c r="BF5550" s="350"/>
      <c r="BG5550" s="350"/>
      <c r="BH5550" s="350"/>
    </row>
    <row r="5551" spans="4:60">
      <c r="D5551" s="350"/>
      <c r="S5551" s="350"/>
      <c r="BF5551" s="350"/>
      <c r="BG5551" s="350"/>
      <c r="BH5551" s="350"/>
    </row>
    <row r="5552" spans="4:60">
      <c r="D5552" s="350"/>
      <c r="S5552" s="350"/>
      <c r="BF5552" s="350"/>
      <c r="BG5552" s="350"/>
      <c r="BH5552" s="350"/>
    </row>
    <row r="5553" spans="4:60">
      <c r="D5553" s="350"/>
      <c r="S5553" s="350"/>
      <c r="BF5553" s="350"/>
      <c r="BG5553" s="350"/>
      <c r="BH5553" s="350"/>
    </row>
    <row r="5554" spans="4:60">
      <c r="D5554" s="350"/>
      <c r="S5554" s="350"/>
      <c r="BF5554" s="350"/>
      <c r="BG5554" s="350"/>
      <c r="BH5554" s="350"/>
    </row>
    <row r="5555" spans="4:60">
      <c r="D5555" s="350"/>
      <c r="S5555" s="350"/>
      <c r="BF5555" s="350"/>
      <c r="BG5555" s="350"/>
      <c r="BH5555" s="350"/>
    </row>
    <row r="5556" spans="4:60">
      <c r="D5556" s="350"/>
      <c r="S5556" s="350"/>
      <c r="BF5556" s="350"/>
      <c r="BG5556" s="350"/>
      <c r="BH5556" s="350"/>
    </row>
    <row r="5557" spans="4:60">
      <c r="D5557" s="350"/>
      <c r="S5557" s="350"/>
      <c r="BF5557" s="350"/>
      <c r="BG5557" s="350"/>
      <c r="BH5557" s="350"/>
    </row>
    <row r="5558" spans="4:60">
      <c r="D5558" s="350"/>
      <c r="S5558" s="350"/>
      <c r="BF5558" s="350"/>
      <c r="BG5558" s="350"/>
      <c r="BH5558" s="350"/>
    </row>
    <row r="5559" spans="4:60">
      <c r="D5559" s="350"/>
      <c r="S5559" s="350"/>
      <c r="BF5559" s="350"/>
      <c r="BG5559" s="350"/>
      <c r="BH5559" s="350"/>
    </row>
    <row r="5560" spans="4:60">
      <c r="D5560" s="350"/>
      <c r="S5560" s="350"/>
      <c r="BF5560" s="350"/>
      <c r="BG5560" s="350"/>
      <c r="BH5560" s="350"/>
    </row>
    <row r="5561" spans="4:60">
      <c r="D5561" s="350"/>
      <c r="S5561" s="350"/>
      <c r="BF5561" s="350"/>
      <c r="BG5561" s="350"/>
      <c r="BH5561" s="350"/>
    </row>
    <row r="5562" spans="4:60">
      <c r="D5562" s="350"/>
      <c r="S5562" s="350"/>
      <c r="BF5562" s="350"/>
      <c r="BG5562" s="350"/>
      <c r="BH5562" s="350"/>
    </row>
    <row r="5563" spans="4:60">
      <c r="D5563" s="350"/>
      <c r="S5563" s="350"/>
      <c r="BF5563" s="350"/>
      <c r="BG5563" s="350"/>
      <c r="BH5563" s="350"/>
    </row>
    <row r="5564" spans="4:60">
      <c r="D5564" s="350"/>
      <c r="S5564" s="350"/>
      <c r="BF5564" s="350"/>
      <c r="BG5564" s="350"/>
      <c r="BH5564" s="350"/>
    </row>
    <row r="5565" spans="4:60">
      <c r="D5565" s="350"/>
      <c r="S5565" s="350"/>
      <c r="BF5565" s="350"/>
      <c r="BG5565" s="350"/>
      <c r="BH5565" s="350"/>
    </row>
    <row r="5566" spans="4:60">
      <c r="D5566" s="350"/>
      <c r="S5566" s="350"/>
      <c r="BF5566" s="350"/>
      <c r="BG5566" s="350"/>
      <c r="BH5566" s="350"/>
    </row>
    <row r="5567" spans="4:60">
      <c r="D5567" s="350"/>
      <c r="S5567" s="350"/>
      <c r="BF5567" s="350"/>
      <c r="BG5567" s="350"/>
      <c r="BH5567" s="350"/>
    </row>
    <row r="5568" spans="4:60">
      <c r="D5568" s="350"/>
      <c r="S5568" s="350"/>
      <c r="BF5568" s="350"/>
      <c r="BG5568" s="350"/>
      <c r="BH5568" s="350"/>
    </row>
    <row r="5569" spans="4:60">
      <c r="D5569" s="350"/>
      <c r="S5569" s="350"/>
      <c r="BF5569" s="350"/>
      <c r="BG5569" s="350"/>
      <c r="BH5569" s="350"/>
    </row>
    <row r="5570" spans="4:60">
      <c r="D5570" s="350"/>
      <c r="S5570" s="350"/>
      <c r="BF5570" s="350"/>
      <c r="BG5570" s="350"/>
      <c r="BH5570" s="350"/>
    </row>
    <row r="5571" spans="4:60">
      <c r="D5571" s="350"/>
      <c r="S5571" s="350"/>
      <c r="BF5571" s="350"/>
      <c r="BG5571" s="350"/>
      <c r="BH5571" s="350"/>
    </row>
    <row r="5572" spans="4:60">
      <c r="D5572" s="350"/>
      <c r="S5572" s="350"/>
      <c r="BF5572" s="350"/>
      <c r="BG5572" s="350"/>
      <c r="BH5572" s="350"/>
    </row>
    <row r="5573" spans="4:60">
      <c r="D5573" s="350"/>
      <c r="S5573" s="350"/>
      <c r="BF5573" s="350"/>
      <c r="BG5573" s="350"/>
      <c r="BH5573" s="350"/>
    </row>
    <row r="5574" spans="4:60">
      <c r="D5574" s="350"/>
      <c r="S5574" s="350"/>
      <c r="BF5574" s="350"/>
      <c r="BG5574" s="350"/>
      <c r="BH5574" s="350"/>
    </row>
    <row r="5575" spans="4:60">
      <c r="D5575" s="350"/>
      <c r="S5575" s="350"/>
      <c r="BF5575" s="350"/>
      <c r="BG5575" s="350"/>
      <c r="BH5575" s="350"/>
    </row>
    <row r="5576" spans="4:60">
      <c r="D5576" s="350"/>
      <c r="S5576" s="350"/>
      <c r="BF5576" s="350"/>
      <c r="BG5576" s="350"/>
      <c r="BH5576" s="350"/>
    </row>
    <row r="5577" spans="4:60">
      <c r="D5577" s="350"/>
      <c r="S5577" s="350"/>
      <c r="BF5577" s="350"/>
      <c r="BG5577" s="350"/>
      <c r="BH5577" s="350"/>
    </row>
    <row r="5578" spans="4:60">
      <c r="D5578" s="350"/>
      <c r="S5578" s="350"/>
      <c r="BF5578" s="350"/>
      <c r="BG5578" s="350"/>
      <c r="BH5578" s="350"/>
    </row>
    <row r="5579" spans="4:60">
      <c r="D5579" s="350"/>
      <c r="S5579" s="350"/>
      <c r="BF5579" s="350"/>
      <c r="BG5579" s="350"/>
      <c r="BH5579" s="350"/>
    </row>
    <row r="5580" spans="4:60">
      <c r="D5580" s="350"/>
      <c r="S5580" s="350"/>
      <c r="BF5580" s="350"/>
      <c r="BG5580" s="350"/>
      <c r="BH5580" s="350"/>
    </row>
    <row r="5581" spans="4:60">
      <c r="D5581" s="350"/>
      <c r="S5581" s="350"/>
      <c r="BF5581" s="350"/>
      <c r="BG5581" s="350"/>
      <c r="BH5581" s="350"/>
    </row>
    <row r="5582" spans="4:60">
      <c r="D5582" s="350"/>
      <c r="S5582" s="350"/>
      <c r="BF5582" s="350"/>
      <c r="BG5582" s="350"/>
      <c r="BH5582" s="350"/>
    </row>
    <row r="5587" spans="4:60">
      <c r="D5587" s="350"/>
      <c r="S5587" s="350"/>
      <c r="BF5587" s="350"/>
      <c r="BG5587" s="350"/>
      <c r="BH5587" s="350"/>
    </row>
    <row r="5588" spans="4:60">
      <c r="D5588" s="350"/>
      <c r="S5588" s="350"/>
      <c r="BF5588" s="350"/>
      <c r="BG5588" s="350"/>
      <c r="BH5588" s="350"/>
    </row>
    <row r="5591" spans="4:60">
      <c r="D5591" s="350"/>
      <c r="S5591" s="350"/>
      <c r="BF5591" s="350"/>
      <c r="BG5591" s="350"/>
      <c r="BH5591" s="350"/>
    </row>
    <row r="5592" spans="4:60">
      <c r="D5592" s="350"/>
      <c r="S5592" s="350"/>
      <c r="BF5592" s="350"/>
      <c r="BG5592" s="350"/>
      <c r="BH5592" s="350"/>
    </row>
    <row r="5593" spans="4:60">
      <c r="D5593" s="350"/>
      <c r="S5593" s="350"/>
      <c r="BF5593" s="350"/>
      <c r="BG5593" s="350"/>
      <c r="BH5593" s="350"/>
    </row>
    <row r="5594" spans="4:60">
      <c r="D5594" s="350"/>
      <c r="S5594" s="350"/>
      <c r="BF5594" s="350"/>
      <c r="BG5594" s="350"/>
      <c r="BH5594" s="350"/>
    </row>
    <row r="5595" spans="4:60">
      <c r="D5595" s="350"/>
      <c r="S5595" s="350"/>
      <c r="BF5595" s="350"/>
      <c r="BG5595" s="350"/>
      <c r="BH5595" s="350"/>
    </row>
    <row r="5596" spans="4:60">
      <c r="D5596" s="350"/>
      <c r="S5596" s="350"/>
      <c r="BF5596" s="350"/>
      <c r="BG5596" s="350"/>
      <c r="BH5596" s="350"/>
    </row>
    <row r="5597" spans="4:60">
      <c r="D5597" s="350"/>
      <c r="S5597" s="350"/>
      <c r="BF5597" s="350"/>
      <c r="BG5597" s="350"/>
      <c r="BH5597" s="350"/>
    </row>
    <row r="5598" spans="4:60">
      <c r="D5598" s="350"/>
      <c r="S5598" s="350"/>
      <c r="BF5598" s="350"/>
      <c r="BG5598" s="350"/>
      <c r="BH5598" s="350"/>
    </row>
    <row r="5599" spans="4:60">
      <c r="D5599" s="350"/>
      <c r="S5599" s="350"/>
      <c r="BF5599" s="350"/>
      <c r="BG5599" s="350"/>
      <c r="BH5599" s="350"/>
    </row>
    <row r="5600" spans="4:60">
      <c r="D5600" s="350"/>
      <c r="S5600" s="350"/>
      <c r="BF5600" s="350"/>
      <c r="BG5600" s="350"/>
      <c r="BH5600" s="350"/>
    </row>
    <row r="5601" spans="4:60">
      <c r="D5601" s="350"/>
      <c r="S5601" s="350"/>
      <c r="BF5601" s="350"/>
      <c r="BG5601" s="350"/>
      <c r="BH5601" s="350"/>
    </row>
    <row r="5602" spans="4:60">
      <c r="D5602" s="350"/>
      <c r="S5602" s="350"/>
      <c r="BF5602" s="350"/>
      <c r="BG5602" s="350"/>
      <c r="BH5602" s="350"/>
    </row>
    <row r="5603" spans="4:60">
      <c r="D5603" s="350"/>
      <c r="S5603" s="350"/>
      <c r="BF5603" s="350"/>
      <c r="BG5603" s="350"/>
      <c r="BH5603" s="350"/>
    </row>
    <row r="5604" spans="4:60">
      <c r="D5604" s="350"/>
      <c r="S5604" s="350"/>
      <c r="BF5604" s="350"/>
      <c r="BG5604" s="350"/>
      <c r="BH5604" s="350"/>
    </row>
    <row r="5605" spans="4:60">
      <c r="D5605" s="350"/>
      <c r="S5605" s="350"/>
      <c r="BF5605" s="350"/>
      <c r="BG5605" s="350"/>
      <c r="BH5605" s="350"/>
    </row>
    <row r="5606" spans="4:60">
      <c r="D5606" s="350"/>
      <c r="S5606" s="350"/>
      <c r="BF5606" s="350"/>
      <c r="BG5606" s="350"/>
      <c r="BH5606" s="350"/>
    </row>
    <row r="5607" spans="4:60">
      <c r="D5607" s="350"/>
      <c r="S5607" s="350"/>
      <c r="BF5607" s="350"/>
      <c r="BG5607" s="350"/>
      <c r="BH5607" s="350"/>
    </row>
    <row r="5608" spans="4:60">
      <c r="D5608" s="350"/>
      <c r="S5608" s="350"/>
      <c r="BF5608" s="350"/>
      <c r="BG5608" s="350"/>
      <c r="BH5608" s="350"/>
    </row>
    <row r="5609" spans="4:60">
      <c r="D5609" s="350"/>
      <c r="S5609" s="350"/>
      <c r="BF5609" s="350"/>
      <c r="BG5609" s="350"/>
      <c r="BH5609" s="350"/>
    </row>
    <row r="5610" spans="4:60">
      <c r="D5610" s="350"/>
      <c r="S5610" s="350"/>
      <c r="BF5610" s="350"/>
      <c r="BG5610" s="350"/>
      <c r="BH5610" s="350"/>
    </row>
    <row r="5611" spans="4:60">
      <c r="D5611" s="350"/>
      <c r="S5611" s="350"/>
      <c r="BF5611" s="350"/>
      <c r="BG5611" s="350"/>
      <c r="BH5611" s="350"/>
    </row>
    <row r="5612" spans="4:60">
      <c r="D5612" s="350"/>
      <c r="S5612" s="350"/>
      <c r="BF5612" s="350"/>
      <c r="BG5612" s="350"/>
      <c r="BH5612" s="350"/>
    </row>
    <row r="5613" spans="4:60">
      <c r="D5613" s="350"/>
      <c r="S5613" s="350"/>
      <c r="BF5613" s="350"/>
      <c r="BG5613" s="350"/>
      <c r="BH5613" s="350"/>
    </row>
    <row r="5614" spans="4:60">
      <c r="D5614" s="350"/>
      <c r="S5614" s="350"/>
      <c r="BF5614" s="350"/>
      <c r="BG5614" s="350"/>
      <c r="BH5614" s="350"/>
    </row>
    <row r="5615" spans="4:60">
      <c r="D5615" s="350"/>
      <c r="S5615" s="350"/>
      <c r="BF5615" s="350"/>
      <c r="BG5615" s="350"/>
      <c r="BH5615" s="350"/>
    </row>
    <row r="5616" spans="4:60">
      <c r="D5616" s="350"/>
      <c r="S5616" s="350"/>
      <c r="BF5616" s="350"/>
      <c r="BG5616" s="350"/>
      <c r="BH5616" s="350"/>
    </row>
    <row r="5617" spans="4:60">
      <c r="D5617" s="350"/>
      <c r="S5617" s="350"/>
      <c r="BF5617" s="350"/>
      <c r="BG5617" s="350"/>
      <c r="BH5617" s="350"/>
    </row>
    <row r="5618" spans="4:60">
      <c r="D5618" s="350"/>
      <c r="S5618" s="350"/>
      <c r="BF5618" s="350"/>
      <c r="BG5618" s="350"/>
      <c r="BH5618" s="350"/>
    </row>
    <row r="5619" spans="4:60">
      <c r="D5619" s="350"/>
      <c r="S5619" s="350"/>
      <c r="BF5619" s="350"/>
      <c r="BG5619" s="350"/>
      <c r="BH5619" s="350"/>
    </row>
    <row r="5620" spans="4:60">
      <c r="D5620" s="350"/>
      <c r="S5620" s="350"/>
      <c r="BF5620" s="350"/>
      <c r="BG5620" s="350"/>
      <c r="BH5620" s="350"/>
    </row>
    <row r="5621" spans="4:60">
      <c r="D5621" s="350"/>
      <c r="S5621" s="350"/>
      <c r="BF5621" s="350"/>
      <c r="BG5621" s="350"/>
      <c r="BH5621" s="350"/>
    </row>
    <row r="5622" spans="4:60">
      <c r="D5622" s="350"/>
      <c r="S5622" s="350"/>
      <c r="BF5622" s="350"/>
      <c r="BG5622" s="350"/>
      <c r="BH5622" s="350"/>
    </row>
    <row r="5623" spans="4:60">
      <c r="D5623" s="350"/>
      <c r="S5623" s="350"/>
      <c r="BF5623" s="350"/>
      <c r="BG5623" s="350"/>
      <c r="BH5623" s="350"/>
    </row>
    <row r="5624" spans="4:60">
      <c r="D5624" s="350"/>
      <c r="S5624" s="350"/>
      <c r="BF5624" s="350"/>
      <c r="BG5624" s="350"/>
      <c r="BH5624" s="350"/>
    </row>
    <row r="5625" spans="4:60">
      <c r="D5625" s="350"/>
      <c r="S5625" s="350"/>
      <c r="BF5625" s="350"/>
      <c r="BG5625" s="350"/>
      <c r="BH5625" s="350"/>
    </row>
    <row r="5626" spans="4:60">
      <c r="D5626" s="350"/>
      <c r="S5626" s="350"/>
      <c r="BF5626" s="350"/>
      <c r="BG5626" s="350"/>
      <c r="BH5626" s="350"/>
    </row>
    <row r="5627" spans="4:60">
      <c r="D5627" s="350"/>
      <c r="S5627" s="350"/>
      <c r="BF5627" s="350"/>
      <c r="BG5627" s="350"/>
      <c r="BH5627" s="350"/>
    </row>
    <row r="5628" spans="4:60">
      <c r="D5628" s="350"/>
      <c r="S5628" s="350"/>
      <c r="BF5628" s="350"/>
      <c r="BG5628" s="350"/>
      <c r="BH5628" s="350"/>
    </row>
    <row r="5629" spans="4:60">
      <c r="D5629" s="350"/>
      <c r="S5629" s="350"/>
      <c r="BF5629" s="350"/>
      <c r="BG5629" s="350"/>
      <c r="BH5629" s="350"/>
    </row>
    <row r="5630" spans="4:60">
      <c r="D5630" s="350"/>
      <c r="S5630" s="350"/>
      <c r="BF5630" s="350"/>
      <c r="BG5630" s="350"/>
      <c r="BH5630" s="350"/>
    </row>
    <row r="5631" spans="4:60">
      <c r="D5631" s="350"/>
      <c r="S5631" s="350"/>
      <c r="BF5631" s="350"/>
      <c r="BG5631" s="350"/>
      <c r="BH5631" s="350"/>
    </row>
    <row r="5632" spans="4:60">
      <c r="D5632" s="350"/>
      <c r="S5632" s="350"/>
      <c r="BF5632" s="350"/>
      <c r="BG5632" s="350"/>
      <c r="BH5632" s="350"/>
    </row>
    <row r="5633" spans="4:60">
      <c r="D5633" s="350"/>
      <c r="S5633" s="350"/>
      <c r="BF5633" s="350"/>
      <c r="BG5633" s="350"/>
      <c r="BH5633" s="350"/>
    </row>
    <row r="5634" spans="4:60">
      <c r="D5634" s="350"/>
      <c r="S5634" s="350"/>
      <c r="BF5634" s="350"/>
      <c r="BG5634" s="350"/>
      <c r="BH5634" s="350"/>
    </row>
    <row r="5635" spans="4:60">
      <c r="D5635" s="350"/>
      <c r="S5635" s="350"/>
      <c r="BF5635" s="350"/>
      <c r="BG5635" s="350"/>
      <c r="BH5635" s="350"/>
    </row>
    <row r="5636" spans="4:60">
      <c r="D5636" s="350"/>
      <c r="S5636" s="350"/>
      <c r="BF5636" s="350"/>
      <c r="BG5636" s="350"/>
      <c r="BH5636" s="350"/>
    </row>
    <row r="5637" spans="4:60">
      <c r="D5637" s="350"/>
      <c r="S5637" s="350"/>
      <c r="BF5637" s="350"/>
      <c r="BG5637" s="350"/>
      <c r="BH5637" s="350"/>
    </row>
    <row r="5638" spans="4:60">
      <c r="D5638" s="350"/>
      <c r="S5638" s="350"/>
      <c r="BF5638" s="350"/>
      <c r="BG5638" s="350"/>
      <c r="BH5638" s="350"/>
    </row>
    <row r="5639" spans="4:60">
      <c r="D5639" s="350"/>
      <c r="S5639" s="350"/>
      <c r="BF5639" s="350"/>
      <c r="BG5639" s="350"/>
      <c r="BH5639" s="350"/>
    </row>
    <row r="5640" spans="4:60">
      <c r="D5640" s="350"/>
      <c r="S5640" s="350"/>
      <c r="BF5640" s="350"/>
      <c r="BG5640" s="350"/>
      <c r="BH5640" s="350"/>
    </row>
    <row r="5641" spans="4:60">
      <c r="D5641" s="350"/>
      <c r="S5641" s="350"/>
      <c r="BF5641" s="350"/>
      <c r="BG5641" s="350"/>
      <c r="BH5641" s="350"/>
    </row>
    <row r="5642" spans="4:60">
      <c r="D5642" s="350"/>
      <c r="S5642" s="350"/>
      <c r="BF5642" s="350"/>
      <c r="BG5642" s="350"/>
      <c r="BH5642" s="350"/>
    </row>
    <row r="5643" spans="4:60">
      <c r="D5643" s="350"/>
      <c r="S5643" s="350"/>
      <c r="BF5643" s="350"/>
      <c r="BG5643" s="350"/>
      <c r="BH5643" s="350"/>
    </row>
    <row r="5644" spans="4:60">
      <c r="D5644" s="350"/>
      <c r="S5644" s="350"/>
      <c r="BF5644" s="350"/>
      <c r="BG5644" s="350"/>
      <c r="BH5644" s="350"/>
    </row>
    <row r="5645" spans="4:60">
      <c r="D5645" s="350"/>
      <c r="S5645" s="350"/>
      <c r="BF5645" s="350"/>
      <c r="BG5645" s="350"/>
      <c r="BH5645" s="350"/>
    </row>
    <row r="5646" spans="4:60">
      <c r="D5646" s="350"/>
      <c r="S5646" s="350"/>
      <c r="BF5646" s="350"/>
      <c r="BG5646" s="350"/>
      <c r="BH5646" s="350"/>
    </row>
    <row r="5647" spans="4:60">
      <c r="D5647" s="350"/>
      <c r="S5647" s="350"/>
      <c r="BF5647" s="350"/>
      <c r="BG5647" s="350"/>
      <c r="BH5647" s="350"/>
    </row>
    <row r="5648" spans="4:60">
      <c r="D5648" s="350"/>
      <c r="S5648" s="350"/>
      <c r="BF5648" s="350"/>
      <c r="BG5648" s="350"/>
      <c r="BH5648" s="350"/>
    </row>
    <row r="5651" spans="4:60">
      <c r="D5651" s="350"/>
      <c r="S5651" s="350"/>
      <c r="BF5651" s="350"/>
      <c r="BG5651" s="350"/>
      <c r="BH5651" s="350"/>
    </row>
    <row r="5652" spans="4:60">
      <c r="D5652" s="350"/>
      <c r="S5652" s="350"/>
      <c r="BF5652" s="350"/>
      <c r="BG5652" s="350"/>
      <c r="BH5652" s="350"/>
    </row>
    <row r="5657" spans="4:60">
      <c r="D5657" s="350"/>
      <c r="S5657" s="350"/>
      <c r="BF5657" s="350"/>
      <c r="BG5657" s="350"/>
      <c r="BH5657" s="350"/>
    </row>
    <row r="5658" spans="4:60">
      <c r="D5658" s="350"/>
      <c r="S5658" s="350"/>
      <c r="BF5658" s="350"/>
      <c r="BG5658" s="350"/>
      <c r="BH5658" s="350"/>
    </row>
    <row r="5659" spans="4:60">
      <c r="D5659" s="350"/>
      <c r="S5659" s="350"/>
      <c r="BF5659" s="350"/>
      <c r="BG5659" s="350"/>
      <c r="BH5659" s="350"/>
    </row>
    <row r="5660" spans="4:60">
      <c r="D5660" s="350"/>
      <c r="S5660" s="350"/>
      <c r="BF5660" s="350"/>
      <c r="BG5660" s="350"/>
      <c r="BH5660" s="350"/>
    </row>
    <row r="5661" spans="4:60">
      <c r="D5661" s="350"/>
      <c r="S5661" s="350"/>
      <c r="BF5661" s="350"/>
      <c r="BG5661" s="350"/>
      <c r="BH5661" s="350"/>
    </row>
    <row r="5662" spans="4:60">
      <c r="D5662" s="350"/>
      <c r="S5662" s="350"/>
      <c r="BF5662" s="350"/>
      <c r="BG5662" s="350"/>
      <c r="BH5662" s="350"/>
    </row>
    <row r="5663" spans="4:60">
      <c r="D5663" s="350"/>
      <c r="S5663" s="350"/>
      <c r="BF5663" s="350"/>
      <c r="BG5663" s="350"/>
      <c r="BH5663" s="350"/>
    </row>
    <row r="5664" spans="4:60">
      <c r="D5664" s="350"/>
      <c r="S5664" s="350"/>
      <c r="BF5664" s="350"/>
      <c r="BG5664" s="350"/>
      <c r="BH5664" s="350"/>
    </row>
    <row r="5665" spans="4:60">
      <c r="D5665" s="350"/>
      <c r="S5665" s="350"/>
      <c r="BF5665" s="350"/>
      <c r="BG5665" s="350"/>
      <c r="BH5665" s="350"/>
    </row>
    <row r="5666" spans="4:60">
      <c r="D5666" s="350"/>
      <c r="S5666" s="350"/>
      <c r="BF5666" s="350"/>
      <c r="BG5666" s="350"/>
      <c r="BH5666" s="350"/>
    </row>
    <row r="5667" spans="4:60">
      <c r="D5667" s="350"/>
      <c r="S5667" s="350"/>
      <c r="BF5667" s="350"/>
      <c r="BG5667" s="350"/>
      <c r="BH5667" s="350"/>
    </row>
    <row r="5668" spans="4:60">
      <c r="D5668" s="350"/>
      <c r="S5668" s="350"/>
      <c r="BF5668" s="350"/>
      <c r="BG5668" s="350"/>
      <c r="BH5668" s="350"/>
    </row>
    <row r="5669" spans="4:60">
      <c r="D5669" s="350"/>
      <c r="S5669" s="350"/>
      <c r="BF5669" s="350"/>
      <c r="BG5669" s="350"/>
      <c r="BH5669" s="350"/>
    </row>
    <row r="5670" spans="4:60">
      <c r="D5670" s="350"/>
      <c r="S5670" s="350"/>
      <c r="BF5670" s="350"/>
      <c r="BG5670" s="350"/>
      <c r="BH5670" s="350"/>
    </row>
    <row r="5671" spans="4:60">
      <c r="D5671" s="350"/>
      <c r="S5671" s="350"/>
      <c r="BF5671" s="350"/>
      <c r="BG5671" s="350"/>
      <c r="BH5671" s="350"/>
    </row>
    <row r="5672" spans="4:60">
      <c r="D5672" s="350"/>
      <c r="S5672" s="350"/>
      <c r="BF5672" s="350"/>
      <c r="BG5672" s="350"/>
      <c r="BH5672" s="350"/>
    </row>
    <row r="5673" spans="4:60">
      <c r="D5673" s="350"/>
      <c r="S5673" s="350"/>
      <c r="BF5673" s="350"/>
      <c r="BG5673" s="350"/>
      <c r="BH5673" s="350"/>
    </row>
    <row r="5674" spans="4:60">
      <c r="D5674" s="350"/>
      <c r="S5674" s="350"/>
      <c r="BF5674" s="350"/>
      <c r="BG5674" s="350"/>
      <c r="BH5674" s="350"/>
    </row>
    <row r="5675" spans="4:60">
      <c r="D5675" s="350"/>
      <c r="S5675" s="350"/>
      <c r="BF5675" s="350"/>
      <c r="BG5675" s="350"/>
      <c r="BH5675" s="350"/>
    </row>
    <row r="5676" spans="4:60">
      <c r="D5676" s="350"/>
      <c r="S5676" s="350"/>
      <c r="BF5676" s="350"/>
      <c r="BG5676" s="350"/>
      <c r="BH5676" s="350"/>
    </row>
    <row r="5677" spans="4:60">
      <c r="D5677" s="350"/>
      <c r="S5677" s="350"/>
      <c r="BF5677" s="350"/>
      <c r="BG5677" s="350"/>
      <c r="BH5677" s="350"/>
    </row>
    <row r="5678" spans="4:60">
      <c r="D5678" s="350"/>
      <c r="S5678" s="350"/>
      <c r="BF5678" s="350"/>
      <c r="BG5678" s="350"/>
      <c r="BH5678" s="350"/>
    </row>
    <row r="5679" spans="4:60">
      <c r="D5679" s="350"/>
      <c r="S5679" s="350"/>
      <c r="BF5679" s="350"/>
      <c r="BG5679" s="350"/>
      <c r="BH5679" s="350"/>
    </row>
    <row r="5680" spans="4:60">
      <c r="D5680" s="350"/>
      <c r="S5680" s="350"/>
      <c r="BF5680" s="350"/>
      <c r="BG5680" s="350"/>
      <c r="BH5680" s="350"/>
    </row>
    <row r="5681" spans="4:60">
      <c r="D5681" s="350"/>
      <c r="S5681" s="350"/>
      <c r="BF5681" s="350"/>
      <c r="BG5681" s="350"/>
      <c r="BH5681" s="350"/>
    </row>
    <row r="5682" spans="4:60">
      <c r="D5682" s="350"/>
      <c r="S5682" s="350"/>
      <c r="BF5682" s="350"/>
      <c r="BG5682" s="350"/>
      <c r="BH5682" s="350"/>
    </row>
    <row r="5683" spans="4:60">
      <c r="D5683" s="350"/>
      <c r="S5683" s="350"/>
      <c r="BF5683" s="350"/>
      <c r="BG5683" s="350"/>
      <c r="BH5683" s="350"/>
    </row>
    <row r="5684" spans="4:60">
      <c r="D5684" s="350"/>
      <c r="S5684" s="350"/>
      <c r="BF5684" s="350"/>
      <c r="BG5684" s="350"/>
      <c r="BH5684" s="350"/>
    </row>
    <row r="5685" spans="4:60">
      <c r="D5685" s="350"/>
      <c r="S5685" s="350"/>
      <c r="BF5685" s="350"/>
      <c r="BG5685" s="350"/>
      <c r="BH5685" s="350"/>
    </row>
    <row r="5686" spans="4:60">
      <c r="D5686" s="350"/>
      <c r="S5686" s="350"/>
      <c r="BF5686" s="350"/>
      <c r="BG5686" s="350"/>
      <c r="BH5686" s="350"/>
    </row>
    <row r="5687" spans="4:60">
      <c r="D5687" s="350"/>
      <c r="S5687" s="350"/>
      <c r="BF5687" s="350"/>
      <c r="BG5687" s="350"/>
      <c r="BH5687" s="350"/>
    </row>
    <row r="5688" spans="4:60">
      <c r="D5688" s="350"/>
      <c r="S5688" s="350"/>
      <c r="BF5688" s="350"/>
      <c r="BG5688" s="350"/>
      <c r="BH5688" s="350"/>
    </row>
    <row r="5689" spans="4:60">
      <c r="D5689" s="350"/>
      <c r="S5689" s="350"/>
      <c r="BF5689" s="350"/>
      <c r="BG5689" s="350"/>
      <c r="BH5689" s="350"/>
    </row>
    <row r="5690" spans="4:60">
      <c r="D5690" s="350"/>
      <c r="S5690" s="350"/>
      <c r="BF5690" s="350"/>
      <c r="BG5690" s="350"/>
      <c r="BH5690" s="350"/>
    </row>
    <row r="5691" spans="4:60">
      <c r="D5691" s="350"/>
      <c r="S5691" s="350"/>
      <c r="BF5691" s="350"/>
      <c r="BG5691" s="350"/>
      <c r="BH5691" s="350"/>
    </row>
    <row r="5692" spans="4:60">
      <c r="D5692" s="350"/>
      <c r="S5692" s="350"/>
      <c r="BF5692" s="350"/>
      <c r="BG5692" s="350"/>
      <c r="BH5692" s="350"/>
    </row>
    <row r="5693" spans="4:60">
      <c r="D5693" s="350"/>
      <c r="S5693" s="350"/>
      <c r="BF5693" s="350"/>
      <c r="BG5693" s="350"/>
      <c r="BH5693" s="350"/>
    </row>
    <row r="5694" spans="4:60">
      <c r="D5694" s="350"/>
      <c r="S5694" s="350"/>
      <c r="BF5694" s="350"/>
      <c r="BG5694" s="350"/>
      <c r="BH5694" s="350"/>
    </row>
    <row r="5695" spans="4:60">
      <c r="D5695" s="350"/>
      <c r="S5695" s="350"/>
      <c r="BF5695" s="350"/>
      <c r="BG5695" s="350"/>
      <c r="BH5695" s="350"/>
    </row>
    <row r="5696" spans="4:60">
      <c r="D5696" s="350"/>
      <c r="S5696" s="350"/>
      <c r="BF5696" s="350"/>
      <c r="BG5696" s="350"/>
      <c r="BH5696" s="350"/>
    </row>
    <row r="5697" spans="4:60">
      <c r="D5697" s="350"/>
      <c r="S5697" s="350"/>
      <c r="BF5697" s="350"/>
      <c r="BG5697" s="350"/>
      <c r="BH5697" s="350"/>
    </row>
    <row r="5698" spans="4:60">
      <c r="D5698" s="350"/>
      <c r="S5698" s="350"/>
      <c r="BF5698" s="350"/>
      <c r="BG5698" s="350"/>
      <c r="BH5698" s="350"/>
    </row>
    <row r="5699" spans="4:60">
      <c r="D5699" s="350"/>
      <c r="S5699" s="350"/>
      <c r="BF5699" s="350"/>
      <c r="BG5699" s="350"/>
      <c r="BH5699" s="350"/>
    </row>
    <row r="5700" spans="4:60">
      <c r="D5700" s="350"/>
      <c r="S5700" s="350"/>
      <c r="BF5700" s="350"/>
      <c r="BG5700" s="350"/>
      <c r="BH5700" s="350"/>
    </row>
    <row r="5701" spans="4:60">
      <c r="D5701" s="350"/>
      <c r="S5701" s="350"/>
      <c r="BF5701" s="350"/>
      <c r="BG5701" s="350"/>
      <c r="BH5701" s="350"/>
    </row>
    <row r="5702" spans="4:60">
      <c r="D5702" s="350"/>
      <c r="S5702" s="350"/>
      <c r="BF5702" s="350"/>
      <c r="BG5702" s="350"/>
      <c r="BH5702" s="350"/>
    </row>
    <row r="5703" spans="4:60">
      <c r="D5703" s="350"/>
      <c r="S5703" s="350"/>
      <c r="BF5703" s="350"/>
      <c r="BG5703" s="350"/>
      <c r="BH5703" s="350"/>
    </row>
    <row r="5704" spans="4:60">
      <c r="D5704" s="350"/>
      <c r="S5704" s="350"/>
      <c r="BF5704" s="350"/>
      <c r="BG5704" s="350"/>
      <c r="BH5704" s="350"/>
    </row>
    <row r="5705" spans="4:60">
      <c r="D5705" s="350"/>
      <c r="S5705" s="350"/>
      <c r="BF5705" s="350"/>
      <c r="BG5705" s="350"/>
      <c r="BH5705" s="350"/>
    </row>
    <row r="5706" spans="4:60">
      <c r="D5706" s="350"/>
      <c r="S5706" s="350"/>
      <c r="BF5706" s="350"/>
      <c r="BG5706" s="350"/>
      <c r="BH5706" s="350"/>
    </row>
    <row r="5707" spans="4:60">
      <c r="D5707" s="350"/>
      <c r="S5707" s="350"/>
      <c r="BF5707" s="350"/>
      <c r="BG5707" s="350"/>
      <c r="BH5707" s="350"/>
    </row>
    <row r="5708" spans="4:60">
      <c r="D5708" s="350"/>
      <c r="S5708" s="350"/>
      <c r="BF5708" s="350"/>
      <c r="BG5708" s="350"/>
      <c r="BH5708" s="350"/>
    </row>
    <row r="5709" spans="4:60">
      <c r="D5709" s="350"/>
      <c r="S5709" s="350"/>
      <c r="BF5709" s="350"/>
      <c r="BG5709" s="350"/>
      <c r="BH5709" s="350"/>
    </row>
    <row r="5710" spans="4:60">
      <c r="D5710" s="350"/>
      <c r="S5710" s="350"/>
      <c r="BF5710" s="350"/>
      <c r="BG5710" s="350"/>
      <c r="BH5710" s="350"/>
    </row>
    <row r="5711" spans="4:60">
      <c r="D5711" s="350"/>
      <c r="S5711" s="350"/>
      <c r="BF5711" s="350"/>
      <c r="BG5711" s="350"/>
      <c r="BH5711" s="350"/>
    </row>
    <row r="5712" spans="4:60">
      <c r="D5712" s="350"/>
      <c r="S5712" s="350"/>
      <c r="BF5712" s="350"/>
      <c r="BG5712" s="350"/>
      <c r="BH5712" s="350"/>
    </row>
    <row r="5713" spans="4:60">
      <c r="D5713" s="350"/>
      <c r="S5713" s="350"/>
      <c r="BF5713" s="350"/>
      <c r="BG5713" s="350"/>
      <c r="BH5713" s="350"/>
    </row>
    <row r="5714" spans="4:60">
      <c r="D5714" s="350"/>
      <c r="S5714" s="350"/>
      <c r="BF5714" s="350"/>
      <c r="BG5714" s="350"/>
      <c r="BH5714" s="350"/>
    </row>
    <row r="5715" spans="4:60">
      <c r="D5715" s="350"/>
      <c r="S5715" s="350"/>
      <c r="BF5715" s="350"/>
      <c r="BG5715" s="350"/>
      <c r="BH5715" s="350"/>
    </row>
    <row r="5716" spans="4:60">
      <c r="D5716" s="350"/>
      <c r="S5716" s="350"/>
      <c r="BF5716" s="350"/>
      <c r="BG5716" s="350"/>
      <c r="BH5716" s="350"/>
    </row>
    <row r="5717" spans="4:60">
      <c r="D5717" s="350"/>
      <c r="S5717" s="350"/>
      <c r="BF5717" s="350"/>
      <c r="BG5717" s="350"/>
      <c r="BH5717" s="350"/>
    </row>
    <row r="5718" spans="4:60">
      <c r="D5718" s="350"/>
      <c r="S5718" s="350"/>
      <c r="BF5718" s="350"/>
      <c r="BG5718" s="350"/>
      <c r="BH5718" s="350"/>
    </row>
    <row r="5719" spans="4:60">
      <c r="D5719" s="350"/>
      <c r="S5719" s="350"/>
      <c r="BF5719" s="350"/>
      <c r="BG5719" s="350"/>
      <c r="BH5719" s="350"/>
    </row>
    <row r="5720" spans="4:60">
      <c r="D5720" s="350"/>
      <c r="S5720" s="350"/>
      <c r="BF5720" s="350"/>
      <c r="BG5720" s="350"/>
      <c r="BH5720" s="350"/>
    </row>
    <row r="5721" spans="4:60">
      <c r="D5721" s="350"/>
      <c r="S5721" s="350"/>
      <c r="BF5721" s="350"/>
      <c r="BG5721" s="350"/>
      <c r="BH5721" s="350"/>
    </row>
    <row r="5722" spans="4:60">
      <c r="D5722" s="350"/>
      <c r="S5722" s="350"/>
      <c r="BF5722" s="350"/>
      <c r="BG5722" s="350"/>
      <c r="BH5722" s="350"/>
    </row>
    <row r="5723" spans="4:60">
      <c r="D5723" s="350"/>
      <c r="S5723" s="350"/>
      <c r="BF5723" s="350"/>
      <c r="BG5723" s="350"/>
      <c r="BH5723" s="350"/>
    </row>
    <row r="5724" spans="4:60">
      <c r="D5724" s="350"/>
      <c r="S5724" s="350"/>
      <c r="BF5724" s="350"/>
      <c r="BG5724" s="350"/>
      <c r="BH5724" s="350"/>
    </row>
    <row r="5725" spans="4:60">
      <c r="D5725" s="350"/>
      <c r="S5725" s="350"/>
      <c r="BF5725" s="350"/>
      <c r="BG5725" s="350"/>
      <c r="BH5725" s="350"/>
    </row>
    <row r="5726" spans="4:60">
      <c r="D5726" s="350"/>
      <c r="S5726" s="350"/>
      <c r="BF5726" s="350"/>
      <c r="BG5726" s="350"/>
      <c r="BH5726" s="350"/>
    </row>
    <row r="5727" spans="4:60">
      <c r="D5727" s="350"/>
      <c r="S5727" s="350"/>
      <c r="BF5727" s="350"/>
      <c r="BG5727" s="350"/>
      <c r="BH5727" s="350"/>
    </row>
    <row r="5728" spans="4:60">
      <c r="D5728" s="350"/>
      <c r="S5728" s="350"/>
      <c r="BF5728" s="350"/>
      <c r="BG5728" s="350"/>
      <c r="BH5728" s="350"/>
    </row>
    <row r="5729" spans="4:60">
      <c r="D5729" s="350"/>
      <c r="S5729" s="350"/>
      <c r="BF5729" s="350"/>
      <c r="BG5729" s="350"/>
      <c r="BH5729" s="350"/>
    </row>
    <row r="5730" spans="4:60">
      <c r="D5730" s="350"/>
      <c r="S5730" s="350"/>
      <c r="BF5730" s="350"/>
      <c r="BG5730" s="350"/>
      <c r="BH5730" s="350"/>
    </row>
    <row r="5731" spans="4:60">
      <c r="D5731" s="350"/>
      <c r="S5731" s="350"/>
      <c r="BF5731" s="350"/>
      <c r="BG5731" s="350"/>
      <c r="BH5731" s="350"/>
    </row>
    <row r="5732" spans="4:60">
      <c r="D5732" s="350"/>
      <c r="S5732" s="350"/>
      <c r="BF5732" s="350"/>
      <c r="BG5732" s="350"/>
      <c r="BH5732" s="350"/>
    </row>
    <row r="5733" spans="4:60">
      <c r="D5733" s="350"/>
      <c r="S5733" s="350"/>
      <c r="BF5733" s="350"/>
      <c r="BG5733" s="350"/>
      <c r="BH5733" s="350"/>
    </row>
    <row r="5734" spans="4:60">
      <c r="D5734" s="350"/>
      <c r="S5734" s="350"/>
      <c r="BF5734" s="350"/>
      <c r="BG5734" s="350"/>
      <c r="BH5734" s="350"/>
    </row>
    <row r="5735" spans="4:60">
      <c r="D5735" s="350"/>
      <c r="S5735" s="350"/>
      <c r="BF5735" s="350"/>
      <c r="BG5735" s="350"/>
      <c r="BH5735" s="350"/>
    </row>
    <row r="5736" spans="4:60">
      <c r="D5736" s="350"/>
      <c r="S5736" s="350"/>
      <c r="BF5736" s="350"/>
      <c r="BG5736" s="350"/>
      <c r="BH5736" s="350"/>
    </row>
    <row r="5737" spans="4:60">
      <c r="D5737" s="350"/>
      <c r="S5737" s="350"/>
      <c r="BF5737" s="350"/>
      <c r="BG5737" s="350"/>
      <c r="BH5737" s="350"/>
    </row>
    <row r="5738" spans="4:60">
      <c r="D5738" s="350"/>
      <c r="S5738" s="350"/>
      <c r="BF5738" s="350"/>
      <c r="BG5738" s="350"/>
      <c r="BH5738" s="350"/>
    </row>
    <row r="5739" spans="4:60">
      <c r="D5739" s="350"/>
      <c r="S5739" s="350"/>
      <c r="BF5739" s="350"/>
      <c r="BG5739" s="350"/>
      <c r="BH5739" s="350"/>
    </row>
    <row r="5740" spans="4:60">
      <c r="D5740" s="350"/>
      <c r="S5740" s="350"/>
      <c r="BF5740" s="350"/>
      <c r="BG5740" s="350"/>
      <c r="BH5740" s="350"/>
    </row>
    <row r="5741" spans="4:60">
      <c r="D5741" s="350"/>
      <c r="S5741" s="350"/>
      <c r="BF5741" s="350"/>
      <c r="BG5741" s="350"/>
      <c r="BH5741" s="350"/>
    </row>
    <row r="5742" spans="4:60">
      <c r="D5742" s="350"/>
      <c r="S5742" s="350"/>
      <c r="BF5742" s="350"/>
      <c r="BG5742" s="350"/>
      <c r="BH5742" s="350"/>
    </row>
    <row r="5743" spans="4:60">
      <c r="D5743" s="350"/>
      <c r="S5743" s="350"/>
      <c r="BF5743" s="350"/>
      <c r="BG5743" s="350"/>
      <c r="BH5743" s="350"/>
    </row>
    <row r="5744" spans="4:60">
      <c r="D5744" s="350"/>
      <c r="S5744" s="350"/>
      <c r="BF5744" s="350"/>
      <c r="BG5744" s="350"/>
      <c r="BH5744" s="350"/>
    </row>
    <row r="5745" spans="4:60">
      <c r="D5745" s="350"/>
      <c r="S5745" s="350"/>
      <c r="BF5745" s="350"/>
      <c r="BG5745" s="350"/>
      <c r="BH5745" s="350"/>
    </row>
    <row r="5746" spans="4:60">
      <c r="D5746" s="350"/>
      <c r="S5746" s="350"/>
      <c r="BF5746" s="350"/>
      <c r="BG5746" s="350"/>
      <c r="BH5746" s="350"/>
    </row>
    <row r="5747" spans="4:60">
      <c r="D5747" s="350"/>
      <c r="S5747" s="350"/>
      <c r="BF5747" s="350"/>
      <c r="BG5747" s="350"/>
      <c r="BH5747" s="350"/>
    </row>
    <row r="5748" spans="4:60">
      <c r="D5748" s="350"/>
      <c r="S5748" s="350"/>
      <c r="BF5748" s="350"/>
      <c r="BG5748" s="350"/>
      <c r="BH5748" s="350"/>
    </row>
    <row r="5749" spans="4:60">
      <c r="D5749" s="350"/>
      <c r="S5749" s="350"/>
      <c r="BF5749" s="350"/>
      <c r="BG5749" s="350"/>
      <c r="BH5749" s="350"/>
    </row>
    <row r="5750" spans="4:60">
      <c r="D5750" s="350"/>
      <c r="S5750" s="350"/>
      <c r="BF5750" s="350"/>
      <c r="BG5750" s="350"/>
      <c r="BH5750" s="350"/>
    </row>
    <row r="5751" spans="4:60">
      <c r="D5751" s="350"/>
      <c r="S5751" s="350"/>
      <c r="BF5751" s="350"/>
      <c r="BG5751" s="350"/>
      <c r="BH5751" s="350"/>
    </row>
    <row r="5752" spans="4:60">
      <c r="D5752" s="350"/>
      <c r="S5752" s="350"/>
      <c r="BF5752" s="350"/>
      <c r="BG5752" s="350"/>
      <c r="BH5752" s="350"/>
    </row>
    <row r="5753" spans="4:60">
      <c r="D5753" s="350"/>
      <c r="S5753" s="350"/>
      <c r="BF5753" s="350"/>
      <c r="BG5753" s="350"/>
      <c r="BH5753" s="350"/>
    </row>
    <row r="5754" spans="4:60">
      <c r="D5754" s="350"/>
      <c r="S5754" s="350"/>
      <c r="BF5754" s="350"/>
      <c r="BG5754" s="350"/>
      <c r="BH5754" s="350"/>
    </row>
    <row r="5755" spans="4:60">
      <c r="D5755" s="350"/>
      <c r="S5755" s="350"/>
      <c r="BF5755" s="350"/>
      <c r="BG5755" s="350"/>
      <c r="BH5755" s="350"/>
    </row>
    <row r="5756" spans="4:60">
      <c r="D5756" s="350"/>
      <c r="S5756" s="350"/>
      <c r="BF5756" s="350"/>
      <c r="BG5756" s="350"/>
      <c r="BH5756" s="350"/>
    </row>
    <row r="5757" spans="4:60">
      <c r="D5757" s="350"/>
      <c r="S5757" s="350"/>
      <c r="BF5757" s="350"/>
      <c r="BG5757" s="350"/>
      <c r="BH5757" s="350"/>
    </row>
    <row r="5758" spans="4:60">
      <c r="D5758" s="350"/>
      <c r="S5758" s="350"/>
      <c r="BF5758" s="350"/>
      <c r="BG5758" s="350"/>
      <c r="BH5758" s="350"/>
    </row>
    <row r="5759" spans="4:60">
      <c r="D5759" s="350"/>
      <c r="S5759" s="350"/>
      <c r="BF5759" s="350"/>
      <c r="BG5759" s="350"/>
      <c r="BH5759" s="350"/>
    </row>
    <row r="5760" spans="4:60">
      <c r="D5760" s="350"/>
      <c r="S5760" s="350"/>
      <c r="BF5760" s="350"/>
      <c r="BG5760" s="350"/>
      <c r="BH5760" s="350"/>
    </row>
    <row r="5761" spans="4:60">
      <c r="D5761" s="350"/>
      <c r="S5761" s="350"/>
      <c r="BF5761" s="350"/>
      <c r="BG5761" s="350"/>
      <c r="BH5761" s="350"/>
    </row>
    <row r="5762" spans="4:60">
      <c r="D5762" s="350"/>
      <c r="S5762" s="350"/>
      <c r="BF5762" s="350"/>
      <c r="BG5762" s="350"/>
      <c r="BH5762" s="350"/>
    </row>
    <row r="5763" spans="4:60">
      <c r="D5763" s="350"/>
      <c r="S5763" s="350"/>
      <c r="BF5763" s="350"/>
      <c r="BG5763" s="350"/>
      <c r="BH5763" s="350"/>
    </row>
    <row r="5764" spans="4:60">
      <c r="D5764" s="350"/>
      <c r="S5764" s="350"/>
      <c r="BF5764" s="350"/>
      <c r="BG5764" s="350"/>
      <c r="BH5764" s="350"/>
    </row>
    <row r="5765" spans="4:60">
      <c r="D5765" s="350"/>
      <c r="S5765" s="350"/>
      <c r="BF5765" s="350"/>
      <c r="BG5765" s="350"/>
      <c r="BH5765" s="350"/>
    </row>
    <row r="5766" spans="4:60">
      <c r="D5766" s="350"/>
      <c r="S5766" s="350"/>
      <c r="BF5766" s="350"/>
      <c r="BG5766" s="350"/>
      <c r="BH5766" s="350"/>
    </row>
    <row r="5767" spans="4:60">
      <c r="D5767" s="350"/>
      <c r="S5767" s="350"/>
      <c r="BF5767" s="350"/>
      <c r="BG5767" s="350"/>
      <c r="BH5767" s="350"/>
    </row>
    <row r="5768" spans="4:60">
      <c r="D5768" s="350"/>
      <c r="S5768" s="350"/>
      <c r="BF5768" s="350"/>
      <c r="BG5768" s="350"/>
      <c r="BH5768" s="350"/>
    </row>
    <row r="5769" spans="4:60">
      <c r="D5769" s="350"/>
      <c r="S5769" s="350"/>
      <c r="BF5769" s="350"/>
      <c r="BG5769" s="350"/>
      <c r="BH5769" s="350"/>
    </row>
    <row r="5770" spans="4:60">
      <c r="D5770" s="350"/>
      <c r="S5770" s="350"/>
      <c r="BF5770" s="350"/>
      <c r="BG5770" s="350"/>
      <c r="BH5770" s="350"/>
    </row>
    <row r="5771" spans="4:60">
      <c r="D5771" s="350"/>
      <c r="S5771" s="350"/>
      <c r="BF5771" s="350"/>
      <c r="BG5771" s="350"/>
      <c r="BH5771" s="350"/>
    </row>
    <row r="5772" spans="4:60">
      <c r="D5772" s="350"/>
      <c r="S5772" s="350"/>
      <c r="BF5772" s="350"/>
      <c r="BG5772" s="350"/>
      <c r="BH5772" s="350"/>
    </row>
    <row r="5773" spans="4:60">
      <c r="D5773" s="350"/>
      <c r="S5773" s="350"/>
      <c r="BF5773" s="350"/>
      <c r="BG5773" s="350"/>
      <c r="BH5773" s="350"/>
    </row>
    <row r="5774" spans="4:60">
      <c r="D5774" s="350"/>
      <c r="S5774" s="350"/>
      <c r="BF5774" s="350"/>
      <c r="BG5774" s="350"/>
      <c r="BH5774" s="350"/>
    </row>
    <row r="5775" spans="4:60">
      <c r="D5775" s="350"/>
      <c r="S5775" s="350"/>
      <c r="BF5775" s="350"/>
      <c r="BG5775" s="350"/>
      <c r="BH5775" s="350"/>
    </row>
    <row r="5776" spans="4:60">
      <c r="D5776" s="350"/>
      <c r="S5776" s="350"/>
      <c r="BF5776" s="350"/>
      <c r="BG5776" s="350"/>
      <c r="BH5776" s="350"/>
    </row>
    <row r="5777" spans="4:60">
      <c r="D5777" s="350"/>
      <c r="S5777" s="350"/>
      <c r="BF5777" s="350"/>
      <c r="BG5777" s="350"/>
      <c r="BH5777" s="350"/>
    </row>
    <row r="5778" spans="4:60">
      <c r="D5778" s="350"/>
      <c r="S5778" s="350"/>
      <c r="BF5778" s="350"/>
      <c r="BG5778" s="350"/>
      <c r="BH5778" s="350"/>
    </row>
    <row r="5779" spans="4:60">
      <c r="D5779" s="350"/>
      <c r="S5779" s="350"/>
      <c r="BF5779" s="350"/>
      <c r="BG5779" s="350"/>
      <c r="BH5779" s="350"/>
    </row>
    <row r="5780" spans="4:60">
      <c r="D5780" s="350"/>
      <c r="S5780" s="350"/>
      <c r="BF5780" s="350"/>
      <c r="BG5780" s="350"/>
      <c r="BH5780" s="350"/>
    </row>
    <row r="5781" spans="4:60">
      <c r="D5781" s="350"/>
      <c r="S5781" s="350"/>
      <c r="BF5781" s="350"/>
      <c r="BG5781" s="350"/>
      <c r="BH5781" s="350"/>
    </row>
    <row r="5782" spans="4:60">
      <c r="D5782" s="350"/>
      <c r="S5782" s="350"/>
      <c r="BF5782" s="350"/>
      <c r="BG5782" s="350"/>
      <c r="BH5782" s="350"/>
    </row>
    <row r="5783" spans="4:60">
      <c r="D5783" s="350"/>
      <c r="S5783" s="350"/>
      <c r="BF5783" s="350"/>
      <c r="BG5783" s="350"/>
      <c r="BH5783" s="350"/>
    </row>
    <row r="5784" spans="4:60">
      <c r="D5784" s="350"/>
      <c r="S5784" s="350"/>
      <c r="BF5784" s="350"/>
      <c r="BG5784" s="350"/>
      <c r="BH5784" s="350"/>
    </row>
    <row r="5785" spans="4:60">
      <c r="D5785" s="350"/>
      <c r="S5785" s="350"/>
      <c r="BF5785" s="350"/>
      <c r="BG5785" s="350"/>
      <c r="BH5785" s="350"/>
    </row>
    <row r="5786" spans="4:60">
      <c r="D5786" s="350"/>
      <c r="S5786" s="350"/>
      <c r="BF5786" s="350"/>
      <c r="BG5786" s="350"/>
      <c r="BH5786" s="350"/>
    </row>
    <row r="5787" spans="4:60">
      <c r="D5787" s="350"/>
      <c r="S5787" s="350"/>
      <c r="BF5787" s="350"/>
      <c r="BG5787" s="350"/>
      <c r="BH5787" s="350"/>
    </row>
    <row r="5788" spans="4:60">
      <c r="D5788" s="350"/>
      <c r="S5788" s="350"/>
      <c r="BF5788" s="350"/>
      <c r="BG5788" s="350"/>
      <c r="BH5788" s="350"/>
    </row>
    <row r="5789" spans="4:60">
      <c r="D5789" s="350"/>
      <c r="S5789" s="350"/>
      <c r="BF5789" s="350"/>
      <c r="BG5789" s="350"/>
      <c r="BH5789" s="350"/>
    </row>
    <row r="5790" spans="4:60">
      <c r="D5790" s="350"/>
      <c r="S5790" s="350"/>
      <c r="BF5790" s="350"/>
      <c r="BG5790" s="350"/>
      <c r="BH5790" s="350"/>
    </row>
    <row r="5791" spans="4:60">
      <c r="D5791" s="350"/>
      <c r="S5791" s="350"/>
      <c r="BF5791" s="350"/>
      <c r="BG5791" s="350"/>
      <c r="BH5791" s="350"/>
    </row>
    <row r="5792" spans="4:60">
      <c r="D5792" s="350"/>
      <c r="S5792" s="350"/>
      <c r="BF5792" s="350"/>
      <c r="BG5792" s="350"/>
      <c r="BH5792" s="350"/>
    </row>
    <row r="5793" spans="4:60">
      <c r="D5793" s="350"/>
      <c r="S5793" s="350"/>
      <c r="BF5793" s="350"/>
      <c r="BG5793" s="350"/>
      <c r="BH5793" s="350"/>
    </row>
    <row r="5794" spans="4:60">
      <c r="D5794" s="350"/>
      <c r="S5794" s="350"/>
      <c r="BF5794" s="350"/>
      <c r="BG5794" s="350"/>
      <c r="BH5794" s="350"/>
    </row>
    <row r="5795" spans="4:60">
      <c r="D5795" s="350"/>
      <c r="S5795" s="350"/>
      <c r="BF5795" s="350"/>
      <c r="BG5795" s="350"/>
      <c r="BH5795" s="350"/>
    </row>
    <row r="5796" spans="4:60">
      <c r="D5796" s="350"/>
      <c r="S5796" s="350"/>
      <c r="BF5796" s="350"/>
      <c r="BG5796" s="350"/>
      <c r="BH5796" s="350"/>
    </row>
    <row r="5797" spans="4:60">
      <c r="D5797" s="350"/>
      <c r="S5797" s="350"/>
      <c r="BF5797" s="350"/>
      <c r="BG5797" s="350"/>
      <c r="BH5797" s="350"/>
    </row>
    <row r="5798" spans="4:60">
      <c r="D5798" s="350"/>
      <c r="S5798" s="350"/>
      <c r="BF5798" s="350"/>
      <c r="BG5798" s="350"/>
      <c r="BH5798" s="350"/>
    </row>
    <row r="5799" spans="4:60">
      <c r="D5799" s="350"/>
      <c r="S5799" s="350"/>
      <c r="BF5799" s="350"/>
      <c r="BG5799" s="350"/>
      <c r="BH5799" s="350"/>
    </row>
    <row r="5800" spans="4:60">
      <c r="D5800" s="350"/>
      <c r="S5800" s="350"/>
      <c r="BF5800" s="350"/>
      <c r="BG5800" s="350"/>
      <c r="BH5800" s="350"/>
    </row>
    <row r="5801" spans="4:60">
      <c r="D5801" s="350"/>
      <c r="S5801" s="350"/>
      <c r="BF5801" s="350"/>
      <c r="BG5801" s="350"/>
      <c r="BH5801" s="350"/>
    </row>
    <row r="5802" spans="4:60">
      <c r="D5802" s="350"/>
      <c r="S5802" s="350"/>
      <c r="BF5802" s="350"/>
      <c r="BG5802" s="350"/>
      <c r="BH5802" s="350"/>
    </row>
    <row r="5803" spans="4:60">
      <c r="D5803" s="350"/>
      <c r="S5803" s="350"/>
      <c r="BF5803" s="350"/>
      <c r="BG5803" s="350"/>
      <c r="BH5803" s="350"/>
    </row>
    <row r="5804" spans="4:60">
      <c r="D5804" s="350"/>
      <c r="S5804" s="350"/>
      <c r="BF5804" s="350"/>
      <c r="BG5804" s="350"/>
      <c r="BH5804" s="350"/>
    </row>
    <row r="5805" spans="4:60">
      <c r="D5805" s="350"/>
      <c r="S5805" s="350"/>
      <c r="BF5805" s="350"/>
      <c r="BG5805" s="350"/>
      <c r="BH5805" s="350"/>
    </row>
    <row r="5806" spans="4:60">
      <c r="D5806" s="350"/>
      <c r="S5806" s="350"/>
      <c r="BF5806" s="350"/>
      <c r="BG5806" s="350"/>
      <c r="BH5806" s="350"/>
    </row>
    <row r="5807" spans="4:60">
      <c r="D5807" s="350"/>
      <c r="S5807" s="350"/>
      <c r="BF5807" s="350"/>
      <c r="BG5807" s="350"/>
      <c r="BH5807" s="350"/>
    </row>
    <row r="5819" spans="4:60">
      <c r="D5819" s="350"/>
      <c r="S5819" s="350"/>
      <c r="BF5819" s="350"/>
      <c r="BG5819" s="350"/>
      <c r="BH5819" s="350"/>
    </row>
    <row r="5820" spans="4:60">
      <c r="D5820" s="350"/>
      <c r="S5820" s="350"/>
      <c r="BF5820" s="350"/>
      <c r="BG5820" s="350"/>
      <c r="BH5820" s="350"/>
    </row>
    <row r="5823" spans="4:60">
      <c r="D5823" s="350"/>
      <c r="S5823" s="350"/>
      <c r="BF5823" s="350"/>
      <c r="BG5823" s="350"/>
      <c r="BH5823" s="350"/>
    </row>
    <row r="5824" spans="4:60">
      <c r="D5824" s="350"/>
      <c r="S5824" s="350"/>
      <c r="BF5824" s="350"/>
      <c r="BG5824" s="350"/>
      <c r="BH5824" s="350"/>
    </row>
    <row r="5825" spans="4:60">
      <c r="D5825" s="350"/>
      <c r="S5825" s="350"/>
      <c r="BF5825" s="350"/>
      <c r="BG5825" s="350"/>
      <c r="BH5825" s="350"/>
    </row>
    <row r="5826" spans="4:60">
      <c r="D5826" s="350"/>
      <c r="S5826" s="350"/>
      <c r="BF5826" s="350"/>
      <c r="BG5826" s="350"/>
      <c r="BH5826" s="350"/>
    </row>
    <row r="5827" spans="4:60">
      <c r="D5827" s="350"/>
      <c r="S5827" s="350"/>
      <c r="BF5827" s="350"/>
      <c r="BG5827" s="350"/>
      <c r="BH5827" s="350"/>
    </row>
    <row r="5828" spans="4:60">
      <c r="D5828" s="350"/>
      <c r="S5828" s="350"/>
      <c r="BF5828" s="350"/>
      <c r="BG5828" s="350"/>
      <c r="BH5828" s="350"/>
    </row>
    <row r="5829" spans="4:60">
      <c r="D5829" s="350"/>
      <c r="S5829" s="350"/>
      <c r="BF5829" s="350"/>
      <c r="BG5829" s="350"/>
      <c r="BH5829" s="350"/>
    </row>
    <row r="5830" spans="4:60">
      <c r="D5830" s="350"/>
      <c r="S5830" s="350"/>
      <c r="BF5830" s="350"/>
      <c r="BG5830" s="350"/>
      <c r="BH5830" s="350"/>
    </row>
    <row r="5831" spans="4:60">
      <c r="D5831" s="350"/>
      <c r="S5831" s="350"/>
      <c r="BF5831" s="350"/>
      <c r="BG5831" s="350"/>
      <c r="BH5831" s="350"/>
    </row>
    <row r="5832" spans="4:60">
      <c r="D5832" s="350"/>
      <c r="S5832" s="350"/>
      <c r="BF5832" s="350"/>
      <c r="BG5832" s="350"/>
      <c r="BH5832" s="350"/>
    </row>
    <row r="5833" spans="4:60">
      <c r="D5833" s="350"/>
      <c r="S5833" s="350"/>
      <c r="BF5833" s="350"/>
      <c r="BG5833" s="350"/>
      <c r="BH5833" s="350"/>
    </row>
    <row r="5834" spans="4:60">
      <c r="D5834" s="350"/>
      <c r="S5834" s="350"/>
      <c r="BF5834" s="350"/>
      <c r="BG5834" s="350"/>
      <c r="BH5834" s="350"/>
    </row>
    <row r="5835" spans="4:60">
      <c r="D5835" s="350"/>
      <c r="S5835" s="350"/>
      <c r="BF5835" s="350"/>
      <c r="BG5835" s="350"/>
      <c r="BH5835" s="350"/>
    </row>
    <row r="5836" spans="4:60">
      <c r="D5836" s="350"/>
      <c r="S5836" s="350"/>
      <c r="BF5836" s="350"/>
      <c r="BG5836" s="350"/>
      <c r="BH5836" s="350"/>
    </row>
    <row r="5837" spans="4:60">
      <c r="D5837" s="350"/>
      <c r="S5837" s="350"/>
      <c r="BF5837" s="350"/>
      <c r="BG5837" s="350"/>
      <c r="BH5837" s="350"/>
    </row>
    <row r="5838" spans="4:60">
      <c r="D5838" s="350"/>
      <c r="S5838" s="350"/>
      <c r="BF5838" s="350"/>
      <c r="BG5838" s="350"/>
      <c r="BH5838" s="350"/>
    </row>
    <row r="5839" spans="4:60">
      <c r="D5839" s="350"/>
      <c r="S5839" s="350"/>
      <c r="BF5839" s="350"/>
      <c r="BG5839" s="350"/>
      <c r="BH5839" s="350"/>
    </row>
    <row r="5840" spans="4:60">
      <c r="D5840" s="350"/>
      <c r="S5840" s="350"/>
      <c r="BF5840" s="350"/>
      <c r="BG5840" s="350"/>
      <c r="BH5840" s="350"/>
    </row>
    <row r="5841" spans="4:60">
      <c r="D5841" s="350"/>
      <c r="S5841" s="350"/>
      <c r="BF5841" s="350"/>
      <c r="BG5841" s="350"/>
      <c r="BH5841" s="350"/>
    </row>
    <row r="5842" spans="4:60">
      <c r="D5842" s="350"/>
      <c r="S5842" s="350"/>
      <c r="BF5842" s="350"/>
      <c r="BG5842" s="350"/>
      <c r="BH5842" s="350"/>
    </row>
    <row r="5843" spans="4:60">
      <c r="D5843" s="350"/>
      <c r="S5843" s="350"/>
      <c r="BF5843" s="350"/>
      <c r="BG5843" s="350"/>
      <c r="BH5843" s="350"/>
    </row>
    <row r="5844" spans="4:60">
      <c r="D5844" s="350"/>
      <c r="S5844" s="350"/>
      <c r="BF5844" s="350"/>
      <c r="BG5844" s="350"/>
      <c r="BH5844" s="350"/>
    </row>
    <row r="5845" spans="4:60">
      <c r="D5845" s="350"/>
      <c r="S5845" s="350"/>
      <c r="BF5845" s="350"/>
      <c r="BG5845" s="350"/>
      <c r="BH5845" s="350"/>
    </row>
    <row r="5846" spans="4:60">
      <c r="D5846" s="350"/>
      <c r="S5846" s="350"/>
      <c r="BF5846" s="350"/>
      <c r="BG5846" s="350"/>
      <c r="BH5846" s="350"/>
    </row>
    <row r="5847" spans="4:60">
      <c r="D5847" s="350"/>
      <c r="S5847" s="350"/>
      <c r="BF5847" s="350"/>
      <c r="BG5847" s="350"/>
      <c r="BH5847" s="350"/>
    </row>
    <row r="5848" spans="4:60">
      <c r="D5848" s="350"/>
      <c r="S5848" s="350"/>
      <c r="BF5848" s="350"/>
      <c r="BG5848" s="350"/>
      <c r="BH5848" s="350"/>
    </row>
    <row r="5849" spans="4:60">
      <c r="D5849" s="350"/>
      <c r="S5849" s="350"/>
      <c r="BF5849" s="350"/>
      <c r="BG5849" s="350"/>
      <c r="BH5849" s="350"/>
    </row>
    <row r="5850" spans="4:60">
      <c r="D5850" s="350"/>
      <c r="S5850" s="350"/>
      <c r="BF5850" s="350"/>
      <c r="BG5850" s="350"/>
      <c r="BH5850" s="350"/>
    </row>
    <row r="5851" spans="4:60">
      <c r="D5851" s="350"/>
      <c r="S5851" s="350"/>
      <c r="BF5851" s="350"/>
      <c r="BG5851" s="350"/>
      <c r="BH5851" s="350"/>
    </row>
    <row r="5852" spans="4:60">
      <c r="D5852" s="350"/>
      <c r="S5852" s="350"/>
      <c r="BF5852" s="350"/>
      <c r="BG5852" s="350"/>
      <c r="BH5852" s="350"/>
    </row>
    <row r="5853" spans="4:60">
      <c r="D5853" s="350"/>
      <c r="S5853" s="350"/>
      <c r="BF5853" s="350"/>
      <c r="BG5853" s="350"/>
      <c r="BH5853" s="350"/>
    </row>
    <row r="5854" spans="4:60">
      <c r="D5854" s="350"/>
      <c r="S5854" s="350"/>
      <c r="BF5854" s="350"/>
      <c r="BG5854" s="350"/>
      <c r="BH5854" s="350"/>
    </row>
    <row r="5855" spans="4:60">
      <c r="D5855" s="350"/>
      <c r="S5855" s="350"/>
      <c r="BF5855" s="350"/>
      <c r="BG5855" s="350"/>
      <c r="BH5855" s="350"/>
    </row>
    <row r="5856" spans="4:60">
      <c r="D5856" s="350"/>
      <c r="S5856" s="350"/>
      <c r="BF5856" s="350"/>
      <c r="BG5856" s="350"/>
      <c r="BH5856" s="350"/>
    </row>
    <row r="5857" spans="4:60">
      <c r="D5857" s="350"/>
      <c r="S5857" s="350"/>
      <c r="BF5857" s="350"/>
      <c r="BG5857" s="350"/>
      <c r="BH5857" s="350"/>
    </row>
    <row r="5858" spans="4:60">
      <c r="D5858" s="350"/>
      <c r="S5858" s="350"/>
      <c r="BF5858" s="350"/>
      <c r="BG5858" s="350"/>
      <c r="BH5858" s="350"/>
    </row>
    <row r="5859" spans="4:60">
      <c r="D5859" s="350"/>
      <c r="S5859" s="350"/>
      <c r="BF5859" s="350"/>
      <c r="BG5859" s="350"/>
      <c r="BH5859" s="350"/>
    </row>
    <row r="5860" spans="4:60">
      <c r="D5860" s="350"/>
      <c r="S5860" s="350"/>
      <c r="BF5860" s="350"/>
      <c r="BG5860" s="350"/>
      <c r="BH5860" s="350"/>
    </row>
    <row r="5861" spans="4:60">
      <c r="D5861" s="350"/>
      <c r="S5861" s="350"/>
      <c r="BF5861" s="350"/>
      <c r="BG5861" s="350"/>
      <c r="BH5861" s="350"/>
    </row>
    <row r="5862" spans="4:60">
      <c r="D5862" s="350"/>
      <c r="S5862" s="350"/>
      <c r="BF5862" s="350"/>
      <c r="BG5862" s="350"/>
      <c r="BH5862" s="350"/>
    </row>
    <row r="5863" spans="4:60">
      <c r="D5863" s="350"/>
      <c r="S5863" s="350"/>
      <c r="BF5863" s="350"/>
      <c r="BG5863" s="350"/>
      <c r="BH5863" s="350"/>
    </row>
    <row r="5864" spans="4:60">
      <c r="D5864" s="350"/>
      <c r="S5864" s="350"/>
      <c r="BF5864" s="350"/>
      <c r="BG5864" s="350"/>
      <c r="BH5864" s="350"/>
    </row>
    <row r="5865" spans="4:60">
      <c r="D5865" s="350"/>
      <c r="S5865" s="350"/>
      <c r="BF5865" s="350"/>
      <c r="BG5865" s="350"/>
      <c r="BH5865" s="350"/>
    </row>
    <row r="5866" spans="4:60">
      <c r="D5866" s="350"/>
      <c r="S5866" s="350"/>
      <c r="BF5866" s="350"/>
      <c r="BG5866" s="350"/>
      <c r="BH5866" s="350"/>
    </row>
    <row r="5867" spans="4:60">
      <c r="D5867" s="350"/>
      <c r="S5867" s="350"/>
      <c r="BF5867" s="350"/>
      <c r="BG5867" s="350"/>
      <c r="BH5867" s="350"/>
    </row>
    <row r="5868" spans="4:60">
      <c r="D5868" s="350"/>
      <c r="S5868" s="350"/>
      <c r="BF5868" s="350"/>
      <c r="BG5868" s="350"/>
      <c r="BH5868" s="350"/>
    </row>
    <row r="5869" spans="4:60">
      <c r="D5869" s="350"/>
      <c r="S5869" s="350"/>
      <c r="BF5869" s="350"/>
      <c r="BG5869" s="350"/>
      <c r="BH5869" s="350"/>
    </row>
    <row r="5870" spans="4:60">
      <c r="D5870" s="350"/>
      <c r="S5870" s="350"/>
      <c r="BF5870" s="350"/>
      <c r="BG5870" s="350"/>
      <c r="BH5870" s="350"/>
    </row>
    <row r="5871" spans="4:60">
      <c r="D5871" s="350"/>
      <c r="S5871" s="350"/>
      <c r="BF5871" s="350"/>
      <c r="BG5871" s="350"/>
      <c r="BH5871" s="350"/>
    </row>
    <row r="5872" spans="4:60">
      <c r="D5872" s="350"/>
      <c r="S5872" s="350"/>
      <c r="BF5872" s="350"/>
      <c r="BG5872" s="350"/>
      <c r="BH5872" s="350"/>
    </row>
    <row r="5873" spans="4:60">
      <c r="D5873" s="350"/>
      <c r="S5873" s="350"/>
      <c r="BF5873" s="350"/>
      <c r="BG5873" s="350"/>
      <c r="BH5873" s="350"/>
    </row>
    <row r="5874" spans="4:60">
      <c r="D5874" s="350"/>
      <c r="S5874" s="350"/>
      <c r="BF5874" s="350"/>
      <c r="BG5874" s="350"/>
      <c r="BH5874" s="350"/>
    </row>
    <row r="5875" spans="4:60">
      <c r="D5875" s="350"/>
      <c r="S5875" s="350"/>
      <c r="BF5875" s="350"/>
      <c r="BG5875" s="350"/>
      <c r="BH5875" s="350"/>
    </row>
    <row r="5876" spans="4:60">
      <c r="D5876" s="350"/>
      <c r="S5876" s="350"/>
      <c r="BF5876" s="350"/>
      <c r="BG5876" s="350"/>
      <c r="BH5876" s="350"/>
    </row>
    <row r="5877" spans="4:60">
      <c r="D5877" s="350"/>
      <c r="S5877" s="350"/>
      <c r="BF5877" s="350"/>
      <c r="BG5877" s="350"/>
      <c r="BH5877" s="350"/>
    </row>
    <row r="5878" spans="4:60">
      <c r="D5878" s="350"/>
      <c r="S5878" s="350"/>
      <c r="BF5878" s="350"/>
      <c r="BG5878" s="350"/>
      <c r="BH5878" s="350"/>
    </row>
    <row r="5879" spans="4:60">
      <c r="D5879" s="350"/>
      <c r="S5879" s="350"/>
      <c r="BF5879" s="350"/>
      <c r="BG5879" s="350"/>
      <c r="BH5879" s="350"/>
    </row>
    <row r="5880" spans="4:60">
      <c r="D5880" s="350"/>
      <c r="S5880" s="350"/>
      <c r="BF5880" s="350"/>
      <c r="BG5880" s="350"/>
      <c r="BH5880" s="350"/>
    </row>
    <row r="5883" spans="4:60">
      <c r="D5883" s="350"/>
      <c r="S5883" s="350"/>
      <c r="BF5883" s="350"/>
      <c r="BG5883" s="350"/>
      <c r="BH5883" s="350"/>
    </row>
    <row r="5884" spans="4:60">
      <c r="D5884" s="350"/>
      <c r="S5884" s="350"/>
      <c r="BF5884" s="350"/>
      <c r="BG5884" s="350"/>
      <c r="BH5884" s="350"/>
    </row>
    <row r="5889" spans="4:60">
      <c r="D5889" s="350"/>
      <c r="S5889" s="350"/>
      <c r="BF5889" s="350"/>
      <c r="BG5889" s="350"/>
      <c r="BH5889" s="350"/>
    </row>
    <row r="5890" spans="4:60">
      <c r="D5890" s="350"/>
      <c r="S5890" s="350"/>
      <c r="BF5890" s="350"/>
      <c r="BG5890" s="350"/>
      <c r="BH5890" s="350"/>
    </row>
    <row r="5891" spans="4:60">
      <c r="D5891" s="350"/>
      <c r="S5891" s="350"/>
      <c r="BF5891" s="350"/>
      <c r="BG5891" s="350"/>
      <c r="BH5891" s="350"/>
    </row>
    <row r="5892" spans="4:60">
      <c r="D5892" s="350"/>
      <c r="S5892" s="350"/>
      <c r="BF5892" s="350"/>
      <c r="BG5892" s="350"/>
      <c r="BH5892" s="350"/>
    </row>
    <row r="5893" spans="4:60">
      <c r="D5893" s="350"/>
      <c r="S5893" s="350"/>
      <c r="BF5893" s="350"/>
      <c r="BG5893" s="350"/>
      <c r="BH5893" s="350"/>
    </row>
    <row r="5894" spans="4:60">
      <c r="D5894" s="350"/>
      <c r="S5894" s="350"/>
      <c r="BF5894" s="350"/>
      <c r="BG5894" s="350"/>
      <c r="BH5894" s="350"/>
    </row>
    <row r="5895" spans="4:60">
      <c r="D5895" s="350"/>
      <c r="S5895" s="350"/>
      <c r="BF5895" s="350"/>
      <c r="BG5895" s="350"/>
      <c r="BH5895" s="350"/>
    </row>
    <row r="5896" spans="4:60">
      <c r="D5896" s="350"/>
      <c r="S5896" s="350"/>
      <c r="BF5896" s="350"/>
      <c r="BG5896" s="350"/>
      <c r="BH5896" s="350"/>
    </row>
    <row r="5897" spans="4:60">
      <c r="D5897" s="350"/>
      <c r="S5897" s="350"/>
      <c r="BF5897" s="350"/>
      <c r="BG5897" s="350"/>
      <c r="BH5897" s="350"/>
    </row>
    <row r="5898" spans="4:60">
      <c r="D5898" s="350"/>
      <c r="S5898" s="350"/>
      <c r="BF5898" s="350"/>
      <c r="BG5898" s="350"/>
      <c r="BH5898" s="350"/>
    </row>
    <row r="5899" spans="4:60">
      <c r="D5899" s="350"/>
      <c r="S5899" s="350"/>
      <c r="BF5899" s="350"/>
      <c r="BG5899" s="350"/>
      <c r="BH5899" s="350"/>
    </row>
    <row r="5900" spans="4:60">
      <c r="D5900" s="350"/>
      <c r="S5900" s="350"/>
      <c r="BF5900" s="350"/>
      <c r="BG5900" s="350"/>
      <c r="BH5900" s="350"/>
    </row>
    <row r="5901" spans="4:60">
      <c r="D5901" s="350"/>
      <c r="S5901" s="350"/>
      <c r="BF5901" s="350"/>
      <c r="BG5901" s="350"/>
      <c r="BH5901" s="350"/>
    </row>
    <row r="5902" spans="4:60">
      <c r="D5902" s="350"/>
      <c r="S5902" s="350"/>
      <c r="BF5902" s="350"/>
      <c r="BG5902" s="350"/>
      <c r="BH5902" s="350"/>
    </row>
    <row r="5903" spans="4:60">
      <c r="D5903" s="350"/>
      <c r="S5903" s="350"/>
      <c r="BF5903" s="350"/>
      <c r="BG5903" s="350"/>
      <c r="BH5903" s="350"/>
    </row>
    <row r="5904" spans="4:60">
      <c r="D5904" s="350"/>
      <c r="S5904" s="350"/>
      <c r="BF5904" s="350"/>
      <c r="BG5904" s="350"/>
      <c r="BH5904" s="350"/>
    </row>
    <row r="5905" spans="4:60">
      <c r="D5905" s="350"/>
      <c r="S5905" s="350"/>
      <c r="BF5905" s="350"/>
      <c r="BG5905" s="350"/>
      <c r="BH5905" s="350"/>
    </row>
    <row r="5906" spans="4:60">
      <c r="D5906" s="350"/>
      <c r="S5906" s="350"/>
      <c r="BF5906" s="350"/>
      <c r="BG5906" s="350"/>
      <c r="BH5906" s="350"/>
    </row>
    <row r="5907" spans="4:60">
      <c r="D5907" s="350"/>
      <c r="S5907" s="350"/>
      <c r="BF5907" s="350"/>
      <c r="BG5907" s="350"/>
      <c r="BH5907" s="350"/>
    </row>
    <row r="5908" spans="4:60">
      <c r="D5908" s="350"/>
      <c r="S5908" s="350"/>
      <c r="BF5908" s="350"/>
      <c r="BG5908" s="350"/>
      <c r="BH5908" s="350"/>
    </row>
    <row r="5909" spans="4:60">
      <c r="D5909" s="350"/>
      <c r="S5909" s="350"/>
      <c r="BF5909" s="350"/>
      <c r="BG5909" s="350"/>
      <c r="BH5909" s="350"/>
    </row>
    <row r="5910" spans="4:60">
      <c r="D5910" s="350"/>
      <c r="S5910" s="350"/>
      <c r="BF5910" s="350"/>
      <c r="BG5910" s="350"/>
      <c r="BH5910" s="350"/>
    </row>
    <row r="5911" spans="4:60">
      <c r="D5911" s="350"/>
      <c r="S5911" s="350"/>
      <c r="BF5911" s="350"/>
      <c r="BG5911" s="350"/>
      <c r="BH5911" s="350"/>
    </row>
    <row r="5912" spans="4:60">
      <c r="D5912" s="350"/>
      <c r="S5912" s="350"/>
      <c r="BF5912" s="350"/>
      <c r="BG5912" s="350"/>
      <c r="BH5912" s="350"/>
    </row>
    <row r="5913" spans="4:60">
      <c r="D5913" s="350"/>
      <c r="S5913" s="350"/>
      <c r="BF5913" s="350"/>
      <c r="BG5913" s="350"/>
      <c r="BH5913" s="350"/>
    </row>
    <row r="5914" spans="4:60">
      <c r="D5914" s="350"/>
      <c r="S5914" s="350"/>
      <c r="BF5914" s="350"/>
      <c r="BG5914" s="350"/>
      <c r="BH5914" s="350"/>
    </row>
    <row r="5915" spans="4:60">
      <c r="D5915" s="350"/>
      <c r="S5915" s="350"/>
      <c r="BF5915" s="350"/>
      <c r="BG5915" s="350"/>
      <c r="BH5915" s="350"/>
    </row>
    <row r="5916" spans="4:60">
      <c r="D5916" s="350"/>
      <c r="S5916" s="350"/>
      <c r="BF5916" s="350"/>
      <c r="BG5916" s="350"/>
      <c r="BH5916" s="350"/>
    </row>
    <row r="5917" spans="4:60">
      <c r="D5917" s="350"/>
      <c r="S5917" s="350"/>
      <c r="BF5917" s="350"/>
      <c r="BG5917" s="350"/>
      <c r="BH5917" s="350"/>
    </row>
    <row r="5918" spans="4:60">
      <c r="D5918" s="350"/>
      <c r="S5918" s="350"/>
      <c r="BF5918" s="350"/>
      <c r="BG5918" s="350"/>
      <c r="BH5918" s="350"/>
    </row>
    <row r="5919" spans="4:60">
      <c r="D5919" s="350"/>
      <c r="S5919" s="350"/>
      <c r="BF5919" s="350"/>
      <c r="BG5919" s="350"/>
      <c r="BH5919" s="350"/>
    </row>
    <row r="5920" spans="4:60">
      <c r="D5920" s="350"/>
      <c r="S5920" s="350"/>
      <c r="BF5920" s="350"/>
      <c r="BG5920" s="350"/>
      <c r="BH5920" s="350"/>
    </row>
    <row r="5921" spans="4:60">
      <c r="D5921" s="350"/>
      <c r="S5921" s="350"/>
      <c r="BF5921" s="350"/>
      <c r="BG5921" s="350"/>
      <c r="BH5921" s="350"/>
    </row>
    <row r="5922" spans="4:60">
      <c r="D5922" s="350"/>
      <c r="S5922" s="350"/>
      <c r="BF5922" s="350"/>
      <c r="BG5922" s="350"/>
      <c r="BH5922" s="350"/>
    </row>
    <row r="5923" spans="4:60">
      <c r="D5923" s="350"/>
      <c r="S5923" s="350"/>
      <c r="BF5923" s="350"/>
      <c r="BG5923" s="350"/>
      <c r="BH5923" s="350"/>
    </row>
    <row r="5924" spans="4:60">
      <c r="D5924" s="350"/>
      <c r="S5924" s="350"/>
      <c r="BF5924" s="350"/>
      <c r="BG5924" s="350"/>
      <c r="BH5924" s="350"/>
    </row>
    <row r="5925" spans="4:60">
      <c r="D5925" s="350"/>
      <c r="S5925" s="350"/>
      <c r="BF5925" s="350"/>
      <c r="BG5925" s="350"/>
      <c r="BH5925" s="350"/>
    </row>
    <row r="5926" spans="4:60">
      <c r="D5926" s="350"/>
      <c r="S5926" s="350"/>
      <c r="BF5926" s="350"/>
      <c r="BG5926" s="350"/>
      <c r="BH5926" s="350"/>
    </row>
    <row r="5927" spans="4:60">
      <c r="D5927" s="350"/>
      <c r="S5927" s="350"/>
      <c r="BF5927" s="350"/>
      <c r="BG5927" s="350"/>
      <c r="BH5927" s="350"/>
    </row>
    <row r="5928" spans="4:60">
      <c r="D5928" s="350"/>
      <c r="S5928" s="350"/>
      <c r="BF5928" s="350"/>
      <c r="BG5928" s="350"/>
      <c r="BH5928" s="350"/>
    </row>
    <row r="5929" spans="4:60">
      <c r="D5929" s="350"/>
      <c r="S5929" s="350"/>
      <c r="BF5929" s="350"/>
      <c r="BG5929" s="350"/>
      <c r="BH5929" s="350"/>
    </row>
    <row r="5930" spans="4:60">
      <c r="D5930" s="350"/>
      <c r="S5930" s="350"/>
      <c r="BF5930" s="350"/>
      <c r="BG5930" s="350"/>
      <c r="BH5930" s="350"/>
    </row>
    <row r="5931" spans="4:60">
      <c r="D5931" s="350"/>
      <c r="S5931" s="350"/>
      <c r="BF5931" s="350"/>
      <c r="BG5931" s="350"/>
      <c r="BH5931" s="350"/>
    </row>
    <row r="5932" spans="4:60">
      <c r="D5932" s="350"/>
      <c r="S5932" s="350"/>
      <c r="BF5932" s="350"/>
      <c r="BG5932" s="350"/>
      <c r="BH5932" s="350"/>
    </row>
    <row r="5933" spans="4:60">
      <c r="D5933" s="350"/>
      <c r="S5933" s="350"/>
      <c r="BF5933" s="350"/>
      <c r="BG5933" s="350"/>
      <c r="BH5933" s="350"/>
    </row>
    <row r="5934" spans="4:60">
      <c r="D5934" s="350"/>
      <c r="S5934" s="350"/>
      <c r="BF5934" s="350"/>
      <c r="BG5934" s="350"/>
      <c r="BH5934" s="350"/>
    </row>
    <row r="5935" spans="4:60">
      <c r="D5935" s="350"/>
      <c r="S5935" s="350"/>
      <c r="BF5935" s="350"/>
      <c r="BG5935" s="350"/>
      <c r="BH5935" s="350"/>
    </row>
    <row r="5936" spans="4:60">
      <c r="D5936" s="350"/>
      <c r="S5936" s="350"/>
      <c r="BF5936" s="350"/>
      <c r="BG5936" s="350"/>
      <c r="BH5936" s="350"/>
    </row>
    <row r="5937" spans="4:60">
      <c r="D5937" s="350"/>
      <c r="S5937" s="350"/>
      <c r="BF5937" s="350"/>
      <c r="BG5937" s="350"/>
      <c r="BH5937" s="350"/>
    </row>
    <row r="5938" spans="4:60">
      <c r="D5938" s="350"/>
      <c r="S5938" s="350"/>
      <c r="BF5938" s="350"/>
      <c r="BG5938" s="350"/>
      <c r="BH5938" s="350"/>
    </row>
    <row r="5939" spans="4:60">
      <c r="D5939" s="350"/>
      <c r="S5939" s="350"/>
      <c r="BF5939" s="350"/>
      <c r="BG5939" s="350"/>
      <c r="BH5939" s="350"/>
    </row>
    <row r="5940" spans="4:60">
      <c r="D5940" s="350"/>
      <c r="S5940" s="350"/>
      <c r="BF5940" s="350"/>
      <c r="BG5940" s="350"/>
      <c r="BH5940" s="350"/>
    </row>
    <row r="5941" spans="4:60">
      <c r="D5941" s="350"/>
      <c r="S5941" s="350"/>
      <c r="BF5941" s="350"/>
      <c r="BG5941" s="350"/>
      <c r="BH5941" s="350"/>
    </row>
    <row r="5942" spans="4:60">
      <c r="D5942" s="350"/>
      <c r="S5942" s="350"/>
      <c r="BF5942" s="350"/>
      <c r="BG5942" s="350"/>
      <c r="BH5942" s="350"/>
    </row>
    <row r="5943" spans="4:60">
      <c r="D5943" s="350"/>
      <c r="S5943" s="350"/>
      <c r="BF5943" s="350"/>
      <c r="BG5943" s="350"/>
      <c r="BH5943" s="350"/>
    </row>
    <row r="5944" spans="4:60">
      <c r="D5944" s="350"/>
      <c r="S5944" s="350"/>
      <c r="BF5944" s="350"/>
      <c r="BG5944" s="350"/>
      <c r="BH5944" s="350"/>
    </row>
    <row r="5945" spans="4:60">
      <c r="D5945" s="350"/>
      <c r="S5945" s="350"/>
      <c r="BF5945" s="350"/>
      <c r="BG5945" s="350"/>
      <c r="BH5945" s="350"/>
    </row>
    <row r="5946" spans="4:60">
      <c r="D5946" s="350"/>
      <c r="S5946" s="350"/>
      <c r="BF5946" s="350"/>
      <c r="BG5946" s="350"/>
      <c r="BH5946" s="350"/>
    </row>
    <row r="5947" spans="4:60">
      <c r="D5947" s="350"/>
      <c r="S5947" s="350"/>
      <c r="BF5947" s="350"/>
      <c r="BG5947" s="350"/>
      <c r="BH5947" s="350"/>
    </row>
    <row r="5948" spans="4:60">
      <c r="D5948" s="350"/>
      <c r="S5948" s="350"/>
      <c r="BF5948" s="350"/>
      <c r="BG5948" s="350"/>
      <c r="BH5948" s="350"/>
    </row>
    <row r="5949" spans="4:60">
      <c r="D5949" s="350"/>
      <c r="S5949" s="350"/>
      <c r="BF5949" s="350"/>
      <c r="BG5949" s="350"/>
      <c r="BH5949" s="350"/>
    </row>
    <row r="5950" spans="4:60">
      <c r="D5950" s="350"/>
      <c r="S5950" s="350"/>
      <c r="BF5950" s="350"/>
      <c r="BG5950" s="350"/>
      <c r="BH5950" s="350"/>
    </row>
    <row r="5951" spans="4:60">
      <c r="D5951" s="350"/>
      <c r="S5951" s="350"/>
      <c r="BF5951" s="350"/>
      <c r="BG5951" s="350"/>
      <c r="BH5951" s="350"/>
    </row>
    <row r="5952" spans="4:60">
      <c r="D5952" s="350"/>
      <c r="S5952" s="350"/>
      <c r="BF5952" s="350"/>
      <c r="BG5952" s="350"/>
      <c r="BH5952" s="350"/>
    </row>
    <row r="5953" spans="4:60">
      <c r="D5953" s="350"/>
      <c r="S5953" s="350"/>
      <c r="BF5953" s="350"/>
      <c r="BG5953" s="350"/>
      <c r="BH5953" s="350"/>
    </row>
    <row r="5954" spans="4:60">
      <c r="D5954" s="350"/>
      <c r="S5954" s="350"/>
      <c r="BF5954" s="350"/>
      <c r="BG5954" s="350"/>
      <c r="BH5954" s="350"/>
    </row>
    <row r="5955" spans="4:60">
      <c r="D5955" s="350"/>
      <c r="S5955" s="350"/>
      <c r="BF5955" s="350"/>
      <c r="BG5955" s="350"/>
      <c r="BH5955" s="350"/>
    </row>
    <row r="5956" spans="4:60">
      <c r="D5956" s="350"/>
      <c r="S5956" s="350"/>
      <c r="BF5956" s="350"/>
      <c r="BG5956" s="350"/>
      <c r="BH5956" s="350"/>
    </row>
    <row r="5957" spans="4:60">
      <c r="D5957" s="350"/>
      <c r="S5957" s="350"/>
      <c r="BF5957" s="350"/>
      <c r="BG5957" s="350"/>
      <c r="BH5957" s="350"/>
    </row>
    <row r="5958" spans="4:60">
      <c r="D5958" s="350"/>
      <c r="S5958" s="350"/>
      <c r="BF5958" s="350"/>
      <c r="BG5958" s="350"/>
      <c r="BH5958" s="350"/>
    </row>
    <row r="5959" spans="4:60">
      <c r="D5959" s="350"/>
      <c r="S5959" s="350"/>
      <c r="BF5959" s="350"/>
      <c r="BG5959" s="350"/>
      <c r="BH5959" s="350"/>
    </row>
    <row r="5960" spans="4:60">
      <c r="D5960" s="350"/>
      <c r="S5960" s="350"/>
      <c r="BF5960" s="350"/>
      <c r="BG5960" s="350"/>
      <c r="BH5960" s="350"/>
    </row>
    <row r="5961" spans="4:60">
      <c r="D5961" s="350"/>
      <c r="S5961" s="350"/>
      <c r="BF5961" s="350"/>
      <c r="BG5961" s="350"/>
      <c r="BH5961" s="350"/>
    </row>
    <row r="5962" spans="4:60">
      <c r="D5962" s="350"/>
      <c r="S5962" s="350"/>
      <c r="BF5962" s="350"/>
      <c r="BG5962" s="350"/>
      <c r="BH5962" s="350"/>
    </row>
    <row r="5963" spans="4:60">
      <c r="D5963" s="350"/>
      <c r="S5963" s="350"/>
      <c r="BF5963" s="350"/>
      <c r="BG5963" s="350"/>
      <c r="BH5963" s="350"/>
    </row>
    <row r="5964" spans="4:60">
      <c r="D5964" s="350"/>
      <c r="S5964" s="350"/>
      <c r="BF5964" s="350"/>
      <c r="BG5964" s="350"/>
      <c r="BH5964" s="350"/>
    </row>
    <row r="5965" spans="4:60">
      <c r="D5965" s="350"/>
      <c r="S5965" s="350"/>
      <c r="BF5965" s="350"/>
      <c r="BG5965" s="350"/>
      <c r="BH5965" s="350"/>
    </row>
    <row r="5966" spans="4:60">
      <c r="D5966" s="350"/>
      <c r="S5966" s="350"/>
      <c r="BF5966" s="350"/>
      <c r="BG5966" s="350"/>
      <c r="BH5966" s="350"/>
    </row>
    <row r="5967" spans="4:60">
      <c r="D5967" s="350"/>
      <c r="S5967" s="350"/>
      <c r="BF5967" s="350"/>
      <c r="BG5967" s="350"/>
      <c r="BH5967" s="350"/>
    </row>
    <row r="5968" spans="4:60">
      <c r="D5968" s="350"/>
      <c r="S5968" s="350"/>
      <c r="BF5968" s="350"/>
      <c r="BG5968" s="350"/>
      <c r="BH5968" s="350"/>
    </row>
    <row r="5969" spans="4:60">
      <c r="D5969" s="350"/>
      <c r="S5969" s="350"/>
      <c r="BF5969" s="350"/>
      <c r="BG5969" s="350"/>
      <c r="BH5969" s="350"/>
    </row>
    <row r="5970" spans="4:60">
      <c r="D5970" s="350"/>
      <c r="S5970" s="350"/>
      <c r="BF5970" s="350"/>
      <c r="BG5970" s="350"/>
      <c r="BH5970" s="350"/>
    </row>
    <row r="5971" spans="4:60">
      <c r="D5971" s="350"/>
      <c r="S5971" s="350"/>
      <c r="BF5971" s="350"/>
      <c r="BG5971" s="350"/>
      <c r="BH5971" s="350"/>
    </row>
    <row r="5972" spans="4:60">
      <c r="D5972" s="350"/>
      <c r="S5972" s="350"/>
      <c r="BF5972" s="350"/>
      <c r="BG5972" s="350"/>
      <c r="BH5972" s="350"/>
    </row>
    <row r="5973" spans="4:60">
      <c r="D5973" s="350"/>
      <c r="S5973" s="350"/>
      <c r="BF5973" s="350"/>
      <c r="BG5973" s="350"/>
      <c r="BH5973" s="350"/>
    </row>
    <row r="5974" spans="4:60">
      <c r="D5974" s="350"/>
      <c r="S5974" s="350"/>
      <c r="BF5974" s="350"/>
      <c r="BG5974" s="350"/>
      <c r="BH5974" s="350"/>
    </row>
    <row r="5975" spans="4:60">
      <c r="D5975" s="350"/>
      <c r="S5975" s="350"/>
      <c r="BF5975" s="350"/>
      <c r="BG5975" s="350"/>
      <c r="BH5975" s="350"/>
    </row>
    <row r="5976" spans="4:60">
      <c r="D5976" s="350"/>
      <c r="S5976" s="350"/>
      <c r="BF5976" s="350"/>
      <c r="BG5976" s="350"/>
      <c r="BH5976" s="350"/>
    </row>
    <row r="5977" spans="4:60">
      <c r="D5977" s="350"/>
      <c r="S5977" s="350"/>
      <c r="BF5977" s="350"/>
      <c r="BG5977" s="350"/>
      <c r="BH5977" s="350"/>
    </row>
    <row r="5978" spans="4:60">
      <c r="D5978" s="350"/>
      <c r="S5978" s="350"/>
      <c r="BF5978" s="350"/>
      <c r="BG5978" s="350"/>
      <c r="BH5978" s="350"/>
    </row>
    <row r="5979" spans="4:60">
      <c r="D5979" s="350"/>
      <c r="S5979" s="350"/>
      <c r="BF5979" s="350"/>
      <c r="BG5979" s="350"/>
      <c r="BH5979" s="350"/>
    </row>
    <row r="5980" spans="4:60">
      <c r="D5980" s="350"/>
      <c r="S5980" s="350"/>
      <c r="BF5980" s="350"/>
      <c r="BG5980" s="350"/>
      <c r="BH5980" s="350"/>
    </row>
    <row r="5981" spans="4:60">
      <c r="D5981" s="350"/>
      <c r="S5981" s="350"/>
      <c r="BF5981" s="350"/>
      <c r="BG5981" s="350"/>
      <c r="BH5981" s="350"/>
    </row>
    <row r="5982" spans="4:60">
      <c r="D5982" s="350"/>
      <c r="S5982" s="350"/>
      <c r="BF5982" s="350"/>
      <c r="BG5982" s="350"/>
      <c r="BH5982" s="350"/>
    </row>
    <row r="5983" spans="4:60">
      <c r="D5983" s="350"/>
      <c r="S5983" s="350"/>
      <c r="BF5983" s="350"/>
      <c r="BG5983" s="350"/>
      <c r="BH5983" s="350"/>
    </row>
    <row r="5984" spans="4:60">
      <c r="D5984" s="350"/>
      <c r="S5984" s="350"/>
      <c r="BF5984" s="350"/>
      <c r="BG5984" s="350"/>
      <c r="BH5984" s="350"/>
    </row>
    <row r="5985" spans="4:60">
      <c r="D5985" s="350"/>
      <c r="S5985" s="350"/>
      <c r="BF5985" s="350"/>
      <c r="BG5985" s="350"/>
      <c r="BH5985" s="350"/>
    </row>
    <row r="5986" spans="4:60">
      <c r="D5986" s="350"/>
      <c r="S5986" s="350"/>
      <c r="BF5986" s="350"/>
      <c r="BG5986" s="350"/>
      <c r="BH5986" s="350"/>
    </row>
    <row r="5987" spans="4:60">
      <c r="D5987" s="350"/>
      <c r="S5987" s="350"/>
      <c r="BF5987" s="350"/>
      <c r="BG5987" s="350"/>
      <c r="BH5987" s="350"/>
    </row>
    <row r="5988" spans="4:60">
      <c r="D5988" s="350"/>
      <c r="S5988" s="350"/>
      <c r="BF5988" s="350"/>
      <c r="BG5988" s="350"/>
      <c r="BH5988" s="350"/>
    </row>
    <row r="5989" spans="4:60">
      <c r="D5989" s="350"/>
      <c r="S5989" s="350"/>
      <c r="BF5989" s="350"/>
      <c r="BG5989" s="350"/>
      <c r="BH5989" s="350"/>
    </row>
    <row r="5990" spans="4:60">
      <c r="D5990" s="350"/>
      <c r="S5990" s="350"/>
      <c r="BF5990" s="350"/>
      <c r="BG5990" s="350"/>
      <c r="BH5990" s="350"/>
    </row>
    <row r="5991" spans="4:60">
      <c r="D5991" s="350"/>
      <c r="S5991" s="350"/>
      <c r="BF5991" s="350"/>
      <c r="BG5991" s="350"/>
      <c r="BH5991" s="350"/>
    </row>
    <row r="5992" spans="4:60">
      <c r="D5992" s="350"/>
      <c r="S5992" s="350"/>
      <c r="BF5992" s="350"/>
      <c r="BG5992" s="350"/>
      <c r="BH5992" s="350"/>
    </row>
    <row r="5993" spans="4:60">
      <c r="D5993" s="350"/>
      <c r="S5993" s="350"/>
      <c r="BF5993" s="350"/>
      <c r="BG5993" s="350"/>
      <c r="BH5993" s="350"/>
    </row>
    <row r="5994" spans="4:60">
      <c r="D5994" s="350"/>
      <c r="S5994" s="350"/>
      <c r="BF5994" s="350"/>
      <c r="BG5994" s="350"/>
      <c r="BH5994" s="350"/>
    </row>
    <row r="5995" spans="4:60">
      <c r="D5995" s="350"/>
      <c r="S5995" s="350"/>
      <c r="BF5995" s="350"/>
      <c r="BG5995" s="350"/>
      <c r="BH5995" s="350"/>
    </row>
    <row r="5996" spans="4:60">
      <c r="D5996" s="350"/>
      <c r="S5996" s="350"/>
      <c r="BF5996" s="350"/>
      <c r="BG5996" s="350"/>
      <c r="BH5996" s="350"/>
    </row>
    <row r="5997" spans="4:60">
      <c r="D5997" s="350"/>
      <c r="S5997" s="350"/>
      <c r="BF5997" s="350"/>
      <c r="BG5997" s="350"/>
      <c r="BH5997" s="350"/>
    </row>
    <row r="5998" spans="4:60">
      <c r="D5998" s="350"/>
      <c r="S5998" s="350"/>
      <c r="BF5998" s="350"/>
      <c r="BG5998" s="350"/>
      <c r="BH5998" s="350"/>
    </row>
    <row r="5999" spans="4:60">
      <c r="D5999" s="350"/>
      <c r="S5999" s="350"/>
      <c r="BF5999" s="350"/>
      <c r="BG5999" s="350"/>
      <c r="BH5999" s="350"/>
    </row>
    <row r="6000" spans="4:60">
      <c r="D6000" s="350"/>
      <c r="S6000" s="350"/>
      <c r="BF6000" s="350"/>
      <c r="BG6000" s="350"/>
      <c r="BH6000" s="350"/>
    </row>
    <row r="6001" spans="4:60">
      <c r="D6001" s="350"/>
      <c r="S6001" s="350"/>
      <c r="BF6001" s="350"/>
      <c r="BG6001" s="350"/>
      <c r="BH6001" s="350"/>
    </row>
    <row r="6002" spans="4:60">
      <c r="D6002" s="350"/>
      <c r="S6002" s="350"/>
      <c r="BF6002" s="350"/>
      <c r="BG6002" s="350"/>
      <c r="BH6002" s="350"/>
    </row>
    <row r="6003" spans="4:60">
      <c r="D6003" s="350"/>
      <c r="S6003" s="350"/>
      <c r="BF6003" s="350"/>
      <c r="BG6003" s="350"/>
      <c r="BH6003" s="350"/>
    </row>
    <row r="6004" spans="4:60">
      <c r="D6004" s="350"/>
      <c r="S6004" s="350"/>
      <c r="BF6004" s="350"/>
      <c r="BG6004" s="350"/>
      <c r="BH6004" s="350"/>
    </row>
    <row r="6005" spans="4:60">
      <c r="D6005" s="350"/>
      <c r="S6005" s="350"/>
      <c r="BF6005" s="350"/>
      <c r="BG6005" s="350"/>
      <c r="BH6005" s="350"/>
    </row>
    <row r="6006" spans="4:60">
      <c r="D6006" s="350"/>
      <c r="S6006" s="350"/>
      <c r="BF6006" s="350"/>
      <c r="BG6006" s="350"/>
      <c r="BH6006" s="350"/>
    </row>
    <row r="6007" spans="4:60">
      <c r="D6007" s="350"/>
      <c r="S6007" s="350"/>
      <c r="BF6007" s="350"/>
      <c r="BG6007" s="350"/>
      <c r="BH6007" s="350"/>
    </row>
    <row r="6008" spans="4:60">
      <c r="D6008" s="350"/>
      <c r="S6008" s="350"/>
      <c r="BF6008" s="350"/>
      <c r="BG6008" s="350"/>
      <c r="BH6008" s="350"/>
    </row>
    <row r="6009" spans="4:60">
      <c r="D6009" s="350"/>
      <c r="S6009" s="350"/>
      <c r="BF6009" s="350"/>
      <c r="BG6009" s="350"/>
      <c r="BH6009" s="350"/>
    </row>
    <row r="6010" spans="4:60">
      <c r="D6010" s="350"/>
      <c r="S6010" s="350"/>
      <c r="BF6010" s="350"/>
      <c r="BG6010" s="350"/>
      <c r="BH6010" s="350"/>
    </row>
    <row r="6011" spans="4:60">
      <c r="D6011" s="350"/>
      <c r="S6011" s="350"/>
      <c r="BF6011" s="350"/>
      <c r="BG6011" s="350"/>
      <c r="BH6011" s="350"/>
    </row>
    <row r="6012" spans="4:60">
      <c r="D6012" s="350"/>
      <c r="S6012" s="350"/>
      <c r="BF6012" s="350"/>
      <c r="BG6012" s="350"/>
      <c r="BH6012" s="350"/>
    </row>
    <row r="6013" spans="4:60">
      <c r="D6013" s="350"/>
      <c r="S6013" s="350"/>
      <c r="BF6013" s="350"/>
      <c r="BG6013" s="350"/>
      <c r="BH6013" s="350"/>
    </row>
    <row r="6014" spans="4:60">
      <c r="D6014" s="350"/>
      <c r="S6014" s="350"/>
      <c r="BF6014" s="350"/>
      <c r="BG6014" s="350"/>
      <c r="BH6014" s="350"/>
    </row>
    <row r="6015" spans="4:60">
      <c r="D6015" s="350"/>
      <c r="S6015" s="350"/>
      <c r="BF6015" s="350"/>
      <c r="BG6015" s="350"/>
      <c r="BH6015" s="350"/>
    </row>
    <row r="6016" spans="4:60">
      <c r="D6016" s="350"/>
      <c r="S6016" s="350"/>
      <c r="BF6016" s="350"/>
      <c r="BG6016" s="350"/>
      <c r="BH6016" s="350"/>
    </row>
    <row r="6017" spans="4:60">
      <c r="D6017" s="350"/>
      <c r="S6017" s="350"/>
      <c r="BF6017" s="350"/>
      <c r="BG6017" s="350"/>
      <c r="BH6017" s="350"/>
    </row>
    <row r="6018" spans="4:60">
      <c r="D6018" s="350"/>
      <c r="S6018" s="350"/>
      <c r="BF6018" s="350"/>
      <c r="BG6018" s="350"/>
      <c r="BH6018" s="350"/>
    </row>
    <row r="6019" spans="4:60">
      <c r="D6019" s="350"/>
      <c r="S6019" s="350"/>
      <c r="BF6019" s="350"/>
      <c r="BG6019" s="350"/>
      <c r="BH6019" s="350"/>
    </row>
    <row r="6020" spans="4:60">
      <c r="D6020" s="350"/>
      <c r="S6020" s="350"/>
      <c r="BF6020" s="350"/>
      <c r="BG6020" s="350"/>
      <c r="BH6020" s="350"/>
    </row>
    <row r="6021" spans="4:60">
      <c r="D6021" s="350"/>
      <c r="S6021" s="350"/>
      <c r="BF6021" s="350"/>
      <c r="BG6021" s="350"/>
      <c r="BH6021" s="350"/>
    </row>
    <row r="6022" spans="4:60">
      <c r="D6022" s="350"/>
      <c r="S6022" s="350"/>
      <c r="BF6022" s="350"/>
      <c r="BG6022" s="350"/>
      <c r="BH6022" s="350"/>
    </row>
    <row r="6023" spans="4:60">
      <c r="D6023" s="350"/>
      <c r="S6023" s="350"/>
      <c r="BF6023" s="350"/>
      <c r="BG6023" s="350"/>
      <c r="BH6023" s="350"/>
    </row>
    <row r="6024" spans="4:60">
      <c r="D6024" s="350"/>
      <c r="S6024" s="350"/>
      <c r="BF6024" s="350"/>
      <c r="BG6024" s="350"/>
      <c r="BH6024" s="350"/>
    </row>
    <row r="6025" spans="4:60">
      <c r="D6025" s="350"/>
      <c r="S6025" s="350"/>
      <c r="BF6025" s="350"/>
      <c r="BG6025" s="350"/>
      <c r="BH6025" s="350"/>
    </row>
    <row r="6026" spans="4:60">
      <c r="D6026" s="350"/>
      <c r="S6026" s="350"/>
      <c r="BF6026" s="350"/>
      <c r="BG6026" s="350"/>
      <c r="BH6026" s="350"/>
    </row>
    <row r="6027" spans="4:60">
      <c r="D6027" s="350"/>
      <c r="S6027" s="350"/>
      <c r="BF6027" s="350"/>
      <c r="BG6027" s="350"/>
      <c r="BH6027" s="350"/>
    </row>
    <row r="6028" spans="4:60">
      <c r="D6028" s="350"/>
      <c r="S6028" s="350"/>
      <c r="BF6028" s="350"/>
      <c r="BG6028" s="350"/>
      <c r="BH6028" s="350"/>
    </row>
    <row r="6029" spans="4:60">
      <c r="D6029" s="350"/>
      <c r="S6029" s="350"/>
      <c r="BF6029" s="350"/>
      <c r="BG6029" s="350"/>
      <c r="BH6029" s="350"/>
    </row>
    <row r="6030" spans="4:60">
      <c r="D6030" s="350"/>
      <c r="S6030" s="350"/>
      <c r="BF6030" s="350"/>
      <c r="BG6030" s="350"/>
      <c r="BH6030" s="350"/>
    </row>
    <row r="6031" spans="4:60">
      <c r="D6031" s="350"/>
      <c r="S6031" s="350"/>
      <c r="BF6031" s="350"/>
      <c r="BG6031" s="350"/>
      <c r="BH6031" s="350"/>
    </row>
    <row r="6032" spans="4:60">
      <c r="D6032" s="350"/>
      <c r="S6032" s="350"/>
      <c r="BF6032" s="350"/>
      <c r="BG6032" s="350"/>
      <c r="BH6032" s="350"/>
    </row>
    <row r="6033" spans="4:60">
      <c r="D6033" s="350"/>
      <c r="S6033" s="350"/>
      <c r="BF6033" s="350"/>
      <c r="BG6033" s="350"/>
      <c r="BH6033" s="350"/>
    </row>
    <row r="6034" spans="4:60">
      <c r="D6034" s="350"/>
      <c r="S6034" s="350"/>
      <c r="BF6034" s="350"/>
      <c r="BG6034" s="350"/>
      <c r="BH6034" s="350"/>
    </row>
    <row r="6035" spans="4:60">
      <c r="D6035" s="350"/>
      <c r="S6035" s="350"/>
      <c r="BF6035" s="350"/>
      <c r="BG6035" s="350"/>
      <c r="BH6035" s="350"/>
    </row>
    <row r="6036" spans="4:60">
      <c r="D6036" s="350"/>
      <c r="S6036" s="350"/>
      <c r="BF6036" s="350"/>
      <c r="BG6036" s="350"/>
      <c r="BH6036" s="350"/>
    </row>
    <row r="6037" spans="4:60">
      <c r="D6037" s="350"/>
      <c r="S6037" s="350"/>
      <c r="BF6037" s="350"/>
      <c r="BG6037" s="350"/>
      <c r="BH6037" s="350"/>
    </row>
    <row r="6038" spans="4:60">
      <c r="D6038" s="350"/>
      <c r="S6038" s="350"/>
      <c r="BF6038" s="350"/>
      <c r="BG6038" s="350"/>
      <c r="BH6038" s="350"/>
    </row>
    <row r="6039" spans="4:60">
      <c r="D6039" s="350"/>
      <c r="S6039" s="350"/>
      <c r="BF6039" s="350"/>
      <c r="BG6039" s="350"/>
      <c r="BH6039" s="350"/>
    </row>
    <row r="6041" spans="4:60">
      <c r="D6041" s="350"/>
      <c r="S6041" s="350"/>
      <c r="BF6041" s="350"/>
      <c r="BG6041" s="350"/>
      <c r="BH6041" s="350"/>
    </row>
    <row r="6042" spans="4:60">
      <c r="D6042" s="350"/>
      <c r="S6042" s="350"/>
      <c r="BF6042" s="350"/>
      <c r="BG6042" s="350"/>
      <c r="BH6042" s="350"/>
    </row>
    <row r="6043" spans="4:60">
      <c r="D6043" s="350"/>
      <c r="S6043" s="350"/>
      <c r="BF6043" s="350"/>
      <c r="BG6043" s="350"/>
      <c r="BH6043" s="350"/>
    </row>
    <row r="6044" spans="4:60">
      <c r="D6044" s="350"/>
      <c r="S6044" s="350"/>
      <c r="BF6044" s="350"/>
      <c r="BG6044" s="350"/>
      <c r="BH6044" s="350"/>
    </row>
    <row r="6045" spans="4:60">
      <c r="D6045" s="350"/>
      <c r="S6045" s="350"/>
      <c r="BF6045" s="350"/>
      <c r="BG6045" s="350"/>
      <c r="BH6045" s="350"/>
    </row>
    <row r="6046" spans="4:60">
      <c r="D6046" s="350"/>
      <c r="S6046" s="350"/>
      <c r="BF6046" s="350"/>
      <c r="BG6046" s="350"/>
      <c r="BH6046" s="350"/>
    </row>
    <row r="6047" spans="4:60">
      <c r="D6047" s="350"/>
      <c r="S6047" s="350"/>
      <c r="BF6047" s="350"/>
      <c r="BG6047" s="350"/>
      <c r="BH6047" s="350"/>
    </row>
    <row r="6048" spans="4:60">
      <c r="D6048" s="350"/>
      <c r="S6048" s="350"/>
      <c r="BF6048" s="350"/>
      <c r="BG6048" s="350"/>
      <c r="BH6048" s="350"/>
    </row>
    <row r="6049" spans="4:60">
      <c r="D6049" s="350"/>
      <c r="S6049" s="350"/>
      <c r="BF6049" s="350"/>
      <c r="BG6049" s="350"/>
      <c r="BH6049" s="350"/>
    </row>
    <row r="6050" spans="4:60">
      <c r="D6050" s="350"/>
      <c r="S6050" s="350"/>
      <c r="BF6050" s="350"/>
      <c r="BG6050" s="350"/>
      <c r="BH6050" s="350"/>
    </row>
    <row r="6051" spans="4:60">
      <c r="D6051" s="350"/>
      <c r="S6051" s="350"/>
      <c r="BF6051" s="350"/>
      <c r="BG6051" s="350"/>
      <c r="BH6051" s="350"/>
    </row>
    <row r="6052" spans="4:60">
      <c r="D6052" s="350"/>
      <c r="S6052" s="350"/>
      <c r="BF6052" s="350"/>
      <c r="BG6052" s="350"/>
      <c r="BH6052" s="350"/>
    </row>
    <row r="6053" spans="4:60">
      <c r="D6053" s="350"/>
      <c r="S6053" s="350"/>
      <c r="BF6053" s="350"/>
      <c r="BG6053" s="350"/>
      <c r="BH6053" s="350"/>
    </row>
    <row r="6054" spans="4:60">
      <c r="D6054" s="350"/>
      <c r="S6054" s="350"/>
      <c r="BF6054" s="350"/>
      <c r="BG6054" s="350"/>
      <c r="BH6054" s="350"/>
    </row>
    <row r="6055" spans="4:60">
      <c r="D6055" s="350"/>
      <c r="S6055" s="350"/>
      <c r="BF6055" s="350"/>
      <c r="BG6055" s="350"/>
      <c r="BH6055" s="350"/>
    </row>
    <row r="6056" spans="4:60">
      <c r="D6056" s="350"/>
      <c r="S6056" s="350"/>
      <c r="BF6056" s="350"/>
      <c r="BG6056" s="350"/>
      <c r="BH6056" s="350"/>
    </row>
    <row r="6057" spans="4:60">
      <c r="D6057" s="350"/>
      <c r="S6057" s="350"/>
      <c r="BF6057" s="350"/>
      <c r="BG6057" s="350"/>
      <c r="BH6057" s="350"/>
    </row>
    <row r="6058" spans="4:60">
      <c r="D6058" s="350"/>
      <c r="S6058" s="350"/>
      <c r="BF6058" s="350"/>
      <c r="BG6058" s="350"/>
      <c r="BH6058" s="350"/>
    </row>
    <row r="6059" spans="4:60">
      <c r="D6059" s="350"/>
      <c r="S6059" s="350"/>
      <c r="BF6059" s="350"/>
      <c r="BG6059" s="350"/>
      <c r="BH6059" s="350"/>
    </row>
    <row r="6060" spans="4:60">
      <c r="D6060" s="350"/>
      <c r="S6060" s="350"/>
      <c r="BF6060" s="350"/>
      <c r="BG6060" s="350"/>
      <c r="BH6060" s="350"/>
    </row>
    <row r="6061" spans="4:60">
      <c r="D6061" s="350"/>
      <c r="S6061" s="350"/>
      <c r="BF6061" s="350"/>
      <c r="BG6061" s="350"/>
      <c r="BH6061" s="350"/>
    </row>
    <row r="6062" spans="4:60">
      <c r="D6062" s="350"/>
      <c r="S6062" s="350"/>
      <c r="BF6062" s="350"/>
      <c r="BG6062" s="350"/>
      <c r="BH6062" s="350"/>
    </row>
    <row r="6063" spans="4:60">
      <c r="D6063" s="350"/>
      <c r="S6063" s="350"/>
      <c r="BF6063" s="350"/>
      <c r="BG6063" s="350"/>
      <c r="BH6063" s="350"/>
    </row>
    <row r="6064" spans="4:60">
      <c r="D6064" s="350"/>
      <c r="S6064" s="350"/>
      <c r="BF6064" s="350"/>
      <c r="BG6064" s="350"/>
      <c r="BH6064" s="350"/>
    </row>
    <row r="6065" spans="4:60">
      <c r="D6065" s="350"/>
      <c r="S6065" s="350"/>
      <c r="BF6065" s="350"/>
      <c r="BG6065" s="350"/>
      <c r="BH6065" s="350"/>
    </row>
    <row r="6066" spans="4:60">
      <c r="D6066" s="350"/>
      <c r="S6066" s="350"/>
      <c r="BF6066" s="350"/>
      <c r="BG6066" s="350"/>
      <c r="BH6066" s="350"/>
    </row>
    <row r="6067" spans="4:60">
      <c r="D6067" s="350"/>
      <c r="S6067" s="350"/>
      <c r="BF6067" s="350"/>
      <c r="BG6067" s="350"/>
      <c r="BH6067" s="350"/>
    </row>
    <row r="6068" spans="4:60">
      <c r="D6068" s="350"/>
      <c r="S6068" s="350"/>
      <c r="BF6068" s="350"/>
      <c r="BG6068" s="350"/>
      <c r="BH6068" s="350"/>
    </row>
    <row r="6069" spans="4:60">
      <c r="D6069" s="350"/>
      <c r="S6069" s="350"/>
      <c r="BF6069" s="350"/>
      <c r="BG6069" s="350"/>
      <c r="BH6069" s="350"/>
    </row>
    <row r="6070" spans="4:60">
      <c r="D6070" s="350"/>
      <c r="S6070" s="350"/>
      <c r="BF6070" s="350"/>
      <c r="BG6070" s="350"/>
      <c r="BH6070" s="350"/>
    </row>
    <row r="6071" spans="4:60">
      <c r="D6071" s="350"/>
      <c r="S6071" s="350"/>
      <c r="BF6071" s="350"/>
      <c r="BG6071" s="350"/>
      <c r="BH6071" s="350"/>
    </row>
    <row r="6072" spans="4:60">
      <c r="D6072" s="350"/>
      <c r="S6072" s="350"/>
      <c r="BF6072" s="350"/>
      <c r="BG6072" s="350"/>
      <c r="BH6072" s="350"/>
    </row>
    <row r="6073" spans="4:60">
      <c r="D6073" s="350"/>
      <c r="S6073" s="350"/>
      <c r="BF6073" s="350"/>
      <c r="BG6073" s="350"/>
      <c r="BH6073" s="350"/>
    </row>
    <row r="6074" spans="4:60">
      <c r="D6074" s="350"/>
      <c r="S6074" s="350"/>
      <c r="BF6074" s="350"/>
      <c r="BG6074" s="350"/>
      <c r="BH6074" s="350"/>
    </row>
    <row r="6075" spans="4:60">
      <c r="D6075" s="350"/>
      <c r="S6075" s="350"/>
      <c r="BF6075" s="350"/>
      <c r="BG6075" s="350"/>
      <c r="BH6075" s="350"/>
    </row>
    <row r="6076" spans="4:60">
      <c r="D6076" s="350"/>
      <c r="S6076" s="350"/>
      <c r="BF6076" s="350"/>
      <c r="BG6076" s="350"/>
      <c r="BH6076" s="350"/>
    </row>
    <row r="6077" spans="4:60">
      <c r="D6077" s="350"/>
      <c r="S6077" s="350"/>
      <c r="BF6077" s="350"/>
      <c r="BG6077" s="350"/>
      <c r="BH6077" s="350"/>
    </row>
    <row r="6078" spans="4:60">
      <c r="D6078" s="350"/>
      <c r="S6078" s="350"/>
      <c r="BF6078" s="350"/>
      <c r="BG6078" s="350"/>
      <c r="BH6078" s="350"/>
    </row>
    <row r="6079" spans="4:60">
      <c r="D6079" s="350"/>
      <c r="S6079" s="350"/>
      <c r="BF6079" s="350"/>
      <c r="BG6079" s="350"/>
      <c r="BH6079" s="350"/>
    </row>
    <row r="6080" spans="4:60">
      <c r="D6080" s="350"/>
      <c r="S6080" s="350"/>
      <c r="BF6080" s="350"/>
      <c r="BG6080" s="350"/>
      <c r="BH6080" s="350"/>
    </row>
    <row r="6081" spans="4:60">
      <c r="D6081" s="350"/>
      <c r="S6081" s="350"/>
      <c r="BF6081" s="350"/>
      <c r="BG6081" s="350"/>
      <c r="BH6081" s="350"/>
    </row>
    <row r="6082" spans="4:60">
      <c r="D6082" s="350"/>
      <c r="S6082" s="350"/>
      <c r="BF6082" s="350"/>
      <c r="BG6082" s="350"/>
      <c r="BH6082" s="350"/>
    </row>
    <row r="6083" spans="4:60">
      <c r="D6083" s="350"/>
      <c r="S6083" s="350"/>
      <c r="BF6083" s="350"/>
      <c r="BG6083" s="350"/>
      <c r="BH6083" s="350"/>
    </row>
    <row r="6084" spans="4:60">
      <c r="D6084" s="350"/>
      <c r="S6084" s="350"/>
      <c r="BF6084" s="350"/>
      <c r="BG6084" s="350"/>
      <c r="BH6084" s="350"/>
    </row>
    <row r="6085" spans="4:60">
      <c r="D6085" s="350"/>
      <c r="S6085" s="350"/>
      <c r="BF6085" s="350"/>
      <c r="BG6085" s="350"/>
      <c r="BH6085" s="350"/>
    </row>
    <row r="6086" spans="4:60">
      <c r="D6086" s="350"/>
      <c r="S6086" s="350"/>
      <c r="BF6086" s="350"/>
      <c r="BG6086" s="350"/>
      <c r="BH6086" s="350"/>
    </row>
    <row r="6087" spans="4:60">
      <c r="D6087" s="350"/>
      <c r="S6087" s="350"/>
      <c r="BF6087" s="350"/>
      <c r="BG6087" s="350"/>
      <c r="BH6087" s="350"/>
    </row>
    <row r="6088" spans="4:60">
      <c r="D6088" s="350"/>
      <c r="S6088" s="350"/>
      <c r="BF6088" s="350"/>
      <c r="BG6088" s="350"/>
      <c r="BH6088" s="350"/>
    </row>
    <row r="6089" spans="4:60">
      <c r="D6089" s="350"/>
      <c r="S6089" s="350"/>
      <c r="BF6089" s="350"/>
      <c r="BG6089" s="350"/>
      <c r="BH6089" s="350"/>
    </row>
    <row r="6090" spans="4:60">
      <c r="D6090" s="350"/>
      <c r="S6090" s="350"/>
      <c r="BF6090" s="350"/>
      <c r="BG6090" s="350"/>
      <c r="BH6090" s="350"/>
    </row>
    <row r="6091" spans="4:60">
      <c r="D6091" s="350"/>
      <c r="S6091" s="350"/>
      <c r="BF6091" s="350"/>
      <c r="BG6091" s="350"/>
      <c r="BH6091" s="350"/>
    </row>
    <row r="6092" spans="4:60">
      <c r="D6092" s="350"/>
      <c r="S6092" s="350"/>
      <c r="BF6092" s="350"/>
      <c r="BG6092" s="350"/>
      <c r="BH6092" s="350"/>
    </row>
    <row r="6093" spans="4:60">
      <c r="D6093" s="350"/>
      <c r="S6093" s="350"/>
      <c r="BF6093" s="350"/>
      <c r="BG6093" s="350"/>
      <c r="BH6093" s="350"/>
    </row>
    <row r="6094" spans="4:60">
      <c r="D6094" s="350"/>
      <c r="S6094" s="350"/>
      <c r="BF6094" s="350"/>
      <c r="BG6094" s="350"/>
      <c r="BH6094" s="350"/>
    </row>
    <row r="6095" spans="4:60">
      <c r="D6095" s="350"/>
      <c r="S6095" s="350"/>
      <c r="BF6095" s="350"/>
      <c r="BG6095" s="350"/>
      <c r="BH6095" s="350"/>
    </row>
    <row r="6096" spans="4:60">
      <c r="D6096" s="350"/>
      <c r="S6096" s="350"/>
      <c r="BF6096" s="350"/>
      <c r="BG6096" s="350"/>
      <c r="BH6096" s="350"/>
    </row>
    <row r="6097" spans="4:60">
      <c r="D6097" s="350"/>
      <c r="S6097" s="350"/>
      <c r="BF6097" s="350"/>
      <c r="BG6097" s="350"/>
      <c r="BH6097" s="350"/>
    </row>
    <row r="6098" spans="4:60">
      <c r="D6098" s="350"/>
      <c r="S6098" s="350"/>
      <c r="BF6098" s="350"/>
      <c r="BG6098" s="350"/>
      <c r="BH6098" s="350"/>
    </row>
    <row r="6099" spans="4:60">
      <c r="D6099" s="350"/>
      <c r="S6099" s="350"/>
      <c r="BF6099" s="350"/>
      <c r="BG6099" s="350"/>
      <c r="BH6099" s="350"/>
    </row>
    <row r="6100" spans="4:60">
      <c r="D6100" s="350"/>
      <c r="S6100" s="350"/>
      <c r="BF6100" s="350"/>
      <c r="BG6100" s="350"/>
      <c r="BH6100" s="350"/>
    </row>
    <row r="6101" spans="4:60">
      <c r="D6101" s="350"/>
      <c r="S6101" s="350"/>
      <c r="BF6101" s="350"/>
      <c r="BG6101" s="350"/>
      <c r="BH6101" s="350"/>
    </row>
    <row r="6102" spans="4:60">
      <c r="D6102" s="350"/>
      <c r="S6102" s="350"/>
      <c r="BF6102" s="350"/>
      <c r="BG6102" s="350"/>
      <c r="BH6102" s="350"/>
    </row>
    <row r="6103" spans="4:60">
      <c r="D6103" s="350"/>
      <c r="S6103" s="350"/>
      <c r="BF6103" s="350"/>
      <c r="BG6103" s="350"/>
      <c r="BH6103" s="350"/>
    </row>
    <row r="6104" spans="4:60">
      <c r="D6104" s="350"/>
      <c r="S6104" s="350"/>
      <c r="BF6104" s="350"/>
      <c r="BG6104" s="350"/>
      <c r="BH6104" s="350"/>
    </row>
    <row r="6105" spans="4:60">
      <c r="D6105" s="350"/>
      <c r="S6105" s="350"/>
      <c r="BF6105" s="350"/>
      <c r="BG6105" s="350"/>
      <c r="BH6105" s="350"/>
    </row>
    <row r="6106" spans="4:60">
      <c r="D6106" s="350"/>
      <c r="S6106" s="350"/>
      <c r="BF6106" s="350"/>
      <c r="BG6106" s="350"/>
      <c r="BH6106" s="350"/>
    </row>
    <row r="6107" spans="4:60">
      <c r="D6107" s="350"/>
      <c r="S6107" s="350"/>
      <c r="BF6107" s="350"/>
      <c r="BG6107" s="350"/>
      <c r="BH6107" s="350"/>
    </row>
    <row r="6108" spans="4:60">
      <c r="D6108" s="350"/>
      <c r="S6108" s="350"/>
      <c r="BF6108" s="350"/>
      <c r="BG6108" s="350"/>
      <c r="BH6108" s="350"/>
    </row>
    <row r="6109" spans="4:60">
      <c r="D6109" s="350"/>
      <c r="S6109" s="350"/>
      <c r="BF6109" s="350"/>
      <c r="BG6109" s="350"/>
      <c r="BH6109" s="350"/>
    </row>
    <row r="6110" spans="4:60">
      <c r="D6110" s="350"/>
      <c r="S6110" s="350"/>
      <c r="BF6110" s="350"/>
      <c r="BG6110" s="350"/>
      <c r="BH6110" s="350"/>
    </row>
    <row r="6111" spans="4:60">
      <c r="D6111" s="350"/>
      <c r="S6111" s="350"/>
      <c r="BF6111" s="350"/>
      <c r="BG6111" s="350"/>
      <c r="BH6111" s="350"/>
    </row>
    <row r="6112" spans="4:60">
      <c r="D6112" s="350"/>
      <c r="S6112" s="350"/>
      <c r="BF6112" s="350"/>
      <c r="BG6112" s="350"/>
      <c r="BH6112" s="350"/>
    </row>
    <row r="6113" spans="4:60">
      <c r="D6113" s="350"/>
      <c r="S6113" s="350"/>
      <c r="BF6113" s="350"/>
      <c r="BG6113" s="350"/>
      <c r="BH6113" s="350"/>
    </row>
    <row r="6114" spans="4:60">
      <c r="D6114" s="350"/>
      <c r="S6114" s="350"/>
      <c r="BF6114" s="350"/>
      <c r="BG6114" s="350"/>
      <c r="BH6114" s="350"/>
    </row>
    <row r="6115" spans="4:60">
      <c r="D6115" s="350"/>
      <c r="S6115" s="350"/>
      <c r="BF6115" s="350"/>
      <c r="BG6115" s="350"/>
      <c r="BH6115" s="350"/>
    </row>
    <row r="6116" spans="4:60">
      <c r="D6116" s="350"/>
      <c r="S6116" s="350"/>
      <c r="BF6116" s="350"/>
      <c r="BG6116" s="350"/>
      <c r="BH6116" s="350"/>
    </row>
    <row r="6117" spans="4:60">
      <c r="D6117" s="350"/>
      <c r="S6117" s="350"/>
      <c r="BF6117" s="350"/>
      <c r="BG6117" s="350"/>
      <c r="BH6117" s="350"/>
    </row>
    <row r="6118" spans="4:60">
      <c r="D6118" s="350"/>
      <c r="S6118" s="350"/>
      <c r="BF6118" s="350"/>
      <c r="BG6118" s="350"/>
      <c r="BH6118" s="350"/>
    </row>
    <row r="6119" spans="4:60">
      <c r="D6119" s="350"/>
      <c r="S6119" s="350"/>
      <c r="BF6119" s="350"/>
      <c r="BG6119" s="350"/>
      <c r="BH6119" s="350"/>
    </row>
    <row r="6120" spans="4:60">
      <c r="D6120" s="350"/>
      <c r="S6120" s="350"/>
      <c r="BF6120" s="350"/>
      <c r="BG6120" s="350"/>
      <c r="BH6120" s="350"/>
    </row>
    <row r="6121" spans="4:60">
      <c r="D6121" s="350"/>
      <c r="S6121" s="350"/>
      <c r="BF6121" s="350"/>
      <c r="BG6121" s="350"/>
      <c r="BH6121" s="350"/>
    </row>
    <row r="6122" spans="4:60">
      <c r="D6122" s="350"/>
      <c r="S6122" s="350"/>
      <c r="BF6122" s="350"/>
      <c r="BG6122" s="350"/>
      <c r="BH6122" s="350"/>
    </row>
    <row r="6123" spans="4:60">
      <c r="D6123" s="350"/>
      <c r="S6123" s="350"/>
      <c r="BF6123" s="350"/>
      <c r="BG6123" s="350"/>
      <c r="BH6123" s="350"/>
    </row>
    <row r="6124" spans="4:60">
      <c r="D6124" s="350"/>
      <c r="S6124" s="350"/>
      <c r="BF6124" s="350"/>
      <c r="BG6124" s="350"/>
      <c r="BH6124" s="350"/>
    </row>
    <row r="6125" spans="4:60">
      <c r="D6125" s="350"/>
      <c r="S6125" s="350"/>
      <c r="BF6125" s="350"/>
      <c r="BG6125" s="350"/>
      <c r="BH6125" s="350"/>
    </row>
    <row r="6126" spans="4:60">
      <c r="D6126" s="350"/>
      <c r="S6126" s="350"/>
      <c r="BF6126" s="350"/>
      <c r="BG6126" s="350"/>
      <c r="BH6126" s="350"/>
    </row>
    <row r="6127" spans="4:60">
      <c r="D6127" s="350"/>
      <c r="S6127" s="350"/>
      <c r="BF6127" s="350"/>
      <c r="BG6127" s="350"/>
      <c r="BH6127" s="350"/>
    </row>
    <row r="6128" spans="4:60">
      <c r="D6128" s="350"/>
      <c r="S6128" s="350"/>
      <c r="BF6128" s="350"/>
      <c r="BG6128" s="350"/>
      <c r="BH6128" s="350"/>
    </row>
    <row r="6129" spans="4:60">
      <c r="D6129" s="350"/>
      <c r="S6129" s="350"/>
      <c r="BF6129" s="350"/>
      <c r="BG6129" s="350"/>
      <c r="BH6129" s="350"/>
    </row>
    <row r="6130" spans="4:60">
      <c r="D6130" s="350"/>
      <c r="S6130" s="350"/>
      <c r="BF6130" s="350"/>
      <c r="BG6130" s="350"/>
      <c r="BH6130" s="350"/>
    </row>
    <row r="6131" spans="4:60">
      <c r="D6131" s="350"/>
      <c r="S6131" s="350"/>
      <c r="BF6131" s="350"/>
      <c r="BG6131" s="350"/>
      <c r="BH6131" s="350"/>
    </row>
    <row r="6132" spans="4:60">
      <c r="D6132" s="350"/>
      <c r="S6132" s="350"/>
      <c r="BF6132" s="350"/>
      <c r="BG6132" s="350"/>
      <c r="BH6132" s="350"/>
    </row>
    <row r="6133" spans="4:60">
      <c r="D6133" s="350"/>
      <c r="S6133" s="350"/>
      <c r="BF6133" s="350"/>
      <c r="BG6133" s="350"/>
      <c r="BH6133" s="350"/>
    </row>
    <row r="6134" spans="4:60">
      <c r="D6134" s="350"/>
      <c r="S6134" s="350"/>
      <c r="BF6134" s="350"/>
      <c r="BG6134" s="350"/>
      <c r="BH6134" s="350"/>
    </row>
    <row r="6135" spans="4:60">
      <c r="D6135" s="350"/>
      <c r="S6135" s="350"/>
      <c r="BF6135" s="350"/>
      <c r="BG6135" s="350"/>
      <c r="BH6135" s="350"/>
    </row>
    <row r="6136" spans="4:60">
      <c r="D6136" s="350"/>
      <c r="S6136" s="350"/>
      <c r="BF6136" s="350"/>
      <c r="BG6136" s="350"/>
      <c r="BH6136" s="350"/>
    </row>
    <row r="6137" spans="4:60">
      <c r="D6137" s="350"/>
      <c r="S6137" s="350"/>
      <c r="BF6137" s="350"/>
      <c r="BG6137" s="350"/>
      <c r="BH6137" s="350"/>
    </row>
    <row r="6138" spans="4:60">
      <c r="D6138" s="350"/>
      <c r="S6138" s="350"/>
      <c r="BF6138" s="350"/>
      <c r="BG6138" s="350"/>
      <c r="BH6138" s="350"/>
    </row>
    <row r="6139" spans="4:60">
      <c r="D6139" s="350"/>
      <c r="S6139" s="350"/>
      <c r="BF6139" s="350"/>
      <c r="BG6139" s="350"/>
      <c r="BH6139" s="350"/>
    </row>
    <row r="6140" spans="4:60">
      <c r="D6140" s="350"/>
      <c r="S6140" s="350"/>
      <c r="BF6140" s="350"/>
      <c r="BG6140" s="350"/>
      <c r="BH6140" s="350"/>
    </row>
    <row r="6141" spans="4:60">
      <c r="D6141" s="350"/>
      <c r="S6141" s="350"/>
      <c r="BF6141" s="350"/>
      <c r="BG6141" s="350"/>
      <c r="BH6141" s="350"/>
    </row>
    <row r="6142" spans="4:60">
      <c r="D6142" s="350"/>
      <c r="S6142" s="350"/>
      <c r="BF6142" s="350"/>
      <c r="BG6142" s="350"/>
      <c r="BH6142" s="350"/>
    </row>
    <row r="6143" spans="4:60">
      <c r="D6143" s="350"/>
      <c r="S6143" s="350"/>
      <c r="BF6143" s="350"/>
      <c r="BG6143" s="350"/>
      <c r="BH6143" s="350"/>
    </row>
    <row r="6144" spans="4:60">
      <c r="D6144" s="350"/>
      <c r="S6144" s="350"/>
      <c r="BF6144" s="350"/>
      <c r="BG6144" s="350"/>
      <c r="BH6144" s="350"/>
    </row>
    <row r="6145" spans="4:60">
      <c r="D6145" s="350"/>
      <c r="S6145" s="350"/>
      <c r="BF6145" s="350"/>
      <c r="BG6145" s="350"/>
      <c r="BH6145" s="350"/>
    </row>
    <row r="6146" spans="4:60">
      <c r="D6146" s="350"/>
      <c r="S6146" s="350"/>
      <c r="BF6146" s="350"/>
      <c r="BG6146" s="350"/>
      <c r="BH6146" s="350"/>
    </row>
    <row r="6147" spans="4:60">
      <c r="D6147" s="350"/>
      <c r="S6147" s="350"/>
      <c r="BF6147" s="350"/>
      <c r="BG6147" s="350"/>
      <c r="BH6147" s="350"/>
    </row>
    <row r="6148" spans="4:60">
      <c r="D6148" s="350"/>
      <c r="S6148" s="350"/>
      <c r="BF6148" s="350"/>
      <c r="BG6148" s="350"/>
      <c r="BH6148" s="350"/>
    </row>
    <row r="6149" spans="4:60">
      <c r="D6149" s="350"/>
      <c r="S6149" s="350"/>
      <c r="BF6149" s="350"/>
      <c r="BG6149" s="350"/>
      <c r="BH6149" s="350"/>
    </row>
    <row r="6150" spans="4:60">
      <c r="D6150" s="350"/>
      <c r="S6150" s="350"/>
      <c r="BF6150" s="350"/>
      <c r="BG6150" s="350"/>
      <c r="BH6150" s="350"/>
    </row>
    <row r="6151" spans="4:60">
      <c r="D6151" s="350"/>
      <c r="S6151" s="350"/>
      <c r="BF6151" s="350"/>
      <c r="BG6151" s="350"/>
      <c r="BH6151" s="350"/>
    </row>
    <row r="6152" spans="4:60">
      <c r="D6152" s="350"/>
      <c r="S6152" s="350"/>
      <c r="BF6152" s="350"/>
      <c r="BG6152" s="350"/>
      <c r="BH6152" s="350"/>
    </row>
    <row r="6153" spans="4:60">
      <c r="D6153" s="350"/>
      <c r="S6153" s="350"/>
      <c r="BF6153" s="350"/>
      <c r="BG6153" s="350"/>
      <c r="BH6153" s="350"/>
    </row>
    <row r="6154" spans="4:60">
      <c r="D6154" s="350"/>
      <c r="S6154" s="350"/>
      <c r="BF6154" s="350"/>
      <c r="BG6154" s="350"/>
      <c r="BH6154" s="350"/>
    </row>
    <row r="6155" spans="4:60">
      <c r="D6155" s="350"/>
      <c r="S6155" s="350"/>
      <c r="BF6155" s="350"/>
      <c r="BG6155" s="350"/>
      <c r="BH6155" s="350"/>
    </row>
    <row r="6156" spans="4:60">
      <c r="D6156" s="350"/>
      <c r="S6156" s="350"/>
      <c r="BF6156" s="350"/>
      <c r="BG6156" s="350"/>
      <c r="BH6156" s="350"/>
    </row>
    <row r="6157" spans="4:60">
      <c r="D6157" s="350"/>
      <c r="S6157" s="350"/>
      <c r="BF6157" s="350"/>
      <c r="BG6157" s="350"/>
      <c r="BH6157" s="350"/>
    </row>
    <row r="6158" spans="4:60">
      <c r="D6158" s="350"/>
      <c r="S6158" s="350"/>
      <c r="BF6158" s="350"/>
      <c r="BG6158" s="350"/>
      <c r="BH6158" s="350"/>
    </row>
    <row r="6159" spans="4:60">
      <c r="D6159" s="350"/>
      <c r="S6159" s="350"/>
      <c r="BF6159" s="350"/>
      <c r="BG6159" s="350"/>
      <c r="BH6159" s="350"/>
    </row>
    <row r="6160" spans="4:60">
      <c r="D6160" s="350"/>
      <c r="S6160" s="350"/>
      <c r="BF6160" s="350"/>
      <c r="BG6160" s="350"/>
      <c r="BH6160" s="350"/>
    </row>
    <row r="6161" spans="4:60">
      <c r="D6161" s="350"/>
      <c r="S6161" s="350"/>
      <c r="BF6161" s="350"/>
      <c r="BG6161" s="350"/>
      <c r="BH6161" s="350"/>
    </row>
    <row r="6162" spans="4:60">
      <c r="D6162" s="350"/>
      <c r="S6162" s="350"/>
      <c r="BF6162" s="350"/>
      <c r="BG6162" s="350"/>
      <c r="BH6162" s="350"/>
    </row>
    <row r="6163" spans="4:60">
      <c r="D6163" s="350"/>
      <c r="S6163" s="350"/>
      <c r="BF6163" s="350"/>
      <c r="BG6163" s="350"/>
      <c r="BH6163" s="350"/>
    </row>
    <row r="6164" spans="4:60">
      <c r="D6164" s="350"/>
      <c r="S6164" s="350"/>
      <c r="BF6164" s="350"/>
      <c r="BG6164" s="350"/>
      <c r="BH6164" s="350"/>
    </row>
    <row r="6165" spans="4:60">
      <c r="D6165" s="350"/>
      <c r="S6165" s="350"/>
      <c r="BF6165" s="350"/>
      <c r="BG6165" s="350"/>
      <c r="BH6165" s="350"/>
    </row>
    <row r="6166" spans="4:60">
      <c r="D6166" s="350"/>
      <c r="S6166" s="350"/>
      <c r="BF6166" s="350"/>
      <c r="BG6166" s="350"/>
      <c r="BH6166" s="350"/>
    </row>
    <row r="6167" spans="4:60">
      <c r="D6167" s="350"/>
      <c r="S6167" s="350"/>
      <c r="BF6167" s="350"/>
      <c r="BG6167" s="350"/>
      <c r="BH6167" s="350"/>
    </row>
    <row r="6168" spans="4:60">
      <c r="D6168" s="350"/>
      <c r="S6168" s="350"/>
      <c r="BF6168" s="350"/>
      <c r="BG6168" s="350"/>
      <c r="BH6168" s="350"/>
    </row>
    <row r="6169" spans="4:60">
      <c r="D6169" s="350"/>
      <c r="S6169" s="350"/>
      <c r="BF6169" s="350"/>
      <c r="BG6169" s="350"/>
      <c r="BH6169" s="350"/>
    </row>
    <row r="6170" spans="4:60">
      <c r="D6170" s="350"/>
      <c r="S6170" s="350"/>
      <c r="BF6170" s="350"/>
      <c r="BG6170" s="350"/>
      <c r="BH6170" s="350"/>
    </row>
    <row r="6171" spans="4:60">
      <c r="D6171" s="350"/>
      <c r="S6171" s="350"/>
      <c r="BF6171" s="350"/>
      <c r="BG6171" s="350"/>
      <c r="BH6171" s="350"/>
    </row>
    <row r="6172" spans="4:60">
      <c r="D6172" s="350"/>
      <c r="S6172" s="350"/>
      <c r="BF6172" s="350"/>
      <c r="BG6172" s="350"/>
      <c r="BH6172" s="350"/>
    </row>
    <row r="6173" spans="4:60">
      <c r="D6173" s="350"/>
      <c r="S6173" s="350"/>
      <c r="BF6173" s="350"/>
      <c r="BG6173" s="350"/>
      <c r="BH6173" s="350"/>
    </row>
    <row r="6174" spans="4:60">
      <c r="D6174" s="350"/>
      <c r="S6174" s="350"/>
      <c r="BF6174" s="350"/>
      <c r="BG6174" s="350"/>
      <c r="BH6174" s="350"/>
    </row>
    <row r="6175" spans="4:60">
      <c r="D6175" s="350"/>
      <c r="S6175" s="350"/>
      <c r="BF6175" s="350"/>
      <c r="BG6175" s="350"/>
      <c r="BH6175" s="350"/>
    </row>
    <row r="6176" spans="4:60">
      <c r="D6176" s="350"/>
      <c r="S6176" s="350"/>
      <c r="BF6176" s="350"/>
      <c r="BG6176" s="350"/>
      <c r="BH6176" s="350"/>
    </row>
    <row r="6177" spans="4:60">
      <c r="D6177" s="350"/>
      <c r="S6177" s="350"/>
      <c r="BF6177" s="350"/>
      <c r="BG6177" s="350"/>
      <c r="BH6177" s="350"/>
    </row>
    <row r="6178" spans="4:60">
      <c r="D6178" s="350"/>
      <c r="S6178" s="350"/>
      <c r="BF6178" s="350"/>
      <c r="BG6178" s="350"/>
      <c r="BH6178" s="350"/>
    </row>
    <row r="6179" spans="4:60">
      <c r="D6179" s="350"/>
      <c r="S6179" s="350"/>
      <c r="BF6179" s="350"/>
      <c r="BG6179" s="350"/>
      <c r="BH6179" s="350"/>
    </row>
    <row r="6180" spans="4:60">
      <c r="D6180" s="350"/>
      <c r="S6180" s="350"/>
      <c r="BF6180" s="350"/>
      <c r="BG6180" s="350"/>
      <c r="BH6180" s="350"/>
    </row>
    <row r="6181" spans="4:60">
      <c r="D6181" s="350"/>
      <c r="S6181" s="350"/>
      <c r="BF6181" s="350"/>
      <c r="BG6181" s="350"/>
      <c r="BH6181" s="350"/>
    </row>
    <row r="6182" spans="4:60">
      <c r="D6182" s="350"/>
      <c r="S6182" s="350"/>
      <c r="BF6182" s="350"/>
      <c r="BG6182" s="350"/>
      <c r="BH6182" s="350"/>
    </row>
    <row r="6183" spans="4:60">
      <c r="D6183" s="350"/>
      <c r="S6183" s="350"/>
      <c r="BF6183" s="350"/>
      <c r="BG6183" s="350"/>
      <c r="BH6183" s="350"/>
    </row>
    <row r="6184" spans="4:60">
      <c r="D6184" s="350"/>
      <c r="S6184" s="350"/>
      <c r="BF6184" s="350"/>
      <c r="BG6184" s="350"/>
      <c r="BH6184" s="350"/>
    </row>
    <row r="6185" spans="4:60">
      <c r="D6185" s="350"/>
      <c r="S6185" s="350"/>
      <c r="BF6185" s="350"/>
      <c r="BG6185" s="350"/>
      <c r="BH6185" s="350"/>
    </row>
    <row r="6186" spans="4:60">
      <c r="D6186" s="350"/>
      <c r="S6186" s="350"/>
      <c r="BF6186" s="350"/>
      <c r="BG6186" s="350"/>
      <c r="BH6186" s="350"/>
    </row>
    <row r="6187" spans="4:60">
      <c r="D6187" s="350"/>
      <c r="S6187" s="350"/>
      <c r="BF6187" s="350"/>
      <c r="BG6187" s="350"/>
      <c r="BH6187" s="350"/>
    </row>
    <row r="6188" spans="4:60">
      <c r="D6188" s="350"/>
      <c r="S6188" s="350"/>
      <c r="BF6188" s="350"/>
      <c r="BG6188" s="350"/>
      <c r="BH6188" s="350"/>
    </row>
    <row r="6189" spans="4:60">
      <c r="D6189" s="350"/>
      <c r="S6189" s="350"/>
      <c r="BF6189" s="350"/>
      <c r="BG6189" s="350"/>
      <c r="BH6189" s="350"/>
    </row>
    <row r="6190" spans="4:60">
      <c r="D6190" s="350"/>
      <c r="S6190" s="350"/>
      <c r="BF6190" s="350"/>
      <c r="BG6190" s="350"/>
      <c r="BH6190" s="350"/>
    </row>
    <row r="6191" spans="4:60">
      <c r="D6191" s="350"/>
      <c r="S6191" s="350"/>
      <c r="BF6191" s="350"/>
      <c r="BG6191" s="350"/>
      <c r="BH6191" s="350"/>
    </row>
    <row r="6192" spans="4:60">
      <c r="D6192" s="350"/>
      <c r="S6192" s="350"/>
      <c r="BF6192" s="350"/>
      <c r="BG6192" s="350"/>
      <c r="BH6192" s="350"/>
    </row>
    <row r="6193" spans="4:60">
      <c r="D6193" s="350"/>
      <c r="S6193" s="350"/>
      <c r="BF6193" s="350"/>
      <c r="BG6193" s="350"/>
      <c r="BH6193" s="350"/>
    </row>
    <row r="6194" spans="4:60">
      <c r="D6194" s="350"/>
      <c r="S6194" s="350"/>
      <c r="BF6194" s="350"/>
      <c r="BG6194" s="350"/>
      <c r="BH6194" s="350"/>
    </row>
    <row r="6195" spans="4:60">
      <c r="D6195" s="350"/>
      <c r="S6195" s="350"/>
      <c r="BF6195" s="350"/>
      <c r="BG6195" s="350"/>
      <c r="BH6195" s="350"/>
    </row>
    <row r="6196" spans="4:60">
      <c r="D6196" s="350"/>
      <c r="S6196" s="350"/>
      <c r="BF6196" s="350"/>
      <c r="BG6196" s="350"/>
      <c r="BH6196" s="350"/>
    </row>
    <row r="6197" spans="4:60">
      <c r="D6197" s="350"/>
      <c r="S6197" s="350"/>
      <c r="BF6197" s="350"/>
      <c r="BG6197" s="350"/>
      <c r="BH6197" s="350"/>
    </row>
    <row r="6198" spans="4:60">
      <c r="D6198" s="350"/>
      <c r="S6198" s="350"/>
      <c r="BF6198" s="350"/>
      <c r="BG6198" s="350"/>
      <c r="BH6198" s="350"/>
    </row>
    <row r="6199" spans="4:60">
      <c r="D6199" s="350"/>
      <c r="S6199" s="350"/>
      <c r="BF6199" s="350"/>
      <c r="BG6199" s="350"/>
      <c r="BH6199" s="350"/>
    </row>
    <row r="6200" spans="4:60">
      <c r="D6200" s="350"/>
      <c r="S6200" s="350"/>
      <c r="BF6200" s="350"/>
      <c r="BG6200" s="350"/>
      <c r="BH6200" s="350"/>
    </row>
    <row r="6201" spans="4:60">
      <c r="D6201" s="350"/>
      <c r="S6201" s="350"/>
      <c r="BF6201" s="350"/>
      <c r="BG6201" s="350"/>
      <c r="BH6201" s="350"/>
    </row>
    <row r="6202" spans="4:60">
      <c r="D6202" s="350"/>
      <c r="S6202" s="350"/>
      <c r="BF6202" s="350"/>
      <c r="BG6202" s="350"/>
      <c r="BH6202" s="350"/>
    </row>
    <row r="6203" spans="4:60">
      <c r="D6203" s="350"/>
      <c r="S6203" s="350"/>
      <c r="BF6203" s="350"/>
      <c r="BG6203" s="350"/>
      <c r="BH6203" s="350"/>
    </row>
    <row r="6204" spans="4:60">
      <c r="D6204" s="350"/>
      <c r="S6204" s="350"/>
      <c r="BF6204" s="350"/>
      <c r="BG6204" s="350"/>
      <c r="BH6204" s="350"/>
    </row>
    <row r="6205" spans="4:60">
      <c r="D6205" s="350"/>
      <c r="S6205" s="350"/>
      <c r="BF6205" s="350"/>
      <c r="BG6205" s="350"/>
      <c r="BH6205" s="350"/>
    </row>
    <row r="6206" spans="4:60">
      <c r="D6206" s="350"/>
      <c r="S6206" s="350"/>
      <c r="BF6206" s="350"/>
      <c r="BG6206" s="350"/>
      <c r="BH6206" s="350"/>
    </row>
    <row r="6207" spans="4:60">
      <c r="D6207" s="350"/>
      <c r="S6207" s="350"/>
      <c r="BF6207" s="350"/>
      <c r="BG6207" s="350"/>
      <c r="BH6207" s="350"/>
    </row>
    <row r="6208" spans="4:60">
      <c r="D6208" s="350"/>
      <c r="S6208" s="350"/>
      <c r="BF6208" s="350"/>
      <c r="BG6208" s="350"/>
      <c r="BH6208" s="350"/>
    </row>
    <row r="6209" spans="4:60">
      <c r="D6209" s="350"/>
      <c r="S6209" s="350"/>
      <c r="BF6209" s="350"/>
      <c r="BG6209" s="350"/>
      <c r="BH6209" s="350"/>
    </row>
    <row r="6210" spans="4:60">
      <c r="D6210" s="350"/>
      <c r="S6210" s="350"/>
      <c r="BF6210" s="350"/>
      <c r="BG6210" s="350"/>
      <c r="BH6210" s="350"/>
    </row>
    <row r="6211" spans="4:60">
      <c r="D6211" s="350"/>
      <c r="S6211" s="350"/>
      <c r="BF6211" s="350"/>
      <c r="BG6211" s="350"/>
      <c r="BH6211" s="350"/>
    </row>
    <row r="6212" spans="4:60">
      <c r="D6212" s="350"/>
      <c r="S6212" s="350"/>
      <c r="BF6212" s="350"/>
      <c r="BG6212" s="350"/>
      <c r="BH6212" s="350"/>
    </row>
    <row r="6213" spans="4:60">
      <c r="D6213" s="350"/>
      <c r="S6213" s="350"/>
      <c r="BF6213" s="350"/>
      <c r="BG6213" s="350"/>
      <c r="BH6213" s="350"/>
    </row>
    <row r="6214" spans="4:60">
      <c r="D6214" s="350"/>
      <c r="S6214" s="350"/>
      <c r="BF6214" s="350"/>
      <c r="BG6214" s="350"/>
      <c r="BH6214" s="350"/>
    </row>
    <row r="6215" spans="4:60">
      <c r="D6215" s="350"/>
      <c r="S6215" s="350"/>
      <c r="BF6215" s="350"/>
      <c r="BG6215" s="350"/>
      <c r="BH6215" s="350"/>
    </row>
    <row r="6216" spans="4:60">
      <c r="D6216" s="350"/>
      <c r="S6216" s="350"/>
      <c r="BF6216" s="350"/>
      <c r="BG6216" s="350"/>
      <c r="BH6216" s="350"/>
    </row>
    <row r="6217" spans="4:60">
      <c r="D6217" s="350"/>
      <c r="S6217" s="350"/>
      <c r="BF6217" s="350"/>
      <c r="BG6217" s="350"/>
      <c r="BH6217" s="350"/>
    </row>
    <row r="6218" spans="4:60">
      <c r="D6218" s="350"/>
      <c r="S6218" s="350"/>
      <c r="BF6218" s="350"/>
      <c r="BG6218" s="350"/>
      <c r="BH6218" s="350"/>
    </row>
    <row r="6219" spans="4:60">
      <c r="D6219" s="350"/>
      <c r="S6219" s="350"/>
      <c r="BF6219" s="350"/>
      <c r="BG6219" s="350"/>
      <c r="BH6219" s="350"/>
    </row>
    <row r="6220" spans="4:60">
      <c r="D6220" s="350"/>
      <c r="S6220" s="350"/>
      <c r="BF6220" s="350"/>
      <c r="BG6220" s="350"/>
      <c r="BH6220" s="350"/>
    </row>
    <row r="6221" spans="4:60">
      <c r="D6221" s="350"/>
      <c r="S6221" s="350"/>
      <c r="BF6221" s="350"/>
      <c r="BG6221" s="350"/>
      <c r="BH6221" s="350"/>
    </row>
    <row r="6222" spans="4:60">
      <c r="D6222" s="350"/>
      <c r="S6222" s="350"/>
      <c r="BF6222" s="350"/>
      <c r="BG6222" s="350"/>
      <c r="BH6222" s="350"/>
    </row>
    <row r="6223" spans="4:60">
      <c r="D6223" s="350"/>
      <c r="S6223" s="350"/>
      <c r="BF6223" s="350"/>
      <c r="BG6223" s="350"/>
      <c r="BH6223" s="350"/>
    </row>
    <row r="6224" spans="4:60">
      <c r="D6224" s="350"/>
      <c r="S6224" s="350"/>
      <c r="BF6224" s="350"/>
      <c r="BG6224" s="350"/>
      <c r="BH6224" s="350"/>
    </row>
    <row r="6225" spans="4:60">
      <c r="D6225" s="350"/>
      <c r="S6225" s="350"/>
      <c r="BF6225" s="350"/>
      <c r="BG6225" s="350"/>
      <c r="BH6225" s="350"/>
    </row>
    <row r="6226" spans="4:60">
      <c r="D6226" s="350"/>
      <c r="S6226" s="350"/>
      <c r="BF6226" s="350"/>
      <c r="BG6226" s="350"/>
      <c r="BH6226" s="350"/>
    </row>
    <row r="6227" spans="4:60">
      <c r="D6227" s="350"/>
      <c r="S6227" s="350"/>
      <c r="BF6227" s="350"/>
      <c r="BG6227" s="350"/>
      <c r="BH6227" s="350"/>
    </row>
    <row r="6228" spans="4:60">
      <c r="D6228" s="350"/>
      <c r="S6228" s="350"/>
      <c r="BF6228" s="350"/>
      <c r="BG6228" s="350"/>
      <c r="BH6228" s="350"/>
    </row>
    <row r="6229" spans="4:60">
      <c r="D6229" s="350"/>
      <c r="S6229" s="350"/>
      <c r="BF6229" s="350"/>
      <c r="BG6229" s="350"/>
      <c r="BH6229" s="350"/>
    </row>
    <row r="6230" spans="4:60">
      <c r="D6230" s="350"/>
      <c r="S6230" s="350"/>
      <c r="BF6230" s="350"/>
      <c r="BG6230" s="350"/>
      <c r="BH6230" s="350"/>
    </row>
    <row r="6231" spans="4:60">
      <c r="D6231" s="350"/>
      <c r="S6231" s="350"/>
      <c r="BF6231" s="350"/>
      <c r="BG6231" s="350"/>
      <c r="BH6231" s="350"/>
    </row>
    <row r="6232" spans="4:60">
      <c r="D6232" s="350"/>
      <c r="S6232" s="350"/>
      <c r="BF6232" s="350"/>
      <c r="BG6232" s="350"/>
      <c r="BH6232" s="350"/>
    </row>
    <row r="6233" spans="4:60">
      <c r="D6233" s="350"/>
      <c r="S6233" s="350"/>
      <c r="BF6233" s="350"/>
      <c r="BG6233" s="350"/>
      <c r="BH6233" s="350"/>
    </row>
    <row r="6234" spans="4:60">
      <c r="D6234" s="350"/>
      <c r="S6234" s="350"/>
      <c r="BF6234" s="350"/>
      <c r="BG6234" s="350"/>
      <c r="BH6234" s="350"/>
    </row>
    <row r="6235" spans="4:60">
      <c r="D6235" s="350"/>
      <c r="S6235" s="350"/>
      <c r="BF6235" s="350"/>
      <c r="BG6235" s="350"/>
      <c r="BH6235" s="350"/>
    </row>
    <row r="6236" spans="4:60">
      <c r="D6236" s="350"/>
      <c r="S6236" s="350"/>
      <c r="BF6236" s="350"/>
      <c r="BG6236" s="350"/>
      <c r="BH6236" s="350"/>
    </row>
    <row r="6237" spans="4:60">
      <c r="D6237" s="350"/>
      <c r="S6237" s="350"/>
      <c r="BF6237" s="350"/>
      <c r="BG6237" s="350"/>
      <c r="BH6237" s="350"/>
    </row>
    <row r="6238" spans="4:60">
      <c r="D6238" s="350"/>
      <c r="S6238" s="350"/>
      <c r="BF6238" s="350"/>
      <c r="BG6238" s="350"/>
      <c r="BH6238" s="350"/>
    </row>
    <row r="6239" spans="4:60">
      <c r="D6239" s="350"/>
      <c r="S6239" s="350"/>
      <c r="BF6239" s="350"/>
      <c r="BG6239" s="350"/>
      <c r="BH6239" s="350"/>
    </row>
    <row r="6240" spans="4:60">
      <c r="D6240" s="350"/>
      <c r="S6240" s="350"/>
      <c r="BF6240" s="350"/>
      <c r="BG6240" s="350"/>
      <c r="BH6240" s="350"/>
    </row>
    <row r="6241" spans="4:60">
      <c r="D6241" s="350"/>
      <c r="S6241" s="350"/>
      <c r="BF6241" s="350"/>
      <c r="BG6241" s="350"/>
      <c r="BH6241" s="350"/>
    </row>
    <row r="6242" spans="4:60">
      <c r="D6242" s="350"/>
      <c r="S6242" s="350"/>
      <c r="BF6242" s="350"/>
      <c r="BG6242" s="350"/>
      <c r="BH6242" s="350"/>
    </row>
    <row r="6243" spans="4:60">
      <c r="D6243" s="350"/>
      <c r="S6243" s="350"/>
      <c r="BF6243" s="350"/>
      <c r="BG6243" s="350"/>
      <c r="BH6243" s="350"/>
    </row>
    <row r="6244" spans="4:60">
      <c r="D6244" s="350"/>
      <c r="S6244" s="350"/>
      <c r="BF6244" s="350"/>
      <c r="BG6244" s="350"/>
      <c r="BH6244" s="350"/>
    </row>
    <row r="6245" spans="4:60">
      <c r="D6245" s="350"/>
      <c r="S6245" s="350"/>
      <c r="BF6245" s="350"/>
      <c r="BG6245" s="350"/>
      <c r="BH6245" s="350"/>
    </row>
    <row r="6246" spans="4:60">
      <c r="D6246" s="350"/>
      <c r="S6246" s="350"/>
      <c r="BF6246" s="350"/>
      <c r="BG6246" s="350"/>
      <c r="BH6246" s="350"/>
    </row>
    <row r="6247" spans="4:60">
      <c r="D6247" s="350"/>
      <c r="S6247" s="350"/>
      <c r="BF6247" s="350"/>
      <c r="BG6247" s="350"/>
      <c r="BH6247" s="350"/>
    </row>
    <row r="6248" spans="4:60">
      <c r="D6248" s="350"/>
      <c r="S6248" s="350"/>
      <c r="BF6248" s="350"/>
      <c r="BG6248" s="350"/>
      <c r="BH6248" s="350"/>
    </row>
    <row r="6249" spans="4:60">
      <c r="D6249" s="350"/>
      <c r="S6249" s="350"/>
      <c r="BF6249" s="350"/>
      <c r="BG6249" s="350"/>
      <c r="BH6249" s="350"/>
    </row>
    <row r="6250" spans="4:60">
      <c r="D6250" s="350"/>
      <c r="S6250" s="350"/>
      <c r="BF6250" s="350"/>
      <c r="BG6250" s="350"/>
      <c r="BH6250" s="350"/>
    </row>
    <row r="6251" spans="4:60">
      <c r="D6251" s="350"/>
      <c r="S6251" s="350"/>
      <c r="BF6251" s="350"/>
      <c r="BG6251" s="350"/>
      <c r="BH6251" s="350"/>
    </row>
    <row r="6252" spans="4:60">
      <c r="D6252" s="350"/>
      <c r="S6252" s="350"/>
      <c r="BF6252" s="350"/>
      <c r="BG6252" s="350"/>
      <c r="BH6252" s="350"/>
    </row>
    <row r="6253" spans="4:60">
      <c r="D6253" s="350"/>
      <c r="S6253" s="350"/>
      <c r="BF6253" s="350"/>
      <c r="BG6253" s="350"/>
      <c r="BH6253" s="350"/>
    </row>
    <row r="6254" spans="4:60">
      <c r="D6254" s="350"/>
      <c r="S6254" s="350"/>
      <c r="BF6254" s="350"/>
      <c r="BG6254" s="350"/>
      <c r="BH6254" s="350"/>
    </row>
    <row r="6255" spans="4:60">
      <c r="D6255" s="350"/>
      <c r="S6255" s="350"/>
      <c r="BF6255" s="350"/>
      <c r="BG6255" s="350"/>
      <c r="BH6255" s="350"/>
    </row>
    <row r="6256" spans="4:60">
      <c r="D6256" s="350"/>
      <c r="S6256" s="350"/>
      <c r="BF6256" s="350"/>
      <c r="BG6256" s="350"/>
      <c r="BH6256" s="350"/>
    </row>
    <row r="6257" spans="4:60">
      <c r="D6257" s="350"/>
      <c r="S6257" s="350"/>
      <c r="BF6257" s="350"/>
      <c r="BG6257" s="350"/>
      <c r="BH6257" s="350"/>
    </row>
    <row r="6258" spans="4:60">
      <c r="D6258" s="350"/>
      <c r="S6258" s="350"/>
      <c r="BF6258" s="350"/>
      <c r="BG6258" s="350"/>
      <c r="BH6258" s="350"/>
    </row>
    <row r="6259" spans="4:60">
      <c r="D6259" s="350"/>
      <c r="S6259" s="350"/>
      <c r="BF6259" s="350"/>
      <c r="BG6259" s="350"/>
      <c r="BH6259" s="350"/>
    </row>
    <row r="6260" spans="4:60">
      <c r="D6260" s="350"/>
      <c r="S6260" s="350"/>
      <c r="BF6260" s="350"/>
      <c r="BG6260" s="350"/>
      <c r="BH6260" s="350"/>
    </row>
    <row r="6261" spans="4:60">
      <c r="D6261" s="350"/>
      <c r="S6261" s="350"/>
      <c r="BF6261" s="350"/>
      <c r="BG6261" s="350"/>
      <c r="BH6261" s="350"/>
    </row>
    <row r="6262" spans="4:60">
      <c r="D6262" s="350"/>
      <c r="S6262" s="350"/>
      <c r="BF6262" s="350"/>
      <c r="BG6262" s="350"/>
      <c r="BH6262" s="350"/>
    </row>
    <row r="6263" spans="4:60">
      <c r="D6263" s="350"/>
      <c r="S6263" s="350"/>
      <c r="BF6263" s="350"/>
      <c r="BG6263" s="350"/>
      <c r="BH6263" s="350"/>
    </row>
    <row r="6264" spans="4:60">
      <c r="D6264" s="350"/>
      <c r="S6264" s="350"/>
      <c r="BF6264" s="350"/>
      <c r="BG6264" s="350"/>
      <c r="BH6264" s="350"/>
    </row>
    <row r="6265" spans="4:60">
      <c r="D6265" s="350"/>
      <c r="S6265" s="350"/>
      <c r="BF6265" s="350"/>
      <c r="BG6265" s="350"/>
      <c r="BH6265" s="350"/>
    </row>
    <row r="6266" spans="4:60">
      <c r="D6266" s="350"/>
      <c r="S6266" s="350"/>
      <c r="BF6266" s="350"/>
      <c r="BG6266" s="350"/>
      <c r="BH6266" s="350"/>
    </row>
    <row r="6267" spans="4:60">
      <c r="D6267" s="350"/>
      <c r="S6267" s="350"/>
      <c r="BF6267" s="350"/>
      <c r="BG6267" s="350"/>
      <c r="BH6267" s="350"/>
    </row>
    <row r="6268" spans="4:60">
      <c r="D6268" s="350"/>
      <c r="S6268" s="350"/>
      <c r="BF6268" s="350"/>
      <c r="BG6268" s="350"/>
      <c r="BH6268" s="350"/>
    </row>
    <row r="6269" spans="4:60">
      <c r="D6269" s="350"/>
      <c r="S6269" s="350"/>
      <c r="BF6269" s="350"/>
      <c r="BG6269" s="350"/>
      <c r="BH6269" s="350"/>
    </row>
    <row r="6270" spans="4:60">
      <c r="D6270" s="350"/>
      <c r="S6270" s="350"/>
      <c r="BF6270" s="350"/>
      <c r="BG6270" s="350"/>
      <c r="BH6270" s="350"/>
    </row>
    <row r="6271" spans="4:60">
      <c r="D6271" s="350"/>
      <c r="S6271" s="350"/>
      <c r="BF6271" s="350"/>
      <c r="BG6271" s="350"/>
      <c r="BH6271" s="350"/>
    </row>
    <row r="6272" spans="4:60">
      <c r="D6272" s="350"/>
      <c r="S6272" s="350"/>
      <c r="BF6272" s="350"/>
      <c r="BG6272" s="350"/>
      <c r="BH6272" s="350"/>
    </row>
    <row r="6273" spans="4:60">
      <c r="D6273" s="350"/>
      <c r="S6273" s="350"/>
      <c r="BF6273" s="350"/>
      <c r="BG6273" s="350"/>
      <c r="BH6273" s="350"/>
    </row>
    <row r="6274" spans="4:60">
      <c r="D6274" s="350"/>
      <c r="S6274" s="350"/>
      <c r="BF6274" s="350"/>
      <c r="BG6274" s="350"/>
      <c r="BH6274" s="350"/>
    </row>
    <row r="6275" spans="4:60">
      <c r="D6275" s="350"/>
      <c r="S6275" s="350"/>
      <c r="BF6275" s="350"/>
      <c r="BG6275" s="350"/>
      <c r="BH6275" s="350"/>
    </row>
    <row r="6276" spans="4:60">
      <c r="D6276" s="350"/>
      <c r="S6276" s="350"/>
      <c r="BF6276" s="350"/>
      <c r="BG6276" s="350"/>
      <c r="BH6276" s="350"/>
    </row>
    <row r="6277" spans="4:60">
      <c r="D6277" s="350"/>
      <c r="S6277" s="350"/>
      <c r="BF6277" s="350"/>
      <c r="BG6277" s="350"/>
      <c r="BH6277" s="350"/>
    </row>
    <row r="6278" spans="4:60">
      <c r="D6278" s="350"/>
      <c r="S6278" s="350"/>
      <c r="BF6278" s="350"/>
      <c r="BG6278" s="350"/>
      <c r="BH6278" s="350"/>
    </row>
    <row r="6279" spans="4:60">
      <c r="D6279" s="350"/>
      <c r="S6279" s="350"/>
      <c r="BF6279" s="350"/>
      <c r="BG6279" s="350"/>
      <c r="BH6279" s="350"/>
    </row>
    <row r="6280" spans="4:60">
      <c r="D6280" s="350"/>
      <c r="S6280" s="350"/>
      <c r="BF6280" s="350"/>
      <c r="BG6280" s="350"/>
      <c r="BH6280" s="350"/>
    </row>
    <row r="6281" spans="4:60">
      <c r="D6281" s="350"/>
      <c r="S6281" s="350"/>
      <c r="BF6281" s="350"/>
      <c r="BG6281" s="350"/>
      <c r="BH6281" s="350"/>
    </row>
    <row r="6282" spans="4:60">
      <c r="D6282" s="350"/>
      <c r="S6282" s="350"/>
      <c r="BF6282" s="350"/>
      <c r="BG6282" s="350"/>
      <c r="BH6282" s="350"/>
    </row>
    <row r="6283" spans="4:60">
      <c r="D6283" s="350"/>
      <c r="S6283" s="350"/>
      <c r="BF6283" s="350"/>
      <c r="BG6283" s="350"/>
      <c r="BH6283" s="350"/>
    </row>
    <row r="6284" spans="4:60">
      <c r="D6284" s="350"/>
      <c r="S6284" s="350"/>
      <c r="BF6284" s="350"/>
      <c r="BG6284" s="350"/>
      <c r="BH6284" s="350"/>
    </row>
    <row r="6285" spans="4:60">
      <c r="D6285" s="350"/>
      <c r="S6285" s="350"/>
      <c r="BF6285" s="350"/>
      <c r="BG6285" s="350"/>
      <c r="BH6285" s="350"/>
    </row>
    <row r="6286" spans="4:60">
      <c r="D6286" s="350"/>
      <c r="S6286" s="350"/>
      <c r="BF6286" s="350"/>
      <c r="BG6286" s="350"/>
      <c r="BH6286" s="350"/>
    </row>
    <row r="6287" spans="4:60">
      <c r="D6287" s="350"/>
      <c r="S6287" s="350"/>
      <c r="BF6287" s="350"/>
      <c r="BG6287" s="350"/>
      <c r="BH6287" s="350"/>
    </row>
    <row r="6288" spans="4:60">
      <c r="D6288" s="350"/>
      <c r="S6288" s="350"/>
      <c r="BF6288" s="350"/>
      <c r="BG6288" s="350"/>
      <c r="BH6288" s="350"/>
    </row>
    <row r="6289" spans="4:60">
      <c r="D6289" s="350"/>
      <c r="S6289" s="350"/>
      <c r="BF6289" s="350"/>
      <c r="BG6289" s="350"/>
      <c r="BH6289" s="350"/>
    </row>
    <row r="6290" spans="4:60">
      <c r="D6290" s="350"/>
      <c r="S6290" s="350"/>
      <c r="BF6290" s="350"/>
      <c r="BG6290" s="350"/>
      <c r="BH6290" s="350"/>
    </row>
    <row r="6291" spans="4:60">
      <c r="D6291" s="350"/>
      <c r="S6291" s="350"/>
      <c r="BF6291" s="350"/>
      <c r="BG6291" s="350"/>
      <c r="BH6291" s="350"/>
    </row>
    <row r="6292" spans="4:60">
      <c r="D6292" s="350"/>
      <c r="S6292" s="350"/>
      <c r="BF6292" s="350"/>
      <c r="BG6292" s="350"/>
      <c r="BH6292" s="350"/>
    </row>
    <row r="6293" spans="4:60">
      <c r="D6293" s="350"/>
      <c r="S6293" s="350"/>
      <c r="BF6293" s="350"/>
      <c r="BG6293" s="350"/>
      <c r="BH6293" s="350"/>
    </row>
    <row r="6294" spans="4:60">
      <c r="D6294" s="350"/>
      <c r="S6294" s="350"/>
      <c r="BF6294" s="350"/>
      <c r="BG6294" s="350"/>
      <c r="BH6294" s="350"/>
    </row>
    <row r="6295" spans="4:60">
      <c r="D6295" s="350"/>
      <c r="S6295" s="350"/>
      <c r="BF6295" s="350"/>
      <c r="BG6295" s="350"/>
      <c r="BH6295" s="350"/>
    </row>
    <row r="6296" spans="4:60">
      <c r="D6296" s="350"/>
      <c r="S6296" s="350"/>
      <c r="BF6296" s="350"/>
      <c r="BG6296" s="350"/>
      <c r="BH6296" s="350"/>
    </row>
    <row r="6297" spans="4:60">
      <c r="D6297" s="350"/>
      <c r="S6297" s="350"/>
      <c r="BF6297" s="350"/>
      <c r="BG6297" s="350"/>
      <c r="BH6297" s="350"/>
    </row>
    <row r="6298" spans="4:60">
      <c r="D6298" s="350"/>
      <c r="S6298" s="350"/>
      <c r="BF6298" s="350"/>
      <c r="BG6298" s="350"/>
      <c r="BH6298" s="350"/>
    </row>
    <row r="6299" spans="4:60">
      <c r="D6299" s="350"/>
      <c r="S6299" s="350"/>
      <c r="BF6299" s="350"/>
      <c r="BG6299" s="350"/>
      <c r="BH6299" s="350"/>
    </row>
    <row r="6300" spans="4:60">
      <c r="D6300" s="350"/>
      <c r="S6300" s="350"/>
      <c r="BF6300" s="350"/>
      <c r="BG6300" s="350"/>
      <c r="BH6300" s="350"/>
    </row>
    <row r="6301" spans="4:60">
      <c r="D6301" s="350"/>
      <c r="S6301" s="350"/>
      <c r="BF6301" s="350"/>
      <c r="BG6301" s="350"/>
      <c r="BH6301" s="350"/>
    </row>
    <row r="6302" spans="4:60">
      <c r="D6302" s="350"/>
      <c r="S6302" s="350"/>
      <c r="BF6302" s="350"/>
      <c r="BG6302" s="350"/>
      <c r="BH6302" s="350"/>
    </row>
    <row r="6303" spans="4:60">
      <c r="D6303" s="350"/>
      <c r="S6303" s="350"/>
      <c r="BF6303" s="350"/>
      <c r="BG6303" s="350"/>
      <c r="BH6303" s="350"/>
    </row>
    <row r="6304" spans="4:60">
      <c r="D6304" s="350"/>
      <c r="S6304" s="350"/>
      <c r="BF6304" s="350"/>
      <c r="BG6304" s="350"/>
      <c r="BH6304" s="350"/>
    </row>
    <row r="6305" spans="4:60">
      <c r="D6305" s="350"/>
      <c r="S6305" s="350"/>
      <c r="BF6305" s="350"/>
      <c r="BG6305" s="350"/>
      <c r="BH6305" s="350"/>
    </row>
    <row r="6306" spans="4:60">
      <c r="D6306" s="350"/>
      <c r="S6306" s="350"/>
      <c r="BF6306" s="350"/>
      <c r="BG6306" s="350"/>
      <c r="BH6306" s="350"/>
    </row>
    <row r="6307" spans="4:60">
      <c r="D6307" s="350"/>
      <c r="S6307" s="350"/>
      <c r="BF6307" s="350"/>
      <c r="BG6307" s="350"/>
      <c r="BH6307" s="350"/>
    </row>
    <row r="6308" spans="4:60">
      <c r="D6308" s="350"/>
      <c r="S6308" s="350"/>
      <c r="BF6308" s="350"/>
      <c r="BG6308" s="350"/>
      <c r="BH6308" s="350"/>
    </row>
    <row r="6309" spans="4:60">
      <c r="D6309" s="350"/>
      <c r="S6309" s="350"/>
      <c r="BF6309" s="350"/>
      <c r="BG6309" s="350"/>
      <c r="BH6309" s="350"/>
    </row>
    <row r="6310" spans="4:60">
      <c r="D6310" s="350"/>
      <c r="S6310" s="350"/>
      <c r="BF6310" s="350"/>
      <c r="BG6310" s="350"/>
      <c r="BH6310" s="350"/>
    </row>
    <row r="6311" spans="4:60">
      <c r="D6311" s="350"/>
      <c r="S6311" s="350"/>
      <c r="BF6311" s="350"/>
      <c r="BG6311" s="350"/>
      <c r="BH6311" s="350"/>
    </row>
    <row r="6312" spans="4:60">
      <c r="D6312" s="350"/>
      <c r="S6312" s="350"/>
      <c r="BF6312" s="350"/>
      <c r="BG6312" s="350"/>
      <c r="BH6312" s="350"/>
    </row>
    <row r="6313" spans="4:60">
      <c r="D6313" s="350"/>
      <c r="S6313" s="350"/>
      <c r="BF6313" s="350"/>
      <c r="BG6313" s="350"/>
      <c r="BH6313" s="350"/>
    </row>
    <row r="6314" spans="4:60">
      <c r="D6314" s="350"/>
      <c r="S6314" s="350"/>
      <c r="BF6314" s="350"/>
      <c r="BG6314" s="350"/>
      <c r="BH6314" s="350"/>
    </row>
    <row r="6315" spans="4:60">
      <c r="D6315" s="350"/>
      <c r="S6315" s="350"/>
      <c r="BF6315" s="350"/>
      <c r="BG6315" s="350"/>
      <c r="BH6315" s="350"/>
    </row>
    <row r="6316" spans="4:60">
      <c r="D6316" s="350"/>
      <c r="S6316" s="350"/>
      <c r="BF6316" s="350"/>
      <c r="BG6316" s="350"/>
      <c r="BH6316" s="350"/>
    </row>
    <row r="6317" spans="4:60">
      <c r="D6317" s="350"/>
      <c r="S6317" s="350"/>
      <c r="BF6317" s="350"/>
      <c r="BG6317" s="350"/>
      <c r="BH6317" s="350"/>
    </row>
    <row r="6318" spans="4:60">
      <c r="D6318" s="350"/>
      <c r="S6318" s="350"/>
      <c r="BF6318" s="350"/>
      <c r="BG6318" s="350"/>
      <c r="BH6318" s="350"/>
    </row>
    <row r="6319" spans="4:60">
      <c r="D6319" s="350"/>
      <c r="S6319" s="350"/>
      <c r="BF6319" s="350"/>
      <c r="BG6319" s="350"/>
      <c r="BH6319" s="350"/>
    </row>
    <row r="6320" spans="4:60">
      <c r="D6320" s="350"/>
      <c r="S6320" s="350"/>
      <c r="BF6320" s="350"/>
      <c r="BG6320" s="350"/>
      <c r="BH6320" s="350"/>
    </row>
    <row r="6321" spans="4:60">
      <c r="D6321" s="350"/>
      <c r="S6321" s="350"/>
      <c r="BF6321" s="350"/>
      <c r="BG6321" s="350"/>
      <c r="BH6321" s="350"/>
    </row>
    <row r="6322" spans="4:60">
      <c r="D6322" s="350"/>
      <c r="S6322" s="350"/>
      <c r="BF6322" s="350"/>
      <c r="BG6322" s="350"/>
      <c r="BH6322" s="350"/>
    </row>
    <row r="6323" spans="4:60">
      <c r="D6323" s="350"/>
      <c r="S6323" s="350"/>
      <c r="BF6323" s="350"/>
      <c r="BG6323" s="350"/>
      <c r="BH6323" s="350"/>
    </row>
    <row r="6324" spans="4:60">
      <c r="D6324" s="350"/>
      <c r="S6324" s="350"/>
      <c r="BF6324" s="350"/>
      <c r="BG6324" s="350"/>
      <c r="BH6324" s="350"/>
    </row>
    <row r="6325" spans="4:60">
      <c r="D6325" s="350"/>
      <c r="S6325" s="350"/>
      <c r="BF6325" s="350"/>
      <c r="BG6325" s="350"/>
      <c r="BH6325" s="350"/>
    </row>
    <row r="6326" spans="4:60">
      <c r="D6326" s="350"/>
      <c r="S6326" s="350"/>
      <c r="BF6326" s="350"/>
      <c r="BG6326" s="350"/>
      <c r="BH6326" s="350"/>
    </row>
    <row r="6327" spans="4:60">
      <c r="D6327" s="350"/>
      <c r="S6327" s="350"/>
      <c r="BF6327" s="350"/>
      <c r="BG6327" s="350"/>
      <c r="BH6327" s="350"/>
    </row>
    <row r="6328" spans="4:60">
      <c r="D6328" s="350"/>
      <c r="S6328" s="350"/>
      <c r="BF6328" s="350"/>
      <c r="BG6328" s="350"/>
      <c r="BH6328" s="350"/>
    </row>
    <row r="6329" spans="4:60">
      <c r="D6329" s="350"/>
      <c r="S6329" s="350"/>
      <c r="BF6329" s="350"/>
      <c r="BG6329" s="350"/>
      <c r="BH6329" s="350"/>
    </row>
    <row r="6330" spans="4:60">
      <c r="D6330" s="350"/>
      <c r="S6330" s="350"/>
      <c r="BF6330" s="350"/>
      <c r="BG6330" s="350"/>
      <c r="BH6330" s="350"/>
    </row>
    <row r="6331" spans="4:60">
      <c r="D6331" s="350"/>
      <c r="S6331" s="350"/>
      <c r="BF6331" s="350"/>
      <c r="BG6331" s="350"/>
      <c r="BH6331" s="350"/>
    </row>
    <row r="6332" spans="4:60">
      <c r="D6332" s="350"/>
      <c r="S6332" s="350"/>
      <c r="BF6332" s="350"/>
      <c r="BG6332" s="350"/>
      <c r="BH6332" s="350"/>
    </row>
    <row r="6333" spans="4:60">
      <c r="D6333" s="350"/>
      <c r="S6333" s="350"/>
      <c r="BF6333" s="350"/>
      <c r="BG6333" s="350"/>
      <c r="BH6333" s="350"/>
    </row>
    <row r="6334" spans="4:60">
      <c r="D6334" s="350"/>
      <c r="S6334" s="350"/>
      <c r="BF6334" s="350"/>
      <c r="BG6334" s="350"/>
      <c r="BH6334" s="350"/>
    </row>
    <row r="6335" spans="4:60">
      <c r="D6335" s="350"/>
      <c r="S6335" s="350"/>
      <c r="BF6335" s="350"/>
      <c r="BG6335" s="350"/>
      <c r="BH6335" s="350"/>
    </row>
    <row r="6336" spans="4:60">
      <c r="D6336" s="350"/>
      <c r="S6336" s="350"/>
      <c r="BF6336" s="350"/>
      <c r="BG6336" s="350"/>
      <c r="BH6336" s="350"/>
    </row>
    <row r="6337" spans="4:60">
      <c r="D6337" s="350"/>
      <c r="S6337" s="350"/>
      <c r="BF6337" s="350"/>
      <c r="BG6337" s="350"/>
      <c r="BH6337" s="350"/>
    </row>
    <row r="6338" spans="4:60">
      <c r="D6338" s="350"/>
      <c r="S6338" s="350"/>
      <c r="BF6338" s="350"/>
      <c r="BG6338" s="350"/>
      <c r="BH6338" s="350"/>
    </row>
    <row r="6339" spans="4:60">
      <c r="D6339" s="350"/>
      <c r="S6339" s="350"/>
      <c r="BF6339" s="350"/>
      <c r="BG6339" s="350"/>
      <c r="BH6339" s="350"/>
    </row>
    <row r="6340" spans="4:60">
      <c r="D6340" s="350"/>
      <c r="S6340" s="350"/>
      <c r="BF6340" s="350"/>
      <c r="BG6340" s="350"/>
      <c r="BH6340" s="350"/>
    </row>
    <row r="6341" spans="4:60">
      <c r="D6341" s="350"/>
      <c r="S6341" s="350"/>
      <c r="BF6341" s="350"/>
      <c r="BG6341" s="350"/>
      <c r="BH6341" s="350"/>
    </row>
    <row r="6342" spans="4:60">
      <c r="D6342" s="350"/>
      <c r="S6342" s="350"/>
      <c r="BF6342" s="350"/>
      <c r="BG6342" s="350"/>
      <c r="BH6342" s="350"/>
    </row>
    <row r="6343" spans="4:60">
      <c r="D6343" s="350"/>
      <c r="S6343" s="350"/>
      <c r="BF6343" s="350"/>
      <c r="BG6343" s="350"/>
      <c r="BH6343" s="350"/>
    </row>
    <row r="6344" spans="4:60">
      <c r="D6344" s="350"/>
      <c r="S6344" s="350"/>
      <c r="BF6344" s="350"/>
      <c r="BG6344" s="350"/>
      <c r="BH6344" s="350"/>
    </row>
    <row r="6345" spans="4:60">
      <c r="D6345" s="350"/>
      <c r="S6345" s="350"/>
      <c r="BF6345" s="350"/>
      <c r="BG6345" s="350"/>
      <c r="BH6345" s="350"/>
    </row>
    <row r="6346" spans="4:60">
      <c r="D6346" s="350"/>
      <c r="S6346" s="350"/>
      <c r="BF6346" s="350"/>
      <c r="BG6346" s="350"/>
      <c r="BH6346" s="350"/>
    </row>
    <row r="6347" spans="4:60">
      <c r="D6347" s="350"/>
      <c r="S6347" s="350"/>
      <c r="BF6347" s="350"/>
      <c r="BG6347" s="350"/>
      <c r="BH6347" s="350"/>
    </row>
    <row r="6348" spans="4:60">
      <c r="D6348" s="350"/>
      <c r="S6348" s="350"/>
      <c r="BF6348" s="350"/>
      <c r="BG6348" s="350"/>
      <c r="BH6348" s="350"/>
    </row>
    <row r="6349" spans="4:60">
      <c r="D6349" s="350"/>
      <c r="S6349" s="350"/>
      <c r="BF6349" s="350"/>
      <c r="BG6349" s="350"/>
      <c r="BH6349" s="350"/>
    </row>
    <row r="6350" spans="4:60">
      <c r="D6350" s="350"/>
      <c r="S6350" s="350"/>
      <c r="BF6350" s="350"/>
      <c r="BG6350" s="350"/>
      <c r="BH6350" s="350"/>
    </row>
    <row r="6351" spans="4:60">
      <c r="D6351" s="350"/>
      <c r="S6351" s="350"/>
      <c r="BF6351" s="350"/>
      <c r="BG6351" s="350"/>
      <c r="BH6351" s="350"/>
    </row>
    <row r="6352" spans="4:60">
      <c r="D6352" s="350"/>
      <c r="S6352" s="350"/>
      <c r="BF6352" s="350"/>
      <c r="BG6352" s="350"/>
      <c r="BH6352" s="350"/>
    </row>
    <row r="6353" spans="4:60">
      <c r="D6353" s="350"/>
      <c r="S6353" s="350"/>
      <c r="BF6353" s="350"/>
      <c r="BG6353" s="350"/>
      <c r="BH6353" s="350"/>
    </row>
    <row r="6354" spans="4:60">
      <c r="D6354" s="350"/>
      <c r="S6354" s="350"/>
      <c r="BF6354" s="350"/>
      <c r="BG6354" s="350"/>
      <c r="BH6354" s="350"/>
    </row>
    <row r="6355" spans="4:60">
      <c r="D6355" s="350"/>
      <c r="S6355" s="350"/>
      <c r="BF6355" s="350"/>
      <c r="BG6355" s="350"/>
      <c r="BH6355" s="350"/>
    </row>
    <row r="6356" spans="4:60">
      <c r="D6356" s="350"/>
      <c r="S6356" s="350"/>
      <c r="BF6356" s="350"/>
      <c r="BG6356" s="350"/>
      <c r="BH6356" s="350"/>
    </row>
    <row r="6357" spans="4:60">
      <c r="D6357" s="350"/>
      <c r="S6357" s="350"/>
      <c r="BF6357" s="350"/>
      <c r="BG6357" s="350"/>
      <c r="BH6357" s="350"/>
    </row>
    <row r="6358" spans="4:60">
      <c r="D6358" s="350"/>
      <c r="S6358" s="350"/>
      <c r="BF6358" s="350"/>
      <c r="BG6358" s="350"/>
      <c r="BH6358" s="350"/>
    </row>
    <row r="6359" spans="4:60">
      <c r="D6359" s="350"/>
      <c r="S6359" s="350"/>
      <c r="BF6359" s="350"/>
      <c r="BG6359" s="350"/>
      <c r="BH6359" s="350"/>
    </row>
    <row r="6360" spans="4:60">
      <c r="D6360" s="350"/>
      <c r="S6360" s="350"/>
      <c r="BF6360" s="350"/>
      <c r="BG6360" s="350"/>
      <c r="BH6360" s="350"/>
    </row>
    <row r="6361" spans="4:60">
      <c r="D6361" s="350"/>
      <c r="S6361" s="350"/>
      <c r="BF6361" s="350"/>
      <c r="BG6361" s="350"/>
      <c r="BH6361" s="350"/>
    </row>
    <row r="6362" spans="4:60">
      <c r="D6362" s="350"/>
      <c r="S6362" s="350"/>
      <c r="BF6362" s="350"/>
      <c r="BG6362" s="350"/>
      <c r="BH6362" s="350"/>
    </row>
    <row r="6363" spans="4:60">
      <c r="D6363" s="350"/>
      <c r="S6363" s="350"/>
      <c r="BF6363" s="350"/>
      <c r="BG6363" s="350"/>
      <c r="BH6363" s="350"/>
    </row>
    <row r="6364" spans="4:60">
      <c r="D6364" s="350"/>
      <c r="S6364" s="350"/>
      <c r="BF6364" s="350"/>
      <c r="BG6364" s="350"/>
      <c r="BH6364" s="350"/>
    </row>
    <row r="6365" spans="4:60">
      <c r="D6365" s="350"/>
      <c r="S6365" s="350"/>
      <c r="BF6365" s="350"/>
      <c r="BG6365" s="350"/>
      <c r="BH6365" s="350"/>
    </row>
    <row r="6366" spans="4:60">
      <c r="D6366" s="350"/>
      <c r="S6366" s="350"/>
      <c r="BF6366" s="350"/>
      <c r="BG6366" s="350"/>
      <c r="BH6366" s="350"/>
    </row>
    <row r="6367" spans="4:60">
      <c r="D6367" s="350"/>
      <c r="S6367" s="350"/>
      <c r="BF6367" s="350"/>
      <c r="BG6367" s="350"/>
      <c r="BH6367" s="350"/>
    </row>
    <row r="6368" spans="4:60">
      <c r="D6368" s="350"/>
      <c r="S6368" s="350"/>
      <c r="BF6368" s="350"/>
      <c r="BG6368" s="350"/>
      <c r="BH6368" s="350"/>
    </row>
    <row r="6369" spans="4:60">
      <c r="D6369" s="350"/>
      <c r="S6369" s="350"/>
      <c r="BF6369" s="350"/>
      <c r="BG6369" s="350"/>
      <c r="BH6369" s="350"/>
    </row>
    <row r="6370" spans="4:60">
      <c r="D6370" s="350"/>
      <c r="S6370" s="350"/>
      <c r="BF6370" s="350"/>
      <c r="BG6370" s="350"/>
      <c r="BH6370" s="350"/>
    </row>
    <row r="6371" spans="4:60">
      <c r="D6371" s="350"/>
      <c r="S6371" s="350"/>
      <c r="BF6371" s="350"/>
      <c r="BG6371" s="350"/>
      <c r="BH6371" s="350"/>
    </row>
    <row r="6372" spans="4:60">
      <c r="D6372" s="350"/>
      <c r="S6372" s="350"/>
      <c r="BF6372" s="350"/>
      <c r="BG6372" s="350"/>
      <c r="BH6372" s="350"/>
    </row>
    <row r="6373" spans="4:60">
      <c r="D6373" s="350"/>
      <c r="S6373" s="350"/>
      <c r="BF6373" s="350"/>
      <c r="BG6373" s="350"/>
      <c r="BH6373" s="350"/>
    </row>
    <row r="6374" spans="4:60">
      <c r="D6374" s="350"/>
      <c r="S6374" s="350"/>
      <c r="BF6374" s="350"/>
      <c r="BG6374" s="350"/>
      <c r="BH6374" s="350"/>
    </row>
    <row r="6375" spans="4:60">
      <c r="D6375" s="350"/>
      <c r="S6375" s="350"/>
      <c r="BF6375" s="350"/>
      <c r="BG6375" s="350"/>
      <c r="BH6375" s="350"/>
    </row>
    <row r="6376" spans="4:60">
      <c r="D6376" s="350"/>
      <c r="S6376" s="350"/>
      <c r="BF6376" s="350"/>
      <c r="BG6376" s="350"/>
      <c r="BH6376" s="350"/>
    </row>
    <row r="6377" spans="4:60">
      <c r="D6377" s="350"/>
      <c r="S6377" s="350"/>
      <c r="BF6377" s="350"/>
      <c r="BG6377" s="350"/>
      <c r="BH6377" s="350"/>
    </row>
    <row r="6378" spans="4:60">
      <c r="D6378" s="350"/>
      <c r="S6378" s="350"/>
      <c r="BF6378" s="350"/>
      <c r="BG6378" s="350"/>
      <c r="BH6378" s="350"/>
    </row>
    <row r="6379" spans="4:60">
      <c r="D6379" s="350"/>
      <c r="S6379" s="350"/>
      <c r="BF6379" s="350"/>
      <c r="BG6379" s="350"/>
      <c r="BH6379" s="350"/>
    </row>
    <row r="6380" spans="4:60">
      <c r="D6380" s="350"/>
      <c r="S6380" s="350"/>
      <c r="BF6380" s="350"/>
      <c r="BG6380" s="350"/>
      <c r="BH6380" s="350"/>
    </row>
    <row r="6381" spans="4:60">
      <c r="D6381" s="350"/>
      <c r="S6381" s="350"/>
      <c r="BF6381" s="350"/>
      <c r="BG6381" s="350"/>
      <c r="BH6381" s="350"/>
    </row>
    <row r="6382" spans="4:60">
      <c r="D6382" s="350"/>
      <c r="S6382" s="350"/>
      <c r="BF6382" s="350"/>
      <c r="BG6382" s="350"/>
      <c r="BH6382" s="350"/>
    </row>
    <row r="6383" spans="4:60">
      <c r="D6383" s="350"/>
      <c r="S6383" s="350"/>
      <c r="BF6383" s="350"/>
      <c r="BG6383" s="350"/>
      <c r="BH6383" s="350"/>
    </row>
    <row r="6384" spans="4:60">
      <c r="D6384" s="350"/>
      <c r="S6384" s="350"/>
      <c r="BF6384" s="350"/>
      <c r="BG6384" s="350"/>
      <c r="BH6384" s="350"/>
    </row>
    <row r="6385" spans="4:60">
      <c r="D6385" s="350"/>
      <c r="S6385" s="350"/>
      <c r="BF6385" s="350"/>
      <c r="BG6385" s="350"/>
      <c r="BH6385" s="350"/>
    </row>
    <row r="6386" spans="4:60">
      <c r="D6386" s="350"/>
      <c r="S6386" s="350"/>
      <c r="BF6386" s="350"/>
      <c r="BG6386" s="350"/>
      <c r="BH6386" s="350"/>
    </row>
    <row r="6387" spans="4:60">
      <c r="D6387" s="350"/>
      <c r="S6387" s="350"/>
      <c r="BF6387" s="350"/>
      <c r="BG6387" s="350"/>
      <c r="BH6387" s="350"/>
    </row>
    <row r="6388" spans="4:60">
      <c r="D6388" s="350"/>
      <c r="S6388" s="350"/>
      <c r="BF6388" s="350"/>
      <c r="BG6388" s="350"/>
      <c r="BH6388" s="350"/>
    </row>
    <row r="6389" spans="4:60">
      <c r="D6389" s="350"/>
      <c r="S6389" s="350"/>
      <c r="BF6389" s="350"/>
      <c r="BG6389" s="350"/>
      <c r="BH6389" s="350"/>
    </row>
    <row r="6390" spans="4:60">
      <c r="D6390" s="350"/>
      <c r="S6390" s="350"/>
      <c r="BF6390" s="350"/>
      <c r="BG6390" s="350"/>
      <c r="BH6390" s="350"/>
    </row>
    <row r="6391" spans="4:60">
      <c r="D6391" s="350"/>
      <c r="S6391" s="350"/>
      <c r="BF6391" s="350"/>
      <c r="BG6391" s="350"/>
      <c r="BH6391" s="350"/>
    </row>
    <row r="6392" spans="4:60">
      <c r="D6392" s="350"/>
      <c r="S6392" s="350"/>
      <c r="BF6392" s="350"/>
      <c r="BG6392" s="350"/>
      <c r="BH6392" s="350"/>
    </row>
    <row r="6393" spans="4:60">
      <c r="D6393" s="350"/>
      <c r="S6393" s="350"/>
      <c r="BF6393" s="350"/>
      <c r="BG6393" s="350"/>
      <c r="BH6393" s="350"/>
    </row>
    <row r="6394" spans="4:60">
      <c r="D6394" s="350"/>
      <c r="S6394" s="350"/>
      <c r="BF6394" s="350"/>
      <c r="BG6394" s="350"/>
      <c r="BH6394" s="350"/>
    </row>
    <row r="6395" spans="4:60">
      <c r="D6395" s="350"/>
      <c r="S6395" s="350"/>
      <c r="BF6395" s="350"/>
      <c r="BG6395" s="350"/>
      <c r="BH6395" s="350"/>
    </row>
    <row r="6396" spans="4:60">
      <c r="D6396" s="350"/>
      <c r="S6396" s="350"/>
      <c r="BF6396" s="350"/>
      <c r="BG6396" s="350"/>
      <c r="BH6396" s="350"/>
    </row>
    <row r="6397" spans="4:60">
      <c r="D6397" s="350"/>
      <c r="S6397" s="350"/>
      <c r="BF6397" s="350"/>
      <c r="BG6397" s="350"/>
      <c r="BH6397" s="350"/>
    </row>
    <row r="6398" spans="4:60">
      <c r="D6398" s="350"/>
      <c r="S6398" s="350"/>
      <c r="BF6398" s="350"/>
      <c r="BG6398" s="350"/>
      <c r="BH6398" s="350"/>
    </row>
    <row r="6399" spans="4:60">
      <c r="D6399" s="350"/>
      <c r="S6399" s="350"/>
      <c r="BF6399" s="350"/>
      <c r="BG6399" s="350"/>
      <c r="BH6399" s="350"/>
    </row>
    <row r="6400" spans="4:60">
      <c r="D6400" s="350"/>
      <c r="S6400" s="350"/>
      <c r="BF6400" s="350"/>
      <c r="BG6400" s="350"/>
      <c r="BH6400" s="350"/>
    </row>
    <row r="6401" spans="4:60">
      <c r="D6401" s="350"/>
      <c r="S6401" s="350"/>
      <c r="BF6401" s="350"/>
      <c r="BG6401" s="350"/>
      <c r="BH6401" s="350"/>
    </row>
    <row r="6402" spans="4:60">
      <c r="D6402" s="350"/>
      <c r="S6402" s="350"/>
      <c r="BF6402" s="350"/>
      <c r="BG6402" s="350"/>
      <c r="BH6402" s="350"/>
    </row>
    <row r="6403" spans="4:60">
      <c r="D6403" s="350"/>
      <c r="S6403" s="350"/>
      <c r="BF6403" s="350"/>
      <c r="BG6403" s="350"/>
      <c r="BH6403" s="350"/>
    </row>
    <row r="6404" spans="4:60">
      <c r="D6404" s="350"/>
      <c r="S6404" s="350"/>
      <c r="BF6404" s="350"/>
      <c r="BG6404" s="350"/>
      <c r="BH6404" s="350"/>
    </row>
    <row r="6405" spans="4:60">
      <c r="D6405" s="350"/>
      <c r="S6405" s="350"/>
      <c r="BF6405" s="350"/>
      <c r="BG6405" s="350"/>
      <c r="BH6405" s="350"/>
    </row>
    <row r="6406" spans="4:60">
      <c r="D6406" s="350"/>
      <c r="S6406" s="350"/>
      <c r="BF6406" s="350"/>
      <c r="BG6406" s="350"/>
      <c r="BH6406" s="350"/>
    </row>
    <row r="6407" spans="4:60">
      <c r="D6407" s="350"/>
      <c r="S6407" s="350"/>
      <c r="BF6407" s="350"/>
      <c r="BG6407" s="350"/>
      <c r="BH6407" s="350"/>
    </row>
    <row r="6408" spans="4:60">
      <c r="D6408" s="350"/>
      <c r="S6408" s="350"/>
      <c r="BF6408" s="350"/>
      <c r="BG6408" s="350"/>
      <c r="BH6408" s="350"/>
    </row>
    <row r="6409" spans="4:60">
      <c r="D6409" s="350"/>
      <c r="S6409" s="350"/>
      <c r="BF6409" s="350"/>
      <c r="BG6409" s="350"/>
      <c r="BH6409" s="350"/>
    </row>
    <row r="6410" spans="4:60">
      <c r="D6410" s="350"/>
      <c r="S6410" s="350"/>
      <c r="BF6410" s="350"/>
      <c r="BG6410" s="350"/>
      <c r="BH6410" s="350"/>
    </row>
    <row r="6411" spans="4:60">
      <c r="D6411" s="350"/>
      <c r="S6411" s="350"/>
      <c r="BF6411" s="350"/>
      <c r="BG6411" s="350"/>
      <c r="BH6411" s="350"/>
    </row>
    <row r="6412" spans="4:60">
      <c r="D6412" s="350"/>
      <c r="S6412" s="350"/>
      <c r="BF6412" s="350"/>
      <c r="BG6412" s="350"/>
      <c r="BH6412" s="350"/>
    </row>
    <row r="6413" spans="4:60">
      <c r="D6413" s="350"/>
      <c r="S6413" s="350"/>
      <c r="BF6413" s="350"/>
      <c r="BG6413" s="350"/>
      <c r="BH6413" s="350"/>
    </row>
    <row r="6414" spans="4:60">
      <c r="D6414" s="350"/>
      <c r="S6414" s="350"/>
      <c r="BF6414" s="350"/>
      <c r="BG6414" s="350"/>
      <c r="BH6414" s="350"/>
    </row>
    <row r="6415" spans="4:60">
      <c r="D6415" s="350"/>
      <c r="S6415" s="350"/>
      <c r="BF6415" s="350"/>
      <c r="BG6415" s="350"/>
      <c r="BH6415" s="350"/>
    </row>
    <row r="6416" spans="4:60">
      <c r="D6416" s="350"/>
      <c r="S6416" s="350"/>
      <c r="BF6416" s="350"/>
      <c r="BG6416" s="350"/>
      <c r="BH6416" s="350"/>
    </row>
    <row r="6417" spans="4:60">
      <c r="D6417" s="350"/>
      <c r="S6417" s="350"/>
      <c r="BF6417" s="350"/>
      <c r="BG6417" s="350"/>
      <c r="BH6417" s="350"/>
    </row>
    <row r="6418" spans="4:60">
      <c r="D6418" s="350"/>
      <c r="S6418" s="350"/>
      <c r="BF6418" s="350"/>
      <c r="BG6418" s="350"/>
      <c r="BH6418" s="350"/>
    </row>
    <row r="6419" spans="4:60">
      <c r="D6419" s="350"/>
      <c r="S6419" s="350"/>
      <c r="BF6419" s="350"/>
      <c r="BG6419" s="350"/>
      <c r="BH6419" s="350"/>
    </row>
    <row r="6420" spans="4:60">
      <c r="D6420" s="350"/>
      <c r="S6420" s="350"/>
      <c r="BF6420" s="350"/>
      <c r="BG6420" s="350"/>
      <c r="BH6420" s="350"/>
    </row>
    <row r="6421" spans="4:60">
      <c r="D6421" s="350"/>
      <c r="S6421" s="350"/>
      <c r="BF6421" s="350"/>
      <c r="BG6421" s="350"/>
      <c r="BH6421" s="350"/>
    </row>
    <row r="6422" spans="4:60">
      <c r="D6422" s="350"/>
      <c r="S6422" s="350"/>
      <c r="BF6422" s="350"/>
      <c r="BG6422" s="350"/>
      <c r="BH6422" s="350"/>
    </row>
    <row r="6423" spans="4:60">
      <c r="D6423" s="350"/>
      <c r="S6423" s="350"/>
      <c r="BF6423" s="350"/>
      <c r="BG6423" s="350"/>
      <c r="BH6423" s="350"/>
    </row>
    <row r="6424" spans="4:60">
      <c r="D6424" s="350"/>
      <c r="S6424" s="350"/>
      <c r="BF6424" s="350"/>
      <c r="BG6424" s="350"/>
      <c r="BH6424" s="350"/>
    </row>
    <row r="6425" spans="4:60">
      <c r="D6425" s="350"/>
      <c r="S6425" s="350"/>
      <c r="BF6425" s="350"/>
      <c r="BG6425" s="350"/>
      <c r="BH6425" s="350"/>
    </row>
    <row r="6426" spans="4:60">
      <c r="D6426" s="350"/>
      <c r="S6426" s="350"/>
      <c r="BF6426" s="350"/>
      <c r="BG6426" s="350"/>
      <c r="BH6426" s="350"/>
    </row>
    <row r="6427" spans="4:60">
      <c r="D6427" s="350"/>
      <c r="S6427" s="350"/>
      <c r="BF6427" s="350"/>
      <c r="BG6427" s="350"/>
      <c r="BH6427" s="350"/>
    </row>
    <row r="6428" spans="4:60">
      <c r="D6428" s="350"/>
      <c r="S6428" s="350"/>
      <c r="BF6428" s="350"/>
      <c r="BG6428" s="350"/>
      <c r="BH6428" s="350"/>
    </row>
    <row r="6429" spans="4:60">
      <c r="D6429" s="350"/>
      <c r="S6429" s="350"/>
      <c r="BF6429" s="350"/>
      <c r="BG6429" s="350"/>
      <c r="BH6429" s="350"/>
    </row>
    <row r="6430" spans="4:60">
      <c r="D6430" s="350"/>
      <c r="S6430" s="350"/>
      <c r="BF6430" s="350"/>
      <c r="BG6430" s="350"/>
      <c r="BH6430" s="350"/>
    </row>
    <row r="6431" spans="4:60">
      <c r="D6431" s="350"/>
      <c r="S6431" s="350"/>
      <c r="BF6431" s="350"/>
      <c r="BG6431" s="350"/>
      <c r="BH6431" s="350"/>
    </row>
    <row r="6432" spans="4:60">
      <c r="D6432" s="350"/>
      <c r="S6432" s="350"/>
      <c r="BF6432" s="350"/>
      <c r="BG6432" s="350"/>
      <c r="BH6432" s="350"/>
    </row>
    <row r="6433" spans="4:60">
      <c r="D6433" s="350"/>
      <c r="S6433" s="350"/>
      <c r="BF6433" s="350"/>
      <c r="BG6433" s="350"/>
      <c r="BH6433" s="350"/>
    </row>
    <row r="6434" spans="4:60">
      <c r="D6434" s="350"/>
      <c r="S6434" s="350"/>
      <c r="BF6434" s="350"/>
      <c r="BG6434" s="350"/>
      <c r="BH6434" s="350"/>
    </row>
    <row r="6435" spans="4:60">
      <c r="D6435" s="350"/>
      <c r="S6435" s="350"/>
      <c r="BF6435" s="350"/>
      <c r="BG6435" s="350"/>
      <c r="BH6435" s="350"/>
    </row>
    <row r="6436" spans="4:60">
      <c r="D6436" s="350"/>
      <c r="S6436" s="350"/>
      <c r="BF6436" s="350"/>
      <c r="BG6436" s="350"/>
      <c r="BH6436" s="350"/>
    </row>
    <row r="6437" spans="4:60">
      <c r="D6437" s="350"/>
      <c r="S6437" s="350"/>
      <c r="BF6437" s="350"/>
      <c r="BG6437" s="350"/>
      <c r="BH6437" s="350"/>
    </row>
    <row r="6438" spans="4:60">
      <c r="D6438" s="350"/>
      <c r="S6438" s="350"/>
      <c r="BF6438" s="350"/>
      <c r="BG6438" s="350"/>
      <c r="BH6438" s="350"/>
    </row>
    <row r="6439" spans="4:60">
      <c r="D6439" s="350"/>
      <c r="S6439" s="350"/>
      <c r="BF6439" s="350"/>
      <c r="BG6439" s="350"/>
      <c r="BH6439" s="350"/>
    </row>
    <row r="6440" spans="4:60">
      <c r="D6440" s="350"/>
      <c r="S6440" s="350"/>
      <c r="BF6440" s="350"/>
      <c r="BG6440" s="350"/>
      <c r="BH6440" s="350"/>
    </row>
    <row r="6441" spans="4:60">
      <c r="D6441" s="350"/>
      <c r="S6441" s="350"/>
      <c r="BF6441" s="350"/>
      <c r="BG6441" s="350"/>
      <c r="BH6441" s="350"/>
    </row>
    <row r="6442" spans="4:60">
      <c r="D6442" s="350"/>
      <c r="S6442" s="350"/>
      <c r="BF6442" s="350"/>
      <c r="BG6442" s="350"/>
      <c r="BH6442" s="350"/>
    </row>
    <row r="6443" spans="4:60">
      <c r="D6443" s="350"/>
      <c r="S6443" s="350"/>
      <c r="BF6443" s="350"/>
      <c r="BG6443" s="350"/>
      <c r="BH6443" s="350"/>
    </row>
    <row r="6444" spans="4:60">
      <c r="D6444" s="350"/>
      <c r="S6444" s="350"/>
      <c r="BF6444" s="350"/>
      <c r="BG6444" s="350"/>
      <c r="BH6444" s="350"/>
    </row>
    <row r="6445" spans="4:60">
      <c r="D6445" s="350"/>
      <c r="S6445" s="350"/>
      <c r="BF6445" s="350"/>
      <c r="BG6445" s="350"/>
      <c r="BH6445" s="350"/>
    </row>
    <row r="6446" spans="4:60">
      <c r="D6446" s="350"/>
      <c r="S6446" s="350"/>
      <c r="BF6446" s="350"/>
      <c r="BG6446" s="350"/>
      <c r="BH6446" s="350"/>
    </row>
    <row r="6447" spans="4:60">
      <c r="D6447" s="350"/>
      <c r="S6447" s="350"/>
      <c r="BF6447" s="350"/>
      <c r="BG6447" s="350"/>
      <c r="BH6447" s="350"/>
    </row>
    <row r="6448" spans="4:60">
      <c r="D6448" s="350"/>
      <c r="S6448" s="350"/>
      <c r="BF6448" s="350"/>
      <c r="BG6448" s="350"/>
      <c r="BH6448" s="350"/>
    </row>
    <row r="6449" spans="4:60">
      <c r="D6449" s="350"/>
      <c r="S6449" s="350"/>
      <c r="BF6449" s="350"/>
      <c r="BG6449" s="350"/>
      <c r="BH6449" s="350"/>
    </row>
    <row r="6450" spans="4:60">
      <c r="D6450" s="350"/>
      <c r="S6450" s="350"/>
      <c r="BF6450" s="350"/>
      <c r="BG6450" s="350"/>
      <c r="BH6450" s="350"/>
    </row>
    <row r="6451" spans="4:60">
      <c r="D6451" s="350"/>
      <c r="S6451" s="350"/>
      <c r="BF6451" s="350"/>
      <c r="BG6451" s="350"/>
      <c r="BH6451" s="350"/>
    </row>
    <row r="6452" spans="4:60">
      <c r="D6452" s="350"/>
      <c r="S6452" s="350"/>
      <c r="BF6452" s="350"/>
      <c r="BG6452" s="350"/>
      <c r="BH6452" s="350"/>
    </row>
    <row r="6453" spans="4:60">
      <c r="D6453" s="350"/>
      <c r="S6453" s="350"/>
      <c r="BF6453" s="350"/>
      <c r="BG6453" s="350"/>
      <c r="BH6453" s="350"/>
    </row>
    <row r="6454" spans="4:60">
      <c r="D6454" s="350"/>
      <c r="S6454" s="350"/>
      <c r="BF6454" s="350"/>
      <c r="BG6454" s="350"/>
      <c r="BH6454" s="350"/>
    </row>
    <row r="6455" spans="4:60">
      <c r="D6455" s="350"/>
      <c r="S6455" s="350"/>
      <c r="BF6455" s="350"/>
      <c r="BG6455" s="350"/>
      <c r="BH6455" s="350"/>
    </row>
    <row r="6456" spans="4:60">
      <c r="D6456" s="350"/>
      <c r="S6456" s="350"/>
      <c r="BF6456" s="350"/>
      <c r="BG6456" s="350"/>
      <c r="BH6456" s="350"/>
    </row>
    <row r="6457" spans="4:60">
      <c r="D6457" s="350"/>
      <c r="S6457" s="350"/>
      <c r="BF6457" s="350"/>
      <c r="BG6457" s="350"/>
      <c r="BH6457" s="350"/>
    </row>
    <row r="6458" spans="4:60">
      <c r="D6458" s="350"/>
      <c r="S6458" s="350"/>
      <c r="BF6458" s="350"/>
      <c r="BG6458" s="350"/>
      <c r="BH6458" s="350"/>
    </row>
    <row r="6459" spans="4:60">
      <c r="D6459" s="350"/>
      <c r="S6459" s="350"/>
      <c r="BF6459" s="350"/>
      <c r="BG6459" s="350"/>
      <c r="BH6459" s="350"/>
    </row>
    <row r="6460" spans="4:60">
      <c r="D6460" s="350"/>
      <c r="S6460" s="350"/>
      <c r="BF6460" s="350"/>
      <c r="BG6460" s="350"/>
      <c r="BH6460" s="350"/>
    </row>
    <row r="6461" spans="4:60">
      <c r="D6461" s="350"/>
      <c r="S6461" s="350"/>
      <c r="BF6461" s="350"/>
      <c r="BG6461" s="350"/>
      <c r="BH6461" s="350"/>
    </row>
    <row r="6462" spans="4:60">
      <c r="D6462" s="350"/>
      <c r="S6462" s="350"/>
      <c r="BF6462" s="350"/>
      <c r="BG6462" s="350"/>
      <c r="BH6462" s="350"/>
    </row>
    <row r="6463" spans="4:60">
      <c r="D6463" s="350"/>
      <c r="S6463" s="350"/>
      <c r="BF6463" s="350"/>
      <c r="BG6463" s="350"/>
      <c r="BH6463" s="350"/>
    </row>
    <row r="6464" spans="4:60">
      <c r="D6464" s="350"/>
      <c r="S6464" s="350"/>
      <c r="BF6464" s="350"/>
      <c r="BG6464" s="350"/>
      <c r="BH6464" s="350"/>
    </row>
    <row r="6467" spans="4:60">
      <c r="D6467" s="350"/>
      <c r="S6467" s="350"/>
      <c r="BF6467" s="350"/>
      <c r="BG6467" s="350"/>
      <c r="BH6467" s="350"/>
    </row>
    <row r="6468" spans="4:60">
      <c r="D6468" s="350"/>
      <c r="S6468" s="350"/>
      <c r="BF6468" s="350"/>
      <c r="BG6468" s="350"/>
      <c r="BH6468" s="350"/>
    </row>
    <row r="6473" spans="4:60">
      <c r="D6473" s="350"/>
      <c r="S6473" s="350"/>
      <c r="BF6473" s="350"/>
      <c r="BG6473" s="350"/>
      <c r="BH6473" s="350"/>
    </row>
    <row r="6474" spans="4:60">
      <c r="D6474" s="350"/>
      <c r="S6474" s="350"/>
      <c r="BF6474" s="350"/>
      <c r="BG6474" s="350"/>
      <c r="BH6474" s="350"/>
    </row>
    <row r="6475" spans="4:60">
      <c r="D6475" s="350"/>
      <c r="S6475" s="350"/>
      <c r="BF6475" s="350"/>
      <c r="BG6475" s="350"/>
      <c r="BH6475" s="350"/>
    </row>
    <row r="6476" spans="4:60">
      <c r="D6476" s="350"/>
      <c r="S6476" s="350"/>
      <c r="BF6476" s="350"/>
      <c r="BG6476" s="350"/>
      <c r="BH6476" s="350"/>
    </row>
    <row r="6477" spans="4:60">
      <c r="D6477" s="350"/>
      <c r="S6477" s="350"/>
      <c r="BF6477" s="350"/>
      <c r="BG6477" s="350"/>
      <c r="BH6477" s="350"/>
    </row>
    <row r="6478" spans="4:60">
      <c r="D6478" s="350"/>
      <c r="S6478" s="350"/>
      <c r="BF6478" s="350"/>
      <c r="BG6478" s="350"/>
      <c r="BH6478" s="350"/>
    </row>
    <row r="6479" spans="4:60">
      <c r="D6479" s="350"/>
      <c r="S6479" s="350"/>
      <c r="BF6479" s="350"/>
      <c r="BG6479" s="350"/>
      <c r="BH6479" s="350"/>
    </row>
    <row r="6480" spans="4:60">
      <c r="D6480" s="350"/>
      <c r="S6480" s="350"/>
      <c r="BF6480" s="350"/>
      <c r="BG6480" s="350"/>
      <c r="BH6480" s="350"/>
    </row>
    <row r="6481" spans="4:60">
      <c r="D6481" s="350"/>
      <c r="S6481" s="350"/>
      <c r="BF6481" s="350"/>
      <c r="BG6481" s="350"/>
      <c r="BH6481" s="350"/>
    </row>
    <row r="6482" spans="4:60">
      <c r="D6482" s="350"/>
      <c r="S6482" s="350"/>
      <c r="BF6482" s="350"/>
      <c r="BG6482" s="350"/>
      <c r="BH6482" s="350"/>
    </row>
    <row r="6483" spans="4:60">
      <c r="D6483" s="350"/>
      <c r="S6483" s="350"/>
      <c r="BF6483" s="350"/>
      <c r="BG6483" s="350"/>
      <c r="BH6483" s="350"/>
    </row>
    <row r="6484" spans="4:60">
      <c r="D6484" s="350"/>
      <c r="S6484" s="350"/>
      <c r="BF6484" s="350"/>
      <c r="BG6484" s="350"/>
      <c r="BH6484" s="350"/>
    </row>
    <row r="6485" spans="4:60">
      <c r="D6485" s="350"/>
      <c r="S6485" s="350"/>
      <c r="BF6485" s="350"/>
      <c r="BG6485" s="350"/>
      <c r="BH6485" s="350"/>
    </row>
    <row r="6486" spans="4:60">
      <c r="D6486" s="350"/>
      <c r="S6486" s="350"/>
      <c r="BF6486" s="350"/>
      <c r="BG6486" s="350"/>
      <c r="BH6486" s="350"/>
    </row>
    <row r="6487" spans="4:60">
      <c r="D6487" s="350"/>
      <c r="S6487" s="350"/>
      <c r="BF6487" s="350"/>
      <c r="BG6487" s="350"/>
      <c r="BH6487" s="350"/>
    </row>
    <row r="6488" spans="4:60">
      <c r="D6488" s="350"/>
      <c r="S6488" s="350"/>
      <c r="BF6488" s="350"/>
      <c r="BG6488" s="350"/>
      <c r="BH6488" s="350"/>
    </row>
    <row r="6489" spans="4:60">
      <c r="D6489" s="350"/>
      <c r="S6489" s="350"/>
      <c r="BF6489" s="350"/>
      <c r="BG6489" s="350"/>
      <c r="BH6489" s="350"/>
    </row>
    <row r="6490" spans="4:60">
      <c r="D6490" s="350"/>
      <c r="S6490" s="350"/>
      <c r="BF6490" s="350"/>
      <c r="BG6490" s="350"/>
      <c r="BH6490" s="350"/>
    </row>
    <row r="6491" spans="4:60">
      <c r="D6491" s="350"/>
      <c r="S6491" s="350"/>
      <c r="BF6491" s="350"/>
      <c r="BG6491" s="350"/>
      <c r="BH6491" s="350"/>
    </row>
    <row r="6492" spans="4:60">
      <c r="D6492" s="350"/>
      <c r="S6492" s="350"/>
      <c r="BF6492" s="350"/>
      <c r="BG6492" s="350"/>
      <c r="BH6492" s="350"/>
    </row>
    <row r="6493" spans="4:60">
      <c r="D6493" s="350"/>
      <c r="S6493" s="350"/>
      <c r="BF6493" s="350"/>
      <c r="BG6493" s="350"/>
      <c r="BH6493" s="350"/>
    </row>
    <row r="6494" spans="4:60">
      <c r="D6494" s="350"/>
      <c r="S6494" s="350"/>
      <c r="BF6494" s="350"/>
      <c r="BG6494" s="350"/>
      <c r="BH6494" s="350"/>
    </row>
    <row r="6495" spans="4:60">
      <c r="D6495" s="350"/>
      <c r="S6495" s="350"/>
      <c r="BF6495" s="350"/>
      <c r="BG6495" s="350"/>
      <c r="BH6495" s="350"/>
    </row>
    <row r="6496" spans="4:60">
      <c r="D6496" s="350"/>
      <c r="S6496" s="350"/>
      <c r="BF6496" s="350"/>
      <c r="BG6496" s="350"/>
      <c r="BH6496" s="350"/>
    </row>
    <row r="6497" spans="4:60">
      <c r="D6497" s="350"/>
      <c r="S6497" s="350"/>
      <c r="BF6497" s="350"/>
      <c r="BG6497" s="350"/>
      <c r="BH6497" s="350"/>
    </row>
    <row r="6498" spans="4:60">
      <c r="D6498" s="350"/>
      <c r="S6498" s="350"/>
      <c r="BF6498" s="350"/>
      <c r="BG6498" s="350"/>
      <c r="BH6498" s="350"/>
    </row>
    <row r="6499" spans="4:60">
      <c r="D6499" s="350"/>
      <c r="S6499" s="350"/>
      <c r="BF6499" s="350"/>
      <c r="BG6499" s="350"/>
      <c r="BH6499" s="350"/>
    </row>
    <row r="6500" spans="4:60">
      <c r="D6500" s="350"/>
      <c r="S6500" s="350"/>
      <c r="BF6500" s="350"/>
      <c r="BG6500" s="350"/>
      <c r="BH6500" s="350"/>
    </row>
    <row r="6501" spans="4:60">
      <c r="D6501" s="350"/>
      <c r="S6501" s="350"/>
      <c r="BF6501" s="350"/>
      <c r="BG6501" s="350"/>
      <c r="BH6501" s="350"/>
    </row>
    <row r="6502" spans="4:60">
      <c r="D6502" s="350"/>
      <c r="S6502" s="350"/>
      <c r="BF6502" s="350"/>
      <c r="BG6502" s="350"/>
      <c r="BH6502" s="350"/>
    </row>
    <row r="6503" spans="4:60">
      <c r="D6503" s="350"/>
      <c r="S6503" s="350"/>
      <c r="BF6503" s="350"/>
      <c r="BG6503" s="350"/>
      <c r="BH6503" s="350"/>
    </row>
    <row r="6504" spans="4:60">
      <c r="D6504" s="350"/>
      <c r="S6504" s="350"/>
      <c r="BF6504" s="350"/>
      <c r="BG6504" s="350"/>
      <c r="BH6504" s="350"/>
    </row>
    <row r="6505" spans="4:60">
      <c r="D6505" s="350"/>
      <c r="S6505" s="350"/>
      <c r="BF6505" s="350"/>
      <c r="BG6505" s="350"/>
      <c r="BH6505" s="350"/>
    </row>
    <row r="6506" spans="4:60">
      <c r="D6506" s="350"/>
      <c r="S6506" s="350"/>
      <c r="BF6506" s="350"/>
      <c r="BG6506" s="350"/>
      <c r="BH6506" s="350"/>
    </row>
    <row r="6507" spans="4:60">
      <c r="D6507" s="350"/>
      <c r="S6507" s="350"/>
      <c r="BF6507" s="350"/>
      <c r="BG6507" s="350"/>
      <c r="BH6507" s="350"/>
    </row>
    <row r="6508" spans="4:60">
      <c r="D6508" s="350"/>
      <c r="S6508" s="350"/>
      <c r="BF6508" s="350"/>
      <c r="BG6508" s="350"/>
      <c r="BH6508" s="350"/>
    </row>
    <row r="6509" spans="4:60">
      <c r="D6509" s="350"/>
      <c r="S6509" s="350"/>
      <c r="BF6509" s="350"/>
      <c r="BG6509" s="350"/>
      <c r="BH6509" s="350"/>
    </row>
    <row r="6510" spans="4:60">
      <c r="D6510" s="350"/>
      <c r="S6510" s="350"/>
      <c r="BF6510" s="350"/>
      <c r="BG6510" s="350"/>
      <c r="BH6510" s="350"/>
    </row>
    <row r="6511" spans="4:60">
      <c r="D6511" s="350"/>
      <c r="S6511" s="350"/>
      <c r="BF6511" s="350"/>
      <c r="BG6511" s="350"/>
      <c r="BH6511" s="350"/>
    </row>
    <row r="6512" spans="4:60">
      <c r="D6512" s="350"/>
      <c r="S6512" s="350"/>
      <c r="BF6512" s="350"/>
      <c r="BG6512" s="350"/>
      <c r="BH6512" s="350"/>
    </row>
    <row r="6513" spans="4:60">
      <c r="D6513" s="350"/>
      <c r="S6513" s="350"/>
      <c r="BF6513" s="350"/>
      <c r="BG6513" s="350"/>
      <c r="BH6513" s="350"/>
    </row>
    <row r="6514" spans="4:60">
      <c r="D6514" s="350"/>
      <c r="S6514" s="350"/>
      <c r="BF6514" s="350"/>
      <c r="BG6514" s="350"/>
      <c r="BH6514" s="350"/>
    </row>
    <row r="6515" spans="4:60">
      <c r="D6515" s="350"/>
      <c r="S6515" s="350"/>
      <c r="BF6515" s="350"/>
      <c r="BG6515" s="350"/>
      <c r="BH6515" s="350"/>
    </row>
    <row r="6516" spans="4:60">
      <c r="D6516" s="350"/>
      <c r="S6516" s="350"/>
      <c r="BF6516" s="350"/>
      <c r="BG6516" s="350"/>
      <c r="BH6516" s="350"/>
    </row>
    <row r="6517" spans="4:60">
      <c r="D6517" s="350"/>
      <c r="S6517" s="350"/>
      <c r="BF6517" s="350"/>
      <c r="BG6517" s="350"/>
      <c r="BH6517" s="350"/>
    </row>
    <row r="6518" spans="4:60">
      <c r="D6518" s="350"/>
      <c r="S6518" s="350"/>
      <c r="BF6518" s="350"/>
      <c r="BG6518" s="350"/>
      <c r="BH6518" s="350"/>
    </row>
    <row r="6519" spans="4:60">
      <c r="D6519" s="350"/>
      <c r="S6519" s="350"/>
      <c r="BF6519" s="350"/>
      <c r="BG6519" s="350"/>
      <c r="BH6519" s="350"/>
    </row>
    <row r="6520" spans="4:60">
      <c r="D6520" s="350"/>
      <c r="S6520" s="350"/>
      <c r="BF6520" s="350"/>
      <c r="BG6520" s="350"/>
      <c r="BH6520" s="350"/>
    </row>
    <row r="6521" spans="4:60">
      <c r="D6521" s="350"/>
      <c r="S6521" s="350"/>
      <c r="BF6521" s="350"/>
      <c r="BG6521" s="350"/>
      <c r="BH6521" s="350"/>
    </row>
    <row r="6522" spans="4:60">
      <c r="D6522" s="350"/>
      <c r="S6522" s="350"/>
      <c r="BF6522" s="350"/>
      <c r="BG6522" s="350"/>
      <c r="BH6522" s="350"/>
    </row>
    <row r="6523" spans="4:60">
      <c r="D6523" s="350"/>
      <c r="S6523" s="350"/>
      <c r="BF6523" s="350"/>
      <c r="BG6523" s="350"/>
      <c r="BH6523" s="350"/>
    </row>
    <row r="6524" spans="4:60">
      <c r="D6524" s="350"/>
      <c r="S6524" s="350"/>
      <c r="BF6524" s="350"/>
      <c r="BG6524" s="350"/>
      <c r="BH6524" s="350"/>
    </row>
    <row r="6525" spans="4:60">
      <c r="D6525" s="350"/>
      <c r="S6525" s="350"/>
      <c r="BF6525" s="350"/>
      <c r="BG6525" s="350"/>
      <c r="BH6525" s="350"/>
    </row>
    <row r="6526" spans="4:60">
      <c r="D6526" s="350"/>
      <c r="S6526" s="350"/>
      <c r="BF6526" s="350"/>
      <c r="BG6526" s="350"/>
      <c r="BH6526" s="350"/>
    </row>
    <row r="6527" spans="4:60">
      <c r="D6527" s="350"/>
      <c r="S6527" s="350"/>
      <c r="BF6527" s="350"/>
      <c r="BG6527" s="350"/>
      <c r="BH6527" s="350"/>
    </row>
    <row r="6528" spans="4:60">
      <c r="D6528" s="350"/>
      <c r="S6528" s="350"/>
      <c r="BF6528" s="350"/>
      <c r="BG6528" s="350"/>
      <c r="BH6528" s="350"/>
    </row>
    <row r="6529" spans="4:60">
      <c r="D6529" s="350"/>
      <c r="S6529" s="350"/>
      <c r="BF6529" s="350"/>
      <c r="BG6529" s="350"/>
      <c r="BH6529" s="350"/>
    </row>
    <row r="6530" spans="4:60">
      <c r="D6530" s="350"/>
      <c r="S6530" s="350"/>
      <c r="BF6530" s="350"/>
      <c r="BG6530" s="350"/>
      <c r="BH6530" s="350"/>
    </row>
    <row r="6531" spans="4:60">
      <c r="D6531" s="350"/>
      <c r="S6531" s="350"/>
      <c r="BF6531" s="350"/>
      <c r="BG6531" s="350"/>
      <c r="BH6531" s="350"/>
    </row>
    <row r="6532" spans="4:60">
      <c r="D6532" s="350"/>
      <c r="S6532" s="350"/>
      <c r="BF6532" s="350"/>
      <c r="BG6532" s="350"/>
      <c r="BH6532" s="350"/>
    </row>
    <row r="6533" spans="4:60">
      <c r="D6533" s="350"/>
      <c r="S6533" s="350"/>
      <c r="BF6533" s="350"/>
      <c r="BG6533" s="350"/>
      <c r="BH6533" s="350"/>
    </row>
    <row r="6534" spans="4:60">
      <c r="D6534" s="350"/>
      <c r="S6534" s="350"/>
      <c r="BF6534" s="350"/>
      <c r="BG6534" s="350"/>
      <c r="BH6534" s="350"/>
    </row>
    <row r="6535" spans="4:60">
      <c r="D6535" s="350"/>
      <c r="S6535" s="350"/>
      <c r="BF6535" s="350"/>
      <c r="BG6535" s="350"/>
      <c r="BH6535" s="350"/>
    </row>
    <row r="6536" spans="4:60">
      <c r="D6536" s="350"/>
      <c r="S6536" s="350"/>
      <c r="BF6536" s="350"/>
      <c r="BG6536" s="350"/>
      <c r="BH6536" s="350"/>
    </row>
    <row r="6537" spans="4:60">
      <c r="D6537" s="350"/>
      <c r="S6537" s="350"/>
      <c r="BF6537" s="350"/>
      <c r="BG6537" s="350"/>
      <c r="BH6537" s="350"/>
    </row>
    <row r="6538" spans="4:60">
      <c r="D6538" s="350"/>
      <c r="S6538" s="350"/>
      <c r="BF6538" s="350"/>
      <c r="BG6538" s="350"/>
      <c r="BH6538" s="350"/>
    </row>
    <row r="6539" spans="4:60">
      <c r="D6539" s="350"/>
      <c r="S6539" s="350"/>
      <c r="BF6539" s="350"/>
      <c r="BG6539" s="350"/>
      <c r="BH6539" s="350"/>
    </row>
    <row r="6540" spans="4:60">
      <c r="D6540" s="350"/>
      <c r="S6540" s="350"/>
      <c r="BF6540" s="350"/>
      <c r="BG6540" s="350"/>
      <c r="BH6540" s="350"/>
    </row>
    <row r="6541" spans="4:60">
      <c r="D6541" s="350"/>
      <c r="S6541" s="350"/>
      <c r="BF6541" s="350"/>
      <c r="BG6541" s="350"/>
      <c r="BH6541" s="350"/>
    </row>
    <row r="6542" spans="4:60">
      <c r="D6542" s="350"/>
      <c r="S6542" s="350"/>
      <c r="BF6542" s="350"/>
      <c r="BG6542" s="350"/>
      <c r="BH6542" s="350"/>
    </row>
    <row r="6543" spans="4:60">
      <c r="D6543" s="350"/>
      <c r="S6543" s="350"/>
      <c r="BF6543" s="350"/>
      <c r="BG6543" s="350"/>
      <c r="BH6543" s="350"/>
    </row>
    <row r="6544" spans="4:60">
      <c r="D6544" s="350"/>
      <c r="S6544" s="350"/>
      <c r="BF6544" s="350"/>
      <c r="BG6544" s="350"/>
      <c r="BH6544" s="350"/>
    </row>
    <row r="6545" spans="4:60">
      <c r="D6545" s="350"/>
      <c r="S6545" s="350"/>
      <c r="BF6545" s="350"/>
      <c r="BG6545" s="350"/>
      <c r="BH6545" s="350"/>
    </row>
    <row r="6546" spans="4:60">
      <c r="D6546" s="350"/>
      <c r="S6546" s="350"/>
      <c r="BF6546" s="350"/>
      <c r="BG6546" s="350"/>
      <c r="BH6546" s="350"/>
    </row>
    <row r="6547" spans="4:60">
      <c r="D6547" s="350"/>
      <c r="S6547" s="350"/>
      <c r="BF6547" s="350"/>
      <c r="BG6547" s="350"/>
      <c r="BH6547" s="350"/>
    </row>
    <row r="6548" spans="4:60">
      <c r="D6548" s="350"/>
      <c r="S6548" s="350"/>
      <c r="BF6548" s="350"/>
      <c r="BG6548" s="350"/>
      <c r="BH6548" s="350"/>
    </row>
    <row r="6549" spans="4:60">
      <c r="D6549" s="350"/>
      <c r="S6549" s="350"/>
      <c r="BF6549" s="350"/>
      <c r="BG6549" s="350"/>
      <c r="BH6549" s="350"/>
    </row>
    <row r="6550" spans="4:60">
      <c r="D6550" s="350"/>
      <c r="S6550" s="350"/>
      <c r="BF6550" s="350"/>
      <c r="BG6550" s="350"/>
      <c r="BH6550" s="350"/>
    </row>
    <row r="6551" spans="4:60">
      <c r="D6551" s="350"/>
      <c r="S6551" s="350"/>
      <c r="BF6551" s="350"/>
      <c r="BG6551" s="350"/>
      <c r="BH6551" s="350"/>
    </row>
    <row r="6552" spans="4:60">
      <c r="D6552" s="350"/>
      <c r="S6552" s="350"/>
      <c r="BF6552" s="350"/>
      <c r="BG6552" s="350"/>
      <c r="BH6552" s="350"/>
    </row>
    <row r="6553" spans="4:60">
      <c r="D6553" s="350"/>
      <c r="S6553" s="350"/>
      <c r="BF6553" s="350"/>
      <c r="BG6553" s="350"/>
      <c r="BH6553" s="350"/>
    </row>
    <row r="6554" spans="4:60">
      <c r="D6554" s="350"/>
      <c r="S6554" s="350"/>
      <c r="BF6554" s="350"/>
      <c r="BG6554" s="350"/>
      <c r="BH6554" s="350"/>
    </row>
    <row r="6555" spans="4:60">
      <c r="D6555" s="350"/>
      <c r="S6555" s="350"/>
      <c r="BF6555" s="350"/>
      <c r="BG6555" s="350"/>
      <c r="BH6555" s="350"/>
    </row>
    <row r="6556" spans="4:60">
      <c r="D6556" s="350"/>
      <c r="S6556" s="350"/>
      <c r="BF6556" s="350"/>
      <c r="BG6556" s="350"/>
      <c r="BH6556" s="350"/>
    </row>
    <row r="6557" spans="4:60">
      <c r="D6557" s="350"/>
      <c r="S6557" s="350"/>
      <c r="BF6557" s="350"/>
      <c r="BG6557" s="350"/>
      <c r="BH6557" s="350"/>
    </row>
    <row r="6558" spans="4:60">
      <c r="D6558" s="350"/>
      <c r="S6558" s="350"/>
      <c r="BF6558" s="350"/>
      <c r="BG6558" s="350"/>
      <c r="BH6558" s="350"/>
    </row>
    <row r="6559" spans="4:60">
      <c r="D6559" s="350"/>
      <c r="S6559" s="350"/>
      <c r="BF6559" s="350"/>
      <c r="BG6559" s="350"/>
      <c r="BH6559" s="350"/>
    </row>
    <row r="6560" spans="4:60">
      <c r="D6560" s="350"/>
      <c r="S6560" s="350"/>
      <c r="BF6560" s="350"/>
      <c r="BG6560" s="350"/>
      <c r="BH6560" s="350"/>
    </row>
    <row r="6561" spans="4:60">
      <c r="D6561" s="350"/>
      <c r="S6561" s="350"/>
      <c r="BF6561" s="350"/>
      <c r="BG6561" s="350"/>
      <c r="BH6561" s="350"/>
    </row>
    <row r="6562" spans="4:60">
      <c r="D6562" s="350"/>
      <c r="S6562" s="350"/>
      <c r="BF6562" s="350"/>
      <c r="BG6562" s="350"/>
      <c r="BH6562" s="350"/>
    </row>
    <row r="6563" spans="4:60">
      <c r="D6563" s="350"/>
      <c r="S6563" s="350"/>
      <c r="BF6563" s="350"/>
      <c r="BG6563" s="350"/>
      <c r="BH6563" s="350"/>
    </row>
    <row r="6564" spans="4:60">
      <c r="D6564" s="350"/>
      <c r="S6564" s="350"/>
      <c r="BF6564" s="350"/>
      <c r="BG6564" s="350"/>
      <c r="BH6564" s="350"/>
    </row>
    <row r="6565" spans="4:60">
      <c r="D6565" s="350"/>
      <c r="S6565" s="350"/>
      <c r="BF6565" s="350"/>
      <c r="BG6565" s="350"/>
      <c r="BH6565" s="350"/>
    </row>
    <row r="6566" spans="4:60">
      <c r="D6566" s="350"/>
      <c r="S6566" s="350"/>
      <c r="BF6566" s="350"/>
      <c r="BG6566" s="350"/>
      <c r="BH6566" s="350"/>
    </row>
    <row r="6567" spans="4:60">
      <c r="D6567" s="350"/>
      <c r="S6567" s="350"/>
      <c r="BF6567" s="350"/>
      <c r="BG6567" s="350"/>
      <c r="BH6567" s="350"/>
    </row>
    <row r="6568" spans="4:60">
      <c r="D6568" s="350"/>
      <c r="S6568" s="350"/>
      <c r="BF6568" s="350"/>
      <c r="BG6568" s="350"/>
      <c r="BH6568" s="350"/>
    </row>
    <row r="6569" spans="4:60">
      <c r="D6569" s="350"/>
      <c r="S6569" s="350"/>
      <c r="BF6569" s="350"/>
      <c r="BG6569" s="350"/>
      <c r="BH6569" s="350"/>
    </row>
    <row r="6570" spans="4:60">
      <c r="D6570" s="350"/>
      <c r="S6570" s="350"/>
      <c r="BF6570" s="350"/>
      <c r="BG6570" s="350"/>
      <c r="BH6570" s="350"/>
    </row>
    <row r="6571" spans="4:60">
      <c r="D6571" s="350"/>
      <c r="S6571" s="350"/>
      <c r="BF6571" s="350"/>
      <c r="BG6571" s="350"/>
      <c r="BH6571" s="350"/>
    </row>
    <row r="6572" spans="4:60">
      <c r="D6572" s="350"/>
      <c r="S6572" s="350"/>
      <c r="BF6572" s="350"/>
      <c r="BG6572" s="350"/>
      <c r="BH6572" s="350"/>
    </row>
    <row r="6573" spans="4:60">
      <c r="D6573" s="350"/>
      <c r="S6573" s="350"/>
      <c r="BF6573" s="350"/>
      <c r="BG6573" s="350"/>
      <c r="BH6573" s="350"/>
    </row>
    <row r="6574" spans="4:60">
      <c r="D6574" s="350"/>
      <c r="S6574" s="350"/>
      <c r="BF6574" s="350"/>
      <c r="BG6574" s="350"/>
      <c r="BH6574" s="350"/>
    </row>
    <row r="6575" spans="4:60">
      <c r="D6575" s="350"/>
      <c r="S6575" s="350"/>
      <c r="BF6575" s="350"/>
      <c r="BG6575" s="350"/>
      <c r="BH6575" s="350"/>
    </row>
    <row r="6576" spans="4:60">
      <c r="D6576" s="350"/>
      <c r="S6576" s="350"/>
      <c r="BF6576" s="350"/>
      <c r="BG6576" s="350"/>
      <c r="BH6576" s="350"/>
    </row>
    <row r="6577" spans="4:60">
      <c r="D6577" s="350"/>
      <c r="S6577" s="350"/>
      <c r="BF6577" s="350"/>
      <c r="BG6577" s="350"/>
      <c r="BH6577" s="350"/>
    </row>
    <row r="6578" spans="4:60">
      <c r="D6578" s="350"/>
      <c r="S6578" s="350"/>
      <c r="BF6578" s="350"/>
      <c r="BG6578" s="350"/>
      <c r="BH6578" s="350"/>
    </row>
    <row r="6579" spans="4:60">
      <c r="D6579" s="350"/>
      <c r="S6579" s="350"/>
      <c r="BF6579" s="350"/>
      <c r="BG6579" s="350"/>
      <c r="BH6579" s="350"/>
    </row>
    <row r="6580" spans="4:60">
      <c r="D6580" s="350"/>
      <c r="S6580" s="350"/>
      <c r="BF6580" s="350"/>
      <c r="BG6580" s="350"/>
      <c r="BH6580" s="350"/>
    </row>
    <row r="6581" spans="4:60">
      <c r="D6581" s="350"/>
      <c r="S6581" s="350"/>
      <c r="BF6581" s="350"/>
      <c r="BG6581" s="350"/>
      <c r="BH6581" s="350"/>
    </row>
    <row r="6582" spans="4:60">
      <c r="D6582" s="350"/>
      <c r="S6582" s="350"/>
      <c r="BF6582" s="350"/>
      <c r="BG6582" s="350"/>
      <c r="BH6582" s="350"/>
    </row>
    <row r="6583" spans="4:60">
      <c r="D6583" s="350"/>
      <c r="S6583" s="350"/>
      <c r="BF6583" s="350"/>
      <c r="BG6583" s="350"/>
      <c r="BH6583" s="350"/>
    </row>
    <row r="6584" spans="4:60">
      <c r="D6584" s="350"/>
      <c r="S6584" s="350"/>
      <c r="BF6584" s="350"/>
      <c r="BG6584" s="350"/>
      <c r="BH6584" s="350"/>
    </row>
    <row r="6585" spans="4:60">
      <c r="D6585" s="350"/>
      <c r="S6585" s="350"/>
      <c r="BF6585" s="350"/>
      <c r="BG6585" s="350"/>
      <c r="BH6585" s="350"/>
    </row>
    <row r="6586" spans="4:60">
      <c r="D6586" s="350"/>
      <c r="S6586" s="350"/>
      <c r="BF6586" s="350"/>
      <c r="BG6586" s="350"/>
      <c r="BH6586" s="350"/>
    </row>
    <row r="6587" spans="4:60">
      <c r="D6587" s="350"/>
      <c r="S6587" s="350"/>
      <c r="BF6587" s="350"/>
      <c r="BG6587" s="350"/>
      <c r="BH6587" s="350"/>
    </row>
    <row r="6588" spans="4:60">
      <c r="D6588" s="350"/>
      <c r="S6588" s="350"/>
      <c r="BF6588" s="350"/>
      <c r="BG6588" s="350"/>
      <c r="BH6588" s="350"/>
    </row>
    <row r="6589" spans="4:60">
      <c r="D6589" s="350"/>
      <c r="S6589" s="350"/>
      <c r="BF6589" s="350"/>
      <c r="BG6589" s="350"/>
      <c r="BH6589" s="350"/>
    </row>
    <row r="6590" spans="4:60">
      <c r="D6590" s="350"/>
      <c r="S6590" s="350"/>
      <c r="BF6590" s="350"/>
      <c r="BG6590" s="350"/>
      <c r="BH6590" s="350"/>
    </row>
    <row r="6591" spans="4:60">
      <c r="D6591" s="350"/>
      <c r="S6591" s="350"/>
      <c r="BF6591" s="350"/>
      <c r="BG6591" s="350"/>
      <c r="BH6591" s="350"/>
    </row>
    <row r="6592" spans="4:60">
      <c r="D6592" s="350"/>
      <c r="S6592" s="350"/>
      <c r="BF6592" s="350"/>
      <c r="BG6592" s="350"/>
      <c r="BH6592" s="350"/>
    </row>
    <row r="6593" spans="4:60">
      <c r="D6593" s="350"/>
      <c r="S6593" s="350"/>
      <c r="BF6593" s="350"/>
      <c r="BG6593" s="350"/>
      <c r="BH6593" s="350"/>
    </row>
    <row r="6594" spans="4:60">
      <c r="D6594" s="350"/>
      <c r="S6594" s="350"/>
      <c r="BF6594" s="350"/>
      <c r="BG6594" s="350"/>
      <c r="BH6594" s="350"/>
    </row>
    <row r="6595" spans="4:60">
      <c r="D6595" s="350"/>
      <c r="S6595" s="350"/>
      <c r="BF6595" s="350"/>
      <c r="BG6595" s="350"/>
      <c r="BH6595" s="350"/>
    </row>
    <row r="6596" spans="4:60">
      <c r="D6596" s="350"/>
      <c r="S6596" s="350"/>
      <c r="BF6596" s="350"/>
      <c r="BG6596" s="350"/>
      <c r="BH6596" s="350"/>
    </row>
    <row r="6597" spans="4:60">
      <c r="D6597" s="350"/>
      <c r="S6597" s="350"/>
      <c r="BF6597" s="350"/>
      <c r="BG6597" s="350"/>
      <c r="BH6597" s="350"/>
    </row>
    <row r="6598" spans="4:60">
      <c r="D6598" s="350"/>
      <c r="S6598" s="350"/>
      <c r="BF6598" s="350"/>
      <c r="BG6598" s="350"/>
      <c r="BH6598" s="350"/>
    </row>
    <row r="6599" spans="4:60">
      <c r="D6599" s="350"/>
      <c r="S6599" s="350"/>
      <c r="BF6599" s="350"/>
      <c r="BG6599" s="350"/>
      <c r="BH6599" s="350"/>
    </row>
    <row r="6600" spans="4:60">
      <c r="D6600" s="350"/>
      <c r="S6600" s="350"/>
      <c r="BF6600" s="350"/>
      <c r="BG6600" s="350"/>
      <c r="BH6600" s="350"/>
    </row>
    <row r="6601" spans="4:60">
      <c r="D6601" s="350"/>
      <c r="S6601" s="350"/>
      <c r="BF6601" s="350"/>
      <c r="BG6601" s="350"/>
      <c r="BH6601" s="350"/>
    </row>
    <row r="6602" spans="4:60">
      <c r="D6602" s="350"/>
      <c r="S6602" s="350"/>
      <c r="BF6602" s="350"/>
      <c r="BG6602" s="350"/>
      <c r="BH6602" s="350"/>
    </row>
    <row r="6603" spans="4:60">
      <c r="D6603" s="350"/>
      <c r="S6603" s="350"/>
      <c r="BF6603" s="350"/>
      <c r="BG6603" s="350"/>
      <c r="BH6603" s="350"/>
    </row>
    <row r="6604" spans="4:60">
      <c r="D6604" s="350"/>
      <c r="S6604" s="350"/>
      <c r="BF6604" s="350"/>
      <c r="BG6604" s="350"/>
      <c r="BH6604" s="350"/>
    </row>
    <row r="6605" spans="4:60">
      <c r="D6605" s="350"/>
      <c r="S6605" s="350"/>
      <c r="BF6605" s="350"/>
      <c r="BG6605" s="350"/>
      <c r="BH6605" s="350"/>
    </row>
    <row r="6606" spans="4:60">
      <c r="D6606" s="350"/>
      <c r="S6606" s="350"/>
      <c r="BF6606" s="350"/>
      <c r="BG6606" s="350"/>
      <c r="BH6606" s="350"/>
    </row>
    <row r="6607" spans="4:60">
      <c r="D6607" s="350"/>
      <c r="S6607" s="350"/>
      <c r="BF6607" s="350"/>
      <c r="BG6607" s="350"/>
      <c r="BH6607" s="350"/>
    </row>
    <row r="6608" spans="4:60">
      <c r="D6608" s="350"/>
      <c r="S6608" s="350"/>
      <c r="BF6608" s="350"/>
      <c r="BG6608" s="350"/>
      <c r="BH6608" s="350"/>
    </row>
    <row r="6609" spans="4:60">
      <c r="D6609" s="350"/>
      <c r="S6609" s="350"/>
      <c r="BF6609" s="350"/>
      <c r="BG6609" s="350"/>
      <c r="BH6609" s="350"/>
    </row>
    <row r="6610" spans="4:60">
      <c r="D6610" s="350"/>
      <c r="S6610" s="350"/>
      <c r="BF6610" s="350"/>
      <c r="BG6610" s="350"/>
      <c r="BH6610" s="350"/>
    </row>
    <row r="6611" spans="4:60">
      <c r="D6611" s="350"/>
      <c r="S6611" s="350"/>
      <c r="BF6611" s="350"/>
      <c r="BG6611" s="350"/>
      <c r="BH6611" s="350"/>
    </row>
    <row r="6612" spans="4:60">
      <c r="D6612" s="350"/>
      <c r="S6612" s="350"/>
      <c r="BF6612" s="350"/>
      <c r="BG6612" s="350"/>
      <c r="BH6612" s="350"/>
    </row>
    <row r="6613" spans="4:60">
      <c r="D6613" s="350"/>
      <c r="S6613" s="350"/>
      <c r="BF6613" s="350"/>
      <c r="BG6613" s="350"/>
      <c r="BH6613" s="350"/>
    </row>
    <row r="6614" spans="4:60">
      <c r="D6614" s="350"/>
      <c r="S6614" s="350"/>
      <c r="BF6614" s="350"/>
      <c r="BG6614" s="350"/>
      <c r="BH6614" s="350"/>
    </row>
    <row r="6615" spans="4:60">
      <c r="D6615" s="350"/>
      <c r="S6615" s="350"/>
      <c r="BF6615" s="350"/>
      <c r="BG6615" s="350"/>
      <c r="BH6615" s="350"/>
    </row>
    <row r="6616" spans="4:60">
      <c r="D6616" s="350"/>
      <c r="S6616" s="350"/>
      <c r="BF6616" s="350"/>
      <c r="BG6616" s="350"/>
      <c r="BH6616" s="350"/>
    </row>
    <row r="6617" spans="4:60">
      <c r="D6617" s="350"/>
      <c r="S6617" s="350"/>
      <c r="BF6617" s="350"/>
      <c r="BG6617" s="350"/>
      <c r="BH6617" s="350"/>
    </row>
    <row r="6618" spans="4:60">
      <c r="D6618" s="350"/>
      <c r="S6618" s="350"/>
      <c r="BF6618" s="350"/>
      <c r="BG6618" s="350"/>
      <c r="BH6618" s="350"/>
    </row>
    <row r="6619" spans="4:60">
      <c r="D6619" s="350"/>
      <c r="S6619" s="350"/>
      <c r="BF6619" s="350"/>
      <c r="BG6619" s="350"/>
      <c r="BH6619" s="350"/>
    </row>
    <row r="6620" spans="4:60">
      <c r="D6620" s="350"/>
      <c r="S6620" s="350"/>
      <c r="BF6620" s="350"/>
      <c r="BG6620" s="350"/>
      <c r="BH6620" s="350"/>
    </row>
    <row r="6621" spans="4:60">
      <c r="D6621" s="350"/>
      <c r="S6621" s="350"/>
      <c r="BF6621" s="350"/>
      <c r="BG6621" s="350"/>
      <c r="BH6621" s="350"/>
    </row>
    <row r="6622" spans="4:60">
      <c r="D6622" s="350"/>
      <c r="S6622" s="350"/>
      <c r="BF6622" s="350"/>
      <c r="BG6622" s="350"/>
      <c r="BH6622" s="350"/>
    </row>
    <row r="6623" spans="4:60">
      <c r="D6623" s="350"/>
      <c r="S6623" s="350"/>
      <c r="BF6623" s="350"/>
      <c r="BG6623" s="350"/>
      <c r="BH6623" s="350"/>
    </row>
    <row r="6631" spans="4:60">
      <c r="D6631" s="350"/>
      <c r="S6631" s="350"/>
      <c r="BF6631" s="350"/>
      <c r="BG6631" s="350"/>
      <c r="BH6631" s="350"/>
    </row>
    <row r="6632" spans="4:60">
      <c r="D6632" s="350"/>
      <c r="S6632" s="350"/>
      <c r="BF6632" s="350"/>
      <c r="BG6632" s="350"/>
      <c r="BH6632" s="350"/>
    </row>
    <row r="6633" spans="4:60">
      <c r="D6633" s="350"/>
      <c r="S6633" s="350"/>
      <c r="BF6633" s="350"/>
      <c r="BG6633" s="350"/>
      <c r="BH6633" s="350"/>
    </row>
    <row r="6634" spans="4:60">
      <c r="D6634" s="350"/>
      <c r="S6634" s="350"/>
      <c r="BF6634" s="350"/>
      <c r="BG6634" s="350"/>
      <c r="BH6634" s="350"/>
    </row>
    <row r="6635" spans="4:60">
      <c r="D6635" s="350"/>
      <c r="S6635" s="350"/>
      <c r="BF6635" s="350"/>
      <c r="BG6635" s="350"/>
      <c r="BH6635" s="350"/>
    </row>
    <row r="6636" spans="4:60">
      <c r="D6636" s="350"/>
      <c r="S6636" s="350"/>
      <c r="BF6636" s="350"/>
      <c r="BG6636" s="350"/>
      <c r="BH6636" s="350"/>
    </row>
    <row r="6637" spans="4:60">
      <c r="D6637" s="350"/>
      <c r="S6637" s="350"/>
      <c r="BF6637" s="350"/>
      <c r="BG6637" s="350"/>
      <c r="BH6637" s="350"/>
    </row>
    <row r="6638" spans="4:60">
      <c r="D6638" s="350"/>
      <c r="S6638" s="350"/>
      <c r="BF6638" s="350"/>
      <c r="BG6638" s="350"/>
      <c r="BH6638" s="350"/>
    </row>
    <row r="6639" spans="4:60">
      <c r="D6639" s="350"/>
      <c r="S6639" s="350"/>
      <c r="BF6639" s="350"/>
      <c r="BG6639" s="350"/>
      <c r="BH6639" s="350"/>
    </row>
    <row r="6640" spans="4:60">
      <c r="D6640" s="350"/>
      <c r="S6640" s="350"/>
      <c r="BF6640" s="350"/>
      <c r="BG6640" s="350"/>
      <c r="BH6640" s="350"/>
    </row>
    <row r="6641" spans="4:60">
      <c r="D6641" s="350"/>
      <c r="S6641" s="350"/>
      <c r="BF6641" s="350"/>
      <c r="BG6641" s="350"/>
      <c r="BH6641" s="350"/>
    </row>
    <row r="6642" spans="4:60">
      <c r="D6642" s="350"/>
      <c r="S6642" s="350"/>
      <c r="BF6642" s="350"/>
      <c r="BG6642" s="350"/>
      <c r="BH6642" s="350"/>
    </row>
    <row r="6643" spans="4:60">
      <c r="D6643" s="350"/>
      <c r="S6643" s="350"/>
      <c r="BF6643" s="350"/>
      <c r="BG6643" s="350"/>
      <c r="BH6643" s="350"/>
    </row>
    <row r="6644" spans="4:60">
      <c r="D6644" s="350"/>
      <c r="S6644" s="350"/>
      <c r="BF6644" s="350"/>
      <c r="BG6644" s="350"/>
      <c r="BH6644" s="350"/>
    </row>
    <row r="6645" spans="4:60">
      <c r="D6645" s="350"/>
      <c r="S6645" s="350"/>
      <c r="BF6645" s="350"/>
      <c r="BG6645" s="350"/>
      <c r="BH6645" s="350"/>
    </row>
    <row r="6646" spans="4:60">
      <c r="D6646" s="350"/>
      <c r="S6646" s="350"/>
      <c r="BF6646" s="350"/>
      <c r="BG6646" s="350"/>
      <c r="BH6646" s="350"/>
    </row>
    <row r="6647" spans="4:60">
      <c r="D6647" s="350"/>
      <c r="S6647" s="350"/>
      <c r="BF6647" s="350"/>
      <c r="BG6647" s="350"/>
      <c r="BH6647" s="350"/>
    </row>
    <row r="6648" spans="4:60">
      <c r="D6648" s="350"/>
      <c r="S6648" s="350"/>
      <c r="BF6648" s="350"/>
      <c r="BG6648" s="350"/>
      <c r="BH6648" s="350"/>
    </row>
    <row r="6649" spans="4:60">
      <c r="D6649" s="350"/>
      <c r="S6649" s="350"/>
      <c r="BF6649" s="350"/>
      <c r="BG6649" s="350"/>
      <c r="BH6649" s="350"/>
    </row>
    <row r="6650" spans="4:60">
      <c r="D6650" s="350"/>
      <c r="S6650" s="350"/>
      <c r="BF6650" s="350"/>
      <c r="BG6650" s="350"/>
      <c r="BH6650" s="350"/>
    </row>
    <row r="6651" spans="4:60">
      <c r="D6651" s="350"/>
      <c r="S6651" s="350"/>
      <c r="BF6651" s="350"/>
      <c r="BG6651" s="350"/>
      <c r="BH6651" s="350"/>
    </row>
    <row r="6652" spans="4:60">
      <c r="D6652" s="350"/>
      <c r="S6652" s="350"/>
      <c r="BF6652" s="350"/>
      <c r="BG6652" s="350"/>
      <c r="BH6652" s="350"/>
    </row>
    <row r="6653" spans="4:60">
      <c r="D6653" s="350"/>
      <c r="S6653" s="350"/>
      <c r="BF6653" s="350"/>
      <c r="BG6653" s="350"/>
      <c r="BH6653" s="350"/>
    </row>
    <row r="6654" spans="4:60">
      <c r="D6654" s="350"/>
      <c r="S6654" s="350"/>
      <c r="BF6654" s="350"/>
      <c r="BG6654" s="350"/>
      <c r="BH6654" s="350"/>
    </row>
    <row r="6655" spans="4:60">
      <c r="D6655" s="350"/>
      <c r="S6655" s="350"/>
      <c r="BF6655" s="350"/>
      <c r="BG6655" s="350"/>
      <c r="BH6655" s="350"/>
    </row>
    <row r="6656" spans="4:60">
      <c r="D6656" s="350"/>
      <c r="S6656" s="350"/>
      <c r="BF6656" s="350"/>
      <c r="BG6656" s="350"/>
      <c r="BH6656" s="350"/>
    </row>
    <row r="6657" spans="4:60">
      <c r="D6657" s="350"/>
      <c r="S6657" s="350"/>
      <c r="BF6657" s="350"/>
      <c r="BG6657" s="350"/>
      <c r="BH6657" s="350"/>
    </row>
    <row r="6658" spans="4:60">
      <c r="D6658" s="350"/>
      <c r="S6658" s="350"/>
      <c r="BF6658" s="350"/>
      <c r="BG6658" s="350"/>
      <c r="BH6658" s="350"/>
    </row>
    <row r="6659" spans="4:60">
      <c r="D6659" s="350"/>
      <c r="S6659" s="350"/>
      <c r="BF6659" s="350"/>
      <c r="BG6659" s="350"/>
      <c r="BH6659" s="350"/>
    </row>
    <row r="6660" spans="4:60">
      <c r="D6660" s="350"/>
      <c r="S6660" s="350"/>
      <c r="BF6660" s="350"/>
      <c r="BG6660" s="350"/>
      <c r="BH6660" s="350"/>
    </row>
    <row r="6661" spans="4:60">
      <c r="D6661" s="350"/>
      <c r="S6661" s="350"/>
      <c r="BF6661" s="350"/>
      <c r="BG6661" s="350"/>
      <c r="BH6661" s="350"/>
    </row>
    <row r="6662" spans="4:60">
      <c r="D6662" s="350"/>
      <c r="S6662" s="350"/>
      <c r="BF6662" s="350"/>
      <c r="BG6662" s="350"/>
      <c r="BH6662" s="350"/>
    </row>
    <row r="6663" spans="4:60">
      <c r="D6663" s="350"/>
      <c r="S6663" s="350"/>
      <c r="BF6663" s="350"/>
      <c r="BG6663" s="350"/>
      <c r="BH6663" s="350"/>
    </row>
    <row r="6664" spans="4:60">
      <c r="D6664" s="350"/>
      <c r="S6664" s="350"/>
      <c r="BF6664" s="350"/>
      <c r="BG6664" s="350"/>
      <c r="BH6664" s="350"/>
    </row>
    <row r="6665" spans="4:60">
      <c r="D6665" s="350"/>
      <c r="S6665" s="350"/>
      <c r="BF6665" s="350"/>
      <c r="BG6665" s="350"/>
      <c r="BH6665" s="350"/>
    </row>
    <row r="6666" spans="4:60">
      <c r="D6666" s="350"/>
      <c r="S6666" s="350"/>
      <c r="BF6666" s="350"/>
      <c r="BG6666" s="350"/>
      <c r="BH6666" s="350"/>
    </row>
    <row r="6667" spans="4:60">
      <c r="D6667" s="350"/>
      <c r="S6667" s="350"/>
      <c r="BF6667" s="350"/>
      <c r="BG6667" s="350"/>
      <c r="BH6667" s="350"/>
    </row>
    <row r="6668" spans="4:60">
      <c r="D6668" s="350"/>
      <c r="S6668" s="350"/>
      <c r="BF6668" s="350"/>
      <c r="BG6668" s="350"/>
      <c r="BH6668" s="350"/>
    </row>
    <row r="6669" spans="4:60">
      <c r="D6669" s="350"/>
      <c r="S6669" s="350"/>
      <c r="BF6669" s="350"/>
      <c r="BG6669" s="350"/>
      <c r="BH6669" s="350"/>
    </row>
    <row r="6670" spans="4:60">
      <c r="D6670" s="350"/>
      <c r="S6670" s="350"/>
      <c r="BF6670" s="350"/>
      <c r="BG6670" s="350"/>
      <c r="BH6670" s="350"/>
    </row>
    <row r="6671" spans="4:60">
      <c r="D6671" s="350"/>
      <c r="S6671" s="350"/>
      <c r="BF6671" s="350"/>
      <c r="BG6671" s="350"/>
      <c r="BH6671" s="350"/>
    </row>
    <row r="6672" spans="4:60">
      <c r="D6672" s="350"/>
      <c r="S6672" s="350"/>
      <c r="BF6672" s="350"/>
      <c r="BG6672" s="350"/>
      <c r="BH6672" s="350"/>
    </row>
    <row r="6673" spans="4:60">
      <c r="D6673" s="350"/>
      <c r="S6673" s="350"/>
      <c r="BF6673" s="350"/>
      <c r="BG6673" s="350"/>
      <c r="BH6673" s="350"/>
    </row>
    <row r="6674" spans="4:60">
      <c r="D6674" s="350"/>
      <c r="S6674" s="350"/>
      <c r="BF6674" s="350"/>
      <c r="BG6674" s="350"/>
      <c r="BH6674" s="350"/>
    </row>
    <row r="6675" spans="4:60">
      <c r="D6675" s="350"/>
      <c r="S6675" s="350"/>
      <c r="BF6675" s="350"/>
      <c r="BG6675" s="350"/>
      <c r="BH6675" s="350"/>
    </row>
    <row r="6676" spans="4:60">
      <c r="D6676" s="350"/>
      <c r="S6676" s="350"/>
      <c r="BF6676" s="350"/>
      <c r="BG6676" s="350"/>
      <c r="BH6676" s="350"/>
    </row>
    <row r="6677" spans="4:60">
      <c r="D6677" s="350"/>
      <c r="S6677" s="350"/>
      <c r="BF6677" s="350"/>
      <c r="BG6677" s="350"/>
      <c r="BH6677" s="350"/>
    </row>
    <row r="6678" spans="4:60">
      <c r="D6678" s="350"/>
      <c r="S6678" s="350"/>
      <c r="BF6678" s="350"/>
      <c r="BG6678" s="350"/>
      <c r="BH6678" s="350"/>
    </row>
    <row r="6679" spans="4:60">
      <c r="D6679" s="350"/>
      <c r="S6679" s="350"/>
      <c r="BF6679" s="350"/>
      <c r="BG6679" s="350"/>
      <c r="BH6679" s="350"/>
    </row>
    <row r="6680" spans="4:60">
      <c r="D6680" s="350"/>
      <c r="S6680" s="350"/>
      <c r="BF6680" s="350"/>
      <c r="BG6680" s="350"/>
      <c r="BH6680" s="350"/>
    </row>
    <row r="6681" spans="4:60">
      <c r="D6681" s="350"/>
      <c r="S6681" s="350"/>
      <c r="BF6681" s="350"/>
      <c r="BG6681" s="350"/>
      <c r="BH6681" s="350"/>
    </row>
    <row r="6682" spans="4:60">
      <c r="D6682" s="350"/>
      <c r="S6682" s="350"/>
      <c r="BF6682" s="350"/>
      <c r="BG6682" s="350"/>
      <c r="BH6682" s="350"/>
    </row>
    <row r="6683" spans="4:60">
      <c r="D6683" s="350"/>
      <c r="S6683" s="350"/>
      <c r="BF6683" s="350"/>
      <c r="BG6683" s="350"/>
      <c r="BH6683" s="350"/>
    </row>
    <row r="6684" spans="4:60">
      <c r="D6684" s="350"/>
      <c r="S6684" s="350"/>
      <c r="BF6684" s="350"/>
      <c r="BG6684" s="350"/>
      <c r="BH6684" s="350"/>
    </row>
    <row r="6685" spans="4:60">
      <c r="D6685" s="350"/>
      <c r="S6685" s="350"/>
      <c r="BF6685" s="350"/>
      <c r="BG6685" s="350"/>
      <c r="BH6685" s="350"/>
    </row>
    <row r="6686" spans="4:60">
      <c r="D6686" s="350"/>
      <c r="S6686" s="350"/>
      <c r="BF6686" s="350"/>
      <c r="BG6686" s="350"/>
      <c r="BH6686" s="350"/>
    </row>
    <row r="6687" spans="4:60">
      <c r="D6687" s="350"/>
      <c r="S6687" s="350"/>
      <c r="BF6687" s="350"/>
      <c r="BG6687" s="350"/>
      <c r="BH6687" s="350"/>
    </row>
    <row r="6688" spans="4:60">
      <c r="D6688" s="350"/>
      <c r="S6688" s="350"/>
      <c r="BF6688" s="350"/>
      <c r="BG6688" s="350"/>
      <c r="BH6688" s="350"/>
    </row>
    <row r="6689" spans="4:60">
      <c r="D6689" s="350"/>
      <c r="S6689" s="350"/>
      <c r="BF6689" s="350"/>
      <c r="BG6689" s="350"/>
      <c r="BH6689" s="350"/>
    </row>
    <row r="6690" spans="4:60">
      <c r="D6690" s="350"/>
      <c r="S6690" s="350"/>
      <c r="BF6690" s="350"/>
      <c r="BG6690" s="350"/>
      <c r="BH6690" s="350"/>
    </row>
    <row r="6691" spans="4:60">
      <c r="D6691" s="350"/>
      <c r="S6691" s="350"/>
      <c r="BF6691" s="350"/>
      <c r="BG6691" s="350"/>
      <c r="BH6691" s="350"/>
    </row>
    <row r="6692" spans="4:60">
      <c r="D6692" s="350"/>
      <c r="S6692" s="350"/>
      <c r="BF6692" s="350"/>
      <c r="BG6692" s="350"/>
      <c r="BH6692" s="350"/>
    </row>
    <row r="6693" spans="4:60">
      <c r="D6693" s="350"/>
      <c r="S6693" s="350"/>
      <c r="BF6693" s="350"/>
      <c r="BG6693" s="350"/>
      <c r="BH6693" s="350"/>
    </row>
    <row r="6694" spans="4:60">
      <c r="D6694" s="350"/>
      <c r="S6694" s="350"/>
      <c r="BF6694" s="350"/>
      <c r="BG6694" s="350"/>
      <c r="BH6694" s="350"/>
    </row>
    <row r="6695" spans="4:60">
      <c r="D6695" s="350"/>
      <c r="S6695" s="350"/>
      <c r="BF6695" s="350"/>
      <c r="BG6695" s="350"/>
      <c r="BH6695" s="350"/>
    </row>
    <row r="6696" spans="4:60">
      <c r="D6696" s="350"/>
      <c r="S6696" s="350"/>
      <c r="BF6696" s="350"/>
      <c r="BG6696" s="350"/>
      <c r="BH6696" s="350"/>
    </row>
    <row r="6697" spans="4:60">
      <c r="D6697" s="350"/>
      <c r="S6697" s="350"/>
      <c r="BF6697" s="350"/>
      <c r="BG6697" s="350"/>
      <c r="BH6697" s="350"/>
    </row>
    <row r="6698" spans="4:60">
      <c r="D6698" s="350"/>
      <c r="S6698" s="350"/>
      <c r="BF6698" s="350"/>
      <c r="BG6698" s="350"/>
      <c r="BH6698" s="350"/>
    </row>
    <row r="6699" spans="4:60">
      <c r="D6699" s="350"/>
      <c r="S6699" s="350"/>
      <c r="BF6699" s="350"/>
      <c r="BG6699" s="350"/>
      <c r="BH6699" s="350"/>
    </row>
    <row r="6700" spans="4:60">
      <c r="D6700" s="350"/>
      <c r="S6700" s="350"/>
      <c r="BF6700" s="350"/>
      <c r="BG6700" s="350"/>
      <c r="BH6700" s="350"/>
    </row>
    <row r="6701" spans="4:60">
      <c r="D6701" s="350"/>
      <c r="S6701" s="350"/>
      <c r="BF6701" s="350"/>
      <c r="BG6701" s="350"/>
      <c r="BH6701" s="350"/>
    </row>
    <row r="6702" spans="4:60">
      <c r="D6702" s="350"/>
      <c r="S6702" s="350"/>
      <c r="BF6702" s="350"/>
      <c r="BG6702" s="350"/>
      <c r="BH6702" s="350"/>
    </row>
    <row r="6703" spans="4:60">
      <c r="D6703" s="350"/>
      <c r="S6703" s="350"/>
      <c r="BF6703" s="350"/>
      <c r="BG6703" s="350"/>
      <c r="BH6703" s="350"/>
    </row>
    <row r="6704" spans="4:60">
      <c r="D6704" s="350"/>
      <c r="S6704" s="350"/>
      <c r="BF6704" s="350"/>
      <c r="BG6704" s="350"/>
      <c r="BH6704" s="350"/>
    </row>
    <row r="6705" spans="4:60">
      <c r="D6705" s="350"/>
      <c r="S6705" s="350"/>
      <c r="BF6705" s="350"/>
      <c r="BG6705" s="350"/>
      <c r="BH6705" s="350"/>
    </row>
    <row r="6706" spans="4:60">
      <c r="D6706" s="350"/>
      <c r="S6706" s="350"/>
      <c r="BF6706" s="350"/>
      <c r="BG6706" s="350"/>
      <c r="BH6706" s="350"/>
    </row>
    <row r="6707" spans="4:60">
      <c r="D6707" s="350"/>
      <c r="S6707" s="350"/>
      <c r="BF6707" s="350"/>
      <c r="BG6707" s="350"/>
      <c r="BH6707" s="350"/>
    </row>
    <row r="6708" spans="4:60">
      <c r="D6708" s="350"/>
      <c r="S6708" s="350"/>
      <c r="BF6708" s="350"/>
      <c r="BG6708" s="350"/>
      <c r="BH6708" s="350"/>
    </row>
    <row r="6709" spans="4:60">
      <c r="D6709" s="350"/>
      <c r="S6709" s="350"/>
      <c r="BF6709" s="350"/>
      <c r="BG6709" s="350"/>
      <c r="BH6709" s="350"/>
    </row>
    <row r="6710" spans="4:60">
      <c r="D6710" s="350"/>
      <c r="S6710" s="350"/>
      <c r="BF6710" s="350"/>
      <c r="BG6710" s="350"/>
      <c r="BH6710" s="350"/>
    </row>
    <row r="6711" spans="4:60">
      <c r="D6711" s="350"/>
      <c r="S6711" s="350"/>
      <c r="BF6711" s="350"/>
      <c r="BG6711" s="350"/>
      <c r="BH6711" s="350"/>
    </row>
    <row r="6712" spans="4:60">
      <c r="D6712" s="350"/>
      <c r="S6712" s="350"/>
      <c r="BF6712" s="350"/>
      <c r="BG6712" s="350"/>
      <c r="BH6712" s="350"/>
    </row>
    <row r="6713" spans="4:60">
      <c r="D6713" s="350"/>
      <c r="S6713" s="350"/>
      <c r="BF6713" s="350"/>
      <c r="BG6713" s="350"/>
      <c r="BH6713" s="350"/>
    </row>
    <row r="6714" spans="4:60">
      <c r="D6714" s="350"/>
      <c r="S6714" s="350"/>
      <c r="BF6714" s="350"/>
      <c r="BG6714" s="350"/>
      <c r="BH6714" s="350"/>
    </row>
    <row r="6715" spans="4:60">
      <c r="D6715" s="350"/>
      <c r="S6715" s="350"/>
      <c r="BF6715" s="350"/>
      <c r="BG6715" s="350"/>
      <c r="BH6715" s="350"/>
    </row>
    <row r="6716" spans="4:60">
      <c r="D6716" s="350"/>
      <c r="S6716" s="350"/>
      <c r="BF6716" s="350"/>
      <c r="BG6716" s="350"/>
      <c r="BH6716" s="350"/>
    </row>
    <row r="6717" spans="4:60">
      <c r="D6717" s="350"/>
      <c r="S6717" s="350"/>
      <c r="BF6717" s="350"/>
      <c r="BG6717" s="350"/>
      <c r="BH6717" s="350"/>
    </row>
    <row r="6718" spans="4:60">
      <c r="D6718" s="350"/>
      <c r="S6718" s="350"/>
      <c r="BF6718" s="350"/>
      <c r="BG6718" s="350"/>
      <c r="BH6718" s="350"/>
    </row>
    <row r="6719" spans="4:60">
      <c r="D6719" s="350"/>
      <c r="S6719" s="350"/>
      <c r="BF6719" s="350"/>
      <c r="BG6719" s="350"/>
      <c r="BH6719" s="350"/>
    </row>
    <row r="6720" spans="4:60">
      <c r="D6720" s="350"/>
      <c r="S6720" s="350"/>
      <c r="BF6720" s="350"/>
      <c r="BG6720" s="350"/>
      <c r="BH6720" s="350"/>
    </row>
    <row r="6721" spans="4:60">
      <c r="D6721" s="350"/>
      <c r="S6721" s="350"/>
      <c r="BF6721" s="350"/>
      <c r="BG6721" s="350"/>
      <c r="BH6721" s="350"/>
    </row>
    <row r="6722" spans="4:60">
      <c r="D6722" s="350"/>
      <c r="S6722" s="350"/>
      <c r="BF6722" s="350"/>
      <c r="BG6722" s="350"/>
      <c r="BH6722" s="350"/>
    </row>
    <row r="6723" spans="4:60">
      <c r="D6723" s="350"/>
      <c r="S6723" s="350"/>
      <c r="BF6723" s="350"/>
      <c r="BG6723" s="350"/>
      <c r="BH6723" s="350"/>
    </row>
    <row r="6724" spans="4:60">
      <c r="D6724" s="350"/>
      <c r="S6724" s="350"/>
      <c r="BF6724" s="350"/>
      <c r="BG6724" s="350"/>
      <c r="BH6724" s="350"/>
    </row>
    <row r="6725" spans="4:60">
      <c r="D6725" s="350"/>
      <c r="S6725" s="350"/>
      <c r="BF6725" s="350"/>
      <c r="BG6725" s="350"/>
      <c r="BH6725" s="350"/>
    </row>
    <row r="6726" spans="4:60">
      <c r="D6726" s="350"/>
      <c r="S6726" s="350"/>
      <c r="BF6726" s="350"/>
      <c r="BG6726" s="350"/>
      <c r="BH6726" s="350"/>
    </row>
    <row r="6727" spans="4:60">
      <c r="D6727" s="350"/>
      <c r="S6727" s="350"/>
      <c r="BF6727" s="350"/>
      <c r="BG6727" s="350"/>
      <c r="BH6727" s="350"/>
    </row>
    <row r="6728" spans="4:60">
      <c r="D6728" s="350"/>
      <c r="S6728" s="350"/>
      <c r="BF6728" s="350"/>
      <c r="BG6728" s="350"/>
      <c r="BH6728" s="350"/>
    </row>
    <row r="6729" spans="4:60">
      <c r="D6729" s="350"/>
      <c r="S6729" s="350"/>
      <c r="BF6729" s="350"/>
      <c r="BG6729" s="350"/>
      <c r="BH6729" s="350"/>
    </row>
    <row r="6730" spans="4:60">
      <c r="D6730" s="350"/>
      <c r="S6730" s="350"/>
      <c r="BF6730" s="350"/>
      <c r="BG6730" s="350"/>
      <c r="BH6730" s="350"/>
    </row>
    <row r="6731" spans="4:60">
      <c r="D6731" s="350"/>
      <c r="S6731" s="350"/>
      <c r="BF6731" s="350"/>
      <c r="BG6731" s="350"/>
      <c r="BH6731" s="350"/>
    </row>
    <row r="6732" spans="4:60">
      <c r="D6732" s="350"/>
      <c r="S6732" s="350"/>
      <c r="BF6732" s="350"/>
      <c r="BG6732" s="350"/>
      <c r="BH6732" s="350"/>
    </row>
    <row r="6733" spans="4:60">
      <c r="D6733" s="350"/>
      <c r="S6733" s="350"/>
      <c r="BF6733" s="350"/>
      <c r="BG6733" s="350"/>
      <c r="BH6733" s="350"/>
    </row>
    <row r="6734" spans="4:60">
      <c r="D6734" s="350"/>
      <c r="S6734" s="350"/>
      <c r="BF6734" s="350"/>
      <c r="BG6734" s="350"/>
      <c r="BH6734" s="350"/>
    </row>
    <row r="6735" spans="4:60">
      <c r="D6735" s="350"/>
      <c r="S6735" s="350"/>
      <c r="BF6735" s="350"/>
      <c r="BG6735" s="350"/>
      <c r="BH6735" s="350"/>
    </row>
    <row r="6736" spans="4:60">
      <c r="D6736" s="350"/>
      <c r="S6736" s="350"/>
      <c r="BF6736" s="350"/>
      <c r="BG6736" s="350"/>
      <c r="BH6736" s="350"/>
    </row>
    <row r="6737" spans="4:60">
      <c r="D6737" s="350"/>
      <c r="S6737" s="350"/>
      <c r="BF6737" s="350"/>
      <c r="BG6737" s="350"/>
      <c r="BH6737" s="350"/>
    </row>
    <row r="6738" spans="4:60">
      <c r="D6738" s="350"/>
      <c r="S6738" s="350"/>
      <c r="BF6738" s="350"/>
      <c r="BG6738" s="350"/>
      <c r="BH6738" s="350"/>
    </row>
    <row r="6739" spans="4:60">
      <c r="D6739" s="350"/>
      <c r="S6739" s="350"/>
      <c r="BF6739" s="350"/>
      <c r="BG6739" s="350"/>
      <c r="BH6739" s="350"/>
    </row>
    <row r="6740" spans="4:60">
      <c r="D6740" s="350"/>
      <c r="S6740" s="350"/>
      <c r="BF6740" s="350"/>
      <c r="BG6740" s="350"/>
      <c r="BH6740" s="350"/>
    </row>
    <row r="6741" spans="4:60">
      <c r="D6741" s="350"/>
      <c r="S6741" s="350"/>
      <c r="BF6741" s="350"/>
      <c r="BG6741" s="350"/>
      <c r="BH6741" s="350"/>
    </row>
    <row r="6742" spans="4:60">
      <c r="D6742" s="350"/>
      <c r="S6742" s="350"/>
      <c r="BF6742" s="350"/>
      <c r="BG6742" s="350"/>
      <c r="BH6742" s="350"/>
    </row>
    <row r="6743" spans="4:60">
      <c r="D6743" s="350"/>
      <c r="S6743" s="350"/>
      <c r="BF6743" s="350"/>
      <c r="BG6743" s="350"/>
      <c r="BH6743" s="350"/>
    </row>
    <row r="6744" spans="4:60">
      <c r="D6744" s="350"/>
      <c r="S6744" s="350"/>
      <c r="BF6744" s="350"/>
      <c r="BG6744" s="350"/>
      <c r="BH6744" s="350"/>
    </row>
    <row r="6745" spans="4:60">
      <c r="D6745" s="350"/>
      <c r="S6745" s="350"/>
      <c r="BF6745" s="350"/>
      <c r="BG6745" s="350"/>
      <c r="BH6745" s="350"/>
    </row>
    <row r="6746" spans="4:60">
      <c r="D6746" s="350"/>
      <c r="S6746" s="350"/>
      <c r="BF6746" s="350"/>
      <c r="BG6746" s="350"/>
      <c r="BH6746" s="350"/>
    </row>
    <row r="6747" spans="4:60">
      <c r="D6747" s="350"/>
      <c r="S6747" s="350"/>
      <c r="BF6747" s="350"/>
      <c r="BG6747" s="350"/>
      <c r="BH6747" s="350"/>
    </row>
    <row r="6748" spans="4:60">
      <c r="D6748" s="350"/>
      <c r="S6748" s="350"/>
      <c r="BF6748" s="350"/>
      <c r="BG6748" s="350"/>
      <c r="BH6748" s="350"/>
    </row>
    <row r="6749" spans="4:60">
      <c r="D6749" s="350"/>
      <c r="S6749" s="350"/>
      <c r="BF6749" s="350"/>
      <c r="BG6749" s="350"/>
      <c r="BH6749" s="350"/>
    </row>
    <row r="6750" spans="4:60">
      <c r="D6750" s="350"/>
      <c r="S6750" s="350"/>
      <c r="BF6750" s="350"/>
      <c r="BG6750" s="350"/>
      <c r="BH6750" s="350"/>
    </row>
    <row r="6751" spans="4:60">
      <c r="D6751" s="350"/>
      <c r="S6751" s="350"/>
      <c r="BF6751" s="350"/>
      <c r="BG6751" s="350"/>
      <c r="BH6751" s="350"/>
    </row>
    <row r="6756" spans="4:60">
      <c r="D6756" s="350"/>
      <c r="S6756" s="350"/>
      <c r="BF6756" s="350"/>
      <c r="BG6756" s="350"/>
      <c r="BH6756" s="350"/>
    </row>
    <row r="6757" spans="4:60">
      <c r="D6757" s="350"/>
      <c r="S6757" s="350"/>
      <c r="BF6757" s="350"/>
      <c r="BG6757" s="350"/>
      <c r="BH6757" s="350"/>
    </row>
    <row r="6760" spans="4:60">
      <c r="D6760" s="350"/>
      <c r="S6760" s="350"/>
      <c r="BF6760" s="350"/>
      <c r="BG6760" s="350"/>
      <c r="BH6760" s="350"/>
    </row>
    <row r="6761" spans="4:60">
      <c r="D6761" s="350"/>
      <c r="S6761" s="350"/>
      <c r="BF6761" s="350"/>
      <c r="BG6761" s="350"/>
      <c r="BH6761" s="350"/>
    </row>
    <row r="6762" spans="4:60">
      <c r="D6762" s="350"/>
      <c r="S6762" s="350"/>
      <c r="BF6762" s="350"/>
      <c r="BG6762" s="350"/>
      <c r="BH6762" s="350"/>
    </row>
    <row r="6763" spans="4:60">
      <c r="D6763" s="350"/>
      <c r="S6763" s="350"/>
      <c r="BF6763" s="350"/>
      <c r="BG6763" s="350"/>
      <c r="BH6763" s="350"/>
    </row>
    <row r="6764" spans="4:60">
      <c r="D6764" s="350"/>
      <c r="S6764" s="350"/>
      <c r="BF6764" s="350"/>
      <c r="BG6764" s="350"/>
      <c r="BH6764" s="350"/>
    </row>
    <row r="6765" spans="4:60">
      <c r="D6765" s="350"/>
      <c r="S6765" s="350"/>
      <c r="BF6765" s="350"/>
      <c r="BG6765" s="350"/>
      <c r="BH6765" s="350"/>
    </row>
    <row r="6766" spans="4:60">
      <c r="D6766" s="350"/>
      <c r="S6766" s="350"/>
      <c r="BF6766" s="350"/>
      <c r="BG6766" s="350"/>
      <c r="BH6766" s="350"/>
    </row>
    <row r="6767" spans="4:60">
      <c r="D6767" s="350"/>
      <c r="S6767" s="350"/>
      <c r="BF6767" s="350"/>
      <c r="BG6767" s="350"/>
      <c r="BH6767" s="350"/>
    </row>
    <row r="6768" spans="4:60">
      <c r="D6768" s="350"/>
      <c r="S6768" s="350"/>
      <c r="BF6768" s="350"/>
      <c r="BG6768" s="350"/>
      <c r="BH6768" s="350"/>
    </row>
    <row r="6769" spans="4:60">
      <c r="D6769" s="350"/>
      <c r="S6769" s="350"/>
      <c r="BF6769" s="350"/>
      <c r="BG6769" s="350"/>
      <c r="BH6769" s="350"/>
    </row>
    <row r="6770" spans="4:60">
      <c r="D6770" s="350"/>
      <c r="S6770" s="350"/>
      <c r="BF6770" s="350"/>
      <c r="BG6770" s="350"/>
      <c r="BH6770" s="350"/>
    </row>
    <row r="6771" spans="4:60">
      <c r="D6771" s="350"/>
      <c r="S6771" s="350"/>
      <c r="BF6771" s="350"/>
      <c r="BG6771" s="350"/>
      <c r="BH6771" s="350"/>
    </row>
    <row r="6772" spans="4:60">
      <c r="D6772" s="350"/>
      <c r="S6772" s="350"/>
      <c r="BF6772" s="350"/>
      <c r="BG6772" s="350"/>
      <c r="BH6772" s="350"/>
    </row>
    <row r="6773" spans="4:60">
      <c r="D6773" s="350"/>
      <c r="S6773" s="350"/>
      <c r="BF6773" s="350"/>
      <c r="BG6773" s="350"/>
      <c r="BH6773" s="350"/>
    </row>
    <row r="6774" spans="4:60">
      <c r="D6774" s="350"/>
      <c r="S6774" s="350"/>
      <c r="BF6774" s="350"/>
      <c r="BG6774" s="350"/>
      <c r="BH6774" s="350"/>
    </row>
    <row r="6775" spans="4:60">
      <c r="D6775" s="350"/>
      <c r="S6775" s="350"/>
      <c r="BF6775" s="350"/>
      <c r="BG6775" s="350"/>
      <c r="BH6775" s="350"/>
    </row>
    <row r="6776" spans="4:60">
      <c r="D6776" s="350"/>
      <c r="S6776" s="350"/>
      <c r="BF6776" s="350"/>
      <c r="BG6776" s="350"/>
      <c r="BH6776" s="350"/>
    </row>
    <row r="6777" spans="4:60">
      <c r="D6777" s="350"/>
      <c r="S6777" s="350"/>
      <c r="BF6777" s="350"/>
      <c r="BG6777" s="350"/>
      <c r="BH6777" s="350"/>
    </row>
    <row r="6780" spans="4:60">
      <c r="D6780" s="350"/>
      <c r="S6780" s="350"/>
      <c r="BF6780" s="350"/>
      <c r="BG6780" s="350"/>
      <c r="BH6780" s="350"/>
    </row>
    <row r="6781" spans="4:60">
      <c r="D6781" s="350"/>
      <c r="S6781" s="350"/>
      <c r="BF6781" s="350"/>
      <c r="BG6781" s="350"/>
      <c r="BH6781" s="350"/>
    </row>
    <row r="6786" spans="4:60">
      <c r="D6786" s="350"/>
      <c r="S6786" s="350"/>
      <c r="BF6786" s="350"/>
      <c r="BG6786" s="350"/>
      <c r="BH6786" s="350"/>
    </row>
    <row r="6787" spans="4:60">
      <c r="D6787" s="350"/>
      <c r="S6787" s="350"/>
      <c r="BF6787" s="350"/>
      <c r="BG6787" s="350"/>
      <c r="BH6787" s="350"/>
    </row>
    <row r="6788" spans="4:60">
      <c r="D6788" s="350"/>
      <c r="S6788" s="350"/>
      <c r="BF6788" s="350"/>
      <c r="BG6788" s="350"/>
      <c r="BH6788" s="350"/>
    </row>
    <row r="6789" spans="4:60">
      <c r="D6789" s="350"/>
      <c r="S6789" s="350"/>
      <c r="BF6789" s="350"/>
      <c r="BG6789" s="350"/>
      <c r="BH6789" s="350"/>
    </row>
    <row r="6790" spans="4:60">
      <c r="D6790" s="350"/>
      <c r="S6790" s="350"/>
      <c r="BF6790" s="350"/>
      <c r="BG6790" s="350"/>
      <c r="BH6790" s="350"/>
    </row>
    <row r="6791" spans="4:60">
      <c r="D6791" s="350"/>
      <c r="S6791" s="350"/>
      <c r="BF6791" s="350"/>
      <c r="BG6791" s="350"/>
      <c r="BH6791" s="350"/>
    </row>
    <row r="6792" spans="4:60">
      <c r="D6792" s="350"/>
      <c r="S6792" s="350"/>
      <c r="BF6792" s="350"/>
      <c r="BG6792" s="350"/>
      <c r="BH6792" s="350"/>
    </row>
    <row r="6793" spans="4:60">
      <c r="D6793" s="350"/>
      <c r="S6793" s="350"/>
      <c r="BF6793" s="350"/>
      <c r="BG6793" s="350"/>
      <c r="BH6793" s="350"/>
    </row>
    <row r="6794" spans="4:60">
      <c r="D6794" s="350"/>
      <c r="S6794" s="350"/>
      <c r="BF6794" s="350"/>
      <c r="BG6794" s="350"/>
      <c r="BH6794" s="350"/>
    </row>
    <row r="6795" spans="4:60">
      <c r="D6795" s="350"/>
      <c r="S6795" s="350"/>
      <c r="BF6795" s="350"/>
      <c r="BG6795" s="350"/>
      <c r="BH6795" s="350"/>
    </row>
    <row r="6796" spans="4:60">
      <c r="D6796" s="350"/>
      <c r="S6796" s="350"/>
      <c r="BF6796" s="350"/>
      <c r="BG6796" s="350"/>
      <c r="BH6796" s="350"/>
    </row>
    <row r="6797" spans="4:60">
      <c r="D6797" s="350"/>
      <c r="S6797" s="350"/>
      <c r="BF6797" s="350"/>
      <c r="BG6797" s="350"/>
      <c r="BH6797" s="350"/>
    </row>
    <row r="6798" spans="4:60">
      <c r="D6798" s="350"/>
      <c r="S6798" s="350"/>
      <c r="BF6798" s="350"/>
      <c r="BG6798" s="350"/>
      <c r="BH6798" s="350"/>
    </row>
    <row r="6799" spans="4:60">
      <c r="D6799" s="350"/>
      <c r="S6799" s="350"/>
      <c r="BF6799" s="350"/>
      <c r="BG6799" s="350"/>
      <c r="BH6799" s="350"/>
    </row>
    <row r="6800" spans="4:60">
      <c r="D6800" s="350"/>
      <c r="S6800" s="350"/>
      <c r="BF6800" s="350"/>
      <c r="BG6800" s="350"/>
      <c r="BH6800" s="350"/>
    </row>
    <row r="6801" spans="4:60">
      <c r="D6801" s="350"/>
      <c r="S6801" s="350"/>
      <c r="BF6801" s="350"/>
      <c r="BG6801" s="350"/>
      <c r="BH6801" s="350"/>
    </row>
    <row r="6802" spans="4:60">
      <c r="D6802" s="350"/>
      <c r="S6802" s="350"/>
      <c r="BF6802" s="350"/>
      <c r="BG6802" s="350"/>
      <c r="BH6802" s="350"/>
    </row>
    <row r="6803" spans="4:60">
      <c r="D6803" s="350"/>
      <c r="S6803" s="350"/>
      <c r="BF6803" s="350"/>
      <c r="BG6803" s="350"/>
      <c r="BH6803" s="350"/>
    </row>
    <row r="6804" spans="4:60">
      <c r="D6804" s="350"/>
      <c r="S6804" s="350"/>
      <c r="BF6804" s="350"/>
      <c r="BG6804" s="350"/>
      <c r="BH6804" s="350"/>
    </row>
    <row r="6805" spans="4:60">
      <c r="D6805" s="350"/>
      <c r="S6805" s="350"/>
      <c r="BF6805" s="350"/>
      <c r="BG6805" s="350"/>
      <c r="BH6805" s="350"/>
    </row>
    <row r="6806" spans="4:60">
      <c r="D6806" s="350"/>
      <c r="S6806" s="350"/>
      <c r="BF6806" s="350"/>
      <c r="BG6806" s="350"/>
      <c r="BH6806" s="350"/>
    </row>
    <row r="6807" spans="4:60">
      <c r="D6807" s="350"/>
      <c r="S6807" s="350"/>
      <c r="BF6807" s="350"/>
      <c r="BG6807" s="350"/>
      <c r="BH6807" s="350"/>
    </row>
    <row r="6808" spans="4:60">
      <c r="D6808" s="350"/>
      <c r="S6808" s="350"/>
      <c r="BF6808" s="350"/>
      <c r="BG6808" s="350"/>
      <c r="BH6808" s="350"/>
    </row>
    <row r="6809" spans="4:60">
      <c r="D6809" s="350"/>
      <c r="S6809" s="350"/>
      <c r="BF6809" s="350"/>
      <c r="BG6809" s="350"/>
      <c r="BH6809" s="350"/>
    </row>
    <row r="6810" spans="4:60">
      <c r="D6810" s="350"/>
      <c r="S6810" s="350"/>
      <c r="BF6810" s="350"/>
      <c r="BG6810" s="350"/>
      <c r="BH6810" s="350"/>
    </row>
    <row r="6811" spans="4:60">
      <c r="D6811" s="350"/>
      <c r="S6811" s="350"/>
      <c r="BF6811" s="350"/>
      <c r="BG6811" s="350"/>
      <c r="BH6811" s="350"/>
    </row>
    <row r="6812" spans="4:60">
      <c r="D6812" s="350"/>
      <c r="S6812" s="350"/>
      <c r="BF6812" s="350"/>
      <c r="BG6812" s="350"/>
      <c r="BH6812" s="350"/>
    </row>
    <row r="6813" spans="4:60">
      <c r="D6813" s="350"/>
      <c r="S6813" s="350"/>
      <c r="BF6813" s="350"/>
      <c r="BG6813" s="350"/>
      <c r="BH6813" s="350"/>
    </row>
    <row r="6814" spans="4:60">
      <c r="D6814" s="350"/>
      <c r="S6814" s="350"/>
      <c r="BF6814" s="350"/>
      <c r="BG6814" s="350"/>
      <c r="BH6814" s="350"/>
    </row>
    <row r="6815" spans="4:60">
      <c r="D6815" s="350"/>
      <c r="S6815" s="350"/>
      <c r="BF6815" s="350"/>
      <c r="BG6815" s="350"/>
      <c r="BH6815" s="350"/>
    </row>
    <row r="6816" spans="4:60">
      <c r="D6816" s="350"/>
      <c r="S6816" s="350"/>
      <c r="BF6816" s="350"/>
      <c r="BG6816" s="350"/>
      <c r="BH6816" s="350"/>
    </row>
    <row r="6817" spans="4:60">
      <c r="D6817" s="350"/>
      <c r="S6817" s="350"/>
      <c r="BF6817" s="350"/>
      <c r="BG6817" s="350"/>
      <c r="BH6817" s="350"/>
    </row>
    <row r="6818" spans="4:60">
      <c r="D6818" s="350"/>
      <c r="S6818" s="350"/>
      <c r="BF6818" s="350"/>
      <c r="BG6818" s="350"/>
      <c r="BH6818" s="350"/>
    </row>
    <row r="6819" spans="4:60">
      <c r="D6819" s="350"/>
      <c r="S6819" s="350"/>
      <c r="BF6819" s="350"/>
      <c r="BG6819" s="350"/>
      <c r="BH6819" s="350"/>
    </row>
    <row r="6820" spans="4:60">
      <c r="D6820" s="350"/>
      <c r="S6820" s="350"/>
      <c r="BF6820" s="350"/>
      <c r="BG6820" s="350"/>
      <c r="BH6820" s="350"/>
    </row>
    <row r="6821" spans="4:60">
      <c r="D6821" s="350"/>
      <c r="S6821" s="350"/>
      <c r="BF6821" s="350"/>
      <c r="BG6821" s="350"/>
      <c r="BH6821" s="350"/>
    </row>
    <row r="6822" spans="4:60">
      <c r="D6822" s="350"/>
      <c r="S6822" s="350"/>
      <c r="BF6822" s="350"/>
      <c r="BG6822" s="350"/>
      <c r="BH6822" s="350"/>
    </row>
    <row r="6823" spans="4:60">
      <c r="D6823" s="350"/>
      <c r="S6823" s="350"/>
      <c r="BF6823" s="350"/>
      <c r="BG6823" s="350"/>
      <c r="BH6823" s="350"/>
    </row>
    <row r="6824" spans="4:60">
      <c r="D6824" s="350"/>
      <c r="S6824" s="350"/>
      <c r="BF6824" s="350"/>
      <c r="BG6824" s="350"/>
      <c r="BH6824" s="350"/>
    </row>
    <row r="6825" spans="4:60">
      <c r="D6825" s="350"/>
      <c r="S6825" s="350"/>
      <c r="BF6825" s="350"/>
      <c r="BG6825" s="350"/>
      <c r="BH6825" s="350"/>
    </row>
    <row r="6826" spans="4:60">
      <c r="D6826" s="350"/>
      <c r="S6826" s="350"/>
      <c r="BF6826" s="350"/>
      <c r="BG6826" s="350"/>
      <c r="BH6826" s="350"/>
    </row>
    <row r="6827" spans="4:60">
      <c r="D6827" s="350"/>
      <c r="S6827" s="350"/>
      <c r="BF6827" s="350"/>
      <c r="BG6827" s="350"/>
      <c r="BH6827" s="350"/>
    </row>
    <row r="6828" spans="4:60">
      <c r="D6828" s="350"/>
      <c r="S6828" s="350"/>
      <c r="BF6828" s="350"/>
      <c r="BG6828" s="350"/>
      <c r="BH6828" s="350"/>
    </row>
    <row r="6829" spans="4:60">
      <c r="D6829" s="350"/>
      <c r="S6829" s="350"/>
      <c r="BF6829" s="350"/>
      <c r="BG6829" s="350"/>
      <c r="BH6829" s="350"/>
    </row>
    <row r="6830" spans="4:60">
      <c r="D6830" s="350"/>
      <c r="S6830" s="350"/>
      <c r="BF6830" s="350"/>
      <c r="BG6830" s="350"/>
      <c r="BH6830" s="350"/>
    </row>
    <row r="6831" spans="4:60">
      <c r="D6831" s="350"/>
      <c r="S6831" s="350"/>
      <c r="BF6831" s="350"/>
      <c r="BG6831" s="350"/>
      <c r="BH6831" s="350"/>
    </row>
    <row r="6832" spans="4:60">
      <c r="D6832" s="350"/>
      <c r="S6832" s="350"/>
      <c r="BF6832" s="350"/>
      <c r="BG6832" s="350"/>
      <c r="BH6832" s="350"/>
    </row>
    <row r="6833" spans="4:60">
      <c r="D6833" s="350"/>
      <c r="S6833" s="350"/>
      <c r="BF6833" s="350"/>
      <c r="BG6833" s="350"/>
      <c r="BH6833" s="350"/>
    </row>
    <row r="6834" spans="4:60">
      <c r="D6834" s="350"/>
      <c r="S6834" s="350"/>
      <c r="BF6834" s="350"/>
      <c r="BG6834" s="350"/>
      <c r="BH6834" s="350"/>
    </row>
    <row r="6835" spans="4:60">
      <c r="D6835" s="350"/>
      <c r="S6835" s="350"/>
      <c r="BF6835" s="350"/>
      <c r="BG6835" s="350"/>
      <c r="BH6835" s="350"/>
    </row>
    <row r="6836" spans="4:60">
      <c r="D6836" s="350"/>
      <c r="S6836" s="350"/>
      <c r="BF6836" s="350"/>
      <c r="BG6836" s="350"/>
      <c r="BH6836" s="350"/>
    </row>
    <row r="6837" spans="4:60">
      <c r="D6837" s="350"/>
      <c r="S6837" s="350"/>
      <c r="BF6837" s="350"/>
      <c r="BG6837" s="350"/>
      <c r="BH6837" s="350"/>
    </row>
    <row r="6838" spans="4:60">
      <c r="D6838" s="350"/>
      <c r="S6838" s="350"/>
      <c r="BF6838" s="350"/>
      <c r="BG6838" s="350"/>
      <c r="BH6838" s="350"/>
    </row>
    <row r="6839" spans="4:60">
      <c r="D6839" s="350"/>
      <c r="S6839" s="350"/>
      <c r="BF6839" s="350"/>
      <c r="BG6839" s="350"/>
      <c r="BH6839" s="350"/>
    </row>
    <row r="6840" spans="4:60">
      <c r="D6840" s="350"/>
      <c r="S6840" s="350"/>
      <c r="BF6840" s="350"/>
      <c r="BG6840" s="350"/>
      <c r="BH6840" s="350"/>
    </row>
    <row r="6841" spans="4:60">
      <c r="D6841" s="350"/>
      <c r="S6841" s="350"/>
      <c r="BF6841" s="350"/>
      <c r="BG6841" s="350"/>
      <c r="BH6841" s="350"/>
    </row>
    <row r="6842" spans="4:60">
      <c r="D6842" s="350"/>
      <c r="S6842" s="350"/>
      <c r="BF6842" s="350"/>
      <c r="BG6842" s="350"/>
      <c r="BH6842" s="350"/>
    </row>
    <row r="6843" spans="4:60">
      <c r="D6843" s="350"/>
      <c r="S6843" s="350"/>
      <c r="BF6843" s="350"/>
      <c r="BG6843" s="350"/>
      <c r="BH6843" s="350"/>
    </row>
    <row r="6844" spans="4:60">
      <c r="D6844" s="350"/>
      <c r="S6844" s="350"/>
      <c r="BF6844" s="350"/>
      <c r="BG6844" s="350"/>
      <c r="BH6844" s="350"/>
    </row>
    <row r="6845" spans="4:60">
      <c r="D6845" s="350"/>
      <c r="S6845" s="350"/>
      <c r="BF6845" s="350"/>
      <c r="BG6845" s="350"/>
      <c r="BH6845" s="350"/>
    </row>
    <row r="6846" spans="4:60">
      <c r="D6846" s="350"/>
      <c r="S6846" s="350"/>
      <c r="BF6846" s="350"/>
      <c r="BG6846" s="350"/>
      <c r="BH6846" s="350"/>
    </row>
    <row r="6847" spans="4:60">
      <c r="D6847" s="350"/>
      <c r="S6847" s="350"/>
      <c r="BF6847" s="350"/>
      <c r="BG6847" s="350"/>
      <c r="BH6847" s="350"/>
    </row>
    <row r="6848" spans="4:60">
      <c r="D6848" s="350"/>
      <c r="S6848" s="350"/>
      <c r="BF6848" s="350"/>
      <c r="BG6848" s="350"/>
      <c r="BH6848" s="350"/>
    </row>
    <row r="6849" spans="4:60">
      <c r="D6849" s="350"/>
      <c r="S6849" s="350"/>
      <c r="BF6849" s="350"/>
      <c r="BG6849" s="350"/>
      <c r="BH6849" s="350"/>
    </row>
    <row r="6850" spans="4:60">
      <c r="D6850" s="350"/>
      <c r="S6850" s="350"/>
      <c r="BF6850" s="350"/>
      <c r="BG6850" s="350"/>
      <c r="BH6850" s="350"/>
    </row>
    <row r="6851" spans="4:60">
      <c r="D6851" s="350"/>
      <c r="S6851" s="350"/>
      <c r="BF6851" s="350"/>
      <c r="BG6851" s="350"/>
      <c r="BH6851" s="350"/>
    </row>
    <row r="6852" spans="4:60">
      <c r="D6852" s="350"/>
      <c r="S6852" s="350"/>
      <c r="BF6852" s="350"/>
      <c r="BG6852" s="350"/>
      <c r="BH6852" s="350"/>
    </row>
    <row r="6853" spans="4:60">
      <c r="D6853" s="350"/>
      <c r="S6853" s="350"/>
      <c r="BF6853" s="350"/>
      <c r="BG6853" s="350"/>
      <c r="BH6853" s="350"/>
    </row>
    <row r="6854" spans="4:60">
      <c r="D6854" s="350"/>
      <c r="S6854" s="350"/>
      <c r="BF6854" s="350"/>
      <c r="BG6854" s="350"/>
      <c r="BH6854" s="350"/>
    </row>
    <row r="6855" spans="4:60">
      <c r="D6855" s="350"/>
      <c r="S6855" s="350"/>
      <c r="BF6855" s="350"/>
      <c r="BG6855" s="350"/>
      <c r="BH6855" s="350"/>
    </row>
    <row r="6856" spans="4:60">
      <c r="D6856" s="350"/>
      <c r="S6856" s="350"/>
      <c r="BF6856" s="350"/>
      <c r="BG6856" s="350"/>
      <c r="BH6856" s="350"/>
    </row>
    <row r="6857" spans="4:60">
      <c r="D6857" s="350"/>
      <c r="S6857" s="350"/>
      <c r="BF6857" s="350"/>
      <c r="BG6857" s="350"/>
      <c r="BH6857" s="350"/>
    </row>
    <row r="6858" spans="4:60">
      <c r="D6858" s="350"/>
      <c r="S6858" s="350"/>
      <c r="BF6858" s="350"/>
      <c r="BG6858" s="350"/>
      <c r="BH6858" s="350"/>
    </row>
    <row r="6859" spans="4:60">
      <c r="D6859" s="350"/>
      <c r="S6859" s="350"/>
      <c r="BF6859" s="350"/>
      <c r="BG6859" s="350"/>
      <c r="BH6859" s="350"/>
    </row>
    <row r="6860" spans="4:60">
      <c r="D6860" s="350"/>
      <c r="S6860" s="350"/>
      <c r="BF6860" s="350"/>
      <c r="BG6860" s="350"/>
      <c r="BH6860" s="350"/>
    </row>
    <row r="6861" spans="4:60">
      <c r="D6861" s="350"/>
      <c r="S6861" s="350"/>
      <c r="BF6861" s="350"/>
      <c r="BG6861" s="350"/>
      <c r="BH6861" s="350"/>
    </row>
    <row r="6862" spans="4:60">
      <c r="D6862" s="350"/>
      <c r="S6862" s="350"/>
      <c r="BF6862" s="350"/>
      <c r="BG6862" s="350"/>
      <c r="BH6862" s="350"/>
    </row>
    <row r="6863" spans="4:60">
      <c r="D6863" s="350"/>
      <c r="S6863" s="350"/>
      <c r="BF6863" s="350"/>
      <c r="BG6863" s="350"/>
      <c r="BH6863" s="350"/>
    </row>
    <row r="6864" spans="4:60">
      <c r="D6864" s="350"/>
      <c r="S6864" s="350"/>
      <c r="BF6864" s="350"/>
      <c r="BG6864" s="350"/>
      <c r="BH6864" s="350"/>
    </row>
    <row r="6865" spans="4:60">
      <c r="D6865" s="350"/>
      <c r="S6865" s="350"/>
      <c r="BF6865" s="350"/>
      <c r="BG6865" s="350"/>
      <c r="BH6865" s="350"/>
    </row>
    <row r="6866" spans="4:60">
      <c r="D6866" s="350"/>
      <c r="S6866" s="350"/>
      <c r="BF6866" s="350"/>
      <c r="BG6866" s="350"/>
      <c r="BH6866" s="350"/>
    </row>
    <row r="6867" spans="4:60">
      <c r="D6867" s="350"/>
      <c r="S6867" s="350"/>
      <c r="BF6867" s="350"/>
      <c r="BG6867" s="350"/>
      <c r="BH6867" s="350"/>
    </row>
    <row r="6868" spans="4:60">
      <c r="D6868" s="350"/>
      <c r="S6868" s="350"/>
      <c r="BF6868" s="350"/>
      <c r="BG6868" s="350"/>
      <c r="BH6868" s="350"/>
    </row>
    <row r="6869" spans="4:60">
      <c r="D6869" s="350"/>
      <c r="S6869" s="350"/>
      <c r="BF6869" s="350"/>
      <c r="BG6869" s="350"/>
      <c r="BH6869" s="350"/>
    </row>
    <row r="6870" spans="4:60">
      <c r="D6870" s="350"/>
      <c r="S6870" s="350"/>
      <c r="BF6870" s="350"/>
      <c r="BG6870" s="350"/>
      <c r="BH6870" s="350"/>
    </row>
    <row r="6871" spans="4:60">
      <c r="D6871" s="350"/>
      <c r="S6871" s="350"/>
      <c r="BF6871" s="350"/>
      <c r="BG6871" s="350"/>
      <c r="BH6871" s="350"/>
    </row>
    <row r="6872" spans="4:60">
      <c r="D6872" s="350"/>
      <c r="S6872" s="350"/>
      <c r="BF6872" s="350"/>
      <c r="BG6872" s="350"/>
      <c r="BH6872" s="350"/>
    </row>
    <row r="6873" spans="4:60">
      <c r="D6873" s="350"/>
      <c r="S6873" s="350"/>
      <c r="BF6873" s="350"/>
      <c r="BG6873" s="350"/>
      <c r="BH6873" s="350"/>
    </row>
    <row r="6874" spans="4:60">
      <c r="D6874" s="350"/>
      <c r="S6874" s="350"/>
      <c r="BF6874" s="350"/>
      <c r="BG6874" s="350"/>
      <c r="BH6874" s="350"/>
    </row>
    <row r="6875" spans="4:60">
      <c r="D6875" s="350"/>
      <c r="S6875" s="350"/>
      <c r="BF6875" s="350"/>
      <c r="BG6875" s="350"/>
      <c r="BH6875" s="350"/>
    </row>
    <row r="6876" spans="4:60">
      <c r="D6876" s="350"/>
      <c r="S6876" s="350"/>
      <c r="BF6876" s="350"/>
      <c r="BG6876" s="350"/>
      <c r="BH6876" s="350"/>
    </row>
    <row r="6877" spans="4:60">
      <c r="D6877" s="350"/>
      <c r="S6877" s="350"/>
      <c r="BF6877" s="350"/>
      <c r="BG6877" s="350"/>
      <c r="BH6877" s="350"/>
    </row>
    <row r="6878" spans="4:60">
      <c r="D6878" s="350"/>
      <c r="S6878" s="350"/>
      <c r="BF6878" s="350"/>
      <c r="BG6878" s="350"/>
      <c r="BH6878" s="350"/>
    </row>
    <row r="6879" spans="4:60">
      <c r="D6879" s="350"/>
      <c r="S6879" s="350"/>
      <c r="BF6879" s="350"/>
      <c r="BG6879" s="350"/>
      <c r="BH6879" s="350"/>
    </row>
    <row r="6880" spans="4:60">
      <c r="D6880" s="350"/>
      <c r="S6880" s="350"/>
      <c r="BF6880" s="350"/>
      <c r="BG6880" s="350"/>
      <c r="BH6880" s="350"/>
    </row>
    <row r="6881" spans="4:60">
      <c r="D6881" s="350"/>
      <c r="S6881" s="350"/>
      <c r="BF6881" s="350"/>
      <c r="BG6881" s="350"/>
      <c r="BH6881" s="350"/>
    </row>
    <row r="6882" spans="4:60">
      <c r="D6882" s="350"/>
      <c r="S6882" s="350"/>
      <c r="BF6882" s="350"/>
      <c r="BG6882" s="350"/>
      <c r="BH6882" s="350"/>
    </row>
    <row r="6883" spans="4:60">
      <c r="D6883" s="350"/>
      <c r="S6883" s="350"/>
      <c r="BF6883" s="350"/>
      <c r="BG6883" s="350"/>
      <c r="BH6883" s="350"/>
    </row>
    <row r="6884" spans="4:60">
      <c r="D6884" s="350"/>
      <c r="S6884" s="350"/>
      <c r="BF6884" s="350"/>
      <c r="BG6884" s="350"/>
      <c r="BH6884" s="350"/>
    </row>
    <row r="6885" spans="4:60">
      <c r="D6885" s="350"/>
      <c r="S6885" s="350"/>
      <c r="BF6885" s="350"/>
      <c r="BG6885" s="350"/>
      <c r="BH6885" s="350"/>
    </row>
    <row r="6886" spans="4:60">
      <c r="D6886" s="350"/>
      <c r="S6886" s="350"/>
      <c r="BF6886" s="350"/>
      <c r="BG6886" s="350"/>
      <c r="BH6886" s="350"/>
    </row>
    <row r="6887" spans="4:60">
      <c r="D6887" s="350"/>
      <c r="S6887" s="350"/>
      <c r="BF6887" s="350"/>
      <c r="BG6887" s="350"/>
      <c r="BH6887" s="350"/>
    </row>
    <row r="6888" spans="4:60">
      <c r="D6888" s="350"/>
      <c r="S6888" s="350"/>
      <c r="BF6888" s="350"/>
      <c r="BG6888" s="350"/>
      <c r="BH6888" s="350"/>
    </row>
    <row r="6889" spans="4:60">
      <c r="D6889" s="350"/>
      <c r="S6889" s="350"/>
      <c r="BF6889" s="350"/>
      <c r="BG6889" s="350"/>
      <c r="BH6889" s="350"/>
    </row>
    <row r="6890" spans="4:60">
      <c r="D6890" s="350"/>
      <c r="S6890" s="350"/>
      <c r="BF6890" s="350"/>
      <c r="BG6890" s="350"/>
      <c r="BH6890" s="350"/>
    </row>
    <row r="6891" spans="4:60">
      <c r="D6891" s="350"/>
      <c r="S6891" s="350"/>
      <c r="BF6891" s="350"/>
      <c r="BG6891" s="350"/>
      <c r="BH6891" s="350"/>
    </row>
    <row r="6892" spans="4:60">
      <c r="D6892" s="350"/>
      <c r="S6892" s="350"/>
      <c r="BF6892" s="350"/>
      <c r="BG6892" s="350"/>
      <c r="BH6892" s="350"/>
    </row>
    <row r="6893" spans="4:60">
      <c r="D6893" s="350"/>
      <c r="S6893" s="350"/>
      <c r="BF6893" s="350"/>
      <c r="BG6893" s="350"/>
      <c r="BH6893" s="350"/>
    </row>
    <row r="6894" spans="4:60">
      <c r="D6894" s="350"/>
      <c r="S6894" s="350"/>
      <c r="BF6894" s="350"/>
      <c r="BG6894" s="350"/>
      <c r="BH6894" s="350"/>
    </row>
    <row r="6895" spans="4:60">
      <c r="D6895" s="350"/>
      <c r="S6895" s="350"/>
      <c r="BF6895" s="350"/>
      <c r="BG6895" s="350"/>
      <c r="BH6895" s="350"/>
    </row>
    <row r="6896" spans="4:60">
      <c r="D6896" s="350"/>
      <c r="S6896" s="350"/>
      <c r="BF6896" s="350"/>
      <c r="BG6896" s="350"/>
      <c r="BH6896" s="350"/>
    </row>
    <row r="6897" spans="4:60">
      <c r="D6897" s="350"/>
      <c r="S6897" s="350"/>
      <c r="BF6897" s="350"/>
      <c r="BG6897" s="350"/>
      <c r="BH6897" s="350"/>
    </row>
    <row r="6898" spans="4:60">
      <c r="D6898" s="350"/>
      <c r="S6898" s="350"/>
      <c r="BF6898" s="350"/>
      <c r="BG6898" s="350"/>
      <c r="BH6898" s="350"/>
    </row>
    <row r="6899" spans="4:60">
      <c r="D6899" s="350"/>
      <c r="S6899" s="350"/>
      <c r="BF6899" s="350"/>
      <c r="BG6899" s="350"/>
      <c r="BH6899" s="350"/>
    </row>
    <row r="6900" spans="4:60">
      <c r="D6900" s="350"/>
      <c r="S6900" s="350"/>
      <c r="BF6900" s="350"/>
      <c r="BG6900" s="350"/>
      <c r="BH6900" s="350"/>
    </row>
    <row r="6901" spans="4:60">
      <c r="D6901" s="350"/>
      <c r="S6901" s="350"/>
      <c r="BF6901" s="350"/>
      <c r="BG6901" s="350"/>
      <c r="BH6901" s="350"/>
    </row>
    <row r="6902" spans="4:60">
      <c r="D6902" s="350"/>
      <c r="S6902" s="350"/>
      <c r="BF6902" s="350"/>
      <c r="BG6902" s="350"/>
      <c r="BH6902" s="350"/>
    </row>
    <row r="6903" spans="4:60">
      <c r="D6903" s="350"/>
      <c r="S6903" s="350"/>
      <c r="BF6903" s="350"/>
      <c r="BG6903" s="350"/>
      <c r="BH6903" s="350"/>
    </row>
    <row r="6904" spans="4:60">
      <c r="D6904" s="350"/>
      <c r="S6904" s="350"/>
      <c r="BF6904" s="350"/>
      <c r="BG6904" s="350"/>
      <c r="BH6904" s="350"/>
    </row>
    <row r="6905" spans="4:60">
      <c r="D6905" s="350"/>
      <c r="S6905" s="350"/>
      <c r="BF6905" s="350"/>
      <c r="BG6905" s="350"/>
      <c r="BH6905" s="350"/>
    </row>
    <row r="6906" spans="4:60">
      <c r="D6906" s="350"/>
      <c r="S6906" s="350"/>
      <c r="BF6906" s="350"/>
      <c r="BG6906" s="350"/>
      <c r="BH6906" s="350"/>
    </row>
    <row r="6907" spans="4:60">
      <c r="D6907" s="350"/>
      <c r="S6907" s="350"/>
      <c r="BF6907" s="350"/>
      <c r="BG6907" s="350"/>
      <c r="BH6907" s="350"/>
    </row>
    <row r="6908" spans="4:60">
      <c r="D6908" s="350"/>
      <c r="S6908" s="350"/>
      <c r="BF6908" s="350"/>
      <c r="BG6908" s="350"/>
      <c r="BH6908" s="350"/>
    </row>
    <row r="6909" spans="4:60">
      <c r="D6909" s="350"/>
      <c r="S6909" s="350"/>
      <c r="BF6909" s="350"/>
      <c r="BG6909" s="350"/>
      <c r="BH6909" s="350"/>
    </row>
    <row r="6910" spans="4:60">
      <c r="D6910" s="350"/>
      <c r="S6910" s="350"/>
      <c r="BF6910" s="350"/>
      <c r="BG6910" s="350"/>
      <c r="BH6910" s="350"/>
    </row>
    <row r="6911" spans="4:60">
      <c r="D6911" s="350"/>
      <c r="S6911" s="350"/>
      <c r="BF6911" s="350"/>
      <c r="BG6911" s="350"/>
      <c r="BH6911" s="350"/>
    </row>
    <row r="6912" spans="4:60">
      <c r="D6912" s="350"/>
      <c r="S6912" s="350"/>
      <c r="BF6912" s="350"/>
      <c r="BG6912" s="350"/>
      <c r="BH6912" s="350"/>
    </row>
    <row r="6913" spans="4:60">
      <c r="D6913" s="350"/>
      <c r="S6913" s="350"/>
      <c r="BF6913" s="350"/>
      <c r="BG6913" s="350"/>
      <c r="BH6913" s="350"/>
    </row>
    <row r="6914" spans="4:60">
      <c r="D6914" s="350"/>
      <c r="S6914" s="350"/>
      <c r="BF6914" s="350"/>
      <c r="BG6914" s="350"/>
      <c r="BH6914" s="350"/>
    </row>
    <row r="6915" spans="4:60">
      <c r="D6915" s="350"/>
      <c r="S6915" s="350"/>
      <c r="BF6915" s="350"/>
      <c r="BG6915" s="350"/>
      <c r="BH6915" s="350"/>
    </row>
    <row r="6916" spans="4:60">
      <c r="D6916" s="350"/>
      <c r="S6916" s="350"/>
      <c r="BF6916" s="350"/>
      <c r="BG6916" s="350"/>
      <c r="BH6916" s="350"/>
    </row>
    <row r="6917" spans="4:60">
      <c r="D6917" s="350"/>
      <c r="S6917" s="350"/>
      <c r="BF6917" s="350"/>
      <c r="BG6917" s="350"/>
      <c r="BH6917" s="350"/>
    </row>
    <row r="6918" spans="4:60">
      <c r="D6918" s="350"/>
      <c r="S6918" s="350"/>
      <c r="BF6918" s="350"/>
      <c r="BG6918" s="350"/>
      <c r="BH6918" s="350"/>
    </row>
    <row r="6919" spans="4:60">
      <c r="D6919" s="350"/>
      <c r="S6919" s="350"/>
      <c r="BF6919" s="350"/>
      <c r="BG6919" s="350"/>
      <c r="BH6919" s="350"/>
    </row>
    <row r="6920" spans="4:60">
      <c r="D6920" s="350"/>
      <c r="S6920" s="350"/>
      <c r="BF6920" s="350"/>
      <c r="BG6920" s="350"/>
      <c r="BH6920" s="350"/>
    </row>
    <row r="6921" spans="4:60">
      <c r="D6921" s="350"/>
      <c r="S6921" s="350"/>
      <c r="BF6921" s="350"/>
      <c r="BG6921" s="350"/>
      <c r="BH6921" s="350"/>
    </row>
    <row r="6922" spans="4:60">
      <c r="D6922" s="350"/>
      <c r="S6922" s="350"/>
      <c r="BF6922" s="350"/>
      <c r="BG6922" s="350"/>
      <c r="BH6922" s="350"/>
    </row>
    <row r="6923" spans="4:60">
      <c r="D6923" s="350"/>
      <c r="S6923" s="350"/>
      <c r="BF6923" s="350"/>
      <c r="BG6923" s="350"/>
      <c r="BH6923" s="350"/>
    </row>
    <row r="6924" spans="4:60">
      <c r="D6924" s="350"/>
      <c r="S6924" s="350"/>
      <c r="BF6924" s="350"/>
      <c r="BG6924" s="350"/>
      <c r="BH6924" s="350"/>
    </row>
    <row r="6925" spans="4:60">
      <c r="D6925" s="350"/>
      <c r="S6925" s="350"/>
      <c r="BF6925" s="350"/>
      <c r="BG6925" s="350"/>
      <c r="BH6925" s="350"/>
    </row>
    <row r="6926" spans="4:60">
      <c r="D6926" s="350"/>
      <c r="S6926" s="350"/>
      <c r="BF6926" s="350"/>
      <c r="BG6926" s="350"/>
      <c r="BH6926" s="350"/>
    </row>
    <row r="6927" spans="4:60">
      <c r="D6927" s="350"/>
      <c r="S6927" s="350"/>
      <c r="BF6927" s="350"/>
      <c r="BG6927" s="350"/>
      <c r="BH6927" s="350"/>
    </row>
    <row r="6928" spans="4:60">
      <c r="D6928" s="350"/>
      <c r="S6928" s="350"/>
      <c r="BF6928" s="350"/>
      <c r="BG6928" s="350"/>
      <c r="BH6928" s="350"/>
    </row>
    <row r="6929" spans="4:60">
      <c r="D6929" s="350"/>
      <c r="S6929" s="350"/>
      <c r="BF6929" s="350"/>
      <c r="BG6929" s="350"/>
      <c r="BH6929" s="350"/>
    </row>
    <row r="6930" spans="4:60">
      <c r="D6930" s="350"/>
      <c r="S6930" s="350"/>
      <c r="BF6930" s="350"/>
      <c r="BG6930" s="350"/>
      <c r="BH6930" s="350"/>
    </row>
    <row r="6931" spans="4:60">
      <c r="D6931" s="350"/>
      <c r="S6931" s="350"/>
      <c r="BF6931" s="350"/>
      <c r="BG6931" s="350"/>
      <c r="BH6931" s="350"/>
    </row>
    <row r="6932" spans="4:60">
      <c r="D6932" s="350"/>
      <c r="S6932" s="350"/>
      <c r="BF6932" s="350"/>
      <c r="BG6932" s="350"/>
      <c r="BH6932" s="350"/>
    </row>
    <row r="6933" spans="4:60">
      <c r="D6933" s="350"/>
      <c r="S6933" s="350"/>
      <c r="BF6933" s="350"/>
      <c r="BG6933" s="350"/>
      <c r="BH6933" s="350"/>
    </row>
    <row r="6934" spans="4:60">
      <c r="D6934" s="350"/>
      <c r="S6934" s="350"/>
      <c r="BF6934" s="350"/>
      <c r="BG6934" s="350"/>
      <c r="BH6934" s="350"/>
    </row>
    <row r="6935" spans="4:60">
      <c r="D6935" s="350"/>
      <c r="S6935" s="350"/>
      <c r="BF6935" s="350"/>
      <c r="BG6935" s="350"/>
      <c r="BH6935" s="350"/>
    </row>
    <row r="6936" spans="4:60">
      <c r="D6936" s="350"/>
      <c r="S6936" s="350"/>
      <c r="BF6936" s="350"/>
      <c r="BG6936" s="350"/>
      <c r="BH6936" s="350"/>
    </row>
    <row r="6948" spans="4:60">
      <c r="D6948" s="350"/>
      <c r="S6948" s="350"/>
      <c r="BF6948" s="350"/>
      <c r="BG6948" s="350"/>
      <c r="BH6948" s="350"/>
    </row>
    <row r="6949" spans="4:60">
      <c r="D6949" s="350"/>
      <c r="S6949" s="350"/>
      <c r="BF6949" s="350"/>
      <c r="BG6949" s="350"/>
      <c r="BH6949" s="350"/>
    </row>
    <row r="6950" spans="4:60">
      <c r="D6950" s="350"/>
      <c r="S6950" s="350"/>
      <c r="BF6950" s="350"/>
      <c r="BG6950" s="350"/>
      <c r="BH6950" s="350"/>
    </row>
    <row r="6951" spans="4:60">
      <c r="D6951" s="350"/>
      <c r="S6951" s="350"/>
      <c r="BF6951" s="350"/>
      <c r="BG6951" s="350"/>
      <c r="BH6951" s="350"/>
    </row>
    <row r="6952" spans="4:60">
      <c r="D6952" s="350"/>
      <c r="S6952" s="350"/>
      <c r="BF6952" s="350"/>
      <c r="BG6952" s="350"/>
      <c r="BH6952" s="350"/>
    </row>
    <row r="6953" spans="4:60">
      <c r="D6953" s="350"/>
      <c r="S6953" s="350"/>
      <c r="BF6953" s="350"/>
      <c r="BG6953" s="350"/>
      <c r="BH6953" s="350"/>
    </row>
    <row r="6956" spans="4:60">
      <c r="D6956" s="350"/>
      <c r="S6956" s="350"/>
      <c r="BF6956" s="350"/>
      <c r="BG6956" s="350"/>
      <c r="BH6956" s="350"/>
    </row>
    <row r="6957" spans="4:60">
      <c r="D6957" s="350"/>
      <c r="S6957" s="350"/>
      <c r="BF6957" s="350"/>
      <c r="BG6957" s="350"/>
      <c r="BH6957" s="350"/>
    </row>
    <row r="6962" spans="4:60">
      <c r="D6962" s="350"/>
      <c r="S6962" s="350"/>
      <c r="BF6962" s="350"/>
      <c r="BG6962" s="350"/>
      <c r="BH6962" s="350"/>
    </row>
    <row r="6963" spans="4:60">
      <c r="D6963" s="350"/>
      <c r="S6963" s="350"/>
      <c r="BF6963" s="350"/>
      <c r="BG6963" s="350"/>
      <c r="BH6963" s="350"/>
    </row>
    <row r="6964" spans="4:60">
      <c r="D6964" s="350"/>
      <c r="S6964" s="350"/>
      <c r="BF6964" s="350"/>
      <c r="BG6964" s="350"/>
      <c r="BH6964" s="350"/>
    </row>
    <row r="6965" spans="4:60">
      <c r="D6965" s="350"/>
      <c r="S6965" s="350"/>
      <c r="BF6965" s="350"/>
      <c r="BG6965" s="350"/>
      <c r="BH6965" s="350"/>
    </row>
    <row r="6966" spans="4:60">
      <c r="D6966" s="350"/>
      <c r="S6966" s="350"/>
      <c r="BF6966" s="350"/>
      <c r="BG6966" s="350"/>
      <c r="BH6966" s="350"/>
    </row>
    <row r="6967" spans="4:60">
      <c r="D6967" s="350"/>
      <c r="S6967" s="350"/>
      <c r="BF6967" s="350"/>
      <c r="BG6967" s="350"/>
      <c r="BH6967" s="350"/>
    </row>
    <row r="6968" spans="4:60">
      <c r="D6968" s="350"/>
      <c r="S6968" s="350"/>
      <c r="BF6968" s="350"/>
      <c r="BG6968" s="350"/>
      <c r="BH6968" s="350"/>
    </row>
    <row r="6969" spans="4:60">
      <c r="D6969" s="350"/>
      <c r="S6969" s="350"/>
      <c r="BF6969" s="350"/>
      <c r="BG6969" s="350"/>
      <c r="BH6969" s="350"/>
    </row>
    <row r="6970" spans="4:60">
      <c r="D6970" s="350"/>
      <c r="S6970" s="350"/>
      <c r="BF6970" s="350"/>
      <c r="BG6970" s="350"/>
      <c r="BH6970" s="350"/>
    </row>
    <row r="6971" spans="4:60">
      <c r="D6971" s="350"/>
      <c r="S6971" s="350"/>
      <c r="BF6971" s="350"/>
      <c r="BG6971" s="350"/>
      <c r="BH6971" s="350"/>
    </row>
    <row r="6972" spans="4:60">
      <c r="D6972" s="350"/>
      <c r="S6972" s="350"/>
      <c r="BF6972" s="350"/>
      <c r="BG6972" s="350"/>
      <c r="BH6972" s="350"/>
    </row>
    <row r="6973" spans="4:60">
      <c r="D6973" s="350"/>
      <c r="S6973" s="350"/>
      <c r="BF6973" s="350"/>
      <c r="BG6973" s="350"/>
      <c r="BH6973" s="350"/>
    </row>
    <row r="6974" spans="4:60">
      <c r="D6974" s="350"/>
      <c r="S6974" s="350"/>
      <c r="BF6974" s="350"/>
      <c r="BG6974" s="350"/>
      <c r="BH6974" s="350"/>
    </row>
    <row r="6975" spans="4:60">
      <c r="D6975" s="350"/>
      <c r="S6975" s="350"/>
      <c r="BF6975" s="350"/>
      <c r="BG6975" s="350"/>
      <c r="BH6975" s="350"/>
    </row>
    <row r="6976" spans="4:60">
      <c r="D6976" s="350"/>
      <c r="S6976" s="350"/>
      <c r="BF6976" s="350"/>
      <c r="BG6976" s="350"/>
      <c r="BH6976" s="350"/>
    </row>
    <row r="6977" spans="4:60">
      <c r="D6977" s="350"/>
      <c r="S6977" s="350"/>
      <c r="BF6977" s="350"/>
      <c r="BG6977" s="350"/>
      <c r="BH6977" s="350"/>
    </row>
    <row r="6978" spans="4:60">
      <c r="D6978" s="350"/>
      <c r="S6978" s="350"/>
      <c r="BF6978" s="350"/>
      <c r="BG6978" s="350"/>
      <c r="BH6978" s="350"/>
    </row>
    <row r="6979" spans="4:60">
      <c r="D6979" s="350"/>
      <c r="S6979" s="350"/>
      <c r="BF6979" s="350"/>
      <c r="BG6979" s="350"/>
      <c r="BH6979" s="350"/>
    </row>
    <row r="6980" spans="4:60">
      <c r="D6980" s="350"/>
      <c r="S6980" s="350"/>
      <c r="BF6980" s="350"/>
      <c r="BG6980" s="350"/>
      <c r="BH6980" s="350"/>
    </row>
    <row r="6981" spans="4:60">
      <c r="D6981" s="350"/>
      <c r="S6981" s="350"/>
      <c r="BF6981" s="350"/>
      <c r="BG6981" s="350"/>
      <c r="BH6981" s="350"/>
    </row>
    <row r="6982" spans="4:60">
      <c r="D6982" s="350"/>
      <c r="S6982" s="350"/>
      <c r="BF6982" s="350"/>
      <c r="BG6982" s="350"/>
      <c r="BH6982" s="350"/>
    </row>
    <row r="6983" spans="4:60">
      <c r="D6983" s="350"/>
      <c r="S6983" s="350"/>
      <c r="BF6983" s="350"/>
      <c r="BG6983" s="350"/>
      <c r="BH6983" s="350"/>
    </row>
    <row r="6984" spans="4:60">
      <c r="D6984" s="350"/>
      <c r="S6984" s="350"/>
      <c r="BF6984" s="350"/>
      <c r="BG6984" s="350"/>
      <c r="BH6984" s="350"/>
    </row>
    <row r="6985" spans="4:60">
      <c r="D6985" s="350"/>
      <c r="S6985" s="350"/>
      <c r="BF6985" s="350"/>
      <c r="BG6985" s="350"/>
      <c r="BH6985" s="350"/>
    </row>
    <row r="6986" spans="4:60">
      <c r="D6986" s="350"/>
      <c r="S6986" s="350"/>
      <c r="BF6986" s="350"/>
      <c r="BG6986" s="350"/>
      <c r="BH6986" s="350"/>
    </row>
    <row r="6987" spans="4:60">
      <c r="D6987" s="350"/>
      <c r="S6987" s="350"/>
      <c r="BF6987" s="350"/>
      <c r="BG6987" s="350"/>
      <c r="BH6987" s="350"/>
    </row>
    <row r="6988" spans="4:60">
      <c r="D6988" s="350"/>
      <c r="S6988" s="350"/>
      <c r="BF6988" s="350"/>
      <c r="BG6988" s="350"/>
      <c r="BH6988" s="350"/>
    </row>
    <row r="6989" spans="4:60">
      <c r="D6989" s="350"/>
      <c r="S6989" s="350"/>
      <c r="BF6989" s="350"/>
      <c r="BG6989" s="350"/>
      <c r="BH6989" s="350"/>
    </row>
    <row r="6990" spans="4:60">
      <c r="D6990" s="350"/>
      <c r="S6990" s="350"/>
      <c r="BF6990" s="350"/>
      <c r="BG6990" s="350"/>
      <c r="BH6990" s="350"/>
    </row>
    <row r="6991" spans="4:60">
      <c r="D6991" s="350"/>
      <c r="S6991" s="350"/>
      <c r="BF6991" s="350"/>
      <c r="BG6991" s="350"/>
      <c r="BH6991" s="350"/>
    </row>
    <row r="6992" spans="4:60">
      <c r="D6992" s="350"/>
      <c r="S6992" s="350"/>
      <c r="BF6992" s="350"/>
      <c r="BG6992" s="350"/>
      <c r="BH6992" s="350"/>
    </row>
    <row r="6993" spans="4:60">
      <c r="D6993" s="350"/>
      <c r="S6993" s="350"/>
      <c r="BF6993" s="350"/>
      <c r="BG6993" s="350"/>
      <c r="BH6993" s="350"/>
    </row>
    <row r="6994" spans="4:60">
      <c r="D6994" s="350"/>
      <c r="S6994" s="350"/>
      <c r="BF6994" s="350"/>
      <c r="BG6994" s="350"/>
      <c r="BH6994" s="350"/>
    </row>
    <row r="6995" spans="4:60">
      <c r="D6995" s="350"/>
      <c r="S6995" s="350"/>
      <c r="BF6995" s="350"/>
      <c r="BG6995" s="350"/>
      <c r="BH6995" s="350"/>
    </row>
    <row r="6996" spans="4:60">
      <c r="D6996" s="350"/>
      <c r="S6996" s="350"/>
      <c r="BF6996" s="350"/>
      <c r="BG6996" s="350"/>
      <c r="BH6996" s="350"/>
    </row>
    <row r="6997" spans="4:60">
      <c r="D6997" s="350"/>
      <c r="S6997" s="350"/>
      <c r="BF6997" s="350"/>
      <c r="BG6997" s="350"/>
      <c r="BH6997" s="350"/>
    </row>
    <row r="6998" spans="4:60">
      <c r="D6998" s="350"/>
      <c r="S6998" s="350"/>
      <c r="BF6998" s="350"/>
      <c r="BG6998" s="350"/>
      <c r="BH6998" s="350"/>
    </row>
    <row r="6999" spans="4:60">
      <c r="D6999" s="350"/>
      <c r="S6999" s="350"/>
      <c r="BF6999" s="350"/>
      <c r="BG6999" s="350"/>
      <c r="BH6999" s="350"/>
    </row>
    <row r="7000" spans="4:60">
      <c r="D7000" s="350"/>
      <c r="S7000" s="350"/>
      <c r="BF7000" s="350"/>
      <c r="BG7000" s="350"/>
      <c r="BH7000" s="350"/>
    </row>
    <row r="7001" spans="4:60">
      <c r="D7001" s="350"/>
      <c r="S7001" s="350"/>
      <c r="BF7001" s="350"/>
      <c r="BG7001" s="350"/>
      <c r="BH7001" s="350"/>
    </row>
    <row r="7002" spans="4:60">
      <c r="D7002" s="350"/>
      <c r="S7002" s="350"/>
      <c r="BF7002" s="350"/>
      <c r="BG7002" s="350"/>
      <c r="BH7002" s="350"/>
    </row>
    <row r="7003" spans="4:60">
      <c r="D7003" s="350"/>
      <c r="S7003" s="350"/>
      <c r="BF7003" s="350"/>
      <c r="BG7003" s="350"/>
      <c r="BH7003" s="350"/>
    </row>
    <row r="7004" spans="4:60">
      <c r="D7004" s="350"/>
      <c r="S7004" s="350"/>
      <c r="BF7004" s="350"/>
      <c r="BG7004" s="350"/>
      <c r="BH7004" s="350"/>
    </row>
    <row r="7005" spans="4:60">
      <c r="D7005" s="350"/>
      <c r="S7005" s="350"/>
      <c r="BF7005" s="350"/>
      <c r="BG7005" s="350"/>
      <c r="BH7005" s="350"/>
    </row>
    <row r="7006" spans="4:60">
      <c r="D7006" s="350"/>
      <c r="S7006" s="350"/>
      <c r="BF7006" s="350"/>
      <c r="BG7006" s="350"/>
      <c r="BH7006" s="350"/>
    </row>
    <row r="7007" spans="4:60">
      <c r="D7007" s="350"/>
      <c r="S7007" s="350"/>
      <c r="BF7007" s="350"/>
      <c r="BG7007" s="350"/>
      <c r="BH7007" s="350"/>
    </row>
    <row r="7008" spans="4:60">
      <c r="D7008" s="350"/>
      <c r="S7008" s="350"/>
      <c r="BF7008" s="350"/>
      <c r="BG7008" s="350"/>
      <c r="BH7008" s="350"/>
    </row>
    <row r="7009" spans="4:60">
      <c r="D7009" s="350"/>
      <c r="S7009" s="350"/>
      <c r="BF7009" s="350"/>
      <c r="BG7009" s="350"/>
      <c r="BH7009" s="350"/>
    </row>
    <row r="7010" spans="4:60">
      <c r="D7010" s="350"/>
      <c r="S7010" s="350"/>
      <c r="BF7010" s="350"/>
      <c r="BG7010" s="350"/>
      <c r="BH7010" s="350"/>
    </row>
    <row r="7011" spans="4:60">
      <c r="D7011" s="350"/>
      <c r="S7011" s="350"/>
      <c r="BF7011" s="350"/>
      <c r="BG7011" s="350"/>
      <c r="BH7011" s="350"/>
    </row>
    <row r="7012" spans="4:60">
      <c r="D7012" s="350"/>
      <c r="S7012" s="350"/>
      <c r="BF7012" s="350"/>
      <c r="BG7012" s="350"/>
      <c r="BH7012" s="350"/>
    </row>
    <row r="7013" spans="4:60">
      <c r="D7013" s="350"/>
      <c r="S7013" s="350"/>
      <c r="BF7013" s="350"/>
      <c r="BG7013" s="350"/>
      <c r="BH7013" s="350"/>
    </row>
    <row r="7014" spans="4:60">
      <c r="D7014" s="350"/>
      <c r="S7014" s="350"/>
      <c r="BF7014" s="350"/>
      <c r="BG7014" s="350"/>
      <c r="BH7014" s="350"/>
    </row>
    <row r="7015" spans="4:60">
      <c r="D7015" s="350"/>
      <c r="S7015" s="350"/>
      <c r="BF7015" s="350"/>
      <c r="BG7015" s="350"/>
      <c r="BH7015" s="350"/>
    </row>
    <row r="7016" spans="4:60">
      <c r="D7016" s="350"/>
      <c r="S7016" s="350"/>
      <c r="BF7016" s="350"/>
      <c r="BG7016" s="350"/>
      <c r="BH7016" s="350"/>
    </row>
    <row r="7017" spans="4:60">
      <c r="D7017" s="350"/>
      <c r="S7017" s="350"/>
      <c r="BF7017" s="350"/>
      <c r="BG7017" s="350"/>
      <c r="BH7017" s="350"/>
    </row>
    <row r="7018" spans="4:60">
      <c r="D7018" s="350"/>
      <c r="S7018" s="350"/>
      <c r="BF7018" s="350"/>
      <c r="BG7018" s="350"/>
      <c r="BH7018" s="350"/>
    </row>
    <row r="7019" spans="4:60">
      <c r="D7019" s="350"/>
      <c r="S7019" s="350"/>
      <c r="BF7019" s="350"/>
      <c r="BG7019" s="350"/>
      <c r="BH7019" s="350"/>
    </row>
    <row r="7020" spans="4:60">
      <c r="D7020" s="350"/>
      <c r="S7020" s="350"/>
      <c r="BF7020" s="350"/>
      <c r="BG7020" s="350"/>
      <c r="BH7020" s="350"/>
    </row>
    <row r="7021" spans="4:60">
      <c r="D7021" s="350"/>
      <c r="S7021" s="350"/>
      <c r="BF7021" s="350"/>
      <c r="BG7021" s="350"/>
      <c r="BH7021" s="350"/>
    </row>
    <row r="7022" spans="4:60">
      <c r="D7022" s="350"/>
      <c r="S7022" s="350"/>
      <c r="BF7022" s="350"/>
      <c r="BG7022" s="350"/>
      <c r="BH7022" s="350"/>
    </row>
    <row r="7023" spans="4:60">
      <c r="D7023" s="350"/>
      <c r="S7023" s="350"/>
      <c r="BF7023" s="350"/>
      <c r="BG7023" s="350"/>
      <c r="BH7023" s="350"/>
    </row>
    <row r="7024" spans="4:60">
      <c r="D7024" s="350"/>
      <c r="S7024" s="350"/>
      <c r="BF7024" s="350"/>
      <c r="BG7024" s="350"/>
      <c r="BH7024" s="350"/>
    </row>
    <row r="7025" spans="4:60">
      <c r="D7025" s="350"/>
      <c r="S7025" s="350"/>
      <c r="BF7025" s="350"/>
      <c r="BG7025" s="350"/>
      <c r="BH7025" s="350"/>
    </row>
    <row r="7026" spans="4:60">
      <c r="D7026" s="350"/>
      <c r="S7026" s="350"/>
      <c r="BF7026" s="350"/>
      <c r="BG7026" s="350"/>
      <c r="BH7026" s="350"/>
    </row>
    <row r="7027" spans="4:60">
      <c r="D7027" s="350"/>
      <c r="S7027" s="350"/>
      <c r="BF7027" s="350"/>
      <c r="BG7027" s="350"/>
      <c r="BH7027" s="350"/>
    </row>
    <row r="7028" spans="4:60">
      <c r="D7028" s="350"/>
      <c r="S7028" s="350"/>
      <c r="BF7028" s="350"/>
      <c r="BG7028" s="350"/>
      <c r="BH7028" s="350"/>
    </row>
    <row r="7029" spans="4:60">
      <c r="D7029" s="350"/>
      <c r="S7029" s="350"/>
      <c r="BF7029" s="350"/>
      <c r="BG7029" s="350"/>
      <c r="BH7029" s="350"/>
    </row>
    <row r="7030" spans="4:60">
      <c r="D7030" s="350"/>
      <c r="S7030" s="350"/>
      <c r="BF7030" s="350"/>
      <c r="BG7030" s="350"/>
      <c r="BH7030" s="350"/>
    </row>
    <row r="7031" spans="4:60">
      <c r="D7031" s="350"/>
      <c r="S7031" s="350"/>
      <c r="BF7031" s="350"/>
      <c r="BG7031" s="350"/>
      <c r="BH7031" s="350"/>
    </row>
    <row r="7032" spans="4:60">
      <c r="D7032" s="350"/>
      <c r="S7032" s="350"/>
      <c r="BF7032" s="350"/>
      <c r="BG7032" s="350"/>
      <c r="BH7032" s="350"/>
    </row>
    <row r="7033" spans="4:60">
      <c r="D7033" s="350"/>
      <c r="S7033" s="350"/>
      <c r="BF7033" s="350"/>
      <c r="BG7033" s="350"/>
      <c r="BH7033" s="350"/>
    </row>
    <row r="7034" spans="4:60">
      <c r="D7034" s="350"/>
      <c r="S7034" s="350"/>
      <c r="BF7034" s="350"/>
      <c r="BG7034" s="350"/>
      <c r="BH7034" s="350"/>
    </row>
    <row r="7035" spans="4:60">
      <c r="D7035" s="350"/>
      <c r="S7035" s="350"/>
      <c r="BF7035" s="350"/>
      <c r="BG7035" s="350"/>
      <c r="BH7035" s="350"/>
    </row>
    <row r="7036" spans="4:60">
      <c r="D7036" s="350"/>
      <c r="S7036" s="350"/>
      <c r="BF7036" s="350"/>
      <c r="BG7036" s="350"/>
      <c r="BH7036" s="350"/>
    </row>
    <row r="7037" spans="4:60">
      <c r="D7037" s="350"/>
      <c r="S7037" s="350"/>
      <c r="BF7037" s="350"/>
      <c r="BG7037" s="350"/>
      <c r="BH7037" s="350"/>
    </row>
    <row r="7038" spans="4:60">
      <c r="D7038" s="350"/>
      <c r="S7038" s="350"/>
      <c r="BF7038" s="350"/>
      <c r="BG7038" s="350"/>
      <c r="BH7038" s="350"/>
    </row>
    <row r="7039" spans="4:60">
      <c r="D7039" s="350"/>
      <c r="S7039" s="350"/>
      <c r="BF7039" s="350"/>
      <c r="BG7039" s="350"/>
      <c r="BH7039" s="350"/>
    </row>
    <row r="7040" spans="4:60">
      <c r="D7040" s="350"/>
      <c r="S7040" s="350"/>
      <c r="BF7040" s="350"/>
      <c r="BG7040" s="350"/>
      <c r="BH7040" s="350"/>
    </row>
    <row r="7041" spans="4:60">
      <c r="D7041" s="350"/>
      <c r="S7041" s="350"/>
      <c r="BF7041" s="350"/>
      <c r="BG7041" s="350"/>
      <c r="BH7041" s="350"/>
    </row>
    <row r="7042" spans="4:60">
      <c r="D7042" s="350"/>
      <c r="S7042" s="350"/>
      <c r="BF7042" s="350"/>
      <c r="BG7042" s="350"/>
      <c r="BH7042" s="350"/>
    </row>
    <row r="7043" spans="4:60">
      <c r="D7043" s="350"/>
      <c r="S7043" s="350"/>
      <c r="BF7043" s="350"/>
      <c r="BG7043" s="350"/>
      <c r="BH7043" s="350"/>
    </row>
    <row r="7044" spans="4:60">
      <c r="D7044" s="350"/>
      <c r="S7044" s="350"/>
      <c r="BF7044" s="350"/>
      <c r="BG7044" s="350"/>
      <c r="BH7044" s="350"/>
    </row>
    <row r="7045" spans="4:60">
      <c r="D7045" s="350"/>
      <c r="S7045" s="350"/>
      <c r="BF7045" s="350"/>
      <c r="BG7045" s="350"/>
      <c r="BH7045" s="350"/>
    </row>
    <row r="7046" spans="4:60">
      <c r="D7046" s="350"/>
      <c r="S7046" s="350"/>
      <c r="BF7046" s="350"/>
      <c r="BG7046" s="350"/>
      <c r="BH7046" s="350"/>
    </row>
    <row r="7047" spans="4:60">
      <c r="D7047" s="350"/>
      <c r="S7047" s="350"/>
      <c r="BF7047" s="350"/>
      <c r="BG7047" s="350"/>
      <c r="BH7047" s="350"/>
    </row>
    <row r="7048" spans="4:60">
      <c r="D7048" s="350"/>
      <c r="S7048" s="350"/>
      <c r="BF7048" s="350"/>
      <c r="BG7048" s="350"/>
      <c r="BH7048" s="350"/>
    </row>
    <row r="7049" spans="4:60">
      <c r="D7049" s="350"/>
      <c r="S7049" s="350"/>
      <c r="BF7049" s="350"/>
      <c r="BG7049" s="350"/>
      <c r="BH7049" s="350"/>
    </row>
    <row r="7050" spans="4:60">
      <c r="D7050" s="350"/>
      <c r="S7050" s="350"/>
      <c r="BF7050" s="350"/>
      <c r="BG7050" s="350"/>
      <c r="BH7050" s="350"/>
    </row>
    <row r="7051" spans="4:60">
      <c r="D7051" s="350"/>
      <c r="S7051" s="350"/>
      <c r="BF7051" s="350"/>
      <c r="BG7051" s="350"/>
      <c r="BH7051" s="350"/>
    </row>
    <row r="7052" spans="4:60">
      <c r="D7052" s="350"/>
      <c r="S7052" s="350"/>
      <c r="BF7052" s="350"/>
      <c r="BG7052" s="350"/>
      <c r="BH7052" s="350"/>
    </row>
    <row r="7053" spans="4:60">
      <c r="D7053" s="350"/>
      <c r="S7053" s="350"/>
      <c r="BF7053" s="350"/>
      <c r="BG7053" s="350"/>
      <c r="BH7053" s="350"/>
    </row>
    <row r="7054" spans="4:60">
      <c r="D7054" s="350"/>
      <c r="S7054" s="350"/>
      <c r="BF7054" s="350"/>
      <c r="BG7054" s="350"/>
      <c r="BH7054" s="350"/>
    </row>
    <row r="7055" spans="4:60">
      <c r="D7055" s="350"/>
      <c r="S7055" s="350"/>
      <c r="BF7055" s="350"/>
      <c r="BG7055" s="350"/>
      <c r="BH7055" s="350"/>
    </row>
    <row r="7056" spans="4:60">
      <c r="D7056" s="350"/>
      <c r="S7056" s="350"/>
      <c r="BF7056" s="350"/>
      <c r="BG7056" s="350"/>
      <c r="BH7056" s="350"/>
    </row>
    <row r="7057" spans="4:60">
      <c r="D7057" s="350"/>
      <c r="S7057" s="350"/>
      <c r="BF7057" s="350"/>
      <c r="BG7057" s="350"/>
      <c r="BH7057" s="350"/>
    </row>
    <row r="7058" spans="4:60">
      <c r="D7058" s="350"/>
      <c r="S7058" s="350"/>
      <c r="BF7058" s="350"/>
      <c r="BG7058" s="350"/>
      <c r="BH7058" s="350"/>
    </row>
    <row r="7059" spans="4:60">
      <c r="D7059" s="350"/>
      <c r="S7059" s="350"/>
      <c r="BF7059" s="350"/>
      <c r="BG7059" s="350"/>
      <c r="BH7059" s="350"/>
    </row>
    <row r="7060" spans="4:60">
      <c r="D7060" s="350"/>
      <c r="S7060" s="350"/>
      <c r="BF7060" s="350"/>
      <c r="BG7060" s="350"/>
      <c r="BH7060" s="350"/>
    </row>
    <row r="7061" spans="4:60">
      <c r="D7061" s="350"/>
      <c r="S7061" s="350"/>
      <c r="BF7061" s="350"/>
      <c r="BG7061" s="350"/>
      <c r="BH7061" s="350"/>
    </row>
    <row r="7062" spans="4:60">
      <c r="D7062" s="350"/>
      <c r="S7062" s="350"/>
      <c r="BF7062" s="350"/>
      <c r="BG7062" s="350"/>
      <c r="BH7062" s="350"/>
    </row>
    <row r="7063" spans="4:60">
      <c r="D7063" s="350"/>
      <c r="S7063" s="350"/>
      <c r="BF7063" s="350"/>
      <c r="BG7063" s="350"/>
      <c r="BH7063" s="350"/>
    </row>
    <row r="7064" spans="4:60">
      <c r="D7064" s="350"/>
      <c r="S7064" s="350"/>
      <c r="BF7064" s="350"/>
      <c r="BG7064" s="350"/>
      <c r="BH7064" s="350"/>
    </row>
    <row r="7065" spans="4:60">
      <c r="D7065" s="350"/>
      <c r="S7065" s="350"/>
      <c r="BF7065" s="350"/>
      <c r="BG7065" s="350"/>
      <c r="BH7065" s="350"/>
    </row>
    <row r="7066" spans="4:60">
      <c r="D7066" s="350"/>
      <c r="S7066" s="350"/>
      <c r="BF7066" s="350"/>
      <c r="BG7066" s="350"/>
      <c r="BH7066" s="350"/>
    </row>
    <row r="7067" spans="4:60">
      <c r="D7067" s="350"/>
      <c r="S7067" s="350"/>
      <c r="BF7067" s="350"/>
      <c r="BG7067" s="350"/>
      <c r="BH7067" s="350"/>
    </row>
    <row r="7068" spans="4:60">
      <c r="D7068" s="350"/>
      <c r="S7068" s="350"/>
      <c r="BF7068" s="350"/>
      <c r="BG7068" s="350"/>
      <c r="BH7068" s="350"/>
    </row>
    <row r="7069" spans="4:60">
      <c r="D7069" s="350"/>
      <c r="S7069" s="350"/>
      <c r="BF7069" s="350"/>
      <c r="BG7069" s="350"/>
      <c r="BH7069" s="350"/>
    </row>
    <row r="7070" spans="4:60">
      <c r="D7070" s="350"/>
      <c r="S7070" s="350"/>
      <c r="BF7070" s="350"/>
      <c r="BG7070" s="350"/>
      <c r="BH7070" s="350"/>
    </row>
    <row r="7071" spans="4:60">
      <c r="D7071" s="350"/>
      <c r="S7071" s="350"/>
      <c r="BF7071" s="350"/>
      <c r="BG7071" s="350"/>
      <c r="BH7071" s="350"/>
    </row>
    <row r="7072" spans="4:60">
      <c r="D7072" s="350"/>
      <c r="S7072" s="350"/>
      <c r="BF7072" s="350"/>
      <c r="BG7072" s="350"/>
      <c r="BH7072" s="350"/>
    </row>
    <row r="7073" spans="4:60">
      <c r="D7073" s="350"/>
      <c r="S7073" s="350"/>
      <c r="BF7073" s="350"/>
      <c r="BG7073" s="350"/>
      <c r="BH7073" s="350"/>
    </row>
    <row r="7074" spans="4:60">
      <c r="D7074" s="350"/>
      <c r="S7074" s="350"/>
      <c r="BF7074" s="350"/>
      <c r="BG7074" s="350"/>
      <c r="BH7074" s="350"/>
    </row>
    <row r="7075" spans="4:60">
      <c r="D7075" s="350"/>
      <c r="S7075" s="350"/>
      <c r="BF7075" s="350"/>
      <c r="BG7075" s="350"/>
      <c r="BH7075" s="350"/>
    </row>
    <row r="7076" spans="4:60">
      <c r="D7076" s="350"/>
      <c r="S7076" s="350"/>
      <c r="BF7076" s="350"/>
      <c r="BG7076" s="350"/>
      <c r="BH7076" s="350"/>
    </row>
    <row r="7077" spans="4:60">
      <c r="D7077" s="350"/>
      <c r="S7077" s="350"/>
      <c r="BF7077" s="350"/>
      <c r="BG7077" s="350"/>
      <c r="BH7077" s="350"/>
    </row>
    <row r="7078" spans="4:60">
      <c r="D7078" s="350"/>
      <c r="S7078" s="350"/>
      <c r="BF7078" s="350"/>
      <c r="BG7078" s="350"/>
      <c r="BH7078" s="350"/>
    </row>
    <row r="7079" spans="4:60">
      <c r="D7079" s="350"/>
      <c r="S7079" s="350"/>
      <c r="BF7079" s="350"/>
      <c r="BG7079" s="350"/>
      <c r="BH7079" s="350"/>
    </row>
    <row r="7080" spans="4:60">
      <c r="D7080" s="350"/>
      <c r="S7080" s="350"/>
      <c r="BF7080" s="350"/>
      <c r="BG7080" s="350"/>
      <c r="BH7080" s="350"/>
    </row>
    <row r="7081" spans="4:60">
      <c r="D7081" s="350"/>
      <c r="S7081" s="350"/>
      <c r="BF7081" s="350"/>
      <c r="BG7081" s="350"/>
      <c r="BH7081" s="350"/>
    </row>
    <row r="7082" spans="4:60">
      <c r="D7082" s="350"/>
      <c r="S7082" s="350"/>
      <c r="BF7082" s="350"/>
      <c r="BG7082" s="350"/>
      <c r="BH7082" s="350"/>
    </row>
    <row r="7083" spans="4:60">
      <c r="D7083" s="350"/>
      <c r="S7083" s="350"/>
      <c r="BF7083" s="350"/>
      <c r="BG7083" s="350"/>
      <c r="BH7083" s="350"/>
    </row>
    <row r="7084" spans="4:60">
      <c r="D7084" s="350"/>
      <c r="S7084" s="350"/>
      <c r="BF7084" s="350"/>
      <c r="BG7084" s="350"/>
      <c r="BH7084" s="350"/>
    </row>
    <row r="7085" spans="4:60">
      <c r="D7085" s="350"/>
      <c r="S7085" s="350"/>
      <c r="BF7085" s="350"/>
      <c r="BG7085" s="350"/>
      <c r="BH7085" s="350"/>
    </row>
    <row r="7086" spans="4:60">
      <c r="D7086" s="350"/>
      <c r="S7086" s="350"/>
      <c r="BF7086" s="350"/>
      <c r="BG7086" s="350"/>
      <c r="BH7086" s="350"/>
    </row>
    <row r="7087" spans="4:60">
      <c r="D7087" s="350"/>
      <c r="S7087" s="350"/>
      <c r="BF7087" s="350"/>
      <c r="BG7087" s="350"/>
      <c r="BH7087" s="350"/>
    </row>
    <row r="7088" spans="4:60">
      <c r="D7088" s="350"/>
      <c r="S7088" s="350"/>
      <c r="BF7088" s="350"/>
      <c r="BG7088" s="350"/>
      <c r="BH7088" s="350"/>
    </row>
    <row r="7089" spans="4:60">
      <c r="D7089" s="350"/>
      <c r="S7089" s="350"/>
      <c r="BF7089" s="350"/>
      <c r="BG7089" s="350"/>
      <c r="BH7089" s="350"/>
    </row>
    <row r="7090" spans="4:60">
      <c r="D7090" s="350"/>
      <c r="S7090" s="350"/>
      <c r="BF7090" s="350"/>
      <c r="BG7090" s="350"/>
      <c r="BH7090" s="350"/>
    </row>
    <row r="7091" spans="4:60">
      <c r="D7091" s="350"/>
      <c r="S7091" s="350"/>
      <c r="BF7091" s="350"/>
      <c r="BG7091" s="350"/>
      <c r="BH7091" s="350"/>
    </row>
    <row r="7092" spans="4:60">
      <c r="D7092" s="350"/>
      <c r="S7092" s="350"/>
      <c r="BF7092" s="350"/>
      <c r="BG7092" s="350"/>
      <c r="BH7092" s="350"/>
    </row>
    <row r="7093" spans="4:60">
      <c r="D7093" s="350"/>
      <c r="S7093" s="350"/>
      <c r="BF7093" s="350"/>
      <c r="BG7093" s="350"/>
      <c r="BH7093" s="350"/>
    </row>
    <row r="7094" spans="4:60">
      <c r="D7094" s="350"/>
      <c r="S7094" s="350"/>
      <c r="BF7094" s="350"/>
      <c r="BG7094" s="350"/>
      <c r="BH7094" s="350"/>
    </row>
    <row r="7095" spans="4:60">
      <c r="D7095" s="350"/>
      <c r="S7095" s="350"/>
      <c r="BF7095" s="350"/>
      <c r="BG7095" s="350"/>
      <c r="BH7095" s="350"/>
    </row>
    <row r="7096" spans="4:60">
      <c r="D7096" s="350"/>
      <c r="S7096" s="350"/>
      <c r="BF7096" s="350"/>
      <c r="BG7096" s="350"/>
      <c r="BH7096" s="350"/>
    </row>
    <row r="7097" spans="4:60">
      <c r="D7097" s="350"/>
      <c r="S7097" s="350"/>
      <c r="BF7097" s="350"/>
      <c r="BG7097" s="350"/>
      <c r="BH7097" s="350"/>
    </row>
    <row r="7098" spans="4:60">
      <c r="D7098" s="350"/>
      <c r="S7098" s="350"/>
      <c r="BF7098" s="350"/>
      <c r="BG7098" s="350"/>
      <c r="BH7098" s="350"/>
    </row>
    <row r="7099" spans="4:60">
      <c r="D7099" s="350"/>
      <c r="S7099" s="350"/>
      <c r="BF7099" s="350"/>
      <c r="BG7099" s="350"/>
      <c r="BH7099" s="350"/>
    </row>
    <row r="7100" spans="4:60">
      <c r="D7100" s="350"/>
      <c r="S7100" s="350"/>
      <c r="BF7100" s="350"/>
      <c r="BG7100" s="350"/>
      <c r="BH7100" s="350"/>
    </row>
    <row r="7101" spans="4:60">
      <c r="D7101" s="350"/>
      <c r="S7101" s="350"/>
      <c r="BF7101" s="350"/>
      <c r="BG7101" s="350"/>
      <c r="BH7101" s="350"/>
    </row>
    <row r="7102" spans="4:60">
      <c r="D7102" s="350"/>
      <c r="S7102" s="350"/>
      <c r="BF7102" s="350"/>
      <c r="BG7102" s="350"/>
      <c r="BH7102" s="350"/>
    </row>
    <row r="7103" spans="4:60">
      <c r="D7103" s="350"/>
      <c r="S7103" s="350"/>
      <c r="BF7103" s="350"/>
      <c r="BG7103" s="350"/>
      <c r="BH7103" s="350"/>
    </row>
    <row r="7104" spans="4:60">
      <c r="D7104" s="350"/>
      <c r="S7104" s="350"/>
      <c r="BF7104" s="350"/>
      <c r="BG7104" s="350"/>
      <c r="BH7104" s="350"/>
    </row>
    <row r="7105" spans="4:60">
      <c r="D7105" s="350"/>
      <c r="S7105" s="350"/>
      <c r="BF7105" s="350"/>
      <c r="BG7105" s="350"/>
      <c r="BH7105" s="350"/>
    </row>
    <row r="7106" spans="4:60">
      <c r="D7106" s="350"/>
      <c r="S7106" s="350"/>
      <c r="BF7106" s="350"/>
      <c r="BG7106" s="350"/>
      <c r="BH7106" s="350"/>
    </row>
    <row r="7107" spans="4:60">
      <c r="D7107" s="350"/>
      <c r="S7107" s="350"/>
      <c r="BF7107" s="350"/>
      <c r="BG7107" s="350"/>
      <c r="BH7107" s="350"/>
    </row>
    <row r="7108" spans="4:60">
      <c r="D7108" s="350"/>
      <c r="S7108" s="350"/>
      <c r="BF7108" s="350"/>
      <c r="BG7108" s="350"/>
      <c r="BH7108" s="350"/>
    </row>
    <row r="7109" spans="4:60">
      <c r="D7109" s="350"/>
      <c r="S7109" s="350"/>
      <c r="BF7109" s="350"/>
      <c r="BG7109" s="350"/>
      <c r="BH7109" s="350"/>
    </row>
    <row r="7110" spans="4:60">
      <c r="D7110" s="350"/>
      <c r="S7110" s="350"/>
      <c r="BF7110" s="350"/>
      <c r="BG7110" s="350"/>
      <c r="BH7110" s="350"/>
    </row>
    <row r="7111" spans="4:60">
      <c r="D7111" s="350"/>
      <c r="S7111" s="350"/>
      <c r="BF7111" s="350"/>
      <c r="BG7111" s="350"/>
      <c r="BH7111" s="350"/>
    </row>
    <row r="7112" spans="4:60">
      <c r="D7112" s="350"/>
      <c r="S7112" s="350"/>
      <c r="BF7112" s="350"/>
      <c r="BG7112" s="350"/>
      <c r="BH7112" s="350"/>
    </row>
    <row r="7123" spans="4:60">
      <c r="D7123" s="350"/>
      <c r="S7123" s="350"/>
      <c r="BF7123" s="350"/>
      <c r="BG7123" s="350"/>
      <c r="BH7123" s="350"/>
    </row>
    <row r="7124" spans="4:60">
      <c r="D7124" s="350"/>
      <c r="S7124" s="350"/>
      <c r="BF7124" s="350"/>
      <c r="BG7124" s="350"/>
      <c r="BH7124" s="350"/>
    </row>
    <row r="7125" spans="4:60">
      <c r="D7125" s="350"/>
      <c r="S7125" s="350"/>
      <c r="BF7125" s="350"/>
      <c r="BG7125" s="350"/>
      <c r="BH7125" s="350"/>
    </row>
    <row r="7126" spans="4:60">
      <c r="D7126" s="350"/>
      <c r="S7126" s="350"/>
      <c r="BF7126" s="350"/>
      <c r="BG7126" s="350"/>
      <c r="BH7126" s="350"/>
    </row>
    <row r="7127" spans="4:60">
      <c r="D7127" s="350"/>
      <c r="S7127" s="350"/>
      <c r="BF7127" s="350"/>
      <c r="BG7127" s="350"/>
      <c r="BH7127" s="350"/>
    </row>
    <row r="7128" spans="4:60">
      <c r="D7128" s="350"/>
      <c r="S7128" s="350"/>
      <c r="BF7128" s="350"/>
      <c r="BG7128" s="350"/>
      <c r="BH7128" s="350"/>
    </row>
    <row r="7129" spans="4:60">
      <c r="D7129" s="350"/>
      <c r="S7129" s="350"/>
      <c r="BF7129" s="350"/>
      <c r="BG7129" s="350"/>
      <c r="BH7129" s="350"/>
    </row>
    <row r="7130" spans="4:60">
      <c r="D7130" s="350"/>
      <c r="S7130" s="350"/>
      <c r="BF7130" s="350"/>
      <c r="BG7130" s="350"/>
      <c r="BH7130" s="350"/>
    </row>
    <row r="7131" spans="4:60">
      <c r="D7131" s="350"/>
      <c r="S7131" s="350"/>
      <c r="BF7131" s="350"/>
      <c r="BG7131" s="350"/>
      <c r="BH7131" s="350"/>
    </row>
    <row r="7132" spans="4:60">
      <c r="D7132" s="350"/>
      <c r="S7132" s="350"/>
      <c r="BF7132" s="350"/>
      <c r="BG7132" s="350"/>
      <c r="BH7132" s="350"/>
    </row>
    <row r="7133" spans="4:60">
      <c r="D7133" s="350"/>
      <c r="S7133" s="350"/>
      <c r="BF7133" s="350"/>
      <c r="BG7133" s="350"/>
      <c r="BH7133" s="350"/>
    </row>
    <row r="7134" spans="4:60">
      <c r="D7134" s="350"/>
      <c r="S7134" s="350"/>
      <c r="BF7134" s="350"/>
      <c r="BG7134" s="350"/>
      <c r="BH7134" s="350"/>
    </row>
    <row r="7135" spans="4:60">
      <c r="D7135" s="350"/>
      <c r="S7135" s="350"/>
      <c r="BF7135" s="350"/>
      <c r="BG7135" s="350"/>
      <c r="BH7135" s="350"/>
    </row>
    <row r="7136" spans="4:60">
      <c r="D7136" s="350"/>
      <c r="S7136" s="350"/>
      <c r="BF7136" s="350"/>
      <c r="BG7136" s="350"/>
      <c r="BH7136" s="350"/>
    </row>
    <row r="7137" spans="4:60">
      <c r="D7137" s="350"/>
      <c r="S7137" s="350"/>
      <c r="BF7137" s="350"/>
      <c r="BG7137" s="350"/>
      <c r="BH7137" s="350"/>
    </row>
    <row r="7138" spans="4:60">
      <c r="D7138" s="350"/>
      <c r="S7138" s="350"/>
      <c r="BF7138" s="350"/>
      <c r="BG7138" s="350"/>
      <c r="BH7138" s="350"/>
    </row>
    <row r="7139" spans="4:60">
      <c r="D7139" s="350"/>
      <c r="S7139" s="350"/>
      <c r="BF7139" s="350"/>
      <c r="BG7139" s="350"/>
      <c r="BH7139" s="350"/>
    </row>
    <row r="7140" spans="4:60">
      <c r="D7140" s="350"/>
      <c r="S7140" s="350"/>
      <c r="BF7140" s="350"/>
      <c r="BG7140" s="350"/>
      <c r="BH7140" s="350"/>
    </row>
    <row r="7141" spans="4:60">
      <c r="D7141" s="350"/>
      <c r="S7141" s="350"/>
      <c r="BF7141" s="350"/>
      <c r="BG7141" s="350"/>
      <c r="BH7141" s="350"/>
    </row>
    <row r="7142" spans="4:60">
      <c r="D7142" s="350"/>
      <c r="S7142" s="350"/>
      <c r="BF7142" s="350"/>
      <c r="BG7142" s="350"/>
      <c r="BH7142" s="350"/>
    </row>
    <row r="7143" spans="4:60">
      <c r="D7143" s="350"/>
      <c r="S7143" s="350"/>
      <c r="BF7143" s="350"/>
      <c r="BG7143" s="350"/>
      <c r="BH7143" s="350"/>
    </row>
    <row r="7144" spans="4:60">
      <c r="D7144" s="350"/>
      <c r="S7144" s="350"/>
      <c r="BF7144" s="350"/>
      <c r="BG7144" s="350"/>
      <c r="BH7144" s="350"/>
    </row>
    <row r="7145" spans="4:60">
      <c r="D7145" s="350"/>
      <c r="S7145" s="350"/>
      <c r="BF7145" s="350"/>
      <c r="BG7145" s="350"/>
      <c r="BH7145" s="350"/>
    </row>
    <row r="7146" spans="4:60">
      <c r="D7146" s="350"/>
      <c r="S7146" s="350"/>
      <c r="BF7146" s="350"/>
      <c r="BG7146" s="350"/>
      <c r="BH7146" s="350"/>
    </row>
    <row r="7147" spans="4:60">
      <c r="D7147" s="350"/>
      <c r="S7147" s="350"/>
      <c r="BF7147" s="350"/>
      <c r="BG7147" s="350"/>
      <c r="BH7147" s="350"/>
    </row>
    <row r="7148" spans="4:60">
      <c r="D7148" s="350"/>
      <c r="S7148" s="350"/>
      <c r="BF7148" s="350"/>
      <c r="BG7148" s="350"/>
      <c r="BH7148" s="350"/>
    </row>
    <row r="7149" spans="4:60">
      <c r="D7149" s="350"/>
      <c r="S7149" s="350"/>
      <c r="BF7149" s="350"/>
      <c r="BG7149" s="350"/>
      <c r="BH7149" s="350"/>
    </row>
    <row r="7150" spans="4:60">
      <c r="D7150" s="350"/>
      <c r="S7150" s="350"/>
      <c r="BF7150" s="350"/>
      <c r="BG7150" s="350"/>
      <c r="BH7150" s="350"/>
    </row>
    <row r="7151" spans="4:60">
      <c r="D7151" s="350"/>
      <c r="S7151" s="350"/>
      <c r="BF7151" s="350"/>
      <c r="BG7151" s="350"/>
      <c r="BH7151" s="350"/>
    </row>
    <row r="7152" spans="4:60">
      <c r="D7152" s="350"/>
      <c r="S7152" s="350"/>
      <c r="BF7152" s="350"/>
      <c r="BG7152" s="350"/>
      <c r="BH7152" s="350"/>
    </row>
    <row r="7153" spans="4:60">
      <c r="D7153" s="350"/>
      <c r="S7153" s="350"/>
      <c r="BF7153" s="350"/>
      <c r="BG7153" s="350"/>
      <c r="BH7153" s="350"/>
    </row>
    <row r="7154" spans="4:60">
      <c r="D7154" s="350"/>
      <c r="S7154" s="350"/>
      <c r="BF7154" s="350"/>
      <c r="BG7154" s="350"/>
      <c r="BH7154" s="350"/>
    </row>
    <row r="7155" spans="4:60">
      <c r="D7155" s="350"/>
      <c r="S7155" s="350"/>
      <c r="BF7155" s="350"/>
      <c r="BG7155" s="350"/>
      <c r="BH7155" s="350"/>
    </row>
    <row r="7156" spans="4:60">
      <c r="D7156" s="350"/>
      <c r="S7156" s="350"/>
      <c r="BF7156" s="350"/>
      <c r="BG7156" s="350"/>
      <c r="BH7156" s="350"/>
    </row>
    <row r="7157" spans="4:60">
      <c r="D7157" s="350"/>
      <c r="S7157" s="350"/>
      <c r="BF7157" s="350"/>
      <c r="BG7157" s="350"/>
      <c r="BH7157" s="350"/>
    </row>
    <row r="7158" spans="4:60">
      <c r="D7158" s="350"/>
      <c r="S7158" s="350"/>
      <c r="BF7158" s="350"/>
      <c r="BG7158" s="350"/>
      <c r="BH7158" s="350"/>
    </row>
    <row r="7159" spans="4:60">
      <c r="D7159" s="350"/>
      <c r="S7159" s="350"/>
      <c r="BF7159" s="350"/>
      <c r="BG7159" s="350"/>
      <c r="BH7159" s="350"/>
    </row>
    <row r="7160" spans="4:60">
      <c r="D7160" s="350"/>
      <c r="S7160" s="350"/>
      <c r="BF7160" s="350"/>
      <c r="BG7160" s="350"/>
      <c r="BH7160" s="350"/>
    </row>
    <row r="7161" spans="4:60">
      <c r="D7161" s="350"/>
      <c r="S7161" s="350"/>
      <c r="BF7161" s="350"/>
      <c r="BG7161" s="350"/>
      <c r="BH7161" s="350"/>
    </row>
    <row r="7162" spans="4:60">
      <c r="D7162" s="350"/>
      <c r="S7162" s="350"/>
      <c r="BF7162" s="350"/>
      <c r="BG7162" s="350"/>
      <c r="BH7162" s="350"/>
    </row>
    <row r="7163" spans="4:60">
      <c r="D7163" s="350"/>
      <c r="S7163" s="350"/>
      <c r="BF7163" s="350"/>
      <c r="BG7163" s="350"/>
      <c r="BH7163" s="350"/>
    </row>
    <row r="7164" spans="4:60">
      <c r="D7164" s="350"/>
      <c r="S7164" s="350"/>
      <c r="BF7164" s="350"/>
      <c r="BG7164" s="350"/>
      <c r="BH7164" s="350"/>
    </row>
    <row r="7165" spans="4:60">
      <c r="D7165" s="350"/>
      <c r="S7165" s="350"/>
      <c r="BF7165" s="350"/>
      <c r="BG7165" s="350"/>
      <c r="BH7165" s="350"/>
    </row>
    <row r="7166" spans="4:60">
      <c r="D7166" s="350"/>
      <c r="S7166" s="350"/>
      <c r="BF7166" s="350"/>
      <c r="BG7166" s="350"/>
      <c r="BH7166" s="350"/>
    </row>
    <row r="7171" spans="4:60">
      <c r="D7171" s="350"/>
      <c r="S7171" s="350"/>
      <c r="BF7171" s="350"/>
      <c r="BG7171" s="350"/>
      <c r="BH7171" s="350"/>
    </row>
    <row r="7172" spans="4:60">
      <c r="D7172" s="350"/>
      <c r="S7172" s="350"/>
      <c r="BF7172" s="350"/>
      <c r="BG7172" s="350"/>
      <c r="BH7172" s="350"/>
    </row>
    <row r="7175" spans="4:60">
      <c r="D7175" s="350"/>
      <c r="S7175" s="350"/>
      <c r="BF7175" s="350"/>
      <c r="BG7175" s="350"/>
      <c r="BH7175" s="350"/>
    </row>
    <row r="7176" spans="4:60">
      <c r="D7176" s="350"/>
      <c r="S7176" s="350"/>
      <c r="BF7176" s="350"/>
      <c r="BG7176" s="350"/>
      <c r="BH7176" s="350"/>
    </row>
    <row r="7177" spans="4:60">
      <c r="D7177" s="350"/>
      <c r="S7177" s="350"/>
      <c r="BF7177" s="350"/>
      <c r="BG7177" s="350"/>
      <c r="BH7177" s="350"/>
    </row>
    <row r="7178" spans="4:60">
      <c r="D7178" s="350"/>
      <c r="S7178" s="350"/>
      <c r="BF7178" s="350"/>
      <c r="BG7178" s="350"/>
      <c r="BH7178" s="350"/>
    </row>
    <row r="7179" spans="4:60">
      <c r="D7179" s="350"/>
      <c r="S7179" s="350"/>
      <c r="BF7179" s="350"/>
      <c r="BG7179" s="350"/>
      <c r="BH7179" s="350"/>
    </row>
    <row r="7180" spans="4:60">
      <c r="D7180" s="350"/>
      <c r="S7180" s="350"/>
      <c r="BF7180" s="350"/>
      <c r="BG7180" s="350"/>
      <c r="BH7180" s="350"/>
    </row>
    <row r="7181" spans="4:60">
      <c r="D7181" s="350"/>
      <c r="S7181" s="350"/>
      <c r="BF7181" s="350"/>
      <c r="BG7181" s="350"/>
      <c r="BH7181" s="350"/>
    </row>
    <row r="7182" spans="4:60">
      <c r="D7182" s="350"/>
      <c r="S7182" s="350"/>
      <c r="BF7182" s="350"/>
      <c r="BG7182" s="350"/>
      <c r="BH7182" s="350"/>
    </row>
    <row r="7185" spans="4:60">
      <c r="D7185" s="350"/>
      <c r="S7185" s="350"/>
      <c r="BF7185" s="350"/>
      <c r="BG7185" s="350"/>
      <c r="BH7185" s="350"/>
    </row>
    <row r="7186" spans="4:60">
      <c r="D7186" s="350"/>
      <c r="S7186" s="350"/>
      <c r="BF7186" s="350"/>
      <c r="BG7186" s="350"/>
      <c r="BH7186" s="350"/>
    </row>
    <row r="7191" spans="4:60">
      <c r="D7191" s="350"/>
      <c r="S7191" s="350"/>
      <c r="BF7191" s="350"/>
      <c r="BG7191" s="350"/>
      <c r="BH7191" s="350"/>
    </row>
    <row r="7192" spans="4:60">
      <c r="D7192" s="350"/>
      <c r="S7192" s="350"/>
      <c r="BF7192" s="350"/>
      <c r="BG7192" s="350"/>
      <c r="BH7192" s="350"/>
    </row>
    <row r="7193" spans="4:60">
      <c r="D7193" s="350"/>
      <c r="S7193" s="350"/>
      <c r="BF7193" s="350"/>
      <c r="BG7193" s="350"/>
      <c r="BH7193" s="350"/>
    </row>
    <row r="7194" spans="4:60">
      <c r="D7194" s="350"/>
      <c r="S7194" s="350"/>
      <c r="BF7194" s="350"/>
      <c r="BG7194" s="350"/>
      <c r="BH7194" s="350"/>
    </row>
    <row r="7195" spans="4:60">
      <c r="D7195" s="350"/>
      <c r="S7195" s="350"/>
      <c r="BF7195" s="350"/>
      <c r="BG7195" s="350"/>
      <c r="BH7195" s="350"/>
    </row>
    <row r="7196" spans="4:60">
      <c r="D7196" s="350"/>
      <c r="S7196" s="350"/>
      <c r="BF7196" s="350"/>
      <c r="BG7196" s="350"/>
      <c r="BH7196" s="350"/>
    </row>
    <row r="7197" spans="4:60">
      <c r="D7197" s="350"/>
      <c r="S7197" s="350"/>
      <c r="BF7197" s="350"/>
      <c r="BG7197" s="350"/>
      <c r="BH7197" s="350"/>
    </row>
    <row r="7198" spans="4:60">
      <c r="D7198" s="350"/>
      <c r="S7198" s="350"/>
      <c r="BF7198" s="350"/>
      <c r="BG7198" s="350"/>
      <c r="BH7198" s="350"/>
    </row>
    <row r="7199" spans="4:60">
      <c r="D7199" s="350"/>
      <c r="S7199" s="350"/>
      <c r="BF7199" s="350"/>
      <c r="BG7199" s="350"/>
      <c r="BH7199" s="350"/>
    </row>
    <row r="7200" spans="4:60">
      <c r="D7200" s="350"/>
      <c r="S7200" s="350"/>
      <c r="BF7200" s="350"/>
      <c r="BG7200" s="350"/>
      <c r="BH7200" s="350"/>
    </row>
    <row r="7201" spans="4:60">
      <c r="D7201" s="350"/>
      <c r="S7201" s="350"/>
      <c r="BF7201" s="350"/>
      <c r="BG7201" s="350"/>
      <c r="BH7201" s="350"/>
    </row>
    <row r="7202" spans="4:60">
      <c r="D7202" s="350"/>
      <c r="S7202" s="350"/>
      <c r="BF7202" s="350"/>
      <c r="BG7202" s="350"/>
      <c r="BH7202" s="350"/>
    </row>
    <row r="7203" spans="4:60">
      <c r="D7203" s="350"/>
      <c r="S7203" s="350"/>
      <c r="BF7203" s="350"/>
      <c r="BG7203" s="350"/>
      <c r="BH7203" s="350"/>
    </row>
    <row r="7204" spans="4:60">
      <c r="D7204" s="350"/>
      <c r="S7204" s="350"/>
      <c r="BF7204" s="350"/>
      <c r="BG7204" s="350"/>
      <c r="BH7204" s="350"/>
    </row>
    <row r="7205" spans="4:60">
      <c r="D7205" s="350"/>
      <c r="S7205" s="350"/>
      <c r="BF7205" s="350"/>
      <c r="BG7205" s="350"/>
      <c r="BH7205" s="350"/>
    </row>
    <row r="7206" spans="4:60">
      <c r="D7206" s="350"/>
      <c r="S7206" s="350"/>
      <c r="BF7206" s="350"/>
      <c r="BG7206" s="350"/>
      <c r="BH7206" s="350"/>
    </row>
    <row r="7207" spans="4:60">
      <c r="D7207" s="350"/>
      <c r="S7207" s="350"/>
      <c r="BF7207" s="350"/>
      <c r="BG7207" s="350"/>
      <c r="BH7207" s="350"/>
    </row>
    <row r="7208" spans="4:60">
      <c r="D7208" s="350"/>
      <c r="S7208" s="350"/>
      <c r="BF7208" s="350"/>
      <c r="BG7208" s="350"/>
      <c r="BH7208" s="350"/>
    </row>
    <row r="7209" spans="4:60">
      <c r="D7209" s="350"/>
      <c r="S7209" s="350"/>
      <c r="BF7209" s="350"/>
      <c r="BG7209" s="350"/>
      <c r="BH7209" s="350"/>
    </row>
    <row r="7210" spans="4:60">
      <c r="D7210" s="350"/>
      <c r="S7210" s="350"/>
      <c r="BF7210" s="350"/>
      <c r="BG7210" s="350"/>
      <c r="BH7210" s="350"/>
    </row>
    <row r="7211" spans="4:60">
      <c r="D7211" s="350"/>
      <c r="S7211" s="350"/>
      <c r="BF7211" s="350"/>
      <c r="BG7211" s="350"/>
      <c r="BH7211" s="350"/>
    </row>
    <row r="7212" spans="4:60">
      <c r="D7212" s="350"/>
      <c r="S7212" s="350"/>
      <c r="BF7212" s="350"/>
      <c r="BG7212" s="350"/>
      <c r="BH7212" s="350"/>
    </row>
    <row r="7213" spans="4:60">
      <c r="D7213" s="350"/>
      <c r="S7213" s="350"/>
      <c r="BF7213" s="350"/>
      <c r="BG7213" s="350"/>
      <c r="BH7213" s="350"/>
    </row>
    <row r="7214" spans="4:60">
      <c r="D7214" s="350"/>
      <c r="S7214" s="350"/>
      <c r="BF7214" s="350"/>
      <c r="BG7214" s="350"/>
      <c r="BH7214" s="350"/>
    </row>
    <row r="7215" spans="4:60">
      <c r="D7215" s="350"/>
      <c r="S7215" s="350"/>
      <c r="BF7215" s="350"/>
      <c r="BG7215" s="350"/>
      <c r="BH7215" s="350"/>
    </row>
    <row r="7216" spans="4:60">
      <c r="D7216" s="350"/>
      <c r="S7216" s="350"/>
      <c r="BF7216" s="350"/>
      <c r="BG7216" s="350"/>
      <c r="BH7216" s="350"/>
    </row>
    <row r="7217" spans="4:60">
      <c r="D7217" s="350"/>
      <c r="S7217" s="350"/>
      <c r="BF7217" s="350"/>
      <c r="BG7217" s="350"/>
      <c r="BH7217" s="350"/>
    </row>
    <row r="7218" spans="4:60">
      <c r="D7218" s="350"/>
      <c r="S7218" s="350"/>
      <c r="BF7218" s="350"/>
      <c r="BG7218" s="350"/>
      <c r="BH7218" s="350"/>
    </row>
    <row r="7219" spans="4:60">
      <c r="D7219" s="350"/>
      <c r="S7219" s="350"/>
      <c r="BF7219" s="350"/>
      <c r="BG7219" s="350"/>
      <c r="BH7219" s="350"/>
    </row>
    <row r="7220" spans="4:60">
      <c r="D7220" s="350"/>
      <c r="S7220" s="350"/>
      <c r="BF7220" s="350"/>
      <c r="BG7220" s="350"/>
      <c r="BH7220" s="350"/>
    </row>
    <row r="7221" spans="4:60">
      <c r="D7221" s="350"/>
      <c r="S7221" s="350"/>
      <c r="BF7221" s="350"/>
      <c r="BG7221" s="350"/>
      <c r="BH7221" s="350"/>
    </row>
    <row r="7222" spans="4:60">
      <c r="D7222" s="350"/>
      <c r="S7222" s="350"/>
      <c r="BF7222" s="350"/>
      <c r="BG7222" s="350"/>
      <c r="BH7222" s="350"/>
    </row>
    <row r="7223" spans="4:60">
      <c r="D7223" s="350"/>
      <c r="S7223" s="350"/>
      <c r="BF7223" s="350"/>
      <c r="BG7223" s="350"/>
      <c r="BH7223" s="350"/>
    </row>
    <row r="7224" spans="4:60">
      <c r="D7224" s="350"/>
      <c r="S7224" s="350"/>
      <c r="BF7224" s="350"/>
      <c r="BG7224" s="350"/>
      <c r="BH7224" s="350"/>
    </row>
    <row r="7225" spans="4:60">
      <c r="D7225" s="350"/>
      <c r="S7225" s="350"/>
      <c r="BF7225" s="350"/>
      <c r="BG7225" s="350"/>
      <c r="BH7225" s="350"/>
    </row>
    <row r="7226" spans="4:60">
      <c r="D7226" s="350"/>
      <c r="S7226" s="350"/>
      <c r="BF7226" s="350"/>
      <c r="BG7226" s="350"/>
      <c r="BH7226" s="350"/>
    </row>
    <row r="7227" spans="4:60">
      <c r="D7227" s="350"/>
      <c r="S7227" s="350"/>
      <c r="BF7227" s="350"/>
      <c r="BG7227" s="350"/>
      <c r="BH7227" s="350"/>
    </row>
    <row r="7228" spans="4:60">
      <c r="D7228" s="350"/>
      <c r="S7228" s="350"/>
      <c r="BF7228" s="350"/>
      <c r="BG7228" s="350"/>
      <c r="BH7228" s="350"/>
    </row>
    <row r="7229" spans="4:60">
      <c r="D7229" s="350"/>
      <c r="S7229" s="350"/>
      <c r="BF7229" s="350"/>
      <c r="BG7229" s="350"/>
      <c r="BH7229" s="350"/>
    </row>
    <row r="7230" spans="4:60">
      <c r="D7230" s="350"/>
      <c r="S7230" s="350"/>
      <c r="BF7230" s="350"/>
      <c r="BG7230" s="350"/>
      <c r="BH7230" s="350"/>
    </row>
    <row r="7231" spans="4:60">
      <c r="D7231" s="350"/>
      <c r="S7231" s="350"/>
      <c r="BF7231" s="350"/>
      <c r="BG7231" s="350"/>
      <c r="BH7231" s="350"/>
    </row>
    <row r="7232" spans="4:60">
      <c r="D7232" s="350"/>
      <c r="S7232" s="350"/>
      <c r="BF7232" s="350"/>
      <c r="BG7232" s="350"/>
      <c r="BH7232" s="350"/>
    </row>
    <row r="7233" spans="4:60">
      <c r="D7233" s="350"/>
      <c r="S7233" s="350"/>
      <c r="BF7233" s="350"/>
      <c r="BG7233" s="350"/>
      <c r="BH7233" s="350"/>
    </row>
    <row r="7234" spans="4:60">
      <c r="D7234" s="350"/>
      <c r="S7234" s="350"/>
      <c r="BF7234" s="350"/>
      <c r="BG7234" s="350"/>
      <c r="BH7234" s="350"/>
    </row>
    <row r="7235" spans="4:60">
      <c r="D7235" s="350"/>
      <c r="S7235" s="350"/>
      <c r="BF7235" s="350"/>
      <c r="BG7235" s="350"/>
      <c r="BH7235" s="350"/>
    </row>
    <row r="7236" spans="4:60">
      <c r="D7236" s="350"/>
      <c r="S7236" s="350"/>
      <c r="BF7236" s="350"/>
      <c r="BG7236" s="350"/>
      <c r="BH7236" s="350"/>
    </row>
    <row r="7237" spans="4:60">
      <c r="D7237" s="350"/>
      <c r="S7237" s="350"/>
      <c r="BF7237" s="350"/>
      <c r="BG7237" s="350"/>
      <c r="BH7237" s="350"/>
    </row>
    <row r="7238" spans="4:60">
      <c r="D7238" s="350"/>
      <c r="S7238" s="350"/>
      <c r="BF7238" s="350"/>
      <c r="BG7238" s="350"/>
      <c r="BH7238" s="350"/>
    </row>
    <row r="7239" spans="4:60">
      <c r="D7239" s="350"/>
      <c r="S7239" s="350"/>
      <c r="BF7239" s="350"/>
      <c r="BG7239" s="350"/>
      <c r="BH7239" s="350"/>
    </row>
    <row r="7240" spans="4:60">
      <c r="D7240" s="350"/>
      <c r="S7240" s="350"/>
      <c r="BF7240" s="350"/>
      <c r="BG7240" s="350"/>
      <c r="BH7240" s="350"/>
    </row>
    <row r="7241" spans="4:60">
      <c r="D7241" s="350"/>
      <c r="S7241" s="350"/>
      <c r="BF7241" s="350"/>
      <c r="BG7241" s="350"/>
      <c r="BH7241" s="350"/>
    </row>
    <row r="7242" spans="4:60">
      <c r="D7242" s="350"/>
      <c r="S7242" s="350"/>
      <c r="BF7242" s="350"/>
      <c r="BG7242" s="350"/>
      <c r="BH7242" s="350"/>
    </row>
    <row r="7243" spans="4:60">
      <c r="D7243" s="350"/>
      <c r="S7243" s="350"/>
      <c r="BF7243" s="350"/>
      <c r="BG7243" s="350"/>
      <c r="BH7243" s="350"/>
    </row>
    <row r="7244" spans="4:60">
      <c r="D7244" s="350"/>
      <c r="S7244" s="350"/>
      <c r="BF7244" s="350"/>
      <c r="BG7244" s="350"/>
      <c r="BH7244" s="350"/>
    </row>
    <row r="7245" spans="4:60">
      <c r="D7245" s="350"/>
      <c r="S7245" s="350"/>
      <c r="BF7245" s="350"/>
      <c r="BG7245" s="350"/>
      <c r="BH7245" s="350"/>
    </row>
    <row r="7246" spans="4:60">
      <c r="D7246" s="350"/>
      <c r="S7246" s="350"/>
      <c r="BF7246" s="350"/>
      <c r="BG7246" s="350"/>
      <c r="BH7246" s="350"/>
    </row>
    <row r="7247" spans="4:60">
      <c r="D7247" s="350"/>
      <c r="S7247" s="350"/>
      <c r="BF7247" s="350"/>
      <c r="BG7247" s="350"/>
      <c r="BH7247" s="350"/>
    </row>
    <row r="7248" spans="4:60">
      <c r="D7248" s="350"/>
      <c r="S7248" s="350"/>
      <c r="BF7248" s="350"/>
      <c r="BG7248" s="350"/>
      <c r="BH7248" s="350"/>
    </row>
    <row r="7249" spans="4:60">
      <c r="D7249" s="350"/>
      <c r="S7249" s="350"/>
      <c r="BF7249" s="350"/>
      <c r="BG7249" s="350"/>
      <c r="BH7249" s="350"/>
    </row>
    <row r="7250" spans="4:60">
      <c r="D7250" s="350"/>
      <c r="S7250" s="350"/>
      <c r="BF7250" s="350"/>
      <c r="BG7250" s="350"/>
      <c r="BH7250" s="350"/>
    </row>
    <row r="7251" spans="4:60">
      <c r="D7251" s="350"/>
      <c r="S7251" s="350"/>
      <c r="BF7251" s="350"/>
      <c r="BG7251" s="350"/>
      <c r="BH7251" s="350"/>
    </row>
    <row r="7252" spans="4:60">
      <c r="D7252" s="350"/>
      <c r="S7252" s="350"/>
      <c r="BF7252" s="350"/>
      <c r="BG7252" s="350"/>
      <c r="BH7252" s="350"/>
    </row>
    <row r="7253" spans="4:60">
      <c r="D7253" s="350"/>
      <c r="S7253" s="350"/>
      <c r="BF7253" s="350"/>
      <c r="BG7253" s="350"/>
      <c r="BH7253" s="350"/>
    </row>
    <row r="7254" spans="4:60">
      <c r="D7254" s="350"/>
      <c r="S7254" s="350"/>
      <c r="BF7254" s="350"/>
      <c r="BG7254" s="350"/>
      <c r="BH7254" s="350"/>
    </row>
    <row r="7255" spans="4:60">
      <c r="D7255" s="350"/>
      <c r="S7255" s="350"/>
      <c r="BF7255" s="350"/>
      <c r="BG7255" s="350"/>
      <c r="BH7255" s="350"/>
    </row>
    <row r="7256" spans="4:60">
      <c r="D7256" s="350"/>
      <c r="S7256" s="350"/>
      <c r="BF7256" s="350"/>
      <c r="BG7256" s="350"/>
      <c r="BH7256" s="350"/>
    </row>
    <row r="7257" spans="4:60">
      <c r="D7257" s="350"/>
      <c r="S7257" s="350"/>
      <c r="BF7257" s="350"/>
      <c r="BG7257" s="350"/>
      <c r="BH7257" s="350"/>
    </row>
    <row r="7258" spans="4:60">
      <c r="D7258" s="350"/>
      <c r="S7258" s="350"/>
      <c r="BF7258" s="350"/>
      <c r="BG7258" s="350"/>
      <c r="BH7258" s="350"/>
    </row>
    <row r="7259" spans="4:60">
      <c r="D7259" s="350"/>
      <c r="S7259" s="350"/>
      <c r="BF7259" s="350"/>
      <c r="BG7259" s="350"/>
      <c r="BH7259" s="350"/>
    </row>
    <row r="7260" spans="4:60">
      <c r="D7260" s="350"/>
      <c r="S7260" s="350"/>
      <c r="BF7260" s="350"/>
      <c r="BG7260" s="350"/>
      <c r="BH7260" s="350"/>
    </row>
    <row r="7261" spans="4:60">
      <c r="D7261" s="350"/>
      <c r="S7261" s="350"/>
      <c r="BF7261" s="350"/>
      <c r="BG7261" s="350"/>
      <c r="BH7261" s="350"/>
    </row>
    <row r="7262" spans="4:60">
      <c r="D7262" s="350"/>
      <c r="S7262" s="350"/>
      <c r="BF7262" s="350"/>
      <c r="BG7262" s="350"/>
      <c r="BH7262" s="350"/>
    </row>
    <row r="7263" spans="4:60">
      <c r="D7263" s="350"/>
      <c r="S7263" s="350"/>
      <c r="BF7263" s="350"/>
      <c r="BG7263" s="350"/>
      <c r="BH7263" s="350"/>
    </row>
    <row r="7264" spans="4:60">
      <c r="D7264" s="350"/>
      <c r="S7264" s="350"/>
      <c r="BF7264" s="350"/>
      <c r="BG7264" s="350"/>
      <c r="BH7264" s="350"/>
    </row>
    <row r="7265" spans="4:60">
      <c r="D7265" s="350"/>
      <c r="S7265" s="350"/>
      <c r="BF7265" s="350"/>
      <c r="BG7265" s="350"/>
      <c r="BH7265" s="350"/>
    </row>
    <row r="7266" spans="4:60">
      <c r="D7266" s="350"/>
      <c r="S7266" s="350"/>
      <c r="BF7266" s="350"/>
      <c r="BG7266" s="350"/>
      <c r="BH7266" s="350"/>
    </row>
    <row r="7267" spans="4:60">
      <c r="D7267" s="350"/>
      <c r="S7267" s="350"/>
      <c r="BF7267" s="350"/>
      <c r="BG7267" s="350"/>
      <c r="BH7267" s="350"/>
    </row>
    <row r="7268" spans="4:60">
      <c r="D7268" s="350"/>
      <c r="S7268" s="350"/>
      <c r="BF7268" s="350"/>
      <c r="BG7268" s="350"/>
      <c r="BH7268" s="350"/>
    </row>
    <row r="7269" spans="4:60">
      <c r="D7269" s="350"/>
      <c r="S7269" s="350"/>
      <c r="BF7269" s="350"/>
      <c r="BG7269" s="350"/>
      <c r="BH7269" s="350"/>
    </row>
    <row r="7270" spans="4:60">
      <c r="D7270" s="350"/>
      <c r="S7270" s="350"/>
      <c r="BF7270" s="350"/>
      <c r="BG7270" s="350"/>
      <c r="BH7270" s="350"/>
    </row>
    <row r="7271" spans="4:60">
      <c r="D7271" s="350"/>
      <c r="S7271" s="350"/>
      <c r="BF7271" s="350"/>
      <c r="BG7271" s="350"/>
      <c r="BH7271" s="350"/>
    </row>
    <row r="7272" spans="4:60">
      <c r="D7272" s="350"/>
      <c r="S7272" s="350"/>
      <c r="BF7272" s="350"/>
      <c r="BG7272" s="350"/>
      <c r="BH7272" s="350"/>
    </row>
    <row r="7273" spans="4:60">
      <c r="D7273" s="350"/>
      <c r="S7273" s="350"/>
      <c r="BF7273" s="350"/>
      <c r="BG7273" s="350"/>
      <c r="BH7273" s="350"/>
    </row>
    <row r="7274" spans="4:60">
      <c r="D7274" s="350"/>
      <c r="S7274" s="350"/>
      <c r="BF7274" s="350"/>
      <c r="BG7274" s="350"/>
      <c r="BH7274" s="350"/>
    </row>
    <row r="7275" spans="4:60">
      <c r="D7275" s="350"/>
      <c r="S7275" s="350"/>
      <c r="BF7275" s="350"/>
      <c r="BG7275" s="350"/>
      <c r="BH7275" s="350"/>
    </row>
    <row r="7276" spans="4:60">
      <c r="D7276" s="350"/>
      <c r="S7276" s="350"/>
      <c r="BF7276" s="350"/>
      <c r="BG7276" s="350"/>
      <c r="BH7276" s="350"/>
    </row>
    <row r="7277" spans="4:60">
      <c r="D7277" s="350"/>
      <c r="S7277" s="350"/>
      <c r="BF7277" s="350"/>
      <c r="BG7277" s="350"/>
      <c r="BH7277" s="350"/>
    </row>
    <row r="7278" spans="4:60">
      <c r="D7278" s="350"/>
      <c r="S7278" s="350"/>
      <c r="BF7278" s="350"/>
      <c r="BG7278" s="350"/>
      <c r="BH7278" s="350"/>
    </row>
    <row r="7279" spans="4:60">
      <c r="D7279" s="350"/>
      <c r="S7279" s="350"/>
      <c r="BF7279" s="350"/>
      <c r="BG7279" s="350"/>
      <c r="BH7279" s="350"/>
    </row>
    <row r="7280" spans="4:60">
      <c r="D7280" s="350"/>
      <c r="S7280" s="350"/>
      <c r="BF7280" s="350"/>
      <c r="BG7280" s="350"/>
      <c r="BH7280" s="350"/>
    </row>
    <row r="7281" spans="4:60">
      <c r="D7281" s="350"/>
      <c r="S7281" s="350"/>
      <c r="BF7281" s="350"/>
      <c r="BG7281" s="350"/>
      <c r="BH7281" s="350"/>
    </row>
    <row r="7282" spans="4:60">
      <c r="D7282" s="350"/>
      <c r="S7282" s="350"/>
      <c r="BF7282" s="350"/>
      <c r="BG7282" s="350"/>
      <c r="BH7282" s="350"/>
    </row>
    <row r="7283" spans="4:60">
      <c r="D7283" s="350"/>
      <c r="S7283" s="350"/>
      <c r="BF7283" s="350"/>
      <c r="BG7283" s="350"/>
      <c r="BH7283" s="350"/>
    </row>
    <row r="7284" spans="4:60">
      <c r="D7284" s="350"/>
      <c r="S7284" s="350"/>
      <c r="BF7284" s="350"/>
      <c r="BG7284" s="350"/>
      <c r="BH7284" s="350"/>
    </row>
    <row r="7285" spans="4:60">
      <c r="D7285" s="350"/>
      <c r="S7285" s="350"/>
      <c r="BF7285" s="350"/>
      <c r="BG7285" s="350"/>
      <c r="BH7285" s="350"/>
    </row>
    <row r="7286" spans="4:60">
      <c r="D7286" s="350"/>
      <c r="S7286" s="350"/>
      <c r="BF7286" s="350"/>
      <c r="BG7286" s="350"/>
      <c r="BH7286" s="350"/>
    </row>
    <row r="7287" spans="4:60">
      <c r="D7287" s="350"/>
      <c r="S7287" s="350"/>
      <c r="BF7287" s="350"/>
      <c r="BG7287" s="350"/>
      <c r="BH7287" s="350"/>
    </row>
    <row r="7288" spans="4:60">
      <c r="D7288" s="350"/>
      <c r="S7288" s="350"/>
      <c r="BF7288" s="350"/>
      <c r="BG7288" s="350"/>
      <c r="BH7288" s="350"/>
    </row>
    <row r="7289" spans="4:60">
      <c r="D7289" s="350"/>
      <c r="S7289" s="350"/>
      <c r="BF7289" s="350"/>
      <c r="BG7289" s="350"/>
      <c r="BH7289" s="350"/>
    </row>
    <row r="7290" spans="4:60">
      <c r="D7290" s="350"/>
      <c r="S7290" s="350"/>
      <c r="BF7290" s="350"/>
      <c r="BG7290" s="350"/>
      <c r="BH7290" s="350"/>
    </row>
    <row r="7291" spans="4:60">
      <c r="D7291" s="350"/>
      <c r="S7291" s="350"/>
      <c r="BF7291" s="350"/>
      <c r="BG7291" s="350"/>
      <c r="BH7291" s="350"/>
    </row>
    <row r="7292" spans="4:60">
      <c r="D7292" s="350"/>
      <c r="S7292" s="350"/>
      <c r="BF7292" s="350"/>
      <c r="BG7292" s="350"/>
      <c r="BH7292" s="350"/>
    </row>
    <row r="7293" spans="4:60">
      <c r="D7293" s="350"/>
      <c r="S7293" s="350"/>
      <c r="BF7293" s="350"/>
      <c r="BG7293" s="350"/>
      <c r="BH7293" s="350"/>
    </row>
    <row r="7294" spans="4:60">
      <c r="D7294" s="350"/>
      <c r="S7294" s="350"/>
      <c r="BF7294" s="350"/>
      <c r="BG7294" s="350"/>
      <c r="BH7294" s="350"/>
    </row>
    <row r="7295" spans="4:60">
      <c r="D7295" s="350"/>
      <c r="S7295" s="350"/>
      <c r="BF7295" s="350"/>
      <c r="BG7295" s="350"/>
      <c r="BH7295" s="350"/>
    </row>
    <row r="7296" spans="4:60">
      <c r="D7296" s="350"/>
      <c r="S7296" s="350"/>
      <c r="BF7296" s="350"/>
      <c r="BG7296" s="350"/>
      <c r="BH7296" s="350"/>
    </row>
    <row r="7297" spans="4:60">
      <c r="D7297" s="350"/>
      <c r="S7297" s="350"/>
      <c r="BF7297" s="350"/>
      <c r="BG7297" s="350"/>
      <c r="BH7297" s="350"/>
    </row>
    <row r="7298" spans="4:60">
      <c r="D7298" s="350"/>
      <c r="S7298" s="350"/>
      <c r="BF7298" s="350"/>
      <c r="BG7298" s="350"/>
      <c r="BH7298" s="350"/>
    </row>
    <row r="7299" spans="4:60">
      <c r="D7299" s="350"/>
      <c r="S7299" s="350"/>
      <c r="BF7299" s="350"/>
      <c r="BG7299" s="350"/>
      <c r="BH7299" s="350"/>
    </row>
    <row r="7300" spans="4:60">
      <c r="D7300" s="350"/>
      <c r="S7300" s="350"/>
      <c r="BF7300" s="350"/>
      <c r="BG7300" s="350"/>
      <c r="BH7300" s="350"/>
    </row>
    <row r="7301" spans="4:60">
      <c r="D7301" s="350"/>
      <c r="S7301" s="350"/>
      <c r="BF7301" s="350"/>
      <c r="BG7301" s="350"/>
      <c r="BH7301" s="350"/>
    </row>
    <row r="7302" spans="4:60">
      <c r="D7302" s="350"/>
      <c r="S7302" s="350"/>
      <c r="BF7302" s="350"/>
      <c r="BG7302" s="350"/>
      <c r="BH7302" s="350"/>
    </row>
    <row r="7303" spans="4:60">
      <c r="D7303" s="350"/>
      <c r="S7303" s="350"/>
      <c r="BF7303" s="350"/>
      <c r="BG7303" s="350"/>
      <c r="BH7303" s="350"/>
    </row>
    <row r="7304" spans="4:60">
      <c r="D7304" s="350"/>
      <c r="S7304" s="350"/>
      <c r="BF7304" s="350"/>
      <c r="BG7304" s="350"/>
      <c r="BH7304" s="350"/>
    </row>
    <row r="7305" spans="4:60">
      <c r="D7305" s="350"/>
      <c r="S7305" s="350"/>
      <c r="BF7305" s="350"/>
      <c r="BG7305" s="350"/>
      <c r="BH7305" s="350"/>
    </row>
    <row r="7306" spans="4:60">
      <c r="D7306" s="350"/>
      <c r="S7306" s="350"/>
      <c r="BF7306" s="350"/>
      <c r="BG7306" s="350"/>
      <c r="BH7306" s="350"/>
    </row>
    <row r="7307" spans="4:60">
      <c r="D7307" s="350"/>
      <c r="S7307" s="350"/>
      <c r="BF7307" s="350"/>
      <c r="BG7307" s="350"/>
      <c r="BH7307" s="350"/>
    </row>
    <row r="7308" spans="4:60">
      <c r="D7308" s="350"/>
      <c r="S7308" s="350"/>
      <c r="BF7308" s="350"/>
      <c r="BG7308" s="350"/>
      <c r="BH7308" s="350"/>
    </row>
    <row r="7309" spans="4:60">
      <c r="D7309" s="350"/>
      <c r="S7309" s="350"/>
      <c r="BF7309" s="350"/>
      <c r="BG7309" s="350"/>
      <c r="BH7309" s="350"/>
    </row>
    <row r="7310" spans="4:60">
      <c r="D7310" s="350"/>
      <c r="S7310" s="350"/>
      <c r="BF7310" s="350"/>
      <c r="BG7310" s="350"/>
      <c r="BH7310" s="350"/>
    </row>
    <row r="7311" spans="4:60">
      <c r="D7311" s="350"/>
      <c r="S7311" s="350"/>
      <c r="BF7311" s="350"/>
      <c r="BG7311" s="350"/>
      <c r="BH7311" s="350"/>
    </row>
    <row r="7312" spans="4:60">
      <c r="D7312" s="350"/>
      <c r="S7312" s="350"/>
      <c r="BF7312" s="350"/>
      <c r="BG7312" s="350"/>
      <c r="BH7312" s="350"/>
    </row>
    <row r="7313" spans="4:60">
      <c r="D7313" s="350"/>
      <c r="S7313" s="350"/>
      <c r="BF7313" s="350"/>
      <c r="BG7313" s="350"/>
      <c r="BH7313" s="350"/>
    </row>
    <row r="7314" spans="4:60">
      <c r="D7314" s="350"/>
      <c r="S7314" s="350"/>
      <c r="BF7314" s="350"/>
      <c r="BG7314" s="350"/>
      <c r="BH7314" s="350"/>
    </row>
    <row r="7315" spans="4:60">
      <c r="D7315" s="350"/>
      <c r="S7315" s="350"/>
      <c r="BF7315" s="350"/>
      <c r="BG7315" s="350"/>
      <c r="BH7315" s="350"/>
    </row>
    <row r="7316" spans="4:60">
      <c r="D7316" s="350"/>
      <c r="S7316" s="350"/>
      <c r="BF7316" s="350"/>
      <c r="BG7316" s="350"/>
      <c r="BH7316" s="350"/>
    </row>
    <row r="7317" spans="4:60">
      <c r="D7317" s="350"/>
      <c r="S7317" s="350"/>
      <c r="BF7317" s="350"/>
      <c r="BG7317" s="350"/>
      <c r="BH7317" s="350"/>
    </row>
    <row r="7318" spans="4:60">
      <c r="D7318" s="350"/>
      <c r="S7318" s="350"/>
      <c r="BF7318" s="350"/>
      <c r="BG7318" s="350"/>
      <c r="BH7318" s="350"/>
    </row>
    <row r="7319" spans="4:60">
      <c r="D7319" s="350"/>
      <c r="S7319" s="350"/>
      <c r="BF7319" s="350"/>
      <c r="BG7319" s="350"/>
      <c r="BH7319" s="350"/>
    </row>
    <row r="7320" spans="4:60">
      <c r="D7320" s="350"/>
      <c r="S7320" s="350"/>
      <c r="BF7320" s="350"/>
      <c r="BG7320" s="350"/>
      <c r="BH7320" s="350"/>
    </row>
    <row r="7321" spans="4:60">
      <c r="D7321" s="350"/>
      <c r="S7321" s="350"/>
      <c r="BF7321" s="350"/>
      <c r="BG7321" s="350"/>
      <c r="BH7321" s="350"/>
    </row>
    <row r="7322" spans="4:60">
      <c r="D7322" s="350"/>
      <c r="S7322" s="350"/>
      <c r="BF7322" s="350"/>
      <c r="BG7322" s="350"/>
      <c r="BH7322" s="350"/>
    </row>
    <row r="7323" spans="4:60">
      <c r="D7323" s="350"/>
      <c r="S7323" s="350"/>
      <c r="BF7323" s="350"/>
      <c r="BG7323" s="350"/>
      <c r="BH7323" s="350"/>
    </row>
    <row r="7324" spans="4:60">
      <c r="D7324" s="350"/>
      <c r="S7324" s="350"/>
      <c r="BF7324" s="350"/>
      <c r="BG7324" s="350"/>
      <c r="BH7324" s="350"/>
    </row>
    <row r="7325" spans="4:60">
      <c r="D7325" s="350"/>
      <c r="S7325" s="350"/>
      <c r="BF7325" s="350"/>
      <c r="BG7325" s="350"/>
      <c r="BH7325" s="350"/>
    </row>
    <row r="7326" spans="4:60">
      <c r="D7326" s="350"/>
      <c r="S7326" s="350"/>
      <c r="BF7326" s="350"/>
      <c r="BG7326" s="350"/>
      <c r="BH7326" s="350"/>
    </row>
    <row r="7327" spans="4:60">
      <c r="D7327" s="350"/>
      <c r="S7327" s="350"/>
      <c r="BF7327" s="350"/>
      <c r="BG7327" s="350"/>
      <c r="BH7327" s="350"/>
    </row>
    <row r="7328" spans="4:60">
      <c r="D7328" s="350"/>
      <c r="S7328" s="350"/>
      <c r="BF7328" s="350"/>
      <c r="BG7328" s="350"/>
      <c r="BH7328" s="350"/>
    </row>
    <row r="7329" spans="4:60">
      <c r="D7329" s="350"/>
      <c r="S7329" s="350"/>
      <c r="BF7329" s="350"/>
      <c r="BG7329" s="350"/>
      <c r="BH7329" s="350"/>
    </row>
    <row r="7330" spans="4:60">
      <c r="D7330" s="350"/>
      <c r="S7330" s="350"/>
      <c r="BF7330" s="350"/>
      <c r="BG7330" s="350"/>
      <c r="BH7330" s="350"/>
    </row>
    <row r="7331" spans="4:60">
      <c r="D7331" s="350"/>
      <c r="S7331" s="350"/>
      <c r="BF7331" s="350"/>
      <c r="BG7331" s="350"/>
      <c r="BH7331" s="350"/>
    </row>
    <row r="7332" spans="4:60">
      <c r="D7332" s="350"/>
      <c r="S7332" s="350"/>
      <c r="BF7332" s="350"/>
      <c r="BG7332" s="350"/>
      <c r="BH7332" s="350"/>
    </row>
    <row r="7333" spans="4:60">
      <c r="D7333" s="350"/>
      <c r="S7333" s="350"/>
      <c r="BF7333" s="350"/>
      <c r="BG7333" s="350"/>
      <c r="BH7333" s="350"/>
    </row>
    <row r="7334" spans="4:60">
      <c r="D7334" s="350"/>
      <c r="S7334" s="350"/>
      <c r="BF7334" s="350"/>
      <c r="BG7334" s="350"/>
      <c r="BH7334" s="350"/>
    </row>
    <row r="7335" spans="4:60">
      <c r="D7335" s="350"/>
      <c r="S7335" s="350"/>
      <c r="BF7335" s="350"/>
      <c r="BG7335" s="350"/>
      <c r="BH7335" s="350"/>
    </row>
    <row r="7336" spans="4:60">
      <c r="D7336" s="350"/>
      <c r="S7336" s="350"/>
      <c r="BF7336" s="350"/>
      <c r="BG7336" s="350"/>
      <c r="BH7336" s="350"/>
    </row>
    <row r="7337" spans="4:60">
      <c r="D7337" s="350"/>
      <c r="S7337" s="350"/>
      <c r="BF7337" s="350"/>
      <c r="BG7337" s="350"/>
      <c r="BH7337" s="350"/>
    </row>
    <row r="7338" spans="4:60">
      <c r="D7338" s="350"/>
      <c r="S7338" s="350"/>
      <c r="BF7338" s="350"/>
      <c r="BG7338" s="350"/>
      <c r="BH7338" s="350"/>
    </row>
    <row r="7339" spans="4:60">
      <c r="D7339" s="350"/>
      <c r="S7339" s="350"/>
      <c r="BF7339" s="350"/>
      <c r="BG7339" s="350"/>
      <c r="BH7339" s="350"/>
    </row>
    <row r="7340" spans="4:60">
      <c r="D7340" s="350"/>
      <c r="S7340" s="350"/>
      <c r="BF7340" s="350"/>
      <c r="BG7340" s="350"/>
      <c r="BH7340" s="350"/>
    </row>
    <row r="7341" spans="4:60">
      <c r="D7341" s="350"/>
      <c r="S7341" s="350"/>
      <c r="BF7341" s="350"/>
      <c r="BG7341" s="350"/>
      <c r="BH7341" s="350"/>
    </row>
    <row r="7347" spans="4:60">
      <c r="D7347" s="350"/>
      <c r="S7347" s="350"/>
      <c r="BF7347" s="350"/>
      <c r="BG7347" s="350"/>
      <c r="BH7347" s="350"/>
    </row>
    <row r="7348" spans="4:60">
      <c r="D7348" s="350"/>
      <c r="S7348" s="350"/>
      <c r="BF7348" s="350"/>
      <c r="BG7348" s="350"/>
      <c r="BH7348" s="350"/>
    </row>
    <row r="7349" spans="4:60">
      <c r="D7349" s="350"/>
      <c r="S7349" s="350"/>
      <c r="BF7349" s="350"/>
      <c r="BG7349" s="350"/>
      <c r="BH7349" s="350"/>
    </row>
    <row r="7350" spans="4:60">
      <c r="D7350" s="350"/>
      <c r="S7350" s="350"/>
      <c r="BF7350" s="350"/>
      <c r="BG7350" s="350"/>
      <c r="BH7350" s="350"/>
    </row>
    <row r="7351" spans="4:60">
      <c r="D7351" s="350"/>
      <c r="S7351" s="350"/>
      <c r="BF7351" s="350"/>
      <c r="BG7351" s="350"/>
      <c r="BH7351" s="350"/>
    </row>
    <row r="7352" spans="4:60">
      <c r="D7352" s="350"/>
      <c r="S7352" s="350"/>
      <c r="BF7352" s="350"/>
      <c r="BG7352" s="350"/>
      <c r="BH7352" s="350"/>
    </row>
    <row r="7353" spans="4:60">
      <c r="D7353" s="350"/>
      <c r="S7353" s="350"/>
      <c r="BF7353" s="350"/>
      <c r="BG7353" s="350"/>
      <c r="BH7353" s="350"/>
    </row>
    <row r="7354" spans="4:60">
      <c r="D7354" s="350"/>
      <c r="S7354" s="350"/>
      <c r="BF7354" s="350"/>
      <c r="BG7354" s="350"/>
      <c r="BH7354" s="350"/>
    </row>
    <row r="7355" spans="4:60">
      <c r="D7355" s="350"/>
      <c r="S7355" s="350"/>
      <c r="BF7355" s="350"/>
      <c r="BG7355" s="350"/>
      <c r="BH7355" s="350"/>
    </row>
    <row r="7356" spans="4:60">
      <c r="D7356" s="350"/>
      <c r="S7356" s="350"/>
      <c r="BF7356" s="350"/>
      <c r="BG7356" s="350"/>
      <c r="BH7356" s="350"/>
    </row>
    <row r="7357" spans="4:60">
      <c r="D7357" s="350"/>
      <c r="S7357" s="350"/>
      <c r="BF7357" s="350"/>
      <c r="BG7357" s="350"/>
      <c r="BH7357" s="350"/>
    </row>
    <row r="7358" spans="4:60">
      <c r="D7358" s="350"/>
      <c r="S7358" s="350"/>
      <c r="BF7358" s="350"/>
      <c r="BG7358" s="350"/>
      <c r="BH7358" s="350"/>
    </row>
    <row r="7359" spans="4:60">
      <c r="D7359" s="350"/>
      <c r="S7359" s="350"/>
      <c r="BF7359" s="350"/>
      <c r="BG7359" s="350"/>
      <c r="BH7359" s="350"/>
    </row>
    <row r="7360" spans="4:60">
      <c r="D7360" s="350"/>
      <c r="S7360" s="350"/>
      <c r="BF7360" s="350"/>
      <c r="BG7360" s="350"/>
      <c r="BH7360" s="350"/>
    </row>
    <row r="7361" spans="4:60">
      <c r="D7361" s="350"/>
      <c r="S7361" s="350"/>
      <c r="BF7361" s="350"/>
      <c r="BG7361" s="350"/>
      <c r="BH7361" s="350"/>
    </row>
    <row r="7362" spans="4:60">
      <c r="D7362" s="350"/>
      <c r="S7362" s="350"/>
      <c r="BF7362" s="350"/>
      <c r="BG7362" s="350"/>
      <c r="BH7362" s="350"/>
    </row>
    <row r="7363" spans="4:60">
      <c r="D7363" s="350"/>
      <c r="S7363" s="350"/>
      <c r="BF7363" s="350"/>
      <c r="BG7363" s="350"/>
      <c r="BH7363" s="350"/>
    </row>
    <row r="7364" spans="4:60">
      <c r="D7364" s="350"/>
      <c r="S7364" s="350"/>
      <c r="BF7364" s="350"/>
      <c r="BG7364" s="350"/>
      <c r="BH7364" s="350"/>
    </row>
    <row r="7365" spans="4:60">
      <c r="D7365" s="350"/>
      <c r="S7365" s="350"/>
      <c r="BF7365" s="350"/>
      <c r="BG7365" s="350"/>
      <c r="BH7365" s="350"/>
    </row>
    <row r="7366" spans="4:60">
      <c r="D7366" s="350"/>
      <c r="S7366" s="350"/>
      <c r="BF7366" s="350"/>
      <c r="BG7366" s="350"/>
      <c r="BH7366" s="350"/>
    </row>
    <row r="7367" spans="4:60">
      <c r="D7367" s="350"/>
      <c r="S7367" s="350"/>
      <c r="BF7367" s="350"/>
      <c r="BG7367" s="350"/>
      <c r="BH7367" s="350"/>
    </row>
    <row r="7368" spans="4:60">
      <c r="D7368" s="350"/>
      <c r="S7368" s="350"/>
      <c r="BF7368" s="350"/>
      <c r="BG7368" s="350"/>
      <c r="BH7368" s="350"/>
    </row>
    <row r="7369" spans="4:60">
      <c r="D7369" s="350"/>
      <c r="S7369" s="350"/>
      <c r="BF7369" s="350"/>
      <c r="BG7369" s="350"/>
      <c r="BH7369" s="350"/>
    </row>
    <row r="7380" spans="4:60">
      <c r="D7380" s="350"/>
      <c r="S7380" s="350"/>
      <c r="BF7380" s="350"/>
      <c r="BG7380" s="350"/>
      <c r="BH7380" s="350"/>
    </row>
    <row r="7381" spans="4:60">
      <c r="D7381" s="350"/>
      <c r="S7381" s="350"/>
      <c r="BF7381" s="350"/>
      <c r="BG7381" s="350"/>
      <c r="BH7381" s="350"/>
    </row>
    <row r="7382" spans="4:60">
      <c r="D7382" s="350"/>
      <c r="S7382" s="350"/>
      <c r="BF7382" s="350"/>
      <c r="BG7382" s="350"/>
      <c r="BH7382" s="350"/>
    </row>
    <row r="7383" spans="4:60">
      <c r="D7383" s="350"/>
      <c r="S7383" s="350"/>
      <c r="BF7383" s="350"/>
      <c r="BG7383" s="350"/>
      <c r="BH7383" s="350"/>
    </row>
    <row r="7384" spans="4:60">
      <c r="D7384" s="350"/>
      <c r="S7384" s="350"/>
      <c r="BF7384" s="350"/>
      <c r="BG7384" s="350"/>
      <c r="BH7384" s="350"/>
    </row>
    <row r="7385" spans="4:60">
      <c r="D7385" s="350"/>
      <c r="S7385" s="350"/>
      <c r="BF7385" s="350"/>
      <c r="BG7385" s="350"/>
      <c r="BH7385" s="350"/>
    </row>
    <row r="7386" spans="4:60">
      <c r="D7386" s="350"/>
      <c r="S7386" s="350"/>
      <c r="BF7386" s="350"/>
      <c r="BG7386" s="350"/>
      <c r="BH7386" s="350"/>
    </row>
    <row r="7387" spans="4:60">
      <c r="D7387" s="350"/>
      <c r="S7387" s="350"/>
      <c r="BF7387" s="350"/>
      <c r="BG7387" s="350"/>
      <c r="BH7387" s="350"/>
    </row>
    <row r="7388" spans="4:60">
      <c r="D7388" s="350"/>
      <c r="S7388" s="350"/>
      <c r="BF7388" s="350"/>
      <c r="BG7388" s="350"/>
      <c r="BH7388" s="350"/>
    </row>
    <row r="7389" spans="4:60">
      <c r="D7389" s="350"/>
      <c r="S7389" s="350"/>
      <c r="BF7389" s="350"/>
      <c r="BG7389" s="350"/>
      <c r="BH7389" s="350"/>
    </row>
    <row r="7390" spans="4:60">
      <c r="D7390" s="350"/>
      <c r="S7390" s="350"/>
      <c r="BF7390" s="350"/>
      <c r="BG7390" s="350"/>
      <c r="BH7390" s="350"/>
    </row>
    <row r="7391" spans="4:60">
      <c r="D7391" s="350"/>
      <c r="S7391" s="350"/>
      <c r="BF7391" s="350"/>
      <c r="BG7391" s="350"/>
      <c r="BH7391" s="350"/>
    </row>
    <row r="7392" spans="4:60">
      <c r="D7392" s="350"/>
      <c r="S7392" s="350"/>
      <c r="BF7392" s="350"/>
      <c r="BG7392" s="350"/>
      <c r="BH7392" s="350"/>
    </row>
    <row r="7393" spans="4:60">
      <c r="D7393" s="350"/>
      <c r="S7393" s="350"/>
      <c r="BF7393" s="350"/>
      <c r="BG7393" s="350"/>
      <c r="BH7393" s="350"/>
    </row>
    <row r="7394" spans="4:60">
      <c r="D7394" s="350"/>
      <c r="S7394" s="350"/>
      <c r="BF7394" s="350"/>
      <c r="BG7394" s="350"/>
      <c r="BH7394" s="350"/>
    </row>
    <row r="7395" spans="4:60">
      <c r="D7395" s="350"/>
      <c r="S7395" s="350"/>
      <c r="BF7395" s="350"/>
      <c r="BG7395" s="350"/>
      <c r="BH7395" s="350"/>
    </row>
    <row r="7396" spans="4:60">
      <c r="D7396" s="350"/>
      <c r="S7396" s="350"/>
      <c r="BF7396" s="350"/>
      <c r="BG7396" s="350"/>
      <c r="BH7396" s="350"/>
    </row>
    <row r="7397" spans="4:60">
      <c r="D7397" s="350"/>
      <c r="S7397" s="350"/>
      <c r="BF7397" s="350"/>
      <c r="BG7397" s="350"/>
      <c r="BH7397" s="350"/>
    </row>
    <row r="7398" spans="4:60">
      <c r="D7398" s="350"/>
      <c r="S7398" s="350"/>
      <c r="BF7398" s="350"/>
      <c r="BG7398" s="350"/>
      <c r="BH7398" s="350"/>
    </row>
    <row r="7399" spans="4:60">
      <c r="D7399" s="350"/>
      <c r="S7399" s="350"/>
      <c r="BF7399" s="350"/>
      <c r="BG7399" s="350"/>
      <c r="BH7399" s="350"/>
    </row>
    <row r="7400" spans="4:60">
      <c r="D7400" s="350"/>
      <c r="S7400" s="350"/>
      <c r="BF7400" s="350"/>
      <c r="BG7400" s="350"/>
      <c r="BH7400" s="350"/>
    </row>
    <row r="7401" spans="4:60">
      <c r="D7401" s="350"/>
      <c r="S7401" s="350"/>
      <c r="BF7401" s="350"/>
      <c r="BG7401" s="350"/>
      <c r="BH7401" s="350"/>
    </row>
    <row r="7402" spans="4:60">
      <c r="D7402" s="350"/>
      <c r="S7402" s="350"/>
      <c r="BF7402" s="350"/>
      <c r="BG7402" s="350"/>
      <c r="BH7402" s="350"/>
    </row>
    <row r="7403" spans="4:60">
      <c r="D7403" s="350"/>
      <c r="S7403" s="350"/>
      <c r="BF7403" s="350"/>
      <c r="BG7403" s="350"/>
      <c r="BH7403" s="350"/>
    </row>
    <row r="7404" spans="4:60">
      <c r="D7404" s="350"/>
      <c r="S7404" s="350"/>
      <c r="BF7404" s="350"/>
      <c r="BG7404" s="350"/>
      <c r="BH7404" s="350"/>
    </row>
    <row r="7405" spans="4:60">
      <c r="D7405" s="350"/>
      <c r="S7405" s="350"/>
      <c r="BF7405" s="350"/>
      <c r="BG7405" s="350"/>
      <c r="BH7405" s="350"/>
    </row>
    <row r="7406" spans="4:60">
      <c r="D7406" s="350"/>
      <c r="S7406" s="350"/>
      <c r="BF7406" s="350"/>
      <c r="BG7406" s="350"/>
      <c r="BH7406" s="350"/>
    </row>
    <row r="7407" spans="4:60">
      <c r="D7407" s="350"/>
      <c r="S7407" s="350"/>
      <c r="BF7407" s="350"/>
      <c r="BG7407" s="350"/>
      <c r="BH7407" s="350"/>
    </row>
    <row r="7408" spans="4:60">
      <c r="D7408" s="350"/>
      <c r="S7408" s="350"/>
      <c r="BF7408" s="350"/>
      <c r="BG7408" s="350"/>
      <c r="BH7408" s="350"/>
    </row>
    <row r="7409" spans="4:60">
      <c r="D7409" s="350"/>
      <c r="S7409" s="350"/>
      <c r="BF7409" s="350"/>
      <c r="BG7409" s="350"/>
      <c r="BH7409" s="350"/>
    </row>
    <row r="7410" spans="4:60">
      <c r="D7410" s="350"/>
      <c r="S7410" s="350"/>
      <c r="BF7410" s="350"/>
      <c r="BG7410" s="350"/>
      <c r="BH7410" s="350"/>
    </row>
    <row r="7411" spans="4:60">
      <c r="D7411" s="350"/>
      <c r="S7411" s="350"/>
      <c r="BF7411" s="350"/>
      <c r="BG7411" s="350"/>
      <c r="BH7411" s="350"/>
    </row>
    <row r="7412" spans="4:60">
      <c r="D7412" s="350"/>
      <c r="S7412" s="350"/>
      <c r="BF7412" s="350"/>
      <c r="BG7412" s="350"/>
      <c r="BH7412" s="350"/>
    </row>
    <row r="7413" spans="4:60">
      <c r="D7413" s="350"/>
      <c r="S7413" s="350"/>
      <c r="BF7413" s="350"/>
      <c r="BG7413" s="350"/>
      <c r="BH7413" s="350"/>
    </row>
    <row r="7414" spans="4:60">
      <c r="D7414" s="350"/>
      <c r="S7414" s="350"/>
      <c r="BF7414" s="350"/>
      <c r="BG7414" s="350"/>
      <c r="BH7414" s="350"/>
    </row>
    <row r="7415" spans="4:60">
      <c r="D7415" s="350"/>
      <c r="S7415" s="350"/>
      <c r="BF7415" s="350"/>
      <c r="BG7415" s="350"/>
      <c r="BH7415" s="350"/>
    </row>
    <row r="7416" spans="4:60">
      <c r="D7416" s="350"/>
      <c r="S7416" s="350"/>
      <c r="BF7416" s="350"/>
      <c r="BG7416" s="350"/>
      <c r="BH7416" s="350"/>
    </row>
    <row r="7417" spans="4:60">
      <c r="D7417" s="350"/>
      <c r="S7417" s="350"/>
      <c r="BF7417" s="350"/>
      <c r="BG7417" s="350"/>
      <c r="BH7417" s="350"/>
    </row>
    <row r="7418" spans="4:60">
      <c r="D7418" s="350"/>
      <c r="S7418" s="350"/>
      <c r="BF7418" s="350"/>
      <c r="BG7418" s="350"/>
      <c r="BH7418" s="350"/>
    </row>
    <row r="7419" spans="4:60">
      <c r="D7419" s="350"/>
      <c r="S7419" s="350"/>
      <c r="BF7419" s="350"/>
      <c r="BG7419" s="350"/>
      <c r="BH7419" s="350"/>
    </row>
    <row r="7420" spans="4:60">
      <c r="D7420" s="350"/>
      <c r="S7420" s="350"/>
      <c r="BF7420" s="350"/>
      <c r="BG7420" s="350"/>
      <c r="BH7420" s="350"/>
    </row>
    <row r="7421" spans="4:60">
      <c r="D7421" s="350"/>
      <c r="S7421" s="350"/>
      <c r="BF7421" s="350"/>
      <c r="BG7421" s="350"/>
      <c r="BH7421" s="350"/>
    </row>
    <row r="7422" spans="4:60">
      <c r="D7422" s="350"/>
      <c r="S7422" s="350"/>
      <c r="BF7422" s="350"/>
      <c r="BG7422" s="350"/>
      <c r="BH7422" s="350"/>
    </row>
    <row r="7423" spans="4:60">
      <c r="D7423" s="350"/>
      <c r="S7423" s="350"/>
      <c r="BF7423" s="350"/>
      <c r="BG7423" s="350"/>
      <c r="BH7423" s="350"/>
    </row>
    <row r="7428" spans="4:60">
      <c r="D7428" s="350"/>
      <c r="S7428" s="350"/>
      <c r="BF7428" s="350"/>
      <c r="BG7428" s="350"/>
      <c r="BH7428" s="350"/>
    </row>
    <row r="7429" spans="4:60">
      <c r="D7429" s="350"/>
      <c r="S7429" s="350"/>
      <c r="BF7429" s="350"/>
      <c r="BG7429" s="350"/>
      <c r="BH7429" s="350"/>
    </row>
    <row r="7432" spans="4:60">
      <c r="D7432" s="350"/>
      <c r="S7432" s="350"/>
      <c r="BF7432" s="350"/>
      <c r="BG7432" s="350"/>
      <c r="BH7432" s="350"/>
    </row>
    <row r="7433" spans="4:60">
      <c r="D7433" s="350"/>
      <c r="S7433" s="350"/>
      <c r="BF7433" s="350"/>
      <c r="BG7433" s="350"/>
      <c r="BH7433" s="350"/>
    </row>
    <row r="7434" spans="4:60">
      <c r="D7434" s="350"/>
      <c r="S7434" s="350"/>
      <c r="BF7434" s="350"/>
      <c r="BG7434" s="350"/>
      <c r="BH7434" s="350"/>
    </row>
    <row r="7435" spans="4:60">
      <c r="D7435" s="350"/>
      <c r="S7435" s="350"/>
      <c r="BF7435" s="350"/>
      <c r="BG7435" s="350"/>
      <c r="BH7435" s="350"/>
    </row>
    <row r="7436" spans="4:60">
      <c r="D7436" s="350"/>
      <c r="S7436" s="350"/>
      <c r="BF7436" s="350"/>
      <c r="BG7436" s="350"/>
      <c r="BH7436" s="350"/>
    </row>
    <row r="7437" spans="4:60">
      <c r="D7437" s="350"/>
      <c r="S7437" s="350"/>
      <c r="BF7437" s="350"/>
      <c r="BG7437" s="350"/>
      <c r="BH7437" s="350"/>
    </row>
    <row r="7438" spans="4:60">
      <c r="D7438" s="350"/>
      <c r="S7438" s="350"/>
      <c r="BF7438" s="350"/>
      <c r="BG7438" s="350"/>
      <c r="BH7438" s="350"/>
    </row>
    <row r="7439" spans="4:60">
      <c r="D7439" s="350"/>
      <c r="S7439" s="350"/>
      <c r="BF7439" s="350"/>
      <c r="BG7439" s="350"/>
      <c r="BH7439" s="350"/>
    </row>
    <row r="7442" spans="4:60">
      <c r="D7442" s="350"/>
      <c r="S7442" s="350"/>
      <c r="BF7442" s="350"/>
      <c r="BG7442" s="350"/>
      <c r="BH7442" s="350"/>
    </row>
    <row r="7443" spans="4:60">
      <c r="D7443" s="350"/>
      <c r="S7443" s="350"/>
      <c r="BF7443" s="350"/>
      <c r="BG7443" s="350"/>
      <c r="BH7443" s="350"/>
    </row>
    <row r="7448" spans="4:60">
      <c r="D7448" s="350"/>
      <c r="S7448" s="350"/>
      <c r="BF7448" s="350"/>
      <c r="BG7448" s="350"/>
      <c r="BH7448" s="350"/>
    </row>
    <row r="7449" spans="4:60">
      <c r="D7449" s="350"/>
      <c r="S7449" s="350"/>
      <c r="BF7449" s="350"/>
      <c r="BG7449" s="350"/>
      <c r="BH7449" s="350"/>
    </row>
    <row r="7450" spans="4:60">
      <c r="D7450" s="350"/>
      <c r="S7450" s="350"/>
      <c r="BF7450" s="350"/>
      <c r="BG7450" s="350"/>
      <c r="BH7450" s="350"/>
    </row>
    <row r="7451" spans="4:60">
      <c r="D7451" s="350"/>
      <c r="S7451" s="350"/>
      <c r="BF7451" s="350"/>
      <c r="BG7451" s="350"/>
      <c r="BH7451" s="350"/>
    </row>
    <row r="7452" spans="4:60">
      <c r="D7452" s="350"/>
      <c r="S7452" s="350"/>
      <c r="BF7452" s="350"/>
      <c r="BG7452" s="350"/>
      <c r="BH7452" s="350"/>
    </row>
    <row r="7453" spans="4:60">
      <c r="D7453" s="350"/>
      <c r="S7453" s="350"/>
      <c r="BF7453" s="350"/>
      <c r="BG7453" s="350"/>
      <c r="BH7453" s="350"/>
    </row>
    <row r="7454" spans="4:60">
      <c r="D7454" s="350"/>
      <c r="S7454" s="350"/>
      <c r="BF7454" s="350"/>
      <c r="BG7454" s="350"/>
      <c r="BH7454" s="350"/>
    </row>
    <row r="7455" spans="4:60">
      <c r="D7455" s="350"/>
      <c r="S7455" s="350"/>
      <c r="BF7455" s="350"/>
      <c r="BG7455" s="350"/>
      <c r="BH7455" s="350"/>
    </row>
    <row r="7456" spans="4:60">
      <c r="D7456" s="350"/>
      <c r="S7456" s="350"/>
      <c r="BF7456" s="350"/>
      <c r="BG7456" s="350"/>
      <c r="BH7456" s="350"/>
    </row>
    <row r="7457" spans="4:60">
      <c r="D7457" s="350"/>
      <c r="S7457" s="350"/>
      <c r="BF7457" s="350"/>
      <c r="BG7457" s="350"/>
      <c r="BH7457" s="350"/>
    </row>
    <row r="7458" spans="4:60">
      <c r="D7458" s="350"/>
      <c r="S7458" s="350"/>
      <c r="BF7458" s="350"/>
      <c r="BG7458" s="350"/>
      <c r="BH7458" s="350"/>
    </row>
    <row r="7459" spans="4:60">
      <c r="D7459" s="350"/>
      <c r="S7459" s="350"/>
      <c r="BF7459" s="350"/>
      <c r="BG7459" s="350"/>
      <c r="BH7459" s="350"/>
    </row>
    <row r="7460" spans="4:60">
      <c r="D7460" s="350"/>
      <c r="S7460" s="350"/>
      <c r="BF7460" s="350"/>
      <c r="BG7460" s="350"/>
      <c r="BH7460" s="350"/>
    </row>
    <row r="7461" spans="4:60">
      <c r="D7461" s="350"/>
      <c r="S7461" s="350"/>
      <c r="BF7461" s="350"/>
      <c r="BG7461" s="350"/>
      <c r="BH7461" s="350"/>
    </row>
    <row r="7462" spans="4:60">
      <c r="D7462" s="350"/>
      <c r="S7462" s="350"/>
      <c r="BF7462" s="350"/>
      <c r="BG7462" s="350"/>
      <c r="BH7462" s="350"/>
    </row>
    <row r="7463" spans="4:60">
      <c r="D7463" s="350"/>
      <c r="S7463" s="350"/>
      <c r="BF7463" s="350"/>
      <c r="BG7463" s="350"/>
      <c r="BH7463" s="350"/>
    </row>
    <row r="7464" spans="4:60">
      <c r="D7464" s="350"/>
      <c r="S7464" s="350"/>
      <c r="BF7464" s="350"/>
      <c r="BG7464" s="350"/>
      <c r="BH7464" s="350"/>
    </row>
    <row r="7465" spans="4:60">
      <c r="D7465" s="350"/>
      <c r="S7465" s="350"/>
      <c r="BF7465" s="350"/>
      <c r="BG7465" s="350"/>
      <c r="BH7465" s="350"/>
    </row>
    <row r="7466" spans="4:60">
      <c r="D7466" s="350"/>
      <c r="S7466" s="350"/>
      <c r="BF7466" s="350"/>
      <c r="BG7466" s="350"/>
      <c r="BH7466" s="350"/>
    </row>
    <row r="7467" spans="4:60">
      <c r="D7467" s="350"/>
      <c r="S7467" s="350"/>
      <c r="BF7467" s="350"/>
      <c r="BG7467" s="350"/>
      <c r="BH7467" s="350"/>
    </row>
    <row r="7468" spans="4:60">
      <c r="D7468" s="350"/>
      <c r="S7468" s="350"/>
      <c r="BF7468" s="350"/>
      <c r="BG7468" s="350"/>
      <c r="BH7468" s="350"/>
    </row>
    <row r="7469" spans="4:60">
      <c r="D7469" s="350"/>
      <c r="S7469" s="350"/>
      <c r="BF7469" s="350"/>
      <c r="BG7469" s="350"/>
      <c r="BH7469" s="350"/>
    </row>
    <row r="7470" spans="4:60">
      <c r="D7470" s="350"/>
      <c r="S7470" s="350"/>
      <c r="BF7470" s="350"/>
      <c r="BG7470" s="350"/>
      <c r="BH7470" s="350"/>
    </row>
    <row r="7471" spans="4:60">
      <c r="D7471" s="350"/>
      <c r="S7471" s="350"/>
      <c r="BF7471" s="350"/>
      <c r="BG7471" s="350"/>
      <c r="BH7471" s="350"/>
    </row>
    <row r="7472" spans="4:60">
      <c r="D7472" s="350"/>
      <c r="S7472" s="350"/>
      <c r="BF7472" s="350"/>
      <c r="BG7472" s="350"/>
      <c r="BH7472" s="350"/>
    </row>
    <row r="7473" spans="4:60">
      <c r="D7473" s="350"/>
      <c r="S7473" s="350"/>
      <c r="BF7473" s="350"/>
      <c r="BG7473" s="350"/>
      <c r="BH7473" s="350"/>
    </row>
    <row r="7474" spans="4:60">
      <c r="D7474" s="350"/>
      <c r="S7474" s="350"/>
      <c r="BF7474" s="350"/>
      <c r="BG7474" s="350"/>
      <c r="BH7474" s="350"/>
    </row>
    <row r="7475" spans="4:60">
      <c r="D7475" s="350"/>
      <c r="S7475" s="350"/>
      <c r="BF7475" s="350"/>
      <c r="BG7475" s="350"/>
      <c r="BH7475" s="350"/>
    </row>
    <row r="7476" spans="4:60">
      <c r="D7476" s="350"/>
      <c r="S7476" s="350"/>
      <c r="BF7476" s="350"/>
      <c r="BG7476" s="350"/>
      <c r="BH7476" s="350"/>
    </row>
    <row r="7477" spans="4:60">
      <c r="D7477" s="350"/>
      <c r="S7477" s="350"/>
      <c r="BF7477" s="350"/>
      <c r="BG7477" s="350"/>
      <c r="BH7477" s="350"/>
    </row>
    <row r="7478" spans="4:60">
      <c r="D7478" s="350"/>
      <c r="S7478" s="350"/>
      <c r="BF7478" s="350"/>
      <c r="BG7478" s="350"/>
      <c r="BH7478" s="350"/>
    </row>
    <row r="7479" spans="4:60">
      <c r="D7479" s="350"/>
      <c r="S7479" s="350"/>
      <c r="BF7479" s="350"/>
      <c r="BG7479" s="350"/>
      <c r="BH7479" s="350"/>
    </row>
    <row r="7480" spans="4:60">
      <c r="D7480" s="350"/>
      <c r="S7480" s="350"/>
      <c r="BF7480" s="350"/>
      <c r="BG7480" s="350"/>
      <c r="BH7480" s="350"/>
    </row>
    <row r="7481" spans="4:60">
      <c r="D7481" s="350"/>
      <c r="S7481" s="350"/>
      <c r="BF7481" s="350"/>
      <c r="BG7481" s="350"/>
      <c r="BH7481" s="350"/>
    </row>
    <row r="7482" spans="4:60">
      <c r="D7482" s="350"/>
      <c r="S7482" s="350"/>
      <c r="BF7482" s="350"/>
      <c r="BG7482" s="350"/>
      <c r="BH7482" s="350"/>
    </row>
    <row r="7483" spans="4:60">
      <c r="D7483" s="350"/>
      <c r="S7483" s="350"/>
      <c r="BF7483" s="350"/>
      <c r="BG7483" s="350"/>
      <c r="BH7483" s="350"/>
    </row>
    <row r="7484" spans="4:60">
      <c r="D7484" s="350"/>
      <c r="S7484" s="350"/>
      <c r="BF7484" s="350"/>
      <c r="BG7484" s="350"/>
      <c r="BH7484" s="350"/>
    </row>
    <row r="7485" spans="4:60">
      <c r="D7485" s="350"/>
      <c r="S7485" s="350"/>
      <c r="BF7485" s="350"/>
      <c r="BG7485" s="350"/>
      <c r="BH7485" s="350"/>
    </row>
    <row r="7486" spans="4:60">
      <c r="D7486" s="350"/>
      <c r="S7486" s="350"/>
      <c r="BF7486" s="350"/>
      <c r="BG7486" s="350"/>
      <c r="BH7486" s="350"/>
    </row>
    <row r="7487" spans="4:60">
      <c r="D7487" s="350"/>
      <c r="S7487" s="350"/>
      <c r="BF7487" s="350"/>
      <c r="BG7487" s="350"/>
      <c r="BH7487" s="350"/>
    </row>
    <row r="7488" spans="4:60">
      <c r="D7488" s="350"/>
      <c r="S7488" s="350"/>
      <c r="BF7488" s="350"/>
      <c r="BG7488" s="350"/>
      <c r="BH7488" s="350"/>
    </row>
    <row r="7489" spans="4:60">
      <c r="D7489" s="350"/>
      <c r="S7489" s="350"/>
      <c r="BF7489" s="350"/>
      <c r="BG7489" s="350"/>
      <c r="BH7489" s="350"/>
    </row>
    <row r="7490" spans="4:60">
      <c r="D7490" s="350"/>
      <c r="S7490" s="350"/>
      <c r="BF7490" s="350"/>
      <c r="BG7490" s="350"/>
      <c r="BH7490" s="350"/>
    </row>
    <row r="7491" spans="4:60">
      <c r="D7491" s="350"/>
      <c r="S7491" s="350"/>
      <c r="BF7491" s="350"/>
      <c r="BG7491" s="350"/>
      <c r="BH7491" s="350"/>
    </row>
    <row r="7492" spans="4:60">
      <c r="D7492" s="350"/>
      <c r="S7492" s="350"/>
      <c r="BF7492" s="350"/>
      <c r="BG7492" s="350"/>
      <c r="BH7492" s="350"/>
    </row>
    <row r="7493" spans="4:60">
      <c r="D7493" s="350"/>
      <c r="S7493" s="350"/>
      <c r="BF7493" s="350"/>
      <c r="BG7493" s="350"/>
      <c r="BH7493" s="350"/>
    </row>
    <row r="7494" spans="4:60">
      <c r="D7494" s="350"/>
      <c r="S7494" s="350"/>
      <c r="BF7494" s="350"/>
      <c r="BG7494" s="350"/>
      <c r="BH7494" s="350"/>
    </row>
    <row r="7495" spans="4:60">
      <c r="D7495" s="350"/>
      <c r="S7495" s="350"/>
      <c r="BF7495" s="350"/>
      <c r="BG7495" s="350"/>
      <c r="BH7495" s="350"/>
    </row>
    <row r="7496" spans="4:60">
      <c r="D7496" s="350"/>
      <c r="S7496" s="350"/>
      <c r="BF7496" s="350"/>
      <c r="BG7496" s="350"/>
      <c r="BH7496" s="350"/>
    </row>
    <row r="7497" spans="4:60">
      <c r="D7497" s="350"/>
      <c r="S7497" s="350"/>
      <c r="BF7497" s="350"/>
      <c r="BG7497" s="350"/>
      <c r="BH7497" s="350"/>
    </row>
    <row r="7498" spans="4:60">
      <c r="D7498" s="350"/>
      <c r="S7498" s="350"/>
      <c r="BF7498" s="350"/>
      <c r="BG7498" s="350"/>
      <c r="BH7498" s="350"/>
    </row>
    <row r="7499" spans="4:60">
      <c r="D7499" s="350"/>
      <c r="S7499" s="350"/>
      <c r="BF7499" s="350"/>
      <c r="BG7499" s="350"/>
      <c r="BH7499" s="350"/>
    </row>
    <row r="7500" spans="4:60">
      <c r="D7500" s="350"/>
      <c r="S7500" s="350"/>
      <c r="BF7500" s="350"/>
      <c r="BG7500" s="350"/>
      <c r="BH7500" s="350"/>
    </row>
    <row r="7501" spans="4:60">
      <c r="D7501" s="350"/>
      <c r="S7501" s="350"/>
      <c r="BF7501" s="350"/>
      <c r="BG7501" s="350"/>
      <c r="BH7501" s="350"/>
    </row>
    <row r="7502" spans="4:60">
      <c r="D7502" s="350"/>
      <c r="S7502" s="350"/>
      <c r="BF7502" s="350"/>
      <c r="BG7502" s="350"/>
      <c r="BH7502" s="350"/>
    </row>
    <row r="7503" spans="4:60">
      <c r="D7503" s="350"/>
      <c r="S7503" s="350"/>
      <c r="BF7503" s="350"/>
      <c r="BG7503" s="350"/>
      <c r="BH7503" s="350"/>
    </row>
    <row r="7504" spans="4:60">
      <c r="D7504" s="350"/>
      <c r="S7504" s="350"/>
      <c r="BF7504" s="350"/>
      <c r="BG7504" s="350"/>
      <c r="BH7504" s="350"/>
    </row>
    <row r="7505" spans="4:60">
      <c r="D7505" s="350"/>
      <c r="S7505" s="350"/>
      <c r="BF7505" s="350"/>
      <c r="BG7505" s="350"/>
      <c r="BH7505" s="350"/>
    </row>
    <row r="7506" spans="4:60">
      <c r="D7506" s="350"/>
      <c r="S7506" s="350"/>
      <c r="BF7506" s="350"/>
      <c r="BG7506" s="350"/>
      <c r="BH7506" s="350"/>
    </row>
    <row r="7507" spans="4:60">
      <c r="D7507" s="350"/>
      <c r="S7507" s="350"/>
      <c r="BF7507" s="350"/>
      <c r="BG7507" s="350"/>
      <c r="BH7507" s="350"/>
    </row>
    <row r="7508" spans="4:60">
      <c r="D7508" s="350"/>
      <c r="S7508" s="350"/>
      <c r="BF7508" s="350"/>
      <c r="BG7508" s="350"/>
      <c r="BH7508" s="350"/>
    </row>
    <row r="7509" spans="4:60">
      <c r="D7509" s="350"/>
      <c r="S7509" s="350"/>
      <c r="BF7509" s="350"/>
      <c r="BG7509" s="350"/>
      <c r="BH7509" s="350"/>
    </row>
    <row r="7510" spans="4:60">
      <c r="D7510" s="350"/>
      <c r="S7510" s="350"/>
      <c r="BF7510" s="350"/>
      <c r="BG7510" s="350"/>
      <c r="BH7510" s="350"/>
    </row>
    <row r="7511" spans="4:60">
      <c r="D7511" s="350"/>
      <c r="S7511" s="350"/>
      <c r="BF7511" s="350"/>
      <c r="BG7511" s="350"/>
      <c r="BH7511" s="350"/>
    </row>
    <row r="7512" spans="4:60">
      <c r="D7512" s="350"/>
      <c r="S7512" s="350"/>
      <c r="BF7512" s="350"/>
      <c r="BG7512" s="350"/>
      <c r="BH7512" s="350"/>
    </row>
    <row r="7513" spans="4:60">
      <c r="D7513" s="350"/>
      <c r="S7513" s="350"/>
      <c r="BF7513" s="350"/>
      <c r="BG7513" s="350"/>
      <c r="BH7513" s="350"/>
    </row>
    <row r="7514" spans="4:60">
      <c r="D7514" s="350"/>
      <c r="S7514" s="350"/>
      <c r="BF7514" s="350"/>
      <c r="BG7514" s="350"/>
      <c r="BH7514" s="350"/>
    </row>
    <row r="7515" spans="4:60">
      <c r="D7515" s="350"/>
      <c r="S7515" s="350"/>
      <c r="BF7515" s="350"/>
      <c r="BG7515" s="350"/>
      <c r="BH7515" s="350"/>
    </row>
    <row r="7516" spans="4:60">
      <c r="D7516" s="350"/>
      <c r="S7516" s="350"/>
      <c r="BF7516" s="350"/>
      <c r="BG7516" s="350"/>
      <c r="BH7516" s="350"/>
    </row>
    <row r="7517" spans="4:60">
      <c r="D7517" s="350"/>
      <c r="S7517" s="350"/>
      <c r="BF7517" s="350"/>
      <c r="BG7517" s="350"/>
      <c r="BH7517" s="350"/>
    </row>
    <row r="7518" spans="4:60">
      <c r="D7518" s="350"/>
      <c r="S7518" s="350"/>
      <c r="BF7518" s="350"/>
      <c r="BG7518" s="350"/>
      <c r="BH7518" s="350"/>
    </row>
    <row r="7519" spans="4:60">
      <c r="D7519" s="350"/>
      <c r="S7519" s="350"/>
      <c r="BF7519" s="350"/>
      <c r="BG7519" s="350"/>
      <c r="BH7519" s="350"/>
    </row>
    <row r="7520" spans="4:60">
      <c r="D7520" s="350"/>
      <c r="S7520" s="350"/>
      <c r="BF7520" s="350"/>
      <c r="BG7520" s="350"/>
      <c r="BH7520" s="350"/>
    </row>
    <row r="7521" spans="4:60">
      <c r="D7521" s="350"/>
      <c r="S7521" s="350"/>
      <c r="BF7521" s="350"/>
      <c r="BG7521" s="350"/>
      <c r="BH7521" s="350"/>
    </row>
    <row r="7522" spans="4:60">
      <c r="D7522" s="350"/>
      <c r="S7522" s="350"/>
      <c r="BF7522" s="350"/>
      <c r="BG7522" s="350"/>
      <c r="BH7522" s="350"/>
    </row>
    <row r="7523" spans="4:60">
      <c r="D7523" s="350"/>
      <c r="S7523" s="350"/>
      <c r="BF7523" s="350"/>
      <c r="BG7523" s="350"/>
      <c r="BH7523" s="350"/>
    </row>
    <row r="7524" spans="4:60">
      <c r="D7524" s="350"/>
      <c r="S7524" s="350"/>
      <c r="BF7524" s="350"/>
      <c r="BG7524" s="350"/>
      <c r="BH7524" s="350"/>
    </row>
    <row r="7525" spans="4:60">
      <c r="D7525" s="350"/>
      <c r="S7525" s="350"/>
      <c r="BF7525" s="350"/>
      <c r="BG7525" s="350"/>
      <c r="BH7525" s="350"/>
    </row>
    <row r="7526" spans="4:60">
      <c r="D7526" s="350"/>
      <c r="S7526" s="350"/>
      <c r="BF7526" s="350"/>
      <c r="BG7526" s="350"/>
      <c r="BH7526" s="350"/>
    </row>
    <row r="7527" spans="4:60">
      <c r="D7527" s="350"/>
      <c r="S7527" s="350"/>
      <c r="BF7527" s="350"/>
      <c r="BG7527" s="350"/>
      <c r="BH7527" s="350"/>
    </row>
    <row r="7528" spans="4:60">
      <c r="D7528" s="350"/>
      <c r="S7528" s="350"/>
      <c r="BF7528" s="350"/>
      <c r="BG7528" s="350"/>
      <c r="BH7528" s="350"/>
    </row>
    <row r="7529" spans="4:60">
      <c r="D7529" s="350"/>
      <c r="S7529" s="350"/>
      <c r="BF7529" s="350"/>
      <c r="BG7529" s="350"/>
      <c r="BH7529" s="350"/>
    </row>
    <row r="7530" spans="4:60">
      <c r="D7530" s="350"/>
      <c r="S7530" s="350"/>
      <c r="BF7530" s="350"/>
      <c r="BG7530" s="350"/>
      <c r="BH7530" s="350"/>
    </row>
    <row r="7531" spans="4:60">
      <c r="D7531" s="350"/>
      <c r="S7531" s="350"/>
      <c r="BF7531" s="350"/>
      <c r="BG7531" s="350"/>
      <c r="BH7531" s="350"/>
    </row>
    <row r="7532" spans="4:60">
      <c r="D7532" s="350"/>
      <c r="S7532" s="350"/>
      <c r="BF7532" s="350"/>
      <c r="BG7532" s="350"/>
      <c r="BH7532" s="350"/>
    </row>
    <row r="7533" spans="4:60">
      <c r="D7533" s="350"/>
      <c r="S7533" s="350"/>
      <c r="BF7533" s="350"/>
      <c r="BG7533" s="350"/>
      <c r="BH7533" s="350"/>
    </row>
    <row r="7534" spans="4:60">
      <c r="D7534" s="350"/>
      <c r="S7534" s="350"/>
      <c r="BF7534" s="350"/>
      <c r="BG7534" s="350"/>
      <c r="BH7534" s="350"/>
    </row>
    <row r="7535" spans="4:60">
      <c r="D7535" s="350"/>
      <c r="S7535" s="350"/>
      <c r="BF7535" s="350"/>
      <c r="BG7535" s="350"/>
      <c r="BH7535" s="350"/>
    </row>
    <row r="7536" spans="4:60">
      <c r="D7536" s="350"/>
      <c r="S7536" s="350"/>
      <c r="BF7536" s="350"/>
      <c r="BG7536" s="350"/>
      <c r="BH7536" s="350"/>
    </row>
    <row r="7537" spans="4:60">
      <c r="D7537" s="350"/>
      <c r="S7537" s="350"/>
      <c r="BF7537" s="350"/>
      <c r="BG7537" s="350"/>
      <c r="BH7537" s="350"/>
    </row>
    <row r="7538" spans="4:60">
      <c r="D7538" s="350"/>
      <c r="S7538" s="350"/>
      <c r="BF7538" s="350"/>
      <c r="BG7538" s="350"/>
      <c r="BH7538" s="350"/>
    </row>
    <row r="7539" spans="4:60">
      <c r="D7539" s="350"/>
      <c r="S7539" s="350"/>
      <c r="BF7539" s="350"/>
      <c r="BG7539" s="350"/>
      <c r="BH7539" s="350"/>
    </row>
    <row r="7540" spans="4:60">
      <c r="D7540" s="350"/>
      <c r="S7540" s="350"/>
      <c r="BF7540" s="350"/>
      <c r="BG7540" s="350"/>
      <c r="BH7540" s="350"/>
    </row>
    <row r="7541" spans="4:60">
      <c r="D7541" s="350"/>
      <c r="S7541" s="350"/>
      <c r="BF7541" s="350"/>
      <c r="BG7541" s="350"/>
      <c r="BH7541" s="350"/>
    </row>
    <row r="7542" spans="4:60">
      <c r="D7542" s="350"/>
      <c r="S7542" s="350"/>
      <c r="BF7542" s="350"/>
      <c r="BG7542" s="350"/>
      <c r="BH7542" s="350"/>
    </row>
    <row r="7543" spans="4:60">
      <c r="D7543" s="350"/>
      <c r="S7543" s="350"/>
      <c r="BF7543" s="350"/>
      <c r="BG7543" s="350"/>
      <c r="BH7543" s="350"/>
    </row>
    <row r="7544" spans="4:60">
      <c r="D7544" s="350"/>
      <c r="S7544" s="350"/>
      <c r="BF7544" s="350"/>
      <c r="BG7544" s="350"/>
      <c r="BH7544" s="350"/>
    </row>
    <row r="7545" spans="4:60">
      <c r="D7545" s="350"/>
      <c r="S7545" s="350"/>
      <c r="BF7545" s="350"/>
      <c r="BG7545" s="350"/>
      <c r="BH7545" s="350"/>
    </row>
    <row r="7546" spans="4:60">
      <c r="D7546" s="350"/>
      <c r="S7546" s="350"/>
      <c r="BF7546" s="350"/>
      <c r="BG7546" s="350"/>
      <c r="BH7546" s="350"/>
    </row>
    <row r="7547" spans="4:60">
      <c r="D7547" s="350"/>
      <c r="S7547" s="350"/>
      <c r="BF7547" s="350"/>
      <c r="BG7547" s="350"/>
      <c r="BH7547" s="350"/>
    </row>
    <row r="7548" spans="4:60">
      <c r="D7548" s="350"/>
      <c r="S7548" s="350"/>
      <c r="BF7548" s="350"/>
      <c r="BG7548" s="350"/>
      <c r="BH7548" s="350"/>
    </row>
    <row r="7549" spans="4:60">
      <c r="D7549" s="350"/>
      <c r="S7549" s="350"/>
      <c r="BF7549" s="350"/>
      <c r="BG7549" s="350"/>
      <c r="BH7549" s="350"/>
    </row>
    <row r="7550" spans="4:60">
      <c r="D7550" s="350"/>
      <c r="S7550" s="350"/>
      <c r="BF7550" s="350"/>
      <c r="BG7550" s="350"/>
      <c r="BH7550" s="350"/>
    </row>
    <row r="7551" spans="4:60">
      <c r="D7551" s="350"/>
      <c r="S7551" s="350"/>
      <c r="BF7551" s="350"/>
      <c r="BG7551" s="350"/>
      <c r="BH7551" s="350"/>
    </row>
    <row r="7552" spans="4:60">
      <c r="D7552" s="350"/>
      <c r="S7552" s="350"/>
      <c r="BF7552" s="350"/>
      <c r="BG7552" s="350"/>
      <c r="BH7552" s="350"/>
    </row>
    <row r="7553" spans="4:60">
      <c r="D7553" s="350"/>
      <c r="S7553" s="350"/>
      <c r="BF7553" s="350"/>
      <c r="BG7553" s="350"/>
      <c r="BH7553" s="350"/>
    </row>
    <row r="7554" spans="4:60">
      <c r="D7554" s="350"/>
      <c r="S7554" s="350"/>
      <c r="BF7554" s="350"/>
      <c r="BG7554" s="350"/>
      <c r="BH7554" s="350"/>
    </row>
    <row r="7555" spans="4:60">
      <c r="D7555" s="350"/>
      <c r="S7555" s="350"/>
      <c r="BF7555" s="350"/>
      <c r="BG7555" s="350"/>
      <c r="BH7555" s="350"/>
    </row>
    <row r="7556" spans="4:60">
      <c r="D7556" s="350"/>
      <c r="S7556" s="350"/>
      <c r="BF7556" s="350"/>
      <c r="BG7556" s="350"/>
      <c r="BH7556" s="350"/>
    </row>
    <row r="7557" spans="4:60">
      <c r="D7557" s="350"/>
      <c r="S7557" s="350"/>
      <c r="BF7557" s="350"/>
      <c r="BG7557" s="350"/>
      <c r="BH7557" s="350"/>
    </row>
    <row r="7558" spans="4:60">
      <c r="D7558" s="350"/>
      <c r="S7558" s="350"/>
      <c r="BF7558" s="350"/>
      <c r="BG7558" s="350"/>
      <c r="BH7558" s="350"/>
    </row>
    <row r="7559" spans="4:60">
      <c r="D7559" s="350"/>
      <c r="S7559" s="350"/>
      <c r="BF7559" s="350"/>
      <c r="BG7559" s="350"/>
      <c r="BH7559" s="350"/>
    </row>
    <row r="7560" spans="4:60">
      <c r="D7560" s="350"/>
      <c r="S7560" s="350"/>
      <c r="BF7560" s="350"/>
      <c r="BG7560" s="350"/>
      <c r="BH7560" s="350"/>
    </row>
    <row r="7561" spans="4:60">
      <c r="D7561" s="350"/>
      <c r="S7561" s="350"/>
      <c r="BF7561" s="350"/>
      <c r="BG7561" s="350"/>
      <c r="BH7561" s="350"/>
    </row>
    <row r="7562" spans="4:60">
      <c r="D7562" s="350"/>
      <c r="S7562" s="350"/>
      <c r="BF7562" s="350"/>
      <c r="BG7562" s="350"/>
      <c r="BH7562" s="350"/>
    </row>
    <row r="7563" spans="4:60">
      <c r="D7563" s="350"/>
      <c r="S7563" s="350"/>
      <c r="BF7563" s="350"/>
      <c r="BG7563" s="350"/>
      <c r="BH7563" s="350"/>
    </row>
    <row r="7564" spans="4:60">
      <c r="D7564" s="350"/>
      <c r="S7564" s="350"/>
      <c r="BF7564" s="350"/>
      <c r="BG7564" s="350"/>
      <c r="BH7564" s="350"/>
    </row>
    <row r="7565" spans="4:60">
      <c r="D7565" s="350"/>
      <c r="S7565" s="350"/>
      <c r="BF7565" s="350"/>
      <c r="BG7565" s="350"/>
      <c r="BH7565" s="350"/>
    </row>
    <row r="7566" spans="4:60">
      <c r="D7566" s="350"/>
      <c r="S7566" s="350"/>
      <c r="BF7566" s="350"/>
      <c r="BG7566" s="350"/>
      <c r="BH7566" s="350"/>
    </row>
    <row r="7567" spans="4:60">
      <c r="D7567" s="350"/>
      <c r="S7567" s="350"/>
      <c r="BF7567" s="350"/>
      <c r="BG7567" s="350"/>
      <c r="BH7567" s="350"/>
    </row>
    <row r="7568" spans="4:60">
      <c r="D7568" s="350"/>
      <c r="S7568" s="350"/>
      <c r="BF7568" s="350"/>
      <c r="BG7568" s="350"/>
      <c r="BH7568" s="350"/>
    </row>
    <row r="7569" spans="4:60">
      <c r="D7569" s="350"/>
      <c r="S7569" s="350"/>
      <c r="BF7569" s="350"/>
      <c r="BG7569" s="350"/>
      <c r="BH7569" s="350"/>
    </row>
    <row r="7570" spans="4:60">
      <c r="D7570" s="350"/>
      <c r="S7570" s="350"/>
      <c r="BF7570" s="350"/>
      <c r="BG7570" s="350"/>
      <c r="BH7570" s="350"/>
    </row>
    <row r="7571" spans="4:60">
      <c r="D7571" s="350"/>
      <c r="S7571" s="350"/>
      <c r="BF7571" s="350"/>
      <c r="BG7571" s="350"/>
      <c r="BH7571" s="350"/>
    </row>
    <row r="7572" spans="4:60">
      <c r="D7572" s="350"/>
      <c r="S7572" s="350"/>
      <c r="BF7572" s="350"/>
      <c r="BG7572" s="350"/>
      <c r="BH7572" s="350"/>
    </row>
    <row r="7573" spans="4:60">
      <c r="D7573" s="350"/>
      <c r="S7573" s="350"/>
      <c r="BF7573" s="350"/>
      <c r="BG7573" s="350"/>
      <c r="BH7573" s="350"/>
    </row>
    <row r="7574" spans="4:60">
      <c r="D7574" s="350"/>
      <c r="S7574" s="350"/>
      <c r="BF7574" s="350"/>
      <c r="BG7574" s="350"/>
      <c r="BH7574" s="350"/>
    </row>
    <row r="7575" spans="4:60">
      <c r="D7575" s="350"/>
      <c r="S7575" s="350"/>
      <c r="BF7575" s="350"/>
      <c r="BG7575" s="350"/>
      <c r="BH7575" s="350"/>
    </row>
    <row r="7576" spans="4:60">
      <c r="D7576" s="350"/>
      <c r="S7576" s="350"/>
      <c r="BF7576" s="350"/>
      <c r="BG7576" s="350"/>
      <c r="BH7576" s="350"/>
    </row>
    <row r="7577" spans="4:60">
      <c r="D7577" s="350"/>
      <c r="S7577" s="350"/>
      <c r="BF7577" s="350"/>
      <c r="BG7577" s="350"/>
      <c r="BH7577" s="350"/>
    </row>
    <row r="7578" spans="4:60">
      <c r="D7578" s="350"/>
      <c r="S7578" s="350"/>
      <c r="BF7578" s="350"/>
      <c r="BG7578" s="350"/>
      <c r="BH7578" s="350"/>
    </row>
    <row r="7579" spans="4:60">
      <c r="D7579" s="350"/>
      <c r="S7579" s="350"/>
      <c r="BF7579" s="350"/>
      <c r="BG7579" s="350"/>
      <c r="BH7579" s="350"/>
    </row>
    <row r="7580" spans="4:60">
      <c r="D7580" s="350"/>
      <c r="S7580" s="350"/>
      <c r="BF7580" s="350"/>
      <c r="BG7580" s="350"/>
      <c r="BH7580" s="350"/>
    </row>
    <row r="7581" spans="4:60">
      <c r="D7581" s="350"/>
      <c r="S7581" s="350"/>
      <c r="BF7581" s="350"/>
      <c r="BG7581" s="350"/>
      <c r="BH7581" s="350"/>
    </row>
    <row r="7582" spans="4:60">
      <c r="D7582" s="350"/>
      <c r="S7582" s="350"/>
      <c r="BF7582" s="350"/>
      <c r="BG7582" s="350"/>
      <c r="BH7582" s="350"/>
    </row>
    <row r="7583" spans="4:60">
      <c r="D7583" s="350"/>
      <c r="S7583" s="350"/>
      <c r="BF7583" s="350"/>
      <c r="BG7583" s="350"/>
      <c r="BH7583" s="350"/>
    </row>
    <row r="7584" spans="4:60">
      <c r="D7584" s="350"/>
      <c r="S7584" s="350"/>
      <c r="BF7584" s="350"/>
      <c r="BG7584" s="350"/>
      <c r="BH7584" s="350"/>
    </row>
    <row r="7585" spans="4:60">
      <c r="D7585" s="350"/>
      <c r="S7585" s="350"/>
      <c r="BF7585" s="350"/>
      <c r="BG7585" s="350"/>
      <c r="BH7585" s="350"/>
    </row>
    <row r="7586" spans="4:60">
      <c r="D7586" s="350"/>
      <c r="S7586" s="350"/>
      <c r="BF7586" s="350"/>
      <c r="BG7586" s="350"/>
      <c r="BH7586" s="350"/>
    </row>
    <row r="7587" spans="4:60">
      <c r="D7587" s="350"/>
      <c r="S7587" s="350"/>
      <c r="BF7587" s="350"/>
      <c r="BG7587" s="350"/>
      <c r="BH7587" s="350"/>
    </row>
    <row r="7588" spans="4:60">
      <c r="D7588" s="350"/>
      <c r="S7588" s="350"/>
      <c r="BF7588" s="350"/>
      <c r="BG7588" s="350"/>
      <c r="BH7588" s="350"/>
    </row>
    <row r="7589" spans="4:60">
      <c r="D7589" s="350"/>
      <c r="S7589" s="350"/>
      <c r="BF7589" s="350"/>
      <c r="BG7589" s="350"/>
      <c r="BH7589" s="350"/>
    </row>
    <row r="7590" spans="4:60">
      <c r="D7590" s="350"/>
      <c r="S7590" s="350"/>
      <c r="BF7590" s="350"/>
      <c r="BG7590" s="350"/>
      <c r="BH7590" s="350"/>
    </row>
    <row r="7591" spans="4:60">
      <c r="D7591" s="350"/>
      <c r="S7591" s="350"/>
      <c r="BF7591" s="350"/>
      <c r="BG7591" s="350"/>
      <c r="BH7591" s="350"/>
    </row>
    <row r="7592" spans="4:60">
      <c r="D7592" s="350"/>
      <c r="S7592" s="350"/>
      <c r="BF7592" s="350"/>
      <c r="BG7592" s="350"/>
      <c r="BH7592" s="350"/>
    </row>
    <row r="7593" spans="4:60">
      <c r="D7593" s="350"/>
      <c r="S7593" s="350"/>
      <c r="BF7593" s="350"/>
      <c r="BG7593" s="350"/>
      <c r="BH7593" s="350"/>
    </row>
    <row r="7594" spans="4:60">
      <c r="D7594" s="350"/>
      <c r="S7594" s="350"/>
      <c r="BF7594" s="350"/>
      <c r="BG7594" s="350"/>
      <c r="BH7594" s="350"/>
    </row>
    <row r="7595" spans="4:60">
      <c r="D7595" s="350"/>
      <c r="S7595" s="350"/>
      <c r="BF7595" s="350"/>
      <c r="BG7595" s="350"/>
      <c r="BH7595" s="350"/>
    </row>
    <row r="7596" spans="4:60">
      <c r="D7596" s="350"/>
      <c r="S7596" s="350"/>
      <c r="BF7596" s="350"/>
      <c r="BG7596" s="350"/>
      <c r="BH7596" s="350"/>
    </row>
    <row r="7597" spans="4:60">
      <c r="D7597" s="350"/>
      <c r="S7597" s="350"/>
      <c r="BF7597" s="350"/>
      <c r="BG7597" s="350"/>
      <c r="BH7597" s="350"/>
    </row>
    <row r="7598" spans="4:60">
      <c r="D7598" s="350"/>
      <c r="S7598" s="350"/>
      <c r="BF7598" s="350"/>
      <c r="BG7598" s="350"/>
      <c r="BH7598" s="350"/>
    </row>
    <row r="7600" spans="4:60">
      <c r="D7600" s="350"/>
      <c r="S7600" s="350"/>
      <c r="BF7600" s="350"/>
      <c r="BG7600" s="350"/>
      <c r="BH7600" s="350"/>
    </row>
    <row r="7601" spans="4:60">
      <c r="D7601" s="350"/>
      <c r="S7601" s="350"/>
      <c r="BF7601" s="350"/>
      <c r="BG7601" s="350"/>
      <c r="BH7601" s="350"/>
    </row>
    <row r="7603" spans="4:60">
      <c r="D7603" s="350"/>
      <c r="S7603" s="350"/>
      <c r="BF7603" s="350"/>
      <c r="BG7603" s="350"/>
      <c r="BH7603" s="350"/>
    </row>
    <row r="7604" spans="4:60">
      <c r="D7604" s="350"/>
      <c r="S7604" s="350"/>
      <c r="BF7604" s="350"/>
      <c r="BG7604" s="350"/>
      <c r="BH7604" s="350"/>
    </row>
    <row r="7605" spans="4:60">
      <c r="D7605" s="350"/>
      <c r="S7605" s="350"/>
      <c r="BF7605" s="350"/>
      <c r="BG7605" s="350"/>
      <c r="BH7605" s="350"/>
    </row>
    <row r="7606" spans="4:60">
      <c r="D7606" s="350"/>
      <c r="S7606" s="350"/>
      <c r="BF7606" s="350"/>
      <c r="BG7606" s="350"/>
      <c r="BH7606" s="350"/>
    </row>
    <row r="7607" spans="4:60">
      <c r="D7607" s="350"/>
      <c r="S7607" s="350"/>
      <c r="BF7607" s="350"/>
      <c r="BG7607" s="350"/>
      <c r="BH7607" s="350"/>
    </row>
    <row r="7608" spans="4:60">
      <c r="D7608" s="350"/>
      <c r="S7608" s="350"/>
      <c r="BF7608" s="350"/>
      <c r="BG7608" s="350"/>
      <c r="BH7608" s="350"/>
    </row>
    <row r="7609" spans="4:60">
      <c r="D7609" s="350"/>
      <c r="S7609" s="350"/>
      <c r="BF7609" s="350"/>
      <c r="BG7609" s="350"/>
      <c r="BH7609" s="350"/>
    </row>
    <row r="7610" spans="4:60">
      <c r="D7610" s="350"/>
      <c r="S7610" s="350"/>
      <c r="BF7610" s="350"/>
      <c r="BG7610" s="350"/>
      <c r="BH7610" s="350"/>
    </row>
    <row r="7611" spans="4:60">
      <c r="D7611" s="350"/>
      <c r="S7611" s="350"/>
      <c r="BF7611" s="350"/>
      <c r="BG7611" s="350"/>
      <c r="BH7611" s="350"/>
    </row>
    <row r="7614" spans="4:60">
      <c r="D7614" s="350"/>
      <c r="S7614" s="350"/>
      <c r="BF7614" s="350"/>
      <c r="BG7614" s="350"/>
      <c r="BH7614" s="350"/>
    </row>
    <row r="7615" spans="4:60">
      <c r="D7615" s="350"/>
      <c r="S7615" s="350"/>
      <c r="BF7615" s="350"/>
      <c r="BG7615" s="350"/>
      <c r="BH7615" s="350"/>
    </row>
    <row r="7620" spans="4:60">
      <c r="D7620" s="350"/>
      <c r="S7620" s="350"/>
      <c r="BF7620" s="350"/>
      <c r="BG7620" s="350"/>
      <c r="BH7620" s="350"/>
    </row>
    <row r="7621" spans="4:60">
      <c r="D7621" s="350"/>
      <c r="S7621" s="350"/>
      <c r="BF7621" s="350"/>
      <c r="BG7621" s="350"/>
      <c r="BH7621" s="350"/>
    </row>
    <row r="7622" spans="4:60">
      <c r="D7622" s="350"/>
      <c r="S7622" s="350"/>
      <c r="BF7622" s="350"/>
      <c r="BG7622" s="350"/>
      <c r="BH7622" s="350"/>
    </row>
    <row r="7623" spans="4:60">
      <c r="D7623" s="350"/>
      <c r="S7623" s="350"/>
      <c r="BF7623" s="350"/>
      <c r="BG7623" s="350"/>
      <c r="BH7623" s="350"/>
    </row>
    <row r="7624" spans="4:60">
      <c r="D7624" s="350"/>
      <c r="S7624" s="350"/>
      <c r="BF7624" s="350"/>
      <c r="BG7624" s="350"/>
      <c r="BH7624" s="350"/>
    </row>
    <row r="7625" spans="4:60">
      <c r="D7625" s="350"/>
      <c r="S7625" s="350"/>
      <c r="BF7625" s="350"/>
      <c r="BG7625" s="350"/>
      <c r="BH7625" s="350"/>
    </row>
    <row r="7626" spans="4:60">
      <c r="D7626" s="350"/>
      <c r="S7626" s="350"/>
      <c r="BF7626" s="350"/>
      <c r="BG7626" s="350"/>
      <c r="BH7626" s="350"/>
    </row>
    <row r="7627" spans="4:60">
      <c r="D7627" s="350"/>
      <c r="S7627" s="350"/>
      <c r="BF7627" s="350"/>
      <c r="BG7627" s="350"/>
      <c r="BH7627" s="350"/>
    </row>
    <row r="7628" spans="4:60">
      <c r="D7628" s="350"/>
      <c r="S7628" s="350"/>
      <c r="BF7628" s="350"/>
      <c r="BG7628" s="350"/>
      <c r="BH7628" s="350"/>
    </row>
    <row r="7629" spans="4:60">
      <c r="D7629" s="350"/>
      <c r="S7629" s="350"/>
      <c r="BF7629" s="350"/>
      <c r="BG7629" s="350"/>
      <c r="BH7629" s="350"/>
    </row>
    <row r="7630" spans="4:60">
      <c r="D7630" s="350"/>
      <c r="S7630" s="350"/>
      <c r="BF7630" s="350"/>
      <c r="BG7630" s="350"/>
      <c r="BH7630" s="350"/>
    </row>
    <row r="7631" spans="4:60">
      <c r="D7631" s="350"/>
      <c r="S7631" s="350"/>
      <c r="BF7631" s="350"/>
      <c r="BG7631" s="350"/>
      <c r="BH7631" s="350"/>
    </row>
    <row r="7632" spans="4:60">
      <c r="D7632" s="350"/>
      <c r="S7632" s="350"/>
      <c r="BF7632" s="350"/>
      <c r="BG7632" s="350"/>
      <c r="BH7632" s="350"/>
    </row>
    <row r="7633" spans="4:60">
      <c r="D7633" s="350"/>
      <c r="S7633" s="350"/>
      <c r="BF7633" s="350"/>
      <c r="BG7633" s="350"/>
      <c r="BH7633" s="350"/>
    </row>
    <row r="7634" spans="4:60">
      <c r="D7634" s="350"/>
      <c r="S7634" s="350"/>
      <c r="BF7634" s="350"/>
      <c r="BG7634" s="350"/>
      <c r="BH7634" s="350"/>
    </row>
    <row r="7635" spans="4:60">
      <c r="D7635" s="350"/>
      <c r="S7635" s="350"/>
      <c r="BF7635" s="350"/>
      <c r="BG7635" s="350"/>
      <c r="BH7635" s="350"/>
    </row>
    <row r="7636" spans="4:60">
      <c r="D7636" s="350"/>
      <c r="S7636" s="350"/>
      <c r="BF7636" s="350"/>
      <c r="BG7636" s="350"/>
      <c r="BH7636" s="350"/>
    </row>
    <row r="7637" spans="4:60">
      <c r="D7637" s="350"/>
      <c r="S7637" s="350"/>
      <c r="BF7637" s="350"/>
      <c r="BG7637" s="350"/>
      <c r="BH7637" s="350"/>
    </row>
    <row r="7638" spans="4:60">
      <c r="D7638" s="350"/>
      <c r="S7638" s="350"/>
      <c r="BF7638" s="350"/>
      <c r="BG7638" s="350"/>
      <c r="BH7638" s="350"/>
    </row>
    <row r="7639" spans="4:60">
      <c r="D7639" s="350"/>
      <c r="S7639" s="350"/>
      <c r="BF7639" s="350"/>
      <c r="BG7639" s="350"/>
      <c r="BH7639" s="350"/>
    </row>
    <row r="7640" spans="4:60">
      <c r="D7640" s="350"/>
      <c r="S7640" s="350"/>
      <c r="BF7640" s="350"/>
      <c r="BG7640" s="350"/>
      <c r="BH7640" s="350"/>
    </row>
    <row r="7641" spans="4:60">
      <c r="D7641" s="350"/>
      <c r="S7641" s="350"/>
      <c r="BF7641" s="350"/>
      <c r="BG7641" s="350"/>
      <c r="BH7641" s="350"/>
    </row>
    <row r="7642" spans="4:60">
      <c r="D7642" s="350"/>
      <c r="S7642" s="350"/>
      <c r="BF7642" s="350"/>
      <c r="BG7642" s="350"/>
      <c r="BH7642" s="350"/>
    </row>
    <row r="7643" spans="4:60">
      <c r="D7643" s="350"/>
      <c r="S7643" s="350"/>
      <c r="BF7643" s="350"/>
      <c r="BG7643" s="350"/>
      <c r="BH7643" s="350"/>
    </row>
    <row r="7644" spans="4:60">
      <c r="D7644" s="350"/>
      <c r="S7644" s="350"/>
      <c r="BF7644" s="350"/>
      <c r="BG7644" s="350"/>
      <c r="BH7644" s="350"/>
    </row>
    <row r="7645" spans="4:60">
      <c r="D7645" s="350"/>
      <c r="S7645" s="350"/>
      <c r="BF7645" s="350"/>
      <c r="BG7645" s="350"/>
      <c r="BH7645" s="350"/>
    </row>
    <row r="7646" spans="4:60">
      <c r="D7646" s="350"/>
      <c r="S7646" s="350"/>
      <c r="BF7646" s="350"/>
      <c r="BG7646" s="350"/>
      <c r="BH7646" s="350"/>
    </row>
    <row r="7647" spans="4:60">
      <c r="D7647" s="350"/>
      <c r="S7647" s="350"/>
      <c r="BF7647" s="350"/>
      <c r="BG7647" s="350"/>
      <c r="BH7647" s="350"/>
    </row>
    <row r="7648" spans="4:60">
      <c r="D7648" s="350"/>
      <c r="S7648" s="350"/>
      <c r="BF7648" s="350"/>
      <c r="BG7648" s="350"/>
      <c r="BH7648" s="350"/>
    </row>
    <row r="7649" spans="4:60">
      <c r="D7649" s="350"/>
      <c r="S7649" s="350"/>
      <c r="BF7649" s="350"/>
      <c r="BG7649" s="350"/>
      <c r="BH7649" s="350"/>
    </row>
    <row r="7650" spans="4:60">
      <c r="D7650" s="350"/>
      <c r="S7650" s="350"/>
      <c r="BF7650" s="350"/>
      <c r="BG7650" s="350"/>
      <c r="BH7650" s="350"/>
    </row>
    <row r="7651" spans="4:60">
      <c r="D7651" s="350"/>
      <c r="S7651" s="350"/>
      <c r="BF7651" s="350"/>
      <c r="BG7651" s="350"/>
      <c r="BH7651" s="350"/>
    </row>
    <row r="7652" spans="4:60">
      <c r="D7652" s="350"/>
      <c r="S7652" s="350"/>
      <c r="BF7652" s="350"/>
      <c r="BG7652" s="350"/>
      <c r="BH7652" s="350"/>
    </row>
    <row r="7653" spans="4:60">
      <c r="D7653" s="350"/>
      <c r="S7653" s="350"/>
      <c r="BF7653" s="350"/>
      <c r="BG7653" s="350"/>
      <c r="BH7653" s="350"/>
    </row>
    <row r="7654" spans="4:60">
      <c r="D7654" s="350"/>
      <c r="S7654" s="350"/>
      <c r="BF7654" s="350"/>
      <c r="BG7654" s="350"/>
      <c r="BH7654" s="350"/>
    </row>
    <row r="7655" spans="4:60">
      <c r="D7655" s="350"/>
      <c r="S7655" s="350"/>
      <c r="BF7655" s="350"/>
      <c r="BG7655" s="350"/>
      <c r="BH7655" s="350"/>
    </row>
    <row r="7656" spans="4:60">
      <c r="D7656" s="350"/>
      <c r="S7656" s="350"/>
      <c r="BF7656" s="350"/>
      <c r="BG7656" s="350"/>
      <c r="BH7656" s="350"/>
    </row>
    <row r="7657" spans="4:60">
      <c r="D7657" s="350"/>
      <c r="S7657" s="350"/>
      <c r="BF7657" s="350"/>
      <c r="BG7657" s="350"/>
      <c r="BH7657" s="350"/>
    </row>
    <row r="7658" spans="4:60">
      <c r="D7658" s="350"/>
      <c r="S7658" s="350"/>
      <c r="BF7658" s="350"/>
      <c r="BG7658" s="350"/>
      <c r="BH7658" s="350"/>
    </row>
    <row r="7659" spans="4:60">
      <c r="D7659" s="350"/>
      <c r="S7659" s="350"/>
      <c r="BF7659" s="350"/>
      <c r="BG7659" s="350"/>
      <c r="BH7659" s="350"/>
    </row>
    <row r="7660" spans="4:60">
      <c r="D7660" s="350"/>
      <c r="S7660" s="350"/>
      <c r="BF7660" s="350"/>
      <c r="BG7660" s="350"/>
      <c r="BH7660" s="350"/>
    </row>
    <row r="7661" spans="4:60">
      <c r="D7661" s="350"/>
      <c r="S7661" s="350"/>
      <c r="BF7661" s="350"/>
      <c r="BG7661" s="350"/>
      <c r="BH7661" s="350"/>
    </row>
    <row r="7662" spans="4:60">
      <c r="D7662" s="350"/>
      <c r="S7662" s="350"/>
      <c r="BF7662" s="350"/>
      <c r="BG7662" s="350"/>
      <c r="BH7662" s="350"/>
    </row>
    <row r="7663" spans="4:60">
      <c r="D7663" s="350"/>
      <c r="S7663" s="350"/>
      <c r="BF7663" s="350"/>
      <c r="BG7663" s="350"/>
      <c r="BH7663" s="350"/>
    </row>
    <row r="7664" spans="4:60">
      <c r="D7664" s="350"/>
      <c r="S7664" s="350"/>
      <c r="BF7664" s="350"/>
      <c r="BG7664" s="350"/>
      <c r="BH7664" s="350"/>
    </row>
    <row r="7665" spans="4:60">
      <c r="D7665" s="350"/>
      <c r="S7665" s="350"/>
      <c r="BF7665" s="350"/>
      <c r="BG7665" s="350"/>
      <c r="BH7665" s="350"/>
    </row>
    <row r="7670" spans="4:60">
      <c r="D7670" s="350"/>
      <c r="S7670" s="350"/>
      <c r="BF7670" s="350"/>
      <c r="BG7670" s="350"/>
      <c r="BH7670" s="350"/>
    </row>
    <row r="7671" spans="4:60">
      <c r="D7671" s="350"/>
      <c r="S7671" s="350"/>
      <c r="BF7671" s="350"/>
      <c r="BG7671" s="350"/>
      <c r="BH7671" s="350"/>
    </row>
    <row r="7674" spans="4:60">
      <c r="D7674" s="350"/>
      <c r="S7674" s="350"/>
      <c r="BF7674" s="350"/>
      <c r="BG7674" s="350"/>
      <c r="BH7674" s="350"/>
    </row>
    <row r="7675" spans="4:60">
      <c r="D7675" s="350"/>
      <c r="S7675" s="350"/>
      <c r="BF7675" s="350"/>
      <c r="BG7675" s="350"/>
      <c r="BH7675" s="350"/>
    </row>
    <row r="7676" spans="4:60">
      <c r="D7676" s="350"/>
      <c r="S7676" s="350"/>
      <c r="BF7676" s="350"/>
      <c r="BG7676" s="350"/>
      <c r="BH7676" s="350"/>
    </row>
    <row r="7677" spans="4:60">
      <c r="D7677" s="350"/>
      <c r="S7677" s="350"/>
      <c r="BF7677" s="350"/>
      <c r="BG7677" s="350"/>
      <c r="BH7677" s="350"/>
    </row>
    <row r="7678" spans="4:60">
      <c r="D7678" s="350"/>
      <c r="S7678" s="350"/>
      <c r="BF7678" s="350"/>
      <c r="BG7678" s="350"/>
      <c r="BH7678" s="350"/>
    </row>
    <row r="7679" spans="4:60">
      <c r="D7679" s="350"/>
      <c r="S7679" s="350"/>
      <c r="BF7679" s="350"/>
      <c r="BG7679" s="350"/>
      <c r="BH7679" s="350"/>
    </row>
    <row r="7680" spans="4:60">
      <c r="D7680" s="350"/>
      <c r="S7680" s="350"/>
      <c r="BF7680" s="350"/>
      <c r="BG7680" s="350"/>
      <c r="BH7680" s="350"/>
    </row>
    <row r="7681" spans="4:60">
      <c r="D7681" s="350"/>
      <c r="S7681" s="350"/>
      <c r="BF7681" s="350"/>
      <c r="BG7681" s="350"/>
      <c r="BH7681" s="350"/>
    </row>
    <row r="7684" spans="4:60">
      <c r="D7684" s="350"/>
      <c r="S7684" s="350"/>
      <c r="BF7684" s="350"/>
      <c r="BG7684" s="350"/>
      <c r="BH7684" s="350"/>
    </row>
    <row r="7685" spans="4:60">
      <c r="D7685" s="350"/>
      <c r="S7685" s="350"/>
      <c r="BF7685" s="350"/>
      <c r="BG7685" s="350"/>
      <c r="BH7685" s="350"/>
    </row>
    <row r="7690" spans="4:60">
      <c r="D7690" s="350"/>
      <c r="S7690" s="350"/>
      <c r="BF7690" s="350"/>
      <c r="BG7690" s="350"/>
      <c r="BH7690" s="350"/>
    </row>
    <row r="7691" spans="4:60">
      <c r="D7691" s="350"/>
      <c r="S7691" s="350"/>
      <c r="BF7691" s="350"/>
      <c r="BG7691" s="350"/>
      <c r="BH7691" s="350"/>
    </row>
    <row r="7692" spans="4:60">
      <c r="D7692" s="350"/>
      <c r="S7692" s="350"/>
      <c r="BF7692" s="350"/>
      <c r="BG7692" s="350"/>
      <c r="BH7692" s="350"/>
    </row>
    <row r="7693" spans="4:60">
      <c r="D7693" s="350"/>
      <c r="S7693" s="350"/>
      <c r="BF7693" s="350"/>
      <c r="BG7693" s="350"/>
      <c r="BH7693" s="350"/>
    </row>
    <row r="7694" spans="4:60">
      <c r="D7694" s="350"/>
      <c r="S7694" s="350"/>
      <c r="BF7694" s="350"/>
      <c r="BG7694" s="350"/>
      <c r="BH7694" s="350"/>
    </row>
    <row r="7695" spans="4:60">
      <c r="D7695" s="350"/>
      <c r="S7695" s="350"/>
      <c r="BF7695" s="350"/>
      <c r="BG7695" s="350"/>
      <c r="BH7695" s="350"/>
    </row>
    <row r="7696" spans="4:60">
      <c r="D7696" s="350"/>
      <c r="S7696" s="350"/>
      <c r="BF7696" s="350"/>
      <c r="BG7696" s="350"/>
      <c r="BH7696" s="350"/>
    </row>
    <row r="7697" spans="4:60">
      <c r="D7697" s="350"/>
      <c r="S7697" s="350"/>
      <c r="BF7697" s="350"/>
      <c r="BG7697" s="350"/>
      <c r="BH7697" s="350"/>
    </row>
    <row r="7698" spans="4:60">
      <c r="D7698" s="350"/>
      <c r="S7698" s="350"/>
      <c r="BF7698" s="350"/>
      <c r="BG7698" s="350"/>
      <c r="BH7698" s="350"/>
    </row>
    <row r="7699" spans="4:60">
      <c r="D7699" s="350"/>
      <c r="S7699" s="350"/>
      <c r="BF7699" s="350"/>
      <c r="BG7699" s="350"/>
      <c r="BH7699" s="350"/>
    </row>
    <row r="7700" spans="4:60">
      <c r="D7700" s="350"/>
      <c r="S7700" s="350"/>
      <c r="BF7700" s="350"/>
      <c r="BG7700" s="350"/>
      <c r="BH7700" s="350"/>
    </row>
    <row r="7701" spans="4:60">
      <c r="D7701" s="350"/>
      <c r="S7701" s="350"/>
      <c r="BF7701" s="350"/>
      <c r="BG7701" s="350"/>
      <c r="BH7701" s="350"/>
    </row>
    <row r="7702" spans="4:60">
      <c r="D7702" s="350"/>
      <c r="S7702" s="350"/>
      <c r="BF7702" s="350"/>
      <c r="BG7702" s="350"/>
      <c r="BH7702" s="350"/>
    </row>
    <row r="7703" spans="4:60">
      <c r="D7703" s="350"/>
      <c r="S7703" s="350"/>
      <c r="BF7703" s="350"/>
      <c r="BG7703" s="350"/>
      <c r="BH7703" s="350"/>
    </row>
    <row r="7704" spans="4:60">
      <c r="D7704" s="350"/>
      <c r="S7704" s="350"/>
      <c r="BF7704" s="350"/>
      <c r="BG7704" s="350"/>
      <c r="BH7704" s="350"/>
    </row>
    <row r="7705" spans="4:60">
      <c r="D7705" s="350"/>
      <c r="S7705" s="350"/>
      <c r="BF7705" s="350"/>
      <c r="BG7705" s="350"/>
      <c r="BH7705" s="350"/>
    </row>
    <row r="7706" spans="4:60">
      <c r="D7706" s="350"/>
      <c r="S7706" s="350"/>
      <c r="BF7706" s="350"/>
      <c r="BG7706" s="350"/>
      <c r="BH7706" s="350"/>
    </row>
    <row r="7707" spans="4:60">
      <c r="D7707" s="350"/>
      <c r="S7707" s="350"/>
      <c r="BF7707" s="350"/>
      <c r="BG7707" s="350"/>
      <c r="BH7707" s="350"/>
    </row>
    <row r="7708" spans="4:60">
      <c r="D7708" s="350"/>
      <c r="S7708" s="350"/>
      <c r="BF7708" s="350"/>
      <c r="BG7708" s="350"/>
      <c r="BH7708" s="350"/>
    </row>
    <row r="7709" spans="4:60">
      <c r="D7709" s="350"/>
      <c r="S7709" s="350"/>
      <c r="BF7709" s="350"/>
      <c r="BG7709" s="350"/>
      <c r="BH7709" s="350"/>
    </row>
    <row r="7710" spans="4:60">
      <c r="D7710" s="350"/>
      <c r="S7710" s="350"/>
      <c r="BF7710" s="350"/>
      <c r="BG7710" s="350"/>
      <c r="BH7710" s="350"/>
    </row>
    <row r="7711" spans="4:60">
      <c r="D7711" s="350"/>
      <c r="S7711" s="350"/>
      <c r="BF7711" s="350"/>
      <c r="BG7711" s="350"/>
      <c r="BH7711" s="350"/>
    </row>
    <row r="7712" spans="4:60">
      <c r="D7712" s="350"/>
      <c r="S7712" s="350"/>
      <c r="BF7712" s="350"/>
      <c r="BG7712" s="350"/>
      <c r="BH7712" s="350"/>
    </row>
    <row r="7713" spans="4:60">
      <c r="D7713" s="350"/>
      <c r="S7713" s="350"/>
      <c r="BF7713" s="350"/>
      <c r="BG7713" s="350"/>
      <c r="BH7713" s="350"/>
    </row>
    <row r="7714" spans="4:60">
      <c r="D7714" s="350"/>
      <c r="S7714" s="350"/>
      <c r="BF7714" s="350"/>
      <c r="BG7714" s="350"/>
      <c r="BH7714" s="350"/>
    </row>
    <row r="7715" spans="4:60">
      <c r="D7715" s="350"/>
      <c r="S7715" s="350"/>
      <c r="BF7715" s="350"/>
      <c r="BG7715" s="350"/>
      <c r="BH7715" s="350"/>
    </row>
    <row r="7716" spans="4:60">
      <c r="D7716" s="350"/>
      <c r="S7716" s="350"/>
      <c r="BF7716" s="350"/>
      <c r="BG7716" s="350"/>
      <c r="BH7716" s="350"/>
    </row>
    <row r="7717" spans="4:60">
      <c r="D7717" s="350"/>
      <c r="S7717" s="350"/>
      <c r="BF7717" s="350"/>
      <c r="BG7717" s="350"/>
      <c r="BH7717" s="350"/>
    </row>
    <row r="7718" spans="4:60">
      <c r="D7718" s="350"/>
      <c r="S7718" s="350"/>
      <c r="BF7718" s="350"/>
      <c r="BG7718" s="350"/>
      <c r="BH7718" s="350"/>
    </row>
    <row r="7719" spans="4:60">
      <c r="D7719" s="350"/>
      <c r="S7719" s="350"/>
      <c r="BF7719" s="350"/>
      <c r="BG7719" s="350"/>
      <c r="BH7719" s="350"/>
    </row>
    <row r="7720" spans="4:60">
      <c r="D7720" s="350"/>
      <c r="S7720" s="350"/>
      <c r="BF7720" s="350"/>
      <c r="BG7720" s="350"/>
      <c r="BH7720" s="350"/>
    </row>
    <row r="7721" spans="4:60">
      <c r="D7721" s="350"/>
      <c r="S7721" s="350"/>
      <c r="BF7721" s="350"/>
      <c r="BG7721" s="350"/>
      <c r="BH7721" s="350"/>
    </row>
    <row r="7722" spans="4:60">
      <c r="D7722" s="350"/>
      <c r="S7722" s="350"/>
      <c r="BF7722" s="350"/>
      <c r="BG7722" s="350"/>
      <c r="BH7722" s="350"/>
    </row>
    <row r="7723" spans="4:60">
      <c r="D7723" s="350"/>
      <c r="S7723" s="350"/>
      <c r="BF7723" s="350"/>
      <c r="BG7723" s="350"/>
      <c r="BH7723" s="350"/>
    </row>
    <row r="7724" spans="4:60">
      <c r="D7724" s="350"/>
      <c r="S7724" s="350"/>
      <c r="BF7724" s="350"/>
      <c r="BG7724" s="350"/>
      <c r="BH7724" s="350"/>
    </row>
    <row r="7725" spans="4:60">
      <c r="D7725" s="350"/>
      <c r="S7725" s="350"/>
      <c r="BF7725" s="350"/>
      <c r="BG7725" s="350"/>
      <c r="BH7725" s="350"/>
    </row>
    <row r="7726" spans="4:60">
      <c r="D7726" s="350"/>
      <c r="S7726" s="350"/>
      <c r="BF7726" s="350"/>
      <c r="BG7726" s="350"/>
      <c r="BH7726" s="350"/>
    </row>
    <row r="7727" spans="4:60">
      <c r="D7727" s="350"/>
      <c r="S7727" s="350"/>
      <c r="BF7727" s="350"/>
      <c r="BG7727" s="350"/>
      <c r="BH7727" s="350"/>
    </row>
    <row r="7728" spans="4:60">
      <c r="D7728" s="350"/>
      <c r="S7728" s="350"/>
      <c r="BF7728" s="350"/>
      <c r="BG7728" s="350"/>
      <c r="BH7728" s="350"/>
    </row>
    <row r="7729" spans="4:60">
      <c r="D7729" s="350"/>
      <c r="S7729" s="350"/>
      <c r="BF7729" s="350"/>
      <c r="BG7729" s="350"/>
      <c r="BH7729" s="350"/>
    </row>
    <row r="7730" spans="4:60">
      <c r="D7730" s="350"/>
      <c r="S7730" s="350"/>
      <c r="BF7730" s="350"/>
      <c r="BG7730" s="350"/>
      <c r="BH7730" s="350"/>
    </row>
    <row r="7731" spans="4:60">
      <c r="D7731" s="350"/>
      <c r="S7731" s="350"/>
      <c r="BF7731" s="350"/>
      <c r="BG7731" s="350"/>
      <c r="BH7731" s="350"/>
    </row>
    <row r="7732" spans="4:60">
      <c r="D7732" s="350"/>
      <c r="S7732" s="350"/>
      <c r="BF7732" s="350"/>
      <c r="BG7732" s="350"/>
      <c r="BH7732" s="350"/>
    </row>
    <row r="7733" spans="4:60">
      <c r="D7733" s="350"/>
      <c r="S7733" s="350"/>
      <c r="BF7733" s="350"/>
      <c r="BG7733" s="350"/>
      <c r="BH7733" s="350"/>
    </row>
    <row r="7734" spans="4:60">
      <c r="D7734" s="350"/>
      <c r="S7734" s="350"/>
      <c r="BF7734" s="350"/>
      <c r="BG7734" s="350"/>
      <c r="BH7734" s="350"/>
    </row>
    <row r="7735" spans="4:60">
      <c r="D7735" s="350"/>
      <c r="S7735" s="350"/>
      <c r="BF7735" s="350"/>
      <c r="BG7735" s="350"/>
      <c r="BH7735" s="350"/>
    </row>
    <row r="7736" spans="4:60">
      <c r="D7736" s="350"/>
      <c r="S7736" s="350"/>
      <c r="BF7736" s="350"/>
      <c r="BG7736" s="350"/>
      <c r="BH7736" s="350"/>
    </row>
    <row r="7737" spans="4:60">
      <c r="D7737" s="350"/>
      <c r="S7737" s="350"/>
      <c r="BF7737" s="350"/>
      <c r="BG7737" s="350"/>
      <c r="BH7737" s="350"/>
    </row>
    <row r="7738" spans="4:60">
      <c r="D7738" s="350"/>
      <c r="S7738" s="350"/>
      <c r="BF7738" s="350"/>
      <c r="BG7738" s="350"/>
      <c r="BH7738" s="350"/>
    </row>
    <row r="7739" spans="4:60">
      <c r="D7739" s="350"/>
      <c r="S7739" s="350"/>
      <c r="BF7739" s="350"/>
      <c r="BG7739" s="350"/>
      <c r="BH7739" s="350"/>
    </row>
    <row r="7740" spans="4:60">
      <c r="D7740" s="350"/>
      <c r="S7740" s="350"/>
      <c r="BF7740" s="350"/>
      <c r="BG7740" s="350"/>
      <c r="BH7740" s="350"/>
    </row>
    <row r="7741" spans="4:60">
      <c r="D7741" s="350"/>
      <c r="S7741" s="350"/>
      <c r="BF7741" s="350"/>
      <c r="BG7741" s="350"/>
      <c r="BH7741" s="350"/>
    </row>
    <row r="7742" spans="4:60">
      <c r="D7742" s="350"/>
      <c r="S7742" s="350"/>
      <c r="BF7742" s="350"/>
      <c r="BG7742" s="350"/>
      <c r="BH7742" s="350"/>
    </row>
    <row r="7743" spans="4:60">
      <c r="D7743" s="350"/>
      <c r="S7743" s="350"/>
      <c r="BF7743" s="350"/>
      <c r="BG7743" s="350"/>
      <c r="BH7743" s="350"/>
    </row>
    <row r="7744" spans="4:60">
      <c r="D7744" s="350"/>
      <c r="S7744" s="350"/>
      <c r="BF7744" s="350"/>
      <c r="BG7744" s="350"/>
      <c r="BH7744" s="350"/>
    </row>
    <row r="7745" spans="4:60">
      <c r="D7745" s="350"/>
      <c r="S7745" s="350"/>
      <c r="BF7745" s="350"/>
      <c r="BG7745" s="350"/>
      <c r="BH7745" s="350"/>
    </row>
    <row r="7746" spans="4:60">
      <c r="D7746" s="350"/>
      <c r="S7746" s="350"/>
      <c r="BF7746" s="350"/>
      <c r="BG7746" s="350"/>
      <c r="BH7746" s="350"/>
    </row>
    <row r="7747" spans="4:60">
      <c r="D7747" s="350"/>
      <c r="S7747" s="350"/>
      <c r="BF7747" s="350"/>
      <c r="BG7747" s="350"/>
      <c r="BH7747" s="350"/>
    </row>
    <row r="7748" spans="4:60">
      <c r="D7748" s="350"/>
      <c r="S7748" s="350"/>
      <c r="BF7748" s="350"/>
      <c r="BG7748" s="350"/>
      <c r="BH7748" s="350"/>
    </row>
    <row r="7749" spans="4:60">
      <c r="D7749" s="350"/>
      <c r="S7749" s="350"/>
      <c r="BF7749" s="350"/>
      <c r="BG7749" s="350"/>
      <c r="BH7749" s="350"/>
    </row>
    <row r="7750" spans="4:60">
      <c r="D7750" s="350"/>
      <c r="S7750" s="350"/>
      <c r="BF7750" s="350"/>
      <c r="BG7750" s="350"/>
      <c r="BH7750" s="350"/>
    </row>
    <row r="7751" spans="4:60">
      <c r="D7751" s="350"/>
      <c r="S7751" s="350"/>
      <c r="BF7751" s="350"/>
      <c r="BG7751" s="350"/>
      <c r="BH7751" s="350"/>
    </row>
    <row r="7752" spans="4:60">
      <c r="D7752" s="350"/>
      <c r="S7752" s="350"/>
      <c r="BF7752" s="350"/>
      <c r="BG7752" s="350"/>
      <c r="BH7752" s="350"/>
    </row>
    <row r="7753" spans="4:60">
      <c r="D7753" s="350"/>
      <c r="S7753" s="350"/>
      <c r="BF7753" s="350"/>
      <c r="BG7753" s="350"/>
      <c r="BH7753" s="350"/>
    </row>
    <row r="7754" spans="4:60">
      <c r="D7754" s="350"/>
      <c r="S7754" s="350"/>
      <c r="BF7754" s="350"/>
      <c r="BG7754" s="350"/>
      <c r="BH7754" s="350"/>
    </row>
    <row r="7755" spans="4:60">
      <c r="D7755" s="350"/>
      <c r="S7755" s="350"/>
      <c r="BF7755" s="350"/>
      <c r="BG7755" s="350"/>
      <c r="BH7755" s="350"/>
    </row>
    <row r="7756" spans="4:60">
      <c r="D7756" s="350"/>
      <c r="S7756" s="350"/>
      <c r="BF7756" s="350"/>
      <c r="BG7756" s="350"/>
      <c r="BH7756" s="350"/>
    </row>
    <row r="7757" spans="4:60">
      <c r="D7757" s="350"/>
      <c r="S7757" s="350"/>
      <c r="BF7757" s="350"/>
      <c r="BG7757" s="350"/>
      <c r="BH7757" s="350"/>
    </row>
    <row r="7758" spans="4:60">
      <c r="D7758" s="350"/>
      <c r="S7758" s="350"/>
      <c r="BF7758" s="350"/>
      <c r="BG7758" s="350"/>
      <c r="BH7758" s="350"/>
    </row>
    <row r="7759" spans="4:60">
      <c r="D7759" s="350"/>
      <c r="S7759" s="350"/>
      <c r="BF7759" s="350"/>
      <c r="BG7759" s="350"/>
      <c r="BH7759" s="350"/>
    </row>
    <row r="7760" spans="4:60">
      <c r="D7760" s="350"/>
      <c r="S7760" s="350"/>
      <c r="BF7760" s="350"/>
      <c r="BG7760" s="350"/>
      <c r="BH7760" s="350"/>
    </row>
    <row r="7761" spans="4:60">
      <c r="D7761" s="350"/>
      <c r="S7761" s="350"/>
      <c r="BF7761" s="350"/>
      <c r="BG7761" s="350"/>
      <c r="BH7761" s="350"/>
    </row>
    <row r="7762" spans="4:60">
      <c r="D7762" s="350"/>
      <c r="S7762" s="350"/>
      <c r="BF7762" s="350"/>
      <c r="BG7762" s="350"/>
      <c r="BH7762" s="350"/>
    </row>
    <row r="7763" spans="4:60">
      <c r="D7763" s="350"/>
      <c r="S7763" s="350"/>
      <c r="BF7763" s="350"/>
      <c r="BG7763" s="350"/>
      <c r="BH7763" s="350"/>
    </row>
    <row r="7764" spans="4:60">
      <c r="D7764" s="350"/>
      <c r="S7764" s="350"/>
      <c r="BF7764" s="350"/>
      <c r="BG7764" s="350"/>
      <c r="BH7764" s="350"/>
    </row>
    <row r="7765" spans="4:60">
      <c r="D7765" s="350"/>
      <c r="S7765" s="350"/>
      <c r="BF7765" s="350"/>
      <c r="BG7765" s="350"/>
      <c r="BH7765" s="350"/>
    </row>
    <row r="7766" spans="4:60">
      <c r="D7766" s="350"/>
      <c r="S7766" s="350"/>
      <c r="BF7766" s="350"/>
      <c r="BG7766" s="350"/>
      <c r="BH7766" s="350"/>
    </row>
    <row r="7767" spans="4:60">
      <c r="D7767" s="350"/>
      <c r="S7767" s="350"/>
      <c r="BF7767" s="350"/>
      <c r="BG7767" s="350"/>
      <c r="BH7767" s="350"/>
    </row>
    <row r="7768" spans="4:60">
      <c r="D7768" s="350"/>
      <c r="S7768" s="350"/>
      <c r="BF7768" s="350"/>
      <c r="BG7768" s="350"/>
      <c r="BH7768" s="350"/>
    </row>
    <row r="7769" spans="4:60">
      <c r="D7769" s="350"/>
      <c r="S7769" s="350"/>
      <c r="BF7769" s="350"/>
      <c r="BG7769" s="350"/>
      <c r="BH7769" s="350"/>
    </row>
    <row r="7770" spans="4:60">
      <c r="D7770" s="350"/>
      <c r="S7770" s="350"/>
      <c r="BF7770" s="350"/>
      <c r="BG7770" s="350"/>
      <c r="BH7770" s="350"/>
    </row>
    <row r="7771" spans="4:60">
      <c r="D7771" s="350"/>
      <c r="S7771" s="350"/>
      <c r="BF7771" s="350"/>
      <c r="BG7771" s="350"/>
      <c r="BH7771" s="350"/>
    </row>
    <row r="7772" spans="4:60">
      <c r="D7772" s="350"/>
      <c r="S7772" s="350"/>
      <c r="BF7772" s="350"/>
      <c r="BG7772" s="350"/>
      <c r="BH7772" s="350"/>
    </row>
    <row r="7773" spans="4:60">
      <c r="D7773" s="350"/>
      <c r="S7773" s="350"/>
      <c r="BF7773" s="350"/>
      <c r="BG7773" s="350"/>
      <c r="BH7773" s="350"/>
    </row>
    <row r="7774" spans="4:60">
      <c r="D7774" s="350"/>
      <c r="S7774" s="350"/>
      <c r="BF7774" s="350"/>
      <c r="BG7774" s="350"/>
      <c r="BH7774" s="350"/>
    </row>
    <row r="7775" spans="4:60">
      <c r="D7775" s="350"/>
      <c r="S7775" s="350"/>
      <c r="BF7775" s="350"/>
      <c r="BG7775" s="350"/>
      <c r="BH7775" s="350"/>
    </row>
    <row r="7776" spans="4:60">
      <c r="D7776" s="350"/>
      <c r="S7776" s="350"/>
      <c r="BF7776" s="350"/>
      <c r="BG7776" s="350"/>
      <c r="BH7776" s="350"/>
    </row>
    <row r="7777" spans="4:60">
      <c r="D7777" s="350"/>
      <c r="S7777" s="350"/>
      <c r="BF7777" s="350"/>
      <c r="BG7777" s="350"/>
      <c r="BH7777" s="350"/>
    </row>
    <row r="7778" spans="4:60">
      <c r="D7778" s="350"/>
      <c r="S7778" s="350"/>
      <c r="BF7778" s="350"/>
      <c r="BG7778" s="350"/>
      <c r="BH7778" s="350"/>
    </row>
    <row r="7779" spans="4:60">
      <c r="D7779" s="350"/>
      <c r="S7779" s="350"/>
      <c r="BF7779" s="350"/>
      <c r="BG7779" s="350"/>
      <c r="BH7779" s="350"/>
    </row>
    <row r="7780" spans="4:60">
      <c r="D7780" s="350"/>
      <c r="S7780" s="350"/>
      <c r="BF7780" s="350"/>
      <c r="BG7780" s="350"/>
      <c r="BH7780" s="350"/>
    </row>
    <row r="7781" spans="4:60">
      <c r="D7781" s="350"/>
      <c r="S7781" s="350"/>
      <c r="BF7781" s="350"/>
      <c r="BG7781" s="350"/>
      <c r="BH7781" s="350"/>
    </row>
    <row r="7782" spans="4:60">
      <c r="D7782" s="350"/>
      <c r="S7782" s="350"/>
      <c r="BF7782" s="350"/>
      <c r="BG7782" s="350"/>
      <c r="BH7782" s="350"/>
    </row>
    <row r="7783" spans="4:60">
      <c r="D7783" s="350"/>
      <c r="S7783" s="350"/>
      <c r="BF7783" s="350"/>
      <c r="BG7783" s="350"/>
      <c r="BH7783" s="350"/>
    </row>
    <row r="7784" spans="4:60">
      <c r="D7784" s="350"/>
      <c r="S7784" s="350"/>
      <c r="BF7784" s="350"/>
      <c r="BG7784" s="350"/>
      <c r="BH7784" s="350"/>
    </row>
    <row r="7785" spans="4:60">
      <c r="D7785" s="350"/>
      <c r="S7785" s="350"/>
      <c r="BF7785" s="350"/>
      <c r="BG7785" s="350"/>
      <c r="BH7785" s="350"/>
    </row>
    <row r="7786" spans="4:60">
      <c r="D7786" s="350"/>
      <c r="S7786" s="350"/>
      <c r="BF7786" s="350"/>
      <c r="BG7786" s="350"/>
      <c r="BH7786" s="350"/>
    </row>
    <row r="7787" spans="4:60">
      <c r="D7787" s="350"/>
      <c r="S7787" s="350"/>
      <c r="BF7787" s="350"/>
      <c r="BG7787" s="350"/>
      <c r="BH7787" s="350"/>
    </row>
    <row r="7788" spans="4:60">
      <c r="D7788" s="350"/>
      <c r="S7788" s="350"/>
      <c r="BF7788" s="350"/>
      <c r="BG7788" s="350"/>
      <c r="BH7788" s="350"/>
    </row>
    <row r="7789" spans="4:60">
      <c r="D7789" s="350"/>
      <c r="S7789" s="350"/>
      <c r="BF7789" s="350"/>
      <c r="BG7789" s="350"/>
      <c r="BH7789" s="350"/>
    </row>
    <row r="7790" spans="4:60">
      <c r="D7790" s="350"/>
      <c r="S7790" s="350"/>
      <c r="BF7790" s="350"/>
      <c r="BG7790" s="350"/>
      <c r="BH7790" s="350"/>
    </row>
    <row r="7791" spans="4:60">
      <c r="D7791" s="350"/>
      <c r="S7791" s="350"/>
      <c r="BF7791" s="350"/>
      <c r="BG7791" s="350"/>
      <c r="BH7791" s="350"/>
    </row>
    <row r="7792" spans="4:60">
      <c r="D7792" s="350"/>
      <c r="S7792" s="350"/>
      <c r="BF7792" s="350"/>
      <c r="BG7792" s="350"/>
      <c r="BH7792" s="350"/>
    </row>
    <row r="7793" spans="4:60">
      <c r="D7793" s="350"/>
      <c r="S7793" s="350"/>
      <c r="BF7793" s="350"/>
      <c r="BG7793" s="350"/>
      <c r="BH7793" s="350"/>
    </row>
    <row r="7794" spans="4:60">
      <c r="D7794" s="350"/>
      <c r="S7794" s="350"/>
      <c r="BF7794" s="350"/>
      <c r="BG7794" s="350"/>
      <c r="BH7794" s="350"/>
    </row>
    <row r="7795" spans="4:60">
      <c r="D7795" s="350"/>
      <c r="S7795" s="350"/>
      <c r="BF7795" s="350"/>
      <c r="BG7795" s="350"/>
      <c r="BH7795" s="350"/>
    </row>
    <row r="7796" spans="4:60">
      <c r="D7796" s="350"/>
      <c r="S7796" s="350"/>
      <c r="BF7796" s="350"/>
      <c r="BG7796" s="350"/>
      <c r="BH7796" s="350"/>
    </row>
    <row r="7797" spans="4:60">
      <c r="D7797" s="350"/>
      <c r="S7797" s="350"/>
      <c r="BF7797" s="350"/>
      <c r="BG7797" s="350"/>
      <c r="BH7797" s="350"/>
    </row>
    <row r="7798" spans="4:60">
      <c r="D7798" s="350"/>
      <c r="S7798" s="350"/>
      <c r="BF7798" s="350"/>
      <c r="BG7798" s="350"/>
      <c r="BH7798" s="350"/>
    </row>
    <row r="7799" spans="4:60">
      <c r="D7799" s="350"/>
      <c r="S7799" s="350"/>
      <c r="BF7799" s="350"/>
      <c r="BG7799" s="350"/>
      <c r="BH7799" s="350"/>
    </row>
    <row r="7800" spans="4:60">
      <c r="D7800" s="350"/>
      <c r="S7800" s="350"/>
      <c r="BF7800" s="350"/>
      <c r="BG7800" s="350"/>
      <c r="BH7800" s="350"/>
    </row>
    <row r="7801" spans="4:60">
      <c r="D7801" s="350"/>
      <c r="S7801" s="350"/>
      <c r="BF7801" s="350"/>
      <c r="BG7801" s="350"/>
      <c r="BH7801" s="350"/>
    </row>
    <row r="7802" spans="4:60">
      <c r="D7802" s="350"/>
      <c r="S7802" s="350"/>
      <c r="BF7802" s="350"/>
      <c r="BG7802" s="350"/>
      <c r="BH7802" s="350"/>
    </row>
    <row r="7803" spans="4:60">
      <c r="D7803" s="350"/>
      <c r="S7803" s="350"/>
      <c r="BF7803" s="350"/>
      <c r="BG7803" s="350"/>
      <c r="BH7803" s="350"/>
    </row>
    <row r="7804" spans="4:60">
      <c r="D7804" s="350"/>
      <c r="S7804" s="350"/>
      <c r="BF7804" s="350"/>
      <c r="BG7804" s="350"/>
      <c r="BH7804" s="350"/>
    </row>
    <row r="7805" spans="4:60">
      <c r="D7805" s="350"/>
      <c r="S7805" s="350"/>
      <c r="BF7805" s="350"/>
      <c r="BG7805" s="350"/>
      <c r="BH7805" s="350"/>
    </row>
    <row r="7806" spans="4:60">
      <c r="D7806" s="350"/>
      <c r="S7806" s="350"/>
      <c r="BF7806" s="350"/>
      <c r="BG7806" s="350"/>
      <c r="BH7806" s="350"/>
    </row>
    <row r="7807" spans="4:60">
      <c r="D7807" s="350"/>
      <c r="S7807" s="350"/>
      <c r="BF7807" s="350"/>
      <c r="BG7807" s="350"/>
      <c r="BH7807" s="350"/>
    </row>
    <row r="7808" spans="4:60">
      <c r="D7808" s="350"/>
      <c r="S7808" s="350"/>
      <c r="BF7808" s="350"/>
      <c r="BG7808" s="350"/>
      <c r="BH7808" s="350"/>
    </row>
    <row r="7809" spans="4:60">
      <c r="D7809" s="350"/>
      <c r="S7809" s="350"/>
      <c r="BF7809" s="350"/>
      <c r="BG7809" s="350"/>
      <c r="BH7809" s="350"/>
    </row>
    <row r="7810" spans="4:60">
      <c r="D7810" s="350"/>
      <c r="S7810" s="350"/>
      <c r="BF7810" s="350"/>
      <c r="BG7810" s="350"/>
      <c r="BH7810" s="350"/>
    </row>
    <row r="7811" spans="4:60">
      <c r="D7811" s="350"/>
      <c r="S7811" s="350"/>
      <c r="BF7811" s="350"/>
      <c r="BG7811" s="350"/>
      <c r="BH7811" s="350"/>
    </row>
    <row r="7812" spans="4:60">
      <c r="D7812" s="350"/>
      <c r="S7812" s="350"/>
      <c r="BF7812" s="350"/>
      <c r="BG7812" s="350"/>
      <c r="BH7812" s="350"/>
    </row>
    <row r="7813" spans="4:60">
      <c r="D7813" s="350"/>
      <c r="S7813" s="350"/>
      <c r="BF7813" s="350"/>
      <c r="BG7813" s="350"/>
      <c r="BH7813" s="350"/>
    </row>
    <row r="7814" spans="4:60">
      <c r="D7814" s="350"/>
      <c r="S7814" s="350"/>
      <c r="BF7814" s="350"/>
      <c r="BG7814" s="350"/>
      <c r="BH7814" s="350"/>
    </row>
    <row r="7815" spans="4:60">
      <c r="D7815" s="350"/>
      <c r="S7815" s="350"/>
      <c r="BF7815" s="350"/>
      <c r="BG7815" s="350"/>
      <c r="BH7815" s="350"/>
    </row>
    <row r="7816" spans="4:60">
      <c r="D7816" s="350"/>
      <c r="S7816" s="350"/>
      <c r="BF7816" s="350"/>
      <c r="BG7816" s="350"/>
      <c r="BH7816" s="350"/>
    </row>
    <row r="7817" spans="4:60">
      <c r="D7817" s="350"/>
      <c r="S7817" s="350"/>
      <c r="BF7817" s="350"/>
      <c r="BG7817" s="350"/>
      <c r="BH7817" s="350"/>
    </row>
    <row r="7818" spans="4:60">
      <c r="D7818" s="350"/>
      <c r="S7818" s="350"/>
      <c r="BF7818" s="350"/>
      <c r="BG7818" s="350"/>
      <c r="BH7818" s="350"/>
    </row>
    <row r="7819" spans="4:60">
      <c r="D7819" s="350"/>
      <c r="S7819" s="350"/>
      <c r="BF7819" s="350"/>
      <c r="BG7819" s="350"/>
      <c r="BH7819" s="350"/>
    </row>
    <row r="7820" spans="4:60">
      <c r="D7820" s="350"/>
      <c r="S7820" s="350"/>
      <c r="BF7820" s="350"/>
      <c r="BG7820" s="350"/>
      <c r="BH7820" s="350"/>
    </row>
    <row r="7821" spans="4:60">
      <c r="D7821" s="350"/>
      <c r="S7821" s="350"/>
      <c r="BF7821" s="350"/>
      <c r="BG7821" s="350"/>
      <c r="BH7821" s="350"/>
    </row>
    <row r="7822" spans="4:60">
      <c r="D7822" s="350"/>
      <c r="S7822" s="350"/>
      <c r="BF7822" s="350"/>
      <c r="BG7822" s="350"/>
      <c r="BH7822" s="350"/>
    </row>
    <row r="7823" spans="4:60">
      <c r="D7823" s="350"/>
      <c r="S7823" s="350"/>
      <c r="BF7823" s="350"/>
      <c r="BG7823" s="350"/>
      <c r="BH7823" s="350"/>
    </row>
    <row r="7824" spans="4:60">
      <c r="D7824" s="350"/>
      <c r="S7824" s="350"/>
      <c r="BF7824" s="350"/>
      <c r="BG7824" s="350"/>
      <c r="BH7824" s="350"/>
    </row>
    <row r="7825" spans="4:60">
      <c r="D7825" s="350"/>
      <c r="S7825" s="350"/>
      <c r="BF7825" s="350"/>
      <c r="BG7825" s="350"/>
      <c r="BH7825" s="350"/>
    </row>
    <row r="7826" spans="4:60">
      <c r="D7826" s="350"/>
      <c r="S7826" s="350"/>
      <c r="BF7826" s="350"/>
      <c r="BG7826" s="350"/>
      <c r="BH7826" s="350"/>
    </row>
    <row r="7827" spans="4:60">
      <c r="D7827" s="350"/>
      <c r="S7827" s="350"/>
      <c r="BF7827" s="350"/>
      <c r="BG7827" s="350"/>
      <c r="BH7827" s="350"/>
    </row>
    <row r="7828" spans="4:60">
      <c r="D7828" s="350"/>
      <c r="S7828" s="350"/>
      <c r="BF7828" s="350"/>
      <c r="BG7828" s="350"/>
      <c r="BH7828" s="350"/>
    </row>
    <row r="7829" spans="4:60">
      <c r="D7829" s="350"/>
      <c r="S7829" s="350"/>
      <c r="BF7829" s="350"/>
      <c r="BG7829" s="350"/>
      <c r="BH7829" s="350"/>
    </row>
    <row r="7830" spans="4:60">
      <c r="D7830" s="350"/>
      <c r="S7830" s="350"/>
      <c r="BF7830" s="350"/>
      <c r="BG7830" s="350"/>
      <c r="BH7830" s="350"/>
    </row>
    <row r="7831" spans="4:60">
      <c r="D7831" s="350"/>
      <c r="S7831" s="350"/>
      <c r="BF7831" s="350"/>
      <c r="BG7831" s="350"/>
      <c r="BH7831" s="350"/>
    </row>
    <row r="7832" spans="4:60">
      <c r="D7832" s="350"/>
      <c r="S7832" s="350"/>
      <c r="BF7832" s="350"/>
      <c r="BG7832" s="350"/>
      <c r="BH7832" s="350"/>
    </row>
    <row r="7833" spans="4:60">
      <c r="D7833" s="350"/>
      <c r="S7833" s="350"/>
      <c r="BF7833" s="350"/>
      <c r="BG7833" s="350"/>
      <c r="BH7833" s="350"/>
    </row>
    <row r="7834" spans="4:60">
      <c r="D7834" s="350"/>
      <c r="S7834" s="350"/>
      <c r="BF7834" s="350"/>
      <c r="BG7834" s="350"/>
      <c r="BH7834" s="350"/>
    </row>
    <row r="7835" spans="4:60">
      <c r="D7835" s="350"/>
      <c r="S7835" s="350"/>
      <c r="BF7835" s="350"/>
      <c r="BG7835" s="350"/>
      <c r="BH7835" s="350"/>
    </row>
    <row r="7836" spans="4:60">
      <c r="D7836" s="350"/>
      <c r="S7836" s="350"/>
      <c r="BF7836" s="350"/>
      <c r="BG7836" s="350"/>
      <c r="BH7836" s="350"/>
    </row>
    <row r="7837" spans="4:60">
      <c r="D7837" s="350"/>
      <c r="S7837" s="350"/>
      <c r="BF7837" s="350"/>
      <c r="BG7837" s="350"/>
      <c r="BH7837" s="350"/>
    </row>
    <row r="7838" spans="4:60">
      <c r="D7838" s="350"/>
      <c r="S7838" s="350"/>
      <c r="BF7838" s="350"/>
      <c r="BG7838" s="350"/>
      <c r="BH7838" s="350"/>
    </row>
    <row r="7839" spans="4:60">
      <c r="D7839" s="350"/>
      <c r="S7839" s="350"/>
      <c r="BF7839" s="350"/>
      <c r="BG7839" s="350"/>
      <c r="BH7839" s="350"/>
    </row>
    <row r="7840" spans="4:60">
      <c r="D7840" s="350"/>
      <c r="S7840" s="350"/>
      <c r="BF7840" s="350"/>
      <c r="BG7840" s="350"/>
      <c r="BH7840" s="350"/>
    </row>
    <row r="7845" spans="4:60">
      <c r="D7845" s="350"/>
      <c r="S7845" s="350"/>
      <c r="BF7845" s="350"/>
      <c r="BG7845" s="350"/>
      <c r="BH7845" s="350"/>
    </row>
    <row r="7846" spans="4:60">
      <c r="D7846" s="350"/>
      <c r="S7846" s="350"/>
      <c r="BF7846" s="350"/>
      <c r="BG7846" s="350"/>
      <c r="BH7846" s="350"/>
    </row>
    <row r="7847" spans="4:60">
      <c r="D7847" s="350"/>
      <c r="S7847" s="350"/>
      <c r="BF7847" s="350"/>
      <c r="BG7847" s="350"/>
      <c r="BH7847" s="350"/>
    </row>
    <row r="7848" spans="4:60">
      <c r="D7848" s="350"/>
      <c r="S7848" s="350"/>
      <c r="BF7848" s="350"/>
      <c r="BG7848" s="350"/>
      <c r="BH7848" s="350"/>
    </row>
    <row r="7849" spans="4:60">
      <c r="D7849" s="350"/>
      <c r="S7849" s="350"/>
      <c r="BF7849" s="350"/>
      <c r="BG7849" s="350"/>
      <c r="BH7849" s="350"/>
    </row>
    <row r="7852" spans="4:60">
      <c r="D7852" s="350"/>
      <c r="S7852" s="350"/>
      <c r="BF7852" s="350"/>
      <c r="BG7852" s="350"/>
      <c r="BH7852" s="350"/>
    </row>
    <row r="7853" spans="4:60">
      <c r="D7853" s="350"/>
      <c r="S7853" s="350"/>
      <c r="BF7853" s="350"/>
      <c r="BG7853" s="350"/>
      <c r="BH7853" s="350"/>
    </row>
    <row r="7858" spans="4:60">
      <c r="D7858" s="350"/>
      <c r="S7858" s="350"/>
      <c r="BF7858" s="350"/>
      <c r="BG7858" s="350"/>
      <c r="BH7858" s="350"/>
    </row>
    <row r="7859" spans="4:60">
      <c r="D7859" s="350"/>
      <c r="S7859" s="350"/>
      <c r="BF7859" s="350"/>
      <c r="BG7859" s="350"/>
      <c r="BH7859" s="350"/>
    </row>
    <row r="7860" spans="4:60">
      <c r="D7860" s="350"/>
      <c r="S7860" s="350"/>
      <c r="BF7860" s="350"/>
      <c r="BG7860" s="350"/>
      <c r="BH7860" s="350"/>
    </row>
    <row r="7861" spans="4:60">
      <c r="D7861" s="350"/>
      <c r="S7861" s="350"/>
      <c r="BF7861" s="350"/>
      <c r="BG7861" s="350"/>
      <c r="BH7861" s="350"/>
    </row>
    <row r="7862" spans="4:60">
      <c r="D7862" s="350"/>
      <c r="S7862" s="350"/>
      <c r="BF7862" s="350"/>
      <c r="BG7862" s="350"/>
      <c r="BH7862" s="350"/>
    </row>
    <row r="7863" spans="4:60">
      <c r="D7863" s="350"/>
      <c r="S7863" s="350"/>
      <c r="BF7863" s="350"/>
      <c r="BG7863" s="350"/>
      <c r="BH7863" s="350"/>
    </row>
    <row r="7864" spans="4:60">
      <c r="D7864" s="350"/>
      <c r="S7864" s="350"/>
      <c r="BF7864" s="350"/>
      <c r="BG7864" s="350"/>
      <c r="BH7864" s="350"/>
    </row>
    <row r="7865" spans="4:60">
      <c r="D7865" s="350"/>
      <c r="S7865" s="350"/>
      <c r="BF7865" s="350"/>
      <c r="BG7865" s="350"/>
      <c r="BH7865" s="350"/>
    </row>
    <row r="7866" spans="4:60">
      <c r="D7866" s="350"/>
      <c r="S7866" s="350"/>
      <c r="BF7866" s="350"/>
      <c r="BG7866" s="350"/>
      <c r="BH7866" s="350"/>
    </row>
    <row r="7867" spans="4:60">
      <c r="D7867" s="350"/>
      <c r="S7867" s="350"/>
      <c r="BF7867" s="350"/>
      <c r="BG7867" s="350"/>
      <c r="BH7867" s="350"/>
    </row>
    <row r="7868" spans="4:60">
      <c r="D7868" s="350"/>
      <c r="S7868" s="350"/>
      <c r="BF7868" s="350"/>
      <c r="BG7868" s="350"/>
      <c r="BH7868" s="350"/>
    </row>
    <row r="7869" spans="4:60">
      <c r="D7869" s="350"/>
      <c r="S7869" s="350"/>
      <c r="BF7869" s="350"/>
      <c r="BG7869" s="350"/>
      <c r="BH7869" s="350"/>
    </row>
    <row r="7870" spans="4:60">
      <c r="D7870" s="350"/>
      <c r="S7870" s="350"/>
      <c r="BF7870" s="350"/>
      <c r="BG7870" s="350"/>
      <c r="BH7870" s="350"/>
    </row>
    <row r="7871" spans="4:60">
      <c r="D7871" s="350"/>
      <c r="S7871" s="350"/>
      <c r="BF7871" s="350"/>
      <c r="BG7871" s="350"/>
      <c r="BH7871" s="350"/>
    </row>
    <row r="7872" spans="4:60">
      <c r="D7872" s="350"/>
      <c r="S7872" s="350"/>
      <c r="BF7872" s="350"/>
      <c r="BG7872" s="350"/>
      <c r="BH7872" s="350"/>
    </row>
    <row r="7873" spans="4:60">
      <c r="D7873" s="350"/>
      <c r="S7873" s="350"/>
      <c r="BF7873" s="350"/>
      <c r="BG7873" s="350"/>
      <c r="BH7873" s="350"/>
    </row>
    <row r="7874" spans="4:60">
      <c r="D7874" s="350"/>
      <c r="S7874" s="350"/>
      <c r="BF7874" s="350"/>
      <c r="BG7874" s="350"/>
      <c r="BH7874" s="350"/>
    </row>
    <row r="7875" spans="4:60">
      <c r="D7875" s="350"/>
      <c r="S7875" s="350"/>
      <c r="BF7875" s="350"/>
      <c r="BG7875" s="350"/>
      <c r="BH7875" s="350"/>
    </row>
    <row r="7876" spans="4:60">
      <c r="D7876" s="350"/>
      <c r="S7876" s="350"/>
      <c r="BF7876" s="350"/>
      <c r="BG7876" s="350"/>
      <c r="BH7876" s="350"/>
    </row>
    <row r="7877" spans="4:60">
      <c r="D7877" s="350"/>
      <c r="S7877" s="350"/>
      <c r="BF7877" s="350"/>
      <c r="BG7877" s="350"/>
      <c r="BH7877" s="350"/>
    </row>
    <row r="7878" spans="4:60">
      <c r="D7878" s="350"/>
      <c r="S7878" s="350"/>
      <c r="BF7878" s="350"/>
      <c r="BG7878" s="350"/>
      <c r="BH7878" s="350"/>
    </row>
    <row r="7879" spans="4:60">
      <c r="D7879" s="350"/>
      <c r="S7879" s="350"/>
      <c r="BF7879" s="350"/>
      <c r="BG7879" s="350"/>
      <c r="BH7879" s="350"/>
    </row>
    <row r="7880" spans="4:60">
      <c r="D7880" s="350"/>
      <c r="S7880" s="350"/>
      <c r="BF7880" s="350"/>
      <c r="BG7880" s="350"/>
      <c r="BH7880" s="350"/>
    </row>
    <row r="7881" spans="4:60">
      <c r="D7881" s="350"/>
      <c r="S7881" s="350"/>
      <c r="BF7881" s="350"/>
      <c r="BG7881" s="350"/>
      <c r="BH7881" s="350"/>
    </row>
    <row r="7882" spans="4:60">
      <c r="D7882" s="350"/>
      <c r="S7882" s="350"/>
      <c r="BF7882" s="350"/>
      <c r="BG7882" s="350"/>
      <c r="BH7882" s="350"/>
    </row>
    <row r="7883" spans="4:60">
      <c r="D7883" s="350"/>
      <c r="S7883" s="350"/>
      <c r="BF7883" s="350"/>
      <c r="BG7883" s="350"/>
      <c r="BH7883" s="350"/>
    </row>
    <row r="7884" spans="4:60">
      <c r="D7884" s="350"/>
      <c r="S7884" s="350"/>
      <c r="BF7884" s="350"/>
      <c r="BG7884" s="350"/>
      <c r="BH7884" s="350"/>
    </row>
    <row r="7885" spans="4:60">
      <c r="D7885" s="350"/>
      <c r="S7885" s="350"/>
      <c r="BF7885" s="350"/>
      <c r="BG7885" s="350"/>
      <c r="BH7885" s="350"/>
    </row>
    <row r="7886" spans="4:60">
      <c r="D7886" s="350"/>
      <c r="S7886" s="350"/>
      <c r="BF7886" s="350"/>
      <c r="BG7886" s="350"/>
      <c r="BH7886" s="350"/>
    </row>
    <row r="7887" spans="4:60">
      <c r="D7887" s="350"/>
      <c r="S7887" s="350"/>
      <c r="BF7887" s="350"/>
      <c r="BG7887" s="350"/>
      <c r="BH7887" s="350"/>
    </row>
    <row r="7888" spans="4:60">
      <c r="D7888" s="350"/>
      <c r="S7888" s="350"/>
      <c r="BF7888" s="350"/>
      <c r="BG7888" s="350"/>
      <c r="BH7888" s="350"/>
    </row>
    <row r="7889" spans="4:60">
      <c r="D7889" s="350"/>
      <c r="S7889" s="350"/>
      <c r="BF7889" s="350"/>
      <c r="BG7889" s="350"/>
      <c r="BH7889" s="350"/>
    </row>
    <row r="7890" spans="4:60">
      <c r="D7890" s="350"/>
      <c r="S7890" s="350"/>
      <c r="BF7890" s="350"/>
      <c r="BG7890" s="350"/>
      <c r="BH7890" s="350"/>
    </row>
    <row r="7891" spans="4:60">
      <c r="D7891" s="350"/>
      <c r="S7891" s="350"/>
      <c r="BF7891" s="350"/>
      <c r="BG7891" s="350"/>
      <c r="BH7891" s="350"/>
    </row>
    <row r="7892" spans="4:60">
      <c r="D7892" s="350"/>
      <c r="S7892" s="350"/>
      <c r="BF7892" s="350"/>
      <c r="BG7892" s="350"/>
      <c r="BH7892" s="350"/>
    </row>
    <row r="7893" spans="4:60">
      <c r="D7893" s="350"/>
      <c r="S7893" s="350"/>
      <c r="BF7893" s="350"/>
      <c r="BG7893" s="350"/>
      <c r="BH7893" s="350"/>
    </row>
    <row r="7894" spans="4:60">
      <c r="D7894" s="350"/>
      <c r="S7894" s="350"/>
      <c r="BF7894" s="350"/>
      <c r="BG7894" s="350"/>
      <c r="BH7894" s="350"/>
    </row>
    <row r="7895" spans="4:60">
      <c r="D7895" s="350"/>
      <c r="S7895" s="350"/>
      <c r="BF7895" s="350"/>
      <c r="BG7895" s="350"/>
      <c r="BH7895" s="350"/>
    </row>
    <row r="7896" spans="4:60">
      <c r="D7896" s="350"/>
      <c r="S7896" s="350"/>
      <c r="BF7896" s="350"/>
      <c r="BG7896" s="350"/>
      <c r="BH7896" s="350"/>
    </row>
    <row r="7897" spans="4:60">
      <c r="D7897" s="350"/>
      <c r="S7897" s="350"/>
      <c r="BF7897" s="350"/>
      <c r="BG7897" s="350"/>
      <c r="BH7897" s="350"/>
    </row>
    <row r="7898" spans="4:60">
      <c r="D7898" s="350"/>
      <c r="S7898" s="350"/>
      <c r="BF7898" s="350"/>
      <c r="BG7898" s="350"/>
      <c r="BH7898" s="350"/>
    </row>
    <row r="7899" spans="4:60">
      <c r="D7899" s="350"/>
      <c r="S7899" s="350"/>
      <c r="BF7899" s="350"/>
      <c r="BG7899" s="350"/>
      <c r="BH7899" s="350"/>
    </row>
    <row r="7900" spans="4:60">
      <c r="D7900" s="350"/>
      <c r="S7900" s="350"/>
      <c r="BF7900" s="350"/>
      <c r="BG7900" s="350"/>
      <c r="BH7900" s="350"/>
    </row>
    <row r="7901" spans="4:60">
      <c r="D7901" s="350"/>
      <c r="S7901" s="350"/>
      <c r="BF7901" s="350"/>
      <c r="BG7901" s="350"/>
      <c r="BH7901" s="350"/>
    </row>
    <row r="7902" spans="4:60">
      <c r="D7902" s="350"/>
      <c r="S7902" s="350"/>
      <c r="BF7902" s="350"/>
      <c r="BG7902" s="350"/>
      <c r="BH7902" s="350"/>
    </row>
    <row r="7903" spans="4:60">
      <c r="D7903" s="350"/>
      <c r="S7903" s="350"/>
      <c r="BF7903" s="350"/>
      <c r="BG7903" s="350"/>
      <c r="BH7903" s="350"/>
    </row>
    <row r="7908" spans="4:60">
      <c r="D7908" s="350"/>
      <c r="S7908" s="350"/>
      <c r="BF7908" s="350"/>
      <c r="BG7908" s="350"/>
      <c r="BH7908" s="350"/>
    </row>
    <row r="7909" spans="4:60">
      <c r="D7909" s="350"/>
      <c r="S7909" s="350"/>
      <c r="BF7909" s="350"/>
      <c r="BG7909" s="350"/>
      <c r="BH7909" s="350"/>
    </row>
    <row r="7912" spans="4:60">
      <c r="D7912" s="350"/>
      <c r="S7912" s="350"/>
      <c r="BF7912" s="350"/>
      <c r="BG7912" s="350"/>
      <c r="BH7912" s="350"/>
    </row>
    <row r="7913" spans="4:60">
      <c r="D7913" s="350"/>
      <c r="S7913" s="350"/>
      <c r="BF7913" s="350"/>
      <c r="BG7913" s="350"/>
      <c r="BH7913" s="350"/>
    </row>
    <row r="7914" spans="4:60">
      <c r="D7914" s="350"/>
      <c r="S7914" s="350"/>
      <c r="BF7914" s="350"/>
      <c r="BG7914" s="350"/>
      <c r="BH7914" s="350"/>
    </row>
    <row r="7915" spans="4:60">
      <c r="D7915" s="350"/>
      <c r="S7915" s="350"/>
      <c r="BF7915" s="350"/>
      <c r="BG7915" s="350"/>
      <c r="BH7915" s="350"/>
    </row>
    <row r="7916" spans="4:60">
      <c r="D7916" s="350"/>
      <c r="S7916" s="350"/>
      <c r="BF7916" s="350"/>
      <c r="BG7916" s="350"/>
      <c r="BH7916" s="350"/>
    </row>
    <row r="7917" spans="4:60">
      <c r="D7917" s="350"/>
      <c r="S7917" s="350"/>
      <c r="BF7917" s="350"/>
      <c r="BG7917" s="350"/>
      <c r="BH7917" s="350"/>
    </row>
    <row r="7918" spans="4:60">
      <c r="D7918" s="350"/>
      <c r="S7918" s="350"/>
      <c r="BF7918" s="350"/>
      <c r="BG7918" s="350"/>
      <c r="BH7918" s="350"/>
    </row>
    <row r="7919" spans="4:60">
      <c r="D7919" s="350"/>
      <c r="S7919" s="350"/>
      <c r="BF7919" s="350"/>
      <c r="BG7919" s="350"/>
      <c r="BH7919" s="350"/>
    </row>
    <row r="7922" spans="4:60">
      <c r="D7922" s="350"/>
      <c r="S7922" s="350"/>
      <c r="BF7922" s="350"/>
      <c r="BG7922" s="350"/>
      <c r="BH7922" s="350"/>
    </row>
    <row r="7923" spans="4:60">
      <c r="D7923" s="350"/>
      <c r="S7923" s="350"/>
      <c r="BF7923" s="350"/>
      <c r="BG7923" s="350"/>
      <c r="BH7923" s="350"/>
    </row>
    <row r="7928" spans="4:60">
      <c r="D7928" s="350"/>
      <c r="S7928" s="350"/>
      <c r="BF7928" s="350"/>
      <c r="BG7928" s="350"/>
      <c r="BH7928" s="350"/>
    </row>
    <row r="7929" spans="4:60">
      <c r="D7929" s="350"/>
      <c r="S7929" s="350"/>
      <c r="BF7929" s="350"/>
      <c r="BG7929" s="350"/>
      <c r="BH7929" s="350"/>
    </row>
    <row r="7930" spans="4:60">
      <c r="D7930" s="350"/>
      <c r="S7930" s="350"/>
      <c r="BF7930" s="350"/>
      <c r="BG7930" s="350"/>
      <c r="BH7930" s="350"/>
    </row>
    <row r="7931" spans="4:60">
      <c r="D7931" s="350"/>
      <c r="S7931" s="350"/>
      <c r="BF7931" s="350"/>
      <c r="BG7931" s="350"/>
      <c r="BH7931" s="350"/>
    </row>
    <row r="7932" spans="4:60">
      <c r="D7932" s="350"/>
      <c r="S7932" s="350"/>
      <c r="BF7932" s="350"/>
      <c r="BG7932" s="350"/>
      <c r="BH7932" s="350"/>
    </row>
    <row r="7933" spans="4:60">
      <c r="D7933" s="350"/>
      <c r="S7933" s="350"/>
      <c r="BF7933" s="350"/>
      <c r="BG7933" s="350"/>
      <c r="BH7933" s="350"/>
    </row>
    <row r="7934" spans="4:60">
      <c r="D7934" s="350"/>
      <c r="S7934" s="350"/>
      <c r="BF7934" s="350"/>
      <c r="BG7934" s="350"/>
      <c r="BH7934" s="350"/>
    </row>
    <row r="7935" spans="4:60">
      <c r="D7935" s="350"/>
      <c r="S7935" s="350"/>
      <c r="BF7935" s="350"/>
      <c r="BG7935" s="350"/>
      <c r="BH7935" s="350"/>
    </row>
    <row r="7936" spans="4:60">
      <c r="D7936" s="350"/>
      <c r="S7936" s="350"/>
      <c r="BF7936" s="350"/>
      <c r="BG7936" s="350"/>
      <c r="BH7936" s="350"/>
    </row>
    <row r="7937" spans="4:60">
      <c r="D7937" s="350"/>
      <c r="S7937" s="350"/>
      <c r="BF7937" s="350"/>
      <c r="BG7937" s="350"/>
      <c r="BH7937" s="350"/>
    </row>
    <row r="7938" spans="4:60">
      <c r="D7938" s="350"/>
      <c r="S7938" s="350"/>
      <c r="BF7938" s="350"/>
      <c r="BG7938" s="350"/>
      <c r="BH7938" s="350"/>
    </row>
    <row r="7939" spans="4:60">
      <c r="D7939" s="350"/>
      <c r="S7939" s="350"/>
      <c r="BF7939" s="350"/>
      <c r="BG7939" s="350"/>
      <c r="BH7939" s="350"/>
    </row>
    <row r="7940" spans="4:60">
      <c r="D7940" s="350"/>
      <c r="S7940" s="350"/>
      <c r="BF7940" s="350"/>
      <c r="BG7940" s="350"/>
      <c r="BH7940" s="350"/>
    </row>
    <row r="7941" spans="4:60">
      <c r="D7941" s="350"/>
      <c r="S7941" s="350"/>
      <c r="BF7941" s="350"/>
      <c r="BG7941" s="350"/>
      <c r="BH7941" s="350"/>
    </row>
    <row r="7942" spans="4:60">
      <c r="D7942" s="350"/>
      <c r="S7942" s="350"/>
      <c r="BF7942" s="350"/>
      <c r="BG7942" s="350"/>
      <c r="BH7942" s="350"/>
    </row>
    <row r="7943" spans="4:60">
      <c r="D7943" s="350"/>
      <c r="S7943" s="350"/>
      <c r="BF7943" s="350"/>
      <c r="BG7943" s="350"/>
      <c r="BH7943" s="350"/>
    </row>
    <row r="7944" spans="4:60">
      <c r="D7944" s="350"/>
      <c r="S7944" s="350"/>
      <c r="BF7944" s="350"/>
      <c r="BG7944" s="350"/>
      <c r="BH7944" s="350"/>
    </row>
    <row r="7945" spans="4:60">
      <c r="D7945" s="350"/>
      <c r="S7945" s="350"/>
      <c r="BF7945" s="350"/>
      <c r="BG7945" s="350"/>
      <c r="BH7945" s="350"/>
    </row>
    <row r="7946" spans="4:60">
      <c r="D7946" s="350"/>
      <c r="S7946" s="350"/>
      <c r="BF7946" s="350"/>
      <c r="BG7946" s="350"/>
      <c r="BH7946" s="350"/>
    </row>
    <row r="7947" spans="4:60">
      <c r="D7947" s="350"/>
      <c r="S7947" s="350"/>
      <c r="BF7947" s="350"/>
      <c r="BG7947" s="350"/>
      <c r="BH7947" s="350"/>
    </row>
    <row r="7948" spans="4:60">
      <c r="D7948" s="350"/>
      <c r="S7948" s="350"/>
      <c r="BF7948" s="350"/>
      <c r="BG7948" s="350"/>
      <c r="BH7948" s="350"/>
    </row>
    <row r="7949" spans="4:60">
      <c r="D7949" s="350"/>
      <c r="S7949" s="350"/>
      <c r="BF7949" s="350"/>
      <c r="BG7949" s="350"/>
      <c r="BH7949" s="350"/>
    </row>
    <row r="7950" spans="4:60">
      <c r="D7950" s="350"/>
      <c r="S7950" s="350"/>
      <c r="BF7950" s="350"/>
      <c r="BG7950" s="350"/>
      <c r="BH7950" s="350"/>
    </row>
    <row r="7951" spans="4:60">
      <c r="D7951" s="350"/>
      <c r="S7951" s="350"/>
      <c r="BF7951" s="350"/>
      <c r="BG7951" s="350"/>
      <c r="BH7951" s="350"/>
    </row>
    <row r="7952" spans="4:60">
      <c r="D7952" s="350"/>
      <c r="S7952" s="350"/>
      <c r="BF7952" s="350"/>
      <c r="BG7952" s="350"/>
      <c r="BH7952" s="350"/>
    </row>
    <row r="7953" spans="4:60">
      <c r="D7953" s="350"/>
      <c r="S7953" s="350"/>
      <c r="BF7953" s="350"/>
      <c r="BG7953" s="350"/>
      <c r="BH7953" s="350"/>
    </row>
    <row r="7954" spans="4:60">
      <c r="D7954" s="350"/>
      <c r="S7954" s="350"/>
      <c r="BF7954" s="350"/>
      <c r="BG7954" s="350"/>
      <c r="BH7954" s="350"/>
    </row>
    <row r="7955" spans="4:60">
      <c r="D7955" s="350"/>
      <c r="S7955" s="350"/>
      <c r="BF7955" s="350"/>
      <c r="BG7955" s="350"/>
      <c r="BH7955" s="350"/>
    </row>
    <row r="7956" spans="4:60">
      <c r="D7956" s="350"/>
      <c r="S7956" s="350"/>
      <c r="BF7956" s="350"/>
      <c r="BG7956" s="350"/>
      <c r="BH7956" s="350"/>
    </row>
    <row r="7957" spans="4:60">
      <c r="D7957" s="350"/>
      <c r="S7957" s="350"/>
      <c r="BF7957" s="350"/>
      <c r="BG7957" s="350"/>
      <c r="BH7957" s="350"/>
    </row>
    <row r="7958" spans="4:60">
      <c r="D7958" s="350"/>
      <c r="S7958" s="350"/>
      <c r="BF7958" s="350"/>
      <c r="BG7958" s="350"/>
      <c r="BH7958" s="350"/>
    </row>
    <row r="7959" spans="4:60">
      <c r="D7959" s="350"/>
      <c r="S7959" s="350"/>
      <c r="BF7959" s="350"/>
      <c r="BG7959" s="350"/>
      <c r="BH7959" s="350"/>
    </row>
    <row r="7960" spans="4:60">
      <c r="D7960" s="350"/>
      <c r="S7960" s="350"/>
      <c r="BF7960" s="350"/>
      <c r="BG7960" s="350"/>
      <c r="BH7960" s="350"/>
    </row>
    <row r="7961" spans="4:60">
      <c r="D7961" s="350"/>
      <c r="S7961" s="350"/>
      <c r="BF7961" s="350"/>
      <c r="BG7961" s="350"/>
      <c r="BH7961" s="350"/>
    </row>
    <row r="7962" spans="4:60">
      <c r="D7962" s="350"/>
      <c r="S7962" s="350"/>
      <c r="BF7962" s="350"/>
      <c r="BG7962" s="350"/>
      <c r="BH7962" s="350"/>
    </row>
    <row r="7963" spans="4:60">
      <c r="D7963" s="350"/>
      <c r="S7963" s="350"/>
      <c r="BF7963" s="350"/>
      <c r="BG7963" s="350"/>
      <c r="BH7963" s="350"/>
    </row>
    <row r="7964" spans="4:60">
      <c r="D7964" s="350"/>
      <c r="S7964" s="350"/>
      <c r="BF7964" s="350"/>
      <c r="BG7964" s="350"/>
      <c r="BH7964" s="350"/>
    </row>
    <row r="7965" spans="4:60">
      <c r="D7965" s="350"/>
      <c r="S7965" s="350"/>
      <c r="BF7965" s="350"/>
      <c r="BG7965" s="350"/>
      <c r="BH7965" s="350"/>
    </row>
    <row r="7966" spans="4:60">
      <c r="D7966" s="350"/>
      <c r="S7966" s="350"/>
      <c r="BF7966" s="350"/>
      <c r="BG7966" s="350"/>
      <c r="BH7966" s="350"/>
    </row>
    <row r="7967" spans="4:60">
      <c r="D7967" s="350"/>
      <c r="S7967" s="350"/>
      <c r="BF7967" s="350"/>
      <c r="BG7967" s="350"/>
      <c r="BH7967" s="350"/>
    </row>
    <row r="7968" spans="4:60">
      <c r="D7968" s="350"/>
      <c r="S7968" s="350"/>
      <c r="BF7968" s="350"/>
      <c r="BG7968" s="350"/>
      <c r="BH7968" s="350"/>
    </row>
    <row r="7969" spans="4:60">
      <c r="D7969" s="350"/>
      <c r="S7969" s="350"/>
      <c r="BF7969" s="350"/>
      <c r="BG7969" s="350"/>
      <c r="BH7969" s="350"/>
    </row>
    <row r="7970" spans="4:60">
      <c r="D7970" s="350"/>
      <c r="S7970" s="350"/>
      <c r="BF7970" s="350"/>
      <c r="BG7970" s="350"/>
      <c r="BH7970" s="350"/>
    </row>
    <row r="7971" spans="4:60">
      <c r="D7971" s="350"/>
      <c r="S7971" s="350"/>
      <c r="BF7971" s="350"/>
      <c r="BG7971" s="350"/>
      <c r="BH7971" s="350"/>
    </row>
    <row r="7972" spans="4:60">
      <c r="D7972" s="350"/>
      <c r="S7972" s="350"/>
      <c r="BF7972" s="350"/>
      <c r="BG7972" s="350"/>
      <c r="BH7972" s="350"/>
    </row>
    <row r="7973" spans="4:60">
      <c r="D7973" s="350"/>
      <c r="S7973" s="350"/>
      <c r="BF7973" s="350"/>
      <c r="BG7973" s="350"/>
      <c r="BH7973" s="350"/>
    </row>
    <row r="7974" spans="4:60">
      <c r="D7974" s="350"/>
      <c r="S7974" s="350"/>
      <c r="BF7974" s="350"/>
      <c r="BG7974" s="350"/>
      <c r="BH7974" s="350"/>
    </row>
    <row r="7975" spans="4:60">
      <c r="D7975" s="350"/>
      <c r="S7975" s="350"/>
      <c r="BF7975" s="350"/>
      <c r="BG7975" s="350"/>
      <c r="BH7975" s="350"/>
    </row>
    <row r="7976" spans="4:60">
      <c r="D7976" s="350"/>
      <c r="S7976" s="350"/>
      <c r="BF7976" s="350"/>
      <c r="BG7976" s="350"/>
      <c r="BH7976" s="350"/>
    </row>
    <row r="7977" spans="4:60">
      <c r="D7977" s="350"/>
      <c r="S7977" s="350"/>
      <c r="BF7977" s="350"/>
      <c r="BG7977" s="350"/>
      <c r="BH7977" s="350"/>
    </row>
    <row r="7978" spans="4:60">
      <c r="D7978" s="350"/>
      <c r="S7978" s="350"/>
      <c r="BF7978" s="350"/>
      <c r="BG7978" s="350"/>
      <c r="BH7978" s="350"/>
    </row>
    <row r="7979" spans="4:60">
      <c r="D7979" s="350"/>
      <c r="S7979" s="350"/>
      <c r="BF7979" s="350"/>
      <c r="BG7979" s="350"/>
      <c r="BH7979" s="350"/>
    </row>
    <row r="7980" spans="4:60">
      <c r="D7980" s="350"/>
      <c r="S7980" s="350"/>
      <c r="BF7980" s="350"/>
      <c r="BG7980" s="350"/>
      <c r="BH7980" s="350"/>
    </row>
    <row r="7981" spans="4:60">
      <c r="D7981" s="350"/>
      <c r="S7981" s="350"/>
      <c r="BF7981" s="350"/>
      <c r="BG7981" s="350"/>
      <c r="BH7981" s="350"/>
    </row>
    <row r="7982" spans="4:60">
      <c r="D7982" s="350"/>
      <c r="S7982" s="350"/>
      <c r="BF7982" s="350"/>
      <c r="BG7982" s="350"/>
      <c r="BH7982" s="350"/>
    </row>
    <row r="7983" spans="4:60">
      <c r="D7983" s="350"/>
      <c r="S7983" s="350"/>
      <c r="BF7983" s="350"/>
      <c r="BG7983" s="350"/>
      <c r="BH7983" s="350"/>
    </row>
    <row r="7984" spans="4:60">
      <c r="D7984" s="350"/>
      <c r="S7984" s="350"/>
      <c r="BF7984" s="350"/>
      <c r="BG7984" s="350"/>
      <c r="BH7984" s="350"/>
    </row>
    <row r="7985" spans="4:60">
      <c r="D7985" s="350"/>
      <c r="S7985" s="350"/>
      <c r="BF7985" s="350"/>
      <c r="BG7985" s="350"/>
      <c r="BH7985" s="350"/>
    </row>
    <row r="7986" spans="4:60">
      <c r="D7986" s="350"/>
      <c r="S7986" s="350"/>
      <c r="BF7986" s="350"/>
      <c r="BG7986" s="350"/>
      <c r="BH7986" s="350"/>
    </row>
    <row r="7987" spans="4:60">
      <c r="D7987" s="350"/>
      <c r="S7987" s="350"/>
      <c r="BF7987" s="350"/>
      <c r="BG7987" s="350"/>
      <c r="BH7987" s="350"/>
    </row>
    <row r="7988" spans="4:60">
      <c r="D7988" s="350"/>
      <c r="S7988" s="350"/>
      <c r="BF7988" s="350"/>
      <c r="BG7988" s="350"/>
      <c r="BH7988" s="350"/>
    </row>
    <row r="7989" spans="4:60">
      <c r="D7989" s="350"/>
      <c r="S7989" s="350"/>
      <c r="BF7989" s="350"/>
      <c r="BG7989" s="350"/>
      <c r="BH7989" s="350"/>
    </row>
    <row r="7990" spans="4:60">
      <c r="D7990" s="350"/>
      <c r="S7990" s="350"/>
      <c r="BF7990" s="350"/>
      <c r="BG7990" s="350"/>
      <c r="BH7990" s="350"/>
    </row>
    <row r="7991" spans="4:60">
      <c r="D7991" s="350"/>
      <c r="S7991" s="350"/>
      <c r="BF7991" s="350"/>
      <c r="BG7991" s="350"/>
      <c r="BH7991" s="350"/>
    </row>
    <row r="7992" spans="4:60">
      <c r="D7992" s="350"/>
      <c r="S7992" s="350"/>
      <c r="BF7992" s="350"/>
      <c r="BG7992" s="350"/>
      <c r="BH7992" s="350"/>
    </row>
    <row r="7993" spans="4:60">
      <c r="D7993" s="350"/>
      <c r="S7993" s="350"/>
      <c r="BF7993" s="350"/>
      <c r="BG7993" s="350"/>
      <c r="BH7993" s="350"/>
    </row>
    <row r="7994" spans="4:60">
      <c r="D7994" s="350"/>
      <c r="S7994" s="350"/>
      <c r="BF7994" s="350"/>
      <c r="BG7994" s="350"/>
      <c r="BH7994" s="350"/>
    </row>
    <row r="7995" spans="4:60">
      <c r="D7995" s="350"/>
      <c r="S7995" s="350"/>
      <c r="BF7995" s="350"/>
      <c r="BG7995" s="350"/>
      <c r="BH7995" s="350"/>
    </row>
    <row r="7996" spans="4:60">
      <c r="D7996" s="350"/>
      <c r="S7996" s="350"/>
      <c r="BF7996" s="350"/>
      <c r="BG7996" s="350"/>
      <c r="BH7996" s="350"/>
    </row>
    <row r="7997" spans="4:60">
      <c r="D7997" s="350"/>
      <c r="S7997" s="350"/>
      <c r="BF7997" s="350"/>
      <c r="BG7997" s="350"/>
      <c r="BH7997" s="350"/>
    </row>
    <row r="7998" spans="4:60">
      <c r="D7998" s="350"/>
      <c r="S7998" s="350"/>
      <c r="BF7998" s="350"/>
      <c r="BG7998" s="350"/>
      <c r="BH7998" s="350"/>
    </row>
    <row r="7999" spans="4:60">
      <c r="D7999" s="350"/>
      <c r="S7999" s="350"/>
      <c r="BF7999" s="350"/>
      <c r="BG7999" s="350"/>
      <c r="BH7999" s="350"/>
    </row>
    <row r="8000" spans="4:60">
      <c r="D8000" s="350"/>
      <c r="S8000" s="350"/>
      <c r="BF8000" s="350"/>
      <c r="BG8000" s="350"/>
      <c r="BH8000" s="350"/>
    </row>
    <row r="8001" spans="4:60">
      <c r="D8001" s="350"/>
      <c r="S8001" s="350"/>
      <c r="BF8001" s="350"/>
      <c r="BG8001" s="350"/>
      <c r="BH8001" s="350"/>
    </row>
    <row r="8002" spans="4:60">
      <c r="D8002" s="350"/>
      <c r="S8002" s="350"/>
      <c r="BF8002" s="350"/>
      <c r="BG8002" s="350"/>
      <c r="BH8002" s="350"/>
    </row>
    <row r="8003" spans="4:60">
      <c r="D8003" s="350"/>
      <c r="S8003" s="350"/>
      <c r="BF8003" s="350"/>
      <c r="BG8003" s="350"/>
      <c r="BH8003" s="350"/>
    </row>
    <row r="8004" spans="4:60">
      <c r="D8004" s="350"/>
      <c r="S8004" s="350"/>
      <c r="BF8004" s="350"/>
      <c r="BG8004" s="350"/>
      <c r="BH8004" s="350"/>
    </row>
    <row r="8005" spans="4:60">
      <c r="D8005" s="350"/>
      <c r="S8005" s="350"/>
      <c r="BF8005" s="350"/>
      <c r="BG8005" s="350"/>
      <c r="BH8005" s="350"/>
    </row>
    <row r="8006" spans="4:60">
      <c r="D8006" s="350"/>
      <c r="S8006" s="350"/>
      <c r="BF8006" s="350"/>
      <c r="BG8006" s="350"/>
      <c r="BH8006" s="350"/>
    </row>
    <row r="8007" spans="4:60">
      <c r="D8007" s="350"/>
      <c r="S8007" s="350"/>
      <c r="BF8007" s="350"/>
      <c r="BG8007" s="350"/>
      <c r="BH8007" s="350"/>
    </row>
    <row r="8008" spans="4:60">
      <c r="D8008" s="350"/>
      <c r="S8008" s="350"/>
      <c r="BF8008" s="350"/>
      <c r="BG8008" s="350"/>
      <c r="BH8008" s="350"/>
    </row>
    <row r="8009" spans="4:60">
      <c r="D8009" s="350"/>
      <c r="S8009" s="350"/>
      <c r="BF8009" s="350"/>
      <c r="BG8009" s="350"/>
      <c r="BH8009" s="350"/>
    </row>
    <row r="8010" spans="4:60">
      <c r="D8010" s="350"/>
      <c r="S8010" s="350"/>
      <c r="BF8010" s="350"/>
      <c r="BG8010" s="350"/>
      <c r="BH8010" s="350"/>
    </row>
    <row r="8011" spans="4:60">
      <c r="D8011" s="350"/>
      <c r="S8011" s="350"/>
      <c r="BF8011" s="350"/>
      <c r="BG8011" s="350"/>
      <c r="BH8011" s="350"/>
    </row>
    <row r="8012" spans="4:60">
      <c r="D8012" s="350"/>
      <c r="S8012" s="350"/>
      <c r="BF8012" s="350"/>
      <c r="BG8012" s="350"/>
      <c r="BH8012" s="350"/>
    </row>
    <row r="8013" spans="4:60">
      <c r="D8013" s="350"/>
      <c r="S8013" s="350"/>
      <c r="BF8013" s="350"/>
      <c r="BG8013" s="350"/>
      <c r="BH8013" s="350"/>
    </row>
    <row r="8014" spans="4:60">
      <c r="D8014" s="350"/>
      <c r="S8014" s="350"/>
      <c r="BF8014" s="350"/>
      <c r="BG8014" s="350"/>
      <c r="BH8014" s="350"/>
    </row>
    <row r="8015" spans="4:60">
      <c r="D8015" s="350"/>
      <c r="S8015" s="350"/>
      <c r="BF8015" s="350"/>
      <c r="BG8015" s="350"/>
      <c r="BH8015" s="350"/>
    </row>
    <row r="8016" spans="4:60">
      <c r="D8016" s="350"/>
      <c r="S8016" s="350"/>
      <c r="BF8016" s="350"/>
      <c r="BG8016" s="350"/>
      <c r="BH8016" s="350"/>
    </row>
    <row r="8017" spans="4:60">
      <c r="D8017" s="350"/>
      <c r="S8017" s="350"/>
      <c r="BF8017" s="350"/>
      <c r="BG8017" s="350"/>
      <c r="BH8017" s="350"/>
    </row>
    <row r="8018" spans="4:60">
      <c r="D8018" s="350"/>
      <c r="S8018" s="350"/>
      <c r="BF8018" s="350"/>
      <c r="BG8018" s="350"/>
      <c r="BH8018" s="350"/>
    </row>
    <row r="8019" spans="4:60">
      <c r="D8019" s="350"/>
      <c r="S8019" s="350"/>
      <c r="BF8019" s="350"/>
      <c r="BG8019" s="350"/>
      <c r="BH8019" s="350"/>
    </row>
    <row r="8020" spans="4:60">
      <c r="D8020" s="350"/>
      <c r="S8020" s="350"/>
      <c r="BF8020" s="350"/>
      <c r="BG8020" s="350"/>
      <c r="BH8020" s="350"/>
    </row>
    <row r="8021" spans="4:60">
      <c r="D8021" s="350"/>
      <c r="S8021" s="350"/>
      <c r="BF8021" s="350"/>
      <c r="BG8021" s="350"/>
      <c r="BH8021" s="350"/>
    </row>
    <row r="8022" spans="4:60">
      <c r="D8022" s="350"/>
      <c r="S8022" s="350"/>
      <c r="BF8022" s="350"/>
      <c r="BG8022" s="350"/>
      <c r="BH8022" s="350"/>
    </row>
    <row r="8023" spans="4:60">
      <c r="D8023" s="350"/>
      <c r="S8023" s="350"/>
      <c r="BF8023" s="350"/>
      <c r="BG8023" s="350"/>
      <c r="BH8023" s="350"/>
    </row>
    <row r="8024" spans="4:60">
      <c r="D8024" s="350"/>
      <c r="S8024" s="350"/>
      <c r="BF8024" s="350"/>
      <c r="BG8024" s="350"/>
      <c r="BH8024" s="350"/>
    </row>
    <row r="8025" spans="4:60">
      <c r="D8025" s="350"/>
      <c r="S8025" s="350"/>
      <c r="BF8025" s="350"/>
      <c r="BG8025" s="350"/>
      <c r="BH8025" s="350"/>
    </row>
    <row r="8026" spans="4:60">
      <c r="D8026" s="350"/>
      <c r="S8026" s="350"/>
      <c r="BF8026" s="350"/>
      <c r="BG8026" s="350"/>
      <c r="BH8026" s="350"/>
    </row>
    <row r="8027" spans="4:60">
      <c r="D8027" s="350"/>
      <c r="S8027" s="350"/>
      <c r="BF8027" s="350"/>
      <c r="BG8027" s="350"/>
      <c r="BH8027" s="350"/>
    </row>
    <row r="8028" spans="4:60">
      <c r="D8028" s="350"/>
      <c r="S8028" s="350"/>
      <c r="BF8028" s="350"/>
      <c r="BG8028" s="350"/>
      <c r="BH8028" s="350"/>
    </row>
    <row r="8029" spans="4:60">
      <c r="D8029" s="350"/>
      <c r="S8029" s="350"/>
      <c r="BF8029" s="350"/>
      <c r="BG8029" s="350"/>
      <c r="BH8029" s="350"/>
    </row>
    <row r="8030" spans="4:60">
      <c r="D8030" s="350"/>
      <c r="S8030" s="350"/>
      <c r="BF8030" s="350"/>
      <c r="BG8030" s="350"/>
      <c r="BH8030" s="350"/>
    </row>
    <row r="8031" spans="4:60">
      <c r="D8031" s="350"/>
      <c r="S8031" s="350"/>
      <c r="BF8031" s="350"/>
      <c r="BG8031" s="350"/>
      <c r="BH8031" s="350"/>
    </row>
    <row r="8032" spans="4:60">
      <c r="D8032" s="350"/>
      <c r="S8032" s="350"/>
      <c r="BF8032" s="350"/>
      <c r="BG8032" s="350"/>
      <c r="BH8032" s="350"/>
    </row>
    <row r="8033" spans="4:60">
      <c r="D8033" s="350"/>
      <c r="S8033" s="350"/>
      <c r="BF8033" s="350"/>
      <c r="BG8033" s="350"/>
      <c r="BH8033" s="350"/>
    </row>
    <row r="8034" spans="4:60">
      <c r="D8034" s="350"/>
      <c r="S8034" s="350"/>
      <c r="BF8034" s="350"/>
      <c r="BG8034" s="350"/>
      <c r="BH8034" s="350"/>
    </row>
    <row r="8035" spans="4:60">
      <c r="D8035" s="350"/>
      <c r="S8035" s="350"/>
      <c r="BF8035" s="350"/>
      <c r="BG8035" s="350"/>
      <c r="BH8035" s="350"/>
    </row>
    <row r="8036" spans="4:60">
      <c r="D8036" s="350"/>
      <c r="S8036" s="350"/>
      <c r="BF8036" s="350"/>
      <c r="BG8036" s="350"/>
      <c r="BH8036" s="350"/>
    </row>
    <row r="8037" spans="4:60">
      <c r="D8037" s="350"/>
      <c r="S8037" s="350"/>
      <c r="BF8037" s="350"/>
      <c r="BG8037" s="350"/>
      <c r="BH8037" s="350"/>
    </row>
    <row r="8038" spans="4:60">
      <c r="D8038" s="350"/>
      <c r="S8038" s="350"/>
      <c r="BF8038" s="350"/>
      <c r="BG8038" s="350"/>
      <c r="BH8038" s="350"/>
    </row>
    <row r="8039" spans="4:60">
      <c r="D8039" s="350"/>
      <c r="S8039" s="350"/>
      <c r="BF8039" s="350"/>
      <c r="BG8039" s="350"/>
      <c r="BH8039" s="350"/>
    </row>
    <row r="8040" spans="4:60">
      <c r="D8040" s="350"/>
      <c r="S8040" s="350"/>
      <c r="BF8040" s="350"/>
      <c r="BG8040" s="350"/>
      <c r="BH8040" s="350"/>
    </row>
    <row r="8041" spans="4:60">
      <c r="D8041" s="350"/>
      <c r="S8041" s="350"/>
      <c r="BF8041" s="350"/>
      <c r="BG8041" s="350"/>
      <c r="BH8041" s="350"/>
    </row>
    <row r="8042" spans="4:60">
      <c r="D8042" s="350"/>
      <c r="S8042" s="350"/>
      <c r="BF8042" s="350"/>
      <c r="BG8042" s="350"/>
      <c r="BH8042" s="350"/>
    </row>
    <row r="8043" spans="4:60">
      <c r="D8043" s="350"/>
      <c r="S8043" s="350"/>
      <c r="BF8043" s="350"/>
      <c r="BG8043" s="350"/>
      <c r="BH8043" s="350"/>
    </row>
    <row r="8044" spans="4:60">
      <c r="D8044" s="350"/>
      <c r="S8044" s="350"/>
      <c r="BF8044" s="350"/>
      <c r="BG8044" s="350"/>
      <c r="BH8044" s="350"/>
    </row>
    <row r="8045" spans="4:60">
      <c r="D8045" s="350"/>
      <c r="S8045" s="350"/>
      <c r="BF8045" s="350"/>
      <c r="BG8045" s="350"/>
      <c r="BH8045" s="350"/>
    </row>
    <row r="8046" spans="4:60">
      <c r="D8046" s="350"/>
      <c r="S8046" s="350"/>
      <c r="BF8046" s="350"/>
      <c r="BG8046" s="350"/>
      <c r="BH8046" s="350"/>
    </row>
    <row r="8047" spans="4:60">
      <c r="D8047" s="350"/>
      <c r="S8047" s="350"/>
      <c r="BF8047" s="350"/>
      <c r="BG8047" s="350"/>
      <c r="BH8047" s="350"/>
    </row>
    <row r="8048" spans="4:60">
      <c r="D8048" s="350"/>
      <c r="S8048" s="350"/>
      <c r="BF8048" s="350"/>
      <c r="BG8048" s="350"/>
      <c r="BH8048" s="350"/>
    </row>
    <row r="8049" spans="4:60">
      <c r="D8049" s="350"/>
      <c r="S8049" s="350"/>
      <c r="BF8049" s="350"/>
      <c r="BG8049" s="350"/>
      <c r="BH8049" s="350"/>
    </row>
    <row r="8050" spans="4:60">
      <c r="D8050" s="350"/>
      <c r="S8050" s="350"/>
      <c r="BF8050" s="350"/>
      <c r="BG8050" s="350"/>
      <c r="BH8050" s="350"/>
    </row>
    <row r="8051" spans="4:60">
      <c r="D8051" s="350"/>
      <c r="S8051" s="350"/>
      <c r="BF8051" s="350"/>
      <c r="BG8051" s="350"/>
      <c r="BH8051" s="350"/>
    </row>
    <row r="8052" spans="4:60">
      <c r="D8052" s="350"/>
      <c r="S8052" s="350"/>
      <c r="BF8052" s="350"/>
      <c r="BG8052" s="350"/>
      <c r="BH8052" s="350"/>
    </row>
    <row r="8053" spans="4:60">
      <c r="D8053" s="350"/>
      <c r="S8053" s="350"/>
      <c r="BF8053" s="350"/>
      <c r="BG8053" s="350"/>
      <c r="BH8053" s="350"/>
    </row>
    <row r="8054" spans="4:60">
      <c r="D8054" s="350"/>
      <c r="S8054" s="350"/>
      <c r="BF8054" s="350"/>
      <c r="BG8054" s="350"/>
      <c r="BH8054" s="350"/>
    </row>
    <row r="8055" spans="4:60">
      <c r="D8055" s="350"/>
      <c r="S8055" s="350"/>
      <c r="BF8055" s="350"/>
      <c r="BG8055" s="350"/>
      <c r="BH8055" s="350"/>
    </row>
    <row r="8056" spans="4:60">
      <c r="D8056" s="350"/>
      <c r="S8056" s="350"/>
      <c r="BF8056" s="350"/>
      <c r="BG8056" s="350"/>
      <c r="BH8056" s="350"/>
    </row>
    <row r="8057" spans="4:60">
      <c r="D8057" s="350"/>
      <c r="S8057" s="350"/>
      <c r="BF8057" s="350"/>
      <c r="BG8057" s="350"/>
      <c r="BH8057" s="350"/>
    </row>
    <row r="8058" spans="4:60">
      <c r="D8058" s="350"/>
      <c r="S8058" s="350"/>
      <c r="BF8058" s="350"/>
      <c r="BG8058" s="350"/>
      <c r="BH8058" s="350"/>
    </row>
    <row r="8059" spans="4:60">
      <c r="D8059" s="350"/>
      <c r="S8059" s="350"/>
      <c r="BF8059" s="350"/>
      <c r="BG8059" s="350"/>
      <c r="BH8059" s="350"/>
    </row>
    <row r="8060" spans="4:60">
      <c r="D8060" s="350"/>
      <c r="S8060" s="350"/>
      <c r="BF8060" s="350"/>
      <c r="BG8060" s="350"/>
      <c r="BH8060" s="350"/>
    </row>
    <row r="8061" spans="4:60">
      <c r="D8061" s="350"/>
      <c r="S8061" s="350"/>
      <c r="BF8061" s="350"/>
      <c r="BG8061" s="350"/>
      <c r="BH8061" s="350"/>
    </row>
    <row r="8062" spans="4:60">
      <c r="D8062" s="350"/>
      <c r="S8062" s="350"/>
      <c r="BF8062" s="350"/>
      <c r="BG8062" s="350"/>
      <c r="BH8062" s="350"/>
    </row>
    <row r="8063" spans="4:60">
      <c r="D8063" s="350"/>
      <c r="S8063" s="350"/>
      <c r="BF8063" s="350"/>
      <c r="BG8063" s="350"/>
      <c r="BH8063" s="350"/>
    </row>
    <row r="8064" spans="4:60">
      <c r="D8064" s="350"/>
      <c r="S8064" s="350"/>
      <c r="BF8064" s="350"/>
      <c r="BG8064" s="350"/>
      <c r="BH8064" s="350"/>
    </row>
    <row r="8065" spans="4:60">
      <c r="D8065" s="350"/>
      <c r="S8065" s="350"/>
      <c r="BF8065" s="350"/>
      <c r="BG8065" s="350"/>
      <c r="BH8065" s="350"/>
    </row>
    <row r="8066" spans="4:60">
      <c r="D8066" s="350"/>
      <c r="S8066" s="350"/>
      <c r="BF8066" s="350"/>
      <c r="BG8066" s="350"/>
      <c r="BH8066" s="350"/>
    </row>
    <row r="8067" spans="4:60">
      <c r="D8067" s="350"/>
      <c r="S8067" s="350"/>
      <c r="BF8067" s="350"/>
      <c r="BG8067" s="350"/>
      <c r="BH8067" s="350"/>
    </row>
    <row r="8068" spans="4:60">
      <c r="D8068" s="350"/>
      <c r="S8068" s="350"/>
      <c r="BF8068" s="350"/>
      <c r="BG8068" s="350"/>
      <c r="BH8068" s="350"/>
    </row>
    <row r="8069" spans="4:60">
      <c r="D8069" s="350"/>
      <c r="S8069" s="350"/>
      <c r="BF8069" s="350"/>
      <c r="BG8069" s="350"/>
      <c r="BH8069" s="350"/>
    </row>
    <row r="8070" spans="4:60">
      <c r="D8070" s="350"/>
      <c r="S8070" s="350"/>
      <c r="BF8070" s="350"/>
      <c r="BG8070" s="350"/>
      <c r="BH8070" s="350"/>
    </row>
    <row r="8071" spans="4:60">
      <c r="D8071" s="350"/>
      <c r="S8071" s="350"/>
      <c r="BF8071" s="350"/>
      <c r="BG8071" s="350"/>
      <c r="BH8071" s="350"/>
    </row>
    <row r="8072" spans="4:60">
      <c r="D8072" s="350"/>
      <c r="S8072" s="350"/>
      <c r="BF8072" s="350"/>
      <c r="BG8072" s="350"/>
      <c r="BH8072" s="350"/>
    </row>
    <row r="8073" spans="4:60">
      <c r="D8073" s="350"/>
      <c r="S8073" s="350"/>
      <c r="BF8073" s="350"/>
      <c r="BG8073" s="350"/>
      <c r="BH8073" s="350"/>
    </row>
    <row r="8074" spans="4:60">
      <c r="D8074" s="350"/>
      <c r="S8074" s="350"/>
      <c r="BF8074" s="350"/>
      <c r="BG8074" s="350"/>
      <c r="BH8074" s="350"/>
    </row>
    <row r="8075" spans="4:60">
      <c r="D8075" s="350"/>
      <c r="S8075" s="350"/>
      <c r="BF8075" s="350"/>
      <c r="BG8075" s="350"/>
      <c r="BH8075" s="350"/>
    </row>
    <row r="8076" spans="4:60">
      <c r="D8076" s="350"/>
      <c r="S8076" s="350"/>
      <c r="BF8076" s="350"/>
      <c r="BG8076" s="350"/>
      <c r="BH8076" s="350"/>
    </row>
    <row r="8077" spans="4:60">
      <c r="D8077" s="350"/>
      <c r="S8077" s="350"/>
      <c r="BF8077" s="350"/>
      <c r="BG8077" s="350"/>
      <c r="BH8077" s="350"/>
    </row>
    <row r="8078" spans="4:60">
      <c r="D8078" s="350"/>
      <c r="S8078" s="350"/>
      <c r="BF8078" s="350"/>
      <c r="BG8078" s="350"/>
      <c r="BH8078" s="350"/>
    </row>
    <row r="8089" spans="4:60">
      <c r="D8089" s="350"/>
      <c r="S8089" s="350"/>
      <c r="BF8089" s="350"/>
      <c r="BG8089" s="350"/>
      <c r="BH8089" s="350"/>
    </row>
    <row r="8090" spans="4:60">
      <c r="D8090" s="350"/>
      <c r="S8090" s="350"/>
      <c r="BF8090" s="350"/>
      <c r="BG8090" s="350"/>
      <c r="BH8090" s="350"/>
    </row>
    <row r="8091" spans="4:60">
      <c r="D8091" s="350"/>
      <c r="S8091" s="350"/>
      <c r="BF8091" s="350"/>
      <c r="BG8091" s="350"/>
      <c r="BH8091" s="350"/>
    </row>
    <row r="8092" spans="4:60">
      <c r="D8092" s="350"/>
      <c r="S8092" s="350"/>
      <c r="BF8092" s="350"/>
      <c r="BG8092" s="350"/>
      <c r="BH8092" s="350"/>
    </row>
    <row r="8093" spans="4:60">
      <c r="D8093" s="350"/>
      <c r="S8093" s="350"/>
      <c r="BF8093" s="350"/>
      <c r="BG8093" s="350"/>
      <c r="BH8093" s="350"/>
    </row>
    <row r="8094" spans="4:60">
      <c r="D8094" s="350"/>
      <c r="S8094" s="350"/>
      <c r="BF8094" s="350"/>
      <c r="BG8094" s="350"/>
      <c r="BH8094" s="350"/>
    </row>
    <row r="8095" spans="4:60">
      <c r="D8095" s="350"/>
      <c r="S8095" s="350"/>
      <c r="BF8095" s="350"/>
      <c r="BG8095" s="350"/>
      <c r="BH8095" s="350"/>
    </row>
    <row r="8096" spans="4:60">
      <c r="D8096" s="350"/>
      <c r="S8096" s="350"/>
      <c r="BF8096" s="350"/>
      <c r="BG8096" s="350"/>
      <c r="BH8096" s="350"/>
    </row>
    <row r="8097" spans="4:60">
      <c r="D8097" s="350"/>
      <c r="S8097" s="350"/>
      <c r="BF8097" s="350"/>
      <c r="BG8097" s="350"/>
      <c r="BH8097" s="350"/>
    </row>
    <row r="8098" spans="4:60">
      <c r="D8098" s="350"/>
      <c r="S8098" s="350"/>
      <c r="BF8098" s="350"/>
      <c r="BG8098" s="350"/>
      <c r="BH8098" s="350"/>
    </row>
    <row r="8099" spans="4:60">
      <c r="D8099" s="350"/>
      <c r="S8099" s="350"/>
      <c r="BF8099" s="350"/>
      <c r="BG8099" s="350"/>
      <c r="BH8099" s="350"/>
    </row>
    <row r="8100" spans="4:60">
      <c r="D8100" s="350"/>
      <c r="S8100" s="350"/>
      <c r="BF8100" s="350"/>
      <c r="BG8100" s="350"/>
      <c r="BH8100" s="350"/>
    </row>
    <row r="8101" spans="4:60">
      <c r="D8101" s="350"/>
      <c r="S8101" s="350"/>
      <c r="BF8101" s="350"/>
      <c r="BG8101" s="350"/>
      <c r="BH8101" s="350"/>
    </row>
    <row r="8102" spans="4:60">
      <c r="D8102" s="350"/>
      <c r="S8102" s="350"/>
      <c r="BF8102" s="350"/>
      <c r="BG8102" s="350"/>
      <c r="BH8102" s="350"/>
    </row>
    <row r="8103" spans="4:60">
      <c r="D8103" s="350"/>
      <c r="S8103" s="350"/>
      <c r="BF8103" s="350"/>
      <c r="BG8103" s="350"/>
      <c r="BH8103" s="350"/>
    </row>
    <row r="8104" spans="4:60">
      <c r="D8104" s="350"/>
      <c r="S8104" s="350"/>
      <c r="BF8104" s="350"/>
      <c r="BG8104" s="350"/>
      <c r="BH8104" s="350"/>
    </row>
    <row r="8105" spans="4:60">
      <c r="D8105" s="350"/>
      <c r="S8105" s="350"/>
      <c r="BF8105" s="350"/>
      <c r="BG8105" s="350"/>
      <c r="BH8105" s="350"/>
    </row>
    <row r="8106" spans="4:60">
      <c r="D8106" s="350"/>
      <c r="S8106" s="350"/>
      <c r="BF8106" s="350"/>
      <c r="BG8106" s="350"/>
      <c r="BH8106" s="350"/>
    </row>
    <row r="8107" spans="4:60">
      <c r="D8107" s="350"/>
      <c r="S8107" s="350"/>
      <c r="BF8107" s="350"/>
      <c r="BG8107" s="350"/>
      <c r="BH8107" s="350"/>
    </row>
    <row r="8108" spans="4:60">
      <c r="D8108" s="350"/>
      <c r="S8108" s="350"/>
      <c r="BF8108" s="350"/>
      <c r="BG8108" s="350"/>
      <c r="BH8108" s="350"/>
    </row>
    <row r="8109" spans="4:60">
      <c r="D8109" s="350"/>
      <c r="S8109" s="350"/>
      <c r="BF8109" s="350"/>
      <c r="BG8109" s="350"/>
      <c r="BH8109" s="350"/>
    </row>
    <row r="8110" spans="4:60">
      <c r="D8110" s="350"/>
      <c r="S8110" s="350"/>
      <c r="BF8110" s="350"/>
      <c r="BG8110" s="350"/>
      <c r="BH8110" s="350"/>
    </row>
    <row r="8111" spans="4:60">
      <c r="D8111" s="350"/>
      <c r="S8111" s="350"/>
      <c r="BF8111" s="350"/>
      <c r="BG8111" s="350"/>
      <c r="BH8111" s="350"/>
    </row>
    <row r="8112" spans="4:60">
      <c r="D8112" s="350"/>
      <c r="S8112" s="350"/>
      <c r="BF8112" s="350"/>
      <c r="BG8112" s="350"/>
      <c r="BH8112" s="350"/>
    </row>
    <row r="8113" spans="4:60">
      <c r="D8113" s="350"/>
      <c r="S8113" s="350"/>
      <c r="BF8113" s="350"/>
      <c r="BG8113" s="350"/>
      <c r="BH8113" s="350"/>
    </row>
    <row r="8114" spans="4:60">
      <c r="D8114" s="350"/>
      <c r="S8114" s="350"/>
      <c r="BF8114" s="350"/>
      <c r="BG8114" s="350"/>
      <c r="BH8114" s="350"/>
    </row>
    <row r="8115" spans="4:60">
      <c r="D8115" s="350"/>
      <c r="S8115" s="350"/>
      <c r="BF8115" s="350"/>
      <c r="BG8115" s="350"/>
      <c r="BH8115" s="350"/>
    </row>
    <row r="8116" spans="4:60">
      <c r="D8116" s="350"/>
      <c r="S8116" s="350"/>
      <c r="BF8116" s="350"/>
      <c r="BG8116" s="350"/>
      <c r="BH8116" s="350"/>
    </row>
    <row r="8117" spans="4:60">
      <c r="D8117" s="350"/>
      <c r="S8117" s="350"/>
      <c r="BF8117" s="350"/>
      <c r="BG8117" s="350"/>
      <c r="BH8117" s="350"/>
    </row>
    <row r="8118" spans="4:60">
      <c r="D8118" s="350"/>
      <c r="S8118" s="350"/>
      <c r="BF8118" s="350"/>
      <c r="BG8118" s="350"/>
      <c r="BH8118" s="350"/>
    </row>
    <row r="8123" spans="4:60">
      <c r="D8123" s="350"/>
      <c r="S8123" s="350"/>
      <c r="BF8123" s="350"/>
      <c r="BG8123" s="350"/>
      <c r="BH8123" s="350"/>
    </row>
    <row r="8124" spans="4:60">
      <c r="D8124" s="350"/>
      <c r="S8124" s="350"/>
      <c r="BF8124" s="350"/>
      <c r="BG8124" s="350"/>
      <c r="BH8124" s="350"/>
    </row>
    <row r="8127" spans="4:60">
      <c r="D8127" s="350"/>
      <c r="S8127" s="350"/>
      <c r="BF8127" s="350"/>
      <c r="BG8127" s="350"/>
      <c r="BH8127" s="350"/>
    </row>
    <row r="8128" spans="4:60">
      <c r="D8128" s="350"/>
      <c r="S8128" s="350"/>
      <c r="BF8128" s="350"/>
      <c r="BG8128" s="350"/>
      <c r="BH8128" s="350"/>
    </row>
    <row r="8129" spans="4:60">
      <c r="D8129" s="350"/>
      <c r="S8129" s="350"/>
      <c r="BF8129" s="350"/>
      <c r="BG8129" s="350"/>
      <c r="BH8129" s="350"/>
    </row>
    <row r="8130" spans="4:60">
      <c r="D8130" s="350"/>
      <c r="S8130" s="350"/>
      <c r="BF8130" s="350"/>
      <c r="BG8130" s="350"/>
      <c r="BH8130" s="350"/>
    </row>
    <row r="8131" spans="4:60">
      <c r="D8131" s="350"/>
      <c r="S8131" s="350"/>
      <c r="BF8131" s="350"/>
      <c r="BG8131" s="350"/>
      <c r="BH8131" s="350"/>
    </row>
    <row r="8132" spans="4:60">
      <c r="D8132" s="350"/>
      <c r="S8132" s="350"/>
      <c r="BF8132" s="350"/>
      <c r="BG8132" s="350"/>
      <c r="BH8132" s="350"/>
    </row>
    <row r="8133" spans="4:60">
      <c r="D8133" s="350"/>
      <c r="S8133" s="350"/>
      <c r="BF8133" s="350"/>
      <c r="BG8133" s="350"/>
      <c r="BH8133" s="350"/>
    </row>
    <row r="8134" spans="4:60">
      <c r="D8134" s="350"/>
      <c r="S8134" s="350"/>
      <c r="BF8134" s="350"/>
      <c r="BG8134" s="350"/>
      <c r="BH8134" s="350"/>
    </row>
    <row r="8137" spans="4:60">
      <c r="D8137" s="350"/>
      <c r="S8137" s="350"/>
      <c r="BF8137" s="350"/>
      <c r="BG8137" s="350"/>
      <c r="BH8137" s="350"/>
    </row>
    <row r="8138" spans="4:60">
      <c r="D8138" s="350"/>
      <c r="S8138" s="350"/>
      <c r="BF8138" s="350"/>
      <c r="BG8138" s="350"/>
      <c r="BH8138" s="350"/>
    </row>
    <row r="8143" spans="4:60">
      <c r="D8143" s="350"/>
      <c r="S8143" s="350"/>
      <c r="BF8143" s="350"/>
      <c r="BG8143" s="350"/>
      <c r="BH8143" s="350"/>
    </row>
    <row r="8144" spans="4:60">
      <c r="D8144" s="350"/>
      <c r="S8144" s="350"/>
      <c r="BF8144" s="350"/>
      <c r="BG8144" s="350"/>
      <c r="BH8144" s="350"/>
    </row>
    <row r="8145" spans="4:60">
      <c r="D8145" s="350"/>
      <c r="S8145" s="350"/>
      <c r="BF8145" s="350"/>
      <c r="BG8145" s="350"/>
      <c r="BH8145" s="350"/>
    </row>
    <row r="8146" spans="4:60">
      <c r="D8146" s="350"/>
      <c r="S8146" s="350"/>
      <c r="BF8146" s="350"/>
      <c r="BG8146" s="350"/>
      <c r="BH8146" s="350"/>
    </row>
    <row r="8147" spans="4:60">
      <c r="D8147" s="350"/>
      <c r="S8147" s="350"/>
      <c r="BF8147" s="350"/>
      <c r="BG8147" s="350"/>
      <c r="BH8147" s="350"/>
    </row>
    <row r="8148" spans="4:60">
      <c r="D8148" s="350"/>
      <c r="S8148" s="350"/>
      <c r="BF8148" s="350"/>
      <c r="BG8148" s="350"/>
      <c r="BH8148" s="350"/>
    </row>
    <row r="8149" spans="4:60">
      <c r="D8149" s="350"/>
      <c r="S8149" s="350"/>
      <c r="BF8149" s="350"/>
      <c r="BG8149" s="350"/>
      <c r="BH8149" s="350"/>
    </row>
    <row r="8150" spans="4:60">
      <c r="D8150" s="350"/>
      <c r="S8150" s="350"/>
      <c r="BF8150" s="350"/>
      <c r="BG8150" s="350"/>
      <c r="BH8150" s="350"/>
    </row>
    <row r="8151" spans="4:60">
      <c r="D8151" s="350"/>
      <c r="S8151" s="350"/>
      <c r="BF8151" s="350"/>
      <c r="BG8151" s="350"/>
      <c r="BH8151" s="350"/>
    </row>
    <row r="8152" spans="4:60">
      <c r="D8152" s="350"/>
      <c r="S8152" s="350"/>
      <c r="BF8152" s="350"/>
      <c r="BG8152" s="350"/>
      <c r="BH8152" s="350"/>
    </row>
    <row r="8153" spans="4:60">
      <c r="D8153" s="350"/>
      <c r="S8153" s="350"/>
      <c r="BF8153" s="350"/>
      <c r="BG8153" s="350"/>
      <c r="BH8153" s="350"/>
    </row>
    <row r="8154" spans="4:60">
      <c r="D8154" s="350"/>
      <c r="S8154" s="350"/>
      <c r="BF8154" s="350"/>
      <c r="BG8154" s="350"/>
      <c r="BH8154" s="350"/>
    </row>
    <row r="8155" spans="4:60">
      <c r="D8155" s="350"/>
      <c r="S8155" s="350"/>
      <c r="BF8155" s="350"/>
      <c r="BG8155" s="350"/>
      <c r="BH8155" s="350"/>
    </row>
    <row r="8156" spans="4:60">
      <c r="D8156" s="350"/>
      <c r="S8156" s="350"/>
      <c r="BF8156" s="350"/>
      <c r="BG8156" s="350"/>
      <c r="BH8156" s="350"/>
    </row>
    <row r="8157" spans="4:60">
      <c r="D8157" s="350"/>
      <c r="S8157" s="350"/>
      <c r="BF8157" s="350"/>
      <c r="BG8157" s="350"/>
      <c r="BH8157" s="350"/>
    </row>
    <row r="8158" spans="4:60">
      <c r="D8158" s="350"/>
      <c r="S8158" s="350"/>
      <c r="BF8158" s="350"/>
      <c r="BG8158" s="350"/>
      <c r="BH8158" s="350"/>
    </row>
    <row r="8159" spans="4:60">
      <c r="D8159" s="350"/>
      <c r="S8159" s="350"/>
      <c r="BF8159" s="350"/>
      <c r="BG8159" s="350"/>
      <c r="BH8159" s="350"/>
    </row>
    <row r="8160" spans="4:60">
      <c r="D8160" s="350"/>
      <c r="S8160" s="350"/>
      <c r="BF8160" s="350"/>
      <c r="BG8160" s="350"/>
      <c r="BH8160" s="350"/>
    </row>
    <row r="8161" spans="4:60">
      <c r="D8161" s="350"/>
      <c r="S8161" s="350"/>
      <c r="BF8161" s="350"/>
      <c r="BG8161" s="350"/>
      <c r="BH8161" s="350"/>
    </row>
    <row r="8162" spans="4:60">
      <c r="D8162" s="350"/>
      <c r="S8162" s="350"/>
      <c r="BF8162" s="350"/>
      <c r="BG8162" s="350"/>
      <c r="BH8162" s="350"/>
    </row>
    <row r="8163" spans="4:60">
      <c r="D8163" s="350"/>
      <c r="S8163" s="350"/>
      <c r="BF8163" s="350"/>
      <c r="BG8163" s="350"/>
      <c r="BH8163" s="350"/>
    </row>
    <row r="8164" spans="4:60">
      <c r="D8164" s="350"/>
      <c r="S8164" s="350"/>
      <c r="BF8164" s="350"/>
      <c r="BG8164" s="350"/>
      <c r="BH8164" s="350"/>
    </row>
    <row r="8165" spans="4:60">
      <c r="D8165" s="350"/>
      <c r="S8165" s="350"/>
      <c r="BF8165" s="350"/>
      <c r="BG8165" s="350"/>
      <c r="BH8165" s="350"/>
    </row>
    <row r="8166" spans="4:60">
      <c r="D8166" s="350"/>
      <c r="S8166" s="350"/>
      <c r="BF8166" s="350"/>
      <c r="BG8166" s="350"/>
      <c r="BH8166" s="350"/>
    </row>
    <row r="8167" spans="4:60">
      <c r="D8167" s="350"/>
      <c r="S8167" s="350"/>
      <c r="BF8167" s="350"/>
      <c r="BG8167" s="350"/>
      <c r="BH8167" s="350"/>
    </row>
    <row r="8168" spans="4:60">
      <c r="D8168" s="350"/>
      <c r="S8168" s="350"/>
      <c r="BF8168" s="350"/>
      <c r="BG8168" s="350"/>
      <c r="BH8168" s="350"/>
    </row>
    <row r="8169" spans="4:60">
      <c r="D8169" s="350"/>
      <c r="S8169" s="350"/>
      <c r="BF8169" s="350"/>
      <c r="BG8169" s="350"/>
      <c r="BH8169" s="350"/>
    </row>
    <row r="8170" spans="4:60">
      <c r="D8170" s="350"/>
      <c r="S8170" s="350"/>
      <c r="BF8170" s="350"/>
      <c r="BG8170" s="350"/>
      <c r="BH8170" s="350"/>
    </row>
    <row r="8171" spans="4:60">
      <c r="D8171" s="350"/>
      <c r="S8171" s="350"/>
      <c r="BF8171" s="350"/>
      <c r="BG8171" s="350"/>
      <c r="BH8171" s="350"/>
    </row>
    <row r="8172" spans="4:60">
      <c r="D8172" s="350"/>
      <c r="S8172" s="350"/>
      <c r="BF8172" s="350"/>
      <c r="BG8172" s="350"/>
      <c r="BH8172" s="350"/>
    </row>
    <row r="8173" spans="4:60">
      <c r="D8173" s="350"/>
      <c r="S8173" s="350"/>
      <c r="BF8173" s="350"/>
      <c r="BG8173" s="350"/>
      <c r="BH8173" s="350"/>
    </row>
    <row r="8174" spans="4:60">
      <c r="D8174" s="350"/>
      <c r="S8174" s="350"/>
      <c r="BF8174" s="350"/>
      <c r="BG8174" s="350"/>
      <c r="BH8174" s="350"/>
    </row>
    <row r="8175" spans="4:60">
      <c r="D8175" s="350"/>
      <c r="S8175" s="350"/>
      <c r="BF8175" s="350"/>
      <c r="BG8175" s="350"/>
      <c r="BH8175" s="350"/>
    </row>
    <row r="8176" spans="4:60">
      <c r="D8176" s="350"/>
      <c r="S8176" s="350"/>
      <c r="BF8176" s="350"/>
      <c r="BG8176" s="350"/>
      <c r="BH8176" s="350"/>
    </row>
    <row r="8177" spans="4:60">
      <c r="D8177" s="350"/>
      <c r="S8177" s="350"/>
      <c r="BF8177" s="350"/>
      <c r="BG8177" s="350"/>
      <c r="BH8177" s="350"/>
    </row>
    <row r="8178" spans="4:60">
      <c r="D8178" s="350"/>
      <c r="S8178" s="350"/>
      <c r="BF8178" s="350"/>
      <c r="BG8178" s="350"/>
      <c r="BH8178" s="350"/>
    </row>
    <row r="8179" spans="4:60">
      <c r="D8179" s="350"/>
      <c r="S8179" s="350"/>
      <c r="BF8179" s="350"/>
      <c r="BG8179" s="350"/>
      <c r="BH8179" s="350"/>
    </row>
    <row r="8180" spans="4:60">
      <c r="D8180" s="350"/>
      <c r="S8180" s="350"/>
      <c r="BF8180" s="350"/>
      <c r="BG8180" s="350"/>
      <c r="BH8180" s="350"/>
    </row>
    <row r="8181" spans="4:60">
      <c r="D8181" s="350"/>
      <c r="S8181" s="350"/>
      <c r="BF8181" s="350"/>
      <c r="BG8181" s="350"/>
      <c r="BH8181" s="350"/>
    </row>
    <row r="8182" spans="4:60">
      <c r="D8182" s="350"/>
      <c r="S8182" s="350"/>
      <c r="BF8182" s="350"/>
      <c r="BG8182" s="350"/>
      <c r="BH8182" s="350"/>
    </row>
    <row r="8183" spans="4:60">
      <c r="D8183" s="350"/>
      <c r="S8183" s="350"/>
      <c r="BF8183" s="350"/>
      <c r="BG8183" s="350"/>
      <c r="BH8183" s="350"/>
    </row>
    <row r="8184" spans="4:60">
      <c r="D8184" s="350"/>
      <c r="S8184" s="350"/>
      <c r="BF8184" s="350"/>
      <c r="BG8184" s="350"/>
      <c r="BH8184" s="350"/>
    </row>
    <row r="8185" spans="4:60">
      <c r="D8185" s="350"/>
      <c r="S8185" s="350"/>
      <c r="BF8185" s="350"/>
      <c r="BG8185" s="350"/>
      <c r="BH8185" s="350"/>
    </row>
    <row r="8186" spans="4:60">
      <c r="D8186" s="350"/>
      <c r="S8186" s="350"/>
      <c r="BF8186" s="350"/>
      <c r="BG8186" s="350"/>
      <c r="BH8186" s="350"/>
    </row>
    <row r="8187" spans="4:60">
      <c r="D8187" s="350"/>
      <c r="S8187" s="350"/>
      <c r="BF8187" s="350"/>
      <c r="BG8187" s="350"/>
      <c r="BH8187" s="350"/>
    </row>
    <row r="8188" spans="4:60">
      <c r="D8188" s="350"/>
      <c r="S8188" s="350"/>
      <c r="BF8188" s="350"/>
      <c r="BG8188" s="350"/>
      <c r="BH8188" s="350"/>
    </row>
    <row r="8189" spans="4:60">
      <c r="D8189" s="350"/>
      <c r="S8189" s="350"/>
      <c r="BF8189" s="350"/>
      <c r="BG8189" s="350"/>
      <c r="BH8189" s="350"/>
    </row>
    <row r="8190" spans="4:60">
      <c r="D8190" s="350"/>
      <c r="S8190" s="350"/>
      <c r="BF8190" s="350"/>
      <c r="BG8190" s="350"/>
      <c r="BH8190" s="350"/>
    </row>
    <row r="8191" spans="4:60">
      <c r="D8191" s="350"/>
      <c r="S8191" s="350"/>
      <c r="BF8191" s="350"/>
      <c r="BG8191" s="350"/>
      <c r="BH8191" s="350"/>
    </row>
    <row r="8192" spans="4:60">
      <c r="D8192" s="350"/>
      <c r="S8192" s="350"/>
      <c r="BF8192" s="350"/>
      <c r="BG8192" s="350"/>
      <c r="BH8192" s="350"/>
    </row>
    <row r="8193" spans="4:60">
      <c r="D8193" s="350"/>
      <c r="S8193" s="350"/>
      <c r="BF8193" s="350"/>
      <c r="BG8193" s="350"/>
      <c r="BH8193" s="350"/>
    </row>
    <row r="8194" spans="4:60">
      <c r="D8194" s="350"/>
      <c r="S8194" s="350"/>
      <c r="BF8194" s="350"/>
      <c r="BG8194" s="350"/>
      <c r="BH8194" s="350"/>
    </row>
    <row r="8195" spans="4:60">
      <c r="D8195" s="350"/>
      <c r="S8195" s="350"/>
      <c r="BF8195" s="350"/>
      <c r="BG8195" s="350"/>
      <c r="BH8195" s="350"/>
    </row>
    <row r="8196" spans="4:60">
      <c r="D8196" s="350"/>
      <c r="S8196" s="350"/>
      <c r="BF8196" s="350"/>
      <c r="BG8196" s="350"/>
      <c r="BH8196" s="350"/>
    </row>
    <row r="8197" spans="4:60">
      <c r="D8197" s="350"/>
      <c r="S8197" s="350"/>
      <c r="BF8197" s="350"/>
      <c r="BG8197" s="350"/>
      <c r="BH8197" s="350"/>
    </row>
    <row r="8198" spans="4:60">
      <c r="D8198" s="350"/>
      <c r="S8198" s="350"/>
      <c r="BF8198" s="350"/>
      <c r="BG8198" s="350"/>
      <c r="BH8198" s="350"/>
    </row>
    <row r="8199" spans="4:60">
      <c r="D8199" s="350"/>
      <c r="S8199" s="350"/>
      <c r="BF8199" s="350"/>
      <c r="BG8199" s="350"/>
      <c r="BH8199" s="350"/>
    </row>
    <row r="8200" spans="4:60">
      <c r="D8200" s="350"/>
      <c r="S8200" s="350"/>
      <c r="BF8200" s="350"/>
      <c r="BG8200" s="350"/>
      <c r="BH8200" s="350"/>
    </row>
    <row r="8201" spans="4:60">
      <c r="D8201" s="350"/>
      <c r="S8201" s="350"/>
      <c r="BF8201" s="350"/>
      <c r="BG8201" s="350"/>
      <c r="BH8201" s="350"/>
    </row>
    <row r="8202" spans="4:60">
      <c r="D8202" s="350"/>
      <c r="S8202" s="350"/>
      <c r="BF8202" s="350"/>
      <c r="BG8202" s="350"/>
      <c r="BH8202" s="350"/>
    </row>
    <row r="8203" spans="4:60">
      <c r="D8203" s="350"/>
      <c r="S8203" s="350"/>
      <c r="BF8203" s="350"/>
      <c r="BG8203" s="350"/>
      <c r="BH8203" s="350"/>
    </row>
    <row r="8204" spans="4:60">
      <c r="D8204" s="350"/>
      <c r="S8204" s="350"/>
      <c r="BF8204" s="350"/>
      <c r="BG8204" s="350"/>
      <c r="BH8204" s="350"/>
    </row>
    <row r="8205" spans="4:60">
      <c r="D8205" s="350"/>
      <c r="S8205" s="350"/>
      <c r="BF8205" s="350"/>
      <c r="BG8205" s="350"/>
      <c r="BH8205" s="350"/>
    </row>
    <row r="8206" spans="4:60">
      <c r="D8206" s="350"/>
      <c r="S8206" s="350"/>
      <c r="BF8206" s="350"/>
      <c r="BG8206" s="350"/>
      <c r="BH8206" s="350"/>
    </row>
    <row r="8207" spans="4:60">
      <c r="D8207" s="350"/>
      <c r="S8207" s="350"/>
      <c r="BF8207" s="350"/>
      <c r="BG8207" s="350"/>
      <c r="BH8207" s="350"/>
    </row>
    <row r="8208" spans="4:60">
      <c r="D8208" s="350"/>
      <c r="S8208" s="350"/>
      <c r="BF8208" s="350"/>
      <c r="BG8208" s="350"/>
      <c r="BH8208" s="350"/>
    </row>
    <row r="8209" spans="4:60">
      <c r="D8209" s="350"/>
      <c r="S8209" s="350"/>
      <c r="BF8209" s="350"/>
      <c r="BG8209" s="350"/>
      <c r="BH8209" s="350"/>
    </row>
    <row r="8210" spans="4:60">
      <c r="D8210" s="350"/>
      <c r="S8210" s="350"/>
      <c r="BF8210" s="350"/>
      <c r="BG8210" s="350"/>
      <c r="BH8210" s="350"/>
    </row>
    <row r="8211" spans="4:60">
      <c r="D8211" s="350"/>
      <c r="S8211" s="350"/>
      <c r="BF8211" s="350"/>
      <c r="BG8211" s="350"/>
      <c r="BH8211" s="350"/>
    </row>
    <row r="8212" spans="4:60">
      <c r="D8212" s="350"/>
      <c r="S8212" s="350"/>
      <c r="BF8212" s="350"/>
      <c r="BG8212" s="350"/>
      <c r="BH8212" s="350"/>
    </row>
    <row r="8213" spans="4:60">
      <c r="D8213" s="350"/>
      <c r="S8213" s="350"/>
      <c r="BF8213" s="350"/>
      <c r="BG8213" s="350"/>
      <c r="BH8213" s="350"/>
    </row>
    <row r="8214" spans="4:60">
      <c r="D8214" s="350"/>
      <c r="S8214" s="350"/>
      <c r="BF8214" s="350"/>
      <c r="BG8214" s="350"/>
      <c r="BH8214" s="350"/>
    </row>
    <row r="8215" spans="4:60">
      <c r="D8215" s="350"/>
      <c r="S8215" s="350"/>
      <c r="BF8215" s="350"/>
      <c r="BG8215" s="350"/>
      <c r="BH8215" s="350"/>
    </row>
    <row r="8216" spans="4:60">
      <c r="D8216" s="350"/>
      <c r="S8216" s="350"/>
      <c r="BF8216" s="350"/>
      <c r="BG8216" s="350"/>
      <c r="BH8216" s="350"/>
    </row>
    <row r="8217" spans="4:60">
      <c r="D8217" s="350"/>
      <c r="S8217" s="350"/>
      <c r="BF8217" s="350"/>
      <c r="BG8217" s="350"/>
      <c r="BH8217" s="350"/>
    </row>
    <row r="8218" spans="4:60">
      <c r="D8218" s="350"/>
      <c r="S8218" s="350"/>
      <c r="BF8218" s="350"/>
      <c r="BG8218" s="350"/>
      <c r="BH8218" s="350"/>
    </row>
    <row r="8219" spans="4:60">
      <c r="D8219" s="350"/>
      <c r="S8219" s="350"/>
      <c r="BF8219" s="350"/>
      <c r="BG8219" s="350"/>
      <c r="BH8219" s="350"/>
    </row>
    <row r="8220" spans="4:60">
      <c r="D8220" s="350"/>
      <c r="S8220" s="350"/>
      <c r="BF8220" s="350"/>
      <c r="BG8220" s="350"/>
      <c r="BH8220" s="350"/>
    </row>
    <row r="8221" spans="4:60">
      <c r="D8221" s="350"/>
      <c r="S8221" s="350"/>
      <c r="BF8221" s="350"/>
      <c r="BG8221" s="350"/>
      <c r="BH8221" s="350"/>
    </row>
    <row r="8222" spans="4:60">
      <c r="D8222" s="350"/>
      <c r="S8222" s="350"/>
      <c r="BF8222" s="350"/>
      <c r="BG8222" s="350"/>
      <c r="BH8222" s="350"/>
    </row>
    <row r="8223" spans="4:60">
      <c r="D8223" s="350"/>
      <c r="S8223" s="350"/>
      <c r="BF8223" s="350"/>
      <c r="BG8223" s="350"/>
      <c r="BH8223" s="350"/>
    </row>
    <row r="8224" spans="4:60">
      <c r="D8224" s="350"/>
      <c r="S8224" s="350"/>
      <c r="BF8224" s="350"/>
      <c r="BG8224" s="350"/>
      <c r="BH8224" s="350"/>
    </row>
    <row r="8225" spans="4:60">
      <c r="D8225" s="350"/>
      <c r="S8225" s="350"/>
      <c r="BF8225" s="350"/>
      <c r="BG8225" s="350"/>
      <c r="BH8225" s="350"/>
    </row>
    <row r="8226" spans="4:60">
      <c r="D8226" s="350"/>
      <c r="S8226" s="350"/>
      <c r="BF8226" s="350"/>
      <c r="BG8226" s="350"/>
      <c r="BH8226" s="350"/>
    </row>
    <row r="8227" spans="4:60">
      <c r="D8227" s="350"/>
      <c r="S8227" s="350"/>
      <c r="BF8227" s="350"/>
      <c r="BG8227" s="350"/>
      <c r="BH8227" s="350"/>
    </row>
    <row r="8228" spans="4:60">
      <c r="D8228" s="350"/>
      <c r="S8228" s="350"/>
      <c r="BF8228" s="350"/>
      <c r="BG8228" s="350"/>
      <c r="BH8228" s="350"/>
    </row>
    <row r="8229" spans="4:60">
      <c r="D8229" s="350"/>
      <c r="S8229" s="350"/>
      <c r="BF8229" s="350"/>
      <c r="BG8229" s="350"/>
      <c r="BH8229" s="350"/>
    </row>
    <row r="8230" spans="4:60">
      <c r="D8230" s="350"/>
      <c r="S8230" s="350"/>
      <c r="BF8230" s="350"/>
      <c r="BG8230" s="350"/>
      <c r="BH8230" s="350"/>
    </row>
    <row r="8231" spans="4:60">
      <c r="D8231" s="350"/>
      <c r="S8231" s="350"/>
      <c r="BF8231" s="350"/>
      <c r="BG8231" s="350"/>
      <c r="BH8231" s="350"/>
    </row>
    <row r="8232" spans="4:60">
      <c r="D8232" s="350"/>
      <c r="S8232" s="350"/>
      <c r="BF8232" s="350"/>
      <c r="BG8232" s="350"/>
      <c r="BH8232" s="350"/>
    </row>
    <row r="8233" spans="4:60">
      <c r="D8233" s="350"/>
      <c r="S8233" s="350"/>
      <c r="BF8233" s="350"/>
      <c r="BG8233" s="350"/>
      <c r="BH8233" s="350"/>
    </row>
    <row r="8234" spans="4:60">
      <c r="D8234" s="350"/>
      <c r="S8234" s="350"/>
      <c r="BF8234" s="350"/>
      <c r="BG8234" s="350"/>
      <c r="BH8234" s="350"/>
    </row>
    <row r="8235" spans="4:60">
      <c r="D8235" s="350"/>
      <c r="S8235" s="350"/>
      <c r="BF8235" s="350"/>
      <c r="BG8235" s="350"/>
      <c r="BH8235" s="350"/>
    </row>
    <row r="8236" spans="4:60">
      <c r="D8236" s="350"/>
      <c r="S8236" s="350"/>
      <c r="BF8236" s="350"/>
      <c r="BG8236" s="350"/>
      <c r="BH8236" s="350"/>
    </row>
    <row r="8237" spans="4:60">
      <c r="D8237" s="350"/>
      <c r="S8237" s="350"/>
      <c r="BF8237" s="350"/>
      <c r="BG8237" s="350"/>
      <c r="BH8237" s="350"/>
    </row>
    <row r="8238" spans="4:60">
      <c r="D8238" s="350"/>
      <c r="S8238" s="350"/>
      <c r="BF8238" s="350"/>
      <c r="BG8238" s="350"/>
      <c r="BH8238" s="350"/>
    </row>
    <row r="8239" spans="4:60">
      <c r="D8239" s="350"/>
      <c r="S8239" s="350"/>
      <c r="BF8239" s="350"/>
      <c r="BG8239" s="350"/>
      <c r="BH8239" s="350"/>
    </row>
    <row r="8240" spans="4:60">
      <c r="D8240" s="350"/>
      <c r="S8240" s="350"/>
      <c r="BF8240" s="350"/>
      <c r="BG8240" s="350"/>
      <c r="BH8240" s="350"/>
    </row>
    <row r="8241" spans="4:60">
      <c r="D8241" s="350"/>
      <c r="S8241" s="350"/>
      <c r="BF8241" s="350"/>
      <c r="BG8241" s="350"/>
      <c r="BH8241" s="350"/>
    </row>
    <row r="8242" spans="4:60">
      <c r="D8242" s="350"/>
      <c r="S8242" s="350"/>
      <c r="BF8242" s="350"/>
      <c r="BG8242" s="350"/>
      <c r="BH8242" s="350"/>
    </row>
    <row r="8243" spans="4:60">
      <c r="D8243" s="350"/>
      <c r="S8243" s="350"/>
      <c r="BF8243" s="350"/>
      <c r="BG8243" s="350"/>
      <c r="BH8243" s="350"/>
    </row>
    <row r="8244" spans="4:60">
      <c r="D8244" s="350"/>
      <c r="S8244" s="350"/>
      <c r="BF8244" s="350"/>
      <c r="BG8244" s="350"/>
      <c r="BH8244" s="350"/>
    </row>
    <row r="8245" spans="4:60">
      <c r="D8245" s="350"/>
      <c r="S8245" s="350"/>
      <c r="BF8245" s="350"/>
      <c r="BG8245" s="350"/>
      <c r="BH8245" s="350"/>
    </row>
    <row r="8246" spans="4:60">
      <c r="D8246" s="350"/>
      <c r="S8246" s="350"/>
      <c r="BF8246" s="350"/>
      <c r="BG8246" s="350"/>
      <c r="BH8246" s="350"/>
    </row>
    <row r="8247" spans="4:60">
      <c r="D8247" s="350"/>
      <c r="S8247" s="350"/>
      <c r="BF8247" s="350"/>
      <c r="BG8247" s="350"/>
      <c r="BH8247" s="350"/>
    </row>
    <row r="8248" spans="4:60">
      <c r="D8248" s="350"/>
      <c r="S8248" s="350"/>
      <c r="BF8248" s="350"/>
      <c r="BG8248" s="350"/>
      <c r="BH8248" s="350"/>
    </row>
    <row r="8249" spans="4:60">
      <c r="D8249" s="350"/>
      <c r="S8249" s="350"/>
      <c r="BF8249" s="350"/>
      <c r="BG8249" s="350"/>
      <c r="BH8249" s="350"/>
    </row>
    <row r="8250" spans="4:60">
      <c r="D8250" s="350"/>
      <c r="S8250" s="350"/>
      <c r="BF8250" s="350"/>
      <c r="BG8250" s="350"/>
      <c r="BH8250" s="350"/>
    </row>
    <row r="8251" spans="4:60">
      <c r="D8251" s="350"/>
      <c r="S8251" s="350"/>
      <c r="BF8251" s="350"/>
      <c r="BG8251" s="350"/>
      <c r="BH8251" s="350"/>
    </row>
    <row r="8252" spans="4:60">
      <c r="D8252" s="350"/>
      <c r="S8252" s="350"/>
      <c r="BF8252" s="350"/>
      <c r="BG8252" s="350"/>
      <c r="BH8252" s="350"/>
    </row>
    <row r="8253" spans="4:60">
      <c r="D8253" s="350"/>
      <c r="S8253" s="350"/>
      <c r="BF8253" s="350"/>
      <c r="BG8253" s="350"/>
      <c r="BH8253" s="350"/>
    </row>
    <row r="8254" spans="4:60">
      <c r="D8254" s="350"/>
      <c r="S8254" s="350"/>
      <c r="BF8254" s="350"/>
      <c r="BG8254" s="350"/>
      <c r="BH8254" s="350"/>
    </row>
    <row r="8255" spans="4:60">
      <c r="D8255" s="350"/>
      <c r="S8255" s="350"/>
      <c r="BF8255" s="350"/>
      <c r="BG8255" s="350"/>
      <c r="BH8255" s="350"/>
    </row>
    <row r="8256" spans="4:60">
      <c r="D8256" s="350"/>
      <c r="S8256" s="350"/>
      <c r="BF8256" s="350"/>
      <c r="BG8256" s="350"/>
      <c r="BH8256" s="350"/>
    </row>
    <row r="8257" spans="4:60">
      <c r="D8257" s="350"/>
      <c r="S8257" s="350"/>
      <c r="BF8257" s="350"/>
      <c r="BG8257" s="350"/>
      <c r="BH8257" s="350"/>
    </row>
    <row r="8258" spans="4:60">
      <c r="D8258" s="350"/>
      <c r="S8258" s="350"/>
      <c r="BF8258" s="350"/>
      <c r="BG8258" s="350"/>
      <c r="BH8258" s="350"/>
    </row>
    <row r="8259" spans="4:60">
      <c r="D8259" s="350"/>
      <c r="S8259" s="350"/>
      <c r="BF8259" s="350"/>
      <c r="BG8259" s="350"/>
      <c r="BH8259" s="350"/>
    </row>
    <row r="8260" spans="4:60">
      <c r="D8260" s="350"/>
      <c r="S8260" s="350"/>
      <c r="BF8260" s="350"/>
      <c r="BG8260" s="350"/>
      <c r="BH8260" s="350"/>
    </row>
    <row r="8261" spans="4:60">
      <c r="D8261" s="350"/>
      <c r="S8261" s="350"/>
      <c r="BF8261" s="350"/>
      <c r="BG8261" s="350"/>
      <c r="BH8261" s="350"/>
    </row>
    <row r="8262" spans="4:60">
      <c r="D8262" s="350"/>
      <c r="S8262" s="350"/>
      <c r="BF8262" s="350"/>
      <c r="BG8262" s="350"/>
      <c r="BH8262" s="350"/>
    </row>
    <row r="8263" spans="4:60">
      <c r="D8263" s="350"/>
      <c r="S8263" s="350"/>
      <c r="BF8263" s="350"/>
      <c r="BG8263" s="350"/>
      <c r="BH8263" s="350"/>
    </row>
    <row r="8264" spans="4:60">
      <c r="D8264" s="350"/>
      <c r="S8264" s="350"/>
      <c r="BF8264" s="350"/>
      <c r="BG8264" s="350"/>
      <c r="BH8264" s="350"/>
    </row>
    <row r="8265" spans="4:60">
      <c r="D8265" s="350"/>
      <c r="S8265" s="350"/>
      <c r="BF8265" s="350"/>
      <c r="BG8265" s="350"/>
      <c r="BH8265" s="350"/>
    </row>
    <row r="8266" spans="4:60">
      <c r="D8266" s="350"/>
      <c r="S8266" s="350"/>
      <c r="BF8266" s="350"/>
      <c r="BG8266" s="350"/>
      <c r="BH8266" s="350"/>
    </row>
    <row r="8267" spans="4:60">
      <c r="D8267" s="350"/>
      <c r="S8267" s="350"/>
      <c r="BF8267" s="350"/>
      <c r="BG8267" s="350"/>
      <c r="BH8267" s="350"/>
    </row>
    <row r="8268" spans="4:60">
      <c r="D8268" s="350"/>
      <c r="S8268" s="350"/>
      <c r="BF8268" s="350"/>
      <c r="BG8268" s="350"/>
      <c r="BH8268" s="350"/>
    </row>
    <row r="8269" spans="4:60">
      <c r="D8269" s="350"/>
      <c r="S8269" s="350"/>
      <c r="BF8269" s="350"/>
      <c r="BG8269" s="350"/>
      <c r="BH8269" s="350"/>
    </row>
    <row r="8270" spans="4:60">
      <c r="D8270" s="350"/>
      <c r="S8270" s="350"/>
      <c r="BF8270" s="350"/>
      <c r="BG8270" s="350"/>
      <c r="BH8270" s="350"/>
    </row>
    <row r="8271" spans="4:60">
      <c r="D8271" s="350"/>
      <c r="S8271" s="350"/>
      <c r="BF8271" s="350"/>
      <c r="BG8271" s="350"/>
      <c r="BH8271" s="350"/>
    </row>
    <row r="8272" spans="4:60">
      <c r="D8272" s="350"/>
      <c r="S8272" s="350"/>
      <c r="BF8272" s="350"/>
      <c r="BG8272" s="350"/>
      <c r="BH8272" s="350"/>
    </row>
    <row r="8273" spans="4:60">
      <c r="D8273" s="350"/>
      <c r="S8273" s="350"/>
      <c r="BF8273" s="350"/>
      <c r="BG8273" s="350"/>
      <c r="BH8273" s="350"/>
    </row>
    <row r="8274" spans="4:60">
      <c r="D8274" s="350"/>
      <c r="S8274" s="350"/>
      <c r="BF8274" s="350"/>
      <c r="BG8274" s="350"/>
      <c r="BH8274" s="350"/>
    </row>
    <row r="8275" spans="4:60">
      <c r="D8275" s="350"/>
      <c r="S8275" s="350"/>
      <c r="BF8275" s="350"/>
      <c r="BG8275" s="350"/>
      <c r="BH8275" s="350"/>
    </row>
    <row r="8276" spans="4:60">
      <c r="D8276" s="350"/>
      <c r="S8276" s="350"/>
      <c r="BF8276" s="350"/>
      <c r="BG8276" s="350"/>
      <c r="BH8276" s="350"/>
    </row>
    <row r="8277" spans="4:60">
      <c r="D8277" s="350"/>
      <c r="S8277" s="350"/>
      <c r="BF8277" s="350"/>
      <c r="BG8277" s="350"/>
      <c r="BH8277" s="350"/>
    </row>
    <row r="8278" spans="4:60">
      <c r="D8278" s="350"/>
      <c r="S8278" s="350"/>
      <c r="BF8278" s="350"/>
      <c r="BG8278" s="350"/>
      <c r="BH8278" s="350"/>
    </row>
    <row r="8279" spans="4:60">
      <c r="D8279" s="350"/>
      <c r="S8279" s="350"/>
      <c r="BF8279" s="350"/>
      <c r="BG8279" s="350"/>
      <c r="BH8279" s="350"/>
    </row>
    <row r="8280" spans="4:60">
      <c r="D8280" s="350"/>
      <c r="S8280" s="350"/>
      <c r="BF8280" s="350"/>
      <c r="BG8280" s="350"/>
      <c r="BH8280" s="350"/>
    </row>
    <row r="8281" spans="4:60">
      <c r="D8281" s="350"/>
      <c r="S8281" s="350"/>
      <c r="BF8281" s="350"/>
      <c r="BG8281" s="350"/>
      <c r="BH8281" s="350"/>
    </row>
    <row r="8282" spans="4:60">
      <c r="D8282" s="350"/>
      <c r="S8282" s="350"/>
      <c r="BF8282" s="350"/>
      <c r="BG8282" s="350"/>
      <c r="BH8282" s="350"/>
    </row>
    <row r="8283" spans="4:60">
      <c r="D8283" s="350"/>
      <c r="S8283" s="350"/>
      <c r="BF8283" s="350"/>
      <c r="BG8283" s="350"/>
      <c r="BH8283" s="350"/>
    </row>
    <row r="8284" spans="4:60">
      <c r="D8284" s="350"/>
      <c r="S8284" s="350"/>
      <c r="BF8284" s="350"/>
      <c r="BG8284" s="350"/>
      <c r="BH8284" s="350"/>
    </row>
    <row r="8285" spans="4:60">
      <c r="D8285" s="350"/>
      <c r="S8285" s="350"/>
      <c r="BF8285" s="350"/>
      <c r="BG8285" s="350"/>
      <c r="BH8285" s="350"/>
    </row>
    <row r="8286" spans="4:60">
      <c r="D8286" s="350"/>
      <c r="S8286" s="350"/>
      <c r="BF8286" s="350"/>
      <c r="BG8286" s="350"/>
      <c r="BH8286" s="350"/>
    </row>
    <row r="8287" spans="4:60">
      <c r="D8287" s="350"/>
      <c r="S8287" s="350"/>
      <c r="BF8287" s="350"/>
      <c r="BG8287" s="350"/>
      <c r="BH8287" s="350"/>
    </row>
    <row r="8288" spans="4:60">
      <c r="D8288" s="350"/>
      <c r="S8288" s="350"/>
      <c r="BF8288" s="350"/>
      <c r="BG8288" s="350"/>
      <c r="BH8288" s="350"/>
    </row>
    <row r="8289" spans="4:60">
      <c r="D8289" s="350"/>
      <c r="S8289" s="350"/>
      <c r="BF8289" s="350"/>
      <c r="BG8289" s="350"/>
      <c r="BH8289" s="350"/>
    </row>
    <row r="8290" spans="4:60">
      <c r="D8290" s="350"/>
      <c r="S8290" s="350"/>
      <c r="BF8290" s="350"/>
      <c r="BG8290" s="350"/>
      <c r="BH8290" s="350"/>
    </row>
    <row r="8291" spans="4:60">
      <c r="D8291" s="350"/>
      <c r="S8291" s="350"/>
      <c r="BF8291" s="350"/>
      <c r="BG8291" s="350"/>
      <c r="BH8291" s="350"/>
    </row>
    <row r="8292" spans="4:60">
      <c r="D8292" s="350"/>
      <c r="S8292" s="350"/>
      <c r="BF8292" s="350"/>
      <c r="BG8292" s="350"/>
      <c r="BH8292" s="350"/>
    </row>
    <row r="8293" spans="4:60">
      <c r="D8293" s="350"/>
      <c r="S8293" s="350"/>
      <c r="BF8293" s="350"/>
      <c r="BG8293" s="350"/>
      <c r="BH8293" s="350"/>
    </row>
    <row r="8304" spans="4:60">
      <c r="D8304" s="350"/>
      <c r="S8304" s="350"/>
      <c r="BF8304" s="350"/>
      <c r="BG8304" s="350"/>
      <c r="BH8304" s="350"/>
    </row>
    <row r="8305" spans="4:60">
      <c r="D8305" s="350"/>
      <c r="S8305" s="350"/>
      <c r="BF8305" s="350"/>
      <c r="BG8305" s="350"/>
      <c r="BH8305" s="350"/>
    </row>
    <row r="8306" spans="4:60">
      <c r="D8306" s="350"/>
      <c r="S8306" s="350"/>
      <c r="BF8306" s="350"/>
      <c r="BG8306" s="350"/>
      <c r="BH8306" s="350"/>
    </row>
    <row r="8307" spans="4:60">
      <c r="D8307" s="350"/>
      <c r="S8307" s="350"/>
      <c r="BF8307" s="350"/>
      <c r="BG8307" s="350"/>
      <c r="BH8307" s="350"/>
    </row>
    <row r="8308" spans="4:60">
      <c r="D8308" s="350"/>
      <c r="S8308" s="350"/>
      <c r="BF8308" s="350"/>
      <c r="BG8308" s="350"/>
      <c r="BH8308" s="350"/>
    </row>
    <row r="8309" spans="4:60">
      <c r="D8309" s="350"/>
      <c r="S8309" s="350"/>
      <c r="BF8309" s="350"/>
      <c r="BG8309" s="350"/>
      <c r="BH8309" s="350"/>
    </row>
    <row r="8310" spans="4:60">
      <c r="D8310" s="350"/>
      <c r="S8310" s="350"/>
      <c r="BF8310" s="350"/>
      <c r="BG8310" s="350"/>
      <c r="BH8310" s="350"/>
    </row>
    <row r="8311" spans="4:60">
      <c r="D8311" s="350"/>
      <c r="S8311" s="350"/>
      <c r="BF8311" s="350"/>
      <c r="BG8311" s="350"/>
      <c r="BH8311" s="350"/>
    </row>
    <row r="8312" spans="4:60">
      <c r="D8312" s="350"/>
      <c r="S8312" s="350"/>
      <c r="BF8312" s="350"/>
      <c r="BG8312" s="350"/>
      <c r="BH8312" s="350"/>
    </row>
    <row r="8313" spans="4:60">
      <c r="D8313" s="350"/>
      <c r="S8313" s="350"/>
      <c r="BF8313" s="350"/>
      <c r="BG8313" s="350"/>
      <c r="BH8313" s="350"/>
    </row>
    <row r="8314" spans="4:60">
      <c r="D8314" s="350"/>
      <c r="S8314" s="350"/>
      <c r="BF8314" s="350"/>
      <c r="BG8314" s="350"/>
      <c r="BH8314" s="350"/>
    </row>
    <row r="8315" spans="4:60">
      <c r="D8315" s="350"/>
      <c r="S8315" s="350"/>
      <c r="BF8315" s="350"/>
      <c r="BG8315" s="350"/>
      <c r="BH8315" s="350"/>
    </row>
    <row r="8316" spans="4:60">
      <c r="D8316" s="350"/>
      <c r="S8316" s="350"/>
      <c r="BF8316" s="350"/>
      <c r="BG8316" s="350"/>
      <c r="BH8316" s="350"/>
    </row>
    <row r="8317" spans="4:60">
      <c r="D8317" s="350"/>
      <c r="S8317" s="350"/>
      <c r="BF8317" s="350"/>
      <c r="BG8317" s="350"/>
      <c r="BH8317" s="350"/>
    </row>
    <row r="8318" spans="4:60">
      <c r="D8318" s="350"/>
      <c r="S8318" s="350"/>
      <c r="BF8318" s="350"/>
      <c r="BG8318" s="350"/>
      <c r="BH8318" s="350"/>
    </row>
    <row r="8319" spans="4:60">
      <c r="D8319" s="350"/>
      <c r="S8319" s="350"/>
      <c r="BF8319" s="350"/>
      <c r="BG8319" s="350"/>
      <c r="BH8319" s="350"/>
    </row>
    <row r="8320" spans="4:60">
      <c r="D8320" s="350"/>
      <c r="S8320" s="350"/>
      <c r="BF8320" s="350"/>
      <c r="BG8320" s="350"/>
      <c r="BH8320" s="350"/>
    </row>
    <row r="8321" spans="4:60">
      <c r="D8321" s="350"/>
      <c r="S8321" s="350"/>
      <c r="BF8321" s="350"/>
      <c r="BG8321" s="350"/>
      <c r="BH8321" s="350"/>
    </row>
    <row r="8322" spans="4:60">
      <c r="D8322" s="350"/>
      <c r="S8322" s="350"/>
      <c r="BF8322" s="350"/>
      <c r="BG8322" s="350"/>
      <c r="BH8322" s="350"/>
    </row>
    <row r="8323" spans="4:60">
      <c r="D8323" s="350"/>
      <c r="S8323" s="350"/>
      <c r="BF8323" s="350"/>
      <c r="BG8323" s="350"/>
      <c r="BH8323" s="350"/>
    </row>
    <row r="8324" spans="4:60">
      <c r="D8324" s="350"/>
      <c r="S8324" s="350"/>
      <c r="BF8324" s="350"/>
      <c r="BG8324" s="350"/>
      <c r="BH8324" s="350"/>
    </row>
    <row r="8325" spans="4:60">
      <c r="D8325" s="350"/>
      <c r="S8325" s="350"/>
      <c r="BF8325" s="350"/>
      <c r="BG8325" s="350"/>
      <c r="BH8325" s="350"/>
    </row>
    <row r="8326" spans="4:60">
      <c r="D8326" s="350"/>
      <c r="S8326" s="350"/>
      <c r="BF8326" s="350"/>
      <c r="BG8326" s="350"/>
      <c r="BH8326" s="350"/>
    </row>
    <row r="8327" spans="4:60">
      <c r="D8327" s="350"/>
      <c r="S8327" s="350"/>
      <c r="BF8327" s="350"/>
      <c r="BG8327" s="350"/>
      <c r="BH8327" s="350"/>
    </row>
    <row r="8328" spans="4:60">
      <c r="D8328" s="350"/>
      <c r="S8328" s="350"/>
      <c r="BF8328" s="350"/>
      <c r="BG8328" s="350"/>
      <c r="BH8328" s="350"/>
    </row>
    <row r="8329" spans="4:60">
      <c r="D8329" s="350"/>
      <c r="S8329" s="350"/>
      <c r="BF8329" s="350"/>
      <c r="BG8329" s="350"/>
      <c r="BH8329" s="350"/>
    </row>
    <row r="8330" spans="4:60">
      <c r="D8330" s="350"/>
      <c r="S8330" s="350"/>
      <c r="BF8330" s="350"/>
      <c r="BG8330" s="350"/>
      <c r="BH8330" s="350"/>
    </row>
    <row r="8331" spans="4:60">
      <c r="D8331" s="350"/>
      <c r="S8331" s="350"/>
      <c r="BF8331" s="350"/>
      <c r="BG8331" s="350"/>
      <c r="BH8331" s="350"/>
    </row>
    <row r="8332" spans="4:60">
      <c r="D8332" s="350"/>
      <c r="S8332" s="350"/>
      <c r="BF8332" s="350"/>
      <c r="BG8332" s="350"/>
      <c r="BH8332" s="350"/>
    </row>
    <row r="8337" spans="4:60">
      <c r="D8337" s="350"/>
      <c r="S8337" s="350"/>
      <c r="BF8337" s="350"/>
      <c r="BG8337" s="350"/>
      <c r="BH8337" s="350"/>
    </row>
    <row r="8338" spans="4:60">
      <c r="D8338" s="350"/>
      <c r="S8338" s="350"/>
      <c r="BF8338" s="350"/>
      <c r="BG8338" s="350"/>
      <c r="BH8338" s="350"/>
    </row>
    <row r="8339" spans="4:60">
      <c r="D8339" s="350"/>
      <c r="S8339" s="350"/>
      <c r="BF8339" s="350"/>
      <c r="BG8339" s="350"/>
      <c r="BH8339" s="350"/>
    </row>
    <row r="8340" spans="4:60">
      <c r="D8340" s="350"/>
      <c r="S8340" s="350"/>
      <c r="BF8340" s="350"/>
      <c r="BG8340" s="350"/>
      <c r="BH8340" s="350"/>
    </row>
    <row r="8341" spans="4:60">
      <c r="D8341" s="350"/>
      <c r="S8341" s="350"/>
      <c r="BF8341" s="350"/>
      <c r="BG8341" s="350"/>
      <c r="BH8341" s="350"/>
    </row>
    <row r="8344" spans="4:60">
      <c r="D8344" s="350"/>
      <c r="S8344" s="350"/>
      <c r="BF8344" s="350"/>
      <c r="BG8344" s="350"/>
      <c r="BH8344" s="350"/>
    </row>
    <row r="8345" spans="4:60">
      <c r="D8345" s="350"/>
      <c r="S8345" s="350"/>
      <c r="BF8345" s="350"/>
      <c r="BG8345" s="350"/>
      <c r="BH8345" s="350"/>
    </row>
    <row r="8350" spans="4:60">
      <c r="D8350" s="350"/>
      <c r="S8350" s="350"/>
      <c r="BF8350" s="350"/>
      <c r="BG8350" s="350"/>
      <c r="BH8350" s="350"/>
    </row>
    <row r="8351" spans="4:60">
      <c r="D8351" s="350"/>
      <c r="S8351" s="350"/>
      <c r="BF8351" s="350"/>
      <c r="BG8351" s="350"/>
      <c r="BH8351" s="350"/>
    </row>
    <row r="8352" spans="4:60">
      <c r="D8352" s="350"/>
      <c r="S8352" s="350"/>
      <c r="BF8352" s="350"/>
      <c r="BG8352" s="350"/>
      <c r="BH8352" s="350"/>
    </row>
    <row r="8353" spans="4:60">
      <c r="D8353" s="350"/>
      <c r="S8353" s="350"/>
      <c r="BF8353" s="350"/>
      <c r="BG8353" s="350"/>
      <c r="BH8353" s="350"/>
    </row>
    <row r="8354" spans="4:60">
      <c r="D8354" s="350"/>
      <c r="S8354" s="350"/>
      <c r="BF8354" s="350"/>
      <c r="BG8354" s="350"/>
      <c r="BH8354" s="350"/>
    </row>
    <row r="8355" spans="4:60">
      <c r="D8355" s="350"/>
      <c r="S8355" s="350"/>
      <c r="BF8355" s="350"/>
      <c r="BG8355" s="350"/>
      <c r="BH8355" s="350"/>
    </row>
    <row r="8356" spans="4:60">
      <c r="D8356" s="350"/>
      <c r="S8356" s="350"/>
      <c r="BF8356" s="350"/>
      <c r="BG8356" s="350"/>
      <c r="BH8356" s="350"/>
    </row>
    <row r="8357" spans="4:60">
      <c r="D8357" s="350"/>
      <c r="S8357" s="350"/>
      <c r="BF8357" s="350"/>
      <c r="BG8357" s="350"/>
      <c r="BH8357" s="350"/>
    </row>
    <row r="8358" spans="4:60">
      <c r="D8358" s="350"/>
      <c r="S8358" s="350"/>
      <c r="BF8358" s="350"/>
      <c r="BG8358" s="350"/>
      <c r="BH8358" s="350"/>
    </row>
    <row r="8359" spans="4:60">
      <c r="D8359" s="350"/>
      <c r="S8359" s="350"/>
      <c r="BF8359" s="350"/>
      <c r="BG8359" s="350"/>
      <c r="BH8359" s="350"/>
    </row>
    <row r="8360" spans="4:60">
      <c r="D8360" s="350"/>
      <c r="S8360" s="350"/>
      <c r="BF8360" s="350"/>
      <c r="BG8360" s="350"/>
      <c r="BH8360" s="350"/>
    </row>
    <row r="8361" spans="4:60">
      <c r="D8361" s="350"/>
      <c r="S8361" s="350"/>
      <c r="BF8361" s="350"/>
      <c r="BG8361" s="350"/>
      <c r="BH8361" s="350"/>
    </row>
    <row r="8362" spans="4:60">
      <c r="D8362" s="350"/>
      <c r="S8362" s="350"/>
      <c r="BF8362" s="350"/>
      <c r="BG8362" s="350"/>
      <c r="BH8362" s="350"/>
    </row>
    <row r="8363" spans="4:60">
      <c r="D8363" s="350"/>
      <c r="S8363" s="350"/>
      <c r="BF8363" s="350"/>
      <c r="BG8363" s="350"/>
      <c r="BH8363" s="350"/>
    </row>
    <row r="8364" spans="4:60">
      <c r="D8364" s="350"/>
      <c r="S8364" s="350"/>
      <c r="BF8364" s="350"/>
      <c r="BG8364" s="350"/>
      <c r="BH8364" s="350"/>
    </row>
    <row r="8365" spans="4:60">
      <c r="D8365" s="350"/>
      <c r="S8365" s="350"/>
      <c r="BF8365" s="350"/>
      <c r="BG8365" s="350"/>
      <c r="BH8365" s="350"/>
    </row>
    <row r="8366" spans="4:60">
      <c r="D8366" s="350"/>
      <c r="S8366" s="350"/>
      <c r="BF8366" s="350"/>
      <c r="BG8366" s="350"/>
      <c r="BH8366" s="350"/>
    </row>
    <row r="8367" spans="4:60">
      <c r="D8367" s="350"/>
      <c r="S8367" s="350"/>
      <c r="BF8367" s="350"/>
      <c r="BG8367" s="350"/>
      <c r="BH8367" s="350"/>
    </row>
    <row r="8368" spans="4:60">
      <c r="D8368" s="350"/>
      <c r="S8368" s="350"/>
      <c r="BF8368" s="350"/>
      <c r="BG8368" s="350"/>
      <c r="BH8368" s="350"/>
    </row>
    <row r="8369" spans="4:60">
      <c r="D8369" s="350"/>
      <c r="S8369" s="350"/>
      <c r="BF8369" s="350"/>
      <c r="BG8369" s="350"/>
      <c r="BH8369" s="350"/>
    </row>
    <row r="8370" spans="4:60">
      <c r="D8370" s="350"/>
      <c r="S8370" s="350"/>
      <c r="BF8370" s="350"/>
      <c r="BG8370" s="350"/>
      <c r="BH8370" s="350"/>
    </row>
    <row r="8371" spans="4:60">
      <c r="D8371" s="350"/>
      <c r="S8371" s="350"/>
      <c r="BF8371" s="350"/>
      <c r="BG8371" s="350"/>
      <c r="BH8371" s="350"/>
    </row>
    <row r="8372" spans="4:60">
      <c r="D8372" s="350"/>
      <c r="S8372" s="350"/>
      <c r="BF8372" s="350"/>
      <c r="BG8372" s="350"/>
      <c r="BH8372" s="350"/>
    </row>
    <row r="8373" spans="4:60">
      <c r="D8373" s="350"/>
      <c r="S8373" s="350"/>
      <c r="BF8373" s="350"/>
      <c r="BG8373" s="350"/>
      <c r="BH8373" s="350"/>
    </row>
    <row r="8374" spans="4:60">
      <c r="D8374" s="350"/>
      <c r="S8374" s="350"/>
      <c r="BF8374" s="350"/>
      <c r="BG8374" s="350"/>
      <c r="BH8374" s="350"/>
    </row>
    <row r="8375" spans="4:60">
      <c r="D8375" s="350"/>
      <c r="S8375" s="350"/>
      <c r="BF8375" s="350"/>
      <c r="BG8375" s="350"/>
      <c r="BH8375" s="350"/>
    </row>
    <row r="8376" spans="4:60">
      <c r="D8376" s="350"/>
      <c r="S8376" s="350"/>
      <c r="BF8376" s="350"/>
      <c r="BG8376" s="350"/>
      <c r="BH8376" s="350"/>
    </row>
    <row r="8377" spans="4:60">
      <c r="D8377" s="350"/>
      <c r="S8377" s="350"/>
      <c r="BF8377" s="350"/>
      <c r="BG8377" s="350"/>
      <c r="BH8377" s="350"/>
    </row>
    <row r="8378" spans="4:60">
      <c r="D8378" s="350"/>
      <c r="S8378" s="350"/>
      <c r="BF8378" s="350"/>
      <c r="BG8378" s="350"/>
      <c r="BH8378" s="350"/>
    </row>
    <row r="8379" spans="4:60">
      <c r="D8379" s="350"/>
      <c r="S8379" s="350"/>
      <c r="BF8379" s="350"/>
      <c r="BG8379" s="350"/>
      <c r="BH8379" s="350"/>
    </row>
    <row r="8380" spans="4:60">
      <c r="D8380" s="350"/>
      <c r="S8380" s="350"/>
      <c r="BF8380" s="350"/>
      <c r="BG8380" s="350"/>
      <c r="BH8380" s="350"/>
    </row>
    <row r="8381" spans="4:60">
      <c r="D8381" s="350"/>
      <c r="S8381" s="350"/>
      <c r="BF8381" s="350"/>
      <c r="BG8381" s="350"/>
      <c r="BH8381" s="350"/>
    </row>
    <row r="8382" spans="4:60">
      <c r="D8382" s="350"/>
      <c r="S8382" s="350"/>
      <c r="BF8382" s="350"/>
      <c r="BG8382" s="350"/>
      <c r="BH8382" s="350"/>
    </row>
    <row r="8383" spans="4:60">
      <c r="D8383" s="350"/>
      <c r="S8383" s="350"/>
      <c r="BF8383" s="350"/>
      <c r="BG8383" s="350"/>
      <c r="BH8383" s="350"/>
    </row>
    <row r="8384" spans="4:60">
      <c r="D8384" s="350"/>
      <c r="S8384" s="350"/>
      <c r="BF8384" s="350"/>
      <c r="BG8384" s="350"/>
      <c r="BH8384" s="350"/>
    </row>
    <row r="8385" spans="4:60">
      <c r="D8385" s="350"/>
      <c r="S8385" s="350"/>
      <c r="BF8385" s="350"/>
      <c r="BG8385" s="350"/>
      <c r="BH8385" s="350"/>
    </row>
    <row r="8386" spans="4:60">
      <c r="D8386" s="350"/>
      <c r="S8386" s="350"/>
      <c r="BF8386" s="350"/>
      <c r="BG8386" s="350"/>
      <c r="BH8386" s="350"/>
    </row>
    <row r="8387" spans="4:60">
      <c r="D8387" s="350"/>
      <c r="S8387" s="350"/>
      <c r="BF8387" s="350"/>
      <c r="BG8387" s="350"/>
      <c r="BH8387" s="350"/>
    </row>
    <row r="8388" spans="4:60">
      <c r="D8388" s="350"/>
      <c r="S8388" s="350"/>
      <c r="BF8388" s="350"/>
      <c r="BG8388" s="350"/>
      <c r="BH8388" s="350"/>
    </row>
    <row r="8389" spans="4:60">
      <c r="D8389" s="350"/>
      <c r="S8389" s="350"/>
      <c r="BF8389" s="350"/>
      <c r="BG8389" s="350"/>
      <c r="BH8389" s="350"/>
    </row>
    <row r="8390" spans="4:60">
      <c r="D8390" s="350"/>
      <c r="S8390" s="350"/>
      <c r="BF8390" s="350"/>
      <c r="BG8390" s="350"/>
      <c r="BH8390" s="350"/>
    </row>
    <row r="8391" spans="4:60">
      <c r="D8391" s="350"/>
      <c r="S8391" s="350"/>
      <c r="BF8391" s="350"/>
      <c r="BG8391" s="350"/>
      <c r="BH8391" s="350"/>
    </row>
    <row r="8392" spans="4:60">
      <c r="D8392" s="350"/>
      <c r="S8392" s="350"/>
      <c r="BF8392" s="350"/>
      <c r="BG8392" s="350"/>
      <c r="BH8392" s="350"/>
    </row>
    <row r="8393" spans="4:60">
      <c r="D8393" s="350"/>
      <c r="S8393" s="350"/>
      <c r="BF8393" s="350"/>
      <c r="BG8393" s="350"/>
      <c r="BH8393" s="350"/>
    </row>
    <row r="8394" spans="4:60">
      <c r="D8394" s="350"/>
      <c r="S8394" s="350"/>
      <c r="BF8394" s="350"/>
      <c r="BG8394" s="350"/>
      <c r="BH8394" s="350"/>
    </row>
    <row r="8395" spans="4:60">
      <c r="D8395" s="350"/>
      <c r="S8395" s="350"/>
      <c r="BF8395" s="350"/>
      <c r="BG8395" s="350"/>
      <c r="BH8395" s="350"/>
    </row>
    <row r="8400" spans="4:60">
      <c r="D8400" s="350"/>
      <c r="S8400" s="350"/>
      <c r="BF8400" s="350"/>
      <c r="BG8400" s="350"/>
      <c r="BH8400" s="350"/>
    </row>
    <row r="8401" spans="4:60">
      <c r="D8401" s="350"/>
      <c r="S8401" s="350"/>
      <c r="BF8401" s="350"/>
      <c r="BG8401" s="350"/>
      <c r="BH8401" s="350"/>
    </row>
    <row r="8404" spans="4:60">
      <c r="D8404" s="350"/>
      <c r="S8404" s="350"/>
      <c r="BF8404" s="350"/>
      <c r="BG8404" s="350"/>
      <c r="BH8404" s="350"/>
    </row>
    <row r="8405" spans="4:60">
      <c r="D8405" s="350"/>
      <c r="S8405" s="350"/>
      <c r="BF8405" s="350"/>
      <c r="BG8405" s="350"/>
      <c r="BH8405" s="350"/>
    </row>
    <row r="8406" spans="4:60">
      <c r="D8406" s="350"/>
      <c r="S8406" s="350"/>
      <c r="BF8406" s="350"/>
      <c r="BG8406" s="350"/>
      <c r="BH8406" s="350"/>
    </row>
    <row r="8407" spans="4:60">
      <c r="D8407" s="350"/>
      <c r="S8407" s="350"/>
      <c r="BF8407" s="350"/>
      <c r="BG8407" s="350"/>
      <c r="BH8407" s="350"/>
    </row>
    <row r="8408" spans="4:60">
      <c r="D8408" s="350"/>
      <c r="S8408" s="350"/>
      <c r="BF8408" s="350"/>
      <c r="BG8408" s="350"/>
      <c r="BH8408" s="350"/>
    </row>
    <row r="8409" spans="4:60">
      <c r="D8409" s="350"/>
      <c r="S8409" s="350"/>
      <c r="BF8409" s="350"/>
      <c r="BG8409" s="350"/>
      <c r="BH8409" s="350"/>
    </row>
    <row r="8410" spans="4:60">
      <c r="D8410" s="350"/>
      <c r="S8410" s="350"/>
      <c r="BF8410" s="350"/>
      <c r="BG8410" s="350"/>
      <c r="BH8410" s="350"/>
    </row>
    <row r="8411" spans="4:60">
      <c r="D8411" s="350"/>
      <c r="S8411" s="350"/>
      <c r="BF8411" s="350"/>
      <c r="BG8411" s="350"/>
      <c r="BH8411" s="350"/>
    </row>
    <row r="8414" spans="4:60">
      <c r="D8414" s="350"/>
      <c r="S8414" s="350"/>
      <c r="BF8414" s="350"/>
      <c r="BG8414" s="350"/>
      <c r="BH8414" s="350"/>
    </row>
    <row r="8415" spans="4:60">
      <c r="D8415" s="350"/>
      <c r="S8415" s="350"/>
      <c r="BF8415" s="350"/>
      <c r="BG8415" s="350"/>
      <c r="BH8415" s="350"/>
    </row>
    <row r="8420" spans="4:60">
      <c r="D8420" s="350"/>
      <c r="S8420" s="350"/>
      <c r="BF8420" s="350"/>
      <c r="BG8420" s="350"/>
      <c r="BH8420" s="350"/>
    </row>
    <row r="8421" spans="4:60">
      <c r="D8421" s="350"/>
      <c r="S8421" s="350"/>
      <c r="BF8421" s="350"/>
      <c r="BG8421" s="350"/>
      <c r="BH8421" s="350"/>
    </row>
    <row r="8422" spans="4:60">
      <c r="D8422" s="350"/>
      <c r="S8422" s="350"/>
      <c r="BF8422" s="350"/>
      <c r="BG8422" s="350"/>
      <c r="BH8422" s="350"/>
    </row>
    <row r="8423" spans="4:60">
      <c r="D8423" s="350"/>
      <c r="S8423" s="350"/>
      <c r="BF8423" s="350"/>
      <c r="BG8423" s="350"/>
      <c r="BH8423" s="350"/>
    </row>
    <row r="8424" spans="4:60">
      <c r="D8424" s="350"/>
      <c r="S8424" s="350"/>
      <c r="BF8424" s="350"/>
      <c r="BG8424" s="350"/>
      <c r="BH8424" s="350"/>
    </row>
    <row r="8425" spans="4:60">
      <c r="D8425" s="350"/>
      <c r="S8425" s="350"/>
      <c r="BF8425" s="350"/>
      <c r="BG8425" s="350"/>
      <c r="BH8425" s="350"/>
    </row>
    <row r="8426" spans="4:60">
      <c r="D8426" s="350"/>
      <c r="S8426" s="350"/>
      <c r="BF8426" s="350"/>
      <c r="BG8426" s="350"/>
      <c r="BH8426" s="350"/>
    </row>
    <row r="8427" spans="4:60">
      <c r="D8427" s="350"/>
      <c r="S8427" s="350"/>
      <c r="BF8427" s="350"/>
      <c r="BG8427" s="350"/>
      <c r="BH8427" s="350"/>
    </row>
    <row r="8428" spans="4:60">
      <c r="D8428" s="350"/>
      <c r="S8428" s="350"/>
      <c r="BF8428" s="350"/>
      <c r="BG8428" s="350"/>
      <c r="BH8428" s="350"/>
    </row>
    <row r="8429" spans="4:60">
      <c r="D8429" s="350"/>
      <c r="S8429" s="350"/>
      <c r="BF8429" s="350"/>
      <c r="BG8429" s="350"/>
      <c r="BH8429" s="350"/>
    </row>
    <row r="8430" spans="4:60">
      <c r="D8430" s="350"/>
      <c r="S8430" s="350"/>
      <c r="BF8430" s="350"/>
      <c r="BG8430" s="350"/>
      <c r="BH8430" s="350"/>
    </row>
    <row r="8431" spans="4:60">
      <c r="D8431" s="350"/>
      <c r="S8431" s="350"/>
      <c r="BF8431" s="350"/>
      <c r="BG8431" s="350"/>
      <c r="BH8431" s="350"/>
    </row>
    <row r="8432" spans="4:60">
      <c r="D8432" s="350"/>
      <c r="S8432" s="350"/>
      <c r="BF8432" s="350"/>
      <c r="BG8432" s="350"/>
      <c r="BH8432" s="350"/>
    </row>
    <row r="8433" spans="4:60">
      <c r="D8433" s="350"/>
      <c r="S8433" s="350"/>
      <c r="BF8433" s="350"/>
      <c r="BG8433" s="350"/>
      <c r="BH8433" s="350"/>
    </row>
    <row r="8434" spans="4:60">
      <c r="D8434" s="350"/>
      <c r="S8434" s="350"/>
      <c r="BF8434" s="350"/>
      <c r="BG8434" s="350"/>
      <c r="BH8434" s="350"/>
    </row>
    <row r="8435" spans="4:60">
      <c r="D8435" s="350"/>
      <c r="S8435" s="350"/>
      <c r="BF8435" s="350"/>
      <c r="BG8435" s="350"/>
      <c r="BH8435" s="350"/>
    </row>
    <row r="8436" spans="4:60">
      <c r="D8436" s="350"/>
      <c r="S8436" s="350"/>
      <c r="BF8436" s="350"/>
      <c r="BG8436" s="350"/>
      <c r="BH8436" s="350"/>
    </row>
    <row r="8437" spans="4:60">
      <c r="D8437" s="350"/>
      <c r="S8437" s="350"/>
      <c r="BF8437" s="350"/>
      <c r="BG8437" s="350"/>
      <c r="BH8437" s="350"/>
    </row>
    <row r="8438" spans="4:60">
      <c r="D8438" s="350"/>
      <c r="S8438" s="350"/>
      <c r="BF8438" s="350"/>
      <c r="BG8438" s="350"/>
      <c r="BH8438" s="350"/>
    </row>
    <row r="8439" spans="4:60">
      <c r="D8439" s="350"/>
      <c r="S8439" s="350"/>
      <c r="BF8439" s="350"/>
      <c r="BG8439" s="350"/>
      <c r="BH8439" s="350"/>
    </row>
    <row r="8440" spans="4:60">
      <c r="D8440" s="350"/>
      <c r="S8440" s="350"/>
      <c r="BF8440" s="350"/>
      <c r="BG8440" s="350"/>
      <c r="BH8440" s="350"/>
    </row>
    <row r="8441" spans="4:60">
      <c r="D8441" s="350"/>
      <c r="S8441" s="350"/>
      <c r="BF8441" s="350"/>
      <c r="BG8441" s="350"/>
      <c r="BH8441" s="350"/>
    </row>
    <row r="8442" spans="4:60">
      <c r="D8442" s="350"/>
      <c r="S8442" s="350"/>
      <c r="BF8442" s="350"/>
      <c r="BG8442" s="350"/>
      <c r="BH8442" s="350"/>
    </row>
    <row r="8443" spans="4:60">
      <c r="D8443" s="350"/>
      <c r="S8443" s="350"/>
      <c r="BF8443" s="350"/>
      <c r="BG8443" s="350"/>
      <c r="BH8443" s="350"/>
    </row>
    <row r="8444" spans="4:60">
      <c r="D8444" s="350"/>
      <c r="S8444" s="350"/>
      <c r="BF8444" s="350"/>
      <c r="BG8444" s="350"/>
      <c r="BH8444" s="350"/>
    </row>
    <row r="8445" spans="4:60">
      <c r="D8445" s="350"/>
      <c r="S8445" s="350"/>
      <c r="BF8445" s="350"/>
      <c r="BG8445" s="350"/>
      <c r="BH8445" s="350"/>
    </row>
    <row r="8446" spans="4:60">
      <c r="D8446" s="350"/>
      <c r="S8446" s="350"/>
      <c r="BF8446" s="350"/>
      <c r="BG8446" s="350"/>
      <c r="BH8446" s="350"/>
    </row>
    <row r="8447" spans="4:60">
      <c r="D8447" s="350"/>
      <c r="S8447" s="350"/>
      <c r="BF8447" s="350"/>
      <c r="BG8447" s="350"/>
      <c r="BH8447" s="350"/>
    </row>
    <row r="8448" spans="4:60">
      <c r="D8448" s="350"/>
      <c r="S8448" s="350"/>
      <c r="BF8448" s="350"/>
      <c r="BG8448" s="350"/>
      <c r="BH8448" s="350"/>
    </row>
    <row r="8449" spans="4:60">
      <c r="D8449" s="350"/>
      <c r="S8449" s="350"/>
      <c r="BF8449" s="350"/>
      <c r="BG8449" s="350"/>
      <c r="BH8449" s="350"/>
    </row>
    <row r="8450" spans="4:60">
      <c r="D8450" s="350"/>
      <c r="S8450" s="350"/>
      <c r="BF8450" s="350"/>
      <c r="BG8450" s="350"/>
      <c r="BH8450" s="350"/>
    </row>
    <row r="8451" spans="4:60">
      <c r="D8451" s="350"/>
      <c r="S8451" s="350"/>
      <c r="BF8451" s="350"/>
      <c r="BG8451" s="350"/>
      <c r="BH8451" s="350"/>
    </row>
    <row r="8452" spans="4:60">
      <c r="D8452" s="350"/>
      <c r="S8452" s="350"/>
      <c r="BF8452" s="350"/>
      <c r="BG8452" s="350"/>
      <c r="BH8452" s="350"/>
    </row>
    <row r="8453" spans="4:60">
      <c r="D8453" s="350"/>
      <c r="S8453" s="350"/>
      <c r="BF8453" s="350"/>
      <c r="BG8453" s="350"/>
      <c r="BH8453" s="350"/>
    </row>
    <row r="8454" spans="4:60">
      <c r="D8454" s="350"/>
      <c r="S8454" s="350"/>
      <c r="BF8454" s="350"/>
      <c r="BG8454" s="350"/>
      <c r="BH8454" s="350"/>
    </row>
    <row r="8455" spans="4:60">
      <c r="D8455" s="350"/>
      <c r="S8455" s="350"/>
      <c r="BF8455" s="350"/>
      <c r="BG8455" s="350"/>
      <c r="BH8455" s="350"/>
    </row>
    <row r="8456" spans="4:60">
      <c r="D8456" s="350"/>
      <c r="S8456" s="350"/>
      <c r="BF8456" s="350"/>
      <c r="BG8456" s="350"/>
      <c r="BH8456" s="350"/>
    </row>
    <row r="8457" spans="4:60">
      <c r="D8457" s="350"/>
      <c r="S8457" s="350"/>
      <c r="BF8457" s="350"/>
      <c r="BG8457" s="350"/>
      <c r="BH8457" s="350"/>
    </row>
    <row r="8458" spans="4:60">
      <c r="D8458" s="350"/>
      <c r="S8458" s="350"/>
      <c r="BF8458" s="350"/>
      <c r="BG8458" s="350"/>
      <c r="BH8458" s="350"/>
    </row>
    <row r="8459" spans="4:60">
      <c r="D8459" s="350"/>
      <c r="S8459" s="350"/>
      <c r="BF8459" s="350"/>
      <c r="BG8459" s="350"/>
      <c r="BH8459" s="350"/>
    </row>
    <row r="8460" spans="4:60">
      <c r="D8460" s="350"/>
      <c r="S8460" s="350"/>
      <c r="BF8460" s="350"/>
      <c r="BG8460" s="350"/>
      <c r="BH8460" s="350"/>
    </row>
    <row r="8461" spans="4:60">
      <c r="D8461" s="350"/>
      <c r="S8461" s="350"/>
      <c r="BF8461" s="350"/>
      <c r="BG8461" s="350"/>
      <c r="BH8461" s="350"/>
    </row>
    <row r="8462" spans="4:60">
      <c r="D8462" s="350"/>
      <c r="S8462" s="350"/>
      <c r="BF8462" s="350"/>
      <c r="BG8462" s="350"/>
      <c r="BH8462" s="350"/>
    </row>
    <row r="8463" spans="4:60">
      <c r="D8463" s="350"/>
      <c r="S8463" s="350"/>
      <c r="BF8463" s="350"/>
      <c r="BG8463" s="350"/>
      <c r="BH8463" s="350"/>
    </row>
    <row r="8464" spans="4:60">
      <c r="D8464" s="350"/>
      <c r="S8464" s="350"/>
      <c r="BF8464" s="350"/>
      <c r="BG8464" s="350"/>
      <c r="BH8464" s="350"/>
    </row>
    <row r="8465" spans="4:60">
      <c r="D8465" s="350"/>
      <c r="S8465" s="350"/>
      <c r="BF8465" s="350"/>
      <c r="BG8465" s="350"/>
      <c r="BH8465" s="350"/>
    </row>
    <row r="8466" spans="4:60">
      <c r="D8466" s="350"/>
      <c r="S8466" s="350"/>
      <c r="BF8466" s="350"/>
      <c r="BG8466" s="350"/>
      <c r="BH8466" s="350"/>
    </row>
    <row r="8467" spans="4:60">
      <c r="D8467" s="350"/>
      <c r="S8467" s="350"/>
      <c r="BF8467" s="350"/>
      <c r="BG8467" s="350"/>
      <c r="BH8467" s="350"/>
    </row>
    <row r="8468" spans="4:60">
      <c r="D8468" s="350"/>
      <c r="S8468" s="350"/>
      <c r="BF8468" s="350"/>
      <c r="BG8468" s="350"/>
      <c r="BH8468" s="350"/>
    </row>
    <row r="8469" spans="4:60">
      <c r="D8469" s="350"/>
      <c r="S8469" s="350"/>
      <c r="BF8469" s="350"/>
      <c r="BG8469" s="350"/>
      <c r="BH8469" s="350"/>
    </row>
    <row r="8470" spans="4:60">
      <c r="D8470" s="350"/>
      <c r="S8470" s="350"/>
      <c r="BF8470" s="350"/>
      <c r="BG8470" s="350"/>
      <c r="BH8470" s="350"/>
    </row>
    <row r="8471" spans="4:60">
      <c r="D8471" s="350"/>
      <c r="S8471" s="350"/>
      <c r="BF8471" s="350"/>
      <c r="BG8471" s="350"/>
      <c r="BH8471" s="350"/>
    </row>
    <row r="8472" spans="4:60">
      <c r="D8472" s="350"/>
      <c r="S8472" s="350"/>
      <c r="BF8472" s="350"/>
      <c r="BG8472" s="350"/>
      <c r="BH8472" s="350"/>
    </row>
    <row r="8473" spans="4:60">
      <c r="D8473" s="350"/>
      <c r="S8473" s="350"/>
      <c r="BF8473" s="350"/>
      <c r="BG8473" s="350"/>
      <c r="BH8473" s="350"/>
    </row>
    <row r="8474" spans="4:60">
      <c r="D8474" s="350"/>
      <c r="S8474" s="350"/>
      <c r="BF8474" s="350"/>
      <c r="BG8474" s="350"/>
      <c r="BH8474" s="350"/>
    </row>
    <row r="8475" spans="4:60">
      <c r="D8475" s="350"/>
      <c r="S8475" s="350"/>
      <c r="BF8475" s="350"/>
      <c r="BG8475" s="350"/>
      <c r="BH8475" s="350"/>
    </row>
    <row r="8476" spans="4:60">
      <c r="D8476" s="350"/>
      <c r="S8476" s="350"/>
      <c r="BF8476" s="350"/>
      <c r="BG8476" s="350"/>
      <c r="BH8476" s="350"/>
    </row>
    <row r="8477" spans="4:60">
      <c r="D8477" s="350"/>
      <c r="S8477" s="350"/>
      <c r="BF8477" s="350"/>
      <c r="BG8477" s="350"/>
      <c r="BH8477" s="350"/>
    </row>
    <row r="8478" spans="4:60">
      <c r="D8478" s="350"/>
      <c r="S8478" s="350"/>
      <c r="BF8478" s="350"/>
      <c r="BG8478" s="350"/>
      <c r="BH8478" s="350"/>
    </row>
    <row r="8479" spans="4:60">
      <c r="D8479" s="350"/>
      <c r="S8479" s="350"/>
      <c r="BF8479" s="350"/>
      <c r="BG8479" s="350"/>
      <c r="BH8479" s="350"/>
    </row>
    <row r="8480" spans="4:60">
      <c r="D8480" s="350"/>
      <c r="S8480" s="350"/>
      <c r="BF8480" s="350"/>
      <c r="BG8480" s="350"/>
      <c r="BH8480" s="350"/>
    </row>
    <row r="8481" spans="4:60">
      <c r="D8481" s="350"/>
      <c r="S8481" s="350"/>
      <c r="BF8481" s="350"/>
      <c r="BG8481" s="350"/>
      <c r="BH8481" s="350"/>
    </row>
    <row r="8482" spans="4:60">
      <c r="D8482" s="350"/>
      <c r="S8482" s="350"/>
      <c r="BF8482" s="350"/>
      <c r="BG8482" s="350"/>
      <c r="BH8482" s="350"/>
    </row>
    <row r="8483" spans="4:60">
      <c r="D8483" s="350"/>
      <c r="S8483" s="350"/>
      <c r="BF8483" s="350"/>
      <c r="BG8483" s="350"/>
      <c r="BH8483" s="350"/>
    </row>
    <row r="8484" spans="4:60">
      <c r="D8484" s="350"/>
      <c r="S8484" s="350"/>
      <c r="BF8484" s="350"/>
      <c r="BG8484" s="350"/>
      <c r="BH8484" s="350"/>
    </row>
    <row r="8485" spans="4:60">
      <c r="D8485" s="350"/>
      <c r="S8485" s="350"/>
      <c r="BF8485" s="350"/>
      <c r="BG8485" s="350"/>
      <c r="BH8485" s="350"/>
    </row>
    <row r="8486" spans="4:60">
      <c r="D8486" s="350"/>
      <c r="S8486" s="350"/>
      <c r="BF8486" s="350"/>
      <c r="BG8486" s="350"/>
      <c r="BH8486" s="350"/>
    </row>
    <row r="8487" spans="4:60">
      <c r="D8487" s="350"/>
      <c r="S8487" s="350"/>
      <c r="BF8487" s="350"/>
      <c r="BG8487" s="350"/>
      <c r="BH8487" s="350"/>
    </row>
    <row r="8488" spans="4:60">
      <c r="D8488" s="350"/>
      <c r="S8488" s="350"/>
      <c r="BF8488" s="350"/>
      <c r="BG8488" s="350"/>
      <c r="BH8488" s="350"/>
    </row>
    <row r="8489" spans="4:60">
      <c r="D8489" s="350"/>
      <c r="S8489" s="350"/>
      <c r="BF8489" s="350"/>
      <c r="BG8489" s="350"/>
      <c r="BH8489" s="350"/>
    </row>
    <row r="8490" spans="4:60">
      <c r="D8490" s="350"/>
      <c r="S8490" s="350"/>
      <c r="BF8490" s="350"/>
      <c r="BG8490" s="350"/>
      <c r="BH8490" s="350"/>
    </row>
    <row r="8491" spans="4:60">
      <c r="D8491" s="350"/>
      <c r="S8491" s="350"/>
      <c r="BF8491" s="350"/>
      <c r="BG8491" s="350"/>
      <c r="BH8491" s="350"/>
    </row>
    <row r="8492" spans="4:60">
      <c r="D8492" s="350"/>
      <c r="S8492" s="350"/>
      <c r="BF8492" s="350"/>
      <c r="BG8492" s="350"/>
      <c r="BH8492" s="350"/>
    </row>
    <row r="8493" spans="4:60">
      <c r="D8493" s="350"/>
      <c r="S8493" s="350"/>
      <c r="BF8493" s="350"/>
      <c r="BG8493" s="350"/>
      <c r="BH8493" s="350"/>
    </row>
    <row r="8494" spans="4:60">
      <c r="D8494" s="350"/>
      <c r="S8494" s="350"/>
      <c r="BF8494" s="350"/>
      <c r="BG8494" s="350"/>
      <c r="BH8494" s="350"/>
    </row>
    <row r="8495" spans="4:60">
      <c r="D8495" s="350"/>
      <c r="S8495" s="350"/>
      <c r="BF8495" s="350"/>
      <c r="BG8495" s="350"/>
      <c r="BH8495" s="350"/>
    </row>
    <row r="8496" spans="4:60">
      <c r="D8496" s="350"/>
      <c r="S8496" s="350"/>
      <c r="BF8496" s="350"/>
      <c r="BG8496" s="350"/>
      <c r="BH8496" s="350"/>
    </row>
    <row r="8497" spans="4:60">
      <c r="D8497" s="350"/>
      <c r="S8497" s="350"/>
      <c r="BF8497" s="350"/>
      <c r="BG8497" s="350"/>
      <c r="BH8497" s="350"/>
    </row>
    <row r="8498" spans="4:60">
      <c r="D8498" s="350"/>
      <c r="S8498" s="350"/>
      <c r="BF8498" s="350"/>
      <c r="BG8498" s="350"/>
      <c r="BH8498" s="350"/>
    </row>
    <row r="8499" spans="4:60">
      <c r="D8499" s="350"/>
      <c r="S8499" s="350"/>
      <c r="BF8499" s="350"/>
      <c r="BG8499" s="350"/>
      <c r="BH8499" s="350"/>
    </row>
    <row r="8500" spans="4:60">
      <c r="D8500" s="350"/>
      <c r="S8500" s="350"/>
      <c r="BF8500" s="350"/>
      <c r="BG8500" s="350"/>
      <c r="BH8500" s="350"/>
    </row>
    <row r="8501" spans="4:60">
      <c r="D8501" s="350"/>
      <c r="S8501" s="350"/>
      <c r="BF8501" s="350"/>
      <c r="BG8501" s="350"/>
      <c r="BH8501" s="350"/>
    </row>
    <row r="8502" spans="4:60">
      <c r="D8502" s="350"/>
      <c r="S8502" s="350"/>
      <c r="BF8502" s="350"/>
      <c r="BG8502" s="350"/>
      <c r="BH8502" s="350"/>
    </row>
    <row r="8503" spans="4:60">
      <c r="D8503" s="350"/>
      <c r="S8503" s="350"/>
      <c r="BF8503" s="350"/>
      <c r="BG8503" s="350"/>
      <c r="BH8503" s="350"/>
    </row>
    <row r="8504" spans="4:60">
      <c r="D8504" s="350"/>
      <c r="S8504" s="350"/>
      <c r="BF8504" s="350"/>
      <c r="BG8504" s="350"/>
      <c r="BH8504" s="350"/>
    </row>
    <row r="8505" spans="4:60">
      <c r="D8505" s="350"/>
      <c r="S8505" s="350"/>
      <c r="BF8505" s="350"/>
      <c r="BG8505" s="350"/>
      <c r="BH8505" s="350"/>
    </row>
    <row r="8506" spans="4:60">
      <c r="D8506" s="350"/>
      <c r="S8506" s="350"/>
      <c r="BF8506" s="350"/>
      <c r="BG8506" s="350"/>
      <c r="BH8506" s="350"/>
    </row>
    <row r="8507" spans="4:60">
      <c r="D8507" s="350"/>
      <c r="S8507" s="350"/>
      <c r="BF8507" s="350"/>
      <c r="BG8507" s="350"/>
      <c r="BH8507" s="350"/>
    </row>
    <row r="8508" spans="4:60">
      <c r="D8508" s="350"/>
      <c r="S8508" s="350"/>
      <c r="BF8508" s="350"/>
      <c r="BG8508" s="350"/>
      <c r="BH8508" s="350"/>
    </row>
    <row r="8509" spans="4:60">
      <c r="D8509" s="350"/>
      <c r="S8509" s="350"/>
      <c r="BF8509" s="350"/>
      <c r="BG8509" s="350"/>
      <c r="BH8509" s="350"/>
    </row>
    <row r="8510" spans="4:60">
      <c r="D8510" s="350"/>
      <c r="S8510" s="350"/>
      <c r="BF8510" s="350"/>
      <c r="BG8510" s="350"/>
      <c r="BH8510" s="350"/>
    </row>
    <row r="8511" spans="4:60">
      <c r="D8511" s="350"/>
      <c r="S8511" s="350"/>
      <c r="BF8511" s="350"/>
      <c r="BG8511" s="350"/>
      <c r="BH8511" s="350"/>
    </row>
    <row r="8512" spans="4:60">
      <c r="D8512" s="350"/>
      <c r="S8512" s="350"/>
      <c r="BF8512" s="350"/>
      <c r="BG8512" s="350"/>
      <c r="BH8512" s="350"/>
    </row>
    <row r="8513" spans="4:60">
      <c r="D8513" s="350"/>
      <c r="S8513" s="350"/>
      <c r="BF8513" s="350"/>
      <c r="BG8513" s="350"/>
      <c r="BH8513" s="350"/>
    </row>
    <row r="8514" spans="4:60">
      <c r="D8514" s="350"/>
      <c r="S8514" s="350"/>
      <c r="BF8514" s="350"/>
      <c r="BG8514" s="350"/>
      <c r="BH8514" s="350"/>
    </row>
    <row r="8515" spans="4:60">
      <c r="D8515" s="350"/>
      <c r="S8515" s="350"/>
      <c r="BF8515" s="350"/>
      <c r="BG8515" s="350"/>
      <c r="BH8515" s="350"/>
    </row>
    <row r="8516" spans="4:60">
      <c r="D8516" s="350"/>
      <c r="S8516" s="350"/>
      <c r="BF8516" s="350"/>
      <c r="BG8516" s="350"/>
      <c r="BH8516" s="350"/>
    </row>
    <row r="8517" spans="4:60">
      <c r="D8517" s="350"/>
      <c r="S8517" s="350"/>
      <c r="BF8517" s="350"/>
      <c r="BG8517" s="350"/>
      <c r="BH8517" s="350"/>
    </row>
    <row r="8518" spans="4:60">
      <c r="D8518" s="350"/>
      <c r="S8518" s="350"/>
      <c r="BF8518" s="350"/>
      <c r="BG8518" s="350"/>
      <c r="BH8518" s="350"/>
    </row>
    <row r="8519" spans="4:60">
      <c r="D8519" s="350"/>
      <c r="S8519" s="350"/>
      <c r="BF8519" s="350"/>
      <c r="BG8519" s="350"/>
      <c r="BH8519" s="350"/>
    </row>
    <row r="8520" spans="4:60">
      <c r="D8520" s="350"/>
      <c r="S8520" s="350"/>
      <c r="BF8520" s="350"/>
      <c r="BG8520" s="350"/>
      <c r="BH8520" s="350"/>
    </row>
    <row r="8521" spans="4:60">
      <c r="D8521" s="350"/>
      <c r="S8521" s="350"/>
      <c r="BF8521" s="350"/>
      <c r="BG8521" s="350"/>
      <c r="BH8521" s="350"/>
    </row>
    <row r="8522" spans="4:60">
      <c r="D8522" s="350"/>
      <c r="S8522" s="350"/>
      <c r="BF8522" s="350"/>
      <c r="BG8522" s="350"/>
      <c r="BH8522" s="350"/>
    </row>
    <row r="8523" spans="4:60">
      <c r="D8523" s="350"/>
      <c r="S8523" s="350"/>
      <c r="BF8523" s="350"/>
      <c r="BG8523" s="350"/>
      <c r="BH8523" s="350"/>
    </row>
    <row r="8524" spans="4:60">
      <c r="D8524" s="350"/>
      <c r="S8524" s="350"/>
      <c r="BF8524" s="350"/>
      <c r="BG8524" s="350"/>
      <c r="BH8524" s="350"/>
    </row>
    <row r="8525" spans="4:60">
      <c r="D8525" s="350"/>
      <c r="S8525" s="350"/>
      <c r="BF8525" s="350"/>
      <c r="BG8525" s="350"/>
      <c r="BH8525" s="350"/>
    </row>
    <row r="8526" spans="4:60">
      <c r="D8526" s="350"/>
      <c r="S8526" s="350"/>
      <c r="BF8526" s="350"/>
      <c r="BG8526" s="350"/>
      <c r="BH8526" s="350"/>
    </row>
    <row r="8527" spans="4:60">
      <c r="D8527" s="350"/>
      <c r="S8527" s="350"/>
      <c r="BF8527" s="350"/>
      <c r="BG8527" s="350"/>
      <c r="BH8527" s="350"/>
    </row>
    <row r="8528" spans="4:60">
      <c r="D8528" s="350"/>
      <c r="S8528" s="350"/>
      <c r="BF8528" s="350"/>
      <c r="BG8528" s="350"/>
      <c r="BH8528" s="350"/>
    </row>
    <row r="8529" spans="4:60">
      <c r="D8529" s="350"/>
      <c r="S8529" s="350"/>
      <c r="BF8529" s="350"/>
      <c r="BG8529" s="350"/>
      <c r="BH8529" s="350"/>
    </row>
    <row r="8530" spans="4:60">
      <c r="D8530" s="350"/>
      <c r="S8530" s="350"/>
      <c r="BF8530" s="350"/>
      <c r="BG8530" s="350"/>
      <c r="BH8530" s="350"/>
    </row>
    <row r="8531" spans="4:60">
      <c r="D8531" s="350"/>
      <c r="S8531" s="350"/>
      <c r="BF8531" s="350"/>
      <c r="BG8531" s="350"/>
      <c r="BH8531" s="350"/>
    </row>
    <row r="8532" spans="4:60">
      <c r="D8532" s="350"/>
      <c r="S8532" s="350"/>
      <c r="BF8532" s="350"/>
      <c r="BG8532" s="350"/>
      <c r="BH8532" s="350"/>
    </row>
    <row r="8533" spans="4:60">
      <c r="D8533" s="350"/>
      <c r="S8533" s="350"/>
      <c r="BF8533" s="350"/>
      <c r="BG8533" s="350"/>
      <c r="BH8533" s="350"/>
    </row>
    <row r="8534" spans="4:60">
      <c r="D8534" s="350"/>
      <c r="S8534" s="350"/>
      <c r="BF8534" s="350"/>
      <c r="BG8534" s="350"/>
      <c r="BH8534" s="350"/>
    </row>
    <row r="8535" spans="4:60">
      <c r="D8535" s="350"/>
      <c r="S8535" s="350"/>
      <c r="BF8535" s="350"/>
      <c r="BG8535" s="350"/>
      <c r="BH8535" s="350"/>
    </row>
    <row r="8536" spans="4:60">
      <c r="D8536" s="350"/>
      <c r="S8536" s="350"/>
      <c r="BF8536" s="350"/>
      <c r="BG8536" s="350"/>
      <c r="BH8536" s="350"/>
    </row>
    <row r="8537" spans="4:60">
      <c r="D8537" s="350"/>
      <c r="S8537" s="350"/>
      <c r="BF8537" s="350"/>
      <c r="BG8537" s="350"/>
      <c r="BH8537" s="350"/>
    </row>
    <row r="8538" spans="4:60">
      <c r="D8538" s="350"/>
      <c r="S8538" s="350"/>
      <c r="BF8538" s="350"/>
      <c r="BG8538" s="350"/>
      <c r="BH8538" s="350"/>
    </row>
    <row r="8539" spans="4:60">
      <c r="D8539" s="350"/>
      <c r="S8539" s="350"/>
      <c r="BF8539" s="350"/>
      <c r="BG8539" s="350"/>
      <c r="BH8539" s="350"/>
    </row>
    <row r="8540" spans="4:60">
      <c r="D8540" s="350"/>
      <c r="S8540" s="350"/>
      <c r="BF8540" s="350"/>
      <c r="BG8540" s="350"/>
      <c r="BH8540" s="350"/>
    </row>
    <row r="8541" spans="4:60">
      <c r="D8541" s="350"/>
      <c r="S8541" s="350"/>
      <c r="BF8541" s="350"/>
      <c r="BG8541" s="350"/>
      <c r="BH8541" s="350"/>
    </row>
    <row r="8542" spans="4:60">
      <c r="D8542" s="350"/>
      <c r="S8542" s="350"/>
      <c r="BF8542" s="350"/>
      <c r="BG8542" s="350"/>
      <c r="BH8542" s="350"/>
    </row>
    <row r="8543" spans="4:60">
      <c r="D8543" s="350"/>
      <c r="S8543" s="350"/>
      <c r="BF8543" s="350"/>
      <c r="BG8543" s="350"/>
      <c r="BH8543" s="350"/>
    </row>
    <row r="8544" spans="4:60">
      <c r="D8544" s="350"/>
      <c r="S8544" s="350"/>
      <c r="BF8544" s="350"/>
      <c r="BG8544" s="350"/>
      <c r="BH8544" s="350"/>
    </row>
    <row r="8545" spans="4:60">
      <c r="D8545" s="350"/>
      <c r="S8545" s="350"/>
      <c r="BF8545" s="350"/>
      <c r="BG8545" s="350"/>
      <c r="BH8545" s="350"/>
    </row>
    <row r="8546" spans="4:60">
      <c r="D8546" s="350"/>
      <c r="S8546" s="350"/>
      <c r="BF8546" s="350"/>
      <c r="BG8546" s="350"/>
      <c r="BH8546" s="350"/>
    </row>
    <row r="8547" spans="4:60">
      <c r="D8547" s="350"/>
      <c r="S8547" s="350"/>
      <c r="BF8547" s="350"/>
      <c r="BG8547" s="350"/>
      <c r="BH8547" s="350"/>
    </row>
    <row r="8548" spans="4:60">
      <c r="D8548" s="350"/>
      <c r="S8548" s="350"/>
      <c r="BF8548" s="350"/>
      <c r="BG8548" s="350"/>
      <c r="BH8548" s="350"/>
    </row>
    <row r="8549" spans="4:60">
      <c r="D8549" s="350"/>
      <c r="S8549" s="350"/>
      <c r="BF8549" s="350"/>
      <c r="BG8549" s="350"/>
      <c r="BH8549" s="350"/>
    </row>
    <row r="8550" spans="4:60">
      <c r="D8550" s="350"/>
      <c r="S8550" s="350"/>
      <c r="BF8550" s="350"/>
      <c r="BG8550" s="350"/>
      <c r="BH8550" s="350"/>
    </row>
    <row r="8551" spans="4:60">
      <c r="D8551" s="350"/>
      <c r="S8551" s="350"/>
      <c r="BF8551" s="350"/>
      <c r="BG8551" s="350"/>
      <c r="BH8551" s="350"/>
    </row>
    <row r="8552" spans="4:60">
      <c r="D8552" s="350"/>
      <c r="S8552" s="350"/>
      <c r="BF8552" s="350"/>
      <c r="BG8552" s="350"/>
      <c r="BH8552" s="350"/>
    </row>
    <row r="8553" spans="4:60">
      <c r="D8553" s="350"/>
      <c r="S8553" s="350"/>
      <c r="BF8553" s="350"/>
      <c r="BG8553" s="350"/>
      <c r="BH8553" s="350"/>
    </row>
    <row r="8554" spans="4:60">
      <c r="D8554" s="350"/>
      <c r="S8554" s="350"/>
      <c r="BF8554" s="350"/>
      <c r="BG8554" s="350"/>
      <c r="BH8554" s="350"/>
    </row>
    <row r="8555" spans="4:60">
      <c r="D8555" s="350"/>
      <c r="S8555" s="350"/>
      <c r="BF8555" s="350"/>
      <c r="BG8555" s="350"/>
      <c r="BH8555" s="350"/>
    </row>
    <row r="8556" spans="4:60">
      <c r="D8556" s="350"/>
      <c r="S8556" s="350"/>
      <c r="BF8556" s="350"/>
      <c r="BG8556" s="350"/>
      <c r="BH8556" s="350"/>
    </row>
    <row r="8557" spans="4:60">
      <c r="D8557" s="350"/>
      <c r="S8557" s="350"/>
      <c r="BF8557" s="350"/>
      <c r="BG8557" s="350"/>
      <c r="BH8557" s="350"/>
    </row>
    <row r="8558" spans="4:60">
      <c r="D8558" s="350"/>
      <c r="S8558" s="350"/>
      <c r="BF8558" s="350"/>
      <c r="BG8558" s="350"/>
      <c r="BH8558" s="350"/>
    </row>
    <row r="8559" spans="4:60">
      <c r="D8559" s="350"/>
      <c r="S8559" s="350"/>
      <c r="BF8559" s="350"/>
      <c r="BG8559" s="350"/>
      <c r="BH8559" s="350"/>
    </row>
    <row r="8560" spans="4:60">
      <c r="D8560" s="350"/>
      <c r="S8560" s="350"/>
      <c r="BF8560" s="350"/>
      <c r="BG8560" s="350"/>
      <c r="BH8560" s="350"/>
    </row>
    <row r="8561" spans="4:60">
      <c r="D8561" s="350"/>
      <c r="S8561" s="350"/>
      <c r="BF8561" s="350"/>
      <c r="BG8561" s="350"/>
      <c r="BH8561" s="350"/>
    </row>
    <row r="8562" spans="4:60">
      <c r="D8562" s="350"/>
      <c r="S8562" s="350"/>
      <c r="BF8562" s="350"/>
      <c r="BG8562" s="350"/>
      <c r="BH8562" s="350"/>
    </row>
    <row r="8563" spans="4:60">
      <c r="D8563" s="350"/>
      <c r="S8563" s="350"/>
      <c r="BF8563" s="350"/>
      <c r="BG8563" s="350"/>
      <c r="BH8563" s="350"/>
    </row>
    <row r="8564" spans="4:60">
      <c r="D8564" s="350"/>
      <c r="S8564" s="350"/>
      <c r="BF8564" s="350"/>
      <c r="BG8564" s="350"/>
      <c r="BH8564" s="350"/>
    </row>
    <row r="8565" spans="4:60">
      <c r="D8565" s="350"/>
      <c r="S8565" s="350"/>
      <c r="BF8565" s="350"/>
      <c r="BG8565" s="350"/>
      <c r="BH8565" s="350"/>
    </row>
    <row r="8566" spans="4:60">
      <c r="D8566" s="350"/>
      <c r="S8566" s="350"/>
      <c r="BF8566" s="350"/>
      <c r="BG8566" s="350"/>
      <c r="BH8566" s="350"/>
    </row>
    <row r="8567" spans="4:60">
      <c r="D8567" s="350"/>
      <c r="S8567" s="350"/>
      <c r="BF8567" s="350"/>
      <c r="BG8567" s="350"/>
      <c r="BH8567" s="350"/>
    </row>
    <row r="8568" spans="4:60">
      <c r="D8568" s="350"/>
      <c r="S8568" s="350"/>
      <c r="BF8568" s="350"/>
      <c r="BG8568" s="350"/>
      <c r="BH8568" s="350"/>
    </row>
    <row r="8569" spans="4:60">
      <c r="D8569" s="350"/>
      <c r="S8569" s="350"/>
      <c r="BF8569" s="350"/>
      <c r="BG8569" s="350"/>
      <c r="BH8569" s="350"/>
    </row>
    <row r="8570" spans="4:60">
      <c r="D8570" s="350"/>
      <c r="S8570" s="350"/>
      <c r="BF8570" s="350"/>
      <c r="BG8570" s="350"/>
      <c r="BH8570" s="350"/>
    </row>
    <row r="8576" spans="4:60">
      <c r="D8576" s="350"/>
      <c r="S8576" s="350"/>
      <c r="BF8576" s="350"/>
      <c r="BG8576" s="350"/>
      <c r="BH8576" s="350"/>
    </row>
    <row r="8577" spans="4:60">
      <c r="D8577" s="350"/>
      <c r="S8577" s="350"/>
      <c r="BF8577" s="350"/>
      <c r="BG8577" s="350"/>
      <c r="BH8577" s="350"/>
    </row>
    <row r="8578" spans="4:60">
      <c r="D8578" s="350"/>
      <c r="S8578" s="350"/>
      <c r="BF8578" s="350"/>
      <c r="BG8578" s="350"/>
      <c r="BH8578" s="350"/>
    </row>
    <row r="8579" spans="4:60">
      <c r="D8579" s="350"/>
      <c r="S8579" s="350"/>
      <c r="BF8579" s="350"/>
      <c r="BG8579" s="350"/>
      <c r="BH8579" s="350"/>
    </row>
    <row r="8580" spans="4:60">
      <c r="D8580" s="350"/>
      <c r="S8580" s="350"/>
      <c r="BF8580" s="350"/>
      <c r="BG8580" s="350"/>
      <c r="BH8580" s="350"/>
    </row>
    <row r="8581" spans="4:60">
      <c r="D8581" s="350"/>
      <c r="S8581" s="350"/>
      <c r="BF8581" s="350"/>
      <c r="BG8581" s="350"/>
      <c r="BH8581" s="350"/>
    </row>
    <row r="8582" spans="4:60">
      <c r="D8582" s="350"/>
      <c r="S8582" s="350"/>
      <c r="BF8582" s="350"/>
      <c r="BG8582" s="350"/>
      <c r="BH8582" s="350"/>
    </row>
    <row r="8583" spans="4:60">
      <c r="D8583" s="350"/>
      <c r="S8583" s="350"/>
      <c r="BF8583" s="350"/>
      <c r="BG8583" s="350"/>
      <c r="BH8583" s="350"/>
    </row>
    <row r="8584" spans="4:60">
      <c r="D8584" s="350"/>
      <c r="S8584" s="350"/>
      <c r="BF8584" s="350"/>
      <c r="BG8584" s="350"/>
      <c r="BH8584" s="350"/>
    </row>
    <row r="8585" spans="4:60">
      <c r="D8585" s="350"/>
      <c r="S8585" s="350"/>
      <c r="BF8585" s="350"/>
      <c r="BG8585" s="350"/>
      <c r="BH8585" s="350"/>
    </row>
    <row r="8586" spans="4:60">
      <c r="D8586" s="350"/>
      <c r="S8586" s="350"/>
      <c r="BF8586" s="350"/>
      <c r="BG8586" s="350"/>
      <c r="BH8586" s="350"/>
    </row>
    <row r="8587" spans="4:60">
      <c r="D8587" s="350"/>
      <c r="S8587" s="350"/>
      <c r="BF8587" s="350"/>
      <c r="BG8587" s="350"/>
      <c r="BH8587" s="350"/>
    </row>
    <row r="8588" spans="4:60">
      <c r="D8588" s="350"/>
      <c r="S8588" s="350"/>
      <c r="BF8588" s="350"/>
      <c r="BG8588" s="350"/>
      <c r="BH8588" s="350"/>
    </row>
    <row r="8589" spans="4:60">
      <c r="D8589" s="350"/>
      <c r="S8589" s="350"/>
      <c r="BF8589" s="350"/>
      <c r="BG8589" s="350"/>
      <c r="BH8589" s="350"/>
    </row>
    <row r="8590" spans="4:60">
      <c r="D8590" s="350"/>
      <c r="S8590" s="350"/>
      <c r="BF8590" s="350"/>
      <c r="BG8590" s="350"/>
      <c r="BH8590" s="350"/>
    </row>
    <row r="8591" spans="4:60">
      <c r="D8591" s="350"/>
      <c r="S8591" s="350"/>
      <c r="BF8591" s="350"/>
      <c r="BG8591" s="350"/>
      <c r="BH8591" s="350"/>
    </row>
    <row r="8592" spans="4:60">
      <c r="D8592" s="350"/>
      <c r="S8592" s="350"/>
      <c r="BF8592" s="350"/>
      <c r="BG8592" s="350"/>
      <c r="BH8592" s="350"/>
    </row>
    <row r="8593" spans="4:60">
      <c r="D8593" s="350"/>
      <c r="S8593" s="350"/>
      <c r="BF8593" s="350"/>
      <c r="BG8593" s="350"/>
      <c r="BH8593" s="350"/>
    </row>
    <row r="8594" spans="4:60">
      <c r="D8594" s="350"/>
      <c r="S8594" s="350"/>
      <c r="BF8594" s="350"/>
      <c r="BG8594" s="350"/>
      <c r="BH8594" s="350"/>
    </row>
    <row r="8595" spans="4:60">
      <c r="D8595" s="350"/>
      <c r="S8595" s="350"/>
      <c r="BF8595" s="350"/>
      <c r="BG8595" s="350"/>
      <c r="BH8595" s="350"/>
    </row>
    <row r="8596" spans="4:60">
      <c r="D8596" s="350"/>
      <c r="S8596" s="350"/>
      <c r="BF8596" s="350"/>
      <c r="BG8596" s="350"/>
      <c r="BH8596" s="350"/>
    </row>
    <row r="8597" spans="4:60">
      <c r="D8597" s="350"/>
      <c r="S8597" s="350"/>
      <c r="BF8597" s="350"/>
      <c r="BG8597" s="350"/>
      <c r="BH8597" s="350"/>
    </row>
    <row r="8598" spans="4:60">
      <c r="D8598" s="350"/>
      <c r="S8598" s="350"/>
      <c r="BF8598" s="350"/>
      <c r="BG8598" s="350"/>
      <c r="BH8598" s="350"/>
    </row>
    <row r="8599" spans="4:60">
      <c r="D8599" s="350"/>
      <c r="S8599" s="350"/>
      <c r="BF8599" s="350"/>
      <c r="BG8599" s="350"/>
      <c r="BH8599" s="350"/>
    </row>
    <row r="8600" spans="4:60">
      <c r="D8600" s="350"/>
      <c r="S8600" s="350"/>
      <c r="BF8600" s="350"/>
      <c r="BG8600" s="350"/>
      <c r="BH8600" s="350"/>
    </row>
    <row r="8601" spans="4:60">
      <c r="D8601" s="350"/>
      <c r="S8601" s="350"/>
      <c r="BF8601" s="350"/>
      <c r="BG8601" s="350"/>
      <c r="BH8601" s="350"/>
    </row>
    <row r="8602" spans="4:60">
      <c r="D8602" s="350"/>
      <c r="S8602" s="350"/>
      <c r="BF8602" s="350"/>
      <c r="BG8602" s="350"/>
      <c r="BH8602" s="350"/>
    </row>
    <row r="8603" spans="4:60">
      <c r="D8603" s="350"/>
      <c r="S8603" s="350"/>
      <c r="BF8603" s="350"/>
      <c r="BG8603" s="350"/>
      <c r="BH8603" s="350"/>
    </row>
    <row r="8604" spans="4:60">
      <c r="D8604" s="350"/>
      <c r="S8604" s="350"/>
      <c r="BF8604" s="350"/>
      <c r="BG8604" s="350"/>
      <c r="BH8604" s="350"/>
    </row>
    <row r="8605" spans="4:60">
      <c r="D8605" s="350"/>
      <c r="S8605" s="350"/>
      <c r="BF8605" s="350"/>
      <c r="BG8605" s="350"/>
      <c r="BH8605" s="350"/>
    </row>
    <row r="8606" spans="4:60">
      <c r="D8606" s="350"/>
      <c r="S8606" s="350"/>
      <c r="BF8606" s="350"/>
      <c r="BG8606" s="350"/>
      <c r="BH8606" s="350"/>
    </row>
    <row r="8607" spans="4:60">
      <c r="D8607" s="350"/>
      <c r="S8607" s="350"/>
      <c r="BF8607" s="350"/>
      <c r="BG8607" s="350"/>
      <c r="BH8607" s="350"/>
    </row>
    <row r="8608" spans="4:60">
      <c r="D8608" s="350"/>
      <c r="S8608" s="350"/>
      <c r="BF8608" s="350"/>
      <c r="BG8608" s="350"/>
      <c r="BH8608" s="350"/>
    </row>
    <row r="8609" spans="4:60">
      <c r="D8609" s="350"/>
      <c r="S8609" s="350"/>
      <c r="BF8609" s="350"/>
      <c r="BG8609" s="350"/>
      <c r="BH8609" s="350"/>
    </row>
    <row r="8610" spans="4:60">
      <c r="D8610" s="350"/>
      <c r="S8610" s="350"/>
      <c r="BF8610" s="350"/>
      <c r="BG8610" s="350"/>
      <c r="BH8610" s="350"/>
    </row>
    <row r="8611" spans="4:60">
      <c r="D8611" s="350"/>
      <c r="S8611" s="350"/>
      <c r="BF8611" s="350"/>
      <c r="BG8611" s="350"/>
      <c r="BH8611" s="350"/>
    </row>
    <row r="8612" spans="4:60">
      <c r="D8612" s="350"/>
      <c r="S8612" s="350"/>
      <c r="BF8612" s="350"/>
      <c r="BG8612" s="350"/>
      <c r="BH8612" s="350"/>
    </row>
    <row r="8613" spans="4:60">
      <c r="D8613" s="350"/>
      <c r="S8613" s="350"/>
      <c r="BF8613" s="350"/>
      <c r="BG8613" s="350"/>
      <c r="BH8613" s="350"/>
    </row>
    <row r="8614" spans="4:60">
      <c r="D8614" s="350"/>
      <c r="S8614" s="350"/>
      <c r="BF8614" s="350"/>
      <c r="BG8614" s="350"/>
      <c r="BH8614" s="350"/>
    </row>
    <row r="8615" spans="4:60">
      <c r="D8615" s="350"/>
      <c r="S8615" s="350"/>
      <c r="BF8615" s="350"/>
      <c r="BG8615" s="350"/>
      <c r="BH8615" s="350"/>
    </row>
    <row r="8616" spans="4:60">
      <c r="D8616" s="350"/>
      <c r="S8616" s="350"/>
      <c r="BF8616" s="350"/>
      <c r="BG8616" s="350"/>
      <c r="BH8616" s="350"/>
    </row>
    <row r="8617" spans="4:60">
      <c r="D8617" s="350"/>
      <c r="S8617" s="350"/>
      <c r="BF8617" s="350"/>
      <c r="BG8617" s="350"/>
      <c r="BH8617" s="350"/>
    </row>
    <row r="8618" spans="4:60">
      <c r="D8618" s="350"/>
      <c r="S8618" s="350"/>
      <c r="BF8618" s="350"/>
      <c r="BG8618" s="350"/>
      <c r="BH8618" s="350"/>
    </row>
    <row r="8619" spans="4:60">
      <c r="D8619" s="350"/>
      <c r="S8619" s="350"/>
      <c r="BF8619" s="350"/>
      <c r="BG8619" s="350"/>
      <c r="BH8619" s="350"/>
    </row>
    <row r="8620" spans="4:60">
      <c r="D8620" s="350"/>
      <c r="S8620" s="350"/>
      <c r="BF8620" s="350"/>
      <c r="BG8620" s="350"/>
      <c r="BH8620" s="350"/>
    </row>
    <row r="8621" spans="4:60">
      <c r="D8621" s="350"/>
      <c r="S8621" s="350"/>
      <c r="BF8621" s="350"/>
      <c r="BG8621" s="350"/>
      <c r="BH8621" s="350"/>
    </row>
    <row r="8626" spans="4:60">
      <c r="D8626" s="350"/>
      <c r="S8626" s="350"/>
      <c r="BF8626" s="350"/>
      <c r="BG8626" s="350"/>
      <c r="BH8626" s="350"/>
    </row>
    <row r="8627" spans="4:60">
      <c r="D8627" s="350"/>
      <c r="S8627" s="350"/>
      <c r="BF8627" s="350"/>
      <c r="BG8627" s="350"/>
      <c r="BH8627" s="350"/>
    </row>
    <row r="8630" spans="4:60">
      <c r="D8630" s="350"/>
      <c r="S8630" s="350"/>
      <c r="BF8630" s="350"/>
      <c r="BG8630" s="350"/>
      <c r="BH8630" s="350"/>
    </row>
    <row r="8631" spans="4:60">
      <c r="D8631" s="350"/>
      <c r="S8631" s="350"/>
      <c r="BF8631" s="350"/>
      <c r="BG8631" s="350"/>
      <c r="BH8631" s="350"/>
    </row>
    <row r="8632" spans="4:60">
      <c r="D8632" s="350"/>
      <c r="S8632" s="350"/>
      <c r="BF8632" s="350"/>
      <c r="BG8632" s="350"/>
      <c r="BH8632" s="350"/>
    </row>
    <row r="8633" spans="4:60">
      <c r="D8633" s="350"/>
      <c r="S8633" s="350"/>
      <c r="BF8633" s="350"/>
      <c r="BG8633" s="350"/>
      <c r="BH8633" s="350"/>
    </row>
    <row r="8634" spans="4:60">
      <c r="D8634" s="350"/>
      <c r="S8634" s="350"/>
      <c r="BF8634" s="350"/>
      <c r="BG8634" s="350"/>
      <c r="BH8634" s="350"/>
    </row>
    <row r="8635" spans="4:60">
      <c r="D8635" s="350"/>
      <c r="S8635" s="350"/>
      <c r="BF8635" s="350"/>
      <c r="BG8635" s="350"/>
      <c r="BH8635" s="350"/>
    </row>
    <row r="8636" spans="4:60">
      <c r="D8636" s="350"/>
      <c r="S8636" s="350"/>
      <c r="BF8636" s="350"/>
      <c r="BG8636" s="350"/>
      <c r="BH8636" s="350"/>
    </row>
    <row r="8637" spans="4:60">
      <c r="D8637" s="350"/>
      <c r="S8637" s="350"/>
      <c r="BF8637" s="350"/>
      <c r="BG8637" s="350"/>
      <c r="BH8637" s="350"/>
    </row>
    <row r="8640" spans="4:60">
      <c r="D8640" s="350"/>
      <c r="S8640" s="350"/>
      <c r="BF8640" s="350"/>
      <c r="BG8640" s="350"/>
      <c r="BH8640" s="350"/>
    </row>
    <row r="8641" spans="4:60">
      <c r="D8641" s="350"/>
      <c r="S8641" s="350"/>
      <c r="BF8641" s="350"/>
      <c r="BG8641" s="350"/>
      <c r="BH8641" s="350"/>
    </row>
    <row r="8646" spans="4:60">
      <c r="D8646" s="350"/>
      <c r="S8646" s="350"/>
      <c r="BF8646" s="350"/>
      <c r="BG8646" s="350"/>
      <c r="BH8646" s="350"/>
    </row>
    <row r="8647" spans="4:60">
      <c r="D8647" s="350"/>
      <c r="S8647" s="350"/>
      <c r="BF8647" s="350"/>
      <c r="BG8647" s="350"/>
      <c r="BH8647" s="350"/>
    </row>
    <row r="8648" spans="4:60">
      <c r="D8648" s="350"/>
      <c r="S8648" s="350"/>
      <c r="BF8648" s="350"/>
      <c r="BG8648" s="350"/>
      <c r="BH8648" s="350"/>
    </row>
    <row r="8649" spans="4:60">
      <c r="D8649" s="350"/>
      <c r="S8649" s="350"/>
      <c r="BF8649" s="350"/>
      <c r="BG8649" s="350"/>
      <c r="BH8649" s="350"/>
    </row>
    <row r="8650" spans="4:60">
      <c r="D8650" s="350"/>
      <c r="S8650" s="350"/>
      <c r="BF8650" s="350"/>
      <c r="BG8650" s="350"/>
      <c r="BH8650" s="350"/>
    </row>
    <row r="8651" spans="4:60">
      <c r="D8651" s="350"/>
      <c r="S8651" s="350"/>
      <c r="BF8651" s="350"/>
      <c r="BG8651" s="350"/>
      <c r="BH8651" s="350"/>
    </row>
    <row r="8652" spans="4:60">
      <c r="D8652" s="350"/>
      <c r="S8652" s="350"/>
      <c r="BF8652" s="350"/>
      <c r="BG8652" s="350"/>
      <c r="BH8652" s="350"/>
    </row>
    <row r="8653" spans="4:60">
      <c r="D8653" s="350"/>
      <c r="S8653" s="350"/>
      <c r="BF8653" s="350"/>
      <c r="BG8653" s="350"/>
      <c r="BH8653" s="350"/>
    </row>
    <row r="8654" spans="4:60">
      <c r="D8654" s="350"/>
      <c r="S8654" s="350"/>
      <c r="BF8654" s="350"/>
      <c r="BG8654" s="350"/>
      <c r="BH8654" s="350"/>
    </row>
    <row r="8655" spans="4:60">
      <c r="D8655" s="350"/>
      <c r="S8655" s="350"/>
      <c r="BF8655" s="350"/>
      <c r="BG8655" s="350"/>
      <c r="BH8655" s="350"/>
    </row>
    <row r="8656" spans="4:60">
      <c r="D8656" s="350"/>
      <c r="S8656" s="350"/>
      <c r="BF8656" s="350"/>
      <c r="BG8656" s="350"/>
      <c r="BH8656" s="350"/>
    </row>
    <row r="8657" spans="4:60">
      <c r="D8657" s="350"/>
      <c r="S8657" s="350"/>
      <c r="BF8657" s="350"/>
      <c r="BG8657" s="350"/>
      <c r="BH8657" s="350"/>
    </row>
    <row r="8658" spans="4:60">
      <c r="D8658" s="350"/>
      <c r="S8658" s="350"/>
      <c r="BF8658" s="350"/>
      <c r="BG8658" s="350"/>
      <c r="BH8658" s="350"/>
    </row>
    <row r="8659" spans="4:60">
      <c r="D8659" s="350"/>
      <c r="S8659" s="350"/>
      <c r="BF8659" s="350"/>
      <c r="BG8659" s="350"/>
      <c r="BH8659" s="350"/>
    </row>
    <row r="8660" spans="4:60">
      <c r="D8660" s="350"/>
      <c r="S8660" s="350"/>
      <c r="BF8660" s="350"/>
      <c r="BG8660" s="350"/>
      <c r="BH8660" s="350"/>
    </row>
    <row r="8661" spans="4:60">
      <c r="D8661" s="350"/>
      <c r="S8661" s="350"/>
      <c r="BF8661" s="350"/>
      <c r="BG8661" s="350"/>
      <c r="BH8661" s="350"/>
    </row>
    <row r="8662" spans="4:60">
      <c r="D8662" s="350"/>
      <c r="S8662" s="350"/>
      <c r="BF8662" s="350"/>
      <c r="BG8662" s="350"/>
      <c r="BH8662" s="350"/>
    </row>
    <row r="8663" spans="4:60">
      <c r="D8663" s="350"/>
      <c r="S8663" s="350"/>
      <c r="BF8663" s="350"/>
      <c r="BG8663" s="350"/>
      <c r="BH8663" s="350"/>
    </row>
    <row r="8664" spans="4:60">
      <c r="D8664" s="350"/>
      <c r="S8664" s="350"/>
      <c r="BF8664" s="350"/>
      <c r="BG8664" s="350"/>
      <c r="BH8664" s="350"/>
    </row>
    <row r="8665" spans="4:60">
      <c r="D8665" s="350"/>
      <c r="S8665" s="350"/>
      <c r="BF8665" s="350"/>
      <c r="BG8665" s="350"/>
      <c r="BH8665" s="350"/>
    </row>
    <row r="8666" spans="4:60">
      <c r="D8666" s="350"/>
      <c r="S8666" s="350"/>
      <c r="BF8666" s="350"/>
      <c r="BG8666" s="350"/>
      <c r="BH8666" s="350"/>
    </row>
    <row r="8667" spans="4:60">
      <c r="D8667" s="350"/>
      <c r="S8667" s="350"/>
      <c r="BF8667" s="350"/>
      <c r="BG8667" s="350"/>
      <c r="BH8667" s="350"/>
    </row>
    <row r="8668" spans="4:60">
      <c r="D8668" s="350"/>
      <c r="S8668" s="350"/>
      <c r="BF8668" s="350"/>
      <c r="BG8668" s="350"/>
      <c r="BH8668" s="350"/>
    </row>
    <row r="8669" spans="4:60">
      <c r="D8669" s="350"/>
      <c r="S8669" s="350"/>
      <c r="BF8669" s="350"/>
      <c r="BG8669" s="350"/>
      <c r="BH8669" s="350"/>
    </row>
    <row r="8670" spans="4:60">
      <c r="D8670" s="350"/>
      <c r="S8670" s="350"/>
      <c r="BF8670" s="350"/>
      <c r="BG8670" s="350"/>
      <c r="BH8670" s="350"/>
    </row>
    <row r="8671" spans="4:60">
      <c r="D8671" s="350"/>
      <c r="S8671" s="350"/>
      <c r="BF8671" s="350"/>
      <c r="BG8671" s="350"/>
      <c r="BH8671" s="350"/>
    </row>
    <row r="8672" spans="4:60">
      <c r="D8672" s="350"/>
      <c r="S8672" s="350"/>
      <c r="BF8672" s="350"/>
      <c r="BG8672" s="350"/>
      <c r="BH8672" s="350"/>
    </row>
    <row r="8673" spans="4:60">
      <c r="D8673" s="350"/>
      <c r="S8673" s="350"/>
      <c r="BF8673" s="350"/>
      <c r="BG8673" s="350"/>
      <c r="BH8673" s="350"/>
    </row>
    <row r="8674" spans="4:60">
      <c r="D8674" s="350"/>
      <c r="S8674" s="350"/>
      <c r="BF8674" s="350"/>
      <c r="BG8674" s="350"/>
      <c r="BH8674" s="350"/>
    </row>
    <row r="8675" spans="4:60">
      <c r="D8675" s="350"/>
      <c r="S8675" s="350"/>
      <c r="BF8675" s="350"/>
      <c r="BG8675" s="350"/>
      <c r="BH8675" s="350"/>
    </row>
    <row r="8676" spans="4:60">
      <c r="D8676" s="350"/>
      <c r="S8676" s="350"/>
      <c r="BF8676" s="350"/>
      <c r="BG8676" s="350"/>
      <c r="BH8676" s="350"/>
    </row>
    <row r="8677" spans="4:60">
      <c r="D8677" s="350"/>
      <c r="S8677" s="350"/>
      <c r="BF8677" s="350"/>
      <c r="BG8677" s="350"/>
      <c r="BH8677" s="350"/>
    </row>
    <row r="8678" spans="4:60">
      <c r="D8678" s="350"/>
      <c r="S8678" s="350"/>
      <c r="BF8678" s="350"/>
      <c r="BG8678" s="350"/>
      <c r="BH8678" s="350"/>
    </row>
    <row r="8679" spans="4:60">
      <c r="D8679" s="350"/>
      <c r="S8679" s="350"/>
      <c r="BF8679" s="350"/>
      <c r="BG8679" s="350"/>
      <c r="BH8679" s="350"/>
    </row>
    <row r="8680" spans="4:60">
      <c r="D8680" s="350"/>
      <c r="S8680" s="350"/>
      <c r="BF8680" s="350"/>
      <c r="BG8680" s="350"/>
      <c r="BH8680" s="350"/>
    </row>
    <row r="8681" spans="4:60">
      <c r="D8681" s="350"/>
      <c r="S8681" s="350"/>
      <c r="BF8681" s="350"/>
      <c r="BG8681" s="350"/>
      <c r="BH8681" s="350"/>
    </row>
    <row r="8682" spans="4:60">
      <c r="D8682" s="350"/>
      <c r="S8682" s="350"/>
      <c r="BF8682" s="350"/>
      <c r="BG8682" s="350"/>
      <c r="BH8682" s="350"/>
    </row>
    <row r="8683" spans="4:60">
      <c r="D8683" s="350"/>
      <c r="S8683" s="350"/>
      <c r="BF8683" s="350"/>
      <c r="BG8683" s="350"/>
      <c r="BH8683" s="350"/>
    </row>
    <row r="8684" spans="4:60">
      <c r="D8684" s="350"/>
      <c r="S8684" s="350"/>
      <c r="BF8684" s="350"/>
      <c r="BG8684" s="350"/>
      <c r="BH8684" s="350"/>
    </row>
    <row r="8685" spans="4:60">
      <c r="D8685" s="350"/>
      <c r="S8685" s="350"/>
      <c r="BF8685" s="350"/>
      <c r="BG8685" s="350"/>
      <c r="BH8685" s="350"/>
    </row>
    <row r="8686" spans="4:60">
      <c r="D8686" s="350"/>
      <c r="S8686" s="350"/>
      <c r="BF8686" s="350"/>
      <c r="BG8686" s="350"/>
      <c r="BH8686" s="350"/>
    </row>
    <row r="8687" spans="4:60">
      <c r="D8687" s="350"/>
      <c r="S8687" s="350"/>
      <c r="BF8687" s="350"/>
      <c r="BG8687" s="350"/>
      <c r="BH8687" s="350"/>
    </row>
    <row r="8688" spans="4:60">
      <c r="D8688" s="350"/>
      <c r="S8688" s="350"/>
      <c r="BF8688" s="350"/>
      <c r="BG8688" s="350"/>
      <c r="BH8688" s="350"/>
    </row>
    <row r="8689" spans="4:60">
      <c r="D8689" s="350"/>
      <c r="S8689" s="350"/>
      <c r="BF8689" s="350"/>
      <c r="BG8689" s="350"/>
      <c r="BH8689" s="350"/>
    </row>
    <row r="8690" spans="4:60">
      <c r="D8690" s="350"/>
      <c r="S8690" s="350"/>
      <c r="BF8690" s="350"/>
      <c r="BG8690" s="350"/>
      <c r="BH8690" s="350"/>
    </row>
    <row r="8691" spans="4:60">
      <c r="D8691" s="350"/>
      <c r="S8691" s="350"/>
      <c r="BF8691" s="350"/>
      <c r="BG8691" s="350"/>
      <c r="BH8691" s="350"/>
    </row>
    <row r="8692" spans="4:60">
      <c r="D8692" s="350"/>
      <c r="S8692" s="350"/>
      <c r="BF8692" s="350"/>
      <c r="BG8692" s="350"/>
      <c r="BH8692" s="350"/>
    </row>
    <row r="8693" spans="4:60">
      <c r="D8693" s="350"/>
      <c r="S8693" s="350"/>
      <c r="BF8693" s="350"/>
      <c r="BG8693" s="350"/>
      <c r="BH8693" s="350"/>
    </row>
    <row r="8694" spans="4:60">
      <c r="D8694" s="350"/>
      <c r="S8694" s="350"/>
      <c r="BF8694" s="350"/>
      <c r="BG8694" s="350"/>
      <c r="BH8694" s="350"/>
    </row>
    <row r="8695" spans="4:60">
      <c r="D8695" s="350"/>
      <c r="S8695" s="350"/>
      <c r="BF8695" s="350"/>
      <c r="BG8695" s="350"/>
      <c r="BH8695" s="350"/>
    </row>
    <row r="8696" spans="4:60">
      <c r="D8696" s="350"/>
      <c r="S8696" s="350"/>
      <c r="BF8696" s="350"/>
      <c r="BG8696" s="350"/>
      <c r="BH8696" s="350"/>
    </row>
    <row r="8697" spans="4:60">
      <c r="D8697" s="350"/>
      <c r="S8697" s="350"/>
      <c r="BF8697" s="350"/>
      <c r="BG8697" s="350"/>
      <c r="BH8697" s="350"/>
    </row>
    <row r="8698" spans="4:60">
      <c r="D8698" s="350"/>
      <c r="S8698" s="350"/>
      <c r="BF8698" s="350"/>
      <c r="BG8698" s="350"/>
      <c r="BH8698" s="350"/>
    </row>
    <row r="8699" spans="4:60">
      <c r="D8699" s="350"/>
      <c r="S8699" s="350"/>
      <c r="BF8699" s="350"/>
      <c r="BG8699" s="350"/>
      <c r="BH8699" s="350"/>
    </row>
    <row r="8700" spans="4:60">
      <c r="D8700" s="350"/>
      <c r="S8700" s="350"/>
      <c r="BF8700" s="350"/>
      <c r="BG8700" s="350"/>
      <c r="BH8700" s="350"/>
    </row>
    <row r="8701" spans="4:60">
      <c r="D8701" s="350"/>
      <c r="S8701" s="350"/>
      <c r="BF8701" s="350"/>
      <c r="BG8701" s="350"/>
      <c r="BH8701" s="350"/>
    </row>
    <row r="8702" spans="4:60">
      <c r="D8702" s="350"/>
      <c r="S8702" s="350"/>
      <c r="BF8702" s="350"/>
      <c r="BG8702" s="350"/>
      <c r="BH8702" s="350"/>
    </row>
    <row r="8703" spans="4:60">
      <c r="D8703" s="350"/>
      <c r="S8703" s="350"/>
      <c r="BF8703" s="350"/>
      <c r="BG8703" s="350"/>
      <c r="BH8703" s="350"/>
    </row>
    <row r="8704" spans="4:60">
      <c r="D8704" s="350"/>
      <c r="S8704" s="350"/>
      <c r="BF8704" s="350"/>
      <c r="BG8704" s="350"/>
      <c r="BH8704" s="350"/>
    </row>
    <row r="8705" spans="4:60">
      <c r="D8705" s="350"/>
      <c r="S8705" s="350"/>
      <c r="BF8705" s="350"/>
      <c r="BG8705" s="350"/>
      <c r="BH8705" s="350"/>
    </row>
    <row r="8706" spans="4:60">
      <c r="D8706" s="350"/>
      <c r="S8706" s="350"/>
      <c r="BF8706" s="350"/>
      <c r="BG8706" s="350"/>
      <c r="BH8706" s="350"/>
    </row>
    <row r="8707" spans="4:60">
      <c r="D8707" s="350"/>
      <c r="S8707" s="350"/>
      <c r="BF8707" s="350"/>
      <c r="BG8707" s="350"/>
      <c r="BH8707" s="350"/>
    </row>
    <row r="8708" spans="4:60">
      <c r="D8708" s="350"/>
      <c r="S8708" s="350"/>
      <c r="BF8708" s="350"/>
      <c r="BG8708" s="350"/>
      <c r="BH8708" s="350"/>
    </row>
    <row r="8709" spans="4:60">
      <c r="D8709" s="350"/>
      <c r="S8709" s="350"/>
      <c r="BF8709" s="350"/>
      <c r="BG8709" s="350"/>
      <c r="BH8709" s="350"/>
    </row>
    <row r="8710" spans="4:60">
      <c r="D8710" s="350"/>
      <c r="S8710" s="350"/>
      <c r="BF8710" s="350"/>
      <c r="BG8710" s="350"/>
      <c r="BH8710" s="350"/>
    </row>
    <row r="8711" spans="4:60">
      <c r="D8711" s="350"/>
      <c r="S8711" s="350"/>
      <c r="BF8711" s="350"/>
      <c r="BG8711" s="350"/>
      <c r="BH8711" s="350"/>
    </row>
    <row r="8712" spans="4:60">
      <c r="D8712" s="350"/>
      <c r="S8712" s="350"/>
      <c r="BF8712" s="350"/>
      <c r="BG8712" s="350"/>
      <c r="BH8712" s="350"/>
    </row>
    <row r="8713" spans="4:60">
      <c r="D8713" s="350"/>
      <c r="S8713" s="350"/>
      <c r="BF8713" s="350"/>
      <c r="BG8713" s="350"/>
      <c r="BH8713" s="350"/>
    </row>
    <row r="8714" spans="4:60">
      <c r="D8714" s="350"/>
      <c r="S8714" s="350"/>
      <c r="BF8714" s="350"/>
      <c r="BG8714" s="350"/>
      <c r="BH8714" s="350"/>
    </row>
    <row r="8715" spans="4:60">
      <c r="D8715" s="350"/>
      <c r="S8715" s="350"/>
      <c r="BF8715" s="350"/>
      <c r="BG8715" s="350"/>
      <c r="BH8715" s="350"/>
    </row>
    <row r="8716" spans="4:60">
      <c r="D8716" s="350"/>
      <c r="S8716" s="350"/>
      <c r="BF8716" s="350"/>
      <c r="BG8716" s="350"/>
      <c r="BH8716" s="350"/>
    </row>
    <row r="8717" spans="4:60">
      <c r="D8717" s="350"/>
      <c r="S8717" s="350"/>
      <c r="BF8717" s="350"/>
      <c r="BG8717" s="350"/>
      <c r="BH8717" s="350"/>
    </row>
    <row r="8718" spans="4:60">
      <c r="D8718" s="350"/>
      <c r="S8718" s="350"/>
      <c r="BF8718" s="350"/>
      <c r="BG8718" s="350"/>
      <c r="BH8718" s="350"/>
    </row>
    <row r="8719" spans="4:60">
      <c r="D8719" s="350"/>
      <c r="S8719" s="350"/>
      <c r="BF8719" s="350"/>
      <c r="BG8719" s="350"/>
      <c r="BH8719" s="350"/>
    </row>
    <row r="8720" spans="4:60">
      <c r="D8720" s="350"/>
      <c r="S8720" s="350"/>
      <c r="BF8720" s="350"/>
      <c r="BG8720" s="350"/>
      <c r="BH8720" s="350"/>
    </row>
    <row r="8721" spans="4:60">
      <c r="D8721" s="350"/>
      <c r="S8721" s="350"/>
      <c r="BF8721" s="350"/>
      <c r="BG8721" s="350"/>
      <c r="BH8721" s="350"/>
    </row>
    <row r="8722" spans="4:60">
      <c r="D8722" s="350"/>
      <c r="S8722" s="350"/>
      <c r="BF8722" s="350"/>
      <c r="BG8722" s="350"/>
      <c r="BH8722" s="350"/>
    </row>
    <row r="8723" spans="4:60">
      <c r="D8723" s="350"/>
      <c r="S8723" s="350"/>
      <c r="BF8723" s="350"/>
      <c r="BG8723" s="350"/>
      <c r="BH8723" s="350"/>
    </row>
    <row r="8724" spans="4:60">
      <c r="D8724" s="350"/>
      <c r="S8724" s="350"/>
      <c r="BF8724" s="350"/>
      <c r="BG8724" s="350"/>
      <c r="BH8724" s="350"/>
    </row>
    <row r="8725" spans="4:60">
      <c r="D8725" s="350"/>
      <c r="S8725" s="350"/>
      <c r="BF8725" s="350"/>
      <c r="BG8725" s="350"/>
      <c r="BH8725" s="350"/>
    </row>
    <row r="8726" spans="4:60">
      <c r="D8726" s="350"/>
      <c r="S8726" s="350"/>
      <c r="BF8726" s="350"/>
      <c r="BG8726" s="350"/>
      <c r="BH8726" s="350"/>
    </row>
    <row r="8727" spans="4:60">
      <c r="D8727" s="350"/>
      <c r="S8727" s="350"/>
      <c r="BF8727" s="350"/>
      <c r="BG8727" s="350"/>
      <c r="BH8727" s="350"/>
    </row>
    <row r="8728" spans="4:60">
      <c r="D8728" s="350"/>
      <c r="S8728" s="350"/>
      <c r="BF8728" s="350"/>
      <c r="BG8728" s="350"/>
      <c r="BH8728" s="350"/>
    </row>
    <row r="8729" spans="4:60">
      <c r="D8729" s="350"/>
      <c r="S8729" s="350"/>
      <c r="BF8729" s="350"/>
      <c r="BG8729" s="350"/>
      <c r="BH8729" s="350"/>
    </row>
    <row r="8730" spans="4:60">
      <c r="D8730" s="350"/>
      <c r="S8730" s="350"/>
      <c r="BF8730" s="350"/>
      <c r="BG8730" s="350"/>
      <c r="BH8730" s="350"/>
    </row>
    <row r="8731" spans="4:60">
      <c r="D8731" s="350"/>
      <c r="S8731" s="350"/>
      <c r="BF8731" s="350"/>
      <c r="BG8731" s="350"/>
      <c r="BH8731" s="350"/>
    </row>
    <row r="8732" spans="4:60">
      <c r="D8732" s="350"/>
      <c r="S8732" s="350"/>
      <c r="BF8732" s="350"/>
      <c r="BG8732" s="350"/>
      <c r="BH8732" s="350"/>
    </row>
    <row r="8733" spans="4:60">
      <c r="D8733" s="350"/>
      <c r="S8733" s="350"/>
      <c r="BF8733" s="350"/>
      <c r="BG8733" s="350"/>
      <c r="BH8733" s="350"/>
    </row>
    <row r="8734" spans="4:60">
      <c r="D8734" s="350"/>
      <c r="S8734" s="350"/>
      <c r="BF8734" s="350"/>
      <c r="BG8734" s="350"/>
      <c r="BH8734" s="350"/>
    </row>
    <row r="8735" spans="4:60">
      <c r="D8735" s="350"/>
      <c r="S8735" s="350"/>
      <c r="BF8735" s="350"/>
      <c r="BG8735" s="350"/>
      <c r="BH8735" s="350"/>
    </row>
    <row r="8736" spans="4:60">
      <c r="D8736" s="350"/>
      <c r="S8736" s="350"/>
      <c r="BF8736" s="350"/>
      <c r="BG8736" s="350"/>
      <c r="BH8736" s="350"/>
    </row>
    <row r="8737" spans="4:60">
      <c r="D8737" s="350"/>
      <c r="S8737" s="350"/>
      <c r="BF8737" s="350"/>
      <c r="BG8737" s="350"/>
      <c r="BH8737" s="350"/>
    </row>
    <row r="8738" spans="4:60">
      <c r="D8738" s="350"/>
      <c r="S8738" s="350"/>
      <c r="BF8738" s="350"/>
      <c r="BG8738" s="350"/>
      <c r="BH8738" s="350"/>
    </row>
    <row r="8739" spans="4:60">
      <c r="D8739" s="350"/>
      <c r="S8739" s="350"/>
      <c r="BF8739" s="350"/>
      <c r="BG8739" s="350"/>
      <c r="BH8739" s="350"/>
    </row>
    <row r="8740" spans="4:60">
      <c r="D8740" s="350"/>
      <c r="S8740" s="350"/>
      <c r="BF8740" s="350"/>
      <c r="BG8740" s="350"/>
      <c r="BH8740" s="350"/>
    </row>
    <row r="8741" spans="4:60">
      <c r="D8741" s="350"/>
      <c r="S8741" s="350"/>
      <c r="BF8741" s="350"/>
      <c r="BG8741" s="350"/>
      <c r="BH8741" s="350"/>
    </row>
    <row r="8742" spans="4:60">
      <c r="D8742" s="350"/>
      <c r="S8742" s="350"/>
      <c r="BF8742" s="350"/>
      <c r="BG8742" s="350"/>
      <c r="BH8742" s="350"/>
    </row>
    <row r="8743" spans="4:60">
      <c r="D8743" s="350"/>
      <c r="S8743" s="350"/>
      <c r="BF8743" s="350"/>
      <c r="BG8743" s="350"/>
      <c r="BH8743" s="350"/>
    </row>
    <row r="8744" spans="4:60">
      <c r="D8744" s="350"/>
      <c r="S8744" s="350"/>
      <c r="BF8744" s="350"/>
      <c r="BG8744" s="350"/>
      <c r="BH8744" s="350"/>
    </row>
    <row r="8745" spans="4:60">
      <c r="D8745" s="350"/>
      <c r="S8745" s="350"/>
      <c r="BF8745" s="350"/>
      <c r="BG8745" s="350"/>
      <c r="BH8745" s="350"/>
    </row>
    <row r="8746" spans="4:60">
      <c r="D8746" s="350"/>
      <c r="S8746" s="350"/>
      <c r="BF8746" s="350"/>
      <c r="BG8746" s="350"/>
      <c r="BH8746" s="350"/>
    </row>
    <row r="8747" spans="4:60">
      <c r="D8747" s="350"/>
      <c r="S8747" s="350"/>
      <c r="BF8747" s="350"/>
      <c r="BG8747" s="350"/>
      <c r="BH8747" s="350"/>
    </row>
    <row r="8748" spans="4:60">
      <c r="D8748" s="350"/>
      <c r="S8748" s="350"/>
      <c r="BF8748" s="350"/>
      <c r="BG8748" s="350"/>
      <c r="BH8748" s="350"/>
    </row>
    <row r="8749" spans="4:60">
      <c r="D8749" s="350"/>
      <c r="S8749" s="350"/>
      <c r="BF8749" s="350"/>
      <c r="BG8749" s="350"/>
      <c r="BH8749" s="350"/>
    </row>
    <row r="8750" spans="4:60">
      <c r="D8750" s="350"/>
      <c r="S8750" s="350"/>
      <c r="BF8750" s="350"/>
      <c r="BG8750" s="350"/>
      <c r="BH8750" s="350"/>
    </row>
    <row r="8751" spans="4:60">
      <c r="D8751" s="350"/>
      <c r="S8751" s="350"/>
      <c r="BF8751" s="350"/>
      <c r="BG8751" s="350"/>
      <c r="BH8751" s="350"/>
    </row>
    <row r="8752" spans="4:60">
      <c r="D8752" s="350"/>
      <c r="S8752" s="350"/>
      <c r="BF8752" s="350"/>
      <c r="BG8752" s="350"/>
      <c r="BH8752" s="350"/>
    </row>
    <row r="8753" spans="4:60">
      <c r="D8753" s="350"/>
      <c r="S8753" s="350"/>
      <c r="BF8753" s="350"/>
      <c r="BG8753" s="350"/>
      <c r="BH8753" s="350"/>
    </row>
    <row r="8754" spans="4:60">
      <c r="D8754" s="350"/>
      <c r="S8754" s="350"/>
      <c r="BF8754" s="350"/>
      <c r="BG8754" s="350"/>
      <c r="BH8754" s="350"/>
    </row>
    <row r="8755" spans="4:60">
      <c r="D8755" s="350"/>
      <c r="S8755" s="350"/>
      <c r="BF8755" s="350"/>
      <c r="BG8755" s="350"/>
      <c r="BH8755" s="350"/>
    </row>
    <row r="8756" spans="4:60">
      <c r="D8756" s="350"/>
      <c r="S8756" s="350"/>
      <c r="BF8756" s="350"/>
      <c r="BG8756" s="350"/>
      <c r="BH8756" s="350"/>
    </row>
    <row r="8757" spans="4:60">
      <c r="D8757" s="350"/>
      <c r="S8757" s="350"/>
      <c r="BF8757" s="350"/>
      <c r="BG8757" s="350"/>
      <c r="BH8757" s="350"/>
    </row>
    <row r="8758" spans="4:60">
      <c r="D8758" s="350"/>
      <c r="S8758" s="350"/>
      <c r="BF8758" s="350"/>
      <c r="BG8758" s="350"/>
      <c r="BH8758" s="350"/>
    </row>
    <row r="8759" spans="4:60">
      <c r="D8759" s="350"/>
      <c r="S8759" s="350"/>
      <c r="BF8759" s="350"/>
      <c r="BG8759" s="350"/>
      <c r="BH8759" s="350"/>
    </row>
    <row r="8760" spans="4:60">
      <c r="D8760" s="350"/>
      <c r="S8760" s="350"/>
      <c r="BF8760" s="350"/>
      <c r="BG8760" s="350"/>
      <c r="BH8760" s="350"/>
    </row>
    <row r="8761" spans="4:60">
      <c r="D8761" s="350"/>
      <c r="S8761" s="350"/>
      <c r="BF8761" s="350"/>
      <c r="BG8761" s="350"/>
      <c r="BH8761" s="350"/>
    </row>
    <row r="8762" spans="4:60">
      <c r="D8762" s="350"/>
      <c r="S8762" s="350"/>
      <c r="BF8762" s="350"/>
      <c r="BG8762" s="350"/>
      <c r="BH8762" s="350"/>
    </row>
    <row r="8763" spans="4:60">
      <c r="D8763" s="350"/>
      <c r="S8763" s="350"/>
      <c r="BF8763" s="350"/>
      <c r="BG8763" s="350"/>
      <c r="BH8763" s="350"/>
    </row>
    <row r="8764" spans="4:60">
      <c r="D8764" s="350"/>
      <c r="S8764" s="350"/>
      <c r="BF8764" s="350"/>
      <c r="BG8764" s="350"/>
      <c r="BH8764" s="350"/>
    </row>
    <row r="8765" spans="4:60">
      <c r="D8765" s="350"/>
      <c r="S8765" s="350"/>
      <c r="BF8765" s="350"/>
      <c r="BG8765" s="350"/>
      <c r="BH8765" s="350"/>
    </row>
    <row r="8766" spans="4:60">
      <c r="D8766" s="350"/>
      <c r="S8766" s="350"/>
      <c r="BF8766" s="350"/>
      <c r="BG8766" s="350"/>
      <c r="BH8766" s="350"/>
    </row>
    <row r="8767" spans="4:60">
      <c r="D8767" s="350"/>
      <c r="S8767" s="350"/>
      <c r="BF8767" s="350"/>
      <c r="BG8767" s="350"/>
      <c r="BH8767" s="350"/>
    </row>
    <row r="8768" spans="4:60">
      <c r="D8768" s="350"/>
      <c r="S8768" s="350"/>
      <c r="BF8768" s="350"/>
      <c r="BG8768" s="350"/>
      <c r="BH8768" s="350"/>
    </row>
    <row r="8769" spans="4:60">
      <c r="D8769" s="350"/>
      <c r="S8769" s="350"/>
      <c r="BF8769" s="350"/>
      <c r="BG8769" s="350"/>
      <c r="BH8769" s="350"/>
    </row>
    <row r="8770" spans="4:60">
      <c r="D8770" s="350"/>
      <c r="S8770" s="350"/>
      <c r="BF8770" s="350"/>
      <c r="BG8770" s="350"/>
      <c r="BH8770" s="350"/>
    </row>
    <row r="8771" spans="4:60">
      <c r="D8771" s="350"/>
      <c r="S8771" s="350"/>
      <c r="BF8771" s="350"/>
      <c r="BG8771" s="350"/>
      <c r="BH8771" s="350"/>
    </row>
    <row r="8772" spans="4:60">
      <c r="D8772" s="350"/>
      <c r="S8772" s="350"/>
      <c r="BF8772" s="350"/>
      <c r="BG8772" s="350"/>
      <c r="BH8772" s="350"/>
    </row>
    <row r="8773" spans="4:60">
      <c r="D8773" s="350"/>
      <c r="S8773" s="350"/>
      <c r="BF8773" s="350"/>
      <c r="BG8773" s="350"/>
      <c r="BH8773" s="350"/>
    </row>
    <row r="8774" spans="4:60">
      <c r="D8774" s="350"/>
      <c r="S8774" s="350"/>
      <c r="BF8774" s="350"/>
      <c r="BG8774" s="350"/>
      <c r="BH8774" s="350"/>
    </row>
    <row r="8775" spans="4:60">
      <c r="D8775" s="350"/>
      <c r="S8775" s="350"/>
      <c r="BF8775" s="350"/>
      <c r="BG8775" s="350"/>
      <c r="BH8775" s="350"/>
    </row>
    <row r="8776" spans="4:60">
      <c r="D8776" s="350"/>
      <c r="S8776" s="350"/>
      <c r="BF8776" s="350"/>
      <c r="BG8776" s="350"/>
      <c r="BH8776" s="350"/>
    </row>
    <row r="8777" spans="4:60">
      <c r="D8777" s="350"/>
      <c r="S8777" s="350"/>
      <c r="BF8777" s="350"/>
      <c r="BG8777" s="350"/>
      <c r="BH8777" s="350"/>
    </row>
    <row r="8778" spans="4:60">
      <c r="D8778" s="350"/>
      <c r="S8778" s="350"/>
      <c r="BF8778" s="350"/>
      <c r="BG8778" s="350"/>
      <c r="BH8778" s="350"/>
    </row>
    <row r="8779" spans="4:60">
      <c r="D8779" s="350"/>
      <c r="S8779" s="350"/>
      <c r="BF8779" s="350"/>
      <c r="BG8779" s="350"/>
      <c r="BH8779" s="350"/>
    </row>
    <row r="8780" spans="4:60">
      <c r="D8780" s="350"/>
      <c r="S8780" s="350"/>
      <c r="BF8780" s="350"/>
      <c r="BG8780" s="350"/>
      <c r="BH8780" s="350"/>
    </row>
    <row r="8781" spans="4:60">
      <c r="D8781" s="350"/>
      <c r="S8781" s="350"/>
      <c r="BF8781" s="350"/>
      <c r="BG8781" s="350"/>
      <c r="BH8781" s="350"/>
    </row>
    <row r="8782" spans="4:60">
      <c r="D8782" s="350"/>
      <c r="S8782" s="350"/>
      <c r="BF8782" s="350"/>
      <c r="BG8782" s="350"/>
      <c r="BH8782" s="350"/>
    </row>
    <row r="8783" spans="4:60">
      <c r="D8783" s="350"/>
      <c r="S8783" s="350"/>
      <c r="BF8783" s="350"/>
      <c r="BG8783" s="350"/>
      <c r="BH8783" s="350"/>
    </row>
    <row r="8784" spans="4:60">
      <c r="D8784" s="350"/>
      <c r="S8784" s="350"/>
      <c r="BF8784" s="350"/>
      <c r="BG8784" s="350"/>
      <c r="BH8784" s="350"/>
    </row>
    <row r="8785" spans="4:60">
      <c r="D8785" s="350"/>
      <c r="S8785" s="350"/>
      <c r="BF8785" s="350"/>
      <c r="BG8785" s="350"/>
      <c r="BH8785" s="350"/>
    </row>
    <row r="8786" spans="4:60">
      <c r="D8786" s="350"/>
      <c r="S8786" s="350"/>
      <c r="BF8786" s="350"/>
      <c r="BG8786" s="350"/>
      <c r="BH8786" s="350"/>
    </row>
    <row r="8787" spans="4:60">
      <c r="D8787" s="350"/>
      <c r="S8787" s="350"/>
      <c r="BF8787" s="350"/>
      <c r="BG8787" s="350"/>
      <c r="BH8787" s="350"/>
    </row>
    <row r="8788" spans="4:60">
      <c r="D8788" s="350"/>
      <c r="S8788" s="350"/>
      <c r="BF8788" s="350"/>
      <c r="BG8788" s="350"/>
      <c r="BH8788" s="350"/>
    </row>
    <row r="8789" spans="4:60">
      <c r="D8789" s="350"/>
      <c r="S8789" s="350"/>
      <c r="BF8789" s="350"/>
      <c r="BG8789" s="350"/>
      <c r="BH8789" s="350"/>
    </row>
    <row r="8790" spans="4:60">
      <c r="D8790" s="350"/>
      <c r="S8790" s="350"/>
      <c r="BF8790" s="350"/>
      <c r="BG8790" s="350"/>
      <c r="BH8790" s="350"/>
    </row>
    <row r="8791" spans="4:60">
      <c r="D8791" s="350"/>
      <c r="S8791" s="350"/>
      <c r="BF8791" s="350"/>
      <c r="BG8791" s="350"/>
      <c r="BH8791" s="350"/>
    </row>
    <row r="8792" spans="4:60">
      <c r="D8792" s="350"/>
      <c r="S8792" s="350"/>
      <c r="BF8792" s="350"/>
      <c r="BG8792" s="350"/>
      <c r="BH8792" s="350"/>
    </row>
    <row r="8793" spans="4:60">
      <c r="D8793" s="350"/>
      <c r="S8793" s="350"/>
      <c r="BF8793" s="350"/>
      <c r="BG8793" s="350"/>
      <c r="BH8793" s="350"/>
    </row>
    <row r="8794" spans="4:60">
      <c r="D8794" s="350"/>
      <c r="S8794" s="350"/>
      <c r="BF8794" s="350"/>
      <c r="BG8794" s="350"/>
      <c r="BH8794" s="350"/>
    </row>
    <row r="8795" spans="4:60">
      <c r="D8795" s="350"/>
      <c r="S8795" s="350"/>
      <c r="BF8795" s="350"/>
      <c r="BG8795" s="350"/>
      <c r="BH8795" s="350"/>
    </row>
    <row r="8796" spans="4:60">
      <c r="D8796" s="350"/>
      <c r="S8796" s="350"/>
      <c r="BF8796" s="350"/>
      <c r="BG8796" s="350"/>
      <c r="BH8796" s="350"/>
    </row>
  </sheetData>
  <mergeCells count="43">
    <mergeCell ref="BC7:BC8"/>
    <mergeCell ref="V8:W8"/>
    <mergeCell ref="Y8:Z8"/>
    <mergeCell ref="AY7:AY8"/>
    <mergeCell ref="AX7:AX8"/>
    <mergeCell ref="AA6:AA8"/>
    <mergeCell ref="AL6:AL8"/>
    <mergeCell ref="AM6:AM7"/>
    <mergeCell ref="X7:Z7"/>
    <mergeCell ref="AH7:AH8"/>
    <mergeCell ref="AJ7:AJ8"/>
    <mergeCell ref="AB6:AB8"/>
    <mergeCell ref="AO6:AP6"/>
    <mergeCell ref="AR6:AV7"/>
    <mergeCell ref="BG6:BH8"/>
    <mergeCell ref="H7:I7"/>
    <mergeCell ref="J7:K7"/>
    <mergeCell ref="L7:M7"/>
    <mergeCell ref="N7:O7"/>
    <mergeCell ref="P7:Q7"/>
    <mergeCell ref="S7:T7"/>
    <mergeCell ref="U7:W7"/>
    <mergeCell ref="H6:Q6"/>
    <mergeCell ref="S6:Z6"/>
    <mergeCell ref="H8:I8"/>
    <mergeCell ref="J8:K8"/>
    <mergeCell ref="L8:M8"/>
    <mergeCell ref="N8:O8"/>
    <mergeCell ref="P8:Q8"/>
    <mergeCell ref="AO7:AP7"/>
    <mergeCell ref="A2:BI2"/>
    <mergeCell ref="A3:BI3"/>
    <mergeCell ref="A5:C5"/>
    <mergeCell ref="Y5:AA5"/>
    <mergeCell ref="AN5:AO5"/>
    <mergeCell ref="K37:M37"/>
    <mergeCell ref="AQ37:AS37"/>
    <mergeCell ref="K32:M32"/>
    <mergeCell ref="AQ32:AS32"/>
    <mergeCell ref="K36:M36"/>
    <mergeCell ref="K35:M35"/>
    <mergeCell ref="AQ35:AS35"/>
    <mergeCell ref="AQ36:AS36"/>
  </mergeCells>
  <pageMargins left="0" right="0.1" top="0" bottom="0" header="0.3" footer="0.3"/>
  <pageSetup paperSize="9" scale="36" orientation="landscape" horizontalDpi="0" verticalDpi="0" r:id="rId1"/>
  <rowBreaks count="1" manualBreakCount="1">
    <brk id="37" max="16383" man="1"/>
  </rowBreaks>
  <colBreaks count="1" manualBreakCount="1">
    <brk id="6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Y8777"/>
  <sheetViews>
    <sheetView view="pageBreakPreview" zoomScale="60" zoomScaleNormal="100" workbookViewId="0">
      <selection activeCell="AN10" sqref="AN10"/>
    </sheetView>
  </sheetViews>
  <sheetFormatPr defaultColWidth="9.140625" defaultRowHeight="12.75"/>
  <cols>
    <col min="1" max="1" width="5.42578125" style="1065" customWidth="1"/>
    <col min="2" max="2" width="10.7109375" style="1065" hidden="1" customWidth="1"/>
    <col min="3" max="3" width="4.7109375" style="1065" hidden="1" customWidth="1"/>
    <col min="4" max="4" width="18.42578125" style="355" customWidth="1"/>
    <col min="5" max="5" width="6" style="1065" customWidth="1"/>
    <col min="6" max="6" width="9.28515625" style="1065" customWidth="1"/>
    <col min="7" max="7" width="14" style="1065" customWidth="1"/>
    <col min="8" max="8" width="4.85546875" style="1065" customWidth="1"/>
    <col min="9" max="9" width="13.28515625" style="1065" customWidth="1"/>
    <col min="10" max="10" width="4.28515625" style="1065" customWidth="1"/>
    <col min="11" max="11" width="10.7109375" style="1065" customWidth="1"/>
    <col min="12" max="12" width="4.5703125" style="1065" customWidth="1"/>
    <col min="13" max="13" width="10.85546875" style="1065" customWidth="1"/>
    <col min="14" max="14" width="4.5703125" style="1065" customWidth="1"/>
    <col min="15" max="15" width="10.140625" style="1065" customWidth="1"/>
    <col min="16" max="16" width="3.5703125" style="1065" hidden="1" customWidth="1"/>
    <col min="17" max="17" width="9.28515625" style="1065" hidden="1" customWidth="1"/>
    <col min="18" max="18" width="5.85546875" style="1065" customWidth="1"/>
    <col min="19" max="19" width="8" style="300" customWidth="1"/>
    <col min="20" max="20" width="11.5703125" style="1065" customWidth="1"/>
    <col min="21" max="21" width="6.42578125" style="1065" hidden="1" customWidth="1"/>
    <col min="22" max="22" width="6" style="1065" hidden="1" customWidth="1"/>
    <col min="23" max="23" width="12.28515625" style="1065" customWidth="1"/>
    <col min="24" max="24" width="6.85546875" style="1065" hidden="1" customWidth="1"/>
    <col min="25" max="25" width="3.140625" style="1065" hidden="1" customWidth="1"/>
    <col min="26" max="26" width="12" style="1065" customWidth="1"/>
    <col min="27" max="27" width="10.28515625" style="1065" hidden="1" customWidth="1"/>
    <col min="28" max="28" width="12.140625" style="1065" customWidth="1"/>
    <col min="29" max="29" width="10.28515625" style="1065" hidden="1" customWidth="1"/>
    <col min="30" max="30" width="7.85546875" style="1065" hidden="1" customWidth="1"/>
    <col min="31" max="31" width="11.140625" style="1065" customWidth="1"/>
    <col min="32" max="32" width="11.5703125" style="1065" customWidth="1"/>
    <col min="33" max="33" width="11" style="1065" customWidth="1"/>
    <col min="34" max="34" width="9.42578125" style="1065" hidden="1" customWidth="1"/>
    <col min="35" max="35" width="10.7109375" style="1065" customWidth="1"/>
    <col min="36" max="36" width="10.28515625" style="1065" hidden="1" customWidth="1"/>
    <col min="37" max="37" width="10" style="1065" hidden="1" customWidth="1"/>
    <col min="38" max="38" width="10.140625" style="1065" customWidth="1"/>
    <col min="39" max="39" width="9.7109375" style="1065" hidden="1" customWidth="1"/>
    <col min="40" max="40" width="12.5703125" style="1065" customWidth="1"/>
    <col min="41" max="41" width="10.42578125" style="1065" customWidth="1"/>
    <col min="42" max="43" width="9.7109375" style="1065" customWidth="1"/>
    <col min="44" max="44" width="9.85546875" style="1065" customWidth="1"/>
    <col min="45" max="45" width="11.5703125" style="1065" customWidth="1"/>
    <col min="46" max="46" width="10.140625" style="1065" customWidth="1"/>
    <col min="47" max="47" width="9.42578125" style="1065" customWidth="1"/>
    <col min="48" max="48" width="10.5703125" style="1065" customWidth="1"/>
    <col min="49" max="49" width="7.7109375" style="1065" customWidth="1"/>
    <col min="50" max="50" width="9.5703125" style="1065" customWidth="1"/>
    <col min="51" max="51" width="9.140625" style="1065" hidden="1" customWidth="1"/>
    <col min="52" max="52" width="11.140625" style="1065" hidden="1" customWidth="1"/>
    <col min="53" max="53" width="9.42578125" style="1065" hidden="1" customWidth="1"/>
    <col min="54" max="55" width="9.140625" style="1065" hidden="1" customWidth="1"/>
    <col min="56" max="56" width="10.28515625" style="1065" hidden="1" customWidth="1"/>
    <col min="57" max="57" width="12.85546875" style="621" customWidth="1"/>
    <col min="58" max="58" width="4.42578125" style="621" customWidth="1"/>
    <col min="59" max="59" width="4.28515625" style="621" customWidth="1"/>
    <col min="60" max="60" width="10.42578125" style="1065" hidden="1" customWidth="1"/>
    <col min="61" max="61" width="9.140625" style="1065"/>
    <col min="62" max="62" width="9.28515625" style="1065" bestFit="1" customWidth="1"/>
    <col min="63" max="63" width="11.140625" style="1065" bestFit="1" customWidth="1"/>
    <col min="64" max="64" width="9.140625" style="1065"/>
    <col min="65" max="65" width="10.5703125" style="1065" customWidth="1"/>
    <col min="66" max="16384" width="9.140625" style="1065"/>
  </cols>
  <sheetData>
    <row r="1" spans="1:103" ht="15" customHeight="1"/>
    <row r="2" spans="1:103">
      <c r="A2" s="1349" t="s">
        <v>66</v>
      </c>
      <c r="B2" s="1349"/>
      <c r="C2" s="1349"/>
      <c r="D2" s="1349"/>
      <c r="E2" s="1349"/>
      <c r="F2" s="1349"/>
      <c r="G2" s="1349"/>
      <c r="H2" s="1349"/>
      <c r="I2" s="1349"/>
      <c r="J2" s="1349"/>
      <c r="K2" s="1349"/>
      <c r="L2" s="1349"/>
      <c r="M2" s="1349"/>
      <c r="N2" s="1349"/>
      <c r="O2" s="1349"/>
      <c r="P2" s="1349"/>
      <c r="Q2" s="1349"/>
      <c r="R2" s="1349"/>
      <c r="S2" s="1349"/>
      <c r="T2" s="1349"/>
      <c r="U2" s="1349"/>
      <c r="V2" s="1349"/>
      <c r="W2" s="1349"/>
      <c r="X2" s="1349"/>
      <c r="Y2" s="1349"/>
      <c r="Z2" s="1349"/>
      <c r="AA2" s="1349"/>
      <c r="AB2" s="1349"/>
      <c r="AC2" s="1349"/>
      <c r="AD2" s="1349"/>
      <c r="AE2" s="1349"/>
      <c r="AF2" s="1349"/>
      <c r="AG2" s="1349"/>
      <c r="AH2" s="1349"/>
      <c r="AI2" s="1349"/>
      <c r="AJ2" s="1349"/>
      <c r="AK2" s="1349"/>
      <c r="AL2" s="1349"/>
      <c r="AM2" s="1349"/>
      <c r="AN2" s="1349"/>
      <c r="AO2" s="1349"/>
      <c r="AP2" s="1349"/>
      <c r="AQ2" s="1349"/>
      <c r="AR2" s="1349"/>
      <c r="AS2" s="1349"/>
      <c r="AT2" s="1349"/>
      <c r="AU2" s="1349"/>
      <c r="AV2" s="1349"/>
      <c r="AW2" s="1349"/>
      <c r="AX2" s="1349"/>
      <c r="AY2" s="1349"/>
      <c r="AZ2" s="1349"/>
      <c r="BA2" s="1349"/>
      <c r="BB2" s="1349"/>
      <c r="BC2" s="1349"/>
      <c r="BD2" s="1349"/>
      <c r="BE2" s="1349"/>
      <c r="BF2" s="1349"/>
      <c r="BG2" s="1349"/>
      <c r="BH2" s="1349"/>
    </row>
    <row r="3" spans="1:103">
      <c r="A3" s="1350" t="s">
        <v>191</v>
      </c>
      <c r="B3" s="1350"/>
      <c r="C3" s="1350"/>
      <c r="D3" s="1350"/>
      <c r="E3" s="1350"/>
      <c r="F3" s="1350"/>
      <c r="G3" s="1350"/>
      <c r="H3" s="1350"/>
      <c r="I3" s="1350"/>
      <c r="J3" s="1350"/>
      <c r="K3" s="1350"/>
      <c r="L3" s="1350"/>
      <c r="M3" s="1350"/>
      <c r="N3" s="1350"/>
      <c r="O3" s="1350"/>
      <c r="P3" s="1350"/>
      <c r="Q3" s="1350"/>
      <c r="R3" s="1350"/>
      <c r="S3" s="1350"/>
      <c r="T3" s="1350"/>
      <c r="U3" s="1350"/>
      <c r="V3" s="1350"/>
      <c r="W3" s="1350"/>
      <c r="X3" s="1350"/>
      <c r="Y3" s="1350"/>
      <c r="Z3" s="1350"/>
      <c r="AA3" s="1350"/>
      <c r="AB3" s="1350"/>
      <c r="AC3" s="1350"/>
      <c r="AD3" s="1350"/>
      <c r="AE3" s="1350"/>
      <c r="AF3" s="1350"/>
      <c r="AG3" s="1350"/>
      <c r="AH3" s="1350"/>
      <c r="AI3" s="1350"/>
      <c r="AJ3" s="1350"/>
      <c r="AK3" s="1350"/>
      <c r="AL3" s="1350"/>
      <c r="AM3" s="1350"/>
      <c r="AN3" s="1350"/>
      <c r="AO3" s="1350"/>
      <c r="AP3" s="1350"/>
      <c r="AQ3" s="1350"/>
      <c r="AR3" s="1350"/>
      <c r="AS3" s="1350"/>
      <c r="AT3" s="1350"/>
      <c r="AU3" s="1350"/>
      <c r="AV3" s="1350"/>
      <c r="AW3" s="1350"/>
      <c r="AX3" s="1350"/>
      <c r="AY3" s="1350"/>
      <c r="AZ3" s="1350"/>
      <c r="BA3" s="1350"/>
      <c r="BB3" s="1350"/>
      <c r="BC3" s="1350"/>
      <c r="BD3" s="1350"/>
      <c r="BE3" s="1350"/>
      <c r="BF3" s="1350"/>
      <c r="BG3" s="1350"/>
      <c r="BH3" s="1350"/>
    </row>
    <row r="4" spans="1:103">
      <c r="A4" s="1066"/>
      <c r="B4" s="1066"/>
      <c r="C4" s="1066"/>
      <c r="D4" s="356"/>
      <c r="E4" s="1066"/>
      <c r="F4" s="1066"/>
      <c r="G4" s="1066"/>
      <c r="H4" s="1066"/>
      <c r="I4" s="1066"/>
      <c r="J4" s="1066"/>
      <c r="K4" s="222"/>
      <c r="L4" s="1066"/>
      <c r="M4" s="1066"/>
      <c r="N4" s="1066"/>
      <c r="O4" s="1066"/>
      <c r="P4" s="1066"/>
      <c r="Q4" s="1066"/>
      <c r="R4" s="1066"/>
      <c r="S4" s="357"/>
      <c r="T4" s="1066"/>
      <c r="U4" s="1066"/>
      <c r="V4" s="1066"/>
      <c r="W4" s="1066"/>
      <c r="X4" s="1066"/>
      <c r="Y4" s="1066"/>
      <c r="Z4" s="1066"/>
      <c r="AA4" s="1066"/>
      <c r="AB4" s="1066"/>
      <c r="AC4" s="1066"/>
      <c r="AD4" s="1066"/>
      <c r="AE4" s="1066"/>
      <c r="AF4" s="222"/>
      <c r="AG4" s="1066"/>
      <c r="AH4" s="1066"/>
      <c r="AI4" s="1066"/>
      <c r="AJ4" s="1066"/>
      <c r="AK4" s="1066"/>
      <c r="AL4" s="1066"/>
      <c r="AM4" s="1066"/>
      <c r="AN4" s="1066"/>
      <c r="AO4" s="1066"/>
      <c r="AP4" s="1066"/>
      <c r="AQ4" s="358"/>
      <c r="AR4" s="1066"/>
      <c r="AS4" s="1066"/>
      <c r="AT4" s="1066"/>
      <c r="AU4" s="1066"/>
      <c r="AV4" s="1066"/>
      <c r="AW4" s="1066"/>
      <c r="AX4" s="1066"/>
      <c r="AY4" s="1066"/>
      <c r="AZ4" s="1066"/>
      <c r="BA4" s="1066"/>
      <c r="BB4" s="1066"/>
      <c r="BC4" s="1066"/>
      <c r="BD4" s="1066"/>
      <c r="BE4" s="1066"/>
      <c r="BF4" s="1066"/>
      <c r="BG4" s="1066"/>
      <c r="BH4" s="1066"/>
    </row>
    <row r="5" spans="1:103" ht="13.5" thickBot="1">
      <c r="A5" s="1345" t="s">
        <v>192</v>
      </c>
      <c r="B5" s="1345"/>
      <c r="C5" s="1345"/>
      <c r="D5" s="356" t="s">
        <v>416</v>
      </c>
      <c r="E5" s="1066"/>
      <c r="F5" s="359"/>
      <c r="G5" s="1067"/>
      <c r="H5" s="1067"/>
      <c r="I5" s="1067"/>
      <c r="J5" s="1067"/>
      <c r="K5" s="1067"/>
      <c r="L5" s="1067"/>
      <c r="M5" s="1067"/>
      <c r="N5" s="1067"/>
      <c r="O5" s="1067"/>
      <c r="P5" s="1067"/>
      <c r="Q5" s="1067"/>
      <c r="R5" s="1067"/>
      <c r="S5" s="290"/>
      <c r="T5" s="1067"/>
      <c r="U5" s="1067"/>
      <c r="V5" s="1067"/>
      <c r="W5" s="1067"/>
      <c r="X5" s="1067"/>
      <c r="Y5" s="1372" t="s">
        <v>120</v>
      </c>
      <c r="Z5" s="1372"/>
      <c r="AA5" s="1372"/>
      <c r="AB5" s="1079"/>
      <c r="AC5" s="1079"/>
      <c r="AD5" s="1079"/>
      <c r="AE5" s="1079"/>
      <c r="AF5" s="1079"/>
      <c r="AG5" s="1079"/>
      <c r="AH5" s="1079"/>
      <c r="AI5" s="1079"/>
      <c r="AJ5" s="1079"/>
      <c r="AK5" s="1079"/>
      <c r="AL5" s="1079"/>
      <c r="AM5" s="1079"/>
      <c r="AN5" s="1373" t="s">
        <v>121</v>
      </c>
      <c r="AO5" s="1373"/>
      <c r="AP5" s="224" t="s">
        <v>122</v>
      </c>
      <c r="AQ5" s="1067"/>
      <c r="AR5" s="1067"/>
      <c r="AS5" s="1067"/>
      <c r="AT5" s="1067"/>
      <c r="AU5" s="1067"/>
      <c r="AV5" s="1079"/>
      <c r="AW5" s="1079"/>
      <c r="AX5" s="1079"/>
      <c r="AY5" s="360">
        <f>2976705.97*2%</f>
        <v>59534.119400000003</v>
      </c>
      <c r="AZ5" s="361"/>
      <c r="BA5" s="362"/>
      <c r="BB5" s="362"/>
      <c r="BC5" s="362"/>
      <c r="BD5" s="362"/>
      <c r="BE5" s="1066"/>
      <c r="BF5" s="1066"/>
      <c r="BG5" s="1066"/>
      <c r="BH5" s="1066"/>
    </row>
    <row r="6" spans="1:103" ht="15" customHeight="1">
      <c r="A6" s="363"/>
      <c r="B6" s="1074"/>
      <c r="C6" s="1074"/>
      <c r="D6" s="1081"/>
      <c r="E6" s="1074"/>
      <c r="F6" s="1074"/>
      <c r="G6" s="1074"/>
      <c r="H6" s="1383" t="s">
        <v>124</v>
      </c>
      <c r="I6" s="1384"/>
      <c r="J6" s="1384"/>
      <c r="K6" s="1384"/>
      <c r="L6" s="1384"/>
      <c r="M6" s="1384"/>
      <c r="N6" s="1384"/>
      <c r="O6" s="1384"/>
      <c r="P6" s="1384"/>
      <c r="Q6" s="1385"/>
      <c r="R6" s="1073"/>
      <c r="S6" s="1383" t="s">
        <v>125</v>
      </c>
      <c r="T6" s="1384"/>
      <c r="U6" s="1384"/>
      <c r="V6" s="1384"/>
      <c r="W6" s="1384"/>
      <c r="X6" s="1384"/>
      <c r="Y6" s="1384"/>
      <c r="Z6" s="1385"/>
      <c r="AA6" s="1394" t="s">
        <v>97</v>
      </c>
      <c r="AB6" s="1394" t="s">
        <v>23</v>
      </c>
      <c r="AC6" s="1070" t="s">
        <v>23</v>
      </c>
      <c r="AD6" s="1071" t="s">
        <v>193</v>
      </c>
      <c r="AE6" s="1070"/>
      <c r="AF6" s="1070"/>
      <c r="AG6" s="1070"/>
      <c r="AH6" s="1070"/>
      <c r="AI6" s="1070"/>
      <c r="AJ6" s="1070"/>
      <c r="AK6" s="1070"/>
      <c r="AL6" s="1394" t="s">
        <v>144</v>
      </c>
      <c r="AM6" s="1394" t="s">
        <v>144</v>
      </c>
      <c r="AN6" s="1070" t="s">
        <v>126</v>
      </c>
      <c r="AO6" s="1402"/>
      <c r="AP6" s="1403"/>
      <c r="AQ6" s="1074"/>
      <c r="AR6" s="1374" t="s">
        <v>128</v>
      </c>
      <c r="AS6" s="1402"/>
      <c r="AT6" s="1402"/>
      <c r="AU6" s="1402"/>
      <c r="AV6" s="1403"/>
      <c r="AW6" s="1074"/>
      <c r="AX6" s="1074"/>
      <c r="AY6" s="1074"/>
      <c r="AZ6" s="1074"/>
      <c r="BA6" s="1074" t="s">
        <v>194</v>
      </c>
      <c r="BB6" s="1074"/>
      <c r="BC6" s="1074"/>
      <c r="BD6" s="1074"/>
      <c r="BE6" s="1074" t="s">
        <v>126</v>
      </c>
      <c r="BF6" s="1374" t="s">
        <v>130</v>
      </c>
      <c r="BG6" s="1375"/>
      <c r="BH6" s="1076" t="s">
        <v>131</v>
      </c>
    </row>
    <row r="7" spans="1:103" ht="15" customHeight="1">
      <c r="A7" s="370" t="s">
        <v>132</v>
      </c>
      <c r="B7" s="371" t="s">
        <v>40</v>
      </c>
      <c r="C7" s="371" t="s">
        <v>133</v>
      </c>
      <c r="D7" s="372" t="s">
        <v>81</v>
      </c>
      <c r="E7" s="371" t="s">
        <v>134</v>
      </c>
      <c r="F7" s="371" t="s">
        <v>135</v>
      </c>
      <c r="G7" s="371" t="s">
        <v>135</v>
      </c>
      <c r="H7" s="1380" t="s">
        <v>136</v>
      </c>
      <c r="I7" s="1381"/>
      <c r="J7" s="1380" t="s">
        <v>137</v>
      </c>
      <c r="K7" s="1381"/>
      <c r="L7" s="1380" t="s">
        <v>138</v>
      </c>
      <c r="M7" s="1381"/>
      <c r="N7" s="1380" t="s">
        <v>139</v>
      </c>
      <c r="O7" s="1381"/>
      <c r="P7" s="1380" t="s">
        <v>51</v>
      </c>
      <c r="Q7" s="1381"/>
      <c r="R7" s="373" t="s">
        <v>43</v>
      </c>
      <c r="S7" s="1380" t="s">
        <v>141</v>
      </c>
      <c r="T7" s="1381"/>
      <c r="U7" s="1380" t="s">
        <v>142</v>
      </c>
      <c r="V7" s="1382"/>
      <c r="W7" s="1381"/>
      <c r="X7" s="1397" t="s">
        <v>143</v>
      </c>
      <c r="Y7" s="1398"/>
      <c r="Z7" s="1399"/>
      <c r="AA7" s="1395"/>
      <c r="AB7" s="1395"/>
      <c r="AC7" s="1071" t="s">
        <v>195</v>
      </c>
      <c r="AD7" s="1071" t="s">
        <v>196</v>
      </c>
      <c r="AE7" s="1071" t="s">
        <v>23</v>
      </c>
      <c r="AF7" s="1071" t="s">
        <v>23</v>
      </c>
      <c r="AG7" s="1069" t="s">
        <v>23</v>
      </c>
      <c r="AH7" s="1390" t="s">
        <v>197</v>
      </c>
      <c r="AI7" s="1069" t="s">
        <v>86</v>
      </c>
      <c r="AJ7" s="1351" t="s">
        <v>198</v>
      </c>
      <c r="AK7" s="1069" t="s">
        <v>23</v>
      </c>
      <c r="AL7" s="1395"/>
      <c r="AM7" s="1395"/>
      <c r="AN7" s="1071" t="s">
        <v>135</v>
      </c>
      <c r="AO7" s="1388" t="s">
        <v>127</v>
      </c>
      <c r="AP7" s="1389"/>
      <c r="AQ7" s="1071"/>
      <c r="AR7" s="1378"/>
      <c r="AS7" s="1388"/>
      <c r="AT7" s="1388"/>
      <c r="AU7" s="1388"/>
      <c r="AV7" s="1389"/>
      <c r="AW7" s="371" t="s">
        <v>145</v>
      </c>
      <c r="AX7" s="1392" t="s">
        <v>200</v>
      </c>
      <c r="AY7" s="1390" t="s">
        <v>323</v>
      </c>
      <c r="AZ7" s="233" t="s">
        <v>23</v>
      </c>
      <c r="BA7" s="233" t="s">
        <v>147</v>
      </c>
      <c r="BB7" s="1069" t="s">
        <v>199</v>
      </c>
      <c r="BC7" s="1351" t="s">
        <v>148</v>
      </c>
      <c r="BD7" s="354" t="s">
        <v>201</v>
      </c>
      <c r="BE7" s="371" t="s">
        <v>135</v>
      </c>
      <c r="BF7" s="1376"/>
      <c r="BG7" s="1377"/>
      <c r="BH7" s="1077" t="s">
        <v>149</v>
      </c>
    </row>
    <row r="8" spans="1:103" ht="31.5">
      <c r="A8" s="370" t="s">
        <v>150</v>
      </c>
      <c r="B8" s="371" t="s">
        <v>151</v>
      </c>
      <c r="C8" s="371"/>
      <c r="D8" s="372" t="s">
        <v>152</v>
      </c>
      <c r="E8" s="371" t="s">
        <v>153</v>
      </c>
      <c r="F8" s="371" t="s">
        <v>154</v>
      </c>
      <c r="G8" s="371" t="s">
        <v>155</v>
      </c>
      <c r="H8" s="1380" t="s">
        <v>126</v>
      </c>
      <c r="I8" s="1381"/>
      <c r="J8" s="1380" t="s">
        <v>126</v>
      </c>
      <c r="K8" s="1381"/>
      <c r="L8" s="1380" t="s">
        <v>126</v>
      </c>
      <c r="M8" s="1381"/>
      <c r="N8" s="1386" t="s">
        <v>126</v>
      </c>
      <c r="O8" s="1387"/>
      <c r="P8" s="1380" t="s">
        <v>126</v>
      </c>
      <c r="Q8" s="1381"/>
      <c r="R8" s="1072" t="s">
        <v>26</v>
      </c>
      <c r="S8" s="377" t="s">
        <v>156</v>
      </c>
      <c r="T8" s="1068" t="s">
        <v>157</v>
      </c>
      <c r="U8" s="1072" t="s">
        <v>156</v>
      </c>
      <c r="V8" s="1380" t="s">
        <v>126</v>
      </c>
      <c r="W8" s="1381"/>
      <c r="X8" s="1072" t="s">
        <v>156</v>
      </c>
      <c r="Y8" s="1380" t="s">
        <v>126</v>
      </c>
      <c r="Z8" s="1381"/>
      <c r="AA8" s="1396"/>
      <c r="AB8" s="1396"/>
      <c r="AC8" s="1072" t="s">
        <v>202</v>
      </c>
      <c r="AD8" s="1072" t="s">
        <v>158</v>
      </c>
      <c r="AE8" s="1072" t="s">
        <v>88</v>
      </c>
      <c r="AF8" s="1072" t="s">
        <v>39</v>
      </c>
      <c r="AG8" s="379" t="s">
        <v>159</v>
      </c>
      <c r="AH8" s="1400"/>
      <c r="AI8" s="379" t="s">
        <v>203</v>
      </c>
      <c r="AJ8" s="1401"/>
      <c r="AK8" s="379" t="s">
        <v>391</v>
      </c>
      <c r="AL8" s="1396"/>
      <c r="AM8" s="379" t="s">
        <v>205</v>
      </c>
      <c r="AN8" s="1072" t="s">
        <v>160</v>
      </c>
      <c r="AO8" s="1075" t="s">
        <v>161</v>
      </c>
      <c r="AP8" s="1075" t="s">
        <v>162</v>
      </c>
      <c r="AQ8" s="1075" t="s">
        <v>126</v>
      </c>
      <c r="AR8" s="381" t="s">
        <v>163</v>
      </c>
      <c r="AS8" s="382" t="s">
        <v>164</v>
      </c>
      <c r="AT8" s="382" t="s">
        <v>165</v>
      </c>
      <c r="AU8" s="382" t="s">
        <v>166</v>
      </c>
      <c r="AV8" s="383" t="s">
        <v>126</v>
      </c>
      <c r="AW8" s="1075" t="s">
        <v>167</v>
      </c>
      <c r="AX8" s="1393"/>
      <c r="AY8" s="1391"/>
      <c r="AZ8" s="384" t="s">
        <v>198</v>
      </c>
      <c r="BA8" s="384" t="s">
        <v>169</v>
      </c>
      <c r="BB8" s="379" t="s">
        <v>204</v>
      </c>
      <c r="BC8" s="1351"/>
      <c r="BD8" s="354" t="s">
        <v>206</v>
      </c>
      <c r="BE8" s="1075" t="s">
        <v>170</v>
      </c>
      <c r="BF8" s="1378"/>
      <c r="BG8" s="1379"/>
      <c r="BH8" s="1078" t="s">
        <v>171</v>
      </c>
    </row>
    <row r="9" spans="1:103" ht="16.5" customHeight="1" thickBot="1">
      <c r="A9" s="386"/>
      <c r="B9" s="387" t="s">
        <v>152</v>
      </c>
      <c r="C9" s="387"/>
      <c r="D9" s="388"/>
      <c r="E9" s="387"/>
      <c r="F9" s="387" t="s">
        <v>172</v>
      </c>
      <c r="G9" s="387" t="s">
        <v>172</v>
      </c>
      <c r="H9" s="389" t="s">
        <v>173</v>
      </c>
      <c r="I9" s="387" t="s">
        <v>172</v>
      </c>
      <c r="J9" s="389" t="s">
        <v>173</v>
      </c>
      <c r="K9" s="387" t="s">
        <v>172</v>
      </c>
      <c r="L9" s="283" t="s">
        <v>173</v>
      </c>
      <c r="M9" s="285" t="s">
        <v>172</v>
      </c>
      <c r="N9" s="283" t="s">
        <v>173</v>
      </c>
      <c r="O9" s="285" t="s">
        <v>172</v>
      </c>
      <c r="P9" s="389" t="s">
        <v>173</v>
      </c>
      <c r="Q9" s="387" t="s">
        <v>172</v>
      </c>
      <c r="R9" s="387"/>
      <c r="S9" s="390" t="s">
        <v>26</v>
      </c>
      <c r="T9" s="389" t="s">
        <v>172</v>
      </c>
      <c r="U9" s="389" t="s">
        <v>26</v>
      </c>
      <c r="V9" s="389" t="s">
        <v>26</v>
      </c>
      <c r="W9" s="389" t="s">
        <v>172</v>
      </c>
      <c r="X9" s="389" t="s">
        <v>45</v>
      </c>
      <c r="Y9" s="389" t="s">
        <v>45</v>
      </c>
      <c r="Z9" s="389" t="s">
        <v>172</v>
      </c>
      <c r="AA9" s="389" t="s">
        <v>172</v>
      </c>
      <c r="AB9" s="389"/>
      <c r="AC9" s="389"/>
      <c r="AD9" s="389"/>
      <c r="AE9" s="389"/>
      <c r="AF9" s="389"/>
      <c r="AG9" s="389"/>
      <c r="AH9" s="389"/>
      <c r="AI9" s="389"/>
      <c r="AJ9" s="389"/>
      <c r="AK9" s="389"/>
      <c r="AL9" s="389"/>
      <c r="AM9" s="389"/>
      <c r="AN9" s="389" t="s">
        <v>172</v>
      </c>
      <c r="AO9" s="389" t="s">
        <v>172</v>
      </c>
      <c r="AP9" s="389" t="s">
        <v>172</v>
      </c>
      <c r="AQ9" s="389" t="s">
        <v>172</v>
      </c>
      <c r="AR9" s="389" t="s">
        <v>172</v>
      </c>
      <c r="AS9" s="389" t="s">
        <v>172</v>
      </c>
      <c r="AT9" s="389" t="s">
        <v>172</v>
      </c>
      <c r="AU9" s="389" t="s">
        <v>172</v>
      </c>
      <c r="AV9" s="283" t="s">
        <v>172</v>
      </c>
      <c r="AW9" s="285"/>
      <c r="AX9" s="285"/>
      <c r="AY9" s="285"/>
      <c r="AZ9" s="285"/>
      <c r="BA9" s="285"/>
      <c r="BB9" s="285"/>
      <c r="BC9" s="285"/>
      <c r="BD9" s="285"/>
      <c r="BE9" s="285"/>
      <c r="BF9" s="283" t="s">
        <v>19</v>
      </c>
      <c r="BG9" s="284" t="s">
        <v>15</v>
      </c>
      <c r="BH9" s="391" t="s">
        <v>174</v>
      </c>
      <c r="BI9" s="392"/>
      <c r="BJ9" s="393"/>
      <c r="BK9" s="393"/>
      <c r="BL9" s="393"/>
      <c r="BM9" s="393"/>
      <c r="BN9" s="393"/>
      <c r="BO9" s="393"/>
      <c r="BP9" s="393"/>
      <c r="BQ9" s="393"/>
      <c r="BR9" s="393"/>
      <c r="BS9" s="393"/>
      <c r="BT9" s="393"/>
      <c r="BU9" s="393"/>
      <c r="BV9" s="393"/>
      <c r="BW9" s="393"/>
      <c r="BX9" s="393"/>
      <c r="BY9" s="393"/>
      <c r="BZ9" s="393"/>
      <c r="CA9" s="393"/>
      <c r="CB9" s="393"/>
      <c r="CC9" s="393"/>
      <c r="CD9" s="393"/>
      <c r="CE9" s="393"/>
      <c r="CF9" s="393"/>
      <c r="CG9" s="393"/>
      <c r="CH9" s="393"/>
      <c r="CI9" s="393"/>
      <c r="CJ9" s="393"/>
      <c r="CK9" s="393"/>
      <c r="CL9" s="393"/>
      <c r="CM9" s="393"/>
      <c r="CN9" s="393"/>
      <c r="CO9" s="393"/>
      <c r="CP9" s="393"/>
      <c r="CQ9" s="393"/>
      <c r="CR9" s="393"/>
      <c r="CS9" s="393"/>
      <c r="CT9" s="393"/>
      <c r="CU9" s="393"/>
      <c r="CV9" s="393"/>
      <c r="CW9" s="393"/>
      <c r="CX9" s="393"/>
      <c r="CY9" s="393"/>
    </row>
    <row r="10" spans="1:103" s="269" customFormat="1" ht="44.25" customHeight="1">
      <c r="A10" s="394">
        <v>1</v>
      </c>
      <c r="B10" s="278"/>
      <c r="C10" s="405" t="s">
        <v>175</v>
      </c>
      <c r="D10" s="406" t="s">
        <v>414</v>
      </c>
      <c r="E10" s="278">
        <f>Sheet2!D29</f>
        <v>18</v>
      </c>
      <c r="F10" s="396">
        <v>134500</v>
      </c>
      <c r="G10" s="407">
        <f t="shared" ref="G10" si="0">SUM(F10*E10)</f>
        <v>2421000</v>
      </c>
      <c r="H10" s="278">
        <f>Sheet2!E29</f>
        <v>0</v>
      </c>
      <c r="I10" s="397">
        <f t="shared" ref="I10" si="1">SUM(H10*F10)</f>
        <v>0</v>
      </c>
      <c r="J10" s="278">
        <f>Sheet2!F29</f>
        <v>0</v>
      </c>
      <c r="K10" s="407">
        <f t="shared" ref="K10" si="2">J10*F10</f>
        <v>0</v>
      </c>
      <c r="L10" s="278">
        <f>Sheet2!G29</f>
        <v>3</v>
      </c>
      <c r="M10" s="278">
        <f t="shared" ref="M10" si="3">L10*F10</f>
        <v>403500</v>
      </c>
      <c r="N10" s="278">
        <v>1</v>
      </c>
      <c r="O10" s="398">
        <f t="shared" ref="O10" si="4">N10*F10</f>
        <v>134500</v>
      </c>
      <c r="P10" s="278">
        <f>Sheet2!I10</f>
        <v>0</v>
      </c>
      <c r="Q10" s="398">
        <f t="shared" ref="Q10" si="5">P10*F10</f>
        <v>0</v>
      </c>
      <c r="R10" s="399">
        <f t="shared" ref="R10" si="6">E10+H10+J10+L10+N10+P10</f>
        <v>22</v>
      </c>
      <c r="S10" s="408"/>
      <c r="T10" s="278"/>
      <c r="U10" s="407"/>
      <c r="V10" s="278"/>
      <c r="W10" s="409"/>
      <c r="X10" s="278">
        <v>2500</v>
      </c>
      <c r="Y10" s="278">
        <v>1</v>
      </c>
      <c r="Z10" s="400"/>
      <c r="AA10" s="278"/>
      <c r="AB10" s="745"/>
      <c r="AC10" s="407"/>
      <c r="AD10" s="407"/>
      <c r="AE10" s="278">
        <f>Sheet2!N29</f>
        <v>0</v>
      </c>
      <c r="AF10" s="278">
        <f>Sheet2!O29</f>
        <v>238000</v>
      </c>
      <c r="AG10" s="403">
        <v>145000</v>
      </c>
      <c r="AH10" s="403"/>
      <c r="AI10" s="403"/>
      <c r="AJ10" s="399"/>
      <c r="AK10" s="403"/>
      <c r="AL10" s="399">
        <f>Sheet2!P29</f>
        <v>0</v>
      </c>
      <c r="AM10" s="399"/>
      <c r="AN10" s="399">
        <f t="shared" ref="AN10" si="7">G10+I10+K10+M10+O10+Q10+T10+W10+Z10+AA10+AB10+AC10+AE10+AF10+AG10+AH10+AI10+AJ10+AK10-AL10-AM10</f>
        <v>3342000</v>
      </c>
      <c r="AO10" s="250">
        <f t="shared" ref="AO10" si="8">(4035000+Z10)*0.02</f>
        <v>80700</v>
      </c>
      <c r="AP10" s="600">
        <f t="shared" ref="AP10" si="9">(4035000+Z10)*0.0454</f>
        <v>183189</v>
      </c>
      <c r="AQ10" s="278">
        <f t="shared" ref="AQ10" si="10">AP10+AO10</f>
        <v>263889</v>
      </c>
      <c r="AR10" s="250">
        <f t="shared" ref="AR10" si="11">(4035000+Z10)*1%</f>
        <v>40350</v>
      </c>
      <c r="AS10" s="250">
        <f t="shared" ref="AS10" si="12">(4035000+Z10)*4%</f>
        <v>161400</v>
      </c>
      <c r="AT10" s="250">
        <f t="shared" ref="AT10" si="13">(4035000+Z10)*1%</f>
        <v>40350</v>
      </c>
      <c r="AU10" s="250">
        <f t="shared" ref="AU10" si="14">(4035000+Z10)*2%</f>
        <v>80700</v>
      </c>
      <c r="AV10" s="410">
        <f t="shared" ref="AV10" si="15">AR10+AS10+AT10+AU10</f>
        <v>322800</v>
      </c>
      <c r="AW10" s="278"/>
      <c r="AX10" s="278"/>
      <c r="AY10" s="399"/>
      <c r="AZ10" s="278">
        <f t="shared" ref="AZ10" si="16">AJ10</f>
        <v>0</v>
      </c>
      <c r="BA10" s="278"/>
      <c r="BB10" s="399"/>
      <c r="BC10" s="399"/>
      <c r="BD10" s="399"/>
      <c r="BE10" s="399">
        <f t="shared" ref="BE10" si="17">AN10-AO10-AR10-AT10-AW10-AX10-AZ10-AY10-BB10+BA10+BC10+BD10</f>
        <v>3180600</v>
      </c>
      <c r="BF10" s="745">
        <f>Sheet2!K10</f>
        <v>0</v>
      </c>
      <c r="BG10" s="781">
        <f>Sheet2!L10</f>
        <v>0</v>
      </c>
      <c r="BH10" s="258"/>
      <c r="BI10" s="291"/>
      <c r="BJ10" s="1065">
        <f t="shared" ref="BJ10:BJ11" si="18">BF10+BG10</f>
        <v>0</v>
      </c>
      <c r="BK10" s="1065">
        <f t="shared" ref="BK10" si="19">-(F10*BJ10)</f>
        <v>0</v>
      </c>
      <c r="BM10" s="1065">
        <f t="shared" ref="BM10:BM11" si="20">T10+W10+Z10+AB10+AE10+AF10+AG10+AI10-AL10</f>
        <v>383000</v>
      </c>
    </row>
    <row r="11" spans="1:103" ht="48.75" customHeight="1" thickBot="1">
      <c r="A11" s="425"/>
      <c r="B11" s="426"/>
      <c r="C11" s="426"/>
      <c r="D11" s="427" t="s">
        <v>10</v>
      </c>
      <c r="E11" s="426">
        <f>SUM(E10:E10)</f>
        <v>18</v>
      </c>
      <c r="F11" s="426"/>
      <c r="G11" s="426">
        <f t="shared" ref="G11:AL11" si="21">SUM(G10:G10)</f>
        <v>2421000</v>
      </c>
      <c r="H11" s="426">
        <f t="shared" si="21"/>
        <v>0</v>
      </c>
      <c r="I11" s="426">
        <f t="shared" si="21"/>
        <v>0</v>
      </c>
      <c r="J11" s="426">
        <f t="shared" si="21"/>
        <v>0</v>
      </c>
      <c r="K11" s="426">
        <f t="shared" si="21"/>
        <v>0</v>
      </c>
      <c r="L11" s="426">
        <f t="shared" si="21"/>
        <v>3</v>
      </c>
      <c r="M11" s="426">
        <f t="shared" si="21"/>
        <v>403500</v>
      </c>
      <c r="N11" s="426">
        <f t="shared" si="21"/>
        <v>1</v>
      </c>
      <c r="O11" s="426">
        <f t="shared" si="21"/>
        <v>134500</v>
      </c>
      <c r="P11" s="426">
        <f t="shared" si="21"/>
        <v>0</v>
      </c>
      <c r="Q11" s="426">
        <f t="shared" si="21"/>
        <v>0</v>
      </c>
      <c r="R11" s="426">
        <f t="shared" si="21"/>
        <v>22</v>
      </c>
      <c r="S11" s="426">
        <f t="shared" si="21"/>
        <v>0</v>
      </c>
      <c r="T11" s="426">
        <f t="shared" si="21"/>
        <v>0</v>
      </c>
      <c r="U11" s="426">
        <f t="shared" si="21"/>
        <v>0</v>
      </c>
      <c r="V11" s="426">
        <f t="shared" si="21"/>
        <v>0</v>
      </c>
      <c r="W11" s="426">
        <f t="shared" si="21"/>
        <v>0</v>
      </c>
      <c r="X11" s="426">
        <f t="shared" si="21"/>
        <v>2500</v>
      </c>
      <c r="Y11" s="426">
        <f t="shared" si="21"/>
        <v>1</v>
      </c>
      <c r="Z11" s="426">
        <f t="shared" si="21"/>
        <v>0</v>
      </c>
      <c r="AA11" s="426">
        <f t="shared" si="21"/>
        <v>0</v>
      </c>
      <c r="AB11" s="426">
        <f t="shared" si="21"/>
        <v>0</v>
      </c>
      <c r="AC11" s="426">
        <f t="shared" si="21"/>
        <v>0</v>
      </c>
      <c r="AD11" s="426">
        <f t="shared" si="21"/>
        <v>0</v>
      </c>
      <c r="AE11" s="426">
        <f t="shared" si="21"/>
        <v>0</v>
      </c>
      <c r="AF11" s="426">
        <f t="shared" si="21"/>
        <v>238000</v>
      </c>
      <c r="AG11" s="426">
        <f t="shared" si="21"/>
        <v>145000</v>
      </c>
      <c r="AH11" s="426">
        <f t="shared" si="21"/>
        <v>0</v>
      </c>
      <c r="AI11" s="426">
        <f t="shared" si="21"/>
        <v>0</v>
      </c>
      <c r="AJ11" s="426">
        <f t="shared" si="21"/>
        <v>0</v>
      </c>
      <c r="AK11" s="426">
        <f t="shared" si="21"/>
        <v>0</v>
      </c>
      <c r="AL11" s="426">
        <f t="shared" si="21"/>
        <v>0</v>
      </c>
      <c r="AM11" s="426">
        <f t="shared" ref="AM11:BH11" si="22">SUM(AM10:AM10)</f>
        <v>0</v>
      </c>
      <c r="AN11" s="426">
        <f t="shared" si="22"/>
        <v>3342000</v>
      </c>
      <c r="AO11" s="426">
        <f t="shared" si="22"/>
        <v>80700</v>
      </c>
      <c r="AP11" s="426">
        <f t="shared" si="22"/>
        <v>183189</v>
      </c>
      <c r="AQ11" s="426">
        <f t="shared" si="22"/>
        <v>263889</v>
      </c>
      <c r="AR11" s="426">
        <f t="shared" si="22"/>
        <v>40350</v>
      </c>
      <c r="AS11" s="426">
        <f t="shared" si="22"/>
        <v>161400</v>
      </c>
      <c r="AT11" s="426">
        <f t="shared" si="22"/>
        <v>40350</v>
      </c>
      <c r="AU11" s="426">
        <f t="shared" si="22"/>
        <v>80700</v>
      </c>
      <c r="AV11" s="426">
        <f t="shared" si="22"/>
        <v>322800</v>
      </c>
      <c r="AW11" s="426">
        <f t="shared" si="22"/>
        <v>0</v>
      </c>
      <c r="AX11" s="426">
        <f t="shared" si="22"/>
        <v>0</v>
      </c>
      <c r="AY11" s="426">
        <f t="shared" si="22"/>
        <v>0</v>
      </c>
      <c r="AZ11" s="426">
        <f t="shared" si="22"/>
        <v>0</v>
      </c>
      <c r="BA11" s="426">
        <f t="shared" si="22"/>
        <v>0</v>
      </c>
      <c r="BB11" s="426">
        <f t="shared" si="22"/>
        <v>0</v>
      </c>
      <c r="BC11" s="426">
        <f t="shared" si="22"/>
        <v>0</v>
      </c>
      <c r="BD11" s="426">
        <f t="shared" si="22"/>
        <v>0</v>
      </c>
      <c r="BE11" s="426">
        <f t="shared" si="22"/>
        <v>3180600</v>
      </c>
      <c r="BF11" s="426">
        <f t="shared" si="22"/>
        <v>0</v>
      </c>
      <c r="BG11" s="914">
        <f t="shared" si="22"/>
        <v>0</v>
      </c>
      <c r="BH11" s="913">
        <f t="shared" si="22"/>
        <v>0</v>
      </c>
      <c r="BJ11" s="1065">
        <f t="shared" si="18"/>
        <v>0</v>
      </c>
      <c r="BK11" s="1065">
        <f>SUM(BK10:BK10)</f>
        <v>0</v>
      </c>
      <c r="BM11" s="1065">
        <f t="shared" si="20"/>
        <v>383000</v>
      </c>
    </row>
    <row r="12" spans="1:103">
      <c r="A12" s="428"/>
      <c r="B12" s="429"/>
      <c r="C12" s="429"/>
      <c r="M12" s="430"/>
      <c r="N12" s="289"/>
      <c r="O12" s="289"/>
    </row>
    <row r="13" spans="1:103">
      <c r="A13" s="289"/>
      <c r="B13" s="289"/>
      <c r="C13" s="289"/>
      <c r="D13" s="290" t="s">
        <v>178</v>
      </c>
      <c r="E13" s="289"/>
      <c r="F13" s="291"/>
      <c r="G13" s="289"/>
      <c r="H13" s="289"/>
      <c r="I13" s="289"/>
      <c r="J13" s="289"/>
      <c r="K13" s="1345" t="s">
        <v>179</v>
      </c>
      <c r="L13" s="1345"/>
      <c r="M13" s="1345"/>
      <c r="N13" s="289"/>
      <c r="O13" s="289"/>
      <c r="P13" s="289"/>
      <c r="Q13" s="292"/>
      <c r="R13" s="292"/>
      <c r="S13" s="292"/>
      <c r="T13" s="292"/>
      <c r="U13" s="292"/>
      <c r="V13" s="292"/>
      <c r="W13" s="292"/>
      <c r="X13" s="292"/>
      <c r="Y13" s="292"/>
      <c r="Z13" s="1064"/>
      <c r="AA13" s="1064"/>
      <c r="AB13" s="1064"/>
      <c r="AC13" s="1064"/>
      <c r="AD13" s="1064"/>
      <c r="AE13" s="292"/>
      <c r="AF13" s="1345" t="s">
        <v>180</v>
      </c>
      <c r="AG13" s="1345"/>
      <c r="AH13" s="1345"/>
      <c r="AI13" s="1345"/>
      <c r="AJ13" s="1345"/>
      <c r="AK13" s="1345"/>
      <c r="AL13" s="1345"/>
      <c r="AM13" s="1345"/>
      <c r="AO13" s="292"/>
      <c r="AP13" s="292"/>
      <c r="AQ13" s="1345" t="s">
        <v>113</v>
      </c>
      <c r="AR13" s="1345"/>
      <c r="AS13" s="1345"/>
      <c r="AT13" s="292"/>
      <c r="AU13" s="292"/>
      <c r="AV13" s="292"/>
      <c r="AW13" s="292"/>
      <c r="AX13" s="292"/>
      <c r="AY13" s="292"/>
      <c r="AZ13" s="292"/>
      <c r="BA13" s="1064"/>
      <c r="BB13" s="1064"/>
      <c r="BE13" s="1065"/>
      <c r="BF13" s="1065"/>
      <c r="BG13" s="1065"/>
    </row>
    <row r="14" spans="1:103">
      <c r="A14" s="289"/>
      <c r="B14" s="289"/>
      <c r="C14" s="289"/>
      <c r="D14" s="290"/>
      <c r="E14" s="289"/>
      <c r="F14" s="291"/>
      <c r="G14" s="289"/>
      <c r="H14" s="289"/>
      <c r="I14" s="289"/>
      <c r="J14" s="289"/>
      <c r="K14" s="1067"/>
      <c r="L14" s="1067"/>
      <c r="M14" s="1067"/>
      <c r="N14" s="289"/>
      <c r="O14" s="289"/>
      <c r="P14" s="289"/>
      <c r="Q14" s="1067"/>
      <c r="R14" s="1067"/>
      <c r="S14" s="1067"/>
      <c r="T14" s="1067"/>
      <c r="U14" s="1067"/>
      <c r="V14" s="1067"/>
      <c r="W14" s="1067"/>
      <c r="X14" s="1067"/>
      <c r="Y14" s="292"/>
      <c r="Z14" s="1064"/>
      <c r="AA14" s="1064"/>
      <c r="AB14" s="1064"/>
      <c r="AC14" s="1064"/>
      <c r="AD14" s="1064"/>
      <c r="AE14" s="292"/>
      <c r="AF14" s="292"/>
      <c r="AH14" s="1067"/>
      <c r="AI14" s="1067"/>
      <c r="AJ14" s="1067"/>
      <c r="AK14" s="1067"/>
      <c r="AL14" s="1067"/>
      <c r="AM14" s="1067"/>
      <c r="AQ14" s="1067"/>
      <c r="AR14" s="1067"/>
      <c r="AS14" s="1067"/>
      <c r="AT14" s="292"/>
      <c r="AU14" s="292"/>
      <c r="AV14" s="292"/>
      <c r="AW14" s="292"/>
      <c r="AX14" s="292"/>
      <c r="AY14" s="292"/>
      <c r="AZ14" s="292"/>
      <c r="BA14" s="1064"/>
      <c r="BB14" s="1064"/>
      <c r="BE14" s="1065"/>
      <c r="BF14" s="1065"/>
      <c r="BG14" s="1065"/>
    </row>
    <row r="15" spans="1:103">
      <c r="A15" s="223"/>
      <c r="B15" s="223"/>
      <c r="C15" s="1067"/>
      <c r="D15" s="293"/>
      <c r="E15" s="1067"/>
      <c r="F15" s="224"/>
      <c r="G15" s="1067"/>
      <c r="K15" s="1067"/>
      <c r="L15" s="1067"/>
      <c r="M15" s="1067"/>
      <c r="O15" s="1067"/>
      <c r="P15" s="1067"/>
      <c r="Q15" s="1067"/>
      <c r="R15" s="1067"/>
      <c r="S15" s="1067"/>
      <c r="T15" s="1067"/>
      <c r="U15" s="1067"/>
      <c r="V15" s="1067"/>
      <c r="W15" s="1080"/>
      <c r="AH15" s="1067"/>
      <c r="AI15" s="1067"/>
      <c r="AJ15" s="1067"/>
      <c r="AK15" s="1067"/>
      <c r="AL15" s="1067"/>
      <c r="AM15" s="1080"/>
      <c r="BA15" s="621"/>
      <c r="BB15" s="621"/>
      <c r="BE15" s="1065"/>
      <c r="BF15" s="1065"/>
      <c r="BG15" s="1065"/>
    </row>
    <row r="16" spans="1:103">
      <c r="A16" s="1080"/>
      <c r="B16" s="1080"/>
      <c r="D16" s="296"/>
      <c r="F16" s="297"/>
      <c r="K16" s="1346"/>
      <c r="L16" s="1346"/>
      <c r="M16" s="1346"/>
      <c r="O16" s="298"/>
      <c r="P16" s="298"/>
      <c r="Q16" s="298"/>
      <c r="R16" s="298"/>
      <c r="S16" s="298"/>
      <c r="T16" s="298"/>
      <c r="U16" s="298"/>
      <c r="V16" s="298"/>
      <c r="W16" s="298"/>
      <c r="X16" s="298"/>
      <c r="AE16" s="298"/>
      <c r="AF16" s="298"/>
      <c r="AG16" s="298"/>
      <c r="AH16" s="298"/>
      <c r="AI16" s="298"/>
      <c r="AJ16" s="298"/>
      <c r="AK16" s="298"/>
      <c r="AL16" s="298"/>
      <c r="AM16" s="298"/>
      <c r="AO16" s="298"/>
      <c r="AP16" s="298"/>
      <c r="AQ16" s="1346"/>
      <c r="AR16" s="1346"/>
      <c r="AS16" s="1346"/>
      <c r="AT16" s="298"/>
      <c r="AU16" s="298"/>
      <c r="AV16" s="298"/>
      <c r="AW16" s="298"/>
      <c r="AX16" s="298"/>
      <c r="AY16" s="298"/>
      <c r="AZ16" s="298"/>
      <c r="BA16" s="621"/>
      <c r="BB16" s="621"/>
      <c r="BE16" s="1065"/>
      <c r="BF16" s="1065"/>
      <c r="BG16" s="1065"/>
    </row>
    <row r="17" spans="4:59">
      <c r="D17" s="296" t="s">
        <v>36</v>
      </c>
      <c r="F17" s="297"/>
      <c r="K17" s="1346" t="s">
        <v>182</v>
      </c>
      <c r="L17" s="1346"/>
      <c r="M17" s="1346"/>
      <c r="O17" s="299"/>
      <c r="P17" s="299"/>
      <c r="Q17" s="298"/>
      <c r="R17" s="298"/>
      <c r="S17" s="298"/>
      <c r="T17" s="298"/>
      <c r="U17" s="298"/>
      <c r="V17" s="298"/>
      <c r="W17" s="298"/>
      <c r="X17" s="298"/>
      <c r="AE17" s="299"/>
      <c r="AF17" s="1346" t="s">
        <v>181</v>
      </c>
      <c r="AG17" s="1346"/>
      <c r="AH17" s="1346"/>
      <c r="AI17" s="1346"/>
      <c r="AJ17" s="1346"/>
      <c r="AK17" s="1346"/>
      <c r="AL17" s="1346"/>
      <c r="AM17" s="1346"/>
      <c r="AO17" s="299"/>
      <c r="AP17" s="299"/>
      <c r="AQ17" s="1346" t="s">
        <v>319</v>
      </c>
      <c r="AR17" s="1346"/>
      <c r="AS17" s="1346"/>
      <c r="AT17" s="299"/>
      <c r="AU17" s="299"/>
      <c r="AV17" s="299"/>
      <c r="AW17" s="299"/>
      <c r="AX17" s="299"/>
      <c r="AY17" s="299"/>
      <c r="AZ17" s="299"/>
      <c r="BA17" s="621"/>
      <c r="BB17" s="621"/>
      <c r="BE17" s="1065"/>
      <c r="BF17" s="1065"/>
      <c r="BG17" s="1065"/>
    </row>
    <row r="18" spans="4:59">
      <c r="D18" s="300" t="s">
        <v>184</v>
      </c>
      <c r="F18" s="297"/>
      <c r="K18" s="1344" t="s">
        <v>185</v>
      </c>
      <c r="L18" s="1344"/>
      <c r="M18" s="1344"/>
      <c r="Q18" s="299"/>
      <c r="R18" s="299"/>
      <c r="S18" s="299"/>
      <c r="T18" s="299"/>
      <c r="U18" s="299"/>
      <c r="V18" s="299"/>
      <c r="W18" s="299"/>
      <c r="X18" s="299"/>
      <c r="AF18" s="1344" t="s">
        <v>183</v>
      </c>
      <c r="AG18" s="1344"/>
      <c r="AH18" s="1344"/>
      <c r="AI18" s="1344"/>
      <c r="AJ18" s="1344"/>
      <c r="AK18" s="1344"/>
      <c r="AL18" s="1344"/>
      <c r="AQ18" s="1344" t="s">
        <v>320</v>
      </c>
      <c r="AR18" s="1344"/>
      <c r="AS18" s="1344"/>
      <c r="AZ18" s="621"/>
      <c r="BA18" s="621"/>
      <c r="BB18" s="621"/>
      <c r="BE18" s="1065"/>
      <c r="BF18" s="1065"/>
      <c r="BG18" s="1065"/>
    </row>
    <row r="19" spans="4:59">
      <c r="D19" s="1065"/>
      <c r="S19" s="1065"/>
      <c r="AC19" s="304"/>
      <c r="BE19" s="1065"/>
      <c r="BF19" s="1065"/>
      <c r="BG19" s="1065"/>
    </row>
    <row r="20" spans="4:59">
      <c r="D20" s="1065"/>
      <c r="S20" s="1065"/>
      <c r="BE20" s="1065"/>
      <c r="BF20" s="1065"/>
      <c r="BG20" s="1065"/>
    </row>
    <row r="21" spans="4:59">
      <c r="D21" s="1065"/>
      <c r="S21" s="1065"/>
      <c r="BE21" s="1065"/>
      <c r="BF21" s="1065"/>
      <c r="BG21" s="1065"/>
    </row>
    <row r="22" spans="4:59">
      <c r="D22" s="1065"/>
      <c r="S22" s="1065"/>
      <c r="AO22" s="304"/>
      <c r="AP22" s="302"/>
      <c r="AQ22" s="302"/>
      <c r="AR22" s="431"/>
      <c r="BE22" s="1065"/>
      <c r="BF22" s="1065"/>
      <c r="BG22" s="1065"/>
    </row>
    <row r="23" spans="4:59">
      <c r="D23" s="1065"/>
      <c r="S23" s="1065"/>
      <c r="AC23" s="302"/>
      <c r="AO23" s="304"/>
      <c r="AP23" s="302"/>
      <c r="AQ23" s="303"/>
      <c r="BE23" s="1065"/>
      <c r="BF23" s="1065"/>
      <c r="BG23" s="1065"/>
    </row>
    <row r="24" spans="4:59">
      <c r="D24" s="1065"/>
      <c r="S24" s="1065"/>
      <c r="BE24" s="1065"/>
      <c r="BF24" s="1065"/>
      <c r="BG24" s="1065"/>
    </row>
    <row r="25" spans="4:59">
      <c r="D25" s="1065"/>
      <c r="S25" s="1065"/>
      <c r="BE25" s="1065"/>
      <c r="BF25" s="1065"/>
      <c r="BG25" s="1065"/>
    </row>
    <row r="26" spans="4:59">
      <c r="D26" s="1065"/>
      <c r="S26" s="1065"/>
      <c r="AC26" s="302"/>
      <c r="AE26" s="303"/>
      <c r="BE26" s="1065"/>
      <c r="BF26" s="1065"/>
      <c r="BG26" s="1065"/>
    </row>
    <row r="27" spans="4:59">
      <c r="D27" s="1065"/>
      <c r="K27" s="1065">
        <f>744+17+4+120+30</f>
        <v>915</v>
      </c>
      <c r="S27" s="1065"/>
      <c r="AC27" s="302"/>
      <c r="AL27" s="302"/>
      <c r="BE27" s="1065"/>
      <c r="BF27" s="1065"/>
      <c r="BG27" s="1065"/>
    </row>
    <row r="28" spans="4:59">
      <c r="D28" s="1065"/>
      <c r="S28" s="1065">
        <f>27+36+4+5</f>
        <v>72</v>
      </c>
      <c r="AO28" s="297"/>
      <c r="AP28" s="303"/>
      <c r="AQ28" s="303"/>
      <c r="AR28" s="303"/>
      <c r="BE28" s="1065"/>
      <c r="BF28" s="1065"/>
      <c r="BG28" s="1065"/>
    </row>
    <row r="29" spans="4:59">
      <c r="D29" s="1065"/>
      <c r="S29" s="1065"/>
      <c r="AO29" s="297"/>
      <c r="AP29" s="303"/>
      <c r="AQ29" s="303"/>
      <c r="AR29" s="297"/>
      <c r="BE29" s="1065"/>
      <c r="BF29" s="1065"/>
      <c r="BG29" s="1065"/>
    </row>
    <row r="30" spans="4:59">
      <c r="D30" s="1065"/>
      <c r="S30" s="1065"/>
      <c r="BE30" s="1065"/>
      <c r="BF30" s="1065"/>
      <c r="BG30" s="1065"/>
    </row>
    <row r="31" spans="4:59">
      <c r="D31" s="1065"/>
      <c r="S31" s="1065"/>
      <c r="BE31" s="1065"/>
      <c r="BF31" s="1065"/>
      <c r="BG31" s="1065"/>
    </row>
    <row r="32" spans="4:59">
      <c r="D32" s="1065"/>
      <c r="S32" s="1065"/>
      <c r="BE32" s="1065"/>
      <c r="BF32" s="1065"/>
      <c r="BG32" s="1065"/>
    </row>
    <row r="33" spans="4:59">
      <c r="D33" s="1065"/>
      <c r="S33" s="1065"/>
      <c r="AQ33" s="302"/>
      <c r="AR33" s="302"/>
      <c r="AS33" s="302"/>
      <c r="BE33" s="1065"/>
      <c r="BF33" s="1065"/>
      <c r="BG33" s="1065"/>
    </row>
    <row r="34" spans="4:59">
      <c r="D34" s="1065"/>
      <c r="S34" s="1065"/>
      <c r="AQ34" s="302"/>
      <c r="AR34" s="302"/>
      <c r="BE34" s="1065"/>
      <c r="BF34" s="1065"/>
      <c r="BG34" s="1065"/>
    </row>
    <row r="35" spans="4:59">
      <c r="D35" s="1065"/>
      <c r="S35" s="1065"/>
      <c r="BE35" s="1065"/>
      <c r="BF35" s="1065"/>
      <c r="BG35" s="1065"/>
    </row>
    <row r="36" spans="4:59">
      <c r="D36" s="1065"/>
      <c r="S36" s="1065"/>
      <c r="BE36" s="1065"/>
      <c r="BF36" s="1065"/>
      <c r="BG36" s="1065"/>
    </row>
    <row r="37" spans="4:59">
      <c r="D37" s="1065"/>
      <c r="S37" s="1065"/>
      <c r="AB37" s="1065">
        <f>3.5*4</f>
        <v>14</v>
      </c>
      <c r="AC37" s="1065">
        <f>62*15000</f>
        <v>930000</v>
      </c>
      <c r="AJ37" s="302"/>
      <c r="BE37" s="1065"/>
      <c r="BF37" s="1065"/>
      <c r="BG37" s="1065"/>
    </row>
    <row r="38" spans="4:59">
      <c r="D38" s="1065"/>
      <c r="S38" s="1065"/>
      <c r="AB38" s="1065">
        <f>16*3</f>
        <v>48</v>
      </c>
      <c r="AC38" s="1065">
        <v>100000</v>
      </c>
      <c r="AJ38" s="302"/>
      <c r="BE38" s="1065"/>
      <c r="BF38" s="1065"/>
      <c r="BG38" s="1065"/>
    </row>
    <row r="39" spans="4:59">
      <c r="D39" s="1065"/>
      <c r="S39" s="1065"/>
      <c r="AB39" s="1065">
        <v>100</v>
      </c>
      <c r="AQ39" s="302"/>
      <c r="BE39" s="1065"/>
      <c r="BF39" s="1065"/>
      <c r="BG39" s="1065"/>
    </row>
    <row r="40" spans="4:59">
      <c r="D40" s="1065"/>
      <c r="S40" s="1065"/>
      <c r="AC40" s="1065">
        <f>1030000-200000</f>
        <v>830000</v>
      </c>
      <c r="AQ40" s="302"/>
      <c r="BE40" s="1065"/>
      <c r="BF40" s="1065"/>
      <c r="BG40" s="1065"/>
    </row>
    <row r="41" spans="4:59">
      <c r="D41" s="1065"/>
      <c r="S41" s="1065"/>
      <c r="BE41" s="1065"/>
      <c r="BF41" s="1065"/>
      <c r="BG41" s="1065"/>
    </row>
    <row r="42" spans="4:59">
      <c r="D42" s="1065"/>
      <c r="S42" s="1065"/>
      <c r="BE42" s="1065"/>
      <c r="BF42" s="1065"/>
      <c r="BG42" s="1065"/>
    </row>
    <row r="43" spans="4:59">
      <c r="D43" s="1065"/>
      <c r="S43" s="1065"/>
      <c r="BE43" s="1065"/>
      <c r="BF43" s="1065"/>
      <c r="BG43" s="1065"/>
    </row>
    <row r="44" spans="4:59">
      <c r="D44" s="1065"/>
      <c r="S44" s="1065"/>
      <c r="BE44" s="1065"/>
      <c r="BF44" s="1065"/>
      <c r="BG44" s="1065"/>
    </row>
    <row r="45" spans="4:59">
      <c r="D45" s="1065"/>
      <c r="S45" s="1065"/>
      <c r="BE45" s="1065"/>
      <c r="BF45" s="1065"/>
      <c r="BG45" s="1065"/>
    </row>
    <row r="46" spans="4:59">
      <c r="D46" s="1065"/>
      <c r="S46" s="1065"/>
      <c r="BE46" s="1065"/>
      <c r="BF46" s="1065"/>
      <c r="BG46" s="1065"/>
    </row>
    <row r="47" spans="4:59">
      <c r="D47" s="1065"/>
      <c r="S47" s="1065"/>
      <c r="BE47" s="1065"/>
      <c r="BF47" s="1065"/>
      <c r="BG47" s="1065"/>
    </row>
    <row r="48" spans="4:59">
      <c r="D48" s="1065"/>
      <c r="S48" s="1065"/>
      <c r="BE48" s="1065"/>
      <c r="BF48" s="1065"/>
      <c r="BG48" s="1065"/>
    </row>
    <row r="49" spans="4:59">
      <c r="D49" s="1065"/>
      <c r="S49" s="1065"/>
      <c r="BE49" s="1065"/>
      <c r="BF49" s="1065"/>
      <c r="BG49" s="1065"/>
    </row>
    <row r="50" spans="4:59">
      <c r="D50" s="1065"/>
      <c r="S50" s="1065"/>
      <c r="BE50" s="1065"/>
      <c r="BF50" s="1065"/>
      <c r="BG50" s="1065"/>
    </row>
    <row r="51" spans="4:59">
      <c r="D51" s="1065"/>
      <c r="S51" s="1065"/>
      <c r="BE51" s="1065"/>
      <c r="BF51" s="1065"/>
      <c r="BG51" s="1065"/>
    </row>
    <row r="52" spans="4:59">
      <c r="D52" s="1065"/>
      <c r="S52" s="1065"/>
      <c r="BE52" s="1065"/>
      <c r="BF52" s="1065"/>
      <c r="BG52" s="1065"/>
    </row>
    <row r="53" spans="4:59">
      <c r="D53" s="1065"/>
      <c r="S53" s="1065"/>
      <c r="BE53" s="1065"/>
      <c r="BF53" s="1065"/>
      <c r="BG53" s="1065"/>
    </row>
    <row r="54" spans="4:59">
      <c r="D54" s="1065"/>
      <c r="S54" s="1065"/>
      <c r="BE54" s="1065"/>
      <c r="BF54" s="1065"/>
      <c r="BG54" s="1065"/>
    </row>
    <row r="55" spans="4:59">
      <c r="D55" s="1065"/>
      <c r="S55" s="1065"/>
      <c r="BE55" s="1065"/>
      <c r="BF55" s="1065"/>
      <c r="BG55" s="1065"/>
    </row>
    <row r="56" spans="4:59">
      <c r="D56" s="1065"/>
      <c r="S56" s="1065"/>
      <c r="BE56" s="1065"/>
      <c r="BF56" s="1065"/>
      <c r="BG56" s="1065"/>
    </row>
    <row r="57" spans="4:59">
      <c r="D57" s="1065"/>
      <c r="S57" s="1065"/>
      <c r="BE57" s="1065"/>
      <c r="BF57" s="1065"/>
      <c r="BG57" s="1065"/>
    </row>
    <row r="58" spans="4:59">
      <c r="D58" s="1065"/>
      <c r="S58" s="1065"/>
      <c r="BE58" s="1065"/>
      <c r="BF58" s="1065"/>
      <c r="BG58" s="1065"/>
    </row>
    <row r="59" spans="4:59">
      <c r="D59" s="1065"/>
      <c r="S59" s="1065"/>
      <c r="BE59" s="1065"/>
      <c r="BF59" s="1065"/>
      <c r="BG59" s="1065"/>
    </row>
    <row r="60" spans="4:59">
      <c r="D60" s="1065"/>
      <c r="S60" s="1065"/>
      <c r="BE60" s="1065"/>
      <c r="BF60" s="1065"/>
      <c r="BG60" s="1065"/>
    </row>
    <row r="61" spans="4:59">
      <c r="D61" s="1065"/>
      <c r="S61" s="1065"/>
      <c r="BE61" s="1065"/>
      <c r="BF61" s="1065"/>
      <c r="BG61" s="1065"/>
    </row>
    <row r="62" spans="4:59">
      <c r="D62" s="1065"/>
      <c r="S62" s="1065"/>
      <c r="BE62" s="1065"/>
      <c r="BF62" s="1065"/>
      <c r="BG62" s="1065"/>
    </row>
    <row r="63" spans="4:59">
      <c r="D63" s="1065"/>
      <c r="S63" s="1065"/>
      <c r="BE63" s="1065"/>
      <c r="BF63" s="1065"/>
      <c r="BG63" s="1065"/>
    </row>
    <row r="64" spans="4:59">
      <c r="D64" s="1065"/>
      <c r="S64" s="1065"/>
      <c r="BE64" s="1065"/>
      <c r="BF64" s="1065"/>
      <c r="BG64" s="1065"/>
    </row>
    <row r="65" spans="4:59">
      <c r="D65" s="1065"/>
      <c r="S65" s="1065"/>
      <c r="BE65" s="1065"/>
      <c r="BF65" s="1065"/>
      <c r="BG65" s="1065"/>
    </row>
    <row r="66" spans="4:59">
      <c r="D66" s="1065"/>
      <c r="S66" s="1065"/>
      <c r="BE66" s="1065"/>
      <c r="BF66" s="1065"/>
      <c r="BG66" s="1065"/>
    </row>
    <row r="67" spans="4:59">
      <c r="D67" s="1065"/>
      <c r="S67" s="1065"/>
      <c r="BE67" s="1065"/>
      <c r="BF67" s="1065"/>
      <c r="BG67" s="1065"/>
    </row>
    <row r="68" spans="4:59">
      <c r="D68" s="1065"/>
      <c r="S68" s="1065"/>
      <c r="BE68" s="1065"/>
      <c r="BF68" s="1065"/>
      <c r="BG68" s="1065"/>
    </row>
    <row r="69" spans="4:59">
      <c r="D69" s="1065"/>
      <c r="S69" s="1065"/>
      <c r="BE69" s="1065"/>
      <c r="BF69" s="1065"/>
      <c r="BG69" s="1065"/>
    </row>
    <row r="70" spans="4:59">
      <c r="D70" s="1065"/>
      <c r="S70" s="1065"/>
      <c r="BE70" s="1065"/>
      <c r="BF70" s="1065"/>
      <c r="BG70" s="1065"/>
    </row>
    <row r="71" spans="4:59">
      <c r="D71" s="1065"/>
      <c r="S71" s="1065"/>
      <c r="BE71" s="1065"/>
      <c r="BF71" s="1065"/>
      <c r="BG71" s="1065"/>
    </row>
    <row r="72" spans="4:59">
      <c r="D72" s="1065"/>
      <c r="S72" s="1065"/>
      <c r="BE72" s="1065"/>
      <c r="BF72" s="1065"/>
      <c r="BG72" s="1065"/>
    </row>
    <row r="73" spans="4:59">
      <c r="D73" s="1065"/>
      <c r="S73" s="1065"/>
      <c r="BE73" s="1065"/>
      <c r="BF73" s="1065"/>
      <c r="BG73" s="1065"/>
    </row>
    <row r="74" spans="4:59">
      <c r="D74" s="1065"/>
      <c r="S74" s="1065"/>
      <c r="BE74" s="1065"/>
      <c r="BF74" s="1065"/>
      <c r="BG74" s="1065"/>
    </row>
    <row r="75" spans="4:59">
      <c r="D75" s="1065"/>
      <c r="S75" s="1065"/>
      <c r="BE75" s="1065"/>
      <c r="BF75" s="1065"/>
      <c r="BG75" s="1065"/>
    </row>
    <row r="76" spans="4:59">
      <c r="D76" s="1065"/>
      <c r="S76" s="1065"/>
      <c r="BE76" s="1065"/>
      <c r="BF76" s="1065"/>
      <c r="BG76" s="1065"/>
    </row>
    <row r="77" spans="4:59">
      <c r="D77" s="1065"/>
      <c r="S77" s="1065"/>
      <c r="BE77" s="1065"/>
      <c r="BF77" s="1065"/>
      <c r="BG77" s="1065"/>
    </row>
    <row r="78" spans="4:59">
      <c r="D78" s="1065"/>
      <c r="S78" s="1065"/>
      <c r="BE78" s="1065"/>
      <c r="BF78" s="1065"/>
      <c r="BG78" s="1065"/>
    </row>
    <row r="79" spans="4:59">
      <c r="D79" s="1065"/>
      <c r="S79" s="1065"/>
      <c r="BE79" s="1065"/>
      <c r="BF79" s="1065"/>
      <c r="BG79" s="1065"/>
    </row>
    <row r="80" spans="4:59">
      <c r="D80" s="1065"/>
      <c r="S80" s="1065"/>
      <c r="BE80" s="1065"/>
      <c r="BF80" s="1065"/>
      <c r="BG80" s="1065"/>
    </row>
    <row r="81" spans="4:59">
      <c r="D81" s="1065"/>
      <c r="S81" s="1065"/>
      <c r="BE81" s="1065"/>
      <c r="BF81" s="1065"/>
      <c r="BG81" s="1065"/>
    </row>
    <row r="82" spans="4:59">
      <c r="D82" s="1065"/>
      <c r="S82" s="1065"/>
      <c r="BE82" s="1065"/>
      <c r="BF82" s="1065"/>
      <c r="BG82" s="1065"/>
    </row>
    <row r="83" spans="4:59">
      <c r="D83" s="1065"/>
      <c r="S83" s="1065"/>
      <c r="BE83" s="1065"/>
      <c r="BF83" s="1065"/>
      <c r="BG83" s="1065"/>
    </row>
    <row r="84" spans="4:59">
      <c r="D84" s="1065"/>
      <c r="S84" s="1065"/>
      <c r="BE84" s="1065"/>
      <c r="BF84" s="1065"/>
      <c r="BG84" s="1065"/>
    </row>
    <row r="85" spans="4:59">
      <c r="D85" s="1065"/>
      <c r="S85" s="1065"/>
      <c r="BE85" s="1065"/>
      <c r="BF85" s="1065"/>
      <c r="BG85" s="1065"/>
    </row>
    <row r="86" spans="4:59">
      <c r="D86" s="1065"/>
      <c r="S86" s="1065"/>
      <c r="BE86" s="1065"/>
      <c r="BF86" s="1065"/>
      <c r="BG86" s="1065"/>
    </row>
    <row r="87" spans="4:59">
      <c r="D87" s="1065"/>
      <c r="S87" s="1065"/>
      <c r="BE87" s="1065"/>
      <c r="BF87" s="1065"/>
      <c r="BG87" s="1065"/>
    </row>
    <row r="88" spans="4:59">
      <c r="D88" s="1065"/>
      <c r="S88" s="1065"/>
      <c r="BE88" s="1065"/>
      <c r="BF88" s="1065"/>
      <c r="BG88" s="1065"/>
    </row>
    <row r="89" spans="4:59">
      <c r="D89" s="1065"/>
      <c r="S89" s="1065"/>
      <c r="BE89" s="1065"/>
      <c r="BF89" s="1065"/>
      <c r="BG89" s="1065"/>
    </row>
    <row r="90" spans="4:59">
      <c r="D90" s="1065"/>
      <c r="S90" s="1065"/>
      <c r="BE90" s="1065"/>
      <c r="BF90" s="1065"/>
      <c r="BG90" s="1065"/>
    </row>
    <row r="91" spans="4:59">
      <c r="D91" s="1065"/>
      <c r="S91" s="1065"/>
      <c r="BE91" s="1065"/>
      <c r="BF91" s="1065"/>
      <c r="BG91" s="1065"/>
    </row>
    <row r="92" spans="4:59">
      <c r="D92" s="1065"/>
      <c r="S92" s="1065"/>
      <c r="BE92" s="1065"/>
      <c r="BF92" s="1065"/>
      <c r="BG92" s="1065"/>
    </row>
    <row r="93" spans="4:59">
      <c r="D93" s="1065"/>
      <c r="S93" s="1065"/>
      <c r="BE93" s="1065"/>
      <c r="BF93" s="1065"/>
      <c r="BG93" s="1065"/>
    </row>
    <row r="94" spans="4:59">
      <c r="D94" s="1065"/>
      <c r="S94" s="1065"/>
      <c r="BE94" s="1065"/>
      <c r="BF94" s="1065"/>
      <c r="BG94" s="1065"/>
    </row>
    <row r="95" spans="4:59">
      <c r="D95" s="1065"/>
      <c r="S95" s="1065"/>
      <c r="BE95" s="1065"/>
      <c r="BF95" s="1065"/>
      <c r="BG95" s="1065"/>
    </row>
    <row r="96" spans="4:59">
      <c r="D96" s="1065"/>
      <c r="S96" s="1065"/>
      <c r="BE96" s="1065"/>
      <c r="BF96" s="1065"/>
      <c r="BG96" s="1065"/>
    </row>
    <row r="97" spans="4:59">
      <c r="D97" s="1065"/>
      <c r="S97" s="1065"/>
      <c r="BE97" s="1065"/>
      <c r="BF97" s="1065"/>
      <c r="BG97" s="1065"/>
    </row>
    <row r="98" spans="4:59">
      <c r="D98" s="1065"/>
      <c r="S98" s="1065"/>
      <c r="BE98" s="1065"/>
      <c r="BF98" s="1065"/>
      <c r="BG98" s="1065"/>
    </row>
    <row r="99" spans="4:59">
      <c r="D99" s="1065"/>
      <c r="S99" s="1065"/>
      <c r="BE99" s="1065"/>
      <c r="BF99" s="1065"/>
      <c r="BG99" s="1065"/>
    </row>
    <row r="100" spans="4:59">
      <c r="D100" s="1065"/>
      <c r="S100" s="1065"/>
      <c r="BE100" s="1065"/>
      <c r="BF100" s="1065"/>
      <c r="BG100" s="1065"/>
    </row>
    <row r="101" spans="4:59">
      <c r="D101" s="1065"/>
      <c r="S101" s="1065"/>
      <c r="BE101" s="1065"/>
      <c r="BF101" s="1065"/>
      <c r="BG101" s="1065"/>
    </row>
    <row r="102" spans="4:59">
      <c r="D102" s="1065"/>
      <c r="S102" s="1065"/>
      <c r="BE102" s="1065"/>
      <c r="BF102" s="1065"/>
      <c r="BG102" s="1065"/>
    </row>
    <row r="103" spans="4:59">
      <c r="D103" s="1065"/>
      <c r="S103" s="1065"/>
      <c r="BE103" s="1065"/>
      <c r="BF103" s="1065"/>
      <c r="BG103" s="1065"/>
    </row>
    <row r="104" spans="4:59">
      <c r="D104" s="1065"/>
      <c r="S104" s="1065"/>
      <c r="BE104" s="1065"/>
      <c r="BF104" s="1065"/>
      <c r="BG104" s="1065"/>
    </row>
    <row r="105" spans="4:59">
      <c r="D105" s="1065"/>
      <c r="S105" s="1065"/>
      <c r="BE105" s="1065"/>
      <c r="BF105" s="1065"/>
      <c r="BG105" s="1065"/>
    </row>
    <row r="106" spans="4:59">
      <c r="D106" s="1065"/>
      <c r="S106" s="1065"/>
      <c r="BE106" s="1065"/>
      <c r="BF106" s="1065"/>
      <c r="BG106" s="1065"/>
    </row>
    <row r="107" spans="4:59">
      <c r="D107" s="1065"/>
      <c r="S107" s="1065"/>
      <c r="BE107" s="1065"/>
      <c r="BF107" s="1065"/>
      <c r="BG107" s="1065"/>
    </row>
    <row r="108" spans="4:59">
      <c r="D108" s="1065"/>
      <c r="S108" s="1065"/>
      <c r="BE108" s="1065"/>
      <c r="BF108" s="1065"/>
      <c r="BG108" s="1065"/>
    </row>
    <row r="109" spans="4:59">
      <c r="D109" s="1065"/>
      <c r="S109" s="1065"/>
      <c r="BE109" s="1065"/>
      <c r="BF109" s="1065"/>
      <c r="BG109" s="1065"/>
    </row>
    <row r="110" spans="4:59">
      <c r="D110" s="1065"/>
      <c r="S110" s="1065"/>
      <c r="BE110" s="1065"/>
      <c r="BF110" s="1065"/>
      <c r="BG110" s="1065"/>
    </row>
    <row r="111" spans="4:59">
      <c r="D111" s="1065"/>
      <c r="S111" s="1065"/>
      <c r="BE111" s="1065"/>
      <c r="BF111" s="1065"/>
      <c r="BG111" s="1065"/>
    </row>
    <row r="112" spans="4:59">
      <c r="D112" s="1065"/>
      <c r="S112" s="1065"/>
      <c r="BE112" s="1065"/>
      <c r="BF112" s="1065"/>
      <c r="BG112" s="1065"/>
    </row>
    <row r="113" spans="4:59">
      <c r="D113" s="1065"/>
      <c r="S113" s="1065"/>
      <c r="BE113" s="1065"/>
      <c r="BF113" s="1065"/>
      <c r="BG113" s="1065"/>
    </row>
    <row r="114" spans="4:59">
      <c r="D114" s="1065"/>
      <c r="S114" s="1065"/>
      <c r="BE114" s="1065"/>
      <c r="BF114" s="1065"/>
      <c r="BG114" s="1065"/>
    </row>
    <row r="115" spans="4:59">
      <c r="D115" s="1065"/>
      <c r="S115" s="1065"/>
      <c r="BE115" s="1065"/>
      <c r="BF115" s="1065"/>
      <c r="BG115" s="1065"/>
    </row>
    <row r="116" spans="4:59">
      <c r="D116" s="1065"/>
      <c r="S116" s="1065"/>
      <c r="BE116" s="1065"/>
      <c r="BF116" s="1065"/>
      <c r="BG116" s="1065"/>
    </row>
    <row r="117" spans="4:59">
      <c r="D117" s="1065"/>
      <c r="S117" s="1065"/>
      <c r="BE117" s="1065"/>
      <c r="BF117" s="1065"/>
      <c r="BG117" s="1065"/>
    </row>
    <row r="118" spans="4:59">
      <c r="D118" s="1065"/>
      <c r="S118" s="1065"/>
      <c r="BE118" s="1065"/>
      <c r="BF118" s="1065"/>
      <c r="BG118" s="1065"/>
    </row>
    <row r="119" spans="4:59">
      <c r="D119" s="1065"/>
      <c r="S119" s="1065"/>
      <c r="BE119" s="1065"/>
      <c r="BF119" s="1065"/>
      <c r="BG119" s="1065"/>
    </row>
    <row r="120" spans="4:59">
      <c r="D120" s="1065"/>
      <c r="S120" s="1065"/>
      <c r="BE120" s="1065"/>
      <c r="BF120" s="1065"/>
      <c r="BG120" s="1065"/>
    </row>
    <row r="121" spans="4:59">
      <c r="D121" s="1065"/>
      <c r="S121" s="1065"/>
      <c r="BE121" s="1065"/>
      <c r="BF121" s="1065"/>
      <c r="BG121" s="1065"/>
    </row>
    <row r="122" spans="4:59">
      <c r="D122" s="1065"/>
      <c r="S122" s="1065"/>
      <c r="BE122" s="1065"/>
      <c r="BF122" s="1065"/>
      <c r="BG122" s="1065"/>
    </row>
    <row r="123" spans="4:59">
      <c r="D123" s="1065"/>
      <c r="S123" s="1065"/>
      <c r="BE123" s="1065"/>
      <c r="BF123" s="1065"/>
      <c r="BG123" s="1065"/>
    </row>
    <row r="124" spans="4:59">
      <c r="D124" s="1065"/>
      <c r="S124" s="1065"/>
      <c r="BE124" s="1065"/>
      <c r="BF124" s="1065"/>
      <c r="BG124" s="1065"/>
    </row>
    <row r="125" spans="4:59">
      <c r="D125" s="1065"/>
      <c r="S125" s="1065"/>
      <c r="BE125" s="1065"/>
      <c r="BF125" s="1065"/>
      <c r="BG125" s="1065"/>
    </row>
    <row r="126" spans="4:59">
      <c r="D126" s="1065"/>
      <c r="S126" s="1065"/>
      <c r="BE126" s="1065"/>
      <c r="BF126" s="1065"/>
      <c r="BG126" s="1065"/>
    </row>
    <row r="127" spans="4:59">
      <c r="D127" s="1065"/>
      <c r="S127" s="1065"/>
      <c r="BE127" s="1065"/>
      <c r="BF127" s="1065"/>
      <c r="BG127" s="1065"/>
    </row>
    <row r="128" spans="4:59">
      <c r="D128" s="1065"/>
      <c r="S128" s="1065"/>
      <c r="BE128" s="1065"/>
      <c r="BF128" s="1065"/>
      <c r="BG128" s="1065"/>
    </row>
    <row r="129" spans="4:59">
      <c r="D129" s="1065"/>
      <c r="S129" s="1065"/>
      <c r="BE129" s="1065"/>
      <c r="BF129" s="1065"/>
      <c r="BG129" s="1065"/>
    </row>
    <row r="130" spans="4:59">
      <c r="D130" s="1065"/>
      <c r="S130" s="1065"/>
      <c r="BE130" s="1065"/>
      <c r="BF130" s="1065"/>
      <c r="BG130" s="1065"/>
    </row>
    <row r="131" spans="4:59">
      <c r="D131" s="1065"/>
      <c r="S131" s="1065"/>
      <c r="BE131" s="1065"/>
      <c r="BF131" s="1065"/>
      <c r="BG131" s="1065"/>
    </row>
    <row r="132" spans="4:59">
      <c r="D132" s="1065"/>
      <c r="S132" s="1065"/>
      <c r="BE132" s="1065"/>
      <c r="BF132" s="1065"/>
      <c r="BG132" s="1065"/>
    </row>
    <row r="133" spans="4:59">
      <c r="D133" s="1065"/>
      <c r="S133" s="1065"/>
      <c r="BE133" s="1065"/>
      <c r="BF133" s="1065"/>
      <c r="BG133" s="1065"/>
    </row>
    <row r="134" spans="4:59">
      <c r="D134" s="1065"/>
      <c r="S134" s="1065"/>
      <c r="BE134" s="1065"/>
      <c r="BF134" s="1065"/>
      <c r="BG134" s="1065"/>
    </row>
    <row r="135" spans="4:59">
      <c r="D135" s="1065"/>
      <c r="S135" s="1065"/>
      <c r="BE135" s="1065"/>
      <c r="BF135" s="1065"/>
      <c r="BG135" s="1065"/>
    </row>
    <row r="136" spans="4:59">
      <c r="D136" s="1065"/>
      <c r="S136" s="1065"/>
      <c r="BE136" s="1065"/>
      <c r="BF136" s="1065"/>
      <c r="BG136" s="1065"/>
    </row>
    <row r="137" spans="4:59">
      <c r="D137" s="1065"/>
      <c r="S137" s="1065"/>
      <c r="BE137" s="1065"/>
      <c r="BF137" s="1065"/>
      <c r="BG137" s="1065"/>
    </row>
    <row r="138" spans="4:59">
      <c r="D138" s="1065"/>
      <c r="S138" s="1065"/>
      <c r="BE138" s="1065"/>
      <c r="BF138" s="1065"/>
      <c r="BG138" s="1065"/>
    </row>
    <row r="139" spans="4:59">
      <c r="D139" s="1065"/>
      <c r="S139" s="1065"/>
      <c r="BE139" s="1065"/>
      <c r="BF139" s="1065"/>
      <c r="BG139" s="1065"/>
    </row>
    <row r="140" spans="4:59">
      <c r="D140" s="1065"/>
      <c r="S140" s="1065"/>
      <c r="BE140" s="1065"/>
      <c r="BF140" s="1065"/>
      <c r="BG140" s="1065"/>
    </row>
    <row r="141" spans="4:59">
      <c r="D141" s="1065"/>
      <c r="S141" s="1065"/>
      <c r="BE141" s="1065"/>
      <c r="BF141" s="1065"/>
      <c r="BG141" s="1065"/>
    </row>
    <row r="142" spans="4:59">
      <c r="D142" s="1065"/>
      <c r="S142" s="1065"/>
      <c r="BE142" s="1065"/>
      <c r="BF142" s="1065"/>
      <c r="BG142" s="1065"/>
    </row>
    <row r="143" spans="4:59">
      <c r="D143" s="1065"/>
      <c r="S143" s="1065"/>
      <c r="BE143" s="1065"/>
      <c r="BF143" s="1065"/>
      <c r="BG143" s="1065"/>
    </row>
    <row r="144" spans="4:59">
      <c r="D144" s="1065"/>
      <c r="S144" s="1065"/>
      <c r="BE144" s="1065"/>
      <c r="BF144" s="1065"/>
      <c r="BG144" s="1065"/>
    </row>
    <row r="145" spans="4:59">
      <c r="D145" s="1065"/>
      <c r="S145" s="1065"/>
      <c r="BE145" s="1065"/>
      <c r="BF145" s="1065"/>
      <c r="BG145" s="1065"/>
    </row>
    <row r="146" spans="4:59">
      <c r="D146" s="1065"/>
      <c r="S146" s="1065"/>
      <c r="BE146" s="1065"/>
      <c r="BF146" s="1065"/>
      <c r="BG146" s="1065"/>
    </row>
    <row r="147" spans="4:59">
      <c r="D147" s="1065"/>
      <c r="S147" s="1065"/>
      <c r="BE147" s="1065"/>
      <c r="BF147" s="1065"/>
      <c r="BG147" s="1065"/>
    </row>
    <row r="148" spans="4:59">
      <c r="D148" s="1065"/>
      <c r="S148" s="1065"/>
      <c r="BE148" s="1065"/>
      <c r="BF148" s="1065"/>
      <c r="BG148" s="1065"/>
    </row>
    <row r="149" spans="4:59">
      <c r="D149" s="1065"/>
      <c r="S149" s="1065"/>
      <c r="BE149" s="1065"/>
      <c r="BF149" s="1065"/>
      <c r="BG149" s="1065"/>
    </row>
    <row r="150" spans="4:59">
      <c r="D150" s="1065"/>
      <c r="S150" s="1065"/>
      <c r="BE150" s="1065"/>
      <c r="BF150" s="1065"/>
      <c r="BG150" s="1065"/>
    </row>
    <row r="151" spans="4:59">
      <c r="D151" s="1065"/>
      <c r="S151" s="1065"/>
      <c r="BE151" s="1065"/>
      <c r="BF151" s="1065"/>
      <c r="BG151" s="1065"/>
    </row>
    <row r="152" spans="4:59">
      <c r="D152" s="1065"/>
      <c r="S152" s="1065"/>
      <c r="BE152" s="1065"/>
      <c r="BF152" s="1065"/>
      <c r="BG152" s="1065"/>
    </row>
    <row r="153" spans="4:59">
      <c r="D153" s="1065"/>
      <c r="S153" s="1065"/>
      <c r="BE153" s="1065"/>
      <c r="BF153" s="1065"/>
      <c r="BG153" s="1065"/>
    </row>
    <row r="154" spans="4:59">
      <c r="D154" s="1065"/>
      <c r="S154" s="1065"/>
      <c r="BE154" s="1065"/>
      <c r="BF154" s="1065"/>
      <c r="BG154" s="1065"/>
    </row>
    <row r="155" spans="4:59">
      <c r="D155" s="1065"/>
      <c r="S155" s="1065"/>
      <c r="BE155" s="1065"/>
      <c r="BF155" s="1065"/>
      <c r="BG155" s="1065"/>
    </row>
    <row r="156" spans="4:59">
      <c r="D156" s="1065"/>
      <c r="S156" s="1065"/>
      <c r="BE156" s="1065"/>
      <c r="BF156" s="1065"/>
      <c r="BG156" s="1065"/>
    </row>
    <row r="157" spans="4:59">
      <c r="D157" s="1065"/>
      <c r="S157" s="1065"/>
      <c r="BE157" s="1065"/>
      <c r="BF157" s="1065"/>
      <c r="BG157" s="1065"/>
    </row>
    <row r="158" spans="4:59">
      <c r="D158" s="1065"/>
      <c r="S158" s="1065"/>
      <c r="BE158" s="1065"/>
      <c r="BF158" s="1065"/>
      <c r="BG158" s="1065"/>
    </row>
    <row r="159" spans="4:59">
      <c r="D159" s="1065"/>
      <c r="S159" s="1065"/>
      <c r="BE159" s="1065"/>
      <c r="BF159" s="1065"/>
      <c r="BG159" s="1065"/>
    </row>
    <row r="160" spans="4:59">
      <c r="D160" s="1065"/>
      <c r="S160" s="1065"/>
      <c r="BE160" s="1065"/>
      <c r="BF160" s="1065"/>
      <c r="BG160" s="1065"/>
    </row>
    <row r="161" spans="4:59">
      <c r="D161" s="1065"/>
      <c r="S161" s="1065"/>
      <c r="BE161" s="1065"/>
      <c r="BF161" s="1065"/>
      <c r="BG161" s="1065"/>
    </row>
    <row r="162" spans="4:59">
      <c r="D162" s="1065"/>
      <c r="S162" s="1065"/>
      <c r="BE162" s="1065"/>
      <c r="BF162" s="1065"/>
      <c r="BG162" s="1065"/>
    </row>
    <row r="163" spans="4:59">
      <c r="D163" s="1065"/>
      <c r="S163" s="1065"/>
      <c r="BE163" s="1065"/>
      <c r="BF163" s="1065"/>
      <c r="BG163" s="1065"/>
    </row>
    <row r="164" spans="4:59">
      <c r="D164" s="1065"/>
      <c r="S164" s="1065"/>
      <c r="BE164" s="1065"/>
      <c r="BF164" s="1065"/>
      <c r="BG164" s="1065"/>
    </row>
    <row r="165" spans="4:59">
      <c r="D165" s="1065"/>
      <c r="S165" s="1065"/>
      <c r="BE165" s="1065"/>
      <c r="BF165" s="1065"/>
      <c r="BG165" s="1065"/>
    </row>
    <row r="166" spans="4:59">
      <c r="D166" s="1065"/>
      <c r="S166" s="1065"/>
      <c r="BE166" s="1065"/>
      <c r="BF166" s="1065"/>
      <c r="BG166" s="1065"/>
    </row>
    <row r="167" spans="4:59">
      <c r="D167" s="1065"/>
      <c r="S167" s="1065"/>
      <c r="BE167" s="1065"/>
      <c r="BF167" s="1065"/>
      <c r="BG167" s="1065"/>
    </row>
    <row r="168" spans="4:59">
      <c r="D168" s="1065"/>
      <c r="S168" s="1065"/>
      <c r="BE168" s="1065"/>
      <c r="BF168" s="1065"/>
      <c r="BG168" s="1065"/>
    </row>
    <row r="169" spans="4:59">
      <c r="D169" s="1065"/>
      <c r="S169" s="1065"/>
      <c r="BE169" s="1065"/>
      <c r="BF169" s="1065"/>
      <c r="BG169" s="1065"/>
    </row>
    <row r="170" spans="4:59">
      <c r="D170" s="1065"/>
      <c r="S170" s="1065"/>
      <c r="BE170" s="1065"/>
      <c r="BF170" s="1065"/>
      <c r="BG170" s="1065"/>
    </row>
    <row r="171" spans="4:59">
      <c r="D171" s="1065"/>
      <c r="S171" s="1065"/>
      <c r="BE171" s="1065"/>
      <c r="BF171" s="1065"/>
      <c r="BG171" s="1065"/>
    </row>
    <row r="175" spans="4:59">
      <c r="D175" s="1065"/>
      <c r="S175" s="1065"/>
      <c r="BE175" s="1065"/>
      <c r="BF175" s="1065"/>
      <c r="BG175" s="1065"/>
    </row>
    <row r="176" spans="4:59">
      <c r="D176" s="1065"/>
      <c r="S176" s="1065"/>
      <c r="BE176" s="1065"/>
      <c r="BF176" s="1065"/>
      <c r="BG176" s="1065"/>
    </row>
    <row r="178" spans="4:59">
      <c r="D178" s="1065"/>
      <c r="S178" s="1065"/>
      <c r="BE178" s="1065"/>
      <c r="BF178" s="1065"/>
      <c r="BG178" s="1065"/>
    </row>
    <row r="179" spans="4:59">
      <c r="D179" s="1065"/>
      <c r="S179" s="1065"/>
      <c r="BE179" s="1065"/>
      <c r="BF179" s="1065"/>
      <c r="BG179" s="1065"/>
    </row>
    <row r="180" spans="4:59">
      <c r="D180" s="1065"/>
      <c r="S180" s="1065"/>
      <c r="BE180" s="1065"/>
      <c r="BF180" s="1065"/>
      <c r="BG180" s="1065"/>
    </row>
    <row r="181" spans="4:59">
      <c r="D181" s="1065"/>
      <c r="S181" s="1065"/>
      <c r="BE181" s="1065"/>
      <c r="BF181" s="1065"/>
      <c r="BG181" s="1065"/>
    </row>
    <row r="182" spans="4:59">
      <c r="D182" s="1065"/>
      <c r="S182" s="1065"/>
      <c r="BE182" s="1065"/>
      <c r="BF182" s="1065"/>
      <c r="BG182" s="1065"/>
    </row>
    <row r="183" spans="4:59">
      <c r="D183" s="1065"/>
      <c r="S183" s="1065"/>
      <c r="BE183" s="1065"/>
      <c r="BF183" s="1065"/>
      <c r="BG183" s="1065"/>
    </row>
    <row r="184" spans="4:59">
      <c r="D184" s="1065"/>
      <c r="S184" s="1065"/>
      <c r="BE184" s="1065"/>
      <c r="BF184" s="1065"/>
      <c r="BG184" s="1065"/>
    </row>
    <row r="185" spans="4:59">
      <c r="D185" s="1065"/>
      <c r="S185" s="1065"/>
      <c r="BE185" s="1065"/>
      <c r="BF185" s="1065"/>
      <c r="BG185" s="1065"/>
    </row>
    <row r="186" spans="4:59">
      <c r="D186" s="1065"/>
      <c r="S186" s="1065"/>
      <c r="BE186" s="1065"/>
      <c r="BF186" s="1065"/>
      <c r="BG186" s="1065"/>
    </row>
    <row r="187" spans="4:59">
      <c r="D187" s="1065"/>
      <c r="S187" s="1065"/>
      <c r="BE187" s="1065"/>
      <c r="BF187" s="1065"/>
      <c r="BG187" s="1065"/>
    </row>
    <row r="188" spans="4:59">
      <c r="D188" s="1065"/>
      <c r="S188" s="1065"/>
      <c r="BE188" s="1065"/>
      <c r="BF188" s="1065"/>
      <c r="BG188" s="1065"/>
    </row>
    <row r="189" spans="4:59">
      <c r="D189" s="1065"/>
      <c r="S189" s="1065"/>
      <c r="BE189" s="1065"/>
      <c r="BF189" s="1065"/>
      <c r="BG189" s="1065"/>
    </row>
    <row r="190" spans="4:59">
      <c r="D190" s="1065"/>
      <c r="S190" s="1065"/>
      <c r="BE190" s="1065"/>
      <c r="BF190" s="1065"/>
      <c r="BG190" s="1065"/>
    </row>
    <row r="191" spans="4:59">
      <c r="D191" s="1065"/>
      <c r="S191" s="1065"/>
      <c r="BE191" s="1065"/>
      <c r="BF191" s="1065"/>
      <c r="BG191" s="1065"/>
    </row>
    <row r="192" spans="4:59">
      <c r="D192" s="1065"/>
      <c r="S192" s="1065"/>
      <c r="BE192" s="1065"/>
      <c r="BF192" s="1065"/>
      <c r="BG192" s="1065"/>
    </row>
    <row r="193" spans="4:59">
      <c r="D193" s="1065"/>
      <c r="S193" s="1065"/>
      <c r="BE193" s="1065"/>
      <c r="BF193" s="1065"/>
      <c r="BG193" s="1065"/>
    </row>
    <row r="194" spans="4:59">
      <c r="D194" s="1065"/>
      <c r="S194" s="1065"/>
      <c r="BE194" s="1065"/>
      <c r="BF194" s="1065"/>
      <c r="BG194" s="1065"/>
    </row>
    <row r="195" spans="4:59">
      <c r="D195" s="1065"/>
      <c r="S195" s="1065"/>
      <c r="BE195" s="1065"/>
      <c r="BF195" s="1065"/>
      <c r="BG195" s="1065"/>
    </row>
    <row r="196" spans="4:59">
      <c r="D196" s="1065"/>
      <c r="S196" s="1065"/>
      <c r="BE196" s="1065"/>
      <c r="BF196" s="1065"/>
      <c r="BG196" s="1065"/>
    </row>
    <row r="197" spans="4:59">
      <c r="D197" s="1065"/>
      <c r="S197" s="1065"/>
      <c r="BE197" s="1065"/>
      <c r="BF197" s="1065"/>
      <c r="BG197" s="1065"/>
    </row>
    <row r="198" spans="4:59">
      <c r="D198" s="1065"/>
      <c r="S198" s="1065"/>
      <c r="BE198" s="1065"/>
      <c r="BF198" s="1065"/>
      <c r="BG198" s="1065"/>
    </row>
    <row r="199" spans="4:59">
      <c r="D199" s="1065"/>
      <c r="S199" s="1065"/>
      <c r="BE199" s="1065"/>
      <c r="BF199" s="1065"/>
      <c r="BG199" s="1065"/>
    </row>
    <row r="200" spans="4:59">
      <c r="D200" s="1065"/>
      <c r="S200" s="1065"/>
      <c r="BE200" s="1065"/>
      <c r="BF200" s="1065"/>
      <c r="BG200" s="1065"/>
    </row>
    <row r="201" spans="4:59">
      <c r="D201" s="1065"/>
      <c r="S201" s="1065"/>
      <c r="BE201" s="1065"/>
      <c r="BF201" s="1065"/>
      <c r="BG201" s="1065"/>
    </row>
    <row r="202" spans="4:59">
      <c r="D202" s="1065"/>
      <c r="S202" s="1065"/>
      <c r="BE202" s="1065"/>
      <c r="BF202" s="1065"/>
      <c r="BG202" s="1065"/>
    </row>
    <row r="203" spans="4:59">
      <c r="D203" s="1065"/>
      <c r="S203" s="1065"/>
      <c r="BE203" s="1065"/>
      <c r="BF203" s="1065"/>
      <c r="BG203" s="1065"/>
    </row>
    <row r="204" spans="4:59">
      <c r="D204" s="1065"/>
      <c r="S204" s="1065"/>
      <c r="BE204" s="1065"/>
      <c r="BF204" s="1065"/>
      <c r="BG204" s="1065"/>
    </row>
    <row r="205" spans="4:59">
      <c r="D205" s="1065"/>
      <c r="S205" s="1065"/>
      <c r="BE205" s="1065"/>
      <c r="BF205" s="1065"/>
      <c r="BG205" s="1065"/>
    </row>
    <row r="206" spans="4:59">
      <c r="D206" s="1065"/>
      <c r="S206" s="1065"/>
      <c r="BE206" s="1065"/>
      <c r="BF206" s="1065"/>
      <c r="BG206" s="1065"/>
    </row>
    <row r="207" spans="4:59">
      <c r="D207" s="1065"/>
      <c r="S207" s="1065"/>
      <c r="BE207" s="1065"/>
      <c r="BF207" s="1065"/>
      <c r="BG207" s="1065"/>
    </row>
    <row r="208" spans="4:59">
      <c r="D208" s="1065"/>
      <c r="S208" s="1065"/>
      <c r="BE208" s="1065"/>
      <c r="BF208" s="1065"/>
      <c r="BG208" s="1065"/>
    </row>
    <row r="209" spans="4:59">
      <c r="D209" s="1065"/>
      <c r="S209" s="1065"/>
      <c r="BE209" s="1065"/>
      <c r="BF209" s="1065"/>
      <c r="BG209" s="1065"/>
    </row>
    <row r="210" spans="4:59">
      <c r="D210" s="1065"/>
      <c r="S210" s="1065"/>
      <c r="BE210" s="1065"/>
      <c r="BF210" s="1065"/>
      <c r="BG210" s="1065"/>
    </row>
    <row r="211" spans="4:59">
      <c r="D211" s="1065"/>
      <c r="S211" s="1065"/>
      <c r="BE211" s="1065"/>
      <c r="BF211" s="1065"/>
      <c r="BG211" s="1065"/>
    </row>
    <row r="212" spans="4:59">
      <c r="D212" s="1065"/>
      <c r="S212" s="1065"/>
      <c r="BE212" s="1065"/>
      <c r="BF212" s="1065"/>
      <c r="BG212" s="1065"/>
    </row>
    <row r="213" spans="4:59">
      <c r="D213" s="1065"/>
      <c r="S213" s="1065"/>
      <c r="BE213" s="1065"/>
      <c r="BF213" s="1065"/>
      <c r="BG213" s="1065"/>
    </row>
    <row r="214" spans="4:59">
      <c r="D214" s="1065"/>
      <c r="S214" s="1065"/>
      <c r="BE214" s="1065"/>
      <c r="BF214" s="1065"/>
      <c r="BG214" s="1065"/>
    </row>
    <row r="215" spans="4:59">
      <c r="D215" s="1065"/>
      <c r="S215" s="1065"/>
      <c r="BE215" s="1065"/>
      <c r="BF215" s="1065"/>
      <c r="BG215" s="1065"/>
    </row>
    <row r="216" spans="4:59">
      <c r="D216" s="1065"/>
      <c r="S216" s="1065"/>
      <c r="BE216" s="1065"/>
      <c r="BF216" s="1065"/>
      <c r="BG216" s="1065"/>
    </row>
    <row r="217" spans="4:59">
      <c r="D217" s="1065"/>
      <c r="S217" s="1065"/>
      <c r="BE217" s="1065"/>
      <c r="BF217" s="1065"/>
      <c r="BG217" s="1065"/>
    </row>
    <row r="218" spans="4:59">
      <c r="D218" s="1065"/>
      <c r="S218" s="1065"/>
      <c r="BE218" s="1065"/>
      <c r="BF218" s="1065"/>
      <c r="BG218" s="1065"/>
    </row>
    <row r="219" spans="4:59">
      <c r="D219" s="1065"/>
      <c r="S219" s="1065"/>
      <c r="BE219" s="1065"/>
      <c r="BF219" s="1065"/>
      <c r="BG219" s="1065"/>
    </row>
    <row r="220" spans="4:59">
      <c r="D220" s="1065"/>
      <c r="S220" s="1065"/>
      <c r="BE220" s="1065"/>
      <c r="BF220" s="1065"/>
      <c r="BG220" s="1065"/>
    </row>
    <row r="221" spans="4:59">
      <c r="D221" s="1065"/>
      <c r="S221" s="1065"/>
      <c r="BE221" s="1065"/>
      <c r="BF221" s="1065"/>
      <c r="BG221" s="1065"/>
    </row>
    <row r="222" spans="4:59">
      <c r="D222" s="1065"/>
      <c r="S222" s="1065"/>
      <c r="BE222" s="1065"/>
      <c r="BF222" s="1065"/>
      <c r="BG222" s="1065"/>
    </row>
    <row r="223" spans="4:59">
      <c r="D223" s="1065"/>
      <c r="S223" s="1065"/>
      <c r="BE223" s="1065"/>
      <c r="BF223" s="1065"/>
      <c r="BG223" s="1065"/>
    </row>
    <row r="224" spans="4:59">
      <c r="D224" s="1065"/>
      <c r="S224" s="1065"/>
      <c r="BE224" s="1065"/>
      <c r="BF224" s="1065"/>
      <c r="BG224" s="1065"/>
    </row>
    <row r="225" spans="4:59">
      <c r="D225" s="1065"/>
      <c r="S225" s="1065"/>
      <c r="BE225" s="1065"/>
      <c r="BF225" s="1065"/>
      <c r="BG225" s="1065"/>
    </row>
    <row r="226" spans="4:59">
      <c r="D226" s="1065"/>
      <c r="S226" s="1065"/>
      <c r="BE226" s="1065"/>
      <c r="BF226" s="1065"/>
      <c r="BG226" s="1065"/>
    </row>
    <row r="227" spans="4:59">
      <c r="D227" s="1065"/>
      <c r="S227" s="1065"/>
      <c r="BE227" s="1065"/>
      <c r="BF227" s="1065"/>
      <c r="BG227" s="1065"/>
    </row>
    <row r="228" spans="4:59">
      <c r="D228" s="1065"/>
      <c r="S228" s="1065"/>
      <c r="BE228" s="1065"/>
      <c r="BF228" s="1065"/>
      <c r="BG228" s="1065"/>
    </row>
    <row r="229" spans="4:59">
      <c r="D229" s="1065"/>
      <c r="S229" s="1065"/>
      <c r="BE229" s="1065"/>
      <c r="BF229" s="1065"/>
      <c r="BG229" s="1065"/>
    </row>
    <row r="230" spans="4:59">
      <c r="D230" s="1065"/>
      <c r="S230" s="1065"/>
      <c r="BE230" s="1065"/>
      <c r="BF230" s="1065"/>
      <c r="BG230" s="1065"/>
    </row>
    <row r="231" spans="4:59">
      <c r="D231" s="1065"/>
      <c r="S231" s="1065"/>
      <c r="BE231" s="1065"/>
      <c r="BF231" s="1065"/>
      <c r="BG231" s="1065"/>
    </row>
    <row r="232" spans="4:59">
      <c r="D232" s="1065"/>
      <c r="S232" s="1065"/>
      <c r="BE232" s="1065"/>
      <c r="BF232" s="1065"/>
      <c r="BG232" s="1065"/>
    </row>
    <row r="233" spans="4:59">
      <c r="D233" s="1065"/>
      <c r="S233" s="1065"/>
      <c r="BE233" s="1065"/>
      <c r="BF233" s="1065"/>
      <c r="BG233" s="1065"/>
    </row>
    <row r="234" spans="4:59">
      <c r="D234" s="1065"/>
      <c r="S234" s="1065"/>
      <c r="BE234" s="1065"/>
      <c r="BF234" s="1065"/>
      <c r="BG234" s="1065"/>
    </row>
    <row r="235" spans="4:59">
      <c r="D235" s="1065"/>
      <c r="S235" s="1065"/>
      <c r="BE235" s="1065"/>
      <c r="BF235" s="1065"/>
      <c r="BG235" s="1065"/>
    </row>
    <row r="236" spans="4:59">
      <c r="D236" s="1065"/>
      <c r="S236" s="1065"/>
      <c r="BE236" s="1065"/>
      <c r="BF236" s="1065"/>
      <c r="BG236" s="1065"/>
    </row>
    <row r="237" spans="4:59">
      <c r="D237" s="1065"/>
      <c r="S237" s="1065"/>
      <c r="BE237" s="1065"/>
      <c r="BF237" s="1065"/>
      <c r="BG237" s="1065"/>
    </row>
    <row r="238" spans="4:59">
      <c r="D238" s="1065"/>
      <c r="S238" s="1065"/>
      <c r="BE238" s="1065"/>
      <c r="BF238" s="1065"/>
      <c r="BG238" s="1065"/>
    </row>
    <row r="239" spans="4:59">
      <c r="D239" s="1065"/>
      <c r="S239" s="1065"/>
      <c r="BE239" s="1065"/>
      <c r="BF239" s="1065"/>
      <c r="BG239" s="1065"/>
    </row>
    <row r="240" spans="4:59">
      <c r="D240" s="1065"/>
      <c r="S240" s="1065"/>
      <c r="BE240" s="1065"/>
      <c r="BF240" s="1065"/>
      <c r="BG240" s="1065"/>
    </row>
    <row r="241" spans="4:59">
      <c r="D241" s="1065"/>
      <c r="S241" s="1065"/>
      <c r="BE241" s="1065"/>
      <c r="BF241" s="1065"/>
      <c r="BG241" s="1065"/>
    </row>
    <row r="242" spans="4:59">
      <c r="D242" s="1065"/>
      <c r="S242" s="1065"/>
      <c r="BE242" s="1065"/>
      <c r="BF242" s="1065"/>
      <c r="BG242" s="1065"/>
    </row>
    <row r="243" spans="4:59">
      <c r="D243" s="1065"/>
      <c r="S243" s="1065"/>
      <c r="BE243" s="1065"/>
      <c r="BF243" s="1065"/>
      <c r="BG243" s="1065"/>
    </row>
    <row r="244" spans="4:59">
      <c r="D244" s="1065"/>
      <c r="S244" s="1065"/>
      <c r="BE244" s="1065"/>
      <c r="BF244" s="1065"/>
      <c r="BG244" s="1065"/>
    </row>
    <row r="245" spans="4:59">
      <c r="D245" s="1065"/>
      <c r="S245" s="1065"/>
      <c r="BE245" s="1065"/>
      <c r="BF245" s="1065"/>
      <c r="BG245" s="1065"/>
    </row>
    <row r="246" spans="4:59">
      <c r="D246" s="1065"/>
      <c r="S246" s="1065"/>
      <c r="BE246" s="1065"/>
      <c r="BF246" s="1065"/>
      <c r="BG246" s="1065"/>
    </row>
    <row r="247" spans="4:59">
      <c r="D247" s="1065"/>
      <c r="S247" s="1065"/>
      <c r="BE247" s="1065"/>
      <c r="BF247" s="1065"/>
      <c r="BG247" s="1065"/>
    </row>
    <row r="248" spans="4:59">
      <c r="D248" s="1065"/>
      <c r="S248" s="1065"/>
      <c r="BE248" s="1065"/>
      <c r="BF248" s="1065"/>
      <c r="BG248" s="1065"/>
    </row>
    <row r="249" spans="4:59">
      <c r="D249" s="1065"/>
      <c r="S249" s="1065"/>
      <c r="BE249" s="1065"/>
      <c r="BF249" s="1065"/>
      <c r="BG249" s="1065"/>
    </row>
    <row r="250" spans="4:59">
      <c r="D250" s="1065"/>
      <c r="S250" s="1065"/>
      <c r="BE250" s="1065"/>
      <c r="BF250" s="1065"/>
      <c r="BG250" s="1065"/>
    </row>
    <row r="251" spans="4:59">
      <c r="D251" s="1065"/>
      <c r="S251" s="1065"/>
      <c r="BE251" s="1065"/>
      <c r="BF251" s="1065"/>
      <c r="BG251" s="1065"/>
    </row>
    <row r="252" spans="4:59">
      <c r="D252" s="1065"/>
      <c r="S252" s="1065"/>
      <c r="BE252" s="1065"/>
      <c r="BF252" s="1065"/>
      <c r="BG252" s="1065"/>
    </row>
    <row r="253" spans="4:59">
      <c r="D253" s="1065"/>
      <c r="S253" s="1065"/>
      <c r="BE253" s="1065"/>
      <c r="BF253" s="1065"/>
      <c r="BG253" s="1065"/>
    </row>
    <row r="254" spans="4:59">
      <c r="D254" s="1065"/>
      <c r="S254" s="1065"/>
      <c r="BE254" s="1065"/>
      <c r="BF254" s="1065"/>
      <c r="BG254" s="1065"/>
    </row>
    <row r="255" spans="4:59">
      <c r="D255" s="1065"/>
      <c r="S255" s="1065"/>
      <c r="BE255" s="1065"/>
      <c r="BF255" s="1065"/>
      <c r="BG255" s="1065"/>
    </row>
    <row r="256" spans="4:59">
      <c r="D256" s="1065"/>
      <c r="S256" s="1065"/>
      <c r="BE256" s="1065"/>
      <c r="BF256" s="1065"/>
      <c r="BG256" s="1065"/>
    </row>
    <row r="257" spans="4:59">
      <c r="D257" s="1065"/>
      <c r="S257" s="1065"/>
      <c r="BE257" s="1065"/>
      <c r="BF257" s="1065"/>
      <c r="BG257" s="1065"/>
    </row>
    <row r="258" spans="4:59">
      <c r="D258" s="1065"/>
      <c r="S258" s="1065"/>
      <c r="BE258" s="1065"/>
      <c r="BF258" s="1065"/>
      <c r="BG258" s="1065"/>
    </row>
    <row r="259" spans="4:59">
      <c r="D259" s="1065"/>
      <c r="S259" s="1065"/>
      <c r="BE259" s="1065"/>
      <c r="BF259" s="1065"/>
      <c r="BG259" s="1065"/>
    </row>
    <row r="260" spans="4:59">
      <c r="D260" s="1065"/>
      <c r="S260" s="1065"/>
      <c r="BE260" s="1065"/>
      <c r="BF260" s="1065"/>
      <c r="BG260" s="1065"/>
    </row>
    <row r="261" spans="4:59">
      <c r="D261" s="1065"/>
      <c r="S261" s="1065"/>
      <c r="BE261" s="1065"/>
      <c r="BF261" s="1065"/>
      <c r="BG261" s="1065"/>
    </row>
    <row r="262" spans="4:59">
      <c r="D262" s="1065"/>
      <c r="S262" s="1065"/>
      <c r="BE262" s="1065"/>
      <c r="BF262" s="1065"/>
      <c r="BG262" s="1065"/>
    </row>
    <row r="263" spans="4:59">
      <c r="D263" s="1065"/>
      <c r="S263" s="1065"/>
      <c r="BE263" s="1065"/>
      <c r="BF263" s="1065"/>
      <c r="BG263" s="1065"/>
    </row>
    <row r="264" spans="4:59">
      <c r="D264" s="1065"/>
      <c r="S264" s="1065"/>
      <c r="BE264" s="1065"/>
      <c r="BF264" s="1065"/>
      <c r="BG264" s="1065"/>
    </row>
    <row r="265" spans="4:59">
      <c r="D265" s="1065"/>
      <c r="S265" s="1065"/>
      <c r="BE265" s="1065"/>
      <c r="BF265" s="1065"/>
      <c r="BG265" s="1065"/>
    </row>
    <row r="266" spans="4:59">
      <c r="D266" s="1065"/>
      <c r="S266" s="1065"/>
      <c r="BE266" s="1065"/>
      <c r="BF266" s="1065"/>
      <c r="BG266" s="1065"/>
    </row>
    <row r="267" spans="4:59">
      <c r="D267" s="1065"/>
      <c r="S267" s="1065"/>
      <c r="BE267" s="1065"/>
      <c r="BF267" s="1065"/>
      <c r="BG267" s="1065"/>
    </row>
    <row r="268" spans="4:59">
      <c r="D268" s="1065"/>
      <c r="S268" s="1065"/>
      <c r="BE268" s="1065"/>
      <c r="BF268" s="1065"/>
      <c r="BG268" s="1065"/>
    </row>
    <row r="269" spans="4:59">
      <c r="D269" s="1065"/>
      <c r="S269" s="1065"/>
      <c r="BE269" s="1065"/>
      <c r="BF269" s="1065"/>
      <c r="BG269" s="1065"/>
    </row>
    <row r="270" spans="4:59">
      <c r="D270" s="1065"/>
      <c r="S270" s="1065"/>
      <c r="BE270" s="1065"/>
      <c r="BF270" s="1065"/>
      <c r="BG270" s="1065"/>
    </row>
    <row r="271" spans="4:59">
      <c r="D271" s="1065"/>
      <c r="S271" s="1065"/>
      <c r="BE271" s="1065"/>
      <c r="BF271" s="1065"/>
      <c r="BG271" s="1065"/>
    </row>
    <row r="272" spans="4:59">
      <c r="D272" s="1065"/>
      <c r="S272" s="1065"/>
      <c r="BE272" s="1065"/>
      <c r="BF272" s="1065"/>
      <c r="BG272" s="1065"/>
    </row>
    <row r="273" spans="4:59">
      <c r="D273" s="1065"/>
      <c r="S273" s="1065"/>
      <c r="BE273" s="1065"/>
      <c r="BF273" s="1065"/>
      <c r="BG273" s="1065"/>
    </row>
    <row r="274" spans="4:59">
      <c r="D274" s="1065"/>
      <c r="S274" s="1065"/>
      <c r="BE274" s="1065"/>
      <c r="BF274" s="1065"/>
      <c r="BG274" s="1065"/>
    </row>
    <row r="275" spans="4:59">
      <c r="D275" s="1065"/>
      <c r="S275" s="1065"/>
      <c r="BE275" s="1065"/>
      <c r="BF275" s="1065"/>
      <c r="BG275" s="1065"/>
    </row>
    <row r="276" spans="4:59">
      <c r="D276" s="1065"/>
      <c r="S276" s="1065"/>
      <c r="BE276" s="1065"/>
      <c r="BF276" s="1065"/>
      <c r="BG276" s="1065"/>
    </row>
    <row r="277" spans="4:59">
      <c r="D277" s="1065"/>
      <c r="S277" s="1065"/>
      <c r="BE277" s="1065"/>
      <c r="BF277" s="1065"/>
      <c r="BG277" s="1065"/>
    </row>
    <row r="278" spans="4:59">
      <c r="D278" s="1065"/>
      <c r="S278" s="1065"/>
      <c r="BE278" s="1065"/>
      <c r="BF278" s="1065"/>
      <c r="BG278" s="1065"/>
    </row>
    <row r="279" spans="4:59">
      <c r="D279" s="1065"/>
      <c r="S279" s="1065"/>
      <c r="BE279" s="1065"/>
      <c r="BF279" s="1065"/>
      <c r="BG279" s="1065"/>
    </row>
    <row r="280" spans="4:59">
      <c r="D280" s="1065"/>
      <c r="S280" s="1065"/>
      <c r="BE280" s="1065"/>
      <c r="BF280" s="1065"/>
      <c r="BG280" s="1065"/>
    </row>
    <row r="281" spans="4:59">
      <c r="D281" s="1065"/>
      <c r="S281" s="1065"/>
      <c r="BE281" s="1065"/>
      <c r="BF281" s="1065"/>
      <c r="BG281" s="1065"/>
    </row>
    <row r="282" spans="4:59">
      <c r="D282" s="1065"/>
      <c r="S282" s="1065"/>
      <c r="BE282" s="1065"/>
      <c r="BF282" s="1065"/>
      <c r="BG282" s="1065"/>
    </row>
    <row r="283" spans="4:59">
      <c r="D283" s="1065"/>
      <c r="S283" s="1065"/>
      <c r="BE283" s="1065"/>
      <c r="BF283" s="1065"/>
      <c r="BG283" s="1065"/>
    </row>
    <row r="284" spans="4:59">
      <c r="D284" s="1065"/>
      <c r="S284" s="1065"/>
      <c r="BE284" s="1065"/>
      <c r="BF284" s="1065"/>
      <c r="BG284" s="1065"/>
    </row>
    <row r="285" spans="4:59">
      <c r="D285" s="1065"/>
      <c r="S285" s="1065"/>
      <c r="BE285" s="1065"/>
      <c r="BF285" s="1065"/>
      <c r="BG285" s="1065"/>
    </row>
    <row r="286" spans="4:59">
      <c r="D286" s="1065"/>
      <c r="S286" s="1065"/>
      <c r="BE286" s="1065"/>
      <c r="BF286" s="1065"/>
      <c r="BG286" s="1065"/>
    </row>
    <row r="287" spans="4:59">
      <c r="D287" s="1065"/>
      <c r="S287" s="1065"/>
      <c r="BE287" s="1065"/>
      <c r="BF287" s="1065"/>
      <c r="BG287" s="1065"/>
    </row>
    <row r="288" spans="4:59">
      <c r="D288" s="1065"/>
      <c r="S288" s="1065"/>
      <c r="BE288" s="1065"/>
      <c r="BF288" s="1065"/>
      <c r="BG288" s="1065"/>
    </row>
    <row r="289" spans="4:59">
      <c r="D289" s="1065"/>
      <c r="S289" s="1065"/>
      <c r="BE289" s="1065"/>
      <c r="BF289" s="1065"/>
      <c r="BG289" s="1065"/>
    </row>
    <row r="290" spans="4:59">
      <c r="D290" s="1065"/>
      <c r="S290" s="1065"/>
      <c r="BE290" s="1065"/>
      <c r="BF290" s="1065"/>
      <c r="BG290" s="1065"/>
    </row>
    <row r="291" spans="4:59">
      <c r="D291" s="1065"/>
      <c r="S291" s="1065"/>
      <c r="BE291" s="1065"/>
      <c r="BF291" s="1065"/>
      <c r="BG291" s="1065"/>
    </row>
    <row r="292" spans="4:59">
      <c r="D292" s="1065"/>
      <c r="S292" s="1065"/>
      <c r="BE292" s="1065"/>
      <c r="BF292" s="1065"/>
      <c r="BG292" s="1065"/>
    </row>
    <row r="293" spans="4:59">
      <c r="D293" s="1065"/>
      <c r="S293" s="1065"/>
      <c r="BE293" s="1065"/>
      <c r="BF293" s="1065"/>
      <c r="BG293" s="1065"/>
    </row>
    <row r="294" spans="4:59">
      <c r="D294" s="1065"/>
      <c r="S294" s="1065"/>
      <c r="BE294" s="1065"/>
      <c r="BF294" s="1065"/>
      <c r="BG294" s="1065"/>
    </row>
    <row r="295" spans="4:59">
      <c r="D295" s="1065"/>
      <c r="S295" s="1065"/>
      <c r="BE295" s="1065"/>
      <c r="BF295" s="1065"/>
      <c r="BG295" s="1065"/>
    </row>
    <row r="296" spans="4:59">
      <c r="D296" s="1065"/>
      <c r="S296" s="1065"/>
      <c r="BE296" s="1065"/>
      <c r="BF296" s="1065"/>
      <c r="BG296" s="1065"/>
    </row>
    <row r="297" spans="4:59">
      <c r="D297" s="1065"/>
      <c r="S297" s="1065"/>
      <c r="BE297" s="1065"/>
      <c r="BF297" s="1065"/>
      <c r="BG297" s="1065"/>
    </row>
    <row r="298" spans="4:59">
      <c r="D298" s="1065"/>
      <c r="S298" s="1065"/>
      <c r="BE298" s="1065"/>
      <c r="BF298" s="1065"/>
      <c r="BG298" s="1065"/>
    </row>
    <row r="299" spans="4:59">
      <c r="D299" s="1065"/>
      <c r="S299" s="1065"/>
      <c r="BE299" s="1065"/>
      <c r="BF299" s="1065"/>
      <c r="BG299" s="1065"/>
    </row>
    <row r="300" spans="4:59">
      <c r="D300" s="1065"/>
      <c r="S300" s="1065"/>
      <c r="BE300" s="1065"/>
      <c r="BF300" s="1065"/>
      <c r="BG300" s="1065"/>
    </row>
    <row r="301" spans="4:59">
      <c r="D301" s="1065"/>
      <c r="S301" s="1065"/>
      <c r="BE301" s="1065"/>
      <c r="BF301" s="1065"/>
      <c r="BG301" s="1065"/>
    </row>
    <row r="302" spans="4:59">
      <c r="D302" s="1065"/>
      <c r="S302" s="1065"/>
      <c r="BE302" s="1065"/>
      <c r="BF302" s="1065"/>
      <c r="BG302" s="1065"/>
    </row>
    <row r="303" spans="4:59">
      <c r="D303" s="1065"/>
      <c r="S303" s="1065"/>
      <c r="BE303" s="1065"/>
      <c r="BF303" s="1065"/>
      <c r="BG303" s="1065"/>
    </row>
    <row r="304" spans="4:59">
      <c r="D304" s="1065"/>
      <c r="S304" s="1065"/>
      <c r="BE304" s="1065"/>
      <c r="BF304" s="1065"/>
      <c r="BG304" s="1065"/>
    </row>
    <row r="305" spans="4:59">
      <c r="D305" s="1065"/>
      <c r="S305" s="1065"/>
      <c r="BE305" s="1065"/>
      <c r="BF305" s="1065"/>
      <c r="BG305" s="1065"/>
    </row>
    <row r="306" spans="4:59">
      <c r="D306" s="1065"/>
      <c r="S306" s="1065"/>
      <c r="BE306" s="1065"/>
      <c r="BF306" s="1065"/>
      <c r="BG306" s="1065"/>
    </row>
    <row r="307" spans="4:59">
      <c r="D307" s="1065"/>
      <c r="S307" s="1065"/>
      <c r="BE307" s="1065"/>
      <c r="BF307" s="1065"/>
      <c r="BG307" s="1065"/>
    </row>
    <row r="308" spans="4:59">
      <c r="D308" s="1065"/>
      <c r="S308" s="1065"/>
      <c r="BE308" s="1065"/>
      <c r="BF308" s="1065"/>
      <c r="BG308" s="1065"/>
    </row>
    <row r="309" spans="4:59">
      <c r="D309" s="1065"/>
      <c r="S309" s="1065"/>
      <c r="BE309" s="1065"/>
      <c r="BF309" s="1065"/>
      <c r="BG309" s="1065"/>
    </row>
    <row r="310" spans="4:59">
      <c r="D310" s="1065"/>
      <c r="S310" s="1065"/>
      <c r="BE310" s="1065"/>
      <c r="BF310" s="1065"/>
      <c r="BG310" s="1065"/>
    </row>
    <row r="311" spans="4:59">
      <c r="D311" s="1065"/>
      <c r="S311" s="1065"/>
      <c r="BE311" s="1065"/>
      <c r="BF311" s="1065"/>
      <c r="BG311" s="1065"/>
    </row>
    <row r="312" spans="4:59">
      <c r="D312" s="1065"/>
      <c r="S312" s="1065"/>
      <c r="BE312" s="1065"/>
      <c r="BF312" s="1065"/>
      <c r="BG312" s="1065"/>
    </row>
    <row r="313" spans="4:59">
      <c r="D313" s="1065"/>
      <c r="S313" s="1065"/>
      <c r="BE313" s="1065"/>
      <c r="BF313" s="1065"/>
      <c r="BG313" s="1065"/>
    </row>
    <row r="314" spans="4:59">
      <c r="D314" s="1065"/>
      <c r="S314" s="1065"/>
      <c r="BE314" s="1065"/>
      <c r="BF314" s="1065"/>
      <c r="BG314" s="1065"/>
    </row>
    <row r="315" spans="4:59">
      <c r="D315" s="1065"/>
      <c r="S315" s="1065"/>
      <c r="BE315" s="1065"/>
      <c r="BF315" s="1065"/>
      <c r="BG315" s="1065"/>
    </row>
    <row r="316" spans="4:59">
      <c r="D316" s="1065"/>
      <c r="S316" s="1065"/>
      <c r="BE316" s="1065"/>
      <c r="BF316" s="1065"/>
      <c r="BG316" s="1065"/>
    </row>
    <row r="317" spans="4:59">
      <c r="D317" s="1065"/>
      <c r="S317" s="1065"/>
      <c r="BE317" s="1065"/>
      <c r="BF317" s="1065"/>
      <c r="BG317" s="1065"/>
    </row>
    <row r="318" spans="4:59">
      <c r="D318" s="1065"/>
      <c r="S318" s="1065"/>
      <c r="BE318" s="1065"/>
      <c r="BF318" s="1065"/>
      <c r="BG318" s="1065"/>
    </row>
    <row r="319" spans="4:59">
      <c r="D319" s="1065"/>
      <c r="S319" s="1065"/>
      <c r="BE319" s="1065"/>
      <c r="BF319" s="1065"/>
      <c r="BG319" s="1065"/>
    </row>
    <row r="320" spans="4:59">
      <c r="D320" s="1065"/>
      <c r="S320" s="1065"/>
      <c r="BE320" s="1065"/>
      <c r="BF320" s="1065"/>
      <c r="BG320" s="1065"/>
    </row>
    <row r="321" spans="4:59">
      <c r="D321" s="1065"/>
      <c r="S321" s="1065"/>
      <c r="BE321" s="1065"/>
      <c r="BF321" s="1065"/>
      <c r="BG321" s="1065"/>
    </row>
    <row r="322" spans="4:59">
      <c r="D322" s="1065"/>
      <c r="S322" s="1065"/>
      <c r="BE322" s="1065"/>
      <c r="BF322" s="1065"/>
      <c r="BG322" s="1065"/>
    </row>
    <row r="323" spans="4:59">
      <c r="D323" s="1065"/>
      <c r="S323" s="1065"/>
      <c r="BE323" s="1065"/>
      <c r="BF323" s="1065"/>
      <c r="BG323" s="1065"/>
    </row>
    <row r="324" spans="4:59">
      <c r="D324" s="1065"/>
      <c r="S324" s="1065"/>
      <c r="BE324" s="1065"/>
      <c r="BF324" s="1065"/>
      <c r="BG324" s="1065"/>
    </row>
    <row r="325" spans="4:59">
      <c r="D325" s="1065"/>
      <c r="S325" s="1065"/>
      <c r="BE325" s="1065"/>
      <c r="BF325" s="1065"/>
      <c r="BG325" s="1065"/>
    </row>
    <row r="326" spans="4:59">
      <c r="D326" s="1065"/>
      <c r="S326" s="1065"/>
      <c r="BE326" s="1065"/>
      <c r="BF326" s="1065"/>
      <c r="BG326" s="1065"/>
    </row>
    <row r="327" spans="4:59">
      <c r="D327" s="1065"/>
      <c r="S327" s="1065"/>
      <c r="BE327" s="1065"/>
      <c r="BF327" s="1065"/>
      <c r="BG327" s="1065"/>
    </row>
    <row r="328" spans="4:59">
      <c r="D328" s="1065"/>
      <c r="S328" s="1065"/>
      <c r="BE328" s="1065"/>
      <c r="BF328" s="1065"/>
      <c r="BG328" s="1065"/>
    </row>
    <row r="329" spans="4:59">
      <c r="D329" s="1065"/>
      <c r="S329" s="1065"/>
      <c r="BE329" s="1065"/>
      <c r="BF329" s="1065"/>
      <c r="BG329" s="1065"/>
    </row>
    <row r="330" spans="4:59">
      <c r="D330" s="1065"/>
      <c r="S330" s="1065"/>
      <c r="BE330" s="1065"/>
      <c r="BF330" s="1065"/>
      <c r="BG330" s="1065"/>
    </row>
    <row r="331" spans="4:59">
      <c r="D331" s="1065"/>
      <c r="S331" s="1065"/>
      <c r="BE331" s="1065"/>
      <c r="BF331" s="1065"/>
      <c r="BG331" s="1065"/>
    </row>
    <row r="332" spans="4:59">
      <c r="D332" s="1065"/>
      <c r="S332" s="1065"/>
      <c r="BE332" s="1065"/>
      <c r="BF332" s="1065"/>
      <c r="BG332" s="1065"/>
    </row>
    <row r="333" spans="4:59">
      <c r="D333" s="1065"/>
      <c r="S333" s="1065"/>
      <c r="BE333" s="1065"/>
      <c r="BF333" s="1065"/>
      <c r="BG333" s="1065"/>
    </row>
    <row r="334" spans="4:59">
      <c r="D334" s="1065"/>
      <c r="S334" s="1065"/>
      <c r="BE334" s="1065"/>
      <c r="BF334" s="1065"/>
      <c r="BG334" s="1065"/>
    </row>
    <row r="335" spans="4:59">
      <c r="D335" s="1065"/>
      <c r="S335" s="1065"/>
      <c r="BE335" s="1065"/>
      <c r="BF335" s="1065"/>
      <c r="BG335" s="1065"/>
    </row>
    <row r="336" spans="4:59">
      <c r="D336" s="1065"/>
      <c r="S336" s="1065"/>
      <c r="BE336" s="1065"/>
      <c r="BF336" s="1065"/>
      <c r="BG336" s="1065"/>
    </row>
    <row r="337" spans="4:59">
      <c r="D337" s="1065"/>
      <c r="S337" s="1065"/>
      <c r="BE337" s="1065"/>
      <c r="BF337" s="1065"/>
      <c r="BG337" s="1065"/>
    </row>
    <row r="338" spans="4:59">
      <c r="D338" s="1065"/>
      <c r="S338" s="1065"/>
      <c r="BE338" s="1065"/>
      <c r="BF338" s="1065"/>
      <c r="BG338" s="1065"/>
    </row>
    <row r="339" spans="4:59">
      <c r="D339" s="1065"/>
      <c r="S339" s="1065"/>
      <c r="BE339" s="1065"/>
      <c r="BF339" s="1065"/>
      <c r="BG339" s="1065"/>
    </row>
    <row r="340" spans="4:59">
      <c r="D340" s="1065"/>
      <c r="S340" s="1065"/>
      <c r="BE340" s="1065"/>
      <c r="BF340" s="1065"/>
      <c r="BG340" s="1065"/>
    </row>
    <row r="341" spans="4:59">
      <c r="D341" s="1065"/>
      <c r="S341" s="1065"/>
      <c r="BE341" s="1065"/>
      <c r="BF341" s="1065"/>
      <c r="BG341" s="1065"/>
    </row>
    <row r="342" spans="4:59">
      <c r="D342" s="1065"/>
      <c r="S342" s="1065"/>
      <c r="BE342" s="1065"/>
      <c r="BF342" s="1065"/>
      <c r="BG342" s="1065"/>
    </row>
    <row r="343" spans="4:59">
      <c r="D343" s="1065"/>
      <c r="S343" s="1065"/>
      <c r="BE343" s="1065"/>
      <c r="BF343" s="1065"/>
      <c r="BG343" s="1065"/>
    </row>
    <row r="344" spans="4:59">
      <c r="D344" s="1065"/>
      <c r="S344" s="1065"/>
      <c r="BE344" s="1065"/>
      <c r="BF344" s="1065"/>
      <c r="BG344" s="1065"/>
    </row>
    <row r="345" spans="4:59">
      <c r="D345" s="1065"/>
      <c r="S345" s="1065"/>
      <c r="BE345" s="1065"/>
      <c r="BF345" s="1065"/>
      <c r="BG345" s="1065"/>
    </row>
    <row r="346" spans="4:59">
      <c r="D346" s="1065"/>
      <c r="S346" s="1065"/>
      <c r="BE346" s="1065"/>
      <c r="BF346" s="1065"/>
      <c r="BG346" s="1065"/>
    </row>
    <row r="347" spans="4:59">
      <c r="D347" s="1065"/>
      <c r="S347" s="1065"/>
      <c r="BE347" s="1065"/>
      <c r="BF347" s="1065"/>
      <c r="BG347" s="1065"/>
    </row>
    <row r="348" spans="4:59">
      <c r="D348" s="1065"/>
      <c r="S348" s="1065"/>
      <c r="BE348" s="1065"/>
      <c r="BF348" s="1065"/>
      <c r="BG348" s="1065"/>
    </row>
    <row r="349" spans="4:59">
      <c r="D349" s="1065"/>
      <c r="S349" s="1065"/>
      <c r="BE349" s="1065"/>
      <c r="BF349" s="1065"/>
      <c r="BG349" s="1065"/>
    </row>
    <row r="350" spans="4:59">
      <c r="D350" s="1065"/>
      <c r="S350" s="1065"/>
      <c r="BE350" s="1065"/>
      <c r="BF350" s="1065"/>
      <c r="BG350" s="1065"/>
    </row>
    <row r="351" spans="4:59">
      <c r="D351" s="1065"/>
      <c r="S351" s="1065"/>
      <c r="BE351" s="1065"/>
      <c r="BF351" s="1065"/>
      <c r="BG351" s="1065"/>
    </row>
    <row r="355" spans="4:59">
      <c r="D355" s="1065"/>
      <c r="S355" s="1065"/>
      <c r="BE355" s="1065"/>
      <c r="BF355" s="1065"/>
      <c r="BG355" s="1065"/>
    </row>
    <row r="356" spans="4:59">
      <c r="D356" s="1065"/>
      <c r="S356" s="1065"/>
      <c r="BE356" s="1065"/>
      <c r="BF356" s="1065"/>
      <c r="BG356" s="1065"/>
    </row>
    <row r="370" spans="4:59">
      <c r="D370" s="1065"/>
      <c r="S370" s="1065"/>
      <c r="BE370" s="1065"/>
      <c r="BF370" s="1065"/>
      <c r="BG370" s="1065"/>
    </row>
    <row r="371" spans="4:59">
      <c r="D371" s="1065"/>
      <c r="S371" s="1065"/>
      <c r="BE371" s="1065"/>
      <c r="BF371" s="1065"/>
      <c r="BG371" s="1065"/>
    </row>
    <row r="372" spans="4:59">
      <c r="D372" s="1065"/>
      <c r="S372" s="1065"/>
      <c r="BE372" s="1065"/>
      <c r="BF372" s="1065"/>
      <c r="BG372" s="1065"/>
    </row>
    <row r="373" spans="4:59">
      <c r="D373" s="1065"/>
      <c r="S373" s="1065"/>
      <c r="BE373" s="1065"/>
      <c r="BF373" s="1065"/>
      <c r="BG373" s="1065"/>
    </row>
    <row r="374" spans="4:59">
      <c r="D374" s="1065"/>
      <c r="S374" s="1065"/>
      <c r="BE374" s="1065"/>
      <c r="BF374" s="1065"/>
      <c r="BG374" s="1065"/>
    </row>
    <row r="375" spans="4:59">
      <c r="D375" s="1065"/>
      <c r="S375" s="1065"/>
      <c r="BE375" s="1065"/>
      <c r="BF375" s="1065"/>
      <c r="BG375" s="1065"/>
    </row>
    <row r="376" spans="4:59">
      <c r="D376" s="1065"/>
      <c r="S376" s="1065"/>
      <c r="BE376" s="1065"/>
      <c r="BF376" s="1065"/>
      <c r="BG376" s="1065"/>
    </row>
    <row r="377" spans="4:59">
      <c r="D377" s="1065"/>
      <c r="S377" s="1065"/>
      <c r="BE377" s="1065"/>
      <c r="BF377" s="1065"/>
      <c r="BG377" s="1065"/>
    </row>
    <row r="378" spans="4:59">
      <c r="D378" s="1065"/>
      <c r="S378" s="1065"/>
      <c r="BE378" s="1065"/>
      <c r="BF378" s="1065"/>
      <c r="BG378" s="1065"/>
    </row>
    <row r="379" spans="4:59">
      <c r="D379" s="1065"/>
      <c r="S379" s="1065"/>
      <c r="BE379" s="1065"/>
      <c r="BF379" s="1065"/>
      <c r="BG379" s="1065"/>
    </row>
    <row r="380" spans="4:59">
      <c r="D380" s="1065"/>
      <c r="S380" s="1065"/>
      <c r="BE380" s="1065"/>
      <c r="BF380" s="1065"/>
      <c r="BG380" s="1065"/>
    </row>
    <row r="381" spans="4:59">
      <c r="D381" s="1065"/>
      <c r="S381" s="1065"/>
      <c r="BE381" s="1065"/>
      <c r="BF381" s="1065"/>
      <c r="BG381" s="1065"/>
    </row>
    <row r="382" spans="4:59">
      <c r="D382" s="1065"/>
      <c r="S382" s="1065"/>
      <c r="BE382" s="1065"/>
      <c r="BF382" s="1065"/>
      <c r="BG382" s="1065"/>
    </row>
    <row r="383" spans="4:59">
      <c r="D383" s="1065"/>
      <c r="S383" s="1065"/>
      <c r="BE383" s="1065"/>
      <c r="BF383" s="1065"/>
      <c r="BG383" s="1065"/>
    </row>
    <row r="384" spans="4:59">
      <c r="D384" s="1065"/>
      <c r="S384" s="1065"/>
      <c r="BE384" s="1065"/>
      <c r="BF384" s="1065"/>
      <c r="BG384" s="1065"/>
    </row>
    <row r="385" spans="4:59">
      <c r="D385" s="1065"/>
      <c r="S385" s="1065"/>
      <c r="BE385" s="1065"/>
      <c r="BF385" s="1065"/>
      <c r="BG385" s="1065"/>
    </row>
    <row r="386" spans="4:59">
      <c r="D386" s="1065"/>
      <c r="S386" s="1065"/>
      <c r="BE386" s="1065"/>
      <c r="BF386" s="1065"/>
      <c r="BG386" s="1065"/>
    </row>
    <row r="387" spans="4:59">
      <c r="D387" s="1065"/>
      <c r="S387" s="1065"/>
      <c r="BE387" s="1065"/>
      <c r="BF387" s="1065"/>
      <c r="BG387" s="1065"/>
    </row>
    <row r="388" spans="4:59">
      <c r="D388" s="1065"/>
      <c r="S388" s="1065"/>
      <c r="BE388" s="1065"/>
      <c r="BF388" s="1065"/>
      <c r="BG388" s="1065"/>
    </row>
    <row r="389" spans="4:59">
      <c r="D389" s="1065"/>
      <c r="S389" s="1065"/>
      <c r="BE389" s="1065"/>
      <c r="BF389" s="1065"/>
      <c r="BG389" s="1065"/>
    </row>
    <row r="390" spans="4:59">
      <c r="D390" s="1065"/>
      <c r="S390" s="1065"/>
      <c r="BE390" s="1065"/>
      <c r="BF390" s="1065"/>
      <c r="BG390" s="1065"/>
    </row>
    <row r="391" spans="4:59">
      <c r="D391" s="1065"/>
      <c r="S391" s="1065"/>
      <c r="BE391" s="1065"/>
      <c r="BF391" s="1065"/>
      <c r="BG391" s="1065"/>
    </row>
    <row r="392" spans="4:59">
      <c r="D392" s="1065"/>
      <c r="S392" s="1065"/>
      <c r="BE392" s="1065"/>
      <c r="BF392" s="1065"/>
      <c r="BG392" s="1065"/>
    </row>
    <row r="393" spans="4:59">
      <c r="D393" s="1065"/>
      <c r="S393" s="1065"/>
      <c r="BE393" s="1065"/>
      <c r="BF393" s="1065"/>
      <c r="BG393" s="1065"/>
    </row>
    <row r="394" spans="4:59">
      <c r="D394" s="1065"/>
      <c r="S394" s="1065"/>
      <c r="BE394" s="1065"/>
      <c r="BF394" s="1065"/>
      <c r="BG394" s="1065"/>
    </row>
    <row r="395" spans="4:59">
      <c r="D395" s="1065"/>
      <c r="S395" s="1065"/>
      <c r="BE395" s="1065"/>
      <c r="BF395" s="1065"/>
      <c r="BG395" s="1065"/>
    </row>
    <row r="396" spans="4:59">
      <c r="D396" s="1065"/>
      <c r="S396" s="1065"/>
      <c r="BE396" s="1065"/>
      <c r="BF396" s="1065"/>
      <c r="BG396" s="1065"/>
    </row>
    <row r="397" spans="4:59">
      <c r="D397" s="1065"/>
      <c r="S397" s="1065"/>
      <c r="BE397" s="1065"/>
      <c r="BF397" s="1065"/>
      <c r="BG397" s="1065"/>
    </row>
    <row r="398" spans="4:59">
      <c r="D398" s="1065"/>
      <c r="S398" s="1065"/>
      <c r="BE398" s="1065"/>
      <c r="BF398" s="1065"/>
      <c r="BG398" s="1065"/>
    </row>
    <row r="399" spans="4:59">
      <c r="D399" s="1065"/>
      <c r="S399" s="1065"/>
      <c r="BE399" s="1065"/>
      <c r="BF399" s="1065"/>
      <c r="BG399" s="1065"/>
    </row>
    <row r="400" spans="4:59">
      <c r="D400" s="1065"/>
      <c r="S400" s="1065"/>
      <c r="BE400" s="1065"/>
      <c r="BF400" s="1065"/>
      <c r="BG400" s="1065"/>
    </row>
    <row r="401" spans="4:59">
      <c r="D401" s="1065"/>
      <c r="S401" s="1065"/>
      <c r="BE401" s="1065"/>
      <c r="BF401" s="1065"/>
      <c r="BG401" s="1065"/>
    </row>
    <row r="405" spans="4:59">
      <c r="D405" s="1065"/>
      <c r="S405" s="1065"/>
      <c r="BE405" s="1065"/>
      <c r="BF405" s="1065"/>
      <c r="BG405" s="1065"/>
    </row>
    <row r="406" spans="4:59">
      <c r="D406" s="1065"/>
      <c r="S406" s="1065"/>
      <c r="BE406" s="1065"/>
      <c r="BF406" s="1065"/>
      <c r="BG406" s="1065"/>
    </row>
    <row r="408" spans="4:59">
      <c r="D408" s="1065"/>
      <c r="S408" s="1065"/>
      <c r="BE408" s="1065"/>
      <c r="BF408" s="1065"/>
      <c r="BG408" s="1065"/>
    </row>
    <row r="409" spans="4:59">
      <c r="D409" s="1065"/>
      <c r="S409" s="1065"/>
      <c r="BE409" s="1065"/>
      <c r="BF409" s="1065"/>
      <c r="BG409" s="1065"/>
    </row>
    <row r="410" spans="4:59">
      <c r="D410" s="1065"/>
      <c r="S410" s="1065"/>
      <c r="BE410" s="1065"/>
      <c r="BF410" s="1065"/>
      <c r="BG410" s="1065"/>
    </row>
    <row r="411" spans="4:59">
      <c r="D411" s="1065"/>
      <c r="S411" s="1065"/>
      <c r="BE411" s="1065"/>
      <c r="BF411" s="1065"/>
      <c r="BG411" s="1065"/>
    </row>
    <row r="412" spans="4:59">
      <c r="D412" s="1065"/>
      <c r="S412" s="1065"/>
      <c r="BE412" s="1065"/>
      <c r="BF412" s="1065"/>
      <c r="BG412" s="1065"/>
    </row>
    <row r="413" spans="4:59">
      <c r="D413" s="1065"/>
      <c r="S413" s="1065"/>
      <c r="BE413" s="1065"/>
      <c r="BF413" s="1065"/>
      <c r="BG413" s="1065"/>
    </row>
    <row r="414" spans="4:59">
      <c r="D414" s="1065"/>
      <c r="S414" s="1065"/>
      <c r="BE414" s="1065"/>
      <c r="BF414" s="1065"/>
      <c r="BG414" s="1065"/>
    </row>
    <row r="415" spans="4:59">
      <c r="D415" s="1065"/>
      <c r="S415" s="1065"/>
      <c r="BE415" s="1065"/>
      <c r="BF415" s="1065"/>
      <c r="BG415" s="1065"/>
    </row>
    <row r="416" spans="4:59">
      <c r="D416" s="1065"/>
      <c r="S416" s="1065"/>
      <c r="BE416" s="1065"/>
      <c r="BF416" s="1065"/>
      <c r="BG416" s="1065"/>
    </row>
    <row r="417" spans="4:59">
      <c r="D417" s="1065"/>
      <c r="S417" s="1065"/>
      <c r="BE417" s="1065"/>
      <c r="BF417" s="1065"/>
      <c r="BG417" s="1065"/>
    </row>
    <row r="418" spans="4:59">
      <c r="D418" s="1065"/>
      <c r="S418" s="1065"/>
      <c r="BE418" s="1065"/>
      <c r="BF418" s="1065"/>
      <c r="BG418" s="1065"/>
    </row>
    <row r="419" spans="4:59">
      <c r="D419" s="1065"/>
      <c r="S419" s="1065"/>
      <c r="BE419" s="1065"/>
      <c r="BF419" s="1065"/>
      <c r="BG419" s="1065"/>
    </row>
    <row r="420" spans="4:59">
      <c r="D420" s="1065"/>
      <c r="S420" s="1065"/>
      <c r="BE420" s="1065"/>
      <c r="BF420" s="1065"/>
      <c r="BG420" s="1065"/>
    </row>
    <row r="421" spans="4:59">
      <c r="D421" s="1065"/>
      <c r="S421" s="1065"/>
      <c r="BE421" s="1065"/>
      <c r="BF421" s="1065"/>
      <c r="BG421" s="1065"/>
    </row>
    <row r="422" spans="4:59">
      <c r="D422" s="1065"/>
      <c r="S422" s="1065"/>
      <c r="BE422" s="1065"/>
      <c r="BF422" s="1065"/>
      <c r="BG422" s="1065"/>
    </row>
    <row r="423" spans="4:59">
      <c r="D423" s="1065"/>
      <c r="S423" s="1065"/>
      <c r="BE423" s="1065"/>
      <c r="BF423" s="1065"/>
      <c r="BG423" s="1065"/>
    </row>
    <row r="424" spans="4:59">
      <c r="D424" s="1065"/>
      <c r="S424" s="1065"/>
      <c r="BE424" s="1065"/>
      <c r="BF424" s="1065"/>
      <c r="BG424" s="1065"/>
    </row>
    <row r="425" spans="4:59">
      <c r="D425" s="1065"/>
      <c r="S425" s="1065"/>
      <c r="BE425" s="1065"/>
      <c r="BF425" s="1065"/>
      <c r="BG425" s="1065"/>
    </row>
    <row r="426" spans="4:59">
      <c r="D426" s="1065"/>
      <c r="S426" s="1065"/>
      <c r="BE426" s="1065"/>
      <c r="BF426" s="1065"/>
      <c r="BG426" s="1065"/>
    </row>
    <row r="427" spans="4:59">
      <c r="D427" s="1065"/>
      <c r="S427" s="1065"/>
      <c r="BE427" s="1065"/>
      <c r="BF427" s="1065"/>
      <c r="BG427" s="1065"/>
    </row>
    <row r="428" spans="4:59">
      <c r="D428" s="1065"/>
      <c r="S428" s="1065"/>
      <c r="BE428" s="1065"/>
      <c r="BF428" s="1065"/>
      <c r="BG428" s="1065"/>
    </row>
    <row r="429" spans="4:59">
      <c r="D429" s="1065"/>
      <c r="S429" s="1065"/>
      <c r="BE429" s="1065"/>
      <c r="BF429" s="1065"/>
      <c r="BG429" s="1065"/>
    </row>
    <row r="430" spans="4:59">
      <c r="D430" s="1065"/>
      <c r="S430" s="1065"/>
      <c r="BE430" s="1065"/>
      <c r="BF430" s="1065"/>
      <c r="BG430" s="1065"/>
    </row>
    <row r="431" spans="4:59">
      <c r="D431" s="1065"/>
      <c r="S431" s="1065"/>
      <c r="BE431" s="1065"/>
      <c r="BF431" s="1065"/>
      <c r="BG431" s="1065"/>
    </row>
    <row r="432" spans="4:59">
      <c r="D432" s="1065"/>
      <c r="S432" s="1065"/>
      <c r="BE432" s="1065"/>
      <c r="BF432" s="1065"/>
      <c r="BG432" s="1065"/>
    </row>
    <row r="433" spans="4:59">
      <c r="D433" s="1065"/>
      <c r="S433" s="1065"/>
      <c r="BE433" s="1065"/>
      <c r="BF433" s="1065"/>
      <c r="BG433" s="1065"/>
    </row>
    <row r="434" spans="4:59">
      <c r="D434" s="1065"/>
      <c r="S434" s="1065"/>
      <c r="BE434" s="1065"/>
      <c r="BF434" s="1065"/>
      <c r="BG434" s="1065"/>
    </row>
    <row r="435" spans="4:59">
      <c r="D435" s="1065"/>
      <c r="S435" s="1065"/>
      <c r="BE435" s="1065"/>
      <c r="BF435" s="1065"/>
      <c r="BG435" s="1065"/>
    </row>
    <row r="436" spans="4:59">
      <c r="D436" s="1065"/>
      <c r="S436" s="1065"/>
      <c r="BE436" s="1065"/>
      <c r="BF436" s="1065"/>
      <c r="BG436" s="1065"/>
    </row>
    <row r="437" spans="4:59">
      <c r="D437" s="1065"/>
      <c r="S437" s="1065"/>
      <c r="BE437" s="1065"/>
      <c r="BF437" s="1065"/>
      <c r="BG437" s="1065"/>
    </row>
    <row r="438" spans="4:59">
      <c r="D438" s="1065"/>
      <c r="S438" s="1065"/>
      <c r="BE438" s="1065"/>
      <c r="BF438" s="1065"/>
      <c r="BG438" s="1065"/>
    </row>
    <row r="439" spans="4:59">
      <c r="D439" s="1065"/>
      <c r="S439" s="1065"/>
      <c r="BE439" s="1065"/>
      <c r="BF439" s="1065"/>
      <c r="BG439" s="1065"/>
    </row>
    <row r="440" spans="4:59">
      <c r="D440" s="1065"/>
      <c r="S440" s="1065"/>
      <c r="BE440" s="1065"/>
      <c r="BF440" s="1065"/>
      <c r="BG440" s="1065"/>
    </row>
    <row r="441" spans="4:59">
      <c r="D441" s="1065"/>
      <c r="S441" s="1065"/>
      <c r="BE441" s="1065"/>
      <c r="BF441" s="1065"/>
      <c r="BG441" s="1065"/>
    </row>
    <row r="442" spans="4:59">
      <c r="D442" s="1065"/>
      <c r="S442" s="1065"/>
      <c r="BE442" s="1065"/>
      <c r="BF442" s="1065"/>
      <c r="BG442" s="1065"/>
    </row>
    <row r="443" spans="4:59">
      <c r="D443" s="1065"/>
      <c r="S443" s="1065"/>
      <c r="BE443" s="1065"/>
      <c r="BF443" s="1065"/>
      <c r="BG443" s="1065"/>
    </row>
    <row r="444" spans="4:59">
      <c r="D444" s="1065"/>
      <c r="S444" s="1065"/>
      <c r="BE444" s="1065"/>
      <c r="BF444" s="1065"/>
      <c r="BG444" s="1065"/>
    </row>
    <row r="445" spans="4:59">
      <c r="D445" s="1065"/>
      <c r="S445" s="1065"/>
      <c r="BE445" s="1065"/>
      <c r="BF445" s="1065"/>
      <c r="BG445" s="1065"/>
    </row>
    <row r="446" spans="4:59">
      <c r="D446" s="1065"/>
      <c r="S446" s="1065"/>
      <c r="BE446" s="1065"/>
      <c r="BF446" s="1065"/>
      <c r="BG446" s="1065"/>
    </row>
    <row r="447" spans="4:59">
      <c r="D447" s="1065"/>
      <c r="S447" s="1065"/>
      <c r="BE447" s="1065"/>
      <c r="BF447" s="1065"/>
      <c r="BG447" s="1065"/>
    </row>
    <row r="448" spans="4:59">
      <c r="D448" s="1065"/>
      <c r="S448" s="1065"/>
      <c r="BE448" s="1065"/>
      <c r="BF448" s="1065"/>
      <c r="BG448" s="1065"/>
    </row>
    <row r="449" spans="4:59">
      <c r="D449" s="1065"/>
      <c r="S449" s="1065"/>
      <c r="BE449" s="1065"/>
      <c r="BF449" s="1065"/>
      <c r="BG449" s="1065"/>
    </row>
    <row r="450" spans="4:59">
      <c r="D450" s="1065"/>
      <c r="S450" s="1065"/>
      <c r="BE450" s="1065"/>
      <c r="BF450" s="1065"/>
      <c r="BG450" s="1065"/>
    </row>
    <row r="451" spans="4:59">
      <c r="D451" s="1065"/>
      <c r="S451" s="1065"/>
      <c r="BE451" s="1065"/>
      <c r="BF451" s="1065"/>
      <c r="BG451" s="1065"/>
    </row>
    <row r="452" spans="4:59">
      <c r="D452" s="1065"/>
      <c r="S452" s="1065"/>
      <c r="BE452" s="1065"/>
      <c r="BF452" s="1065"/>
      <c r="BG452" s="1065"/>
    </row>
    <row r="453" spans="4:59">
      <c r="D453" s="1065"/>
      <c r="S453" s="1065"/>
      <c r="BE453" s="1065"/>
      <c r="BF453" s="1065"/>
      <c r="BG453" s="1065"/>
    </row>
    <row r="454" spans="4:59">
      <c r="D454" s="1065"/>
      <c r="S454" s="1065"/>
      <c r="BE454" s="1065"/>
      <c r="BF454" s="1065"/>
      <c r="BG454" s="1065"/>
    </row>
    <row r="455" spans="4:59">
      <c r="D455" s="1065"/>
      <c r="S455" s="1065"/>
      <c r="BE455" s="1065"/>
      <c r="BF455" s="1065"/>
      <c r="BG455" s="1065"/>
    </row>
    <row r="456" spans="4:59">
      <c r="D456" s="1065"/>
      <c r="S456" s="1065"/>
      <c r="BE456" s="1065"/>
      <c r="BF456" s="1065"/>
      <c r="BG456" s="1065"/>
    </row>
    <row r="457" spans="4:59">
      <c r="D457" s="1065"/>
      <c r="S457" s="1065"/>
      <c r="BE457" s="1065"/>
      <c r="BF457" s="1065"/>
      <c r="BG457" s="1065"/>
    </row>
    <row r="458" spans="4:59">
      <c r="D458" s="1065"/>
      <c r="S458" s="1065"/>
      <c r="BE458" s="1065"/>
      <c r="BF458" s="1065"/>
      <c r="BG458" s="1065"/>
    </row>
    <row r="459" spans="4:59">
      <c r="D459" s="1065"/>
      <c r="S459" s="1065"/>
      <c r="BE459" s="1065"/>
      <c r="BF459" s="1065"/>
      <c r="BG459" s="1065"/>
    </row>
    <row r="460" spans="4:59">
      <c r="D460" s="1065"/>
      <c r="S460" s="1065"/>
      <c r="BE460" s="1065"/>
      <c r="BF460" s="1065"/>
      <c r="BG460" s="1065"/>
    </row>
    <row r="461" spans="4:59">
      <c r="D461" s="1065"/>
      <c r="S461" s="1065"/>
      <c r="BE461" s="1065"/>
      <c r="BF461" s="1065"/>
      <c r="BG461" s="1065"/>
    </row>
    <row r="462" spans="4:59">
      <c r="D462" s="1065"/>
      <c r="S462" s="1065"/>
      <c r="BE462" s="1065"/>
      <c r="BF462" s="1065"/>
      <c r="BG462" s="1065"/>
    </row>
    <row r="463" spans="4:59">
      <c r="D463" s="1065"/>
      <c r="S463" s="1065"/>
      <c r="BE463" s="1065"/>
      <c r="BF463" s="1065"/>
      <c r="BG463" s="1065"/>
    </row>
    <row r="464" spans="4:59">
      <c r="D464" s="1065"/>
      <c r="S464" s="1065"/>
      <c r="BE464" s="1065"/>
      <c r="BF464" s="1065"/>
      <c r="BG464" s="1065"/>
    </row>
    <row r="465" spans="4:59">
      <c r="D465" s="1065"/>
      <c r="S465" s="1065"/>
      <c r="BE465" s="1065"/>
      <c r="BF465" s="1065"/>
      <c r="BG465" s="1065"/>
    </row>
    <row r="466" spans="4:59">
      <c r="D466" s="1065"/>
      <c r="S466" s="1065"/>
      <c r="BE466" s="1065"/>
      <c r="BF466" s="1065"/>
      <c r="BG466" s="1065"/>
    </row>
    <row r="467" spans="4:59">
      <c r="D467" s="1065"/>
      <c r="S467" s="1065"/>
      <c r="BE467" s="1065"/>
      <c r="BF467" s="1065"/>
      <c r="BG467" s="1065"/>
    </row>
    <row r="468" spans="4:59">
      <c r="D468" s="1065"/>
      <c r="S468" s="1065"/>
      <c r="BE468" s="1065"/>
      <c r="BF468" s="1065"/>
      <c r="BG468" s="1065"/>
    </row>
    <row r="469" spans="4:59">
      <c r="D469" s="1065"/>
      <c r="S469" s="1065"/>
      <c r="BE469" s="1065"/>
      <c r="BF469" s="1065"/>
      <c r="BG469" s="1065"/>
    </row>
    <row r="470" spans="4:59">
      <c r="D470" s="1065"/>
      <c r="S470" s="1065"/>
      <c r="BE470" s="1065"/>
      <c r="BF470" s="1065"/>
      <c r="BG470" s="1065"/>
    </row>
    <row r="471" spans="4:59">
      <c r="D471" s="1065"/>
      <c r="S471" s="1065"/>
      <c r="BE471" s="1065"/>
      <c r="BF471" s="1065"/>
      <c r="BG471" s="1065"/>
    </row>
    <row r="472" spans="4:59">
      <c r="D472" s="1065"/>
      <c r="S472" s="1065"/>
      <c r="BE472" s="1065"/>
      <c r="BF472" s="1065"/>
      <c r="BG472" s="1065"/>
    </row>
    <row r="473" spans="4:59">
      <c r="D473" s="1065"/>
      <c r="S473" s="1065"/>
      <c r="BE473" s="1065"/>
      <c r="BF473" s="1065"/>
      <c r="BG473" s="1065"/>
    </row>
    <row r="474" spans="4:59">
      <c r="D474" s="1065"/>
      <c r="S474" s="1065"/>
      <c r="BE474" s="1065"/>
      <c r="BF474" s="1065"/>
      <c r="BG474" s="1065"/>
    </row>
    <row r="475" spans="4:59">
      <c r="D475" s="1065"/>
      <c r="S475" s="1065"/>
      <c r="BE475" s="1065"/>
      <c r="BF475" s="1065"/>
      <c r="BG475" s="1065"/>
    </row>
    <row r="476" spans="4:59">
      <c r="D476" s="1065"/>
      <c r="S476" s="1065"/>
      <c r="BE476" s="1065"/>
      <c r="BF476" s="1065"/>
      <c r="BG476" s="1065"/>
    </row>
    <row r="477" spans="4:59">
      <c r="D477" s="1065"/>
      <c r="S477" s="1065"/>
      <c r="BE477" s="1065"/>
      <c r="BF477" s="1065"/>
      <c r="BG477" s="1065"/>
    </row>
    <row r="478" spans="4:59">
      <c r="D478" s="1065"/>
      <c r="S478" s="1065"/>
      <c r="BE478" s="1065"/>
      <c r="BF478" s="1065"/>
      <c r="BG478" s="1065"/>
    </row>
    <row r="479" spans="4:59">
      <c r="D479" s="1065"/>
      <c r="S479" s="1065"/>
      <c r="BE479" s="1065"/>
      <c r="BF479" s="1065"/>
      <c r="BG479" s="1065"/>
    </row>
    <row r="480" spans="4:59">
      <c r="D480" s="1065"/>
      <c r="S480" s="1065"/>
      <c r="BE480" s="1065"/>
      <c r="BF480" s="1065"/>
      <c r="BG480" s="1065"/>
    </row>
    <row r="481" spans="4:59">
      <c r="D481" s="1065"/>
      <c r="S481" s="1065"/>
      <c r="BE481" s="1065"/>
      <c r="BF481" s="1065"/>
      <c r="BG481" s="1065"/>
    </row>
    <row r="482" spans="4:59">
      <c r="D482" s="1065"/>
      <c r="S482" s="1065"/>
      <c r="BE482" s="1065"/>
      <c r="BF482" s="1065"/>
      <c r="BG482" s="1065"/>
    </row>
    <row r="483" spans="4:59">
      <c r="D483" s="1065"/>
      <c r="S483" s="1065"/>
      <c r="BE483" s="1065"/>
      <c r="BF483" s="1065"/>
      <c r="BG483" s="1065"/>
    </row>
    <row r="484" spans="4:59">
      <c r="D484" s="1065"/>
      <c r="S484" s="1065"/>
      <c r="BE484" s="1065"/>
      <c r="BF484" s="1065"/>
      <c r="BG484" s="1065"/>
    </row>
    <row r="485" spans="4:59">
      <c r="D485" s="1065"/>
      <c r="S485" s="1065"/>
      <c r="BE485" s="1065"/>
      <c r="BF485" s="1065"/>
      <c r="BG485" s="1065"/>
    </row>
    <row r="486" spans="4:59">
      <c r="D486" s="1065"/>
      <c r="S486" s="1065"/>
      <c r="BE486" s="1065"/>
      <c r="BF486" s="1065"/>
      <c r="BG486" s="1065"/>
    </row>
    <row r="487" spans="4:59">
      <c r="D487" s="1065"/>
      <c r="S487" s="1065"/>
      <c r="BE487" s="1065"/>
      <c r="BF487" s="1065"/>
      <c r="BG487" s="1065"/>
    </row>
    <row r="488" spans="4:59">
      <c r="D488" s="1065"/>
      <c r="S488" s="1065"/>
      <c r="BE488" s="1065"/>
      <c r="BF488" s="1065"/>
      <c r="BG488" s="1065"/>
    </row>
    <row r="489" spans="4:59">
      <c r="D489" s="1065"/>
      <c r="S489" s="1065"/>
      <c r="BE489" s="1065"/>
      <c r="BF489" s="1065"/>
      <c r="BG489" s="1065"/>
    </row>
    <row r="490" spans="4:59">
      <c r="D490" s="1065"/>
      <c r="S490" s="1065"/>
      <c r="BE490" s="1065"/>
      <c r="BF490" s="1065"/>
      <c r="BG490" s="1065"/>
    </row>
    <row r="491" spans="4:59">
      <c r="D491" s="1065"/>
      <c r="S491" s="1065"/>
      <c r="BE491" s="1065"/>
      <c r="BF491" s="1065"/>
      <c r="BG491" s="1065"/>
    </row>
    <row r="492" spans="4:59">
      <c r="D492" s="1065"/>
      <c r="S492" s="1065"/>
      <c r="BE492" s="1065"/>
      <c r="BF492" s="1065"/>
      <c r="BG492" s="1065"/>
    </row>
    <row r="493" spans="4:59">
      <c r="D493" s="1065"/>
      <c r="S493" s="1065"/>
      <c r="BE493" s="1065"/>
      <c r="BF493" s="1065"/>
      <c r="BG493" s="1065"/>
    </row>
    <row r="494" spans="4:59">
      <c r="D494" s="1065"/>
      <c r="S494" s="1065"/>
      <c r="BE494" s="1065"/>
      <c r="BF494" s="1065"/>
      <c r="BG494" s="1065"/>
    </row>
    <row r="495" spans="4:59">
      <c r="D495" s="1065"/>
      <c r="S495" s="1065"/>
      <c r="BE495" s="1065"/>
      <c r="BF495" s="1065"/>
      <c r="BG495" s="1065"/>
    </row>
    <row r="496" spans="4:59">
      <c r="D496" s="1065"/>
      <c r="S496" s="1065"/>
      <c r="BE496" s="1065"/>
      <c r="BF496" s="1065"/>
      <c r="BG496" s="1065"/>
    </row>
    <row r="497" spans="4:59">
      <c r="D497" s="1065"/>
      <c r="S497" s="1065"/>
      <c r="BE497" s="1065"/>
      <c r="BF497" s="1065"/>
      <c r="BG497" s="1065"/>
    </row>
    <row r="498" spans="4:59">
      <c r="D498" s="1065"/>
      <c r="S498" s="1065"/>
      <c r="BE498" s="1065"/>
      <c r="BF498" s="1065"/>
      <c r="BG498" s="1065"/>
    </row>
    <row r="499" spans="4:59">
      <c r="D499" s="1065"/>
      <c r="S499" s="1065"/>
      <c r="BE499" s="1065"/>
      <c r="BF499" s="1065"/>
      <c r="BG499" s="1065"/>
    </row>
    <row r="500" spans="4:59">
      <c r="D500" s="1065"/>
      <c r="S500" s="1065"/>
      <c r="BE500" s="1065"/>
      <c r="BF500" s="1065"/>
      <c r="BG500" s="1065"/>
    </row>
    <row r="501" spans="4:59">
      <c r="D501" s="1065"/>
      <c r="S501" s="1065"/>
      <c r="BE501" s="1065"/>
      <c r="BF501" s="1065"/>
      <c r="BG501" s="1065"/>
    </row>
    <row r="502" spans="4:59">
      <c r="D502" s="1065"/>
      <c r="S502" s="1065"/>
      <c r="BE502" s="1065"/>
      <c r="BF502" s="1065"/>
      <c r="BG502" s="1065"/>
    </row>
    <row r="503" spans="4:59">
      <c r="D503" s="1065"/>
      <c r="S503" s="1065"/>
      <c r="BE503" s="1065"/>
      <c r="BF503" s="1065"/>
      <c r="BG503" s="1065"/>
    </row>
    <row r="504" spans="4:59">
      <c r="D504" s="1065"/>
      <c r="S504" s="1065"/>
      <c r="BE504" s="1065"/>
      <c r="BF504" s="1065"/>
      <c r="BG504" s="1065"/>
    </row>
    <row r="505" spans="4:59">
      <c r="D505" s="1065"/>
      <c r="S505" s="1065"/>
      <c r="BE505" s="1065"/>
      <c r="BF505" s="1065"/>
      <c r="BG505" s="1065"/>
    </row>
    <row r="506" spans="4:59">
      <c r="D506" s="1065"/>
      <c r="S506" s="1065"/>
      <c r="BE506" s="1065"/>
      <c r="BF506" s="1065"/>
      <c r="BG506" s="1065"/>
    </row>
    <row r="507" spans="4:59">
      <c r="D507" s="1065"/>
      <c r="S507" s="1065"/>
      <c r="BE507" s="1065"/>
      <c r="BF507" s="1065"/>
      <c r="BG507" s="1065"/>
    </row>
    <row r="508" spans="4:59">
      <c r="D508" s="1065"/>
      <c r="S508" s="1065"/>
      <c r="BE508" s="1065"/>
      <c r="BF508" s="1065"/>
      <c r="BG508" s="1065"/>
    </row>
    <row r="509" spans="4:59">
      <c r="D509" s="1065"/>
      <c r="S509" s="1065"/>
      <c r="BE509" s="1065"/>
      <c r="BF509" s="1065"/>
      <c r="BG509" s="1065"/>
    </row>
    <row r="510" spans="4:59">
      <c r="D510" s="1065"/>
      <c r="S510" s="1065"/>
      <c r="BE510" s="1065"/>
      <c r="BF510" s="1065"/>
      <c r="BG510" s="1065"/>
    </row>
    <row r="511" spans="4:59">
      <c r="D511" s="1065"/>
      <c r="S511" s="1065"/>
      <c r="BE511" s="1065"/>
      <c r="BF511" s="1065"/>
      <c r="BG511" s="1065"/>
    </row>
    <row r="512" spans="4:59">
      <c r="D512" s="1065"/>
      <c r="S512" s="1065"/>
      <c r="BE512" s="1065"/>
      <c r="BF512" s="1065"/>
      <c r="BG512" s="1065"/>
    </row>
    <row r="513" spans="4:59">
      <c r="D513" s="1065"/>
      <c r="S513" s="1065"/>
      <c r="BE513" s="1065"/>
      <c r="BF513" s="1065"/>
      <c r="BG513" s="1065"/>
    </row>
    <row r="514" spans="4:59">
      <c r="D514" s="1065"/>
      <c r="S514" s="1065"/>
      <c r="BE514" s="1065"/>
      <c r="BF514" s="1065"/>
      <c r="BG514" s="1065"/>
    </row>
    <row r="515" spans="4:59">
      <c r="D515" s="1065"/>
      <c r="S515" s="1065"/>
      <c r="BE515" s="1065"/>
      <c r="BF515" s="1065"/>
      <c r="BG515" s="1065"/>
    </row>
    <row r="516" spans="4:59">
      <c r="D516" s="1065"/>
      <c r="S516" s="1065"/>
      <c r="BE516" s="1065"/>
      <c r="BF516" s="1065"/>
      <c r="BG516" s="1065"/>
    </row>
    <row r="517" spans="4:59">
      <c r="D517" s="1065"/>
      <c r="S517" s="1065"/>
      <c r="BE517" s="1065"/>
      <c r="BF517" s="1065"/>
      <c r="BG517" s="1065"/>
    </row>
    <row r="518" spans="4:59">
      <c r="D518" s="1065"/>
      <c r="S518" s="1065"/>
      <c r="BE518" s="1065"/>
      <c r="BF518" s="1065"/>
      <c r="BG518" s="1065"/>
    </row>
    <row r="519" spans="4:59">
      <c r="D519" s="1065"/>
      <c r="S519" s="1065"/>
      <c r="BE519" s="1065"/>
      <c r="BF519" s="1065"/>
      <c r="BG519" s="1065"/>
    </row>
    <row r="520" spans="4:59">
      <c r="D520" s="1065"/>
      <c r="S520" s="1065"/>
      <c r="BE520" s="1065"/>
      <c r="BF520" s="1065"/>
      <c r="BG520" s="1065"/>
    </row>
    <row r="521" spans="4:59">
      <c r="D521" s="1065"/>
      <c r="S521" s="1065"/>
      <c r="BE521" s="1065"/>
      <c r="BF521" s="1065"/>
      <c r="BG521" s="1065"/>
    </row>
    <row r="522" spans="4:59">
      <c r="D522" s="1065"/>
      <c r="S522" s="1065"/>
      <c r="BE522" s="1065"/>
      <c r="BF522" s="1065"/>
      <c r="BG522" s="1065"/>
    </row>
    <row r="523" spans="4:59">
      <c r="D523" s="1065"/>
      <c r="S523" s="1065"/>
      <c r="BE523" s="1065"/>
      <c r="BF523" s="1065"/>
      <c r="BG523" s="1065"/>
    </row>
    <row r="524" spans="4:59">
      <c r="D524" s="1065"/>
      <c r="S524" s="1065"/>
      <c r="BE524" s="1065"/>
      <c r="BF524" s="1065"/>
      <c r="BG524" s="1065"/>
    </row>
    <row r="525" spans="4:59">
      <c r="D525" s="1065"/>
      <c r="S525" s="1065"/>
      <c r="BE525" s="1065"/>
      <c r="BF525" s="1065"/>
      <c r="BG525" s="1065"/>
    </row>
    <row r="526" spans="4:59">
      <c r="D526" s="1065"/>
      <c r="S526" s="1065"/>
      <c r="BE526" s="1065"/>
      <c r="BF526" s="1065"/>
      <c r="BG526" s="1065"/>
    </row>
    <row r="527" spans="4:59">
      <c r="D527" s="1065"/>
      <c r="S527" s="1065"/>
      <c r="BE527" s="1065"/>
      <c r="BF527" s="1065"/>
      <c r="BG527" s="1065"/>
    </row>
    <row r="528" spans="4:59">
      <c r="D528" s="1065"/>
      <c r="S528" s="1065"/>
      <c r="BE528" s="1065"/>
      <c r="BF528" s="1065"/>
      <c r="BG528" s="1065"/>
    </row>
    <row r="529" spans="4:59">
      <c r="D529" s="1065"/>
      <c r="S529" s="1065"/>
      <c r="BE529" s="1065"/>
      <c r="BF529" s="1065"/>
      <c r="BG529" s="1065"/>
    </row>
    <row r="530" spans="4:59">
      <c r="D530" s="1065"/>
      <c r="S530" s="1065"/>
      <c r="BE530" s="1065"/>
      <c r="BF530" s="1065"/>
      <c r="BG530" s="1065"/>
    </row>
    <row r="531" spans="4:59">
      <c r="D531" s="1065"/>
      <c r="S531" s="1065"/>
      <c r="BE531" s="1065"/>
      <c r="BF531" s="1065"/>
      <c r="BG531" s="1065"/>
    </row>
    <row r="532" spans="4:59">
      <c r="D532" s="1065"/>
      <c r="S532" s="1065"/>
      <c r="BE532" s="1065"/>
      <c r="BF532" s="1065"/>
      <c r="BG532" s="1065"/>
    </row>
    <row r="533" spans="4:59">
      <c r="D533" s="1065"/>
      <c r="S533" s="1065"/>
      <c r="BE533" s="1065"/>
      <c r="BF533" s="1065"/>
      <c r="BG533" s="1065"/>
    </row>
    <row r="534" spans="4:59">
      <c r="D534" s="1065"/>
      <c r="S534" s="1065"/>
      <c r="BE534" s="1065"/>
      <c r="BF534" s="1065"/>
      <c r="BG534" s="1065"/>
    </row>
    <row r="535" spans="4:59">
      <c r="D535" s="1065"/>
      <c r="S535" s="1065"/>
      <c r="BE535" s="1065"/>
      <c r="BF535" s="1065"/>
      <c r="BG535" s="1065"/>
    </row>
    <row r="536" spans="4:59">
      <c r="D536" s="1065"/>
      <c r="S536" s="1065"/>
      <c r="BE536" s="1065"/>
      <c r="BF536" s="1065"/>
      <c r="BG536" s="1065"/>
    </row>
    <row r="537" spans="4:59">
      <c r="D537" s="1065"/>
      <c r="S537" s="1065"/>
      <c r="BE537" s="1065"/>
      <c r="BF537" s="1065"/>
      <c r="BG537" s="1065"/>
    </row>
    <row r="538" spans="4:59">
      <c r="D538" s="1065"/>
      <c r="S538" s="1065"/>
      <c r="BE538" s="1065"/>
      <c r="BF538" s="1065"/>
      <c r="BG538" s="1065"/>
    </row>
    <row r="539" spans="4:59">
      <c r="D539" s="1065"/>
      <c r="S539" s="1065"/>
      <c r="BE539" s="1065"/>
      <c r="BF539" s="1065"/>
      <c r="BG539" s="1065"/>
    </row>
    <row r="540" spans="4:59">
      <c r="D540" s="1065"/>
      <c r="S540" s="1065"/>
      <c r="BE540" s="1065"/>
      <c r="BF540" s="1065"/>
      <c r="BG540" s="1065"/>
    </row>
    <row r="541" spans="4:59">
      <c r="D541" s="1065"/>
      <c r="S541" s="1065"/>
      <c r="BE541" s="1065"/>
      <c r="BF541" s="1065"/>
      <c r="BG541" s="1065"/>
    </row>
    <row r="542" spans="4:59">
      <c r="D542" s="1065"/>
      <c r="S542" s="1065"/>
      <c r="BE542" s="1065"/>
      <c r="BF542" s="1065"/>
      <c r="BG542" s="1065"/>
    </row>
    <row r="543" spans="4:59">
      <c r="D543" s="1065"/>
      <c r="S543" s="1065"/>
      <c r="BE543" s="1065"/>
      <c r="BF543" s="1065"/>
      <c r="BG543" s="1065"/>
    </row>
    <row r="544" spans="4:59">
      <c r="D544" s="1065"/>
      <c r="S544" s="1065"/>
      <c r="BE544" s="1065"/>
      <c r="BF544" s="1065"/>
      <c r="BG544" s="1065"/>
    </row>
    <row r="545" spans="4:59">
      <c r="D545" s="1065"/>
      <c r="S545" s="1065"/>
      <c r="BE545" s="1065"/>
      <c r="BF545" s="1065"/>
      <c r="BG545" s="1065"/>
    </row>
    <row r="546" spans="4:59">
      <c r="D546" s="1065"/>
      <c r="S546" s="1065"/>
      <c r="BE546" s="1065"/>
      <c r="BF546" s="1065"/>
      <c r="BG546" s="1065"/>
    </row>
    <row r="547" spans="4:59">
      <c r="D547" s="1065"/>
      <c r="S547" s="1065"/>
      <c r="BE547" s="1065"/>
      <c r="BF547" s="1065"/>
      <c r="BG547" s="1065"/>
    </row>
    <row r="548" spans="4:59">
      <c r="D548" s="1065"/>
      <c r="S548" s="1065"/>
      <c r="BE548" s="1065"/>
      <c r="BF548" s="1065"/>
      <c r="BG548" s="1065"/>
    </row>
    <row r="549" spans="4:59">
      <c r="D549" s="1065"/>
      <c r="S549" s="1065"/>
      <c r="BE549" s="1065"/>
      <c r="BF549" s="1065"/>
      <c r="BG549" s="1065"/>
    </row>
    <row r="550" spans="4:59">
      <c r="D550" s="1065"/>
      <c r="S550" s="1065"/>
      <c r="BE550" s="1065"/>
      <c r="BF550" s="1065"/>
      <c r="BG550" s="1065"/>
    </row>
    <row r="551" spans="4:59">
      <c r="D551" s="1065"/>
      <c r="S551" s="1065"/>
      <c r="BE551" s="1065"/>
      <c r="BF551" s="1065"/>
      <c r="BG551" s="1065"/>
    </row>
    <row r="552" spans="4:59">
      <c r="D552" s="1065"/>
      <c r="S552" s="1065"/>
      <c r="BE552" s="1065"/>
      <c r="BF552" s="1065"/>
      <c r="BG552" s="1065"/>
    </row>
    <row r="553" spans="4:59">
      <c r="D553" s="1065"/>
      <c r="S553" s="1065"/>
      <c r="BE553" s="1065"/>
      <c r="BF553" s="1065"/>
      <c r="BG553" s="1065"/>
    </row>
    <row r="554" spans="4:59">
      <c r="D554" s="1065"/>
      <c r="S554" s="1065"/>
      <c r="BE554" s="1065"/>
      <c r="BF554" s="1065"/>
      <c r="BG554" s="1065"/>
    </row>
    <row r="555" spans="4:59">
      <c r="D555" s="1065"/>
      <c r="S555" s="1065"/>
      <c r="BE555" s="1065"/>
      <c r="BF555" s="1065"/>
      <c r="BG555" s="1065"/>
    </row>
    <row r="556" spans="4:59">
      <c r="D556" s="1065"/>
      <c r="S556" s="1065"/>
      <c r="BE556" s="1065"/>
      <c r="BF556" s="1065"/>
      <c r="BG556" s="1065"/>
    </row>
    <row r="557" spans="4:59">
      <c r="D557" s="1065"/>
      <c r="S557" s="1065"/>
      <c r="BE557" s="1065"/>
      <c r="BF557" s="1065"/>
      <c r="BG557" s="1065"/>
    </row>
    <row r="558" spans="4:59">
      <c r="D558" s="1065"/>
      <c r="S558" s="1065"/>
      <c r="BE558" s="1065"/>
      <c r="BF558" s="1065"/>
      <c r="BG558" s="1065"/>
    </row>
    <row r="559" spans="4:59">
      <c r="D559" s="1065"/>
      <c r="S559" s="1065"/>
      <c r="BE559" s="1065"/>
      <c r="BF559" s="1065"/>
      <c r="BG559" s="1065"/>
    </row>
    <row r="560" spans="4:59">
      <c r="D560" s="1065"/>
      <c r="S560" s="1065"/>
      <c r="BE560" s="1065"/>
      <c r="BF560" s="1065"/>
      <c r="BG560" s="1065"/>
    </row>
    <row r="561" spans="4:59">
      <c r="D561" s="1065"/>
      <c r="S561" s="1065"/>
      <c r="BE561" s="1065"/>
      <c r="BF561" s="1065"/>
      <c r="BG561" s="1065"/>
    </row>
    <row r="562" spans="4:59">
      <c r="D562" s="1065"/>
      <c r="S562" s="1065"/>
      <c r="BE562" s="1065"/>
      <c r="BF562" s="1065"/>
      <c r="BG562" s="1065"/>
    </row>
    <row r="563" spans="4:59">
      <c r="D563" s="1065"/>
      <c r="S563" s="1065"/>
      <c r="BE563" s="1065"/>
      <c r="BF563" s="1065"/>
      <c r="BG563" s="1065"/>
    </row>
    <row r="564" spans="4:59">
      <c r="D564" s="1065"/>
      <c r="S564" s="1065"/>
      <c r="BE564" s="1065"/>
      <c r="BF564" s="1065"/>
      <c r="BG564" s="1065"/>
    </row>
    <row r="565" spans="4:59">
      <c r="D565" s="1065"/>
      <c r="S565" s="1065"/>
      <c r="BE565" s="1065"/>
      <c r="BF565" s="1065"/>
      <c r="BG565" s="1065"/>
    </row>
    <row r="566" spans="4:59">
      <c r="D566" s="1065"/>
      <c r="S566" s="1065"/>
      <c r="BE566" s="1065"/>
      <c r="BF566" s="1065"/>
      <c r="BG566" s="1065"/>
    </row>
    <row r="567" spans="4:59">
      <c r="D567" s="1065"/>
      <c r="S567" s="1065"/>
      <c r="BE567" s="1065"/>
      <c r="BF567" s="1065"/>
      <c r="BG567" s="1065"/>
    </row>
    <row r="568" spans="4:59">
      <c r="D568" s="1065"/>
      <c r="S568" s="1065"/>
      <c r="BE568" s="1065"/>
      <c r="BF568" s="1065"/>
      <c r="BG568" s="1065"/>
    </row>
    <row r="569" spans="4:59">
      <c r="D569" s="1065"/>
      <c r="S569" s="1065"/>
      <c r="BE569" s="1065"/>
      <c r="BF569" s="1065"/>
      <c r="BG569" s="1065"/>
    </row>
    <row r="570" spans="4:59">
      <c r="D570" s="1065"/>
      <c r="S570" s="1065"/>
      <c r="BE570" s="1065"/>
      <c r="BF570" s="1065"/>
      <c r="BG570" s="1065"/>
    </row>
    <row r="571" spans="4:59">
      <c r="D571" s="1065"/>
      <c r="S571" s="1065"/>
      <c r="BE571" s="1065"/>
      <c r="BF571" s="1065"/>
      <c r="BG571" s="1065"/>
    </row>
    <row r="572" spans="4:59">
      <c r="D572" s="1065"/>
      <c r="S572" s="1065"/>
      <c r="BE572" s="1065"/>
      <c r="BF572" s="1065"/>
      <c r="BG572" s="1065"/>
    </row>
    <row r="573" spans="4:59">
      <c r="D573" s="1065"/>
      <c r="S573" s="1065"/>
      <c r="BE573" s="1065"/>
      <c r="BF573" s="1065"/>
      <c r="BG573" s="1065"/>
    </row>
    <row r="574" spans="4:59">
      <c r="D574" s="1065"/>
      <c r="S574" s="1065"/>
      <c r="BE574" s="1065"/>
      <c r="BF574" s="1065"/>
      <c r="BG574" s="1065"/>
    </row>
    <row r="575" spans="4:59">
      <c r="D575" s="1065"/>
      <c r="S575" s="1065"/>
      <c r="BE575" s="1065"/>
      <c r="BF575" s="1065"/>
      <c r="BG575" s="1065"/>
    </row>
    <row r="576" spans="4:59">
      <c r="D576" s="1065"/>
      <c r="S576" s="1065"/>
      <c r="BE576" s="1065"/>
      <c r="BF576" s="1065"/>
      <c r="BG576" s="1065"/>
    </row>
    <row r="577" spans="4:59">
      <c r="D577" s="1065"/>
      <c r="S577" s="1065"/>
      <c r="BE577" s="1065"/>
      <c r="BF577" s="1065"/>
      <c r="BG577" s="1065"/>
    </row>
    <row r="578" spans="4:59">
      <c r="D578" s="1065"/>
      <c r="S578" s="1065"/>
      <c r="BE578" s="1065"/>
      <c r="BF578" s="1065"/>
      <c r="BG578" s="1065"/>
    </row>
    <row r="579" spans="4:59">
      <c r="D579" s="1065"/>
      <c r="S579" s="1065"/>
      <c r="BE579" s="1065"/>
      <c r="BF579" s="1065"/>
      <c r="BG579" s="1065"/>
    </row>
    <row r="580" spans="4:59">
      <c r="D580" s="1065"/>
      <c r="S580" s="1065"/>
      <c r="BE580" s="1065"/>
      <c r="BF580" s="1065"/>
      <c r="BG580" s="1065"/>
    </row>
    <row r="581" spans="4:59">
      <c r="D581" s="1065"/>
      <c r="S581" s="1065"/>
      <c r="BE581" s="1065"/>
      <c r="BF581" s="1065"/>
      <c r="BG581" s="1065"/>
    </row>
    <row r="585" spans="4:59">
      <c r="D585" s="1065"/>
      <c r="S585" s="1065"/>
      <c r="BE585" s="1065"/>
      <c r="BF585" s="1065"/>
      <c r="BG585" s="1065"/>
    </row>
    <row r="586" spans="4:59">
      <c r="D586" s="1065"/>
      <c r="S586" s="1065"/>
      <c r="BE586" s="1065"/>
      <c r="BF586" s="1065"/>
      <c r="BG586" s="1065"/>
    </row>
    <row r="592" spans="4:59">
      <c r="D592" s="1065"/>
      <c r="S592" s="1065"/>
      <c r="BE592" s="1065"/>
      <c r="BF592" s="1065"/>
      <c r="BG592" s="1065"/>
    </row>
    <row r="593" spans="4:59">
      <c r="D593" s="1065"/>
      <c r="S593" s="1065"/>
      <c r="BE593" s="1065"/>
      <c r="BF593" s="1065"/>
      <c r="BG593" s="1065"/>
    </row>
    <row r="595" spans="4:59">
      <c r="D595" s="1065"/>
      <c r="S595" s="1065"/>
      <c r="BE595" s="1065"/>
      <c r="BF595" s="1065"/>
      <c r="BG595" s="1065"/>
    </row>
    <row r="596" spans="4:59">
      <c r="D596" s="1065"/>
      <c r="S596" s="1065"/>
      <c r="BE596" s="1065"/>
      <c r="BF596" s="1065"/>
      <c r="BG596" s="1065"/>
    </row>
    <row r="597" spans="4:59">
      <c r="D597" s="1065"/>
      <c r="S597" s="1065"/>
      <c r="BE597" s="1065"/>
      <c r="BF597" s="1065"/>
      <c r="BG597" s="1065"/>
    </row>
    <row r="598" spans="4:59">
      <c r="D598" s="1065"/>
      <c r="S598" s="1065"/>
      <c r="BE598" s="1065"/>
      <c r="BF598" s="1065"/>
      <c r="BG598" s="1065"/>
    </row>
    <row r="599" spans="4:59">
      <c r="D599" s="1065"/>
      <c r="S599" s="1065"/>
      <c r="BE599" s="1065"/>
      <c r="BF599" s="1065"/>
      <c r="BG599" s="1065"/>
    </row>
    <row r="600" spans="4:59">
      <c r="D600" s="1065"/>
      <c r="S600" s="1065"/>
      <c r="BE600" s="1065"/>
      <c r="BF600" s="1065"/>
      <c r="BG600" s="1065"/>
    </row>
    <row r="601" spans="4:59">
      <c r="D601" s="1065"/>
      <c r="S601" s="1065"/>
      <c r="BE601" s="1065"/>
      <c r="BF601" s="1065"/>
      <c r="BG601" s="1065"/>
    </row>
    <row r="602" spans="4:59">
      <c r="D602" s="1065"/>
      <c r="S602" s="1065"/>
      <c r="BE602" s="1065"/>
      <c r="BF602" s="1065"/>
      <c r="BG602" s="1065"/>
    </row>
    <row r="603" spans="4:59">
      <c r="D603" s="1065"/>
      <c r="S603" s="1065"/>
      <c r="BE603" s="1065"/>
      <c r="BF603" s="1065"/>
      <c r="BG603" s="1065"/>
    </row>
    <row r="604" spans="4:59">
      <c r="D604" s="1065"/>
      <c r="S604" s="1065"/>
      <c r="BE604" s="1065"/>
      <c r="BF604" s="1065"/>
      <c r="BG604" s="1065"/>
    </row>
    <row r="605" spans="4:59">
      <c r="D605" s="1065"/>
      <c r="S605" s="1065"/>
      <c r="BE605" s="1065"/>
      <c r="BF605" s="1065"/>
      <c r="BG605" s="1065"/>
    </row>
    <row r="606" spans="4:59">
      <c r="D606" s="1065"/>
      <c r="S606" s="1065"/>
      <c r="BE606" s="1065"/>
      <c r="BF606" s="1065"/>
      <c r="BG606" s="1065"/>
    </row>
    <row r="607" spans="4:59">
      <c r="D607" s="1065"/>
      <c r="S607" s="1065"/>
      <c r="BE607" s="1065"/>
      <c r="BF607" s="1065"/>
      <c r="BG607" s="1065"/>
    </row>
    <row r="608" spans="4:59">
      <c r="D608" s="1065"/>
      <c r="S608" s="1065"/>
      <c r="BE608" s="1065"/>
      <c r="BF608" s="1065"/>
      <c r="BG608" s="1065"/>
    </row>
    <row r="609" spans="4:59">
      <c r="D609" s="1065"/>
      <c r="S609" s="1065"/>
      <c r="BE609" s="1065"/>
      <c r="BF609" s="1065"/>
      <c r="BG609" s="1065"/>
    </row>
    <row r="610" spans="4:59">
      <c r="D610" s="1065"/>
      <c r="S610" s="1065"/>
      <c r="BE610" s="1065"/>
      <c r="BF610" s="1065"/>
      <c r="BG610" s="1065"/>
    </row>
    <row r="611" spans="4:59">
      <c r="D611" s="1065"/>
      <c r="S611" s="1065"/>
      <c r="BE611" s="1065"/>
      <c r="BF611" s="1065"/>
      <c r="BG611" s="1065"/>
    </row>
    <row r="612" spans="4:59">
      <c r="D612" s="1065"/>
      <c r="S612" s="1065"/>
      <c r="BE612" s="1065"/>
      <c r="BF612" s="1065"/>
      <c r="BG612" s="1065"/>
    </row>
    <row r="613" spans="4:59">
      <c r="D613" s="1065"/>
      <c r="S613" s="1065"/>
      <c r="BE613" s="1065"/>
      <c r="BF613" s="1065"/>
      <c r="BG613" s="1065"/>
    </row>
    <row r="614" spans="4:59">
      <c r="D614" s="1065"/>
      <c r="S614" s="1065"/>
      <c r="BE614" s="1065"/>
      <c r="BF614" s="1065"/>
      <c r="BG614" s="1065"/>
    </row>
    <row r="615" spans="4:59">
      <c r="D615" s="1065"/>
      <c r="S615" s="1065"/>
      <c r="BE615" s="1065"/>
      <c r="BF615" s="1065"/>
      <c r="BG615" s="1065"/>
    </row>
    <row r="616" spans="4:59">
      <c r="D616" s="1065"/>
      <c r="S616" s="1065"/>
      <c r="BE616" s="1065"/>
      <c r="BF616" s="1065"/>
      <c r="BG616" s="1065"/>
    </row>
    <row r="617" spans="4:59">
      <c r="D617" s="1065"/>
      <c r="S617" s="1065"/>
      <c r="BE617" s="1065"/>
      <c r="BF617" s="1065"/>
      <c r="BG617" s="1065"/>
    </row>
    <row r="618" spans="4:59">
      <c r="D618" s="1065"/>
      <c r="S618" s="1065"/>
      <c r="BE618" s="1065"/>
      <c r="BF618" s="1065"/>
      <c r="BG618" s="1065"/>
    </row>
    <row r="619" spans="4:59">
      <c r="D619" s="1065"/>
      <c r="S619" s="1065"/>
      <c r="BE619" s="1065"/>
      <c r="BF619" s="1065"/>
      <c r="BG619" s="1065"/>
    </row>
    <row r="620" spans="4:59">
      <c r="D620" s="1065"/>
      <c r="S620" s="1065"/>
      <c r="BE620" s="1065"/>
      <c r="BF620" s="1065"/>
      <c r="BG620" s="1065"/>
    </row>
    <row r="621" spans="4:59">
      <c r="D621" s="1065"/>
      <c r="S621" s="1065"/>
      <c r="BE621" s="1065"/>
      <c r="BF621" s="1065"/>
      <c r="BG621" s="1065"/>
    </row>
    <row r="622" spans="4:59">
      <c r="D622" s="1065"/>
      <c r="S622" s="1065"/>
      <c r="BE622" s="1065"/>
      <c r="BF622" s="1065"/>
      <c r="BG622" s="1065"/>
    </row>
    <row r="623" spans="4:59">
      <c r="D623" s="1065"/>
      <c r="S623" s="1065"/>
      <c r="BE623" s="1065"/>
      <c r="BF623" s="1065"/>
      <c r="BG623" s="1065"/>
    </row>
    <row r="624" spans="4:59">
      <c r="D624" s="1065"/>
      <c r="S624" s="1065"/>
      <c r="BE624" s="1065"/>
      <c r="BF624" s="1065"/>
      <c r="BG624" s="1065"/>
    </row>
    <row r="625" spans="4:59">
      <c r="D625" s="1065"/>
      <c r="S625" s="1065"/>
      <c r="BE625" s="1065"/>
      <c r="BF625" s="1065"/>
      <c r="BG625" s="1065"/>
    </row>
    <row r="626" spans="4:59">
      <c r="D626" s="1065"/>
      <c r="S626" s="1065"/>
      <c r="BE626" s="1065"/>
      <c r="BF626" s="1065"/>
      <c r="BG626" s="1065"/>
    </row>
    <row r="627" spans="4:59">
      <c r="D627" s="1065"/>
      <c r="S627" s="1065"/>
      <c r="BE627" s="1065"/>
      <c r="BF627" s="1065"/>
      <c r="BG627" s="1065"/>
    </row>
    <row r="630" spans="4:59">
      <c r="D630" s="1065"/>
      <c r="S630" s="1065"/>
      <c r="BE630" s="1065"/>
      <c r="BF630" s="1065"/>
      <c r="BG630" s="1065"/>
    </row>
    <row r="631" spans="4:59">
      <c r="D631" s="1065"/>
      <c r="S631" s="1065"/>
      <c r="BE631" s="1065"/>
      <c r="BF631" s="1065"/>
      <c r="BG631" s="1065"/>
    </row>
    <row r="632" spans="4:59">
      <c r="D632" s="1065"/>
      <c r="S632" s="1065"/>
      <c r="BE632" s="1065"/>
      <c r="BF632" s="1065"/>
      <c r="BG632" s="1065"/>
    </row>
    <row r="633" spans="4:59">
      <c r="D633" s="1065"/>
      <c r="S633" s="1065"/>
      <c r="BE633" s="1065"/>
      <c r="BF633" s="1065"/>
      <c r="BG633" s="1065"/>
    </row>
    <row r="634" spans="4:59">
      <c r="D634" s="1065"/>
      <c r="S634" s="1065"/>
      <c r="BE634" s="1065"/>
      <c r="BF634" s="1065"/>
      <c r="BG634" s="1065"/>
    </row>
    <row r="635" spans="4:59">
      <c r="D635" s="1065"/>
      <c r="S635" s="1065"/>
      <c r="BE635" s="1065"/>
      <c r="BF635" s="1065"/>
      <c r="BG635" s="1065"/>
    </row>
    <row r="636" spans="4:59">
      <c r="D636" s="1065"/>
      <c r="S636" s="1065"/>
      <c r="BE636" s="1065"/>
      <c r="BF636" s="1065"/>
      <c r="BG636" s="1065"/>
    </row>
    <row r="637" spans="4:59">
      <c r="D637" s="1065"/>
      <c r="S637" s="1065"/>
      <c r="BE637" s="1065"/>
      <c r="BF637" s="1065"/>
      <c r="BG637" s="1065"/>
    </row>
    <row r="638" spans="4:59">
      <c r="D638" s="1065"/>
      <c r="S638" s="1065"/>
      <c r="BE638" s="1065"/>
      <c r="BF638" s="1065"/>
      <c r="BG638" s="1065"/>
    </row>
    <row r="639" spans="4:59">
      <c r="D639" s="1065"/>
      <c r="S639" s="1065"/>
      <c r="BE639" s="1065"/>
      <c r="BF639" s="1065"/>
      <c r="BG639" s="1065"/>
    </row>
    <row r="640" spans="4:59">
      <c r="D640" s="1065"/>
      <c r="S640" s="1065"/>
      <c r="BE640" s="1065"/>
      <c r="BF640" s="1065"/>
      <c r="BG640" s="1065"/>
    </row>
    <row r="641" spans="4:59">
      <c r="D641" s="1065"/>
      <c r="S641" s="1065"/>
      <c r="BE641" s="1065"/>
      <c r="BF641" s="1065"/>
      <c r="BG641" s="1065"/>
    </row>
    <row r="642" spans="4:59">
      <c r="D642" s="1065"/>
      <c r="S642" s="1065"/>
      <c r="BE642" s="1065"/>
      <c r="BF642" s="1065"/>
      <c r="BG642" s="1065"/>
    </row>
    <row r="643" spans="4:59">
      <c r="D643" s="1065"/>
      <c r="S643" s="1065"/>
      <c r="BE643" s="1065"/>
      <c r="BF643" s="1065"/>
      <c r="BG643" s="1065"/>
    </row>
    <row r="644" spans="4:59">
      <c r="D644" s="1065"/>
      <c r="S644" s="1065"/>
      <c r="BE644" s="1065"/>
      <c r="BF644" s="1065"/>
      <c r="BG644" s="1065"/>
    </row>
    <row r="645" spans="4:59">
      <c r="D645" s="1065"/>
      <c r="S645" s="1065"/>
      <c r="BE645" s="1065"/>
      <c r="BF645" s="1065"/>
      <c r="BG645" s="1065"/>
    </row>
    <row r="646" spans="4:59">
      <c r="D646" s="1065"/>
      <c r="S646" s="1065"/>
      <c r="BE646" s="1065"/>
      <c r="BF646" s="1065"/>
      <c r="BG646" s="1065"/>
    </row>
    <row r="647" spans="4:59">
      <c r="D647" s="1065"/>
      <c r="S647" s="1065"/>
      <c r="BE647" s="1065"/>
      <c r="BF647" s="1065"/>
      <c r="BG647" s="1065"/>
    </row>
    <row r="648" spans="4:59">
      <c r="D648" s="1065"/>
      <c r="S648" s="1065"/>
      <c r="BE648" s="1065"/>
      <c r="BF648" s="1065"/>
      <c r="BG648" s="1065"/>
    </row>
    <row r="649" spans="4:59">
      <c r="D649" s="1065"/>
      <c r="S649" s="1065"/>
      <c r="BE649" s="1065"/>
      <c r="BF649" s="1065"/>
      <c r="BG649" s="1065"/>
    </row>
    <row r="650" spans="4:59">
      <c r="D650" s="1065"/>
      <c r="S650" s="1065"/>
      <c r="BE650" s="1065"/>
      <c r="BF650" s="1065"/>
      <c r="BG650" s="1065"/>
    </row>
    <row r="651" spans="4:59">
      <c r="D651" s="1065"/>
      <c r="S651" s="1065"/>
      <c r="BE651" s="1065"/>
      <c r="BF651" s="1065"/>
      <c r="BG651" s="1065"/>
    </row>
    <row r="652" spans="4:59">
      <c r="D652" s="1065"/>
      <c r="S652" s="1065"/>
      <c r="BE652" s="1065"/>
      <c r="BF652" s="1065"/>
      <c r="BG652" s="1065"/>
    </row>
    <row r="653" spans="4:59">
      <c r="D653" s="1065"/>
      <c r="S653" s="1065"/>
      <c r="BE653" s="1065"/>
      <c r="BF653" s="1065"/>
      <c r="BG653" s="1065"/>
    </row>
    <row r="654" spans="4:59">
      <c r="D654" s="1065"/>
      <c r="S654" s="1065"/>
      <c r="BE654" s="1065"/>
      <c r="BF654" s="1065"/>
      <c r="BG654" s="1065"/>
    </row>
    <row r="655" spans="4:59">
      <c r="D655" s="1065"/>
      <c r="S655" s="1065"/>
      <c r="BE655" s="1065"/>
      <c r="BF655" s="1065"/>
      <c r="BG655" s="1065"/>
    </row>
    <row r="656" spans="4:59">
      <c r="D656" s="1065"/>
      <c r="S656" s="1065"/>
      <c r="BE656" s="1065"/>
      <c r="BF656" s="1065"/>
      <c r="BG656" s="1065"/>
    </row>
    <row r="657" spans="4:59">
      <c r="D657" s="1065"/>
      <c r="S657" s="1065"/>
      <c r="BE657" s="1065"/>
      <c r="BF657" s="1065"/>
      <c r="BG657" s="1065"/>
    </row>
    <row r="658" spans="4:59">
      <c r="D658" s="1065"/>
      <c r="S658" s="1065"/>
      <c r="BE658" s="1065"/>
      <c r="BF658" s="1065"/>
      <c r="BG658" s="1065"/>
    </row>
    <row r="659" spans="4:59">
      <c r="D659" s="1065"/>
      <c r="S659" s="1065"/>
      <c r="BE659" s="1065"/>
      <c r="BF659" s="1065"/>
      <c r="BG659" s="1065"/>
    </row>
    <row r="660" spans="4:59">
      <c r="D660" s="1065"/>
      <c r="S660" s="1065"/>
      <c r="BE660" s="1065"/>
      <c r="BF660" s="1065"/>
      <c r="BG660" s="1065"/>
    </row>
    <row r="661" spans="4:59">
      <c r="D661" s="1065"/>
      <c r="S661" s="1065"/>
      <c r="BE661" s="1065"/>
      <c r="BF661" s="1065"/>
      <c r="BG661" s="1065"/>
    </row>
    <row r="662" spans="4:59">
      <c r="D662" s="1065"/>
      <c r="S662" s="1065"/>
      <c r="BE662" s="1065"/>
      <c r="BF662" s="1065"/>
      <c r="BG662" s="1065"/>
    </row>
    <row r="663" spans="4:59">
      <c r="D663" s="1065"/>
      <c r="S663" s="1065"/>
      <c r="BE663" s="1065"/>
      <c r="BF663" s="1065"/>
      <c r="BG663" s="1065"/>
    </row>
    <row r="664" spans="4:59">
      <c r="D664" s="1065"/>
      <c r="S664" s="1065"/>
      <c r="BE664" s="1065"/>
      <c r="BF664" s="1065"/>
      <c r="BG664" s="1065"/>
    </row>
    <row r="665" spans="4:59">
      <c r="D665" s="1065"/>
      <c r="S665" s="1065"/>
      <c r="BE665" s="1065"/>
      <c r="BF665" s="1065"/>
      <c r="BG665" s="1065"/>
    </row>
    <row r="666" spans="4:59">
      <c r="D666" s="1065"/>
      <c r="S666" s="1065"/>
      <c r="BE666" s="1065"/>
      <c r="BF666" s="1065"/>
      <c r="BG666" s="1065"/>
    </row>
    <row r="667" spans="4:59">
      <c r="D667" s="1065"/>
      <c r="S667" s="1065"/>
      <c r="BE667" s="1065"/>
      <c r="BF667" s="1065"/>
      <c r="BG667" s="1065"/>
    </row>
    <row r="668" spans="4:59">
      <c r="D668" s="1065"/>
      <c r="S668" s="1065"/>
      <c r="BE668" s="1065"/>
      <c r="BF668" s="1065"/>
      <c r="BG668" s="1065"/>
    </row>
    <row r="669" spans="4:59">
      <c r="D669" s="1065"/>
      <c r="S669" s="1065"/>
      <c r="BE669" s="1065"/>
      <c r="BF669" s="1065"/>
      <c r="BG669" s="1065"/>
    </row>
    <row r="670" spans="4:59">
      <c r="D670" s="1065"/>
      <c r="S670" s="1065"/>
      <c r="BE670" s="1065"/>
      <c r="BF670" s="1065"/>
      <c r="BG670" s="1065"/>
    </row>
    <row r="671" spans="4:59">
      <c r="D671" s="1065"/>
      <c r="S671" s="1065"/>
      <c r="BE671" s="1065"/>
      <c r="BF671" s="1065"/>
      <c r="BG671" s="1065"/>
    </row>
    <row r="672" spans="4:59">
      <c r="D672" s="1065"/>
      <c r="S672" s="1065"/>
      <c r="BE672" s="1065"/>
      <c r="BF672" s="1065"/>
      <c r="BG672" s="1065"/>
    </row>
    <row r="673" spans="4:59">
      <c r="D673" s="1065"/>
      <c r="S673" s="1065"/>
      <c r="BE673" s="1065"/>
      <c r="BF673" s="1065"/>
      <c r="BG673" s="1065"/>
    </row>
    <row r="674" spans="4:59">
      <c r="D674" s="1065"/>
      <c r="S674" s="1065"/>
      <c r="BE674" s="1065"/>
      <c r="BF674" s="1065"/>
      <c r="BG674" s="1065"/>
    </row>
    <row r="675" spans="4:59">
      <c r="D675" s="1065"/>
      <c r="S675" s="1065"/>
      <c r="BE675" s="1065"/>
      <c r="BF675" s="1065"/>
      <c r="BG675" s="1065"/>
    </row>
    <row r="676" spans="4:59">
      <c r="D676" s="1065"/>
      <c r="S676" s="1065"/>
      <c r="BE676" s="1065"/>
      <c r="BF676" s="1065"/>
      <c r="BG676" s="1065"/>
    </row>
    <row r="677" spans="4:59">
      <c r="D677" s="1065"/>
      <c r="S677" s="1065"/>
      <c r="BE677" s="1065"/>
      <c r="BF677" s="1065"/>
      <c r="BG677" s="1065"/>
    </row>
    <row r="678" spans="4:59">
      <c r="D678" s="1065"/>
      <c r="S678" s="1065"/>
      <c r="BE678" s="1065"/>
      <c r="BF678" s="1065"/>
      <c r="BG678" s="1065"/>
    </row>
    <row r="679" spans="4:59">
      <c r="D679" s="1065"/>
      <c r="S679" s="1065"/>
      <c r="BE679" s="1065"/>
      <c r="BF679" s="1065"/>
      <c r="BG679" s="1065"/>
    </row>
    <row r="680" spans="4:59">
      <c r="D680" s="1065"/>
      <c r="S680" s="1065"/>
      <c r="BE680" s="1065"/>
      <c r="BF680" s="1065"/>
      <c r="BG680" s="1065"/>
    </row>
    <row r="681" spans="4:59">
      <c r="D681" s="1065"/>
      <c r="S681" s="1065"/>
      <c r="BE681" s="1065"/>
      <c r="BF681" s="1065"/>
      <c r="BG681" s="1065"/>
    </row>
    <row r="682" spans="4:59">
      <c r="D682" s="1065"/>
      <c r="S682" s="1065"/>
      <c r="BE682" s="1065"/>
      <c r="BF682" s="1065"/>
      <c r="BG682" s="1065"/>
    </row>
    <row r="683" spans="4:59">
      <c r="D683" s="1065"/>
      <c r="S683" s="1065"/>
      <c r="BE683" s="1065"/>
      <c r="BF683" s="1065"/>
      <c r="BG683" s="1065"/>
    </row>
    <row r="684" spans="4:59">
      <c r="D684" s="1065"/>
      <c r="S684" s="1065"/>
      <c r="BE684" s="1065"/>
      <c r="BF684" s="1065"/>
      <c r="BG684" s="1065"/>
    </row>
    <row r="685" spans="4:59">
      <c r="D685" s="1065"/>
      <c r="S685" s="1065"/>
      <c r="BE685" s="1065"/>
      <c r="BF685" s="1065"/>
      <c r="BG685" s="1065"/>
    </row>
    <row r="686" spans="4:59">
      <c r="D686" s="1065"/>
      <c r="S686" s="1065"/>
      <c r="BE686" s="1065"/>
      <c r="BF686" s="1065"/>
      <c r="BG686" s="1065"/>
    </row>
    <row r="687" spans="4:59">
      <c r="D687" s="1065"/>
      <c r="S687" s="1065"/>
      <c r="BE687" s="1065"/>
      <c r="BF687" s="1065"/>
      <c r="BG687" s="1065"/>
    </row>
    <row r="688" spans="4:59">
      <c r="D688" s="1065"/>
      <c r="S688" s="1065"/>
      <c r="BE688" s="1065"/>
      <c r="BF688" s="1065"/>
      <c r="BG688" s="1065"/>
    </row>
    <row r="689" spans="4:59">
      <c r="D689" s="1065"/>
      <c r="S689" s="1065"/>
      <c r="BE689" s="1065"/>
      <c r="BF689" s="1065"/>
      <c r="BG689" s="1065"/>
    </row>
    <row r="690" spans="4:59">
      <c r="D690" s="1065"/>
      <c r="S690" s="1065"/>
      <c r="BE690" s="1065"/>
      <c r="BF690" s="1065"/>
      <c r="BG690" s="1065"/>
    </row>
    <row r="691" spans="4:59">
      <c r="D691" s="1065"/>
      <c r="S691" s="1065"/>
      <c r="BE691" s="1065"/>
      <c r="BF691" s="1065"/>
      <c r="BG691" s="1065"/>
    </row>
    <row r="692" spans="4:59">
      <c r="D692" s="1065"/>
      <c r="S692" s="1065"/>
      <c r="BE692" s="1065"/>
      <c r="BF692" s="1065"/>
      <c r="BG692" s="1065"/>
    </row>
    <row r="693" spans="4:59">
      <c r="D693" s="1065"/>
      <c r="S693" s="1065"/>
      <c r="BE693" s="1065"/>
      <c r="BF693" s="1065"/>
      <c r="BG693" s="1065"/>
    </row>
    <row r="694" spans="4:59">
      <c r="D694" s="1065"/>
      <c r="S694" s="1065"/>
      <c r="BE694" s="1065"/>
      <c r="BF694" s="1065"/>
      <c r="BG694" s="1065"/>
    </row>
    <row r="695" spans="4:59">
      <c r="D695" s="1065"/>
      <c r="S695" s="1065"/>
      <c r="BE695" s="1065"/>
      <c r="BF695" s="1065"/>
      <c r="BG695" s="1065"/>
    </row>
    <row r="696" spans="4:59">
      <c r="D696" s="1065"/>
      <c r="S696" s="1065"/>
      <c r="BE696" s="1065"/>
      <c r="BF696" s="1065"/>
      <c r="BG696" s="1065"/>
    </row>
    <row r="697" spans="4:59">
      <c r="D697" s="1065"/>
      <c r="S697" s="1065"/>
      <c r="BE697" s="1065"/>
      <c r="BF697" s="1065"/>
      <c r="BG697" s="1065"/>
    </row>
    <row r="698" spans="4:59">
      <c r="D698" s="1065"/>
      <c r="S698" s="1065"/>
      <c r="BE698" s="1065"/>
      <c r="BF698" s="1065"/>
      <c r="BG698" s="1065"/>
    </row>
    <row r="699" spans="4:59">
      <c r="D699" s="1065"/>
      <c r="S699" s="1065"/>
      <c r="BE699" s="1065"/>
      <c r="BF699" s="1065"/>
      <c r="BG699" s="1065"/>
    </row>
    <row r="700" spans="4:59">
      <c r="D700" s="1065"/>
      <c r="S700" s="1065"/>
      <c r="BE700" s="1065"/>
      <c r="BF700" s="1065"/>
      <c r="BG700" s="1065"/>
    </row>
    <row r="701" spans="4:59">
      <c r="D701" s="1065"/>
      <c r="S701" s="1065"/>
      <c r="BE701" s="1065"/>
      <c r="BF701" s="1065"/>
      <c r="BG701" s="1065"/>
    </row>
    <row r="702" spans="4:59">
      <c r="D702" s="1065"/>
      <c r="S702" s="1065"/>
      <c r="BE702" s="1065"/>
      <c r="BF702" s="1065"/>
      <c r="BG702" s="1065"/>
    </row>
    <row r="703" spans="4:59">
      <c r="D703" s="1065"/>
      <c r="S703" s="1065"/>
      <c r="BE703" s="1065"/>
      <c r="BF703" s="1065"/>
      <c r="BG703" s="1065"/>
    </row>
    <row r="704" spans="4:59">
      <c r="D704" s="1065"/>
      <c r="S704" s="1065"/>
      <c r="BE704" s="1065"/>
      <c r="BF704" s="1065"/>
      <c r="BG704" s="1065"/>
    </row>
    <row r="705" spans="4:59">
      <c r="D705" s="1065"/>
      <c r="S705" s="1065"/>
      <c r="BE705" s="1065"/>
      <c r="BF705" s="1065"/>
      <c r="BG705" s="1065"/>
    </row>
    <row r="706" spans="4:59">
      <c r="D706" s="1065"/>
      <c r="S706" s="1065"/>
      <c r="BE706" s="1065"/>
      <c r="BF706" s="1065"/>
      <c r="BG706" s="1065"/>
    </row>
    <row r="707" spans="4:59">
      <c r="D707" s="1065"/>
      <c r="S707" s="1065"/>
      <c r="BE707" s="1065"/>
      <c r="BF707" s="1065"/>
      <c r="BG707" s="1065"/>
    </row>
    <row r="708" spans="4:59">
      <c r="D708" s="1065"/>
      <c r="S708" s="1065"/>
      <c r="BE708" s="1065"/>
      <c r="BF708" s="1065"/>
      <c r="BG708" s="1065"/>
    </row>
    <row r="709" spans="4:59">
      <c r="D709" s="1065"/>
      <c r="S709" s="1065"/>
      <c r="BE709" s="1065"/>
      <c r="BF709" s="1065"/>
      <c r="BG709" s="1065"/>
    </row>
    <row r="710" spans="4:59">
      <c r="D710" s="1065"/>
      <c r="S710" s="1065"/>
      <c r="BE710" s="1065"/>
      <c r="BF710" s="1065"/>
      <c r="BG710" s="1065"/>
    </row>
    <row r="711" spans="4:59">
      <c r="D711" s="1065"/>
      <c r="S711" s="1065"/>
      <c r="BE711" s="1065"/>
      <c r="BF711" s="1065"/>
      <c r="BG711" s="1065"/>
    </row>
    <row r="712" spans="4:59">
      <c r="D712" s="1065"/>
      <c r="S712" s="1065"/>
      <c r="BE712" s="1065"/>
      <c r="BF712" s="1065"/>
      <c r="BG712" s="1065"/>
    </row>
    <row r="713" spans="4:59">
      <c r="D713" s="1065"/>
      <c r="S713" s="1065"/>
      <c r="BE713" s="1065"/>
      <c r="BF713" s="1065"/>
      <c r="BG713" s="1065"/>
    </row>
    <row r="714" spans="4:59">
      <c r="D714" s="1065"/>
      <c r="S714" s="1065"/>
      <c r="BE714" s="1065"/>
      <c r="BF714" s="1065"/>
      <c r="BG714" s="1065"/>
    </row>
    <row r="715" spans="4:59">
      <c r="D715" s="1065"/>
      <c r="S715" s="1065"/>
      <c r="BE715" s="1065"/>
      <c r="BF715" s="1065"/>
      <c r="BG715" s="1065"/>
    </row>
    <row r="716" spans="4:59">
      <c r="D716" s="1065"/>
      <c r="S716" s="1065"/>
      <c r="BE716" s="1065"/>
      <c r="BF716" s="1065"/>
      <c r="BG716" s="1065"/>
    </row>
    <row r="717" spans="4:59">
      <c r="D717" s="1065"/>
      <c r="S717" s="1065"/>
      <c r="BE717" s="1065"/>
      <c r="BF717" s="1065"/>
      <c r="BG717" s="1065"/>
    </row>
    <row r="718" spans="4:59">
      <c r="D718" s="1065"/>
      <c r="S718" s="1065"/>
      <c r="BE718" s="1065"/>
      <c r="BF718" s="1065"/>
      <c r="BG718" s="1065"/>
    </row>
    <row r="719" spans="4:59">
      <c r="D719" s="1065"/>
      <c r="S719" s="1065"/>
      <c r="BE719" s="1065"/>
      <c r="BF719" s="1065"/>
      <c r="BG719" s="1065"/>
    </row>
    <row r="720" spans="4:59">
      <c r="D720" s="1065"/>
      <c r="S720" s="1065"/>
      <c r="BE720" s="1065"/>
      <c r="BF720" s="1065"/>
      <c r="BG720" s="1065"/>
    </row>
    <row r="721" spans="4:59">
      <c r="D721" s="1065"/>
      <c r="S721" s="1065"/>
      <c r="BE721" s="1065"/>
      <c r="BF721" s="1065"/>
      <c r="BG721" s="1065"/>
    </row>
    <row r="722" spans="4:59">
      <c r="D722" s="1065"/>
      <c r="S722" s="1065"/>
      <c r="BE722" s="1065"/>
      <c r="BF722" s="1065"/>
      <c r="BG722" s="1065"/>
    </row>
    <row r="723" spans="4:59">
      <c r="D723" s="1065"/>
      <c r="S723" s="1065"/>
      <c r="BE723" s="1065"/>
      <c r="BF723" s="1065"/>
      <c r="BG723" s="1065"/>
    </row>
    <row r="724" spans="4:59">
      <c r="D724" s="1065"/>
      <c r="S724" s="1065"/>
      <c r="BE724" s="1065"/>
      <c r="BF724" s="1065"/>
      <c r="BG724" s="1065"/>
    </row>
    <row r="725" spans="4:59">
      <c r="D725" s="1065"/>
      <c r="S725" s="1065"/>
      <c r="BE725" s="1065"/>
      <c r="BF725" s="1065"/>
      <c r="BG725" s="1065"/>
    </row>
    <row r="726" spans="4:59">
      <c r="D726" s="1065"/>
      <c r="S726" s="1065"/>
      <c r="BE726" s="1065"/>
      <c r="BF726" s="1065"/>
      <c r="BG726" s="1065"/>
    </row>
    <row r="727" spans="4:59">
      <c r="D727" s="1065"/>
      <c r="S727" s="1065"/>
      <c r="BE727" s="1065"/>
      <c r="BF727" s="1065"/>
      <c r="BG727" s="1065"/>
    </row>
    <row r="728" spans="4:59">
      <c r="D728" s="1065"/>
      <c r="S728" s="1065"/>
      <c r="BE728" s="1065"/>
      <c r="BF728" s="1065"/>
      <c r="BG728" s="1065"/>
    </row>
    <row r="729" spans="4:59">
      <c r="D729" s="1065"/>
      <c r="S729" s="1065"/>
      <c r="BE729" s="1065"/>
      <c r="BF729" s="1065"/>
      <c r="BG729" s="1065"/>
    </row>
    <row r="730" spans="4:59">
      <c r="D730" s="1065"/>
      <c r="S730" s="1065"/>
      <c r="BE730" s="1065"/>
      <c r="BF730" s="1065"/>
      <c r="BG730" s="1065"/>
    </row>
    <row r="731" spans="4:59">
      <c r="D731" s="1065"/>
      <c r="S731" s="1065"/>
      <c r="BE731" s="1065"/>
      <c r="BF731" s="1065"/>
      <c r="BG731" s="1065"/>
    </row>
    <row r="732" spans="4:59">
      <c r="D732" s="1065"/>
      <c r="S732" s="1065"/>
      <c r="BE732" s="1065"/>
      <c r="BF732" s="1065"/>
      <c r="BG732" s="1065"/>
    </row>
    <row r="733" spans="4:59">
      <c r="D733" s="1065"/>
      <c r="S733" s="1065"/>
      <c r="BE733" s="1065"/>
      <c r="BF733" s="1065"/>
      <c r="BG733" s="1065"/>
    </row>
    <row r="734" spans="4:59">
      <c r="D734" s="1065"/>
      <c r="S734" s="1065"/>
      <c r="BE734" s="1065"/>
      <c r="BF734" s="1065"/>
      <c r="BG734" s="1065"/>
    </row>
    <row r="735" spans="4:59">
      <c r="D735" s="1065"/>
      <c r="S735" s="1065"/>
      <c r="BE735" s="1065"/>
      <c r="BF735" s="1065"/>
      <c r="BG735" s="1065"/>
    </row>
    <row r="736" spans="4:59">
      <c r="D736" s="1065"/>
      <c r="S736" s="1065"/>
      <c r="BE736" s="1065"/>
      <c r="BF736" s="1065"/>
      <c r="BG736" s="1065"/>
    </row>
    <row r="737" spans="4:59">
      <c r="D737" s="1065"/>
      <c r="S737" s="1065"/>
      <c r="BE737" s="1065"/>
      <c r="BF737" s="1065"/>
      <c r="BG737" s="1065"/>
    </row>
    <row r="738" spans="4:59">
      <c r="D738" s="1065"/>
      <c r="S738" s="1065"/>
      <c r="BE738" s="1065"/>
      <c r="BF738" s="1065"/>
      <c r="BG738" s="1065"/>
    </row>
    <row r="739" spans="4:59">
      <c r="D739" s="1065"/>
      <c r="S739" s="1065"/>
      <c r="BE739" s="1065"/>
      <c r="BF739" s="1065"/>
      <c r="BG739" s="1065"/>
    </row>
    <row r="740" spans="4:59">
      <c r="D740" s="1065"/>
      <c r="S740" s="1065"/>
      <c r="BE740" s="1065"/>
      <c r="BF740" s="1065"/>
      <c r="BG740" s="1065"/>
    </row>
    <row r="741" spans="4:59">
      <c r="D741" s="1065"/>
      <c r="S741" s="1065"/>
      <c r="BE741" s="1065"/>
      <c r="BF741" s="1065"/>
      <c r="BG741" s="1065"/>
    </row>
    <row r="742" spans="4:59">
      <c r="D742" s="1065"/>
      <c r="S742" s="1065"/>
      <c r="BE742" s="1065"/>
      <c r="BF742" s="1065"/>
      <c r="BG742" s="1065"/>
    </row>
    <row r="743" spans="4:59">
      <c r="D743" s="1065"/>
      <c r="S743" s="1065"/>
      <c r="BE743" s="1065"/>
      <c r="BF743" s="1065"/>
      <c r="BG743" s="1065"/>
    </row>
    <row r="744" spans="4:59">
      <c r="D744" s="1065"/>
      <c r="S744" s="1065"/>
      <c r="BE744" s="1065"/>
      <c r="BF744" s="1065"/>
      <c r="BG744" s="1065"/>
    </row>
    <row r="745" spans="4:59">
      <c r="D745" s="1065"/>
      <c r="S745" s="1065"/>
      <c r="BE745" s="1065"/>
      <c r="BF745" s="1065"/>
      <c r="BG745" s="1065"/>
    </row>
    <row r="746" spans="4:59">
      <c r="D746" s="1065"/>
      <c r="S746" s="1065"/>
      <c r="BE746" s="1065"/>
      <c r="BF746" s="1065"/>
      <c r="BG746" s="1065"/>
    </row>
    <row r="747" spans="4:59">
      <c r="D747" s="1065"/>
      <c r="S747" s="1065"/>
      <c r="BE747" s="1065"/>
      <c r="BF747" s="1065"/>
      <c r="BG747" s="1065"/>
    </row>
    <row r="748" spans="4:59">
      <c r="D748" s="1065"/>
      <c r="S748" s="1065"/>
      <c r="BE748" s="1065"/>
      <c r="BF748" s="1065"/>
      <c r="BG748" s="1065"/>
    </row>
    <row r="749" spans="4:59">
      <c r="D749" s="1065"/>
      <c r="S749" s="1065"/>
      <c r="BE749" s="1065"/>
      <c r="BF749" s="1065"/>
      <c r="BG749" s="1065"/>
    </row>
    <row r="750" spans="4:59">
      <c r="D750" s="1065"/>
      <c r="S750" s="1065"/>
      <c r="BE750" s="1065"/>
      <c r="BF750" s="1065"/>
      <c r="BG750" s="1065"/>
    </row>
    <row r="751" spans="4:59">
      <c r="D751" s="1065"/>
      <c r="S751" s="1065"/>
      <c r="BE751" s="1065"/>
      <c r="BF751" s="1065"/>
      <c r="BG751" s="1065"/>
    </row>
    <row r="752" spans="4:59">
      <c r="D752" s="1065"/>
      <c r="S752" s="1065"/>
      <c r="BE752" s="1065"/>
      <c r="BF752" s="1065"/>
      <c r="BG752" s="1065"/>
    </row>
    <row r="753" spans="4:59">
      <c r="D753" s="1065"/>
      <c r="S753" s="1065"/>
      <c r="BE753" s="1065"/>
      <c r="BF753" s="1065"/>
      <c r="BG753" s="1065"/>
    </row>
    <row r="754" spans="4:59">
      <c r="D754" s="1065"/>
      <c r="S754" s="1065"/>
      <c r="BE754" s="1065"/>
      <c r="BF754" s="1065"/>
      <c r="BG754" s="1065"/>
    </row>
    <row r="755" spans="4:59">
      <c r="D755" s="1065"/>
      <c r="S755" s="1065"/>
      <c r="BE755" s="1065"/>
      <c r="BF755" s="1065"/>
      <c r="BG755" s="1065"/>
    </row>
    <row r="756" spans="4:59">
      <c r="D756" s="1065"/>
      <c r="S756" s="1065"/>
      <c r="BE756" s="1065"/>
      <c r="BF756" s="1065"/>
      <c r="BG756" s="1065"/>
    </row>
    <row r="757" spans="4:59">
      <c r="D757" s="1065"/>
      <c r="S757" s="1065"/>
      <c r="BE757" s="1065"/>
      <c r="BF757" s="1065"/>
      <c r="BG757" s="1065"/>
    </row>
    <row r="758" spans="4:59">
      <c r="D758" s="1065"/>
      <c r="S758" s="1065"/>
      <c r="BE758" s="1065"/>
      <c r="BF758" s="1065"/>
      <c r="BG758" s="1065"/>
    </row>
    <row r="759" spans="4:59">
      <c r="D759" s="1065"/>
      <c r="S759" s="1065"/>
      <c r="BE759" s="1065"/>
      <c r="BF759" s="1065"/>
      <c r="BG759" s="1065"/>
    </row>
    <row r="760" spans="4:59">
      <c r="D760" s="1065"/>
      <c r="S760" s="1065"/>
      <c r="BE760" s="1065"/>
      <c r="BF760" s="1065"/>
      <c r="BG760" s="1065"/>
    </row>
    <row r="761" spans="4:59">
      <c r="D761" s="1065"/>
      <c r="S761" s="1065"/>
      <c r="BE761" s="1065"/>
      <c r="BF761" s="1065"/>
      <c r="BG761" s="1065"/>
    </row>
    <row r="762" spans="4:59">
      <c r="D762" s="1065"/>
      <c r="S762" s="1065"/>
      <c r="BE762" s="1065"/>
      <c r="BF762" s="1065"/>
      <c r="BG762" s="1065"/>
    </row>
    <row r="763" spans="4:59">
      <c r="D763" s="1065"/>
      <c r="S763" s="1065"/>
      <c r="BE763" s="1065"/>
      <c r="BF763" s="1065"/>
      <c r="BG763" s="1065"/>
    </row>
    <row r="764" spans="4:59">
      <c r="D764" s="1065"/>
      <c r="S764" s="1065"/>
      <c r="BE764" s="1065"/>
      <c r="BF764" s="1065"/>
      <c r="BG764" s="1065"/>
    </row>
    <row r="765" spans="4:59">
      <c r="D765" s="1065"/>
      <c r="S765" s="1065"/>
      <c r="BE765" s="1065"/>
      <c r="BF765" s="1065"/>
      <c r="BG765" s="1065"/>
    </row>
    <row r="766" spans="4:59">
      <c r="D766" s="1065"/>
      <c r="S766" s="1065"/>
      <c r="BE766" s="1065"/>
      <c r="BF766" s="1065"/>
      <c r="BG766" s="1065"/>
    </row>
    <row r="767" spans="4:59">
      <c r="D767" s="1065"/>
      <c r="S767" s="1065"/>
      <c r="BE767" s="1065"/>
      <c r="BF767" s="1065"/>
      <c r="BG767" s="1065"/>
    </row>
    <row r="768" spans="4:59">
      <c r="D768" s="1065"/>
      <c r="S768" s="1065"/>
      <c r="BE768" s="1065"/>
      <c r="BF768" s="1065"/>
      <c r="BG768" s="1065"/>
    </row>
    <row r="769" spans="4:59">
      <c r="D769" s="1065"/>
      <c r="S769" s="1065"/>
      <c r="BE769" s="1065"/>
      <c r="BF769" s="1065"/>
      <c r="BG769" s="1065"/>
    </row>
    <row r="770" spans="4:59">
      <c r="D770" s="1065"/>
      <c r="S770" s="1065"/>
      <c r="BE770" s="1065"/>
      <c r="BF770" s="1065"/>
      <c r="BG770" s="1065"/>
    </row>
    <row r="771" spans="4:59">
      <c r="D771" s="1065"/>
      <c r="S771" s="1065"/>
      <c r="BE771" s="1065"/>
      <c r="BF771" s="1065"/>
      <c r="BG771" s="1065"/>
    </row>
    <row r="772" spans="4:59">
      <c r="D772" s="1065"/>
      <c r="S772" s="1065"/>
      <c r="BE772" s="1065"/>
      <c r="BF772" s="1065"/>
      <c r="BG772" s="1065"/>
    </row>
    <row r="773" spans="4:59">
      <c r="D773" s="1065"/>
      <c r="S773" s="1065"/>
      <c r="BE773" s="1065"/>
      <c r="BF773" s="1065"/>
      <c r="BG773" s="1065"/>
    </row>
    <row r="774" spans="4:59">
      <c r="D774" s="1065"/>
      <c r="S774" s="1065"/>
      <c r="BE774" s="1065"/>
      <c r="BF774" s="1065"/>
      <c r="BG774" s="1065"/>
    </row>
    <row r="775" spans="4:59">
      <c r="D775" s="1065"/>
      <c r="S775" s="1065"/>
      <c r="BE775" s="1065"/>
      <c r="BF775" s="1065"/>
      <c r="BG775" s="1065"/>
    </row>
    <row r="776" spans="4:59">
      <c r="D776" s="1065"/>
      <c r="S776" s="1065"/>
      <c r="BE776" s="1065"/>
      <c r="BF776" s="1065"/>
      <c r="BG776" s="1065"/>
    </row>
    <row r="777" spans="4:59">
      <c r="D777" s="1065"/>
      <c r="S777" s="1065"/>
      <c r="BE777" s="1065"/>
      <c r="BF777" s="1065"/>
      <c r="BG777" s="1065"/>
    </row>
    <row r="778" spans="4:59">
      <c r="D778" s="1065"/>
      <c r="S778" s="1065"/>
      <c r="BE778" s="1065"/>
      <c r="BF778" s="1065"/>
      <c r="BG778" s="1065"/>
    </row>
    <row r="779" spans="4:59">
      <c r="D779" s="1065"/>
      <c r="S779" s="1065"/>
      <c r="BE779" s="1065"/>
      <c r="BF779" s="1065"/>
      <c r="BG779" s="1065"/>
    </row>
    <row r="780" spans="4:59">
      <c r="D780" s="1065"/>
      <c r="S780" s="1065"/>
      <c r="BE780" s="1065"/>
      <c r="BF780" s="1065"/>
      <c r="BG780" s="1065"/>
    </row>
    <row r="781" spans="4:59">
      <c r="D781" s="1065"/>
      <c r="S781" s="1065"/>
      <c r="BE781" s="1065"/>
      <c r="BF781" s="1065"/>
      <c r="BG781" s="1065"/>
    </row>
    <row r="782" spans="4:59">
      <c r="D782" s="1065"/>
      <c r="S782" s="1065"/>
      <c r="BE782" s="1065"/>
      <c r="BF782" s="1065"/>
      <c r="BG782" s="1065"/>
    </row>
    <row r="783" spans="4:59">
      <c r="D783" s="1065"/>
      <c r="S783" s="1065"/>
      <c r="BE783" s="1065"/>
      <c r="BF783" s="1065"/>
      <c r="BG783" s="1065"/>
    </row>
    <row r="784" spans="4:59">
      <c r="D784" s="1065"/>
      <c r="S784" s="1065"/>
      <c r="BE784" s="1065"/>
      <c r="BF784" s="1065"/>
      <c r="BG784" s="1065"/>
    </row>
    <row r="785" spans="4:59">
      <c r="D785" s="1065"/>
      <c r="S785" s="1065"/>
      <c r="BE785" s="1065"/>
      <c r="BF785" s="1065"/>
      <c r="BG785" s="1065"/>
    </row>
    <row r="786" spans="4:59">
      <c r="D786" s="1065"/>
      <c r="S786" s="1065"/>
      <c r="BE786" s="1065"/>
      <c r="BF786" s="1065"/>
      <c r="BG786" s="1065"/>
    </row>
    <row r="787" spans="4:59">
      <c r="D787" s="1065"/>
      <c r="S787" s="1065"/>
      <c r="BE787" s="1065"/>
      <c r="BF787" s="1065"/>
      <c r="BG787" s="1065"/>
    </row>
    <row r="788" spans="4:59">
      <c r="D788" s="1065"/>
      <c r="S788" s="1065"/>
      <c r="BE788" s="1065"/>
      <c r="BF788" s="1065"/>
      <c r="BG788" s="1065"/>
    </row>
    <row r="789" spans="4:59">
      <c r="D789" s="1065"/>
      <c r="S789" s="1065"/>
      <c r="BE789" s="1065"/>
      <c r="BF789" s="1065"/>
      <c r="BG789" s="1065"/>
    </row>
    <row r="790" spans="4:59">
      <c r="D790" s="1065"/>
      <c r="S790" s="1065"/>
      <c r="BE790" s="1065"/>
      <c r="BF790" s="1065"/>
      <c r="BG790" s="1065"/>
    </row>
    <row r="791" spans="4:59">
      <c r="D791" s="1065"/>
      <c r="S791" s="1065"/>
      <c r="BE791" s="1065"/>
      <c r="BF791" s="1065"/>
      <c r="BG791" s="1065"/>
    </row>
    <row r="792" spans="4:59">
      <c r="D792" s="1065"/>
      <c r="S792" s="1065"/>
      <c r="BE792" s="1065"/>
      <c r="BF792" s="1065"/>
      <c r="BG792" s="1065"/>
    </row>
    <row r="793" spans="4:59">
      <c r="D793" s="1065"/>
      <c r="S793" s="1065"/>
      <c r="BE793" s="1065"/>
      <c r="BF793" s="1065"/>
      <c r="BG793" s="1065"/>
    </row>
    <row r="794" spans="4:59">
      <c r="D794" s="1065"/>
      <c r="S794" s="1065"/>
      <c r="BE794" s="1065"/>
      <c r="BF794" s="1065"/>
      <c r="BG794" s="1065"/>
    </row>
    <row r="795" spans="4:59">
      <c r="D795" s="1065"/>
      <c r="S795" s="1065"/>
      <c r="BE795" s="1065"/>
      <c r="BF795" s="1065"/>
      <c r="BG795" s="1065"/>
    </row>
    <row r="796" spans="4:59">
      <c r="D796" s="1065"/>
      <c r="S796" s="1065"/>
      <c r="BE796" s="1065"/>
      <c r="BF796" s="1065"/>
      <c r="BG796" s="1065"/>
    </row>
    <row r="797" spans="4:59">
      <c r="D797" s="1065"/>
      <c r="S797" s="1065"/>
      <c r="BE797" s="1065"/>
      <c r="BF797" s="1065"/>
      <c r="BG797" s="1065"/>
    </row>
    <row r="798" spans="4:59">
      <c r="D798" s="1065"/>
      <c r="S798" s="1065"/>
      <c r="BE798" s="1065"/>
      <c r="BF798" s="1065"/>
      <c r="BG798" s="1065"/>
    </row>
    <row r="799" spans="4:59">
      <c r="D799" s="1065"/>
      <c r="S799" s="1065"/>
      <c r="BE799" s="1065"/>
      <c r="BF799" s="1065"/>
      <c r="BG799" s="1065"/>
    </row>
    <row r="800" spans="4:59">
      <c r="D800" s="1065"/>
      <c r="S800" s="1065"/>
      <c r="BE800" s="1065"/>
      <c r="BF800" s="1065"/>
      <c r="BG800" s="1065"/>
    </row>
    <row r="801" spans="4:59">
      <c r="D801" s="1065"/>
      <c r="S801" s="1065"/>
      <c r="BE801" s="1065"/>
      <c r="BF801" s="1065"/>
      <c r="BG801" s="1065"/>
    </row>
    <row r="802" spans="4:59">
      <c r="D802" s="1065"/>
      <c r="S802" s="1065"/>
      <c r="BE802" s="1065"/>
      <c r="BF802" s="1065"/>
      <c r="BG802" s="1065"/>
    </row>
    <row r="803" spans="4:59">
      <c r="D803" s="1065"/>
      <c r="S803" s="1065"/>
      <c r="BE803" s="1065"/>
      <c r="BF803" s="1065"/>
      <c r="BG803" s="1065"/>
    </row>
    <row r="804" spans="4:59">
      <c r="D804" s="1065"/>
      <c r="S804" s="1065"/>
      <c r="BE804" s="1065"/>
      <c r="BF804" s="1065"/>
      <c r="BG804" s="1065"/>
    </row>
    <row r="805" spans="4:59">
      <c r="D805" s="1065"/>
      <c r="S805" s="1065"/>
      <c r="BE805" s="1065"/>
      <c r="BF805" s="1065"/>
      <c r="BG805" s="1065"/>
    </row>
    <row r="806" spans="4:59">
      <c r="D806" s="1065"/>
      <c r="S806" s="1065"/>
      <c r="BE806" s="1065"/>
      <c r="BF806" s="1065"/>
      <c r="BG806" s="1065"/>
    </row>
    <row r="810" spans="4:59">
      <c r="D810" s="1065"/>
      <c r="S810" s="1065"/>
      <c r="BE810" s="1065"/>
      <c r="BF810" s="1065"/>
      <c r="BG810" s="1065"/>
    </row>
    <row r="811" spans="4:59">
      <c r="D811" s="1065"/>
      <c r="S811" s="1065"/>
      <c r="BE811" s="1065"/>
      <c r="BF811" s="1065"/>
      <c r="BG811" s="1065"/>
    </row>
    <row r="818" spans="4:59">
      <c r="D818" s="1065"/>
      <c r="S818" s="1065"/>
      <c r="BE818" s="1065"/>
      <c r="BF818" s="1065"/>
      <c r="BG818" s="1065"/>
    </row>
    <row r="822" spans="4:59">
      <c r="D822" s="1065"/>
      <c r="S822" s="1065"/>
      <c r="BE822" s="1065"/>
      <c r="BF822" s="1065"/>
      <c r="BG822" s="1065"/>
    </row>
    <row r="823" spans="4:59">
      <c r="D823" s="1065"/>
      <c r="S823" s="1065"/>
      <c r="BE823" s="1065"/>
      <c r="BF823" s="1065"/>
      <c r="BG823" s="1065"/>
    </row>
    <row r="837" spans="4:59">
      <c r="D837" s="1065"/>
      <c r="S837" s="1065"/>
      <c r="BE837" s="1065"/>
      <c r="BF837" s="1065"/>
      <c r="BG837" s="1065"/>
    </row>
    <row r="838" spans="4:59">
      <c r="D838" s="1065"/>
      <c r="S838" s="1065"/>
      <c r="BE838" s="1065"/>
      <c r="BF838" s="1065"/>
      <c r="BG838" s="1065"/>
    </row>
    <row r="839" spans="4:59">
      <c r="D839" s="1065"/>
      <c r="S839" s="1065"/>
      <c r="BE839" s="1065"/>
      <c r="BF839" s="1065"/>
      <c r="BG839" s="1065"/>
    </row>
    <row r="840" spans="4:59">
      <c r="D840" s="1065"/>
      <c r="S840" s="1065"/>
      <c r="BE840" s="1065"/>
      <c r="BF840" s="1065"/>
      <c r="BG840" s="1065"/>
    </row>
    <row r="841" spans="4:59">
      <c r="D841" s="1065"/>
      <c r="S841" s="1065"/>
      <c r="BE841" s="1065"/>
      <c r="BF841" s="1065"/>
      <c r="BG841" s="1065"/>
    </row>
    <row r="842" spans="4:59">
      <c r="D842" s="1065"/>
      <c r="S842" s="1065"/>
      <c r="BE842" s="1065"/>
      <c r="BF842" s="1065"/>
      <c r="BG842" s="1065"/>
    </row>
    <row r="843" spans="4:59">
      <c r="D843" s="1065"/>
      <c r="S843" s="1065"/>
      <c r="BE843" s="1065"/>
      <c r="BF843" s="1065"/>
      <c r="BG843" s="1065"/>
    </row>
    <row r="844" spans="4:59">
      <c r="D844" s="1065"/>
      <c r="S844" s="1065"/>
      <c r="BE844" s="1065"/>
      <c r="BF844" s="1065"/>
      <c r="BG844" s="1065"/>
    </row>
    <row r="845" spans="4:59">
      <c r="D845" s="1065"/>
      <c r="S845" s="1065"/>
      <c r="BE845" s="1065"/>
      <c r="BF845" s="1065"/>
      <c r="BG845" s="1065"/>
    </row>
    <row r="846" spans="4:59">
      <c r="D846" s="1065"/>
      <c r="S846" s="1065"/>
      <c r="BE846" s="1065"/>
      <c r="BF846" s="1065"/>
      <c r="BG846" s="1065"/>
    </row>
    <row r="847" spans="4:59">
      <c r="D847" s="1065"/>
      <c r="S847" s="1065"/>
      <c r="BE847" s="1065"/>
      <c r="BF847" s="1065"/>
      <c r="BG847" s="1065"/>
    </row>
    <row r="848" spans="4:59">
      <c r="D848" s="1065"/>
      <c r="S848" s="1065"/>
      <c r="BE848" s="1065"/>
      <c r="BF848" s="1065"/>
      <c r="BG848" s="1065"/>
    </row>
    <row r="849" spans="4:59">
      <c r="D849" s="1065"/>
      <c r="S849" s="1065"/>
      <c r="BE849" s="1065"/>
      <c r="BF849" s="1065"/>
      <c r="BG849" s="1065"/>
    </row>
    <row r="850" spans="4:59">
      <c r="D850" s="1065"/>
      <c r="S850" s="1065"/>
      <c r="BE850" s="1065"/>
      <c r="BF850" s="1065"/>
      <c r="BG850" s="1065"/>
    </row>
    <row r="851" spans="4:59">
      <c r="D851" s="1065"/>
      <c r="S851" s="1065"/>
      <c r="BE851" s="1065"/>
      <c r="BF851" s="1065"/>
      <c r="BG851" s="1065"/>
    </row>
    <row r="852" spans="4:59">
      <c r="D852" s="1065"/>
      <c r="S852" s="1065"/>
      <c r="BE852" s="1065"/>
      <c r="BF852" s="1065"/>
      <c r="BG852" s="1065"/>
    </row>
    <row r="853" spans="4:59">
      <c r="D853" s="1065"/>
      <c r="S853" s="1065"/>
      <c r="BE853" s="1065"/>
      <c r="BF853" s="1065"/>
      <c r="BG853" s="1065"/>
    </row>
    <row r="854" spans="4:59">
      <c r="D854" s="1065"/>
      <c r="S854" s="1065"/>
      <c r="BE854" s="1065"/>
      <c r="BF854" s="1065"/>
      <c r="BG854" s="1065"/>
    </row>
    <row r="855" spans="4:59">
      <c r="D855" s="1065"/>
      <c r="S855" s="1065"/>
      <c r="BE855" s="1065"/>
      <c r="BF855" s="1065"/>
      <c r="BG855" s="1065"/>
    </row>
    <row r="856" spans="4:59">
      <c r="D856" s="1065"/>
      <c r="S856" s="1065"/>
      <c r="BE856" s="1065"/>
      <c r="BF856" s="1065"/>
      <c r="BG856" s="1065"/>
    </row>
    <row r="857" spans="4:59">
      <c r="D857" s="1065"/>
      <c r="S857" s="1065"/>
      <c r="BE857" s="1065"/>
      <c r="BF857" s="1065"/>
      <c r="BG857" s="1065"/>
    </row>
    <row r="858" spans="4:59">
      <c r="D858" s="1065"/>
      <c r="S858" s="1065"/>
      <c r="BE858" s="1065"/>
      <c r="BF858" s="1065"/>
      <c r="BG858" s="1065"/>
    </row>
    <row r="859" spans="4:59">
      <c r="D859" s="1065"/>
      <c r="S859" s="1065"/>
      <c r="BE859" s="1065"/>
      <c r="BF859" s="1065"/>
      <c r="BG859" s="1065"/>
    </row>
    <row r="860" spans="4:59">
      <c r="D860" s="1065"/>
      <c r="S860" s="1065"/>
      <c r="BE860" s="1065"/>
      <c r="BF860" s="1065"/>
      <c r="BG860" s="1065"/>
    </row>
    <row r="861" spans="4:59">
      <c r="D861" s="1065"/>
      <c r="S861" s="1065"/>
      <c r="BE861" s="1065"/>
      <c r="BF861" s="1065"/>
      <c r="BG861" s="1065"/>
    </row>
    <row r="862" spans="4:59">
      <c r="D862" s="1065"/>
      <c r="S862" s="1065"/>
      <c r="BE862" s="1065"/>
      <c r="BF862" s="1065"/>
      <c r="BG862" s="1065"/>
    </row>
    <row r="863" spans="4:59">
      <c r="D863" s="1065"/>
      <c r="S863" s="1065"/>
      <c r="BE863" s="1065"/>
      <c r="BF863" s="1065"/>
      <c r="BG863" s="1065"/>
    </row>
    <row r="864" spans="4:59">
      <c r="D864" s="1065"/>
      <c r="S864" s="1065"/>
      <c r="BE864" s="1065"/>
      <c r="BF864" s="1065"/>
      <c r="BG864" s="1065"/>
    </row>
    <row r="865" spans="4:59">
      <c r="D865" s="1065"/>
      <c r="S865" s="1065"/>
      <c r="BE865" s="1065"/>
      <c r="BF865" s="1065"/>
      <c r="BG865" s="1065"/>
    </row>
    <row r="866" spans="4:59">
      <c r="D866" s="1065"/>
      <c r="S866" s="1065"/>
      <c r="BE866" s="1065"/>
      <c r="BF866" s="1065"/>
      <c r="BG866" s="1065"/>
    </row>
    <row r="867" spans="4:59">
      <c r="D867" s="1065"/>
      <c r="S867" s="1065"/>
      <c r="BE867" s="1065"/>
      <c r="BF867" s="1065"/>
      <c r="BG867" s="1065"/>
    </row>
    <row r="868" spans="4:59">
      <c r="D868" s="1065"/>
      <c r="S868" s="1065"/>
      <c r="BE868" s="1065"/>
      <c r="BF868" s="1065"/>
      <c r="BG868" s="1065"/>
    </row>
    <row r="872" spans="4:59">
      <c r="D872" s="1065"/>
      <c r="S872" s="1065"/>
      <c r="BE872" s="1065"/>
      <c r="BF872" s="1065"/>
      <c r="BG872" s="1065"/>
    </row>
    <row r="873" spans="4:59">
      <c r="D873" s="1065"/>
      <c r="S873" s="1065"/>
      <c r="BE873" s="1065"/>
      <c r="BF873" s="1065"/>
      <c r="BG873" s="1065"/>
    </row>
    <row r="875" spans="4:59">
      <c r="D875" s="1065"/>
      <c r="S875" s="1065"/>
      <c r="BE875" s="1065"/>
      <c r="BF875" s="1065"/>
      <c r="BG875" s="1065"/>
    </row>
    <row r="876" spans="4:59">
      <c r="D876" s="1065"/>
      <c r="S876" s="1065"/>
      <c r="BE876" s="1065"/>
      <c r="BF876" s="1065"/>
      <c r="BG876" s="1065"/>
    </row>
    <row r="877" spans="4:59">
      <c r="D877" s="1065"/>
      <c r="S877" s="1065"/>
      <c r="BE877" s="1065"/>
      <c r="BF877" s="1065"/>
      <c r="BG877" s="1065"/>
    </row>
    <row r="878" spans="4:59">
      <c r="D878" s="1065"/>
      <c r="S878" s="1065"/>
      <c r="BE878" s="1065"/>
      <c r="BF878" s="1065"/>
      <c r="BG878" s="1065"/>
    </row>
    <row r="879" spans="4:59">
      <c r="D879" s="1065"/>
      <c r="S879" s="1065"/>
      <c r="BE879" s="1065"/>
      <c r="BF879" s="1065"/>
      <c r="BG879" s="1065"/>
    </row>
    <row r="880" spans="4:59">
      <c r="D880" s="1065"/>
      <c r="S880" s="1065"/>
      <c r="BE880" s="1065"/>
      <c r="BF880" s="1065"/>
      <c r="BG880" s="1065"/>
    </row>
    <row r="881" spans="4:59">
      <c r="D881" s="1065"/>
      <c r="S881" s="1065"/>
      <c r="BE881" s="1065"/>
      <c r="BF881" s="1065"/>
      <c r="BG881" s="1065"/>
    </row>
    <row r="882" spans="4:59">
      <c r="D882" s="1065"/>
      <c r="S882" s="1065"/>
      <c r="BE882" s="1065"/>
      <c r="BF882" s="1065"/>
      <c r="BG882" s="1065"/>
    </row>
    <row r="883" spans="4:59">
      <c r="D883" s="1065"/>
      <c r="S883" s="1065"/>
      <c r="BE883" s="1065"/>
      <c r="BF883" s="1065"/>
      <c r="BG883" s="1065"/>
    </row>
    <row r="884" spans="4:59">
      <c r="D884" s="1065"/>
      <c r="S884" s="1065"/>
      <c r="BE884" s="1065"/>
      <c r="BF884" s="1065"/>
      <c r="BG884" s="1065"/>
    </row>
    <row r="885" spans="4:59">
      <c r="D885" s="1065"/>
      <c r="S885" s="1065"/>
      <c r="BE885" s="1065"/>
      <c r="BF885" s="1065"/>
      <c r="BG885" s="1065"/>
    </row>
    <row r="886" spans="4:59">
      <c r="D886" s="1065"/>
      <c r="S886" s="1065"/>
      <c r="BE886" s="1065"/>
      <c r="BF886" s="1065"/>
      <c r="BG886" s="1065"/>
    </row>
    <row r="887" spans="4:59">
      <c r="D887" s="1065"/>
      <c r="S887" s="1065"/>
      <c r="BE887" s="1065"/>
      <c r="BF887" s="1065"/>
      <c r="BG887" s="1065"/>
    </row>
    <row r="888" spans="4:59">
      <c r="D888" s="1065"/>
      <c r="S888" s="1065"/>
      <c r="BE888" s="1065"/>
      <c r="BF888" s="1065"/>
      <c r="BG888" s="1065"/>
    </row>
    <row r="889" spans="4:59">
      <c r="D889" s="1065"/>
      <c r="S889" s="1065"/>
      <c r="BE889" s="1065"/>
      <c r="BF889" s="1065"/>
      <c r="BG889" s="1065"/>
    </row>
    <row r="890" spans="4:59">
      <c r="D890" s="1065"/>
      <c r="S890" s="1065"/>
      <c r="BE890" s="1065"/>
      <c r="BF890" s="1065"/>
      <c r="BG890" s="1065"/>
    </row>
    <row r="891" spans="4:59">
      <c r="D891" s="1065"/>
      <c r="S891" s="1065"/>
      <c r="BE891" s="1065"/>
      <c r="BF891" s="1065"/>
      <c r="BG891" s="1065"/>
    </row>
    <row r="892" spans="4:59">
      <c r="D892" s="1065"/>
      <c r="S892" s="1065"/>
      <c r="BE892" s="1065"/>
      <c r="BF892" s="1065"/>
      <c r="BG892" s="1065"/>
    </row>
    <row r="893" spans="4:59">
      <c r="D893" s="1065"/>
      <c r="S893" s="1065"/>
      <c r="BE893" s="1065"/>
      <c r="BF893" s="1065"/>
      <c r="BG893" s="1065"/>
    </row>
    <row r="894" spans="4:59">
      <c r="D894" s="1065"/>
      <c r="S894" s="1065"/>
      <c r="BE894" s="1065"/>
      <c r="BF894" s="1065"/>
      <c r="BG894" s="1065"/>
    </row>
    <row r="895" spans="4:59">
      <c r="D895" s="1065"/>
      <c r="S895" s="1065"/>
      <c r="BE895" s="1065"/>
      <c r="BF895" s="1065"/>
      <c r="BG895" s="1065"/>
    </row>
    <row r="896" spans="4:59">
      <c r="D896" s="1065"/>
      <c r="S896" s="1065"/>
      <c r="BE896" s="1065"/>
      <c r="BF896" s="1065"/>
      <c r="BG896" s="1065"/>
    </row>
    <row r="897" spans="4:59">
      <c r="D897" s="1065"/>
      <c r="S897" s="1065"/>
      <c r="BE897" s="1065"/>
      <c r="BF897" s="1065"/>
      <c r="BG897" s="1065"/>
    </row>
    <row r="898" spans="4:59">
      <c r="D898" s="1065"/>
      <c r="S898" s="1065"/>
      <c r="BE898" s="1065"/>
      <c r="BF898" s="1065"/>
      <c r="BG898" s="1065"/>
    </row>
    <row r="899" spans="4:59">
      <c r="D899" s="1065"/>
      <c r="S899" s="1065"/>
      <c r="BE899" s="1065"/>
      <c r="BF899" s="1065"/>
      <c r="BG899" s="1065"/>
    </row>
    <row r="900" spans="4:59">
      <c r="D900" s="1065"/>
      <c r="S900" s="1065"/>
      <c r="BE900" s="1065"/>
      <c r="BF900" s="1065"/>
      <c r="BG900" s="1065"/>
    </row>
    <row r="901" spans="4:59">
      <c r="D901" s="1065"/>
      <c r="S901" s="1065"/>
      <c r="BE901" s="1065"/>
      <c r="BF901" s="1065"/>
      <c r="BG901" s="1065"/>
    </row>
    <row r="902" spans="4:59">
      <c r="D902" s="1065"/>
      <c r="S902" s="1065"/>
      <c r="BE902" s="1065"/>
      <c r="BF902" s="1065"/>
      <c r="BG902" s="1065"/>
    </row>
    <row r="903" spans="4:59">
      <c r="D903" s="1065"/>
      <c r="S903" s="1065"/>
      <c r="BE903" s="1065"/>
      <c r="BF903" s="1065"/>
      <c r="BG903" s="1065"/>
    </row>
    <row r="904" spans="4:59">
      <c r="D904" s="1065"/>
      <c r="S904" s="1065"/>
      <c r="BE904" s="1065"/>
      <c r="BF904" s="1065"/>
      <c r="BG904" s="1065"/>
    </row>
    <row r="905" spans="4:59">
      <c r="D905" s="1065"/>
      <c r="S905" s="1065"/>
      <c r="BE905" s="1065"/>
      <c r="BF905" s="1065"/>
      <c r="BG905" s="1065"/>
    </row>
    <row r="906" spans="4:59">
      <c r="D906" s="1065"/>
      <c r="S906" s="1065"/>
      <c r="BE906" s="1065"/>
      <c r="BF906" s="1065"/>
      <c r="BG906" s="1065"/>
    </row>
    <row r="907" spans="4:59">
      <c r="D907" s="1065"/>
      <c r="S907" s="1065"/>
      <c r="BE907" s="1065"/>
      <c r="BF907" s="1065"/>
      <c r="BG907" s="1065"/>
    </row>
    <row r="908" spans="4:59">
      <c r="D908" s="1065"/>
      <c r="S908" s="1065"/>
      <c r="BE908" s="1065"/>
      <c r="BF908" s="1065"/>
      <c r="BG908" s="1065"/>
    </row>
    <row r="909" spans="4:59">
      <c r="D909" s="1065"/>
      <c r="S909" s="1065"/>
      <c r="BE909" s="1065"/>
      <c r="BF909" s="1065"/>
      <c r="BG909" s="1065"/>
    </row>
    <row r="910" spans="4:59">
      <c r="D910" s="1065"/>
      <c r="S910" s="1065"/>
      <c r="BE910" s="1065"/>
      <c r="BF910" s="1065"/>
      <c r="BG910" s="1065"/>
    </row>
    <row r="911" spans="4:59">
      <c r="D911" s="1065"/>
      <c r="S911" s="1065"/>
      <c r="BE911" s="1065"/>
      <c r="BF911" s="1065"/>
      <c r="BG911" s="1065"/>
    </row>
    <row r="912" spans="4:59">
      <c r="D912" s="1065"/>
      <c r="S912" s="1065"/>
      <c r="BE912" s="1065"/>
      <c r="BF912" s="1065"/>
      <c r="BG912" s="1065"/>
    </row>
    <row r="913" spans="4:59">
      <c r="D913" s="1065"/>
      <c r="S913" s="1065"/>
      <c r="BE913" s="1065"/>
      <c r="BF913" s="1065"/>
      <c r="BG913" s="1065"/>
    </row>
    <row r="914" spans="4:59">
      <c r="D914" s="1065"/>
      <c r="S914" s="1065"/>
      <c r="BE914" s="1065"/>
      <c r="BF914" s="1065"/>
      <c r="BG914" s="1065"/>
    </row>
    <row r="915" spans="4:59">
      <c r="D915" s="1065"/>
      <c r="S915" s="1065"/>
      <c r="BE915" s="1065"/>
      <c r="BF915" s="1065"/>
      <c r="BG915" s="1065"/>
    </row>
    <row r="916" spans="4:59">
      <c r="D916" s="1065"/>
      <c r="S916" s="1065"/>
      <c r="BE916" s="1065"/>
      <c r="BF916" s="1065"/>
      <c r="BG916" s="1065"/>
    </row>
    <row r="917" spans="4:59">
      <c r="D917" s="1065"/>
      <c r="S917" s="1065"/>
      <c r="BE917" s="1065"/>
      <c r="BF917" s="1065"/>
      <c r="BG917" s="1065"/>
    </row>
    <row r="918" spans="4:59">
      <c r="D918" s="1065"/>
      <c r="S918" s="1065"/>
      <c r="BE918" s="1065"/>
      <c r="BF918" s="1065"/>
      <c r="BG918" s="1065"/>
    </row>
    <row r="919" spans="4:59">
      <c r="D919" s="1065"/>
      <c r="S919" s="1065"/>
      <c r="BE919" s="1065"/>
      <c r="BF919" s="1065"/>
      <c r="BG919" s="1065"/>
    </row>
    <row r="920" spans="4:59">
      <c r="D920" s="1065"/>
      <c r="S920" s="1065"/>
      <c r="BE920" s="1065"/>
      <c r="BF920" s="1065"/>
      <c r="BG920" s="1065"/>
    </row>
    <row r="921" spans="4:59">
      <c r="D921" s="1065"/>
      <c r="S921" s="1065"/>
      <c r="BE921" s="1065"/>
      <c r="BF921" s="1065"/>
      <c r="BG921" s="1065"/>
    </row>
    <row r="922" spans="4:59">
      <c r="D922" s="1065"/>
      <c r="S922" s="1065"/>
      <c r="BE922" s="1065"/>
      <c r="BF922" s="1065"/>
      <c r="BG922" s="1065"/>
    </row>
    <row r="923" spans="4:59">
      <c r="D923" s="1065"/>
      <c r="S923" s="1065"/>
      <c r="BE923" s="1065"/>
      <c r="BF923" s="1065"/>
      <c r="BG923" s="1065"/>
    </row>
    <row r="924" spans="4:59">
      <c r="D924" s="1065"/>
      <c r="S924" s="1065"/>
      <c r="BE924" s="1065"/>
      <c r="BF924" s="1065"/>
      <c r="BG924" s="1065"/>
    </row>
    <row r="925" spans="4:59">
      <c r="D925" s="1065"/>
      <c r="S925" s="1065"/>
      <c r="BE925" s="1065"/>
      <c r="BF925" s="1065"/>
      <c r="BG925" s="1065"/>
    </row>
    <row r="926" spans="4:59">
      <c r="D926" s="1065"/>
      <c r="S926" s="1065"/>
      <c r="BE926" s="1065"/>
      <c r="BF926" s="1065"/>
      <c r="BG926" s="1065"/>
    </row>
    <row r="927" spans="4:59">
      <c r="D927" s="1065"/>
      <c r="S927" s="1065"/>
      <c r="BE927" s="1065"/>
      <c r="BF927" s="1065"/>
      <c r="BG927" s="1065"/>
    </row>
    <row r="928" spans="4:59">
      <c r="D928" s="1065"/>
      <c r="S928" s="1065"/>
      <c r="BE928" s="1065"/>
      <c r="BF928" s="1065"/>
      <c r="BG928" s="1065"/>
    </row>
    <row r="929" spans="4:59">
      <c r="D929" s="1065"/>
      <c r="S929" s="1065"/>
      <c r="BE929" s="1065"/>
      <c r="BF929" s="1065"/>
      <c r="BG929" s="1065"/>
    </row>
    <row r="930" spans="4:59">
      <c r="D930" s="1065"/>
      <c r="S930" s="1065"/>
      <c r="BE930" s="1065"/>
      <c r="BF930" s="1065"/>
      <c r="BG930" s="1065"/>
    </row>
    <row r="931" spans="4:59">
      <c r="D931" s="1065"/>
      <c r="S931" s="1065"/>
      <c r="BE931" s="1065"/>
      <c r="BF931" s="1065"/>
      <c r="BG931" s="1065"/>
    </row>
    <row r="932" spans="4:59">
      <c r="D932" s="1065"/>
      <c r="S932" s="1065"/>
      <c r="BE932" s="1065"/>
      <c r="BF932" s="1065"/>
      <c r="BG932" s="1065"/>
    </row>
    <row r="933" spans="4:59">
      <c r="D933" s="1065"/>
      <c r="S933" s="1065"/>
      <c r="BE933" s="1065"/>
      <c r="BF933" s="1065"/>
      <c r="BG933" s="1065"/>
    </row>
    <row r="934" spans="4:59">
      <c r="D934" s="1065"/>
      <c r="S934" s="1065"/>
      <c r="BE934" s="1065"/>
      <c r="BF934" s="1065"/>
      <c r="BG934" s="1065"/>
    </row>
    <row r="935" spans="4:59">
      <c r="D935" s="1065"/>
      <c r="S935" s="1065"/>
      <c r="BE935" s="1065"/>
      <c r="BF935" s="1065"/>
      <c r="BG935" s="1065"/>
    </row>
    <row r="936" spans="4:59">
      <c r="D936" s="1065"/>
      <c r="S936" s="1065"/>
      <c r="BE936" s="1065"/>
      <c r="BF936" s="1065"/>
      <c r="BG936" s="1065"/>
    </row>
    <row r="937" spans="4:59">
      <c r="D937" s="1065"/>
      <c r="S937" s="1065"/>
      <c r="BE937" s="1065"/>
      <c r="BF937" s="1065"/>
      <c r="BG937" s="1065"/>
    </row>
    <row r="938" spans="4:59">
      <c r="D938" s="1065"/>
      <c r="S938" s="1065"/>
      <c r="BE938" s="1065"/>
      <c r="BF938" s="1065"/>
      <c r="BG938" s="1065"/>
    </row>
    <row r="939" spans="4:59">
      <c r="D939" s="1065"/>
      <c r="S939" s="1065"/>
      <c r="BE939" s="1065"/>
      <c r="BF939" s="1065"/>
      <c r="BG939" s="1065"/>
    </row>
    <row r="940" spans="4:59">
      <c r="D940" s="1065"/>
      <c r="S940" s="1065"/>
      <c r="BE940" s="1065"/>
      <c r="BF940" s="1065"/>
      <c r="BG940" s="1065"/>
    </row>
    <row r="941" spans="4:59">
      <c r="D941" s="1065"/>
      <c r="S941" s="1065"/>
      <c r="BE941" s="1065"/>
      <c r="BF941" s="1065"/>
      <c r="BG941" s="1065"/>
    </row>
    <row r="942" spans="4:59">
      <c r="D942" s="1065"/>
      <c r="S942" s="1065"/>
      <c r="BE942" s="1065"/>
      <c r="BF942" s="1065"/>
      <c r="BG942" s="1065"/>
    </row>
    <row r="943" spans="4:59">
      <c r="D943" s="1065"/>
      <c r="S943" s="1065"/>
      <c r="BE943" s="1065"/>
      <c r="BF943" s="1065"/>
      <c r="BG943" s="1065"/>
    </row>
    <row r="944" spans="4:59">
      <c r="D944" s="1065"/>
      <c r="S944" s="1065"/>
      <c r="BE944" s="1065"/>
      <c r="BF944" s="1065"/>
      <c r="BG944" s="1065"/>
    </row>
    <row r="945" spans="4:59">
      <c r="D945" s="1065"/>
      <c r="S945" s="1065"/>
      <c r="BE945" s="1065"/>
      <c r="BF945" s="1065"/>
      <c r="BG945" s="1065"/>
    </row>
    <row r="946" spans="4:59">
      <c r="D946" s="1065"/>
      <c r="S946" s="1065"/>
      <c r="BE946" s="1065"/>
      <c r="BF946" s="1065"/>
      <c r="BG946" s="1065"/>
    </row>
    <row r="947" spans="4:59">
      <c r="D947" s="1065"/>
      <c r="S947" s="1065"/>
      <c r="BE947" s="1065"/>
      <c r="BF947" s="1065"/>
      <c r="BG947" s="1065"/>
    </row>
    <row r="948" spans="4:59">
      <c r="D948" s="1065"/>
      <c r="S948" s="1065"/>
      <c r="BE948" s="1065"/>
      <c r="BF948" s="1065"/>
      <c r="BG948" s="1065"/>
    </row>
    <row r="949" spans="4:59">
      <c r="D949" s="1065"/>
      <c r="S949" s="1065"/>
      <c r="BE949" s="1065"/>
      <c r="BF949" s="1065"/>
      <c r="BG949" s="1065"/>
    </row>
    <row r="950" spans="4:59">
      <c r="D950" s="1065"/>
      <c r="S950" s="1065"/>
      <c r="BE950" s="1065"/>
      <c r="BF950" s="1065"/>
      <c r="BG950" s="1065"/>
    </row>
    <row r="951" spans="4:59">
      <c r="D951" s="1065"/>
      <c r="S951" s="1065"/>
      <c r="BE951" s="1065"/>
      <c r="BF951" s="1065"/>
      <c r="BG951" s="1065"/>
    </row>
    <row r="952" spans="4:59">
      <c r="D952" s="1065"/>
      <c r="S952" s="1065"/>
      <c r="BE952" s="1065"/>
      <c r="BF952" s="1065"/>
      <c r="BG952" s="1065"/>
    </row>
    <row r="953" spans="4:59">
      <c r="D953" s="1065"/>
      <c r="S953" s="1065"/>
      <c r="BE953" s="1065"/>
      <c r="BF953" s="1065"/>
      <c r="BG953" s="1065"/>
    </row>
    <row r="954" spans="4:59">
      <c r="D954" s="1065"/>
      <c r="S954" s="1065"/>
      <c r="BE954" s="1065"/>
      <c r="BF954" s="1065"/>
      <c r="BG954" s="1065"/>
    </row>
    <row r="955" spans="4:59">
      <c r="D955" s="1065"/>
      <c r="S955" s="1065"/>
      <c r="BE955" s="1065"/>
      <c r="BF955" s="1065"/>
      <c r="BG955" s="1065"/>
    </row>
    <row r="956" spans="4:59">
      <c r="D956" s="1065"/>
      <c r="S956" s="1065"/>
      <c r="BE956" s="1065"/>
      <c r="BF956" s="1065"/>
      <c r="BG956" s="1065"/>
    </row>
    <row r="957" spans="4:59">
      <c r="D957" s="1065"/>
      <c r="S957" s="1065"/>
      <c r="BE957" s="1065"/>
      <c r="BF957" s="1065"/>
      <c r="BG957" s="1065"/>
    </row>
    <row r="958" spans="4:59">
      <c r="D958" s="1065"/>
      <c r="S958" s="1065"/>
      <c r="BE958" s="1065"/>
      <c r="BF958" s="1065"/>
      <c r="BG958" s="1065"/>
    </row>
    <row r="959" spans="4:59">
      <c r="D959" s="1065"/>
      <c r="S959" s="1065"/>
      <c r="BE959" s="1065"/>
      <c r="BF959" s="1065"/>
      <c r="BG959" s="1065"/>
    </row>
    <row r="960" spans="4:59">
      <c r="D960" s="1065"/>
      <c r="S960" s="1065"/>
      <c r="BE960" s="1065"/>
      <c r="BF960" s="1065"/>
      <c r="BG960" s="1065"/>
    </row>
    <row r="961" spans="4:59">
      <c r="D961" s="1065"/>
      <c r="S961" s="1065"/>
      <c r="BE961" s="1065"/>
      <c r="BF961" s="1065"/>
      <c r="BG961" s="1065"/>
    </row>
    <row r="962" spans="4:59">
      <c r="D962" s="1065"/>
      <c r="S962" s="1065"/>
      <c r="BE962" s="1065"/>
      <c r="BF962" s="1065"/>
      <c r="BG962" s="1065"/>
    </row>
    <row r="963" spans="4:59">
      <c r="D963" s="1065"/>
      <c r="S963" s="1065"/>
      <c r="BE963" s="1065"/>
      <c r="BF963" s="1065"/>
      <c r="BG963" s="1065"/>
    </row>
    <row r="964" spans="4:59">
      <c r="D964" s="1065"/>
      <c r="S964" s="1065"/>
      <c r="BE964" s="1065"/>
      <c r="BF964" s="1065"/>
      <c r="BG964" s="1065"/>
    </row>
    <row r="965" spans="4:59">
      <c r="D965" s="1065"/>
      <c r="S965" s="1065"/>
      <c r="BE965" s="1065"/>
      <c r="BF965" s="1065"/>
      <c r="BG965" s="1065"/>
    </row>
    <row r="966" spans="4:59">
      <c r="D966" s="1065"/>
      <c r="S966" s="1065"/>
      <c r="BE966" s="1065"/>
      <c r="BF966" s="1065"/>
      <c r="BG966" s="1065"/>
    </row>
    <row r="967" spans="4:59">
      <c r="D967" s="1065"/>
      <c r="S967" s="1065"/>
      <c r="BE967" s="1065"/>
      <c r="BF967" s="1065"/>
      <c r="BG967" s="1065"/>
    </row>
    <row r="968" spans="4:59">
      <c r="D968" s="1065"/>
      <c r="S968" s="1065"/>
      <c r="BE968" s="1065"/>
      <c r="BF968" s="1065"/>
      <c r="BG968" s="1065"/>
    </row>
    <row r="969" spans="4:59">
      <c r="D969" s="1065"/>
      <c r="S969" s="1065"/>
      <c r="BE969" s="1065"/>
      <c r="BF969" s="1065"/>
      <c r="BG969" s="1065"/>
    </row>
    <row r="970" spans="4:59">
      <c r="D970" s="1065"/>
      <c r="S970" s="1065"/>
      <c r="BE970" s="1065"/>
      <c r="BF970" s="1065"/>
      <c r="BG970" s="1065"/>
    </row>
    <row r="971" spans="4:59">
      <c r="D971" s="1065"/>
      <c r="S971" s="1065"/>
      <c r="BE971" s="1065"/>
      <c r="BF971" s="1065"/>
      <c r="BG971" s="1065"/>
    </row>
    <row r="972" spans="4:59">
      <c r="D972" s="1065"/>
      <c r="S972" s="1065"/>
      <c r="BE972" s="1065"/>
      <c r="BF972" s="1065"/>
      <c r="BG972" s="1065"/>
    </row>
    <row r="973" spans="4:59">
      <c r="D973" s="1065"/>
      <c r="S973" s="1065"/>
      <c r="BE973" s="1065"/>
      <c r="BF973" s="1065"/>
      <c r="BG973" s="1065"/>
    </row>
    <row r="974" spans="4:59">
      <c r="D974" s="1065"/>
      <c r="S974" s="1065"/>
      <c r="BE974" s="1065"/>
      <c r="BF974" s="1065"/>
      <c r="BG974" s="1065"/>
    </row>
    <row r="975" spans="4:59">
      <c r="D975" s="1065"/>
      <c r="S975" s="1065"/>
      <c r="BE975" s="1065"/>
      <c r="BF975" s="1065"/>
      <c r="BG975" s="1065"/>
    </row>
    <row r="976" spans="4:59">
      <c r="D976" s="1065"/>
      <c r="S976" s="1065"/>
      <c r="BE976" s="1065"/>
      <c r="BF976" s="1065"/>
      <c r="BG976" s="1065"/>
    </row>
    <row r="977" spans="4:59">
      <c r="D977" s="1065"/>
      <c r="S977" s="1065"/>
      <c r="BE977" s="1065"/>
      <c r="BF977" s="1065"/>
      <c r="BG977" s="1065"/>
    </row>
    <row r="978" spans="4:59">
      <c r="D978" s="1065"/>
      <c r="S978" s="1065"/>
      <c r="BE978" s="1065"/>
      <c r="BF978" s="1065"/>
      <c r="BG978" s="1065"/>
    </row>
    <row r="979" spans="4:59">
      <c r="D979" s="1065"/>
      <c r="S979" s="1065"/>
      <c r="BE979" s="1065"/>
      <c r="BF979" s="1065"/>
      <c r="BG979" s="1065"/>
    </row>
    <row r="980" spans="4:59">
      <c r="D980" s="1065"/>
      <c r="S980" s="1065"/>
      <c r="BE980" s="1065"/>
      <c r="BF980" s="1065"/>
      <c r="BG980" s="1065"/>
    </row>
    <row r="981" spans="4:59">
      <c r="D981" s="1065"/>
      <c r="S981" s="1065"/>
      <c r="BE981" s="1065"/>
      <c r="BF981" s="1065"/>
      <c r="BG981" s="1065"/>
    </row>
    <row r="982" spans="4:59">
      <c r="D982" s="1065"/>
      <c r="S982" s="1065"/>
      <c r="BE982" s="1065"/>
      <c r="BF982" s="1065"/>
      <c r="BG982" s="1065"/>
    </row>
    <row r="983" spans="4:59">
      <c r="D983" s="1065"/>
      <c r="S983" s="1065"/>
      <c r="BE983" s="1065"/>
      <c r="BF983" s="1065"/>
      <c r="BG983" s="1065"/>
    </row>
    <row r="984" spans="4:59">
      <c r="D984" s="1065"/>
      <c r="S984" s="1065"/>
      <c r="BE984" s="1065"/>
      <c r="BF984" s="1065"/>
      <c r="BG984" s="1065"/>
    </row>
    <row r="985" spans="4:59">
      <c r="D985" s="1065"/>
      <c r="S985" s="1065"/>
      <c r="BE985" s="1065"/>
      <c r="BF985" s="1065"/>
      <c r="BG985" s="1065"/>
    </row>
    <row r="986" spans="4:59">
      <c r="D986" s="1065"/>
      <c r="S986" s="1065"/>
      <c r="BE986" s="1065"/>
      <c r="BF986" s="1065"/>
      <c r="BG986" s="1065"/>
    </row>
    <row r="987" spans="4:59">
      <c r="D987" s="1065"/>
      <c r="S987" s="1065"/>
      <c r="BE987" s="1065"/>
      <c r="BF987" s="1065"/>
      <c r="BG987" s="1065"/>
    </row>
    <row r="988" spans="4:59">
      <c r="D988" s="1065"/>
      <c r="S988" s="1065"/>
      <c r="BE988" s="1065"/>
      <c r="BF988" s="1065"/>
      <c r="BG988" s="1065"/>
    </row>
    <row r="989" spans="4:59">
      <c r="D989" s="1065"/>
      <c r="S989" s="1065"/>
      <c r="BE989" s="1065"/>
      <c r="BF989" s="1065"/>
      <c r="BG989" s="1065"/>
    </row>
    <row r="990" spans="4:59">
      <c r="D990" s="1065"/>
      <c r="S990" s="1065"/>
      <c r="BE990" s="1065"/>
      <c r="BF990" s="1065"/>
      <c r="BG990" s="1065"/>
    </row>
    <row r="991" spans="4:59">
      <c r="D991" s="1065"/>
      <c r="S991" s="1065"/>
      <c r="BE991" s="1065"/>
      <c r="BF991" s="1065"/>
      <c r="BG991" s="1065"/>
    </row>
    <row r="992" spans="4:59">
      <c r="D992" s="1065"/>
      <c r="S992" s="1065"/>
      <c r="BE992" s="1065"/>
      <c r="BF992" s="1065"/>
      <c r="BG992" s="1065"/>
    </row>
    <row r="993" spans="4:59">
      <c r="D993" s="1065"/>
      <c r="S993" s="1065"/>
      <c r="BE993" s="1065"/>
      <c r="BF993" s="1065"/>
      <c r="BG993" s="1065"/>
    </row>
    <row r="994" spans="4:59">
      <c r="D994" s="1065"/>
      <c r="S994" s="1065"/>
      <c r="BE994" s="1065"/>
      <c r="BF994" s="1065"/>
      <c r="BG994" s="1065"/>
    </row>
    <row r="995" spans="4:59">
      <c r="D995" s="1065"/>
      <c r="S995" s="1065"/>
      <c r="BE995" s="1065"/>
      <c r="BF995" s="1065"/>
      <c r="BG995" s="1065"/>
    </row>
    <row r="996" spans="4:59">
      <c r="D996" s="1065"/>
      <c r="S996" s="1065"/>
      <c r="BE996" s="1065"/>
      <c r="BF996" s="1065"/>
      <c r="BG996" s="1065"/>
    </row>
    <row r="997" spans="4:59">
      <c r="D997" s="1065"/>
      <c r="S997" s="1065"/>
      <c r="BE997" s="1065"/>
      <c r="BF997" s="1065"/>
      <c r="BG997" s="1065"/>
    </row>
    <row r="998" spans="4:59">
      <c r="D998" s="1065"/>
      <c r="S998" s="1065"/>
      <c r="BE998" s="1065"/>
      <c r="BF998" s="1065"/>
      <c r="BG998" s="1065"/>
    </row>
    <row r="999" spans="4:59">
      <c r="D999" s="1065"/>
      <c r="S999" s="1065"/>
      <c r="BE999" s="1065"/>
      <c r="BF999" s="1065"/>
      <c r="BG999" s="1065"/>
    </row>
    <row r="1000" spans="4:59">
      <c r="D1000" s="1065"/>
      <c r="S1000" s="1065"/>
      <c r="BE1000" s="1065"/>
      <c r="BF1000" s="1065"/>
      <c r="BG1000" s="1065"/>
    </row>
    <row r="1001" spans="4:59">
      <c r="D1001" s="1065"/>
      <c r="S1001" s="1065"/>
      <c r="BE1001" s="1065"/>
      <c r="BF1001" s="1065"/>
      <c r="BG1001" s="1065"/>
    </row>
    <row r="1002" spans="4:59">
      <c r="D1002" s="1065"/>
      <c r="S1002" s="1065"/>
      <c r="BE1002" s="1065"/>
      <c r="BF1002" s="1065"/>
      <c r="BG1002" s="1065"/>
    </row>
    <row r="1003" spans="4:59">
      <c r="D1003" s="1065"/>
      <c r="S1003" s="1065"/>
      <c r="BE1003" s="1065"/>
      <c r="BF1003" s="1065"/>
      <c r="BG1003" s="1065"/>
    </row>
    <row r="1004" spans="4:59">
      <c r="D1004" s="1065"/>
      <c r="S1004" s="1065"/>
      <c r="BE1004" s="1065"/>
      <c r="BF1004" s="1065"/>
      <c r="BG1004" s="1065"/>
    </row>
    <row r="1005" spans="4:59">
      <c r="D1005" s="1065"/>
      <c r="S1005" s="1065"/>
      <c r="BE1005" s="1065"/>
      <c r="BF1005" s="1065"/>
      <c r="BG1005" s="1065"/>
    </row>
    <row r="1006" spans="4:59">
      <c r="D1006" s="1065"/>
      <c r="S1006" s="1065"/>
      <c r="BE1006" s="1065"/>
      <c r="BF1006" s="1065"/>
      <c r="BG1006" s="1065"/>
    </row>
    <row r="1007" spans="4:59">
      <c r="D1007" s="1065"/>
      <c r="S1007" s="1065"/>
      <c r="BE1007" s="1065"/>
      <c r="BF1007" s="1065"/>
      <c r="BG1007" s="1065"/>
    </row>
    <row r="1008" spans="4:59">
      <c r="D1008" s="1065"/>
      <c r="S1008" s="1065"/>
      <c r="BE1008" s="1065"/>
      <c r="BF1008" s="1065"/>
      <c r="BG1008" s="1065"/>
    </row>
    <row r="1009" spans="4:59">
      <c r="D1009" s="1065"/>
      <c r="S1009" s="1065"/>
      <c r="BE1009" s="1065"/>
      <c r="BF1009" s="1065"/>
      <c r="BG1009" s="1065"/>
    </row>
    <row r="1010" spans="4:59">
      <c r="D1010" s="1065"/>
      <c r="S1010" s="1065"/>
      <c r="BE1010" s="1065"/>
      <c r="BF1010" s="1065"/>
      <c r="BG1010" s="1065"/>
    </row>
    <row r="1011" spans="4:59">
      <c r="D1011" s="1065"/>
      <c r="S1011" s="1065"/>
      <c r="BE1011" s="1065"/>
      <c r="BF1011" s="1065"/>
      <c r="BG1011" s="1065"/>
    </row>
    <row r="1012" spans="4:59">
      <c r="D1012" s="1065"/>
      <c r="S1012" s="1065"/>
      <c r="BE1012" s="1065"/>
      <c r="BF1012" s="1065"/>
      <c r="BG1012" s="1065"/>
    </row>
    <row r="1013" spans="4:59">
      <c r="D1013" s="1065"/>
      <c r="S1013" s="1065"/>
      <c r="BE1013" s="1065"/>
      <c r="BF1013" s="1065"/>
      <c r="BG1013" s="1065"/>
    </row>
    <row r="1014" spans="4:59">
      <c r="D1014" s="1065"/>
      <c r="S1014" s="1065"/>
      <c r="BE1014" s="1065"/>
      <c r="BF1014" s="1065"/>
      <c r="BG1014" s="1065"/>
    </row>
    <row r="1015" spans="4:59">
      <c r="D1015" s="1065"/>
      <c r="S1015" s="1065"/>
      <c r="BE1015" s="1065"/>
      <c r="BF1015" s="1065"/>
      <c r="BG1015" s="1065"/>
    </row>
    <row r="1016" spans="4:59">
      <c r="D1016" s="1065"/>
      <c r="S1016" s="1065"/>
      <c r="BE1016" s="1065"/>
      <c r="BF1016" s="1065"/>
      <c r="BG1016" s="1065"/>
    </row>
    <row r="1017" spans="4:59">
      <c r="D1017" s="1065"/>
      <c r="S1017" s="1065"/>
      <c r="BE1017" s="1065"/>
      <c r="BF1017" s="1065"/>
      <c r="BG1017" s="1065"/>
    </row>
    <row r="1018" spans="4:59">
      <c r="D1018" s="1065"/>
      <c r="S1018" s="1065"/>
      <c r="BE1018" s="1065"/>
      <c r="BF1018" s="1065"/>
      <c r="BG1018" s="1065"/>
    </row>
    <row r="1019" spans="4:59">
      <c r="D1019" s="1065"/>
      <c r="S1019" s="1065"/>
      <c r="BE1019" s="1065"/>
      <c r="BF1019" s="1065"/>
      <c r="BG1019" s="1065"/>
    </row>
    <row r="1020" spans="4:59">
      <c r="D1020" s="1065"/>
      <c r="S1020" s="1065"/>
      <c r="BE1020" s="1065"/>
      <c r="BF1020" s="1065"/>
      <c r="BG1020" s="1065"/>
    </row>
    <row r="1021" spans="4:59">
      <c r="D1021" s="1065"/>
      <c r="S1021" s="1065"/>
      <c r="BE1021" s="1065"/>
      <c r="BF1021" s="1065"/>
      <c r="BG1021" s="1065"/>
    </row>
    <row r="1022" spans="4:59">
      <c r="D1022" s="1065"/>
      <c r="S1022" s="1065"/>
      <c r="BE1022" s="1065"/>
      <c r="BF1022" s="1065"/>
      <c r="BG1022" s="1065"/>
    </row>
    <row r="1023" spans="4:59">
      <c r="D1023" s="1065"/>
      <c r="S1023" s="1065"/>
      <c r="BE1023" s="1065"/>
      <c r="BF1023" s="1065"/>
      <c r="BG1023" s="1065"/>
    </row>
    <row r="1024" spans="4:59">
      <c r="D1024" s="1065"/>
      <c r="S1024" s="1065"/>
      <c r="BE1024" s="1065"/>
      <c r="BF1024" s="1065"/>
      <c r="BG1024" s="1065"/>
    </row>
    <row r="1025" spans="4:59">
      <c r="D1025" s="1065"/>
      <c r="S1025" s="1065"/>
      <c r="BE1025" s="1065"/>
      <c r="BF1025" s="1065"/>
      <c r="BG1025" s="1065"/>
    </row>
    <row r="1026" spans="4:59">
      <c r="D1026" s="1065"/>
      <c r="S1026" s="1065"/>
      <c r="BE1026" s="1065"/>
      <c r="BF1026" s="1065"/>
      <c r="BG1026" s="1065"/>
    </row>
    <row r="1027" spans="4:59">
      <c r="D1027" s="1065"/>
      <c r="S1027" s="1065"/>
      <c r="BE1027" s="1065"/>
      <c r="BF1027" s="1065"/>
      <c r="BG1027" s="1065"/>
    </row>
    <row r="1028" spans="4:59">
      <c r="D1028" s="1065"/>
      <c r="S1028" s="1065"/>
      <c r="BE1028" s="1065"/>
      <c r="BF1028" s="1065"/>
      <c r="BG1028" s="1065"/>
    </row>
    <row r="1029" spans="4:59">
      <c r="D1029" s="1065"/>
      <c r="S1029" s="1065"/>
      <c r="BE1029" s="1065"/>
      <c r="BF1029" s="1065"/>
      <c r="BG1029" s="1065"/>
    </row>
    <row r="1030" spans="4:59">
      <c r="D1030" s="1065"/>
      <c r="S1030" s="1065"/>
      <c r="BE1030" s="1065"/>
      <c r="BF1030" s="1065"/>
      <c r="BG1030" s="1065"/>
    </row>
    <row r="1031" spans="4:59">
      <c r="D1031" s="1065"/>
      <c r="S1031" s="1065"/>
      <c r="BE1031" s="1065"/>
      <c r="BF1031" s="1065"/>
      <c r="BG1031" s="1065"/>
    </row>
    <row r="1032" spans="4:59">
      <c r="D1032" s="1065"/>
      <c r="S1032" s="1065"/>
      <c r="BE1032" s="1065"/>
      <c r="BF1032" s="1065"/>
      <c r="BG1032" s="1065"/>
    </row>
    <row r="1033" spans="4:59">
      <c r="D1033" s="1065"/>
      <c r="S1033" s="1065"/>
      <c r="BE1033" s="1065"/>
      <c r="BF1033" s="1065"/>
      <c r="BG1033" s="1065"/>
    </row>
    <row r="1034" spans="4:59">
      <c r="D1034" s="1065"/>
      <c r="S1034" s="1065"/>
      <c r="BE1034" s="1065"/>
      <c r="BF1034" s="1065"/>
      <c r="BG1034" s="1065"/>
    </row>
    <row r="1035" spans="4:59">
      <c r="D1035" s="1065"/>
      <c r="S1035" s="1065"/>
      <c r="BE1035" s="1065"/>
      <c r="BF1035" s="1065"/>
      <c r="BG1035" s="1065"/>
    </row>
    <row r="1036" spans="4:59">
      <c r="D1036" s="1065"/>
      <c r="S1036" s="1065"/>
      <c r="BE1036" s="1065"/>
      <c r="BF1036" s="1065"/>
      <c r="BG1036" s="1065"/>
    </row>
    <row r="1037" spans="4:59">
      <c r="D1037" s="1065"/>
      <c r="S1037" s="1065"/>
      <c r="BE1037" s="1065"/>
      <c r="BF1037" s="1065"/>
      <c r="BG1037" s="1065"/>
    </row>
    <row r="1038" spans="4:59">
      <c r="D1038" s="1065"/>
      <c r="S1038" s="1065"/>
      <c r="BE1038" s="1065"/>
      <c r="BF1038" s="1065"/>
      <c r="BG1038" s="1065"/>
    </row>
    <row r="1039" spans="4:59">
      <c r="D1039" s="1065"/>
      <c r="S1039" s="1065"/>
      <c r="BE1039" s="1065"/>
      <c r="BF1039" s="1065"/>
      <c r="BG1039" s="1065"/>
    </row>
    <row r="1040" spans="4:59">
      <c r="D1040" s="1065"/>
      <c r="S1040" s="1065"/>
      <c r="BE1040" s="1065"/>
      <c r="BF1040" s="1065"/>
      <c r="BG1040" s="1065"/>
    </row>
    <row r="1041" spans="4:59">
      <c r="D1041" s="1065"/>
      <c r="S1041" s="1065"/>
      <c r="BE1041" s="1065"/>
      <c r="BF1041" s="1065"/>
      <c r="BG1041" s="1065"/>
    </row>
    <row r="1042" spans="4:59">
      <c r="D1042" s="1065"/>
      <c r="S1042" s="1065"/>
      <c r="BE1042" s="1065"/>
      <c r="BF1042" s="1065"/>
      <c r="BG1042" s="1065"/>
    </row>
    <row r="1043" spans="4:59">
      <c r="D1043" s="1065"/>
      <c r="S1043" s="1065"/>
      <c r="BE1043" s="1065"/>
      <c r="BF1043" s="1065"/>
      <c r="BG1043" s="1065"/>
    </row>
    <row r="1044" spans="4:59">
      <c r="D1044" s="1065"/>
      <c r="S1044" s="1065"/>
      <c r="BE1044" s="1065"/>
      <c r="BF1044" s="1065"/>
      <c r="BG1044" s="1065"/>
    </row>
    <row r="1045" spans="4:59">
      <c r="D1045" s="1065"/>
      <c r="S1045" s="1065"/>
      <c r="BE1045" s="1065"/>
      <c r="BF1045" s="1065"/>
      <c r="BG1045" s="1065"/>
    </row>
    <row r="1046" spans="4:59">
      <c r="D1046" s="1065"/>
      <c r="S1046" s="1065"/>
      <c r="BE1046" s="1065"/>
      <c r="BF1046" s="1065"/>
      <c r="BG1046" s="1065"/>
    </row>
    <row r="1047" spans="4:59">
      <c r="D1047" s="1065"/>
      <c r="S1047" s="1065"/>
      <c r="BE1047" s="1065"/>
      <c r="BF1047" s="1065"/>
      <c r="BG1047" s="1065"/>
    </row>
    <row r="1048" spans="4:59">
      <c r="D1048" s="1065"/>
      <c r="S1048" s="1065"/>
      <c r="BE1048" s="1065"/>
      <c r="BF1048" s="1065"/>
      <c r="BG1048" s="1065"/>
    </row>
    <row r="1052" spans="4:59">
      <c r="D1052" s="1065"/>
      <c r="S1052" s="1065"/>
      <c r="BE1052" s="1065"/>
      <c r="BF1052" s="1065"/>
      <c r="BG1052" s="1065"/>
    </row>
    <row r="1053" spans="4:59">
      <c r="D1053" s="1065"/>
      <c r="S1053" s="1065"/>
      <c r="BE1053" s="1065"/>
      <c r="BF1053" s="1065"/>
      <c r="BG1053" s="1065"/>
    </row>
    <row r="1057" spans="4:59">
      <c r="D1057" s="1065"/>
      <c r="S1057" s="1065"/>
      <c r="BE1057" s="1065"/>
      <c r="BF1057" s="1065"/>
      <c r="BG1057" s="1065"/>
    </row>
    <row r="1058" spans="4:59">
      <c r="D1058" s="1065"/>
      <c r="S1058" s="1065"/>
      <c r="BE1058" s="1065"/>
      <c r="BF1058" s="1065"/>
      <c r="BG1058" s="1065"/>
    </row>
    <row r="1059" spans="4:59">
      <c r="D1059" s="1065"/>
      <c r="S1059" s="1065"/>
      <c r="BE1059" s="1065"/>
      <c r="BF1059" s="1065"/>
      <c r="BG1059" s="1065"/>
    </row>
    <row r="1060" spans="4:59">
      <c r="D1060" s="1065"/>
      <c r="S1060" s="1065"/>
      <c r="BE1060" s="1065"/>
      <c r="BF1060" s="1065"/>
      <c r="BG1060" s="1065"/>
    </row>
    <row r="1061" spans="4:59">
      <c r="D1061" s="1065"/>
      <c r="S1061" s="1065"/>
      <c r="BE1061" s="1065"/>
      <c r="BF1061" s="1065"/>
      <c r="BG1061" s="1065"/>
    </row>
    <row r="1062" spans="4:59">
      <c r="D1062" s="1065"/>
      <c r="S1062" s="1065"/>
      <c r="BE1062" s="1065"/>
      <c r="BF1062" s="1065"/>
      <c r="BG1062" s="1065"/>
    </row>
    <row r="1063" spans="4:59">
      <c r="D1063" s="1065"/>
      <c r="S1063" s="1065"/>
      <c r="BE1063" s="1065"/>
      <c r="BF1063" s="1065"/>
      <c r="BG1063" s="1065"/>
    </row>
    <row r="1064" spans="4:59">
      <c r="D1064" s="1065"/>
      <c r="S1064" s="1065"/>
      <c r="BE1064" s="1065"/>
      <c r="BF1064" s="1065"/>
      <c r="BG1064" s="1065"/>
    </row>
    <row r="1065" spans="4:59">
      <c r="D1065" s="1065"/>
      <c r="S1065" s="1065"/>
      <c r="BE1065" s="1065"/>
      <c r="BF1065" s="1065"/>
      <c r="BG1065" s="1065"/>
    </row>
    <row r="1066" spans="4:59">
      <c r="D1066" s="1065"/>
      <c r="S1066" s="1065"/>
      <c r="BE1066" s="1065"/>
      <c r="BF1066" s="1065"/>
      <c r="BG1066" s="1065"/>
    </row>
    <row r="1067" spans="4:59">
      <c r="D1067" s="1065"/>
      <c r="S1067" s="1065"/>
      <c r="BE1067" s="1065"/>
      <c r="BF1067" s="1065"/>
      <c r="BG1067" s="1065"/>
    </row>
    <row r="1068" spans="4:59">
      <c r="D1068" s="1065"/>
      <c r="S1068" s="1065"/>
      <c r="BE1068" s="1065"/>
      <c r="BF1068" s="1065"/>
      <c r="BG1068" s="1065"/>
    </row>
    <row r="1069" spans="4:59">
      <c r="D1069" s="1065"/>
      <c r="S1069" s="1065"/>
      <c r="BE1069" s="1065"/>
      <c r="BF1069" s="1065"/>
      <c r="BG1069" s="1065"/>
    </row>
    <row r="1070" spans="4:59">
      <c r="D1070" s="1065"/>
      <c r="S1070" s="1065"/>
      <c r="BE1070" s="1065"/>
      <c r="BF1070" s="1065"/>
      <c r="BG1070" s="1065"/>
    </row>
    <row r="1071" spans="4:59">
      <c r="D1071" s="1065"/>
      <c r="S1071" s="1065"/>
      <c r="BE1071" s="1065"/>
      <c r="BF1071" s="1065"/>
      <c r="BG1071" s="1065"/>
    </row>
    <row r="1072" spans="4:59">
      <c r="D1072" s="1065"/>
      <c r="S1072" s="1065"/>
      <c r="BE1072" s="1065"/>
      <c r="BF1072" s="1065"/>
      <c r="BG1072" s="1065"/>
    </row>
    <row r="1073" spans="4:59">
      <c r="D1073" s="1065"/>
      <c r="S1073" s="1065"/>
      <c r="BE1073" s="1065"/>
      <c r="BF1073" s="1065"/>
      <c r="BG1073" s="1065"/>
    </row>
    <row r="1074" spans="4:59">
      <c r="D1074" s="1065"/>
      <c r="S1074" s="1065"/>
      <c r="BE1074" s="1065"/>
      <c r="BF1074" s="1065"/>
      <c r="BG1074" s="1065"/>
    </row>
    <row r="1075" spans="4:59">
      <c r="D1075" s="1065"/>
      <c r="S1075" s="1065"/>
      <c r="BE1075" s="1065"/>
      <c r="BF1075" s="1065"/>
      <c r="BG1075" s="1065"/>
    </row>
    <row r="1076" spans="4:59">
      <c r="D1076" s="1065"/>
      <c r="S1076" s="1065"/>
      <c r="BE1076" s="1065"/>
      <c r="BF1076" s="1065"/>
      <c r="BG1076" s="1065"/>
    </row>
    <row r="1077" spans="4:59">
      <c r="D1077" s="1065"/>
      <c r="S1077" s="1065"/>
      <c r="BE1077" s="1065"/>
      <c r="BF1077" s="1065"/>
      <c r="BG1077" s="1065"/>
    </row>
    <row r="1078" spans="4:59">
      <c r="D1078" s="1065"/>
      <c r="S1078" s="1065"/>
      <c r="BE1078" s="1065"/>
      <c r="BF1078" s="1065"/>
      <c r="BG1078" s="1065"/>
    </row>
    <row r="1079" spans="4:59">
      <c r="D1079" s="1065"/>
      <c r="S1079" s="1065"/>
      <c r="BE1079" s="1065"/>
      <c r="BF1079" s="1065"/>
      <c r="BG1079" s="1065"/>
    </row>
    <row r="1080" spans="4:59">
      <c r="D1080" s="1065"/>
      <c r="S1080" s="1065"/>
      <c r="BE1080" s="1065"/>
      <c r="BF1080" s="1065"/>
      <c r="BG1080" s="1065"/>
    </row>
    <row r="1081" spans="4:59">
      <c r="D1081" s="1065"/>
      <c r="S1081" s="1065"/>
      <c r="BE1081" s="1065"/>
      <c r="BF1081" s="1065"/>
      <c r="BG1081" s="1065"/>
    </row>
    <row r="1082" spans="4:59">
      <c r="D1082" s="1065"/>
      <c r="S1082" s="1065"/>
      <c r="BE1082" s="1065"/>
      <c r="BF1082" s="1065"/>
      <c r="BG1082" s="1065"/>
    </row>
    <row r="1083" spans="4:59">
      <c r="D1083" s="1065"/>
      <c r="S1083" s="1065"/>
      <c r="BE1083" s="1065"/>
      <c r="BF1083" s="1065"/>
      <c r="BG1083" s="1065"/>
    </row>
    <row r="1084" spans="4:59">
      <c r="D1084" s="1065"/>
      <c r="S1084" s="1065"/>
      <c r="BE1084" s="1065"/>
      <c r="BF1084" s="1065"/>
      <c r="BG1084" s="1065"/>
    </row>
    <row r="1085" spans="4:59">
      <c r="D1085" s="1065"/>
      <c r="S1085" s="1065"/>
      <c r="BE1085" s="1065"/>
      <c r="BF1085" s="1065"/>
      <c r="BG1085" s="1065"/>
    </row>
    <row r="1086" spans="4:59">
      <c r="D1086" s="1065"/>
      <c r="S1086" s="1065"/>
      <c r="BE1086" s="1065"/>
      <c r="BF1086" s="1065"/>
      <c r="BG1086" s="1065"/>
    </row>
    <row r="1087" spans="4:59">
      <c r="D1087" s="1065"/>
      <c r="S1087" s="1065"/>
      <c r="BE1087" s="1065"/>
      <c r="BF1087" s="1065"/>
      <c r="BG1087" s="1065"/>
    </row>
    <row r="1088" spans="4:59">
      <c r="D1088" s="1065"/>
      <c r="S1088" s="1065"/>
      <c r="BE1088" s="1065"/>
      <c r="BF1088" s="1065"/>
      <c r="BG1088" s="1065"/>
    </row>
    <row r="1089" spans="4:59">
      <c r="D1089" s="1065"/>
      <c r="S1089" s="1065"/>
      <c r="BE1089" s="1065"/>
      <c r="BF1089" s="1065"/>
      <c r="BG1089" s="1065"/>
    </row>
    <row r="1090" spans="4:59">
      <c r="D1090" s="1065"/>
      <c r="S1090" s="1065"/>
      <c r="BE1090" s="1065"/>
      <c r="BF1090" s="1065"/>
      <c r="BG1090" s="1065"/>
    </row>
    <row r="1091" spans="4:59">
      <c r="D1091" s="1065"/>
      <c r="S1091" s="1065"/>
      <c r="BE1091" s="1065"/>
      <c r="BF1091" s="1065"/>
      <c r="BG1091" s="1065"/>
    </row>
    <row r="1092" spans="4:59">
      <c r="D1092" s="1065"/>
      <c r="S1092" s="1065"/>
      <c r="BE1092" s="1065"/>
      <c r="BF1092" s="1065"/>
      <c r="BG1092" s="1065"/>
    </row>
    <row r="1093" spans="4:59">
      <c r="D1093" s="1065"/>
      <c r="S1093" s="1065"/>
      <c r="BE1093" s="1065"/>
      <c r="BF1093" s="1065"/>
      <c r="BG1093" s="1065"/>
    </row>
    <row r="1094" spans="4:59">
      <c r="D1094" s="1065"/>
      <c r="S1094" s="1065"/>
      <c r="BE1094" s="1065"/>
      <c r="BF1094" s="1065"/>
      <c r="BG1094" s="1065"/>
    </row>
    <row r="1095" spans="4:59">
      <c r="D1095" s="1065"/>
      <c r="S1095" s="1065"/>
      <c r="BE1095" s="1065"/>
      <c r="BF1095" s="1065"/>
      <c r="BG1095" s="1065"/>
    </row>
    <row r="1096" spans="4:59">
      <c r="D1096" s="1065"/>
      <c r="S1096" s="1065"/>
      <c r="BE1096" s="1065"/>
      <c r="BF1096" s="1065"/>
      <c r="BG1096" s="1065"/>
    </row>
    <row r="1097" spans="4:59">
      <c r="D1097" s="1065"/>
      <c r="S1097" s="1065"/>
      <c r="BE1097" s="1065"/>
      <c r="BF1097" s="1065"/>
      <c r="BG1097" s="1065"/>
    </row>
    <row r="1098" spans="4:59">
      <c r="D1098" s="1065"/>
      <c r="S1098" s="1065"/>
      <c r="BE1098" s="1065"/>
      <c r="BF1098" s="1065"/>
      <c r="BG1098" s="1065"/>
    </row>
    <row r="1099" spans="4:59">
      <c r="D1099" s="1065"/>
      <c r="S1099" s="1065"/>
      <c r="BE1099" s="1065"/>
      <c r="BF1099" s="1065"/>
      <c r="BG1099" s="1065"/>
    </row>
    <row r="1100" spans="4:59">
      <c r="D1100" s="1065"/>
      <c r="S1100" s="1065"/>
      <c r="BE1100" s="1065"/>
      <c r="BF1100" s="1065"/>
      <c r="BG1100" s="1065"/>
    </row>
    <row r="1101" spans="4:59">
      <c r="D1101" s="1065"/>
      <c r="S1101" s="1065"/>
      <c r="BE1101" s="1065"/>
      <c r="BF1101" s="1065"/>
      <c r="BG1101" s="1065"/>
    </row>
    <row r="1102" spans="4:59">
      <c r="D1102" s="1065"/>
      <c r="S1102" s="1065"/>
      <c r="BE1102" s="1065"/>
      <c r="BF1102" s="1065"/>
      <c r="BG1102" s="1065"/>
    </row>
    <row r="1103" spans="4:59">
      <c r="D1103" s="1065"/>
      <c r="S1103" s="1065"/>
      <c r="BE1103" s="1065"/>
      <c r="BF1103" s="1065"/>
      <c r="BG1103" s="1065"/>
    </row>
    <row r="1104" spans="4:59">
      <c r="D1104" s="1065"/>
      <c r="S1104" s="1065"/>
      <c r="BE1104" s="1065"/>
      <c r="BF1104" s="1065"/>
      <c r="BG1104" s="1065"/>
    </row>
    <row r="1105" spans="4:59">
      <c r="D1105" s="1065"/>
      <c r="S1105" s="1065"/>
      <c r="BE1105" s="1065"/>
      <c r="BF1105" s="1065"/>
      <c r="BG1105" s="1065"/>
    </row>
    <row r="1106" spans="4:59">
      <c r="D1106" s="1065"/>
      <c r="S1106" s="1065"/>
      <c r="BE1106" s="1065"/>
      <c r="BF1106" s="1065"/>
      <c r="BG1106" s="1065"/>
    </row>
    <row r="1107" spans="4:59">
      <c r="D1107" s="1065"/>
      <c r="S1107" s="1065"/>
      <c r="BE1107" s="1065"/>
      <c r="BF1107" s="1065"/>
      <c r="BG1107" s="1065"/>
    </row>
    <row r="1108" spans="4:59">
      <c r="D1108" s="1065"/>
      <c r="S1108" s="1065"/>
      <c r="BE1108" s="1065"/>
      <c r="BF1108" s="1065"/>
      <c r="BG1108" s="1065"/>
    </row>
    <row r="1109" spans="4:59">
      <c r="D1109" s="1065"/>
      <c r="S1109" s="1065"/>
      <c r="BE1109" s="1065"/>
      <c r="BF1109" s="1065"/>
      <c r="BG1109" s="1065"/>
    </row>
    <row r="1110" spans="4:59">
      <c r="D1110" s="1065"/>
      <c r="S1110" s="1065"/>
      <c r="BE1110" s="1065"/>
      <c r="BF1110" s="1065"/>
      <c r="BG1110" s="1065"/>
    </row>
    <row r="1111" spans="4:59">
      <c r="D1111" s="1065"/>
      <c r="S1111" s="1065"/>
      <c r="BE1111" s="1065"/>
      <c r="BF1111" s="1065"/>
      <c r="BG1111" s="1065"/>
    </row>
    <row r="1112" spans="4:59">
      <c r="D1112" s="1065"/>
      <c r="S1112" s="1065"/>
      <c r="BE1112" s="1065"/>
      <c r="BF1112" s="1065"/>
      <c r="BG1112" s="1065"/>
    </row>
    <row r="1113" spans="4:59">
      <c r="D1113" s="1065"/>
      <c r="S1113" s="1065"/>
      <c r="BE1113" s="1065"/>
      <c r="BF1113" s="1065"/>
      <c r="BG1113" s="1065"/>
    </row>
    <row r="1114" spans="4:59">
      <c r="D1114" s="1065"/>
      <c r="S1114" s="1065"/>
      <c r="BE1114" s="1065"/>
      <c r="BF1114" s="1065"/>
      <c r="BG1114" s="1065"/>
    </row>
    <row r="1115" spans="4:59">
      <c r="D1115" s="1065"/>
      <c r="S1115" s="1065"/>
      <c r="BE1115" s="1065"/>
      <c r="BF1115" s="1065"/>
      <c r="BG1115" s="1065"/>
    </row>
    <row r="1116" spans="4:59">
      <c r="D1116" s="1065"/>
      <c r="S1116" s="1065"/>
      <c r="BE1116" s="1065"/>
      <c r="BF1116" s="1065"/>
      <c r="BG1116" s="1065"/>
    </row>
    <row r="1117" spans="4:59">
      <c r="D1117" s="1065"/>
      <c r="S1117" s="1065"/>
      <c r="BE1117" s="1065"/>
      <c r="BF1117" s="1065"/>
      <c r="BG1117" s="1065"/>
    </row>
    <row r="1118" spans="4:59">
      <c r="D1118" s="1065"/>
      <c r="S1118" s="1065"/>
      <c r="BE1118" s="1065"/>
      <c r="BF1118" s="1065"/>
      <c r="BG1118" s="1065"/>
    </row>
    <row r="1119" spans="4:59">
      <c r="D1119" s="1065"/>
      <c r="S1119" s="1065"/>
      <c r="BE1119" s="1065"/>
      <c r="BF1119" s="1065"/>
      <c r="BG1119" s="1065"/>
    </row>
    <row r="1120" spans="4:59">
      <c r="D1120" s="1065"/>
      <c r="S1120" s="1065"/>
      <c r="BE1120" s="1065"/>
      <c r="BF1120" s="1065"/>
      <c r="BG1120" s="1065"/>
    </row>
    <row r="1121" spans="4:59">
      <c r="D1121" s="1065"/>
      <c r="S1121" s="1065"/>
      <c r="BE1121" s="1065"/>
      <c r="BF1121" s="1065"/>
      <c r="BG1121" s="1065"/>
    </row>
    <row r="1122" spans="4:59">
      <c r="D1122" s="1065"/>
      <c r="S1122" s="1065"/>
      <c r="BE1122" s="1065"/>
      <c r="BF1122" s="1065"/>
      <c r="BG1122" s="1065"/>
    </row>
    <row r="1123" spans="4:59">
      <c r="D1123" s="1065"/>
      <c r="S1123" s="1065"/>
      <c r="BE1123" s="1065"/>
      <c r="BF1123" s="1065"/>
      <c r="BG1123" s="1065"/>
    </row>
    <row r="1124" spans="4:59">
      <c r="D1124" s="1065"/>
      <c r="S1124" s="1065"/>
      <c r="BE1124" s="1065"/>
      <c r="BF1124" s="1065"/>
      <c r="BG1124" s="1065"/>
    </row>
    <row r="1125" spans="4:59">
      <c r="D1125" s="1065"/>
      <c r="S1125" s="1065"/>
      <c r="BE1125" s="1065"/>
      <c r="BF1125" s="1065"/>
      <c r="BG1125" s="1065"/>
    </row>
    <row r="1126" spans="4:59">
      <c r="D1126" s="1065"/>
      <c r="S1126" s="1065"/>
      <c r="BE1126" s="1065"/>
      <c r="BF1126" s="1065"/>
      <c r="BG1126" s="1065"/>
    </row>
    <row r="1127" spans="4:59">
      <c r="D1127" s="1065"/>
      <c r="S1127" s="1065"/>
      <c r="BE1127" s="1065"/>
      <c r="BF1127" s="1065"/>
      <c r="BG1127" s="1065"/>
    </row>
    <row r="1128" spans="4:59">
      <c r="D1128" s="1065"/>
      <c r="S1128" s="1065"/>
      <c r="BE1128" s="1065"/>
      <c r="BF1128" s="1065"/>
      <c r="BG1128" s="1065"/>
    </row>
    <row r="1129" spans="4:59">
      <c r="D1129" s="1065"/>
      <c r="S1129" s="1065"/>
      <c r="BE1129" s="1065"/>
      <c r="BF1129" s="1065"/>
      <c r="BG1129" s="1065"/>
    </row>
    <row r="1130" spans="4:59">
      <c r="D1130" s="1065"/>
      <c r="S1130" s="1065"/>
      <c r="BE1130" s="1065"/>
      <c r="BF1130" s="1065"/>
      <c r="BG1130" s="1065"/>
    </row>
    <row r="1131" spans="4:59">
      <c r="D1131" s="1065"/>
      <c r="S1131" s="1065"/>
      <c r="BE1131" s="1065"/>
      <c r="BF1131" s="1065"/>
      <c r="BG1131" s="1065"/>
    </row>
    <row r="1132" spans="4:59">
      <c r="D1132" s="1065"/>
      <c r="S1132" s="1065"/>
      <c r="BE1132" s="1065"/>
      <c r="BF1132" s="1065"/>
      <c r="BG1132" s="1065"/>
    </row>
    <row r="1133" spans="4:59">
      <c r="D1133" s="1065"/>
      <c r="S1133" s="1065"/>
      <c r="BE1133" s="1065"/>
      <c r="BF1133" s="1065"/>
      <c r="BG1133" s="1065"/>
    </row>
    <row r="1134" spans="4:59">
      <c r="D1134" s="1065"/>
      <c r="S1134" s="1065"/>
      <c r="BE1134" s="1065"/>
      <c r="BF1134" s="1065"/>
      <c r="BG1134" s="1065"/>
    </row>
    <row r="1135" spans="4:59">
      <c r="D1135" s="1065"/>
      <c r="S1135" s="1065"/>
      <c r="BE1135" s="1065"/>
      <c r="BF1135" s="1065"/>
      <c r="BG1135" s="1065"/>
    </row>
    <row r="1136" spans="4:59">
      <c r="D1136" s="1065"/>
      <c r="S1136" s="1065"/>
      <c r="BE1136" s="1065"/>
      <c r="BF1136" s="1065"/>
      <c r="BG1136" s="1065"/>
    </row>
    <row r="1137" spans="4:59">
      <c r="D1137" s="1065"/>
      <c r="S1137" s="1065"/>
      <c r="BE1137" s="1065"/>
      <c r="BF1137" s="1065"/>
      <c r="BG1137" s="1065"/>
    </row>
    <row r="1138" spans="4:59">
      <c r="D1138" s="1065"/>
      <c r="S1138" s="1065"/>
      <c r="BE1138" s="1065"/>
      <c r="BF1138" s="1065"/>
      <c r="BG1138" s="1065"/>
    </row>
    <row r="1139" spans="4:59">
      <c r="D1139" s="1065"/>
      <c r="S1139" s="1065"/>
      <c r="BE1139" s="1065"/>
      <c r="BF1139" s="1065"/>
      <c r="BG1139" s="1065"/>
    </row>
    <row r="1140" spans="4:59">
      <c r="D1140" s="1065"/>
      <c r="S1140" s="1065"/>
      <c r="BE1140" s="1065"/>
      <c r="BF1140" s="1065"/>
      <c r="BG1140" s="1065"/>
    </row>
    <row r="1141" spans="4:59">
      <c r="D1141" s="1065"/>
      <c r="S1141" s="1065"/>
      <c r="BE1141" s="1065"/>
      <c r="BF1141" s="1065"/>
      <c r="BG1141" s="1065"/>
    </row>
    <row r="1142" spans="4:59">
      <c r="D1142" s="1065"/>
      <c r="S1142" s="1065"/>
      <c r="BE1142" s="1065"/>
      <c r="BF1142" s="1065"/>
      <c r="BG1142" s="1065"/>
    </row>
    <row r="1143" spans="4:59">
      <c r="D1143" s="1065"/>
      <c r="S1143" s="1065"/>
      <c r="BE1143" s="1065"/>
      <c r="BF1143" s="1065"/>
      <c r="BG1143" s="1065"/>
    </row>
    <row r="1144" spans="4:59">
      <c r="D1144" s="1065"/>
      <c r="S1144" s="1065"/>
      <c r="BE1144" s="1065"/>
      <c r="BF1144" s="1065"/>
      <c r="BG1144" s="1065"/>
    </row>
    <row r="1145" spans="4:59">
      <c r="D1145" s="1065"/>
      <c r="S1145" s="1065"/>
      <c r="BE1145" s="1065"/>
      <c r="BF1145" s="1065"/>
      <c r="BG1145" s="1065"/>
    </row>
    <row r="1146" spans="4:59">
      <c r="D1146" s="1065"/>
      <c r="S1146" s="1065"/>
      <c r="BE1146" s="1065"/>
      <c r="BF1146" s="1065"/>
      <c r="BG1146" s="1065"/>
    </row>
    <row r="1147" spans="4:59">
      <c r="D1147" s="1065"/>
      <c r="S1147" s="1065"/>
      <c r="BE1147" s="1065"/>
      <c r="BF1147" s="1065"/>
      <c r="BG1147" s="1065"/>
    </row>
    <row r="1148" spans="4:59">
      <c r="D1148" s="1065"/>
      <c r="S1148" s="1065"/>
      <c r="BE1148" s="1065"/>
      <c r="BF1148" s="1065"/>
      <c r="BG1148" s="1065"/>
    </row>
    <row r="1149" spans="4:59">
      <c r="D1149" s="1065"/>
      <c r="S1149" s="1065"/>
      <c r="BE1149" s="1065"/>
      <c r="BF1149" s="1065"/>
      <c r="BG1149" s="1065"/>
    </row>
    <row r="1150" spans="4:59">
      <c r="D1150" s="1065"/>
      <c r="S1150" s="1065"/>
      <c r="BE1150" s="1065"/>
      <c r="BF1150" s="1065"/>
      <c r="BG1150" s="1065"/>
    </row>
    <row r="1151" spans="4:59">
      <c r="D1151" s="1065"/>
      <c r="S1151" s="1065"/>
      <c r="BE1151" s="1065"/>
      <c r="BF1151" s="1065"/>
      <c r="BG1151" s="1065"/>
    </row>
    <row r="1152" spans="4:59">
      <c r="D1152" s="1065"/>
      <c r="S1152" s="1065"/>
      <c r="BE1152" s="1065"/>
      <c r="BF1152" s="1065"/>
      <c r="BG1152" s="1065"/>
    </row>
    <row r="1153" spans="4:59">
      <c r="D1153" s="1065"/>
      <c r="S1153" s="1065"/>
      <c r="BE1153" s="1065"/>
      <c r="BF1153" s="1065"/>
      <c r="BG1153" s="1065"/>
    </row>
    <row r="1154" spans="4:59">
      <c r="D1154" s="1065"/>
      <c r="S1154" s="1065"/>
      <c r="BE1154" s="1065"/>
      <c r="BF1154" s="1065"/>
      <c r="BG1154" s="1065"/>
    </row>
    <row r="1155" spans="4:59">
      <c r="D1155" s="1065"/>
      <c r="S1155" s="1065"/>
      <c r="BE1155" s="1065"/>
      <c r="BF1155" s="1065"/>
      <c r="BG1155" s="1065"/>
    </row>
    <row r="1156" spans="4:59">
      <c r="D1156" s="1065"/>
      <c r="S1156" s="1065"/>
      <c r="BE1156" s="1065"/>
      <c r="BF1156" s="1065"/>
      <c r="BG1156" s="1065"/>
    </row>
    <row r="1157" spans="4:59">
      <c r="D1157" s="1065"/>
      <c r="S1157" s="1065"/>
      <c r="BE1157" s="1065"/>
      <c r="BF1157" s="1065"/>
      <c r="BG1157" s="1065"/>
    </row>
    <row r="1158" spans="4:59">
      <c r="D1158" s="1065"/>
      <c r="S1158" s="1065"/>
      <c r="BE1158" s="1065"/>
      <c r="BF1158" s="1065"/>
      <c r="BG1158" s="1065"/>
    </row>
    <row r="1159" spans="4:59">
      <c r="D1159" s="1065"/>
      <c r="S1159" s="1065"/>
      <c r="BE1159" s="1065"/>
      <c r="BF1159" s="1065"/>
      <c r="BG1159" s="1065"/>
    </row>
    <row r="1160" spans="4:59">
      <c r="D1160" s="1065"/>
      <c r="S1160" s="1065"/>
      <c r="BE1160" s="1065"/>
      <c r="BF1160" s="1065"/>
      <c r="BG1160" s="1065"/>
    </row>
    <row r="1161" spans="4:59">
      <c r="D1161" s="1065"/>
      <c r="S1161" s="1065"/>
      <c r="BE1161" s="1065"/>
      <c r="BF1161" s="1065"/>
      <c r="BG1161" s="1065"/>
    </row>
    <row r="1162" spans="4:59">
      <c r="D1162" s="1065"/>
      <c r="S1162" s="1065"/>
      <c r="BE1162" s="1065"/>
      <c r="BF1162" s="1065"/>
      <c r="BG1162" s="1065"/>
    </row>
    <row r="1163" spans="4:59">
      <c r="D1163" s="1065"/>
      <c r="S1163" s="1065"/>
      <c r="BE1163" s="1065"/>
      <c r="BF1163" s="1065"/>
      <c r="BG1163" s="1065"/>
    </row>
    <row r="1164" spans="4:59">
      <c r="D1164" s="1065"/>
      <c r="S1164" s="1065"/>
      <c r="BE1164" s="1065"/>
      <c r="BF1164" s="1065"/>
      <c r="BG1164" s="1065"/>
    </row>
    <row r="1165" spans="4:59">
      <c r="D1165" s="1065"/>
      <c r="S1165" s="1065"/>
      <c r="BE1165" s="1065"/>
      <c r="BF1165" s="1065"/>
      <c r="BG1165" s="1065"/>
    </row>
    <row r="1166" spans="4:59">
      <c r="D1166" s="1065"/>
      <c r="S1166" s="1065"/>
      <c r="BE1166" s="1065"/>
      <c r="BF1166" s="1065"/>
      <c r="BG1166" s="1065"/>
    </row>
    <row r="1167" spans="4:59">
      <c r="D1167" s="1065"/>
      <c r="S1167" s="1065"/>
      <c r="BE1167" s="1065"/>
      <c r="BF1167" s="1065"/>
      <c r="BG1167" s="1065"/>
    </row>
    <row r="1168" spans="4:59">
      <c r="D1168" s="1065"/>
      <c r="S1168" s="1065"/>
      <c r="BE1168" s="1065"/>
      <c r="BF1168" s="1065"/>
      <c r="BG1168" s="1065"/>
    </row>
    <row r="1169" spans="4:59">
      <c r="D1169" s="1065"/>
      <c r="S1169" s="1065"/>
      <c r="BE1169" s="1065"/>
      <c r="BF1169" s="1065"/>
      <c r="BG1169" s="1065"/>
    </row>
    <row r="1170" spans="4:59">
      <c r="D1170" s="1065"/>
      <c r="S1170" s="1065"/>
      <c r="BE1170" s="1065"/>
      <c r="BF1170" s="1065"/>
      <c r="BG1170" s="1065"/>
    </row>
    <row r="1171" spans="4:59">
      <c r="D1171" s="1065"/>
      <c r="S1171" s="1065"/>
      <c r="BE1171" s="1065"/>
      <c r="BF1171" s="1065"/>
      <c r="BG1171" s="1065"/>
    </row>
    <row r="1172" spans="4:59">
      <c r="D1172" s="1065"/>
      <c r="S1172" s="1065"/>
      <c r="BE1172" s="1065"/>
      <c r="BF1172" s="1065"/>
      <c r="BG1172" s="1065"/>
    </row>
    <row r="1173" spans="4:59">
      <c r="D1173" s="1065"/>
      <c r="S1173" s="1065"/>
      <c r="BE1173" s="1065"/>
      <c r="BF1173" s="1065"/>
      <c r="BG1173" s="1065"/>
    </row>
    <row r="1174" spans="4:59">
      <c r="D1174" s="1065"/>
      <c r="S1174" s="1065"/>
      <c r="BE1174" s="1065"/>
      <c r="BF1174" s="1065"/>
      <c r="BG1174" s="1065"/>
    </row>
    <row r="1175" spans="4:59">
      <c r="D1175" s="1065"/>
      <c r="S1175" s="1065"/>
      <c r="BE1175" s="1065"/>
      <c r="BF1175" s="1065"/>
      <c r="BG1175" s="1065"/>
    </row>
    <row r="1176" spans="4:59">
      <c r="D1176" s="1065"/>
      <c r="S1176" s="1065"/>
      <c r="BE1176" s="1065"/>
      <c r="BF1176" s="1065"/>
      <c r="BG1176" s="1065"/>
    </row>
    <row r="1177" spans="4:59">
      <c r="D1177" s="1065"/>
      <c r="S1177" s="1065"/>
      <c r="BE1177" s="1065"/>
      <c r="BF1177" s="1065"/>
      <c r="BG1177" s="1065"/>
    </row>
    <row r="1178" spans="4:59">
      <c r="D1178" s="1065"/>
      <c r="S1178" s="1065"/>
      <c r="BE1178" s="1065"/>
      <c r="BF1178" s="1065"/>
      <c r="BG1178" s="1065"/>
    </row>
    <row r="1179" spans="4:59">
      <c r="D1179" s="1065"/>
      <c r="S1179" s="1065"/>
      <c r="BE1179" s="1065"/>
      <c r="BF1179" s="1065"/>
      <c r="BG1179" s="1065"/>
    </row>
    <row r="1180" spans="4:59">
      <c r="D1180" s="1065"/>
      <c r="S1180" s="1065"/>
      <c r="BE1180" s="1065"/>
      <c r="BF1180" s="1065"/>
      <c r="BG1180" s="1065"/>
    </row>
    <row r="1181" spans="4:59">
      <c r="D1181" s="1065"/>
      <c r="S1181" s="1065"/>
      <c r="BE1181" s="1065"/>
      <c r="BF1181" s="1065"/>
      <c r="BG1181" s="1065"/>
    </row>
    <row r="1182" spans="4:59">
      <c r="D1182" s="1065"/>
      <c r="S1182" s="1065"/>
      <c r="BE1182" s="1065"/>
      <c r="BF1182" s="1065"/>
      <c r="BG1182" s="1065"/>
    </row>
    <row r="1183" spans="4:59">
      <c r="D1183" s="1065"/>
      <c r="S1183" s="1065"/>
      <c r="BE1183" s="1065"/>
      <c r="BF1183" s="1065"/>
      <c r="BG1183" s="1065"/>
    </row>
    <row r="1184" spans="4:59">
      <c r="D1184" s="1065"/>
      <c r="S1184" s="1065"/>
      <c r="BE1184" s="1065"/>
      <c r="BF1184" s="1065"/>
      <c r="BG1184" s="1065"/>
    </row>
    <row r="1185" spans="4:59">
      <c r="D1185" s="1065"/>
      <c r="S1185" s="1065"/>
      <c r="BE1185" s="1065"/>
      <c r="BF1185" s="1065"/>
      <c r="BG1185" s="1065"/>
    </row>
    <row r="1186" spans="4:59">
      <c r="D1186" s="1065"/>
      <c r="S1186" s="1065"/>
      <c r="BE1186" s="1065"/>
      <c r="BF1186" s="1065"/>
      <c r="BG1186" s="1065"/>
    </row>
    <row r="1187" spans="4:59">
      <c r="D1187" s="1065"/>
      <c r="S1187" s="1065"/>
      <c r="BE1187" s="1065"/>
      <c r="BF1187" s="1065"/>
      <c r="BG1187" s="1065"/>
    </row>
    <row r="1188" spans="4:59">
      <c r="D1188" s="1065"/>
      <c r="S1188" s="1065"/>
      <c r="BE1188" s="1065"/>
      <c r="BF1188" s="1065"/>
      <c r="BG1188" s="1065"/>
    </row>
    <row r="1189" spans="4:59">
      <c r="D1189" s="1065"/>
      <c r="S1189" s="1065"/>
      <c r="BE1189" s="1065"/>
      <c r="BF1189" s="1065"/>
      <c r="BG1189" s="1065"/>
    </row>
    <row r="1190" spans="4:59">
      <c r="D1190" s="1065"/>
      <c r="S1190" s="1065"/>
      <c r="BE1190" s="1065"/>
      <c r="BF1190" s="1065"/>
      <c r="BG1190" s="1065"/>
    </row>
    <row r="1191" spans="4:59">
      <c r="D1191" s="1065"/>
      <c r="S1191" s="1065"/>
      <c r="BE1191" s="1065"/>
      <c r="BF1191" s="1065"/>
      <c r="BG1191" s="1065"/>
    </row>
    <row r="1192" spans="4:59">
      <c r="D1192" s="1065"/>
      <c r="S1192" s="1065"/>
      <c r="BE1192" s="1065"/>
      <c r="BF1192" s="1065"/>
      <c r="BG1192" s="1065"/>
    </row>
    <row r="1193" spans="4:59">
      <c r="D1193" s="1065"/>
      <c r="S1193" s="1065"/>
      <c r="BE1193" s="1065"/>
      <c r="BF1193" s="1065"/>
      <c r="BG1193" s="1065"/>
    </row>
    <row r="1194" spans="4:59">
      <c r="D1194" s="1065"/>
      <c r="S1194" s="1065"/>
      <c r="BE1194" s="1065"/>
      <c r="BF1194" s="1065"/>
      <c r="BG1194" s="1065"/>
    </row>
    <row r="1195" spans="4:59">
      <c r="D1195" s="1065"/>
      <c r="S1195" s="1065"/>
      <c r="BE1195" s="1065"/>
      <c r="BF1195" s="1065"/>
      <c r="BG1195" s="1065"/>
    </row>
    <row r="1196" spans="4:59">
      <c r="D1196" s="1065"/>
      <c r="S1196" s="1065"/>
      <c r="BE1196" s="1065"/>
      <c r="BF1196" s="1065"/>
      <c r="BG1196" s="1065"/>
    </row>
    <row r="1197" spans="4:59">
      <c r="D1197" s="1065"/>
      <c r="S1197" s="1065"/>
      <c r="BE1197" s="1065"/>
      <c r="BF1197" s="1065"/>
      <c r="BG1197" s="1065"/>
    </row>
    <row r="1198" spans="4:59">
      <c r="D1198" s="1065"/>
      <c r="S1198" s="1065"/>
      <c r="BE1198" s="1065"/>
      <c r="BF1198" s="1065"/>
      <c r="BG1198" s="1065"/>
    </row>
    <row r="1199" spans="4:59">
      <c r="D1199" s="1065"/>
      <c r="S1199" s="1065"/>
      <c r="BE1199" s="1065"/>
      <c r="BF1199" s="1065"/>
      <c r="BG1199" s="1065"/>
    </row>
    <row r="1200" spans="4:59">
      <c r="D1200" s="1065"/>
      <c r="S1200" s="1065"/>
      <c r="BE1200" s="1065"/>
      <c r="BF1200" s="1065"/>
      <c r="BG1200" s="1065"/>
    </row>
    <row r="1201" spans="4:59">
      <c r="D1201" s="1065"/>
      <c r="S1201" s="1065"/>
      <c r="BE1201" s="1065"/>
      <c r="BF1201" s="1065"/>
      <c r="BG1201" s="1065"/>
    </row>
    <row r="1202" spans="4:59">
      <c r="D1202" s="1065"/>
      <c r="S1202" s="1065"/>
      <c r="BE1202" s="1065"/>
      <c r="BF1202" s="1065"/>
      <c r="BG1202" s="1065"/>
    </row>
    <row r="1203" spans="4:59">
      <c r="D1203" s="1065"/>
      <c r="S1203" s="1065"/>
      <c r="BE1203" s="1065"/>
      <c r="BF1203" s="1065"/>
      <c r="BG1203" s="1065"/>
    </row>
    <row r="1204" spans="4:59">
      <c r="D1204" s="1065"/>
      <c r="S1204" s="1065"/>
      <c r="BE1204" s="1065"/>
      <c r="BF1204" s="1065"/>
      <c r="BG1204" s="1065"/>
    </row>
    <row r="1205" spans="4:59">
      <c r="D1205" s="1065"/>
      <c r="S1205" s="1065"/>
      <c r="BE1205" s="1065"/>
      <c r="BF1205" s="1065"/>
      <c r="BG1205" s="1065"/>
    </row>
    <row r="1206" spans="4:59">
      <c r="D1206" s="1065"/>
      <c r="S1206" s="1065"/>
      <c r="BE1206" s="1065"/>
      <c r="BF1206" s="1065"/>
      <c r="BG1206" s="1065"/>
    </row>
    <row r="1207" spans="4:59">
      <c r="D1207" s="1065"/>
      <c r="S1207" s="1065"/>
      <c r="BE1207" s="1065"/>
      <c r="BF1207" s="1065"/>
      <c r="BG1207" s="1065"/>
    </row>
    <row r="1208" spans="4:59">
      <c r="D1208" s="1065"/>
      <c r="S1208" s="1065"/>
      <c r="BE1208" s="1065"/>
      <c r="BF1208" s="1065"/>
      <c r="BG1208" s="1065"/>
    </row>
    <row r="1209" spans="4:59">
      <c r="D1209" s="1065"/>
      <c r="S1209" s="1065"/>
      <c r="BE1209" s="1065"/>
      <c r="BF1209" s="1065"/>
      <c r="BG1209" s="1065"/>
    </row>
    <row r="1210" spans="4:59">
      <c r="D1210" s="1065"/>
      <c r="S1210" s="1065"/>
      <c r="BE1210" s="1065"/>
      <c r="BF1210" s="1065"/>
      <c r="BG1210" s="1065"/>
    </row>
    <row r="1211" spans="4:59">
      <c r="D1211" s="1065"/>
      <c r="S1211" s="1065"/>
      <c r="BE1211" s="1065"/>
      <c r="BF1211" s="1065"/>
      <c r="BG1211" s="1065"/>
    </row>
    <row r="1212" spans="4:59">
      <c r="D1212" s="1065"/>
      <c r="S1212" s="1065"/>
      <c r="BE1212" s="1065"/>
      <c r="BF1212" s="1065"/>
      <c r="BG1212" s="1065"/>
    </row>
    <row r="1213" spans="4:59">
      <c r="D1213" s="1065"/>
      <c r="S1213" s="1065"/>
      <c r="BE1213" s="1065"/>
      <c r="BF1213" s="1065"/>
      <c r="BG1213" s="1065"/>
    </row>
    <row r="1214" spans="4:59">
      <c r="D1214" s="1065"/>
      <c r="S1214" s="1065"/>
      <c r="BE1214" s="1065"/>
      <c r="BF1214" s="1065"/>
      <c r="BG1214" s="1065"/>
    </row>
    <row r="1215" spans="4:59">
      <c r="D1215" s="1065"/>
      <c r="S1215" s="1065"/>
      <c r="BE1215" s="1065"/>
      <c r="BF1215" s="1065"/>
      <c r="BG1215" s="1065"/>
    </row>
    <row r="1216" spans="4:59">
      <c r="D1216" s="1065"/>
      <c r="S1216" s="1065"/>
      <c r="BE1216" s="1065"/>
      <c r="BF1216" s="1065"/>
      <c r="BG1216" s="1065"/>
    </row>
    <row r="1217" spans="4:59">
      <c r="D1217" s="1065"/>
      <c r="S1217" s="1065"/>
      <c r="BE1217" s="1065"/>
      <c r="BF1217" s="1065"/>
      <c r="BG1217" s="1065"/>
    </row>
    <row r="1218" spans="4:59">
      <c r="D1218" s="1065"/>
      <c r="S1218" s="1065"/>
      <c r="BE1218" s="1065"/>
      <c r="BF1218" s="1065"/>
      <c r="BG1218" s="1065"/>
    </row>
    <row r="1219" spans="4:59">
      <c r="D1219" s="1065"/>
      <c r="S1219" s="1065"/>
      <c r="BE1219" s="1065"/>
      <c r="BF1219" s="1065"/>
      <c r="BG1219" s="1065"/>
    </row>
    <row r="1220" spans="4:59">
      <c r="D1220" s="1065"/>
      <c r="S1220" s="1065"/>
      <c r="BE1220" s="1065"/>
      <c r="BF1220" s="1065"/>
      <c r="BG1220" s="1065"/>
    </row>
    <row r="1221" spans="4:59">
      <c r="D1221" s="1065"/>
      <c r="S1221" s="1065"/>
      <c r="BE1221" s="1065"/>
      <c r="BF1221" s="1065"/>
      <c r="BG1221" s="1065"/>
    </row>
    <row r="1222" spans="4:59">
      <c r="D1222" s="1065"/>
      <c r="S1222" s="1065"/>
      <c r="BE1222" s="1065"/>
      <c r="BF1222" s="1065"/>
      <c r="BG1222" s="1065"/>
    </row>
    <row r="1223" spans="4:59">
      <c r="D1223" s="1065"/>
      <c r="S1223" s="1065"/>
      <c r="BE1223" s="1065"/>
      <c r="BF1223" s="1065"/>
      <c r="BG1223" s="1065"/>
    </row>
    <row r="1224" spans="4:59">
      <c r="D1224" s="1065"/>
      <c r="S1224" s="1065"/>
      <c r="BE1224" s="1065"/>
      <c r="BF1224" s="1065"/>
      <c r="BG1224" s="1065"/>
    </row>
    <row r="1225" spans="4:59">
      <c r="D1225" s="1065"/>
      <c r="S1225" s="1065"/>
      <c r="BE1225" s="1065"/>
      <c r="BF1225" s="1065"/>
      <c r="BG1225" s="1065"/>
    </row>
    <row r="1226" spans="4:59">
      <c r="D1226" s="1065"/>
      <c r="S1226" s="1065"/>
      <c r="BE1226" s="1065"/>
      <c r="BF1226" s="1065"/>
      <c r="BG1226" s="1065"/>
    </row>
    <row r="1227" spans="4:59">
      <c r="D1227" s="1065"/>
      <c r="S1227" s="1065"/>
      <c r="BE1227" s="1065"/>
      <c r="BF1227" s="1065"/>
      <c r="BG1227" s="1065"/>
    </row>
    <row r="1228" spans="4:59">
      <c r="D1228" s="1065"/>
      <c r="S1228" s="1065"/>
      <c r="BE1228" s="1065"/>
      <c r="BF1228" s="1065"/>
      <c r="BG1228" s="1065"/>
    </row>
    <row r="1229" spans="4:59">
      <c r="D1229" s="1065"/>
      <c r="S1229" s="1065"/>
      <c r="BE1229" s="1065"/>
      <c r="BF1229" s="1065"/>
      <c r="BG1229" s="1065"/>
    </row>
    <row r="1230" spans="4:59">
      <c r="D1230" s="1065"/>
      <c r="S1230" s="1065"/>
      <c r="BE1230" s="1065"/>
      <c r="BF1230" s="1065"/>
      <c r="BG1230" s="1065"/>
    </row>
    <row r="1231" spans="4:59">
      <c r="D1231" s="1065"/>
      <c r="S1231" s="1065"/>
      <c r="BE1231" s="1065"/>
      <c r="BF1231" s="1065"/>
      <c r="BG1231" s="1065"/>
    </row>
    <row r="1232" spans="4:59">
      <c r="D1232" s="1065"/>
      <c r="S1232" s="1065"/>
      <c r="BE1232" s="1065"/>
      <c r="BF1232" s="1065"/>
      <c r="BG1232" s="1065"/>
    </row>
    <row r="1233" spans="4:59">
      <c r="D1233" s="1065"/>
      <c r="S1233" s="1065"/>
      <c r="BE1233" s="1065"/>
      <c r="BF1233" s="1065"/>
      <c r="BG1233" s="1065"/>
    </row>
    <row r="1234" spans="4:59">
      <c r="D1234" s="1065"/>
      <c r="S1234" s="1065"/>
      <c r="BE1234" s="1065"/>
      <c r="BF1234" s="1065"/>
      <c r="BG1234" s="1065"/>
    </row>
    <row r="1235" spans="4:59">
      <c r="D1235" s="1065"/>
      <c r="S1235" s="1065"/>
      <c r="BE1235" s="1065"/>
      <c r="BF1235" s="1065"/>
      <c r="BG1235" s="1065"/>
    </row>
    <row r="1236" spans="4:59">
      <c r="D1236" s="1065"/>
      <c r="S1236" s="1065"/>
      <c r="BE1236" s="1065"/>
      <c r="BF1236" s="1065"/>
      <c r="BG1236" s="1065"/>
    </row>
    <row r="1237" spans="4:59">
      <c r="D1237" s="1065"/>
      <c r="S1237" s="1065"/>
      <c r="BE1237" s="1065"/>
      <c r="BF1237" s="1065"/>
      <c r="BG1237" s="1065"/>
    </row>
    <row r="1238" spans="4:59">
      <c r="D1238" s="1065"/>
      <c r="S1238" s="1065"/>
      <c r="BE1238" s="1065"/>
      <c r="BF1238" s="1065"/>
      <c r="BG1238" s="1065"/>
    </row>
    <row r="1239" spans="4:59">
      <c r="D1239" s="1065"/>
      <c r="S1239" s="1065"/>
      <c r="BE1239" s="1065"/>
      <c r="BF1239" s="1065"/>
      <c r="BG1239" s="1065"/>
    </row>
    <row r="1240" spans="4:59">
      <c r="D1240" s="1065"/>
      <c r="S1240" s="1065"/>
      <c r="BE1240" s="1065"/>
      <c r="BF1240" s="1065"/>
      <c r="BG1240" s="1065"/>
    </row>
    <row r="1241" spans="4:59">
      <c r="D1241" s="1065"/>
      <c r="S1241" s="1065"/>
      <c r="BE1241" s="1065"/>
      <c r="BF1241" s="1065"/>
      <c r="BG1241" s="1065"/>
    </row>
    <row r="1242" spans="4:59">
      <c r="D1242" s="1065"/>
      <c r="S1242" s="1065"/>
      <c r="BE1242" s="1065"/>
      <c r="BF1242" s="1065"/>
      <c r="BG1242" s="1065"/>
    </row>
    <row r="1243" spans="4:59">
      <c r="D1243" s="1065"/>
      <c r="S1243" s="1065"/>
      <c r="BE1243" s="1065"/>
      <c r="BF1243" s="1065"/>
      <c r="BG1243" s="1065"/>
    </row>
    <row r="1244" spans="4:59">
      <c r="D1244" s="1065"/>
      <c r="S1244" s="1065"/>
      <c r="BE1244" s="1065"/>
      <c r="BF1244" s="1065"/>
      <c r="BG1244" s="1065"/>
    </row>
    <row r="1245" spans="4:59">
      <c r="D1245" s="1065"/>
      <c r="S1245" s="1065"/>
      <c r="BE1245" s="1065"/>
      <c r="BF1245" s="1065"/>
      <c r="BG1245" s="1065"/>
    </row>
    <row r="1246" spans="4:59">
      <c r="D1246" s="1065"/>
      <c r="S1246" s="1065"/>
      <c r="BE1246" s="1065"/>
      <c r="BF1246" s="1065"/>
      <c r="BG1246" s="1065"/>
    </row>
    <row r="1247" spans="4:59">
      <c r="D1247" s="1065"/>
      <c r="S1247" s="1065"/>
      <c r="BE1247" s="1065"/>
      <c r="BF1247" s="1065"/>
      <c r="BG1247" s="1065"/>
    </row>
    <row r="1248" spans="4:59">
      <c r="D1248" s="1065"/>
      <c r="S1248" s="1065"/>
      <c r="BE1248" s="1065"/>
      <c r="BF1248" s="1065"/>
      <c r="BG1248" s="1065"/>
    </row>
    <row r="1249" spans="4:59">
      <c r="D1249" s="1065"/>
      <c r="S1249" s="1065"/>
      <c r="BE1249" s="1065"/>
      <c r="BF1249" s="1065"/>
      <c r="BG1249" s="1065"/>
    </row>
    <row r="1250" spans="4:59">
      <c r="D1250" s="1065"/>
      <c r="S1250" s="1065"/>
      <c r="BE1250" s="1065"/>
      <c r="BF1250" s="1065"/>
      <c r="BG1250" s="1065"/>
    </row>
    <row r="1251" spans="4:59">
      <c r="D1251" s="1065"/>
      <c r="S1251" s="1065"/>
      <c r="BE1251" s="1065"/>
      <c r="BF1251" s="1065"/>
      <c r="BG1251" s="1065"/>
    </row>
    <row r="1252" spans="4:59">
      <c r="D1252" s="1065"/>
      <c r="S1252" s="1065"/>
      <c r="BE1252" s="1065"/>
      <c r="BF1252" s="1065"/>
      <c r="BG1252" s="1065"/>
    </row>
    <row r="1253" spans="4:59">
      <c r="D1253" s="1065"/>
      <c r="S1253" s="1065"/>
      <c r="BE1253" s="1065"/>
      <c r="BF1253" s="1065"/>
      <c r="BG1253" s="1065"/>
    </row>
    <row r="1254" spans="4:59">
      <c r="D1254" s="1065"/>
      <c r="S1254" s="1065"/>
      <c r="BE1254" s="1065"/>
      <c r="BF1254" s="1065"/>
      <c r="BG1254" s="1065"/>
    </row>
    <row r="1255" spans="4:59">
      <c r="D1255" s="1065"/>
      <c r="S1255" s="1065"/>
      <c r="BE1255" s="1065"/>
      <c r="BF1255" s="1065"/>
      <c r="BG1255" s="1065"/>
    </row>
    <row r="1256" spans="4:59">
      <c r="D1256" s="1065"/>
      <c r="S1256" s="1065"/>
      <c r="BE1256" s="1065"/>
      <c r="BF1256" s="1065"/>
      <c r="BG1256" s="1065"/>
    </row>
    <row r="1257" spans="4:59">
      <c r="D1257" s="1065"/>
      <c r="S1257" s="1065"/>
      <c r="BE1257" s="1065"/>
      <c r="BF1257" s="1065"/>
      <c r="BG1257" s="1065"/>
    </row>
    <row r="1258" spans="4:59">
      <c r="D1258" s="1065"/>
      <c r="S1258" s="1065"/>
      <c r="BE1258" s="1065"/>
      <c r="BF1258" s="1065"/>
      <c r="BG1258" s="1065"/>
    </row>
    <row r="1259" spans="4:59">
      <c r="D1259" s="1065"/>
      <c r="S1259" s="1065"/>
      <c r="BE1259" s="1065"/>
      <c r="BF1259" s="1065"/>
      <c r="BG1259" s="1065"/>
    </row>
    <row r="1260" spans="4:59">
      <c r="D1260" s="1065"/>
      <c r="S1260" s="1065"/>
      <c r="BE1260" s="1065"/>
      <c r="BF1260" s="1065"/>
      <c r="BG1260" s="1065"/>
    </row>
    <row r="1261" spans="4:59">
      <c r="D1261" s="1065"/>
      <c r="S1261" s="1065"/>
      <c r="BE1261" s="1065"/>
      <c r="BF1261" s="1065"/>
      <c r="BG1261" s="1065"/>
    </row>
    <row r="1262" spans="4:59">
      <c r="D1262" s="1065"/>
      <c r="S1262" s="1065"/>
      <c r="BE1262" s="1065"/>
      <c r="BF1262" s="1065"/>
      <c r="BG1262" s="1065"/>
    </row>
    <row r="1263" spans="4:59">
      <c r="D1263" s="1065"/>
      <c r="S1263" s="1065"/>
      <c r="BE1263" s="1065"/>
      <c r="BF1263" s="1065"/>
      <c r="BG1263" s="1065"/>
    </row>
    <row r="1264" spans="4:59">
      <c r="D1264" s="1065"/>
      <c r="S1264" s="1065"/>
      <c r="BE1264" s="1065"/>
      <c r="BF1264" s="1065"/>
      <c r="BG1264" s="1065"/>
    </row>
    <row r="1265" spans="4:59">
      <c r="D1265" s="1065"/>
      <c r="S1265" s="1065"/>
      <c r="BE1265" s="1065"/>
      <c r="BF1265" s="1065"/>
      <c r="BG1265" s="1065"/>
    </row>
    <row r="1266" spans="4:59">
      <c r="D1266" s="1065"/>
      <c r="S1266" s="1065"/>
      <c r="BE1266" s="1065"/>
      <c r="BF1266" s="1065"/>
      <c r="BG1266" s="1065"/>
    </row>
    <row r="1267" spans="4:59">
      <c r="D1267" s="1065"/>
      <c r="S1267" s="1065"/>
      <c r="BE1267" s="1065"/>
      <c r="BF1267" s="1065"/>
      <c r="BG1267" s="1065"/>
    </row>
    <row r="1268" spans="4:59">
      <c r="D1268" s="1065"/>
      <c r="S1268" s="1065"/>
      <c r="BE1268" s="1065"/>
      <c r="BF1268" s="1065"/>
      <c r="BG1268" s="1065"/>
    </row>
    <row r="1269" spans="4:59">
      <c r="D1269" s="1065"/>
      <c r="S1269" s="1065"/>
      <c r="BE1269" s="1065"/>
      <c r="BF1269" s="1065"/>
      <c r="BG1269" s="1065"/>
    </row>
    <row r="1270" spans="4:59">
      <c r="D1270" s="1065"/>
      <c r="S1270" s="1065"/>
      <c r="BE1270" s="1065"/>
      <c r="BF1270" s="1065"/>
      <c r="BG1270" s="1065"/>
    </row>
    <row r="1271" spans="4:59">
      <c r="D1271" s="1065"/>
      <c r="S1271" s="1065"/>
      <c r="BE1271" s="1065"/>
      <c r="BF1271" s="1065"/>
      <c r="BG1271" s="1065"/>
    </row>
    <row r="1272" spans="4:59">
      <c r="D1272" s="1065"/>
      <c r="S1272" s="1065"/>
      <c r="BE1272" s="1065"/>
      <c r="BF1272" s="1065"/>
      <c r="BG1272" s="1065"/>
    </row>
    <row r="1273" spans="4:59">
      <c r="D1273" s="1065"/>
      <c r="S1273" s="1065"/>
      <c r="BE1273" s="1065"/>
      <c r="BF1273" s="1065"/>
      <c r="BG1273" s="1065"/>
    </row>
    <row r="1274" spans="4:59">
      <c r="D1274" s="1065"/>
      <c r="S1274" s="1065"/>
      <c r="BE1274" s="1065"/>
      <c r="BF1274" s="1065"/>
      <c r="BG1274" s="1065"/>
    </row>
    <row r="1275" spans="4:59">
      <c r="D1275" s="1065"/>
      <c r="S1275" s="1065"/>
      <c r="BE1275" s="1065"/>
      <c r="BF1275" s="1065"/>
      <c r="BG1275" s="1065"/>
    </row>
    <row r="1276" spans="4:59">
      <c r="D1276" s="1065"/>
      <c r="S1276" s="1065"/>
      <c r="BE1276" s="1065"/>
      <c r="BF1276" s="1065"/>
      <c r="BG1276" s="1065"/>
    </row>
    <row r="1277" spans="4:59">
      <c r="D1277" s="1065"/>
      <c r="S1277" s="1065"/>
      <c r="BE1277" s="1065"/>
      <c r="BF1277" s="1065"/>
      <c r="BG1277" s="1065"/>
    </row>
    <row r="1278" spans="4:59">
      <c r="D1278" s="1065"/>
      <c r="S1278" s="1065"/>
      <c r="BE1278" s="1065"/>
      <c r="BF1278" s="1065"/>
      <c r="BG1278" s="1065"/>
    </row>
    <row r="1279" spans="4:59">
      <c r="D1279" s="1065"/>
      <c r="S1279" s="1065"/>
      <c r="BE1279" s="1065"/>
      <c r="BF1279" s="1065"/>
      <c r="BG1279" s="1065"/>
    </row>
    <row r="1280" spans="4:59">
      <c r="D1280" s="1065"/>
      <c r="S1280" s="1065"/>
      <c r="BE1280" s="1065"/>
      <c r="BF1280" s="1065"/>
      <c r="BG1280" s="1065"/>
    </row>
    <row r="1281" spans="4:59">
      <c r="D1281" s="1065"/>
      <c r="S1281" s="1065"/>
      <c r="BE1281" s="1065"/>
      <c r="BF1281" s="1065"/>
      <c r="BG1281" s="1065"/>
    </row>
    <row r="1282" spans="4:59">
      <c r="D1282" s="1065"/>
      <c r="S1282" s="1065"/>
      <c r="BE1282" s="1065"/>
      <c r="BF1282" s="1065"/>
      <c r="BG1282" s="1065"/>
    </row>
    <row r="1283" spans="4:59">
      <c r="D1283" s="1065"/>
      <c r="S1283" s="1065"/>
      <c r="BE1283" s="1065"/>
      <c r="BF1283" s="1065"/>
      <c r="BG1283" s="1065"/>
    </row>
    <row r="1284" spans="4:59">
      <c r="D1284" s="1065"/>
      <c r="S1284" s="1065"/>
      <c r="BE1284" s="1065"/>
      <c r="BF1284" s="1065"/>
      <c r="BG1284" s="1065"/>
    </row>
    <row r="1285" spans="4:59">
      <c r="D1285" s="1065"/>
      <c r="S1285" s="1065"/>
      <c r="BE1285" s="1065"/>
      <c r="BF1285" s="1065"/>
      <c r="BG1285" s="1065"/>
    </row>
    <row r="1286" spans="4:59">
      <c r="D1286" s="1065"/>
      <c r="S1286" s="1065"/>
      <c r="BE1286" s="1065"/>
      <c r="BF1286" s="1065"/>
      <c r="BG1286" s="1065"/>
    </row>
    <row r="1287" spans="4:59">
      <c r="D1287" s="1065"/>
      <c r="S1287" s="1065"/>
      <c r="BE1287" s="1065"/>
      <c r="BF1287" s="1065"/>
      <c r="BG1287" s="1065"/>
    </row>
    <row r="1288" spans="4:59">
      <c r="D1288" s="1065"/>
      <c r="S1288" s="1065"/>
      <c r="BE1288" s="1065"/>
      <c r="BF1288" s="1065"/>
      <c r="BG1288" s="1065"/>
    </row>
    <row r="1289" spans="4:59">
      <c r="D1289" s="1065"/>
      <c r="S1289" s="1065"/>
      <c r="BE1289" s="1065"/>
      <c r="BF1289" s="1065"/>
      <c r="BG1289" s="1065"/>
    </row>
    <row r="1290" spans="4:59">
      <c r="D1290" s="1065"/>
      <c r="S1290" s="1065"/>
      <c r="BE1290" s="1065"/>
      <c r="BF1290" s="1065"/>
      <c r="BG1290" s="1065"/>
    </row>
    <row r="1291" spans="4:59">
      <c r="D1291" s="1065"/>
      <c r="S1291" s="1065"/>
      <c r="BE1291" s="1065"/>
      <c r="BF1291" s="1065"/>
      <c r="BG1291" s="1065"/>
    </row>
    <row r="1292" spans="4:59">
      <c r="D1292" s="1065"/>
      <c r="S1292" s="1065"/>
      <c r="BE1292" s="1065"/>
      <c r="BF1292" s="1065"/>
      <c r="BG1292" s="1065"/>
    </row>
    <row r="1293" spans="4:59">
      <c r="D1293" s="1065"/>
      <c r="S1293" s="1065"/>
      <c r="BE1293" s="1065"/>
      <c r="BF1293" s="1065"/>
      <c r="BG1293" s="1065"/>
    </row>
    <row r="1294" spans="4:59">
      <c r="D1294" s="1065"/>
      <c r="S1294" s="1065"/>
      <c r="BE1294" s="1065"/>
      <c r="BF1294" s="1065"/>
      <c r="BG1294" s="1065"/>
    </row>
    <row r="1295" spans="4:59">
      <c r="D1295" s="1065"/>
      <c r="S1295" s="1065"/>
      <c r="BE1295" s="1065"/>
      <c r="BF1295" s="1065"/>
      <c r="BG1295" s="1065"/>
    </row>
    <row r="1296" spans="4:59">
      <c r="D1296" s="1065"/>
      <c r="S1296" s="1065"/>
      <c r="BE1296" s="1065"/>
      <c r="BF1296" s="1065"/>
      <c r="BG1296" s="1065"/>
    </row>
    <row r="1297" spans="4:59">
      <c r="D1297" s="1065"/>
      <c r="S1297" s="1065"/>
      <c r="BE1297" s="1065"/>
      <c r="BF1297" s="1065"/>
      <c r="BG1297" s="1065"/>
    </row>
    <row r="1298" spans="4:59">
      <c r="D1298" s="1065"/>
      <c r="S1298" s="1065"/>
      <c r="BE1298" s="1065"/>
      <c r="BF1298" s="1065"/>
      <c r="BG1298" s="1065"/>
    </row>
    <row r="1299" spans="4:59">
      <c r="D1299" s="1065"/>
      <c r="S1299" s="1065"/>
      <c r="BE1299" s="1065"/>
      <c r="BF1299" s="1065"/>
      <c r="BG1299" s="1065"/>
    </row>
    <row r="1300" spans="4:59">
      <c r="D1300" s="1065"/>
      <c r="S1300" s="1065"/>
      <c r="BE1300" s="1065"/>
      <c r="BF1300" s="1065"/>
      <c r="BG1300" s="1065"/>
    </row>
    <row r="1301" spans="4:59">
      <c r="D1301" s="1065"/>
      <c r="S1301" s="1065"/>
      <c r="BE1301" s="1065"/>
      <c r="BF1301" s="1065"/>
      <c r="BG1301" s="1065"/>
    </row>
    <row r="1302" spans="4:59">
      <c r="D1302" s="1065"/>
      <c r="S1302" s="1065"/>
      <c r="BE1302" s="1065"/>
      <c r="BF1302" s="1065"/>
      <c r="BG1302" s="1065"/>
    </row>
    <row r="1303" spans="4:59">
      <c r="D1303" s="1065"/>
      <c r="S1303" s="1065"/>
      <c r="BE1303" s="1065"/>
      <c r="BF1303" s="1065"/>
      <c r="BG1303" s="1065"/>
    </row>
    <row r="1304" spans="4:59">
      <c r="D1304" s="1065"/>
      <c r="S1304" s="1065"/>
      <c r="BE1304" s="1065"/>
      <c r="BF1304" s="1065"/>
      <c r="BG1304" s="1065"/>
    </row>
    <row r="1305" spans="4:59">
      <c r="D1305" s="1065"/>
      <c r="S1305" s="1065"/>
      <c r="BE1305" s="1065"/>
      <c r="BF1305" s="1065"/>
      <c r="BG1305" s="1065"/>
    </row>
    <row r="1306" spans="4:59">
      <c r="D1306" s="1065"/>
      <c r="S1306" s="1065"/>
      <c r="BE1306" s="1065"/>
      <c r="BF1306" s="1065"/>
      <c r="BG1306" s="1065"/>
    </row>
    <row r="1307" spans="4:59">
      <c r="D1307" s="1065"/>
      <c r="S1307" s="1065"/>
      <c r="BE1307" s="1065"/>
      <c r="BF1307" s="1065"/>
      <c r="BG1307" s="1065"/>
    </row>
    <row r="1308" spans="4:59">
      <c r="D1308" s="1065"/>
      <c r="S1308" s="1065"/>
      <c r="BE1308" s="1065"/>
      <c r="BF1308" s="1065"/>
      <c r="BG1308" s="1065"/>
    </row>
    <row r="1309" spans="4:59">
      <c r="D1309" s="1065"/>
      <c r="S1309" s="1065"/>
      <c r="BE1309" s="1065"/>
      <c r="BF1309" s="1065"/>
      <c r="BG1309" s="1065"/>
    </row>
    <row r="1310" spans="4:59">
      <c r="D1310" s="1065"/>
      <c r="S1310" s="1065"/>
      <c r="BE1310" s="1065"/>
      <c r="BF1310" s="1065"/>
      <c r="BG1310" s="1065"/>
    </row>
    <row r="1311" spans="4:59">
      <c r="D1311" s="1065"/>
      <c r="S1311" s="1065"/>
      <c r="BE1311" s="1065"/>
      <c r="BF1311" s="1065"/>
      <c r="BG1311" s="1065"/>
    </row>
    <row r="1312" spans="4:59">
      <c r="D1312" s="1065"/>
      <c r="S1312" s="1065"/>
      <c r="BE1312" s="1065"/>
      <c r="BF1312" s="1065"/>
      <c r="BG1312" s="1065"/>
    </row>
    <row r="1313" spans="4:59">
      <c r="D1313" s="1065"/>
      <c r="S1313" s="1065"/>
      <c r="BE1313" s="1065"/>
      <c r="BF1313" s="1065"/>
      <c r="BG1313" s="1065"/>
    </row>
    <row r="1314" spans="4:59">
      <c r="D1314" s="1065"/>
      <c r="S1314" s="1065"/>
      <c r="BE1314" s="1065"/>
      <c r="BF1314" s="1065"/>
      <c r="BG1314" s="1065"/>
    </row>
    <row r="1315" spans="4:59">
      <c r="D1315" s="1065"/>
      <c r="S1315" s="1065"/>
      <c r="BE1315" s="1065"/>
      <c r="BF1315" s="1065"/>
      <c r="BG1315" s="1065"/>
    </row>
    <row r="1316" spans="4:59">
      <c r="D1316" s="1065"/>
      <c r="S1316" s="1065"/>
      <c r="BE1316" s="1065"/>
      <c r="BF1316" s="1065"/>
      <c r="BG1316" s="1065"/>
    </row>
    <row r="1317" spans="4:59">
      <c r="D1317" s="1065"/>
      <c r="S1317" s="1065"/>
      <c r="BE1317" s="1065"/>
      <c r="BF1317" s="1065"/>
      <c r="BG1317" s="1065"/>
    </row>
    <row r="1318" spans="4:59">
      <c r="D1318" s="1065"/>
      <c r="S1318" s="1065"/>
      <c r="BE1318" s="1065"/>
      <c r="BF1318" s="1065"/>
      <c r="BG1318" s="1065"/>
    </row>
    <row r="1319" spans="4:59">
      <c r="D1319" s="1065"/>
      <c r="S1319" s="1065"/>
      <c r="BE1319" s="1065"/>
      <c r="BF1319" s="1065"/>
      <c r="BG1319" s="1065"/>
    </row>
    <row r="1320" spans="4:59">
      <c r="D1320" s="1065"/>
      <c r="S1320" s="1065"/>
      <c r="BE1320" s="1065"/>
      <c r="BF1320" s="1065"/>
      <c r="BG1320" s="1065"/>
    </row>
    <row r="1321" spans="4:59">
      <c r="D1321" s="1065"/>
      <c r="S1321" s="1065"/>
      <c r="BE1321" s="1065"/>
      <c r="BF1321" s="1065"/>
      <c r="BG1321" s="1065"/>
    </row>
    <row r="1322" spans="4:59">
      <c r="D1322" s="1065"/>
      <c r="S1322" s="1065"/>
      <c r="BE1322" s="1065"/>
      <c r="BF1322" s="1065"/>
      <c r="BG1322" s="1065"/>
    </row>
    <row r="1323" spans="4:59">
      <c r="D1323" s="1065"/>
      <c r="S1323" s="1065"/>
      <c r="BE1323" s="1065"/>
      <c r="BF1323" s="1065"/>
      <c r="BG1323" s="1065"/>
    </row>
    <row r="1324" spans="4:59">
      <c r="D1324" s="1065"/>
      <c r="S1324" s="1065"/>
      <c r="BE1324" s="1065"/>
      <c r="BF1324" s="1065"/>
      <c r="BG1324" s="1065"/>
    </row>
    <row r="1325" spans="4:59">
      <c r="D1325" s="1065"/>
      <c r="S1325" s="1065"/>
      <c r="BE1325" s="1065"/>
      <c r="BF1325" s="1065"/>
      <c r="BG1325" s="1065"/>
    </row>
    <row r="1326" spans="4:59">
      <c r="D1326" s="1065"/>
      <c r="S1326" s="1065"/>
      <c r="BE1326" s="1065"/>
      <c r="BF1326" s="1065"/>
      <c r="BG1326" s="1065"/>
    </row>
    <row r="1327" spans="4:59">
      <c r="D1327" s="1065"/>
      <c r="S1327" s="1065"/>
      <c r="BE1327" s="1065"/>
      <c r="BF1327" s="1065"/>
      <c r="BG1327" s="1065"/>
    </row>
    <row r="1328" spans="4:59">
      <c r="D1328" s="1065"/>
      <c r="S1328" s="1065"/>
      <c r="BE1328" s="1065"/>
      <c r="BF1328" s="1065"/>
      <c r="BG1328" s="1065"/>
    </row>
    <row r="1329" spans="4:59">
      <c r="D1329" s="1065"/>
      <c r="S1329" s="1065"/>
      <c r="BE1329" s="1065"/>
      <c r="BF1329" s="1065"/>
      <c r="BG1329" s="1065"/>
    </row>
    <row r="1330" spans="4:59">
      <c r="D1330" s="1065"/>
      <c r="S1330" s="1065"/>
      <c r="BE1330" s="1065"/>
      <c r="BF1330" s="1065"/>
      <c r="BG1330" s="1065"/>
    </row>
    <row r="1331" spans="4:59">
      <c r="D1331" s="1065"/>
      <c r="S1331" s="1065"/>
      <c r="BE1331" s="1065"/>
      <c r="BF1331" s="1065"/>
      <c r="BG1331" s="1065"/>
    </row>
    <row r="1332" spans="4:59">
      <c r="D1332" s="1065"/>
      <c r="S1332" s="1065"/>
      <c r="BE1332" s="1065"/>
      <c r="BF1332" s="1065"/>
      <c r="BG1332" s="1065"/>
    </row>
    <row r="1333" spans="4:59">
      <c r="D1333" s="1065"/>
      <c r="S1333" s="1065"/>
      <c r="BE1333" s="1065"/>
      <c r="BF1333" s="1065"/>
      <c r="BG1333" s="1065"/>
    </row>
    <row r="1334" spans="4:59">
      <c r="D1334" s="1065"/>
      <c r="S1334" s="1065"/>
      <c r="BE1334" s="1065"/>
      <c r="BF1334" s="1065"/>
      <c r="BG1334" s="1065"/>
    </row>
    <row r="1335" spans="4:59">
      <c r="D1335" s="1065"/>
      <c r="S1335" s="1065"/>
      <c r="BE1335" s="1065"/>
      <c r="BF1335" s="1065"/>
      <c r="BG1335" s="1065"/>
    </row>
    <row r="1336" spans="4:59">
      <c r="D1336" s="1065"/>
      <c r="S1336" s="1065"/>
      <c r="BE1336" s="1065"/>
      <c r="BF1336" s="1065"/>
      <c r="BG1336" s="1065"/>
    </row>
    <row r="1337" spans="4:59">
      <c r="D1337" s="1065"/>
      <c r="S1337" s="1065"/>
      <c r="BE1337" s="1065"/>
      <c r="BF1337" s="1065"/>
      <c r="BG1337" s="1065"/>
    </row>
    <row r="1338" spans="4:59">
      <c r="D1338" s="1065"/>
      <c r="S1338" s="1065"/>
      <c r="BE1338" s="1065"/>
      <c r="BF1338" s="1065"/>
      <c r="BG1338" s="1065"/>
    </row>
    <row r="1339" spans="4:59">
      <c r="D1339" s="1065"/>
      <c r="S1339" s="1065"/>
      <c r="BE1339" s="1065"/>
      <c r="BF1339" s="1065"/>
      <c r="BG1339" s="1065"/>
    </row>
    <row r="1340" spans="4:59">
      <c r="D1340" s="1065"/>
      <c r="S1340" s="1065"/>
      <c r="BE1340" s="1065"/>
      <c r="BF1340" s="1065"/>
      <c r="BG1340" s="1065"/>
    </row>
    <row r="1341" spans="4:59">
      <c r="D1341" s="1065"/>
      <c r="S1341" s="1065"/>
      <c r="BE1341" s="1065"/>
      <c r="BF1341" s="1065"/>
      <c r="BG1341" s="1065"/>
    </row>
    <row r="1342" spans="4:59">
      <c r="D1342" s="1065"/>
      <c r="S1342" s="1065"/>
      <c r="BE1342" s="1065"/>
      <c r="BF1342" s="1065"/>
      <c r="BG1342" s="1065"/>
    </row>
    <row r="1343" spans="4:59">
      <c r="D1343" s="1065"/>
      <c r="S1343" s="1065"/>
      <c r="BE1343" s="1065"/>
      <c r="BF1343" s="1065"/>
      <c r="BG1343" s="1065"/>
    </row>
    <row r="1344" spans="4:59">
      <c r="D1344" s="1065"/>
      <c r="S1344" s="1065"/>
      <c r="BE1344" s="1065"/>
      <c r="BF1344" s="1065"/>
      <c r="BG1344" s="1065"/>
    </row>
    <row r="1345" spans="4:59">
      <c r="D1345" s="1065"/>
      <c r="S1345" s="1065"/>
      <c r="BE1345" s="1065"/>
      <c r="BF1345" s="1065"/>
      <c r="BG1345" s="1065"/>
    </row>
    <row r="1346" spans="4:59">
      <c r="D1346" s="1065"/>
      <c r="S1346" s="1065"/>
      <c r="BE1346" s="1065"/>
      <c r="BF1346" s="1065"/>
      <c r="BG1346" s="1065"/>
    </row>
    <row r="1347" spans="4:59">
      <c r="D1347" s="1065"/>
      <c r="S1347" s="1065"/>
      <c r="BE1347" s="1065"/>
      <c r="BF1347" s="1065"/>
      <c r="BG1347" s="1065"/>
    </row>
    <row r="1348" spans="4:59">
      <c r="D1348" s="1065"/>
      <c r="S1348" s="1065"/>
      <c r="BE1348" s="1065"/>
      <c r="BF1348" s="1065"/>
      <c r="BG1348" s="1065"/>
    </row>
    <row r="1349" spans="4:59">
      <c r="D1349" s="1065"/>
      <c r="S1349" s="1065"/>
      <c r="BE1349" s="1065"/>
      <c r="BF1349" s="1065"/>
      <c r="BG1349" s="1065"/>
    </row>
    <row r="1350" spans="4:59">
      <c r="D1350" s="1065"/>
      <c r="S1350" s="1065"/>
      <c r="BE1350" s="1065"/>
      <c r="BF1350" s="1065"/>
      <c r="BG1350" s="1065"/>
    </row>
    <row r="1351" spans="4:59">
      <c r="D1351" s="1065"/>
      <c r="S1351" s="1065"/>
      <c r="BE1351" s="1065"/>
      <c r="BF1351" s="1065"/>
      <c r="BG1351" s="1065"/>
    </row>
    <row r="1352" spans="4:59">
      <c r="D1352" s="1065"/>
      <c r="S1352" s="1065"/>
      <c r="BE1352" s="1065"/>
      <c r="BF1352" s="1065"/>
      <c r="BG1352" s="1065"/>
    </row>
    <row r="1353" spans="4:59">
      <c r="D1353" s="1065"/>
      <c r="S1353" s="1065"/>
      <c r="BE1353" s="1065"/>
      <c r="BF1353" s="1065"/>
      <c r="BG1353" s="1065"/>
    </row>
    <row r="1354" spans="4:59">
      <c r="D1354" s="1065"/>
      <c r="S1354" s="1065"/>
      <c r="BE1354" s="1065"/>
      <c r="BF1354" s="1065"/>
      <c r="BG1354" s="1065"/>
    </row>
    <row r="1355" spans="4:59">
      <c r="D1355" s="1065"/>
      <c r="S1355" s="1065"/>
      <c r="BE1355" s="1065"/>
      <c r="BF1355" s="1065"/>
      <c r="BG1355" s="1065"/>
    </row>
    <row r="1356" spans="4:59">
      <c r="D1356" s="1065"/>
      <c r="S1356" s="1065"/>
      <c r="BE1356" s="1065"/>
      <c r="BF1356" s="1065"/>
      <c r="BG1356" s="1065"/>
    </row>
    <row r="1357" spans="4:59">
      <c r="D1357" s="1065"/>
      <c r="S1357" s="1065"/>
      <c r="BE1357" s="1065"/>
      <c r="BF1357" s="1065"/>
      <c r="BG1357" s="1065"/>
    </row>
    <row r="1358" spans="4:59">
      <c r="D1358" s="1065"/>
      <c r="S1358" s="1065"/>
      <c r="BE1358" s="1065"/>
      <c r="BF1358" s="1065"/>
      <c r="BG1358" s="1065"/>
    </row>
    <row r="1359" spans="4:59">
      <c r="D1359" s="1065"/>
      <c r="S1359" s="1065"/>
      <c r="BE1359" s="1065"/>
      <c r="BF1359" s="1065"/>
      <c r="BG1359" s="1065"/>
    </row>
    <row r="1360" spans="4:59">
      <c r="D1360" s="1065"/>
      <c r="S1360" s="1065"/>
      <c r="BE1360" s="1065"/>
      <c r="BF1360" s="1065"/>
      <c r="BG1360" s="1065"/>
    </row>
    <row r="1361" spans="4:59">
      <c r="D1361" s="1065"/>
      <c r="S1361" s="1065"/>
      <c r="BE1361" s="1065"/>
      <c r="BF1361" s="1065"/>
      <c r="BG1361" s="1065"/>
    </row>
    <row r="1362" spans="4:59">
      <c r="D1362" s="1065"/>
      <c r="S1362" s="1065"/>
      <c r="BE1362" s="1065"/>
      <c r="BF1362" s="1065"/>
      <c r="BG1362" s="1065"/>
    </row>
    <row r="1363" spans="4:59">
      <c r="D1363" s="1065"/>
      <c r="S1363" s="1065"/>
      <c r="BE1363" s="1065"/>
      <c r="BF1363" s="1065"/>
      <c r="BG1363" s="1065"/>
    </row>
    <row r="1364" spans="4:59">
      <c r="D1364" s="1065"/>
      <c r="S1364" s="1065"/>
      <c r="BE1364" s="1065"/>
      <c r="BF1364" s="1065"/>
      <c r="BG1364" s="1065"/>
    </row>
    <row r="1365" spans="4:59">
      <c r="D1365" s="1065"/>
      <c r="S1365" s="1065"/>
      <c r="BE1365" s="1065"/>
      <c r="BF1365" s="1065"/>
      <c r="BG1365" s="1065"/>
    </row>
    <row r="1366" spans="4:59">
      <c r="D1366" s="1065"/>
      <c r="S1366" s="1065"/>
      <c r="BE1366" s="1065"/>
      <c r="BF1366" s="1065"/>
      <c r="BG1366" s="1065"/>
    </row>
    <row r="1367" spans="4:59">
      <c r="D1367" s="1065"/>
      <c r="S1367" s="1065"/>
      <c r="BE1367" s="1065"/>
      <c r="BF1367" s="1065"/>
      <c r="BG1367" s="1065"/>
    </row>
    <row r="1368" spans="4:59">
      <c r="D1368" s="1065"/>
      <c r="S1368" s="1065"/>
      <c r="BE1368" s="1065"/>
      <c r="BF1368" s="1065"/>
      <c r="BG1368" s="1065"/>
    </row>
    <row r="1369" spans="4:59">
      <c r="D1369" s="1065"/>
      <c r="S1369" s="1065"/>
      <c r="BE1369" s="1065"/>
      <c r="BF1369" s="1065"/>
      <c r="BG1369" s="1065"/>
    </row>
    <row r="1370" spans="4:59">
      <c r="D1370" s="1065"/>
      <c r="S1370" s="1065"/>
      <c r="BE1370" s="1065"/>
      <c r="BF1370" s="1065"/>
      <c r="BG1370" s="1065"/>
    </row>
    <row r="1371" spans="4:59">
      <c r="D1371" s="1065"/>
      <c r="S1371" s="1065"/>
      <c r="BE1371" s="1065"/>
      <c r="BF1371" s="1065"/>
      <c r="BG1371" s="1065"/>
    </row>
    <row r="1372" spans="4:59">
      <c r="D1372" s="1065"/>
      <c r="S1372" s="1065"/>
      <c r="BE1372" s="1065"/>
      <c r="BF1372" s="1065"/>
      <c r="BG1372" s="1065"/>
    </row>
    <row r="1373" spans="4:59">
      <c r="D1373" s="1065"/>
      <c r="S1373" s="1065"/>
      <c r="BE1373" s="1065"/>
      <c r="BF1373" s="1065"/>
      <c r="BG1373" s="1065"/>
    </row>
    <row r="1374" spans="4:59">
      <c r="D1374" s="1065"/>
      <c r="S1374" s="1065"/>
      <c r="BE1374" s="1065"/>
      <c r="BF1374" s="1065"/>
      <c r="BG1374" s="1065"/>
    </row>
    <row r="1375" spans="4:59">
      <c r="D1375" s="1065"/>
      <c r="S1375" s="1065"/>
      <c r="BE1375" s="1065"/>
      <c r="BF1375" s="1065"/>
      <c r="BG1375" s="1065"/>
    </row>
    <row r="1376" spans="4:59">
      <c r="D1376" s="1065"/>
      <c r="S1376" s="1065"/>
      <c r="BE1376" s="1065"/>
      <c r="BF1376" s="1065"/>
      <c r="BG1376" s="1065"/>
    </row>
    <row r="1377" spans="4:59">
      <c r="D1377" s="1065"/>
      <c r="S1377" s="1065"/>
      <c r="BE1377" s="1065"/>
      <c r="BF1377" s="1065"/>
      <c r="BG1377" s="1065"/>
    </row>
    <row r="1378" spans="4:59">
      <c r="D1378" s="1065"/>
      <c r="S1378" s="1065"/>
      <c r="BE1378" s="1065"/>
      <c r="BF1378" s="1065"/>
      <c r="BG1378" s="1065"/>
    </row>
    <row r="1379" spans="4:59">
      <c r="D1379" s="1065"/>
      <c r="S1379" s="1065"/>
      <c r="BE1379" s="1065"/>
      <c r="BF1379" s="1065"/>
      <c r="BG1379" s="1065"/>
    </row>
    <row r="1380" spans="4:59">
      <c r="D1380" s="1065"/>
      <c r="S1380" s="1065"/>
      <c r="BE1380" s="1065"/>
      <c r="BF1380" s="1065"/>
      <c r="BG1380" s="1065"/>
    </row>
    <row r="1381" spans="4:59">
      <c r="D1381" s="1065"/>
      <c r="S1381" s="1065"/>
      <c r="BE1381" s="1065"/>
      <c r="BF1381" s="1065"/>
      <c r="BG1381" s="1065"/>
    </row>
    <row r="1382" spans="4:59">
      <c r="D1382" s="1065"/>
      <c r="S1382" s="1065"/>
      <c r="BE1382" s="1065"/>
      <c r="BF1382" s="1065"/>
      <c r="BG1382" s="1065"/>
    </row>
    <row r="1383" spans="4:59">
      <c r="D1383" s="1065"/>
      <c r="S1383" s="1065"/>
      <c r="BE1383" s="1065"/>
      <c r="BF1383" s="1065"/>
      <c r="BG1383" s="1065"/>
    </row>
    <row r="1396" spans="4:59">
      <c r="D1396" s="1065"/>
      <c r="S1396" s="1065"/>
      <c r="BE1396" s="1065"/>
      <c r="BF1396" s="1065"/>
      <c r="BG1396" s="1065"/>
    </row>
    <row r="1397" spans="4:59">
      <c r="D1397" s="1065"/>
      <c r="S1397" s="1065"/>
      <c r="BE1397" s="1065"/>
      <c r="BF1397" s="1065"/>
      <c r="BG1397" s="1065"/>
    </row>
    <row r="1398" spans="4:59">
      <c r="D1398" s="1065"/>
      <c r="S1398" s="1065"/>
      <c r="BE1398" s="1065"/>
      <c r="BF1398" s="1065"/>
      <c r="BG1398" s="1065"/>
    </row>
    <row r="1399" spans="4:59">
      <c r="D1399" s="1065"/>
      <c r="S1399" s="1065"/>
      <c r="BE1399" s="1065"/>
      <c r="BF1399" s="1065"/>
      <c r="BG1399" s="1065"/>
    </row>
    <row r="1400" spans="4:59">
      <c r="D1400" s="1065"/>
      <c r="S1400" s="1065"/>
      <c r="BE1400" s="1065"/>
      <c r="BF1400" s="1065"/>
      <c r="BG1400" s="1065"/>
    </row>
    <row r="1401" spans="4:59">
      <c r="D1401" s="1065"/>
      <c r="S1401" s="1065"/>
      <c r="BE1401" s="1065"/>
      <c r="BF1401" s="1065"/>
      <c r="BG1401" s="1065"/>
    </row>
    <row r="1402" spans="4:59">
      <c r="D1402" s="1065"/>
      <c r="S1402" s="1065"/>
      <c r="BE1402" s="1065"/>
      <c r="BF1402" s="1065"/>
      <c r="BG1402" s="1065"/>
    </row>
    <row r="1403" spans="4:59">
      <c r="D1403" s="1065"/>
      <c r="S1403" s="1065"/>
      <c r="BE1403" s="1065"/>
      <c r="BF1403" s="1065"/>
      <c r="BG1403" s="1065"/>
    </row>
    <row r="1404" spans="4:59">
      <c r="D1404" s="1065"/>
      <c r="S1404" s="1065"/>
      <c r="BE1404" s="1065"/>
      <c r="BF1404" s="1065"/>
      <c r="BG1404" s="1065"/>
    </row>
    <row r="1405" spans="4:59">
      <c r="D1405" s="1065"/>
      <c r="S1405" s="1065"/>
      <c r="BE1405" s="1065"/>
      <c r="BF1405" s="1065"/>
      <c r="BG1405" s="1065"/>
    </row>
    <row r="1406" spans="4:59">
      <c r="D1406" s="1065"/>
      <c r="S1406" s="1065"/>
      <c r="BE1406" s="1065"/>
      <c r="BF1406" s="1065"/>
      <c r="BG1406" s="1065"/>
    </row>
    <row r="1407" spans="4:59">
      <c r="D1407" s="1065"/>
      <c r="S1407" s="1065"/>
      <c r="BE1407" s="1065"/>
      <c r="BF1407" s="1065"/>
      <c r="BG1407" s="1065"/>
    </row>
    <row r="1408" spans="4:59">
      <c r="D1408" s="1065"/>
      <c r="S1408" s="1065"/>
      <c r="BE1408" s="1065"/>
      <c r="BF1408" s="1065"/>
      <c r="BG1408" s="1065"/>
    </row>
    <row r="1409" spans="4:59">
      <c r="D1409" s="1065"/>
      <c r="S1409" s="1065"/>
      <c r="BE1409" s="1065"/>
      <c r="BF1409" s="1065"/>
      <c r="BG1409" s="1065"/>
    </row>
    <row r="1410" spans="4:59">
      <c r="D1410" s="1065"/>
      <c r="S1410" s="1065"/>
      <c r="BE1410" s="1065"/>
      <c r="BF1410" s="1065"/>
      <c r="BG1410" s="1065"/>
    </row>
    <row r="1411" spans="4:59">
      <c r="D1411" s="1065"/>
      <c r="S1411" s="1065"/>
      <c r="BE1411" s="1065"/>
      <c r="BF1411" s="1065"/>
      <c r="BG1411" s="1065"/>
    </row>
    <row r="1412" spans="4:59">
      <c r="D1412" s="1065"/>
      <c r="S1412" s="1065"/>
      <c r="BE1412" s="1065"/>
      <c r="BF1412" s="1065"/>
      <c r="BG1412" s="1065"/>
    </row>
    <row r="1413" spans="4:59">
      <c r="D1413" s="1065"/>
      <c r="S1413" s="1065"/>
      <c r="BE1413" s="1065"/>
      <c r="BF1413" s="1065"/>
      <c r="BG1413" s="1065"/>
    </row>
    <row r="1414" spans="4:59">
      <c r="D1414" s="1065"/>
      <c r="S1414" s="1065"/>
      <c r="BE1414" s="1065"/>
      <c r="BF1414" s="1065"/>
      <c r="BG1414" s="1065"/>
    </row>
    <row r="1415" spans="4:59">
      <c r="D1415" s="1065"/>
      <c r="S1415" s="1065"/>
      <c r="BE1415" s="1065"/>
      <c r="BF1415" s="1065"/>
      <c r="BG1415" s="1065"/>
    </row>
    <row r="1416" spans="4:59">
      <c r="D1416" s="1065"/>
      <c r="S1416" s="1065"/>
      <c r="BE1416" s="1065"/>
      <c r="BF1416" s="1065"/>
      <c r="BG1416" s="1065"/>
    </row>
    <row r="1417" spans="4:59">
      <c r="D1417" s="1065"/>
      <c r="S1417" s="1065"/>
      <c r="BE1417" s="1065"/>
      <c r="BF1417" s="1065"/>
      <c r="BG1417" s="1065"/>
    </row>
    <row r="1418" spans="4:59">
      <c r="D1418" s="1065"/>
      <c r="S1418" s="1065"/>
      <c r="BE1418" s="1065"/>
      <c r="BF1418" s="1065"/>
      <c r="BG1418" s="1065"/>
    </row>
    <row r="1419" spans="4:59">
      <c r="D1419" s="1065"/>
      <c r="S1419" s="1065"/>
      <c r="BE1419" s="1065"/>
      <c r="BF1419" s="1065"/>
      <c r="BG1419" s="1065"/>
    </row>
    <row r="1420" spans="4:59">
      <c r="D1420" s="1065"/>
      <c r="S1420" s="1065"/>
      <c r="BE1420" s="1065"/>
      <c r="BF1420" s="1065"/>
      <c r="BG1420" s="1065"/>
    </row>
    <row r="1421" spans="4:59">
      <c r="D1421" s="1065"/>
      <c r="S1421" s="1065"/>
      <c r="BE1421" s="1065"/>
      <c r="BF1421" s="1065"/>
      <c r="BG1421" s="1065"/>
    </row>
    <row r="1422" spans="4:59">
      <c r="D1422" s="1065"/>
      <c r="S1422" s="1065"/>
      <c r="BE1422" s="1065"/>
      <c r="BF1422" s="1065"/>
      <c r="BG1422" s="1065"/>
    </row>
    <row r="1423" spans="4:59">
      <c r="D1423" s="1065"/>
      <c r="S1423" s="1065"/>
      <c r="BE1423" s="1065"/>
      <c r="BF1423" s="1065"/>
      <c r="BG1423" s="1065"/>
    </row>
    <row r="1424" spans="4:59">
      <c r="D1424" s="1065"/>
      <c r="S1424" s="1065"/>
      <c r="BE1424" s="1065"/>
      <c r="BF1424" s="1065"/>
      <c r="BG1424" s="1065"/>
    </row>
    <row r="1425" spans="4:59">
      <c r="D1425" s="1065"/>
      <c r="S1425" s="1065"/>
      <c r="BE1425" s="1065"/>
      <c r="BF1425" s="1065"/>
      <c r="BG1425" s="1065"/>
    </row>
    <row r="1426" spans="4:59">
      <c r="D1426" s="1065"/>
      <c r="S1426" s="1065"/>
      <c r="BE1426" s="1065"/>
      <c r="BF1426" s="1065"/>
      <c r="BG1426" s="1065"/>
    </row>
    <row r="1427" spans="4:59">
      <c r="D1427" s="1065"/>
      <c r="S1427" s="1065"/>
      <c r="BE1427" s="1065"/>
      <c r="BF1427" s="1065"/>
      <c r="BG1427" s="1065"/>
    </row>
    <row r="1428" spans="4:59">
      <c r="D1428" s="1065"/>
      <c r="S1428" s="1065"/>
      <c r="BE1428" s="1065"/>
      <c r="BF1428" s="1065"/>
      <c r="BG1428" s="1065"/>
    </row>
    <row r="1429" spans="4:59">
      <c r="D1429" s="1065"/>
      <c r="S1429" s="1065"/>
      <c r="BE1429" s="1065"/>
      <c r="BF1429" s="1065"/>
      <c r="BG1429" s="1065"/>
    </row>
    <row r="1430" spans="4:59">
      <c r="D1430" s="1065"/>
      <c r="S1430" s="1065"/>
      <c r="BE1430" s="1065"/>
      <c r="BF1430" s="1065"/>
      <c r="BG1430" s="1065"/>
    </row>
    <row r="1431" spans="4:59">
      <c r="D1431" s="1065"/>
      <c r="S1431" s="1065"/>
      <c r="BE1431" s="1065"/>
      <c r="BF1431" s="1065"/>
      <c r="BG1431" s="1065"/>
    </row>
    <row r="1432" spans="4:59">
      <c r="D1432" s="1065"/>
      <c r="S1432" s="1065"/>
      <c r="BE1432" s="1065"/>
      <c r="BF1432" s="1065"/>
      <c r="BG1432" s="1065"/>
    </row>
    <row r="1433" spans="4:59">
      <c r="D1433" s="1065"/>
      <c r="S1433" s="1065"/>
      <c r="BE1433" s="1065"/>
      <c r="BF1433" s="1065"/>
      <c r="BG1433" s="1065"/>
    </row>
    <row r="1434" spans="4:59">
      <c r="D1434" s="1065"/>
      <c r="S1434" s="1065"/>
      <c r="BE1434" s="1065"/>
      <c r="BF1434" s="1065"/>
      <c r="BG1434" s="1065"/>
    </row>
    <row r="1435" spans="4:59">
      <c r="D1435" s="1065"/>
      <c r="S1435" s="1065"/>
      <c r="BE1435" s="1065"/>
      <c r="BF1435" s="1065"/>
      <c r="BG1435" s="1065"/>
    </row>
    <row r="1436" spans="4:59">
      <c r="D1436" s="1065"/>
      <c r="S1436" s="1065"/>
      <c r="BE1436" s="1065"/>
      <c r="BF1436" s="1065"/>
      <c r="BG1436" s="1065"/>
    </row>
    <row r="1437" spans="4:59">
      <c r="D1437" s="1065"/>
      <c r="S1437" s="1065"/>
      <c r="BE1437" s="1065"/>
      <c r="BF1437" s="1065"/>
      <c r="BG1437" s="1065"/>
    </row>
    <row r="1438" spans="4:59">
      <c r="D1438" s="1065"/>
      <c r="S1438" s="1065"/>
      <c r="BE1438" s="1065"/>
      <c r="BF1438" s="1065"/>
      <c r="BG1438" s="1065"/>
    </row>
    <row r="1439" spans="4:59">
      <c r="D1439" s="1065"/>
      <c r="S1439" s="1065"/>
      <c r="BE1439" s="1065"/>
      <c r="BF1439" s="1065"/>
      <c r="BG1439" s="1065"/>
    </row>
    <row r="1440" spans="4:59">
      <c r="D1440" s="1065"/>
      <c r="S1440" s="1065"/>
      <c r="BE1440" s="1065"/>
      <c r="BF1440" s="1065"/>
      <c r="BG1440" s="1065"/>
    </row>
    <row r="1441" spans="4:59">
      <c r="D1441" s="1065"/>
      <c r="S1441" s="1065"/>
      <c r="BE1441" s="1065"/>
      <c r="BF1441" s="1065"/>
      <c r="BG1441" s="1065"/>
    </row>
    <row r="1442" spans="4:59">
      <c r="D1442" s="1065"/>
      <c r="S1442" s="1065"/>
      <c r="BE1442" s="1065"/>
      <c r="BF1442" s="1065"/>
      <c r="BG1442" s="1065"/>
    </row>
    <row r="1443" spans="4:59">
      <c r="D1443" s="1065"/>
      <c r="S1443" s="1065"/>
      <c r="BE1443" s="1065"/>
      <c r="BF1443" s="1065"/>
      <c r="BG1443" s="1065"/>
    </row>
    <row r="1444" spans="4:59">
      <c r="D1444" s="1065"/>
      <c r="S1444" s="1065"/>
      <c r="BE1444" s="1065"/>
      <c r="BF1444" s="1065"/>
      <c r="BG1444" s="1065"/>
    </row>
    <row r="1445" spans="4:59">
      <c r="D1445" s="1065"/>
      <c r="S1445" s="1065"/>
      <c r="BE1445" s="1065"/>
      <c r="BF1445" s="1065"/>
      <c r="BG1445" s="1065"/>
    </row>
    <row r="1446" spans="4:59">
      <c r="D1446" s="1065"/>
      <c r="S1446" s="1065"/>
      <c r="BE1446" s="1065"/>
      <c r="BF1446" s="1065"/>
      <c r="BG1446" s="1065"/>
    </row>
    <row r="1447" spans="4:59">
      <c r="D1447" s="1065"/>
      <c r="S1447" s="1065"/>
      <c r="BE1447" s="1065"/>
      <c r="BF1447" s="1065"/>
      <c r="BG1447" s="1065"/>
    </row>
    <row r="1448" spans="4:59">
      <c r="D1448" s="1065"/>
      <c r="S1448" s="1065"/>
      <c r="BE1448" s="1065"/>
      <c r="BF1448" s="1065"/>
      <c r="BG1448" s="1065"/>
    </row>
    <row r="1449" spans="4:59">
      <c r="D1449" s="1065"/>
      <c r="S1449" s="1065"/>
      <c r="BE1449" s="1065"/>
      <c r="BF1449" s="1065"/>
      <c r="BG1449" s="1065"/>
    </row>
    <row r="1450" spans="4:59">
      <c r="D1450" s="1065"/>
      <c r="S1450" s="1065"/>
      <c r="BE1450" s="1065"/>
      <c r="BF1450" s="1065"/>
      <c r="BG1450" s="1065"/>
    </row>
    <row r="1451" spans="4:59">
      <c r="D1451" s="1065"/>
      <c r="S1451" s="1065"/>
      <c r="BE1451" s="1065"/>
      <c r="BF1451" s="1065"/>
      <c r="BG1451" s="1065"/>
    </row>
    <row r="1452" spans="4:59">
      <c r="D1452" s="1065"/>
      <c r="S1452" s="1065"/>
      <c r="BE1452" s="1065"/>
      <c r="BF1452" s="1065"/>
      <c r="BG1452" s="1065"/>
    </row>
    <row r="1453" spans="4:59">
      <c r="D1453" s="1065"/>
      <c r="S1453" s="1065"/>
      <c r="BE1453" s="1065"/>
      <c r="BF1453" s="1065"/>
      <c r="BG1453" s="1065"/>
    </row>
    <row r="1454" spans="4:59">
      <c r="D1454" s="1065"/>
      <c r="S1454" s="1065"/>
      <c r="BE1454" s="1065"/>
      <c r="BF1454" s="1065"/>
      <c r="BG1454" s="1065"/>
    </row>
    <row r="1455" spans="4:59">
      <c r="D1455" s="1065"/>
      <c r="S1455" s="1065"/>
      <c r="BE1455" s="1065"/>
      <c r="BF1455" s="1065"/>
      <c r="BG1455" s="1065"/>
    </row>
    <row r="1456" spans="4:59">
      <c r="D1456" s="1065"/>
      <c r="S1456" s="1065"/>
      <c r="BE1456" s="1065"/>
      <c r="BF1456" s="1065"/>
      <c r="BG1456" s="1065"/>
    </row>
    <row r="1457" spans="4:59">
      <c r="D1457" s="1065"/>
      <c r="S1457" s="1065"/>
      <c r="BE1457" s="1065"/>
      <c r="BF1457" s="1065"/>
      <c r="BG1457" s="1065"/>
    </row>
    <row r="1458" spans="4:59">
      <c r="D1458" s="1065"/>
      <c r="S1458" s="1065"/>
      <c r="BE1458" s="1065"/>
      <c r="BF1458" s="1065"/>
      <c r="BG1458" s="1065"/>
    </row>
    <row r="1459" spans="4:59">
      <c r="D1459" s="1065"/>
      <c r="S1459" s="1065"/>
      <c r="BE1459" s="1065"/>
      <c r="BF1459" s="1065"/>
      <c r="BG1459" s="1065"/>
    </row>
    <row r="1460" spans="4:59">
      <c r="D1460" s="1065"/>
      <c r="S1460" s="1065"/>
      <c r="BE1460" s="1065"/>
      <c r="BF1460" s="1065"/>
      <c r="BG1460" s="1065"/>
    </row>
    <row r="1461" spans="4:59">
      <c r="D1461" s="1065"/>
      <c r="S1461" s="1065"/>
      <c r="BE1461" s="1065"/>
      <c r="BF1461" s="1065"/>
      <c r="BG1461" s="1065"/>
    </row>
    <row r="1462" spans="4:59">
      <c r="D1462" s="1065"/>
      <c r="S1462" s="1065"/>
      <c r="BE1462" s="1065"/>
      <c r="BF1462" s="1065"/>
      <c r="BG1462" s="1065"/>
    </row>
    <row r="1463" spans="4:59">
      <c r="D1463" s="1065"/>
      <c r="S1463" s="1065"/>
      <c r="BE1463" s="1065"/>
      <c r="BF1463" s="1065"/>
      <c r="BG1463" s="1065"/>
    </row>
    <row r="1464" spans="4:59">
      <c r="D1464" s="1065"/>
      <c r="S1464" s="1065"/>
      <c r="BE1464" s="1065"/>
      <c r="BF1464" s="1065"/>
      <c r="BG1464" s="1065"/>
    </row>
    <row r="1465" spans="4:59">
      <c r="D1465" s="1065"/>
      <c r="S1465" s="1065"/>
      <c r="BE1465" s="1065"/>
      <c r="BF1465" s="1065"/>
      <c r="BG1465" s="1065"/>
    </row>
    <row r="1466" spans="4:59">
      <c r="D1466" s="1065"/>
      <c r="S1466" s="1065"/>
      <c r="BE1466" s="1065"/>
      <c r="BF1466" s="1065"/>
      <c r="BG1466" s="1065"/>
    </row>
    <row r="1467" spans="4:59">
      <c r="D1467" s="1065"/>
      <c r="S1467" s="1065"/>
      <c r="BE1467" s="1065"/>
      <c r="BF1467" s="1065"/>
      <c r="BG1467" s="1065"/>
    </row>
    <row r="1468" spans="4:59">
      <c r="D1468" s="1065"/>
      <c r="S1468" s="1065"/>
      <c r="BE1468" s="1065"/>
      <c r="BF1468" s="1065"/>
      <c r="BG1468" s="1065"/>
    </row>
    <row r="1469" spans="4:59">
      <c r="D1469" s="1065"/>
      <c r="S1469" s="1065"/>
      <c r="BE1469" s="1065"/>
      <c r="BF1469" s="1065"/>
      <c r="BG1469" s="1065"/>
    </row>
    <row r="1470" spans="4:59">
      <c r="D1470" s="1065"/>
      <c r="S1470" s="1065"/>
      <c r="BE1470" s="1065"/>
      <c r="BF1470" s="1065"/>
      <c r="BG1470" s="1065"/>
    </row>
    <row r="1471" spans="4:59">
      <c r="D1471" s="1065"/>
      <c r="S1471" s="1065"/>
      <c r="BE1471" s="1065"/>
      <c r="BF1471" s="1065"/>
      <c r="BG1471" s="1065"/>
    </row>
    <row r="1472" spans="4:59">
      <c r="D1472" s="1065"/>
      <c r="S1472" s="1065"/>
      <c r="BE1472" s="1065"/>
      <c r="BF1472" s="1065"/>
      <c r="BG1472" s="1065"/>
    </row>
    <row r="1473" spans="4:59">
      <c r="D1473" s="1065"/>
      <c r="S1473" s="1065"/>
      <c r="BE1473" s="1065"/>
      <c r="BF1473" s="1065"/>
      <c r="BG1473" s="1065"/>
    </row>
    <row r="1474" spans="4:59">
      <c r="D1474" s="1065"/>
      <c r="S1474" s="1065"/>
      <c r="BE1474" s="1065"/>
      <c r="BF1474" s="1065"/>
      <c r="BG1474" s="1065"/>
    </row>
    <row r="1475" spans="4:59">
      <c r="D1475" s="1065"/>
      <c r="S1475" s="1065"/>
      <c r="BE1475" s="1065"/>
      <c r="BF1475" s="1065"/>
      <c r="BG1475" s="1065"/>
    </row>
    <row r="1476" spans="4:59">
      <c r="D1476" s="1065"/>
      <c r="S1476" s="1065"/>
      <c r="BE1476" s="1065"/>
      <c r="BF1476" s="1065"/>
      <c r="BG1476" s="1065"/>
    </row>
    <row r="1477" spans="4:59">
      <c r="D1477" s="1065"/>
      <c r="S1477" s="1065"/>
      <c r="BE1477" s="1065"/>
      <c r="BF1477" s="1065"/>
      <c r="BG1477" s="1065"/>
    </row>
    <row r="1478" spans="4:59">
      <c r="D1478" s="1065"/>
      <c r="S1478" s="1065"/>
      <c r="BE1478" s="1065"/>
      <c r="BF1478" s="1065"/>
      <c r="BG1478" s="1065"/>
    </row>
    <row r="1479" spans="4:59">
      <c r="D1479" s="1065"/>
      <c r="S1479" s="1065"/>
      <c r="BE1479" s="1065"/>
      <c r="BF1479" s="1065"/>
      <c r="BG1479" s="1065"/>
    </row>
    <row r="1480" spans="4:59">
      <c r="D1480" s="1065"/>
      <c r="S1480" s="1065"/>
      <c r="BE1480" s="1065"/>
      <c r="BF1480" s="1065"/>
      <c r="BG1480" s="1065"/>
    </row>
    <row r="1481" spans="4:59">
      <c r="D1481" s="1065"/>
      <c r="S1481" s="1065"/>
      <c r="BE1481" s="1065"/>
      <c r="BF1481" s="1065"/>
      <c r="BG1481" s="1065"/>
    </row>
    <row r="1482" spans="4:59">
      <c r="D1482" s="1065"/>
      <c r="S1482" s="1065"/>
      <c r="BE1482" s="1065"/>
      <c r="BF1482" s="1065"/>
      <c r="BG1482" s="1065"/>
    </row>
    <row r="1483" spans="4:59">
      <c r="D1483" s="1065"/>
      <c r="S1483" s="1065"/>
      <c r="BE1483" s="1065"/>
      <c r="BF1483" s="1065"/>
      <c r="BG1483" s="1065"/>
    </row>
    <row r="1484" spans="4:59">
      <c r="D1484" s="1065"/>
      <c r="S1484" s="1065"/>
      <c r="BE1484" s="1065"/>
      <c r="BF1484" s="1065"/>
      <c r="BG1484" s="1065"/>
    </row>
    <row r="1485" spans="4:59">
      <c r="D1485" s="1065"/>
      <c r="S1485" s="1065"/>
      <c r="BE1485" s="1065"/>
      <c r="BF1485" s="1065"/>
      <c r="BG1485" s="1065"/>
    </row>
    <row r="1486" spans="4:59">
      <c r="D1486" s="1065"/>
      <c r="S1486" s="1065"/>
      <c r="BE1486" s="1065"/>
      <c r="BF1486" s="1065"/>
      <c r="BG1486" s="1065"/>
    </row>
    <row r="1487" spans="4:59">
      <c r="D1487" s="1065"/>
      <c r="S1487" s="1065"/>
      <c r="BE1487" s="1065"/>
      <c r="BF1487" s="1065"/>
      <c r="BG1487" s="1065"/>
    </row>
    <row r="1488" spans="4:59">
      <c r="D1488" s="1065"/>
      <c r="S1488" s="1065"/>
      <c r="BE1488" s="1065"/>
      <c r="BF1488" s="1065"/>
      <c r="BG1488" s="1065"/>
    </row>
    <row r="1489" spans="4:59">
      <c r="D1489" s="1065"/>
      <c r="S1489" s="1065"/>
      <c r="BE1489" s="1065"/>
      <c r="BF1489" s="1065"/>
      <c r="BG1489" s="1065"/>
    </row>
    <row r="1490" spans="4:59">
      <c r="D1490" s="1065"/>
      <c r="S1490" s="1065"/>
      <c r="BE1490" s="1065"/>
      <c r="BF1490" s="1065"/>
      <c r="BG1490" s="1065"/>
    </row>
    <row r="1491" spans="4:59">
      <c r="D1491" s="1065"/>
      <c r="S1491" s="1065"/>
      <c r="BE1491" s="1065"/>
      <c r="BF1491" s="1065"/>
      <c r="BG1491" s="1065"/>
    </row>
    <row r="1492" spans="4:59">
      <c r="D1492" s="1065"/>
      <c r="S1492" s="1065"/>
      <c r="BE1492" s="1065"/>
      <c r="BF1492" s="1065"/>
      <c r="BG1492" s="1065"/>
    </row>
    <row r="1493" spans="4:59">
      <c r="D1493" s="1065"/>
      <c r="S1493" s="1065"/>
      <c r="BE1493" s="1065"/>
      <c r="BF1493" s="1065"/>
      <c r="BG1493" s="1065"/>
    </row>
    <row r="1494" spans="4:59">
      <c r="D1494" s="1065"/>
      <c r="S1494" s="1065"/>
      <c r="BE1494" s="1065"/>
      <c r="BF1494" s="1065"/>
      <c r="BG1494" s="1065"/>
    </row>
    <row r="1495" spans="4:59">
      <c r="D1495" s="1065"/>
      <c r="S1495" s="1065"/>
      <c r="BE1495" s="1065"/>
      <c r="BF1495" s="1065"/>
      <c r="BG1495" s="1065"/>
    </row>
    <row r="1496" spans="4:59">
      <c r="D1496" s="1065"/>
      <c r="S1496" s="1065"/>
      <c r="BE1496" s="1065"/>
      <c r="BF1496" s="1065"/>
      <c r="BG1496" s="1065"/>
    </row>
    <row r="1497" spans="4:59">
      <c r="D1497" s="1065"/>
      <c r="S1497" s="1065"/>
      <c r="BE1497" s="1065"/>
      <c r="BF1497" s="1065"/>
      <c r="BG1497" s="1065"/>
    </row>
    <row r="1498" spans="4:59">
      <c r="D1498" s="1065"/>
      <c r="S1498" s="1065"/>
      <c r="BE1498" s="1065"/>
      <c r="BF1498" s="1065"/>
      <c r="BG1498" s="1065"/>
    </row>
    <row r="1499" spans="4:59">
      <c r="D1499" s="1065"/>
      <c r="S1499" s="1065"/>
      <c r="BE1499" s="1065"/>
      <c r="BF1499" s="1065"/>
      <c r="BG1499" s="1065"/>
    </row>
    <row r="1500" spans="4:59">
      <c r="D1500" s="1065"/>
      <c r="S1500" s="1065"/>
      <c r="BE1500" s="1065"/>
      <c r="BF1500" s="1065"/>
      <c r="BG1500" s="1065"/>
    </row>
    <row r="1501" spans="4:59">
      <c r="D1501" s="1065"/>
      <c r="S1501" s="1065"/>
      <c r="BE1501" s="1065"/>
      <c r="BF1501" s="1065"/>
      <c r="BG1501" s="1065"/>
    </row>
    <row r="1502" spans="4:59">
      <c r="D1502" s="1065"/>
      <c r="S1502" s="1065"/>
      <c r="BE1502" s="1065"/>
      <c r="BF1502" s="1065"/>
      <c r="BG1502" s="1065"/>
    </row>
    <row r="1503" spans="4:59">
      <c r="D1503" s="1065"/>
      <c r="S1503" s="1065"/>
      <c r="BE1503" s="1065"/>
      <c r="BF1503" s="1065"/>
      <c r="BG1503" s="1065"/>
    </row>
    <row r="1504" spans="4:59">
      <c r="D1504" s="1065"/>
      <c r="S1504" s="1065"/>
      <c r="BE1504" s="1065"/>
      <c r="BF1504" s="1065"/>
      <c r="BG1504" s="1065"/>
    </row>
    <row r="1505" spans="4:59">
      <c r="D1505" s="1065"/>
      <c r="S1505" s="1065"/>
      <c r="BE1505" s="1065"/>
      <c r="BF1505" s="1065"/>
      <c r="BG1505" s="1065"/>
    </row>
    <row r="1506" spans="4:59">
      <c r="D1506" s="1065"/>
      <c r="S1506" s="1065"/>
      <c r="BE1506" s="1065"/>
      <c r="BF1506" s="1065"/>
      <c r="BG1506" s="1065"/>
    </row>
    <row r="1507" spans="4:59">
      <c r="D1507" s="1065"/>
      <c r="S1507" s="1065"/>
      <c r="BE1507" s="1065"/>
      <c r="BF1507" s="1065"/>
      <c r="BG1507" s="1065"/>
    </row>
    <row r="1508" spans="4:59">
      <c r="D1508" s="1065"/>
      <c r="S1508" s="1065"/>
      <c r="BE1508" s="1065"/>
      <c r="BF1508" s="1065"/>
      <c r="BG1508" s="1065"/>
    </row>
    <row r="1509" spans="4:59">
      <c r="D1509" s="1065"/>
      <c r="S1509" s="1065"/>
      <c r="BE1509" s="1065"/>
      <c r="BF1509" s="1065"/>
      <c r="BG1509" s="1065"/>
    </row>
    <row r="1510" spans="4:59">
      <c r="D1510" s="1065"/>
      <c r="S1510" s="1065"/>
      <c r="BE1510" s="1065"/>
      <c r="BF1510" s="1065"/>
      <c r="BG1510" s="1065"/>
    </row>
    <row r="1511" spans="4:59">
      <c r="D1511" s="1065"/>
      <c r="S1511" s="1065"/>
      <c r="BE1511" s="1065"/>
      <c r="BF1511" s="1065"/>
      <c r="BG1511" s="1065"/>
    </row>
    <row r="1512" spans="4:59">
      <c r="D1512" s="1065"/>
      <c r="S1512" s="1065"/>
      <c r="BE1512" s="1065"/>
      <c r="BF1512" s="1065"/>
      <c r="BG1512" s="1065"/>
    </row>
    <row r="1513" spans="4:59">
      <c r="D1513" s="1065"/>
      <c r="S1513" s="1065"/>
      <c r="BE1513" s="1065"/>
      <c r="BF1513" s="1065"/>
      <c r="BG1513" s="1065"/>
    </row>
    <row r="1514" spans="4:59">
      <c r="D1514" s="1065"/>
      <c r="S1514" s="1065"/>
      <c r="BE1514" s="1065"/>
      <c r="BF1514" s="1065"/>
      <c r="BG1514" s="1065"/>
    </row>
    <row r="1515" spans="4:59">
      <c r="D1515" s="1065"/>
      <c r="S1515" s="1065"/>
      <c r="BE1515" s="1065"/>
      <c r="BF1515" s="1065"/>
      <c r="BG1515" s="1065"/>
    </row>
    <row r="1516" spans="4:59">
      <c r="D1516" s="1065"/>
      <c r="S1516" s="1065"/>
      <c r="BE1516" s="1065"/>
      <c r="BF1516" s="1065"/>
      <c r="BG1516" s="1065"/>
    </row>
    <row r="1517" spans="4:59">
      <c r="D1517" s="1065"/>
      <c r="S1517" s="1065"/>
      <c r="BE1517" s="1065"/>
      <c r="BF1517" s="1065"/>
      <c r="BG1517" s="1065"/>
    </row>
    <row r="1518" spans="4:59">
      <c r="D1518" s="1065"/>
      <c r="S1518" s="1065"/>
      <c r="BE1518" s="1065"/>
      <c r="BF1518" s="1065"/>
      <c r="BG1518" s="1065"/>
    </row>
    <row r="1519" spans="4:59">
      <c r="D1519" s="1065"/>
      <c r="S1519" s="1065"/>
      <c r="BE1519" s="1065"/>
      <c r="BF1519" s="1065"/>
      <c r="BG1519" s="1065"/>
    </row>
    <row r="1520" spans="4:59">
      <c r="D1520" s="1065"/>
      <c r="S1520" s="1065"/>
      <c r="BE1520" s="1065"/>
      <c r="BF1520" s="1065"/>
      <c r="BG1520" s="1065"/>
    </row>
    <row r="1521" spans="4:59">
      <c r="D1521" s="1065"/>
      <c r="S1521" s="1065"/>
      <c r="BE1521" s="1065"/>
      <c r="BF1521" s="1065"/>
      <c r="BG1521" s="1065"/>
    </row>
    <row r="1522" spans="4:59">
      <c r="D1522" s="1065"/>
      <c r="S1522" s="1065"/>
      <c r="BE1522" s="1065"/>
      <c r="BF1522" s="1065"/>
      <c r="BG1522" s="1065"/>
    </row>
    <row r="1523" spans="4:59">
      <c r="D1523" s="1065"/>
      <c r="S1523" s="1065"/>
      <c r="BE1523" s="1065"/>
      <c r="BF1523" s="1065"/>
      <c r="BG1523" s="1065"/>
    </row>
    <row r="1524" spans="4:59">
      <c r="D1524" s="1065"/>
      <c r="S1524" s="1065"/>
      <c r="BE1524" s="1065"/>
      <c r="BF1524" s="1065"/>
      <c r="BG1524" s="1065"/>
    </row>
    <row r="1525" spans="4:59">
      <c r="D1525" s="1065"/>
      <c r="S1525" s="1065"/>
      <c r="BE1525" s="1065"/>
      <c r="BF1525" s="1065"/>
      <c r="BG1525" s="1065"/>
    </row>
    <row r="1526" spans="4:59">
      <c r="D1526" s="1065"/>
      <c r="S1526" s="1065"/>
      <c r="BE1526" s="1065"/>
      <c r="BF1526" s="1065"/>
      <c r="BG1526" s="1065"/>
    </row>
    <row r="1527" spans="4:59">
      <c r="D1527" s="1065"/>
      <c r="S1527" s="1065"/>
      <c r="BE1527" s="1065"/>
      <c r="BF1527" s="1065"/>
      <c r="BG1527" s="1065"/>
    </row>
    <row r="1528" spans="4:59">
      <c r="D1528" s="1065"/>
      <c r="S1528" s="1065"/>
      <c r="BE1528" s="1065"/>
      <c r="BF1528" s="1065"/>
      <c r="BG1528" s="1065"/>
    </row>
    <row r="1529" spans="4:59">
      <c r="D1529" s="1065"/>
      <c r="S1529" s="1065"/>
      <c r="BE1529" s="1065"/>
      <c r="BF1529" s="1065"/>
      <c r="BG1529" s="1065"/>
    </row>
    <row r="1530" spans="4:59">
      <c r="D1530" s="1065"/>
      <c r="S1530" s="1065"/>
      <c r="BE1530" s="1065"/>
      <c r="BF1530" s="1065"/>
      <c r="BG1530" s="1065"/>
    </row>
    <row r="1531" spans="4:59">
      <c r="D1531" s="1065"/>
      <c r="S1531" s="1065"/>
      <c r="BE1531" s="1065"/>
      <c r="BF1531" s="1065"/>
      <c r="BG1531" s="1065"/>
    </row>
    <row r="1532" spans="4:59">
      <c r="D1532" s="1065"/>
      <c r="S1532" s="1065"/>
      <c r="BE1532" s="1065"/>
      <c r="BF1532" s="1065"/>
      <c r="BG1532" s="1065"/>
    </row>
    <row r="1533" spans="4:59">
      <c r="D1533" s="1065"/>
      <c r="S1533" s="1065"/>
      <c r="BE1533" s="1065"/>
      <c r="BF1533" s="1065"/>
      <c r="BG1533" s="1065"/>
    </row>
    <row r="1534" spans="4:59">
      <c r="D1534" s="1065"/>
      <c r="S1534" s="1065"/>
      <c r="BE1534" s="1065"/>
      <c r="BF1534" s="1065"/>
      <c r="BG1534" s="1065"/>
    </row>
    <row r="1535" spans="4:59">
      <c r="D1535" s="1065"/>
      <c r="S1535" s="1065"/>
      <c r="BE1535" s="1065"/>
      <c r="BF1535" s="1065"/>
      <c r="BG1535" s="1065"/>
    </row>
    <row r="1536" spans="4:59">
      <c r="D1536" s="1065"/>
      <c r="S1536" s="1065"/>
      <c r="BE1536" s="1065"/>
      <c r="BF1536" s="1065"/>
      <c r="BG1536" s="1065"/>
    </row>
    <row r="1537" spans="4:59">
      <c r="D1537" s="1065"/>
      <c r="S1537" s="1065"/>
      <c r="BE1537" s="1065"/>
      <c r="BF1537" s="1065"/>
      <c r="BG1537" s="1065"/>
    </row>
    <row r="1538" spans="4:59">
      <c r="D1538" s="1065"/>
      <c r="S1538" s="1065"/>
      <c r="BE1538" s="1065"/>
      <c r="BF1538" s="1065"/>
      <c r="BG1538" s="1065"/>
    </row>
    <row r="1539" spans="4:59">
      <c r="D1539" s="1065"/>
      <c r="S1539" s="1065"/>
      <c r="BE1539" s="1065"/>
      <c r="BF1539" s="1065"/>
      <c r="BG1539" s="1065"/>
    </row>
    <row r="1540" spans="4:59">
      <c r="D1540" s="1065"/>
      <c r="S1540" s="1065"/>
      <c r="BE1540" s="1065"/>
      <c r="BF1540" s="1065"/>
      <c r="BG1540" s="1065"/>
    </row>
    <row r="1541" spans="4:59">
      <c r="D1541" s="1065"/>
      <c r="S1541" s="1065"/>
      <c r="BE1541" s="1065"/>
      <c r="BF1541" s="1065"/>
      <c r="BG1541" s="1065"/>
    </row>
    <row r="1542" spans="4:59">
      <c r="D1542" s="1065"/>
      <c r="S1542" s="1065"/>
      <c r="BE1542" s="1065"/>
      <c r="BF1542" s="1065"/>
      <c r="BG1542" s="1065"/>
    </row>
    <row r="1543" spans="4:59">
      <c r="D1543" s="1065"/>
      <c r="S1543" s="1065"/>
      <c r="BE1543" s="1065"/>
      <c r="BF1543" s="1065"/>
      <c r="BG1543" s="1065"/>
    </row>
    <row r="1544" spans="4:59">
      <c r="D1544" s="1065"/>
      <c r="S1544" s="1065"/>
      <c r="BE1544" s="1065"/>
      <c r="BF1544" s="1065"/>
      <c r="BG1544" s="1065"/>
    </row>
    <row r="1545" spans="4:59">
      <c r="D1545" s="1065"/>
      <c r="S1545" s="1065"/>
      <c r="BE1545" s="1065"/>
      <c r="BF1545" s="1065"/>
      <c r="BG1545" s="1065"/>
    </row>
    <row r="1546" spans="4:59">
      <c r="D1546" s="1065"/>
      <c r="S1546" s="1065"/>
      <c r="BE1546" s="1065"/>
      <c r="BF1546" s="1065"/>
      <c r="BG1546" s="1065"/>
    </row>
    <row r="1547" spans="4:59">
      <c r="D1547" s="1065"/>
      <c r="S1547" s="1065"/>
      <c r="BE1547" s="1065"/>
      <c r="BF1547" s="1065"/>
      <c r="BG1547" s="1065"/>
    </row>
    <row r="1548" spans="4:59">
      <c r="D1548" s="1065"/>
      <c r="S1548" s="1065"/>
      <c r="BE1548" s="1065"/>
      <c r="BF1548" s="1065"/>
      <c r="BG1548" s="1065"/>
    </row>
    <row r="1549" spans="4:59">
      <c r="D1549" s="1065"/>
      <c r="S1549" s="1065"/>
      <c r="BE1549" s="1065"/>
      <c r="BF1549" s="1065"/>
      <c r="BG1549" s="1065"/>
    </row>
    <row r="1550" spans="4:59">
      <c r="D1550" s="1065"/>
      <c r="S1550" s="1065"/>
      <c r="BE1550" s="1065"/>
      <c r="BF1550" s="1065"/>
      <c r="BG1550" s="1065"/>
    </row>
    <row r="1551" spans="4:59">
      <c r="D1551" s="1065"/>
      <c r="S1551" s="1065"/>
      <c r="BE1551" s="1065"/>
      <c r="BF1551" s="1065"/>
      <c r="BG1551" s="1065"/>
    </row>
    <row r="1552" spans="4:59">
      <c r="D1552" s="1065"/>
      <c r="S1552" s="1065"/>
      <c r="BE1552" s="1065"/>
      <c r="BF1552" s="1065"/>
      <c r="BG1552" s="1065"/>
    </row>
    <row r="1553" spans="4:59">
      <c r="D1553" s="1065"/>
      <c r="S1553" s="1065"/>
      <c r="BE1553" s="1065"/>
      <c r="BF1553" s="1065"/>
      <c r="BG1553" s="1065"/>
    </row>
    <row r="1554" spans="4:59">
      <c r="D1554" s="1065"/>
      <c r="S1554" s="1065"/>
      <c r="BE1554" s="1065"/>
      <c r="BF1554" s="1065"/>
      <c r="BG1554" s="1065"/>
    </row>
    <row r="1555" spans="4:59">
      <c r="D1555" s="1065"/>
      <c r="S1555" s="1065"/>
      <c r="BE1555" s="1065"/>
      <c r="BF1555" s="1065"/>
      <c r="BG1555" s="1065"/>
    </row>
    <row r="1556" spans="4:59">
      <c r="D1556" s="1065"/>
      <c r="S1556" s="1065"/>
      <c r="BE1556" s="1065"/>
      <c r="BF1556" s="1065"/>
      <c r="BG1556" s="1065"/>
    </row>
    <row r="1557" spans="4:59">
      <c r="D1557" s="1065"/>
      <c r="S1557" s="1065"/>
      <c r="BE1557" s="1065"/>
      <c r="BF1557" s="1065"/>
      <c r="BG1557" s="1065"/>
    </row>
    <row r="1558" spans="4:59">
      <c r="D1558" s="1065"/>
      <c r="S1558" s="1065"/>
      <c r="BE1558" s="1065"/>
      <c r="BF1558" s="1065"/>
      <c r="BG1558" s="1065"/>
    </row>
    <row r="1559" spans="4:59">
      <c r="D1559" s="1065"/>
      <c r="S1559" s="1065"/>
      <c r="BE1559" s="1065"/>
      <c r="BF1559" s="1065"/>
      <c r="BG1559" s="1065"/>
    </row>
    <row r="1560" spans="4:59">
      <c r="D1560" s="1065"/>
      <c r="S1560" s="1065"/>
      <c r="BE1560" s="1065"/>
      <c r="BF1560" s="1065"/>
      <c r="BG1560" s="1065"/>
    </row>
    <row r="1561" spans="4:59">
      <c r="D1561" s="1065"/>
      <c r="S1561" s="1065"/>
      <c r="BE1561" s="1065"/>
      <c r="BF1561" s="1065"/>
      <c r="BG1561" s="1065"/>
    </row>
    <row r="1562" spans="4:59">
      <c r="D1562" s="1065"/>
      <c r="S1562" s="1065"/>
      <c r="BE1562" s="1065"/>
      <c r="BF1562" s="1065"/>
      <c r="BG1562" s="1065"/>
    </row>
    <row r="1563" spans="4:59">
      <c r="D1563" s="1065"/>
      <c r="S1563" s="1065"/>
      <c r="BE1563" s="1065"/>
      <c r="BF1563" s="1065"/>
      <c r="BG1563" s="1065"/>
    </row>
    <row r="1564" spans="4:59">
      <c r="D1564" s="1065"/>
      <c r="S1564" s="1065"/>
      <c r="BE1564" s="1065"/>
      <c r="BF1564" s="1065"/>
      <c r="BG1564" s="1065"/>
    </row>
    <row r="1565" spans="4:59">
      <c r="D1565" s="1065"/>
      <c r="S1565" s="1065"/>
      <c r="BE1565" s="1065"/>
      <c r="BF1565" s="1065"/>
      <c r="BG1565" s="1065"/>
    </row>
    <row r="1566" spans="4:59">
      <c r="D1566" s="1065"/>
      <c r="S1566" s="1065"/>
      <c r="BE1566" s="1065"/>
      <c r="BF1566" s="1065"/>
      <c r="BG1566" s="1065"/>
    </row>
    <row r="1567" spans="4:59">
      <c r="D1567" s="1065"/>
      <c r="S1567" s="1065"/>
      <c r="BE1567" s="1065"/>
      <c r="BF1567" s="1065"/>
      <c r="BG1567" s="1065"/>
    </row>
    <row r="1568" spans="4:59">
      <c r="D1568" s="1065"/>
      <c r="S1568" s="1065"/>
      <c r="BE1568" s="1065"/>
      <c r="BF1568" s="1065"/>
      <c r="BG1568" s="1065"/>
    </row>
    <row r="1569" spans="4:59">
      <c r="D1569" s="1065"/>
      <c r="S1569" s="1065"/>
      <c r="BE1569" s="1065"/>
      <c r="BF1569" s="1065"/>
      <c r="BG1569" s="1065"/>
    </row>
    <row r="1570" spans="4:59">
      <c r="D1570" s="1065"/>
      <c r="S1570" s="1065"/>
      <c r="BE1570" s="1065"/>
      <c r="BF1570" s="1065"/>
      <c r="BG1570" s="1065"/>
    </row>
    <row r="1571" spans="4:59">
      <c r="D1571" s="1065"/>
      <c r="S1571" s="1065"/>
      <c r="BE1571" s="1065"/>
      <c r="BF1571" s="1065"/>
      <c r="BG1571" s="1065"/>
    </row>
    <row r="1572" spans="4:59">
      <c r="D1572" s="1065"/>
      <c r="S1572" s="1065"/>
      <c r="BE1572" s="1065"/>
      <c r="BF1572" s="1065"/>
      <c r="BG1572" s="1065"/>
    </row>
    <row r="1573" spans="4:59">
      <c r="D1573" s="1065"/>
      <c r="S1573" s="1065"/>
      <c r="BE1573" s="1065"/>
      <c r="BF1573" s="1065"/>
      <c r="BG1573" s="1065"/>
    </row>
    <row r="1574" spans="4:59">
      <c r="D1574" s="1065"/>
      <c r="S1574" s="1065"/>
      <c r="BE1574" s="1065"/>
      <c r="BF1574" s="1065"/>
      <c r="BG1574" s="1065"/>
    </row>
    <row r="1575" spans="4:59">
      <c r="D1575" s="1065"/>
      <c r="S1575" s="1065"/>
      <c r="BE1575" s="1065"/>
      <c r="BF1575" s="1065"/>
      <c r="BG1575" s="1065"/>
    </row>
    <row r="1576" spans="4:59">
      <c r="D1576" s="1065"/>
      <c r="S1576" s="1065"/>
      <c r="BE1576" s="1065"/>
      <c r="BF1576" s="1065"/>
      <c r="BG1576" s="1065"/>
    </row>
    <row r="1577" spans="4:59">
      <c r="D1577" s="1065"/>
      <c r="S1577" s="1065"/>
      <c r="BE1577" s="1065"/>
      <c r="BF1577" s="1065"/>
      <c r="BG1577" s="1065"/>
    </row>
    <row r="1578" spans="4:59">
      <c r="D1578" s="1065"/>
      <c r="S1578" s="1065"/>
      <c r="BE1578" s="1065"/>
      <c r="BF1578" s="1065"/>
      <c r="BG1578" s="1065"/>
    </row>
    <row r="1579" spans="4:59">
      <c r="D1579" s="1065"/>
      <c r="S1579" s="1065"/>
      <c r="BE1579" s="1065"/>
      <c r="BF1579" s="1065"/>
      <c r="BG1579" s="1065"/>
    </row>
    <row r="1580" spans="4:59">
      <c r="D1580" s="1065"/>
      <c r="S1580" s="1065"/>
      <c r="BE1580" s="1065"/>
      <c r="BF1580" s="1065"/>
      <c r="BG1580" s="1065"/>
    </row>
    <row r="1581" spans="4:59">
      <c r="D1581" s="1065"/>
      <c r="S1581" s="1065"/>
      <c r="BE1581" s="1065"/>
      <c r="BF1581" s="1065"/>
      <c r="BG1581" s="1065"/>
    </row>
    <row r="1582" spans="4:59">
      <c r="D1582" s="1065"/>
      <c r="S1582" s="1065"/>
      <c r="BE1582" s="1065"/>
      <c r="BF1582" s="1065"/>
      <c r="BG1582" s="1065"/>
    </row>
    <row r="1583" spans="4:59">
      <c r="D1583" s="1065"/>
      <c r="S1583" s="1065"/>
      <c r="BE1583" s="1065"/>
      <c r="BF1583" s="1065"/>
      <c r="BG1583" s="1065"/>
    </row>
    <row r="1584" spans="4:59">
      <c r="D1584" s="1065"/>
      <c r="S1584" s="1065"/>
      <c r="BE1584" s="1065"/>
      <c r="BF1584" s="1065"/>
      <c r="BG1584" s="1065"/>
    </row>
    <row r="1585" spans="4:59">
      <c r="D1585" s="1065"/>
      <c r="S1585" s="1065"/>
      <c r="BE1585" s="1065"/>
      <c r="BF1585" s="1065"/>
      <c r="BG1585" s="1065"/>
    </row>
    <row r="1586" spans="4:59">
      <c r="D1586" s="1065"/>
      <c r="S1586" s="1065"/>
      <c r="BE1586" s="1065"/>
      <c r="BF1586" s="1065"/>
      <c r="BG1586" s="1065"/>
    </row>
    <row r="1587" spans="4:59">
      <c r="D1587" s="1065"/>
      <c r="S1587" s="1065"/>
      <c r="BE1587" s="1065"/>
      <c r="BF1587" s="1065"/>
      <c r="BG1587" s="1065"/>
    </row>
    <row r="1588" spans="4:59">
      <c r="D1588" s="1065"/>
      <c r="S1588" s="1065"/>
      <c r="BE1588" s="1065"/>
      <c r="BF1588" s="1065"/>
      <c r="BG1588" s="1065"/>
    </row>
    <row r="1589" spans="4:59">
      <c r="D1589" s="1065"/>
      <c r="S1589" s="1065"/>
      <c r="BE1589" s="1065"/>
      <c r="BF1589" s="1065"/>
      <c r="BG1589" s="1065"/>
    </row>
    <row r="1590" spans="4:59">
      <c r="D1590" s="1065"/>
      <c r="S1590" s="1065"/>
      <c r="BE1590" s="1065"/>
      <c r="BF1590" s="1065"/>
      <c r="BG1590" s="1065"/>
    </row>
    <row r="1601" spans="4:59">
      <c r="D1601" s="1065"/>
      <c r="S1601" s="1065"/>
      <c r="BE1601" s="1065"/>
      <c r="BF1601" s="1065"/>
      <c r="BG1601" s="1065"/>
    </row>
    <row r="1602" spans="4:59">
      <c r="D1602" s="1065"/>
      <c r="S1602" s="1065"/>
      <c r="BE1602" s="1065"/>
      <c r="BF1602" s="1065"/>
      <c r="BG1602" s="1065"/>
    </row>
    <row r="1603" spans="4:59">
      <c r="D1603" s="1065"/>
      <c r="S1603" s="1065"/>
      <c r="BE1603" s="1065"/>
      <c r="BF1603" s="1065"/>
      <c r="BG1603" s="1065"/>
    </row>
    <row r="1604" spans="4:59">
      <c r="D1604" s="1065"/>
      <c r="S1604" s="1065"/>
      <c r="BE1604" s="1065"/>
      <c r="BF1604" s="1065"/>
      <c r="BG1604" s="1065"/>
    </row>
    <row r="1605" spans="4:59">
      <c r="D1605" s="1065"/>
      <c r="S1605" s="1065"/>
      <c r="BE1605" s="1065"/>
      <c r="BF1605" s="1065"/>
      <c r="BG1605" s="1065"/>
    </row>
    <row r="1606" spans="4:59">
      <c r="D1606" s="1065"/>
      <c r="S1606" s="1065"/>
      <c r="BE1606" s="1065"/>
      <c r="BF1606" s="1065"/>
      <c r="BG1606" s="1065"/>
    </row>
    <row r="1607" spans="4:59">
      <c r="D1607" s="1065"/>
      <c r="S1607" s="1065"/>
      <c r="BE1607" s="1065"/>
      <c r="BF1607" s="1065"/>
      <c r="BG1607" s="1065"/>
    </row>
    <row r="1608" spans="4:59">
      <c r="D1608" s="1065"/>
      <c r="S1608" s="1065"/>
      <c r="BE1608" s="1065"/>
      <c r="BF1608" s="1065"/>
      <c r="BG1608" s="1065"/>
    </row>
    <row r="1609" spans="4:59">
      <c r="D1609" s="1065"/>
      <c r="S1609" s="1065"/>
      <c r="BE1609" s="1065"/>
      <c r="BF1609" s="1065"/>
      <c r="BG1609" s="1065"/>
    </row>
    <row r="1610" spans="4:59">
      <c r="D1610" s="1065"/>
      <c r="S1610" s="1065"/>
      <c r="BE1610" s="1065"/>
      <c r="BF1610" s="1065"/>
      <c r="BG1610" s="1065"/>
    </row>
    <row r="1611" spans="4:59">
      <c r="D1611" s="1065"/>
      <c r="S1611" s="1065"/>
      <c r="BE1611" s="1065"/>
      <c r="BF1611" s="1065"/>
      <c r="BG1611" s="1065"/>
    </row>
    <row r="1612" spans="4:59">
      <c r="D1612" s="1065"/>
      <c r="S1612" s="1065"/>
      <c r="BE1612" s="1065"/>
      <c r="BF1612" s="1065"/>
      <c r="BG1612" s="1065"/>
    </row>
    <row r="1613" spans="4:59">
      <c r="D1613" s="1065"/>
      <c r="S1613" s="1065"/>
      <c r="BE1613" s="1065"/>
      <c r="BF1613" s="1065"/>
      <c r="BG1613" s="1065"/>
    </row>
    <row r="1614" spans="4:59">
      <c r="D1614" s="1065"/>
      <c r="S1614" s="1065"/>
      <c r="BE1614" s="1065"/>
      <c r="BF1614" s="1065"/>
      <c r="BG1614" s="1065"/>
    </row>
    <row r="1615" spans="4:59">
      <c r="D1615" s="1065"/>
      <c r="S1615" s="1065"/>
      <c r="BE1615" s="1065"/>
      <c r="BF1615" s="1065"/>
      <c r="BG1615" s="1065"/>
    </row>
    <row r="1616" spans="4:59">
      <c r="D1616" s="1065"/>
      <c r="S1616" s="1065"/>
      <c r="BE1616" s="1065"/>
      <c r="BF1616" s="1065"/>
      <c r="BG1616" s="1065"/>
    </row>
    <row r="1617" spans="4:59">
      <c r="D1617" s="1065"/>
      <c r="S1617" s="1065"/>
      <c r="BE1617" s="1065"/>
      <c r="BF1617" s="1065"/>
      <c r="BG1617" s="1065"/>
    </row>
    <row r="1618" spans="4:59">
      <c r="D1618" s="1065"/>
      <c r="S1618" s="1065"/>
      <c r="BE1618" s="1065"/>
      <c r="BF1618" s="1065"/>
      <c r="BG1618" s="1065"/>
    </row>
    <row r="1619" spans="4:59">
      <c r="D1619" s="1065"/>
      <c r="S1619" s="1065"/>
      <c r="BE1619" s="1065"/>
      <c r="BF1619" s="1065"/>
      <c r="BG1619" s="1065"/>
    </row>
    <row r="1620" spans="4:59">
      <c r="D1620" s="1065"/>
      <c r="S1620" s="1065"/>
      <c r="BE1620" s="1065"/>
      <c r="BF1620" s="1065"/>
      <c r="BG1620" s="1065"/>
    </row>
    <row r="1621" spans="4:59">
      <c r="D1621" s="1065"/>
      <c r="S1621" s="1065"/>
      <c r="BE1621" s="1065"/>
      <c r="BF1621" s="1065"/>
      <c r="BG1621" s="1065"/>
    </row>
    <row r="1622" spans="4:59">
      <c r="D1622" s="1065"/>
      <c r="S1622" s="1065"/>
      <c r="BE1622" s="1065"/>
      <c r="BF1622" s="1065"/>
      <c r="BG1622" s="1065"/>
    </row>
    <row r="1623" spans="4:59">
      <c r="D1623" s="1065"/>
      <c r="S1623" s="1065"/>
      <c r="BE1623" s="1065"/>
      <c r="BF1623" s="1065"/>
      <c r="BG1623" s="1065"/>
    </row>
    <row r="1624" spans="4:59">
      <c r="D1624" s="1065"/>
      <c r="S1624" s="1065"/>
      <c r="BE1624" s="1065"/>
      <c r="BF1624" s="1065"/>
      <c r="BG1624" s="1065"/>
    </row>
    <row r="1625" spans="4:59">
      <c r="D1625" s="1065"/>
      <c r="S1625" s="1065"/>
      <c r="BE1625" s="1065"/>
      <c r="BF1625" s="1065"/>
      <c r="BG1625" s="1065"/>
    </row>
    <row r="1626" spans="4:59">
      <c r="D1626" s="1065"/>
      <c r="S1626" s="1065"/>
      <c r="BE1626" s="1065"/>
      <c r="BF1626" s="1065"/>
      <c r="BG1626" s="1065"/>
    </row>
    <row r="1627" spans="4:59">
      <c r="D1627" s="1065"/>
      <c r="S1627" s="1065"/>
      <c r="BE1627" s="1065"/>
      <c r="BF1627" s="1065"/>
      <c r="BG1627" s="1065"/>
    </row>
    <row r="1628" spans="4:59">
      <c r="D1628" s="1065"/>
      <c r="S1628" s="1065"/>
      <c r="BE1628" s="1065"/>
      <c r="BF1628" s="1065"/>
      <c r="BG1628" s="1065"/>
    </row>
    <row r="1629" spans="4:59">
      <c r="D1629" s="1065"/>
      <c r="S1629" s="1065"/>
      <c r="BE1629" s="1065"/>
      <c r="BF1629" s="1065"/>
      <c r="BG1629" s="1065"/>
    </row>
    <row r="1630" spans="4:59">
      <c r="D1630" s="1065"/>
      <c r="S1630" s="1065"/>
      <c r="BE1630" s="1065"/>
      <c r="BF1630" s="1065"/>
      <c r="BG1630" s="1065"/>
    </row>
    <row r="1631" spans="4:59">
      <c r="D1631" s="1065"/>
      <c r="S1631" s="1065"/>
      <c r="BE1631" s="1065"/>
      <c r="BF1631" s="1065"/>
      <c r="BG1631" s="1065"/>
    </row>
    <row r="1632" spans="4:59">
      <c r="D1632" s="1065"/>
      <c r="S1632" s="1065"/>
      <c r="BE1632" s="1065"/>
      <c r="BF1632" s="1065"/>
      <c r="BG1632" s="1065"/>
    </row>
    <row r="1633" spans="4:59">
      <c r="D1633" s="1065"/>
      <c r="S1633" s="1065"/>
      <c r="BE1633" s="1065"/>
      <c r="BF1633" s="1065"/>
      <c r="BG1633" s="1065"/>
    </row>
    <row r="1634" spans="4:59">
      <c r="D1634" s="1065"/>
      <c r="S1634" s="1065"/>
      <c r="BE1634" s="1065"/>
      <c r="BF1634" s="1065"/>
      <c r="BG1634" s="1065"/>
    </row>
    <row r="1635" spans="4:59">
      <c r="D1635" s="1065"/>
      <c r="S1635" s="1065"/>
      <c r="BE1635" s="1065"/>
      <c r="BF1635" s="1065"/>
      <c r="BG1635" s="1065"/>
    </row>
    <row r="1636" spans="4:59">
      <c r="D1636" s="1065"/>
      <c r="S1636" s="1065"/>
      <c r="BE1636" s="1065"/>
      <c r="BF1636" s="1065"/>
      <c r="BG1636" s="1065"/>
    </row>
    <row r="1637" spans="4:59">
      <c r="D1637" s="1065"/>
      <c r="S1637" s="1065"/>
      <c r="BE1637" s="1065"/>
      <c r="BF1637" s="1065"/>
      <c r="BG1637" s="1065"/>
    </row>
    <row r="1638" spans="4:59">
      <c r="D1638" s="1065"/>
      <c r="S1638" s="1065"/>
      <c r="BE1638" s="1065"/>
      <c r="BF1638" s="1065"/>
      <c r="BG1638" s="1065"/>
    </row>
    <row r="1639" spans="4:59">
      <c r="D1639" s="1065"/>
      <c r="S1639" s="1065"/>
      <c r="BE1639" s="1065"/>
      <c r="BF1639" s="1065"/>
      <c r="BG1639" s="1065"/>
    </row>
    <row r="1640" spans="4:59">
      <c r="D1640" s="1065"/>
      <c r="S1640" s="1065"/>
      <c r="BE1640" s="1065"/>
      <c r="BF1640" s="1065"/>
      <c r="BG1640" s="1065"/>
    </row>
    <row r="1641" spans="4:59">
      <c r="D1641" s="1065"/>
      <c r="S1641" s="1065"/>
      <c r="BE1641" s="1065"/>
      <c r="BF1641" s="1065"/>
      <c r="BG1641" s="1065"/>
    </row>
    <row r="1642" spans="4:59">
      <c r="D1642" s="1065"/>
      <c r="S1642" s="1065"/>
      <c r="BE1642" s="1065"/>
      <c r="BF1642" s="1065"/>
      <c r="BG1642" s="1065"/>
    </row>
    <row r="1643" spans="4:59">
      <c r="D1643" s="1065"/>
      <c r="S1643" s="1065"/>
      <c r="BE1643" s="1065"/>
      <c r="BF1643" s="1065"/>
      <c r="BG1643" s="1065"/>
    </row>
    <row r="1644" spans="4:59">
      <c r="D1644" s="1065"/>
      <c r="S1644" s="1065"/>
      <c r="BE1644" s="1065"/>
      <c r="BF1644" s="1065"/>
      <c r="BG1644" s="1065"/>
    </row>
    <row r="1645" spans="4:59">
      <c r="D1645" s="1065"/>
      <c r="S1645" s="1065"/>
      <c r="BE1645" s="1065"/>
      <c r="BF1645" s="1065"/>
      <c r="BG1645" s="1065"/>
    </row>
    <row r="1646" spans="4:59">
      <c r="D1646" s="1065"/>
      <c r="S1646" s="1065"/>
      <c r="BE1646" s="1065"/>
      <c r="BF1646" s="1065"/>
      <c r="BG1646" s="1065"/>
    </row>
    <row r="1647" spans="4:59">
      <c r="D1647" s="1065"/>
      <c r="S1647" s="1065"/>
      <c r="BE1647" s="1065"/>
      <c r="BF1647" s="1065"/>
      <c r="BG1647" s="1065"/>
    </row>
    <row r="1648" spans="4:59">
      <c r="D1648" s="1065"/>
      <c r="S1648" s="1065"/>
      <c r="BE1648" s="1065"/>
      <c r="BF1648" s="1065"/>
      <c r="BG1648" s="1065"/>
    </row>
    <row r="1649" spans="4:59">
      <c r="D1649" s="1065"/>
      <c r="S1649" s="1065"/>
      <c r="BE1649" s="1065"/>
      <c r="BF1649" s="1065"/>
      <c r="BG1649" s="1065"/>
    </row>
    <row r="1650" spans="4:59">
      <c r="D1650" s="1065"/>
      <c r="S1650" s="1065"/>
      <c r="BE1650" s="1065"/>
      <c r="BF1650" s="1065"/>
      <c r="BG1650" s="1065"/>
    </row>
    <row r="1651" spans="4:59">
      <c r="D1651" s="1065"/>
      <c r="S1651" s="1065"/>
      <c r="BE1651" s="1065"/>
      <c r="BF1651" s="1065"/>
      <c r="BG1651" s="1065"/>
    </row>
    <row r="1652" spans="4:59">
      <c r="D1652" s="1065"/>
      <c r="S1652" s="1065"/>
      <c r="BE1652" s="1065"/>
      <c r="BF1652" s="1065"/>
      <c r="BG1652" s="1065"/>
    </row>
    <row r="1653" spans="4:59">
      <c r="D1653" s="1065"/>
      <c r="S1653" s="1065"/>
      <c r="BE1653" s="1065"/>
      <c r="BF1653" s="1065"/>
      <c r="BG1653" s="1065"/>
    </row>
    <row r="1654" spans="4:59">
      <c r="D1654" s="1065"/>
      <c r="S1654" s="1065"/>
      <c r="BE1654" s="1065"/>
      <c r="BF1654" s="1065"/>
      <c r="BG1654" s="1065"/>
    </row>
    <row r="1655" spans="4:59">
      <c r="D1655" s="1065"/>
      <c r="S1655" s="1065"/>
      <c r="BE1655" s="1065"/>
      <c r="BF1655" s="1065"/>
      <c r="BG1655" s="1065"/>
    </row>
    <row r="1656" spans="4:59">
      <c r="D1656" s="1065"/>
      <c r="S1656" s="1065"/>
      <c r="BE1656" s="1065"/>
      <c r="BF1656" s="1065"/>
      <c r="BG1656" s="1065"/>
    </row>
    <row r="1657" spans="4:59">
      <c r="D1657" s="1065"/>
      <c r="S1657" s="1065"/>
      <c r="BE1657" s="1065"/>
      <c r="BF1657" s="1065"/>
      <c r="BG1657" s="1065"/>
    </row>
    <row r="1658" spans="4:59">
      <c r="D1658" s="1065"/>
      <c r="S1658" s="1065"/>
      <c r="BE1658" s="1065"/>
      <c r="BF1658" s="1065"/>
      <c r="BG1658" s="1065"/>
    </row>
    <row r="1659" spans="4:59">
      <c r="D1659" s="1065"/>
      <c r="S1659" s="1065"/>
      <c r="BE1659" s="1065"/>
      <c r="BF1659" s="1065"/>
      <c r="BG1659" s="1065"/>
    </row>
    <row r="1660" spans="4:59">
      <c r="D1660" s="1065"/>
      <c r="S1660" s="1065"/>
      <c r="BE1660" s="1065"/>
      <c r="BF1660" s="1065"/>
      <c r="BG1660" s="1065"/>
    </row>
    <row r="1661" spans="4:59">
      <c r="D1661" s="1065"/>
      <c r="S1661" s="1065"/>
      <c r="BE1661" s="1065"/>
      <c r="BF1661" s="1065"/>
      <c r="BG1661" s="1065"/>
    </row>
    <row r="1662" spans="4:59">
      <c r="D1662" s="1065"/>
      <c r="S1662" s="1065"/>
      <c r="BE1662" s="1065"/>
      <c r="BF1662" s="1065"/>
      <c r="BG1662" s="1065"/>
    </row>
    <row r="1663" spans="4:59">
      <c r="D1663" s="1065"/>
      <c r="S1663" s="1065"/>
      <c r="BE1663" s="1065"/>
      <c r="BF1663" s="1065"/>
      <c r="BG1663" s="1065"/>
    </row>
    <row r="1664" spans="4:59">
      <c r="D1664" s="1065"/>
      <c r="S1664" s="1065"/>
      <c r="BE1664" s="1065"/>
      <c r="BF1664" s="1065"/>
      <c r="BG1664" s="1065"/>
    </row>
    <row r="1665" spans="4:59">
      <c r="D1665" s="1065"/>
      <c r="S1665" s="1065"/>
      <c r="BE1665" s="1065"/>
      <c r="BF1665" s="1065"/>
      <c r="BG1665" s="1065"/>
    </row>
    <row r="1666" spans="4:59">
      <c r="D1666" s="1065"/>
      <c r="S1666" s="1065"/>
      <c r="BE1666" s="1065"/>
      <c r="BF1666" s="1065"/>
      <c r="BG1666" s="1065"/>
    </row>
    <row r="1667" spans="4:59">
      <c r="D1667" s="1065"/>
      <c r="S1667" s="1065"/>
      <c r="BE1667" s="1065"/>
      <c r="BF1667" s="1065"/>
      <c r="BG1667" s="1065"/>
    </row>
    <row r="1668" spans="4:59">
      <c r="D1668" s="1065"/>
      <c r="S1668" s="1065"/>
      <c r="BE1668" s="1065"/>
      <c r="BF1668" s="1065"/>
      <c r="BG1668" s="1065"/>
    </row>
    <row r="1669" spans="4:59">
      <c r="D1669" s="1065"/>
      <c r="S1669" s="1065"/>
      <c r="BE1669" s="1065"/>
      <c r="BF1669" s="1065"/>
      <c r="BG1669" s="1065"/>
    </row>
    <row r="1670" spans="4:59">
      <c r="D1670" s="1065"/>
      <c r="S1670" s="1065"/>
      <c r="BE1670" s="1065"/>
      <c r="BF1670" s="1065"/>
      <c r="BG1670" s="1065"/>
    </row>
    <row r="1671" spans="4:59">
      <c r="D1671" s="1065"/>
      <c r="S1671" s="1065"/>
      <c r="BE1671" s="1065"/>
      <c r="BF1671" s="1065"/>
      <c r="BG1671" s="1065"/>
    </row>
    <row r="1672" spans="4:59">
      <c r="D1672" s="1065"/>
      <c r="S1672" s="1065"/>
      <c r="BE1672" s="1065"/>
      <c r="BF1672" s="1065"/>
      <c r="BG1672" s="1065"/>
    </row>
    <row r="1673" spans="4:59">
      <c r="D1673" s="1065"/>
      <c r="S1673" s="1065"/>
      <c r="BE1673" s="1065"/>
      <c r="BF1673" s="1065"/>
      <c r="BG1673" s="1065"/>
    </row>
    <row r="1674" spans="4:59">
      <c r="D1674" s="1065"/>
      <c r="S1674" s="1065"/>
      <c r="BE1674" s="1065"/>
      <c r="BF1674" s="1065"/>
      <c r="BG1674" s="1065"/>
    </row>
    <row r="1675" spans="4:59">
      <c r="D1675" s="1065"/>
      <c r="S1675" s="1065"/>
      <c r="BE1675" s="1065"/>
      <c r="BF1675" s="1065"/>
      <c r="BG1675" s="1065"/>
    </row>
    <row r="1676" spans="4:59">
      <c r="D1676" s="1065"/>
      <c r="S1676" s="1065"/>
      <c r="BE1676" s="1065"/>
      <c r="BF1676" s="1065"/>
      <c r="BG1676" s="1065"/>
    </row>
    <row r="1677" spans="4:59">
      <c r="D1677" s="1065"/>
      <c r="S1677" s="1065"/>
      <c r="BE1677" s="1065"/>
      <c r="BF1677" s="1065"/>
      <c r="BG1677" s="1065"/>
    </row>
    <row r="1678" spans="4:59">
      <c r="D1678" s="1065"/>
      <c r="S1678" s="1065"/>
      <c r="BE1678" s="1065"/>
      <c r="BF1678" s="1065"/>
      <c r="BG1678" s="1065"/>
    </row>
    <row r="1679" spans="4:59">
      <c r="D1679" s="1065"/>
      <c r="S1679" s="1065"/>
      <c r="BE1679" s="1065"/>
      <c r="BF1679" s="1065"/>
      <c r="BG1679" s="1065"/>
    </row>
    <row r="1680" spans="4:59">
      <c r="D1680" s="1065"/>
      <c r="S1680" s="1065"/>
      <c r="BE1680" s="1065"/>
      <c r="BF1680" s="1065"/>
      <c r="BG1680" s="1065"/>
    </row>
    <row r="1681" spans="4:59">
      <c r="D1681" s="1065"/>
      <c r="S1681" s="1065"/>
      <c r="BE1681" s="1065"/>
      <c r="BF1681" s="1065"/>
      <c r="BG1681" s="1065"/>
    </row>
    <row r="1682" spans="4:59">
      <c r="D1682" s="1065"/>
      <c r="S1682" s="1065"/>
      <c r="BE1682" s="1065"/>
      <c r="BF1682" s="1065"/>
      <c r="BG1682" s="1065"/>
    </row>
    <row r="1683" spans="4:59">
      <c r="D1683" s="1065"/>
      <c r="S1683" s="1065"/>
      <c r="BE1683" s="1065"/>
      <c r="BF1683" s="1065"/>
      <c r="BG1683" s="1065"/>
    </row>
    <row r="1684" spans="4:59">
      <c r="D1684" s="1065"/>
      <c r="S1684" s="1065"/>
      <c r="BE1684" s="1065"/>
      <c r="BF1684" s="1065"/>
      <c r="BG1684" s="1065"/>
    </row>
    <row r="1685" spans="4:59">
      <c r="D1685" s="1065"/>
      <c r="S1685" s="1065"/>
      <c r="BE1685" s="1065"/>
      <c r="BF1685" s="1065"/>
      <c r="BG1685" s="1065"/>
    </row>
    <row r="1686" spans="4:59">
      <c r="D1686" s="1065"/>
      <c r="S1686" s="1065"/>
      <c r="BE1686" s="1065"/>
      <c r="BF1686" s="1065"/>
      <c r="BG1686" s="1065"/>
    </row>
    <row r="1687" spans="4:59">
      <c r="D1687" s="1065"/>
      <c r="S1687" s="1065"/>
      <c r="BE1687" s="1065"/>
      <c r="BF1687" s="1065"/>
      <c r="BG1687" s="1065"/>
    </row>
    <row r="1688" spans="4:59">
      <c r="D1688" s="1065"/>
      <c r="S1688" s="1065"/>
      <c r="BE1688" s="1065"/>
      <c r="BF1688" s="1065"/>
      <c r="BG1688" s="1065"/>
    </row>
    <row r="1689" spans="4:59">
      <c r="D1689" s="1065"/>
      <c r="S1689" s="1065"/>
      <c r="BE1689" s="1065"/>
      <c r="BF1689" s="1065"/>
      <c r="BG1689" s="1065"/>
    </row>
    <row r="1690" spans="4:59">
      <c r="D1690" s="1065"/>
      <c r="S1690" s="1065"/>
      <c r="BE1690" s="1065"/>
      <c r="BF1690" s="1065"/>
      <c r="BG1690" s="1065"/>
    </row>
    <row r="1691" spans="4:59">
      <c r="D1691" s="1065"/>
      <c r="S1691" s="1065"/>
      <c r="BE1691" s="1065"/>
      <c r="BF1691" s="1065"/>
      <c r="BG1691" s="1065"/>
    </row>
    <row r="1692" spans="4:59">
      <c r="D1692" s="1065"/>
      <c r="S1692" s="1065"/>
      <c r="BE1692" s="1065"/>
      <c r="BF1692" s="1065"/>
      <c r="BG1692" s="1065"/>
    </row>
    <row r="1693" spans="4:59">
      <c r="D1693" s="1065"/>
      <c r="S1693" s="1065"/>
      <c r="BE1693" s="1065"/>
      <c r="BF1693" s="1065"/>
      <c r="BG1693" s="1065"/>
    </row>
    <row r="1694" spans="4:59">
      <c r="D1694" s="1065"/>
      <c r="S1694" s="1065"/>
      <c r="BE1694" s="1065"/>
      <c r="BF1694" s="1065"/>
      <c r="BG1694" s="1065"/>
    </row>
    <row r="1695" spans="4:59">
      <c r="D1695" s="1065"/>
      <c r="S1695" s="1065"/>
      <c r="BE1695" s="1065"/>
      <c r="BF1695" s="1065"/>
      <c r="BG1695" s="1065"/>
    </row>
    <row r="1696" spans="4:59">
      <c r="D1696" s="1065"/>
      <c r="S1696" s="1065"/>
      <c r="BE1696" s="1065"/>
      <c r="BF1696" s="1065"/>
      <c r="BG1696" s="1065"/>
    </row>
    <row r="1697" spans="4:59">
      <c r="D1697" s="1065"/>
      <c r="S1697" s="1065"/>
      <c r="BE1697" s="1065"/>
      <c r="BF1697" s="1065"/>
      <c r="BG1697" s="1065"/>
    </row>
    <row r="1698" spans="4:59">
      <c r="D1698" s="1065"/>
      <c r="S1698" s="1065"/>
      <c r="BE1698" s="1065"/>
      <c r="BF1698" s="1065"/>
      <c r="BG1698" s="1065"/>
    </row>
    <row r="1699" spans="4:59">
      <c r="D1699" s="1065"/>
      <c r="S1699" s="1065"/>
      <c r="BE1699" s="1065"/>
      <c r="BF1699" s="1065"/>
      <c r="BG1699" s="1065"/>
    </row>
    <row r="1700" spans="4:59">
      <c r="D1700" s="1065"/>
      <c r="S1700" s="1065"/>
      <c r="BE1700" s="1065"/>
      <c r="BF1700" s="1065"/>
      <c r="BG1700" s="1065"/>
    </row>
    <row r="1701" spans="4:59">
      <c r="D1701" s="1065"/>
      <c r="S1701" s="1065"/>
      <c r="BE1701" s="1065"/>
      <c r="BF1701" s="1065"/>
      <c r="BG1701" s="1065"/>
    </row>
    <row r="1702" spans="4:59">
      <c r="D1702" s="1065"/>
      <c r="S1702" s="1065"/>
      <c r="BE1702" s="1065"/>
      <c r="BF1702" s="1065"/>
      <c r="BG1702" s="1065"/>
    </row>
    <row r="1703" spans="4:59">
      <c r="D1703" s="1065"/>
      <c r="S1703" s="1065"/>
      <c r="BE1703" s="1065"/>
      <c r="BF1703" s="1065"/>
      <c r="BG1703" s="1065"/>
    </row>
    <row r="1704" spans="4:59">
      <c r="D1704" s="1065"/>
      <c r="S1704" s="1065"/>
      <c r="BE1704" s="1065"/>
      <c r="BF1704" s="1065"/>
      <c r="BG1704" s="1065"/>
    </row>
    <row r="1705" spans="4:59">
      <c r="D1705" s="1065"/>
      <c r="S1705" s="1065"/>
      <c r="BE1705" s="1065"/>
      <c r="BF1705" s="1065"/>
      <c r="BG1705" s="1065"/>
    </row>
    <row r="1706" spans="4:59">
      <c r="D1706" s="1065"/>
      <c r="S1706" s="1065"/>
      <c r="BE1706" s="1065"/>
      <c r="BF1706" s="1065"/>
      <c r="BG1706" s="1065"/>
    </row>
    <row r="1707" spans="4:59">
      <c r="D1707" s="1065"/>
      <c r="S1707" s="1065"/>
      <c r="BE1707" s="1065"/>
      <c r="BF1707" s="1065"/>
      <c r="BG1707" s="1065"/>
    </row>
    <row r="1708" spans="4:59">
      <c r="D1708" s="1065"/>
      <c r="S1708" s="1065"/>
      <c r="BE1708" s="1065"/>
      <c r="BF1708" s="1065"/>
      <c r="BG1708" s="1065"/>
    </row>
    <row r="1709" spans="4:59">
      <c r="D1709" s="1065"/>
      <c r="S1709" s="1065"/>
      <c r="BE1709" s="1065"/>
      <c r="BF1709" s="1065"/>
      <c r="BG1709" s="1065"/>
    </row>
    <row r="1710" spans="4:59">
      <c r="D1710" s="1065"/>
      <c r="S1710" s="1065"/>
      <c r="BE1710" s="1065"/>
      <c r="BF1710" s="1065"/>
      <c r="BG1710" s="1065"/>
    </row>
    <row r="1711" spans="4:59">
      <c r="D1711" s="1065"/>
      <c r="S1711" s="1065"/>
      <c r="BE1711" s="1065"/>
      <c r="BF1711" s="1065"/>
      <c r="BG1711" s="1065"/>
    </row>
    <row r="1712" spans="4:59">
      <c r="D1712" s="1065"/>
      <c r="S1712" s="1065"/>
      <c r="BE1712" s="1065"/>
      <c r="BF1712" s="1065"/>
      <c r="BG1712" s="1065"/>
    </row>
    <row r="1713" spans="4:59">
      <c r="D1713" s="1065"/>
      <c r="S1713" s="1065"/>
      <c r="BE1713" s="1065"/>
      <c r="BF1713" s="1065"/>
      <c r="BG1713" s="1065"/>
    </row>
    <row r="1714" spans="4:59">
      <c r="D1714" s="1065"/>
      <c r="S1714" s="1065"/>
      <c r="BE1714" s="1065"/>
      <c r="BF1714" s="1065"/>
      <c r="BG1714" s="1065"/>
    </row>
    <row r="1715" spans="4:59">
      <c r="D1715" s="1065"/>
      <c r="S1715" s="1065"/>
      <c r="BE1715" s="1065"/>
      <c r="BF1715" s="1065"/>
      <c r="BG1715" s="1065"/>
    </row>
    <row r="1716" spans="4:59">
      <c r="D1716" s="1065"/>
      <c r="S1716" s="1065"/>
      <c r="BE1716" s="1065"/>
      <c r="BF1716" s="1065"/>
      <c r="BG1716" s="1065"/>
    </row>
    <row r="1717" spans="4:59">
      <c r="D1717" s="1065"/>
      <c r="S1717" s="1065"/>
      <c r="BE1717" s="1065"/>
      <c r="BF1717" s="1065"/>
      <c r="BG1717" s="1065"/>
    </row>
    <row r="1718" spans="4:59">
      <c r="D1718" s="1065"/>
      <c r="S1718" s="1065"/>
      <c r="BE1718" s="1065"/>
      <c r="BF1718" s="1065"/>
      <c r="BG1718" s="1065"/>
    </row>
    <row r="1719" spans="4:59">
      <c r="D1719" s="1065"/>
      <c r="S1719" s="1065"/>
      <c r="BE1719" s="1065"/>
      <c r="BF1719" s="1065"/>
      <c r="BG1719" s="1065"/>
    </row>
    <row r="1720" spans="4:59">
      <c r="D1720" s="1065"/>
      <c r="S1720" s="1065"/>
      <c r="BE1720" s="1065"/>
      <c r="BF1720" s="1065"/>
      <c r="BG1720" s="1065"/>
    </row>
    <row r="1721" spans="4:59">
      <c r="D1721" s="1065"/>
      <c r="S1721" s="1065"/>
      <c r="BE1721" s="1065"/>
      <c r="BF1721" s="1065"/>
      <c r="BG1721" s="1065"/>
    </row>
    <row r="1722" spans="4:59">
      <c r="D1722" s="1065"/>
      <c r="S1722" s="1065"/>
      <c r="BE1722" s="1065"/>
      <c r="BF1722" s="1065"/>
      <c r="BG1722" s="1065"/>
    </row>
    <row r="1723" spans="4:59">
      <c r="D1723" s="1065"/>
      <c r="S1723" s="1065"/>
      <c r="BE1723" s="1065"/>
      <c r="BF1723" s="1065"/>
      <c r="BG1723" s="1065"/>
    </row>
    <row r="1724" spans="4:59">
      <c r="D1724" s="1065"/>
      <c r="S1724" s="1065"/>
      <c r="BE1724" s="1065"/>
      <c r="BF1724" s="1065"/>
      <c r="BG1724" s="1065"/>
    </row>
    <row r="1725" spans="4:59">
      <c r="D1725" s="1065"/>
      <c r="S1725" s="1065"/>
      <c r="BE1725" s="1065"/>
      <c r="BF1725" s="1065"/>
      <c r="BG1725" s="1065"/>
    </row>
    <row r="1726" spans="4:59">
      <c r="D1726" s="1065"/>
      <c r="S1726" s="1065"/>
      <c r="BE1726" s="1065"/>
      <c r="BF1726" s="1065"/>
      <c r="BG1726" s="1065"/>
    </row>
    <row r="1727" spans="4:59">
      <c r="D1727" s="1065"/>
      <c r="S1727" s="1065"/>
      <c r="BE1727" s="1065"/>
      <c r="BF1727" s="1065"/>
      <c r="BG1727" s="1065"/>
    </row>
    <row r="1728" spans="4:59">
      <c r="D1728" s="1065"/>
      <c r="S1728" s="1065"/>
      <c r="BE1728" s="1065"/>
      <c r="BF1728" s="1065"/>
      <c r="BG1728" s="1065"/>
    </row>
    <row r="1729" spans="4:59">
      <c r="D1729" s="1065"/>
      <c r="S1729" s="1065"/>
      <c r="BE1729" s="1065"/>
      <c r="BF1729" s="1065"/>
      <c r="BG1729" s="1065"/>
    </row>
    <row r="1730" spans="4:59">
      <c r="D1730" s="1065"/>
      <c r="S1730" s="1065"/>
      <c r="BE1730" s="1065"/>
      <c r="BF1730" s="1065"/>
      <c r="BG1730" s="1065"/>
    </row>
    <row r="1731" spans="4:59">
      <c r="D1731" s="1065"/>
      <c r="S1731" s="1065"/>
      <c r="BE1731" s="1065"/>
      <c r="BF1731" s="1065"/>
      <c r="BG1731" s="1065"/>
    </row>
    <row r="1732" spans="4:59">
      <c r="D1732" s="1065"/>
      <c r="S1732" s="1065"/>
      <c r="BE1732" s="1065"/>
      <c r="BF1732" s="1065"/>
      <c r="BG1732" s="1065"/>
    </row>
    <row r="1733" spans="4:59">
      <c r="D1733" s="1065"/>
      <c r="S1733" s="1065"/>
      <c r="BE1733" s="1065"/>
      <c r="BF1733" s="1065"/>
      <c r="BG1733" s="1065"/>
    </row>
    <row r="1734" spans="4:59">
      <c r="D1734" s="1065"/>
      <c r="S1734" s="1065"/>
      <c r="BE1734" s="1065"/>
      <c r="BF1734" s="1065"/>
      <c r="BG1734" s="1065"/>
    </row>
    <row r="1735" spans="4:59">
      <c r="D1735" s="1065"/>
      <c r="S1735" s="1065"/>
      <c r="BE1735" s="1065"/>
      <c r="BF1735" s="1065"/>
      <c r="BG1735" s="1065"/>
    </row>
    <row r="1736" spans="4:59">
      <c r="D1736" s="1065"/>
      <c r="S1736" s="1065"/>
      <c r="BE1736" s="1065"/>
      <c r="BF1736" s="1065"/>
      <c r="BG1736" s="1065"/>
    </row>
    <row r="1737" spans="4:59">
      <c r="D1737" s="1065"/>
      <c r="S1737" s="1065"/>
      <c r="BE1737" s="1065"/>
      <c r="BF1737" s="1065"/>
      <c r="BG1737" s="1065"/>
    </row>
    <row r="1738" spans="4:59">
      <c r="D1738" s="1065"/>
      <c r="S1738" s="1065"/>
      <c r="BE1738" s="1065"/>
      <c r="BF1738" s="1065"/>
      <c r="BG1738" s="1065"/>
    </row>
    <row r="1739" spans="4:59">
      <c r="D1739" s="1065"/>
      <c r="S1739" s="1065"/>
      <c r="BE1739" s="1065"/>
      <c r="BF1739" s="1065"/>
      <c r="BG1739" s="1065"/>
    </row>
    <row r="1740" spans="4:59">
      <c r="D1740" s="1065"/>
      <c r="S1740" s="1065"/>
      <c r="BE1740" s="1065"/>
      <c r="BF1740" s="1065"/>
      <c r="BG1740" s="1065"/>
    </row>
    <row r="1741" spans="4:59">
      <c r="D1741" s="1065"/>
      <c r="S1741" s="1065"/>
      <c r="BE1741" s="1065"/>
      <c r="BF1741" s="1065"/>
      <c r="BG1741" s="1065"/>
    </row>
    <row r="1742" spans="4:59">
      <c r="D1742" s="1065"/>
      <c r="S1742" s="1065"/>
      <c r="BE1742" s="1065"/>
      <c r="BF1742" s="1065"/>
      <c r="BG1742" s="1065"/>
    </row>
    <row r="1743" spans="4:59">
      <c r="D1743" s="1065"/>
      <c r="S1743" s="1065"/>
      <c r="BE1743" s="1065"/>
      <c r="BF1743" s="1065"/>
      <c r="BG1743" s="1065"/>
    </row>
    <row r="1744" spans="4:59">
      <c r="D1744" s="1065"/>
      <c r="S1744" s="1065"/>
      <c r="BE1744" s="1065"/>
      <c r="BF1744" s="1065"/>
      <c r="BG1744" s="1065"/>
    </row>
    <row r="1745" spans="4:59">
      <c r="D1745" s="1065"/>
      <c r="S1745" s="1065"/>
      <c r="BE1745" s="1065"/>
      <c r="BF1745" s="1065"/>
      <c r="BG1745" s="1065"/>
    </row>
    <row r="1746" spans="4:59">
      <c r="D1746" s="1065"/>
      <c r="S1746" s="1065"/>
      <c r="BE1746" s="1065"/>
      <c r="BF1746" s="1065"/>
      <c r="BG1746" s="1065"/>
    </row>
    <row r="1747" spans="4:59">
      <c r="D1747" s="1065"/>
      <c r="S1747" s="1065"/>
      <c r="BE1747" s="1065"/>
      <c r="BF1747" s="1065"/>
      <c r="BG1747" s="1065"/>
    </row>
    <row r="1748" spans="4:59">
      <c r="D1748" s="1065"/>
      <c r="S1748" s="1065"/>
      <c r="BE1748" s="1065"/>
      <c r="BF1748" s="1065"/>
      <c r="BG1748" s="1065"/>
    </row>
    <row r="1749" spans="4:59">
      <c r="D1749" s="1065"/>
      <c r="S1749" s="1065"/>
      <c r="BE1749" s="1065"/>
      <c r="BF1749" s="1065"/>
      <c r="BG1749" s="1065"/>
    </row>
    <row r="1750" spans="4:59">
      <c r="D1750" s="1065"/>
      <c r="S1750" s="1065"/>
      <c r="BE1750" s="1065"/>
      <c r="BF1750" s="1065"/>
      <c r="BG1750" s="1065"/>
    </row>
    <row r="1751" spans="4:59">
      <c r="D1751" s="1065"/>
      <c r="S1751" s="1065"/>
      <c r="BE1751" s="1065"/>
      <c r="BF1751" s="1065"/>
      <c r="BG1751" s="1065"/>
    </row>
    <row r="1752" spans="4:59">
      <c r="D1752" s="1065"/>
      <c r="S1752" s="1065"/>
      <c r="BE1752" s="1065"/>
      <c r="BF1752" s="1065"/>
      <c r="BG1752" s="1065"/>
    </row>
    <row r="1753" spans="4:59">
      <c r="D1753" s="1065"/>
      <c r="S1753" s="1065"/>
      <c r="BE1753" s="1065"/>
      <c r="BF1753" s="1065"/>
      <c r="BG1753" s="1065"/>
    </row>
    <row r="1754" spans="4:59">
      <c r="D1754" s="1065"/>
      <c r="S1754" s="1065"/>
      <c r="BE1754" s="1065"/>
      <c r="BF1754" s="1065"/>
      <c r="BG1754" s="1065"/>
    </row>
    <row r="1755" spans="4:59">
      <c r="D1755" s="1065"/>
      <c r="S1755" s="1065"/>
      <c r="BE1755" s="1065"/>
      <c r="BF1755" s="1065"/>
      <c r="BG1755" s="1065"/>
    </row>
    <row r="1756" spans="4:59">
      <c r="D1756" s="1065"/>
      <c r="S1756" s="1065"/>
      <c r="BE1756" s="1065"/>
      <c r="BF1756" s="1065"/>
      <c r="BG1756" s="1065"/>
    </row>
    <row r="1757" spans="4:59">
      <c r="D1757" s="1065"/>
      <c r="S1757" s="1065"/>
      <c r="BE1757" s="1065"/>
      <c r="BF1757" s="1065"/>
      <c r="BG1757" s="1065"/>
    </row>
    <row r="1758" spans="4:59">
      <c r="D1758" s="1065"/>
      <c r="S1758" s="1065"/>
      <c r="BE1758" s="1065"/>
      <c r="BF1758" s="1065"/>
      <c r="BG1758" s="1065"/>
    </row>
    <row r="1764" spans="4:59">
      <c r="D1764" s="1065"/>
      <c r="S1764" s="1065"/>
      <c r="BE1764" s="1065"/>
      <c r="BF1764" s="1065"/>
      <c r="BG1764" s="1065"/>
    </row>
    <row r="1765" spans="4:59">
      <c r="D1765" s="1065"/>
      <c r="S1765" s="1065"/>
      <c r="BE1765" s="1065"/>
      <c r="BF1765" s="1065"/>
      <c r="BG1765" s="1065"/>
    </row>
    <row r="1766" spans="4:59">
      <c r="D1766" s="1065"/>
      <c r="S1766" s="1065"/>
      <c r="BE1766" s="1065"/>
      <c r="BF1766" s="1065"/>
      <c r="BG1766" s="1065"/>
    </row>
    <row r="1767" spans="4:59">
      <c r="D1767" s="1065"/>
      <c r="S1767" s="1065"/>
      <c r="BE1767" s="1065"/>
      <c r="BF1767" s="1065"/>
      <c r="BG1767" s="1065"/>
    </row>
    <row r="1768" spans="4:59">
      <c r="D1768" s="1065"/>
      <c r="S1768" s="1065"/>
      <c r="BE1768" s="1065"/>
      <c r="BF1768" s="1065"/>
      <c r="BG1768" s="1065"/>
    </row>
    <row r="1769" spans="4:59">
      <c r="D1769" s="1065"/>
      <c r="S1769" s="1065"/>
      <c r="BE1769" s="1065"/>
      <c r="BF1769" s="1065"/>
      <c r="BG1769" s="1065"/>
    </row>
    <row r="1770" spans="4:59">
      <c r="D1770" s="1065"/>
      <c r="S1770" s="1065"/>
      <c r="BE1770" s="1065"/>
      <c r="BF1770" s="1065"/>
      <c r="BG1770" s="1065"/>
    </row>
    <row r="1771" spans="4:59">
      <c r="D1771" s="1065"/>
      <c r="S1771" s="1065"/>
      <c r="BE1771" s="1065"/>
      <c r="BF1771" s="1065"/>
      <c r="BG1771" s="1065"/>
    </row>
    <row r="1772" spans="4:59">
      <c r="D1772" s="1065"/>
      <c r="S1772" s="1065"/>
      <c r="BE1772" s="1065"/>
      <c r="BF1772" s="1065"/>
      <c r="BG1772" s="1065"/>
    </row>
    <row r="1773" spans="4:59">
      <c r="D1773" s="1065"/>
      <c r="S1773" s="1065"/>
      <c r="BE1773" s="1065"/>
      <c r="BF1773" s="1065"/>
      <c r="BG1773" s="1065"/>
    </row>
    <row r="1774" spans="4:59">
      <c r="D1774" s="1065"/>
      <c r="S1774" s="1065"/>
      <c r="BE1774" s="1065"/>
      <c r="BF1774" s="1065"/>
      <c r="BG1774" s="1065"/>
    </row>
    <row r="1775" spans="4:59">
      <c r="D1775" s="1065"/>
      <c r="S1775" s="1065"/>
      <c r="BE1775" s="1065"/>
      <c r="BF1775" s="1065"/>
      <c r="BG1775" s="1065"/>
    </row>
    <row r="1776" spans="4:59">
      <c r="D1776" s="1065"/>
      <c r="S1776" s="1065"/>
      <c r="BE1776" s="1065"/>
      <c r="BF1776" s="1065"/>
      <c r="BG1776" s="1065"/>
    </row>
    <row r="1777" spans="4:59">
      <c r="D1777" s="1065"/>
      <c r="S1777" s="1065"/>
      <c r="BE1777" s="1065"/>
      <c r="BF1777" s="1065"/>
      <c r="BG1777" s="1065"/>
    </row>
    <row r="1778" spans="4:59">
      <c r="D1778" s="1065"/>
      <c r="S1778" s="1065"/>
      <c r="BE1778" s="1065"/>
      <c r="BF1778" s="1065"/>
      <c r="BG1778" s="1065"/>
    </row>
    <row r="1779" spans="4:59">
      <c r="D1779" s="1065"/>
      <c r="S1779" s="1065"/>
      <c r="BE1779" s="1065"/>
      <c r="BF1779" s="1065"/>
      <c r="BG1779" s="1065"/>
    </row>
    <row r="1780" spans="4:59">
      <c r="D1780" s="1065"/>
      <c r="S1780" s="1065"/>
      <c r="BE1780" s="1065"/>
      <c r="BF1780" s="1065"/>
      <c r="BG1780" s="1065"/>
    </row>
    <row r="1781" spans="4:59">
      <c r="D1781" s="1065"/>
      <c r="S1781" s="1065"/>
      <c r="BE1781" s="1065"/>
      <c r="BF1781" s="1065"/>
      <c r="BG1781" s="1065"/>
    </row>
    <row r="1782" spans="4:59">
      <c r="D1782" s="1065"/>
      <c r="S1782" s="1065"/>
      <c r="BE1782" s="1065"/>
      <c r="BF1782" s="1065"/>
      <c r="BG1782" s="1065"/>
    </row>
    <row r="1783" spans="4:59">
      <c r="D1783" s="1065"/>
      <c r="S1783" s="1065"/>
      <c r="BE1783" s="1065"/>
      <c r="BF1783" s="1065"/>
      <c r="BG1783" s="1065"/>
    </row>
    <row r="1784" spans="4:59">
      <c r="D1784" s="1065"/>
      <c r="S1784" s="1065"/>
      <c r="BE1784" s="1065"/>
      <c r="BF1784" s="1065"/>
      <c r="BG1784" s="1065"/>
    </row>
    <row r="1785" spans="4:59">
      <c r="D1785" s="1065"/>
      <c r="S1785" s="1065"/>
      <c r="BE1785" s="1065"/>
      <c r="BF1785" s="1065"/>
      <c r="BG1785" s="1065"/>
    </row>
    <row r="1786" spans="4:59">
      <c r="D1786" s="1065"/>
      <c r="S1786" s="1065"/>
      <c r="BE1786" s="1065"/>
      <c r="BF1786" s="1065"/>
      <c r="BG1786" s="1065"/>
    </row>
    <row r="1787" spans="4:59">
      <c r="D1787" s="1065"/>
      <c r="S1787" s="1065"/>
      <c r="BE1787" s="1065"/>
      <c r="BF1787" s="1065"/>
      <c r="BG1787" s="1065"/>
    </row>
    <row r="1788" spans="4:59">
      <c r="D1788" s="1065"/>
      <c r="S1788" s="1065"/>
      <c r="BE1788" s="1065"/>
      <c r="BF1788" s="1065"/>
      <c r="BG1788" s="1065"/>
    </row>
    <row r="1789" spans="4:59">
      <c r="D1789" s="1065"/>
      <c r="S1789" s="1065"/>
      <c r="BE1789" s="1065"/>
      <c r="BF1789" s="1065"/>
      <c r="BG1789" s="1065"/>
    </row>
    <row r="1790" spans="4:59">
      <c r="D1790" s="1065"/>
      <c r="S1790" s="1065"/>
      <c r="BE1790" s="1065"/>
      <c r="BF1790" s="1065"/>
      <c r="BG1790" s="1065"/>
    </row>
    <row r="1791" spans="4:59">
      <c r="D1791" s="1065"/>
      <c r="S1791" s="1065"/>
      <c r="BE1791" s="1065"/>
      <c r="BF1791" s="1065"/>
      <c r="BG1791" s="1065"/>
    </row>
    <row r="1792" spans="4:59">
      <c r="D1792" s="1065"/>
      <c r="S1792" s="1065"/>
      <c r="BE1792" s="1065"/>
      <c r="BF1792" s="1065"/>
      <c r="BG1792" s="1065"/>
    </row>
    <row r="1793" spans="4:59">
      <c r="D1793" s="1065"/>
      <c r="S1793" s="1065"/>
      <c r="BE1793" s="1065"/>
      <c r="BF1793" s="1065"/>
      <c r="BG1793" s="1065"/>
    </row>
    <row r="1794" spans="4:59">
      <c r="D1794" s="1065"/>
      <c r="S1794" s="1065"/>
      <c r="BE1794" s="1065"/>
      <c r="BF1794" s="1065"/>
      <c r="BG1794" s="1065"/>
    </row>
    <row r="1795" spans="4:59">
      <c r="D1795" s="1065"/>
      <c r="S1795" s="1065"/>
      <c r="BE1795" s="1065"/>
      <c r="BF1795" s="1065"/>
      <c r="BG1795" s="1065"/>
    </row>
    <row r="1796" spans="4:59">
      <c r="D1796" s="1065"/>
      <c r="S1796" s="1065"/>
      <c r="BE1796" s="1065"/>
      <c r="BF1796" s="1065"/>
      <c r="BG1796" s="1065"/>
    </row>
    <row r="1797" spans="4:59">
      <c r="D1797" s="1065"/>
      <c r="S1797" s="1065"/>
      <c r="BE1797" s="1065"/>
      <c r="BF1797" s="1065"/>
      <c r="BG1797" s="1065"/>
    </row>
    <row r="1798" spans="4:59">
      <c r="D1798" s="1065"/>
      <c r="S1798" s="1065"/>
      <c r="BE1798" s="1065"/>
      <c r="BF1798" s="1065"/>
      <c r="BG1798" s="1065"/>
    </row>
    <row r="1799" spans="4:59">
      <c r="D1799" s="1065"/>
      <c r="S1799" s="1065"/>
      <c r="BE1799" s="1065"/>
      <c r="BF1799" s="1065"/>
      <c r="BG1799" s="1065"/>
    </row>
    <row r="1800" spans="4:59">
      <c r="D1800" s="1065"/>
      <c r="S1800" s="1065"/>
      <c r="BE1800" s="1065"/>
      <c r="BF1800" s="1065"/>
      <c r="BG1800" s="1065"/>
    </row>
    <row r="1801" spans="4:59">
      <c r="D1801" s="1065"/>
      <c r="S1801" s="1065"/>
      <c r="BE1801" s="1065"/>
      <c r="BF1801" s="1065"/>
      <c r="BG1801" s="1065"/>
    </row>
    <row r="1802" spans="4:59">
      <c r="D1802" s="1065"/>
      <c r="S1802" s="1065"/>
      <c r="BE1802" s="1065"/>
      <c r="BF1802" s="1065"/>
      <c r="BG1802" s="1065"/>
    </row>
    <row r="1803" spans="4:59">
      <c r="D1803" s="1065"/>
      <c r="S1803" s="1065"/>
      <c r="BE1803" s="1065"/>
      <c r="BF1803" s="1065"/>
      <c r="BG1803" s="1065"/>
    </row>
    <row r="1804" spans="4:59">
      <c r="D1804" s="1065"/>
      <c r="S1804" s="1065"/>
      <c r="BE1804" s="1065"/>
      <c r="BF1804" s="1065"/>
      <c r="BG1804" s="1065"/>
    </row>
    <row r="1805" spans="4:59">
      <c r="D1805" s="1065"/>
      <c r="S1805" s="1065"/>
      <c r="BE1805" s="1065"/>
      <c r="BF1805" s="1065"/>
      <c r="BG1805" s="1065"/>
    </row>
    <row r="1806" spans="4:59">
      <c r="D1806" s="1065"/>
      <c r="S1806" s="1065"/>
      <c r="BE1806" s="1065"/>
      <c r="BF1806" s="1065"/>
      <c r="BG1806" s="1065"/>
    </row>
    <row r="1807" spans="4:59">
      <c r="D1807" s="1065"/>
      <c r="S1807" s="1065"/>
      <c r="BE1807" s="1065"/>
      <c r="BF1807" s="1065"/>
      <c r="BG1807" s="1065"/>
    </row>
    <row r="1808" spans="4:59">
      <c r="D1808" s="1065"/>
      <c r="S1808" s="1065"/>
      <c r="BE1808" s="1065"/>
      <c r="BF1808" s="1065"/>
      <c r="BG1808" s="1065"/>
    </row>
    <row r="1809" spans="4:59">
      <c r="D1809" s="1065"/>
      <c r="S1809" s="1065"/>
      <c r="BE1809" s="1065"/>
      <c r="BF1809" s="1065"/>
      <c r="BG1809" s="1065"/>
    </row>
    <row r="1810" spans="4:59">
      <c r="D1810" s="1065"/>
      <c r="S1810" s="1065"/>
      <c r="BE1810" s="1065"/>
      <c r="BF1810" s="1065"/>
      <c r="BG1810" s="1065"/>
    </row>
    <row r="1811" spans="4:59">
      <c r="D1811" s="1065"/>
      <c r="S1811" s="1065"/>
      <c r="BE1811" s="1065"/>
      <c r="BF1811" s="1065"/>
      <c r="BG1811" s="1065"/>
    </row>
    <row r="1812" spans="4:59">
      <c r="D1812" s="1065"/>
      <c r="S1812" s="1065"/>
      <c r="BE1812" s="1065"/>
      <c r="BF1812" s="1065"/>
      <c r="BG1812" s="1065"/>
    </row>
    <row r="1813" spans="4:59">
      <c r="D1813" s="1065"/>
      <c r="S1813" s="1065"/>
      <c r="BE1813" s="1065"/>
      <c r="BF1813" s="1065"/>
      <c r="BG1813" s="1065"/>
    </row>
    <row r="1814" spans="4:59">
      <c r="D1814" s="1065"/>
      <c r="S1814" s="1065"/>
      <c r="BE1814" s="1065"/>
      <c r="BF1814" s="1065"/>
      <c r="BG1814" s="1065"/>
    </row>
    <row r="1815" spans="4:59">
      <c r="D1815" s="1065"/>
      <c r="S1815" s="1065"/>
      <c r="BE1815" s="1065"/>
      <c r="BF1815" s="1065"/>
      <c r="BG1815" s="1065"/>
    </row>
    <row r="1816" spans="4:59">
      <c r="D1816" s="1065"/>
      <c r="S1816" s="1065"/>
      <c r="BE1816" s="1065"/>
      <c r="BF1816" s="1065"/>
      <c r="BG1816" s="1065"/>
    </row>
    <row r="1817" spans="4:59">
      <c r="D1817" s="1065"/>
      <c r="S1817" s="1065"/>
      <c r="BE1817" s="1065"/>
      <c r="BF1817" s="1065"/>
      <c r="BG1817" s="1065"/>
    </row>
    <row r="1818" spans="4:59">
      <c r="D1818" s="1065"/>
      <c r="S1818" s="1065"/>
      <c r="BE1818" s="1065"/>
      <c r="BF1818" s="1065"/>
      <c r="BG1818" s="1065"/>
    </row>
    <row r="1819" spans="4:59">
      <c r="D1819" s="1065"/>
      <c r="S1819" s="1065"/>
      <c r="BE1819" s="1065"/>
      <c r="BF1819" s="1065"/>
      <c r="BG1819" s="1065"/>
    </row>
    <row r="1820" spans="4:59">
      <c r="D1820" s="1065"/>
      <c r="S1820" s="1065"/>
      <c r="BE1820" s="1065"/>
      <c r="BF1820" s="1065"/>
      <c r="BG1820" s="1065"/>
    </row>
    <row r="1821" spans="4:59">
      <c r="D1821" s="1065"/>
      <c r="S1821" s="1065"/>
      <c r="BE1821" s="1065"/>
      <c r="BF1821" s="1065"/>
      <c r="BG1821" s="1065"/>
    </row>
    <row r="1822" spans="4:59">
      <c r="D1822" s="1065"/>
      <c r="S1822" s="1065"/>
      <c r="BE1822" s="1065"/>
      <c r="BF1822" s="1065"/>
      <c r="BG1822" s="1065"/>
    </row>
    <row r="1823" spans="4:59">
      <c r="D1823" s="1065"/>
      <c r="S1823" s="1065"/>
      <c r="BE1823" s="1065"/>
      <c r="BF1823" s="1065"/>
      <c r="BG1823" s="1065"/>
    </row>
    <row r="1834" spans="4:59">
      <c r="D1834" s="1065"/>
      <c r="S1834" s="1065"/>
      <c r="BE1834" s="1065"/>
      <c r="BF1834" s="1065"/>
      <c r="BG1834" s="1065"/>
    </row>
    <row r="1835" spans="4:59">
      <c r="D1835" s="1065"/>
      <c r="S1835" s="1065"/>
      <c r="BE1835" s="1065"/>
      <c r="BF1835" s="1065"/>
      <c r="BG1835" s="1065"/>
    </row>
    <row r="1836" spans="4:59">
      <c r="D1836" s="1065"/>
      <c r="S1836" s="1065"/>
      <c r="BE1836" s="1065"/>
      <c r="BF1836" s="1065"/>
      <c r="BG1836" s="1065"/>
    </row>
    <row r="1837" spans="4:59">
      <c r="D1837" s="1065"/>
      <c r="S1837" s="1065"/>
      <c r="BE1837" s="1065"/>
      <c r="BF1837" s="1065"/>
      <c r="BG1837" s="1065"/>
    </row>
    <row r="1838" spans="4:59">
      <c r="D1838" s="1065"/>
      <c r="S1838" s="1065"/>
      <c r="BE1838" s="1065"/>
      <c r="BF1838" s="1065"/>
      <c r="BG1838" s="1065"/>
    </row>
    <row r="1839" spans="4:59">
      <c r="D1839" s="1065"/>
      <c r="S1839" s="1065"/>
      <c r="BE1839" s="1065"/>
      <c r="BF1839" s="1065"/>
      <c r="BG1839" s="1065"/>
    </row>
    <row r="1840" spans="4:59">
      <c r="D1840" s="1065"/>
      <c r="S1840" s="1065"/>
      <c r="BE1840" s="1065"/>
      <c r="BF1840" s="1065"/>
      <c r="BG1840" s="1065"/>
    </row>
    <row r="1841" spans="4:59">
      <c r="D1841" s="1065"/>
      <c r="S1841" s="1065"/>
      <c r="BE1841" s="1065"/>
      <c r="BF1841" s="1065"/>
      <c r="BG1841" s="1065"/>
    </row>
    <row r="1842" spans="4:59">
      <c r="D1842" s="1065"/>
      <c r="S1842" s="1065"/>
      <c r="BE1842" s="1065"/>
      <c r="BF1842" s="1065"/>
      <c r="BG1842" s="1065"/>
    </row>
    <row r="1843" spans="4:59">
      <c r="D1843" s="1065"/>
      <c r="S1843" s="1065"/>
      <c r="BE1843" s="1065"/>
      <c r="BF1843" s="1065"/>
      <c r="BG1843" s="1065"/>
    </row>
    <row r="1844" spans="4:59">
      <c r="D1844" s="1065"/>
      <c r="S1844" s="1065"/>
      <c r="BE1844" s="1065"/>
      <c r="BF1844" s="1065"/>
      <c r="BG1844" s="1065"/>
    </row>
    <row r="1845" spans="4:59">
      <c r="D1845" s="1065"/>
      <c r="S1845" s="1065"/>
      <c r="BE1845" s="1065"/>
      <c r="BF1845" s="1065"/>
      <c r="BG1845" s="1065"/>
    </row>
    <row r="1846" spans="4:59">
      <c r="D1846" s="1065"/>
      <c r="S1846" s="1065"/>
      <c r="BE1846" s="1065"/>
      <c r="BF1846" s="1065"/>
      <c r="BG1846" s="1065"/>
    </row>
    <row r="1847" spans="4:59">
      <c r="D1847" s="1065"/>
      <c r="S1847" s="1065"/>
      <c r="BE1847" s="1065"/>
      <c r="BF1847" s="1065"/>
      <c r="BG1847" s="1065"/>
    </row>
    <row r="1848" spans="4:59">
      <c r="D1848" s="1065"/>
      <c r="S1848" s="1065"/>
      <c r="BE1848" s="1065"/>
      <c r="BF1848" s="1065"/>
      <c r="BG1848" s="1065"/>
    </row>
    <row r="1849" spans="4:59">
      <c r="D1849" s="1065"/>
      <c r="S1849" s="1065"/>
      <c r="BE1849" s="1065"/>
      <c r="BF1849" s="1065"/>
      <c r="BG1849" s="1065"/>
    </row>
    <row r="1850" spans="4:59">
      <c r="D1850" s="1065"/>
      <c r="S1850" s="1065"/>
      <c r="BE1850" s="1065"/>
      <c r="BF1850" s="1065"/>
      <c r="BG1850" s="1065"/>
    </row>
    <row r="1851" spans="4:59">
      <c r="D1851" s="1065"/>
      <c r="S1851" s="1065"/>
      <c r="BE1851" s="1065"/>
      <c r="BF1851" s="1065"/>
      <c r="BG1851" s="1065"/>
    </row>
    <row r="1852" spans="4:59">
      <c r="D1852" s="1065"/>
      <c r="S1852" s="1065"/>
      <c r="BE1852" s="1065"/>
      <c r="BF1852" s="1065"/>
      <c r="BG1852" s="1065"/>
    </row>
    <row r="1853" spans="4:59">
      <c r="D1853" s="1065"/>
      <c r="S1853" s="1065"/>
      <c r="BE1853" s="1065"/>
      <c r="BF1853" s="1065"/>
      <c r="BG1853" s="1065"/>
    </row>
    <row r="1854" spans="4:59">
      <c r="D1854" s="1065"/>
      <c r="S1854" s="1065"/>
      <c r="BE1854" s="1065"/>
      <c r="BF1854" s="1065"/>
      <c r="BG1854" s="1065"/>
    </row>
    <row r="1855" spans="4:59">
      <c r="D1855" s="1065"/>
      <c r="S1855" s="1065"/>
      <c r="BE1855" s="1065"/>
      <c r="BF1855" s="1065"/>
      <c r="BG1855" s="1065"/>
    </row>
    <row r="1856" spans="4:59">
      <c r="D1856" s="1065"/>
      <c r="S1856" s="1065"/>
      <c r="BE1856" s="1065"/>
      <c r="BF1856" s="1065"/>
      <c r="BG1856" s="1065"/>
    </row>
    <row r="1857" spans="4:59">
      <c r="D1857" s="1065"/>
      <c r="S1857" s="1065"/>
      <c r="BE1857" s="1065"/>
      <c r="BF1857" s="1065"/>
      <c r="BG1857" s="1065"/>
    </row>
    <row r="1858" spans="4:59">
      <c r="D1858" s="1065"/>
      <c r="S1858" s="1065"/>
      <c r="BE1858" s="1065"/>
      <c r="BF1858" s="1065"/>
      <c r="BG1858" s="1065"/>
    </row>
    <row r="1859" spans="4:59">
      <c r="D1859" s="1065"/>
      <c r="S1859" s="1065"/>
      <c r="BE1859" s="1065"/>
      <c r="BF1859" s="1065"/>
      <c r="BG1859" s="1065"/>
    </row>
    <row r="1860" spans="4:59">
      <c r="D1860" s="1065"/>
      <c r="S1860" s="1065"/>
      <c r="BE1860" s="1065"/>
      <c r="BF1860" s="1065"/>
      <c r="BG1860" s="1065"/>
    </row>
    <row r="1861" spans="4:59">
      <c r="D1861" s="1065"/>
      <c r="S1861" s="1065"/>
      <c r="BE1861" s="1065"/>
      <c r="BF1861" s="1065"/>
      <c r="BG1861" s="1065"/>
    </row>
    <row r="1862" spans="4:59">
      <c r="D1862" s="1065"/>
      <c r="S1862" s="1065"/>
      <c r="BE1862" s="1065"/>
      <c r="BF1862" s="1065"/>
      <c r="BG1862" s="1065"/>
    </row>
    <row r="1863" spans="4:59">
      <c r="D1863" s="1065"/>
      <c r="S1863" s="1065"/>
      <c r="BE1863" s="1065"/>
      <c r="BF1863" s="1065"/>
      <c r="BG1863" s="1065"/>
    </row>
    <row r="1864" spans="4:59">
      <c r="D1864" s="1065"/>
      <c r="S1864" s="1065"/>
      <c r="BE1864" s="1065"/>
      <c r="BF1864" s="1065"/>
      <c r="BG1864" s="1065"/>
    </row>
    <row r="1865" spans="4:59">
      <c r="D1865" s="1065"/>
      <c r="S1865" s="1065"/>
      <c r="BE1865" s="1065"/>
      <c r="BF1865" s="1065"/>
      <c r="BG1865" s="1065"/>
    </row>
    <row r="1866" spans="4:59">
      <c r="D1866" s="1065"/>
      <c r="S1866" s="1065"/>
      <c r="BE1866" s="1065"/>
      <c r="BF1866" s="1065"/>
      <c r="BG1866" s="1065"/>
    </row>
    <row r="1867" spans="4:59">
      <c r="D1867" s="1065"/>
      <c r="S1867" s="1065"/>
      <c r="BE1867" s="1065"/>
      <c r="BF1867" s="1065"/>
      <c r="BG1867" s="1065"/>
    </row>
    <row r="1868" spans="4:59">
      <c r="D1868" s="1065"/>
      <c r="S1868" s="1065"/>
      <c r="BE1868" s="1065"/>
      <c r="BF1868" s="1065"/>
      <c r="BG1868" s="1065"/>
    </row>
    <row r="1869" spans="4:59">
      <c r="D1869" s="1065"/>
      <c r="S1869" s="1065"/>
      <c r="BE1869" s="1065"/>
      <c r="BF1869" s="1065"/>
      <c r="BG1869" s="1065"/>
    </row>
    <row r="1870" spans="4:59">
      <c r="D1870" s="1065"/>
      <c r="S1870" s="1065"/>
      <c r="BE1870" s="1065"/>
      <c r="BF1870" s="1065"/>
      <c r="BG1870" s="1065"/>
    </row>
    <row r="1871" spans="4:59">
      <c r="D1871" s="1065"/>
      <c r="S1871" s="1065"/>
      <c r="BE1871" s="1065"/>
      <c r="BF1871" s="1065"/>
      <c r="BG1871" s="1065"/>
    </row>
    <row r="1872" spans="4:59">
      <c r="D1872" s="1065"/>
      <c r="S1872" s="1065"/>
      <c r="BE1872" s="1065"/>
      <c r="BF1872" s="1065"/>
      <c r="BG1872" s="1065"/>
    </row>
    <row r="1873" spans="4:59">
      <c r="D1873" s="1065"/>
      <c r="S1873" s="1065"/>
      <c r="BE1873" s="1065"/>
      <c r="BF1873" s="1065"/>
      <c r="BG1873" s="1065"/>
    </row>
    <row r="1874" spans="4:59">
      <c r="D1874" s="1065"/>
      <c r="S1874" s="1065"/>
      <c r="BE1874" s="1065"/>
      <c r="BF1874" s="1065"/>
      <c r="BG1874" s="1065"/>
    </row>
    <row r="1875" spans="4:59">
      <c r="D1875" s="1065"/>
      <c r="S1875" s="1065"/>
      <c r="BE1875" s="1065"/>
      <c r="BF1875" s="1065"/>
      <c r="BG1875" s="1065"/>
    </row>
    <row r="1876" spans="4:59">
      <c r="D1876" s="1065"/>
      <c r="S1876" s="1065"/>
      <c r="BE1876" s="1065"/>
      <c r="BF1876" s="1065"/>
      <c r="BG1876" s="1065"/>
    </row>
    <row r="1877" spans="4:59">
      <c r="D1877" s="1065"/>
      <c r="S1877" s="1065"/>
      <c r="BE1877" s="1065"/>
      <c r="BF1877" s="1065"/>
      <c r="BG1877" s="1065"/>
    </row>
    <row r="1878" spans="4:59">
      <c r="D1878" s="1065"/>
      <c r="S1878" s="1065"/>
      <c r="BE1878" s="1065"/>
      <c r="BF1878" s="1065"/>
      <c r="BG1878" s="1065"/>
    </row>
    <row r="1879" spans="4:59">
      <c r="D1879" s="1065"/>
      <c r="S1879" s="1065"/>
      <c r="BE1879" s="1065"/>
      <c r="BF1879" s="1065"/>
      <c r="BG1879" s="1065"/>
    </row>
    <row r="1880" spans="4:59">
      <c r="D1880" s="1065"/>
      <c r="S1880" s="1065"/>
      <c r="BE1880" s="1065"/>
      <c r="BF1880" s="1065"/>
      <c r="BG1880" s="1065"/>
    </row>
    <row r="1881" spans="4:59">
      <c r="D1881" s="1065"/>
      <c r="S1881" s="1065"/>
      <c r="BE1881" s="1065"/>
      <c r="BF1881" s="1065"/>
      <c r="BG1881" s="1065"/>
    </row>
    <row r="1882" spans="4:59">
      <c r="D1882" s="1065"/>
      <c r="S1882" s="1065"/>
      <c r="BE1882" s="1065"/>
      <c r="BF1882" s="1065"/>
      <c r="BG1882" s="1065"/>
    </row>
    <row r="1883" spans="4:59">
      <c r="D1883" s="1065"/>
      <c r="S1883" s="1065"/>
      <c r="BE1883" s="1065"/>
      <c r="BF1883" s="1065"/>
      <c r="BG1883" s="1065"/>
    </row>
    <row r="1884" spans="4:59">
      <c r="D1884" s="1065"/>
      <c r="S1884" s="1065"/>
      <c r="BE1884" s="1065"/>
      <c r="BF1884" s="1065"/>
      <c r="BG1884" s="1065"/>
    </row>
    <row r="1885" spans="4:59">
      <c r="D1885" s="1065"/>
      <c r="S1885" s="1065"/>
      <c r="BE1885" s="1065"/>
      <c r="BF1885" s="1065"/>
      <c r="BG1885" s="1065"/>
    </row>
    <row r="1886" spans="4:59">
      <c r="D1886" s="1065"/>
      <c r="S1886" s="1065"/>
      <c r="BE1886" s="1065"/>
      <c r="BF1886" s="1065"/>
      <c r="BG1886" s="1065"/>
    </row>
    <row r="1887" spans="4:59">
      <c r="D1887" s="1065"/>
      <c r="S1887" s="1065"/>
      <c r="BE1887" s="1065"/>
      <c r="BF1887" s="1065"/>
      <c r="BG1887" s="1065"/>
    </row>
    <row r="1888" spans="4:59">
      <c r="D1888" s="1065"/>
      <c r="S1888" s="1065"/>
      <c r="BE1888" s="1065"/>
      <c r="BF1888" s="1065"/>
      <c r="BG1888" s="1065"/>
    </row>
    <row r="1889" spans="4:59">
      <c r="D1889" s="1065"/>
      <c r="S1889" s="1065"/>
      <c r="BE1889" s="1065"/>
      <c r="BF1889" s="1065"/>
      <c r="BG1889" s="1065"/>
    </row>
    <row r="1890" spans="4:59">
      <c r="D1890" s="1065"/>
      <c r="S1890" s="1065"/>
      <c r="BE1890" s="1065"/>
      <c r="BF1890" s="1065"/>
      <c r="BG1890" s="1065"/>
    </row>
    <row r="1891" spans="4:59">
      <c r="D1891" s="1065"/>
      <c r="S1891" s="1065"/>
      <c r="BE1891" s="1065"/>
      <c r="BF1891" s="1065"/>
      <c r="BG1891" s="1065"/>
    </row>
    <row r="1892" spans="4:59">
      <c r="D1892" s="1065"/>
      <c r="S1892" s="1065"/>
      <c r="BE1892" s="1065"/>
      <c r="BF1892" s="1065"/>
      <c r="BG1892" s="1065"/>
    </row>
    <row r="1893" spans="4:59">
      <c r="D1893" s="1065"/>
      <c r="S1893" s="1065"/>
      <c r="BE1893" s="1065"/>
      <c r="BF1893" s="1065"/>
      <c r="BG1893" s="1065"/>
    </row>
    <row r="1894" spans="4:59">
      <c r="D1894" s="1065"/>
      <c r="S1894" s="1065"/>
      <c r="BE1894" s="1065"/>
      <c r="BF1894" s="1065"/>
      <c r="BG1894" s="1065"/>
    </row>
    <row r="1895" spans="4:59">
      <c r="D1895" s="1065"/>
      <c r="S1895" s="1065"/>
      <c r="BE1895" s="1065"/>
      <c r="BF1895" s="1065"/>
      <c r="BG1895" s="1065"/>
    </row>
    <row r="1896" spans="4:59">
      <c r="D1896" s="1065"/>
      <c r="S1896" s="1065"/>
      <c r="BE1896" s="1065"/>
      <c r="BF1896" s="1065"/>
      <c r="BG1896" s="1065"/>
    </row>
    <row r="1897" spans="4:59">
      <c r="D1897" s="1065"/>
      <c r="S1897" s="1065"/>
      <c r="BE1897" s="1065"/>
      <c r="BF1897" s="1065"/>
      <c r="BG1897" s="1065"/>
    </row>
    <row r="1898" spans="4:59">
      <c r="D1898" s="1065"/>
      <c r="S1898" s="1065"/>
      <c r="BE1898" s="1065"/>
      <c r="BF1898" s="1065"/>
      <c r="BG1898" s="1065"/>
    </row>
    <row r="1899" spans="4:59">
      <c r="D1899" s="1065"/>
      <c r="S1899" s="1065"/>
      <c r="BE1899" s="1065"/>
      <c r="BF1899" s="1065"/>
      <c r="BG1899" s="1065"/>
    </row>
    <row r="1900" spans="4:59">
      <c r="D1900" s="1065"/>
      <c r="S1900" s="1065"/>
      <c r="BE1900" s="1065"/>
      <c r="BF1900" s="1065"/>
      <c r="BG1900" s="1065"/>
    </row>
    <row r="1901" spans="4:59">
      <c r="D1901" s="1065"/>
      <c r="S1901" s="1065"/>
      <c r="BE1901" s="1065"/>
      <c r="BF1901" s="1065"/>
      <c r="BG1901" s="1065"/>
    </row>
    <row r="1902" spans="4:59">
      <c r="D1902" s="1065"/>
      <c r="S1902" s="1065"/>
      <c r="BE1902" s="1065"/>
      <c r="BF1902" s="1065"/>
      <c r="BG1902" s="1065"/>
    </row>
    <row r="1903" spans="4:59">
      <c r="D1903" s="1065"/>
      <c r="S1903" s="1065"/>
      <c r="BE1903" s="1065"/>
      <c r="BF1903" s="1065"/>
      <c r="BG1903" s="1065"/>
    </row>
    <row r="1904" spans="4:59">
      <c r="D1904" s="1065"/>
      <c r="S1904" s="1065"/>
      <c r="BE1904" s="1065"/>
      <c r="BF1904" s="1065"/>
      <c r="BG1904" s="1065"/>
    </row>
    <row r="1905" spans="4:59">
      <c r="D1905" s="1065"/>
      <c r="S1905" s="1065"/>
      <c r="BE1905" s="1065"/>
      <c r="BF1905" s="1065"/>
      <c r="BG1905" s="1065"/>
    </row>
    <row r="1906" spans="4:59">
      <c r="D1906" s="1065"/>
      <c r="S1906" s="1065"/>
      <c r="BE1906" s="1065"/>
      <c r="BF1906" s="1065"/>
      <c r="BG1906" s="1065"/>
    </row>
    <row r="1907" spans="4:59">
      <c r="D1907" s="1065"/>
      <c r="S1907" s="1065"/>
      <c r="BE1907" s="1065"/>
      <c r="BF1907" s="1065"/>
      <c r="BG1907" s="1065"/>
    </row>
    <row r="1908" spans="4:59">
      <c r="D1908" s="1065"/>
      <c r="S1908" s="1065"/>
      <c r="BE1908" s="1065"/>
      <c r="BF1908" s="1065"/>
      <c r="BG1908" s="1065"/>
    </row>
    <row r="1909" spans="4:59">
      <c r="D1909" s="1065"/>
      <c r="S1909" s="1065"/>
      <c r="BE1909" s="1065"/>
      <c r="BF1909" s="1065"/>
      <c r="BG1909" s="1065"/>
    </row>
    <row r="1910" spans="4:59">
      <c r="D1910" s="1065"/>
      <c r="S1910" s="1065"/>
      <c r="BE1910" s="1065"/>
      <c r="BF1910" s="1065"/>
      <c r="BG1910" s="1065"/>
    </row>
    <row r="1911" spans="4:59">
      <c r="D1911" s="1065"/>
      <c r="S1911" s="1065"/>
      <c r="BE1911" s="1065"/>
      <c r="BF1911" s="1065"/>
      <c r="BG1911" s="1065"/>
    </row>
    <row r="1912" spans="4:59">
      <c r="D1912" s="1065"/>
      <c r="S1912" s="1065"/>
      <c r="BE1912" s="1065"/>
      <c r="BF1912" s="1065"/>
      <c r="BG1912" s="1065"/>
    </row>
    <row r="1913" spans="4:59">
      <c r="D1913" s="1065"/>
      <c r="S1913" s="1065"/>
      <c r="BE1913" s="1065"/>
      <c r="BF1913" s="1065"/>
      <c r="BG1913" s="1065"/>
    </row>
    <row r="1914" spans="4:59">
      <c r="D1914" s="1065"/>
      <c r="S1914" s="1065"/>
      <c r="BE1914" s="1065"/>
      <c r="BF1914" s="1065"/>
      <c r="BG1914" s="1065"/>
    </row>
    <row r="1915" spans="4:59">
      <c r="D1915" s="1065"/>
      <c r="S1915" s="1065"/>
      <c r="BE1915" s="1065"/>
      <c r="BF1915" s="1065"/>
      <c r="BG1915" s="1065"/>
    </row>
    <row r="1916" spans="4:59">
      <c r="D1916" s="1065"/>
      <c r="S1916" s="1065"/>
      <c r="BE1916" s="1065"/>
      <c r="BF1916" s="1065"/>
      <c r="BG1916" s="1065"/>
    </row>
    <row r="1917" spans="4:59">
      <c r="D1917" s="1065"/>
      <c r="S1917" s="1065"/>
      <c r="BE1917" s="1065"/>
      <c r="BF1917" s="1065"/>
      <c r="BG1917" s="1065"/>
    </row>
    <row r="1918" spans="4:59">
      <c r="D1918" s="1065"/>
      <c r="S1918" s="1065"/>
      <c r="BE1918" s="1065"/>
      <c r="BF1918" s="1065"/>
      <c r="BG1918" s="1065"/>
    </row>
    <row r="1919" spans="4:59">
      <c r="D1919" s="1065"/>
      <c r="S1919" s="1065"/>
      <c r="BE1919" s="1065"/>
      <c r="BF1919" s="1065"/>
      <c r="BG1919" s="1065"/>
    </row>
    <row r="1920" spans="4:59">
      <c r="D1920" s="1065"/>
      <c r="S1920" s="1065"/>
      <c r="BE1920" s="1065"/>
      <c r="BF1920" s="1065"/>
      <c r="BG1920" s="1065"/>
    </row>
    <row r="1921" spans="4:59">
      <c r="D1921" s="1065"/>
      <c r="S1921" s="1065"/>
      <c r="BE1921" s="1065"/>
      <c r="BF1921" s="1065"/>
      <c r="BG1921" s="1065"/>
    </row>
    <row r="1922" spans="4:59">
      <c r="D1922" s="1065"/>
      <c r="S1922" s="1065"/>
      <c r="BE1922" s="1065"/>
      <c r="BF1922" s="1065"/>
      <c r="BG1922" s="1065"/>
    </row>
    <row r="1923" spans="4:59">
      <c r="D1923" s="1065"/>
      <c r="S1923" s="1065"/>
      <c r="BE1923" s="1065"/>
      <c r="BF1923" s="1065"/>
      <c r="BG1923" s="1065"/>
    </row>
    <row r="1924" spans="4:59">
      <c r="D1924" s="1065"/>
      <c r="S1924" s="1065"/>
      <c r="BE1924" s="1065"/>
      <c r="BF1924" s="1065"/>
      <c r="BG1924" s="1065"/>
    </row>
    <row r="1925" spans="4:59">
      <c r="D1925" s="1065"/>
      <c r="S1925" s="1065"/>
      <c r="BE1925" s="1065"/>
      <c r="BF1925" s="1065"/>
      <c r="BG1925" s="1065"/>
    </row>
    <row r="1926" spans="4:59">
      <c r="D1926" s="1065"/>
      <c r="S1926" s="1065"/>
      <c r="BE1926" s="1065"/>
      <c r="BF1926" s="1065"/>
      <c r="BG1926" s="1065"/>
    </row>
    <row r="1927" spans="4:59">
      <c r="D1927" s="1065"/>
      <c r="S1927" s="1065"/>
      <c r="BE1927" s="1065"/>
      <c r="BF1927" s="1065"/>
      <c r="BG1927" s="1065"/>
    </row>
    <row r="1928" spans="4:59">
      <c r="D1928" s="1065"/>
      <c r="S1928" s="1065"/>
      <c r="BE1928" s="1065"/>
      <c r="BF1928" s="1065"/>
      <c r="BG1928" s="1065"/>
    </row>
    <row r="1929" spans="4:59">
      <c r="D1929" s="1065"/>
      <c r="S1929" s="1065"/>
      <c r="BE1929" s="1065"/>
      <c r="BF1929" s="1065"/>
      <c r="BG1929" s="1065"/>
    </row>
    <row r="1930" spans="4:59">
      <c r="D1930" s="1065"/>
      <c r="S1930" s="1065"/>
      <c r="BE1930" s="1065"/>
      <c r="BF1930" s="1065"/>
      <c r="BG1930" s="1065"/>
    </row>
    <row r="1931" spans="4:59">
      <c r="D1931" s="1065"/>
      <c r="S1931" s="1065"/>
      <c r="BE1931" s="1065"/>
      <c r="BF1931" s="1065"/>
      <c r="BG1931" s="1065"/>
    </row>
    <row r="1932" spans="4:59">
      <c r="D1932" s="1065"/>
      <c r="S1932" s="1065"/>
      <c r="BE1932" s="1065"/>
      <c r="BF1932" s="1065"/>
      <c r="BG1932" s="1065"/>
    </row>
    <row r="1933" spans="4:59">
      <c r="D1933" s="1065"/>
      <c r="S1933" s="1065"/>
      <c r="BE1933" s="1065"/>
      <c r="BF1933" s="1065"/>
      <c r="BG1933" s="1065"/>
    </row>
    <row r="1934" spans="4:59">
      <c r="D1934" s="1065"/>
      <c r="S1934" s="1065"/>
      <c r="BE1934" s="1065"/>
      <c r="BF1934" s="1065"/>
      <c r="BG1934" s="1065"/>
    </row>
    <row r="1935" spans="4:59">
      <c r="D1935" s="1065"/>
      <c r="S1935" s="1065"/>
      <c r="BE1935" s="1065"/>
      <c r="BF1935" s="1065"/>
      <c r="BG1935" s="1065"/>
    </row>
    <row r="1936" spans="4:59">
      <c r="D1936" s="1065"/>
      <c r="S1936" s="1065"/>
      <c r="BE1936" s="1065"/>
      <c r="BF1936" s="1065"/>
      <c r="BG1936" s="1065"/>
    </row>
    <row r="1937" spans="4:59">
      <c r="D1937" s="1065"/>
      <c r="S1937" s="1065"/>
      <c r="BE1937" s="1065"/>
      <c r="BF1937" s="1065"/>
      <c r="BG1937" s="1065"/>
    </row>
    <row r="1938" spans="4:59">
      <c r="D1938" s="1065"/>
      <c r="S1938" s="1065"/>
      <c r="BE1938" s="1065"/>
      <c r="BF1938" s="1065"/>
      <c r="BG1938" s="1065"/>
    </row>
    <row r="1939" spans="4:59">
      <c r="D1939" s="1065"/>
      <c r="S1939" s="1065"/>
      <c r="BE1939" s="1065"/>
      <c r="BF1939" s="1065"/>
      <c r="BG1939" s="1065"/>
    </row>
    <row r="1940" spans="4:59">
      <c r="D1940" s="1065"/>
      <c r="S1940" s="1065"/>
      <c r="BE1940" s="1065"/>
      <c r="BF1940" s="1065"/>
      <c r="BG1940" s="1065"/>
    </row>
    <row r="1941" spans="4:59">
      <c r="D1941" s="1065"/>
      <c r="S1941" s="1065"/>
      <c r="BE1941" s="1065"/>
      <c r="BF1941" s="1065"/>
      <c r="BG1941" s="1065"/>
    </row>
    <row r="1942" spans="4:59">
      <c r="D1942" s="1065"/>
      <c r="S1942" s="1065"/>
      <c r="BE1942" s="1065"/>
      <c r="BF1942" s="1065"/>
      <c r="BG1942" s="1065"/>
    </row>
    <row r="1943" spans="4:59">
      <c r="D1943" s="1065"/>
      <c r="S1943" s="1065"/>
      <c r="BE1943" s="1065"/>
      <c r="BF1943" s="1065"/>
      <c r="BG1943" s="1065"/>
    </row>
    <row r="1944" spans="4:59">
      <c r="D1944" s="1065"/>
      <c r="S1944" s="1065"/>
      <c r="BE1944" s="1065"/>
      <c r="BF1944" s="1065"/>
      <c r="BG1944" s="1065"/>
    </row>
    <row r="1945" spans="4:59">
      <c r="D1945" s="1065"/>
      <c r="S1945" s="1065"/>
      <c r="BE1945" s="1065"/>
      <c r="BF1945" s="1065"/>
      <c r="BG1945" s="1065"/>
    </row>
    <row r="1946" spans="4:59">
      <c r="D1946" s="1065"/>
      <c r="S1946" s="1065"/>
      <c r="BE1946" s="1065"/>
      <c r="BF1946" s="1065"/>
      <c r="BG1946" s="1065"/>
    </row>
    <row r="1947" spans="4:59">
      <c r="D1947" s="1065"/>
      <c r="S1947" s="1065"/>
      <c r="BE1947" s="1065"/>
      <c r="BF1947" s="1065"/>
      <c r="BG1947" s="1065"/>
    </row>
    <row r="1948" spans="4:59">
      <c r="D1948" s="1065"/>
      <c r="S1948" s="1065"/>
      <c r="BE1948" s="1065"/>
      <c r="BF1948" s="1065"/>
      <c r="BG1948" s="1065"/>
    </row>
    <row r="1949" spans="4:59">
      <c r="D1949" s="1065"/>
      <c r="S1949" s="1065"/>
      <c r="BE1949" s="1065"/>
      <c r="BF1949" s="1065"/>
      <c r="BG1949" s="1065"/>
    </row>
    <row r="1950" spans="4:59">
      <c r="D1950" s="1065"/>
      <c r="S1950" s="1065"/>
      <c r="BE1950" s="1065"/>
      <c r="BF1950" s="1065"/>
      <c r="BG1950" s="1065"/>
    </row>
    <row r="1951" spans="4:59">
      <c r="D1951" s="1065"/>
      <c r="S1951" s="1065"/>
      <c r="BE1951" s="1065"/>
      <c r="BF1951" s="1065"/>
      <c r="BG1951" s="1065"/>
    </row>
    <row r="1952" spans="4:59">
      <c r="D1952" s="1065"/>
      <c r="S1952" s="1065"/>
      <c r="BE1952" s="1065"/>
      <c r="BF1952" s="1065"/>
      <c r="BG1952" s="1065"/>
    </row>
    <row r="1953" spans="4:59">
      <c r="D1953" s="1065"/>
      <c r="S1953" s="1065"/>
      <c r="BE1953" s="1065"/>
      <c r="BF1953" s="1065"/>
      <c r="BG1953" s="1065"/>
    </row>
    <row r="1954" spans="4:59">
      <c r="D1954" s="1065"/>
      <c r="S1954" s="1065"/>
      <c r="BE1954" s="1065"/>
      <c r="BF1954" s="1065"/>
      <c r="BG1954" s="1065"/>
    </row>
    <row r="1955" spans="4:59">
      <c r="D1955" s="1065"/>
      <c r="S1955" s="1065"/>
      <c r="BE1955" s="1065"/>
      <c r="BF1955" s="1065"/>
      <c r="BG1955" s="1065"/>
    </row>
    <row r="1956" spans="4:59">
      <c r="D1956" s="1065"/>
      <c r="S1956" s="1065"/>
      <c r="BE1956" s="1065"/>
      <c r="BF1956" s="1065"/>
      <c r="BG1956" s="1065"/>
    </row>
    <row r="1957" spans="4:59">
      <c r="D1957" s="1065"/>
      <c r="S1957" s="1065"/>
      <c r="BE1957" s="1065"/>
      <c r="BF1957" s="1065"/>
      <c r="BG1957" s="1065"/>
    </row>
    <row r="1958" spans="4:59">
      <c r="D1958" s="1065"/>
      <c r="S1958" s="1065"/>
      <c r="BE1958" s="1065"/>
      <c r="BF1958" s="1065"/>
      <c r="BG1958" s="1065"/>
    </row>
    <row r="1959" spans="4:59">
      <c r="D1959" s="1065"/>
      <c r="S1959" s="1065"/>
      <c r="BE1959" s="1065"/>
      <c r="BF1959" s="1065"/>
      <c r="BG1959" s="1065"/>
    </row>
    <row r="1960" spans="4:59">
      <c r="D1960" s="1065"/>
      <c r="S1960" s="1065"/>
      <c r="BE1960" s="1065"/>
      <c r="BF1960" s="1065"/>
      <c r="BG1960" s="1065"/>
    </row>
    <row r="1961" spans="4:59">
      <c r="D1961" s="1065"/>
      <c r="S1961" s="1065"/>
      <c r="BE1961" s="1065"/>
      <c r="BF1961" s="1065"/>
      <c r="BG1961" s="1065"/>
    </row>
    <row r="1962" spans="4:59">
      <c r="D1962" s="1065"/>
      <c r="S1962" s="1065"/>
      <c r="BE1962" s="1065"/>
      <c r="BF1962" s="1065"/>
      <c r="BG1962" s="1065"/>
    </row>
    <row r="1963" spans="4:59">
      <c r="D1963" s="1065"/>
      <c r="S1963" s="1065"/>
      <c r="BE1963" s="1065"/>
      <c r="BF1963" s="1065"/>
      <c r="BG1963" s="1065"/>
    </row>
    <row r="1964" spans="4:59">
      <c r="D1964" s="1065"/>
      <c r="S1964" s="1065"/>
      <c r="BE1964" s="1065"/>
      <c r="BF1964" s="1065"/>
      <c r="BG1964" s="1065"/>
    </row>
    <row r="1965" spans="4:59">
      <c r="D1965" s="1065"/>
      <c r="S1965" s="1065"/>
      <c r="BE1965" s="1065"/>
      <c r="BF1965" s="1065"/>
      <c r="BG1965" s="1065"/>
    </row>
    <row r="1966" spans="4:59">
      <c r="D1966" s="1065"/>
      <c r="S1966" s="1065"/>
      <c r="BE1966" s="1065"/>
      <c r="BF1966" s="1065"/>
      <c r="BG1966" s="1065"/>
    </row>
    <row r="1967" spans="4:59">
      <c r="D1967" s="1065"/>
      <c r="S1967" s="1065"/>
      <c r="BE1967" s="1065"/>
      <c r="BF1967" s="1065"/>
      <c r="BG1967" s="1065"/>
    </row>
    <row r="1968" spans="4:59">
      <c r="D1968" s="1065"/>
      <c r="S1968" s="1065"/>
      <c r="BE1968" s="1065"/>
      <c r="BF1968" s="1065"/>
      <c r="BG1968" s="1065"/>
    </row>
    <row r="1969" spans="4:59">
      <c r="D1969" s="1065"/>
      <c r="S1969" s="1065"/>
      <c r="BE1969" s="1065"/>
      <c r="BF1969" s="1065"/>
      <c r="BG1969" s="1065"/>
    </row>
    <row r="1970" spans="4:59">
      <c r="D1970" s="1065"/>
      <c r="S1970" s="1065"/>
      <c r="BE1970" s="1065"/>
      <c r="BF1970" s="1065"/>
      <c r="BG1970" s="1065"/>
    </row>
    <row r="1971" spans="4:59">
      <c r="D1971" s="1065"/>
      <c r="S1971" s="1065"/>
      <c r="BE1971" s="1065"/>
      <c r="BF1971" s="1065"/>
      <c r="BG1971" s="1065"/>
    </row>
    <row r="1972" spans="4:59">
      <c r="D1972" s="1065"/>
      <c r="S1972" s="1065"/>
      <c r="BE1972" s="1065"/>
      <c r="BF1972" s="1065"/>
      <c r="BG1972" s="1065"/>
    </row>
    <row r="1973" spans="4:59">
      <c r="D1973" s="1065"/>
      <c r="S1973" s="1065"/>
      <c r="BE1973" s="1065"/>
      <c r="BF1973" s="1065"/>
      <c r="BG1973" s="1065"/>
    </row>
    <row r="1974" spans="4:59">
      <c r="D1974" s="1065"/>
      <c r="S1974" s="1065"/>
      <c r="BE1974" s="1065"/>
      <c r="BF1974" s="1065"/>
      <c r="BG1974" s="1065"/>
    </row>
    <row r="1975" spans="4:59">
      <c r="D1975" s="1065"/>
      <c r="S1975" s="1065"/>
      <c r="BE1975" s="1065"/>
      <c r="BF1975" s="1065"/>
      <c r="BG1975" s="1065"/>
    </row>
    <row r="1976" spans="4:59">
      <c r="D1976" s="1065"/>
      <c r="S1976" s="1065"/>
      <c r="BE1976" s="1065"/>
      <c r="BF1976" s="1065"/>
      <c r="BG1976" s="1065"/>
    </row>
    <row r="1977" spans="4:59">
      <c r="D1977" s="1065"/>
      <c r="S1977" s="1065"/>
      <c r="BE1977" s="1065"/>
      <c r="BF1977" s="1065"/>
      <c r="BG1977" s="1065"/>
    </row>
    <row r="1978" spans="4:59">
      <c r="D1978" s="1065"/>
      <c r="S1978" s="1065"/>
      <c r="BE1978" s="1065"/>
      <c r="BF1978" s="1065"/>
      <c r="BG1978" s="1065"/>
    </row>
    <row r="1979" spans="4:59">
      <c r="D1979" s="1065"/>
      <c r="S1979" s="1065"/>
      <c r="BE1979" s="1065"/>
      <c r="BF1979" s="1065"/>
      <c r="BG1979" s="1065"/>
    </row>
    <row r="1980" spans="4:59">
      <c r="D1980" s="1065"/>
      <c r="S1980" s="1065"/>
      <c r="BE1980" s="1065"/>
      <c r="BF1980" s="1065"/>
      <c r="BG1980" s="1065"/>
    </row>
    <row r="1981" spans="4:59">
      <c r="D1981" s="1065"/>
      <c r="S1981" s="1065"/>
      <c r="BE1981" s="1065"/>
      <c r="BF1981" s="1065"/>
      <c r="BG1981" s="1065"/>
    </row>
    <row r="1982" spans="4:59">
      <c r="D1982" s="1065"/>
      <c r="S1982" s="1065"/>
      <c r="BE1982" s="1065"/>
      <c r="BF1982" s="1065"/>
      <c r="BG1982" s="1065"/>
    </row>
    <row r="1983" spans="4:59">
      <c r="D1983" s="1065"/>
      <c r="S1983" s="1065"/>
      <c r="BE1983" s="1065"/>
      <c r="BF1983" s="1065"/>
      <c r="BG1983" s="1065"/>
    </row>
    <row r="1984" spans="4:59">
      <c r="D1984" s="1065"/>
      <c r="S1984" s="1065"/>
      <c r="BE1984" s="1065"/>
      <c r="BF1984" s="1065"/>
      <c r="BG1984" s="1065"/>
    </row>
    <row r="1985" spans="4:59">
      <c r="D1985" s="1065"/>
      <c r="S1985" s="1065"/>
      <c r="BE1985" s="1065"/>
      <c r="BF1985" s="1065"/>
      <c r="BG1985" s="1065"/>
    </row>
    <row r="1986" spans="4:59">
      <c r="D1986" s="1065"/>
      <c r="S1986" s="1065"/>
      <c r="BE1986" s="1065"/>
      <c r="BF1986" s="1065"/>
      <c r="BG1986" s="1065"/>
    </row>
    <row r="1987" spans="4:59">
      <c r="D1987" s="1065"/>
      <c r="S1987" s="1065"/>
      <c r="BE1987" s="1065"/>
      <c r="BF1987" s="1065"/>
      <c r="BG1987" s="1065"/>
    </row>
    <row r="1988" spans="4:59">
      <c r="D1988" s="1065"/>
      <c r="S1988" s="1065"/>
      <c r="BE1988" s="1065"/>
      <c r="BF1988" s="1065"/>
      <c r="BG1988" s="1065"/>
    </row>
    <row r="1989" spans="4:59">
      <c r="D1989" s="1065"/>
      <c r="S1989" s="1065"/>
      <c r="BE1989" s="1065"/>
      <c r="BF1989" s="1065"/>
      <c r="BG1989" s="1065"/>
    </row>
    <row r="1990" spans="4:59">
      <c r="D1990" s="1065"/>
      <c r="S1990" s="1065"/>
      <c r="BE1990" s="1065"/>
      <c r="BF1990" s="1065"/>
      <c r="BG1990" s="1065"/>
    </row>
    <row r="1991" spans="4:59">
      <c r="D1991" s="1065"/>
      <c r="S1991" s="1065"/>
      <c r="BE1991" s="1065"/>
      <c r="BF1991" s="1065"/>
      <c r="BG1991" s="1065"/>
    </row>
    <row r="1992" spans="4:59">
      <c r="D1992" s="1065"/>
      <c r="S1992" s="1065"/>
      <c r="BE1992" s="1065"/>
      <c r="BF1992" s="1065"/>
      <c r="BG1992" s="1065"/>
    </row>
    <row r="1996" spans="4:59">
      <c r="D1996" s="1065"/>
      <c r="S1996" s="1065"/>
      <c r="BE1996" s="1065"/>
      <c r="BF1996" s="1065"/>
      <c r="BG1996" s="1065"/>
    </row>
    <row r="1997" spans="4:59">
      <c r="D1997" s="1065"/>
      <c r="S1997" s="1065"/>
      <c r="BE1997" s="1065"/>
      <c r="BF1997" s="1065"/>
      <c r="BG1997" s="1065"/>
    </row>
    <row r="1998" spans="4:59">
      <c r="D1998" s="1065"/>
      <c r="S1998" s="1065"/>
      <c r="BE1998" s="1065"/>
      <c r="BF1998" s="1065"/>
      <c r="BG1998" s="1065"/>
    </row>
    <row r="1999" spans="4:59">
      <c r="D1999" s="1065"/>
      <c r="S1999" s="1065"/>
      <c r="BE1999" s="1065"/>
      <c r="BF1999" s="1065"/>
      <c r="BG1999" s="1065"/>
    </row>
    <row r="2000" spans="4:59">
      <c r="D2000" s="1065"/>
      <c r="S2000" s="1065"/>
      <c r="BE2000" s="1065"/>
      <c r="BF2000" s="1065"/>
      <c r="BG2000" s="1065"/>
    </row>
    <row r="2001" spans="4:59">
      <c r="D2001" s="1065"/>
      <c r="S2001" s="1065"/>
      <c r="BE2001" s="1065"/>
      <c r="BF2001" s="1065"/>
      <c r="BG2001" s="1065"/>
    </row>
    <row r="2002" spans="4:59">
      <c r="D2002" s="1065"/>
      <c r="S2002" s="1065"/>
      <c r="BE2002" s="1065"/>
      <c r="BF2002" s="1065"/>
      <c r="BG2002" s="1065"/>
    </row>
    <row r="2003" spans="4:59">
      <c r="D2003" s="1065"/>
      <c r="S2003" s="1065"/>
      <c r="BE2003" s="1065"/>
      <c r="BF2003" s="1065"/>
      <c r="BG2003" s="1065"/>
    </row>
    <row r="2004" spans="4:59">
      <c r="D2004" s="1065"/>
      <c r="S2004" s="1065"/>
      <c r="BE2004" s="1065"/>
      <c r="BF2004" s="1065"/>
      <c r="BG2004" s="1065"/>
    </row>
    <row r="2005" spans="4:59">
      <c r="D2005" s="1065"/>
      <c r="S2005" s="1065"/>
      <c r="BE2005" s="1065"/>
      <c r="BF2005" s="1065"/>
      <c r="BG2005" s="1065"/>
    </row>
    <row r="2006" spans="4:59">
      <c r="D2006" s="1065"/>
      <c r="S2006" s="1065"/>
      <c r="BE2006" s="1065"/>
      <c r="BF2006" s="1065"/>
      <c r="BG2006" s="1065"/>
    </row>
    <row r="2007" spans="4:59">
      <c r="D2007" s="1065"/>
      <c r="S2007" s="1065"/>
      <c r="BE2007" s="1065"/>
      <c r="BF2007" s="1065"/>
      <c r="BG2007" s="1065"/>
    </row>
    <row r="2008" spans="4:59">
      <c r="D2008" s="1065"/>
      <c r="S2008" s="1065"/>
      <c r="BE2008" s="1065"/>
      <c r="BF2008" s="1065"/>
      <c r="BG2008" s="1065"/>
    </row>
    <row r="2009" spans="4:59">
      <c r="D2009" s="1065"/>
      <c r="S2009" s="1065"/>
      <c r="BE2009" s="1065"/>
      <c r="BF2009" s="1065"/>
      <c r="BG2009" s="1065"/>
    </row>
    <row r="2010" spans="4:59">
      <c r="D2010" s="1065"/>
      <c r="S2010" s="1065"/>
      <c r="BE2010" s="1065"/>
      <c r="BF2010" s="1065"/>
      <c r="BG2010" s="1065"/>
    </row>
    <row r="2011" spans="4:59">
      <c r="D2011" s="1065"/>
      <c r="S2011" s="1065"/>
      <c r="BE2011" s="1065"/>
      <c r="BF2011" s="1065"/>
      <c r="BG2011" s="1065"/>
    </row>
    <row r="2012" spans="4:59">
      <c r="D2012" s="1065"/>
      <c r="S2012" s="1065"/>
      <c r="BE2012" s="1065"/>
      <c r="BF2012" s="1065"/>
      <c r="BG2012" s="1065"/>
    </row>
    <row r="2013" spans="4:59">
      <c r="D2013" s="1065"/>
      <c r="S2013" s="1065"/>
      <c r="BE2013" s="1065"/>
      <c r="BF2013" s="1065"/>
      <c r="BG2013" s="1065"/>
    </row>
    <row r="2014" spans="4:59">
      <c r="D2014" s="1065"/>
      <c r="S2014" s="1065"/>
      <c r="BE2014" s="1065"/>
      <c r="BF2014" s="1065"/>
      <c r="BG2014" s="1065"/>
    </row>
    <row r="2015" spans="4:59">
      <c r="D2015" s="1065"/>
      <c r="S2015" s="1065"/>
      <c r="BE2015" s="1065"/>
      <c r="BF2015" s="1065"/>
      <c r="BG2015" s="1065"/>
    </row>
    <row r="2016" spans="4:59">
      <c r="D2016" s="1065"/>
      <c r="S2016" s="1065"/>
      <c r="BE2016" s="1065"/>
      <c r="BF2016" s="1065"/>
      <c r="BG2016" s="1065"/>
    </row>
    <row r="2017" spans="4:59">
      <c r="D2017" s="1065"/>
      <c r="S2017" s="1065"/>
      <c r="BE2017" s="1065"/>
      <c r="BF2017" s="1065"/>
      <c r="BG2017" s="1065"/>
    </row>
    <row r="2018" spans="4:59">
      <c r="D2018" s="1065"/>
      <c r="S2018" s="1065"/>
      <c r="BE2018" s="1065"/>
      <c r="BF2018" s="1065"/>
      <c r="BG2018" s="1065"/>
    </row>
    <row r="2019" spans="4:59">
      <c r="D2019" s="1065"/>
      <c r="S2019" s="1065"/>
      <c r="BE2019" s="1065"/>
      <c r="BF2019" s="1065"/>
      <c r="BG2019" s="1065"/>
    </row>
    <row r="2020" spans="4:59">
      <c r="D2020" s="1065"/>
      <c r="S2020" s="1065"/>
      <c r="BE2020" s="1065"/>
      <c r="BF2020" s="1065"/>
      <c r="BG2020" s="1065"/>
    </row>
    <row r="2021" spans="4:59">
      <c r="D2021" s="1065"/>
      <c r="S2021" s="1065"/>
      <c r="BE2021" s="1065"/>
      <c r="BF2021" s="1065"/>
      <c r="BG2021" s="1065"/>
    </row>
    <row r="2022" spans="4:59">
      <c r="D2022" s="1065"/>
      <c r="S2022" s="1065"/>
      <c r="BE2022" s="1065"/>
      <c r="BF2022" s="1065"/>
      <c r="BG2022" s="1065"/>
    </row>
    <row r="2023" spans="4:59">
      <c r="D2023" s="1065"/>
      <c r="S2023" s="1065"/>
      <c r="BE2023" s="1065"/>
      <c r="BF2023" s="1065"/>
      <c r="BG2023" s="1065"/>
    </row>
    <row r="2024" spans="4:59">
      <c r="D2024" s="1065"/>
      <c r="S2024" s="1065"/>
      <c r="BE2024" s="1065"/>
      <c r="BF2024" s="1065"/>
      <c r="BG2024" s="1065"/>
    </row>
    <row r="2025" spans="4:59">
      <c r="D2025" s="1065"/>
      <c r="S2025" s="1065"/>
      <c r="BE2025" s="1065"/>
      <c r="BF2025" s="1065"/>
      <c r="BG2025" s="1065"/>
    </row>
    <row r="2026" spans="4:59">
      <c r="D2026" s="1065"/>
      <c r="S2026" s="1065"/>
      <c r="BE2026" s="1065"/>
      <c r="BF2026" s="1065"/>
      <c r="BG2026" s="1065"/>
    </row>
    <row r="2027" spans="4:59">
      <c r="D2027" s="1065"/>
      <c r="S2027" s="1065"/>
      <c r="BE2027" s="1065"/>
      <c r="BF2027" s="1065"/>
      <c r="BG2027" s="1065"/>
    </row>
    <row r="2028" spans="4:59">
      <c r="D2028" s="1065"/>
      <c r="S2028" s="1065"/>
      <c r="BE2028" s="1065"/>
      <c r="BF2028" s="1065"/>
      <c r="BG2028" s="1065"/>
    </row>
    <row r="2029" spans="4:59">
      <c r="D2029" s="1065"/>
      <c r="S2029" s="1065"/>
      <c r="BE2029" s="1065"/>
      <c r="BF2029" s="1065"/>
      <c r="BG2029" s="1065"/>
    </row>
    <row r="2030" spans="4:59">
      <c r="D2030" s="1065"/>
      <c r="S2030" s="1065"/>
      <c r="BE2030" s="1065"/>
      <c r="BF2030" s="1065"/>
      <c r="BG2030" s="1065"/>
    </row>
    <row r="2031" spans="4:59">
      <c r="D2031" s="1065"/>
      <c r="S2031" s="1065"/>
      <c r="BE2031" s="1065"/>
      <c r="BF2031" s="1065"/>
      <c r="BG2031" s="1065"/>
    </row>
    <row r="2032" spans="4:59">
      <c r="D2032" s="1065"/>
      <c r="S2032" s="1065"/>
      <c r="BE2032" s="1065"/>
      <c r="BF2032" s="1065"/>
      <c r="BG2032" s="1065"/>
    </row>
    <row r="2033" spans="4:59">
      <c r="D2033" s="1065"/>
      <c r="S2033" s="1065"/>
      <c r="BE2033" s="1065"/>
      <c r="BF2033" s="1065"/>
      <c r="BG2033" s="1065"/>
    </row>
    <row r="2034" spans="4:59">
      <c r="D2034" s="1065"/>
      <c r="S2034" s="1065"/>
      <c r="BE2034" s="1065"/>
      <c r="BF2034" s="1065"/>
      <c r="BG2034" s="1065"/>
    </row>
    <row r="2035" spans="4:59">
      <c r="D2035" s="1065"/>
      <c r="S2035" s="1065"/>
      <c r="BE2035" s="1065"/>
      <c r="BF2035" s="1065"/>
      <c r="BG2035" s="1065"/>
    </row>
    <row r="2036" spans="4:59">
      <c r="D2036" s="1065"/>
      <c r="S2036" s="1065"/>
      <c r="BE2036" s="1065"/>
      <c r="BF2036" s="1065"/>
      <c r="BG2036" s="1065"/>
    </row>
    <row r="2037" spans="4:59">
      <c r="D2037" s="1065"/>
      <c r="S2037" s="1065"/>
      <c r="BE2037" s="1065"/>
      <c r="BF2037" s="1065"/>
      <c r="BG2037" s="1065"/>
    </row>
    <row r="2038" spans="4:59">
      <c r="D2038" s="1065"/>
      <c r="S2038" s="1065"/>
      <c r="BE2038" s="1065"/>
      <c r="BF2038" s="1065"/>
      <c r="BG2038" s="1065"/>
    </row>
    <row r="2039" spans="4:59">
      <c r="D2039" s="1065"/>
      <c r="S2039" s="1065"/>
      <c r="BE2039" s="1065"/>
      <c r="BF2039" s="1065"/>
      <c r="BG2039" s="1065"/>
    </row>
    <row r="2040" spans="4:59">
      <c r="D2040" s="1065"/>
      <c r="S2040" s="1065"/>
      <c r="BE2040" s="1065"/>
      <c r="BF2040" s="1065"/>
      <c r="BG2040" s="1065"/>
    </row>
    <row r="2041" spans="4:59">
      <c r="D2041" s="1065"/>
      <c r="S2041" s="1065"/>
      <c r="BE2041" s="1065"/>
      <c r="BF2041" s="1065"/>
      <c r="BG2041" s="1065"/>
    </row>
    <row r="2042" spans="4:59">
      <c r="D2042" s="1065"/>
      <c r="S2042" s="1065"/>
      <c r="BE2042" s="1065"/>
      <c r="BF2042" s="1065"/>
      <c r="BG2042" s="1065"/>
    </row>
    <row r="2043" spans="4:59">
      <c r="D2043" s="1065"/>
      <c r="S2043" s="1065"/>
      <c r="BE2043" s="1065"/>
      <c r="BF2043" s="1065"/>
      <c r="BG2043" s="1065"/>
    </row>
    <row r="2044" spans="4:59">
      <c r="D2044" s="1065"/>
      <c r="S2044" s="1065"/>
      <c r="BE2044" s="1065"/>
      <c r="BF2044" s="1065"/>
      <c r="BG2044" s="1065"/>
    </row>
    <row r="2045" spans="4:59">
      <c r="D2045" s="1065"/>
      <c r="S2045" s="1065"/>
      <c r="BE2045" s="1065"/>
      <c r="BF2045" s="1065"/>
      <c r="BG2045" s="1065"/>
    </row>
    <row r="2046" spans="4:59">
      <c r="D2046" s="1065"/>
      <c r="S2046" s="1065"/>
      <c r="BE2046" s="1065"/>
      <c r="BF2046" s="1065"/>
      <c r="BG2046" s="1065"/>
    </row>
    <row r="2047" spans="4:59">
      <c r="D2047" s="1065"/>
      <c r="S2047" s="1065"/>
      <c r="BE2047" s="1065"/>
      <c r="BF2047" s="1065"/>
      <c r="BG2047" s="1065"/>
    </row>
    <row r="2048" spans="4:59">
      <c r="D2048" s="1065"/>
      <c r="S2048" s="1065"/>
      <c r="BE2048" s="1065"/>
      <c r="BF2048" s="1065"/>
      <c r="BG2048" s="1065"/>
    </row>
    <row r="2049" spans="4:59">
      <c r="D2049" s="1065"/>
      <c r="S2049" s="1065"/>
      <c r="BE2049" s="1065"/>
      <c r="BF2049" s="1065"/>
      <c r="BG2049" s="1065"/>
    </row>
    <row r="2050" spans="4:59">
      <c r="D2050" s="1065"/>
      <c r="S2050" s="1065"/>
      <c r="BE2050" s="1065"/>
      <c r="BF2050" s="1065"/>
      <c r="BG2050" s="1065"/>
    </row>
    <row r="2051" spans="4:59">
      <c r="D2051" s="1065"/>
      <c r="S2051" s="1065"/>
      <c r="BE2051" s="1065"/>
      <c r="BF2051" s="1065"/>
      <c r="BG2051" s="1065"/>
    </row>
    <row r="2052" spans="4:59">
      <c r="D2052" s="1065"/>
      <c r="S2052" s="1065"/>
      <c r="BE2052" s="1065"/>
      <c r="BF2052" s="1065"/>
      <c r="BG2052" s="1065"/>
    </row>
    <row r="2053" spans="4:59">
      <c r="D2053" s="1065"/>
      <c r="S2053" s="1065"/>
      <c r="BE2053" s="1065"/>
      <c r="BF2053" s="1065"/>
      <c r="BG2053" s="1065"/>
    </row>
    <row r="2054" spans="4:59">
      <c r="D2054" s="1065"/>
      <c r="S2054" s="1065"/>
      <c r="BE2054" s="1065"/>
      <c r="BF2054" s="1065"/>
      <c r="BG2054" s="1065"/>
    </row>
    <row r="2055" spans="4:59">
      <c r="D2055" s="1065"/>
      <c r="S2055" s="1065"/>
      <c r="BE2055" s="1065"/>
      <c r="BF2055" s="1065"/>
      <c r="BG2055" s="1065"/>
    </row>
    <row r="2056" spans="4:59">
      <c r="D2056" s="1065"/>
      <c r="S2056" s="1065"/>
      <c r="BE2056" s="1065"/>
      <c r="BF2056" s="1065"/>
      <c r="BG2056" s="1065"/>
    </row>
    <row r="2057" spans="4:59">
      <c r="D2057" s="1065"/>
      <c r="S2057" s="1065"/>
      <c r="BE2057" s="1065"/>
      <c r="BF2057" s="1065"/>
      <c r="BG2057" s="1065"/>
    </row>
    <row r="2058" spans="4:59">
      <c r="D2058" s="1065"/>
      <c r="S2058" s="1065"/>
      <c r="BE2058" s="1065"/>
      <c r="BF2058" s="1065"/>
      <c r="BG2058" s="1065"/>
    </row>
    <row r="2059" spans="4:59">
      <c r="D2059" s="1065"/>
      <c r="S2059" s="1065"/>
      <c r="BE2059" s="1065"/>
      <c r="BF2059" s="1065"/>
      <c r="BG2059" s="1065"/>
    </row>
    <row r="2060" spans="4:59">
      <c r="D2060" s="1065"/>
      <c r="S2060" s="1065"/>
      <c r="BE2060" s="1065"/>
      <c r="BF2060" s="1065"/>
      <c r="BG2060" s="1065"/>
    </row>
    <row r="2061" spans="4:59">
      <c r="D2061" s="1065"/>
      <c r="S2061" s="1065"/>
      <c r="BE2061" s="1065"/>
      <c r="BF2061" s="1065"/>
      <c r="BG2061" s="1065"/>
    </row>
    <row r="2062" spans="4:59">
      <c r="D2062" s="1065"/>
      <c r="S2062" s="1065"/>
      <c r="BE2062" s="1065"/>
      <c r="BF2062" s="1065"/>
      <c r="BG2062" s="1065"/>
    </row>
    <row r="2063" spans="4:59">
      <c r="D2063" s="1065"/>
      <c r="S2063" s="1065"/>
      <c r="BE2063" s="1065"/>
      <c r="BF2063" s="1065"/>
      <c r="BG2063" s="1065"/>
    </row>
    <row r="2064" spans="4:59">
      <c r="D2064" s="1065"/>
      <c r="S2064" s="1065"/>
      <c r="BE2064" s="1065"/>
      <c r="BF2064" s="1065"/>
      <c r="BG2064" s="1065"/>
    </row>
    <row r="2065" spans="4:59">
      <c r="D2065" s="1065"/>
      <c r="S2065" s="1065"/>
      <c r="BE2065" s="1065"/>
      <c r="BF2065" s="1065"/>
      <c r="BG2065" s="1065"/>
    </row>
    <row r="2066" spans="4:59">
      <c r="D2066" s="1065"/>
      <c r="S2066" s="1065"/>
      <c r="BE2066" s="1065"/>
      <c r="BF2066" s="1065"/>
      <c r="BG2066" s="1065"/>
    </row>
    <row r="2067" spans="4:59">
      <c r="D2067" s="1065"/>
      <c r="S2067" s="1065"/>
      <c r="BE2067" s="1065"/>
      <c r="BF2067" s="1065"/>
      <c r="BG2067" s="1065"/>
    </row>
    <row r="2068" spans="4:59">
      <c r="D2068" s="1065"/>
      <c r="S2068" s="1065"/>
      <c r="BE2068" s="1065"/>
      <c r="BF2068" s="1065"/>
      <c r="BG2068" s="1065"/>
    </row>
    <row r="2069" spans="4:59">
      <c r="D2069" s="1065"/>
      <c r="S2069" s="1065"/>
      <c r="BE2069" s="1065"/>
      <c r="BF2069" s="1065"/>
      <c r="BG2069" s="1065"/>
    </row>
    <row r="2071" spans="4:59">
      <c r="D2071" s="1065"/>
      <c r="S2071" s="1065"/>
      <c r="BE2071" s="1065"/>
      <c r="BF2071" s="1065"/>
      <c r="BG2071" s="1065"/>
    </row>
    <row r="2072" spans="4:59">
      <c r="D2072" s="1065"/>
      <c r="S2072" s="1065"/>
      <c r="BE2072" s="1065"/>
      <c r="BF2072" s="1065"/>
      <c r="BG2072" s="1065"/>
    </row>
    <row r="2077" spans="4:59">
      <c r="D2077" s="1065"/>
      <c r="S2077" s="1065"/>
      <c r="BE2077" s="1065"/>
      <c r="BF2077" s="1065"/>
      <c r="BG2077" s="1065"/>
    </row>
    <row r="2078" spans="4:59">
      <c r="D2078" s="1065"/>
      <c r="S2078" s="1065"/>
      <c r="BE2078" s="1065"/>
      <c r="BF2078" s="1065"/>
      <c r="BG2078" s="1065"/>
    </row>
    <row r="2080" spans="4:59">
      <c r="D2080" s="1065"/>
      <c r="S2080" s="1065"/>
      <c r="BE2080" s="1065"/>
      <c r="BF2080" s="1065"/>
      <c r="BG2080" s="1065"/>
    </row>
    <row r="2081" spans="4:59">
      <c r="D2081" s="1065"/>
      <c r="S2081" s="1065"/>
      <c r="BE2081" s="1065"/>
      <c r="BF2081" s="1065"/>
      <c r="BG2081" s="1065"/>
    </row>
    <row r="2082" spans="4:59">
      <c r="D2082" s="1065"/>
      <c r="S2082" s="1065"/>
      <c r="BE2082" s="1065"/>
      <c r="BF2082" s="1065"/>
      <c r="BG2082" s="1065"/>
    </row>
    <row r="2083" spans="4:59">
      <c r="D2083" s="1065"/>
      <c r="S2083" s="1065"/>
      <c r="BE2083" s="1065"/>
      <c r="BF2083" s="1065"/>
      <c r="BG2083" s="1065"/>
    </row>
    <row r="2084" spans="4:59">
      <c r="D2084" s="1065"/>
      <c r="S2084" s="1065"/>
      <c r="BE2084" s="1065"/>
      <c r="BF2084" s="1065"/>
      <c r="BG2084" s="1065"/>
    </row>
    <row r="2085" spans="4:59">
      <c r="D2085" s="1065"/>
      <c r="S2085" s="1065"/>
      <c r="BE2085" s="1065"/>
      <c r="BF2085" s="1065"/>
      <c r="BG2085" s="1065"/>
    </row>
    <row r="2086" spans="4:59">
      <c r="D2086" s="1065"/>
      <c r="S2086" s="1065"/>
      <c r="BE2086" s="1065"/>
      <c r="BF2086" s="1065"/>
      <c r="BG2086" s="1065"/>
    </row>
    <row r="2087" spans="4:59">
      <c r="D2087" s="1065"/>
      <c r="S2087" s="1065"/>
      <c r="BE2087" s="1065"/>
      <c r="BF2087" s="1065"/>
      <c r="BG2087" s="1065"/>
    </row>
    <row r="2088" spans="4:59">
      <c r="D2088" s="1065"/>
      <c r="S2088" s="1065"/>
      <c r="BE2088" s="1065"/>
      <c r="BF2088" s="1065"/>
      <c r="BG2088" s="1065"/>
    </row>
    <row r="2089" spans="4:59">
      <c r="D2089" s="1065"/>
      <c r="S2089" s="1065"/>
      <c r="BE2089" s="1065"/>
      <c r="BF2089" s="1065"/>
      <c r="BG2089" s="1065"/>
    </row>
    <row r="2090" spans="4:59">
      <c r="D2090" s="1065"/>
      <c r="S2090" s="1065"/>
      <c r="BE2090" s="1065"/>
      <c r="BF2090" s="1065"/>
      <c r="BG2090" s="1065"/>
    </row>
    <row r="2091" spans="4:59">
      <c r="D2091" s="1065"/>
      <c r="S2091" s="1065"/>
      <c r="BE2091" s="1065"/>
      <c r="BF2091" s="1065"/>
      <c r="BG2091" s="1065"/>
    </row>
    <row r="2092" spans="4:59">
      <c r="D2092" s="1065"/>
      <c r="S2092" s="1065"/>
      <c r="BE2092" s="1065"/>
      <c r="BF2092" s="1065"/>
      <c r="BG2092" s="1065"/>
    </row>
    <row r="2093" spans="4:59">
      <c r="D2093" s="1065"/>
      <c r="S2093" s="1065"/>
      <c r="BE2093" s="1065"/>
      <c r="BF2093" s="1065"/>
      <c r="BG2093" s="1065"/>
    </row>
    <row r="2094" spans="4:59">
      <c r="D2094" s="1065"/>
      <c r="S2094" s="1065"/>
      <c r="BE2094" s="1065"/>
      <c r="BF2094" s="1065"/>
      <c r="BG2094" s="1065"/>
    </row>
    <row r="2095" spans="4:59">
      <c r="D2095" s="1065"/>
      <c r="S2095" s="1065"/>
      <c r="BE2095" s="1065"/>
      <c r="BF2095" s="1065"/>
      <c r="BG2095" s="1065"/>
    </row>
    <row r="2096" spans="4:59">
      <c r="D2096" s="1065"/>
      <c r="S2096" s="1065"/>
      <c r="BE2096" s="1065"/>
      <c r="BF2096" s="1065"/>
      <c r="BG2096" s="1065"/>
    </row>
    <row r="2097" spans="4:59">
      <c r="D2097" s="1065"/>
      <c r="S2097" s="1065"/>
      <c r="BE2097" s="1065"/>
      <c r="BF2097" s="1065"/>
      <c r="BG2097" s="1065"/>
    </row>
    <row r="2098" spans="4:59">
      <c r="D2098" s="1065"/>
      <c r="S2098" s="1065"/>
      <c r="BE2098" s="1065"/>
      <c r="BF2098" s="1065"/>
      <c r="BG2098" s="1065"/>
    </row>
    <row r="2099" spans="4:59">
      <c r="D2099" s="1065"/>
      <c r="S2099" s="1065"/>
      <c r="BE2099" s="1065"/>
      <c r="BF2099" s="1065"/>
      <c r="BG2099" s="1065"/>
    </row>
    <row r="2100" spans="4:59">
      <c r="D2100" s="1065"/>
      <c r="S2100" s="1065"/>
      <c r="BE2100" s="1065"/>
      <c r="BF2100" s="1065"/>
      <c r="BG2100" s="1065"/>
    </row>
    <row r="2101" spans="4:59">
      <c r="D2101" s="1065"/>
      <c r="S2101" s="1065"/>
      <c r="BE2101" s="1065"/>
      <c r="BF2101" s="1065"/>
      <c r="BG2101" s="1065"/>
    </row>
    <row r="2102" spans="4:59">
      <c r="D2102" s="1065"/>
      <c r="S2102" s="1065"/>
      <c r="BE2102" s="1065"/>
      <c r="BF2102" s="1065"/>
      <c r="BG2102" s="1065"/>
    </row>
    <row r="2103" spans="4:59">
      <c r="D2103" s="1065"/>
      <c r="S2103" s="1065"/>
      <c r="BE2103" s="1065"/>
      <c r="BF2103" s="1065"/>
      <c r="BG2103" s="1065"/>
    </row>
    <row r="2104" spans="4:59">
      <c r="D2104" s="1065"/>
      <c r="S2104" s="1065"/>
      <c r="BE2104" s="1065"/>
      <c r="BF2104" s="1065"/>
      <c r="BG2104" s="1065"/>
    </row>
    <row r="2105" spans="4:59">
      <c r="D2105" s="1065"/>
      <c r="S2105" s="1065"/>
      <c r="BE2105" s="1065"/>
      <c r="BF2105" s="1065"/>
      <c r="BG2105" s="1065"/>
    </row>
    <row r="2106" spans="4:59">
      <c r="D2106" s="1065"/>
      <c r="S2106" s="1065"/>
      <c r="BE2106" s="1065"/>
      <c r="BF2106" s="1065"/>
      <c r="BG2106" s="1065"/>
    </row>
    <row r="2107" spans="4:59">
      <c r="D2107" s="1065"/>
      <c r="S2107" s="1065"/>
      <c r="BE2107" s="1065"/>
      <c r="BF2107" s="1065"/>
      <c r="BG2107" s="1065"/>
    </row>
    <row r="2108" spans="4:59">
      <c r="D2108" s="1065"/>
      <c r="S2108" s="1065"/>
      <c r="BE2108" s="1065"/>
      <c r="BF2108" s="1065"/>
      <c r="BG2108" s="1065"/>
    </row>
    <row r="2109" spans="4:59">
      <c r="D2109" s="1065"/>
      <c r="S2109" s="1065"/>
      <c r="BE2109" s="1065"/>
      <c r="BF2109" s="1065"/>
      <c r="BG2109" s="1065"/>
    </row>
    <row r="2110" spans="4:59">
      <c r="D2110" s="1065"/>
      <c r="S2110" s="1065"/>
      <c r="BE2110" s="1065"/>
      <c r="BF2110" s="1065"/>
      <c r="BG2110" s="1065"/>
    </row>
    <row r="2111" spans="4:59">
      <c r="D2111" s="1065"/>
      <c r="S2111" s="1065"/>
      <c r="BE2111" s="1065"/>
      <c r="BF2111" s="1065"/>
      <c r="BG2111" s="1065"/>
    </row>
    <row r="2112" spans="4:59">
      <c r="D2112" s="1065"/>
      <c r="S2112" s="1065"/>
      <c r="BE2112" s="1065"/>
      <c r="BF2112" s="1065"/>
      <c r="BG2112" s="1065"/>
    </row>
    <row r="2113" spans="4:59">
      <c r="D2113" s="1065"/>
      <c r="S2113" s="1065"/>
      <c r="BE2113" s="1065"/>
      <c r="BF2113" s="1065"/>
      <c r="BG2113" s="1065"/>
    </row>
    <row r="2114" spans="4:59">
      <c r="D2114" s="1065"/>
      <c r="S2114" s="1065"/>
      <c r="BE2114" s="1065"/>
      <c r="BF2114" s="1065"/>
      <c r="BG2114" s="1065"/>
    </row>
    <row r="2115" spans="4:59">
      <c r="D2115" s="1065"/>
      <c r="S2115" s="1065"/>
      <c r="BE2115" s="1065"/>
      <c r="BF2115" s="1065"/>
      <c r="BG2115" s="1065"/>
    </row>
    <row r="2116" spans="4:59">
      <c r="D2116" s="1065"/>
      <c r="S2116" s="1065"/>
      <c r="BE2116" s="1065"/>
      <c r="BF2116" s="1065"/>
      <c r="BG2116" s="1065"/>
    </row>
    <row r="2117" spans="4:59">
      <c r="D2117" s="1065"/>
      <c r="S2117" s="1065"/>
      <c r="BE2117" s="1065"/>
      <c r="BF2117" s="1065"/>
      <c r="BG2117" s="1065"/>
    </row>
    <row r="2118" spans="4:59">
      <c r="D2118" s="1065"/>
      <c r="S2118" s="1065"/>
      <c r="BE2118" s="1065"/>
      <c r="BF2118" s="1065"/>
      <c r="BG2118" s="1065"/>
    </row>
    <row r="2119" spans="4:59">
      <c r="D2119" s="1065"/>
      <c r="S2119" s="1065"/>
      <c r="BE2119" s="1065"/>
      <c r="BF2119" s="1065"/>
      <c r="BG2119" s="1065"/>
    </row>
    <row r="2120" spans="4:59">
      <c r="D2120" s="1065"/>
      <c r="S2120" s="1065"/>
      <c r="BE2120" s="1065"/>
      <c r="BF2120" s="1065"/>
      <c r="BG2120" s="1065"/>
    </row>
    <row r="2121" spans="4:59">
      <c r="D2121" s="1065"/>
      <c r="S2121" s="1065"/>
      <c r="BE2121" s="1065"/>
      <c r="BF2121" s="1065"/>
      <c r="BG2121" s="1065"/>
    </row>
    <row r="2122" spans="4:59">
      <c r="D2122" s="1065"/>
      <c r="S2122" s="1065"/>
      <c r="BE2122" s="1065"/>
      <c r="BF2122" s="1065"/>
      <c r="BG2122" s="1065"/>
    </row>
    <row r="2123" spans="4:59">
      <c r="D2123" s="1065"/>
      <c r="S2123" s="1065"/>
      <c r="BE2123" s="1065"/>
      <c r="BF2123" s="1065"/>
      <c r="BG2123" s="1065"/>
    </row>
    <row r="2124" spans="4:59">
      <c r="D2124" s="1065"/>
      <c r="S2124" s="1065"/>
      <c r="BE2124" s="1065"/>
      <c r="BF2124" s="1065"/>
      <c r="BG2124" s="1065"/>
    </row>
    <row r="2125" spans="4:59">
      <c r="D2125" s="1065"/>
      <c r="S2125" s="1065"/>
      <c r="BE2125" s="1065"/>
      <c r="BF2125" s="1065"/>
      <c r="BG2125" s="1065"/>
    </row>
    <row r="2126" spans="4:59">
      <c r="D2126" s="1065"/>
      <c r="S2126" s="1065"/>
      <c r="BE2126" s="1065"/>
      <c r="BF2126" s="1065"/>
      <c r="BG2126" s="1065"/>
    </row>
    <row r="2127" spans="4:59">
      <c r="D2127" s="1065"/>
      <c r="S2127" s="1065"/>
      <c r="BE2127" s="1065"/>
      <c r="BF2127" s="1065"/>
      <c r="BG2127" s="1065"/>
    </row>
    <row r="2128" spans="4:59">
      <c r="D2128" s="1065"/>
      <c r="S2128" s="1065"/>
      <c r="BE2128" s="1065"/>
      <c r="BF2128" s="1065"/>
      <c r="BG2128" s="1065"/>
    </row>
    <row r="2129" spans="4:59">
      <c r="D2129" s="1065"/>
      <c r="S2129" s="1065"/>
      <c r="BE2129" s="1065"/>
      <c r="BF2129" s="1065"/>
      <c r="BG2129" s="1065"/>
    </row>
    <row r="2130" spans="4:59">
      <c r="D2130" s="1065"/>
      <c r="S2130" s="1065"/>
      <c r="BE2130" s="1065"/>
      <c r="BF2130" s="1065"/>
      <c r="BG2130" s="1065"/>
    </row>
    <row r="2131" spans="4:59">
      <c r="D2131" s="1065"/>
      <c r="S2131" s="1065"/>
      <c r="BE2131" s="1065"/>
      <c r="BF2131" s="1065"/>
      <c r="BG2131" s="1065"/>
    </row>
    <row r="2132" spans="4:59">
      <c r="D2132" s="1065"/>
      <c r="S2132" s="1065"/>
      <c r="BE2132" s="1065"/>
      <c r="BF2132" s="1065"/>
      <c r="BG2132" s="1065"/>
    </row>
    <row r="2133" spans="4:59">
      <c r="D2133" s="1065"/>
      <c r="S2133" s="1065"/>
      <c r="BE2133" s="1065"/>
      <c r="BF2133" s="1065"/>
      <c r="BG2133" s="1065"/>
    </row>
    <row r="2134" spans="4:59">
      <c r="D2134" s="1065"/>
      <c r="S2134" s="1065"/>
      <c r="BE2134" s="1065"/>
      <c r="BF2134" s="1065"/>
      <c r="BG2134" s="1065"/>
    </row>
    <row r="2135" spans="4:59">
      <c r="D2135" s="1065"/>
      <c r="S2135" s="1065"/>
      <c r="BE2135" s="1065"/>
      <c r="BF2135" s="1065"/>
      <c r="BG2135" s="1065"/>
    </row>
    <row r="2136" spans="4:59">
      <c r="D2136" s="1065"/>
      <c r="S2136" s="1065"/>
      <c r="BE2136" s="1065"/>
      <c r="BF2136" s="1065"/>
      <c r="BG2136" s="1065"/>
    </row>
    <row r="2137" spans="4:59">
      <c r="D2137" s="1065"/>
      <c r="S2137" s="1065"/>
      <c r="BE2137" s="1065"/>
      <c r="BF2137" s="1065"/>
      <c r="BG2137" s="1065"/>
    </row>
    <row r="2138" spans="4:59">
      <c r="D2138" s="1065"/>
      <c r="S2138" s="1065"/>
      <c r="BE2138" s="1065"/>
      <c r="BF2138" s="1065"/>
      <c r="BG2138" s="1065"/>
    </row>
    <row r="2139" spans="4:59">
      <c r="D2139" s="1065"/>
      <c r="S2139" s="1065"/>
      <c r="BE2139" s="1065"/>
      <c r="BF2139" s="1065"/>
      <c r="BG2139" s="1065"/>
    </row>
    <row r="2140" spans="4:59">
      <c r="D2140" s="1065"/>
      <c r="S2140" s="1065"/>
      <c r="BE2140" s="1065"/>
      <c r="BF2140" s="1065"/>
      <c r="BG2140" s="1065"/>
    </row>
    <row r="2141" spans="4:59">
      <c r="D2141" s="1065"/>
      <c r="S2141" s="1065"/>
      <c r="BE2141" s="1065"/>
      <c r="BF2141" s="1065"/>
      <c r="BG2141" s="1065"/>
    </row>
    <row r="2142" spans="4:59">
      <c r="D2142" s="1065"/>
      <c r="S2142" s="1065"/>
      <c r="BE2142" s="1065"/>
      <c r="BF2142" s="1065"/>
      <c r="BG2142" s="1065"/>
    </row>
    <row r="2143" spans="4:59">
      <c r="D2143" s="1065"/>
      <c r="S2143" s="1065"/>
      <c r="BE2143" s="1065"/>
      <c r="BF2143" s="1065"/>
      <c r="BG2143" s="1065"/>
    </row>
    <row r="2144" spans="4:59">
      <c r="D2144" s="1065"/>
      <c r="S2144" s="1065"/>
      <c r="BE2144" s="1065"/>
      <c r="BF2144" s="1065"/>
      <c r="BG2144" s="1065"/>
    </row>
    <row r="2145" spans="4:59">
      <c r="D2145" s="1065"/>
      <c r="S2145" s="1065"/>
      <c r="BE2145" s="1065"/>
      <c r="BF2145" s="1065"/>
      <c r="BG2145" s="1065"/>
    </row>
    <row r="2146" spans="4:59">
      <c r="D2146" s="1065"/>
      <c r="S2146" s="1065"/>
      <c r="BE2146" s="1065"/>
      <c r="BF2146" s="1065"/>
      <c r="BG2146" s="1065"/>
    </row>
    <row r="2147" spans="4:59">
      <c r="D2147" s="1065"/>
      <c r="S2147" s="1065"/>
      <c r="BE2147" s="1065"/>
      <c r="BF2147" s="1065"/>
      <c r="BG2147" s="1065"/>
    </row>
    <row r="2148" spans="4:59">
      <c r="D2148" s="1065"/>
      <c r="S2148" s="1065"/>
      <c r="BE2148" s="1065"/>
      <c r="BF2148" s="1065"/>
      <c r="BG2148" s="1065"/>
    </row>
    <row r="2149" spans="4:59">
      <c r="D2149" s="1065"/>
      <c r="S2149" s="1065"/>
      <c r="BE2149" s="1065"/>
      <c r="BF2149" s="1065"/>
      <c r="BG2149" s="1065"/>
    </row>
    <row r="2150" spans="4:59">
      <c r="D2150" s="1065"/>
      <c r="S2150" s="1065"/>
      <c r="BE2150" s="1065"/>
      <c r="BF2150" s="1065"/>
      <c r="BG2150" s="1065"/>
    </row>
    <row r="2151" spans="4:59">
      <c r="D2151" s="1065"/>
      <c r="S2151" s="1065"/>
      <c r="BE2151" s="1065"/>
      <c r="BF2151" s="1065"/>
      <c r="BG2151" s="1065"/>
    </row>
    <row r="2152" spans="4:59">
      <c r="D2152" s="1065"/>
      <c r="S2152" s="1065"/>
      <c r="BE2152" s="1065"/>
      <c r="BF2152" s="1065"/>
      <c r="BG2152" s="1065"/>
    </row>
    <row r="2153" spans="4:59">
      <c r="D2153" s="1065"/>
      <c r="S2153" s="1065"/>
      <c r="BE2153" s="1065"/>
      <c r="BF2153" s="1065"/>
      <c r="BG2153" s="1065"/>
    </row>
    <row r="2154" spans="4:59">
      <c r="D2154" s="1065"/>
      <c r="S2154" s="1065"/>
      <c r="BE2154" s="1065"/>
      <c r="BF2154" s="1065"/>
      <c r="BG2154" s="1065"/>
    </row>
    <row r="2155" spans="4:59">
      <c r="D2155" s="1065"/>
      <c r="S2155" s="1065"/>
      <c r="BE2155" s="1065"/>
      <c r="BF2155" s="1065"/>
      <c r="BG2155" s="1065"/>
    </row>
    <row r="2156" spans="4:59">
      <c r="D2156" s="1065"/>
      <c r="S2156" s="1065"/>
      <c r="BE2156" s="1065"/>
      <c r="BF2156" s="1065"/>
      <c r="BG2156" s="1065"/>
    </row>
    <row r="2157" spans="4:59">
      <c r="D2157" s="1065"/>
      <c r="S2157" s="1065"/>
      <c r="BE2157" s="1065"/>
      <c r="BF2157" s="1065"/>
      <c r="BG2157" s="1065"/>
    </row>
    <row r="2158" spans="4:59">
      <c r="D2158" s="1065"/>
      <c r="S2158" s="1065"/>
      <c r="BE2158" s="1065"/>
      <c r="BF2158" s="1065"/>
      <c r="BG2158" s="1065"/>
    </row>
    <row r="2159" spans="4:59">
      <c r="D2159" s="1065"/>
      <c r="S2159" s="1065"/>
      <c r="BE2159" s="1065"/>
      <c r="BF2159" s="1065"/>
      <c r="BG2159" s="1065"/>
    </row>
    <row r="2160" spans="4:59">
      <c r="D2160" s="1065"/>
      <c r="S2160" s="1065"/>
      <c r="BE2160" s="1065"/>
      <c r="BF2160" s="1065"/>
      <c r="BG2160" s="1065"/>
    </row>
    <row r="2161" spans="4:59">
      <c r="D2161" s="1065"/>
      <c r="S2161" s="1065"/>
      <c r="BE2161" s="1065"/>
      <c r="BF2161" s="1065"/>
      <c r="BG2161" s="1065"/>
    </row>
    <row r="2162" spans="4:59">
      <c r="D2162" s="1065"/>
      <c r="S2162" s="1065"/>
      <c r="BE2162" s="1065"/>
      <c r="BF2162" s="1065"/>
      <c r="BG2162" s="1065"/>
    </row>
    <row r="2163" spans="4:59">
      <c r="D2163" s="1065"/>
      <c r="S2163" s="1065"/>
      <c r="BE2163" s="1065"/>
      <c r="BF2163" s="1065"/>
      <c r="BG2163" s="1065"/>
    </row>
    <row r="2164" spans="4:59">
      <c r="D2164" s="1065"/>
      <c r="S2164" s="1065"/>
      <c r="BE2164" s="1065"/>
      <c r="BF2164" s="1065"/>
      <c r="BG2164" s="1065"/>
    </row>
    <row r="2165" spans="4:59">
      <c r="D2165" s="1065"/>
      <c r="S2165" s="1065"/>
      <c r="BE2165" s="1065"/>
      <c r="BF2165" s="1065"/>
      <c r="BG2165" s="1065"/>
    </row>
    <row r="2166" spans="4:59">
      <c r="D2166" s="1065"/>
      <c r="S2166" s="1065"/>
      <c r="BE2166" s="1065"/>
      <c r="BF2166" s="1065"/>
      <c r="BG2166" s="1065"/>
    </row>
    <row r="2167" spans="4:59">
      <c r="D2167" s="1065"/>
      <c r="S2167" s="1065"/>
      <c r="BE2167" s="1065"/>
      <c r="BF2167" s="1065"/>
      <c r="BG2167" s="1065"/>
    </row>
    <row r="2168" spans="4:59">
      <c r="D2168" s="1065"/>
      <c r="S2168" s="1065"/>
      <c r="BE2168" s="1065"/>
      <c r="BF2168" s="1065"/>
      <c r="BG2168" s="1065"/>
    </row>
    <row r="2169" spans="4:59">
      <c r="D2169" s="1065"/>
      <c r="S2169" s="1065"/>
      <c r="BE2169" s="1065"/>
      <c r="BF2169" s="1065"/>
      <c r="BG2169" s="1065"/>
    </row>
    <row r="2170" spans="4:59">
      <c r="D2170" s="1065"/>
      <c r="S2170" s="1065"/>
      <c r="BE2170" s="1065"/>
      <c r="BF2170" s="1065"/>
      <c r="BG2170" s="1065"/>
    </row>
    <row r="2171" spans="4:59">
      <c r="D2171" s="1065"/>
      <c r="S2171" s="1065"/>
      <c r="BE2171" s="1065"/>
      <c r="BF2171" s="1065"/>
      <c r="BG2171" s="1065"/>
    </row>
    <row r="2172" spans="4:59">
      <c r="D2172" s="1065"/>
      <c r="S2172" s="1065"/>
      <c r="BE2172" s="1065"/>
      <c r="BF2172" s="1065"/>
      <c r="BG2172" s="1065"/>
    </row>
    <row r="2173" spans="4:59">
      <c r="D2173" s="1065"/>
      <c r="S2173" s="1065"/>
      <c r="BE2173" s="1065"/>
      <c r="BF2173" s="1065"/>
      <c r="BG2173" s="1065"/>
    </row>
    <row r="2174" spans="4:59">
      <c r="D2174" s="1065"/>
      <c r="S2174" s="1065"/>
      <c r="BE2174" s="1065"/>
      <c r="BF2174" s="1065"/>
      <c r="BG2174" s="1065"/>
    </row>
    <row r="2175" spans="4:59">
      <c r="D2175" s="1065"/>
      <c r="S2175" s="1065"/>
      <c r="BE2175" s="1065"/>
      <c r="BF2175" s="1065"/>
      <c r="BG2175" s="1065"/>
    </row>
    <row r="2176" spans="4:59">
      <c r="D2176" s="1065"/>
      <c r="S2176" s="1065"/>
      <c r="BE2176" s="1065"/>
      <c r="BF2176" s="1065"/>
      <c r="BG2176" s="1065"/>
    </row>
    <row r="2177" spans="4:59">
      <c r="D2177" s="1065"/>
      <c r="S2177" s="1065"/>
      <c r="BE2177" s="1065"/>
      <c r="BF2177" s="1065"/>
      <c r="BG2177" s="1065"/>
    </row>
    <row r="2178" spans="4:59">
      <c r="D2178" s="1065"/>
      <c r="S2178" s="1065"/>
      <c r="BE2178" s="1065"/>
      <c r="BF2178" s="1065"/>
      <c r="BG2178" s="1065"/>
    </row>
    <row r="2179" spans="4:59">
      <c r="D2179" s="1065"/>
      <c r="S2179" s="1065"/>
      <c r="BE2179" s="1065"/>
      <c r="BF2179" s="1065"/>
      <c r="BG2179" s="1065"/>
    </row>
    <row r="2180" spans="4:59">
      <c r="D2180" s="1065"/>
      <c r="S2180" s="1065"/>
      <c r="BE2180" s="1065"/>
      <c r="BF2180" s="1065"/>
      <c r="BG2180" s="1065"/>
    </row>
    <row r="2181" spans="4:59">
      <c r="D2181" s="1065"/>
      <c r="S2181" s="1065"/>
      <c r="BE2181" s="1065"/>
      <c r="BF2181" s="1065"/>
      <c r="BG2181" s="1065"/>
    </row>
    <row r="2182" spans="4:59">
      <c r="D2182" s="1065"/>
      <c r="S2182" s="1065"/>
      <c r="BE2182" s="1065"/>
      <c r="BF2182" s="1065"/>
      <c r="BG2182" s="1065"/>
    </row>
    <row r="2183" spans="4:59">
      <c r="D2183" s="1065"/>
      <c r="S2183" s="1065"/>
      <c r="BE2183" s="1065"/>
      <c r="BF2183" s="1065"/>
      <c r="BG2183" s="1065"/>
    </row>
    <row r="2184" spans="4:59">
      <c r="D2184" s="1065"/>
      <c r="S2184" s="1065"/>
      <c r="BE2184" s="1065"/>
      <c r="BF2184" s="1065"/>
      <c r="BG2184" s="1065"/>
    </row>
    <row r="2185" spans="4:59">
      <c r="D2185" s="1065"/>
      <c r="S2185" s="1065"/>
      <c r="BE2185" s="1065"/>
      <c r="BF2185" s="1065"/>
      <c r="BG2185" s="1065"/>
    </row>
    <row r="2186" spans="4:59">
      <c r="D2186" s="1065"/>
      <c r="S2186" s="1065"/>
      <c r="BE2186" s="1065"/>
      <c r="BF2186" s="1065"/>
      <c r="BG2186" s="1065"/>
    </row>
    <row r="2187" spans="4:59">
      <c r="D2187" s="1065"/>
      <c r="S2187" s="1065"/>
      <c r="BE2187" s="1065"/>
      <c r="BF2187" s="1065"/>
      <c r="BG2187" s="1065"/>
    </row>
    <row r="2188" spans="4:59">
      <c r="D2188" s="1065"/>
      <c r="S2188" s="1065"/>
      <c r="BE2188" s="1065"/>
      <c r="BF2188" s="1065"/>
      <c r="BG2188" s="1065"/>
    </row>
    <row r="2189" spans="4:59">
      <c r="D2189" s="1065"/>
      <c r="S2189" s="1065"/>
      <c r="BE2189" s="1065"/>
      <c r="BF2189" s="1065"/>
      <c r="BG2189" s="1065"/>
    </row>
    <row r="2190" spans="4:59">
      <c r="D2190" s="1065"/>
      <c r="S2190" s="1065"/>
      <c r="BE2190" s="1065"/>
      <c r="BF2190" s="1065"/>
      <c r="BG2190" s="1065"/>
    </row>
    <row r="2191" spans="4:59">
      <c r="D2191" s="1065"/>
      <c r="S2191" s="1065"/>
      <c r="BE2191" s="1065"/>
      <c r="BF2191" s="1065"/>
      <c r="BG2191" s="1065"/>
    </row>
    <row r="2192" spans="4:59">
      <c r="D2192" s="1065"/>
      <c r="S2192" s="1065"/>
      <c r="BE2192" s="1065"/>
      <c r="BF2192" s="1065"/>
      <c r="BG2192" s="1065"/>
    </row>
    <row r="2193" spans="4:59">
      <c r="D2193" s="1065"/>
      <c r="S2193" s="1065"/>
      <c r="BE2193" s="1065"/>
      <c r="BF2193" s="1065"/>
      <c r="BG2193" s="1065"/>
    </row>
    <row r="2194" spans="4:59">
      <c r="D2194" s="1065"/>
      <c r="S2194" s="1065"/>
      <c r="BE2194" s="1065"/>
      <c r="BF2194" s="1065"/>
      <c r="BG2194" s="1065"/>
    </row>
    <row r="2195" spans="4:59">
      <c r="D2195" s="1065"/>
      <c r="S2195" s="1065"/>
      <c r="BE2195" s="1065"/>
      <c r="BF2195" s="1065"/>
      <c r="BG2195" s="1065"/>
    </row>
    <row r="2196" spans="4:59">
      <c r="D2196" s="1065"/>
      <c r="S2196" s="1065"/>
      <c r="BE2196" s="1065"/>
      <c r="BF2196" s="1065"/>
      <c r="BG2196" s="1065"/>
    </row>
    <row r="2197" spans="4:59">
      <c r="D2197" s="1065"/>
      <c r="S2197" s="1065"/>
      <c r="BE2197" s="1065"/>
      <c r="BF2197" s="1065"/>
      <c r="BG2197" s="1065"/>
    </row>
    <row r="2198" spans="4:59">
      <c r="D2198" s="1065"/>
      <c r="S2198" s="1065"/>
      <c r="BE2198" s="1065"/>
      <c r="BF2198" s="1065"/>
      <c r="BG2198" s="1065"/>
    </row>
    <row r="2199" spans="4:59">
      <c r="D2199" s="1065"/>
      <c r="S2199" s="1065"/>
      <c r="BE2199" s="1065"/>
      <c r="BF2199" s="1065"/>
      <c r="BG2199" s="1065"/>
    </row>
    <row r="2200" spans="4:59">
      <c r="D2200" s="1065"/>
      <c r="S2200" s="1065"/>
      <c r="BE2200" s="1065"/>
      <c r="BF2200" s="1065"/>
      <c r="BG2200" s="1065"/>
    </row>
    <row r="2201" spans="4:59">
      <c r="D2201" s="1065"/>
      <c r="S2201" s="1065"/>
      <c r="BE2201" s="1065"/>
      <c r="BF2201" s="1065"/>
      <c r="BG2201" s="1065"/>
    </row>
    <row r="2202" spans="4:59">
      <c r="D2202" s="1065"/>
      <c r="S2202" s="1065"/>
      <c r="BE2202" s="1065"/>
      <c r="BF2202" s="1065"/>
      <c r="BG2202" s="1065"/>
    </row>
    <row r="2203" spans="4:59">
      <c r="D2203" s="1065"/>
      <c r="S2203" s="1065"/>
      <c r="BE2203" s="1065"/>
      <c r="BF2203" s="1065"/>
      <c r="BG2203" s="1065"/>
    </row>
    <row r="2204" spans="4:59">
      <c r="D2204" s="1065"/>
      <c r="S2204" s="1065"/>
      <c r="BE2204" s="1065"/>
      <c r="BF2204" s="1065"/>
      <c r="BG2204" s="1065"/>
    </row>
    <row r="2205" spans="4:59">
      <c r="D2205" s="1065"/>
      <c r="S2205" s="1065"/>
      <c r="BE2205" s="1065"/>
      <c r="BF2205" s="1065"/>
      <c r="BG2205" s="1065"/>
    </row>
    <row r="2206" spans="4:59">
      <c r="D2206" s="1065"/>
      <c r="S2206" s="1065"/>
      <c r="BE2206" s="1065"/>
      <c r="BF2206" s="1065"/>
      <c r="BG2206" s="1065"/>
    </row>
    <row r="2207" spans="4:59">
      <c r="D2207" s="1065"/>
      <c r="S2207" s="1065"/>
      <c r="BE2207" s="1065"/>
      <c r="BF2207" s="1065"/>
      <c r="BG2207" s="1065"/>
    </row>
    <row r="2208" spans="4:59">
      <c r="D2208" s="1065"/>
      <c r="S2208" s="1065"/>
      <c r="BE2208" s="1065"/>
      <c r="BF2208" s="1065"/>
      <c r="BG2208" s="1065"/>
    </row>
    <row r="2209" spans="4:59">
      <c r="D2209" s="1065"/>
      <c r="S2209" s="1065"/>
      <c r="BE2209" s="1065"/>
      <c r="BF2209" s="1065"/>
      <c r="BG2209" s="1065"/>
    </row>
    <row r="2210" spans="4:59">
      <c r="D2210" s="1065"/>
      <c r="S2210" s="1065"/>
      <c r="BE2210" s="1065"/>
      <c r="BF2210" s="1065"/>
      <c r="BG2210" s="1065"/>
    </row>
    <row r="2211" spans="4:59">
      <c r="D2211" s="1065"/>
      <c r="S2211" s="1065"/>
      <c r="BE2211" s="1065"/>
      <c r="BF2211" s="1065"/>
      <c r="BG2211" s="1065"/>
    </row>
    <row r="2212" spans="4:59">
      <c r="D2212" s="1065"/>
      <c r="S2212" s="1065"/>
      <c r="BE2212" s="1065"/>
      <c r="BF2212" s="1065"/>
      <c r="BG2212" s="1065"/>
    </row>
    <row r="2213" spans="4:59">
      <c r="D2213" s="1065"/>
      <c r="S2213" s="1065"/>
      <c r="BE2213" s="1065"/>
      <c r="BF2213" s="1065"/>
      <c r="BG2213" s="1065"/>
    </row>
    <row r="2214" spans="4:59">
      <c r="D2214" s="1065"/>
      <c r="S2214" s="1065"/>
      <c r="BE2214" s="1065"/>
      <c r="BF2214" s="1065"/>
      <c r="BG2214" s="1065"/>
    </row>
    <row r="2215" spans="4:59">
      <c r="D2215" s="1065"/>
      <c r="S2215" s="1065"/>
      <c r="BE2215" s="1065"/>
      <c r="BF2215" s="1065"/>
      <c r="BG2215" s="1065"/>
    </row>
    <row r="2216" spans="4:59">
      <c r="D2216" s="1065"/>
      <c r="S2216" s="1065"/>
      <c r="BE2216" s="1065"/>
      <c r="BF2216" s="1065"/>
      <c r="BG2216" s="1065"/>
    </row>
    <row r="2217" spans="4:59">
      <c r="D2217" s="1065"/>
      <c r="S2217" s="1065"/>
      <c r="BE2217" s="1065"/>
      <c r="BF2217" s="1065"/>
      <c r="BG2217" s="1065"/>
    </row>
    <row r="2218" spans="4:59">
      <c r="D2218" s="1065"/>
      <c r="S2218" s="1065"/>
      <c r="BE2218" s="1065"/>
      <c r="BF2218" s="1065"/>
      <c r="BG2218" s="1065"/>
    </row>
    <row r="2219" spans="4:59">
      <c r="D2219" s="1065"/>
      <c r="S2219" s="1065"/>
      <c r="BE2219" s="1065"/>
      <c r="BF2219" s="1065"/>
      <c r="BG2219" s="1065"/>
    </row>
    <row r="2220" spans="4:59">
      <c r="D2220" s="1065"/>
      <c r="S2220" s="1065"/>
      <c r="BE2220" s="1065"/>
      <c r="BF2220" s="1065"/>
      <c r="BG2220" s="1065"/>
    </row>
    <row r="2221" spans="4:59">
      <c r="D2221" s="1065"/>
      <c r="S2221" s="1065"/>
      <c r="BE2221" s="1065"/>
      <c r="BF2221" s="1065"/>
      <c r="BG2221" s="1065"/>
    </row>
    <row r="2222" spans="4:59">
      <c r="D2222" s="1065"/>
      <c r="S2222" s="1065"/>
      <c r="BE2222" s="1065"/>
      <c r="BF2222" s="1065"/>
      <c r="BG2222" s="1065"/>
    </row>
    <row r="2223" spans="4:59">
      <c r="D2223" s="1065"/>
      <c r="S2223" s="1065"/>
      <c r="BE2223" s="1065"/>
      <c r="BF2223" s="1065"/>
      <c r="BG2223" s="1065"/>
    </row>
    <row r="2224" spans="4:59">
      <c r="D2224" s="1065"/>
      <c r="S2224" s="1065"/>
      <c r="BE2224" s="1065"/>
      <c r="BF2224" s="1065"/>
      <c r="BG2224" s="1065"/>
    </row>
    <row r="2225" spans="4:59">
      <c r="D2225" s="1065"/>
      <c r="S2225" s="1065"/>
      <c r="BE2225" s="1065"/>
      <c r="BF2225" s="1065"/>
      <c r="BG2225" s="1065"/>
    </row>
    <row r="2226" spans="4:59">
      <c r="D2226" s="1065"/>
      <c r="S2226" s="1065"/>
      <c r="BE2226" s="1065"/>
      <c r="BF2226" s="1065"/>
      <c r="BG2226" s="1065"/>
    </row>
    <row r="2227" spans="4:59">
      <c r="D2227" s="1065"/>
      <c r="S2227" s="1065"/>
      <c r="BE2227" s="1065"/>
      <c r="BF2227" s="1065"/>
      <c r="BG2227" s="1065"/>
    </row>
    <row r="2228" spans="4:59">
      <c r="D2228" s="1065"/>
      <c r="S2228" s="1065"/>
      <c r="BE2228" s="1065"/>
      <c r="BF2228" s="1065"/>
      <c r="BG2228" s="1065"/>
    </row>
    <row r="2229" spans="4:59">
      <c r="D2229" s="1065"/>
      <c r="S2229" s="1065"/>
      <c r="BE2229" s="1065"/>
      <c r="BF2229" s="1065"/>
      <c r="BG2229" s="1065"/>
    </row>
    <row r="2230" spans="4:59">
      <c r="D2230" s="1065"/>
      <c r="S2230" s="1065"/>
      <c r="BE2230" s="1065"/>
      <c r="BF2230" s="1065"/>
      <c r="BG2230" s="1065"/>
    </row>
    <row r="2231" spans="4:59">
      <c r="D2231" s="1065"/>
      <c r="S2231" s="1065"/>
      <c r="BE2231" s="1065"/>
      <c r="BF2231" s="1065"/>
      <c r="BG2231" s="1065"/>
    </row>
    <row r="2232" spans="4:59">
      <c r="D2232" s="1065"/>
      <c r="S2232" s="1065"/>
      <c r="BE2232" s="1065"/>
      <c r="BF2232" s="1065"/>
      <c r="BG2232" s="1065"/>
    </row>
    <row r="2233" spans="4:59">
      <c r="D2233" s="1065"/>
      <c r="S2233" s="1065"/>
      <c r="BE2233" s="1065"/>
      <c r="BF2233" s="1065"/>
      <c r="BG2233" s="1065"/>
    </row>
    <row r="2234" spans="4:59">
      <c r="D2234" s="1065"/>
      <c r="S2234" s="1065"/>
      <c r="BE2234" s="1065"/>
      <c r="BF2234" s="1065"/>
      <c r="BG2234" s="1065"/>
    </row>
    <row r="2235" spans="4:59">
      <c r="D2235" s="1065"/>
      <c r="S2235" s="1065"/>
      <c r="BE2235" s="1065"/>
      <c r="BF2235" s="1065"/>
      <c r="BG2235" s="1065"/>
    </row>
    <row r="2236" spans="4:59">
      <c r="D2236" s="1065"/>
      <c r="S2236" s="1065"/>
      <c r="BE2236" s="1065"/>
      <c r="BF2236" s="1065"/>
      <c r="BG2236" s="1065"/>
    </row>
    <row r="2237" spans="4:59">
      <c r="D2237" s="1065"/>
      <c r="S2237" s="1065"/>
      <c r="BE2237" s="1065"/>
      <c r="BF2237" s="1065"/>
      <c r="BG2237" s="1065"/>
    </row>
    <row r="2245" spans="4:59">
      <c r="D2245" s="1065"/>
      <c r="S2245" s="1065"/>
      <c r="BE2245" s="1065"/>
      <c r="BF2245" s="1065"/>
      <c r="BG2245" s="1065"/>
    </row>
    <row r="2246" spans="4:59">
      <c r="D2246" s="1065"/>
      <c r="S2246" s="1065"/>
      <c r="BE2246" s="1065"/>
      <c r="BF2246" s="1065"/>
      <c r="BG2246" s="1065"/>
    </row>
    <row r="2247" spans="4:59">
      <c r="D2247" s="1065"/>
      <c r="S2247" s="1065"/>
      <c r="BE2247" s="1065"/>
      <c r="BF2247" s="1065"/>
      <c r="BG2247" s="1065"/>
    </row>
    <row r="2248" spans="4:59">
      <c r="D2248" s="1065"/>
      <c r="S2248" s="1065"/>
      <c r="BE2248" s="1065"/>
      <c r="BF2248" s="1065"/>
      <c r="BG2248" s="1065"/>
    </row>
    <row r="2249" spans="4:59">
      <c r="D2249" s="1065"/>
      <c r="S2249" s="1065"/>
      <c r="BE2249" s="1065"/>
      <c r="BF2249" s="1065"/>
      <c r="BG2249" s="1065"/>
    </row>
    <row r="2250" spans="4:59">
      <c r="D2250" s="1065"/>
      <c r="S2250" s="1065"/>
      <c r="BE2250" s="1065"/>
      <c r="BF2250" s="1065"/>
      <c r="BG2250" s="1065"/>
    </row>
    <row r="2251" spans="4:59">
      <c r="D2251" s="1065"/>
      <c r="S2251" s="1065"/>
      <c r="BE2251" s="1065"/>
      <c r="BF2251" s="1065"/>
      <c r="BG2251" s="1065"/>
    </row>
    <row r="2252" spans="4:59">
      <c r="D2252" s="1065"/>
      <c r="S2252" s="1065"/>
      <c r="BE2252" s="1065"/>
      <c r="BF2252" s="1065"/>
      <c r="BG2252" s="1065"/>
    </row>
    <row r="2253" spans="4:59">
      <c r="D2253" s="1065"/>
      <c r="S2253" s="1065"/>
      <c r="BE2253" s="1065"/>
      <c r="BF2253" s="1065"/>
      <c r="BG2253" s="1065"/>
    </row>
    <row r="2254" spans="4:59">
      <c r="D2254" s="1065"/>
      <c r="S2254" s="1065"/>
      <c r="BE2254" s="1065"/>
      <c r="BF2254" s="1065"/>
      <c r="BG2254" s="1065"/>
    </row>
    <row r="2255" spans="4:59">
      <c r="D2255" s="1065"/>
      <c r="S2255" s="1065"/>
      <c r="BE2255" s="1065"/>
      <c r="BF2255" s="1065"/>
      <c r="BG2255" s="1065"/>
    </row>
    <row r="2256" spans="4:59">
      <c r="D2256" s="1065"/>
      <c r="S2256" s="1065"/>
      <c r="BE2256" s="1065"/>
      <c r="BF2256" s="1065"/>
      <c r="BG2256" s="1065"/>
    </row>
    <row r="2257" spans="4:59">
      <c r="D2257" s="1065"/>
      <c r="S2257" s="1065"/>
      <c r="BE2257" s="1065"/>
      <c r="BF2257" s="1065"/>
      <c r="BG2257" s="1065"/>
    </row>
    <row r="2258" spans="4:59">
      <c r="D2258" s="1065"/>
      <c r="S2258" s="1065"/>
      <c r="BE2258" s="1065"/>
      <c r="BF2258" s="1065"/>
      <c r="BG2258" s="1065"/>
    </row>
    <row r="2259" spans="4:59">
      <c r="D2259" s="1065"/>
      <c r="S2259" s="1065"/>
      <c r="BE2259" s="1065"/>
      <c r="BF2259" s="1065"/>
      <c r="BG2259" s="1065"/>
    </row>
    <row r="2260" spans="4:59">
      <c r="D2260" s="1065"/>
      <c r="S2260" s="1065"/>
      <c r="BE2260" s="1065"/>
      <c r="BF2260" s="1065"/>
      <c r="BG2260" s="1065"/>
    </row>
    <row r="2261" spans="4:59">
      <c r="D2261" s="1065"/>
      <c r="S2261" s="1065"/>
      <c r="BE2261" s="1065"/>
      <c r="BF2261" s="1065"/>
      <c r="BG2261" s="1065"/>
    </row>
    <row r="2262" spans="4:59">
      <c r="D2262" s="1065"/>
      <c r="S2262" s="1065"/>
      <c r="BE2262" s="1065"/>
      <c r="BF2262" s="1065"/>
      <c r="BG2262" s="1065"/>
    </row>
    <row r="2263" spans="4:59">
      <c r="D2263" s="1065"/>
      <c r="S2263" s="1065"/>
      <c r="BE2263" s="1065"/>
      <c r="BF2263" s="1065"/>
      <c r="BG2263" s="1065"/>
    </row>
    <row r="2264" spans="4:59">
      <c r="D2264" s="1065"/>
      <c r="S2264" s="1065"/>
      <c r="BE2264" s="1065"/>
      <c r="BF2264" s="1065"/>
      <c r="BG2264" s="1065"/>
    </row>
    <row r="2265" spans="4:59">
      <c r="D2265" s="1065"/>
      <c r="S2265" s="1065"/>
      <c r="BE2265" s="1065"/>
      <c r="BF2265" s="1065"/>
      <c r="BG2265" s="1065"/>
    </row>
    <row r="2266" spans="4:59">
      <c r="D2266" s="1065"/>
      <c r="S2266" s="1065"/>
      <c r="BE2266" s="1065"/>
      <c r="BF2266" s="1065"/>
      <c r="BG2266" s="1065"/>
    </row>
    <row r="2267" spans="4:59">
      <c r="D2267" s="1065"/>
      <c r="S2267" s="1065"/>
      <c r="BE2267" s="1065"/>
      <c r="BF2267" s="1065"/>
      <c r="BG2267" s="1065"/>
    </row>
    <row r="2268" spans="4:59">
      <c r="D2268" s="1065"/>
      <c r="S2268" s="1065"/>
      <c r="BE2268" s="1065"/>
      <c r="BF2268" s="1065"/>
      <c r="BG2268" s="1065"/>
    </row>
    <row r="2269" spans="4:59">
      <c r="D2269" s="1065"/>
      <c r="S2269" s="1065"/>
      <c r="BE2269" s="1065"/>
      <c r="BF2269" s="1065"/>
      <c r="BG2269" s="1065"/>
    </row>
    <row r="2270" spans="4:59">
      <c r="D2270" s="1065"/>
      <c r="S2270" s="1065"/>
      <c r="BE2270" s="1065"/>
      <c r="BF2270" s="1065"/>
      <c r="BG2270" s="1065"/>
    </row>
    <row r="2271" spans="4:59">
      <c r="D2271" s="1065"/>
      <c r="S2271" s="1065"/>
      <c r="BE2271" s="1065"/>
      <c r="BF2271" s="1065"/>
      <c r="BG2271" s="1065"/>
    </row>
    <row r="2272" spans="4:59">
      <c r="D2272" s="1065"/>
      <c r="S2272" s="1065"/>
      <c r="BE2272" s="1065"/>
      <c r="BF2272" s="1065"/>
      <c r="BG2272" s="1065"/>
    </row>
    <row r="2273" spans="4:59">
      <c r="D2273" s="1065"/>
      <c r="S2273" s="1065"/>
      <c r="BE2273" s="1065"/>
      <c r="BF2273" s="1065"/>
      <c r="BG2273" s="1065"/>
    </row>
    <row r="2274" spans="4:59">
      <c r="D2274" s="1065"/>
      <c r="S2274" s="1065"/>
      <c r="BE2274" s="1065"/>
      <c r="BF2274" s="1065"/>
      <c r="BG2274" s="1065"/>
    </row>
    <row r="2275" spans="4:59">
      <c r="D2275" s="1065"/>
      <c r="S2275" s="1065"/>
      <c r="BE2275" s="1065"/>
      <c r="BF2275" s="1065"/>
      <c r="BG2275" s="1065"/>
    </row>
    <row r="2276" spans="4:59">
      <c r="D2276" s="1065"/>
      <c r="S2276" s="1065"/>
      <c r="BE2276" s="1065"/>
      <c r="BF2276" s="1065"/>
      <c r="BG2276" s="1065"/>
    </row>
    <row r="2277" spans="4:59">
      <c r="D2277" s="1065"/>
      <c r="S2277" s="1065"/>
      <c r="BE2277" s="1065"/>
      <c r="BF2277" s="1065"/>
      <c r="BG2277" s="1065"/>
    </row>
    <row r="2278" spans="4:59">
      <c r="D2278" s="1065"/>
      <c r="S2278" s="1065"/>
      <c r="BE2278" s="1065"/>
      <c r="BF2278" s="1065"/>
      <c r="BG2278" s="1065"/>
    </row>
    <row r="2279" spans="4:59">
      <c r="D2279" s="1065"/>
      <c r="S2279" s="1065"/>
      <c r="BE2279" s="1065"/>
      <c r="BF2279" s="1065"/>
      <c r="BG2279" s="1065"/>
    </row>
    <row r="2280" spans="4:59">
      <c r="D2280" s="1065"/>
      <c r="S2280" s="1065"/>
      <c r="BE2280" s="1065"/>
      <c r="BF2280" s="1065"/>
      <c r="BG2280" s="1065"/>
    </row>
    <row r="2281" spans="4:59">
      <c r="D2281" s="1065"/>
      <c r="S2281" s="1065"/>
      <c r="BE2281" s="1065"/>
      <c r="BF2281" s="1065"/>
      <c r="BG2281" s="1065"/>
    </row>
    <row r="2282" spans="4:59">
      <c r="D2282" s="1065"/>
      <c r="S2282" s="1065"/>
      <c r="BE2282" s="1065"/>
      <c r="BF2282" s="1065"/>
      <c r="BG2282" s="1065"/>
    </row>
    <row r="2283" spans="4:59">
      <c r="D2283" s="1065"/>
      <c r="S2283" s="1065"/>
      <c r="BE2283" s="1065"/>
      <c r="BF2283" s="1065"/>
      <c r="BG2283" s="1065"/>
    </row>
    <row r="2284" spans="4:59">
      <c r="D2284" s="1065"/>
      <c r="S2284" s="1065"/>
      <c r="BE2284" s="1065"/>
      <c r="BF2284" s="1065"/>
      <c r="BG2284" s="1065"/>
    </row>
    <row r="2285" spans="4:59">
      <c r="D2285" s="1065"/>
      <c r="S2285" s="1065"/>
      <c r="BE2285" s="1065"/>
      <c r="BF2285" s="1065"/>
      <c r="BG2285" s="1065"/>
    </row>
    <row r="2286" spans="4:59">
      <c r="D2286" s="1065"/>
      <c r="S2286" s="1065"/>
      <c r="BE2286" s="1065"/>
      <c r="BF2286" s="1065"/>
      <c r="BG2286" s="1065"/>
    </row>
    <row r="2287" spans="4:59">
      <c r="D2287" s="1065"/>
      <c r="S2287" s="1065"/>
      <c r="BE2287" s="1065"/>
      <c r="BF2287" s="1065"/>
      <c r="BG2287" s="1065"/>
    </row>
    <row r="2288" spans="4:59">
      <c r="D2288" s="1065"/>
      <c r="S2288" s="1065"/>
      <c r="BE2288" s="1065"/>
      <c r="BF2288" s="1065"/>
      <c r="BG2288" s="1065"/>
    </row>
    <row r="2289" spans="4:59">
      <c r="D2289" s="1065"/>
      <c r="S2289" s="1065"/>
      <c r="BE2289" s="1065"/>
      <c r="BF2289" s="1065"/>
      <c r="BG2289" s="1065"/>
    </row>
    <row r="2290" spans="4:59">
      <c r="D2290" s="1065"/>
      <c r="S2290" s="1065"/>
      <c r="BE2290" s="1065"/>
      <c r="BF2290" s="1065"/>
      <c r="BG2290" s="1065"/>
    </row>
    <row r="2291" spans="4:59">
      <c r="D2291" s="1065"/>
      <c r="S2291" s="1065"/>
      <c r="BE2291" s="1065"/>
      <c r="BF2291" s="1065"/>
      <c r="BG2291" s="1065"/>
    </row>
    <row r="2293" spans="4:59">
      <c r="D2293" s="1065"/>
      <c r="S2293" s="1065"/>
      <c r="BE2293" s="1065"/>
      <c r="BF2293" s="1065"/>
      <c r="BG2293" s="1065"/>
    </row>
    <row r="2294" spans="4:59">
      <c r="D2294" s="1065"/>
      <c r="S2294" s="1065"/>
      <c r="BE2294" s="1065"/>
      <c r="BF2294" s="1065"/>
      <c r="BG2294" s="1065"/>
    </row>
    <row r="2299" spans="4:59">
      <c r="D2299" s="1065"/>
      <c r="S2299" s="1065"/>
      <c r="BE2299" s="1065"/>
      <c r="BF2299" s="1065"/>
      <c r="BG2299" s="1065"/>
    </row>
    <row r="2300" spans="4:59">
      <c r="D2300" s="1065"/>
      <c r="S2300" s="1065"/>
      <c r="BE2300" s="1065"/>
      <c r="BF2300" s="1065"/>
      <c r="BG2300" s="1065"/>
    </row>
    <row r="2302" spans="4:59">
      <c r="D2302" s="1065"/>
      <c r="S2302" s="1065"/>
      <c r="BE2302" s="1065"/>
      <c r="BF2302" s="1065"/>
      <c r="BG2302" s="1065"/>
    </row>
    <row r="2303" spans="4:59">
      <c r="D2303" s="1065"/>
      <c r="S2303" s="1065"/>
      <c r="BE2303" s="1065"/>
      <c r="BF2303" s="1065"/>
      <c r="BG2303" s="1065"/>
    </row>
    <row r="2304" spans="4:59">
      <c r="D2304" s="1065"/>
      <c r="S2304" s="1065"/>
      <c r="BE2304" s="1065"/>
      <c r="BF2304" s="1065"/>
      <c r="BG2304" s="1065"/>
    </row>
    <row r="2305" spans="4:59">
      <c r="D2305" s="1065"/>
      <c r="S2305" s="1065"/>
      <c r="BE2305" s="1065"/>
      <c r="BF2305" s="1065"/>
      <c r="BG2305" s="1065"/>
    </row>
    <row r="2306" spans="4:59">
      <c r="D2306" s="1065"/>
      <c r="S2306" s="1065"/>
      <c r="BE2306" s="1065"/>
      <c r="BF2306" s="1065"/>
      <c r="BG2306" s="1065"/>
    </row>
    <row r="2307" spans="4:59">
      <c r="D2307" s="1065"/>
      <c r="S2307" s="1065"/>
      <c r="BE2307" s="1065"/>
      <c r="BF2307" s="1065"/>
      <c r="BG2307" s="1065"/>
    </row>
    <row r="2308" spans="4:59">
      <c r="D2308" s="1065"/>
      <c r="S2308" s="1065"/>
      <c r="BE2308" s="1065"/>
      <c r="BF2308" s="1065"/>
      <c r="BG2308" s="1065"/>
    </row>
    <row r="2309" spans="4:59">
      <c r="D2309" s="1065"/>
      <c r="S2309" s="1065"/>
      <c r="BE2309" s="1065"/>
      <c r="BF2309" s="1065"/>
      <c r="BG2309" s="1065"/>
    </row>
    <row r="2310" spans="4:59">
      <c r="D2310" s="1065"/>
      <c r="S2310" s="1065"/>
      <c r="BE2310" s="1065"/>
      <c r="BF2310" s="1065"/>
      <c r="BG2310" s="1065"/>
    </row>
    <row r="2311" spans="4:59">
      <c r="D2311" s="1065"/>
      <c r="S2311" s="1065"/>
      <c r="BE2311" s="1065"/>
      <c r="BF2311" s="1065"/>
      <c r="BG2311" s="1065"/>
    </row>
    <row r="2312" spans="4:59">
      <c r="D2312" s="1065"/>
      <c r="S2312" s="1065"/>
      <c r="BE2312" s="1065"/>
      <c r="BF2312" s="1065"/>
      <c r="BG2312" s="1065"/>
    </row>
    <row r="2313" spans="4:59">
      <c r="D2313" s="1065"/>
      <c r="S2313" s="1065"/>
      <c r="BE2313" s="1065"/>
      <c r="BF2313" s="1065"/>
      <c r="BG2313" s="1065"/>
    </row>
    <row r="2314" spans="4:59">
      <c r="D2314" s="1065"/>
      <c r="S2314" s="1065"/>
      <c r="BE2314" s="1065"/>
      <c r="BF2314" s="1065"/>
      <c r="BG2314" s="1065"/>
    </row>
    <row r="2315" spans="4:59">
      <c r="D2315" s="1065"/>
      <c r="S2315" s="1065"/>
      <c r="BE2315" s="1065"/>
      <c r="BF2315" s="1065"/>
      <c r="BG2315" s="1065"/>
    </row>
    <row r="2316" spans="4:59">
      <c r="D2316" s="1065"/>
      <c r="S2316" s="1065"/>
      <c r="BE2316" s="1065"/>
      <c r="BF2316" s="1065"/>
      <c r="BG2316" s="1065"/>
    </row>
    <row r="2317" spans="4:59">
      <c r="D2317" s="1065"/>
      <c r="S2317" s="1065"/>
      <c r="BE2317" s="1065"/>
      <c r="BF2317" s="1065"/>
      <c r="BG2317" s="1065"/>
    </row>
    <row r="2318" spans="4:59">
      <c r="D2318" s="1065"/>
      <c r="S2318" s="1065"/>
      <c r="BE2318" s="1065"/>
      <c r="BF2318" s="1065"/>
      <c r="BG2318" s="1065"/>
    </row>
    <row r="2319" spans="4:59">
      <c r="D2319" s="1065"/>
      <c r="S2319" s="1065"/>
      <c r="BE2319" s="1065"/>
      <c r="BF2319" s="1065"/>
      <c r="BG2319" s="1065"/>
    </row>
    <row r="2320" spans="4:59">
      <c r="D2320" s="1065"/>
      <c r="S2320" s="1065"/>
      <c r="BE2320" s="1065"/>
      <c r="BF2320" s="1065"/>
      <c r="BG2320" s="1065"/>
    </row>
    <row r="2321" spans="4:59">
      <c r="D2321" s="1065"/>
      <c r="S2321" s="1065"/>
      <c r="BE2321" s="1065"/>
      <c r="BF2321" s="1065"/>
      <c r="BG2321" s="1065"/>
    </row>
    <row r="2322" spans="4:59">
      <c r="D2322" s="1065"/>
      <c r="S2322" s="1065"/>
      <c r="BE2322" s="1065"/>
      <c r="BF2322" s="1065"/>
      <c r="BG2322" s="1065"/>
    </row>
    <row r="2323" spans="4:59">
      <c r="D2323" s="1065"/>
      <c r="S2323" s="1065"/>
      <c r="BE2323" s="1065"/>
      <c r="BF2323" s="1065"/>
      <c r="BG2323" s="1065"/>
    </row>
    <row r="2324" spans="4:59">
      <c r="D2324" s="1065"/>
      <c r="S2324" s="1065"/>
      <c r="BE2324" s="1065"/>
      <c r="BF2324" s="1065"/>
      <c r="BG2324" s="1065"/>
    </row>
    <row r="2325" spans="4:59">
      <c r="D2325" s="1065"/>
      <c r="S2325" s="1065"/>
      <c r="BE2325" s="1065"/>
      <c r="BF2325" s="1065"/>
      <c r="BG2325" s="1065"/>
    </row>
    <row r="2326" spans="4:59">
      <c r="D2326" s="1065"/>
      <c r="S2326" s="1065"/>
      <c r="BE2326" s="1065"/>
      <c r="BF2326" s="1065"/>
      <c r="BG2326" s="1065"/>
    </row>
    <row r="2327" spans="4:59">
      <c r="D2327" s="1065"/>
      <c r="S2327" s="1065"/>
      <c r="BE2327" s="1065"/>
      <c r="BF2327" s="1065"/>
      <c r="BG2327" s="1065"/>
    </row>
    <row r="2328" spans="4:59">
      <c r="D2328" s="1065"/>
      <c r="S2328" s="1065"/>
      <c r="BE2328" s="1065"/>
      <c r="BF2328" s="1065"/>
      <c r="BG2328" s="1065"/>
    </row>
    <row r="2329" spans="4:59">
      <c r="D2329" s="1065"/>
      <c r="S2329" s="1065"/>
      <c r="BE2329" s="1065"/>
      <c r="BF2329" s="1065"/>
      <c r="BG2329" s="1065"/>
    </row>
    <row r="2330" spans="4:59">
      <c r="D2330" s="1065"/>
      <c r="S2330" s="1065"/>
      <c r="BE2330" s="1065"/>
      <c r="BF2330" s="1065"/>
      <c r="BG2330" s="1065"/>
    </row>
    <row r="2331" spans="4:59">
      <c r="D2331" s="1065"/>
      <c r="S2331" s="1065"/>
      <c r="BE2331" s="1065"/>
      <c r="BF2331" s="1065"/>
      <c r="BG2331" s="1065"/>
    </row>
    <row r="2332" spans="4:59">
      <c r="D2332" s="1065"/>
      <c r="S2332" s="1065"/>
      <c r="BE2332" s="1065"/>
      <c r="BF2332" s="1065"/>
      <c r="BG2332" s="1065"/>
    </row>
    <row r="2333" spans="4:59">
      <c r="D2333" s="1065"/>
      <c r="S2333" s="1065"/>
      <c r="BE2333" s="1065"/>
      <c r="BF2333" s="1065"/>
      <c r="BG2333" s="1065"/>
    </row>
    <row r="2334" spans="4:59">
      <c r="D2334" s="1065"/>
      <c r="S2334" s="1065"/>
      <c r="BE2334" s="1065"/>
      <c r="BF2334" s="1065"/>
      <c r="BG2334" s="1065"/>
    </row>
    <row r="2335" spans="4:59">
      <c r="D2335" s="1065"/>
      <c r="S2335" s="1065"/>
      <c r="BE2335" s="1065"/>
      <c r="BF2335" s="1065"/>
      <c r="BG2335" s="1065"/>
    </row>
    <row r="2336" spans="4:59">
      <c r="D2336" s="1065"/>
      <c r="S2336" s="1065"/>
      <c r="BE2336" s="1065"/>
      <c r="BF2336" s="1065"/>
      <c r="BG2336" s="1065"/>
    </row>
    <row r="2337" spans="4:59">
      <c r="D2337" s="1065"/>
      <c r="S2337" s="1065"/>
      <c r="BE2337" s="1065"/>
      <c r="BF2337" s="1065"/>
      <c r="BG2337" s="1065"/>
    </row>
    <row r="2338" spans="4:59">
      <c r="D2338" s="1065"/>
      <c r="S2338" s="1065"/>
      <c r="BE2338" s="1065"/>
      <c r="BF2338" s="1065"/>
      <c r="BG2338" s="1065"/>
    </row>
    <row r="2339" spans="4:59">
      <c r="D2339" s="1065"/>
      <c r="S2339" s="1065"/>
      <c r="BE2339" s="1065"/>
      <c r="BF2339" s="1065"/>
      <c r="BG2339" s="1065"/>
    </row>
    <row r="2340" spans="4:59">
      <c r="D2340" s="1065"/>
      <c r="S2340" s="1065"/>
      <c r="BE2340" s="1065"/>
      <c r="BF2340" s="1065"/>
      <c r="BG2340" s="1065"/>
    </row>
    <row r="2341" spans="4:59">
      <c r="D2341" s="1065"/>
      <c r="S2341" s="1065"/>
      <c r="BE2341" s="1065"/>
      <c r="BF2341" s="1065"/>
      <c r="BG2341" s="1065"/>
    </row>
    <row r="2342" spans="4:59">
      <c r="D2342" s="1065"/>
      <c r="S2342" s="1065"/>
      <c r="BE2342" s="1065"/>
      <c r="BF2342" s="1065"/>
      <c r="BG2342" s="1065"/>
    </row>
    <row r="2343" spans="4:59">
      <c r="D2343" s="1065"/>
      <c r="S2343" s="1065"/>
      <c r="BE2343" s="1065"/>
      <c r="BF2343" s="1065"/>
      <c r="BG2343" s="1065"/>
    </row>
    <row r="2344" spans="4:59">
      <c r="D2344" s="1065"/>
      <c r="S2344" s="1065"/>
      <c r="BE2344" s="1065"/>
      <c r="BF2344" s="1065"/>
      <c r="BG2344" s="1065"/>
    </row>
    <row r="2345" spans="4:59">
      <c r="D2345" s="1065"/>
      <c r="S2345" s="1065"/>
      <c r="BE2345" s="1065"/>
      <c r="BF2345" s="1065"/>
      <c r="BG2345" s="1065"/>
    </row>
    <row r="2346" spans="4:59">
      <c r="D2346" s="1065"/>
      <c r="S2346" s="1065"/>
      <c r="BE2346" s="1065"/>
      <c r="BF2346" s="1065"/>
      <c r="BG2346" s="1065"/>
    </row>
    <row r="2347" spans="4:59">
      <c r="D2347" s="1065"/>
      <c r="S2347" s="1065"/>
      <c r="BE2347" s="1065"/>
      <c r="BF2347" s="1065"/>
      <c r="BG2347" s="1065"/>
    </row>
    <row r="2348" spans="4:59">
      <c r="D2348" s="1065"/>
      <c r="S2348" s="1065"/>
      <c r="BE2348" s="1065"/>
      <c r="BF2348" s="1065"/>
      <c r="BG2348" s="1065"/>
    </row>
    <row r="2349" spans="4:59">
      <c r="D2349" s="1065"/>
      <c r="S2349" s="1065"/>
      <c r="BE2349" s="1065"/>
      <c r="BF2349" s="1065"/>
      <c r="BG2349" s="1065"/>
    </row>
    <row r="2350" spans="4:59">
      <c r="D2350" s="1065"/>
      <c r="S2350" s="1065"/>
      <c r="BE2350" s="1065"/>
      <c r="BF2350" s="1065"/>
      <c r="BG2350" s="1065"/>
    </row>
    <row r="2351" spans="4:59">
      <c r="D2351" s="1065"/>
      <c r="S2351" s="1065"/>
      <c r="BE2351" s="1065"/>
      <c r="BF2351" s="1065"/>
      <c r="BG2351" s="1065"/>
    </row>
    <row r="2352" spans="4:59">
      <c r="D2352" s="1065"/>
      <c r="S2352" s="1065"/>
      <c r="BE2352" s="1065"/>
      <c r="BF2352" s="1065"/>
      <c r="BG2352" s="1065"/>
    </row>
    <row r="2353" spans="4:59">
      <c r="D2353" s="1065"/>
      <c r="S2353" s="1065"/>
      <c r="BE2353" s="1065"/>
      <c r="BF2353" s="1065"/>
      <c r="BG2353" s="1065"/>
    </row>
    <row r="2354" spans="4:59">
      <c r="D2354" s="1065"/>
      <c r="S2354" s="1065"/>
      <c r="BE2354" s="1065"/>
      <c r="BF2354" s="1065"/>
      <c r="BG2354" s="1065"/>
    </row>
    <row r="2355" spans="4:59">
      <c r="D2355" s="1065"/>
      <c r="S2355" s="1065"/>
      <c r="BE2355" s="1065"/>
      <c r="BF2355" s="1065"/>
      <c r="BG2355" s="1065"/>
    </row>
    <row r="2356" spans="4:59">
      <c r="D2356" s="1065"/>
      <c r="S2356" s="1065"/>
      <c r="BE2356" s="1065"/>
      <c r="BF2356" s="1065"/>
      <c r="BG2356" s="1065"/>
    </row>
    <row r="2357" spans="4:59">
      <c r="D2357" s="1065"/>
      <c r="S2357" s="1065"/>
      <c r="BE2357" s="1065"/>
      <c r="BF2357" s="1065"/>
      <c r="BG2357" s="1065"/>
    </row>
    <row r="2358" spans="4:59">
      <c r="D2358" s="1065"/>
      <c r="S2358" s="1065"/>
      <c r="BE2358" s="1065"/>
      <c r="BF2358" s="1065"/>
      <c r="BG2358" s="1065"/>
    </row>
    <row r="2359" spans="4:59">
      <c r="D2359" s="1065"/>
      <c r="S2359" s="1065"/>
      <c r="BE2359" s="1065"/>
      <c r="BF2359" s="1065"/>
      <c r="BG2359" s="1065"/>
    </row>
    <row r="2360" spans="4:59">
      <c r="D2360" s="1065"/>
      <c r="S2360" s="1065"/>
      <c r="BE2360" s="1065"/>
      <c r="BF2360" s="1065"/>
      <c r="BG2360" s="1065"/>
    </row>
    <row r="2361" spans="4:59">
      <c r="D2361" s="1065"/>
      <c r="S2361" s="1065"/>
      <c r="BE2361" s="1065"/>
      <c r="BF2361" s="1065"/>
      <c r="BG2361" s="1065"/>
    </row>
    <row r="2362" spans="4:59">
      <c r="D2362" s="1065"/>
      <c r="S2362" s="1065"/>
      <c r="BE2362" s="1065"/>
      <c r="BF2362" s="1065"/>
      <c r="BG2362" s="1065"/>
    </row>
    <row r="2363" spans="4:59">
      <c r="D2363" s="1065"/>
      <c r="S2363" s="1065"/>
      <c r="BE2363" s="1065"/>
      <c r="BF2363" s="1065"/>
      <c r="BG2363" s="1065"/>
    </row>
    <row r="2364" spans="4:59">
      <c r="D2364" s="1065"/>
      <c r="S2364" s="1065"/>
      <c r="BE2364" s="1065"/>
      <c r="BF2364" s="1065"/>
      <c r="BG2364" s="1065"/>
    </row>
    <row r="2365" spans="4:59">
      <c r="D2365" s="1065"/>
      <c r="S2365" s="1065"/>
      <c r="BE2365" s="1065"/>
      <c r="BF2365" s="1065"/>
      <c r="BG2365" s="1065"/>
    </row>
    <row r="2366" spans="4:59">
      <c r="D2366" s="1065"/>
      <c r="S2366" s="1065"/>
      <c r="BE2366" s="1065"/>
      <c r="BF2366" s="1065"/>
      <c r="BG2366" s="1065"/>
    </row>
    <row r="2367" spans="4:59">
      <c r="D2367" s="1065"/>
      <c r="S2367" s="1065"/>
      <c r="BE2367" s="1065"/>
      <c r="BF2367" s="1065"/>
      <c r="BG2367" s="1065"/>
    </row>
    <row r="2368" spans="4:59">
      <c r="D2368" s="1065"/>
      <c r="S2368" s="1065"/>
      <c r="BE2368" s="1065"/>
      <c r="BF2368" s="1065"/>
      <c r="BG2368" s="1065"/>
    </row>
    <row r="2369" spans="4:59">
      <c r="D2369" s="1065"/>
      <c r="S2369" s="1065"/>
      <c r="BE2369" s="1065"/>
      <c r="BF2369" s="1065"/>
      <c r="BG2369" s="1065"/>
    </row>
    <row r="2370" spans="4:59">
      <c r="D2370" s="1065"/>
      <c r="S2370" s="1065"/>
      <c r="BE2370" s="1065"/>
      <c r="BF2370" s="1065"/>
      <c r="BG2370" s="1065"/>
    </row>
    <row r="2371" spans="4:59">
      <c r="D2371" s="1065"/>
      <c r="S2371" s="1065"/>
      <c r="BE2371" s="1065"/>
      <c r="BF2371" s="1065"/>
      <c r="BG2371" s="1065"/>
    </row>
    <row r="2372" spans="4:59">
      <c r="D2372" s="1065"/>
      <c r="S2372" s="1065"/>
      <c r="BE2372" s="1065"/>
      <c r="BF2372" s="1065"/>
      <c r="BG2372" s="1065"/>
    </row>
    <row r="2373" spans="4:59">
      <c r="D2373" s="1065"/>
      <c r="S2373" s="1065"/>
      <c r="BE2373" s="1065"/>
      <c r="BF2373" s="1065"/>
      <c r="BG2373" s="1065"/>
    </row>
    <row r="2374" spans="4:59">
      <c r="D2374" s="1065"/>
      <c r="S2374" s="1065"/>
      <c r="BE2374" s="1065"/>
      <c r="BF2374" s="1065"/>
      <c r="BG2374" s="1065"/>
    </row>
    <row r="2375" spans="4:59">
      <c r="D2375" s="1065"/>
      <c r="S2375" s="1065"/>
      <c r="BE2375" s="1065"/>
      <c r="BF2375" s="1065"/>
      <c r="BG2375" s="1065"/>
    </row>
    <row r="2376" spans="4:59">
      <c r="D2376" s="1065"/>
      <c r="S2376" s="1065"/>
      <c r="BE2376" s="1065"/>
      <c r="BF2376" s="1065"/>
      <c r="BG2376" s="1065"/>
    </row>
    <row r="2377" spans="4:59">
      <c r="D2377" s="1065"/>
      <c r="S2377" s="1065"/>
      <c r="BE2377" s="1065"/>
      <c r="BF2377" s="1065"/>
      <c r="BG2377" s="1065"/>
    </row>
    <row r="2378" spans="4:59">
      <c r="D2378" s="1065"/>
      <c r="S2378" s="1065"/>
      <c r="BE2378" s="1065"/>
      <c r="BF2378" s="1065"/>
      <c r="BG2378" s="1065"/>
    </row>
    <row r="2379" spans="4:59">
      <c r="D2379" s="1065"/>
      <c r="S2379" s="1065"/>
      <c r="BE2379" s="1065"/>
      <c r="BF2379" s="1065"/>
      <c r="BG2379" s="1065"/>
    </row>
    <row r="2380" spans="4:59">
      <c r="D2380" s="1065"/>
      <c r="S2380" s="1065"/>
      <c r="BE2380" s="1065"/>
      <c r="BF2380" s="1065"/>
      <c r="BG2380" s="1065"/>
    </row>
    <row r="2381" spans="4:59">
      <c r="D2381" s="1065"/>
      <c r="S2381" s="1065"/>
      <c r="BE2381" s="1065"/>
      <c r="BF2381" s="1065"/>
      <c r="BG2381" s="1065"/>
    </row>
    <row r="2382" spans="4:59">
      <c r="D2382" s="1065"/>
      <c r="S2382" s="1065"/>
      <c r="BE2382" s="1065"/>
      <c r="BF2382" s="1065"/>
      <c r="BG2382" s="1065"/>
    </row>
    <row r="2383" spans="4:59">
      <c r="D2383" s="1065"/>
      <c r="S2383" s="1065"/>
      <c r="BE2383" s="1065"/>
      <c r="BF2383" s="1065"/>
      <c r="BG2383" s="1065"/>
    </row>
    <row r="2384" spans="4:59">
      <c r="D2384" s="1065"/>
      <c r="S2384" s="1065"/>
      <c r="BE2384" s="1065"/>
      <c r="BF2384" s="1065"/>
      <c r="BG2384" s="1065"/>
    </row>
    <row r="2385" spans="4:59">
      <c r="D2385" s="1065"/>
      <c r="S2385" s="1065"/>
      <c r="BE2385" s="1065"/>
      <c r="BF2385" s="1065"/>
      <c r="BG2385" s="1065"/>
    </row>
    <row r="2386" spans="4:59">
      <c r="D2386" s="1065"/>
      <c r="S2386" s="1065"/>
      <c r="BE2386" s="1065"/>
      <c r="BF2386" s="1065"/>
      <c r="BG2386" s="1065"/>
    </row>
    <row r="2387" spans="4:59">
      <c r="D2387" s="1065"/>
      <c r="S2387" s="1065"/>
      <c r="BE2387" s="1065"/>
      <c r="BF2387" s="1065"/>
      <c r="BG2387" s="1065"/>
    </row>
    <row r="2388" spans="4:59">
      <c r="D2388" s="1065"/>
      <c r="S2388" s="1065"/>
      <c r="BE2388" s="1065"/>
      <c r="BF2388" s="1065"/>
      <c r="BG2388" s="1065"/>
    </row>
    <row r="2389" spans="4:59">
      <c r="D2389" s="1065"/>
      <c r="S2389" s="1065"/>
      <c r="BE2389" s="1065"/>
      <c r="BF2389" s="1065"/>
      <c r="BG2389" s="1065"/>
    </row>
    <row r="2390" spans="4:59">
      <c r="D2390" s="1065"/>
      <c r="S2390" s="1065"/>
      <c r="BE2390" s="1065"/>
      <c r="BF2390" s="1065"/>
      <c r="BG2390" s="1065"/>
    </row>
    <row r="2391" spans="4:59">
      <c r="D2391" s="1065"/>
      <c r="S2391" s="1065"/>
      <c r="BE2391" s="1065"/>
      <c r="BF2391" s="1065"/>
      <c r="BG2391" s="1065"/>
    </row>
    <row r="2392" spans="4:59">
      <c r="D2392" s="1065"/>
      <c r="S2392" s="1065"/>
      <c r="BE2392" s="1065"/>
      <c r="BF2392" s="1065"/>
      <c r="BG2392" s="1065"/>
    </row>
    <row r="2393" spans="4:59">
      <c r="D2393" s="1065"/>
      <c r="S2393" s="1065"/>
      <c r="BE2393" s="1065"/>
      <c r="BF2393" s="1065"/>
      <c r="BG2393" s="1065"/>
    </row>
    <row r="2394" spans="4:59">
      <c r="D2394" s="1065"/>
      <c r="S2394" s="1065"/>
      <c r="BE2394" s="1065"/>
      <c r="BF2394" s="1065"/>
      <c r="BG2394" s="1065"/>
    </row>
    <row r="2395" spans="4:59">
      <c r="D2395" s="1065"/>
      <c r="S2395" s="1065"/>
      <c r="BE2395" s="1065"/>
      <c r="BF2395" s="1065"/>
      <c r="BG2395" s="1065"/>
    </row>
    <row r="2396" spans="4:59">
      <c r="D2396" s="1065"/>
      <c r="S2396" s="1065"/>
      <c r="BE2396" s="1065"/>
      <c r="BF2396" s="1065"/>
      <c r="BG2396" s="1065"/>
    </row>
    <row r="2397" spans="4:59">
      <c r="D2397" s="1065"/>
      <c r="S2397" s="1065"/>
      <c r="BE2397" s="1065"/>
      <c r="BF2397" s="1065"/>
      <c r="BG2397" s="1065"/>
    </row>
    <row r="2398" spans="4:59">
      <c r="D2398" s="1065"/>
      <c r="S2398" s="1065"/>
      <c r="BE2398" s="1065"/>
      <c r="BF2398" s="1065"/>
      <c r="BG2398" s="1065"/>
    </row>
    <row r="2399" spans="4:59">
      <c r="D2399" s="1065"/>
      <c r="S2399" s="1065"/>
      <c r="BE2399" s="1065"/>
      <c r="BF2399" s="1065"/>
      <c r="BG2399" s="1065"/>
    </row>
    <row r="2400" spans="4:59">
      <c r="D2400" s="1065"/>
      <c r="S2400" s="1065"/>
      <c r="BE2400" s="1065"/>
      <c r="BF2400" s="1065"/>
      <c r="BG2400" s="1065"/>
    </row>
    <row r="2401" spans="4:59">
      <c r="D2401" s="1065"/>
      <c r="S2401" s="1065"/>
      <c r="BE2401" s="1065"/>
      <c r="BF2401" s="1065"/>
      <c r="BG2401" s="1065"/>
    </row>
    <row r="2402" spans="4:59">
      <c r="D2402" s="1065"/>
      <c r="S2402" s="1065"/>
      <c r="BE2402" s="1065"/>
      <c r="BF2402" s="1065"/>
      <c r="BG2402" s="1065"/>
    </row>
    <row r="2403" spans="4:59">
      <c r="D2403" s="1065"/>
      <c r="S2403" s="1065"/>
      <c r="BE2403" s="1065"/>
      <c r="BF2403" s="1065"/>
      <c r="BG2403" s="1065"/>
    </row>
    <row r="2404" spans="4:59">
      <c r="D2404" s="1065"/>
      <c r="S2404" s="1065"/>
      <c r="BE2404" s="1065"/>
      <c r="BF2404" s="1065"/>
      <c r="BG2404" s="1065"/>
    </row>
    <row r="2405" spans="4:59">
      <c r="D2405" s="1065"/>
      <c r="S2405" s="1065"/>
      <c r="BE2405" s="1065"/>
      <c r="BF2405" s="1065"/>
      <c r="BG2405" s="1065"/>
    </row>
    <row r="2406" spans="4:59">
      <c r="D2406" s="1065"/>
      <c r="S2406" s="1065"/>
      <c r="BE2406" s="1065"/>
      <c r="BF2406" s="1065"/>
      <c r="BG2406" s="1065"/>
    </row>
    <row r="2407" spans="4:59">
      <c r="D2407" s="1065"/>
      <c r="S2407" s="1065"/>
      <c r="BE2407" s="1065"/>
      <c r="BF2407" s="1065"/>
      <c r="BG2407" s="1065"/>
    </row>
    <row r="2408" spans="4:59">
      <c r="D2408" s="1065"/>
      <c r="S2408" s="1065"/>
      <c r="BE2408" s="1065"/>
      <c r="BF2408" s="1065"/>
      <c r="BG2408" s="1065"/>
    </row>
    <row r="2409" spans="4:59">
      <c r="D2409" s="1065"/>
      <c r="S2409" s="1065"/>
      <c r="BE2409" s="1065"/>
      <c r="BF2409" s="1065"/>
      <c r="BG2409" s="1065"/>
    </row>
    <row r="2410" spans="4:59">
      <c r="D2410" s="1065"/>
      <c r="S2410" s="1065"/>
      <c r="BE2410" s="1065"/>
      <c r="BF2410" s="1065"/>
      <c r="BG2410" s="1065"/>
    </row>
    <row r="2411" spans="4:59">
      <c r="D2411" s="1065"/>
      <c r="S2411" s="1065"/>
      <c r="BE2411" s="1065"/>
      <c r="BF2411" s="1065"/>
      <c r="BG2411" s="1065"/>
    </row>
    <row r="2412" spans="4:59">
      <c r="D2412" s="1065"/>
      <c r="S2412" s="1065"/>
      <c r="BE2412" s="1065"/>
      <c r="BF2412" s="1065"/>
      <c r="BG2412" s="1065"/>
    </row>
    <row r="2413" spans="4:59">
      <c r="D2413" s="1065"/>
      <c r="S2413" s="1065"/>
      <c r="BE2413" s="1065"/>
      <c r="BF2413" s="1065"/>
      <c r="BG2413" s="1065"/>
    </row>
    <row r="2414" spans="4:59">
      <c r="D2414" s="1065"/>
      <c r="S2414" s="1065"/>
      <c r="BE2414" s="1065"/>
      <c r="BF2414" s="1065"/>
      <c r="BG2414" s="1065"/>
    </row>
    <row r="2415" spans="4:59">
      <c r="D2415" s="1065"/>
      <c r="S2415" s="1065"/>
      <c r="BE2415" s="1065"/>
      <c r="BF2415" s="1065"/>
      <c r="BG2415" s="1065"/>
    </row>
    <row r="2416" spans="4:59">
      <c r="D2416" s="1065"/>
      <c r="S2416" s="1065"/>
      <c r="BE2416" s="1065"/>
      <c r="BF2416" s="1065"/>
      <c r="BG2416" s="1065"/>
    </row>
    <row r="2417" spans="4:59">
      <c r="D2417" s="1065"/>
      <c r="S2417" s="1065"/>
      <c r="BE2417" s="1065"/>
      <c r="BF2417" s="1065"/>
      <c r="BG2417" s="1065"/>
    </row>
    <row r="2418" spans="4:59">
      <c r="D2418" s="1065"/>
      <c r="S2418" s="1065"/>
      <c r="BE2418" s="1065"/>
      <c r="BF2418" s="1065"/>
      <c r="BG2418" s="1065"/>
    </row>
    <row r="2419" spans="4:59">
      <c r="D2419" s="1065"/>
      <c r="S2419" s="1065"/>
      <c r="BE2419" s="1065"/>
      <c r="BF2419" s="1065"/>
      <c r="BG2419" s="1065"/>
    </row>
    <row r="2420" spans="4:59">
      <c r="D2420" s="1065"/>
      <c r="S2420" s="1065"/>
      <c r="BE2420" s="1065"/>
      <c r="BF2420" s="1065"/>
      <c r="BG2420" s="1065"/>
    </row>
    <row r="2421" spans="4:59">
      <c r="D2421" s="1065"/>
      <c r="S2421" s="1065"/>
      <c r="BE2421" s="1065"/>
      <c r="BF2421" s="1065"/>
      <c r="BG2421" s="1065"/>
    </row>
    <row r="2422" spans="4:59">
      <c r="D2422" s="1065"/>
      <c r="S2422" s="1065"/>
      <c r="BE2422" s="1065"/>
      <c r="BF2422" s="1065"/>
      <c r="BG2422" s="1065"/>
    </row>
    <row r="2423" spans="4:59">
      <c r="D2423" s="1065"/>
      <c r="S2423" s="1065"/>
      <c r="BE2423" s="1065"/>
      <c r="BF2423" s="1065"/>
      <c r="BG2423" s="1065"/>
    </row>
    <row r="2424" spans="4:59">
      <c r="D2424" s="1065"/>
      <c r="S2424" s="1065"/>
      <c r="BE2424" s="1065"/>
      <c r="BF2424" s="1065"/>
      <c r="BG2424" s="1065"/>
    </row>
    <row r="2425" spans="4:59">
      <c r="D2425" s="1065"/>
      <c r="S2425" s="1065"/>
      <c r="BE2425" s="1065"/>
      <c r="BF2425" s="1065"/>
      <c r="BG2425" s="1065"/>
    </row>
    <row r="2426" spans="4:59">
      <c r="D2426" s="1065"/>
      <c r="S2426" s="1065"/>
      <c r="BE2426" s="1065"/>
      <c r="BF2426" s="1065"/>
      <c r="BG2426" s="1065"/>
    </row>
    <row r="2427" spans="4:59">
      <c r="D2427" s="1065"/>
      <c r="S2427" s="1065"/>
      <c r="BE2427" s="1065"/>
      <c r="BF2427" s="1065"/>
      <c r="BG2427" s="1065"/>
    </row>
    <row r="2428" spans="4:59">
      <c r="D2428" s="1065"/>
      <c r="S2428" s="1065"/>
      <c r="BE2428" s="1065"/>
      <c r="BF2428" s="1065"/>
      <c r="BG2428" s="1065"/>
    </row>
    <row r="2429" spans="4:59">
      <c r="D2429" s="1065"/>
      <c r="S2429" s="1065"/>
      <c r="BE2429" s="1065"/>
      <c r="BF2429" s="1065"/>
      <c r="BG2429" s="1065"/>
    </row>
    <row r="2430" spans="4:59">
      <c r="D2430" s="1065"/>
      <c r="S2430" s="1065"/>
      <c r="BE2430" s="1065"/>
      <c r="BF2430" s="1065"/>
      <c r="BG2430" s="1065"/>
    </row>
    <row r="2431" spans="4:59">
      <c r="D2431" s="1065"/>
      <c r="S2431" s="1065"/>
      <c r="BE2431" s="1065"/>
      <c r="BF2431" s="1065"/>
      <c r="BG2431" s="1065"/>
    </row>
    <row r="2432" spans="4:59">
      <c r="D2432" s="1065"/>
      <c r="S2432" s="1065"/>
      <c r="BE2432" s="1065"/>
      <c r="BF2432" s="1065"/>
      <c r="BG2432" s="1065"/>
    </row>
    <row r="2433" spans="4:59">
      <c r="D2433" s="1065"/>
      <c r="S2433" s="1065"/>
      <c r="BE2433" s="1065"/>
      <c r="BF2433" s="1065"/>
      <c r="BG2433" s="1065"/>
    </row>
    <row r="2434" spans="4:59">
      <c r="D2434" s="1065"/>
      <c r="S2434" s="1065"/>
      <c r="BE2434" s="1065"/>
      <c r="BF2434" s="1065"/>
      <c r="BG2434" s="1065"/>
    </row>
    <row r="2435" spans="4:59">
      <c r="D2435" s="1065"/>
      <c r="S2435" s="1065"/>
      <c r="BE2435" s="1065"/>
      <c r="BF2435" s="1065"/>
      <c r="BG2435" s="1065"/>
    </row>
    <row r="2436" spans="4:59">
      <c r="D2436" s="1065"/>
      <c r="S2436" s="1065"/>
      <c r="BE2436" s="1065"/>
      <c r="BF2436" s="1065"/>
      <c r="BG2436" s="1065"/>
    </row>
    <row r="2437" spans="4:59">
      <c r="D2437" s="1065"/>
      <c r="S2437" s="1065"/>
      <c r="BE2437" s="1065"/>
      <c r="BF2437" s="1065"/>
      <c r="BG2437" s="1065"/>
    </row>
    <row r="2438" spans="4:59">
      <c r="D2438" s="1065"/>
      <c r="S2438" s="1065"/>
      <c r="BE2438" s="1065"/>
      <c r="BF2438" s="1065"/>
      <c r="BG2438" s="1065"/>
    </row>
    <row r="2439" spans="4:59">
      <c r="D2439" s="1065"/>
      <c r="S2439" s="1065"/>
      <c r="BE2439" s="1065"/>
      <c r="BF2439" s="1065"/>
      <c r="BG2439" s="1065"/>
    </row>
    <row r="2440" spans="4:59">
      <c r="D2440" s="1065"/>
      <c r="S2440" s="1065"/>
      <c r="BE2440" s="1065"/>
      <c r="BF2440" s="1065"/>
      <c r="BG2440" s="1065"/>
    </row>
    <row r="2441" spans="4:59">
      <c r="D2441" s="1065"/>
      <c r="S2441" s="1065"/>
      <c r="BE2441" s="1065"/>
      <c r="BF2441" s="1065"/>
      <c r="BG2441" s="1065"/>
    </row>
    <row r="2442" spans="4:59">
      <c r="D2442" s="1065"/>
      <c r="S2442" s="1065"/>
      <c r="BE2442" s="1065"/>
      <c r="BF2442" s="1065"/>
      <c r="BG2442" s="1065"/>
    </row>
    <row r="2443" spans="4:59">
      <c r="D2443" s="1065"/>
      <c r="S2443" s="1065"/>
      <c r="BE2443" s="1065"/>
      <c r="BF2443" s="1065"/>
      <c r="BG2443" s="1065"/>
    </row>
    <row r="2444" spans="4:59">
      <c r="D2444" s="1065"/>
      <c r="S2444" s="1065"/>
      <c r="BE2444" s="1065"/>
      <c r="BF2444" s="1065"/>
      <c r="BG2444" s="1065"/>
    </row>
    <row r="2445" spans="4:59">
      <c r="D2445" s="1065"/>
      <c r="S2445" s="1065"/>
      <c r="BE2445" s="1065"/>
      <c r="BF2445" s="1065"/>
      <c r="BG2445" s="1065"/>
    </row>
    <row r="2446" spans="4:59">
      <c r="D2446" s="1065"/>
      <c r="S2446" s="1065"/>
      <c r="BE2446" s="1065"/>
      <c r="BF2446" s="1065"/>
      <c r="BG2446" s="1065"/>
    </row>
    <row r="2447" spans="4:59">
      <c r="D2447" s="1065"/>
      <c r="S2447" s="1065"/>
      <c r="BE2447" s="1065"/>
      <c r="BF2447" s="1065"/>
      <c r="BG2447" s="1065"/>
    </row>
    <row r="2448" spans="4:59">
      <c r="D2448" s="1065"/>
      <c r="S2448" s="1065"/>
      <c r="BE2448" s="1065"/>
      <c r="BF2448" s="1065"/>
      <c r="BG2448" s="1065"/>
    </row>
    <row r="2449" spans="4:59">
      <c r="D2449" s="1065"/>
      <c r="S2449" s="1065"/>
      <c r="BE2449" s="1065"/>
      <c r="BF2449" s="1065"/>
      <c r="BG2449" s="1065"/>
    </row>
    <row r="2450" spans="4:59">
      <c r="D2450" s="1065"/>
      <c r="S2450" s="1065"/>
      <c r="BE2450" s="1065"/>
      <c r="BF2450" s="1065"/>
      <c r="BG2450" s="1065"/>
    </row>
    <row r="2451" spans="4:59">
      <c r="D2451" s="1065"/>
      <c r="S2451" s="1065"/>
      <c r="BE2451" s="1065"/>
      <c r="BF2451" s="1065"/>
      <c r="BG2451" s="1065"/>
    </row>
    <row r="2452" spans="4:59">
      <c r="D2452" s="1065"/>
      <c r="S2452" s="1065"/>
      <c r="BE2452" s="1065"/>
      <c r="BF2452" s="1065"/>
      <c r="BG2452" s="1065"/>
    </row>
    <row r="2453" spans="4:59">
      <c r="D2453" s="1065"/>
      <c r="S2453" s="1065"/>
      <c r="BE2453" s="1065"/>
      <c r="BF2453" s="1065"/>
      <c r="BG2453" s="1065"/>
    </row>
    <row r="2454" spans="4:59">
      <c r="D2454" s="1065"/>
      <c r="S2454" s="1065"/>
      <c r="BE2454" s="1065"/>
      <c r="BF2454" s="1065"/>
      <c r="BG2454" s="1065"/>
    </row>
    <row r="2455" spans="4:59">
      <c r="D2455" s="1065"/>
      <c r="S2455" s="1065"/>
      <c r="BE2455" s="1065"/>
      <c r="BF2455" s="1065"/>
      <c r="BG2455" s="1065"/>
    </row>
    <row r="2456" spans="4:59">
      <c r="D2456" s="1065"/>
      <c r="S2456" s="1065"/>
      <c r="BE2456" s="1065"/>
      <c r="BF2456" s="1065"/>
      <c r="BG2456" s="1065"/>
    </row>
    <row r="2457" spans="4:59">
      <c r="D2457" s="1065"/>
      <c r="S2457" s="1065"/>
      <c r="BE2457" s="1065"/>
      <c r="BF2457" s="1065"/>
      <c r="BG2457" s="1065"/>
    </row>
    <row r="2458" spans="4:59">
      <c r="D2458" s="1065"/>
      <c r="S2458" s="1065"/>
      <c r="BE2458" s="1065"/>
      <c r="BF2458" s="1065"/>
      <c r="BG2458" s="1065"/>
    </row>
    <row r="2459" spans="4:59">
      <c r="D2459" s="1065"/>
      <c r="S2459" s="1065"/>
      <c r="BE2459" s="1065"/>
      <c r="BF2459" s="1065"/>
      <c r="BG2459" s="1065"/>
    </row>
    <row r="2467" spans="4:59">
      <c r="D2467" s="1065"/>
      <c r="S2467" s="1065"/>
      <c r="BE2467" s="1065"/>
      <c r="BF2467" s="1065"/>
      <c r="BG2467" s="1065"/>
    </row>
    <row r="2468" spans="4:59">
      <c r="D2468" s="1065"/>
      <c r="S2468" s="1065"/>
      <c r="BE2468" s="1065"/>
      <c r="BF2468" s="1065"/>
      <c r="BG2468" s="1065"/>
    </row>
    <row r="2469" spans="4:59">
      <c r="D2469" s="1065"/>
      <c r="S2469" s="1065"/>
      <c r="BE2469" s="1065"/>
      <c r="BF2469" s="1065"/>
      <c r="BG2469" s="1065"/>
    </row>
    <row r="2470" spans="4:59">
      <c r="D2470" s="1065"/>
      <c r="S2470" s="1065"/>
      <c r="BE2470" s="1065"/>
      <c r="BF2470" s="1065"/>
      <c r="BG2470" s="1065"/>
    </row>
    <row r="2471" spans="4:59">
      <c r="D2471" s="1065"/>
      <c r="S2471" s="1065"/>
      <c r="BE2471" s="1065"/>
      <c r="BF2471" s="1065"/>
      <c r="BG2471" s="1065"/>
    </row>
    <row r="2472" spans="4:59">
      <c r="D2472" s="1065"/>
      <c r="S2472" s="1065"/>
      <c r="BE2472" s="1065"/>
      <c r="BF2472" s="1065"/>
      <c r="BG2472" s="1065"/>
    </row>
    <row r="2473" spans="4:59">
      <c r="D2473" s="1065"/>
      <c r="S2473" s="1065"/>
      <c r="BE2473" s="1065"/>
      <c r="BF2473" s="1065"/>
      <c r="BG2473" s="1065"/>
    </row>
    <row r="2474" spans="4:59">
      <c r="D2474" s="1065"/>
      <c r="S2474" s="1065"/>
      <c r="BE2474" s="1065"/>
      <c r="BF2474" s="1065"/>
      <c r="BG2474" s="1065"/>
    </row>
    <row r="2475" spans="4:59">
      <c r="D2475" s="1065"/>
      <c r="S2475" s="1065"/>
      <c r="BE2475" s="1065"/>
      <c r="BF2475" s="1065"/>
      <c r="BG2475" s="1065"/>
    </row>
    <row r="2476" spans="4:59">
      <c r="D2476" s="1065"/>
      <c r="S2476" s="1065"/>
      <c r="BE2476" s="1065"/>
      <c r="BF2476" s="1065"/>
      <c r="BG2476" s="1065"/>
    </row>
    <row r="2477" spans="4:59">
      <c r="D2477" s="1065"/>
      <c r="S2477" s="1065"/>
      <c r="BE2477" s="1065"/>
      <c r="BF2477" s="1065"/>
      <c r="BG2477" s="1065"/>
    </row>
    <row r="2478" spans="4:59">
      <c r="D2478" s="1065"/>
      <c r="S2478" s="1065"/>
      <c r="BE2478" s="1065"/>
      <c r="BF2478" s="1065"/>
      <c r="BG2478" s="1065"/>
    </row>
    <row r="2479" spans="4:59">
      <c r="D2479" s="1065"/>
      <c r="S2479" s="1065"/>
      <c r="BE2479" s="1065"/>
      <c r="BF2479" s="1065"/>
      <c r="BG2479" s="1065"/>
    </row>
    <row r="2480" spans="4:59">
      <c r="D2480" s="1065"/>
      <c r="S2480" s="1065"/>
      <c r="BE2480" s="1065"/>
      <c r="BF2480" s="1065"/>
      <c r="BG2480" s="1065"/>
    </row>
    <row r="2481" spans="4:59">
      <c r="D2481" s="1065"/>
      <c r="S2481" s="1065"/>
      <c r="BE2481" s="1065"/>
      <c r="BF2481" s="1065"/>
      <c r="BG2481" s="1065"/>
    </row>
    <row r="2482" spans="4:59">
      <c r="D2482" s="1065"/>
      <c r="S2482" s="1065"/>
      <c r="BE2482" s="1065"/>
      <c r="BF2482" s="1065"/>
      <c r="BG2482" s="1065"/>
    </row>
    <row r="2483" spans="4:59">
      <c r="D2483" s="1065"/>
      <c r="S2483" s="1065"/>
      <c r="BE2483" s="1065"/>
      <c r="BF2483" s="1065"/>
      <c r="BG2483" s="1065"/>
    </row>
    <row r="2484" spans="4:59">
      <c r="D2484" s="1065"/>
      <c r="S2484" s="1065"/>
      <c r="BE2484" s="1065"/>
      <c r="BF2484" s="1065"/>
      <c r="BG2484" s="1065"/>
    </row>
    <row r="2485" spans="4:59">
      <c r="D2485" s="1065"/>
      <c r="S2485" s="1065"/>
      <c r="BE2485" s="1065"/>
      <c r="BF2485" s="1065"/>
      <c r="BG2485" s="1065"/>
    </row>
    <row r="2486" spans="4:59">
      <c r="D2486" s="1065"/>
      <c r="S2486" s="1065"/>
      <c r="BE2486" s="1065"/>
      <c r="BF2486" s="1065"/>
      <c r="BG2486" s="1065"/>
    </row>
    <row r="2487" spans="4:59">
      <c r="D2487" s="1065"/>
      <c r="S2487" s="1065"/>
      <c r="BE2487" s="1065"/>
      <c r="BF2487" s="1065"/>
      <c r="BG2487" s="1065"/>
    </row>
    <row r="2488" spans="4:59">
      <c r="D2488" s="1065"/>
      <c r="S2488" s="1065"/>
      <c r="BE2488" s="1065"/>
      <c r="BF2488" s="1065"/>
      <c r="BG2488" s="1065"/>
    </row>
    <row r="2489" spans="4:59">
      <c r="D2489" s="1065"/>
      <c r="S2489" s="1065"/>
      <c r="BE2489" s="1065"/>
      <c r="BF2489" s="1065"/>
      <c r="BG2489" s="1065"/>
    </row>
    <row r="2490" spans="4:59">
      <c r="D2490" s="1065"/>
      <c r="S2490" s="1065"/>
      <c r="BE2490" s="1065"/>
      <c r="BF2490" s="1065"/>
      <c r="BG2490" s="1065"/>
    </row>
    <row r="2491" spans="4:59">
      <c r="D2491" s="1065"/>
      <c r="S2491" s="1065"/>
      <c r="BE2491" s="1065"/>
      <c r="BF2491" s="1065"/>
      <c r="BG2491" s="1065"/>
    </row>
    <row r="2492" spans="4:59">
      <c r="D2492" s="1065"/>
      <c r="S2492" s="1065"/>
      <c r="BE2492" s="1065"/>
      <c r="BF2492" s="1065"/>
      <c r="BG2492" s="1065"/>
    </row>
    <row r="2493" spans="4:59">
      <c r="D2493" s="1065"/>
      <c r="S2493" s="1065"/>
      <c r="BE2493" s="1065"/>
      <c r="BF2493" s="1065"/>
      <c r="BG2493" s="1065"/>
    </row>
    <row r="2494" spans="4:59">
      <c r="D2494" s="1065"/>
      <c r="S2494" s="1065"/>
      <c r="BE2494" s="1065"/>
      <c r="BF2494" s="1065"/>
      <c r="BG2494" s="1065"/>
    </row>
    <row r="2495" spans="4:59">
      <c r="D2495" s="1065"/>
      <c r="S2495" s="1065"/>
      <c r="BE2495" s="1065"/>
      <c r="BF2495" s="1065"/>
      <c r="BG2495" s="1065"/>
    </row>
    <row r="2496" spans="4:59">
      <c r="D2496" s="1065"/>
      <c r="S2496" s="1065"/>
      <c r="BE2496" s="1065"/>
      <c r="BF2496" s="1065"/>
      <c r="BG2496" s="1065"/>
    </row>
    <row r="2497" spans="4:59">
      <c r="D2497" s="1065"/>
      <c r="S2497" s="1065"/>
      <c r="BE2497" s="1065"/>
      <c r="BF2497" s="1065"/>
      <c r="BG2497" s="1065"/>
    </row>
    <row r="2498" spans="4:59">
      <c r="D2498" s="1065"/>
      <c r="S2498" s="1065"/>
      <c r="BE2498" s="1065"/>
      <c r="BF2498" s="1065"/>
      <c r="BG2498" s="1065"/>
    </row>
    <row r="2499" spans="4:59">
      <c r="D2499" s="1065"/>
      <c r="S2499" s="1065"/>
      <c r="BE2499" s="1065"/>
      <c r="BF2499" s="1065"/>
      <c r="BG2499" s="1065"/>
    </row>
    <row r="2500" spans="4:59">
      <c r="D2500" s="1065"/>
      <c r="S2500" s="1065"/>
      <c r="BE2500" s="1065"/>
      <c r="BF2500" s="1065"/>
      <c r="BG2500" s="1065"/>
    </row>
    <row r="2501" spans="4:59">
      <c r="D2501" s="1065"/>
      <c r="S2501" s="1065"/>
      <c r="BE2501" s="1065"/>
      <c r="BF2501" s="1065"/>
      <c r="BG2501" s="1065"/>
    </row>
    <row r="2502" spans="4:59">
      <c r="D2502" s="1065"/>
      <c r="S2502" s="1065"/>
      <c r="BE2502" s="1065"/>
      <c r="BF2502" s="1065"/>
      <c r="BG2502" s="1065"/>
    </row>
    <row r="2504" spans="4:59">
      <c r="D2504" s="1065"/>
      <c r="S2504" s="1065"/>
      <c r="BE2504" s="1065"/>
      <c r="BF2504" s="1065"/>
      <c r="BG2504" s="1065"/>
    </row>
    <row r="2505" spans="4:59">
      <c r="D2505" s="1065"/>
      <c r="S2505" s="1065"/>
      <c r="BE2505" s="1065"/>
      <c r="BF2505" s="1065"/>
      <c r="BG2505" s="1065"/>
    </row>
    <row r="2510" spans="4:59">
      <c r="D2510" s="1065"/>
      <c r="S2510" s="1065"/>
      <c r="BE2510" s="1065"/>
      <c r="BF2510" s="1065"/>
      <c r="BG2510" s="1065"/>
    </row>
    <row r="2511" spans="4:59">
      <c r="D2511" s="1065"/>
      <c r="S2511" s="1065"/>
      <c r="BE2511" s="1065"/>
      <c r="BF2511" s="1065"/>
      <c r="BG2511" s="1065"/>
    </row>
    <row r="2513" spans="4:59">
      <c r="D2513" s="1065"/>
      <c r="S2513" s="1065"/>
      <c r="BE2513" s="1065"/>
      <c r="BF2513" s="1065"/>
      <c r="BG2513" s="1065"/>
    </row>
    <row r="2514" spans="4:59">
      <c r="D2514" s="1065"/>
      <c r="S2514" s="1065"/>
      <c r="BE2514" s="1065"/>
      <c r="BF2514" s="1065"/>
      <c r="BG2514" s="1065"/>
    </row>
    <row r="2515" spans="4:59">
      <c r="D2515" s="1065"/>
      <c r="S2515" s="1065"/>
      <c r="BE2515" s="1065"/>
      <c r="BF2515" s="1065"/>
      <c r="BG2515" s="1065"/>
    </row>
    <row r="2516" spans="4:59">
      <c r="D2516" s="1065"/>
      <c r="S2516" s="1065"/>
      <c r="BE2516" s="1065"/>
      <c r="BF2516" s="1065"/>
      <c r="BG2516" s="1065"/>
    </row>
    <row r="2517" spans="4:59">
      <c r="D2517" s="1065"/>
      <c r="S2517" s="1065"/>
      <c r="BE2517" s="1065"/>
      <c r="BF2517" s="1065"/>
      <c r="BG2517" s="1065"/>
    </row>
    <row r="2518" spans="4:59">
      <c r="D2518" s="1065"/>
      <c r="S2518" s="1065"/>
      <c r="BE2518" s="1065"/>
      <c r="BF2518" s="1065"/>
      <c r="BG2518" s="1065"/>
    </row>
    <row r="2519" spans="4:59">
      <c r="D2519" s="1065"/>
      <c r="S2519" s="1065"/>
      <c r="BE2519" s="1065"/>
      <c r="BF2519" s="1065"/>
      <c r="BG2519" s="1065"/>
    </row>
    <row r="2520" spans="4:59">
      <c r="D2520" s="1065"/>
      <c r="S2520" s="1065"/>
      <c r="BE2520" s="1065"/>
      <c r="BF2520" s="1065"/>
      <c r="BG2520" s="1065"/>
    </row>
    <row r="2521" spans="4:59">
      <c r="D2521" s="1065"/>
      <c r="S2521" s="1065"/>
      <c r="BE2521" s="1065"/>
      <c r="BF2521" s="1065"/>
      <c r="BG2521" s="1065"/>
    </row>
    <row r="2522" spans="4:59">
      <c r="D2522" s="1065"/>
      <c r="S2522" s="1065"/>
      <c r="BE2522" s="1065"/>
      <c r="BF2522" s="1065"/>
      <c r="BG2522" s="1065"/>
    </row>
    <row r="2523" spans="4:59">
      <c r="D2523" s="1065"/>
      <c r="S2523" s="1065"/>
      <c r="BE2523" s="1065"/>
      <c r="BF2523" s="1065"/>
      <c r="BG2523" s="1065"/>
    </row>
    <row r="2524" spans="4:59">
      <c r="D2524" s="1065"/>
      <c r="S2524" s="1065"/>
      <c r="BE2524" s="1065"/>
      <c r="BF2524" s="1065"/>
      <c r="BG2524" s="1065"/>
    </row>
    <row r="2525" spans="4:59">
      <c r="D2525" s="1065"/>
      <c r="S2525" s="1065"/>
      <c r="BE2525" s="1065"/>
      <c r="BF2525" s="1065"/>
      <c r="BG2525" s="1065"/>
    </row>
    <row r="2526" spans="4:59">
      <c r="D2526" s="1065"/>
      <c r="S2526" s="1065"/>
      <c r="BE2526" s="1065"/>
      <c r="BF2526" s="1065"/>
      <c r="BG2526" s="1065"/>
    </row>
    <row r="2527" spans="4:59">
      <c r="D2527" s="1065"/>
      <c r="S2527" s="1065"/>
      <c r="BE2527" s="1065"/>
      <c r="BF2527" s="1065"/>
      <c r="BG2527" s="1065"/>
    </row>
    <row r="2528" spans="4:59">
      <c r="D2528" s="1065"/>
      <c r="S2528" s="1065"/>
      <c r="BE2528" s="1065"/>
      <c r="BF2528" s="1065"/>
      <c r="BG2528" s="1065"/>
    </row>
    <row r="2529" spans="4:59">
      <c r="D2529" s="1065"/>
      <c r="S2529" s="1065"/>
      <c r="BE2529" s="1065"/>
      <c r="BF2529" s="1065"/>
      <c r="BG2529" s="1065"/>
    </row>
    <row r="2530" spans="4:59">
      <c r="D2530" s="1065"/>
      <c r="S2530" s="1065"/>
      <c r="BE2530" s="1065"/>
      <c r="BF2530" s="1065"/>
      <c r="BG2530" s="1065"/>
    </row>
    <row r="2531" spans="4:59">
      <c r="D2531" s="1065"/>
      <c r="S2531" s="1065"/>
      <c r="BE2531" s="1065"/>
      <c r="BF2531" s="1065"/>
      <c r="BG2531" s="1065"/>
    </row>
    <row r="2532" spans="4:59">
      <c r="D2532" s="1065"/>
      <c r="S2532" s="1065"/>
      <c r="BE2532" s="1065"/>
      <c r="BF2532" s="1065"/>
      <c r="BG2532" s="1065"/>
    </row>
    <row r="2533" spans="4:59">
      <c r="D2533" s="1065"/>
      <c r="S2533" s="1065"/>
      <c r="BE2533" s="1065"/>
      <c r="BF2533" s="1065"/>
      <c r="BG2533" s="1065"/>
    </row>
    <row r="2534" spans="4:59">
      <c r="D2534" s="1065"/>
      <c r="S2534" s="1065"/>
      <c r="BE2534" s="1065"/>
      <c r="BF2534" s="1065"/>
      <c r="BG2534" s="1065"/>
    </row>
    <row r="2535" spans="4:59">
      <c r="D2535" s="1065"/>
      <c r="S2535" s="1065"/>
      <c r="BE2535" s="1065"/>
      <c r="BF2535" s="1065"/>
      <c r="BG2535" s="1065"/>
    </row>
    <row r="2536" spans="4:59">
      <c r="D2536" s="1065"/>
      <c r="S2536" s="1065"/>
      <c r="BE2536" s="1065"/>
      <c r="BF2536" s="1065"/>
      <c r="BG2536" s="1065"/>
    </row>
    <row r="2537" spans="4:59">
      <c r="D2537" s="1065"/>
      <c r="S2537" s="1065"/>
      <c r="BE2537" s="1065"/>
      <c r="BF2537" s="1065"/>
      <c r="BG2537" s="1065"/>
    </row>
    <row r="2538" spans="4:59">
      <c r="D2538" s="1065"/>
      <c r="S2538" s="1065"/>
      <c r="BE2538" s="1065"/>
      <c r="BF2538" s="1065"/>
      <c r="BG2538" s="1065"/>
    </row>
    <row r="2539" spans="4:59">
      <c r="D2539" s="1065"/>
      <c r="S2539" s="1065"/>
      <c r="BE2539" s="1065"/>
      <c r="BF2539" s="1065"/>
      <c r="BG2539" s="1065"/>
    </row>
    <row r="2540" spans="4:59">
      <c r="D2540" s="1065"/>
      <c r="S2540" s="1065"/>
      <c r="BE2540" s="1065"/>
      <c r="BF2540" s="1065"/>
      <c r="BG2540" s="1065"/>
    </row>
    <row r="2541" spans="4:59">
      <c r="D2541" s="1065"/>
      <c r="S2541" s="1065"/>
      <c r="BE2541" s="1065"/>
      <c r="BF2541" s="1065"/>
      <c r="BG2541" s="1065"/>
    </row>
    <row r="2542" spans="4:59">
      <c r="D2542" s="1065"/>
      <c r="S2542" s="1065"/>
      <c r="BE2542" s="1065"/>
      <c r="BF2542" s="1065"/>
      <c r="BG2542" s="1065"/>
    </row>
    <row r="2543" spans="4:59">
      <c r="D2543" s="1065"/>
      <c r="S2543" s="1065"/>
      <c r="BE2543" s="1065"/>
      <c r="BF2543" s="1065"/>
      <c r="BG2543" s="1065"/>
    </row>
    <row r="2544" spans="4:59">
      <c r="D2544" s="1065"/>
      <c r="S2544" s="1065"/>
      <c r="BE2544" s="1065"/>
      <c r="BF2544" s="1065"/>
      <c r="BG2544" s="1065"/>
    </row>
    <row r="2545" spans="4:59">
      <c r="D2545" s="1065"/>
      <c r="S2545" s="1065"/>
      <c r="BE2545" s="1065"/>
      <c r="BF2545" s="1065"/>
      <c r="BG2545" s="1065"/>
    </row>
    <row r="2546" spans="4:59">
      <c r="D2546" s="1065"/>
      <c r="S2546" s="1065"/>
      <c r="BE2546" s="1065"/>
      <c r="BF2546" s="1065"/>
      <c r="BG2546" s="1065"/>
    </row>
    <row r="2547" spans="4:59">
      <c r="D2547" s="1065"/>
      <c r="S2547" s="1065"/>
      <c r="BE2547" s="1065"/>
      <c r="BF2547" s="1065"/>
      <c r="BG2547" s="1065"/>
    </row>
    <row r="2548" spans="4:59">
      <c r="D2548" s="1065"/>
      <c r="S2548" s="1065"/>
      <c r="BE2548" s="1065"/>
      <c r="BF2548" s="1065"/>
      <c r="BG2548" s="1065"/>
    </row>
    <row r="2549" spans="4:59">
      <c r="D2549" s="1065"/>
      <c r="S2549" s="1065"/>
      <c r="BE2549" s="1065"/>
      <c r="BF2549" s="1065"/>
      <c r="BG2549" s="1065"/>
    </row>
    <row r="2550" spans="4:59">
      <c r="D2550" s="1065"/>
      <c r="S2550" s="1065"/>
      <c r="BE2550" s="1065"/>
      <c r="BF2550" s="1065"/>
      <c r="BG2550" s="1065"/>
    </row>
    <row r="2551" spans="4:59">
      <c r="D2551" s="1065"/>
      <c r="S2551" s="1065"/>
      <c r="BE2551" s="1065"/>
      <c r="BF2551" s="1065"/>
      <c r="BG2551" s="1065"/>
    </row>
    <row r="2552" spans="4:59">
      <c r="D2552" s="1065"/>
      <c r="S2552" s="1065"/>
      <c r="BE2552" s="1065"/>
      <c r="BF2552" s="1065"/>
      <c r="BG2552" s="1065"/>
    </row>
    <row r="2553" spans="4:59">
      <c r="D2553" s="1065"/>
      <c r="S2553" s="1065"/>
      <c r="BE2553" s="1065"/>
      <c r="BF2553" s="1065"/>
      <c r="BG2553" s="1065"/>
    </row>
    <row r="2554" spans="4:59">
      <c r="D2554" s="1065"/>
      <c r="S2554" s="1065"/>
      <c r="BE2554" s="1065"/>
      <c r="BF2554" s="1065"/>
      <c r="BG2554" s="1065"/>
    </row>
    <row r="2555" spans="4:59">
      <c r="D2555" s="1065"/>
      <c r="S2555" s="1065"/>
      <c r="BE2555" s="1065"/>
      <c r="BF2555" s="1065"/>
      <c r="BG2555" s="1065"/>
    </row>
    <row r="2556" spans="4:59">
      <c r="D2556" s="1065"/>
      <c r="S2556" s="1065"/>
      <c r="BE2556" s="1065"/>
      <c r="BF2556" s="1065"/>
      <c r="BG2556" s="1065"/>
    </row>
    <row r="2557" spans="4:59">
      <c r="D2557" s="1065"/>
      <c r="S2557" s="1065"/>
      <c r="BE2557" s="1065"/>
      <c r="BF2557" s="1065"/>
      <c r="BG2557" s="1065"/>
    </row>
    <row r="2558" spans="4:59">
      <c r="D2558" s="1065"/>
      <c r="S2558" s="1065"/>
      <c r="BE2558" s="1065"/>
      <c r="BF2558" s="1065"/>
      <c r="BG2558" s="1065"/>
    </row>
    <row r="2559" spans="4:59">
      <c r="D2559" s="1065"/>
      <c r="S2559" s="1065"/>
      <c r="BE2559" s="1065"/>
      <c r="BF2559" s="1065"/>
      <c r="BG2559" s="1065"/>
    </row>
    <row r="2560" spans="4:59">
      <c r="D2560" s="1065"/>
      <c r="S2560" s="1065"/>
      <c r="BE2560" s="1065"/>
      <c r="BF2560" s="1065"/>
      <c r="BG2560" s="1065"/>
    </row>
    <row r="2561" spans="4:59">
      <c r="D2561" s="1065"/>
      <c r="S2561" s="1065"/>
      <c r="BE2561" s="1065"/>
      <c r="BF2561" s="1065"/>
      <c r="BG2561" s="1065"/>
    </row>
    <row r="2562" spans="4:59">
      <c r="D2562" s="1065"/>
      <c r="S2562" s="1065"/>
      <c r="BE2562" s="1065"/>
      <c r="BF2562" s="1065"/>
      <c r="BG2562" s="1065"/>
    </row>
    <row r="2563" spans="4:59">
      <c r="D2563" s="1065"/>
      <c r="S2563" s="1065"/>
      <c r="BE2563" s="1065"/>
      <c r="BF2563" s="1065"/>
      <c r="BG2563" s="1065"/>
    </row>
    <row r="2564" spans="4:59">
      <c r="D2564" s="1065"/>
      <c r="S2564" s="1065"/>
      <c r="BE2564" s="1065"/>
      <c r="BF2564" s="1065"/>
      <c r="BG2564" s="1065"/>
    </row>
    <row r="2565" spans="4:59">
      <c r="D2565" s="1065"/>
      <c r="S2565" s="1065"/>
      <c r="BE2565" s="1065"/>
      <c r="BF2565" s="1065"/>
      <c r="BG2565" s="1065"/>
    </row>
    <row r="2566" spans="4:59">
      <c r="D2566" s="1065"/>
      <c r="S2566" s="1065"/>
      <c r="BE2566" s="1065"/>
      <c r="BF2566" s="1065"/>
      <c r="BG2566" s="1065"/>
    </row>
    <row r="2567" spans="4:59">
      <c r="D2567" s="1065"/>
      <c r="S2567" s="1065"/>
      <c r="BE2567" s="1065"/>
      <c r="BF2567" s="1065"/>
      <c r="BG2567" s="1065"/>
    </row>
    <row r="2568" spans="4:59">
      <c r="D2568" s="1065"/>
      <c r="S2568" s="1065"/>
      <c r="BE2568" s="1065"/>
      <c r="BF2568" s="1065"/>
      <c r="BG2568" s="1065"/>
    </row>
    <row r="2569" spans="4:59">
      <c r="D2569" s="1065"/>
      <c r="S2569" s="1065"/>
      <c r="BE2569" s="1065"/>
      <c r="BF2569" s="1065"/>
      <c r="BG2569" s="1065"/>
    </row>
    <row r="2570" spans="4:59">
      <c r="D2570" s="1065"/>
      <c r="S2570" s="1065"/>
      <c r="BE2570" s="1065"/>
      <c r="BF2570" s="1065"/>
      <c r="BG2570" s="1065"/>
    </row>
    <row r="2571" spans="4:59">
      <c r="D2571" s="1065"/>
      <c r="S2571" s="1065"/>
      <c r="BE2571" s="1065"/>
      <c r="BF2571" s="1065"/>
      <c r="BG2571" s="1065"/>
    </row>
    <row r="2572" spans="4:59">
      <c r="D2572" s="1065"/>
      <c r="S2572" s="1065"/>
      <c r="BE2572" s="1065"/>
      <c r="BF2572" s="1065"/>
      <c r="BG2572" s="1065"/>
    </row>
    <row r="2573" spans="4:59">
      <c r="D2573" s="1065"/>
      <c r="S2573" s="1065"/>
      <c r="BE2573" s="1065"/>
      <c r="BF2573" s="1065"/>
      <c r="BG2573" s="1065"/>
    </row>
    <row r="2574" spans="4:59">
      <c r="D2574" s="1065"/>
      <c r="S2574" s="1065"/>
      <c r="BE2574" s="1065"/>
      <c r="BF2574" s="1065"/>
      <c r="BG2574" s="1065"/>
    </row>
    <row r="2575" spans="4:59">
      <c r="D2575" s="1065"/>
      <c r="S2575" s="1065"/>
      <c r="BE2575" s="1065"/>
      <c r="BF2575" s="1065"/>
      <c r="BG2575" s="1065"/>
    </row>
    <row r="2576" spans="4:59">
      <c r="D2576" s="1065"/>
      <c r="S2576" s="1065"/>
      <c r="BE2576" s="1065"/>
      <c r="BF2576" s="1065"/>
      <c r="BG2576" s="1065"/>
    </row>
    <row r="2577" spans="4:59">
      <c r="D2577" s="1065"/>
      <c r="S2577" s="1065"/>
      <c r="BE2577" s="1065"/>
      <c r="BF2577" s="1065"/>
      <c r="BG2577" s="1065"/>
    </row>
    <row r="2578" spans="4:59">
      <c r="D2578" s="1065"/>
      <c r="S2578" s="1065"/>
      <c r="BE2578" s="1065"/>
      <c r="BF2578" s="1065"/>
      <c r="BG2578" s="1065"/>
    </row>
    <row r="2579" spans="4:59">
      <c r="D2579" s="1065"/>
      <c r="S2579" s="1065"/>
      <c r="BE2579" s="1065"/>
      <c r="BF2579" s="1065"/>
      <c r="BG2579" s="1065"/>
    </row>
    <row r="2580" spans="4:59">
      <c r="D2580" s="1065"/>
      <c r="S2580" s="1065"/>
      <c r="BE2580" s="1065"/>
      <c r="BF2580" s="1065"/>
      <c r="BG2580" s="1065"/>
    </row>
    <row r="2581" spans="4:59">
      <c r="D2581" s="1065"/>
      <c r="S2581" s="1065"/>
      <c r="BE2581" s="1065"/>
      <c r="BF2581" s="1065"/>
      <c r="BG2581" s="1065"/>
    </row>
    <row r="2582" spans="4:59">
      <c r="D2582" s="1065"/>
      <c r="S2582" s="1065"/>
      <c r="BE2582" s="1065"/>
      <c r="BF2582" s="1065"/>
      <c r="BG2582" s="1065"/>
    </row>
    <row r="2583" spans="4:59">
      <c r="D2583" s="1065"/>
      <c r="S2583" s="1065"/>
      <c r="BE2583" s="1065"/>
      <c r="BF2583" s="1065"/>
      <c r="BG2583" s="1065"/>
    </row>
    <row r="2584" spans="4:59">
      <c r="D2584" s="1065"/>
      <c r="S2584" s="1065"/>
      <c r="BE2584" s="1065"/>
      <c r="BF2584" s="1065"/>
      <c r="BG2584" s="1065"/>
    </row>
    <row r="2585" spans="4:59">
      <c r="D2585" s="1065"/>
      <c r="S2585" s="1065"/>
      <c r="BE2585" s="1065"/>
      <c r="BF2585" s="1065"/>
      <c r="BG2585" s="1065"/>
    </row>
    <row r="2586" spans="4:59">
      <c r="D2586" s="1065"/>
      <c r="S2586" s="1065"/>
      <c r="BE2586" s="1065"/>
      <c r="BF2586" s="1065"/>
      <c r="BG2586" s="1065"/>
    </row>
    <row r="2587" spans="4:59">
      <c r="D2587" s="1065"/>
      <c r="S2587" s="1065"/>
      <c r="BE2587" s="1065"/>
      <c r="BF2587" s="1065"/>
      <c r="BG2587" s="1065"/>
    </row>
    <row r="2588" spans="4:59">
      <c r="D2588" s="1065"/>
      <c r="S2588" s="1065"/>
      <c r="BE2588" s="1065"/>
      <c r="BF2588" s="1065"/>
      <c r="BG2588" s="1065"/>
    </row>
    <row r="2589" spans="4:59">
      <c r="D2589" s="1065"/>
      <c r="S2589" s="1065"/>
      <c r="BE2589" s="1065"/>
      <c r="BF2589" s="1065"/>
      <c r="BG2589" s="1065"/>
    </row>
    <row r="2590" spans="4:59">
      <c r="D2590" s="1065"/>
      <c r="S2590" s="1065"/>
      <c r="BE2590" s="1065"/>
      <c r="BF2590" s="1065"/>
      <c r="BG2590" s="1065"/>
    </row>
    <row r="2591" spans="4:59">
      <c r="D2591" s="1065"/>
      <c r="S2591" s="1065"/>
      <c r="BE2591" s="1065"/>
      <c r="BF2591" s="1065"/>
      <c r="BG2591" s="1065"/>
    </row>
    <row r="2592" spans="4:59">
      <c r="D2592" s="1065"/>
      <c r="S2592" s="1065"/>
      <c r="BE2592" s="1065"/>
      <c r="BF2592" s="1065"/>
      <c r="BG2592" s="1065"/>
    </row>
    <row r="2593" spans="4:59">
      <c r="D2593" s="1065"/>
      <c r="S2593" s="1065"/>
      <c r="BE2593" s="1065"/>
      <c r="BF2593" s="1065"/>
      <c r="BG2593" s="1065"/>
    </row>
    <row r="2594" spans="4:59">
      <c r="D2594" s="1065"/>
      <c r="S2594" s="1065"/>
      <c r="BE2594" s="1065"/>
      <c r="BF2594" s="1065"/>
      <c r="BG2594" s="1065"/>
    </row>
    <row r="2595" spans="4:59">
      <c r="D2595" s="1065"/>
      <c r="S2595" s="1065"/>
      <c r="BE2595" s="1065"/>
      <c r="BF2595" s="1065"/>
      <c r="BG2595" s="1065"/>
    </row>
    <row r="2596" spans="4:59">
      <c r="D2596" s="1065"/>
      <c r="S2596" s="1065"/>
      <c r="BE2596" s="1065"/>
      <c r="BF2596" s="1065"/>
      <c r="BG2596" s="1065"/>
    </row>
    <row r="2597" spans="4:59">
      <c r="D2597" s="1065"/>
      <c r="S2597" s="1065"/>
      <c r="BE2597" s="1065"/>
      <c r="BF2597" s="1065"/>
      <c r="BG2597" s="1065"/>
    </row>
    <row r="2598" spans="4:59">
      <c r="D2598" s="1065"/>
      <c r="S2598" s="1065"/>
      <c r="BE2598" s="1065"/>
      <c r="BF2598" s="1065"/>
      <c r="BG2598" s="1065"/>
    </row>
    <row r="2599" spans="4:59">
      <c r="D2599" s="1065"/>
      <c r="S2599" s="1065"/>
      <c r="BE2599" s="1065"/>
      <c r="BF2599" s="1065"/>
      <c r="BG2599" s="1065"/>
    </row>
    <row r="2600" spans="4:59">
      <c r="D2600" s="1065"/>
      <c r="S2600" s="1065"/>
      <c r="BE2600" s="1065"/>
      <c r="BF2600" s="1065"/>
      <c r="BG2600" s="1065"/>
    </row>
    <row r="2601" spans="4:59">
      <c r="D2601" s="1065"/>
      <c r="S2601" s="1065"/>
      <c r="BE2601" s="1065"/>
      <c r="BF2601" s="1065"/>
      <c r="BG2601" s="1065"/>
    </row>
    <row r="2602" spans="4:59">
      <c r="D2602" s="1065"/>
      <c r="S2602" s="1065"/>
      <c r="BE2602" s="1065"/>
      <c r="BF2602" s="1065"/>
      <c r="BG2602" s="1065"/>
    </row>
    <row r="2603" spans="4:59">
      <c r="D2603" s="1065"/>
      <c r="S2603" s="1065"/>
      <c r="BE2603" s="1065"/>
      <c r="BF2603" s="1065"/>
      <c r="BG2603" s="1065"/>
    </row>
    <row r="2604" spans="4:59">
      <c r="D2604" s="1065"/>
      <c r="S2604" s="1065"/>
      <c r="BE2604" s="1065"/>
      <c r="BF2604" s="1065"/>
      <c r="BG2604" s="1065"/>
    </row>
    <row r="2605" spans="4:59">
      <c r="D2605" s="1065"/>
      <c r="S2605" s="1065"/>
      <c r="BE2605" s="1065"/>
      <c r="BF2605" s="1065"/>
      <c r="BG2605" s="1065"/>
    </row>
    <row r="2606" spans="4:59">
      <c r="D2606" s="1065"/>
      <c r="S2606" s="1065"/>
      <c r="BE2606" s="1065"/>
      <c r="BF2606" s="1065"/>
      <c r="BG2606" s="1065"/>
    </row>
    <row r="2607" spans="4:59">
      <c r="D2607" s="1065"/>
      <c r="S2607" s="1065"/>
      <c r="BE2607" s="1065"/>
      <c r="BF2607" s="1065"/>
      <c r="BG2607" s="1065"/>
    </row>
    <row r="2608" spans="4:59">
      <c r="D2608" s="1065"/>
      <c r="S2608" s="1065"/>
      <c r="BE2608" s="1065"/>
      <c r="BF2608" s="1065"/>
      <c r="BG2608" s="1065"/>
    </row>
    <row r="2609" spans="4:59">
      <c r="D2609" s="1065"/>
      <c r="S2609" s="1065"/>
      <c r="BE2609" s="1065"/>
      <c r="BF2609" s="1065"/>
      <c r="BG2609" s="1065"/>
    </row>
    <row r="2610" spans="4:59">
      <c r="D2610" s="1065"/>
      <c r="S2610" s="1065"/>
      <c r="BE2610" s="1065"/>
      <c r="BF2610" s="1065"/>
      <c r="BG2610" s="1065"/>
    </row>
    <row r="2611" spans="4:59">
      <c r="D2611" s="1065"/>
      <c r="S2611" s="1065"/>
      <c r="BE2611" s="1065"/>
      <c r="BF2611" s="1065"/>
      <c r="BG2611" s="1065"/>
    </row>
    <row r="2612" spans="4:59">
      <c r="D2612" s="1065"/>
      <c r="S2612" s="1065"/>
      <c r="BE2612" s="1065"/>
      <c r="BF2612" s="1065"/>
      <c r="BG2612" s="1065"/>
    </row>
    <row r="2613" spans="4:59">
      <c r="D2613" s="1065"/>
      <c r="S2613" s="1065"/>
      <c r="BE2613" s="1065"/>
      <c r="BF2613" s="1065"/>
      <c r="BG2613" s="1065"/>
    </row>
    <row r="2614" spans="4:59">
      <c r="D2614" s="1065"/>
      <c r="S2614" s="1065"/>
      <c r="BE2614" s="1065"/>
      <c r="BF2614" s="1065"/>
      <c r="BG2614" s="1065"/>
    </row>
    <row r="2615" spans="4:59">
      <c r="D2615" s="1065"/>
      <c r="S2615" s="1065"/>
      <c r="BE2615" s="1065"/>
      <c r="BF2615" s="1065"/>
      <c r="BG2615" s="1065"/>
    </row>
    <row r="2616" spans="4:59">
      <c r="D2616" s="1065"/>
      <c r="S2616" s="1065"/>
      <c r="BE2616" s="1065"/>
      <c r="BF2616" s="1065"/>
      <c r="BG2616" s="1065"/>
    </row>
    <row r="2617" spans="4:59">
      <c r="D2617" s="1065"/>
      <c r="S2617" s="1065"/>
      <c r="BE2617" s="1065"/>
      <c r="BF2617" s="1065"/>
      <c r="BG2617" s="1065"/>
    </row>
    <row r="2618" spans="4:59">
      <c r="D2618" s="1065"/>
      <c r="S2618" s="1065"/>
      <c r="BE2618" s="1065"/>
      <c r="BF2618" s="1065"/>
      <c r="BG2618" s="1065"/>
    </row>
    <row r="2619" spans="4:59">
      <c r="D2619" s="1065"/>
      <c r="S2619" s="1065"/>
      <c r="BE2619" s="1065"/>
      <c r="BF2619" s="1065"/>
      <c r="BG2619" s="1065"/>
    </row>
    <row r="2620" spans="4:59">
      <c r="D2620" s="1065"/>
      <c r="S2620" s="1065"/>
      <c r="BE2620" s="1065"/>
      <c r="BF2620" s="1065"/>
      <c r="BG2620" s="1065"/>
    </row>
    <row r="2621" spans="4:59">
      <c r="D2621" s="1065"/>
      <c r="S2621" s="1065"/>
      <c r="BE2621" s="1065"/>
      <c r="BF2621" s="1065"/>
      <c r="BG2621" s="1065"/>
    </row>
    <row r="2622" spans="4:59">
      <c r="D2622" s="1065"/>
      <c r="S2622" s="1065"/>
      <c r="BE2622" s="1065"/>
      <c r="BF2622" s="1065"/>
      <c r="BG2622" s="1065"/>
    </row>
    <row r="2623" spans="4:59">
      <c r="D2623" s="1065"/>
      <c r="S2623" s="1065"/>
      <c r="BE2623" s="1065"/>
      <c r="BF2623" s="1065"/>
      <c r="BG2623" s="1065"/>
    </row>
    <row r="2624" spans="4:59">
      <c r="D2624" s="1065"/>
      <c r="S2624" s="1065"/>
      <c r="BE2624" s="1065"/>
      <c r="BF2624" s="1065"/>
      <c r="BG2624" s="1065"/>
    </row>
    <row r="2625" spans="4:59">
      <c r="D2625" s="1065"/>
      <c r="S2625" s="1065"/>
      <c r="BE2625" s="1065"/>
      <c r="BF2625" s="1065"/>
      <c r="BG2625" s="1065"/>
    </row>
    <row r="2626" spans="4:59">
      <c r="D2626" s="1065"/>
      <c r="S2626" s="1065"/>
      <c r="BE2626" s="1065"/>
      <c r="BF2626" s="1065"/>
      <c r="BG2626" s="1065"/>
    </row>
    <row r="2627" spans="4:59">
      <c r="D2627" s="1065"/>
      <c r="S2627" s="1065"/>
      <c r="BE2627" s="1065"/>
      <c r="BF2627" s="1065"/>
      <c r="BG2627" s="1065"/>
    </row>
    <row r="2628" spans="4:59">
      <c r="D2628" s="1065"/>
      <c r="S2628" s="1065"/>
      <c r="BE2628" s="1065"/>
      <c r="BF2628" s="1065"/>
      <c r="BG2628" s="1065"/>
    </row>
    <row r="2629" spans="4:59">
      <c r="D2629" s="1065"/>
      <c r="S2629" s="1065"/>
      <c r="BE2629" s="1065"/>
      <c r="BF2629" s="1065"/>
      <c r="BG2629" s="1065"/>
    </row>
    <row r="2630" spans="4:59">
      <c r="D2630" s="1065"/>
      <c r="S2630" s="1065"/>
      <c r="BE2630" s="1065"/>
      <c r="BF2630" s="1065"/>
      <c r="BG2630" s="1065"/>
    </row>
    <row r="2631" spans="4:59">
      <c r="D2631" s="1065"/>
      <c r="S2631" s="1065"/>
      <c r="BE2631" s="1065"/>
      <c r="BF2631" s="1065"/>
      <c r="BG2631" s="1065"/>
    </row>
    <row r="2632" spans="4:59">
      <c r="D2632" s="1065"/>
      <c r="S2632" s="1065"/>
      <c r="BE2632" s="1065"/>
      <c r="BF2632" s="1065"/>
      <c r="BG2632" s="1065"/>
    </row>
    <row r="2633" spans="4:59">
      <c r="D2633" s="1065"/>
      <c r="S2633" s="1065"/>
      <c r="BE2633" s="1065"/>
      <c r="BF2633" s="1065"/>
      <c r="BG2633" s="1065"/>
    </row>
    <row r="2634" spans="4:59">
      <c r="D2634" s="1065"/>
      <c r="S2634" s="1065"/>
      <c r="BE2634" s="1065"/>
      <c r="BF2634" s="1065"/>
      <c r="BG2634" s="1065"/>
    </row>
    <row r="2635" spans="4:59">
      <c r="D2635" s="1065"/>
      <c r="S2635" s="1065"/>
      <c r="BE2635" s="1065"/>
      <c r="BF2635" s="1065"/>
      <c r="BG2635" s="1065"/>
    </row>
    <row r="2636" spans="4:59">
      <c r="D2636" s="1065"/>
      <c r="S2636" s="1065"/>
      <c r="BE2636" s="1065"/>
      <c r="BF2636" s="1065"/>
      <c r="BG2636" s="1065"/>
    </row>
    <row r="2637" spans="4:59">
      <c r="D2637" s="1065"/>
      <c r="S2637" s="1065"/>
      <c r="BE2637" s="1065"/>
      <c r="BF2637" s="1065"/>
      <c r="BG2637" s="1065"/>
    </row>
    <row r="2638" spans="4:59">
      <c r="D2638" s="1065"/>
      <c r="S2638" s="1065"/>
      <c r="BE2638" s="1065"/>
      <c r="BF2638" s="1065"/>
      <c r="BG2638" s="1065"/>
    </row>
    <row r="2639" spans="4:59">
      <c r="D2639" s="1065"/>
      <c r="S2639" s="1065"/>
      <c r="BE2639" s="1065"/>
      <c r="BF2639" s="1065"/>
      <c r="BG2639" s="1065"/>
    </row>
    <row r="2640" spans="4:59">
      <c r="D2640" s="1065"/>
      <c r="S2640" s="1065"/>
      <c r="BE2640" s="1065"/>
      <c r="BF2640" s="1065"/>
      <c r="BG2640" s="1065"/>
    </row>
    <row r="2641" spans="4:59">
      <c r="D2641" s="1065"/>
      <c r="S2641" s="1065"/>
      <c r="BE2641" s="1065"/>
      <c r="BF2641" s="1065"/>
      <c r="BG2641" s="1065"/>
    </row>
    <row r="2642" spans="4:59">
      <c r="D2642" s="1065"/>
      <c r="S2642" s="1065"/>
      <c r="BE2642" s="1065"/>
      <c r="BF2642" s="1065"/>
      <c r="BG2642" s="1065"/>
    </row>
    <row r="2643" spans="4:59">
      <c r="D2643" s="1065"/>
      <c r="S2643" s="1065"/>
      <c r="BE2643" s="1065"/>
      <c r="BF2643" s="1065"/>
      <c r="BG2643" s="1065"/>
    </row>
    <row r="2644" spans="4:59">
      <c r="D2644" s="1065"/>
      <c r="S2644" s="1065"/>
      <c r="BE2644" s="1065"/>
      <c r="BF2644" s="1065"/>
      <c r="BG2644" s="1065"/>
    </row>
    <row r="2645" spans="4:59">
      <c r="D2645" s="1065"/>
      <c r="S2645" s="1065"/>
      <c r="BE2645" s="1065"/>
      <c r="BF2645" s="1065"/>
      <c r="BG2645" s="1065"/>
    </row>
    <row r="2646" spans="4:59">
      <c r="D2646" s="1065"/>
      <c r="S2646" s="1065"/>
      <c r="BE2646" s="1065"/>
      <c r="BF2646" s="1065"/>
      <c r="BG2646" s="1065"/>
    </row>
    <row r="2647" spans="4:59">
      <c r="D2647" s="1065"/>
      <c r="S2647" s="1065"/>
      <c r="BE2647" s="1065"/>
      <c r="BF2647" s="1065"/>
      <c r="BG2647" s="1065"/>
    </row>
    <row r="2648" spans="4:59">
      <c r="D2648" s="1065"/>
      <c r="S2648" s="1065"/>
      <c r="BE2648" s="1065"/>
      <c r="BF2648" s="1065"/>
      <c r="BG2648" s="1065"/>
    </row>
    <row r="2649" spans="4:59">
      <c r="D2649" s="1065"/>
      <c r="S2649" s="1065"/>
      <c r="BE2649" s="1065"/>
      <c r="BF2649" s="1065"/>
      <c r="BG2649" s="1065"/>
    </row>
    <row r="2650" spans="4:59">
      <c r="D2650" s="1065"/>
      <c r="S2650" s="1065"/>
      <c r="BE2650" s="1065"/>
      <c r="BF2650" s="1065"/>
      <c r="BG2650" s="1065"/>
    </row>
    <row r="2651" spans="4:59">
      <c r="D2651" s="1065"/>
      <c r="S2651" s="1065"/>
      <c r="BE2651" s="1065"/>
      <c r="BF2651" s="1065"/>
      <c r="BG2651" s="1065"/>
    </row>
    <row r="2652" spans="4:59">
      <c r="D2652" s="1065"/>
      <c r="S2652" s="1065"/>
      <c r="BE2652" s="1065"/>
      <c r="BF2652" s="1065"/>
      <c r="BG2652" s="1065"/>
    </row>
    <row r="2653" spans="4:59">
      <c r="D2653" s="1065"/>
      <c r="S2653" s="1065"/>
      <c r="BE2653" s="1065"/>
      <c r="BF2653" s="1065"/>
      <c r="BG2653" s="1065"/>
    </row>
    <row r="2654" spans="4:59">
      <c r="D2654" s="1065"/>
      <c r="S2654" s="1065"/>
      <c r="BE2654" s="1065"/>
      <c r="BF2654" s="1065"/>
      <c r="BG2654" s="1065"/>
    </row>
    <row r="2655" spans="4:59">
      <c r="D2655" s="1065"/>
      <c r="S2655" s="1065"/>
      <c r="BE2655" s="1065"/>
      <c r="BF2655" s="1065"/>
      <c r="BG2655" s="1065"/>
    </row>
    <row r="2656" spans="4:59">
      <c r="D2656" s="1065"/>
      <c r="S2656" s="1065"/>
      <c r="BE2656" s="1065"/>
      <c r="BF2656" s="1065"/>
      <c r="BG2656" s="1065"/>
    </row>
    <row r="2657" spans="4:59">
      <c r="D2657" s="1065"/>
      <c r="S2657" s="1065"/>
      <c r="BE2657" s="1065"/>
      <c r="BF2657" s="1065"/>
      <c r="BG2657" s="1065"/>
    </row>
    <row r="2658" spans="4:59">
      <c r="D2658" s="1065"/>
      <c r="S2658" s="1065"/>
      <c r="BE2658" s="1065"/>
      <c r="BF2658" s="1065"/>
      <c r="BG2658" s="1065"/>
    </row>
    <row r="2659" spans="4:59">
      <c r="D2659" s="1065"/>
      <c r="S2659" s="1065"/>
      <c r="BE2659" s="1065"/>
      <c r="BF2659" s="1065"/>
      <c r="BG2659" s="1065"/>
    </row>
    <row r="2660" spans="4:59">
      <c r="D2660" s="1065"/>
      <c r="S2660" s="1065"/>
      <c r="BE2660" s="1065"/>
      <c r="BF2660" s="1065"/>
      <c r="BG2660" s="1065"/>
    </row>
    <row r="2661" spans="4:59">
      <c r="D2661" s="1065"/>
      <c r="S2661" s="1065"/>
      <c r="BE2661" s="1065"/>
      <c r="BF2661" s="1065"/>
      <c r="BG2661" s="1065"/>
    </row>
    <row r="2662" spans="4:59">
      <c r="D2662" s="1065"/>
      <c r="S2662" s="1065"/>
      <c r="BE2662" s="1065"/>
      <c r="BF2662" s="1065"/>
      <c r="BG2662" s="1065"/>
    </row>
    <row r="2663" spans="4:59">
      <c r="D2663" s="1065"/>
      <c r="S2663" s="1065"/>
      <c r="BE2663" s="1065"/>
      <c r="BF2663" s="1065"/>
      <c r="BG2663" s="1065"/>
    </row>
    <row r="2664" spans="4:59">
      <c r="D2664" s="1065"/>
      <c r="S2664" s="1065"/>
      <c r="BE2664" s="1065"/>
      <c r="BF2664" s="1065"/>
      <c r="BG2664" s="1065"/>
    </row>
    <row r="2665" spans="4:59">
      <c r="D2665" s="1065"/>
      <c r="S2665" s="1065"/>
      <c r="BE2665" s="1065"/>
      <c r="BF2665" s="1065"/>
      <c r="BG2665" s="1065"/>
    </row>
    <row r="2666" spans="4:59">
      <c r="D2666" s="1065"/>
      <c r="S2666" s="1065"/>
      <c r="BE2666" s="1065"/>
      <c r="BF2666" s="1065"/>
      <c r="BG2666" s="1065"/>
    </row>
    <row r="2667" spans="4:59">
      <c r="D2667" s="1065"/>
      <c r="S2667" s="1065"/>
      <c r="BE2667" s="1065"/>
      <c r="BF2667" s="1065"/>
      <c r="BG2667" s="1065"/>
    </row>
    <row r="2668" spans="4:59">
      <c r="D2668" s="1065"/>
      <c r="S2668" s="1065"/>
      <c r="BE2668" s="1065"/>
      <c r="BF2668" s="1065"/>
      <c r="BG2668" s="1065"/>
    </row>
    <row r="2669" spans="4:59">
      <c r="D2669" s="1065"/>
      <c r="S2669" s="1065"/>
      <c r="BE2669" s="1065"/>
      <c r="BF2669" s="1065"/>
      <c r="BG2669" s="1065"/>
    </row>
    <row r="2670" spans="4:59">
      <c r="D2670" s="1065"/>
      <c r="S2670" s="1065"/>
      <c r="BE2670" s="1065"/>
      <c r="BF2670" s="1065"/>
      <c r="BG2670" s="1065"/>
    </row>
    <row r="2671" spans="4:59">
      <c r="D2671" s="1065"/>
      <c r="S2671" s="1065"/>
      <c r="BE2671" s="1065"/>
      <c r="BF2671" s="1065"/>
      <c r="BG2671" s="1065"/>
    </row>
    <row r="2672" spans="4:59">
      <c r="D2672" s="1065"/>
      <c r="S2672" s="1065"/>
      <c r="BE2672" s="1065"/>
      <c r="BF2672" s="1065"/>
      <c r="BG2672" s="1065"/>
    </row>
    <row r="2675" spans="4:59">
      <c r="D2675" s="1065"/>
      <c r="S2675" s="1065"/>
      <c r="BE2675" s="1065"/>
      <c r="BF2675" s="1065"/>
      <c r="BG2675" s="1065"/>
    </row>
    <row r="2676" spans="4:59">
      <c r="D2676" s="1065"/>
      <c r="S2676" s="1065"/>
      <c r="BE2676" s="1065"/>
      <c r="BF2676" s="1065"/>
      <c r="BG2676" s="1065"/>
    </row>
    <row r="2678" spans="4:59">
      <c r="D2678" s="1065"/>
      <c r="S2678" s="1065"/>
      <c r="BE2678" s="1065"/>
      <c r="BF2678" s="1065"/>
      <c r="BG2678" s="1065"/>
    </row>
    <row r="2679" spans="4:59">
      <c r="D2679" s="1065"/>
      <c r="S2679" s="1065"/>
      <c r="BE2679" s="1065"/>
      <c r="BF2679" s="1065"/>
      <c r="BG2679" s="1065"/>
    </row>
    <row r="2680" spans="4:59">
      <c r="D2680" s="1065"/>
      <c r="S2680" s="1065"/>
      <c r="BE2680" s="1065"/>
      <c r="BF2680" s="1065"/>
      <c r="BG2680" s="1065"/>
    </row>
    <row r="2681" spans="4:59">
      <c r="D2681" s="1065"/>
      <c r="S2681" s="1065"/>
      <c r="BE2681" s="1065"/>
      <c r="BF2681" s="1065"/>
      <c r="BG2681" s="1065"/>
    </row>
    <row r="2682" spans="4:59">
      <c r="D2682" s="1065"/>
      <c r="S2682" s="1065"/>
      <c r="BE2682" s="1065"/>
      <c r="BF2682" s="1065"/>
      <c r="BG2682" s="1065"/>
    </row>
    <row r="2683" spans="4:59">
      <c r="D2683" s="1065"/>
      <c r="S2683" s="1065"/>
      <c r="BE2683" s="1065"/>
      <c r="BF2683" s="1065"/>
      <c r="BG2683" s="1065"/>
    </row>
    <row r="2684" spans="4:59">
      <c r="D2684" s="1065"/>
      <c r="S2684" s="1065"/>
      <c r="BE2684" s="1065"/>
      <c r="BF2684" s="1065"/>
      <c r="BG2684" s="1065"/>
    </row>
    <row r="2685" spans="4:59">
      <c r="D2685" s="1065"/>
      <c r="S2685" s="1065"/>
      <c r="BE2685" s="1065"/>
      <c r="BF2685" s="1065"/>
      <c r="BG2685" s="1065"/>
    </row>
    <row r="2686" spans="4:59">
      <c r="D2686" s="1065"/>
      <c r="S2686" s="1065"/>
      <c r="BE2686" s="1065"/>
      <c r="BF2686" s="1065"/>
      <c r="BG2686" s="1065"/>
    </row>
    <row r="2687" spans="4:59">
      <c r="D2687" s="1065"/>
      <c r="S2687" s="1065"/>
      <c r="BE2687" s="1065"/>
      <c r="BF2687" s="1065"/>
      <c r="BG2687" s="1065"/>
    </row>
    <row r="2688" spans="4:59">
      <c r="D2688" s="1065"/>
      <c r="S2688" s="1065"/>
      <c r="BE2688" s="1065"/>
      <c r="BF2688" s="1065"/>
      <c r="BG2688" s="1065"/>
    </row>
    <row r="2689" spans="4:59">
      <c r="D2689" s="1065"/>
      <c r="S2689" s="1065"/>
      <c r="BE2689" s="1065"/>
      <c r="BF2689" s="1065"/>
      <c r="BG2689" s="1065"/>
    </row>
    <row r="2690" spans="4:59">
      <c r="D2690" s="1065"/>
      <c r="S2690" s="1065"/>
      <c r="BE2690" s="1065"/>
      <c r="BF2690" s="1065"/>
      <c r="BG2690" s="1065"/>
    </row>
    <row r="2691" spans="4:59">
      <c r="D2691" s="1065"/>
      <c r="S2691" s="1065"/>
      <c r="BE2691" s="1065"/>
      <c r="BF2691" s="1065"/>
      <c r="BG2691" s="1065"/>
    </row>
    <row r="2692" spans="4:59">
      <c r="D2692" s="1065"/>
      <c r="S2692" s="1065"/>
      <c r="BE2692" s="1065"/>
      <c r="BF2692" s="1065"/>
      <c r="BG2692" s="1065"/>
    </row>
    <row r="2693" spans="4:59">
      <c r="D2693" s="1065"/>
      <c r="S2693" s="1065"/>
      <c r="BE2693" s="1065"/>
      <c r="BF2693" s="1065"/>
      <c r="BG2693" s="1065"/>
    </row>
    <row r="2694" spans="4:59">
      <c r="D2694" s="1065"/>
      <c r="S2694" s="1065"/>
      <c r="BE2694" s="1065"/>
      <c r="BF2694" s="1065"/>
      <c r="BG2694" s="1065"/>
    </row>
    <row r="2695" spans="4:59">
      <c r="D2695" s="1065"/>
      <c r="S2695" s="1065"/>
      <c r="BE2695" s="1065"/>
      <c r="BF2695" s="1065"/>
      <c r="BG2695" s="1065"/>
    </row>
    <row r="2696" spans="4:59">
      <c r="D2696" s="1065"/>
      <c r="S2696" s="1065"/>
      <c r="BE2696" s="1065"/>
      <c r="BF2696" s="1065"/>
      <c r="BG2696" s="1065"/>
    </row>
    <row r="2697" spans="4:59">
      <c r="D2697" s="1065"/>
      <c r="S2697" s="1065"/>
      <c r="BE2697" s="1065"/>
      <c r="BF2697" s="1065"/>
      <c r="BG2697" s="1065"/>
    </row>
    <row r="2698" spans="4:59">
      <c r="D2698" s="1065"/>
      <c r="S2698" s="1065"/>
      <c r="BE2698" s="1065"/>
      <c r="BF2698" s="1065"/>
      <c r="BG2698" s="1065"/>
    </row>
    <row r="2699" spans="4:59">
      <c r="D2699" s="1065"/>
      <c r="S2699" s="1065"/>
      <c r="BE2699" s="1065"/>
      <c r="BF2699" s="1065"/>
      <c r="BG2699" s="1065"/>
    </row>
    <row r="2700" spans="4:59">
      <c r="D2700" s="1065"/>
      <c r="S2700" s="1065"/>
      <c r="BE2700" s="1065"/>
      <c r="BF2700" s="1065"/>
      <c r="BG2700" s="1065"/>
    </row>
    <row r="2701" spans="4:59">
      <c r="D2701" s="1065"/>
      <c r="S2701" s="1065"/>
      <c r="BE2701" s="1065"/>
      <c r="BF2701" s="1065"/>
      <c r="BG2701" s="1065"/>
    </row>
    <row r="2702" spans="4:59">
      <c r="D2702" s="1065"/>
      <c r="S2702" s="1065"/>
      <c r="BE2702" s="1065"/>
      <c r="BF2702" s="1065"/>
      <c r="BG2702" s="1065"/>
    </row>
    <row r="2703" spans="4:59">
      <c r="D2703" s="1065"/>
      <c r="S2703" s="1065"/>
      <c r="BE2703" s="1065"/>
      <c r="BF2703" s="1065"/>
      <c r="BG2703" s="1065"/>
    </row>
    <row r="2704" spans="4:59">
      <c r="D2704" s="1065"/>
      <c r="S2704" s="1065"/>
      <c r="BE2704" s="1065"/>
      <c r="BF2704" s="1065"/>
      <c r="BG2704" s="1065"/>
    </row>
    <row r="2705" spans="4:59">
      <c r="D2705" s="1065"/>
      <c r="S2705" s="1065"/>
      <c r="BE2705" s="1065"/>
      <c r="BF2705" s="1065"/>
      <c r="BG2705" s="1065"/>
    </row>
    <row r="2706" spans="4:59">
      <c r="D2706" s="1065"/>
      <c r="S2706" s="1065"/>
      <c r="BE2706" s="1065"/>
      <c r="BF2706" s="1065"/>
      <c r="BG2706" s="1065"/>
    </row>
    <row r="2707" spans="4:59">
      <c r="D2707" s="1065"/>
      <c r="S2707" s="1065"/>
      <c r="BE2707" s="1065"/>
      <c r="BF2707" s="1065"/>
      <c r="BG2707" s="1065"/>
    </row>
    <row r="2708" spans="4:59">
      <c r="D2708" s="1065"/>
      <c r="S2708" s="1065"/>
      <c r="BE2708" s="1065"/>
      <c r="BF2708" s="1065"/>
      <c r="BG2708" s="1065"/>
    </row>
    <row r="2709" spans="4:59">
      <c r="D2709" s="1065"/>
      <c r="S2709" s="1065"/>
      <c r="BE2709" s="1065"/>
      <c r="BF2709" s="1065"/>
      <c r="BG2709" s="1065"/>
    </row>
    <row r="2710" spans="4:59">
      <c r="D2710" s="1065"/>
      <c r="S2710" s="1065"/>
      <c r="BE2710" s="1065"/>
      <c r="BF2710" s="1065"/>
      <c r="BG2710" s="1065"/>
    </row>
    <row r="2711" spans="4:59">
      <c r="D2711" s="1065"/>
      <c r="S2711" s="1065"/>
      <c r="BE2711" s="1065"/>
      <c r="BF2711" s="1065"/>
      <c r="BG2711" s="1065"/>
    </row>
    <row r="2712" spans="4:59">
      <c r="D2712" s="1065"/>
      <c r="S2712" s="1065"/>
      <c r="BE2712" s="1065"/>
      <c r="BF2712" s="1065"/>
      <c r="BG2712" s="1065"/>
    </row>
    <row r="2713" spans="4:59">
      <c r="D2713" s="1065"/>
      <c r="S2713" s="1065"/>
      <c r="BE2713" s="1065"/>
      <c r="BF2713" s="1065"/>
      <c r="BG2713" s="1065"/>
    </row>
    <row r="2715" spans="4:59">
      <c r="D2715" s="1065"/>
      <c r="S2715" s="1065"/>
      <c r="BE2715" s="1065"/>
      <c r="BF2715" s="1065"/>
      <c r="BG2715" s="1065"/>
    </row>
    <row r="2716" spans="4:59">
      <c r="D2716" s="1065"/>
      <c r="S2716" s="1065"/>
      <c r="BE2716" s="1065"/>
      <c r="BF2716" s="1065"/>
      <c r="BG2716" s="1065"/>
    </row>
    <row r="2721" spans="4:59">
      <c r="D2721" s="1065"/>
      <c r="S2721" s="1065"/>
      <c r="BE2721" s="1065"/>
      <c r="BF2721" s="1065"/>
      <c r="BG2721" s="1065"/>
    </row>
    <row r="2722" spans="4:59">
      <c r="D2722" s="1065"/>
      <c r="S2722" s="1065"/>
      <c r="BE2722" s="1065"/>
      <c r="BF2722" s="1065"/>
      <c r="BG2722" s="1065"/>
    </row>
    <row r="2724" spans="4:59">
      <c r="D2724" s="1065"/>
      <c r="S2724" s="1065"/>
      <c r="BE2724" s="1065"/>
      <c r="BF2724" s="1065"/>
      <c r="BG2724" s="1065"/>
    </row>
    <row r="2725" spans="4:59">
      <c r="D2725" s="1065"/>
      <c r="S2725" s="1065"/>
      <c r="BE2725" s="1065"/>
      <c r="BF2725" s="1065"/>
      <c r="BG2725" s="1065"/>
    </row>
    <row r="2726" spans="4:59">
      <c r="D2726" s="1065"/>
      <c r="S2726" s="1065"/>
      <c r="BE2726" s="1065"/>
      <c r="BF2726" s="1065"/>
      <c r="BG2726" s="1065"/>
    </row>
    <row r="2727" spans="4:59">
      <c r="D2727" s="1065"/>
      <c r="S2727" s="1065"/>
      <c r="BE2727" s="1065"/>
      <c r="BF2727" s="1065"/>
      <c r="BG2727" s="1065"/>
    </row>
    <row r="2728" spans="4:59">
      <c r="D2728" s="1065"/>
      <c r="S2728" s="1065"/>
      <c r="BE2728" s="1065"/>
      <c r="BF2728" s="1065"/>
      <c r="BG2728" s="1065"/>
    </row>
    <row r="2729" spans="4:59">
      <c r="D2729" s="1065"/>
      <c r="S2729" s="1065"/>
      <c r="BE2729" s="1065"/>
      <c r="BF2729" s="1065"/>
      <c r="BG2729" s="1065"/>
    </row>
    <row r="2730" spans="4:59">
      <c r="D2730" s="1065"/>
      <c r="S2730" s="1065"/>
      <c r="BE2730" s="1065"/>
      <c r="BF2730" s="1065"/>
      <c r="BG2730" s="1065"/>
    </row>
    <row r="2731" spans="4:59">
      <c r="D2731" s="1065"/>
      <c r="S2731" s="1065"/>
      <c r="BE2731" s="1065"/>
      <c r="BF2731" s="1065"/>
      <c r="BG2731" s="1065"/>
    </row>
    <row r="2732" spans="4:59">
      <c r="D2732" s="1065"/>
      <c r="S2732" s="1065"/>
      <c r="BE2732" s="1065"/>
      <c r="BF2732" s="1065"/>
      <c r="BG2732" s="1065"/>
    </row>
    <row r="2733" spans="4:59">
      <c r="D2733" s="1065"/>
      <c r="S2733" s="1065"/>
      <c r="BE2733" s="1065"/>
      <c r="BF2733" s="1065"/>
      <c r="BG2733" s="1065"/>
    </row>
    <row r="2734" spans="4:59">
      <c r="D2734" s="1065"/>
      <c r="S2734" s="1065"/>
      <c r="BE2734" s="1065"/>
      <c r="BF2734" s="1065"/>
      <c r="BG2734" s="1065"/>
    </row>
    <row r="2735" spans="4:59">
      <c r="D2735" s="1065"/>
      <c r="S2735" s="1065"/>
      <c r="BE2735" s="1065"/>
      <c r="BF2735" s="1065"/>
      <c r="BG2735" s="1065"/>
    </row>
    <row r="2736" spans="4:59">
      <c r="D2736" s="1065"/>
      <c r="S2736" s="1065"/>
      <c r="BE2736" s="1065"/>
      <c r="BF2736" s="1065"/>
      <c r="BG2736" s="1065"/>
    </row>
    <row r="2737" spans="4:59">
      <c r="D2737" s="1065"/>
      <c r="S2737" s="1065"/>
      <c r="BE2737" s="1065"/>
      <c r="BF2737" s="1065"/>
      <c r="BG2737" s="1065"/>
    </row>
    <row r="2738" spans="4:59">
      <c r="D2738" s="1065"/>
      <c r="S2738" s="1065"/>
      <c r="BE2738" s="1065"/>
      <c r="BF2738" s="1065"/>
      <c r="BG2738" s="1065"/>
    </row>
    <row r="2739" spans="4:59">
      <c r="D2739" s="1065"/>
      <c r="S2739" s="1065"/>
      <c r="BE2739" s="1065"/>
      <c r="BF2739" s="1065"/>
      <c r="BG2739" s="1065"/>
    </row>
    <row r="2740" spans="4:59">
      <c r="D2740" s="1065"/>
      <c r="S2740" s="1065"/>
      <c r="BE2740" s="1065"/>
      <c r="BF2740" s="1065"/>
      <c r="BG2740" s="1065"/>
    </row>
    <row r="2741" spans="4:59">
      <c r="D2741" s="1065"/>
      <c r="S2741" s="1065"/>
      <c r="BE2741" s="1065"/>
      <c r="BF2741" s="1065"/>
      <c r="BG2741" s="1065"/>
    </row>
    <row r="2742" spans="4:59">
      <c r="D2742" s="1065"/>
      <c r="S2742" s="1065"/>
      <c r="BE2742" s="1065"/>
      <c r="BF2742" s="1065"/>
      <c r="BG2742" s="1065"/>
    </row>
    <row r="2743" spans="4:59">
      <c r="D2743" s="1065"/>
      <c r="S2743" s="1065"/>
      <c r="BE2743" s="1065"/>
      <c r="BF2743" s="1065"/>
      <c r="BG2743" s="1065"/>
    </row>
    <row r="2744" spans="4:59">
      <c r="D2744" s="1065"/>
      <c r="S2744" s="1065"/>
      <c r="BE2744" s="1065"/>
      <c r="BF2744" s="1065"/>
      <c r="BG2744" s="1065"/>
    </row>
    <row r="2745" spans="4:59">
      <c r="D2745" s="1065"/>
      <c r="S2745" s="1065"/>
      <c r="BE2745" s="1065"/>
      <c r="BF2745" s="1065"/>
      <c r="BG2745" s="1065"/>
    </row>
    <row r="2746" spans="4:59">
      <c r="D2746" s="1065"/>
      <c r="S2746" s="1065"/>
      <c r="BE2746" s="1065"/>
      <c r="BF2746" s="1065"/>
      <c r="BG2746" s="1065"/>
    </row>
    <row r="2747" spans="4:59">
      <c r="D2747" s="1065"/>
      <c r="S2747" s="1065"/>
      <c r="BE2747" s="1065"/>
      <c r="BF2747" s="1065"/>
      <c r="BG2747" s="1065"/>
    </row>
    <row r="2748" spans="4:59">
      <c r="D2748" s="1065"/>
      <c r="S2748" s="1065"/>
      <c r="BE2748" s="1065"/>
      <c r="BF2748" s="1065"/>
      <c r="BG2748" s="1065"/>
    </row>
    <row r="2749" spans="4:59">
      <c r="D2749" s="1065"/>
      <c r="S2749" s="1065"/>
      <c r="BE2749" s="1065"/>
      <c r="BF2749" s="1065"/>
      <c r="BG2749" s="1065"/>
    </row>
    <row r="2750" spans="4:59">
      <c r="D2750" s="1065"/>
      <c r="S2750" s="1065"/>
      <c r="BE2750" s="1065"/>
      <c r="BF2750" s="1065"/>
      <c r="BG2750" s="1065"/>
    </row>
    <row r="2751" spans="4:59">
      <c r="D2751" s="1065"/>
      <c r="S2751" s="1065"/>
      <c r="BE2751" s="1065"/>
      <c r="BF2751" s="1065"/>
      <c r="BG2751" s="1065"/>
    </row>
    <row r="2752" spans="4:59">
      <c r="D2752" s="1065"/>
      <c r="S2752" s="1065"/>
      <c r="BE2752" s="1065"/>
      <c r="BF2752" s="1065"/>
      <c r="BG2752" s="1065"/>
    </row>
    <row r="2753" spans="4:59">
      <c r="D2753" s="1065"/>
      <c r="S2753" s="1065"/>
      <c r="BE2753" s="1065"/>
      <c r="BF2753" s="1065"/>
      <c r="BG2753" s="1065"/>
    </row>
    <row r="2754" spans="4:59">
      <c r="D2754" s="1065"/>
      <c r="S2754" s="1065"/>
      <c r="BE2754" s="1065"/>
      <c r="BF2754" s="1065"/>
      <c r="BG2754" s="1065"/>
    </row>
    <row r="2755" spans="4:59">
      <c r="D2755" s="1065"/>
      <c r="S2755" s="1065"/>
      <c r="BE2755" s="1065"/>
      <c r="BF2755" s="1065"/>
      <c r="BG2755" s="1065"/>
    </row>
    <row r="2756" spans="4:59">
      <c r="D2756" s="1065"/>
      <c r="S2756" s="1065"/>
      <c r="BE2756" s="1065"/>
      <c r="BF2756" s="1065"/>
      <c r="BG2756" s="1065"/>
    </row>
    <row r="2757" spans="4:59">
      <c r="D2757" s="1065"/>
      <c r="S2757" s="1065"/>
      <c r="BE2757" s="1065"/>
      <c r="BF2757" s="1065"/>
      <c r="BG2757" s="1065"/>
    </row>
    <row r="2758" spans="4:59">
      <c r="D2758" s="1065"/>
      <c r="S2758" s="1065"/>
      <c r="BE2758" s="1065"/>
      <c r="BF2758" s="1065"/>
      <c r="BG2758" s="1065"/>
    </row>
    <row r="2759" spans="4:59">
      <c r="D2759" s="1065"/>
      <c r="S2759" s="1065"/>
      <c r="BE2759" s="1065"/>
      <c r="BF2759" s="1065"/>
      <c r="BG2759" s="1065"/>
    </row>
    <row r="2760" spans="4:59">
      <c r="D2760" s="1065"/>
      <c r="S2760" s="1065"/>
      <c r="BE2760" s="1065"/>
      <c r="BF2760" s="1065"/>
      <c r="BG2760" s="1065"/>
    </row>
    <row r="2761" spans="4:59">
      <c r="D2761" s="1065"/>
      <c r="S2761" s="1065"/>
      <c r="BE2761" s="1065"/>
      <c r="BF2761" s="1065"/>
      <c r="BG2761" s="1065"/>
    </row>
    <row r="2762" spans="4:59">
      <c r="D2762" s="1065"/>
      <c r="S2762" s="1065"/>
      <c r="BE2762" s="1065"/>
      <c r="BF2762" s="1065"/>
      <c r="BG2762" s="1065"/>
    </row>
    <row r="2763" spans="4:59">
      <c r="D2763" s="1065"/>
      <c r="S2763" s="1065"/>
      <c r="BE2763" s="1065"/>
      <c r="BF2763" s="1065"/>
      <c r="BG2763" s="1065"/>
    </row>
    <row r="2764" spans="4:59">
      <c r="D2764" s="1065"/>
      <c r="S2764" s="1065"/>
      <c r="BE2764" s="1065"/>
      <c r="BF2764" s="1065"/>
      <c r="BG2764" s="1065"/>
    </row>
    <row r="2765" spans="4:59">
      <c r="D2765" s="1065"/>
      <c r="S2765" s="1065"/>
      <c r="BE2765" s="1065"/>
      <c r="BF2765" s="1065"/>
      <c r="BG2765" s="1065"/>
    </row>
    <row r="2766" spans="4:59">
      <c r="D2766" s="1065"/>
      <c r="S2766" s="1065"/>
      <c r="BE2766" s="1065"/>
      <c r="BF2766" s="1065"/>
      <c r="BG2766" s="1065"/>
    </row>
    <row r="2767" spans="4:59">
      <c r="D2767" s="1065"/>
      <c r="S2767" s="1065"/>
      <c r="BE2767" s="1065"/>
      <c r="BF2767" s="1065"/>
      <c r="BG2767" s="1065"/>
    </row>
    <row r="2768" spans="4:59">
      <c r="D2768" s="1065"/>
      <c r="S2768" s="1065"/>
      <c r="BE2768" s="1065"/>
      <c r="BF2768" s="1065"/>
      <c r="BG2768" s="1065"/>
    </row>
    <row r="2769" spans="4:59">
      <c r="D2769" s="1065"/>
      <c r="S2769" s="1065"/>
      <c r="BE2769" s="1065"/>
      <c r="BF2769" s="1065"/>
      <c r="BG2769" s="1065"/>
    </row>
    <row r="2770" spans="4:59">
      <c r="D2770" s="1065"/>
      <c r="S2770" s="1065"/>
      <c r="BE2770" s="1065"/>
      <c r="BF2770" s="1065"/>
      <c r="BG2770" s="1065"/>
    </row>
    <row r="2771" spans="4:59">
      <c r="D2771" s="1065"/>
      <c r="S2771" s="1065"/>
      <c r="BE2771" s="1065"/>
      <c r="BF2771" s="1065"/>
      <c r="BG2771" s="1065"/>
    </row>
    <row r="2772" spans="4:59">
      <c r="D2772" s="1065"/>
      <c r="S2772" s="1065"/>
      <c r="BE2772" s="1065"/>
      <c r="BF2772" s="1065"/>
      <c r="BG2772" s="1065"/>
    </row>
    <row r="2773" spans="4:59">
      <c r="D2773" s="1065"/>
      <c r="S2773" s="1065"/>
      <c r="BE2773" s="1065"/>
      <c r="BF2773" s="1065"/>
      <c r="BG2773" s="1065"/>
    </row>
    <row r="2774" spans="4:59">
      <c r="D2774" s="1065"/>
      <c r="S2774" s="1065"/>
      <c r="BE2774" s="1065"/>
      <c r="BF2774" s="1065"/>
      <c r="BG2774" s="1065"/>
    </row>
    <row r="2775" spans="4:59">
      <c r="D2775" s="1065"/>
      <c r="S2775" s="1065"/>
      <c r="BE2775" s="1065"/>
      <c r="BF2775" s="1065"/>
      <c r="BG2775" s="1065"/>
    </row>
    <row r="2776" spans="4:59">
      <c r="D2776" s="1065"/>
      <c r="S2776" s="1065"/>
      <c r="BE2776" s="1065"/>
      <c r="BF2776" s="1065"/>
      <c r="BG2776" s="1065"/>
    </row>
    <row r="2777" spans="4:59">
      <c r="D2777" s="1065"/>
      <c r="S2777" s="1065"/>
      <c r="BE2777" s="1065"/>
      <c r="BF2777" s="1065"/>
      <c r="BG2777" s="1065"/>
    </row>
    <row r="2778" spans="4:59">
      <c r="D2778" s="1065"/>
      <c r="S2778" s="1065"/>
      <c r="BE2778" s="1065"/>
      <c r="BF2778" s="1065"/>
      <c r="BG2778" s="1065"/>
    </row>
    <row r="2779" spans="4:59">
      <c r="D2779" s="1065"/>
      <c r="S2779" s="1065"/>
      <c r="BE2779" s="1065"/>
      <c r="BF2779" s="1065"/>
      <c r="BG2779" s="1065"/>
    </row>
    <row r="2780" spans="4:59">
      <c r="D2780" s="1065"/>
      <c r="S2780" s="1065"/>
      <c r="BE2780" s="1065"/>
      <c r="BF2780" s="1065"/>
      <c r="BG2780" s="1065"/>
    </row>
    <row r="2781" spans="4:59">
      <c r="D2781" s="1065"/>
      <c r="S2781" s="1065"/>
      <c r="BE2781" s="1065"/>
      <c r="BF2781" s="1065"/>
      <c r="BG2781" s="1065"/>
    </row>
    <row r="2782" spans="4:59">
      <c r="D2782" s="1065"/>
      <c r="S2782" s="1065"/>
      <c r="BE2782" s="1065"/>
      <c r="BF2782" s="1065"/>
      <c r="BG2782" s="1065"/>
    </row>
    <row r="2783" spans="4:59">
      <c r="D2783" s="1065"/>
      <c r="S2783" s="1065"/>
      <c r="BE2783" s="1065"/>
      <c r="BF2783" s="1065"/>
      <c r="BG2783" s="1065"/>
    </row>
    <row r="2784" spans="4:59">
      <c r="D2784" s="1065"/>
      <c r="S2784" s="1065"/>
      <c r="BE2784" s="1065"/>
      <c r="BF2784" s="1065"/>
      <c r="BG2784" s="1065"/>
    </row>
    <row r="2785" spans="4:59">
      <c r="D2785" s="1065"/>
      <c r="S2785" s="1065"/>
      <c r="BE2785" s="1065"/>
      <c r="BF2785" s="1065"/>
      <c r="BG2785" s="1065"/>
    </row>
    <row r="2786" spans="4:59">
      <c r="D2786" s="1065"/>
      <c r="S2786" s="1065"/>
      <c r="BE2786" s="1065"/>
      <c r="BF2786" s="1065"/>
      <c r="BG2786" s="1065"/>
    </row>
    <row r="2787" spans="4:59">
      <c r="D2787" s="1065"/>
      <c r="S2787" s="1065"/>
      <c r="BE2787" s="1065"/>
      <c r="BF2787" s="1065"/>
      <c r="BG2787" s="1065"/>
    </row>
    <row r="2788" spans="4:59">
      <c r="D2788" s="1065"/>
      <c r="S2788" s="1065"/>
      <c r="BE2788" s="1065"/>
      <c r="BF2788" s="1065"/>
      <c r="BG2788" s="1065"/>
    </row>
    <row r="2789" spans="4:59">
      <c r="D2789" s="1065"/>
      <c r="S2789" s="1065"/>
      <c r="BE2789" s="1065"/>
      <c r="BF2789" s="1065"/>
      <c r="BG2789" s="1065"/>
    </row>
    <row r="2790" spans="4:59">
      <c r="D2790" s="1065"/>
      <c r="S2790" s="1065"/>
      <c r="BE2790" s="1065"/>
      <c r="BF2790" s="1065"/>
      <c r="BG2790" s="1065"/>
    </row>
    <row r="2791" spans="4:59">
      <c r="D2791" s="1065"/>
      <c r="S2791" s="1065"/>
      <c r="BE2791" s="1065"/>
      <c r="BF2791" s="1065"/>
      <c r="BG2791" s="1065"/>
    </row>
    <row r="2792" spans="4:59">
      <c r="D2792" s="1065"/>
      <c r="S2792" s="1065"/>
      <c r="BE2792" s="1065"/>
      <c r="BF2792" s="1065"/>
      <c r="BG2792" s="1065"/>
    </row>
    <row r="2793" spans="4:59">
      <c r="D2793" s="1065"/>
      <c r="S2793" s="1065"/>
      <c r="BE2793" s="1065"/>
      <c r="BF2793" s="1065"/>
      <c r="BG2793" s="1065"/>
    </row>
    <row r="2794" spans="4:59">
      <c r="D2794" s="1065"/>
      <c r="S2794" s="1065"/>
      <c r="BE2794" s="1065"/>
      <c r="BF2794" s="1065"/>
      <c r="BG2794" s="1065"/>
    </row>
    <row r="2795" spans="4:59">
      <c r="D2795" s="1065"/>
      <c r="S2795" s="1065"/>
      <c r="BE2795" s="1065"/>
      <c r="BF2795" s="1065"/>
      <c r="BG2795" s="1065"/>
    </row>
    <row r="2796" spans="4:59">
      <c r="D2796" s="1065"/>
      <c r="S2796" s="1065"/>
      <c r="BE2796" s="1065"/>
      <c r="BF2796" s="1065"/>
      <c r="BG2796" s="1065"/>
    </row>
    <row r="2797" spans="4:59">
      <c r="D2797" s="1065"/>
      <c r="S2797" s="1065"/>
      <c r="BE2797" s="1065"/>
      <c r="BF2797" s="1065"/>
      <c r="BG2797" s="1065"/>
    </row>
    <row r="2798" spans="4:59">
      <c r="D2798" s="1065"/>
      <c r="S2798" s="1065"/>
      <c r="BE2798" s="1065"/>
      <c r="BF2798" s="1065"/>
      <c r="BG2798" s="1065"/>
    </row>
    <row r="2799" spans="4:59">
      <c r="D2799" s="1065"/>
      <c r="S2799" s="1065"/>
      <c r="BE2799" s="1065"/>
      <c r="BF2799" s="1065"/>
      <c r="BG2799" s="1065"/>
    </row>
    <row r="2800" spans="4:59">
      <c r="D2800" s="1065"/>
      <c r="S2800" s="1065"/>
      <c r="BE2800" s="1065"/>
      <c r="BF2800" s="1065"/>
      <c r="BG2800" s="1065"/>
    </row>
    <row r="2801" spans="4:59">
      <c r="D2801" s="1065"/>
      <c r="S2801" s="1065"/>
      <c r="BE2801" s="1065"/>
      <c r="BF2801" s="1065"/>
      <c r="BG2801" s="1065"/>
    </row>
    <row r="2802" spans="4:59">
      <c r="D2802" s="1065"/>
      <c r="S2802" s="1065"/>
      <c r="BE2802" s="1065"/>
      <c r="BF2802" s="1065"/>
      <c r="BG2802" s="1065"/>
    </row>
    <row r="2803" spans="4:59">
      <c r="D2803" s="1065"/>
      <c r="S2803" s="1065"/>
      <c r="BE2803" s="1065"/>
      <c r="BF2803" s="1065"/>
      <c r="BG2803" s="1065"/>
    </row>
    <row r="2804" spans="4:59">
      <c r="D2804" s="1065"/>
      <c r="S2804" s="1065"/>
      <c r="BE2804" s="1065"/>
      <c r="BF2804" s="1065"/>
      <c r="BG2804" s="1065"/>
    </row>
    <row r="2805" spans="4:59">
      <c r="D2805" s="1065"/>
      <c r="S2805" s="1065"/>
      <c r="BE2805" s="1065"/>
      <c r="BF2805" s="1065"/>
      <c r="BG2805" s="1065"/>
    </row>
    <row r="2806" spans="4:59">
      <c r="D2806" s="1065"/>
      <c r="S2806" s="1065"/>
      <c r="BE2806" s="1065"/>
      <c r="BF2806" s="1065"/>
      <c r="BG2806" s="1065"/>
    </row>
    <row r="2807" spans="4:59">
      <c r="D2807" s="1065"/>
      <c r="S2807" s="1065"/>
      <c r="BE2807" s="1065"/>
      <c r="BF2807" s="1065"/>
      <c r="BG2807" s="1065"/>
    </row>
    <row r="2808" spans="4:59">
      <c r="D2808" s="1065"/>
      <c r="S2808" s="1065"/>
      <c r="BE2808" s="1065"/>
      <c r="BF2808" s="1065"/>
      <c r="BG2808" s="1065"/>
    </row>
    <row r="2809" spans="4:59">
      <c r="D2809" s="1065"/>
      <c r="S2809" s="1065"/>
      <c r="BE2809" s="1065"/>
      <c r="BF2809" s="1065"/>
      <c r="BG2809" s="1065"/>
    </row>
    <row r="2810" spans="4:59">
      <c r="D2810" s="1065"/>
      <c r="S2810" s="1065"/>
      <c r="BE2810" s="1065"/>
      <c r="BF2810" s="1065"/>
      <c r="BG2810" s="1065"/>
    </row>
    <row r="2811" spans="4:59">
      <c r="D2811" s="1065"/>
      <c r="S2811" s="1065"/>
      <c r="BE2811" s="1065"/>
      <c r="BF2811" s="1065"/>
      <c r="BG2811" s="1065"/>
    </row>
    <row r="2812" spans="4:59">
      <c r="D2812" s="1065"/>
      <c r="S2812" s="1065"/>
      <c r="BE2812" s="1065"/>
      <c r="BF2812" s="1065"/>
      <c r="BG2812" s="1065"/>
    </row>
    <row r="2813" spans="4:59">
      <c r="D2813" s="1065"/>
      <c r="S2813" s="1065"/>
      <c r="BE2813" s="1065"/>
      <c r="BF2813" s="1065"/>
      <c r="BG2813" s="1065"/>
    </row>
    <row r="2814" spans="4:59">
      <c r="D2814" s="1065"/>
      <c r="S2814" s="1065"/>
      <c r="BE2814" s="1065"/>
      <c r="BF2814" s="1065"/>
      <c r="BG2814" s="1065"/>
    </row>
    <row r="2815" spans="4:59">
      <c r="D2815" s="1065"/>
      <c r="S2815" s="1065"/>
      <c r="BE2815" s="1065"/>
      <c r="BF2815" s="1065"/>
      <c r="BG2815" s="1065"/>
    </row>
    <row r="2816" spans="4:59">
      <c r="D2816" s="1065"/>
      <c r="S2816" s="1065"/>
      <c r="BE2816" s="1065"/>
      <c r="BF2816" s="1065"/>
      <c r="BG2816" s="1065"/>
    </row>
    <row r="2817" spans="4:59">
      <c r="D2817" s="1065"/>
      <c r="S2817" s="1065"/>
      <c r="BE2817" s="1065"/>
      <c r="BF2817" s="1065"/>
      <c r="BG2817" s="1065"/>
    </row>
    <row r="2818" spans="4:59">
      <c r="D2818" s="1065"/>
      <c r="S2818" s="1065"/>
      <c r="BE2818" s="1065"/>
      <c r="BF2818" s="1065"/>
      <c r="BG2818" s="1065"/>
    </row>
    <row r="2819" spans="4:59">
      <c r="D2819" s="1065"/>
      <c r="S2819" s="1065"/>
      <c r="BE2819" s="1065"/>
      <c r="BF2819" s="1065"/>
      <c r="BG2819" s="1065"/>
    </row>
    <row r="2820" spans="4:59">
      <c r="D2820" s="1065"/>
      <c r="S2820" s="1065"/>
      <c r="BE2820" s="1065"/>
      <c r="BF2820" s="1065"/>
      <c r="BG2820" s="1065"/>
    </row>
    <row r="2821" spans="4:59">
      <c r="D2821" s="1065"/>
      <c r="S2821" s="1065"/>
      <c r="BE2821" s="1065"/>
      <c r="BF2821" s="1065"/>
      <c r="BG2821" s="1065"/>
    </row>
    <row r="2822" spans="4:59">
      <c r="D2822" s="1065"/>
      <c r="S2822" s="1065"/>
      <c r="BE2822" s="1065"/>
      <c r="BF2822" s="1065"/>
      <c r="BG2822" s="1065"/>
    </row>
    <row r="2823" spans="4:59">
      <c r="D2823" s="1065"/>
      <c r="S2823" s="1065"/>
      <c r="BE2823" s="1065"/>
      <c r="BF2823" s="1065"/>
      <c r="BG2823" s="1065"/>
    </row>
    <row r="2824" spans="4:59">
      <c r="D2824" s="1065"/>
      <c r="S2824" s="1065"/>
      <c r="BE2824" s="1065"/>
      <c r="BF2824" s="1065"/>
      <c r="BG2824" s="1065"/>
    </row>
    <row r="2825" spans="4:59">
      <c r="D2825" s="1065"/>
      <c r="S2825" s="1065"/>
      <c r="BE2825" s="1065"/>
      <c r="BF2825" s="1065"/>
      <c r="BG2825" s="1065"/>
    </row>
    <row r="2826" spans="4:59">
      <c r="D2826" s="1065"/>
      <c r="S2826" s="1065"/>
      <c r="BE2826" s="1065"/>
      <c r="BF2826" s="1065"/>
      <c r="BG2826" s="1065"/>
    </row>
    <row r="2827" spans="4:59">
      <c r="D2827" s="1065"/>
      <c r="S2827" s="1065"/>
      <c r="BE2827" s="1065"/>
      <c r="BF2827" s="1065"/>
      <c r="BG2827" s="1065"/>
    </row>
    <row r="2828" spans="4:59">
      <c r="D2828" s="1065"/>
      <c r="S2828" s="1065"/>
      <c r="BE2828" s="1065"/>
      <c r="BF2828" s="1065"/>
      <c r="BG2828" s="1065"/>
    </row>
    <row r="2829" spans="4:59">
      <c r="D2829" s="1065"/>
      <c r="S2829" s="1065"/>
      <c r="BE2829" s="1065"/>
      <c r="BF2829" s="1065"/>
      <c r="BG2829" s="1065"/>
    </row>
    <row r="2830" spans="4:59">
      <c r="D2830" s="1065"/>
      <c r="S2830" s="1065"/>
      <c r="BE2830" s="1065"/>
      <c r="BF2830" s="1065"/>
      <c r="BG2830" s="1065"/>
    </row>
    <row r="2831" spans="4:59">
      <c r="D2831" s="1065"/>
      <c r="S2831" s="1065"/>
      <c r="BE2831" s="1065"/>
      <c r="BF2831" s="1065"/>
      <c r="BG2831" s="1065"/>
    </row>
    <row r="2832" spans="4:59">
      <c r="D2832" s="1065"/>
      <c r="S2832" s="1065"/>
      <c r="BE2832" s="1065"/>
      <c r="BF2832" s="1065"/>
      <c r="BG2832" s="1065"/>
    </row>
    <row r="2833" spans="4:59">
      <c r="D2833" s="1065"/>
      <c r="S2833" s="1065"/>
      <c r="BE2833" s="1065"/>
      <c r="BF2833" s="1065"/>
      <c r="BG2833" s="1065"/>
    </row>
    <row r="2834" spans="4:59">
      <c r="D2834" s="1065"/>
      <c r="S2834" s="1065"/>
      <c r="BE2834" s="1065"/>
      <c r="BF2834" s="1065"/>
      <c r="BG2834" s="1065"/>
    </row>
    <row r="2835" spans="4:59">
      <c r="D2835" s="1065"/>
      <c r="S2835" s="1065"/>
      <c r="BE2835" s="1065"/>
      <c r="BF2835" s="1065"/>
      <c r="BG2835" s="1065"/>
    </row>
    <row r="2836" spans="4:59">
      <c r="D2836" s="1065"/>
      <c r="S2836" s="1065"/>
      <c r="BE2836" s="1065"/>
      <c r="BF2836" s="1065"/>
      <c r="BG2836" s="1065"/>
    </row>
    <row r="2837" spans="4:59">
      <c r="D2837" s="1065"/>
      <c r="S2837" s="1065"/>
      <c r="BE2837" s="1065"/>
      <c r="BF2837" s="1065"/>
      <c r="BG2837" s="1065"/>
    </row>
    <row r="2838" spans="4:59">
      <c r="D2838" s="1065"/>
      <c r="S2838" s="1065"/>
      <c r="BE2838" s="1065"/>
      <c r="BF2838" s="1065"/>
      <c r="BG2838" s="1065"/>
    </row>
    <row r="2839" spans="4:59">
      <c r="D2839" s="1065"/>
      <c r="S2839" s="1065"/>
      <c r="BE2839" s="1065"/>
      <c r="BF2839" s="1065"/>
      <c r="BG2839" s="1065"/>
    </row>
    <row r="2840" spans="4:59">
      <c r="D2840" s="1065"/>
      <c r="S2840" s="1065"/>
      <c r="BE2840" s="1065"/>
      <c r="BF2840" s="1065"/>
      <c r="BG2840" s="1065"/>
    </row>
    <row r="2841" spans="4:59">
      <c r="D2841" s="1065"/>
      <c r="S2841" s="1065"/>
      <c r="BE2841" s="1065"/>
      <c r="BF2841" s="1065"/>
      <c r="BG2841" s="1065"/>
    </row>
    <row r="2842" spans="4:59">
      <c r="D2842" s="1065"/>
      <c r="S2842" s="1065"/>
      <c r="BE2842" s="1065"/>
      <c r="BF2842" s="1065"/>
      <c r="BG2842" s="1065"/>
    </row>
    <row r="2843" spans="4:59">
      <c r="D2843" s="1065"/>
      <c r="S2843" s="1065"/>
      <c r="BE2843" s="1065"/>
      <c r="BF2843" s="1065"/>
      <c r="BG2843" s="1065"/>
    </row>
    <row r="2844" spans="4:59">
      <c r="D2844" s="1065"/>
      <c r="S2844" s="1065"/>
      <c r="BE2844" s="1065"/>
      <c r="BF2844" s="1065"/>
      <c r="BG2844" s="1065"/>
    </row>
    <row r="2845" spans="4:59">
      <c r="D2845" s="1065"/>
      <c r="S2845" s="1065"/>
      <c r="BE2845" s="1065"/>
      <c r="BF2845" s="1065"/>
      <c r="BG2845" s="1065"/>
    </row>
    <row r="2846" spans="4:59">
      <c r="D2846" s="1065"/>
      <c r="S2846" s="1065"/>
      <c r="BE2846" s="1065"/>
      <c r="BF2846" s="1065"/>
      <c r="BG2846" s="1065"/>
    </row>
    <row r="2847" spans="4:59">
      <c r="D2847" s="1065"/>
      <c r="S2847" s="1065"/>
      <c r="BE2847" s="1065"/>
      <c r="BF2847" s="1065"/>
      <c r="BG2847" s="1065"/>
    </row>
    <row r="2848" spans="4:59">
      <c r="D2848" s="1065"/>
      <c r="S2848" s="1065"/>
      <c r="BE2848" s="1065"/>
      <c r="BF2848" s="1065"/>
      <c r="BG2848" s="1065"/>
    </row>
    <row r="2849" spans="4:59">
      <c r="D2849" s="1065"/>
      <c r="S2849" s="1065"/>
      <c r="BE2849" s="1065"/>
      <c r="BF2849" s="1065"/>
      <c r="BG2849" s="1065"/>
    </row>
    <row r="2850" spans="4:59">
      <c r="D2850" s="1065"/>
      <c r="S2850" s="1065"/>
      <c r="BE2850" s="1065"/>
      <c r="BF2850" s="1065"/>
      <c r="BG2850" s="1065"/>
    </row>
    <row r="2851" spans="4:59">
      <c r="D2851" s="1065"/>
      <c r="S2851" s="1065"/>
      <c r="BE2851" s="1065"/>
      <c r="BF2851" s="1065"/>
      <c r="BG2851" s="1065"/>
    </row>
    <row r="2852" spans="4:59">
      <c r="D2852" s="1065"/>
      <c r="S2852" s="1065"/>
      <c r="BE2852" s="1065"/>
      <c r="BF2852" s="1065"/>
      <c r="BG2852" s="1065"/>
    </row>
    <row r="2853" spans="4:59">
      <c r="D2853" s="1065"/>
      <c r="S2853" s="1065"/>
      <c r="BE2853" s="1065"/>
      <c r="BF2853" s="1065"/>
      <c r="BG2853" s="1065"/>
    </row>
    <row r="2854" spans="4:59">
      <c r="D2854" s="1065"/>
      <c r="S2854" s="1065"/>
      <c r="BE2854" s="1065"/>
      <c r="BF2854" s="1065"/>
      <c r="BG2854" s="1065"/>
    </row>
    <row r="2855" spans="4:59">
      <c r="D2855" s="1065"/>
      <c r="S2855" s="1065"/>
      <c r="BE2855" s="1065"/>
      <c r="BF2855" s="1065"/>
      <c r="BG2855" s="1065"/>
    </row>
    <row r="2856" spans="4:59">
      <c r="D2856" s="1065"/>
      <c r="S2856" s="1065"/>
      <c r="BE2856" s="1065"/>
      <c r="BF2856" s="1065"/>
      <c r="BG2856" s="1065"/>
    </row>
    <row r="2857" spans="4:59">
      <c r="D2857" s="1065"/>
      <c r="S2857" s="1065"/>
      <c r="BE2857" s="1065"/>
      <c r="BF2857" s="1065"/>
      <c r="BG2857" s="1065"/>
    </row>
    <row r="2858" spans="4:59">
      <c r="D2858" s="1065"/>
      <c r="S2858" s="1065"/>
      <c r="BE2858" s="1065"/>
      <c r="BF2858" s="1065"/>
      <c r="BG2858" s="1065"/>
    </row>
    <row r="2859" spans="4:59">
      <c r="D2859" s="1065"/>
      <c r="S2859" s="1065"/>
      <c r="BE2859" s="1065"/>
      <c r="BF2859" s="1065"/>
      <c r="BG2859" s="1065"/>
    </row>
    <row r="2860" spans="4:59">
      <c r="D2860" s="1065"/>
      <c r="S2860" s="1065"/>
      <c r="BE2860" s="1065"/>
      <c r="BF2860" s="1065"/>
      <c r="BG2860" s="1065"/>
    </row>
    <row r="2861" spans="4:59">
      <c r="D2861" s="1065"/>
      <c r="S2861" s="1065"/>
      <c r="BE2861" s="1065"/>
      <c r="BF2861" s="1065"/>
      <c r="BG2861" s="1065"/>
    </row>
    <row r="2862" spans="4:59">
      <c r="D2862" s="1065"/>
      <c r="S2862" s="1065"/>
      <c r="BE2862" s="1065"/>
      <c r="BF2862" s="1065"/>
      <c r="BG2862" s="1065"/>
    </row>
    <row r="2863" spans="4:59">
      <c r="D2863" s="1065"/>
      <c r="S2863" s="1065"/>
      <c r="BE2863" s="1065"/>
      <c r="BF2863" s="1065"/>
      <c r="BG2863" s="1065"/>
    </row>
    <row r="2864" spans="4:59">
      <c r="D2864" s="1065"/>
      <c r="S2864" s="1065"/>
      <c r="BE2864" s="1065"/>
      <c r="BF2864" s="1065"/>
      <c r="BG2864" s="1065"/>
    </row>
    <row r="2865" spans="4:59">
      <c r="D2865" s="1065"/>
      <c r="S2865" s="1065"/>
      <c r="BE2865" s="1065"/>
      <c r="BF2865" s="1065"/>
      <c r="BG2865" s="1065"/>
    </row>
    <row r="2866" spans="4:59">
      <c r="D2866" s="1065"/>
      <c r="S2866" s="1065"/>
      <c r="BE2866" s="1065"/>
      <c r="BF2866" s="1065"/>
      <c r="BG2866" s="1065"/>
    </row>
    <row r="2867" spans="4:59">
      <c r="D2867" s="1065"/>
      <c r="S2867" s="1065"/>
      <c r="BE2867" s="1065"/>
      <c r="BF2867" s="1065"/>
      <c r="BG2867" s="1065"/>
    </row>
    <row r="2868" spans="4:59">
      <c r="D2868" s="1065"/>
      <c r="S2868" s="1065"/>
      <c r="BE2868" s="1065"/>
      <c r="BF2868" s="1065"/>
      <c r="BG2868" s="1065"/>
    </row>
    <row r="2869" spans="4:59">
      <c r="D2869" s="1065"/>
      <c r="S2869" s="1065"/>
      <c r="BE2869" s="1065"/>
      <c r="BF2869" s="1065"/>
      <c r="BG2869" s="1065"/>
    </row>
    <row r="2870" spans="4:59">
      <c r="D2870" s="1065"/>
      <c r="S2870" s="1065"/>
      <c r="BE2870" s="1065"/>
      <c r="BF2870" s="1065"/>
      <c r="BG2870" s="1065"/>
    </row>
    <row r="2871" spans="4:59">
      <c r="D2871" s="1065"/>
      <c r="S2871" s="1065"/>
      <c r="BE2871" s="1065"/>
      <c r="BF2871" s="1065"/>
      <c r="BG2871" s="1065"/>
    </row>
    <row r="2872" spans="4:59">
      <c r="D2872" s="1065"/>
      <c r="S2872" s="1065"/>
      <c r="BE2872" s="1065"/>
      <c r="BF2872" s="1065"/>
      <c r="BG2872" s="1065"/>
    </row>
    <row r="2873" spans="4:59">
      <c r="D2873" s="1065"/>
      <c r="S2873" s="1065"/>
      <c r="BE2873" s="1065"/>
      <c r="BF2873" s="1065"/>
      <c r="BG2873" s="1065"/>
    </row>
    <row r="2874" spans="4:59">
      <c r="D2874" s="1065"/>
      <c r="S2874" s="1065"/>
      <c r="BE2874" s="1065"/>
      <c r="BF2874" s="1065"/>
      <c r="BG2874" s="1065"/>
    </row>
    <row r="2875" spans="4:59">
      <c r="D2875" s="1065"/>
      <c r="S2875" s="1065"/>
      <c r="BE2875" s="1065"/>
      <c r="BF2875" s="1065"/>
      <c r="BG2875" s="1065"/>
    </row>
    <row r="2876" spans="4:59">
      <c r="D2876" s="1065"/>
      <c r="S2876" s="1065"/>
      <c r="BE2876" s="1065"/>
      <c r="BF2876" s="1065"/>
      <c r="BG2876" s="1065"/>
    </row>
    <row r="2877" spans="4:59">
      <c r="D2877" s="1065"/>
      <c r="S2877" s="1065"/>
      <c r="BE2877" s="1065"/>
      <c r="BF2877" s="1065"/>
      <c r="BG2877" s="1065"/>
    </row>
    <row r="2878" spans="4:59">
      <c r="D2878" s="1065"/>
      <c r="S2878" s="1065"/>
      <c r="BE2878" s="1065"/>
      <c r="BF2878" s="1065"/>
      <c r="BG2878" s="1065"/>
    </row>
    <row r="2879" spans="4:59">
      <c r="D2879" s="1065"/>
      <c r="S2879" s="1065"/>
      <c r="BE2879" s="1065"/>
      <c r="BF2879" s="1065"/>
      <c r="BG2879" s="1065"/>
    </row>
    <row r="2880" spans="4:59">
      <c r="D2880" s="1065"/>
      <c r="S2880" s="1065"/>
      <c r="BE2880" s="1065"/>
      <c r="BF2880" s="1065"/>
      <c r="BG2880" s="1065"/>
    </row>
    <row r="2881" spans="4:59">
      <c r="D2881" s="1065"/>
      <c r="S2881" s="1065"/>
      <c r="BE2881" s="1065"/>
      <c r="BF2881" s="1065"/>
      <c r="BG2881" s="1065"/>
    </row>
    <row r="2884" spans="4:59">
      <c r="D2884" s="1065"/>
      <c r="S2884" s="1065"/>
      <c r="BE2884" s="1065"/>
      <c r="BF2884" s="1065"/>
      <c r="BG2884" s="1065"/>
    </row>
    <row r="2885" spans="4:59">
      <c r="D2885" s="1065"/>
      <c r="S2885" s="1065"/>
      <c r="BE2885" s="1065"/>
      <c r="BF2885" s="1065"/>
      <c r="BG2885" s="1065"/>
    </row>
    <row r="2886" spans="4:59">
      <c r="D2886" s="1065"/>
      <c r="S2886" s="1065"/>
      <c r="BE2886" s="1065"/>
      <c r="BF2886" s="1065"/>
      <c r="BG2886" s="1065"/>
    </row>
    <row r="2887" spans="4:59">
      <c r="D2887" s="1065"/>
      <c r="S2887" s="1065"/>
      <c r="BE2887" s="1065"/>
      <c r="BF2887" s="1065"/>
      <c r="BG2887" s="1065"/>
    </row>
    <row r="2888" spans="4:59">
      <c r="D2888" s="1065"/>
      <c r="S2888" s="1065"/>
      <c r="BE2888" s="1065"/>
      <c r="BF2888" s="1065"/>
      <c r="BG2888" s="1065"/>
    </row>
    <row r="2889" spans="4:59">
      <c r="D2889" s="1065"/>
      <c r="S2889" s="1065"/>
      <c r="BE2889" s="1065"/>
      <c r="BF2889" s="1065"/>
      <c r="BG2889" s="1065"/>
    </row>
    <row r="2890" spans="4:59">
      <c r="D2890" s="1065"/>
      <c r="S2890" s="1065"/>
      <c r="BE2890" s="1065"/>
      <c r="BF2890" s="1065"/>
      <c r="BG2890" s="1065"/>
    </row>
    <row r="2893" spans="4:59">
      <c r="D2893" s="1065"/>
      <c r="S2893" s="1065"/>
      <c r="BE2893" s="1065"/>
      <c r="BF2893" s="1065"/>
      <c r="BG2893" s="1065"/>
    </row>
    <row r="2894" spans="4:59">
      <c r="D2894" s="1065"/>
      <c r="S2894" s="1065"/>
      <c r="BE2894" s="1065"/>
      <c r="BF2894" s="1065"/>
      <c r="BG2894" s="1065"/>
    </row>
    <row r="2896" spans="4:59">
      <c r="D2896" s="1065"/>
      <c r="S2896" s="1065"/>
      <c r="BE2896" s="1065"/>
      <c r="BF2896" s="1065"/>
      <c r="BG2896" s="1065"/>
    </row>
    <row r="2897" spans="4:59">
      <c r="D2897" s="1065"/>
      <c r="S2897" s="1065"/>
      <c r="BE2897" s="1065"/>
      <c r="BF2897" s="1065"/>
      <c r="BG2897" s="1065"/>
    </row>
    <row r="2898" spans="4:59">
      <c r="D2898" s="1065"/>
      <c r="S2898" s="1065"/>
      <c r="BE2898" s="1065"/>
      <c r="BF2898" s="1065"/>
      <c r="BG2898" s="1065"/>
    </row>
    <row r="2899" spans="4:59">
      <c r="D2899" s="1065"/>
      <c r="S2899" s="1065"/>
      <c r="BE2899" s="1065"/>
      <c r="BF2899" s="1065"/>
      <c r="BG2899" s="1065"/>
    </row>
    <row r="2900" spans="4:59">
      <c r="D2900" s="1065"/>
      <c r="S2900" s="1065"/>
      <c r="BE2900" s="1065"/>
      <c r="BF2900" s="1065"/>
      <c r="BG2900" s="1065"/>
    </row>
    <row r="2901" spans="4:59">
      <c r="D2901" s="1065"/>
      <c r="S2901" s="1065"/>
      <c r="BE2901" s="1065"/>
      <c r="BF2901" s="1065"/>
      <c r="BG2901" s="1065"/>
    </row>
    <row r="2902" spans="4:59">
      <c r="D2902" s="1065"/>
      <c r="S2902" s="1065"/>
      <c r="BE2902" s="1065"/>
      <c r="BF2902" s="1065"/>
      <c r="BG2902" s="1065"/>
    </row>
    <row r="2903" spans="4:59">
      <c r="D2903" s="1065"/>
      <c r="S2903" s="1065"/>
      <c r="BE2903" s="1065"/>
      <c r="BF2903" s="1065"/>
      <c r="BG2903" s="1065"/>
    </row>
    <row r="2904" spans="4:59">
      <c r="D2904" s="1065"/>
      <c r="S2904" s="1065"/>
      <c r="BE2904" s="1065"/>
      <c r="BF2904" s="1065"/>
      <c r="BG2904" s="1065"/>
    </row>
    <row r="2905" spans="4:59">
      <c r="D2905" s="1065"/>
      <c r="S2905" s="1065"/>
      <c r="BE2905" s="1065"/>
      <c r="BF2905" s="1065"/>
      <c r="BG2905" s="1065"/>
    </row>
    <row r="2906" spans="4:59">
      <c r="D2906" s="1065"/>
      <c r="S2906" s="1065"/>
      <c r="BE2906" s="1065"/>
      <c r="BF2906" s="1065"/>
      <c r="BG2906" s="1065"/>
    </row>
    <row r="2907" spans="4:59">
      <c r="D2907" s="1065"/>
      <c r="S2907" s="1065"/>
      <c r="BE2907" s="1065"/>
      <c r="BF2907" s="1065"/>
      <c r="BG2907" s="1065"/>
    </row>
    <row r="2908" spans="4:59">
      <c r="D2908" s="1065"/>
      <c r="S2908" s="1065"/>
      <c r="BE2908" s="1065"/>
      <c r="BF2908" s="1065"/>
      <c r="BG2908" s="1065"/>
    </row>
    <row r="2909" spans="4:59">
      <c r="D2909" s="1065"/>
      <c r="S2909" s="1065"/>
      <c r="BE2909" s="1065"/>
      <c r="BF2909" s="1065"/>
      <c r="BG2909" s="1065"/>
    </row>
    <row r="2910" spans="4:59">
      <c r="D2910" s="1065"/>
      <c r="S2910" s="1065"/>
      <c r="BE2910" s="1065"/>
      <c r="BF2910" s="1065"/>
      <c r="BG2910" s="1065"/>
    </row>
    <row r="2911" spans="4:59">
      <c r="D2911" s="1065"/>
      <c r="S2911" s="1065"/>
      <c r="BE2911" s="1065"/>
      <c r="BF2911" s="1065"/>
      <c r="BG2911" s="1065"/>
    </row>
    <row r="2912" spans="4:59">
      <c r="D2912" s="1065"/>
      <c r="S2912" s="1065"/>
      <c r="BE2912" s="1065"/>
      <c r="BF2912" s="1065"/>
      <c r="BG2912" s="1065"/>
    </row>
    <row r="2913" spans="4:59">
      <c r="D2913" s="1065"/>
      <c r="S2913" s="1065"/>
      <c r="BE2913" s="1065"/>
      <c r="BF2913" s="1065"/>
      <c r="BG2913" s="1065"/>
    </row>
    <row r="2914" spans="4:59">
      <c r="D2914" s="1065"/>
      <c r="S2914" s="1065"/>
      <c r="BE2914" s="1065"/>
      <c r="BF2914" s="1065"/>
      <c r="BG2914" s="1065"/>
    </row>
    <row r="2915" spans="4:59">
      <c r="D2915" s="1065"/>
      <c r="S2915" s="1065"/>
      <c r="BE2915" s="1065"/>
      <c r="BF2915" s="1065"/>
      <c r="BG2915" s="1065"/>
    </row>
    <row r="2916" spans="4:59">
      <c r="D2916" s="1065"/>
      <c r="S2916" s="1065"/>
      <c r="BE2916" s="1065"/>
      <c r="BF2916" s="1065"/>
      <c r="BG2916" s="1065"/>
    </row>
    <row r="2917" spans="4:59">
      <c r="D2917" s="1065"/>
      <c r="S2917" s="1065"/>
      <c r="BE2917" s="1065"/>
      <c r="BF2917" s="1065"/>
      <c r="BG2917" s="1065"/>
    </row>
    <row r="2918" spans="4:59">
      <c r="D2918" s="1065"/>
      <c r="S2918" s="1065"/>
      <c r="BE2918" s="1065"/>
      <c r="BF2918" s="1065"/>
      <c r="BG2918" s="1065"/>
    </row>
    <row r="2919" spans="4:59">
      <c r="D2919" s="1065"/>
      <c r="S2919" s="1065"/>
      <c r="BE2919" s="1065"/>
      <c r="BF2919" s="1065"/>
      <c r="BG2919" s="1065"/>
    </row>
    <row r="2920" spans="4:59">
      <c r="D2920" s="1065"/>
      <c r="S2920" s="1065"/>
      <c r="BE2920" s="1065"/>
      <c r="BF2920" s="1065"/>
      <c r="BG2920" s="1065"/>
    </row>
    <row r="2921" spans="4:59">
      <c r="D2921" s="1065"/>
      <c r="S2921" s="1065"/>
      <c r="BE2921" s="1065"/>
      <c r="BF2921" s="1065"/>
      <c r="BG2921" s="1065"/>
    </row>
    <row r="2922" spans="4:59">
      <c r="D2922" s="1065"/>
      <c r="S2922" s="1065"/>
      <c r="BE2922" s="1065"/>
      <c r="BF2922" s="1065"/>
      <c r="BG2922" s="1065"/>
    </row>
    <row r="2923" spans="4:59">
      <c r="D2923" s="1065"/>
      <c r="S2923" s="1065"/>
      <c r="BE2923" s="1065"/>
      <c r="BF2923" s="1065"/>
      <c r="BG2923" s="1065"/>
    </row>
    <row r="2924" spans="4:59">
      <c r="D2924" s="1065"/>
      <c r="S2924" s="1065"/>
      <c r="BE2924" s="1065"/>
      <c r="BF2924" s="1065"/>
      <c r="BG2924" s="1065"/>
    </row>
    <row r="2925" spans="4:59">
      <c r="D2925" s="1065"/>
      <c r="S2925" s="1065"/>
      <c r="BE2925" s="1065"/>
      <c r="BF2925" s="1065"/>
      <c r="BG2925" s="1065"/>
    </row>
    <row r="2926" spans="4:59">
      <c r="D2926" s="1065"/>
      <c r="S2926" s="1065"/>
      <c r="BE2926" s="1065"/>
      <c r="BF2926" s="1065"/>
      <c r="BG2926" s="1065"/>
    </row>
    <row r="2927" spans="4:59">
      <c r="D2927" s="1065"/>
      <c r="S2927" s="1065"/>
      <c r="BE2927" s="1065"/>
      <c r="BF2927" s="1065"/>
      <c r="BG2927" s="1065"/>
    </row>
    <row r="2928" spans="4:59">
      <c r="D2928" s="1065"/>
      <c r="S2928" s="1065"/>
      <c r="BE2928" s="1065"/>
      <c r="BF2928" s="1065"/>
      <c r="BG2928" s="1065"/>
    </row>
    <row r="2929" spans="4:59">
      <c r="D2929" s="1065"/>
      <c r="S2929" s="1065"/>
      <c r="BE2929" s="1065"/>
      <c r="BF2929" s="1065"/>
      <c r="BG2929" s="1065"/>
    </row>
    <row r="2930" spans="4:59">
      <c r="D2930" s="1065"/>
      <c r="S2930" s="1065"/>
      <c r="BE2930" s="1065"/>
      <c r="BF2930" s="1065"/>
      <c r="BG2930" s="1065"/>
    </row>
    <row r="2931" spans="4:59">
      <c r="D2931" s="1065"/>
      <c r="S2931" s="1065"/>
      <c r="BE2931" s="1065"/>
      <c r="BF2931" s="1065"/>
      <c r="BG2931" s="1065"/>
    </row>
    <row r="2933" spans="4:59">
      <c r="D2933" s="1065"/>
      <c r="S2933" s="1065"/>
      <c r="BE2933" s="1065"/>
      <c r="BF2933" s="1065"/>
      <c r="BG2933" s="1065"/>
    </row>
    <row r="2934" spans="4:59">
      <c r="D2934" s="1065"/>
      <c r="S2934" s="1065"/>
      <c r="BE2934" s="1065"/>
      <c r="BF2934" s="1065"/>
      <c r="BG2934" s="1065"/>
    </row>
    <row r="2939" spans="4:59">
      <c r="D2939" s="1065"/>
      <c r="S2939" s="1065"/>
      <c r="BE2939" s="1065"/>
      <c r="BF2939" s="1065"/>
      <c r="BG2939" s="1065"/>
    </row>
    <row r="2940" spans="4:59">
      <c r="D2940" s="1065"/>
      <c r="S2940" s="1065"/>
      <c r="BE2940" s="1065"/>
      <c r="BF2940" s="1065"/>
      <c r="BG2940" s="1065"/>
    </row>
    <row r="2942" spans="4:59">
      <c r="D2942" s="1065"/>
      <c r="S2942" s="1065"/>
      <c r="BE2942" s="1065"/>
      <c r="BF2942" s="1065"/>
      <c r="BG2942" s="1065"/>
    </row>
    <row r="2943" spans="4:59">
      <c r="D2943" s="1065"/>
      <c r="S2943" s="1065"/>
      <c r="BE2943" s="1065"/>
      <c r="BF2943" s="1065"/>
      <c r="BG2943" s="1065"/>
    </row>
    <row r="2944" spans="4:59">
      <c r="D2944" s="1065"/>
      <c r="S2944" s="1065"/>
      <c r="BE2944" s="1065"/>
      <c r="BF2944" s="1065"/>
      <c r="BG2944" s="1065"/>
    </row>
    <row r="2945" spans="4:59">
      <c r="D2945" s="1065"/>
      <c r="S2945" s="1065"/>
      <c r="BE2945" s="1065"/>
      <c r="BF2945" s="1065"/>
      <c r="BG2945" s="1065"/>
    </row>
    <row r="2946" spans="4:59">
      <c r="D2946" s="1065"/>
      <c r="S2946" s="1065"/>
      <c r="BE2946" s="1065"/>
      <c r="BF2946" s="1065"/>
      <c r="BG2946" s="1065"/>
    </row>
    <row r="2947" spans="4:59">
      <c r="D2947" s="1065"/>
      <c r="S2947" s="1065"/>
      <c r="BE2947" s="1065"/>
      <c r="BF2947" s="1065"/>
      <c r="BG2947" s="1065"/>
    </row>
    <row r="2948" spans="4:59">
      <c r="D2948" s="1065"/>
      <c r="S2948" s="1065"/>
      <c r="BE2948" s="1065"/>
      <c r="BF2948" s="1065"/>
      <c r="BG2948" s="1065"/>
    </row>
    <row r="2949" spans="4:59">
      <c r="D2949" s="1065"/>
      <c r="S2949" s="1065"/>
      <c r="BE2949" s="1065"/>
      <c r="BF2949" s="1065"/>
      <c r="BG2949" s="1065"/>
    </row>
    <row r="2950" spans="4:59">
      <c r="D2950" s="1065"/>
      <c r="S2950" s="1065"/>
      <c r="BE2950" s="1065"/>
      <c r="BF2950" s="1065"/>
      <c r="BG2950" s="1065"/>
    </row>
    <row r="2951" spans="4:59">
      <c r="D2951" s="1065"/>
      <c r="S2951" s="1065"/>
      <c r="BE2951" s="1065"/>
      <c r="BF2951" s="1065"/>
      <c r="BG2951" s="1065"/>
    </row>
    <row r="2952" spans="4:59">
      <c r="D2952" s="1065"/>
      <c r="S2952" s="1065"/>
      <c r="BE2952" s="1065"/>
      <c r="BF2952" s="1065"/>
      <c r="BG2952" s="1065"/>
    </row>
    <row r="2953" spans="4:59">
      <c r="D2953" s="1065"/>
      <c r="S2953" s="1065"/>
      <c r="BE2953" s="1065"/>
      <c r="BF2953" s="1065"/>
      <c r="BG2953" s="1065"/>
    </row>
    <row r="2954" spans="4:59">
      <c r="D2954" s="1065"/>
      <c r="S2954" s="1065"/>
      <c r="BE2954" s="1065"/>
      <c r="BF2954" s="1065"/>
      <c r="BG2954" s="1065"/>
    </row>
    <row r="2955" spans="4:59">
      <c r="D2955" s="1065"/>
      <c r="S2955" s="1065"/>
      <c r="BE2955" s="1065"/>
      <c r="BF2955" s="1065"/>
      <c r="BG2955" s="1065"/>
    </row>
    <row r="2956" spans="4:59">
      <c r="D2956" s="1065"/>
      <c r="S2956" s="1065"/>
      <c r="BE2956" s="1065"/>
      <c r="BF2956" s="1065"/>
      <c r="BG2956" s="1065"/>
    </row>
    <row r="2957" spans="4:59">
      <c r="D2957" s="1065"/>
      <c r="S2957" s="1065"/>
      <c r="BE2957" s="1065"/>
      <c r="BF2957" s="1065"/>
      <c r="BG2957" s="1065"/>
    </row>
    <row r="2958" spans="4:59">
      <c r="D2958" s="1065"/>
      <c r="S2958" s="1065"/>
      <c r="BE2958" s="1065"/>
      <c r="BF2958" s="1065"/>
      <c r="BG2958" s="1065"/>
    </row>
    <row r="2959" spans="4:59">
      <c r="D2959" s="1065"/>
      <c r="S2959" s="1065"/>
      <c r="BE2959" s="1065"/>
      <c r="BF2959" s="1065"/>
      <c r="BG2959" s="1065"/>
    </row>
    <row r="2960" spans="4:59">
      <c r="D2960" s="1065"/>
      <c r="S2960" s="1065"/>
      <c r="BE2960" s="1065"/>
      <c r="BF2960" s="1065"/>
      <c r="BG2960" s="1065"/>
    </row>
    <row r="2961" spans="4:59">
      <c r="D2961" s="1065"/>
      <c r="S2961" s="1065"/>
      <c r="BE2961" s="1065"/>
      <c r="BF2961" s="1065"/>
      <c r="BG2961" s="1065"/>
    </row>
    <row r="2962" spans="4:59">
      <c r="D2962" s="1065"/>
      <c r="S2962" s="1065"/>
      <c r="BE2962" s="1065"/>
      <c r="BF2962" s="1065"/>
      <c r="BG2962" s="1065"/>
    </row>
    <row r="2963" spans="4:59">
      <c r="D2963" s="1065"/>
      <c r="S2963" s="1065"/>
      <c r="BE2963" s="1065"/>
      <c r="BF2963" s="1065"/>
      <c r="BG2963" s="1065"/>
    </row>
    <row r="2964" spans="4:59">
      <c r="D2964" s="1065"/>
      <c r="S2964" s="1065"/>
      <c r="BE2964" s="1065"/>
      <c r="BF2964" s="1065"/>
      <c r="BG2964" s="1065"/>
    </row>
    <row r="2965" spans="4:59">
      <c r="D2965" s="1065"/>
      <c r="S2965" s="1065"/>
      <c r="BE2965" s="1065"/>
      <c r="BF2965" s="1065"/>
      <c r="BG2965" s="1065"/>
    </row>
    <row r="2966" spans="4:59">
      <c r="D2966" s="1065"/>
      <c r="S2966" s="1065"/>
      <c r="BE2966" s="1065"/>
      <c r="BF2966" s="1065"/>
      <c r="BG2966" s="1065"/>
    </row>
    <row r="2967" spans="4:59">
      <c r="D2967" s="1065"/>
      <c r="S2967" s="1065"/>
      <c r="BE2967" s="1065"/>
      <c r="BF2967" s="1065"/>
      <c r="BG2967" s="1065"/>
    </row>
    <row r="2968" spans="4:59">
      <c r="D2968" s="1065"/>
      <c r="S2968" s="1065"/>
      <c r="BE2968" s="1065"/>
      <c r="BF2968" s="1065"/>
      <c r="BG2968" s="1065"/>
    </row>
    <row r="2969" spans="4:59">
      <c r="D2969" s="1065"/>
      <c r="S2969" s="1065"/>
      <c r="BE2969" s="1065"/>
      <c r="BF2969" s="1065"/>
      <c r="BG2969" s="1065"/>
    </row>
    <row r="2970" spans="4:59">
      <c r="D2970" s="1065"/>
      <c r="S2970" s="1065"/>
      <c r="BE2970" s="1065"/>
      <c r="BF2970" s="1065"/>
      <c r="BG2970" s="1065"/>
    </row>
    <row r="2971" spans="4:59">
      <c r="D2971" s="1065"/>
      <c r="S2971" s="1065"/>
      <c r="BE2971" s="1065"/>
      <c r="BF2971" s="1065"/>
      <c r="BG2971" s="1065"/>
    </row>
    <row r="2972" spans="4:59">
      <c r="D2972" s="1065"/>
      <c r="S2972" s="1065"/>
      <c r="BE2972" s="1065"/>
      <c r="BF2972" s="1065"/>
      <c r="BG2972" s="1065"/>
    </row>
    <row r="2973" spans="4:59">
      <c r="D2973" s="1065"/>
      <c r="S2973" s="1065"/>
      <c r="BE2973" s="1065"/>
      <c r="BF2973" s="1065"/>
      <c r="BG2973" s="1065"/>
    </row>
    <row r="2974" spans="4:59">
      <c r="D2974" s="1065"/>
      <c r="S2974" s="1065"/>
      <c r="BE2974" s="1065"/>
      <c r="BF2974" s="1065"/>
      <c r="BG2974" s="1065"/>
    </row>
    <row r="2975" spans="4:59">
      <c r="D2975" s="1065"/>
      <c r="S2975" s="1065"/>
      <c r="BE2975" s="1065"/>
      <c r="BF2975" s="1065"/>
      <c r="BG2975" s="1065"/>
    </row>
    <row r="2976" spans="4:59">
      <c r="D2976" s="1065"/>
      <c r="S2976" s="1065"/>
      <c r="BE2976" s="1065"/>
      <c r="BF2976" s="1065"/>
      <c r="BG2976" s="1065"/>
    </row>
    <row r="2977" spans="4:59">
      <c r="D2977" s="1065"/>
      <c r="S2977" s="1065"/>
      <c r="BE2977" s="1065"/>
      <c r="BF2977" s="1065"/>
      <c r="BG2977" s="1065"/>
    </row>
    <row r="2978" spans="4:59">
      <c r="D2978" s="1065"/>
      <c r="S2978" s="1065"/>
      <c r="BE2978" s="1065"/>
      <c r="BF2978" s="1065"/>
      <c r="BG2978" s="1065"/>
    </row>
    <row r="2979" spans="4:59">
      <c r="D2979" s="1065"/>
      <c r="S2979" s="1065"/>
      <c r="BE2979" s="1065"/>
      <c r="BF2979" s="1065"/>
      <c r="BG2979" s="1065"/>
    </row>
    <row r="2980" spans="4:59">
      <c r="D2980" s="1065"/>
      <c r="S2980" s="1065"/>
      <c r="BE2980" s="1065"/>
      <c r="BF2980" s="1065"/>
      <c r="BG2980" s="1065"/>
    </row>
    <row r="2981" spans="4:59">
      <c r="D2981" s="1065"/>
      <c r="S2981" s="1065"/>
      <c r="BE2981" s="1065"/>
      <c r="BF2981" s="1065"/>
      <c r="BG2981" s="1065"/>
    </row>
    <row r="2982" spans="4:59">
      <c r="D2982" s="1065"/>
      <c r="S2982" s="1065"/>
      <c r="BE2982" s="1065"/>
      <c r="BF2982" s="1065"/>
      <c r="BG2982" s="1065"/>
    </row>
    <row r="2983" spans="4:59">
      <c r="D2983" s="1065"/>
      <c r="S2983" s="1065"/>
      <c r="BE2983" s="1065"/>
      <c r="BF2983" s="1065"/>
      <c r="BG2983" s="1065"/>
    </row>
    <row r="2984" spans="4:59">
      <c r="D2984" s="1065"/>
      <c r="S2984" s="1065"/>
      <c r="BE2984" s="1065"/>
      <c r="BF2984" s="1065"/>
      <c r="BG2984" s="1065"/>
    </row>
    <row r="2985" spans="4:59">
      <c r="D2985" s="1065"/>
      <c r="S2985" s="1065"/>
      <c r="BE2985" s="1065"/>
      <c r="BF2985" s="1065"/>
      <c r="BG2985" s="1065"/>
    </row>
    <row r="2986" spans="4:59">
      <c r="D2986" s="1065"/>
      <c r="S2986" s="1065"/>
      <c r="BE2986" s="1065"/>
      <c r="BF2986" s="1065"/>
      <c r="BG2986" s="1065"/>
    </row>
    <row r="2987" spans="4:59">
      <c r="D2987" s="1065"/>
      <c r="S2987" s="1065"/>
      <c r="BE2987" s="1065"/>
      <c r="BF2987" s="1065"/>
      <c r="BG2987" s="1065"/>
    </row>
    <row r="2988" spans="4:59">
      <c r="D2988" s="1065"/>
      <c r="S2988" s="1065"/>
      <c r="BE2988" s="1065"/>
      <c r="BF2988" s="1065"/>
      <c r="BG2988" s="1065"/>
    </row>
    <row r="2989" spans="4:59">
      <c r="D2989" s="1065"/>
      <c r="S2989" s="1065"/>
      <c r="BE2989" s="1065"/>
      <c r="BF2989" s="1065"/>
      <c r="BG2989" s="1065"/>
    </row>
    <row r="2990" spans="4:59">
      <c r="D2990" s="1065"/>
      <c r="S2990" s="1065"/>
      <c r="BE2990" s="1065"/>
      <c r="BF2990" s="1065"/>
      <c r="BG2990" s="1065"/>
    </row>
    <row r="2991" spans="4:59">
      <c r="D2991" s="1065"/>
      <c r="S2991" s="1065"/>
      <c r="BE2991" s="1065"/>
      <c r="BF2991" s="1065"/>
      <c r="BG2991" s="1065"/>
    </row>
    <row r="2992" spans="4:59">
      <c r="D2992" s="1065"/>
      <c r="S2992" s="1065"/>
      <c r="BE2992" s="1065"/>
      <c r="BF2992" s="1065"/>
      <c r="BG2992" s="1065"/>
    </row>
    <row r="2993" spans="4:59">
      <c r="D2993" s="1065"/>
      <c r="S2993" s="1065"/>
      <c r="BE2993" s="1065"/>
      <c r="BF2993" s="1065"/>
      <c r="BG2993" s="1065"/>
    </row>
    <row r="2994" spans="4:59">
      <c r="D2994" s="1065"/>
      <c r="S2994" s="1065"/>
      <c r="BE2994" s="1065"/>
      <c r="BF2994" s="1065"/>
      <c r="BG2994" s="1065"/>
    </row>
    <row r="2995" spans="4:59">
      <c r="D2995" s="1065"/>
      <c r="S2995" s="1065"/>
      <c r="BE2995" s="1065"/>
      <c r="BF2995" s="1065"/>
      <c r="BG2995" s="1065"/>
    </row>
    <row r="2996" spans="4:59">
      <c r="D2996" s="1065"/>
      <c r="S2996" s="1065"/>
      <c r="BE2996" s="1065"/>
      <c r="BF2996" s="1065"/>
      <c r="BG2996" s="1065"/>
    </row>
    <row r="2997" spans="4:59">
      <c r="D2997" s="1065"/>
      <c r="S2997" s="1065"/>
      <c r="BE2997" s="1065"/>
      <c r="BF2997" s="1065"/>
      <c r="BG2997" s="1065"/>
    </row>
    <row r="2998" spans="4:59">
      <c r="D2998" s="1065"/>
      <c r="S2998" s="1065"/>
      <c r="BE2998" s="1065"/>
      <c r="BF2998" s="1065"/>
      <c r="BG2998" s="1065"/>
    </row>
    <row r="2999" spans="4:59">
      <c r="D2999" s="1065"/>
      <c r="S2999" s="1065"/>
      <c r="BE2999" s="1065"/>
      <c r="BF2999" s="1065"/>
      <c r="BG2999" s="1065"/>
    </row>
    <row r="3000" spans="4:59">
      <c r="D3000" s="1065"/>
      <c r="S3000" s="1065"/>
      <c r="BE3000" s="1065"/>
      <c r="BF3000" s="1065"/>
      <c r="BG3000" s="1065"/>
    </row>
    <row r="3001" spans="4:59">
      <c r="D3001" s="1065"/>
      <c r="S3001" s="1065"/>
      <c r="BE3001" s="1065"/>
      <c r="BF3001" s="1065"/>
      <c r="BG3001" s="1065"/>
    </row>
    <row r="3002" spans="4:59">
      <c r="D3002" s="1065"/>
      <c r="S3002" s="1065"/>
      <c r="BE3002" s="1065"/>
      <c r="BF3002" s="1065"/>
      <c r="BG3002" s="1065"/>
    </row>
    <row r="3003" spans="4:59">
      <c r="D3003" s="1065"/>
      <c r="S3003" s="1065"/>
      <c r="BE3003" s="1065"/>
      <c r="BF3003" s="1065"/>
      <c r="BG3003" s="1065"/>
    </row>
    <row r="3004" spans="4:59">
      <c r="D3004" s="1065"/>
      <c r="S3004" s="1065"/>
      <c r="BE3004" s="1065"/>
      <c r="BF3004" s="1065"/>
      <c r="BG3004" s="1065"/>
    </row>
    <row r="3005" spans="4:59">
      <c r="D3005" s="1065"/>
      <c r="S3005" s="1065"/>
      <c r="BE3005" s="1065"/>
      <c r="BF3005" s="1065"/>
      <c r="BG3005" s="1065"/>
    </row>
    <row r="3006" spans="4:59">
      <c r="D3006" s="1065"/>
      <c r="S3006" s="1065"/>
      <c r="BE3006" s="1065"/>
      <c r="BF3006" s="1065"/>
      <c r="BG3006" s="1065"/>
    </row>
    <row r="3007" spans="4:59">
      <c r="D3007" s="1065"/>
      <c r="S3007" s="1065"/>
      <c r="BE3007" s="1065"/>
      <c r="BF3007" s="1065"/>
      <c r="BG3007" s="1065"/>
    </row>
    <row r="3008" spans="4:59">
      <c r="D3008" s="1065"/>
      <c r="S3008" s="1065"/>
      <c r="BE3008" s="1065"/>
      <c r="BF3008" s="1065"/>
      <c r="BG3008" s="1065"/>
    </row>
    <row r="3009" spans="4:59">
      <c r="D3009" s="1065"/>
      <c r="S3009" s="1065"/>
      <c r="BE3009" s="1065"/>
      <c r="BF3009" s="1065"/>
      <c r="BG3009" s="1065"/>
    </row>
    <row r="3010" spans="4:59">
      <c r="D3010" s="1065"/>
      <c r="S3010" s="1065"/>
      <c r="BE3010" s="1065"/>
      <c r="BF3010" s="1065"/>
      <c r="BG3010" s="1065"/>
    </row>
    <row r="3011" spans="4:59">
      <c r="D3011" s="1065"/>
      <c r="S3011" s="1065"/>
      <c r="BE3011" s="1065"/>
      <c r="BF3011" s="1065"/>
      <c r="BG3011" s="1065"/>
    </row>
    <row r="3012" spans="4:59">
      <c r="D3012" s="1065"/>
      <c r="S3012" s="1065"/>
      <c r="BE3012" s="1065"/>
      <c r="BF3012" s="1065"/>
      <c r="BG3012" s="1065"/>
    </row>
    <row r="3013" spans="4:59">
      <c r="D3013" s="1065"/>
      <c r="S3013" s="1065"/>
      <c r="BE3013" s="1065"/>
      <c r="BF3013" s="1065"/>
      <c r="BG3013" s="1065"/>
    </row>
    <row r="3014" spans="4:59">
      <c r="D3014" s="1065"/>
      <c r="S3014" s="1065"/>
      <c r="BE3014" s="1065"/>
      <c r="BF3014" s="1065"/>
      <c r="BG3014" s="1065"/>
    </row>
    <row r="3015" spans="4:59">
      <c r="D3015" s="1065"/>
      <c r="S3015" s="1065"/>
      <c r="BE3015" s="1065"/>
      <c r="BF3015" s="1065"/>
      <c r="BG3015" s="1065"/>
    </row>
    <row r="3016" spans="4:59">
      <c r="D3016" s="1065"/>
      <c r="S3016" s="1065"/>
      <c r="BE3016" s="1065"/>
      <c r="BF3016" s="1065"/>
      <c r="BG3016" s="1065"/>
    </row>
    <row r="3017" spans="4:59">
      <c r="D3017" s="1065"/>
      <c r="S3017" s="1065"/>
      <c r="BE3017" s="1065"/>
      <c r="BF3017" s="1065"/>
      <c r="BG3017" s="1065"/>
    </row>
    <row r="3018" spans="4:59">
      <c r="D3018" s="1065"/>
      <c r="S3018" s="1065"/>
      <c r="BE3018" s="1065"/>
      <c r="BF3018" s="1065"/>
      <c r="BG3018" s="1065"/>
    </row>
    <row r="3019" spans="4:59">
      <c r="D3019" s="1065"/>
      <c r="S3019" s="1065"/>
      <c r="BE3019" s="1065"/>
      <c r="BF3019" s="1065"/>
      <c r="BG3019" s="1065"/>
    </row>
    <row r="3020" spans="4:59">
      <c r="D3020" s="1065"/>
      <c r="S3020" s="1065"/>
      <c r="BE3020" s="1065"/>
      <c r="BF3020" s="1065"/>
      <c r="BG3020" s="1065"/>
    </row>
    <row r="3021" spans="4:59">
      <c r="D3021" s="1065"/>
      <c r="S3021" s="1065"/>
      <c r="BE3021" s="1065"/>
      <c r="BF3021" s="1065"/>
      <c r="BG3021" s="1065"/>
    </row>
    <row r="3022" spans="4:59">
      <c r="D3022" s="1065"/>
      <c r="S3022" s="1065"/>
      <c r="BE3022" s="1065"/>
      <c r="BF3022" s="1065"/>
      <c r="BG3022" s="1065"/>
    </row>
    <row r="3023" spans="4:59">
      <c r="D3023" s="1065"/>
      <c r="S3023" s="1065"/>
      <c r="BE3023" s="1065"/>
      <c r="BF3023" s="1065"/>
      <c r="BG3023" s="1065"/>
    </row>
    <row r="3024" spans="4:59">
      <c r="D3024" s="1065"/>
      <c r="S3024" s="1065"/>
      <c r="BE3024" s="1065"/>
      <c r="BF3024" s="1065"/>
      <c r="BG3024" s="1065"/>
    </row>
    <row r="3025" spans="4:59">
      <c r="D3025" s="1065"/>
      <c r="S3025" s="1065"/>
      <c r="BE3025" s="1065"/>
      <c r="BF3025" s="1065"/>
      <c r="BG3025" s="1065"/>
    </row>
    <row r="3026" spans="4:59">
      <c r="D3026" s="1065"/>
      <c r="S3026" s="1065"/>
      <c r="BE3026" s="1065"/>
      <c r="BF3026" s="1065"/>
      <c r="BG3026" s="1065"/>
    </row>
    <row r="3027" spans="4:59">
      <c r="D3027" s="1065"/>
      <c r="S3027" s="1065"/>
      <c r="BE3027" s="1065"/>
      <c r="BF3027" s="1065"/>
      <c r="BG3027" s="1065"/>
    </row>
    <row r="3028" spans="4:59">
      <c r="D3028" s="1065"/>
      <c r="S3028" s="1065"/>
      <c r="BE3028" s="1065"/>
      <c r="BF3028" s="1065"/>
      <c r="BG3028" s="1065"/>
    </row>
    <row r="3029" spans="4:59">
      <c r="D3029" s="1065"/>
      <c r="S3029" s="1065"/>
      <c r="BE3029" s="1065"/>
      <c r="BF3029" s="1065"/>
      <c r="BG3029" s="1065"/>
    </row>
    <row r="3030" spans="4:59">
      <c r="D3030" s="1065"/>
      <c r="S3030" s="1065"/>
      <c r="BE3030" s="1065"/>
      <c r="BF3030" s="1065"/>
      <c r="BG3030" s="1065"/>
    </row>
    <row r="3031" spans="4:59">
      <c r="D3031" s="1065"/>
      <c r="S3031" s="1065"/>
      <c r="BE3031" s="1065"/>
      <c r="BF3031" s="1065"/>
      <c r="BG3031" s="1065"/>
    </row>
    <row r="3032" spans="4:59">
      <c r="D3032" s="1065"/>
      <c r="S3032" s="1065"/>
      <c r="BE3032" s="1065"/>
      <c r="BF3032" s="1065"/>
      <c r="BG3032" s="1065"/>
    </row>
    <row r="3033" spans="4:59">
      <c r="D3033" s="1065"/>
      <c r="S3033" s="1065"/>
      <c r="BE3033" s="1065"/>
      <c r="BF3033" s="1065"/>
      <c r="BG3033" s="1065"/>
    </row>
    <row r="3034" spans="4:59">
      <c r="D3034" s="1065"/>
      <c r="S3034" s="1065"/>
      <c r="BE3034" s="1065"/>
      <c r="BF3034" s="1065"/>
      <c r="BG3034" s="1065"/>
    </row>
    <row r="3035" spans="4:59">
      <c r="D3035" s="1065"/>
      <c r="S3035" s="1065"/>
      <c r="BE3035" s="1065"/>
      <c r="BF3035" s="1065"/>
      <c r="BG3035" s="1065"/>
    </row>
    <row r="3036" spans="4:59">
      <c r="D3036" s="1065"/>
      <c r="S3036" s="1065"/>
      <c r="BE3036" s="1065"/>
      <c r="BF3036" s="1065"/>
      <c r="BG3036" s="1065"/>
    </row>
    <row r="3037" spans="4:59">
      <c r="D3037" s="1065"/>
      <c r="S3037" s="1065"/>
      <c r="BE3037" s="1065"/>
      <c r="BF3037" s="1065"/>
      <c r="BG3037" s="1065"/>
    </row>
    <row r="3038" spans="4:59">
      <c r="D3038" s="1065"/>
      <c r="S3038" s="1065"/>
      <c r="BE3038" s="1065"/>
      <c r="BF3038" s="1065"/>
      <c r="BG3038" s="1065"/>
    </row>
    <row r="3039" spans="4:59">
      <c r="D3039" s="1065"/>
      <c r="S3039" s="1065"/>
      <c r="BE3039" s="1065"/>
      <c r="BF3039" s="1065"/>
      <c r="BG3039" s="1065"/>
    </row>
    <row r="3040" spans="4:59">
      <c r="D3040" s="1065"/>
      <c r="S3040" s="1065"/>
      <c r="BE3040" s="1065"/>
      <c r="BF3040" s="1065"/>
      <c r="BG3040" s="1065"/>
    </row>
    <row r="3041" spans="4:59">
      <c r="D3041" s="1065"/>
      <c r="S3041" s="1065"/>
      <c r="BE3041" s="1065"/>
      <c r="BF3041" s="1065"/>
      <c r="BG3041" s="1065"/>
    </row>
    <row r="3042" spans="4:59">
      <c r="D3042" s="1065"/>
      <c r="S3042" s="1065"/>
      <c r="BE3042" s="1065"/>
      <c r="BF3042" s="1065"/>
      <c r="BG3042" s="1065"/>
    </row>
    <row r="3043" spans="4:59">
      <c r="D3043" s="1065"/>
      <c r="S3043" s="1065"/>
      <c r="BE3043" s="1065"/>
      <c r="BF3043" s="1065"/>
      <c r="BG3043" s="1065"/>
    </row>
    <row r="3044" spans="4:59">
      <c r="D3044" s="1065"/>
      <c r="S3044" s="1065"/>
      <c r="BE3044" s="1065"/>
      <c r="BF3044" s="1065"/>
      <c r="BG3044" s="1065"/>
    </row>
    <row r="3045" spans="4:59">
      <c r="D3045" s="1065"/>
      <c r="S3045" s="1065"/>
      <c r="BE3045" s="1065"/>
      <c r="BF3045" s="1065"/>
      <c r="BG3045" s="1065"/>
    </row>
    <row r="3046" spans="4:59">
      <c r="D3046" s="1065"/>
      <c r="S3046" s="1065"/>
      <c r="BE3046" s="1065"/>
      <c r="BF3046" s="1065"/>
      <c r="BG3046" s="1065"/>
    </row>
    <row r="3047" spans="4:59">
      <c r="D3047" s="1065"/>
      <c r="S3047" s="1065"/>
      <c r="BE3047" s="1065"/>
      <c r="BF3047" s="1065"/>
      <c r="BG3047" s="1065"/>
    </row>
    <row r="3048" spans="4:59">
      <c r="D3048" s="1065"/>
      <c r="S3048" s="1065"/>
      <c r="BE3048" s="1065"/>
      <c r="BF3048" s="1065"/>
      <c r="BG3048" s="1065"/>
    </row>
    <row r="3049" spans="4:59">
      <c r="D3049" s="1065"/>
      <c r="S3049" s="1065"/>
      <c r="BE3049" s="1065"/>
      <c r="BF3049" s="1065"/>
      <c r="BG3049" s="1065"/>
    </row>
    <row r="3050" spans="4:59">
      <c r="D3050" s="1065"/>
      <c r="S3050" s="1065"/>
      <c r="BE3050" s="1065"/>
      <c r="BF3050" s="1065"/>
      <c r="BG3050" s="1065"/>
    </row>
    <row r="3051" spans="4:59">
      <c r="D3051" s="1065"/>
      <c r="S3051" s="1065"/>
      <c r="BE3051" s="1065"/>
      <c r="BF3051" s="1065"/>
      <c r="BG3051" s="1065"/>
    </row>
    <row r="3052" spans="4:59">
      <c r="D3052" s="1065"/>
      <c r="S3052" s="1065"/>
      <c r="BE3052" s="1065"/>
      <c r="BF3052" s="1065"/>
      <c r="BG3052" s="1065"/>
    </row>
    <row r="3053" spans="4:59">
      <c r="D3053" s="1065"/>
      <c r="S3053" s="1065"/>
      <c r="BE3053" s="1065"/>
      <c r="BF3053" s="1065"/>
      <c r="BG3053" s="1065"/>
    </row>
    <row r="3054" spans="4:59">
      <c r="D3054" s="1065"/>
      <c r="S3054" s="1065"/>
      <c r="BE3054" s="1065"/>
      <c r="BF3054" s="1065"/>
      <c r="BG3054" s="1065"/>
    </row>
    <row r="3055" spans="4:59">
      <c r="D3055" s="1065"/>
      <c r="S3055" s="1065"/>
      <c r="BE3055" s="1065"/>
      <c r="BF3055" s="1065"/>
      <c r="BG3055" s="1065"/>
    </row>
    <row r="3056" spans="4:59">
      <c r="D3056" s="1065"/>
      <c r="S3056" s="1065"/>
      <c r="BE3056" s="1065"/>
      <c r="BF3056" s="1065"/>
      <c r="BG3056" s="1065"/>
    </row>
    <row r="3057" spans="4:59">
      <c r="D3057" s="1065"/>
      <c r="S3057" s="1065"/>
      <c r="BE3057" s="1065"/>
      <c r="BF3057" s="1065"/>
      <c r="BG3057" s="1065"/>
    </row>
    <row r="3058" spans="4:59">
      <c r="D3058" s="1065"/>
      <c r="S3058" s="1065"/>
      <c r="BE3058" s="1065"/>
      <c r="BF3058" s="1065"/>
      <c r="BG3058" s="1065"/>
    </row>
    <row r="3059" spans="4:59">
      <c r="D3059" s="1065"/>
      <c r="S3059" s="1065"/>
      <c r="BE3059" s="1065"/>
      <c r="BF3059" s="1065"/>
      <c r="BG3059" s="1065"/>
    </row>
    <row r="3060" spans="4:59">
      <c r="D3060" s="1065"/>
      <c r="S3060" s="1065"/>
      <c r="BE3060" s="1065"/>
      <c r="BF3060" s="1065"/>
      <c r="BG3060" s="1065"/>
    </row>
    <row r="3061" spans="4:59">
      <c r="D3061" s="1065"/>
      <c r="S3061" s="1065"/>
      <c r="BE3061" s="1065"/>
      <c r="BF3061" s="1065"/>
      <c r="BG3061" s="1065"/>
    </row>
    <row r="3062" spans="4:59">
      <c r="D3062" s="1065"/>
      <c r="S3062" s="1065"/>
      <c r="BE3062" s="1065"/>
      <c r="BF3062" s="1065"/>
      <c r="BG3062" s="1065"/>
    </row>
    <row r="3063" spans="4:59">
      <c r="D3063" s="1065"/>
      <c r="S3063" s="1065"/>
      <c r="BE3063" s="1065"/>
      <c r="BF3063" s="1065"/>
      <c r="BG3063" s="1065"/>
    </row>
    <row r="3064" spans="4:59">
      <c r="D3064" s="1065"/>
      <c r="S3064" s="1065"/>
      <c r="BE3064" s="1065"/>
      <c r="BF3064" s="1065"/>
      <c r="BG3064" s="1065"/>
    </row>
    <row r="3065" spans="4:59">
      <c r="D3065" s="1065"/>
      <c r="S3065" s="1065"/>
      <c r="BE3065" s="1065"/>
      <c r="BF3065" s="1065"/>
      <c r="BG3065" s="1065"/>
    </row>
    <row r="3066" spans="4:59">
      <c r="D3066" s="1065"/>
      <c r="S3066" s="1065"/>
      <c r="BE3066" s="1065"/>
      <c r="BF3066" s="1065"/>
      <c r="BG3066" s="1065"/>
    </row>
    <row r="3067" spans="4:59">
      <c r="D3067" s="1065"/>
      <c r="S3067" s="1065"/>
      <c r="BE3067" s="1065"/>
      <c r="BF3067" s="1065"/>
      <c r="BG3067" s="1065"/>
    </row>
    <row r="3068" spans="4:59">
      <c r="D3068" s="1065"/>
      <c r="S3068" s="1065"/>
      <c r="BE3068" s="1065"/>
      <c r="BF3068" s="1065"/>
      <c r="BG3068" s="1065"/>
    </row>
    <row r="3069" spans="4:59">
      <c r="D3069" s="1065"/>
      <c r="S3069" s="1065"/>
      <c r="BE3069" s="1065"/>
      <c r="BF3069" s="1065"/>
      <c r="BG3069" s="1065"/>
    </row>
    <row r="3070" spans="4:59">
      <c r="D3070" s="1065"/>
      <c r="S3070" s="1065"/>
      <c r="BE3070" s="1065"/>
      <c r="BF3070" s="1065"/>
      <c r="BG3070" s="1065"/>
    </row>
    <row r="3071" spans="4:59">
      <c r="D3071" s="1065"/>
      <c r="S3071" s="1065"/>
      <c r="BE3071" s="1065"/>
      <c r="BF3071" s="1065"/>
      <c r="BG3071" s="1065"/>
    </row>
    <row r="3072" spans="4:59">
      <c r="D3072" s="1065"/>
      <c r="S3072" s="1065"/>
      <c r="BE3072" s="1065"/>
      <c r="BF3072" s="1065"/>
      <c r="BG3072" s="1065"/>
    </row>
    <row r="3073" spans="4:59">
      <c r="D3073" s="1065"/>
      <c r="S3073" s="1065"/>
      <c r="BE3073" s="1065"/>
      <c r="BF3073" s="1065"/>
      <c r="BG3073" s="1065"/>
    </row>
    <row r="3074" spans="4:59">
      <c r="D3074" s="1065"/>
      <c r="S3074" s="1065"/>
      <c r="BE3074" s="1065"/>
      <c r="BF3074" s="1065"/>
      <c r="BG3074" s="1065"/>
    </row>
    <row r="3075" spans="4:59">
      <c r="D3075" s="1065"/>
      <c r="S3075" s="1065"/>
      <c r="BE3075" s="1065"/>
      <c r="BF3075" s="1065"/>
      <c r="BG3075" s="1065"/>
    </row>
    <row r="3076" spans="4:59">
      <c r="D3076" s="1065"/>
      <c r="S3076" s="1065"/>
      <c r="BE3076" s="1065"/>
      <c r="BF3076" s="1065"/>
      <c r="BG3076" s="1065"/>
    </row>
    <row r="3077" spans="4:59">
      <c r="D3077" s="1065"/>
      <c r="S3077" s="1065"/>
      <c r="BE3077" s="1065"/>
      <c r="BF3077" s="1065"/>
      <c r="BG3077" s="1065"/>
    </row>
    <row r="3078" spans="4:59">
      <c r="D3078" s="1065"/>
      <c r="S3078" s="1065"/>
      <c r="BE3078" s="1065"/>
      <c r="BF3078" s="1065"/>
      <c r="BG3078" s="1065"/>
    </row>
    <row r="3079" spans="4:59">
      <c r="D3079" s="1065"/>
      <c r="S3079" s="1065"/>
      <c r="BE3079" s="1065"/>
      <c r="BF3079" s="1065"/>
      <c r="BG3079" s="1065"/>
    </row>
    <row r="3080" spans="4:59">
      <c r="D3080" s="1065"/>
      <c r="S3080" s="1065"/>
      <c r="BE3080" s="1065"/>
      <c r="BF3080" s="1065"/>
      <c r="BG3080" s="1065"/>
    </row>
    <row r="3081" spans="4:59">
      <c r="D3081" s="1065"/>
      <c r="S3081" s="1065"/>
      <c r="BE3081" s="1065"/>
      <c r="BF3081" s="1065"/>
      <c r="BG3081" s="1065"/>
    </row>
    <row r="3082" spans="4:59">
      <c r="D3082" s="1065"/>
      <c r="S3082" s="1065"/>
      <c r="BE3082" s="1065"/>
      <c r="BF3082" s="1065"/>
      <c r="BG3082" s="1065"/>
    </row>
    <row r="3083" spans="4:59">
      <c r="D3083" s="1065"/>
      <c r="S3083" s="1065"/>
      <c r="BE3083" s="1065"/>
      <c r="BF3083" s="1065"/>
      <c r="BG3083" s="1065"/>
    </row>
    <row r="3084" spans="4:59">
      <c r="D3084" s="1065"/>
      <c r="S3084" s="1065"/>
      <c r="BE3084" s="1065"/>
      <c r="BF3084" s="1065"/>
      <c r="BG3084" s="1065"/>
    </row>
    <row r="3085" spans="4:59">
      <c r="D3085" s="1065"/>
      <c r="S3085" s="1065"/>
      <c r="BE3085" s="1065"/>
      <c r="BF3085" s="1065"/>
      <c r="BG3085" s="1065"/>
    </row>
    <row r="3086" spans="4:59">
      <c r="D3086" s="1065"/>
      <c r="S3086" s="1065"/>
      <c r="BE3086" s="1065"/>
      <c r="BF3086" s="1065"/>
      <c r="BG3086" s="1065"/>
    </row>
    <row r="3087" spans="4:59">
      <c r="D3087" s="1065"/>
      <c r="S3087" s="1065"/>
      <c r="BE3087" s="1065"/>
      <c r="BF3087" s="1065"/>
      <c r="BG3087" s="1065"/>
    </row>
    <row r="3088" spans="4:59">
      <c r="D3088" s="1065"/>
      <c r="S3088" s="1065"/>
      <c r="BE3088" s="1065"/>
      <c r="BF3088" s="1065"/>
      <c r="BG3088" s="1065"/>
    </row>
    <row r="3089" spans="4:59">
      <c r="D3089" s="1065"/>
      <c r="S3089" s="1065"/>
      <c r="BE3089" s="1065"/>
      <c r="BF3089" s="1065"/>
      <c r="BG3089" s="1065"/>
    </row>
    <row r="3090" spans="4:59">
      <c r="D3090" s="1065"/>
      <c r="S3090" s="1065"/>
      <c r="BE3090" s="1065"/>
      <c r="BF3090" s="1065"/>
      <c r="BG3090" s="1065"/>
    </row>
    <row r="3091" spans="4:59">
      <c r="D3091" s="1065"/>
      <c r="S3091" s="1065"/>
      <c r="BE3091" s="1065"/>
      <c r="BF3091" s="1065"/>
      <c r="BG3091" s="1065"/>
    </row>
    <row r="3092" spans="4:59">
      <c r="D3092" s="1065"/>
      <c r="S3092" s="1065"/>
      <c r="BE3092" s="1065"/>
      <c r="BF3092" s="1065"/>
      <c r="BG3092" s="1065"/>
    </row>
    <row r="3093" spans="4:59">
      <c r="D3093" s="1065"/>
      <c r="S3093" s="1065"/>
      <c r="BE3093" s="1065"/>
      <c r="BF3093" s="1065"/>
      <c r="BG3093" s="1065"/>
    </row>
    <row r="3094" spans="4:59">
      <c r="D3094" s="1065"/>
      <c r="S3094" s="1065"/>
      <c r="BE3094" s="1065"/>
      <c r="BF3094" s="1065"/>
      <c r="BG3094" s="1065"/>
    </row>
    <row r="3095" spans="4:59">
      <c r="D3095" s="1065"/>
      <c r="S3095" s="1065"/>
      <c r="BE3095" s="1065"/>
      <c r="BF3095" s="1065"/>
      <c r="BG3095" s="1065"/>
    </row>
    <row r="3096" spans="4:59">
      <c r="D3096" s="1065"/>
      <c r="S3096" s="1065"/>
      <c r="BE3096" s="1065"/>
      <c r="BF3096" s="1065"/>
      <c r="BG3096" s="1065"/>
    </row>
    <row r="3097" spans="4:59">
      <c r="D3097" s="1065"/>
      <c r="S3097" s="1065"/>
      <c r="BE3097" s="1065"/>
      <c r="BF3097" s="1065"/>
      <c r="BG3097" s="1065"/>
    </row>
    <row r="3098" spans="4:59">
      <c r="D3098" s="1065"/>
      <c r="S3098" s="1065"/>
      <c r="BE3098" s="1065"/>
      <c r="BF3098" s="1065"/>
      <c r="BG3098" s="1065"/>
    </row>
    <row r="3099" spans="4:59">
      <c r="D3099" s="1065"/>
      <c r="S3099" s="1065"/>
      <c r="BE3099" s="1065"/>
      <c r="BF3099" s="1065"/>
      <c r="BG3099" s="1065"/>
    </row>
    <row r="3109" spans="4:59">
      <c r="D3109" s="1065"/>
      <c r="S3109" s="1065"/>
      <c r="BE3109" s="1065"/>
      <c r="BF3109" s="1065"/>
      <c r="BG3109" s="1065"/>
    </row>
    <row r="3110" spans="4:59">
      <c r="D3110" s="1065"/>
      <c r="S3110" s="1065"/>
      <c r="BE3110" s="1065"/>
      <c r="BF3110" s="1065"/>
      <c r="BG3110" s="1065"/>
    </row>
    <row r="3111" spans="4:59">
      <c r="D3111" s="1065"/>
      <c r="S3111" s="1065"/>
      <c r="BE3111" s="1065"/>
      <c r="BF3111" s="1065"/>
      <c r="BG3111" s="1065"/>
    </row>
    <row r="3112" spans="4:59">
      <c r="D3112" s="1065"/>
      <c r="S3112" s="1065"/>
      <c r="BE3112" s="1065"/>
      <c r="BF3112" s="1065"/>
      <c r="BG3112" s="1065"/>
    </row>
    <row r="3113" spans="4:59">
      <c r="D3113" s="1065"/>
      <c r="S3113" s="1065"/>
      <c r="BE3113" s="1065"/>
      <c r="BF3113" s="1065"/>
      <c r="BG3113" s="1065"/>
    </row>
    <row r="3114" spans="4:59">
      <c r="D3114" s="1065"/>
      <c r="S3114" s="1065"/>
      <c r="BE3114" s="1065"/>
      <c r="BF3114" s="1065"/>
      <c r="BG3114" s="1065"/>
    </row>
    <row r="3115" spans="4:59">
      <c r="D3115" s="1065"/>
      <c r="S3115" s="1065"/>
      <c r="BE3115" s="1065"/>
      <c r="BF3115" s="1065"/>
      <c r="BG3115" s="1065"/>
    </row>
    <row r="3116" spans="4:59">
      <c r="D3116" s="1065"/>
      <c r="S3116" s="1065"/>
      <c r="BE3116" s="1065"/>
      <c r="BF3116" s="1065"/>
      <c r="BG3116" s="1065"/>
    </row>
    <row r="3117" spans="4:59">
      <c r="D3117" s="1065"/>
      <c r="S3117" s="1065"/>
      <c r="BE3117" s="1065"/>
      <c r="BF3117" s="1065"/>
      <c r="BG3117" s="1065"/>
    </row>
    <row r="3118" spans="4:59">
      <c r="D3118" s="1065"/>
      <c r="S3118" s="1065"/>
      <c r="BE3118" s="1065"/>
      <c r="BF3118" s="1065"/>
      <c r="BG3118" s="1065"/>
    </row>
    <row r="3119" spans="4:59">
      <c r="D3119" s="1065"/>
      <c r="S3119" s="1065"/>
      <c r="BE3119" s="1065"/>
      <c r="BF3119" s="1065"/>
      <c r="BG3119" s="1065"/>
    </row>
    <row r="3120" spans="4:59">
      <c r="D3120" s="1065"/>
      <c r="S3120" s="1065"/>
      <c r="BE3120" s="1065"/>
      <c r="BF3120" s="1065"/>
      <c r="BG3120" s="1065"/>
    </row>
    <row r="3121" spans="4:59">
      <c r="D3121" s="1065"/>
      <c r="S3121" s="1065"/>
      <c r="BE3121" s="1065"/>
      <c r="BF3121" s="1065"/>
      <c r="BG3121" s="1065"/>
    </row>
    <row r="3122" spans="4:59">
      <c r="D3122" s="1065"/>
      <c r="S3122" s="1065"/>
      <c r="BE3122" s="1065"/>
      <c r="BF3122" s="1065"/>
      <c r="BG3122" s="1065"/>
    </row>
    <row r="3123" spans="4:59">
      <c r="D3123" s="1065"/>
      <c r="S3123" s="1065"/>
      <c r="BE3123" s="1065"/>
      <c r="BF3123" s="1065"/>
      <c r="BG3123" s="1065"/>
    </row>
    <row r="3124" spans="4:59">
      <c r="D3124" s="1065"/>
      <c r="S3124" s="1065"/>
      <c r="BE3124" s="1065"/>
      <c r="BF3124" s="1065"/>
      <c r="BG3124" s="1065"/>
    </row>
    <row r="3125" spans="4:59">
      <c r="D3125" s="1065"/>
      <c r="S3125" s="1065"/>
      <c r="BE3125" s="1065"/>
      <c r="BF3125" s="1065"/>
      <c r="BG3125" s="1065"/>
    </row>
    <row r="3126" spans="4:59">
      <c r="D3126" s="1065"/>
      <c r="S3126" s="1065"/>
      <c r="BE3126" s="1065"/>
      <c r="BF3126" s="1065"/>
      <c r="BG3126" s="1065"/>
    </row>
    <row r="3127" spans="4:59">
      <c r="D3127" s="1065"/>
      <c r="S3127" s="1065"/>
      <c r="BE3127" s="1065"/>
      <c r="BF3127" s="1065"/>
      <c r="BG3127" s="1065"/>
    </row>
    <row r="3128" spans="4:59">
      <c r="D3128" s="1065"/>
      <c r="S3128" s="1065"/>
      <c r="BE3128" s="1065"/>
      <c r="BF3128" s="1065"/>
      <c r="BG3128" s="1065"/>
    </row>
    <row r="3129" spans="4:59">
      <c r="D3129" s="1065"/>
      <c r="S3129" s="1065"/>
      <c r="BE3129" s="1065"/>
      <c r="BF3129" s="1065"/>
      <c r="BG3129" s="1065"/>
    </row>
    <row r="3131" spans="4:59">
      <c r="D3131" s="1065"/>
      <c r="S3131" s="1065"/>
      <c r="BE3131" s="1065"/>
      <c r="BF3131" s="1065"/>
      <c r="BG3131" s="1065"/>
    </row>
    <row r="3132" spans="4:59">
      <c r="D3132" s="1065"/>
      <c r="S3132" s="1065"/>
      <c r="BE3132" s="1065"/>
      <c r="BF3132" s="1065"/>
      <c r="BG3132" s="1065"/>
    </row>
    <row r="3133" spans="4:59">
      <c r="D3133" s="1065"/>
      <c r="S3133" s="1065"/>
      <c r="BE3133" s="1065"/>
      <c r="BF3133" s="1065"/>
      <c r="BG3133" s="1065"/>
    </row>
    <row r="3135" spans="4:59">
      <c r="D3135" s="1065"/>
      <c r="S3135" s="1065"/>
      <c r="BE3135" s="1065"/>
      <c r="BF3135" s="1065"/>
      <c r="BG3135" s="1065"/>
    </row>
    <row r="3136" spans="4:59">
      <c r="D3136" s="1065"/>
      <c r="S3136" s="1065"/>
      <c r="BE3136" s="1065"/>
      <c r="BF3136" s="1065"/>
      <c r="BG3136" s="1065"/>
    </row>
    <row r="3137" spans="4:59">
      <c r="D3137" s="1065"/>
      <c r="S3137" s="1065"/>
      <c r="BE3137" s="1065"/>
      <c r="BF3137" s="1065"/>
      <c r="BG3137" s="1065"/>
    </row>
    <row r="3138" spans="4:59">
      <c r="D3138" s="1065"/>
      <c r="S3138" s="1065"/>
      <c r="BE3138" s="1065"/>
      <c r="BF3138" s="1065"/>
      <c r="BG3138" s="1065"/>
    </row>
    <row r="3139" spans="4:59">
      <c r="D3139" s="1065"/>
      <c r="S3139" s="1065"/>
      <c r="BE3139" s="1065"/>
      <c r="BF3139" s="1065"/>
      <c r="BG3139" s="1065"/>
    </row>
    <row r="3140" spans="4:59">
      <c r="D3140" s="1065"/>
      <c r="S3140" s="1065"/>
      <c r="BE3140" s="1065"/>
      <c r="BF3140" s="1065"/>
      <c r="BG3140" s="1065"/>
    </row>
    <row r="3141" spans="4:59">
      <c r="D3141" s="1065"/>
      <c r="S3141" s="1065"/>
      <c r="BE3141" s="1065"/>
      <c r="BF3141" s="1065"/>
      <c r="BG3141" s="1065"/>
    </row>
    <row r="3142" spans="4:59">
      <c r="D3142" s="1065"/>
      <c r="S3142" s="1065"/>
      <c r="BE3142" s="1065"/>
      <c r="BF3142" s="1065"/>
      <c r="BG3142" s="1065"/>
    </row>
    <row r="3143" spans="4:59">
      <c r="D3143" s="1065"/>
      <c r="S3143" s="1065"/>
      <c r="BE3143" s="1065"/>
      <c r="BF3143" s="1065"/>
      <c r="BG3143" s="1065"/>
    </row>
    <row r="3144" spans="4:59">
      <c r="D3144" s="1065"/>
      <c r="S3144" s="1065"/>
      <c r="BE3144" s="1065"/>
      <c r="BF3144" s="1065"/>
      <c r="BG3144" s="1065"/>
    </row>
    <row r="3145" spans="4:59">
      <c r="D3145" s="1065"/>
      <c r="S3145" s="1065"/>
      <c r="BE3145" s="1065"/>
      <c r="BF3145" s="1065"/>
      <c r="BG3145" s="1065"/>
    </row>
    <row r="3146" spans="4:59">
      <c r="D3146" s="1065"/>
      <c r="S3146" s="1065"/>
      <c r="BE3146" s="1065"/>
      <c r="BF3146" s="1065"/>
      <c r="BG3146" s="1065"/>
    </row>
    <row r="3147" spans="4:59">
      <c r="D3147" s="1065"/>
      <c r="S3147" s="1065"/>
      <c r="BE3147" s="1065"/>
      <c r="BF3147" s="1065"/>
      <c r="BG3147" s="1065"/>
    </row>
    <row r="3148" spans="4:59">
      <c r="D3148" s="1065"/>
      <c r="S3148" s="1065"/>
      <c r="BE3148" s="1065"/>
      <c r="BF3148" s="1065"/>
      <c r="BG3148" s="1065"/>
    </row>
    <row r="3149" spans="4:59">
      <c r="D3149" s="1065"/>
      <c r="S3149" s="1065"/>
      <c r="BE3149" s="1065"/>
      <c r="BF3149" s="1065"/>
      <c r="BG3149" s="1065"/>
    </row>
    <row r="3150" spans="4:59">
      <c r="D3150" s="1065"/>
      <c r="S3150" s="1065"/>
      <c r="BE3150" s="1065"/>
      <c r="BF3150" s="1065"/>
      <c r="BG3150" s="1065"/>
    </row>
    <row r="3151" spans="4:59">
      <c r="D3151" s="1065"/>
      <c r="S3151" s="1065"/>
      <c r="BE3151" s="1065"/>
      <c r="BF3151" s="1065"/>
      <c r="BG3151" s="1065"/>
    </row>
    <row r="3152" spans="4:59">
      <c r="D3152" s="1065"/>
      <c r="S3152" s="1065"/>
      <c r="BE3152" s="1065"/>
      <c r="BF3152" s="1065"/>
      <c r="BG3152" s="1065"/>
    </row>
    <row r="3153" spans="4:59">
      <c r="D3153" s="1065"/>
      <c r="S3153" s="1065"/>
      <c r="BE3153" s="1065"/>
      <c r="BF3153" s="1065"/>
      <c r="BG3153" s="1065"/>
    </row>
    <row r="3154" spans="4:59">
      <c r="D3154" s="1065"/>
      <c r="S3154" s="1065"/>
      <c r="BE3154" s="1065"/>
      <c r="BF3154" s="1065"/>
      <c r="BG3154" s="1065"/>
    </row>
    <row r="3155" spans="4:59">
      <c r="D3155" s="1065"/>
      <c r="S3155" s="1065"/>
      <c r="BE3155" s="1065"/>
      <c r="BF3155" s="1065"/>
      <c r="BG3155" s="1065"/>
    </row>
    <row r="3156" spans="4:59">
      <c r="D3156" s="1065"/>
      <c r="S3156" s="1065"/>
      <c r="BE3156" s="1065"/>
      <c r="BF3156" s="1065"/>
      <c r="BG3156" s="1065"/>
    </row>
    <row r="3157" spans="4:59">
      <c r="D3157" s="1065"/>
      <c r="S3157" s="1065"/>
      <c r="BE3157" s="1065"/>
      <c r="BF3157" s="1065"/>
      <c r="BG3157" s="1065"/>
    </row>
    <row r="3158" spans="4:59">
      <c r="D3158" s="1065"/>
      <c r="S3158" s="1065"/>
      <c r="BE3158" s="1065"/>
      <c r="BF3158" s="1065"/>
      <c r="BG3158" s="1065"/>
    </row>
    <row r="3159" spans="4:59">
      <c r="D3159" s="1065"/>
      <c r="S3159" s="1065"/>
      <c r="BE3159" s="1065"/>
      <c r="BF3159" s="1065"/>
      <c r="BG3159" s="1065"/>
    </row>
    <row r="3160" spans="4:59">
      <c r="D3160" s="1065"/>
      <c r="S3160" s="1065"/>
      <c r="BE3160" s="1065"/>
      <c r="BF3160" s="1065"/>
      <c r="BG3160" s="1065"/>
    </row>
    <row r="3161" spans="4:59">
      <c r="D3161" s="1065"/>
      <c r="S3161" s="1065"/>
      <c r="BE3161" s="1065"/>
      <c r="BF3161" s="1065"/>
      <c r="BG3161" s="1065"/>
    </row>
    <row r="3162" spans="4:59">
      <c r="D3162" s="1065"/>
      <c r="S3162" s="1065"/>
      <c r="BE3162" s="1065"/>
      <c r="BF3162" s="1065"/>
      <c r="BG3162" s="1065"/>
    </row>
    <row r="3163" spans="4:59">
      <c r="D3163" s="1065"/>
      <c r="S3163" s="1065"/>
      <c r="BE3163" s="1065"/>
      <c r="BF3163" s="1065"/>
      <c r="BG3163" s="1065"/>
    </row>
    <row r="3164" spans="4:59">
      <c r="D3164" s="1065"/>
      <c r="S3164" s="1065"/>
      <c r="BE3164" s="1065"/>
      <c r="BF3164" s="1065"/>
      <c r="BG3164" s="1065"/>
    </row>
    <row r="3165" spans="4:59">
      <c r="D3165" s="1065"/>
      <c r="S3165" s="1065"/>
      <c r="BE3165" s="1065"/>
      <c r="BF3165" s="1065"/>
      <c r="BG3165" s="1065"/>
    </row>
    <row r="3166" spans="4:59">
      <c r="D3166" s="1065"/>
      <c r="S3166" s="1065"/>
      <c r="BE3166" s="1065"/>
      <c r="BF3166" s="1065"/>
      <c r="BG3166" s="1065"/>
    </row>
    <row r="3167" spans="4:59">
      <c r="D3167" s="1065"/>
      <c r="S3167" s="1065"/>
      <c r="BE3167" s="1065"/>
      <c r="BF3167" s="1065"/>
      <c r="BG3167" s="1065"/>
    </row>
    <row r="3168" spans="4:59">
      <c r="D3168" s="1065"/>
      <c r="S3168" s="1065"/>
      <c r="BE3168" s="1065"/>
      <c r="BF3168" s="1065"/>
      <c r="BG3168" s="1065"/>
    </row>
    <row r="3169" spans="4:59">
      <c r="D3169" s="1065"/>
      <c r="S3169" s="1065"/>
      <c r="BE3169" s="1065"/>
      <c r="BF3169" s="1065"/>
      <c r="BG3169" s="1065"/>
    </row>
    <row r="3170" spans="4:59">
      <c r="D3170" s="1065"/>
      <c r="S3170" s="1065"/>
      <c r="BE3170" s="1065"/>
      <c r="BF3170" s="1065"/>
      <c r="BG3170" s="1065"/>
    </row>
    <row r="3171" spans="4:59">
      <c r="D3171" s="1065"/>
      <c r="S3171" s="1065"/>
      <c r="BE3171" s="1065"/>
      <c r="BF3171" s="1065"/>
      <c r="BG3171" s="1065"/>
    </row>
    <row r="3172" spans="4:59">
      <c r="D3172" s="1065"/>
      <c r="S3172" s="1065"/>
      <c r="BE3172" s="1065"/>
      <c r="BF3172" s="1065"/>
      <c r="BG3172" s="1065"/>
    </row>
    <row r="3173" spans="4:59">
      <c r="D3173" s="1065"/>
      <c r="S3173" s="1065"/>
      <c r="BE3173" s="1065"/>
      <c r="BF3173" s="1065"/>
      <c r="BG3173" s="1065"/>
    </row>
    <row r="3174" spans="4:59">
      <c r="D3174" s="1065"/>
      <c r="S3174" s="1065"/>
      <c r="BE3174" s="1065"/>
      <c r="BF3174" s="1065"/>
      <c r="BG3174" s="1065"/>
    </row>
    <row r="3175" spans="4:59">
      <c r="D3175" s="1065"/>
      <c r="S3175" s="1065"/>
      <c r="BE3175" s="1065"/>
      <c r="BF3175" s="1065"/>
      <c r="BG3175" s="1065"/>
    </row>
    <row r="3176" spans="4:59">
      <c r="D3176" s="1065"/>
      <c r="S3176" s="1065"/>
      <c r="BE3176" s="1065"/>
      <c r="BF3176" s="1065"/>
      <c r="BG3176" s="1065"/>
    </row>
    <row r="3177" spans="4:59">
      <c r="D3177" s="1065"/>
      <c r="S3177" s="1065"/>
      <c r="BE3177" s="1065"/>
      <c r="BF3177" s="1065"/>
      <c r="BG3177" s="1065"/>
    </row>
    <row r="3178" spans="4:59">
      <c r="D3178" s="1065"/>
      <c r="S3178" s="1065"/>
      <c r="BE3178" s="1065"/>
      <c r="BF3178" s="1065"/>
      <c r="BG3178" s="1065"/>
    </row>
    <row r="3179" spans="4:59">
      <c r="D3179" s="1065"/>
      <c r="S3179" s="1065"/>
      <c r="BE3179" s="1065"/>
      <c r="BF3179" s="1065"/>
      <c r="BG3179" s="1065"/>
    </row>
    <row r="3180" spans="4:59">
      <c r="D3180" s="1065"/>
      <c r="S3180" s="1065"/>
      <c r="BE3180" s="1065"/>
      <c r="BF3180" s="1065"/>
      <c r="BG3180" s="1065"/>
    </row>
    <row r="3181" spans="4:59">
      <c r="D3181" s="1065"/>
      <c r="S3181" s="1065"/>
      <c r="BE3181" s="1065"/>
      <c r="BF3181" s="1065"/>
      <c r="BG3181" s="1065"/>
    </row>
    <row r="3182" spans="4:59">
      <c r="D3182" s="1065"/>
      <c r="S3182" s="1065"/>
      <c r="BE3182" s="1065"/>
      <c r="BF3182" s="1065"/>
      <c r="BG3182" s="1065"/>
    </row>
    <row r="3183" spans="4:59">
      <c r="D3183" s="1065"/>
      <c r="S3183" s="1065"/>
      <c r="BE3183" s="1065"/>
      <c r="BF3183" s="1065"/>
      <c r="BG3183" s="1065"/>
    </row>
    <row r="3184" spans="4:59">
      <c r="D3184" s="1065"/>
      <c r="S3184" s="1065"/>
      <c r="BE3184" s="1065"/>
      <c r="BF3184" s="1065"/>
      <c r="BG3184" s="1065"/>
    </row>
    <row r="3185" spans="4:59">
      <c r="D3185" s="1065"/>
      <c r="S3185" s="1065"/>
      <c r="BE3185" s="1065"/>
      <c r="BF3185" s="1065"/>
      <c r="BG3185" s="1065"/>
    </row>
    <row r="3186" spans="4:59">
      <c r="D3186" s="1065"/>
      <c r="S3186" s="1065"/>
      <c r="BE3186" s="1065"/>
      <c r="BF3186" s="1065"/>
      <c r="BG3186" s="1065"/>
    </row>
    <row r="3187" spans="4:59">
      <c r="D3187" s="1065"/>
      <c r="S3187" s="1065"/>
      <c r="BE3187" s="1065"/>
      <c r="BF3187" s="1065"/>
      <c r="BG3187" s="1065"/>
    </row>
    <row r="3188" spans="4:59">
      <c r="D3188" s="1065"/>
      <c r="S3188" s="1065"/>
      <c r="BE3188" s="1065"/>
      <c r="BF3188" s="1065"/>
      <c r="BG3188" s="1065"/>
    </row>
    <row r="3189" spans="4:59">
      <c r="D3189" s="1065"/>
      <c r="S3189" s="1065"/>
      <c r="BE3189" s="1065"/>
      <c r="BF3189" s="1065"/>
      <c r="BG3189" s="1065"/>
    </row>
    <row r="3190" spans="4:59">
      <c r="D3190" s="1065"/>
      <c r="S3190" s="1065"/>
      <c r="BE3190" s="1065"/>
      <c r="BF3190" s="1065"/>
      <c r="BG3190" s="1065"/>
    </row>
    <row r="3191" spans="4:59">
      <c r="D3191" s="1065"/>
      <c r="S3191" s="1065"/>
      <c r="BE3191" s="1065"/>
      <c r="BF3191" s="1065"/>
      <c r="BG3191" s="1065"/>
    </row>
    <row r="3192" spans="4:59">
      <c r="D3192" s="1065"/>
      <c r="S3192" s="1065"/>
      <c r="BE3192" s="1065"/>
      <c r="BF3192" s="1065"/>
      <c r="BG3192" s="1065"/>
    </row>
    <row r="3193" spans="4:59">
      <c r="D3193" s="1065"/>
      <c r="S3193" s="1065"/>
      <c r="BE3193" s="1065"/>
      <c r="BF3193" s="1065"/>
      <c r="BG3193" s="1065"/>
    </row>
    <row r="3194" spans="4:59">
      <c r="D3194" s="1065"/>
      <c r="S3194" s="1065"/>
      <c r="BE3194" s="1065"/>
      <c r="BF3194" s="1065"/>
      <c r="BG3194" s="1065"/>
    </row>
    <row r="3195" spans="4:59">
      <c r="D3195" s="1065"/>
      <c r="S3195" s="1065"/>
      <c r="BE3195" s="1065"/>
      <c r="BF3195" s="1065"/>
      <c r="BG3195" s="1065"/>
    </row>
    <row r="3196" spans="4:59">
      <c r="D3196" s="1065"/>
      <c r="S3196" s="1065"/>
      <c r="BE3196" s="1065"/>
      <c r="BF3196" s="1065"/>
      <c r="BG3196" s="1065"/>
    </row>
    <row r="3197" spans="4:59">
      <c r="D3197" s="1065"/>
      <c r="S3197" s="1065"/>
      <c r="BE3197" s="1065"/>
      <c r="BF3197" s="1065"/>
      <c r="BG3197" s="1065"/>
    </row>
    <row r="3198" spans="4:59">
      <c r="D3198" s="1065"/>
      <c r="S3198" s="1065"/>
      <c r="BE3198" s="1065"/>
      <c r="BF3198" s="1065"/>
      <c r="BG3198" s="1065"/>
    </row>
    <row r="3199" spans="4:59">
      <c r="D3199" s="1065"/>
      <c r="S3199" s="1065"/>
      <c r="BE3199" s="1065"/>
      <c r="BF3199" s="1065"/>
      <c r="BG3199" s="1065"/>
    </row>
    <row r="3200" spans="4:59">
      <c r="D3200" s="1065"/>
      <c r="S3200" s="1065"/>
      <c r="BE3200" s="1065"/>
      <c r="BF3200" s="1065"/>
      <c r="BG3200" s="1065"/>
    </row>
    <row r="3201" spans="4:59">
      <c r="D3201" s="1065"/>
      <c r="S3201" s="1065"/>
      <c r="BE3201" s="1065"/>
      <c r="BF3201" s="1065"/>
      <c r="BG3201" s="1065"/>
    </row>
    <row r="3202" spans="4:59">
      <c r="D3202" s="1065"/>
      <c r="S3202" s="1065"/>
      <c r="BE3202" s="1065"/>
      <c r="BF3202" s="1065"/>
      <c r="BG3202" s="1065"/>
    </row>
    <row r="3203" spans="4:59">
      <c r="D3203" s="1065"/>
      <c r="S3203" s="1065"/>
      <c r="BE3203" s="1065"/>
      <c r="BF3203" s="1065"/>
      <c r="BG3203" s="1065"/>
    </row>
    <row r="3204" spans="4:59">
      <c r="D3204" s="1065"/>
      <c r="S3204" s="1065"/>
      <c r="BE3204" s="1065"/>
      <c r="BF3204" s="1065"/>
      <c r="BG3204" s="1065"/>
    </row>
    <row r="3205" spans="4:59">
      <c r="D3205" s="1065"/>
      <c r="S3205" s="1065"/>
      <c r="BE3205" s="1065"/>
      <c r="BF3205" s="1065"/>
      <c r="BG3205" s="1065"/>
    </row>
    <row r="3206" spans="4:59">
      <c r="D3206" s="1065"/>
      <c r="S3206" s="1065"/>
      <c r="BE3206" s="1065"/>
      <c r="BF3206" s="1065"/>
      <c r="BG3206" s="1065"/>
    </row>
    <row r="3207" spans="4:59">
      <c r="D3207" s="1065"/>
      <c r="S3207" s="1065"/>
      <c r="BE3207" s="1065"/>
      <c r="BF3207" s="1065"/>
      <c r="BG3207" s="1065"/>
    </row>
    <row r="3208" spans="4:59">
      <c r="D3208" s="1065"/>
      <c r="S3208" s="1065"/>
      <c r="BE3208" s="1065"/>
      <c r="BF3208" s="1065"/>
      <c r="BG3208" s="1065"/>
    </row>
    <row r="3209" spans="4:59">
      <c r="D3209" s="1065"/>
      <c r="S3209" s="1065"/>
      <c r="BE3209" s="1065"/>
      <c r="BF3209" s="1065"/>
      <c r="BG3209" s="1065"/>
    </row>
    <row r="3210" spans="4:59">
      <c r="D3210" s="1065"/>
      <c r="S3210" s="1065"/>
      <c r="BE3210" s="1065"/>
      <c r="BF3210" s="1065"/>
      <c r="BG3210" s="1065"/>
    </row>
    <row r="3211" spans="4:59">
      <c r="D3211" s="1065"/>
      <c r="S3211" s="1065"/>
      <c r="BE3211" s="1065"/>
      <c r="BF3211" s="1065"/>
      <c r="BG3211" s="1065"/>
    </row>
    <row r="3212" spans="4:59">
      <c r="D3212" s="1065"/>
      <c r="S3212" s="1065"/>
      <c r="BE3212" s="1065"/>
      <c r="BF3212" s="1065"/>
      <c r="BG3212" s="1065"/>
    </row>
    <row r="3213" spans="4:59">
      <c r="D3213" s="1065"/>
      <c r="S3213" s="1065"/>
      <c r="BE3213" s="1065"/>
      <c r="BF3213" s="1065"/>
      <c r="BG3213" s="1065"/>
    </row>
    <row r="3214" spans="4:59">
      <c r="D3214" s="1065"/>
      <c r="S3214" s="1065"/>
      <c r="BE3214" s="1065"/>
      <c r="BF3214" s="1065"/>
      <c r="BG3214" s="1065"/>
    </row>
    <row r="3215" spans="4:59">
      <c r="D3215" s="1065"/>
      <c r="S3215" s="1065"/>
      <c r="BE3215" s="1065"/>
      <c r="BF3215" s="1065"/>
      <c r="BG3215" s="1065"/>
    </row>
    <row r="3216" spans="4:59">
      <c r="D3216" s="1065"/>
      <c r="S3216" s="1065"/>
      <c r="BE3216" s="1065"/>
      <c r="BF3216" s="1065"/>
      <c r="BG3216" s="1065"/>
    </row>
    <row r="3217" spans="4:59">
      <c r="D3217" s="1065"/>
      <c r="S3217" s="1065"/>
      <c r="BE3217" s="1065"/>
      <c r="BF3217" s="1065"/>
      <c r="BG3217" s="1065"/>
    </row>
    <row r="3218" spans="4:59">
      <c r="D3218" s="1065"/>
      <c r="S3218" s="1065"/>
      <c r="BE3218" s="1065"/>
      <c r="BF3218" s="1065"/>
      <c r="BG3218" s="1065"/>
    </row>
    <row r="3219" spans="4:59">
      <c r="D3219" s="1065"/>
      <c r="S3219" s="1065"/>
      <c r="BE3219" s="1065"/>
      <c r="BF3219" s="1065"/>
      <c r="BG3219" s="1065"/>
    </row>
    <row r="3220" spans="4:59">
      <c r="D3220" s="1065"/>
      <c r="S3220" s="1065"/>
      <c r="BE3220" s="1065"/>
      <c r="BF3220" s="1065"/>
      <c r="BG3220" s="1065"/>
    </row>
    <row r="3221" spans="4:59">
      <c r="D3221" s="1065"/>
      <c r="S3221" s="1065"/>
      <c r="BE3221" s="1065"/>
      <c r="BF3221" s="1065"/>
      <c r="BG3221" s="1065"/>
    </row>
    <row r="3222" spans="4:59">
      <c r="D3222" s="1065"/>
      <c r="S3222" s="1065"/>
      <c r="BE3222" s="1065"/>
      <c r="BF3222" s="1065"/>
      <c r="BG3222" s="1065"/>
    </row>
    <row r="3223" spans="4:59">
      <c r="D3223" s="1065"/>
      <c r="S3223" s="1065"/>
      <c r="BE3223" s="1065"/>
      <c r="BF3223" s="1065"/>
      <c r="BG3223" s="1065"/>
    </row>
    <row r="3224" spans="4:59">
      <c r="D3224" s="1065"/>
      <c r="S3224" s="1065"/>
      <c r="BE3224" s="1065"/>
      <c r="BF3224" s="1065"/>
      <c r="BG3224" s="1065"/>
    </row>
    <row r="3225" spans="4:59">
      <c r="D3225" s="1065"/>
      <c r="S3225" s="1065"/>
      <c r="BE3225" s="1065"/>
      <c r="BF3225" s="1065"/>
      <c r="BG3225" s="1065"/>
    </row>
    <row r="3226" spans="4:59">
      <c r="D3226" s="1065"/>
      <c r="S3226" s="1065"/>
      <c r="BE3226" s="1065"/>
      <c r="BF3226" s="1065"/>
      <c r="BG3226" s="1065"/>
    </row>
    <row r="3227" spans="4:59">
      <c r="D3227" s="1065"/>
      <c r="S3227" s="1065"/>
      <c r="BE3227" s="1065"/>
      <c r="BF3227" s="1065"/>
      <c r="BG3227" s="1065"/>
    </row>
    <row r="3228" spans="4:59">
      <c r="D3228" s="1065"/>
      <c r="S3228" s="1065"/>
      <c r="BE3228" s="1065"/>
      <c r="BF3228" s="1065"/>
      <c r="BG3228" s="1065"/>
    </row>
    <row r="3229" spans="4:59">
      <c r="D3229" s="1065"/>
      <c r="S3229" s="1065"/>
      <c r="BE3229" s="1065"/>
      <c r="BF3229" s="1065"/>
      <c r="BG3229" s="1065"/>
    </row>
    <row r="3230" spans="4:59">
      <c r="D3230" s="1065"/>
      <c r="S3230" s="1065"/>
      <c r="BE3230" s="1065"/>
      <c r="BF3230" s="1065"/>
      <c r="BG3230" s="1065"/>
    </row>
    <row r="3231" spans="4:59">
      <c r="D3231" s="1065"/>
      <c r="S3231" s="1065"/>
      <c r="BE3231" s="1065"/>
      <c r="BF3231" s="1065"/>
      <c r="BG3231" s="1065"/>
    </row>
    <row r="3232" spans="4:59">
      <c r="D3232" s="1065"/>
      <c r="S3232" s="1065"/>
      <c r="BE3232" s="1065"/>
      <c r="BF3232" s="1065"/>
      <c r="BG3232" s="1065"/>
    </row>
    <row r="3233" spans="4:59">
      <c r="D3233" s="1065"/>
      <c r="S3233" s="1065"/>
      <c r="BE3233" s="1065"/>
      <c r="BF3233" s="1065"/>
      <c r="BG3233" s="1065"/>
    </row>
    <row r="3234" spans="4:59">
      <c r="D3234" s="1065"/>
      <c r="S3234" s="1065"/>
      <c r="BE3234" s="1065"/>
      <c r="BF3234" s="1065"/>
      <c r="BG3234" s="1065"/>
    </row>
    <row r="3235" spans="4:59">
      <c r="D3235" s="1065"/>
      <c r="S3235" s="1065"/>
      <c r="BE3235" s="1065"/>
      <c r="BF3235" s="1065"/>
      <c r="BG3235" s="1065"/>
    </row>
    <row r="3236" spans="4:59">
      <c r="D3236" s="1065"/>
      <c r="S3236" s="1065"/>
      <c r="BE3236" s="1065"/>
      <c r="BF3236" s="1065"/>
      <c r="BG3236" s="1065"/>
    </row>
    <row r="3237" spans="4:59">
      <c r="D3237" s="1065"/>
      <c r="S3237" s="1065"/>
      <c r="BE3237" s="1065"/>
      <c r="BF3237" s="1065"/>
      <c r="BG3237" s="1065"/>
    </row>
    <row r="3238" spans="4:59">
      <c r="D3238" s="1065"/>
      <c r="S3238" s="1065"/>
      <c r="BE3238" s="1065"/>
      <c r="BF3238" s="1065"/>
      <c r="BG3238" s="1065"/>
    </row>
    <row r="3239" spans="4:59">
      <c r="D3239" s="1065"/>
      <c r="S3239" s="1065"/>
      <c r="BE3239" s="1065"/>
      <c r="BF3239" s="1065"/>
      <c r="BG3239" s="1065"/>
    </row>
    <row r="3240" spans="4:59">
      <c r="D3240" s="1065"/>
      <c r="S3240" s="1065"/>
      <c r="BE3240" s="1065"/>
      <c r="BF3240" s="1065"/>
      <c r="BG3240" s="1065"/>
    </row>
    <row r="3241" spans="4:59">
      <c r="D3241" s="1065"/>
      <c r="S3241" s="1065"/>
      <c r="BE3241" s="1065"/>
      <c r="BF3241" s="1065"/>
      <c r="BG3241" s="1065"/>
    </row>
    <row r="3242" spans="4:59">
      <c r="D3242" s="1065"/>
      <c r="S3242" s="1065"/>
      <c r="BE3242" s="1065"/>
      <c r="BF3242" s="1065"/>
      <c r="BG3242" s="1065"/>
    </row>
    <row r="3243" spans="4:59">
      <c r="D3243" s="1065"/>
      <c r="S3243" s="1065"/>
      <c r="BE3243" s="1065"/>
      <c r="BF3243" s="1065"/>
      <c r="BG3243" s="1065"/>
    </row>
    <row r="3244" spans="4:59">
      <c r="D3244" s="1065"/>
      <c r="S3244" s="1065"/>
      <c r="BE3244" s="1065"/>
      <c r="BF3244" s="1065"/>
      <c r="BG3244" s="1065"/>
    </row>
    <row r="3245" spans="4:59">
      <c r="D3245" s="1065"/>
      <c r="S3245" s="1065"/>
      <c r="BE3245" s="1065"/>
      <c r="BF3245" s="1065"/>
      <c r="BG3245" s="1065"/>
    </row>
    <row r="3246" spans="4:59">
      <c r="D3246" s="1065"/>
      <c r="S3246" s="1065"/>
      <c r="BE3246" s="1065"/>
      <c r="BF3246" s="1065"/>
      <c r="BG3246" s="1065"/>
    </row>
    <row r="3247" spans="4:59">
      <c r="D3247" s="1065"/>
      <c r="S3247" s="1065"/>
      <c r="BE3247" s="1065"/>
      <c r="BF3247" s="1065"/>
      <c r="BG3247" s="1065"/>
    </row>
    <row r="3248" spans="4:59">
      <c r="D3248" s="1065"/>
      <c r="S3248" s="1065"/>
      <c r="BE3248" s="1065"/>
      <c r="BF3248" s="1065"/>
      <c r="BG3248" s="1065"/>
    </row>
    <row r="3249" spans="4:59">
      <c r="D3249" s="1065"/>
      <c r="S3249" s="1065"/>
      <c r="BE3249" s="1065"/>
      <c r="BF3249" s="1065"/>
      <c r="BG3249" s="1065"/>
    </row>
    <row r="3250" spans="4:59">
      <c r="D3250" s="1065"/>
      <c r="S3250" s="1065"/>
      <c r="BE3250" s="1065"/>
      <c r="BF3250" s="1065"/>
      <c r="BG3250" s="1065"/>
    </row>
    <row r="3251" spans="4:59">
      <c r="D3251" s="1065"/>
      <c r="S3251" s="1065"/>
      <c r="BE3251" s="1065"/>
      <c r="BF3251" s="1065"/>
      <c r="BG3251" s="1065"/>
    </row>
    <row r="3252" spans="4:59">
      <c r="D3252" s="1065"/>
      <c r="S3252" s="1065"/>
      <c r="BE3252" s="1065"/>
      <c r="BF3252" s="1065"/>
      <c r="BG3252" s="1065"/>
    </row>
    <row r="3253" spans="4:59">
      <c r="D3253" s="1065"/>
      <c r="S3253" s="1065"/>
      <c r="BE3253" s="1065"/>
      <c r="BF3253" s="1065"/>
      <c r="BG3253" s="1065"/>
    </row>
    <row r="3254" spans="4:59">
      <c r="D3254" s="1065"/>
      <c r="S3254" s="1065"/>
      <c r="BE3254" s="1065"/>
      <c r="BF3254" s="1065"/>
      <c r="BG3254" s="1065"/>
    </row>
    <row r="3255" spans="4:59">
      <c r="D3255" s="1065"/>
      <c r="S3255" s="1065"/>
      <c r="BE3255" s="1065"/>
      <c r="BF3255" s="1065"/>
      <c r="BG3255" s="1065"/>
    </row>
    <row r="3256" spans="4:59">
      <c r="D3256" s="1065"/>
      <c r="S3256" s="1065"/>
      <c r="BE3256" s="1065"/>
      <c r="BF3256" s="1065"/>
      <c r="BG3256" s="1065"/>
    </row>
    <row r="3257" spans="4:59">
      <c r="D3257" s="1065"/>
      <c r="S3257" s="1065"/>
      <c r="BE3257" s="1065"/>
      <c r="BF3257" s="1065"/>
      <c r="BG3257" s="1065"/>
    </row>
    <row r="3258" spans="4:59">
      <c r="D3258" s="1065"/>
      <c r="S3258" s="1065"/>
      <c r="BE3258" s="1065"/>
      <c r="BF3258" s="1065"/>
      <c r="BG3258" s="1065"/>
    </row>
    <row r="3259" spans="4:59">
      <c r="D3259" s="1065"/>
      <c r="S3259" s="1065"/>
      <c r="BE3259" s="1065"/>
      <c r="BF3259" s="1065"/>
      <c r="BG3259" s="1065"/>
    </row>
    <row r="3260" spans="4:59">
      <c r="D3260" s="1065"/>
      <c r="S3260" s="1065"/>
      <c r="BE3260" s="1065"/>
      <c r="BF3260" s="1065"/>
      <c r="BG3260" s="1065"/>
    </row>
    <row r="3261" spans="4:59">
      <c r="D3261" s="1065"/>
      <c r="S3261" s="1065"/>
      <c r="BE3261" s="1065"/>
      <c r="BF3261" s="1065"/>
      <c r="BG3261" s="1065"/>
    </row>
    <row r="3262" spans="4:59">
      <c r="D3262" s="1065"/>
      <c r="S3262" s="1065"/>
      <c r="BE3262" s="1065"/>
      <c r="BF3262" s="1065"/>
      <c r="BG3262" s="1065"/>
    </row>
    <row r="3263" spans="4:59">
      <c r="D3263" s="1065"/>
      <c r="S3263" s="1065"/>
      <c r="BE3263" s="1065"/>
      <c r="BF3263" s="1065"/>
      <c r="BG3263" s="1065"/>
    </row>
    <row r="3264" spans="4:59">
      <c r="D3264" s="1065"/>
      <c r="S3264" s="1065"/>
      <c r="BE3264" s="1065"/>
      <c r="BF3264" s="1065"/>
      <c r="BG3264" s="1065"/>
    </row>
    <row r="3265" spans="4:59">
      <c r="D3265" s="1065"/>
      <c r="S3265" s="1065"/>
      <c r="BE3265" s="1065"/>
      <c r="BF3265" s="1065"/>
      <c r="BG3265" s="1065"/>
    </row>
    <row r="3266" spans="4:59">
      <c r="D3266" s="1065"/>
      <c r="S3266" s="1065"/>
      <c r="BE3266" s="1065"/>
      <c r="BF3266" s="1065"/>
      <c r="BG3266" s="1065"/>
    </row>
    <row r="3267" spans="4:59">
      <c r="D3267" s="1065"/>
      <c r="S3267" s="1065"/>
      <c r="BE3267" s="1065"/>
      <c r="BF3267" s="1065"/>
      <c r="BG3267" s="1065"/>
    </row>
    <row r="3268" spans="4:59">
      <c r="D3268" s="1065"/>
      <c r="S3268" s="1065"/>
      <c r="BE3268" s="1065"/>
      <c r="BF3268" s="1065"/>
      <c r="BG3268" s="1065"/>
    </row>
    <row r="3269" spans="4:59">
      <c r="D3269" s="1065"/>
      <c r="S3269" s="1065"/>
      <c r="BE3269" s="1065"/>
      <c r="BF3269" s="1065"/>
      <c r="BG3269" s="1065"/>
    </row>
    <row r="3270" spans="4:59">
      <c r="D3270" s="1065"/>
      <c r="S3270" s="1065"/>
      <c r="BE3270" s="1065"/>
      <c r="BF3270" s="1065"/>
      <c r="BG3270" s="1065"/>
    </row>
    <row r="3271" spans="4:59">
      <c r="D3271" s="1065"/>
      <c r="S3271" s="1065"/>
      <c r="BE3271" s="1065"/>
      <c r="BF3271" s="1065"/>
      <c r="BG3271" s="1065"/>
    </row>
    <row r="3272" spans="4:59">
      <c r="D3272" s="1065"/>
      <c r="S3272" s="1065"/>
      <c r="BE3272" s="1065"/>
      <c r="BF3272" s="1065"/>
      <c r="BG3272" s="1065"/>
    </row>
    <row r="3273" spans="4:59">
      <c r="D3273" s="1065"/>
      <c r="S3273" s="1065"/>
      <c r="BE3273" s="1065"/>
      <c r="BF3273" s="1065"/>
      <c r="BG3273" s="1065"/>
    </row>
    <row r="3274" spans="4:59">
      <c r="D3274" s="1065"/>
      <c r="S3274" s="1065"/>
      <c r="BE3274" s="1065"/>
      <c r="BF3274" s="1065"/>
      <c r="BG3274" s="1065"/>
    </row>
    <row r="3275" spans="4:59">
      <c r="D3275" s="1065"/>
      <c r="S3275" s="1065"/>
      <c r="BE3275" s="1065"/>
      <c r="BF3275" s="1065"/>
      <c r="BG3275" s="1065"/>
    </row>
    <row r="3276" spans="4:59">
      <c r="D3276" s="1065"/>
      <c r="S3276" s="1065"/>
      <c r="BE3276" s="1065"/>
      <c r="BF3276" s="1065"/>
      <c r="BG3276" s="1065"/>
    </row>
    <row r="3277" spans="4:59">
      <c r="D3277" s="1065"/>
      <c r="S3277" s="1065"/>
      <c r="BE3277" s="1065"/>
      <c r="BF3277" s="1065"/>
      <c r="BG3277" s="1065"/>
    </row>
    <row r="3278" spans="4:59">
      <c r="D3278" s="1065"/>
      <c r="S3278" s="1065"/>
      <c r="BE3278" s="1065"/>
      <c r="BF3278" s="1065"/>
      <c r="BG3278" s="1065"/>
    </row>
    <row r="3279" spans="4:59">
      <c r="D3279" s="1065"/>
      <c r="S3279" s="1065"/>
      <c r="BE3279" s="1065"/>
      <c r="BF3279" s="1065"/>
      <c r="BG3279" s="1065"/>
    </row>
    <row r="3280" spans="4:59">
      <c r="D3280" s="1065"/>
      <c r="S3280" s="1065"/>
      <c r="BE3280" s="1065"/>
      <c r="BF3280" s="1065"/>
      <c r="BG3280" s="1065"/>
    </row>
    <row r="3281" spans="4:59">
      <c r="D3281" s="1065"/>
      <c r="S3281" s="1065"/>
      <c r="BE3281" s="1065"/>
      <c r="BF3281" s="1065"/>
      <c r="BG3281" s="1065"/>
    </row>
    <row r="3282" spans="4:59">
      <c r="D3282" s="1065"/>
      <c r="S3282" s="1065"/>
      <c r="BE3282" s="1065"/>
      <c r="BF3282" s="1065"/>
      <c r="BG3282" s="1065"/>
    </row>
    <row r="3283" spans="4:59">
      <c r="D3283" s="1065"/>
      <c r="S3283" s="1065"/>
      <c r="BE3283" s="1065"/>
      <c r="BF3283" s="1065"/>
      <c r="BG3283" s="1065"/>
    </row>
    <row r="3284" spans="4:59">
      <c r="D3284" s="1065"/>
      <c r="S3284" s="1065"/>
      <c r="BE3284" s="1065"/>
      <c r="BF3284" s="1065"/>
      <c r="BG3284" s="1065"/>
    </row>
    <row r="3285" spans="4:59">
      <c r="D3285" s="1065"/>
      <c r="S3285" s="1065"/>
      <c r="BE3285" s="1065"/>
      <c r="BF3285" s="1065"/>
      <c r="BG3285" s="1065"/>
    </row>
    <row r="3286" spans="4:59">
      <c r="D3286" s="1065"/>
      <c r="S3286" s="1065"/>
      <c r="BE3286" s="1065"/>
      <c r="BF3286" s="1065"/>
      <c r="BG3286" s="1065"/>
    </row>
    <row r="3287" spans="4:59">
      <c r="D3287" s="1065"/>
      <c r="S3287" s="1065"/>
      <c r="BE3287" s="1065"/>
      <c r="BF3287" s="1065"/>
      <c r="BG3287" s="1065"/>
    </row>
    <row r="3288" spans="4:59">
      <c r="D3288" s="1065"/>
      <c r="S3288" s="1065"/>
      <c r="BE3288" s="1065"/>
      <c r="BF3288" s="1065"/>
      <c r="BG3288" s="1065"/>
    </row>
    <row r="3289" spans="4:59">
      <c r="D3289" s="1065"/>
      <c r="S3289" s="1065"/>
      <c r="BE3289" s="1065"/>
      <c r="BF3289" s="1065"/>
      <c r="BG3289" s="1065"/>
    </row>
    <row r="3290" spans="4:59">
      <c r="D3290" s="1065"/>
      <c r="S3290" s="1065"/>
      <c r="BE3290" s="1065"/>
      <c r="BF3290" s="1065"/>
      <c r="BG3290" s="1065"/>
    </row>
    <row r="3291" spans="4:59">
      <c r="D3291" s="1065"/>
      <c r="S3291" s="1065"/>
      <c r="BE3291" s="1065"/>
      <c r="BF3291" s="1065"/>
      <c r="BG3291" s="1065"/>
    </row>
    <row r="3292" spans="4:59">
      <c r="D3292" s="1065"/>
      <c r="S3292" s="1065"/>
      <c r="BE3292" s="1065"/>
      <c r="BF3292" s="1065"/>
      <c r="BG3292" s="1065"/>
    </row>
    <row r="3293" spans="4:59">
      <c r="D3293" s="1065"/>
      <c r="S3293" s="1065"/>
      <c r="BE3293" s="1065"/>
      <c r="BF3293" s="1065"/>
      <c r="BG3293" s="1065"/>
    </row>
    <row r="3294" spans="4:59">
      <c r="D3294" s="1065"/>
      <c r="S3294" s="1065"/>
      <c r="BE3294" s="1065"/>
      <c r="BF3294" s="1065"/>
      <c r="BG3294" s="1065"/>
    </row>
    <row r="3295" spans="4:59">
      <c r="D3295" s="1065"/>
      <c r="S3295" s="1065"/>
      <c r="BE3295" s="1065"/>
      <c r="BF3295" s="1065"/>
      <c r="BG3295" s="1065"/>
    </row>
    <row r="3296" spans="4:59">
      <c r="D3296" s="1065"/>
      <c r="S3296" s="1065"/>
      <c r="BE3296" s="1065"/>
      <c r="BF3296" s="1065"/>
      <c r="BG3296" s="1065"/>
    </row>
    <row r="3297" spans="4:59">
      <c r="D3297" s="1065"/>
      <c r="S3297" s="1065"/>
      <c r="BE3297" s="1065"/>
      <c r="BF3297" s="1065"/>
      <c r="BG3297" s="1065"/>
    </row>
    <row r="3298" spans="4:59">
      <c r="D3298" s="1065"/>
      <c r="S3298" s="1065"/>
      <c r="BE3298" s="1065"/>
      <c r="BF3298" s="1065"/>
      <c r="BG3298" s="1065"/>
    </row>
    <row r="3299" spans="4:59">
      <c r="D3299" s="1065"/>
      <c r="S3299" s="1065"/>
      <c r="BE3299" s="1065"/>
      <c r="BF3299" s="1065"/>
      <c r="BG3299" s="1065"/>
    </row>
    <row r="3302" spans="4:59">
      <c r="D3302" s="1065"/>
      <c r="S3302" s="1065"/>
      <c r="BE3302" s="1065"/>
      <c r="BF3302" s="1065"/>
      <c r="BG3302" s="1065"/>
    </row>
    <row r="3303" spans="4:59">
      <c r="D3303" s="1065"/>
      <c r="S3303" s="1065"/>
      <c r="BE3303" s="1065"/>
      <c r="BF3303" s="1065"/>
      <c r="BG3303" s="1065"/>
    </row>
    <row r="3304" spans="4:59">
      <c r="D3304" s="1065"/>
      <c r="S3304" s="1065"/>
      <c r="BE3304" s="1065"/>
      <c r="BF3304" s="1065"/>
      <c r="BG3304" s="1065"/>
    </row>
    <row r="3305" spans="4:59">
      <c r="D3305" s="1065"/>
      <c r="S3305" s="1065"/>
      <c r="BE3305" s="1065"/>
      <c r="BF3305" s="1065"/>
      <c r="BG3305" s="1065"/>
    </row>
    <row r="3306" spans="4:59">
      <c r="D3306" s="1065"/>
      <c r="S3306" s="1065"/>
      <c r="BE3306" s="1065"/>
      <c r="BF3306" s="1065"/>
      <c r="BG3306" s="1065"/>
    </row>
    <row r="3307" spans="4:59">
      <c r="D3307" s="1065"/>
      <c r="S3307" s="1065"/>
      <c r="BE3307" s="1065"/>
      <c r="BF3307" s="1065"/>
      <c r="BG3307" s="1065"/>
    </row>
    <row r="3308" spans="4:59">
      <c r="D3308" s="1065"/>
      <c r="S3308" s="1065"/>
      <c r="BE3308" s="1065"/>
      <c r="BF3308" s="1065"/>
      <c r="BG3308" s="1065"/>
    </row>
    <row r="3309" spans="4:59">
      <c r="D3309" s="1065"/>
      <c r="S3309" s="1065"/>
      <c r="BE3309" s="1065"/>
      <c r="BF3309" s="1065"/>
      <c r="BG3309" s="1065"/>
    </row>
    <row r="3310" spans="4:59">
      <c r="D3310" s="1065"/>
      <c r="S3310" s="1065"/>
      <c r="BE3310" s="1065"/>
      <c r="BF3310" s="1065"/>
      <c r="BG3310" s="1065"/>
    </row>
    <row r="3311" spans="4:59">
      <c r="D3311" s="1065"/>
      <c r="S3311" s="1065"/>
      <c r="BE3311" s="1065"/>
      <c r="BF3311" s="1065"/>
      <c r="BG3311" s="1065"/>
    </row>
    <row r="3312" spans="4:59">
      <c r="D3312" s="1065"/>
      <c r="S3312" s="1065"/>
      <c r="BE3312" s="1065"/>
      <c r="BF3312" s="1065"/>
      <c r="BG3312" s="1065"/>
    </row>
    <row r="3313" spans="4:59">
      <c r="D3313" s="1065"/>
      <c r="S3313" s="1065"/>
      <c r="BE3313" s="1065"/>
      <c r="BF3313" s="1065"/>
      <c r="BG3313" s="1065"/>
    </row>
    <row r="3314" spans="4:59">
      <c r="D3314" s="1065"/>
      <c r="S3314" s="1065"/>
      <c r="BE3314" s="1065"/>
      <c r="BF3314" s="1065"/>
      <c r="BG3314" s="1065"/>
    </row>
    <row r="3315" spans="4:59">
      <c r="D3315" s="1065"/>
      <c r="S3315" s="1065"/>
      <c r="BE3315" s="1065"/>
      <c r="BF3315" s="1065"/>
      <c r="BG3315" s="1065"/>
    </row>
    <row r="3316" spans="4:59">
      <c r="D3316" s="1065"/>
      <c r="S3316" s="1065"/>
      <c r="BE3316" s="1065"/>
      <c r="BF3316" s="1065"/>
      <c r="BG3316" s="1065"/>
    </row>
    <row r="3317" spans="4:59">
      <c r="D3317" s="1065"/>
      <c r="S3317" s="1065"/>
      <c r="BE3317" s="1065"/>
      <c r="BF3317" s="1065"/>
      <c r="BG3317" s="1065"/>
    </row>
    <row r="3318" spans="4:59">
      <c r="D3318" s="1065"/>
      <c r="S3318" s="1065"/>
      <c r="BE3318" s="1065"/>
      <c r="BF3318" s="1065"/>
      <c r="BG3318" s="1065"/>
    </row>
    <row r="3319" spans="4:59">
      <c r="D3319" s="1065"/>
      <c r="S3319" s="1065"/>
      <c r="BE3319" s="1065"/>
      <c r="BF3319" s="1065"/>
      <c r="BG3319" s="1065"/>
    </row>
    <row r="3320" spans="4:59">
      <c r="D3320" s="1065"/>
      <c r="S3320" s="1065"/>
      <c r="BE3320" s="1065"/>
      <c r="BF3320" s="1065"/>
      <c r="BG3320" s="1065"/>
    </row>
    <row r="3321" spans="4:59">
      <c r="D3321" s="1065"/>
      <c r="S3321" s="1065"/>
      <c r="BE3321" s="1065"/>
      <c r="BF3321" s="1065"/>
      <c r="BG3321" s="1065"/>
    </row>
    <row r="3322" spans="4:59">
      <c r="D3322" s="1065"/>
      <c r="S3322" s="1065"/>
      <c r="BE3322" s="1065"/>
      <c r="BF3322" s="1065"/>
      <c r="BG3322" s="1065"/>
    </row>
    <row r="3323" spans="4:59">
      <c r="D3323" s="1065"/>
      <c r="S3323" s="1065"/>
      <c r="BE3323" s="1065"/>
      <c r="BF3323" s="1065"/>
      <c r="BG3323" s="1065"/>
    </row>
    <row r="3324" spans="4:59">
      <c r="D3324" s="1065"/>
      <c r="S3324" s="1065"/>
      <c r="BE3324" s="1065"/>
      <c r="BF3324" s="1065"/>
      <c r="BG3324" s="1065"/>
    </row>
    <row r="3325" spans="4:59">
      <c r="D3325" s="1065"/>
      <c r="S3325" s="1065"/>
      <c r="BE3325" s="1065"/>
      <c r="BF3325" s="1065"/>
      <c r="BG3325" s="1065"/>
    </row>
    <row r="3326" spans="4:59">
      <c r="D3326" s="1065"/>
      <c r="S3326" s="1065"/>
      <c r="BE3326" s="1065"/>
      <c r="BF3326" s="1065"/>
      <c r="BG3326" s="1065"/>
    </row>
    <row r="3328" spans="4:59">
      <c r="D3328" s="1065"/>
      <c r="S3328" s="1065"/>
      <c r="BE3328" s="1065"/>
      <c r="BF3328" s="1065"/>
      <c r="BG3328" s="1065"/>
    </row>
    <row r="3329" spans="4:59">
      <c r="D3329" s="1065"/>
      <c r="S3329" s="1065"/>
      <c r="BE3329" s="1065"/>
      <c r="BF3329" s="1065"/>
      <c r="BG3329" s="1065"/>
    </row>
    <row r="3330" spans="4:59">
      <c r="D3330" s="1065"/>
      <c r="S3330" s="1065"/>
      <c r="BE3330" s="1065"/>
      <c r="BF3330" s="1065"/>
      <c r="BG3330" s="1065"/>
    </row>
    <row r="3331" spans="4:59">
      <c r="D3331" s="1065"/>
      <c r="S3331" s="1065"/>
      <c r="BE3331" s="1065"/>
      <c r="BF3331" s="1065"/>
      <c r="BG3331" s="1065"/>
    </row>
    <row r="3333" spans="4:59">
      <c r="D3333" s="1065"/>
      <c r="S3333" s="1065"/>
      <c r="BE3333" s="1065"/>
      <c r="BF3333" s="1065"/>
      <c r="BG3333" s="1065"/>
    </row>
    <row r="3334" spans="4:59">
      <c r="D3334" s="1065"/>
      <c r="S3334" s="1065"/>
      <c r="BE3334" s="1065"/>
      <c r="BF3334" s="1065"/>
      <c r="BG3334" s="1065"/>
    </row>
    <row r="3335" spans="4:59">
      <c r="D3335" s="1065"/>
      <c r="S3335" s="1065"/>
      <c r="BE3335" s="1065"/>
      <c r="BF3335" s="1065"/>
      <c r="BG3335" s="1065"/>
    </row>
    <row r="3336" spans="4:59">
      <c r="D3336" s="1065"/>
      <c r="S3336" s="1065"/>
      <c r="BE3336" s="1065"/>
      <c r="BF3336" s="1065"/>
      <c r="BG3336" s="1065"/>
    </row>
    <row r="3337" spans="4:59">
      <c r="D3337" s="1065"/>
      <c r="S3337" s="1065"/>
      <c r="BE3337" s="1065"/>
      <c r="BF3337" s="1065"/>
      <c r="BG3337" s="1065"/>
    </row>
    <row r="3338" spans="4:59">
      <c r="D3338" s="1065"/>
      <c r="S3338" s="1065"/>
      <c r="BE3338" s="1065"/>
      <c r="BF3338" s="1065"/>
      <c r="BG3338" s="1065"/>
    </row>
    <row r="3339" spans="4:59">
      <c r="D3339" s="1065"/>
      <c r="S3339" s="1065"/>
      <c r="BE3339" s="1065"/>
      <c r="BF3339" s="1065"/>
      <c r="BG3339" s="1065"/>
    </row>
    <row r="3340" spans="4:59">
      <c r="D3340" s="1065"/>
      <c r="S3340" s="1065"/>
      <c r="BE3340" s="1065"/>
      <c r="BF3340" s="1065"/>
      <c r="BG3340" s="1065"/>
    </row>
    <row r="3341" spans="4:59">
      <c r="D3341" s="1065"/>
      <c r="S3341" s="1065"/>
      <c r="BE3341" s="1065"/>
      <c r="BF3341" s="1065"/>
      <c r="BG3341" s="1065"/>
    </row>
    <row r="3342" spans="4:59">
      <c r="D3342" s="1065"/>
      <c r="S3342" s="1065"/>
      <c r="BE3342" s="1065"/>
      <c r="BF3342" s="1065"/>
      <c r="BG3342" s="1065"/>
    </row>
    <row r="3343" spans="4:59">
      <c r="D3343" s="1065"/>
      <c r="S3343" s="1065"/>
      <c r="BE3343" s="1065"/>
      <c r="BF3343" s="1065"/>
      <c r="BG3343" s="1065"/>
    </row>
    <row r="3344" spans="4:59">
      <c r="D3344" s="1065"/>
      <c r="S3344" s="1065"/>
      <c r="BE3344" s="1065"/>
      <c r="BF3344" s="1065"/>
      <c r="BG3344" s="1065"/>
    </row>
    <row r="3345" spans="4:59">
      <c r="D3345" s="1065"/>
      <c r="S3345" s="1065"/>
      <c r="BE3345" s="1065"/>
      <c r="BF3345" s="1065"/>
      <c r="BG3345" s="1065"/>
    </row>
    <row r="3346" spans="4:59">
      <c r="D3346" s="1065"/>
      <c r="S3346" s="1065"/>
      <c r="BE3346" s="1065"/>
      <c r="BF3346" s="1065"/>
      <c r="BG3346" s="1065"/>
    </row>
    <row r="3347" spans="4:59">
      <c r="D3347" s="1065"/>
      <c r="S3347" s="1065"/>
      <c r="BE3347" s="1065"/>
      <c r="BF3347" s="1065"/>
      <c r="BG3347" s="1065"/>
    </row>
    <row r="3348" spans="4:59">
      <c r="D3348" s="1065"/>
      <c r="S3348" s="1065"/>
      <c r="BE3348" s="1065"/>
      <c r="BF3348" s="1065"/>
      <c r="BG3348" s="1065"/>
    </row>
    <row r="3349" spans="4:59">
      <c r="D3349" s="1065"/>
      <c r="S3349" s="1065"/>
      <c r="BE3349" s="1065"/>
      <c r="BF3349" s="1065"/>
      <c r="BG3349" s="1065"/>
    </row>
    <row r="3350" spans="4:59">
      <c r="D3350" s="1065"/>
      <c r="S3350" s="1065"/>
      <c r="BE3350" s="1065"/>
      <c r="BF3350" s="1065"/>
      <c r="BG3350" s="1065"/>
    </row>
    <row r="3351" spans="4:59">
      <c r="D3351" s="1065"/>
      <c r="S3351" s="1065"/>
      <c r="BE3351" s="1065"/>
      <c r="BF3351" s="1065"/>
      <c r="BG3351" s="1065"/>
    </row>
    <row r="3352" spans="4:59">
      <c r="D3352" s="1065"/>
      <c r="S3352" s="1065"/>
      <c r="BE3352" s="1065"/>
      <c r="BF3352" s="1065"/>
      <c r="BG3352" s="1065"/>
    </row>
    <row r="3353" spans="4:59">
      <c r="D3353" s="1065"/>
      <c r="S3353" s="1065"/>
      <c r="BE3353" s="1065"/>
      <c r="BF3353" s="1065"/>
      <c r="BG3353" s="1065"/>
    </row>
    <row r="3354" spans="4:59">
      <c r="D3354" s="1065"/>
      <c r="S3354" s="1065"/>
      <c r="BE3354" s="1065"/>
      <c r="BF3354" s="1065"/>
      <c r="BG3354" s="1065"/>
    </row>
    <row r="3355" spans="4:59">
      <c r="D3355" s="1065"/>
      <c r="S3355" s="1065"/>
      <c r="BE3355" s="1065"/>
      <c r="BF3355" s="1065"/>
      <c r="BG3355" s="1065"/>
    </row>
    <row r="3356" spans="4:59">
      <c r="D3356" s="1065"/>
      <c r="S3356" s="1065"/>
      <c r="BE3356" s="1065"/>
      <c r="BF3356" s="1065"/>
      <c r="BG3356" s="1065"/>
    </row>
    <row r="3357" spans="4:59">
      <c r="D3357" s="1065"/>
      <c r="S3357" s="1065"/>
      <c r="BE3357" s="1065"/>
      <c r="BF3357" s="1065"/>
      <c r="BG3357" s="1065"/>
    </row>
    <row r="3358" spans="4:59">
      <c r="D3358" s="1065"/>
      <c r="S3358" s="1065"/>
      <c r="BE3358" s="1065"/>
      <c r="BF3358" s="1065"/>
      <c r="BG3358" s="1065"/>
    </row>
    <row r="3359" spans="4:59">
      <c r="D3359" s="1065"/>
      <c r="S3359" s="1065"/>
      <c r="BE3359" s="1065"/>
      <c r="BF3359" s="1065"/>
      <c r="BG3359" s="1065"/>
    </row>
    <row r="3360" spans="4:59">
      <c r="D3360" s="1065"/>
      <c r="S3360" s="1065"/>
      <c r="BE3360" s="1065"/>
      <c r="BF3360" s="1065"/>
      <c r="BG3360" s="1065"/>
    </row>
    <row r="3361" spans="4:59">
      <c r="D3361" s="1065"/>
      <c r="S3361" s="1065"/>
      <c r="BE3361" s="1065"/>
      <c r="BF3361" s="1065"/>
      <c r="BG3361" s="1065"/>
    </row>
    <row r="3362" spans="4:59">
      <c r="D3362" s="1065"/>
      <c r="S3362" s="1065"/>
      <c r="BE3362" s="1065"/>
      <c r="BF3362" s="1065"/>
      <c r="BG3362" s="1065"/>
    </row>
    <row r="3363" spans="4:59">
      <c r="D3363" s="1065"/>
      <c r="S3363" s="1065"/>
      <c r="BE3363" s="1065"/>
      <c r="BF3363" s="1065"/>
      <c r="BG3363" s="1065"/>
    </row>
    <row r="3364" spans="4:59">
      <c r="D3364" s="1065"/>
      <c r="S3364" s="1065"/>
      <c r="BE3364" s="1065"/>
      <c r="BF3364" s="1065"/>
      <c r="BG3364" s="1065"/>
    </row>
    <row r="3365" spans="4:59">
      <c r="D3365" s="1065"/>
      <c r="S3365" s="1065"/>
      <c r="BE3365" s="1065"/>
      <c r="BF3365" s="1065"/>
      <c r="BG3365" s="1065"/>
    </row>
    <row r="3366" spans="4:59">
      <c r="D3366" s="1065"/>
      <c r="S3366" s="1065"/>
      <c r="BE3366" s="1065"/>
      <c r="BF3366" s="1065"/>
      <c r="BG3366" s="1065"/>
    </row>
    <row r="3367" spans="4:59">
      <c r="D3367" s="1065"/>
      <c r="S3367" s="1065"/>
      <c r="BE3367" s="1065"/>
      <c r="BF3367" s="1065"/>
      <c r="BG3367" s="1065"/>
    </row>
    <row r="3368" spans="4:59">
      <c r="D3368" s="1065"/>
      <c r="S3368" s="1065"/>
      <c r="BE3368" s="1065"/>
      <c r="BF3368" s="1065"/>
      <c r="BG3368" s="1065"/>
    </row>
    <row r="3369" spans="4:59">
      <c r="D3369" s="1065"/>
      <c r="S3369" s="1065"/>
      <c r="BE3369" s="1065"/>
      <c r="BF3369" s="1065"/>
      <c r="BG3369" s="1065"/>
    </row>
    <row r="3370" spans="4:59">
      <c r="D3370" s="1065"/>
      <c r="S3370" s="1065"/>
      <c r="BE3370" s="1065"/>
      <c r="BF3370" s="1065"/>
      <c r="BG3370" s="1065"/>
    </row>
    <row r="3371" spans="4:59">
      <c r="D3371" s="1065"/>
      <c r="S3371" s="1065"/>
      <c r="BE3371" s="1065"/>
      <c r="BF3371" s="1065"/>
      <c r="BG3371" s="1065"/>
    </row>
    <row r="3372" spans="4:59">
      <c r="D3372" s="1065"/>
      <c r="S3372" s="1065"/>
      <c r="BE3372" s="1065"/>
      <c r="BF3372" s="1065"/>
      <c r="BG3372" s="1065"/>
    </row>
    <row r="3373" spans="4:59">
      <c r="D3373" s="1065"/>
      <c r="S3373" s="1065"/>
      <c r="BE3373" s="1065"/>
      <c r="BF3373" s="1065"/>
      <c r="BG3373" s="1065"/>
    </row>
    <row r="3374" spans="4:59">
      <c r="D3374" s="1065"/>
      <c r="S3374" s="1065"/>
      <c r="BE3374" s="1065"/>
      <c r="BF3374" s="1065"/>
      <c r="BG3374" s="1065"/>
    </row>
    <row r="3375" spans="4:59">
      <c r="D3375" s="1065"/>
      <c r="S3375" s="1065"/>
      <c r="BE3375" s="1065"/>
      <c r="BF3375" s="1065"/>
      <c r="BG3375" s="1065"/>
    </row>
    <row r="3376" spans="4:59">
      <c r="D3376" s="1065"/>
      <c r="S3376" s="1065"/>
      <c r="BE3376" s="1065"/>
      <c r="BF3376" s="1065"/>
      <c r="BG3376" s="1065"/>
    </row>
    <row r="3377" spans="4:59">
      <c r="D3377" s="1065"/>
      <c r="S3377" s="1065"/>
      <c r="BE3377" s="1065"/>
      <c r="BF3377" s="1065"/>
      <c r="BG3377" s="1065"/>
    </row>
    <row r="3378" spans="4:59">
      <c r="D3378" s="1065"/>
      <c r="S3378" s="1065"/>
      <c r="BE3378" s="1065"/>
      <c r="BF3378" s="1065"/>
      <c r="BG3378" s="1065"/>
    </row>
    <row r="3379" spans="4:59">
      <c r="D3379" s="1065"/>
      <c r="S3379" s="1065"/>
      <c r="BE3379" s="1065"/>
      <c r="BF3379" s="1065"/>
      <c r="BG3379" s="1065"/>
    </row>
    <row r="3380" spans="4:59">
      <c r="D3380" s="1065"/>
      <c r="S3380" s="1065"/>
      <c r="BE3380" s="1065"/>
      <c r="BF3380" s="1065"/>
      <c r="BG3380" s="1065"/>
    </row>
    <row r="3381" spans="4:59">
      <c r="D3381" s="1065"/>
      <c r="S3381" s="1065"/>
      <c r="BE3381" s="1065"/>
      <c r="BF3381" s="1065"/>
      <c r="BG3381" s="1065"/>
    </row>
    <row r="3382" spans="4:59">
      <c r="D3382" s="1065"/>
      <c r="S3382" s="1065"/>
      <c r="BE3382" s="1065"/>
      <c r="BF3382" s="1065"/>
      <c r="BG3382" s="1065"/>
    </row>
    <row r="3383" spans="4:59">
      <c r="D3383" s="1065"/>
      <c r="S3383" s="1065"/>
      <c r="BE3383" s="1065"/>
      <c r="BF3383" s="1065"/>
      <c r="BG3383" s="1065"/>
    </row>
    <row r="3384" spans="4:59">
      <c r="D3384" s="1065"/>
      <c r="S3384" s="1065"/>
      <c r="BE3384" s="1065"/>
      <c r="BF3384" s="1065"/>
      <c r="BG3384" s="1065"/>
    </row>
    <row r="3385" spans="4:59">
      <c r="D3385" s="1065"/>
      <c r="S3385" s="1065"/>
      <c r="BE3385" s="1065"/>
      <c r="BF3385" s="1065"/>
      <c r="BG3385" s="1065"/>
    </row>
    <row r="3386" spans="4:59">
      <c r="D3386" s="1065"/>
      <c r="S3386" s="1065"/>
      <c r="BE3386" s="1065"/>
      <c r="BF3386" s="1065"/>
      <c r="BG3386" s="1065"/>
    </row>
    <row r="3387" spans="4:59">
      <c r="D3387" s="1065"/>
      <c r="S3387" s="1065"/>
      <c r="BE3387" s="1065"/>
      <c r="BF3387" s="1065"/>
      <c r="BG3387" s="1065"/>
    </row>
    <row r="3388" spans="4:59">
      <c r="D3388" s="1065"/>
      <c r="S3388" s="1065"/>
      <c r="BE3388" s="1065"/>
      <c r="BF3388" s="1065"/>
      <c r="BG3388" s="1065"/>
    </row>
    <row r="3389" spans="4:59">
      <c r="D3389" s="1065"/>
      <c r="S3389" s="1065"/>
      <c r="BE3389" s="1065"/>
      <c r="BF3389" s="1065"/>
      <c r="BG3389" s="1065"/>
    </row>
    <row r="3390" spans="4:59">
      <c r="D3390" s="1065"/>
      <c r="S3390" s="1065"/>
      <c r="BE3390" s="1065"/>
      <c r="BF3390" s="1065"/>
      <c r="BG3390" s="1065"/>
    </row>
    <row r="3391" spans="4:59">
      <c r="D3391" s="1065"/>
      <c r="S3391" s="1065"/>
      <c r="BE3391" s="1065"/>
      <c r="BF3391" s="1065"/>
      <c r="BG3391" s="1065"/>
    </row>
    <row r="3392" spans="4:59">
      <c r="D3392" s="1065"/>
      <c r="S3392" s="1065"/>
      <c r="BE3392" s="1065"/>
      <c r="BF3392" s="1065"/>
      <c r="BG3392" s="1065"/>
    </row>
    <row r="3393" spans="4:59">
      <c r="D3393" s="1065"/>
      <c r="S3393" s="1065"/>
      <c r="BE3393" s="1065"/>
      <c r="BF3393" s="1065"/>
      <c r="BG3393" s="1065"/>
    </row>
    <row r="3394" spans="4:59">
      <c r="D3394" s="1065"/>
      <c r="S3394" s="1065"/>
      <c r="BE3394" s="1065"/>
      <c r="BF3394" s="1065"/>
      <c r="BG3394" s="1065"/>
    </row>
    <row r="3395" spans="4:59">
      <c r="D3395" s="1065"/>
      <c r="S3395" s="1065"/>
      <c r="BE3395" s="1065"/>
      <c r="BF3395" s="1065"/>
      <c r="BG3395" s="1065"/>
    </row>
    <row r="3396" spans="4:59">
      <c r="D3396" s="1065"/>
      <c r="S3396" s="1065"/>
      <c r="BE3396" s="1065"/>
      <c r="BF3396" s="1065"/>
      <c r="BG3396" s="1065"/>
    </row>
    <row r="3397" spans="4:59">
      <c r="D3397" s="1065"/>
      <c r="S3397" s="1065"/>
      <c r="BE3397" s="1065"/>
      <c r="BF3397" s="1065"/>
      <c r="BG3397" s="1065"/>
    </row>
    <row r="3398" spans="4:59">
      <c r="D3398" s="1065"/>
      <c r="S3398" s="1065"/>
      <c r="BE3398" s="1065"/>
      <c r="BF3398" s="1065"/>
      <c r="BG3398" s="1065"/>
    </row>
    <row r="3399" spans="4:59">
      <c r="D3399" s="1065"/>
      <c r="S3399" s="1065"/>
      <c r="BE3399" s="1065"/>
      <c r="BF3399" s="1065"/>
      <c r="BG3399" s="1065"/>
    </row>
    <row r="3400" spans="4:59">
      <c r="D3400" s="1065"/>
      <c r="S3400" s="1065"/>
      <c r="BE3400" s="1065"/>
      <c r="BF3400" s="1065"/>
      <c r="BG3400" s="1065"/>
    </row>
    <row r="3401" spans="4:59">
      <c r="D3401" s="1065"/>
      <c r="S3401" s="1065"/>
      <c r="BE3401" s="1065"/>
      <c r="BF3401" s="1065"/>
      <c r="BG3401" s="1065"/>
    </row>
    <row r="3402" spans="4:59">
      <c r="D3402" s="1065"/>
      <c r="S3402" s="1065"/>
      <c r="BE3402" s="1065"/>
      <c r="BF3402" s="1065"/>
      <c r="BG3402" s="1065"/>
    </row>
    <row r="3403" spans="4:59">
      <c r="D3403" s="1065"/>
      <c r="S3403" s="1065"/>
      <c r="BE3403" s="1065"/>
      <c r="BF3403" s="1065"/>
      <c r="BG3403" s="1065"/>
    </row>
    <row r="3404" spans="4:59">
      <c r="D3404" s="1065"/>
      <c r="S3404" s="1065"/>
      <c r="BE3404" s="1065"/>
      <c r="BF3404" s="1065"/>
      <c r="BG3404" s="1065"/>
    </row>
    <row r="3405" spans="4:59">
      <c r="D3405" s="1065"/>
      <c r="S3405" s="1065"/>
      <c r="BE3405" s="1065"/>
      <c r="BF3405" s="1065"/>
      <c r="BG3405" s="1065"/>
    </row>
    <row r="3406" spans="4:59">
      <c r="D3406" s="1065"/>
      <c r="S3406" s="1065"/>
      <c r="BE3406" s="1065"/>
      <c r="BF3406" s="1065"/>
      <c r="BG3406" s="1065"/>
    </row>
    <row r="3407" spans="4:59">
      <c r="D3407" s="1065"/>
      <c r="S3407" s="1065"/>
      <c r="BE3407" s="1065"/>
      <c r="BF3407" s="1065"/>
      <c r="BG3407" s="1065"/>
    </row>
    <row r="3408" spans="4:59">
      <c r="D3408" s="1065"/>
      <c r="S3408" s="1065"/>
      <c r="BE3408" s="1065"/>
      <c r="BF3408" s="1065"/>
      <c r="BG3408" s="1065"/>
    </row>
    <row r="3409" spans="4:59">
      <c r="D3409" s="1065"/>
      <c r="S3409" s="1065"/>
      <c r="BE3409" s="1065"/>
      <c r="BF3409" s="1065"/>
      <c r="BG3409" s="1065"/>
    </row>
    <row r="3410" spans="4:59">
      <c r="D3410" s="1065"/>
      <c r="S3410" s="1065"/>
      <c r="BE3410" s="1065"/>
      <c r="BF3410" s="1065"/>
      <c r="BG3410" s="1065"/>
    </row>
    <row r="3411" spans="4:59">
      <c r="D3411" s="1065"/>
      <c r="S3411" s="1065"/>
      <c r="BE3411" s="1065"/>
      <c r="BF3411" s="1065"/>
      <c r="BG3411" s="1065"/>
    </row>
    <row r="3412" spans="4:59">
      <c r="D3412" s="1065"/>
      <c r="S3412" s="1065"/>
      <c r="BE3412" s="1065"/>
      <c r="BF3412" s="1065"/>
      <c r="BG3412" s="1065"/>
    </row>
    <row r="3413" spans="4:59">
      <c r="D3413" s="1065"/>
      <c r="S3413" s="1065"/>
      <c r="BE3413" s="1065"/>
      <c r="BF3413" s="1065"/>
      <c r="BG3413" s="1065"/>
    </row>
    <row r="3414" spans="4:59">
      <c r="D3414" s="1065"/>
      <c r="S3414" s="1065"/>
      <c r="BE3414" s="1065"/>
      <c r="BF3414" s="1065"/>
      <c r="BG3414" s="1065"/>
    </row>
    <row r="3415" spans="4:59">
      <c r="D3415" s="1065"/>
      <c r="S3415" s="1065"/>
      <c r="BE3415" s="1065"/>
      <c r="BF3415" s="1065"/>
      <c r="BG3415" s="1065"/>
    </row>
    <row r="3416" spans="4:59">
      <c r="D3416" s="1065"/>
      <c r="S3416" s="1065"/>
      <c r="BE3416" s="1065"/>
      <c r="BF3416" s="1065"/>
      <c r="BG3416" s="1065"/>
    </row>
    <row r="3417" spans="4:59">
      <c r="D3417" s="1065"/>
      <c r="S3417" s="1065"/>
      <c r="BE3417" s="1065"/>
      <c r="BF3417" s="1065"/>
      <c r="BG3417" s="1065"/>
    </row>
    <row r="3418" spans="4:59">
      <c r="D3418" s="1065"/>
      <c r="S3418" s="1065"/>
      <c r="BE3418" s="1065"/>
      <c r="BF3418" s="1065"/>
      <c r="BG3418" s="1065"/>
    </row>
    <row r="3419" spans="4:59">
      <c r="D3419" s="1065"/>
      <c r="S3419" s="1065"/>
      <c r="BE3419" s="1065"/>
      <c r="BF3419" s="1065"/>
      <c r="BG3419" s="1065"/>
    </row>
    <row r="3420" spans="4:59">
      <c r="D3420" s="1065"/>
      <c r="S3420" s="1065"/>
      <c r="BE3420" s="1065"/>
      <c r="BF3420" s="1065"/>
      <c r="BG3420" s="1065"/>
    </row>
    <row r="3421" spans="4:59">
      <c r="D3421" s="1065"/>
      <c r="S3421" s="1065"/>
      <c r="BE3421" s="1065"/>
      <c r="BF3421" s="1065"/>
      <c r="BG3421" s="1065"/>
    </row>
    <row r="3422" spans="4:59">
      <c r="D3422" s="1065"/>
      <c r="S3422" s="1065"/>
      <c r="BE3422" s="1065"/>
      <c r="BF3422" s="1065"/>
      <c r="BG3422" s="1065"/>
    </row>
    <row r="3423" spans="4:59">
      <c r="D3423" s="1065"/>
      <c r="S3423" s="1065"/>
      <c r="BE3423" s="1065"/>
      <c r="BF3423" s="1065"/>
      <c r="BG3423" s="1065"/>
    </row>
    <row r="3424" spans="4:59">
      <c r="D3424" s="1065"/>
      <c r="S3424" s="1065"/>
      <c r="BE3424" s="1065"/>
      <c r="BF3424" s="1065"/>
      <c r="BG3424" s="1065"/>
    </row>
    <row r="3425" spans="4:59">
      <c r="D3425" s="1065"/>
      <c r="S3425" s="1065"/>
      <c r="BE3425" s="1065"/>
      <c r="BF3425" s="1065"/>
      <c r="BG3425" s="1065"/>
    </row>
    <row r="3426" spans="4:59">
      <c r="D3426" s="1065"/>
      <c r="S3426" s="1065"/>
      <c r="BE3426" s="1065"/>
      <c r="BF3426" s="1065"/>
      <c r="BG3426" s="1065"/>
    </row>
    <row r="3427" spans="4:59">
      <c r="D3427" s="1065"/>
      <c r="S3427" s="1065"/>
      <c r="BE3427" s="1065"/>
      <c r="BF3427" s="1065"/>
      <c r="BG3427" s="1065"/>
    </row>
    <row r="3428" spans="4:59">
      <c r="D3428" s="1065"/>
      <c r="S3428" s="1065"/>
      <c r="BE3428" s="1065"/>
      <c r="BF3428" s="1065"/>
      <c r="BG3428" s="1065"/>
    </row>
    <row r="3429" spans="4:59">
      <c r="D3429" s="1065"/>
      <c r="S3429" s="1065"/>
      <c r="BE3429" s="1065"/>
      <c r="BF3429" s="1065"/>
      <c r="BG3429" s="1065"/>
    </row>
    <row r="3430" spans="4:59">
      <c r="D3430" s="1065"/>
      <c r="S3430" s="1065"/>
      <c r="BE3430" s="1065"/>
      <c r="BF3430" s="1065"/>
      <c r="BG3430" s="1065"/>
    </row>
    <row r="3431" spans="4:59">
      <c r="D3431" s="1065"/>
      <c r="S3431" s="1065"/>
      <c r="BE3431" s="1065"/>
      <c r="BF3431" s="1065"/>
      <c r="BG3431" s="1065"/>
    </row>
    <row r="3432" spans="4:59">
      <c r="D3432" s="1065"/>
      <c r="S3432" s="1065"/>
      <c r="BE3432" s="1065"/>
      <c r="BF3432" s="1065"/>
      <c r="BG3432" s="1065"/>
    </row>
    <row r="3433" spans="4:59">
      <c r="D3433" s="1065"/>
      <c r="S3433" s="1065"/>
      <c r="BE3433" s="1065"/>
      <c r="BF3433" s="1065"/>
      <c r="BG3433" s="1065"/>
    </row>
    <row r="3434" spans="4:59">
      <c r="D3434" s="1065"/>
      <c r="S3434" s="1065"/>
      <c r="BE3434" s="1065"/>
      <c r="BF3434" s="1065"/>
      <c r="BG3434" s="1065"/>
    </row>
    <row r="3435" spans="4:59">
      <c r="D3435" s="1065"/>
      <c r="S3435" s="1065"/>
      <c r="BE3435" s="1065"/>
      <c r="BF3435" s="1065"/>
      <c r="BG3435" s="1065"/>
    </row>
    <row r="3436" spans="4:59">
      <c r="D3436" s="1065"/>
      <c r="S3436" s="1065"/>
      <c r="BE3436" s="1065"/>
      <c r="BF3436" s="1065"/>
      <c r="BG3436" s="1065"/>
    </row>
    <row r="3437" spans="4:59">
      <c r="D3437" s="1065"/>
      <c r="S3437" s="1065"/>
      <c r="BE3437" s="1065"/>
      <c r="BF3437" s="1065"/>
      <c r="BG3437" s="1065"/>
    </row>
    <row r="3438" spans="4:59">
      <c r="D3438" s="1065"/>
      <c r="S3438" s="1065"/>
      <c r="BE3438" s="1065"/>
      <c r="BF3438" s="1065"/>
      <c r="BG3438" s="1065"/>
    </row>
    <row r="3439" spans="4:59">
      <c r="D3439" s="1065"/>
      <c r="S3439" s="1065"/>
      <c r="BE3439" s="1065"/>
      <c r="BF3439" s="1065"/>
      <c r="BG3439" s="1065"/>
    </row>
    <row r="3440" spans="4:59">
      <c r="D3440" s="1065"/>
      <c r="S3440" s="1065"/>
      <c r="BE3440" s="1065"/>
      <c r="BF3440" s="1065"/>
      <c r="BG3440" s="1065"/>
    </row>
    <row r="3441" spans="4:59">
      <c r="D3441" s="1065"/>
      <c r="S3441" s="1065"/>
      <c r="BE3441" s="1065"/>
      <c r="BF3441" s="1065"/>
      <c r="BG3441" s="1065"/>
    </row>
    <row r="3442" spans="4:59">
      <c r="D3442" s="1065"/>
      <c r="S3442" s="1065"/>
      <c r="BE3442" s="1065"/>
      <c r="BF3442" s="1065"/>
      <c r="BG3442" s="1065"/>
    </row>
    <row r="3443" spans="4:59">
      <c r="D3443" s="1065"/>
      <c r="S3443" s="1065"/>
      <c r="BE3443" s="1065"/>
      <c r="BF3443" s="1065"/>
      <c r="BG3443" s="1065"/>
    </row>
    <row r="3444" spans="4:59">
      <c r="D3444" s="1065"/>
      <c r="S3444" s="1065"/>
      <c r="BE3444" s="1065"/>
      <c r="BF3444" s="1065"/>
      <c r="BG3444" s="1065"/>
    </row>
    <row r="3445" spans="4:59">
      <c r="D3445" s="1065"/>
      <c r="S3445" s="1065"/>
      <c r="BE3445" s="1065"/>
      <c r="BF3445" s="1065"/>
      <c r="BG3445" s="1065"/>
    </row>
    <row r="3446" spans="4:59">
      <c r="D3446" s="1065"/>
      <c r="S3446" s="1065"/>
      <c r="BE3446" s="1065"/>
      <c r="BF3446" s="1065"/>
      <c r="BG3446" s="1065"/>
    </row>
    <row r="3447" spans="4:59">
      <c r="D3447" s="1065"/>
      <c r="S3447" s="1065"/>
      <c r="BE3447" s="1065"/>
      <c r="BF3447" s="1065"/>
      <c r="BG3447" s="1065"/>
    </row>
    <row r="3448" spans="4:59">
      <c r="D3448" s="1065"/>
      <c r="S3448" s="1065"/>
      <c r="BE3448" s="1065"/>
      <c r="BF3448" s="1065"/>
      <c r="BG3448" s="1065"/>
    </row>
    <row r="3449" spans="4:59">
      <c r="D3449" s="1065"/>
      <c r="S3449" s="1065"/>
      <c r="BE3449" s="1065"/>
      <c r="BF3449" s="1065"/>
      <c r="BG3449" s="1065"/>
    </row>
    <row r="3450" spans="4:59">
      <c r="D3450" s="1065"/>
      <c r="S3450" s="1065"/>
      <c r="BE3450" s="1065"/>
      <c r="BF3450" s="1065"/>
      <c r="BG3450" s="1065"/>
    </row>
    <row r="3451" spans="4:59">
      <c r="D3451" s="1065"/>
      <c r="S3451" s="1065"/>
      <c r="BE3451" s="1065"/>
      <c r="BF3451" s="1065"/>
      <c r="BG3451" s="1065"/>
    </row>
    <row r="3452" spans="4:59">
      <c r="D3452" s="1065"/>
      <c r="S3452" s="1065"/>
      <c r="BE3452" s="1065"/>
      <c r="BF3452" s="1065"/>
      <c r="BG3452" s="1065"/>
    </row>
    <row r="3453" spans="4:59">
      <c r="D3453" s="1065"/>
      <c r="S3453" s="1065"/>
      <c r="BE3453" s="1065"/>
      <c r="BF3453" s="1065"/>
      <c r="BG3453" s="1065"/>
    </row>
    <row r="3454" spans="4:59">
      <c r="D3454" s="1065"/>
      <c r="S3454" s="1065"/>
      <c r="BE3454" s="1065"/>
      <c r="BF3454" s="1065"/>
      <c r="BG3454" s="1065"/>
    </row>
    <row r="3455" spans="4:59">
      <c r="D3455" s="1065"/>
      <c r="S3455" s="1065"/>
      <c r="BE3455" s="1065"/>
      <c r="BF3455" s="1065"/>
      <c r="BG3455" s="1065"/>
    </row>
    <row r="3456" spans="4:59">
      <c r="D3456" s="1065"/>
      <c r="S3456" s="1065"/>
      <c r="BE3456" s="1065"/>
      <c r="BF3456" s="1065"/>
      <c r="BG3456" s="1065"/>
    </row>
    <row r="3457" spans="4:59">
      <c r="D3457" s="1065"/>
      <c r="S3457" s="1065"/>
      <c r="BE3457" s="1065"/>
      <c r="BF3457" s="1065"/>
      <c r="BG3457" s="1065"/>
    </row>
    <row r="3458" spans="4:59">
      <c r="D3458" s="1065"/>
      <c r="S3458" s="1065"/>
      <c r="BE3458" s="1065"/>
      <c r="BF3458" s="1065"/>
      <c r="BG3458" s="1065"/>
    </row>
    <row r="3459" spans="4:59">
      <c r="D3459" s="1065"/>
      <c r="S3459" s="1065"/>
      <c r="BE3459" s="1065"/>
      <c r="BF3459" s="1065"/>
      <c r="BG3459" s="1065"/>
    </row>
    <row r="3460" spans="4:59">
      <c r="D3460" s="1065"/>
      <c r="S3460" s="1065"/>
      <c r="BE3460" s="1065"/>
      <c r="BF3460" s="1065"/>
      <c r="BG3460" s="1065"/>
    </row>
    <row r="3461" spans="4:59">
      <c r="D3461" s="1065"/>
      <c r="S3461" s="1065"/>
      <c r="BE3461" s="1065"/>
      <c r="BF3461" s="1065"/>
      <c r="BG3461" s="1065"/>
    </row>
    <row r="3462" spans="4:59">
      <c r="D3462" s="1065"/>
      <c r="S3462" s="1065"/>
      <c r="BE3462" s="1065"/>
      <c r="BF3462" s="1065"/>
      <c r="BG3462" s="1065"/>
    </row>
    <row r="3463" spans="4:59">
      <c r="D3463" s="1065"/>
      <c r="S3463" s="1065"/>
      <c r="BE3463" s="1065"/>
      <c r="BF3463" s="1065"/>
      <c r="BG3463" s="1065"/>
    </row>
    <row r="3464" spans="4:59">
      <c r="D3464" s="1065"/>
      <c r="S3464" s="1065"/>
      <c r="BE3464" s="1065"/>
      <c r="BF3464" s="1065"/>
      <c r="BG3464" s="1065"/>
    </row>
    <row r="3465" spans="4:59">
      <c r="D3465" s="1065"/>
      <c r="S3465" s="1065"/>
      <c r="BE3465" s="1065"/>
      <c r="BF3465" s="1065"/>
      <c r="BG3465" s="1065"/>
    </row>
    <row r="3466" spans="4:59">
      <c r="D3466" s="1065"/>
      <c r="S3466" s="1065"/>
      <c r="BE3466" s="1065"/>
      <c r="BF3466" s="1065"/>
      <c r="BG3466" s="1065"/>
    </row>
    <row r="3467" spans="4:59">
      <c r="D3467" s="1065"/>
      <c r="S3467" s="1065"/>
      <c r="BE3467" s="1065"/>
      <c r="BF3467" s="1065"/>
      <c r="BG3467" s="1065"/>
    </row>
    <row r="3468" spans="4:59">
      <c r="D3468" s="1065"/>
      <c r="S3468" s="1065"/>
      <c r="BE3468" s="1065"/>
      <c r="BF3468" s="1065"/>
      <c r="BG3468" s="1065"/>
    </row>
    <row r="3469" spans="4:59">
      <c r="D3469" s="1065"/>
      <c r="S3469" s="1065"/>
      <c r="BE3469" s="1065"/>
      <c r="BF3469" s="1065"/>
      <c r="BG3469" s="1065"/>
    </row>
    <row r="3470" spans="4:59">
      <c r="D3470" s="1065"/>
      <c r="S3470" s="1065"/>
      <c r="BE3470" s="1065"/>
      <c r="BF3470" s="1065"/>
      <c r="BG3470" s="1065"/>
    </row>
    <row r="3471" spans="4:59">
      <c r="D3471" s="1065"/>
      <c r="S3471" s="1065"/>
      <c r="BE3471" s="1065"/>
      <c r="BF3471" s="1065"/>
      <c r="BG3471" s="1065"/>
    </row>
    <row r="3472" spans="4:59">
      <c r="D3472" s="1065"/>
      <c r="S3472" s="1065"/>
      <c r="BE3472" s="1065"/>
      <c r="BF3472" s="1065"/>
      <c r="BG3472" s="1065"/>
    </row>
    <row r="3473" spans="4:59">
      <c r="D3473" s="1065"/>
      <c r="S3473" s="1065"/>
      <c r="BE3473" s="1065"/>
      <c r="BF3473" s="1065"/>
      <c r="BG3473" s="1065"/>
    </row>
    <row r="3474" spans="4:59">
      <c r="D3474" s="1065"/>
      <c r="S3474" s="1065"/>
      <c r="BE3474" s="1065"/>
      <c r="BF3474" s="1065"/>
      <c r="BG3474" s="1065"/>
    </row>
    <row r="3475" spans="4:59">
      <c r="D3475" s="1065"/>
      <c r="S3475" s="1065"/>
      <c r="BE3475" s="1065"/>
      <c r="BF3475" s="1065"/>
      <c r="BG3475" s="1065"/>
    </row>
    <row r="3476" spans="4:59">
      <c r="D3476" s="1065"/>
      <c r="S3476" s="1065"/>
      <c r="BE3476" s="1065"/>
      <c r="BF3476" s="1065"/>
      <c r="BG3476" s="1065"/>
    </row>
    <row r="3477" spans="4:59">
      <c r="D3477" s="1065"/>
      <c r="S3477" s="1065"/>
      <c r="BE3477" s="1065"/>
      <c r="BF3477" s="1065"/>
      <c r="BG3477" s="1065"/>
    </row>
    <row r="3478" spans="4:59">
      <c r="D3478" s="1065"/>
      <c r="S3478" s="1065"/>
      <c r="BE3478" s="1065"/>
      <c r="BF3478" s="1065"/>
      <c r="BG3478" s="1065"/>
    </row>
    <row r="3479" spans="4:59">
      <c r="D3479" s="1065"/>
      <c r="S3479" s="1065"/>
      <c r="BE3479" s="1065"/>
      <c r="BF3479" s="1065"/>
      <c r="BG3479" s="1065"/>
    </row>
    <row r="3480" spans="4:59">
      <c r="D3480" s="1065"/>
      <c r="S3480" s="1065"/>
      <c r="BE3480" s="1065"/>
      <c r="BF3480" s="1065"/>
      <c r="BG3480" s="1065"/>
    </row>
    <row r="3481" spans="4:59">
      <c r="D3481" s="1065"/>
      <c r="S3481" s="1065"/>
      <c r="BE3481" s="1065"/>
      <c r="BF3481" s="1065"/>
      <c r="BG3481" s="1065"/>
    </row>
    <row r="3482" spans="4:59">
      <c r="D3482" s="1065"/>
      <c r="S3482" s="1065"/>
      <c r="BE3482" s="1065"/>
      <c r="BF3482" s="1065"/>
      <c r="BG3482" s="1065"/>
    </row>
    <row r="3483" spans="4:59">
      <c r="D3483" s="1065"/>
      <c r="S3483" s="1065"/>
      <c r="BE3483" s="1065"/>
      <c r="BF3483" s="1065"/>
      <c r="BG3483" s="1065"/>
    </row>
    <row r="3484" spans="4:59">
      <c r="D3484" s="1065"/>
      <c r="S3484" s="1065"/>
      <c r="BE3484" s="1065"/>
      <c r="BF3484" s="1065"/>
      <c r="BG3484" s="1065"/>
    </row>
    <row r="3485" spans="4:59">
      <c r="D3485" s="1065"/>
      <c r="S3485" s="1065"/>
      <c r="BE3485" s="1065"/>
      <c r="BF3485" s="1065"/>
      <c r="BG3485" s="1065"/>
    </row>
    <row r="3486" spans="4:59">
      <c r="D3486" s="1065"/>
      <c r="S3486" s="1065"/>
      <c r="BE3486" s="1065"/>
      <c r="BF3486" s="1065"/>
      <c r="BG3486" s="1065"/>
    </row>
    <row r="3487" spans="4:59">
      <c r="D3487" s="1065"/>
      <c r="S3487" s="1065"/>
      <c r="BE3487" s="1065"/>
      <c r="BF3487" s="1065"/>
      <c r="BG3487" s="1065"/>
    </row>
    <row r="3488" spans="4:59">
      <c r="D3488" s="1065"/>
      <c r="S3488" s="1065"/>
      <c r="BE3488" s="1065"/>
      <c r="BF3488" s="1065"/>
      <c r="BG3488" s="1065"/>
    </row>
    <row r="3489" spans="4:59">
      <c r="D3489" s="1065"/>
      <c r="S3489" s="1065"/>
      <c r="BE3489" s="1065"/>
      <c r="BF3489" s="1065"/>
      <c r="BG3489" s="1065"/>
    </row>
    <row r="3490" spans="4:59">
      <c r="D3490" s="1065"/>
      <c r="S3490" s="1065"/>
      <c r="BE3490" s="1065"/>
      <c r="BF3490" s="1065"/>
      <c r="BG3490" s="1065"/>
    </row>
    <row r="3491" spans="4:59">
      <c r="D3491" s="1065"/>
      <c r="S3491" s="1065"/>
      <c r="BE3491" s="1065"/>
      <c r="BF3491" s="1065"/>
      <c r="BG3491" s="1065"/>
    </row>
    <row r="3492" spans="4:59">
      <c r="D3492" s="1065"/>
      <c r="S3492" s="1065"/>
      <c r="BE3492" s="1065"/>
      <c r="BF3492" s="1065"/>
      <c r="BG3492" s="1065"/>
    </row>
    <row r="3493" spans="4:59">
      <c r="D3493" s="1065"/>
      <c r="S3493" s="1065"/>
      <c r="BE3493" s="1065"/>
      <c r="BF3493" s="1065"/>
      <c r="BG3493" s="1065"/>
    </row>
    <row r="3494" spans="4:59">
      <c r="D3494" s="1065"/>
      <c r="S3494" s="1065"/>
      <c r="BE3494" s="1065"/>
      <c r="BF3494" s="1065"/>
      <c r="BG3494" s="1065"/>
    </row>
    <row r="3496" spans="4:59">
      <c r="D3496" s="1065"/>
      <c r="S3496" s="1065"/>
      <c r="BE3496" s="1065"/>
      <c r="BF3496" s="1065"/>
      <c r="BG3496" s="1065"/>
    </row>
    <row r="3497" spans="4:59">
      <c r="D3497" s="1065"/>
      <c r="S3497" s="1065"/>
      <c r="BE3497" s="1065"/>
      <c r="BF3497" s="1065"/>
      <c r="BG3497" s="1065"/>
    </row>
    <row r="3500" spans="4:59">
      <c r="D3500" s="1065"/>
      <c r="S3500" s="1065"/>
      <c r="BE3500" s="1065"/>
      <c r="BF3500" s="1065"/>
      <c r="BG3500" s="1065"/>
    </row>
    <row r="3501" spans="4:59">
      <c r="D3501" s="1065"/>
      <c r="S3501" s="1065"/>
      <c r="BE3501" s="1065"/>
      <c r="BF3501" s="1065"/>
      <c r="BG3501" s="1065"/>
    </row>
    <row r="3502" spans="4:59">
      <c r="D3502" s="1065"/>
      <c r="S3502" s="1065"/>
      <c r="BE3502" s="1065"/>
      <c r="BF3502" s="1065"/>
      <c r="BG3502" s="1065"/>
    </row>
    <row r="3503" spans="4:59">
      <c r="D3503" s="1065"/>
      <c r="S3503" s="1065"/>
      <c r="BE3503" s="1065"/>
      <c r="BF3503" s="1065"/>
      <c r="BG3503" s="1065"/>
    </row>
    <row r="3504" spans="4:59">
      <c r="D3504" s="1065"/>
      <c r="S3504" s="1065"/>
      <c r="BE3504" s="1065"/>
      <c r="BF3504" s="1065"/>
      <c r="BG3504" s="1065"/>
    </row>
    <row r="3505" spans="4:59">
      <c r="D3505" s="1065"/>
      <c r="S3505" s="1065"/>
      <c r="BE3505" s="1065"/>
      <c r="BF3505" s="1065"/>
      <c r="BG3505" s="1065"/>
    </row>
    <row r="3506" spans="4:59">
      <c r="D3506" s="1065"/>
      <c r="S3506" s="1065"/>
      <c r="BE3506" s="1065"/>
      <c r="BF3506" s="1065"/>
      <c r="BG3506" s="1065"/>
    </row>
    <row r="3507" spans="4:59">
      <c r="D3507" s="1065"/>
      <c r="S3507" s="1065"/>
      <c r="BE3507" s="1065"/>
      <c r="BF3507" s="1065"/>
      <c r="BG3507" s="1065"/>
    </row>
    <row r="3508" spans="4:59">
      <c r="D3508" s="1065"/>
      <c r="S3508" s="1065"/>
      <c r="BE3508" s="1065"/>
      <c r="BF3508" s="1065"/>
      <c r="BG3508" s="1065"/>
    </row>
    <row r="3509" spans="4:59">
      <c r="D3509" s="1065"/>
      <c r="S3509" s="1065"/>
      <c r="BE3509" s="1065"/>
      <c r="BF3509" s="1065"/>
      <c r="BG3509" s="1065"/>
    </row>
    <row r="3510" spans="4:59">
      <c r="D3510" s="1065"/>
      <c r="S3510" s="1065"/>
      <c r="BE3510" s="1065"/>
      <c r="BF3510" s="1065"/>
      <c r="BG3510" s="1065"/>
    </row>
    <row r="3511" spans="4:59">
      <c r="D3511" s="1065"/>
      <c r="S3511" s="1065"/>
      <c r="BE3511" s="1065"/>
      <c r="BF3511" s="1065"/>
      <c r="BG3511" s="1065"/>
    </row>
    <row r="3512" spans="4:59">
      <c r="D3512" s="1065"/>
      <c r="S3512" s="1065"/>
      <c r="BE3512" s="1065"/>
      <c r="BF3512" s="1065"/>
      <c r="BG3512" s="1065"/>
    </row>
    <row r="3513" spans="4:59">
      <c r="D3513" s="1065"/>
      <c r="S3513" s="1065"/>
      <c r="BE3513" s="1065"/>
      <c r="BF3513" s="1065"/>
      <c r="BG3513" s="1065"/>
    </row>
    <row r="3514" spans="4:59">
      <c r="D3514" s="1065"/>
      <c r="S3514" s="1065"/>
      <c r="BE3514" s="1065"/>
      <c r="BF3514" s="1065"/>
      <c r="BG3514" s="1065"/>
    </row>
    <row r="3515" spans="4:59">
      <c r="D3515" s="1065"/>
      <c r="S3515" s="1065"/>
      <c r="BE3515" s="1065"/>
      <c r="BF3515" s="1065"/>
      <c r="BG3515" s="1065"/>
    </row>
    <row r="3516" spans="4:59">
      <c r="D3516" s="1065"/>
      <c r="S3516" s="1065"/>
      <c r="BE3516" s="1065"/>
      <c r="BF3516" s="1065"/>
      <c r="BG3516" s="1065"/>
    </row>
    <row r="3517" spans="4:59">
      <c r="D3517" s="1065"/>
      <c r="S3517" s="1065"/>
      <c r="BE3517" s="1065"/>
      <c r="BF3517" s="1065"/>
      <c r="BG3517" s="1065"/>
    </row>
    <row r="3518" spans="4:59">
      <c r="D3518" s="1065"/>
      <c r="S3518" s="1065"/>
      <c r="BE3518" s="1065"/>
      <c r="BF3518" s="1065"/>
      <c r="BG3518" s="1065"/>
    </row>
    <row r="3519" spans="4:59">
      <c r="D3519" s="1065"/>
      <c r="S3519" s="1065"/>
      <c r="BE3519" s="1065"/>
      <c r="BF3519" s="1065"/>
      <c r="BG3519" s="1065"/>
    </row>
    <row r="3520" spans="4:59">
      <c r="D3520" s="1065"/>
      <c r="S3520" s="1065"/>
      <c r="BE3520" s="1065"/>
      <c r="BF3520" s="1065"/>
      <c r="BG3520" s="1065"/>
    </row>
    <row r="3521" spans="4:59">
      <c r="D3521" s="1065"/>
      <c r="S3521" s="1065"/>
      <c r="BE3521" s="1065"/>
      <c r="BF3521" s="1065"/>
      <c r="BG3521" s="1065"/>
    </row>
    <row r="3522" spans="4:59">
      <c r="D3522" s="1065"/>
      <c r="S3522" s="1065"/>
      <c r="BE3522" s="1065"/>
      <c r="BF3522" s="1065"/>
      <c r="BG3522" s="1065"/>
    </row>
    <row r="3523" spans="4:59">
      <c r="D3523" s="1065"/>
      <c r="S3523" s="1065"/>
      <c r="BE3523" s="1065"/>
      <c r="BF3523" s="1065"/>
      <c r="BG3523" s="1065"/>
    </row>
    <row r="3524" spans="4:59">
      <c r="D3524" s="1065"/>
      <c r="S3524" s="1065"/>
      <c r="BE3524" s="1065"/>
      <c r="BF3524" s="1065"/>
      <c r="BG3524" s="1065"/>
    </row>
    <row r="3526" spans="4:59">
      <c r="D3526" s="1065"/>
      <c r="S3526" s="1065"/>
      <c r="BE3526" s="1065"/>
      <c r="BF3526" s="1065"/>
      <c r="BG3526" s="1065"/>
    </row>
    <row r="3527" spans="4:59">
      <c r="D3527" s="1065"/>
      <c r="S3527" s="1065"/>
      <c r="BE3527" s="1065"/>
      <c r="BF3527" s="1065"/>
      <c r="BG3527" s="1065"/>
    </row>
    <row r="3532" spans="4:59">
      <c r="D3532" s="1065"/>
      <c r="S3532" s="1065"/>
      <c r="BE3532" s="1065"/>
      <c r="BF3532" s="1065"/>
      <c r="BG3532" s="1065"/>
    </row>
    <row r="3533" spans="4:59">
      <c r="D3533" s="1065"/>
      <c r="S3533" s="1065"/>
      <c r="BE3533" s="1065"/>
      <c r="BF3533" s="1065"/>
      <c r="BG3533" s="1065"/>
    </row>
    <row r="3535" spans="4:59">
      <c r="D3535" s="1065"/>
      <c r="S3535" s="1065"/>
      <c r="BE3535" s="1065"/>
      <c r="BF3535" s="1065"/>
      <c r="BG3535" s="1065"/>
    </row>
    <row r="3536" spans="4:59">
      <c r="D3536" s="1065"/>
      <c r="S3536" s="1065"/>
      <c r="BE3536" s="1065"/>
      <c r="BF3536" s="1065"/>
      <c r="BG3536" s="1065"/>
    </row>
    <row r="3537" spans="4:59">
      <c r="D3537" s="1065"/>
      <c r="S3537" s="1065"/>
      <c r="BE3537" s="1065"/>
      <c r="BF3537" s="1065"/>
      <c r="BG3537" s="1065"/>
    </row>
    <row r="3538" spans="4:59">
      <c r="D3538" s="1065"/>
      <c r="S3538" s="1065"/>
      <c r="BE3538" s="1065"/>
      <c r="BF3538" s="1065"/>
      <c r="BG3538" s="1065"/>
    </row>
    <row r="3539" spans="4:59">
      <c r="D3539" s="1065"/>
      <c r="S3539" s="1065"/>
      <c r="BE3539" s="1065"/>
      <c r="BF3539" s="1065"/>
      <c r="BG3539" s="1065"/>
    </row>
    <row r="3540" spans="4:59">
      <c r="D3540" s="1065"/>
      <c r="S3540" s="1065"/>
      <c r="BE3540" s="1065"/>
      <c r="BF3540" s="1065"/>
      <c r="BG3540" s="1065"/>
    </row>
    <row r="3541" spans="4:59">
      <c r="D3541" s="1065"/>
      <c r="S3541" s="1065"/>
      <c r="BE3541" s="1065"/>
      <c r="BF3541" s="1065"/>
      <c r="BG3541" s="1065"/>
    </row>
    <row r="3542" spans="4:59">
      <c r="D3542" s="1065"/>
      <c r="S3542" s="1065"/>
      <c r="BE3542" s="1065"/>
      <c r="BF3542" s="1065"/>
      <c r="BG3542" s="1065"/>
    </row>
    <row r="3543" spans="4:59">
      <c r="D3543" s="1065"/>
      <c r="S3543" s="1065"/>
      <c r="BE3543" s="1065"/>
      <c r="BF3543" s="1065"/>
      <c r="BG3543" s="1065"/>
    </row>
    <row r="3544" spans="4:59">
      <c r="D3544" s="1065"/>
      <c r="S3544" s="1065"/>
      <c r="BE3544" s="1065"/>
      <c r="BF3544" s="1065"/>
      <c r="BG3544" s="1065"/>
    </row>
    <row r="3545" spans="4:59">
      <c r="D3545" s="1065"/>
      <c r="S3545" s="1065"/>
      <c r="BE3545" s="1065"/>
      <c r="BF3545" s="1065"/>
      <c r="BG3545" s="1065"/>
    </row>
    <row r="3546" spans="4:59">
      <c r="D3546" s="1065"/>
      <c r="S3546" s="1065"/>
      <c r="BE3546" s="1065"/>
      <c r="BF3546" s="1065"/>
      <c r="BG3546" s="1065"/>
    </row>
    <row r="3547" spans="4:59">
      <c r="D3547" s="1065"/>
      <c r="S3547" s="1065"/>
      <c r="BE3547" s="1065"/>
      <c r="BF3547" s="1065"/>
      <c r="BG3547" s="1065"/>
    </row>
    <row r="3548" spans="4:59">
      <c r="D3548" s="1065"/>
      <c r="S3548" s="1065"/>
      <c r="BE3548" s="1065"/>
      <c r="BF3548" s="1065"/>
      <c r="BG3548" s="1065"/>
    </row>
    <row r="3549" spans="4:59">
      <c r="D3549" s="1065"/>
      <c r="S3549" s="1065"/>
      <c r="BE3549" s="1065"/>
      <c r="BF3549" s="1065"/>
      <c r="BG3549" s="1065"/>
    </row>
    <row r="3550" spans="4:59">
      <c r="D3550" s="1065"/>
      <c r="S3550" s="1065"/>
      <c r="BE3550" s="1065"/>
      <c r="BF3550" s="1065"/>
      <c r="BG3550" s="1065"/>
    </row>
    <row r="3551" spans="4:59">
      <c r="D3551" s="1065"/>
      <c r="S3551" s="1065"/>
      <c r="BE3551" s="1065"/>
      <c r="BF3551" s="1065"/>
      <c r="BG3551" s="1065"/>
    </row>
    <row r="3552" spans="4:59">
      <c r="D3552" s="1065"/>
      <c r="S3552" s="1065"/>
      <c r="BE3552" s="1065"/>
      <c r="BF3552" s="1065"/>
      <c r="BG3552" s="1065"/>
    </row>
    <row r="3553" spans="4:59">
      <c r="D3553" s="1065"/>
      <c r="S3553" s="1065"/>
      <c r="BE3553" s="1065"/>
      <c r="BF3553" s="1065"/>
      <c r="BG3553" s="1065"/>
    </row>
    <row r="3554" spans="4:59">
      <c r="D3554" s="1065"/>
      <c r="S3554" s="1065"/>
      <c r="BE3554" s="1065"/>
      <c r="BF3554" s="1065"/>
      <c r="BG3554" s="1065"/>
    </row>
    <row r="3555" spans="4:59">
      <c r="D3555" s="1065"/>
      <c r="S3555" s="1065"/>
      <c r="BE3555" s="1065"/>
      <c r="BF3555" s="1065"/>
      <c r="BG3555" s="1065"/>
    </row>
    <row r="3556" spans="4:59">
      <c r="D3556" s="1065"/>
      <c r="S3556" s="1065"/>
      <c r="BE3556" s="1065"/>
      <c r="BF3556" s="1065"/>
      <c r="BG3556" s="1065"/>
    </row>
    <row r="3557" spans="4:59">
      <c r="D3557" s="1065"/>
      <c r="S3557" s="1065"/>
      <c r="BE3557" s="1065"/>
      <c r="BF3557" s="1065"/>
      <c r="BG3557" s="1065"/>
    </row>
    <row r="3558" spans="4:59">
      <c r="D3558" s="1065"/>
      <c r="S3558" s="1065"/>
      <c r="BE3558" s="1065"/>
      <c r="BF3558" s="1065"/>
      <c r="BG3558" s="1065"/>
    </row>
    <row r="3559" spans="4:59">
      <c r="D3559" s="1065"/>
      <c r="S3559" s="1065"/>
      <c r="BE3559" s="1065"/>
      <c r="BF3559" s="1065"/>
      <c r="BG3559" s="1065"/>
    </row>
    <row r="3560" spans="4:59">
      <c r="D3560" s="1065"/>
      <c r="S3560" s="1065"/>
      <c r="BE3560" s="1065"/>
      <c r="BF3560" s="1065"/>
      <c r="BG3560" s="1065"/>
    </row>
    <row r="3561" spans="4:59">
      <c r="D3561" s="1065"/>
      <c r="S3561" s="1065"/>
      <c r="BE3561" s="1065"/>
      <c r="BF3561" s="1065"/>
      <c r="BG3561" s="1065"/>
    </row>
    <row r="3562" spans="4:59">
      <c r="D3562" s="1065"/>
      <c r="S3562" s="1065"/>
      <c r="BE3562" s="1065"/>
      <c r="BF3562" s="1065"/>
      <c r="BG3562" s="1065"/>
    </row>
    <row r="3563" spans="4:59">
      <c r="D3563" s="1065"/>
      <c r="S3563" s="1065"/>
      <c r="BE3563" s="1065"/>
      <c r="BF3563" s="1065"/>
      <c r="BG3563" s="1065"/>
    </row>
    <row r="3564" spans="4:59">
      <c r="D3564" s="1065"/>
      <c r="S3564" s="1065"/>
      <c r="BE3564" s="1065"/>
      <c r="BF3564" s="1065"/>
      <c r="BG3564" s="1065"/>
    </row>
    <row r="3565" spans="4:59">
      <c r="D3565" s="1065"/>
      <c r="S3565" s="1065"/>
      <c r="BE3565" s="1065"/>
      <c r="BF3565" s="1065"/>
      <c r="BG3565" s="1065"/>
    </row>
    <row r="3566" spans="4:59">
      <c r="D3566" s="1065"/>
      <c r="S3566" s="1065"/>
      <c r="BE3566" s="1065"/>
      <c r="BF3566" s="1065"/>
      <c r="BG3566" s="1065"/>
    </row>
    <row r="3567" spans="4:59">
      <c r="D3567" s="1065"/>
      <c r="S3567" s="1065"/>
      <c r="BE3567" s="1065"/>
      <c r="BF3567" s="1065"/>
      <c r="BG3567" s="1065"/>
    </row>
    <row r="3568" spans="4:59">
      <c r="D3568" s="1065"/>
      <c r="S3568" s="1065"/>
      <c r="BE3568" s="1065"/>
      <c r="BF3568" s="1065"/>
      <c r="BG3568" s="1065"/>
    </row>
    <row r="3569" spans="4:59">
      <c r="D3569" s="1065"/>
      <c r="S3569" s="1065"/>
      <c r="BE3569" s="1065"/>
      <c r="BF3569" s="1065"/>
      <c r="BG3569" s="1065"/>
    </row>
    <row r="3570" spans="4:59">
      <c r="D3570" s="1065"/>
      <c r="S3570" s="1065"/>
      <c r="BE3570" s="1065"/>
      <c r="BF3570" s="1065"/>
      <c r="BG3570" s="1065"/>
    </row>
    <row r="3571" spans="4:59">
      <c r="D3571" s="1065"/>
      <c r="S3571" s="1065"/>
      <c r="BE3571" s="1065"/>
      <c r="BF3571" s="1065"/>
      <c r="BG3571" s="1065"/>
    </row>
    <row r="3572" spans="4:59">
      <c r="D3572" s="1065"/>
      <c r="S3572" s="1065"/>
      <c r="BE3572" s="1065"/>
      <c r="BF3572" s="1065"/>
      <c r="BG3572" s="1065"/>
    </row>
    <row r="3573" spans="4:59">
      <c r="D3573" s="1065"/>
      <c r="S3573" s="1065"/>
      <c r="BE3573" s="1065"/>
      <c r="BF3573" s="1065"/>
      <c r="BG3573" s="1065"/>
    </row>
    <row r="3574" spans="4:59">
      <c r="D3574" s="1065"/>
      <c r="S3574" s="1065"/>
      <c r="BE3574" s="1065"/>
      <c r="BF3574" s="1065"/>
      <c r="BG3574" s="1065"/>
    </row>
    <row r="3575" spans="4:59">
      <c r="D3575" s="1065"/>
      <c r="S3575" s="1065"/>
      <c r="BE3575" s="1065"/>
      <c r="BF3575" s="1065"/>
      <c r="BG3575" s="1065"/>
    </row>
    <row r="3576" spans="4:59">
      <c r="D3576" s="1065"/>
      <c r="S3576" s="1065"/>
      <c r="BE3576" s="1065"/>
      <c r="BF3576" s="1065"/>
      <c r="BG3576" s="1065"/>
    </row>
    <row r="3577" spans="4:59">
      <c r="D3577" s="1065"/>
      <c r="S3577" s="1065"/>
      <c r="BE3577" s="1065"/>
      <c r="BF3577" s="1065"/>
      <c r="BG3577" s="1065"/>
    </row>
    <row r="3578" spans="4:59">
      <c r="D3578" s="1065"/>
      <c r="S3578" s="1065"/>
      <c r="BE3578" s="1065"/>
      <c r="BF3578" s="1065"/>
      <c r="BG3578" s="1065"/>
    </row>
    <row r="3579" spans="4:59">
      <c r="D3579" s="1065"/>
      <c r="S3579" s="1065"/>
      <c r="BE3579" s="1065"/>
      <c r="BF3579" s="1065"/>
      <c r="BG3579" s="1065"/>
    </row>
    <row r="3580" spans="4:59">
      <c r="D3580" s="1065"/>
      <c r="S3580" s="1065"/>
      <c r="BE3580" s="1065"/>
      <c r="BF3580" s="1065"/>
      <c r="BG3580" s="1065"/>
    </row>
    <row r="3581" spans="4:59">
      <c r="D3581" s="1065"/>
      <c r="S3581" s="1065"/>
      <c r="BE3581" s="1065"/>
      <c r="BF3581" s="1065"/>
      <c r="BG3581" s="1065"/>
    </row>
    <row r="3582" spans="4:59">
      <c r="D3582" s="1065"/>
      <c r="S3582" s="1065"/>
      <c r="BE3582" s="1065"/>
      <c r="BF3582" s="1065"/>
      <c r="BG3582" s="1065"/>
    </row>
    <row r="3583" spans="4:59">
      <c r="D3583" s="1065"/>
      <c r="S3583" s="1065"/>
      <c r="BE3583" s="1065"/>
      <c r="BF3583" s="1065"/>
      <c r="BG3583" s="1065"/>
    </row>
    <row r="3584" spans="4:59">
      <c r="D3584" s="1065"/>
      <c r="S3584" s="1065"/>
      <c r="BE3584" s="1065"/>
      <c r="BF3584" s="1065"/>
      <c r="BG3584" s="1065"/>
    </row>
    <row r="3585" spans="4:59">
      <c r="D3585" s="1065"/>
      <c r="S3585" s="1065"/>
      <c r="BE3585" s="1065"/>
      <c r="BF3585" s="1065"/>
      <c r="BG3585" s="1065"/>
    </row>
    <row r="3586" spans="4:59">
      <c r="D3586" s="1065"/>
      <c r="S3586" s="1065"/>
      <c r="BE3586" s="1065"/>
      <c r="BF3586" s="1065"/>
      <c r="BG3586" s="1065"/>
    </row>
    <row r="3587" spans="4:59">
      <c r="D3587" s="1065"/>
      <c r="S3587" s="1065"/>
      <c r="BE3587" s="1065"/>
      <c r="BF3587" s="1065"/>
      <c r="BG3587" s="1065"/>
    </row>
    <row r="3588" spans="4:59">
      <c r="D3588" s="1065"/>
      <c r="S3588" s="1065"/>
      <c r="BE3588" s="1065"/>
      <c r="BF3588" s="1065"/>
      <c r="BG3588" s="1065"/>
    </row>
    <row r="3589" spans="4:59">
      <c r="D3589" s="1065"/>
      <c r="S3589" s="1065"/>
      <c r="BE3589" s="1065"/>
      <c r="BF3589" s="1065"/>
      <c r="BG3589" s="1065"/>
    </row>
    <row r="3590" spans="4:59">
      <c r="D3590" s="1065"/>
      <c r="S3590" s="1065"/>
      <c r="BE3590" s="1065"/>
      <c r="BF3590" s="1065"/>
      <c r="BG3590" s="1065"/>
    </row>
    <row r="3591" spans="4:59">
      <c r="D3591" s="1065"/>
      <c r="S3591" s="1065"/>
      <c r="BE3591" s="1065"/>
      <c r="BF3591" s="1065"/>
      <c r="BG3591" s="1065"/>
    </row>
    <row r="3592" spans="4:59">
      <c r="D3592" s="1065"/>
      <c r="S3592" s="1065"/>
      <c r="BE3592" s="1065"/>
      <c r="BF3592" s="1065"/>
      <c r="BG3592" s="1065"/>
    </row>
    <row r="3593" spans="4:59">
      <c r="D3593" s="1065"/>
      <c r="S3593" s="1065"/>
      <c r="BE3593" s="1065"/>
      <c r="BF3593" s="1065"/>
      <c r="BG3593" s="1065"/>
    </row>
    <row r="3594" spans="4:59">
      <c r="D3594" s="1065"/>
      <c r="S3594" s="1065"/>
      <c r="BE3594" s="1065"/>
      <c r="BF3594" s="1065"/>
      <c r="BG3594" s="1065"/>
    </row>
    <row r="3595" spans="4:59">
      <c r="D3595" s="1065"/>
      <c r="S3595" s="1065"/>
      <c r="BE3595" s="1065"/>
      <c r="BF3595" s="1065"/>
      <c r="BG3595" s="1065"/>
    </row>
    <row r="3596" spans="4:59">
      <c r="D3596" s="1065"/>
      <c r="S3596" s="1065"/>
      <c r="BE3596" s="1065"/>
      <c r="BF3596" s="1065"/>
      <c r="BG3596" s="1065"/>
    </row>
    <row r="3597" spans="4:59">
      <c r="D3597" s="1065"/>
      <c r="S3597" s="1065"/>
      <c r="BE3597" s="1065"/>
      <c r="BF3597" s="1065"/>
      <c r="BG3597" s="1065"/>
    </row>
    <row r="3598" spans="4:59">
      <c r="D3598" s="1065"/>
      <c r="S3598" s="1065"/>
      <c r="BE3598" s="1065"/>
      <c r="BF3598" s="1065"/>
      <c r="BG3598" s="1065"/>
    </row>
    <row r="3599" spans="4:59">
      <c r="D3599" s="1065"/>
      <c r="S3599" s="1065"/>
      <c r="BE3599" s="1065"/>
      <c r="BF3599" s="1065"/>
      <c r="BG3599" s="1065"/>
    </row>
    <row r="3600" spans="4:59">
      <c r="D3600" s="1065"/>
      <c r="S3600" s="1065"/>
      <c r="BE3600" s="1065"/>
      <c r="BF3600" s="1065"/>
      <c r="BG3600" s="1065"/>
    </row>
    <row r="3601" spans="4:59">
      <c r="D3601" s="1065"/>
      <c r="S3601" s="1065"/>
      <c r="BE3601" s="1065"/>
      <c r="BF3601" s="1065"/>
      <c r="BG3601" s="1065"/>
    </row>
    <row r="3602" spans="4:59">
      <c r="D3602" s="1065"/>
      <c r="S3602" s="1065"/>
      <c r="BE3602" s="1065"/>
      <c r="BF3602" s="1065"/>
      <c r="BG3602" s="1065"/>
    </row>
    <row r="3603" spans="4:59">
      <c r="D3603" s="1065"/>
      <c r="S3603" s="1065"/>
      <c r="BE3603" s="1065"/>
      <c r="BF3603" s="1065"/>
      <c r="BG3603" s="1065"/>
    </row>
    <row r="3604" spans="4:59">
      <c r="D3604" s="1065"/>
      <c r="S3604" s="1065"/>
      <c r="BE3604" s="1065"/>
      <c r="BF3604" s="1065"/>
      <c r="BG3604" s="1065"/>
    </row>
    <row r="3605" spans="4:59">
      <c r="D3605" s="1065"/>
      <c r="S3605" s="1065"/>
      <c r="BE3605" s="1065"/>
      <c r="BF3605" s="1065"/>
      <c r="BG3605" s="1065"/>
    </row>
    <row r="3606" spans="4:59">
      <c r="D3606" s="1065"/>
      <c r="S3606" s="1065"/>
      <c r="BE3606" s="1065"/>
      <c r="BF3606" s="1065"/>
      <c r="BG3606" s="1065"/>
    </row>
    <row r="3607" spans="4:59">
      <c r="D3607" s="1065"/>
      <c r="S3607" s="1065"/>
      <c r="BE3607" s="1065"/>
      <c r="BF3607" s="1065"/>
      <c r="BG3607" s="1065"/>
    </row>
    <row r="3608" spans="4:59">
      <c r="D3608" s="1065"/>
      <c r="S3608" s="1065"/>
      <c r="BE3608" s="1065"/>
      <c r="BF3608" s="1065"/>
      <c r="BG3608" s="1065"/>
    </row>
    <row r="3609" spans="4:59">
      <c r="D3609" s="1065"/>
      <c r="S3609" s="1065"/>
      <c r="BE3609" s="1065"/>
      <c r="BF3609" s="1065"/>
      <c r="BG3609" s="1065"/>
    </row>
    <row r="3610" spans="4:59">
      <c r="D3610" s="1065"/>
      <c r="S3610" s="1065"/>
      <c r="BE3610" s="1065"/>
      <c r="BF3610" s="1065"/>
      <c r="BG3610" s="1065"/>
    </row>
    <row r="3611" spans="4:59">
      <c r="D3611" s="1065"/>
      <c r="S3611" s="1065"/>
      <c r="BE3611" s="1065"/>
      <c r="BF3611" s="1065"/>
      <c r="BG3611" s="1065"/>
    </row>
    <row r="3612" spans="4:59">
      <c r="D3612" s="1065"/>
      <c r="S3612" s="1065"/>
      <c r="BE3612" s="1065"/>
      <c r="BF3612" s="1065"/>
      <c r="BG3612" s="1065"/>
    </row>
    <row r="3613" spans="4:59">
      <c r="D3613" s="1065"/>
      <c r="S3613" s="1065"/>
      <c r="BE3613" s="1065"/>
      <c r="BF3613" s="1065"/>
      <c r="BG3613" s="1065"/>
    </row>
    <row r="3614" spans="4:59">
      <c r="D3614" s="1065"/>
      <c r="S3614" s="1065"/>
      <c r="BE3614" s="1065"/>
      <c r="BF3614" s="1065"/>
      <c r="BG3614" s="1065"/>
    </row>
    <row r="3615" spans="4:59">
      <c r="D3615" s="1065"/>
      <c r="S3615" s="1065"/>
      <c r="BE3615" s="1065"/>
      <c r="BF3615" s="1065"/>
      <c r="BG3615" s="1065"/>
    </row>
    <row r="3616" spans="4:59">
      <c r="D3616" s="1065"/>
      <c r="S3616" s="1065"/>
      <c r="BE3616" s="1065"/>
      <c r="BF3616" s="1065"/>
      <c r="BG3616" s="1065"/>
    </row>
    <row r="3617" spans="4:59">
      <c r="D3617" s="1065"/>
      <c r="S3617" s="1065"/>
      <c r="BE3617" s="1065"/>
      <c r="BF3617" s="1065"/>
      <c r="BG3617" s="1065"/>
    </row>
    <row r="3618" spans="4:59">
      <c r="D3618" s="1065"/>
      <c r="S3618" s="1065"/>
      <c r="BE3618" s="1065"/>
      <c r="BF3618" s="1065"/>
      <c r="BG3618" s="1065"/>
    </row>
    <row r="3619" spans="4:59">
      <c r="D3619" s="1065"/>
      <c r="S3619" s="1065"/>
      <c r="BE3619" s="1065"/>
      <c r="BF3619" s="1065"/>
      <c r="BG3619" s="1065"/>
    </row>
    <row r="3620" spans="4:59">
      <c r="D3620" s="1065"/>
      <c r="S3620" s="1065"/>
      <c r="BE3620" s="1065"/>
      <c r="BF3620" s="1065"/>
      <c r="BG3620" s="1065"/>
    </row>
    <row r="3621" spans="4:59">
      <c r="D3621" s="1065"/>
      <c r="S3621" s="1065"/>
      <c r="BE3621" s="1065"/>
      <c r="BF3621" s="1065"/>
      <c r="BG3621" s="1065"/>
    </row>
    <row r="3622" spans="4:59">
      <c r="D3622" s="1065"/>
      <c r="S3622" s="1065"/>
      <c r="BE3622" s="1065"/>
      <c r="BF3622" s="1065"/>
      <c r="BG3622" s="1065"/>
    </row>
    <row r="3623" spans="4:59">
      <c r="D3623" s="1065"/>
      <c r="S3623" s="1065"/>
      <c r="BE3623" s="1065"/>
      <c r="BF3623" s="1065"/>
      <c r="BG3623" s="1065"/>
    </row>
    <row r="3624" spans="4:59">
      <c r="D3624" s="1065"/>
      <c r="S3624" s="1065"/>
      <c r="BE3624" s="1065"/>
      <c r="BF3624" s="1065"/>
      <c r="BG3624" s="1065"/>
    </row>
    <row r="3625" spans="4:59">
      <c r="D3625" s="1065"/>
      <c r="S3625" s="1065"/>
      <c r="BE3625" s="1065"/>
      <c r="BF3625" s="1065"/>
      <c r="BG3625" s="1065"/>
    </row>
    <row r="3626" spans="4:59">
      <c r="D3626" s="1065"/>
      <c r="S3626" s="1065"/>
      <c r="BE3626" s="1065"/>
      <c r="BF3626" s="1065"/>
      <c r="BG3626" s="1065"/>
    </row>
    <row r="3627" spans="4:59">
      <c r="D3627" s="1065"/>
      <c r="S3627" s="1065"/>
      <c r="BE3627" s="1065"/>
      <c r="BF3627" s="1065"/>
      <c r="BG3627" s="1065"/>
    </row>
    <row r="3628" spans="4:59">
      <c r="D3628" s="1065"/>
      <c r="S3628" s="1065"/>
      <c r="BE3628" s="1065"/>
      <c r="BF3628" s="1065"/>
      <c r="BG3628" s="1065"/>
    </row>
    <row r="3629" spans="4:59">
      <c r="D3629" s="1065"/>
      <c r="S3629" s="1065"/>
      <c r="BE3629" s="1065"/>
      <c r="BF3629" s="1065"/>
      <c r="BG3629" s="1065"/>
    </row>
    <row r="3630" spans="4:59">
      <c r="D3630" s="1065"/>
      <c r="S3630" s="1065"/>
      <c r="BE3630" s="1065"/>
      <c r="BF3630" s="1065"/>
      <c r="BG3630" s="1065"/>
    </row>
    <row r="3631" spans="4:59">
      <c r="D3631" s="1065"/>
      <c r="S3631" s="1065"/>
      <c r="BE3631" s="1065"/>
      <c r="BF3631" s="1065"/>
      <c r="BG3631" s="1065"/>
    </row>
    <row r="3632" spans="4:59">
      <c r="D3632" s="1065"/>
      <c r="S3632" s="1065"/>
      <c r="BE3632" s="1065"/>
      <c r="BF3632" s="1065"/>
      <c r="BG3632" s="1065"/>
    </row>
    <row r="3633" spans="4:59">
      <c r="D3633" s="1065"/>
      <c r="S3633" s="1065"/>
      <c r="BE3633" s="1065"/>
      <c r="BF3633" s="1065"/>
      <c r="BG3633" s="1065"/>
    </row>
    <row r="3634" spans="4:59">
      <c r="D3634" s="1065"/>
      <c r="S3634" s="1065"/>
      <c r="BE3634" s="1065"/>
      <c r="BF3634" s="1065"/>
      <c r="BG3634" s="1065"/>
    </row>
    <row r="3635" spans="4:59">
      <c r="D3635" s="1065"/>
      <c r="S3635" s="1065"/>
      <c r="BE3635" s="1065"/>
      <c r="BF3635" s="1065"/>
      <c r="BG3635" s="1065"/>
    </row>
    <row r="3636" spans="4:59">
      <c r="D3636" s="1065"/>
      <c r="S3636" s="1065"/>
      <c r="BE3636" s="1065"/>
      <c r="BF3636" s="1065"/>
      <c r="BG3636" s="1065"/>
    </row>
    <row r="3637" spans="4:59">
      <c r="D3637" s="1065"/>
      <c r="S3637" s="1065"/>
      <c r="BE3637" s="1065"/>
      <c r="BF3637" s="1065"/>
      <c r="BG3637" s="1065"/>
    </row>
    <row r="3638" spans="4:59">
      <c r="D3638" s="1065"/>
      <c r="S3638" s="1065"/>
      <c r="BE3638" s="1065"/>
      <c r="BF3638" s="1065"/>
      <c r="BG3638" s="1065"/>
    </row>
    <row r="3639" spans="4:59">
      <c r="D3639" s="1065"/>
      <c r="S3639" s="1065"/>
      <c r="BE3639" s="1065"/>
      <c r="BF3639" s="1065"/>
      <c r="BG3639" s="1065"/>
    </row>
    <row r="3640" spans="4:59">
      <c r="D3640" s="1065"/>
      <c r="S3640" s="1065"/>
      <c r="BE3640" s="1065"/>
      <c r="BF3640" s="1065"/>
      <c r="BG3640" s="1065"/>
    </row>
    <row r="3641" spans="4:59">
      <c r="D3641" s="1065"/>
      <c r="S3641" s="1065"/>
      <c r="BE3641" s="1065"/>
      <c r="BF3641" s="1065"/>
      <c r="BG3641" s="1065"/>
    </row>
    <row r="3642" spans="4:59">
      <c r="D3642" s="1065"/>
      <c r="S3642" s="1065"/>
      <c r="BE3642" s="1065"/>
      <c r="BF3642" s="1065"/>
      <c r="BG3642" s="1065"/>
    </row>
    <row r="3643" spans="4:59">
      <c r="D3643" s="1065"/>
      <c r="S3643" s="1065"/>
      <c r="BE3643" s="1065"/>
      <c r="BF3643" s="1065"/>
      <c r="BG3643" s="1065"/>
    </row>
    <row r="3644" spans="4:59">
      <c r="D3644" s="1065"/>
      <c r="S3644" s="1065"/>
      <c r="BE3644" s="1065"/>
      <c r="BF3644" s="1065"/>
      <c r="BG3644" s="1065"/>
    </row>
    <row r="3645" spans="4:59">
      <c r="D3645" s="1065"/>
      <c r="S3645" s="1065"/>
      <c r="BE3645" s="1065"/>
      <c r="BF3645" s="1065"/>
      <c r="BG3645" s="1065"/>
    </row>
    <row r="3646" spans="4:59">
      <c r="D3646" s="1065"/>
      <c r="S3646" s="1065"/>
      <c r="BE3646" s="1065"/>
      <c r="BF3646" s="1065"/>
      <c r="BG3646" s="1065"/>
    </row>
    <row r="3647" spans="4:59">
      <c r="D3647" s="1065"/>
      <c r="S3647" s="1065"/>
      <c r="BE3647" s="1065"/>
      <c r="BF3647" s="1065"/>
      <c r="BG3647" s="1065"/>
    </row>
    <row r="3648" spans="4:59">
      <c r="D3648" s="1065"/>
      <c r="S3648" s="1065"/>
      <c r="BE3648" s="1065"/>
      <c r="BF3648" s="1065"/>
      <c r="BG3648" s="1065"/>
    </row>
    <row r="3649" spans="4:59">
      <c r="D3649" s="1065"/>
      <c r="S3649" s="1065"/>
      <c r="BE3649" s="1065"/>
      <c r="BF3649" s="1065"/>
      <c r="BG3649" s="1065"/>
    </row>
    <row r="3650" spans="4:59">
      <c r="D3650" s="1065"/>
      <c r="S3650" s="1065"/>
      <c r="BE3650" s="1065"/>
      <c r="BF3650" s="1065"/>
      <c r="BG3650" s="1065"/>
    </row>
    <row r="3651" spans="4:59">
      <c r="D3651" s="1065"/>
      <c r="S3651" s="1065"/>
      <c r="BE3651" s="1065"/>
      <c r="BF3651" s="1065"/>
      <c r="BG3651" s="1065"/>
    </row>
    <row r="3652" spans="4:59">
      <c r="D3652" s="1065"/>
      <c r="S3652" s="1065"/>
      <c r="BE3652" s="1065"/>
      <c r="BF3652" s="1065"/>
      <c r="BG3652" s="1065"/>
    </row>
    <row r="3653" spans="4:59">
      <c r="D3653" s="1065"/>
      <c r="S3653" s="1065"/>
      <c r="BE3653" s="1065"/>
      <c r="BF3653" s="1065"/>
      <c r="BG3653" s="1065"/>
    </row>
    <row r="3654" spans="4:59">
      <c r="D3654" s="1065"/>
      <c r="S3654" s="1065"/>
      <c r="BE3654" s="1065"/>
      <c r="BF3654" s="1065"/>
      <c r="BG3654" s="1065"/>
    </row>
    <row r="3655" spans="4:59">
      <c r="D3655" s="1065"/>
      <c r="S3655" s="1065"/>
      <c r="BE3655" s="1065"/>
      <c r="BF3655" s="1065"/>
      <c r="BG3655" s="1065"/>
    </row>
    <row r="3656" spans="4:59">
      <c r="D3656" s="1065"/>
      <c r="S3656" s="1065"/>
      <c r="BE3656" s="1065"/>
      <c r="BF3656" s="1065"/>
      <c r="BG3656" s="1065"/>
    </row>
    <row r="3657" spans="4:59">
      <c r="D3657" s="1065"/>
      <c r="S3657" s="1065"/>
      <c r="BE3657" s="1065"/>
      <c r="BF3657" s="1065"/>
      <c r="BG3657" s="1065"/>
    </row>
    <row r="3658" spans="4:59">
      <c r="D3658" s="1065"/>
      <c r="S3658" s="1065"/>
      <c r="BE3658" s="1065"/>
      <c r="BF3658" s="1065"/>
      <c r="BG3658" s="1065"/>
    </row>
    <row r="3659" spans="4:59">
      <c r="D3659" s="1065"/>
      <c r="S3659" s="1065"/>
      <c r="BE3659" s="1065"/>
      <c r="BF3659" s="1065"/>
      <c r="BG3659" s="1065"/>
    </row>
    <row r="3660" spans="4:59">
      <c r="D3660" s="1065"/>
      <c r="S3660" s="1065"/>
      <c r="BE3660" s="1065"/>
      <c r="BF3660" s="1065"/>
      <c r="BG3660" s="1065"/>
    </row>
    <row r="3661" spans="4:59">
      <c r="D3661" s="1065"/>
      <c r="S3661" s="1065"/>
      <c r="BE3661" s="1065"/>
      <c r="BF3661" s="1065"/>
      <c r="BG3661" s="1065"/>
    </row>
    <row r="3662" spans="4:59">
      <c r="D3662" s="1065"/>
      <c r="S3662" s="1065"/>
      <c r="BE3662" s="1065"/>
      <c r="BF3662" s="1065"/>
      <c r="BG3662" s="1065"/>
    </row>
    <row r="3663" spans="4:59">
      <c r="D3663" s="1065"/>
      <c r="S3663" s="1065"/>
      <c r="BE3663" s="1065"/>
      <c r="BF3663" s="1065"/>
      <c r="BG3663" s="1065"/>
    </row>
    <row r="3664" spans="4:59">
      <c r="D3664" s="1065"/>
      <c r="S3664" s="1065"/>
      <c r="BE3664" s="1065"/>
      <c r="BF3664" s="1065"/>
      <c r="BG3664" s="1065"/>
    </row>
    <row r="3665" spans="4:59">
      <c r="D3665" s="1065"/>
      <c r="S3665" s="1065"/>
      <c r="BE3665" s="1065"/>
      <c r="BF3665" s="1065"/>
      <c r="BG3665" s="1065"/>
    </row>
    <row r="3666" spans="4:59">
      <c r="D3666" s="1065"/>
      <c r="S3666" s="1065"/>
      <c r="BE3666" s="1065"/>
      <c r="BF3666" s="1065"/>
      <c r="BG3666" s="1065"/>
    </row>
    <row r="3667" spans="4:59">
      <c r="D3667" s="1065"/>
      <c r="S3667" s="1065"/>
      <c r="BE3667" s="1065"/>
      <c r="BF3667" s="1065"/>
      <c r="BG3667" s="1065"/>
    </row>
    <row r="3668" spans="4:59">
      <c r="D3668" s="1065"/>
      <c r="S3668" s="1065"/>
      <c r="BE3668" s="1065"/>
      <c r="BF3668" s="1065"/>
      <c r="BG3668" s="1065"/>
    </row>
    <row r="3669" spans="4:59">
      <c r="D3669" s="1065"/>
      <c r="S3669" s="1065"/>
      <c r="BE3669" s="1065"/>
      <c r="BF3669" s="1065"/>
      <c r="BG3669" s="1065"/>
    </row>
    <row r="3670" spans="4:59">
      <c r="D3670" s="1065"/>
      <c r="S3670" s="1065"/>
      <c r="BE3670" s="1065"/>
      <c r="BF3670" s="1065"/>
      <c r="BG3670" s="1065"/>
    </row>
    <row r="3671" spans="4:59">
      <c r="D3671" s="1065"/>
      <c r="S3671" s="1065"/>
      <c r="BE3671" s="1065"/>
      <c r="BF3671" s="1065"/>
      <c r="BG3671" s="1065"/>
    </row>
    <row r="3672" spans="4:59">
      <c r="D3672" s="1065"/>
      <c r="S3672" s="1065"/>
      <c r="BE3672" s="1065"/>
      <c r="BF3672" s="1065"/>
      <c r="BG3672" s="1065"/>
    </row>
    <row r="3673" spans="4:59">
      <c r="D3673" s="1065"/>
      <c r="S3673" s="1065"/>
      <c r="BE3673" s="1065"/>
      <c r="BF3673" s="1065"/>
      <c r="BG3673" s="1065"/>
    </row>
    <row r="3674" spans="4:59">
      <c r="D3674" s="1065"/>
      <c r="S3674" s="1065"/>
      <c r="BE3674" s="1065"/>
      <c r="BF3674" s="1065"/>
      <c r="BG3674" s="1065"/>
    </row>
    <row r="3675" spans="4:59">
      <c r="D3675" s="1065"/>
      <c r="S3675" s="1065"/>
      <c r="BE3675" s="1065"/>
      <c r="BF3675" s="1065"/>
      <c r="BG3675" s="1065"/>
    </row>
    <row r="3676" spans="4:59">
      <c r="D3676" s="1065"/>
      <c r="S3676" s="1065"/>
      <c r="BE3676" s="1065"/>
      <c r="BF3676" s="1065"/>
      <c r="BG3676" s="1065"/>
    </row>
    <row r="3677" spans="4:59">
      <c r="D3677" s="1065"/>
      <c r="S3677" s="1065"/>
      <c r="BE3677" s="1065"/>
      <c r="BF3677" s="1065"/>
      <c r="BG3677" s="1065"/>
    </row>
    <row r="3678" spans="4:59">
      <c r="D3678" s="1065"/>
      <c r="S3678" s="1065"/>
      <c r="BE3678" s="1065"/>
      <c r="BF3678" s="1065"/>
      <c r="BG3678" s="1065"/>
    </row>
    <row r="3679" spans="4:59">
      <c r="D3679" s="1065"/>
      <c r="S3679" s="1065"/>
      <c r="BE3679" s="1065"/>
      <c r="BF3679" s="1065"/>
      <c r="BG3679" s="1065"/>
    </row>
    <row r="3680" spans="4:59">
      <c r="D3680" s="1065"/>
      <c r="S3680" s="1065"/>
      <c r="BE3680" s="1065"/>
      <c r="BF3680" s="1065"/>
      <c r="BG3680" s="1065"/>
    </row>
    <row r="3681" spans="4:59">
      <c r="D3681" s="1065"/>
      <c r="S3681" s="1065"/>
      <c r="BE3681" s="1065"/>
      <c r="BF3681" s="1065"/>
      <c r="BG3681" s="1065"/>
    </row>
    <row r="3682" spans="4:59">
      <c r="D3682" s="1065"/>
      <c r="S3682" s="1065"/>
      <c r="BE3682" s="1065"/>
      <c r="BF3682" s="1065"/>
      <c r="BG3682" s="1065"/>
    </row>
    <row r="3683" spans="4:59">
      <c r="D3683" s="1065"/>
      <c r="S3683" s="1065"/>
      <c r="BE3683" s="1065"/>
      <c r="BF3683" s="1065"/>
      <c r="BG3683" s="1065"/>
    </row>
    <row r="3684" spans="4:59">
      <c r="D3684" s="1065"/>
      <c r="S3684" s="1065"/>
      <c r="BE3684" s="1065"/>
      <c r="BF3684" s="1065"/>
      <c r="BG3684" s="1065"/>
    </row>
    <row r="3685" spans="4:59">
      <c r="D3685" s="1065"/>
      <c r="S3685" s="1065"/>
      <c r="BE3685" s="1065"/>
      <c r="BF3685" s="1065"/>
      <c r="BG3685" s="1065"/>
    </row>
    <row r="3686" spans="4:59">
      <c r="D3686" s="1065"/>
      <c r="S3686" s="1065"/>
      <c r="BE3686" s="1065"/>
      <c r="BF3686" s="1065"/>
      <c r="BG3686" s="1065"/>
    </row>
    <row r="3687" spans="4:59">
      <c r="D3687" s="1065"/>
      <c r="S3687" s="1065"/>
      <c r="BE3687" s="1065"/>
      <c r="BF3687" s="1065"/>
      <c r="BG3687" s="1065"/>
    </row>
    <row r="3688" spans="4:59">
      <c r="D3688" s="1065"/>
      <c r="S3688" s="1065"/>
      <c r="BE3688" s="1065"/>
      <c r="BF3688" s="1065"/>
      <c r="BG3688" s="1065"/>
    </row>
    <row r="3689" spans="4:59">
      <c r="D3689" s="1065"/>
      <c r="S3689" s="1065"/>
      <c r="BE3689" s="1065"/>
      <c r="BF3689" s="1065"/>
      <c r="BG3689" s="1065"/>
    </row>
    <row r="3690" spans="4:59">
      <c r="D3690" s="1065"/>
      <c r="S3690" s="1065"/>
      <c r="BE3690" s="1065"/>
      <c r="BF3690" s="1065"/>
      <c r="BG3690" s="1065"/>
    </row>
    <row r="3691" spans="4:59">
      <c r="D3691" s="1065"/>
      <c r="S3691" s="1065"/>
      <c r="BE3691" s="1065"/>
      <c r="BF3691" s="1065"/>
      <c r="BG3691" s="1065"/>
    </row>
    <row r="3692" spans="4:59">
      <c r="D3692" s="1065"/>
      <c r="S3692" s="1065"/>
      <c r="BE3692" s="1065"/>
      <c r="BF3692" s="1065"/>
      <c r="BG3692" s="1065"/>
    </row>
    <row r="3700" spans="4:59">
      <c r="D3700" s="1065"/>
      <c r="S3700" s="1065"/>
      <c r="BE3700" s="1065"/>
      <c r="BF3700" s="1065"/>
      <c r="BG3700" s="1065"/>
    </row>
    <row r="3701" spans="4:59">
      <c r="D3701" s="1065"/>
      <c r="S3701" s="1065"/>
      <c r="BE3701" s="1065"/>
      <c r="BF3701" s="1065"/>
      <c r="BG3701" s="1065"/>
    </row>
    <row r="3702" spans="4:59">
      <c r="D3702" s="1065"/>
      <c r="S3702" s="1065"/>
      <c r="BE3702" s="1065"/>
      <c r="BF3702" s="1065"/>
      <c r="BG3702" s="1065"/>
    </row>
    <row r="3703" spans="4:59">
      <c r="D3703" s="1065"/>
      <c r="S3703" s="1065"/>
      <c r="BE3703" s="1065"/>
      <c r="BF3703" s="1065"/>
      <c r="BG3703" s="1065"/>
    </row>
    <row r="3704" spans="4:59">
      <c r="D3704" s="1065"/>
      <c r="S3704" s="1065"/>
      <c r="BE3704" s="1065"/>
      <c r="BF3704" s="1065"/>
      <c r="BG3704" s="1065"/>
    </row>
    <row r="3705" spans="4:59">
      <c r="D3705" s="1065"/>
      <c r="S3705" s="1065"/>
      <c r="BE3705" s="1065"/>
      <c r="BF3705" s="1065"/>
      <c r="BG3705" s="1065"/>
    </row>
    <row r="3706" spans="4:59">
      <c r="D3706" s="1065"/>
      <c r="S3706" s="1065"/>
      <c r="BE3706" s="1065"/>
      <c r="BF3706" s="1065"/>
      <c r="BG3706" s="1065"/>
    </row>
    <row r="3707" spans="4:59">
      <c r="D3707" s="1065"/>
      <c r="S3707" s="1065"/>
      <c r="BE3707" s="1065"/>
      <c r="BF3707" s="1065"/>
      <c r="BG3707" s="1065"/>
    </row>
    <row r="3708" spans="4:59">
      <c r="D3708" s="1065"/>
      <c r="S3708" s="1065"/>
      <c r="BE3708" s="1065"/>
      <c r="BF3708" s="1065"/>
      <c r="BG3708" s="1065"/>
    </row>
    <row r="3709" spans="4:59">
      <c r="D3709" s="1065"/>
      <c r="S3709" s="1065"/>
      <c r="BE3709" s="1065"/>
      <c r="BF3709" s="1065"/>
      <c r="BG3709" s="1065"/>
    </row>
    <row r="3710" spans="4:59">
      <c r="D3710" s="1065"/>
      <c r="S3710" s="1065"/>
      <c r="BE3710" s="1065"/>
      <c r="BF3710" s="1065"/>
      <c r="BG3710" s="1065"/>
    </row>
    <row r="3711" spans="4:59">
      <c r="D3711" s="1065"/>
      <c r="S3711" s="1065"/>
      <c r="BE3711" s="1065"/>
      <c r="BF3711" s="1065"/>
      <c r="BG3711" s="1065"/>
    </row>
    <row r="3712" spans="4:59">
      <c r="D3712" s="1065"/>
      <c r="S3712" s="1065"/>
      <c r="BE3712" s="1065"/>
      <c r="BF3712" s="1065"/>
      <c r="BG3712" s="1065"/>
    </row>
    <row r="3713" spans="4:59">
      <c r="D3713" s="1065"/>
      <c r="S3713" s="1065"/>
      <c r="BE3713" s="1065"/>
      <c r="BF3713" s="1065"/>
      <c r="BG3713" s="1065"/>
    </row>
    <row r="3714" spans="4:59">
      <c r="D3714" s="1065"/>
      <c r="S3714" s="1065"/>
      <c r="BE3714" s="1065"/>
      <c r="BF3714" s="1065"/>
      <c r="BG3714" s="1065"/>
    </row>
    <row r="3715" spans="4:59">
      <c r="D3715" s="1065"/>
      <c r="S3715" s="1065"/>
      <c r="BE3715" s="1065"/>
      <c r="BF3715" s="1065"/>
      <c r="BG3715" s="1065"/>
    </row>
    <row r="3716" spans="4:59">
      <c r="D3716" s="1065"/>
      <c r="S3716" s="1065"/>
      <c r="BE3716" s="1065"/>
      <c r="BF3716" s="1065"/>
      <c r="BG3716" s="1065"/>
    </row>
    <row r="3717" spans="4:59">
      <c r="D3717" s="1065"/>
      <c r="S3717" s="1065"/>
      <c r="BE3717" s="1065"/>
      <c r="BF3717" s="1065"/>
      <c r="BG3717" s="1065"/>
    </row>
    <row r="3718" spans="4:59">
      <c r="D3718" s="1065"/>
      <c r="S3718" s="1065"/>
      <c r="BE3718" s="1065"/>
      <c r="BF3718" s="1065"/>
      <c r="BG3718" s="1065"/>
    </row>
    <row r="3719" spans="4:59">
      <c r="D3719" s="1065"/>
      <c r="S3719" s="1065"/>
      <c r="BE3719" s="1065"/>
      <c r="BF3719" s="1065"/>
      <c r="BG3719" s="1065"/>
    </row>
    <row r="3721" spans="4:59">
      <c r="D3721" s="1065"/>
      <c r="S3721" s="1065"/>
      <c r="BE3721" s="1065"/>
      <c r="BF3721" s="1065"/>
      <c r="BG3721" s="1065"/>
    </row>
    <row r="3722" spans="4:59">
      <c r="D3722" s="1065"/>
      <c r="S3722" s="1065"/>
      <c r="BE3722" s="1065"/>
      <c r="BF3722" s="1065"/>
      <c r="BG3722" s="1065"/>
    </row>
    <row r="3725" spans="4:59">
      <c r="D3725" s="1065"/>
      <c r="S3725" s="1065"/>
      <c r="BE3725" s="1065"/>
      <c r="BF3725" s="1065"/>
      <c r="BG3725" s="1065"/>
    </row>
    <row r="3726" spans="4:59">
      <c r="D3726" s="1065"/>
      <c r="S3726" s="1065"/>
      <c r="BE3726" s="1065"/>
      <c r="BF3726" s="1065"/>
      <c r="BG3726" s="1065"/>
    </row>
    <row r="3727" spans="4:59">
      <c r="D3727" s="1065"/>
      <c r="S3727" s="1065"/>
      <c r="BE3727" s="1065"/>
      <c r="BF3727" s="1065"/>
      <c r="BG3727" s="1065"/>
    </row>
    <row r="3728" spans="4:59">
      <c r="D3728" s="1065"/>
      <c r="S3728" s="1065"/>
      <c r="BE3728" s="1065"/>
      <c r="BF3728" s="1065"/>
      <c r="BG3728" s="1065"/>
    </row>
    <row r="3729" spans="4:59">
      <c r="D3729" s="1065"/>
      <c r="S3729" s="1065"/>
      <c r="BE3729" s="1065"/>
      <c r="BF3729" s="1065"/>
      <c r="BG3729" s="1065"/>
    </row>
    <row r="3730" spans="4:59">
      <c r="D3730" s="1065"/>
      <c r="S3730" s="1065"/>
      <c r="BE3730" s="1065"/>
      <c r="BF3730" s="1065"/>
      <c r="BG3730" s="1065"/>
    </row>
    <row r="3731" spans="4:59">
      <c r="D3731" s="1065"/>
      <c r="S3731" s="1065"/>
      <c r="BE3731" s="1065"/>
      <c r="BF3731" s="1065"/>
      <c r="BG3731" s="1065"/>
    </row>
    <row r="3732" spans="4:59">
      <c r="D3732" s="1065"/>
      <c r="S3732" s="1065"/>
      <c r="BE3732" s="1065"/>
      <c r="BF3732" s="1065"/>
      <c r="BG3732" s="1065"/>
    </row>
    <row r="3733" spans="4:59">
      <c r="D3733" s="1065"/>
      <c r="S3733" s="1065"/>
      <c r="BE3733" s="1065"/>
      <c r="BF3733" s="1065"/>
      <c r="BG3733" s="1065"/>
    </row>
    <row r="3734" spans="4:59">
      <c r="D3734" s="1065"/>
      <c r="S3734" s="1065"/>
      <c r="BE3734" s="1065"/>
      <c r="BF3734" s="1065"/>
      <c r="BG3734" s="1065"/>
    </row>
    <row r="3735" spans="4:59">
      <c r="D3735" s="1065"/>
      <c r="S3735" s="1065"/>
      <c r="BE3735" s="1065"/>
      <c r="BF3735" s="1065"/>
      <c r="BG3735" s="1065"/>
    </row>
    <row r="3736" spans="4:59">
      <c r="D3736" s="1065"/>
      <c r="S3736" s="1065"/>
      <c r="BE3736" s="1065"/>
      <c r="BF3736" s="1065"/>
      <c r="BG3736" s="1065"/>
    </row>
    <row r="3737" spans="4:59">
      <c r="D3737" s="1065"/>
      <c r="S3737" s="1065"/>
      <c r="BE3737" s="1065"/>
      <c r="BF3737" s="1065"/>
      <c r="BG3737" s="1065"/>
    </row>
    <row r="3738" spans="4:59">
      <c r="D3738" s="1065"/>
      <c r="S3738" s="1065"/>
      <c r="BE3738" s="1065"/>
      <c r="BF3738" s="1065"/>
      <c r="BG3738" s="1065"/>
    </row>
    <row r="3739" spans="4:59">
      <c r="D3739" s="1065"/>
      <c r="S3739" s="1065"/>
      <c r="BE3739" s="1065"/>
      <c r="BF3739" s="1065"/>
      <c r="BG3739" s="1065"/>
    </row>
    <row r="3740" spans="4:59">
      <c r="D3740" s="1065"/>
      <c r="S3740" s="1065"/>
      <c r="BE3740" s="1065"/>
      <c r="BF3740" s="1065"/>
      <c r="BG3740" s="1065"/>
    </row>
    <row r="3741" spans="4:59">
      <c r="D3741" s="1065"/>
      <c r="S3741" s="1065"/>
      <c r="BE3741" s="1065"/>
      <c r="BF3741" s="1065"/>
      <c r="BG3741" s="1065"/>
    </row>
    <row r="3742" spans="4:59">
      <c r="D3742" s="1065"/>
      <c r="S3742" s="1065"/>
      <c r="BE3742" s="1065"/>
      <c r="BF3742" s="1065"/>
      <c r="BG3742" s="1065"/>
    </row>
    <row r="3743" spans="4:59">
      <c r="D3743" s="1065"/>
      <c r="S3743" s="1065"/>
      <c r="BE3743" s="1065"/>
      <c r="BF3743" s="1065"/>
      <c r="BG3743" s="1065"/>
    </row>
    <row r="3744" spans="4:59">
      <c r="D3744" s="1065"/>
      <c r="S3744" s="1065"/>
      <c r="BE3744" s="1065"/>
      <c r="BF3744" s="1065"/>
      <c r="BG3744" s="1065"/>
    </row>
    <row r="3745" spans="4:59">
      <c r="D3745" s="1065"/>
      <c r="S3745" s="1065"/>
      <c r="BE3745" s="1065"/>
      <c r="BF3745" s="1065"/>
      <c r="BG3745" s="1065"/>
    </row>
    <row r="3746" spans="4:59">
      <c r="D3746" s="1065"/>
      <c r="S3746" s="1065"/>
      <c r="BE3746" s="1065"/>
      <c r="BF3746" s="1065"/>
      <c r="BG3746" s="1065"/>
    </row>
    <row r="3747" spans="4:59">
      <c r="D3747" s="1065"/>
      <c r="S3747" s="1065"/>
      <c r="BE3747" s="1065"/>
      <c r="BF3747" s="1065"/>
      <c r="BG3747" s="1065"/>
    </row>
    <row r="3748" spans="4:59">
      <c r="D3748" s="1065"/>
      <c r="S3748" s="1065"/>
      <c r="BE3748" s="1065"/>
      <c r="BF3748" s="1065"/>
      <c r="BG3748" s="1065"/>
    </row>
    <row r="3749" spans="4:59">
      <c r="D3749" s="1065"/>
      <c r="S3749" s="1065"/>
      <c r="BE3749" s="1065"/>
      <c r="BF3749" s="1065"/>
      <c r="BG3749" s="1065"/>
    </row>
    <row r="3751" spans="4:59">
      <c r="D3751" s="1065"/>
      <c r="S3751" s="1065"/>
      <c r="BE3751" s="1065"/>
      <c r="BF3751" s="1065"/>
      <c r="BG3751" s="1065"/>
    </row>
    <row r="3752" spans="4:59">
      <c r="D3752" s="1065"/>
      <c r="S3752" s="1065"/>
      <c r="BE3752" s="1065"/>
      <c r="BF3752" s="1065"/>
      <c r="BG3752" s="1065"/>
    </row>
    <row r="3757" spans="4:59">
      <c r="D3757" s="1065"/>
      <c r="S3757" s="1065"/>
      <c r="BE3757" s="1065"/>
      <c r="BF3757" s="1065"/>
      <c r="BG3757" s="1065"/>
    </row>
    <row r="3758" spans="4:59">
      <c r="D3758" s="1065"/>
      <c r="S3758" s="1065"/>
      <c r="BE3758" s="1065"/>
      <c r="BF3758" s="1065"/>
      <c r="BG3758" s="1065"/>
    </row>
    <row r="3759" spans="4:59">
      <c r="D3759" s="1065"/>
      <c r="S3759" s="1065"/>
      <c r="BE3759" s="1065"/>
      <c r="BF3759" s="1065"/>
      <c r="BG3759" s="1065"/>
    </row>
    <row r="3760" spans="4:59">
      <c r="D3760" s="1065"/>
      <c r="S3760" s="1065"/>
      <c r="BE3760" s="1065"/>
      <c r="BF3760" s="1065"/>
      <c r="BG3760" s="1065"/>
    </row>
    <row r="3761" spans="4:59">
      <c r="D3761" s="1065"/>
      <c r="S3761" s="1065"/>
      <c r="BE3761" s="1065"/>
      <c r="BF3761" s="1065"/>
      <c r="BG3761" s="1065"/>
    </row>
    <row r="3762" spans="4:59">
      <c r="D3762" s="1065"/>
      <c r="S3762" s="1065"/>
      <c r="BE3762" s="1065"/>
      <c r="BF3762" s="1065"/>
      <c r="BG3762" s="1065"/>
    </row>
    <row r="3763" spans="4:59">
      <c r="D3763" s="1065"/>
      <c r="S3763" s="1065"/>
      <c r="BE3763" s="1065"/>
      <c r="BF3763" s="1065"/>
      <c r="BG3763" s="1065"/>
    </row>
    <row r="3764" spans="4:59">
      <c r="D3764" s="1065"/>
      <c r="S3764" s="1065"/>
      <c r="BE3764" s="1065"/>
      <c r="BF3764" s="1065"/>
      <c r="BG3764" s="1065"/>
    </row>
    <row r="3765" spans="4:59">
      <c r="D3765" s="1065"/>
      <c r="S3765" s="1065"/>
      <c r="BE3765" s="1065"/>
      <c r="BF3765" s="1065"/>
      <c r="BG3765" s="1065"/>
    </row>
    <row r="3766" spans="4:59">
      <c r="D3766" s="1065"/>
      <c r="S3766" s="1065"/>
      <c r="BE3766" s="1065"/>
      <c r="BF3766" s="1065"/>
      <c r="BG3766" s="1065"/>
    </row>
    <row r="3767" spans="4:59">
      <c r="D3767" s="1065"/>
      <c r="S3767" s="1065"/>
      <c r="BE3767" s="1065"/>
      <c r="BF3767" s="1065"/>
      <c r="BG3767" s="1065"/>
    </row>
    <row r="3768" spans="4:59">
      <c r="D3768" s="1065"/>
      <c r="S3768" s="1065"/>
      <c r="BE3768" s="1065"/>
      <c r="BF3768" s="1065"/>
      <c r="BG3768" s="1065"/>
    </row>
    <row r="3769" spans="4:59">
      <c r="D3769" s="1065"/>
      <c r="S3769" s="1065"/>
      <c r="BE3769" s="1065"/>
      <c r="BF3769" s="1065"/>
      <c r="BG3769" s="1065"/>
    </row>
    <row r="3770" spans="4:59">
      <c r="D3770" s="1065"/>
      <c r="S3770" s="1065"/>
      <c r="BE3770" s="1065"/>
      <c r="BF3770" s="1065"/>
      <c r="BG3770" s="1065"/>
    </row>
    <row r="3771" spans="4:59">
      <c r="D3771" s="1065"/>
      <c r="S3771" s="1065"/>
      <c r="BE3771" s="1065"/>
      <c r="BF3771" s="1065"/>
      <c r="BG3771" s="1065"/>
    </row>
    <row r="3772" spans="4:59">
      <c r="D3772" s="1065"/>
      <c r="S3772" s="1065"/>
      <c r="BE3772" s="1065"/>
      <c r="BF3772" s="1065"/>
      <c r="BG3772" s="1065"/>
    </row>
    <row r="3773" spans="4:59">
      <c r="D3773" s="1065"/>
      <c r="S3773" s="1065"/>
      <c r="BE3773" s="1065"/>
      <c r="BF3773" s="1065"/>
      <c r="BG3773" s="1065"/>
    </row>
    <row r="3774" spans="4:59">
      <c r="D3774" s="1065"/>
      <c r="S3774" s="1065"/>
      <c r="BE3774" s="1065"/>
      <c r="BF3774" s="1065"/>
      <c r="BG3774" s="1065"/>
    </row>
    <row r="3775" spans="4:59">
      <c r="D3775" s="1065"/>
      <c r="S3775" s="1065"/>
      <c r="BE3775" s="1065"/>
      <c r="BF3775" s="1065"/>
      <c r="BG3775" s="1065"/>
    </row>
    <row r="3776" spans="4:59">
      <c r="D3776" s="1065"/>
      <c r="S3776" s="1065"/>
      <c r="BE3776" s="1065"/>
      <c r="BF3776" s="1065"/>
      <c r="BG3776" s="1065"/>
    </row>
    <row r="3777" spans="4:59">
      <c r="D3777" s="1065"/>
      <c r="S3777" s="1065"/>
      <c r="BE3777" s="1065"/>
      <c r="BF3777" s="1065"/>
      <c r="BG3777" s="1065"/>
    </row>
    <row r="3778" spans="4:59">
      <c r="D3778" s="1065"/>
      <c r="S3778" s="1065"/>
      <c r="BE3778" s="1065"/>
      <c r="BF3778" s="1065"/>
      <c r="BG3778" s="1065"/>
    </row>
    <row r="3779" spans="4:59">
      <c r="D3779" s="1065"/>
      <c r="S3779" s="1065"/>
      <c r="BE3779" s="1065"/>
      <c r="BF3779" s="1065"/>
      <c r="BG3779" s="1065"/>
    </row>
    <row r="3780" spans="4:59">
      <c r="D3780" s="1065"/>
      <c r="S3780" s="1065"/>
      <c r="BE3780" s="1065"/>
      <c r="BF3780" s="1065"/>
      <c r="BG3780" s="1065"/>
    </row>
    <row r="3781" spans="4:59">
      <c r="D3781" s="1065"/>
      <c r="S3781" s="1065"/>
      <c r="BE3781" s="1065"/>
      <c r="BF3781" s="1065"/>
      <c r="BG3781" s="1065"/>
    </row>
    <row r="3782" spans="4:59">
      <c r="D3782" s="1065"/>
      <c r="S3782" s="1065"/>
      <c r="BE3782" s="1065"/>
      <c r="BF3782" s="1065"/>
      <c r="BG3782" s="1065"/>
    </row>
    <row r="3783" spans="4:59">
      <c r="D3783" s="1065"/>
      <c r="S3783" s="1065"/>
      <c r="BE3783" s="1065"/>
      <c r="BF3783" s="1065"/>
      <c r="BG3783" s="1065"/>
    </row>
    <row r="3784" spans="4:59">
      <c r="D3784" s="1065"/>
      <c r="S3784" s="1065"/>
      <c r="BE3784" s="1065"/>
      <c r="BF3784" s="1065"/>
      <c r="BG3784" s="1065"/>
    </row>
    <row r="3785" spans="4:59">
      <c r="D3785" s="1065"/>
      <c r="S3785" s="1065"/>
      <c r="BE3785" s="1065"/>
      <c r="BF3785" s="1065"/>
      <c r="BG3785" s="1065"/>
    </row>
    <row r="3786" spans="4:59">
      <c r="D3786" s="1065"/>
      <c r="S3786" s="1065"/>
      <c r="BE3786" s="1065"/>
      <c r="BF3786" s="1065"/>
      <c r="BG3786" s="1065"/>
    </row>
    <row r="3787" spans="4:59">
      <c r="D3787" s="1065"/>
      <c r="S3787" s="1065"/>
      <c r="BE3787" s="1065"/>
      <c r="BF3787" s="1065"/>
      <c r="BG3787" s="1065"/>
    </row>
    <row r="3788" spans="4:59">
      <c r="D3788" s="1065"/>
      <c r="S3788" s="1065"/>
      <c r="BE3788" s="1065"/>
      <c r="BF3788" s="1065"/>
      <c r="BG3788" s="1065"/>
    </row>
    <row r="3789" spans="4:59">
      <c r="D3789" s="1065"/>
      <c r="S3789" s="1065"/>
      <c r="BE3789" s="1065"/>
      <c r="BF3789" s="1065"/>
      <c r="BG3789" s="1065"/>
    </row>
    <row r="3790" spans="4:59">
      <c r="D3790" s="1065"/>
      <c r="S3790" s="1065"/>
      <c r="BE3790" s="1065"/>
      <c r="BF3790" s="1065"/>
      <c r="BG3790" s="1065"/>
    </row>
    <row r="3791" spans="4:59">
      <c r="D3791" s="1065"/>
      <c r="S3791" s="1065"/>
      <c r="BE3791" s="1065"/>
      <c r="BF3791" s="1065"/>
      <c r="BG3791" s="1065"/>
    </row>
    <row r="3792" spans="4:59">
      <c r="D3792" s="1065"/>
      <c r="S3792" s="1065"/>
      <c r="BE3792" s="1065"/>
      <c r="BF3792" s="1065"/>
      <c r="BG3792" s="1065"/>
    </row>
    <row r="3793" spans="4:59">
      <c r="D3793" s="1065"/>
      <c r="S3793" s="1065"/>
      <c r="BE3793" s="1065"/>
      <c r="BF3793" s="1065"/>
      <c r="BG3793" s="1065"/>
    </row>
    <row r="3794" spans="4:59">
      <c r="D3794" s="1065"/>
      <c r="S3794" s="1065"/>
      <c r="BE3794" s="1065"/>
      <c r="BF3794" s="1065"/>
      <c r="BG3794" s="1065"/>
    </row>
    <row r="3795" spans="4:59">
      <c r="D3795" s="1065"/>
      <c r="S3795" s="1065"/>
      <c r="BE3795" s="1065"/>
      <c r="BF3795" s="1065"/>
      <c r="BG3795" s="1065"/>
    </row>
    <row r="3796" spans="4:59">
      <c r="D3796" s="1065"/>
      <c r="S3796" s="1065"/>
      <c r="BE3796" s="1065"/>
      <c r="BF3796" s="1065"/>
      <c r="BG3796" s="1065"/>
    </row>
    <row r="3797" spans="4:59">
      <c r="D3797" s="1065"/>
      <c r="S3797" s="1065"/>
      <c r="BE3797" s="1065"/>
      <c r="BF3797" s="1065"/>
      <c r="BG3797" s="1065"/>
    </row>
    <row r="3798" spans="4:59">
      <c r="D3798" s="1065"/>
      <c r="S3798" s="1065"/>
      <c r="BE3798" s="1065"/>
      <c r="BF3798" s="1065"/>
      <c r="BG3798" s="1065"/>
    </row>
    <row r="3799" spans="4:59">
      <c r="D3799" s="1065"/>
      <c r="S3799" s="1065"/>
      <c r="BE3799" s="1065"/>
      <c r="BF3799" s="1065"/>
      <c r="BG3799" s="1065"/>
    </row>
    <row r="3800" spans="4:59">
      <c r="D3800" s="1065"/>
      <c r="S3800" s="1065"/>
      <c r="BE3800" s="1065"/>
      <c r="BF3800" s="1065"/>
      <c r="BG3800" s="1065"/>
    </row>
    <row r="3801" spans="4:59">
      <c r="D3801" s="1065"/>
      <c r="S3801" s="1065"/>
      <c r="BE3801" s="1065"/>
      <c r="BF3801" s="1065"/>
      <c r="BG3801" s="1065"/>
    </row>
    <row r="3802" spans="4:59">
      <c r="D3802" s="1065"/>
      <c r="S3802" s="1065"/>
      <c r="BE3802" s="1065"/>
      <c r="BF3802" s="1065"/>
      <c r="BG3802" s="1065"/>
    </row>
    <row r="3803" spans="4:59">
      <c r="D3803" s="1065"/>
      <c r="S3803" s="1065"/>
      <c r="BE3803" s="1065"/>
      <c r="BF3803" s="1065"/>
      <c r="BG3803" s="1065"/>
    </row>
    <row r="3804" spans="4:59">
      <c r="D3804" s="1065"/>
      <c r="S3804" s="1065"/>
      <c r="BE3804" s="1065"/>
      <c r="BF3804" s="1065"/>
      <c r="BG3804" s="1065"/>
    </row>
    <row r="3805" spans="4:59">
      <c r="D3805" s="1065"/>
      <c r="S3805" s="1065"/>
      <c r="BE3805" s="1065"/>
      <c r="BF3805" s="1065"/>
      <c r="BG3805" s="1065"/>
    </row>
    <row r="3806" spans="4:59">
      <c r="D3806" s="1065"/>
      <c r="S3806" s="1065"/>
      <c r="BE3806" s="1065"/>
      <c r="BF3806" s="1065"/>
      <c r="BG3806" s="1065"/>
    </row>
    <row r="3807" spans="4:59">
      <c r="D3807" s="1065"/>
      <c r="S3807" s="1065"/>
      <c r="BE3807" s="1065"/>
      <c r="BF3807" s="1065"/>
      <c r="BG3807" s="1065"/>
    </row>
    <row r="3808" spans="4:59">
      <c r="D3808" s="1065"/>
      <c r="S3808" s="1065"/>
      <c r="BE3808" s="1065"/>
      <c r="BF3808" s="1065"/>
      <c r="BG3808" s="1065"/>
    </row>
    <row r="3809" spans="4:59">
      <c r="D3809" s="1065"/>
      <c r="S3809" s="1065"/>
      <c r="BE3809" s="1065"/>
      <c r="BF3809" s="1065"/>
      <c r="BG3809" s="1065"/>
    </row>
    <row r="3810" spans="4:59">
      <c r="D3810" s="1065"/>
      <c r="S3810" s="1065"/>
      <c r="BE3810" s="1065"/>
      <c r="BF3810" s="1065"/>
      <c r="BG3810" s="1065"/>
    </row>
    <row r="3811" spans="4:59">
      <c r="D3811" s="1065"/>
      <c r="S3811" s="1065"/>
      <c r="BE3811" s="1065"/>
      <c r="BF3811" s="1065"/>
      <c r="BG3811" s="1065"/>
    </row>
    <row r="3812" spans="4:59">
      <c r="D3812" s="1065"/>
      <c r="S3812" s="1065"/>
      <c r="BE3812" s="1065"/>
      <c r="BF3812" s="1065"/>
      <c r="BG3812" s="1065"/>
    </row>
    <row r="3813" spans="4:59">
      <c r="D3813" s="1065"/>
      <c r="S3813" s="1065"/>
      <c r="BE3813" s="1065"/>
      <c r="BF3813" s="1065"/>
      <c r="BG3813" s="1065"/>
    </row>
    <row r="3814" spans="4:59">
      <c r="D3814" s="1065"/>
      <c r="S3814" s="1065"/>
      <c r="BE3814" s="1065"/>
      <c r="BF3814" s="1065"/>
      <c r="BG3814" s="1065"/>
    </row>
    <row r="3815" spans="4:59">
      <c r="D3815" s="1065"/>
      <c r="S3815" s="1065"/>
      <c r="BE3815" s="1065"/>
      <c r="BF3815" s="1065"/>
      <c r="BG3815" s="1065"/>
    </row>
    <row r="3816" spans="4:59">
      <c r="D3816" s="1065"/>
      <c r="S3816" s="1065"/>
      <c r="BE3816" s="1065"/>
      <c r="BF3816" s="1065"/>
      <c r="BG3816" s="1065"/>
    </row>
    <row r="3817" spans="4:59">
      <c r="D3817" s="1065"/>
      <c r="S3817" s="1065"/>
      <c r="BE3817" s="1065"/>
      <c r="BF3817" s="1065"/>
      <c r="BG3817" s="1065"/>
    </row>
    <row r="3818" spans="4:59">
      <c r="D3818" s="1065"/>
      <c r="S3818" s="1065"/>
      <c r="BE3818" s="1065"/>
      <c r="BF3818" s="1065"/>
      <c r="BG3818" s="1065"/>
    </row>
    <row r="3819" spans="4:59">
      <c r="D3819" s="1065"/>
      <c r="S3819" s="1065"/>
      <c r="BE3819" s="1065"/>
      <c r="BF3819" s="1065"/>
      <c r="BG3819" s="1065"/>
    </row>
    <row r="3820" spans="4:59">
      <c r="D3820" s="1065"/>
      <c r="S3820" s="1065"/>
      <c r="BE3820" s="1065"/>
      <c r="BF3820" s="1065"/>
      <c r="BG3820" s="1065"/>
    </row>
    <row r="3821" spans="4:59">
      <c r="D3821" s="1065"/>
      <c r="S3821" s="1065"/>
      <c r="BE3821" s="1065"/>
      <c r="BF3821" s="1065"/>
      <c r="BG3821" s="1065"/>
    </row>
    <row r="3822" spans="4:59">
      <c r="D3822" s="1065"/>
      <c r="S3822" s="1065"/>
      <c r="BE3822" s="1065"/>
      <c r="BF3822" s="1065"/>
      <c r="BG3822" s="1065"/>
    </row>
    <row r="3823" spans="4:59">
      <c r="D3823" s="1065"/>
      <c r="S3823" s="1065"/>
      <c r="BE3823" s="1065"/>
      <c r="BF3823" s="1065"/>
      <c r="BG3823" s="1065"/>
    </row>
    <row r="3824" spans="4:59">
      <c r="D3824" s="1065"/>
      <c r="S3824" s="1065"/>
      <c r="BE3824" s="1065"/>
      <c r="BF3824" s="1065"/>
      <c r="BG3824" s="1065"/>
    </row>
    <row r="3825" spans="4:59">
      <c r="D3825" s="1065"/>
      <c r="S3825" s="1065"/>
      <c r="BE3825" s="1065"/>
      <c r="BF3825" s="1065"/>
      <c r="BG3825" s="1065"/>
    </row>
    <row r="3826" spans="4:59">
      <c r="D3826" s="1065"/>
      <c r="S3826" s="1065"/>
      <c r="BE3826" s="1065"/>
      <c r="BF3826" s="1065"/>
      <c r="BG3826" s="1065"/>
    </row>
    <row r="3827" spans="4:59">
      <c r="D3827" s="1065"/>
      <c r="S3827" s="1065"/>
      <c r="BE3827" s="1065"/>
      <c r="BF3827" s="1065"/>
      <c r="BG3827" s="1065"/>
    </row>
    <row r="3828" spans="4:59">
      <c r="D3828" s="1065"/>
      <c r="S3828" s="1065"/>
      <c r="BE3828" s="1065"/>
      <c r="BF3828" s="1065"/>
      <c r="BG3828" s="1065"/>
    </row>
    <row r="3829" spans="4:59">
      <c r="D3829" s="1065"/>
      <c r="S3829" s="1065"/>
      <c r="BE3829" s="1065"/>
      <c r="BF3829" s="1065"/>
      <c r="BG3829" s="1065"/>
    </row>
    <row r="3830" spans="4:59">
      <c r="D3830" s="1065"/>
      <c r="S3830" s="1065"/>
      <c r="BE3830" s="1065"/>
      <c r="BF3830" s="1065"/>
      <c r="BG3830" s="1065"/>
    </row>
    <row r="3831" spans="4:59">
      <c r="D3831" s="1065"/>
      <c r="S3831" s="1065"/>
      <c r="BE3831" s="1065"/>
      <c r="BF3831" s="1065"/>
      <c r="BG3831" s="1065"/>
    </row>
    <row r="3832" spans="4:59">
      <c r="D3832" s="1065"/>
      <c r="S3832" s="1065"/>
      <c r="BE3832" s="1065"/>
      <c r="BF3832" s="1065"/>
      <c r="BG3832" s="1065"/>
    </row>
    <row r="3833" spans="4:59">
      <c r="D3833" s="1065"/>
      <c r="S3833" s="1065"/>
      <c r="BE3833" s="1065"/>
      <c r="BF3833" s="1065"/>
      <c r="BG3833" s="1065"/>
    </row>
    <row r="3834" spans="4:59">
      <c r="D3834" s="1065"/>
      <c r="S3834" s="1065"/>
      <c r="BE3834" s="1065"/>
      <c r="BF3834" s="1065"/>
      <c r="BG3834" s="1065"/>
    </row>
    <row r="3835" spans="4:59">
      <c r="D3835" s="1065"/>
      <c r="S3835" s="1065"/>
      <c r="BE3835" s="1065"/>
      <c r="BF3835" s="1065"/>
      <c r="BG3835" s="1065"/>
    </row>
    <row r="3836" spans="4:59">
      <c r="D3836" s="1065"/>
      <c r="S3836" s="1065"/>
      <c r="BE3836" s="1065"/>
      <c r="BF3836" s="1065"/>
      <c r="BG3836" s="1065"/>
    </row>
    <row r="3837" spans="4:59">
      <c r="D3837" s="1065"/>
      <c r="S3837" s="1065"/>
      <c r="BE3837" s="1065"/>
      <c r="BF3837" s="1065"/>
      <c r="BG3837" s="1065"/>
    </row>
    <row r="3838" spans="4:59">
      <c r="D3838" s="1065"/>
      <c r="S3838" s="1065"/>
      <c r="BE3838" s="1065"/>
      <c r="BF3838" s="1065"/>
      <c r="BG3838" s="1065"/>
    </row>
    <row r="3839" spans="4:59">
      <c r="D3839" s="1065"/>
      <c r="S3839" s="1065"/>
      <c r="BE3839" s="1065"/>
      <c r="BF3839" s="1065"/>
      <c r="BG3839" s="1065"/>
    </row>
    <row r="3840" spans="4:59">
      <c r="D3840" s="1065"/>
      <c r="S3840" s="1065"/>
      <c r="BE3840" s="1065"/>
      <c r="BF3840" s="1065"/>
      <c r="BG3840" s="1065"/>
    </row>
    <row r="3841" spans="4:59">
      <c r="D3841" s="1065"/>
      <c r="S3841" s="1065"/>
      <c r="BE3841" s="1065"/>
      <c r="BF3841" s="1065"/>
      <c r="BG3841" s="1065"/>
    </row>
    <row r="3842" spans="4:59">
      <c r="D3842" s="1065"/>
      <c r="S3842" s="1065"/>
      <c r="BE3842" s="1065"/>
      <c r="BF3842" s="1065"/>
      <c r="BG3842" s="1065"/>
    </row>
    <row r="3843" spans="4:59">
      <c r="D3843" s="1065"/>
      <c r="S3843" s="1065"/>
      <c r="BE3843" s="1065"/>
      <c r="BF3843" s="1065"/>
      <c r="BG3843" s="1065"/>
    </row>
    <row r="3844" spans="4:59">
      <c r="D3844" s="1065"/>
      <c r="S3844" s="1065"/>
      <c r="BE3844" s="1065"/>
      <c r="BF3844" s="1065"/>
      <c r="BG3844" s="1065"/>
    </row>
    <row r="3845" spans="4:59">
      <c r="D3845" s="1065"/>
      <c r="S3845" s="1065"/>
      <c r="BE3845" s="1065"/>
      <c r="BF3845" s="1065"/>
      <c r="BG3845" s="1065"/>
    </row>
    <row r="3846" spans="4:59">
      <c r="D3846" s="1065"/>
      <c r="S3846" s="1065"/>
      <c r="BE3846" s="1065"/>
      <c r="BF3846" s="1065"/>
      <c r="BG3846" s="1065"/>
    </row>
    <row r="3847" spans="4:59">
      <c r="D3847" s="1065"/>
      <c r="S3847" s="1065"/>
      <c r="BE3847" s="1065"/>
      <c r="BF3847" s="1065"/>
      <c r="BG3847" s="1065"/>
    </row>
    <row r="3848" spans="4:59">
      <c r="D3848" s="1065"/>
      <c r="S3848" s="1065"/>
      <c r="BE3848" s="1065"/>
      <c r="BF3848" s="1065"/>
      <c r="BG3848" s="1065"/>
    </row>
    <row r="3849" spans="4:59">
      <c r="D3849" s="1065"/>
      <c r="S3849" s="1065"/>
      <c r="BE3849" s="1065"/>
      <c r="BF3849" s="1065"/>
      <c r="BG3849" s="1065"/>
    </row>
    <row r="3850" spans="4:59">
      <c r="D3850" s="1065"/>
      <c r="S3850" s="1065"/>
      <c r="BE3850" s="1065"/>
      <c r="BF3850" s="1065"/>
      <c r="BG3850" s="1065"/>
    </row>
    <row r="3851" spans="4:59">
      <c r="D3851" s="1065"/>
      <c r="S3851" s="1065"/>
      <c r="BE3851" s="1065"/>
      <c r="BF3851" s="1065"/>
      <c r="BG3851" s="1065"/>
    </row>
    <row r="3852" spans="4:59">
      <c r="D3852" s="1065"/>
      <c r="S3852" s="1065"/>
      <c r="BE3852" s="1065"/>
      <c r="BF3852" s="1065"/>
      <c r="BG3852" s="1065"/>
    </row>
    <row r="3853" spans="4:59">
      <c r="D3853" s="1065"/>
      <c r="S3853" s="1065"/>
      <c r="BE3853" s="1065"/>
      <c r="BF3853" s="1065"/>
      <c r="BG3853" s="1065"/>
    </row>
    <row r="3854" spans="4:59">
      <c r="D3854" s="1065"/>
      <c r="S3854" s="1065"/>
      <c r="BE3854" s="1065"/>
      <c r="BF3854" s="1065"/>
      <c r="BG3854" s="1065"/>
    </row>
    <row r="3855" spans="4:59">
      <c r="D3855" s="1065"/>
      <c r="S3855" s="1065"/>
      <c r="BE3855" s="1065"/>
      <c r="BF3855" s="1065"/>
      <c r="BG3855" s="1065"/>
    </row>
    <row r="3856" spans="4:59">
      <c r="D3856" s="1065"/>
      <c r="S3856" s="1065"/>
      <c r="BE3856" s="1065"/>
      <c r="BF3856" s="1065"/>
      <c r="BG3856" s="1065"/>
    </row>
    <row r="3857" spans="4:59">
      <c r="D3857" s="1065"/>
      <c r="S3857" s="1065"/>
      <c r="BE3857" s="1065"/>
      <c r="BF3857" s="1065"/>
      <c r="BG3857" s="1065"/>
    </row>
    <row r="3858" spans="4:59">
      <c r="D3858" s="1065"/>
      <c r="S3858" s="1065"/>
      <c r="BE3858" s="1065"/>
      <c r="BF3858" s="1065"/>
      <c r="BG3858" s="1065"/>
    </row>
    <row r="3859" spans="4:59">
      <c r="D3859" s="1065"/>
      <c r="S3859" s="1065"/>
      <c r="BE3859" s="1065"/>
      <c r="BF3859" s="1065"/>
      <c r="BG3859" s="1065"/>
    </row>
    <row r="3860" spans="4:59">
      <c r="D3860" s="1065"/>
      <c r="S3860" s="1065"/>
      <c r="BE3860" s="1065"/>
      <c r="BF3860" s="1065"/>
      <c r="BG3860" s="1065"/>
    </row>
    <row r="3861" spans="4:59">
      <c r="D3861" s="1065"/>
      <c r="S3861" s="1065"/>
      <c r="BE3861" s="1065"/>
      <c r="BF3861" s="1065"/>
      <c r="BG3861" s="1065"/>
    </row>
    <row r="3862" spans="4:59">
      <c r="D3862" s="1065"/>
      <c r="S3862" s="1065"/>
      <c r="BE3862" s="1065"/>
      <c r="BF3862" s="1065"/>
      <c r="BG3862" s="1065"/>
    </row>
    <row r="3863" spans="4:59">
      <c r="D3863" s="1065"/>
      <c r="S3863" s="1065"/>
      <c r="BE3863" s="1065"/>
      <c r="BF3863" s="1065"/>
      <c r="BG3863" s="1065"/>
    </row>
    <row r="3864" spans="4:59">
      <c r="D3864" s="1065"/>
      <c r="S3864" s="1065"/>
      <c r="BE3864" s="1065"/>
      <c r="BF3864" s="1065"/>
      <c r="BG3864" s="1065"/>
    </row>
    <row r="3865" spans="4:59">
      <c r="D3865" s="1065"/>
      <c r="S3865" s="1065"/>
      <c r="BE3865" s="1065"/>
      <c r="BF3865" s="1065"/>
      <c r="BG3865" s="1065"/>
    </row>
    <row r="3866" spans="4:59">
      <c r="D3866" s="1065"/>
      <c r="S3866" s="1065"/>
      <c r="BE3866" s="1065"/>
      <c r="BF3866" s="1065"/>
      <c r="BG3866" s="1065"/>
    </row>
    <row r="3867" spans="4:59">
      <c r="D3867" s="1065"/>
      <c r="S3867" s="1065"/>
      <c r="BE3867" s="1065"/>
      <c r="BF3867" s="1065"/>
      <c r="BG3867" s="1065"/>
    </row>
    <row r="3868" spans="4:59">
      <c r="D3868" s="1065"/>
      <c r="S3868" s="1065"/>
      <c r="BE3868" s="1065"/>
      <c r="BF3868" s="1065"/>
      <c r="BG3868" s="1065"/>
    </row>
    <row r="3869" spans="4:59">
      <c r="D3869" s="1065"/>
      <c r="S3869" s="1065"/>
      <c r="BE3869" s="1065"/>
      <c r="BF3869" s="1065"/>
      <c r="BG3869" s="1065"/>
    </row>
    <row r="3870" spans="4:59">
      <c r="D3870" s="1065"/>
      <c r="S3870" s="1065"/>
      <c r="BE3870" s="1065"/>
      <c r="BF3870" s="1065"/>
      <c r="BG3870" s="1065"/>
    </row>
    <row r="3871" spans="4:59">
      <c r="D3871" s="1065"/>
      <c r="S3871" s="1065"/>
      <c r="BE3871" s="1065"/>
      <c r="BF3871" s="1065"/>
      <c r="BG3871" s="1065"/>
    </row>
    <row r="3872" spans="4:59">
      <c r="D3872" s="1065"/>
      <c r="S3872" s="1065"/>
      <c r="BE3872" s="1065"/>
      <c r="BF3872" s="1065"/>
      <c r="BG3872" s="1065"/>
    </row>
    <row r="3873" spans="4:59">
      <c r="D3873" s="1065"/>
      <c r="S3873" s="1065"/>
      <c r="BE3873" s="1065"/>
      <c r="BF3873" s="1065"/>
      <c r="BG3873" s="1065"/>
    </row>
    <row r="3874" spans="4:59">
      <c r="D3874" s="1065"/>
      <c r="S3874" s="1065"/>
      <c r="BE3874" s="1065"/>
      <c r="BF3874" s="1065"/>
      <c r="BG3874" s="1065"/>
    </row>
    <row r="3875" spans="4:59">
      <c r="D3875" s="1065"/>
      <c r="S3875" s="1065"/>
      <c r="BE3875" s="1065"/>
      <c r="BF3875" s="1065"/>
      <c r="BG3875" s="1065"/>
    </row>
    <row r="3876" spans="4:59">
      <c r="D3876" s="1065"/>
      <c r="S3876" s="1065"/>
      <c r="BE3876" s="1065"/>
      <c r="BF3876" s="1065"/>
      <c r="BG3876" s="1065"/>
    </row>
    <row r="3877" spans="4:59">
      <c r="D3877" s="1065"/>
      <c r="S3877" s="1065"/>
      <c r="BE3877" s="1065"/>
      <c r="BF3877" s="1065"/>
      <c r="BG3877" s="1065"/>
    </row>
    <row r="3878" spans="4:59">
      <c r="D3878" s="1065"/>
      <c r="S3878" s="1065"/>
      <c r="BE3878" s="1065"/>
      <c r="BF3878" s="1065"/>
      <c r="BG3878" s="1065"/>
    </row>
    <row r="3879" spans="4:59">
      <c r="D3879" s="1065"/>
      <c r="S3879" s="1065"/>
      <c r="BE3879" s="1065"/>
      <c r="BF3879" s="1065"/>
      <c r="BG3879" s="1065"/>
    </row>
    <row r="3880" spans="4:59">
      <c r="D3880" s="1065"/>
      <c r="S3880" s="1065"/>
      <c r="BE3880" s="1065"/>
      <c r="BF3880" s="1065"/>
      <c r="BG3880" s="1065"/>
    </row>
    <row r="3881" spans="4:59">
      <c r="D3881" s="1065"/>
      <c r="S3881" s="1065"/>
      <c r="BE3881" s="1065"/>
      <c r="BF3881" s="1065"/>
      <c r="BG3881" s="1065"/>
    </row>
    <row r="3882" spans="4:59">
      <c r="D3882" s="1065"/>
      <c r="S3882" s="1065"/>
      <c r="BE3882" s="1065"/>
      <c r="BF3882" s="1065"/>
      <c r="BG3882" s="1065"/>
    </row>
    <row r="3883" spans="4:59">
      <c r="D3883" s="1065"/>
      <c r="S3883" s="1065"/>
      <c r="BE3883" s="1065"/>
      <c r="BF3883" s="1065"/>
      <c r="BG3883" s="1065"/>
    </row>
    <row r="3884" spans="4:59">
      <c r="D3884" s="1065"/>
      <c r="S3884" s="1065"/>
      <c r="BE3884" s="1065"/>
      <c r="BF3884" s="1065"/>
      <c r="BG3884" s="1065"/>
    </row>
    <row r="3885" spans="4:59">
      <c r="D3885" s="1065"/>
      <c r="S3885" s="1065"/>
      <c r="BE3885" s="1065"/>
      <c r="BF3885" s="1065"/>
      <c r="BG3885" s="1065"/>
    </row>
    <row r="3886" spans="4:59">
      <c r="D3886" s="1065"/>
      <c r="S3886" s="1065"/>
      <c r="BE3886" s="1065"/>
      <c r="BF3886" s="1065"/>
      <c r="BG3886" s="1065"/>
    </row>
    <row r="3887" spans="4:59">
      <c r="D3887" s="1065"/>
      <c r="S3887" s="1065"/>
      <c r="BE3887" s="1065"/>
      <c r="BF3887" s="1065"/>
      <c r="BG3887" s="1065"/>
    </row>
    <row r="3888" spans="4:59">
      <c r="D3888" s="1065"/>
      <c r="S3888" s="1065"/>
      <c r="BE3888" s="1065"/>
      <c r="BF3888" s="1065"/>
      <c r="BG3888" s="1065"/>
    </row>
    <row r="3889" spans="4:59">
      <c r="D3889" s="1065"/>
      <c r="S3889" s="1065"/>
      <c r="BE3889" s="1065"/>
      <c r="BF3889" s="1065"/>
      <c r="BG3889" s="1065"/>
    </row>
    <row r="3890" spans="4:59">
      <c r="D3890" s="1065"/>
      <c r="S3890" s="1065"/>
      <c r="BE3890" s="1065"/>
      <c r="BF3890" s="1065"/>
      <c r="BG3890" s="1065"/>
    </row>
    <row r="3891" spans="4:59">
      <c r="D3891" s="1065"/>
      <c r="S3891" s="1065"/>
      <c r="BE3891" s="1065"/>
      <c r="BF3891" s="1065"/>
      <c r="BG3891" s="1065"/>
    </row>
    <row r="3892" spans="4:59">
      <c r="D3892" s="1065"/>
      <c r="S3892" s="1065"/>
      <c r="BE3892" s="1065"/>
      <c r="BF3892" s="1065"/>
      <c r="BG3892" s="1065"/>
    </row>
    <row r="3893" spans="4:59">
      <c r="D3893" s="1065"/>
      <c r="S3893" s="1065"/>
      <c r="BE3893" s="1065"/>
      <c r="BF3893" s="1065"/>
      <c r="BG3893" s="1065"/>
    </row>
    <row r="3894" spans="4:59">
      <c r="D3894" s="1065"/>
      <c r="S3894" s="1065"/>
      <c r="BE3894" s="1065"/>
      <c r="BF3894" s="1065"/>
      <c r="BG3894" s="1065"/>
    </row>
    <row r="3895" spans="4:59">
      <c r="D3895" s="1065"/>
      <c r="S3895" s="1065"/>
      <c r="BE3895" s="1065"/>
      <c r="BF3895" s="1065"/>
      <c r="BG3895" s="1065"/>
    </row>
    <row r="3896" spans="4:59">
      <c r="D3896" s="1065"/>
      <c r="S3896" s="1065"/>
      <c r="BE3896" s="1065"/>
      <c r="BF3896" s="1065"/>
      <c r="BG3896" s="1065"/>
    </row>
    <row r="3897" spans="4:59">
      <c r="D3897" s="1065"/>
      <c r="S3897" s="1065"/>
      <c r="BE3897" s="1065"/>
      <c r="BF3897" s="1065"/>
      <c r="BG3897" s="1065"/>
    </row>
    <row r="3898" spans="4:59">
      <c r="D3898" s="1065"/>
      <c r="S3898" s="1065"/>
      <c r="BE3898" s="1065"/>
      <c r="BF3898" s="1065"/>
      <c r="BG3898" s="1065"/>
    </row>
    <row r="3899" spans="4:59">
      <c r="D3899" s="1065"/>
      <c r="S3899" s="1065"/>
      <c r="BE3899" s="1065"/>
      <c r="BF3899" s="1065"/>
      <c r="BG3899" s="1065"/>
    </row>
    <row r="3900" spans="4:59">
      <c r="D3900" s="1065"/>
      <c r="S3900" s="1065"/>
      <c r="BE3900" s="1065"/>
      <c r="BF3900" s="1065"/>
      <c r="BG3900" s="1065"/>
    </row>
    <row r="3901" spans="4:59">
      <c r="D3901" s="1065"/>
      <c r="S3901" s="1065"/>
      <c r="BE3901" s="1065"/>
      <c r="BF3901" s="1065"/>
      <c r="BG3901" s="1065"/>
    </row>
    <row r="3902" spans="4:59">
      <c r="D3902" s="1065"/>
      <c r="S3902" s="1065"/>
      <c r="BE3902" s="1065"/>
      <c r="BF3902" s="1065"/>
      <c r="BG3902" s="1065"/>
    </row>
    <row r="3903" spans="4:59">
      <c r="D3903" s="1065"/>
      <c r="S3903" s="1065"/>
      <c r="BE3903" s="1065"/>
      <c r="BF3903" s="1065"/>
      <c r="BG3903" s="1065"/>
    </row>
    <row r="3904" spans="4:59">
      <c r="D3904" s="1065"/>
      <c r="S3904" s="1065"/>
      <c r="BE3904" s="1065"/>
      <c r="BF3904" s="1065"/>
      <c r="BG3904" s="1065"/>
    </row>
    <row r="3905" spans="4:59">
      <c r="D3905" s="1065"/>
      <c r="S3905" s="1065"/>
      <c r="BE3905" s="1065"/>
      <c r="BF3905" s="1065"/>
      <c r="BG3905" s="1065"/>
    </row>
    <row r="3906" spans="4:59">
      <c r="D3906" s="1065"/>
      <c r="S3906" s="1065"/>
      <c r="BE3906" s="1065"/>
      <c r="BF3906" s="1065"/>
      <c r="BG3906" s="1065"/>
    </row>
    <row r="3907" spans="4:59">
      <c r="D3907" s="1065"/>
      <c r="S3907" s="1065"/>
      <c r="BE3907" s="1065"/>
      <c r="BF3907" s="1065"/>
      <c r="BG3907" s="1065"/>
    </row>
    <row r="3908" spans="4:59">
      <c r="D3908" s="1065"/>
      <c r="S3908" s="1065"/>
      <c r="BE3908" s="1065"/>
      <c r="BF3908" s="1065"/>
      <c r="BG3908" s="1065"/>
    </row>
    <row r="3909" spans="4:59">
      <c r="D3909" s="1065"/>
      <c r="S3909" s="1065"/>
      <c r="BE3909" s="1065"/>
      <c r="BF3909" s="1065"/>
      <c r="BG3909" s="1065"/>
    </row>
    <row r="3910" spans="4:59">
      <c r="D3910" s="1065"/>
      <c r="S3910" s="1065"/>
      <c r="BE3910" s="1065"/>
      <c r="BF3910" s="1065"/>
      <c r="BG3910" s="1065"/>
    </row>
    <row r="3911" spans="4:59">
      <c r="D3911" s="1065"/>
      <c r="S3911" s="1065"/>
      <c r="BE3911" s="1065"/>
      <c r="BF3911" s="1065"/>
      <c r="BG3911" s="1065"/>
    </row>
    <row r="3912" spans="4:59">
      <c r="D3912" s="1065"/>
      <c r="S3912" s="1065"/>
      <c r="BE3912" s="1065"/>
      <c r="BF3912" s="1065"/>
      <c r="BG3912" s="1065"/>
    </row>
    <row r="3913" spans="4:59">
      <c r="D3913" s="1065"/>
      <c r="S3913" s="1065"/>
      <c r="BE3913" s="1065"/>
      <c r="BF3913" s="1065"/>
      <c r="BG3913" s="1065"/>
    </row>
    <row r="3914" spans="4:59">
      <c r="D3914" s="1065"/>
      <c r="S3914" s="1065"/>
      <c r="BE3914" s="1065"/>
      <c r="BF3914" s="1065"/>
      <c r="BG3914" s="1065"/>
    </row>
    <row r="3915" spans="4:59">
      <c r="D3915" s="1065"/>
      <c r="S3915" s="1065"/>
      <c r="BE3915" s="1065"/>
      <c r="BF3915" s="1065"/>
      <c r="BG3915" s="1065"/>
    </row>
    <row r="3916" spans="4:59">
      <c r="D3916" s="1065"/>
      <c r="S3916" s="1065"/>
      <c r="BE3916" s="1065"/>
      <c r="BF3916" s="1065"/>
      <c r="BG3916" s="1065"/>
    </row>
    <row r="3917" spans="4:59">
      <c r="D3917" s="1065"/>
      <c r="S3917" s="1065"/>
      <c r="BE3917" s="1065"/>
      <c r="BF3917" s="1065"/>
      <c r="BG3917" s="1065"/>
    </row>
    <row r="3918" spans="4:59">
      <c r="D3918" s="1065"/>
      <c r="S3918" s="1065"/>
      <c r="BE3918" s="1065"/>
      <c r="BF3918" s="1065"/>
      <c r="BG3918" s="1065"/>
    </row>
    <row r="3919" spans="4:59">
      <c r="D3919" s="1065"/>
      <c r="S3919" s="1065"/>
      <c r="BE3919" s="1065"/>
      <c r="BF3919" s="1065"/>
      <c r="BG3919" s="1065"/>
    </row>
    <row r="3922" spans="4:59">
      <c r="D3922" s="1065"/>
      <c r="S3922" s="1065"/>
      <c r="BE3922" s="1065"/>
      <c r="BF3922" s="1065"/>
      <c r="BG3922" s="1065"/>
    </row>
    <row r="3923" spans="4:59">
      <c r="D3923" s="1065"/>
      <c r="S3923" s="1065"/>
      <c r="BE3923" s="1065"/>
      <c r="BF3923" s="1065"/>
      <c r="BG3923" s="1065"/>
    </row>
    <row r="3925" spans="4:59">
      <c r="D3925" s="1065"/>
      <c r="S3925" s="1065"/>
      <c r="BE3925" s="1065"/>
      <c r="BF3925" s="1065"/>
      <c r="BG3925" s="1065"/>
    </row>
    <row r="3926" spans="4:59">
      <c r="D3926" s="1065"/>
      <c r="S3926" s="1065"/>
      <c r="BE3926" s="1065"/>
      <c r="BF3926" s="1065"/>
      <c r="BG3926" s="1065"/>
    </row>
    <row r="3927" spans="4:59">
      <c r="D3927" s="1065"/>
      <c r="S3927" s="1065"/>
      <c r="BE3927" s="1065"/>
      <c r="BF3927" s="1065"/>
      <c r="BG3927" s="1065"/>
    </row>
    <row r="3928" spans="4:59">
      <c r="D3928" s="1065"/>
      <c r="S3928" s="1065"/>
      <c r="BE3928" s="1065"/>
      <c r="BF3928" s="1065"/>
      <c r="BG3928" s="1065"/>
    </row>
    <row r="3929" spans="4:59">
      <c r="D3929" s="1065"/>
      <c r="S3929" s="1065"/>
      <c r="BE3929" s="1065"/>
      <c r="BF3929" s="1065"/>
      <c r="BG3929" s="1065"/>
    </row>
    <row r="3930" spans="4:59">
      <c r="D3930" s="1065"/>
      <c r="S3930" s="1065"/>
      <c r="BE3930" s="1065"/>
      <c r="BF3930" s="1065"/>
      <c r="BG3930" s="1065"/>
    </row>
    <row r="3931" spans="4:59">
      <c r="D3931" s="1065"/>
      <c r="S3931" s="1065"/>
      <c r="BE3931" s="1065"/>
      <c r="BF3931" s="1065"/>
      <c r="BG3931" s="1065"/>
    </row>
    <row r="3932" spans="4:59">
      <c r="D3932" s="1065"/>
      <c r="S3932" s="1065"/>
      <c r="BE3932" s="1065"/>
      <c r="BF3932" s="1065"/>
      <c r="BG3932" s="1065"/>
    </row>
    <row r="3933" spans="4:59">
      <c r="D3933" s="1065"/>
      <c r="S3933" s="1065"/>
      <c r="BE3933" s="1065"/>
      <c r="BF3933" s="1065"/>
      <c r="BG3933" s="1065"/>
    </row>
    <row r="3934" spans="4:59">
      <c r="D3934" s="1065"/>
      <c r="S3934" s="1065"/>
      <c r="BE3934" s="1065"/>
      <c r="BF3934" s="1065"/>
      <c r="BG3934" s="1065"/>
    </row>
    <row r="3935" spans="4:59">
      <c r="D3935" s="1065"/>
      <c r="S3935" s="1065"/>
      <c r="BE3935" s="1065"/>
      <c r="BF3935" s="1065"/>
      <c r="BG3935" s="1065"/>
    </row>
    <row r="3936" spans="4:59">
      <c r="D3936" s="1065"/>
      <c r="S3936" s="1065"/>
      <c r="BE3936" s="1065"/>
      <c r="BF3936" s="1065"/>
      <c r="BG3936" s="1065"/>
    </row>
    <row r="3937" spans="4:59">
      <c r="D3937" s="1065"/>
      <c r="S3937" s="1065"/>
      <c r="BE3937" s="1065"/>
      <c r="BF3937" s="1065"/>
      <c r="BG3937" s="1065"/>
    </row>
    <row r="3938" spans="4:59">
      <c r="D3938" s="1065"/>
      <c r="S3938" s="1065"/>
      <c r="BE3938" s="1065"/>
      <c r="BF3938" s="1065"/>
      <c r="BG3938" s="1065"/>
    </row>
    <row r="3939" spans="4:59">
      <c r="D3939" s="1065"/>
      <c r="S3939" s="1065"/>
      <c r="BE3939" s="1065"/>
      <c r="BF3939" s="1065"/>
      <c r="BG3939" s="1065"/>
    </row>
    <row r="3940" spans="4:59">
      <c r="D3940" s="1065"/>
      <c r="S3940" s="1065"/>
      <c r="BE3940" s="1065"/>
      <c r="BF3940" s="1065"/>
      <c r="BG3940" s="1065"/>
    </row>
    <row r="3942" spans="4:59">
      <c r="D3942" s="1065"/>
      <c r="S3942" s="1065"/>
      <c r="BE3942" s="1065"/>
      <c r="BF3942" s="1065"/>
      <c r="BG3942" s="1065"/>
    </row>
    <row r="3943" spans="4:59">
      <c r="D3943" s="1065"/>
      <c r="S3943" s="1065"/>
      <c r="BE3943" s="1065"/>
      <c r="BF3943" s="1065"/>
      <c r="BG3943" s="1065"/>
    </row>
    <row r="3948" spans="4:59">
      <c r="D3948" s="1065"/>
      <c r="S3948" s="1065"/>
      <c r="BE3948" s="1065"/>
      <c r="BF3948" s="1065"/>
      <c r="BG3948" s="1065"/>
    </row>
    <row r="3949" spans="4:59">
      <c r="D3949" s="1065"/>
      <c r="S3949" s="1065"/>
      <c r="BE3949" s="1065"/>
      <c r="BF3949" s="1065"/>
      <c r="BG3949" s="1065"/>
    </row>
    <row r="3951" spans="4:59">
      <c r="D3951" s="1065"/>
      <c r="S3951" s="1065"/>
      <c r="BE3951" s="1065"/>
      <c r="BF3951" s="1065"/>
      <c r="BG3951" s="1065"/>
    </row>
    <row r="3952" spans="4:59">
      <c r="D3952" s="1065"/>
      <c r="S3952" s="1065"/>
      <c r="BE3952" s="1065"/>
      <c r="BF3952" s="1065"/>
      <c r="BG3952" s="1065"/>
    </row>
    <row r="3953" spans="4:59">
      <c r="D3953" s="1065"/>
      <c r="S3953" s="1065"/>
      <c r="BE3953" s="1065"/>
      <c r="BF3953" s="1065"/>
      <c r="BG3953" s="1065"/>
    </row>
    <row r="3954" spans="4:59">
      <c r="D3954" s="1065"/>
      <c r="S3954" s="1065"/>
      <c r="BE3954" s="1065"/>
      <c r="BF3954" s="1065"/>
      <c r="BG3954" s="1065"/>
    </row>
    <row r="3955" spans="4:59">
      <c r="D3955" s="1065"/>
      <c r="S3955" s="1065"/>
      <c r="BE3955" s="1065"/>
      <c r="BF3955" s="1065"/>
      <c r="BG3955" s="1065"/>
    </row>
    <row r="3956" spans="4:59">
      <c r="D3956" s="1065"/>
      <c r="S3956" s="1065"/>
      <c r="BE3956" s="1065"/>
      <c r="BF3956" s="1065"/>
      <c r="BG3956" s="1065"/>
    </row>
    <row r="3957" spans="4:59">
      <c r="D3957" s="1065"/>
      <c r="S3957" s="1065"/>
      <c r="BE3957" s="1065"/>
      <c r="BF3957" s="1065"/>
      <c r="BG3957" s="1065"/>
    </row>
    <row r="3958" spans="4:59">
      <c r="D3958" s="1065"/>
      <c r="S3958" s="1065"/>
      <c r="BE3958" s="1065"/>
      <c r="BF3958" s="1065"/>
      <c r="BG3958" s="1065"/>
    </row>
    <row r="3959" spans="4:59">
      <c r="D3959" s="1065"/>
      <c r="S3959" s="1065"/>
      <c r="BE3959" s="1065"/>
      <c r="BF3959" s="1065"/>
      <c r="BG3959" s="1065"/>
    </row>
    <row r="3960" spans="4:59">
      <c r="D3960" s="1065"/>
      <c r="S3960" s="1065"/>
      <c r="BE3960" s="1065"/>
      <c r="BF3960" s="1065"/>
      <c r="BG3960" s="1065"/>
    </row>
    <row r="3961" spans="4:59">
      <c r="D3961" s="1065"/>
      <c r="S3961" s="1065"/>
      <c r="BE3961" s="1065"/>
      <c r="BF3961" s="1065"/>
      <c r="BG3961" s="1065"/>
    </row>
    <row r="3962" spans="4:59">
      <c r="D3962" s="1065"/>
      <c r="S3962" s="1065"/>
      <c r="BE3962" s="1065"/>
      <c r="BF3962" s="1065"/>
      <c r="BG3962" s="1065"/>
    </row>
    <row r="3963" spans="4:59">
      <c r="D3963" s="1065"/>
      <c r="S3963" s="1065"/>
      <c r="BE3963" s="1065"/>
      <c r="BF3963" s="1065"/>
      <c r="BG3963" s="1065"/>
    </row>
    <row r="3964" spans="4:59">
      <c r="D3964" s="1065"/>
      <c r="S3964" s="1065"/>
      <c r="BE3964" s="1065"/>
      <c r="BF3964" s="1065"/>
      <c r="BG3964" s="1065"/>
    </row>
    <row r="3965" spans="4:59">
      <c r="D3965" s="1065"/>
      <c r="S3965" s="1065"/>
      <c r="BE3965" s="1065"/>
      <c r="BF3965" s="1065"/>
      <c r="BG3965" s="1065"/>
    </row>
    <row r="3966" spans="4:59">
      <c r="D3966" s="1065"/>
      <c r="S3966" s="1065"/>
      <c r="BE3966" s="1065"/>
      <c r="BF3966" s="1065"/>
      <c r="BG3966" s="1065"/>
    </row>
    <row r="3967" spans="4:59">
      <c r="D3967" s="1065"/>
      <c r="S3967" s="1065"/>
      <c r="BE3967" s="1065"/>
      <c r="BF3967" s="1065"/>
      <c r="BG3967" s="1065"/>
    </row>
    <row r="3968" spans="4:59">
      <c r="D3968" s="1065"/>
      <c r="S3968" s="1065"/>
      <c r="BE3968" s="1065"/>
      <c r="BF3968" s="1065"/>
      <c r="BG3968" s="1065"/>
    </row>
    <row r="3969" spans="4:59">
      <c r="D3969" s="1065"/>
      <c r="S3969" s="1065"/>
      <c r="BE3969" s="1065"/>
      <c r="BF3969" s="1065"/>
      <c r="BG3969" s="1065"/>
    </row>
    <row r="3970" spans="4:59">
      <c r="D3970" s="1065"/>
      <c r="S3970" s="1065"/>
      <c r="BE3970" s="1065"/>
      <c r="BF3970" s="1065"/>
      <c r="BG3970" s="1065"/>
    </row>
    <row r="3971" spans="4:59">
      <c r="D3971" s="1065"/>
      <c r="S3971" s="1065"/>
      <c r="BE3971" s="1065"/>
      <c r="BF3971" s="1065"/>
      <c r="BG3971" s="1065"/>
    </row>
    <row r="3972" spans="4:59">
      <c r="D3972" s="1065"/>
      <c r="S3972" s="1065"/>
      <c r="BE3972" s="1065"/>
      <c r="BF3972" s="1065"/>
      <c r="BG3972" s="1065"/>
    </row>
    <row r="3973" spans="4:59">
      <c r="D3973" s="1065"/>
      <c r="S3973" s="1065"/>
      <c r="BE3973" s="1065"/>
      <c r="BF3973" s="1065"/>
      <c r="BG3973" s="1065"/>
    </row>
    <row r="3974" spans="4:59">
      <c r="D3974" s="1065"/>
      <c r="S3974" s="1065"/>
      <c r="BE3974" s="1065"/>
      <c r="BF3974" s="1065"/>
      <c r="BG3974" s="1065"/>
    </row>
    <row r="3975" spans="4:59">
      <c r="D3975" s="1065"/>
      <c r="S3975" s="1065"/>
      <c r="BE3975" s="1065"/>
      <c r="BF3975" s="1065"/>
      <c r="BG3975" s="1065"/>
    </row>
    <row r="3976" spans="4:59">
      <c r="D3976" s="1065"/>
      <c r="S3976" s="1065"/>
      <c r="BE3976" s="1065"/>
      <c r="BF3976" s="1065"/>
      <c r="BG3976" s="1065"/>
    </row>
    <row r="3977" spans="4:59">
      <c r="D3977" s="1065"/>
      <c r="S3977" s="1065"/>
      <c r="BE3977" s="1065"/>
      <c r="BF3977" s="1065"/>
      <c r="BG3977" s="1065"/>
    </row>
    <row r="3978" spans="4:59">
      <c r="D3978" s="1065"/>
      <c r="S3978" s="1065"/>
      <c r="BE3978" s="1065"/>
      <c r="BF3978" s="1065"/>
      <c r="BG3978" s="1065"/>
    </row>
    <row r="3979" spans="4:59">
      <c r="D3979" s="1065"/>
      <c r="S3979" s="1065"/>
      <c r="BE3979" s="1065"/>
      <c r="BF3979" s="1065"/>
      <c r="BG3979" s="1065"/>
    </row>
    <row r="3980" spans="4:59">
      <c r="D3980" s="1065"/>
      <c r="S3980" s="1065"/>
      <c r="BE3980" s="1065"/>
      <c r="BF3980" s="1065"/>
      <c r="BG3980" s="1065"/>
    </row>
    <row r="3981" spans="4:59">
      <c r="D3981" s="1065"/>
      <c r="S3981" s="1065"/>
      <c r="BE3981" s="1065"/>
      <c r="BF3981" s="1065"/>
      <c r="BG3981" s="1065"/>
    </row>
    <row r="3982" spans="4:59">
      <c r="D3982" s="1065"/>
      <c r="S3982" s="1065"/>
      <c r="BE3982" s="1065"/>
      <c r="BF3982" s="1065"/>
      <c r="BG3982" s="1065"/>
    </row>
    <row r="3983" spans="4:59">
      <c r="D3983" s="1065"/>
      <c r="S3983" s="1065"/>
      <c r="BE3983" s="1065"/>
      <c r="BF3983" s="1065"/>
      <c r="BG3983" s="1065"/>
    </row>
    <row r="3984" spans="4:59">
      <c r="D3984" s="1065"/>
      <c r="S3984" s="1065"/>
      <c r="BE3984" s="1065"/>
      <c r="BF3984" s="1065"/>
      <c r="BG3984" s="1065"/>
    </row>
    <row r="3985" spans="4:59">
      <c r="D3985" s="1065"/>
      <c r="S3985" s="1065"/>
      <c r="BE3985" s="1065"/>
      <c r="BF3985" s="1065"/>
      <c r="BG3985" s="1065"/>
    </row>
    <row r="3986" spans="4:59">
      <c r="D3986" s="1065"/>
      <c r="S3986" s="1065"/>
      <c r="BE3986" s="1065"/>
      <c r="BF3986" s="1065"/>
      <c r="BG3986" s="1065"/>
    </row>
    <row r="3987" spans="4:59">
      <c r="D3987" s="1065"/>
      <c r="S3987" s="1065"/>
      <c r="BE3987" s="1065"/>
      <c r="BF3987" s="1065"/>
      <c r="BG3987" s="1065"/>
    </row>
    <row r="3988" spans="4:59">
      <c r="D3988" s="1065"/>
      <c r="S3988" s="1065"/>
      <c r="BE3988" s="1065"/>
      <c r="BF3988" s="1065"/>
      <c r="BG3988" s="1065"/>
    </row>
    <row r="3989" spans="4:59">
      <c r="D3989" s="1065"/>
      <c r="S3989" s="1065"/>
      <c r="BE3989" s="1065"/>
      <c r="BF3989" s="1065"/>
      <c r="BG3989" s="1065"/>
    </row>
    <row r="3990" spans="4:59">
      <c r="D3990" s="1065"/>
      <c r="S3990" s="1065"/>
      <c r="BE3990" s="1065"/>
      <c r="BF3990" s="1065"/>
      <c r="BG3990" s="1065"/>
    </row>
    <row r="3991" spans="4:59">
      <c r="D3991" s="1065"/>
      <c r="S3991" s="1065"/>
      <c r="BE3991" s="1065"/>
      <c r="BF3991" s="1065"/>
      <c r="BG3991" s="1065"/>
    </row>
    <row r="3992" spans="4:59">
      <c r="D3992" s="1065"/>
      <c r="S3992" s="1065"/>
      <c r="BE3992" s="1065"/>
      <c r="BF3992" s="1065"/>
      <c r="BG3992" s="1065"/>
    </row>
    <row r="3993" spans="4:59">
      <c r="D3993" s="1065"/>
      <c r="S3993" s="1065"/>
      <c r="BE3993" s="1065"/>
      <c r="BF3993" s="1065"/>
      <c r="BG3993" s="1065"/>
    </row>
    <row r="3994" spans="4:59">
      <c r="D3994" s="1065"/>
      <c r="S3994" s="1065"/>
      <c r="BE3994" s="1065"/>
      <c r="BF3994" s="1065"/>
      <c r="BG3994" s="1065"/>
    </row>
    <row r="3995" spans="4:59">
      <c r="D3995" s="1065"/>
      <c r="S3995" s="1065"/>
      <c r="BE3995" s="1065"/>
      <c r="BF3995" s="1065"/>
      <c r="BG3995" s="1065"/>
    </row>
    <row r="3996" spans="4:59">
      <c r="D3996" s="1065"/>
      <c r="S3996" s="1065"/>
      <c r="BE3996" s="1065"/>
      <c r="BF3996" s="1065"/>
      <c r="BG3996" s="1065"/>
    </row>
    <row r="3997" spans="4:59">
      <c r="D3997" s="1065"/>
      <c r="S3997" s="1065"/>
      <c r="BE3997" s="1065"/>
      <c r="BF3997" s="1065"/>
      <c r="BG3997" s="1065"/>
    </row>
    <row r="3998" spans="4:59">
      <c r="D3998" s="1065"/>
      <c r="S3998" s="1065"/>
      <c r="BE3998" s="1065"/>
      <c r="BF3998" s="1065"/>
      <c r="BG3998" s="1065"/>
    </row>
    <row r="3999" spans="4:59">
      <c r="D3999" s="1065"/>
      <c r="S3999" s="1065"/>
      <c r="BE3999" s="1065"/>
      <c r="BF3999" s="1065"/>
      <c r="BG3999" s="1065"/>
    </row>
    <row r="4000" spans="4:59">
      <c r="D4000" s="1065"/>
      <c r="S4000" s="1065"/>
      <c r="BE4000" s="1065"/>
      <c r="BF4000" s="1065"/>
      <c r="BG4000" s="1065"/>
    </row>
    <row r="4001" spans="4:59">
      <c r="D4001" s="1065"/>
      <c r="S4001" s="1065"/>
      <c r="BE4001" s="1065"/>
      <c r="BF4001" s="1065"/>
      <c r="BG4001" s="1065"/>
    </row>
    <row r="4002" spans="4:59">
      <c r="D4002" s="1065"/>
      <c r="S4002" s="1065"/>
      <c r="BE4002" s="1065"/>
      <c r="BF4002" s="1065"/>
      <c r="BG4002" s="1065"/>
    </row>
    <row r="4003" spans="4:59">
      <c r="D4003" s="1065"/>
      <c r="S4003" s="1065"/>
      <c r="BE4003" s="1065"/>
      <c r="BF4003" s="1065"/>
      <c r="BG4003" s="1065"/>
    </row>
    <row r="4004" spans="4:59">
      <c r="D4004" s="1065"/>
      <c r="S4004" s="1065"/>
      <c r="BE4004" s="1065"/>
      <c r="BF4004" s="1065"/>
      <c r="BG4004" s="1065"/>
    </row>
    <row r="4005" spans="4:59">
      <c r="D4005" s="1065"/>
      <c r="S4005" s="1065"/>
      <c r="BE4005" s="1065"/>
      <c r="BF4005" s="1065"/>
      <c r="BG4005" s="1065"/>
    </row>
    <row r="4006" spans="4:59">
      <c r="D4006" s="1065"/>
      <c r="S4006" s="1065"/>
      <c r="BE4006" s="1065"/>
      <c r="BF4006" s="1065"/>
      <c r="BG4006" s="1065"/>
    </row>
    <row r="4007" spans="4:59">
      <c r="D4007" s="1065"/>
      <c r="S4007" s="1065"/>
      <c r="BE4007" s="1065"/>
      <c r="BF4007" s="1065"/>
      <c r="BG4007" s="1065"/>
    </row>
    <row r="4008" spans="4:59">
      <c r="D4008" s="1065"/>
      <c r="S4008" s="1065"/>
      <c r="BE4008" s="1065"/>
      <c r="BF4008" s="1065"/>
      <c r="BG4008" s="1065"/>
    </row>
    <row r="4009" spans="4:59">
      <c r="D4009" s="1065"/>
      <c r="S4009" s="1065"/>
      <c r="BE4009" s="1065"/>
      <c r="BF4009" s="1065"/>
      <c r="BG4009" s="1065"/>
    </row>
    <row r="4010" spans="4:59">
      <c r="D4010" s="1065"/>
      <c r="S4010" s="1065"/>
      <c r="BE4010" s="1065"/>
      <c r="BF4010" s="1065"/>
      <c r="BG4010" s="1065"/>
    </row>
    <row r="4011" spans="4:59">
      <c r="D4011" s="1065"/>
      <c r="S4011" s="1065"/>
      <c r="BE4011" s="1065"/>
      <c r="BF4011" s="1065"/>
      <c r="BG4011" s="1065"/>
    </row>
    <row r="4012" spans="4:59">
      <c r="D4012" s="1065"/>
      <c r="S4012" s="1065"/>
      <c r="BE4012" s="1065"/>
      <c r="BF4012" s="1065"/>
      <c r="BG4012" s="1065"/>
    </row>
    <row r="4013" spans="4:59">
      <c r="D4013" s="1065"/>
      <c r="S4013" s="1065"/>
      <c r="BE4013" s="1065"/>
      <c r="BF4013" s="1065"/>
      <c r="BG4013" s="1065"/>
    </row>
    <row r="4014" spans="4:59">
      <c r="D4014" s="1065"/>
      <c r="S4014" s="1065"/>
      <c r="BE4014" s="1065"/>
      <c r="BF4014" s="1065"/>
      <c r="BG4014" s="1065"/>
    </row>
    <row r="4015" spans="4:59">
      <c r="D4015" s="1065"/>
      <c r="S4015" s="1065"/>
      <c r="BE4015" s="1065"/>
      <c r="BF4015" s="1065"/>
      <c r="BG4015" s="1065"/>
    </row>
    <row r="4016" spans="4:59">
      <c r="D4016" s="1065"/>
      <c r="S4016" s="1065"/>
      <c r="BE4016" s="1065"/>
      <c r="BF4016" s="1065"/>
      <c r="BG4016" s="1065"/>
    </row>
    <row r="4017" spans="4:59">
      <c r="D4017" s="1065"/>
      <c r="S4017" s="1065"/>
      <c r="BE4017" s="1065"/>
      <c r="BF4017" s="1065"/>
      <c r="BG4017" s="1065"/>
    </row>
    <row r="4018" spans="4:59">
      <c r="D4018" s="1065"/>
      <c r="S4018" s="1065"/>
      <c r="BE4018" s="1065"/>
      <c r="BF4018" s="1065"/>
      <c r="BG4018" s="1065"/>
    </row>
    <row r="4019" spans="4:59">
      <c r="D4019" s="1065"/>
      <c r="S4019" s="1065"/>
      <c r="BE4019" s="1065"/>
      <c r="BF4019" s="1065"/>
      <c r="BG4019" s="1065"/>
    </row>
    <row r="4020" spans="4:59">
      <c r="D4020" s="1065"/>
      <c r="S4020" s="1065"/>
      <c r="BE4020" s="1065"/>
      <c r="BF4020" s="1065"/>
      <c r="BG4020" s="1065"/>
    </row>
    <row r="4021" spans="4:59">
      <c r="D4021" s="1065"/>
      <c r="S4021" s="1065"/>
      <c r="BE4021" s="1065"/>
      <c r="BF4021" s="1065"/>
      <c r="BG4021" s="1065"/>
    </row>
    <row r="4022" spans="4:59">
      <c r="D4022" s="1065"/>
      <c r="S4022" s="1065"/>
      <c r="BE4022" s="1065"/>
      <c r="BF4022" s="1065"/>
      <c r="BG4022" s="1065"/>
    </row>
    <row r="4023" spans="4:59">
      <c r="D4023" s="1065"/>
      <c r="S4023" s="1065"/>
      <c r="BE4023" s="1065"/>
      <c r="BF4023" s="1065"/>
      <c r="BG4023" s="1065"/>
    </row>
    <row r="4024" spans="4:59">
      <c r="D4024" s="1065"/>
      <c r="S4024" s="1065"/>
      <c r="BE4024" s="1065"/>
      <c r="BF4024" s="1065"/>
      <c r="BG4024" s="1065"/>
    </row>
    <row r="4025" spans="4:59">
      <c r="D4025" s="1065"/>
      <c r="S4025" s="1065"/>
      <c r="BE4025" s="1065"/>
      <c r="BF4025" s="1065"/>
      <c r="BG4025" s="1065"/>
    </row>
    <row r="4026" spans="4:59">
      <c r="D4026" s="1065"/>
      <c r="S4026" s="1065"/>
      <c r="BE4026" s="1065"/>
      <c r="BF4026" s="1065"/>
      <c r="BG4026" s="1065"/>
    </row>
    <row r="4027" spans="4:59">
      <c r="D4027" s="1065"/>
      <c r="S4027" s="1065"/>
      <c r="BE4027" s="1065"/>
      <c r="BF4027" s="1065"/>
      <c r="BG4027" s="1065"/>
    </row>
    <row r="4028" spans="4:59">
      <c r="D4028" s="1065"/>
      <c r="S4028" s="1065"/>
      <c r="BE4028" s="1065"/>
      <c r="BF4028" s="1065"/>
      <c r="BG4028" s="1065"/>
    </row>
    <row r="4029" spans="4:59">
      <c r="D4029" s="1065"/>
      <c r="S4029" s="1065"/>
      <c r="BE4029" s="1065"/>
      <c r="BF4029" s="1065"/>
      <c r="BG4029" s="1065"/>
    </row>
    <row r="4030" spans="4:59">
      <c r="D4030" s="1065"/>
      <c r="S4030" s="1065"/>
      <c r="BE4030" s="1065"/>
      <c r="BF4030" s="1065"/>
      <c r="BG4030" s="1065"/>
    </row>
    <row r="4031" spans="4:59">
      <c r="D4031" s="1065"/>
      <c r="S4031" s="1065"/>
      <c r="BE4031" s="1065"/>
      <c r="BF4031" s="1065"/>
      <c r="BG4031" s="1065"/>
    </row>
    <row r="4032" spans="4:59">
      <c r="D4032" s="1065"/>
      <c r="S4032" s="1065"/>
      <c r="BE4032" s="1065"/>
      <c r="BF4032" s="1065"/>
      <c r="BG4032" s="1065"/>
    </row>
    <row r="4033" spans="4:59">
      <c r="D4033" s="1065"/>
      <c r="S4033" s="1065"/>
      <c r="BE4033" s="1065"/>
      <c r="BF4033" s="1065"/>
      <c r="BG4033" s="1065"/>
    </row>
    <row r="4034" spans="4:59">
      <c r="D4034" s="1065"/>
      <c r="S4034" s="1065"/>
      <c r="BE4034" s="1065"/>
      <c r="BF4034" s="1065"/>
      <c r="BG4034" s="1065"/>
    </row>
    <row r="4035" spans="4:59">
      <c r="D4035" s="1065"/>
      <c r="S4035" s="1065"/>
      <c r="BE4035" s="1065"/>
      <c r="BF4035" s="1065"/>
      <c r="BG4035" s="1065"/>
    </row>
    <row r="4036" spans="4:59">
      <c r="D4036" s="1065"/>
      <c r="S4036" s="1065"/>
      <c r="BE4036" s="1065"/>
      <c r="BF4036" s="1065"/>
      <c r="BG4036" s="1065"/>
    </row>
    <row r="4037" spans="4:59">
      <c r="D4037" s="1065"/>
      <c r="S4037" s="1065"/>
      <c r="BE4037" s="1065"/>
      <c r="BF4037" s="1065"/>
      <c r="BG4037" s="1065"/>
    </row>
    <row r="4038" spans="4:59">
      <c r="D4038" s="1065"/>
      <c r="S4038" s="1065"/>
      <c r="BE4038" s="1065"/>
      <c r="BF4038" s="1065"/>
      <c r="BG4038" s="1065"/>
    </row>
    <row r="4039" spans="4:59">
      <c r="D4039" s="1065"/>
      <c r="S4039" s="1065"/>
      <c r="BE4039" s="1065"/>
      <c r="BF4039" s="1065"/>
      <c r="BG4039" s="1065"/>
    </row>
    <row r="4040" spans="4:59">
      <c r="D4040" s="1065"/>
      <c r="S4040" s="1065"/>
      <c r="BE4040" s="1065"/>
      <c r="BF4040" s="1065"/>
      <c r="BG4040" s="1065"/>
    </row>
    <row r="4041" spans="4:59">
      <c r="D4041" s="1065"/>
      <c r="S4041" s="1065"/>
      <c r="BE4041" s="1065"/>
      <c r="BF4041" s="1065"/>
      <c r="BG4041" s="1065"/>
    </row>
    <row r="4042" spans="4:59">
      <c r="D4042" s="1065"/>
      <c r="S4042" s="1065"/>
      <c r="BE4042" s="1065"/>
      <c r="BF4042" s="1065"/>
      <c r="BG4042" s="1065"/>
    </row>
    <row r="4043" spans="4:59">
      <c r="D4043" s="1065"/>
      <c r="S4043" s="1065"/>
      <c r="BE4043" s="1065"/>
      <c r="BF4043" s="1065"/>
      <c r="BG4043" s="1065"/>
    </row>
    <row r="4044" spans="4:59">
      <c r="D4044" s="1065"/>
      <c r="S4044" s="1065"/>
      <c r="BE4044" s="1065"/>
      <c r="BF4044" s="1065"/>
      <c r="BG4044" s="1065"/>
    </row>
    <row r="4045" spans="4:59">
      <c r="D4045" s="1065"/>
      <c r="S4045" s="1065"/>
      <c r="BE4045" s="1065"/>
      <c r="BF4045" s="1065"/>
      <c r="BG4045" s="1065"/>
    </row>
    <row r="4046" spans="4:59">
      <c r="D4046" s="1065"/>
      <c r="S4046" s="1065"/>
      <c r="BE4046" s="1065"/>
      <c r="BF4046" s="1065"/>
      <c r="BG4046" s="1065"/>
    </row>
    <row r="4047" spans="4:59">
      <c r="D4047" s="1065"/>
      <c r="S4047" s="1065"/>
      <c r="BE4047" s="1065"/>
      <c r="BF4047" s="1065"/>
      <c r="BG4047" s="1065"/>
    </row>
    <row r="4048" spans="4:59">
      <c r="D4048" s="1065"/>
      <c r="S4048" s="1065"/>
      <c r="BE4048" s="1065"/>
      <c r="BF4048" s="1065"/>
      <c r="BG4048" s="1065"/>
    </row>
    <row r="4049" spans="4:59">
      <c r="D4049" s="1065"/>
      <c r="S4049" s="1065"/>
      <c r="BE4049" s="1065"/>
      <c r="BF4049" s="1065"/>
      <c r="BG4049" s="1065"/>
    </row>
    <row r="4050" spans="4:59">
      <c r="D4050" s="1065"/>
      <c r="S4050" s="1065"/>
      <c r="BE4050" s="1065"/>
      <c r="BF4050" s="1065"/>
      <c r="BG4050" s="1065"/>
    </row>
    <row r="4051" spans="4:59">
      <c r="D4051" s="1065"/>
      <c r="S4051" s="1065"/>
      <c r="BE4051" s="1065"/>
      <c r="BF4051" s="1065"/>
      <c r="BG4051" s="1065"/>
    </row>
    <row r="4052" spans="4:59">
      <c r="D4052" s="1065"/>
      <c r="S4052" s="1065"/>
      <c r="BE4052" s="1065"/>
      <c r="BF4052" s="1065"/>
      <c r="BG4052" s="1065"/>
    </row>
    <row r="4053" spans="4:59">
      <c r="D4053" s="1065"/>
      <c r="S4053" s="1065"/>
      <c r="BE4053" s="1065"/>
      <c r="BF4053" s="1065"/>
      <c r="BG4053" s="1065"/>
    </row>
    <row r="4054" spans="4:59">
      <c r="D4054" s="1065"/>
      <c r="S4054" s="1065"/>
      <c r="BE4054" s="1065"/>
      <c r="BF4054" s="1065"/>
      <c r="BG4054" s="1065"/>
    </row>
    <row r="4055" spans="4:59">
      <c r="D4055" s="1065"/>
      <c r="S4055" s="1065"/>
      <c r="BE4055" s="1065"/>
      <c r="BF4055" s="1065"/>
      <c r="BG4055" s="1065"/>
    </row>
    <row r="4056" spans="4:59">
      <c r="D4056" s="1065"/>
      <c r="S4056" s="1065"/>
      <c r="BE4056" s="1065"/>
      <c r="BF4056" s="1065"/>
      <c r="BG4056" s="1065"/>
    </row>
    <row r="4057" spans="4:59">
      <c r="D4057" s="1065"/>
      <c r="S4057" s="1065"/>
      <c r="BE4057" s="1065"/>
      <c r="BF4057" s="1065"/>
      <c r="BG4057" s="1065"/>
    </row>
    <row r="4058" spans="4:59">
      <c r="D4058" s="1065"/>
      <c r="S4058" s="1065"/>
      <c r="BE4058" s="1065"/>
      <c r="BF4058" s="1065"/>
      <c r="BG4058" s="1065"/>
    </row>
    <row r="4059" spans="4:59">
      <c r="D4059" s="1065"/>
      <c r="S4059" s="1065"/>
      <c r="BE4059" s="1065"/>
      <c r="BF4059" s="1065"/>
      <c r="BG4059" s="1065"/>
    </row>
    <row r="4060" spans="4:59">
      <c r="D4060" s="1065"/>
      <c r="S4060" s="1065"/>
      <c r="BE4060" s="1065"/>
      <c r="BF4060" s="1065"/>
      <c r="BG4060" s="1065"/>
    </row>
    <row r="4061" spans="4:59">
      <c r="D4061" s="1065"/>
      <c r="S4061" s="1065"/>
      <c r="BE4061" s="1065"/>
      <c r="BF4061" s="1065"/>
      <c r="BG4061" s="1065"/>
    </row>
    <row r="4062" spans="4:59">
      <c r="D4062" s="1065"/>
      <c r="S4062" s="1065"/>
      <c r="BE4062" s="1065"/>
      <c r="BF4062" s="1065"/>
      <c r="BG4062" s="1065"/>
    </row>
    <row r="4063" spans="4:59">
      <c r="D4063" s="1065"/>
      <c r="S4063" s="1065"/>
      <c r="BE4063" s="1065"/>
      <c r="BF4063" s="1065"/>
      <c r="BG4063" s="1065"/>
    </row>
    <row r="4064" spans="4:59">
      <c r="D4064" s="1065"/>
      <c r="S4064" s="1065"/>
      <c r="BE4064" s="1065"/>
      <c r="BF4064" s="1065"/>
      <c r="BG4064" s="1065"/>
    </row>
    <row r="4065" spans="4:59">
      <c r="D4065" s="1065"/>
      <c r="S4065" s="1065"/>
      <c r="BE4065" s="1065"/>
      <c r="BF4065" s="1065"/>
      <c r="BG4065" s="1065"/>
    </row>
    <row r="4066" spans="4:59">
      <c r="D4066" s="1065"/>
      <c r="S4066" s="1065"/>
      <c r="BE4066" s="1065"/>
      <c r="BF4066" s="1065"/>
      <c r="BG4066" s="1065"/>
    </row>
    <row r="4067" spans="4:59">
      <c r="D4067" s="1065"/>
      <c r="S4067" s="1065"/>
      <c r="BE4067" s="1065"/>
      <c r="BF4067" s="1065"/>
      <c r="BG4067" s="1065"/>
    </row>
    <row r="4068" spans="4:59">
      <c r="D4068" s="1065"/>
      <c r="S4068" s="1065"/>
      <c r="BE4068" s="1065"/>
      <c r="BF4068" s="1065"/>
      <c r="BG4068" s="1065"/>
    </row>
    <row r="4069" spans="4:59">
      <c r="D4069" s="1065"/>
      <c r="S4069" s="1065"/>
      <c r="BE4069" s="1065"/>
      <c r="BF4069" s="1065"/>
      <c r="BG4069" s="1065"/>
    </row>
    <row r="4070" spans="4:59">
      <c r="D4070" s="1065"/>
      <c r="S4070" s="1065"/>
      <c r="BE4070" s="1065"/>
      <c r="BF4070" s="1065"/>
      <c r="BG4070" s="1065"/>
    </row>
    <row r="4071" spans="4:59">
      <c r="D4071" s="1065"/>
      <c r="S4071" s="1065"/>
      <c r="BE4071" s="1065"/>
      <c r="BF4071" s="1065"/>
      <c r="BG4071" s="1065"/>
    </row>
    <row r="4072" spans="4:59">
      <c r="D4072" s="1065"/>
      <c r="S4072" s="1065"/>
      <c r="BE4072" s="1065"/>
      <c r="BF4072" s="1065"/>
      <c r="BG4072" s="1065"/>
    </row>
    <row r="4073" spans="4:59">
      <c r="D4073" s="1065"/>
      <c r="S4073" s="1065"/>
      <c r="BE4073" s="1065"/>
      <c r="BF4073" s="1065"/>
      <c r="BG4073" s="1065"/>
    </row>
    <row r="4074" spans="4:59">
      <c r="D4074" s="1065"/>
      <c r="S4074" s="1065"/>
      <c r="BE4074" s="1065"/>
      <c r="BF4074" s="1065"/>
      <c r="BG4074" s="1065"/>
    </row>
    <row r="4075" spans="4:59">
      <c r="D4075" s="1065"/>
      <c r="S4075" s="1065"/>
      <c r="BE4075" s="1065"/>
      <c r="BF4075" s="1065"/>
      <c r="BG4075" s="1065"/>
    </row>
    <row r="4076" spans="4:59">
      <c r="D4076" s="1065"/>
      <c r="S4076" s="1065"/>
      <c r="BE4076" s="1065"/>
      <c r="BF4076" s="1065"/>
      <c r="BG4076" s="1065"/>
    </row>
    <row r="4077" spans="4:59">
      <c r="D4077" s="1065"/>
      <c r="S4077" s="1065"/>
      <c r="BE4077" s="1065"/>
      <c r="BF4077" s="1065"/>
      <c r="BG4077" s="1065"/>
    </row>
    <row r="4078" spans="4:59">
      <c r="D4078" s="1065"/>
      <c r="S4078" s="1065"/>
      <c r="BE4078" s="1065"/>
      <c r="BF4078" s="1065"/>
      <c r="BG4078" s="1065"/>
    </row>
    <row r="4079" spans="4:59">
      <c r="D4079" s="1065"/>
      <c r="S4079" s="1065"/>
      <c r="BE4079" s="1065"/>
      <c r="BF4079" s="1065"/>
      <c r="BG4079" s="1065"/>
    </row>
    <row r="4080" spans="4:59">
      <c r="D4080" s="1065"/>
      <c r="S4080" s="1065"/>
      <c r="BE4080" s="1065"/>
      <c r="BF4080" s="1065"/>
      <c r="BG4080" s="1065"/>
    </row>
    <row r="4081" spans="4:59">
      <c r="D4081" s="1065"/>
      <c r="S4081" s="1065"/>
      <c r="BE4081" s="1065"/>
      <c r="BF4081" s="1065"/>
      <c r="BG4081" s="1065"/>
    </row>
    <row r="4082" spans="4:59">
      <c r="D4082" s="1065"/>
      <c r="S4082" s="1065"/>
      <c r="BE4082" s="1065"/>
      <c r="BF4082" s="1065"/>
      <c r="BG4082" s="1065"/>
    </row>
    <row r="4083" spans="4:59">
      <c r="D4083" s="1065"/>
      <c r="S4083" s="1065"/>
      <c r="BE4083" s="1065"/>
      <c r="BF4083" s="1065"/>
      <c r="BG4083" s="1065"/>
    </row>
    <row r="4084" spans="4:59">
      <c r="D4084" s="1065"/>
      <c r="S4084" s="1065"/>
      <c r="BE4084" s="1065"/>
      <c r="BF4084" s="1065"/>
      <c r="BG4084" s="1065"/>
    </row>
    <row r="4085" spans="4:59">
      <c r="D4085" s="1065"/>
      <c r="S4085" s="1065"/>
      <c r="BE4085" s="1065"/>
      <c r="BF4085" s="1065"/>
      <c r="BG4085" s="1065"/>
    </row>
    <row r="4086" spans="4:59">
      <c r="D4086" s="1065"/>
      <c r="S4086" s="1065"/>
      <c r="BE4086" s="1065"/>
      <c r="BF4086" s="1065"/>
      <c r="BG4086" s="1065"/>
    </row>
    <row r="4087" spans="4:59">
      <c r="D4087" s="1065"/>
      <c r="S4087" s="1065"/>
      <c r="BE4087" s="1065"/>
      <c r="BF4087" s="1065"/>
      <c r="BG4087" s="1065"/>
    </row>
    <row r="4088" spans="4:59">
      <c r="D4088" s="1065"/>
      <c r="S4088" s="1065"/>
      <c r="BE4088" s="1065"/>
      <c r="BF4088" s="1065"/>
      <c r="BG4088" s="1065"/>
    </row>
    <row r="4089" spans="4:59">
      <c r="D4089" s="1065"/>
      <c r="S4089" s="1065"/>
      <c r="BE4089" s="1065"/>
      <c r="BF4089" s="1065"/>
      <c r="BG4089" s="1065"/>
    </row>
    <row r="4090" spans="4:59">
      <c r="D4090" s="1065"/>
      <c r="S4090" s="1065"/>
      <c r="BE4090" s="1065"/>
      <c r="BF4090" s="1065"/>
      <c r="BG4090" s="1065"/>
    </row>
    <row r="4091" spans="4:59">
      <c r="D4091" s="1065"/>
      <c r="S4091" s="1065"/>
      <c r="BE4091" s="1065"/>
      <c r="BF4091" s="1065"/>
      <c r="BG4091" s="1065"/>
    </row>
    <row r="4092" spans="4:59">
      <c r="D4092" s="1065"/>
      <c r="S4092" s="1065"/>
      <c r="BE4092" s="1065"/>
      <c r="BF4092" s="1065"/>
      <c r="BG4092" s="1065"/>
    </row>
    <row r="4093" spans="4:59">
      <c r="D4093" s="1065"/>
      <c r="S4093" s="1065"/>
      <c r="BE4093" s="1065"/>
      <c r="BF4093" s="1065"/>
      <c r="BG4093" s="1065"/>
    </row>
    <row r="4094" spans="4:59">
      <c r="D4094" s="1065"/>
      <c r="S4094" s="1065"/>
      <c r="BE4094" s="1065"/>
      <c r="BF4094" s="1065"/>
      <c r="BG4094" s="1065"/>
    </row>
    <row r="4095" spans="4:59">
      <c r="D4095" s="1065"/>
      <c r="S4095" s="1065"/>
      <c r="BE4095" s="1065"/>
      <c r="BF4095" s="1065"/>
      <c r="BG4095" s="1065"/>
    </row>
    <row r="4096" spans="4:59">
      <c r="D4096" s="1065"/>
      <c r="S4096" s="1065"/>
      <c r="BE4096" s="1065"/>
      <c r="BF4096" s="1065"/>
      <c r="BG4096" s="1065"/>
    </row>
    <row r="4097" spans="4:59">
      <c r="D4097" s="1065"/>
      <c r="S4097" s="1065"/>
      <c r="BE4097" s="1065"/>
      <c r="BF4097" s="1065"/>
      <c r="BG4097" s="1065"/>
    </row>
    <row r="4098" spans="4:59">
      <c r="D4098" s="1065"/>
      <c r="S4098" s="1065"/>
      <c r="BE4098" s="1065"/>
      <c r="BF4098" s="1065"/>
      <c r="BG4098" s="1065"/>
    </row>
    <row r="4099" spans="4:59">
      <c r="D4099" s="1065"/>
      <c r="S4099" s="1065"/>
      <c r="BE4099" s="1065"/>
      <c r="BF4099" s="1065"/>
      <c r="BG4099" s="1065"/>
    </row>
    <row r="4100" spans="4:59">
      <c r="D4100" s="1065"/>
      <c r="S4100" s="1065"/>
      <c r="BE4100" s="1065"/>
      <c r="BF4100" s="1065"/>
      <c r="BG4100" s="1065"/>
    </row>
    <row r="4101" spans="4:59">
      <c r="D4101" s="1065"/>
      <c r="S4101" s="1065"/>
      <c r="BE4101" s="1065"/>
      <c r="BF4101" s="1065"/>
      <c r="BG4101" s="1065"/>
    </row>
    <row r="4102" spans="4:59">
      <c r="D4102" s="1065"/>
      <c r="S4102" s="1065"/>
      <c r="BE4102" s="1065"/>
      <c r="BF4102" s="1065"/>
      <c r="BG4102" s="1065"/>
    </row>
    <row r="4103" spans="4:59">
      <c r="D4103" s="1065"/>
      <c r="S4103" s="1065"/>
      <c r="BE4103" s="1065"/>
      <c r="BF4103" s="1065"/>
      <c r="BG4103" s="1065"/>
    </row>
    <row r="4104" spans="4:59">
      <c r="D4104" s="1065"/>
      <c r="S4104" s="1065"/>
      <c r="BE4104" s="1065"/>
      <c r="BF4104" s="1065"/>
      <c r="BG4104" s="1065"/>
    </row>
    <row r="4105" spans="4:59">
      <c r="D4105" s="1065"/>
      <c r="S4105" s="1065"/>
      <c r="BE4105" s="1065"/>
      <c r="BF4105" s="1065"/>
      <c r="BG4105" s="1065"/>
    </row>
    <row r="4106" spans="4:59">
      <c r="D4106" s="1065"/>
      <c r="S4106" s="1065"/>
      <c r="BE4106" s="1065"/>
      <c r="BF4106" s="1065"/>
      <c r="BG4106" s="1065"/>
    </row>
    <row r="4107" spans="4:59">
      <c r="D4107" s="1065"/>
      <c r="S4107" s="1065"/>
      <c r="BE4107" s="1065"/>
      <c r="BF4107" s="1065"/>
      <c r="BG4107" s="1065"/>
    </row>
    <row r="4108" spans="4:59">
      <c r="D4108" s="1065"/>
      <c r="S4108" s="1065"/>
      <c r="BE4108" s="1065"/>
      <c r="BF4108" s="1065"/>
      <c r="BG4108" s="1065"/>
    </row>
    <row r="4112" spans="4:59">
      <c r="D4112" s="1065"/>
      <c r="S4112" s="1065"/>
      <c r="BE4112" s="1065"/>
      <c r="BF4112" s="1065"/>
      <c r="BG4112" s="1065"/>
    </row>
    <row r="4113" spans="4:59">
      <c r="D4113" s="1065"/>
      <c r="S4113" s="1065"/>
      <c r="BE4113" s="1065"/>
      <c r="BF4113" s="1065"/>
      <c r="BG4113" s="1065"/>
    </row>
    <row r="4114" spans="4:59">
      <c r="D4114" s="1065"/>
      <c r="S4114" s="1065"/>
      <c r="BE4114" s="1065"/>
      <c r="BF4114" s="1065"/>
      <c r="BG4114" s="1065"/>
    </row>
    <row r="4115" spans="4:59">
      <c r="D4115" s="1065"/>
      <c r="S4115" s="1065"/>
      <c r="BE4115" s="1065"/>
      <c r="BF4115" s="1065"/>
      <c r="BG4115" s="1065"/>
    </row>
    <row r="4116" spans="4:59">
      <c r="D4116" s="1065"/>
      <c r="S4116" s="1065"/>
      <c r="BE4116" s="1065"/>
      <c r="BF4116" s="1065"/>
      <c r="BG4116" s="1065"/>
    </row>
    <row r="4117" spans="4:59">
      <c r="D4117" s="1065"/>
      <c r="S4117" s="1065"/>
      <c r="BE4117" s="1065"/>
      <c r="BF4117" s="1065"/>
      <c r="BG4117" s="1065"/>
    </row>
    <row r="4118" spans="4:59">
      <c r="D4118" s="1065"/>
      <c r="S4118" s="1065"/>
      <c r="BE4118" s="1065"/>
      <c r="BF4118" s="1065"/>
      <c r="BG4118" s="1065"/>
    </row>
    <row r="4119" spans="4:59">
      <c r="D4119" s="1065"/>
      <c r="S4119" s="1065"/>
      <c r="BE4119" s="1065"/>
      <c r="BF4119" s="1065"/>
      <c r="BG4119" s="1065"/>
    </row>
    <row r="4121" spans="4:59">
      <c r="D4121" s="1065"/>
      <c r="S4121" s="1065"/>
      <c r="BE4121" s="1065"/>
      <c r="BF4121" s="1065"/>
      <c r="BG4121" s="1065"/>
    </row>
    <row r="4122" spans="4:59">
      <c r="D4122" s="1065"/>
      <c r="S4122" s="1065"/>
      <c r="BE4122" s="1065"/>
      <c r="BF4122" s="1065"/>
      <c r="BG4122" s="1065"/>
    </row>
    <row r="4123" spans="4:59">
      <c r="D4123" s="1065"/>
      <c r="S4123" s="1065"/>
      <c r="BE4123" s="1065"/>
      <c r="BF4123" s="1065"/>
      <c r="BG4123" s="1065"/>
    </row>
    <row r="4125" spans="4:59">
      <c r="D4125" s="1065"/>
      <c r="S4125" s="1065"/>
      <c r="BE4125" s="1065"/>
      <c r="BF4125" s="1065"/>
      <c r="BG4125" s="1065"/>
    </row>
    <row r="4126" spans="4:59">
      <c r="D4126" s="1065"/>
      <c r="S4126" s="1065"/>
      <c r="BE4126" s="1065"/>
      <c r="BF4126" s="1065"/>
      <c r="BG4126" s="1065"/>
    </row>
    <row r="4127" spans="4:59">
      <c r="D4127" s="1065"/>
      <c r="S4127" s="1065"/>
      <c r="BE4127" s="1065"/>
      <c r="BF4127" s="1065"/>
      <c r="BG4127" s="1065"/>
    </row>
    <row r="4128" spans="4:59">
      <c r="D4128" s="1065"/>
      <c r="S4128" s="1065"/>
      <c r="BE4128" s="1065"/>
      <c r="BF4128" s="1065"/>
      <c r="BG4128" s="1065"/>
    </row>
    <row r="4129" spans="4:59">
      <c r="D4129" s="1065"/>
      <c r="S4129" s="1065"/>
      <c r="BE4129" s="1065"/>
      <c r="BF4129" s="1065"/>
      <c r="BG4129" s="1065"/>
    </row>
    <row r="4130" spans="4:59">
      <c r="D4130" s="1065"/>
      <c r="S4130" s="1065"/>
      <c r="BE4130" s="1065"/>
      <c r="BF4130" s="1065"/>
      <c r="BG4130" s="1065"/>
    </row>
    <row r="4131" spans="4:59">
      <c r="D4131" s="1065"/>
      <c r="S4131" s="1065"/>
      <c r="BE4131" s="1065"/>
      <c r="BF4131" s="1065"/>
      <c r="BG4131" s="1065"/>
    </row>
    <row r="4132" spans="4:59">
      <c r="D4132" s="1065"/>
      <c r="S4132" s="1065"/>
      <c r="BE4132" s="1065"/>
      <c r="BF4132" s="1065"/>
      <c r="BG4132" s="1065"/>
    </row>
    <row r="4133" spans="4:59">
      <c r="D4133" s="1065"/>
      <c r="S4133" s="1065"/>
      <c r="BE4133" s="1065"/>
      <c r="BF4133" s="1065"/>
      <c r="BG4133" s="1065"/>
    </row>
    <row r="4134" spans="4:59">
      <c r="D4134" s="1065"/>
      <c r="S4134" s="1065"/>
      <c r="BE4134" s="1065"/>
      <c r="BF4134" s="1065"/>
      <c r="BG4134" s="1065"/>
    </row>
    <row r="4135" spans="4:59">
      <c r="D4135" s="1065"/>
      <c r="S4135" s="1065"/>
      <c r="BE4135" s="1065"/>
      <c r="BF4135" s="1065"/>
      <c r="BG4135" s="1065"/>
    </row>
    <row r="4136" spans="4:59">
      <c r="D4136" s="1065"/>
      <c r="S4136" s="1065"/>
      <c r="BE4136" s="1065"/>
      <c r="BF4136" s="1065"/>
      <c r="BG4136" s="1065"/>
    </row>
    <row r="4137" spans="4:59">
      <c r="D4137" s="1065"/>
      <c r="S4137" s="1065"/>
      <c r="BE4137" s="1065"/>
      <c r="BF4137" s="1065"/>
      <c r="BG4137" s="1065"/>
    </row>
    <row r="4138" spans="4:59">
      <c r="D4138" s="1065"/>
      <c r="S4138" s="1065"/>
      <c r="BE4138" s="1065"/>
      <c r="BF4138" s="1065"/>
      <c r="BG4138" s="1065"/>
    </row>
    <row r="4139" spans="4:59">
      <c r="D4139" s="1065"/>
      <c r="S4139" s="1065"/>
      <c r="BE4139" s="1065"/>
      <c r="BF4139" s="1065"/>
      <c r="BG4139" s="1065"/>
    </row>
    <row r="4140" spans="4:59">
      <c r="D4140" s="1065"/>
      <c r="S4140" s="1065"/>
      <c r="BE4140" s="1065"/>
      <c r="BF4140" s="1065"/>
      <c r="BG4140" s="1065"/>
    </row>
    <row r="4141" spans="4:59">
      <c r="D4141" s="1065"/>
      <c r="S4141" s="1065"/>
      <c r="BE4141" s="1065"/>
      <c r="BF4141" s="1065"/>
      <c r="BG4141" s="1065"/>
    </row>
    <row r="4142" spans="4:59">
      <c r="D4142" s="1065"/>
      <c r="S4142" s="1065"/>
      <c r="BE4142" s="1065"/>
      <c r="BF4142" s="1065"/>
      <c r="BG4142" s="1065"/>
    </row>
    <row r="4143" spans="4:59">
      <c r="D4143" s="1065"/>
      <c r="S4143" s="1065"/>
      <c r="BE4143" s="1065"/>
      <c r="BF4143" s="1065"/>
      <c r="BG4143" s="1065"/>
    </row>
    <row r="4147" spans="4:59">
      <c r="D4147" s="1065"/>
      <c r="S4147" s="1065"/>
      <c r="BE4147" s="1065"/>
      <c r="BF4147" s="1065"/>
      <c r="BG4147" s="1065"/>
    </row>
    <row r="4148" spans="4:59">
      <c r="D4148" s="1065"/>
      <c r="S4148" s="1065"/>
      <c r="BE4148" s="1065"/>
      <c r="BF4148" s="1065"/>
      <c r="BG4148" s="1065"/>
    </row>
    <row r="4149" spans="4:59">
      <c r="D4149" s="1065"/>
      <c r="S4149" s="1065"/>
      <c r="BE4149" s="1065"/>
      <c r="BF4149" s="1065"/>
      <c r="BG4149" s="1065"/>
    </row>
    <row r="4151" spans="4:59">
      <c r="D4151" s="1065"/>
      <c r="S4151" s="1065"/>
      <c r="BE4151" s="1065"/>
      <c r="BF4151" s="1065"/>
      <c r="BG4151" s="1065"/>
    </row>
    <row r="4152" spans="4:59">
      <c r="D4152" s="1065"/>
      <c r="S4152" s="1065"/>
      <c r="BE4152" s="1065"/>
      <c r="BF4152" s="1065"/>
      <c r="BG4152" s="1065"/>
    </row>
    <row r="4153" spans="4:59">
      <c r="D4153" s="1065"/>
      <c r="S4153" s="1065"/>
      <c r="BE4153" s="1065"/>
      <c r="BF4153" s="1065"/>
      <c r="BG4153" s="1065"/>
    </row>
    <row r="4154" spans="4:59">
      <c r="D4154" s="1065"/>
      <c r="S4154" s="1065"/>
      <c r="BE4154" s="1065"/>
      <c r="BF4154" s="1065"/>
      <c r="BG4154" s="1065"/>
    </row>
    <row r="4155" spans="4:59">
      <c r="D4155" s="1065"/>
      <c r="S4155" s="1065"/>
      <c r="BE4155" s="1065"/>
      <c r="BF4155" s="1065"/>
      <c r="BG4155" s="1065"/>
    </row>
    <row r="4156" spans="4:59">
      <c r="D4156" s="1065"/>
      <c r="S4156" s="1065"/>
      <c r="BE4156" s="1065"/>
      <c r="BF4156" s="1065"/>
      <c r="BG4156" s="1065"/>
    </row>
    <row r="4157" spans="4:59">
      <c r="D4157" s="1065"/>
      <c r="S4157" s="1065"/>
      <c r="BE4157" s="1065"/>
      <c r="BF4157" s="1065"/>
      <c r="BG4157" s="1065"/>
    </row>
    <row r="4158" spans="4:59">
      <c r="D4158" s="1065"/>
      <c r="S4158" s="1065"/>
      <c r="BE4158" s="1065"/>
      <c r="BF4158" s="1065"/>
      <c r="BG4158" s="1065"/>
    </row>
    <row r="4159" spans="4:59">
      <c r="D4159" s="1065"/>
      <c r="S4159" s="1065"/>
      <c r="BE4159" s="1065"/>
      <c r="BF4159" s="1065"/>
      <c r="BG4159" s="1065"/>
    </row>
    <row r="4160" spans="4:59">
      <c r="D4160" s="1065"/>
      <c r="S4160" s="1065"/>
      <c r="BE4160" s="1065"/>
      <c r="BF4160" s="1065"/>
      <c r="BG4160" s="1065"/>
    </row>
    <row r="4161" spans="4:59">
      <c r="D4161" s="1065"/>
      <c r="S4161" s="1065"/>
      <c r="BE4161" s="1065"/>
      <c r="BF4161" s="1065"/>
      <c r="BG4161" s="1065"/>
    </row>
    <row r="4162" spans="4:59">
      <c r="D4162" s="1065"/>
      <c r="S4162" s="1065"/>
      <c r="BE4162" s="1065"/>
      <c r="BF4162" s="1065"/>
      <c r="BG4162" s="1065"/>
    </row>
    <row r="4163" spans="4:59">
      <c r="D4163" s="1065"/>
      <c r="S4163" s="1065"/>
      <c r="BE4163" s="1065"/>
      <c r="BF4163" s="1065"/>
      <c r="BG4163" s="1065"/>
    </row>
    <row r="4164" spans="4:59">
      <c r="D4164" s="1065"/>
      <c r="S4164" s="1065"/>
      <c r="BE4164" s="1065"/>
      <c r="BF4164" s="1065"/>
      <c r="BG4164" s="1065"/>
    </row>
    <row r="4165" spans="4:59">
      <c r="D4165" s="1065"/>
      <c r="S4165" s="1065"/>
      <c r="BE4165" s="1065"/>
      <c r="BF4165" s="1065"/>
      <c r="BG4165" s="1065"/>
    </row>
    <row r="4166" spans="4:59">
      <c r="D4166" s="1065"/>
      <c r="S4166" s="1065"/>
      <c r="BE4166" s="1065"/>
      <c r="BF4166" s="1065"/>
      <c r="BG4166" s="1065"/>
    </row>
    <row r="4167" spans="4:59">
      <c r="D4167" s="1065"/>
      <c r="S4167" s="1065"/>
      <c r="BE4167" s="1065"/>
      <c r="BF4167" s="1065"/>
      <c r="BG4167" s="1065"/>
    </row>
    <row r="4168" spans="4:59">
      <c r="D4168" s="1065"/>
      <c r="S4168" s="1065"/>
      <c r="BE4168" s="1065"/>
      <c r="BF4168" s="1065"/>
      <c r="BG4168" s="1065"/>
    </row>
    <row r="4169" spans="4:59">
      <c r="D4169" s="1065"/>
      <c r="S4169" s="1065"/>
      <c r="BE4169" s="1065"/>
      <c r="BF4169" s="1065"/>
      <c r="BG4169" s="1065"/>
    </row>
    <row r="4170" spans="4:59">
      <c r="D4170" s="1065"/>
      <c r="S4170" s="1065"/>
      <c r="BE4170" s="1065"/>
      <c r="BF4170" s="1065"/>
      <c r="BG4170" s="1065"/>
    </row>
    <row r="4171" spans="4:59">
      <c r="D4171" s="1065"/>
      <c r="S4171" s="1065"/>
      <c r="BE4171" s="1065"/>
      <c r="BF4171" s="1065"/>
      <c r="BG4171" s="1065"/>
    </row>
    <row r="4172" spans="4:59">
      <c r="D4172" s="1065"/>
      <c r="S4172" s="1065"/>
      <c r="BE4172" s="1065"/>
      <c r="BF4172" s="1065"/>
      <c r="BG4172" s="1065"/>
    </row>
    <row r="4173" spans="4:59">
      <c r="D4173" s="1065"/>
      <c r="S4173" s="1065"/>
      <c r="BE4173" s="1065"/>
      <c r="BF4173" s="1065"/>
      <c r="BG4173" s="1065"/>
    </row>
    <row r="4174" spans="4:59">
      <c r="D4174" s="1065"/>
      <c r="S4174" s="1065"/>
      <c r="BE4174" s="1065"/>
      <c r="BF4174" s="1065"/>
      <c r="BG4174" s="1065"/>
    </row>
    <row r="4175" spans="4:59">
      <c r="D4175" s="1065"/>
      <c r="S4175" s="1065"/>
      <c r="BE4175" s="1065"/>
      <c r="BF4175" s="1065"/>
      <c r="BG4175" s="1065"/>
    </row>
    <row r="4176" spans="4:59">
      <c r="D4176" s="1065"/>
      <c r="S4176" s="1065"/>
      <c r="BE4176" s="1065"/>
      <c r="BF4176" s="1065"/>
      <c r="BG4176" s="1065"/>
    </row>
    <row r="4177" spans="4:59">
      <c r="D4177" s="1065"/>
      <c r="S4177" s="1065"/>
      <c r="BE4177" s="1065"/>
      <c r="BF4177" s="1065"/>
      <c r="BG4177" s="1065"/>
    </row>
    <row r="4178" spans="4:59">
      <c r="D4178" s="1065"/>
      <c r="S4178" s="1065"/>
      <c r="BE4178" s="1065"/>
      <c r="BF4178" s="1065"/>
      <c r="BG4178" s="1065"/>
    </row>
    <row r="4179" spans="4:59">
      <c r="D4179" s="1065"/>
      <c r="S4179" s="1065"/>
      <c r="BE4179" s="1065"/>
      <c r="BF4179" s="1065"/>
      <c r="BG4179" s="1065"/>
    </row>
    <row r="4180" spans="4:59">
      <c r="D4180" s="1065"/>
      <c r="S4180" s="1065"/>
      <c r="BE4180" s="1065"/>
      <c r="BF4180" s="1065"/>
      <c r="BG4180" s="1065"/>
    </row>
    <row r="4181" spans="4:59">
      <c r="D4181" s="1065"/>
      <c r="S4181" s="1065"/>
      <c r="BE4181" s="1065"/>
      <c r="BF4181" s="1065"/>
      <c r="BG4181" s="1065"/>
    </row>
    <row r="4182" spans="4:59">
      <c r="D4182" s="1065"/>
      <c r="S4182" s="1065"/>
      <c r="BE4182" s="1065"/>
      <c r="BF4182" s="1065"/>
      <c r="BG4182" s="1065"/>
    </row>
    <row r="4183" spans="4:59">
      <c r="D4183" s="1065"/>
      <c r="S4183" s="1065"/>
      <c r="BE4183" s="1065"/>
      <c r="BF4183" s="1065"/>
      <c r="BG4183" s="1065"/>
    </row>
    <row r="4184" spans="4:59">
      <c r="D4184" s="1065"/>
      <c r="S4184" s="1065"/>
      <c r="BE4184" s="1065"/>
      <c r="BF4184" s="1065"/>
      <c r="BG4184" s="1065"/>
    </row>
    <row r="4185" spans="4:59">
      <c r="D4185" s="1065"/>
      <c r="S4185" s="1065"/>
      <c r="BE4185" s="1065"/>
      <c r="BF4185" s="1065"/>
      <c r="BG4185" s="1065"/>
    </row>
    <row r="4186" spans="4:59">
      <c r="D4186" s="1065"/>
      <c r="S4186" s="1065"/>
      <c r="BE4186" s="1065"/>
      <c r="BF4186" s="1065"/>
      <c r="BG4186" s="1065"/>
    </row>
    <row r="4187" spans="4:59">
      <c r="D4187" s="1065"/>
      <c r="S4187" s="1065"/>
      <c r="BE4187" s="1065"/>
      <c r="BF4187" s="1065"/>
      <c r="BG4187" s="1065"/>
    </row>
    <row r="4188" spans="4:59">
      <c r="D4188" s="1065"/>
      <c r="S4188" s="1065"/>
      <c r="BE4188" s="1065"/>
      <c r="BF4188" s="1065"/>
      <c r="BG4188" s="1065"/>
    </row>
    <row r="4189" spans="4:59">
      <c r="D4189" s="1065"/>
      <c r="S4189" s="1065"/>
      <c r="BE4189" s="1065"/>
      <c r="BF4189" s="1065"/>
      <c r="BG4189" s="1065"/>
    </row>
    <row r="4190" spans="4:59">
      <c r="D4190" s="1065"/>
      <c r="S4190" s="1065"/>
      <c r="BE4190" s="1065"/>
      <c r="BF4190" s="1065"/>
      <c r="BG4190" s="1065"/>
    </row>
    <row r="4191" spans="4:59">
      <c r="D4191" s="1065"/>
      <c r="S4191" s="1065"/>
      <c r="BE4191" s="1065"/>
      <c r="BF4191" s="1065"/>
      <c r="BG4191" s="1065"/>
    </row>
    <row r="4192" spans="4:59">
      <c r="D4192" s="1065"/>
      <c r="S4192" s="1065"/>
      <c r="BE4192" s="1065"/>
      <c r="BF4192" s="1065"/>
      <c r="BG4192" s="1065"/>
    </row>
    <row r="4193" spans="4:59">
      <c r="D4193" s="1065"/>
      <c r="S4193" s="1065"/>
      <c r="BE4193" s="1065"/>
      <c r="BF4193" s="1065"/>
      <c r="BG4193" s="1065"/>
    </row>
    <row r="4194" spans="4:59">
      <c r="D4194" s="1065"/>
      <c r="S4194" s="1065"/>
      <c r="BE4194" s="1065"/>
      <c r="BF4194" s="1065"/>
      <c r="BG4194" s="1065"/>
    </row>
    <row r="4195" spans="4:59">
      <c r="D4195" s="1065"/>
      <c r="S4195" s="1065"/>
      <c r="BE4195" s="1065"/>
      <c r="BF4195" s="1065"/>
      <c r="BG4195" s="1065"/>
    </row>
    <row r="4196" spans="4:59">
      <c r="D4196" s="1065"/>
      <c r="S4196" s="1065"/>
      <c r="BE4196" s="1065"/>
      <c r="BF4196" s="1065"/>
      <c r="BG4196" s="1065"/>
    </row>
    <row r="4197" spans="4:59">
      <c r="D4197" s="1065"/>
      <c r="S4197" s="1065"/>
      <c r="BE4197" s="1065"/>
      <c r="BF4197" s="1065"/>
      <c r="BG4197" s="1065"/>
    </row>
    <row r="4198" spans="4:59">
      <c r="D4198" s="1065"/>
      <c r="S4198" s="1065"/>
      <c r="BE4198" s="1065"/>
      <c r="BF4198" s="1065"/>
      <c r="BG4198" s="1065"/>
    </row>
    <row r="4199" spans="4:59">
      <c r="D4199" s="1065"/>
      <c r="S4199" s="1065"/>
      <c r="BE4199" s="1065"/>
      <c r="BF4199" s="1065"/>
      <c r="BG4199" s="1065"/>
    </row>
    <row r="4200" spans="4:59">
      <c r="D4200" s="1065"/>
      <c r="S4200" s="1065"/>
      <c r="BE4200" s="1065"/>
      <c r="BF4200" s="1065"/>
      <c r="BG4200" s="1065"/>
    </row>
    <row r="4201" spans="4:59">
      <c r="D4201" s="1065"/>
      <c r="S4201" s="1065"/>
      <c r="BE4201" s="1065"/>
      <c r="BF4201" s="1065"/>
      <c r="BG4201" s="1065"/>
    </row>
    <row r="4202" spans="4:59">
      <c r="D4202" s="1065"/>
      <c r="S4202" s="1065"/>
      <c r="BE4202" s="1065"/>
      <c r="BF4202" s="1065"/>
      <c r="BG4202" s="1065"/>
    </row>
    <row r="4203" spans="4:59">
      <c r="D4203" s="1065"/>
      <c r="S4203" s="1065"/>
      <c r="BE4203" s="1065"/>
      <c r="BF4203" s="1065"/>
      <c r="BG4203" s="1065"/>
    </row>
    <row r="4204" spans="4:59">
      <c r="D4204" s="1065"/>
      <c r="S4204" s="1065"/>
      <c r="BE4204" s="1065"/>
      <c r="BF4204" s="1065"/>
      <c r="BG4204" s="1065"/>
    </row>
    <row r="4205" spans="4:59">
      <c r="D4205" s="1065"/>
      <c r="S4205" s="1065"/>
      <c r="BE4205" s="1065"/>
      <c r="BF4205" s="1065"/>
      <c r="BG4205" s="1065"/>
    </row>
    <row r="4206" spans="4:59">
      <c r="D4206" s="1065"/>
      <c r="S4206" s="1065"/>
      <c r="BE4206" s="1065"/>
      <c r="BF4206" s="1065"/>
      <c r="BG4206" s="1065"/>
    </row>
    <row r="4207" spans="4:59">
      <c r="D4207" s="1065"/>
      <c r="S4207" s="1065"/>
      <c r="BE4207" s="1065"/>
      <c r="BF4207" s="1065"/>
      <c r="BG4207" s="1065"/>
    </row>
    <row r="4208" spans="4:59">
      <c r="D4208" s="1065"/>
      <c r="S4208" s="1065"/>
      <c r="BE4208" s="1065"/>
      <c r="BF4208" s="1065"/>
      <c r="BG4208" s="1065"/>
    </row>
    <row r="4209" spans="4:59">
      <c r="D4209" s="1065"/>
      <c r="S4209" s="1065"/>
      <c r="BE4209" s="1065"/>
      <c r="BF4209" s="1065"/>
      <c r="BG4209" s="1065"/>
    </row>
    <row r="4210" spans="4:59">
      <c r="D4210" s="1065"/>
      <c r="S4210" s="1065"/>
      <c r="BE4210" s="1065"/>
      <c r="BF4210" s="1065"/>
      <c r="BG4210" s="1065"/>
    </row>
    <row r="4211" spans="4:59">
      <c r="D4211" s="1065"/>
      <c r="S4211" s="1065"/>
      <c r="BE4211" s="1065"/>
      <c r="BF4211" s="1065"/>
      <c r="BG4211" s="1065"/>
    </row>
    <row r="4212" spans="4:59">
      <c r="D4212" s="1065"/>
      <c r="S4212" s="1065"/>
      <c r="BE4212" s="1065"/>
      <c r="BF4212" s="1065"/>
      <c r="BG4212" s="1065"/>
    </row>
    <row r="4213" spans="4:59">
      <c r="D4213" s="1065"/>
      <c r="S4213" s="1065"/>
      <c r="BE4213" s="1065"/>
      <c r="BF4213" s="1065"/>
      <c r="BG4213" s="1065"/>
    </row>
    <row r="4214" spans="4:59">
      <c r="D4214" s="1065"/>
      <c r="S4214" s="1065"/>
      <c r="BE4214" s="1065"/>
      <c r="BF4214" s="1065"/>
      <c r="BG4214" s="1065"/>
    </row>
    <row r="4215" spans="4:59">
      <c r="D4215" s="1065"/>
      <c r="S4215" s="1065"/>
      <c r="BE4215" s="1065"/>
      <c r="BF4215" s="1065"/>
      <c r="BG4215" s="1065"/>
    </row>
    <row r="4216" spans="4:59">
      <c r="D4216" s="1065"/>
      <c r="S4216" s="1065"/>
      <c r="BE4216" s="1065"/>
      <c r="BF4216" s="1065"/>
      <c r="BG4216" s="1065"/>
    </row>
    <row r="4217" spans="4:59">
      <c r="D4217" s="1065"/>
      <c r="S4217" s="1065"/>
      <c r="BE4217" s="1065"/>
      <c r="BF4217" s="1065"/>
      <c r="BG4217" s="1065"/>
    </row>
    <row r="4218" spans="4:59">
      <c r="D4218" s="1065"/>
      <c r="S4218" s="1065"/>
      <c r="BE4218" s="1065"/>
      <c r="BF4218" s="1065"/>
      <c r="BG4218" s="1065"/>
    </row>
    <row r="4219" spans="4:59">
      <c r="D4219" s="1065"/>
      <c r="S4219" s="1065"/>
      <c r="BE4219" s="1065"/>
      <c r="BF4219" s="1065"/>
      <c r="BG4219" s="1065"/>
    </row>
    <row r="4220" spans="4:59">
      <c r="D4220" s="1065"/>
      <c r="S4220" s="1065"/>
      <c r="BE4220" s="1065"/>
      <c r="BF4220" s="1065"/>
      <c r="BG4220" s="1065"/>
    </row>
    <row r="4221" spans="4:59">
      <c r="D4221" s="1065"/>
      <c r="S4221" s="1065"/>
      <c r="BE4221" s="1065"/>
      <c r="BF4221" s="1065"/>
      <c r="BG4221" s="1065"/>
    </row>
    <row r="4222" spans="4:59">
      <c r="D4222" s="1065"/>
      <c r="S4222" s="1065"/>
      <c r="BE4222" s="1065"/>
      <c r="BF4222" s="1065"/>
      <c r="BG4222" s="1065"/>
    </row>
    <row r="4223" spans="4:59">
      <c r="D4223" s="1065"/>
      <c r="S4223" s="1065"/>
      <c r="BE4223" s="1065"/>
      <c r="BF4223" s="1065"/>
      <c r="BG4223" s="1065"/>
    </row>
    <row r="4224" spans="4:59">
      <c r="D4224" s="1065"/>
      <c r="S4224" s="1065"/>
      <c r="BE4224" s="1065"/>
      <c r="BF4224" s="1065"/>
      <c r="BG4224" s="1065"/>
    </row>
    <row r="4225" spans="4:59">
      <c r="D4225" s="1065"/>
      <c r="S4225" s="1065"/>
      <c r="BE4225" s="1065"/>
      <c r="BF4225" s="1065"/>
      <c r="BG4225" s="1065"/>
    </row>
    <row r="4226" spans="4:59">
      <c r="D4226" s="1065"/>
      <c r="S4226" s="1065"/>
      <c r="BE4226" s="1065"/>
      <c r="BF4226" s="1065"/>
      <c r="BG4226" s="1065"/>
    </row>
    <row r="4227" spans="4:59">
      <c r="D4227" s="1065"/>
      <c r="S4227" s="1065"/>
      <c r="BE4227" s="1065"/>
      <c r="BF4227" s="1065"/>
      <c r="BG4227" s="1065"/>
    </row>
    <row r="4228" spans="4:59">
      <c r="D4228" s="1065"/>
      <c r="S4228" s="1065"/>
      <c r="BE4228" s="1065"/>
      <c r="BF4228" s="1065"/>
      <c r="BG4228" s="1065"/>
    </row>
    <row r="4229" spans="4:59">
      <c r="D4229" s="1065"/>
      <c r="S4229" s="1065"/>
      <c r="BE4229" s="1065"/>
      <c r="BF4229" s="1065"/>
      <c r="BG4229" s="1065"/>
    </row>
    <row r="4230" spans="4:59">
      <c r="D4230" s="1065"/>
      <c r="S4230" s="1065"/>
      <c r="BE4230" s="1065"/>
      <c r="BF4230" s="1065"/>
      <c r="BG4230" s="1065"/>
    </row>
    <row r="4231" spans="4:59">
      <c r="D4231" s="1065"/>
      <c r="S4231" s="1065"/>
      <c r="BE4231" s="1065"/>
      <c r="BF4231" s="1065"/>
      <c r="BG4231" s="1065"/>
    </row>
    <row r="4232" spans="4:59">
      <c r="D4232" s="1065"/>
      <c r="S4232" s="1065"/>
      <c r="BE4232" s="1065"/>
      <c r="BF4232" s="1065"/>
      <c r="BG4232" s="1065"/>
    </row>
    <row r="4233" spans="4:59">
      <c r="D4233" s="1065"/>
      <c r="S4233" s="1065"/>
      <c r="BE4233" s="1065"/>
      <c r="BF4233" s="1065"/>
      <c r="BG4233" s="1065"/>
    </row>
    <row r="4234" spans="4:59">
      <c r="D4234" s="1065"/>
      <c r="S4234" s="1065"/>
      <c r="BE4234" s="1065"/>
      <c r="BF4234" s="1065"/>
      <c r="BG4234" s="1065"/>
    </row>
    <row r="4235" spans="4:59">
      <c r="D4235" s="1065"/>
      <c r="S4235" s="1065"/>
      <c r="BE4235" s="1065"/>
      <c r="BF4235" s="1065"/>
      <c r="BG4235" s="1065"/>
    </row>
    <row r="4236" spans="4:59">
      <c r="D4236" s="1065"/>
      <c r="S4236" s="1065"/>
      <c r="BE4236" s="1065"/>
      <c r="BF4236" s="1065"/>
      <c r="BG4236" s="1065"/>
    </row>
    <row r="4237" spans="4:59">
      <c r="D4237" s="1065"/>
      <c r="S4237" s="1065"/>
      <c r="BE4237" s="1065"/>
      <c r="BF4237" s="1065"/>
      <c r="BG4237" s="1065"/>
    </row>
    <row r="4238" spans="4:59">
      <c r="D4238" s="1065"/>
      <c r="S4238" s="1065"/>
      <c r="BE4238" s="1065"/>
      <c r="BF4238" s="1065"/>
      <c r="BG4238" s="1065"/>
    </row>
    <row r="4239" spans="4:59">
      <c r="D4239" s="1065"/>
      <c r="S4239" s="1065"/>
      <c r="BE4239" s="1065"/>
      <c r="BF4239" s="1065"/>
      <c r="BG4239" s="1065"/>
    </row>
    <row r="4240" spans="4:59">
      <c r="D4240" s="1065"/>
      <c r="S4240" s="1065"/>
      <c r="BE4240" s="1065"/>
      <c r="BF4240" s="1065"/>
      <c r="BG4240" s="1065"/>
    </row>
    <row r="4241" spans="4:59">
      <c r="D4241" s="1065"/>
      <c r="S4241" s="1065"/>
      <c r="BE4241" s="1065"/>
      <c r="BF4241" s="1065"/>
      <c r="BG4241" s="1065"/>
    </row>
    <row r="4242" spans="4:59">
      <c r="D4242" s="1065"/>
      <c r="S4242" s="1065"/>
      <c r="BE4242" s="1065"/>
      <c r="BF4242" s="1065"/>
      <c r="BG4242" s="1065"/>
    </row>
    <row r="4243" spans="4:59">
      <c r="D4243" s="1065"/>
      <c r="S4243" s="1065"/>
      <c r="BE4243" s="1065"/>
      <c r="BF4243" s="1065"/>
      <c r="BG4243" s="1065"/>
    </row>
    <row r="4244" spans="4:59">
      <c r="D4244" s="1065"/>
      <c r="S4244" s="1065"/>
      <c r="BE4244" s="1065"/>
      <c r="BF4244" s="1065"/>
      <c r="BG4244" s="1065"/>
    </row>
    <row r="4245" spans="4:59">
      <c r="D4245" s="1065"/>
      <c r="S4245" s="1065"/>
      <c r="BE4245" s="1065"/>
      <c r="BF4245" s="1065"/>
      <c r="BG4245" s="1065"/>
    </row>
    <row r="4246" spans="4:59">
      <c r="D4246" s="1065"/>
      <c r="S4246" s="1065"/>
      <c r="BE4246" s="1065"/>
      <c r="BF4246" s="1065"/>
      <c r="BG4246" s="1065"/>
    </row>
    <row r="4247" spans="4:59">
      <c r="D4247" s="1065"/>
      <c r="S4247" s="1065"/>
      <c r="BE4247" s="1065"/>
      <c r="BF4247" s="1065"/>
      <c r="BG4247" s="1065"/>
    </row>
    <row r="4248" spans="4:59">
      <c r="D4248" s="1065"/>
      <c r="S4248" s="1065"/>
      <c r="BE4248" s="1065"/>
      <c r="BF4248" s="1065"/>
      <c r="BG4248" s="1065"/>
    </row>
    <row r="4249" spans="4:59">
      <c r="D4249" s="1065"/>
      <c r="S4249" s="1065"/>
      <c r="BE4249" s="1065"/>
      <c r="BF4249" s="1065"/>
      <c r="BG4249" s="1065"/>
    </row>
    <row r="4250" spans="4:59">
      <c r="D4250" s="1065"/>
      <c r="S4250" s="1065"/>
      <c r="BE4250" s="1065"/>
      <c r="BF4250" s="1065"/>
      <c r="BG4250" s="1065"/>
    </row>
    <row r="4251" spans="4:59">
      <c r="D4251" s="1065"/>
      <c r="S4251" s="1065"/>
      <c r="BE4251" s="1065"/>
      <c r="BF4251" s="1065"/>
      <c r="BG4251" s="1065"/>
    </row>
    <row r="4252" spans="4:59">
      <c r="D4252" s="1065"/>
      <c r="S4252" s="1065"/>
      <c r="BE4252" s="1065"/>
      <c r="BF4252" s="1065"/>
      <c r="BG4252" s="1065"/>
    </row>
    <row r="4253" spans="4:59">
      <c r="D4253" s="1065"/>
      <c r="S4253" s="1065"/>
      <c r="BE4253" s="1065"/>
      <c r="BF4253" s="1065"/>
      <c r="BG4253" s="1065"/>
    </row>
    <row r="4254" spans="4:59">
      <c r="D4254" s="1065"/>
      <c r="S4254" s="1065"/>
      <c r="BE4254" s="1065"/>
      <c r="BF4254" s="1065"/>
      <c r="BG4254" s="1065"/>
    </row>
    <row r="4255" spans="4:59">
      <c r="D4255" s="1065"/>
      <c r="S4255" s="1065"/>
      <c r="BE4255" s="1065"/>
      <c r="BF4255" s="1065"/>
      <c r="BG4255" s="1065"/>
    </row>
    <row r="4256" spans="4:59">
      <c r="D4256" s="1065"/>
      <c r="S4256" s="1065"/>
      <c r="BE4256" s="1065"/>
      <c r="BF4256" s="1065"/>
      <c r="BG4256" s="1065"/>
    </row>
    <row r="4257" spans="4:59">
      <c r="D4257" s="1065"/>
      <c r="S4257" s="1065"/>
      <c r="BE4257" s="1065"/>
      <c r="BF4257" s="1065"/>
      <c r="BG4257" s="1065"/>
    </row>
    <row r="4258" spans="4:59">
      <c r="D4258" s="1065"/>
      <c r="S4258" s="1065"/>
      <c r="BE4258" s="1065"/>
      <c r="BF4258" s="1065"/>
      <c r="BG4258" s="1065"/>
    </row>
    <row r="4259" spans="4:59">
      <c r="D4259" s="1065"/>
      <c r="S4259" s="1065"/>
      <c r="BE4259" s="1065"/>
      <c r="BF4259" s="1065"/>
      <c r="BG4259" s="1065"/>
    </row>
    <row r="4260" spans="4:59">
      <c r="D4260" s="1065"/>
      <c r="S4260" s="1065"/>
      <c r="BE4260" s="1065"/>
      <c r="BF4260" s="1065"/>
      <c r="BG4260" s="1065"/>
    </row>
    <row r="4261" spans="4:59">
      <c r="D4261" s="1065"/>
      <c r="S4261" s="1065"/>
      <c r="BE4261" s="1065"/>
      <c r="BF4261" s="1065"/>
      <c r="BG4261" s="1065"/>
    </row>
    <row r="4262" spans="4:59">
      <c r="D4262" s="1065"/>
      <c r="S4262" s="1065"/>
      <c r="BE4262" s="1065"/>
      <c r="BF4262" s="1065"/>
      <c r="BG4262" s="1065"/>
    </row>
    <row r="4263" spans="4:59">
      <c r="D4263" s="1065"/>
      <c r="S4263" s="1065"/>
      <c r="BE4263" s="1065"/>
      <c r="BF4263" s="1065"/>
      <c r="BG4263" s="1065"/>
    </row>
    <row r="4264" spans="4:59">
      <c r="D4264" s="1065"/>
      <c r="S4264" s="1065"/>
      <c r="BE4264" s="1065"/>
      <c r="BF4264" s="1065"/>
      <c r="BG4264" s="1065"/>
    </row>
    <row r="4265" spans="4:59">
      <c r="D4265" s="1065"/>
      <c r="S4265" s="1065"/>
      <c r="BE4265" s="1065"/>
      <c r="BF4265" s="1065"/>
      <c r="BG4265" s="1065"/>
    </row>
    <row r="4266" spans="4:59">
      <c r="D4266" s="1065"/>
      <c r="S4266" s="1065"/>
      <c r="BE4266" s="1065"/>
      <c r="BF4266" s="1065"/>
      <c r="BG4266" s="1065"/>
    </row>
    <row r="4267" spans="4:59">
      <c r="D4267" s="1065"/>
      <c r="S4267" s="1065"/>
      <c r="BE4267" s="1065"/>
      <c r="BF4267" s="1065"/>
      <c r="BG4267" s="1065"/>
    </row>
    <row r="4268" spans="4:59">
      <c r="D4268" s="1065"/>
      <c r="S4268" s="1065"/>
      <c r="BE4268" s="1065"/>
      <c r="BF4268" s="1065"/>
      <c r="BG4268" s="1065"/>
    </row>
    <row r="4269" spans="4:59">
      <c r="D4269" s="1065"/>
      <c r="S4269" s="1065"/>
      <c r="BE4269" s="1065"/>
      <c r="BF4269" s="1065"/>
      <c r="BG4269" s="1065"/>
    </row>
    <row r="4270" spans="4:59">
      <c r="D4270" s="1065"/>
      <c r="S4270" s="1065"/>
      <c r="BE4270" s="1065"/>
      <c r="BF4270" s="1065"/>
      <c r="BG4270" s="1065"/>
    </row>
    <row r="4271" spans="4:59">
      <c r="D4271" s="1065"/>
      <c r="S4271" s="1065"/>
      <c r="BE4271" s="1065"/>
      <c r="BF4271" s="1065"/>
      <c r="BG4271" s="1065"/>
    </row>
    <row r="4272" spans="4:59">
      <c r="D4272" s="1065"/>
      <c r="S4272" s="1065"/>
      <c r="BE4272" s="1065"/>
      <c r="BF4272" s="1065"/>
      <c r="BG4272" s="1065"/>
    </row>
    <row r="4273" spans="4:59">
      <c r="D4273" s="1065"/>
      <c r="S4273" s="1065"/>
      <c r="BE4273" s="1065"/>
      <c r="BF4273" s="1065"/>
      <c r="BG4273" s="1065"/>
    </row>
    <row r="4274" spans="4:59">
      <c r="D4274" s="1065"/>
      <c r="S4274" s="1065"/>
      <c r="BE4274" s="1065"/>
      <c r="BF4274" s="1065"/>
      <c r="BG4274" s="1065"/>
    </row>
    <row r="4275" spans="4:59">
      <c r="D4275" s="1065"/>
      <c r="S4275" s="1065"/>
      <c r="BE4275" s="1065"/>
      <c r="BF4275" s="1065"/>
      <c r="BG4275" s="1065"/>
    </row>
    <row r="4276" spans="4:59">
      <c r="D4276" s="1065"/>
      <c r="S4276" s="1065"/>
      <c r="BE4276" s="1065"/>
      <c r="BF4276" s="1065"/>
      <c r="BG4276" s="1065"/>
    </row>
    <row r="4277" spans="4:59">
      <c r="D4277" s="1065"/>
      <c r="S4277" s="1065"/>
      <c r="BE4277" s="1065"/>
      <c r="BF4277" s="1065"/>
      <c r="BG4277" s="1065"/>
    </row>
    <row r="4278" spans="4:59">
      <c r="D4278" s="1065"/>
      <c r="S4278" s="1065"/>
      <c r="BE4278" s="1065"/>
      <c r="BF4278" s="1065"/>
      <c r="BG4278" s="1065"/>
    </row>
    <row r="4279" spans="4:59">
      <c r="D4279" s="1065"/>
      <c r="S4279" s="1065"/>
      <c r="BE4279" s="1065"/>
      <c r="BF4279" s="1065"/>
      <c r="BG4279" s="1065"/>
    </row>
    <row r="4280" spans="4:59">
      <c r="D4280" s="1065"/>
      <c r="S4280" s="1065"/>
      <c r="BE4280" s="1065"/>
      <c r="BF4280" s="1065"/>
      <c r="BG4280" s="1065"/>
    </row>
    <row r="4281" spans="4:59">
      <c r="D4281" s="1065"/>
      <c r="S4281" s="1065"/>
      <c r="BE4281" s="1065"/>
      <c r="BF4281" s="1065"/>
      <c r="BG4281" s="1065"/>
    </row>
    <row r="4282" spans="4:59">
      <c r="D4282" s="1065"/>
      <c r="S4282" s="1065"/>
      <c r="BE4282" s="1065"/>
      <c r="BF4282" s="1065"/>
      <c r="BG4282" s="1065"/>
    </row>
    <row r="4283" spans="4:59">
      <c r="D4283" s="1065"/>
      <c r="S4283" s="1065"/>
      <c r="BE4283" s="1065"/>
      <c r="BF4283" s="1065"/>
      <c r="BG4283" s="1065"/>
    </row>
    <row r="4284" spans="4:59">
      <c r="D4284" s="1065"/>
      <c r="S4284" s="1065"/>
      <c r="BE4284" s="1065"/>
      <c r="BF4284" s="1065"/>
      <c r="BG4284" s="1065"/>
    </row>
    <row r="4285" spans="4:59">
      <c r="D4285" s="1065"/>
      <c r="S4285" s="1065"/>
      <c r="BE4285" s="1065"/>
      <c r="BF4285" s="1065"/>
      <c r="BG4285" s="1065"/>
    </row>
    <row r="4286" spans="4:59">
      <c r="D4286" s="1065"/>
      <c r="S4286" s="1065"/>
      <c r="BE4286" s="1065"/>
      <c r="BF4286" s="1065"/>
      <c r="BG4286" s="1065"/>
    </row>
    <row r="4287" spans="4:59">
      <c r="D4287" s="1065"/>
      <c r="S4287" s="1065"/>
      <c r="BE4287" s="1065"/>
      <c r="BF4287" s="1065"/>
      <c r="BG4287" s="1065"/>
    </row>
    <row r="4288" spans="4:59">
      <c r="D4288" s="1065"/>
      <c r="S4288" s="1065"/>
      <c r="BE4288" s="1065"/>
      <c r="BF4288" s="1065"/>
      <c r="BG4288" s="1065"/>
    </row>
    <row r="4289" spans="4:59">
      <c r="D4289" s="1065"/>
      <c r="S4289" s="1065"/>
      <c r="BE4289" s="1065"/>
      <c r="BF4289" s="1065"/>
      <c r="BG4289" s="1065"/>
    </row>
    <row r="4290" spans="4:59">
      <c r="D4290" s="1065"/>
      <c r="S4290" s="1065"/>
      <c r="BE4290" s="1065"/>
      <c r="BF4290" s="1065"/>
      <c r="BG4290" s="1065"/>
    </row>
    <row r="4291" spans="4:59">
      <c r="D4291" s="1065"/>
      <c r="S4291" s="1065"/>
      <c r="BE4291" s="1065"/>
      <c r="BF4291" s="1065"/>
      <c r="BG4291" s="1065"/>
    </row>
    <row r="4292" spans="4:59">
      <c r="D4292" s="1065"/>
      <c r="S4292" s="1065"/>
      <c r="BE4292" s="1065"/>
      <c r="BF4292" s="1065"/>
      <c r="BG4292" s="1065"/>
    </row>
    <row r="4293" spans="4:59">
      <c r="D4293" s="1065"/>
      <c r="S4293" s="1065"/>
      <c r="BE4293" s="1065"/>
      <c r="BF4293" s="1065"/>
      <c r="BG4293" s="1065"/>
    </row>
    <row r="4294" spans="4:59">
      <c r="D4294" s="1065"/>
      <c r="S4294" s="1065"/>
      <c r="BE4294" s="1065"/>
      <c r="BF4294" s="1065"/>
      <c r="BG4294" s="1065"/>
    </row>
    <row r="4295" spans="4:59">
      <c r="D4295" s="1065"/>
      <c r="S4295" s="1065"/>
      <c r="BE4295" s="1065"/>
      <c r="BF4295" s="1065"/>
      <c r="BG4295" s="1065"/>
    </row>
    <row r="4296" spans="4:59">
      <c r="D4296" s="1065"/>
      <c r="S4296" s="1065"/>
      <c r="BE4296" s="1065"/>
      <c r="BF4296" s="1065"/>
      <c r="BG4296" s="1065"/>
    </row>
    <row r="4297" spans="4:59">
      <c r="D4297" s="1065"/>
      <c r="S4297" s="1065"/>
      <c r="BE4297" s="1065"/>
      <c r="BF4297" s="1065"/>
      <c r="BG4297" s="1065"/>
    </row>
    <row r="4298" spans="4:59">
      <c r="D4298" s="1065"/>
      <c r="S4298" s="1065"/>
      <c r="BE4298" s="1065"/>
      <c r="BF4298" s="1065"/>
      <c r="BG4298" s="1065"/>
    </row>
    <row r="4299" spans="4:59">
      <c r="D4299" s="1065"/>
      <c r="S4299" s="1065"/>
      <c r="BE4299" s="1065"/>
      <c r="BF4299" s="1065"/>
      <c r="BG4299" s="1065"/>
    </row>
    <row r="4300" spans="4:59">
      <c r="D4300" s="1065"/>
      <c r="S4300" s="1065"/>
      <c r="BE4300" s="1065"/>
      <c r="BF4300" s="1065"/>
      <c r="BG4300" s="1065"/>
    </row>
    <row r="4301" spans="4:59">
      <c r="D4301" s="1065"/>
      <c r="S4301" s="1065"/>
      <c r="BE4301" s="1065"/>
      <c r="BF4301" s="1065"/>
      <c r="BG4301" s="1065"/>
    </row>
    <row r="4302" spans="4:59">
      <c r="D4302" s="1065"/>
      <c r="S4302" s="1065"/>
      <c r="BE4302" s="1065"/>
      <c r="BF4302" s="1065"/>
      <c r="BG4302" s="1065"/>
    </row>
    <row r="4303" spans="4:59">
      <c r="D4303" s="1065"/>
      <c r="S4303" s="1065"/>
      <c r="BE4303" s="1065"/>
      <c r="BF4303" s="1065"/>
      <c r="BG4303" s="1065"/>
    </row>
    <row r="4304" spans="4:59">
      <c r="D4304" s="1065"/>
      <c r="S4304" s="1065"/>
      <c r="BE4304" s="1065"/>
      <c r="BF4304" s="1065"/>
      <c r="BG4304" s="1065"/>
    </row>
    <row r="4305" spans="4:59">
      <c r="D4305" s="1065"/>
      <c r="S4305" s="1065"/>
      <c r="BE4305" s="1065"/>
      <c r="BF4305" s="1065"/>
      <c r="BG4305" s="1065"/>
    </row>
    <row r="4306" spans="4:59">
      <c r="D4306" s="1065"/>
      <c r="S4306" s="1065"/>
      <c r="BE4306" s="1065"/>
      <c r="BF4306" s="1065"/>
      <c r="BG4306" s="1065"/>
    </row>
    <row r="4307" spans="4:59">
      <c r="D4307" s="1065"/>
      <c r="S4307" s="1065"/>
      <c r="BE4307" s="1065"/>
      <c r="BF4307" s="1065"/>
      <c r="BG4307" s="1065"/>
    </row>
    <row r="4308" spans="4:59">
      <c r="D4308" s="1065"/>
      <c r="S4308" s="1065"/>
      <c r="BE4308" s="1065"/>
      <c r="BF4308" s="1065"/>
      <c r="BG4308" s="1065"/>
    </row>
    <row r="4311" spans="4:59">
      <c r="D4311" s="1065"/>
      <c r="S4311" s="1065"/>
      <c r="BE4311" s="1065"/>
      <c r="BF4311" s="1065"/>
      <c r="BG4311" s="1065"/>
    </row>
    <row r="4312" spans="4:59">
      <c r="D4312" s="1065"/>
      <c r="S4312" s="1065"/>
      <c r="BE4312" s="1065"/>
      <c r="BF4312" s="1065"/>
      <c r="BG4312" s="1065"/>
    </row>
    <row r="4317" spans="4:59">
      <c r="D4317" s="1065"/>
      <c r="S4317" s="1065"/>
      <c r="BE4317" s="1065"/>
      <c r="BF4317" s="1065"/>
      <c r="BG4317" s="1065"/>
    </row>
    <row r="4318" spans="4:59">
      <c r="D4318" s="1065"/>
      <c r="S4318" s="1065"/>
      <c r="BE4318" s="1065"/>
      <c r="BF4318" s="1065"/>
      <c r="BG4318" s="1065"/>
    </row>
    <row r="4319" spans="4:59">
      <c r="D4319" s="1065"/>
      <c r="S4319" s="1065"/>
      <c r="BE4319" s="1065"/>
      <c r="BF4319" s="1065"/>
      <c r="BG4319" s="1065"/>
    </row>
    <row r="4320" spans="4:59">
      <c r="D4320" s="1065"/>
      <c r="S4320" s="1065"/>
      <c r="BE4320" s="1065"/>
      <c r="BF4320" s="1065"/>
      <c r="BG4320" s="1065"/>
    </row>
    <row r="4321" spans="4:59">
      <c r="D4321" s="1065"/>
      <c r="S4321" s="1065"/>
      <c r="BE4321" s="1065"/>
      <c r="BF4321" s="1065"/>
      <c r="BG4321" s="1065"/>
    </row>
    <row r="4322" spans="4:59">
      <c r="D4322" s="1065"/>
      <c r="S4322" s="1065"/>
      <c r="BE4322" s="1065"/>
      <c r="BF4322" s="1065"/>
      <c r="BG4322" s="1065"/>
    </row>
    <row r="4323" spans="4:59">
      <c r="D4323" s="1065"/>
      <c r="S4323" s="1065"/>
      <c r="BE4323" s="1065"/>
      <c r="BF4323" s="1065"/>
      <c r="BG4323" s="1065"/>
    </row>
    <row r="4324" spans="4:59">
      <c r="D4324" s="1065"/>
      <c r="S4324" s="1065"/>
      <c r="BE4324" s="1065"/>
      <c r="BF4324" s="1065"/>
      <c r="BG4324" s="1065"/>
    </row>
    <row r="4325" spans="4:59">
      <c r="D4325" s="1065"/>
      <c r="S4325" s="1065"/>
      <c r="BE4325" s="1065"/>
      <c r="BF4325" s="1065"/>
      <c r="BG4325" s="1065"/>
    </row>
    <row r="4326" spans="4:59">
      <c r="D4326" s="1065"/>
      <c r="S4326" s="1065"/>
      <c r="BE4326" s="1065"/>
      <c r="BF4326" s="1065"/>
      <c r="BG4326" s="1065"/>
    </row>
    <row r="4327" spans="4:59">
      <c r="D4327" s="1065"/>
      <c r="S4327" s="1065"/>
      <c r="BE4327" s="1065"/>
      <c r="BF4327" s="1065"/>
      <c r="BG4327" s="1065"/>
    </row>
    <row r="4328" spans="4:59">
      <c r="D4328" s="1065"/>
      <c r="S4328" s="1065"/>
      <c r="BE4328" s="1065"/>
      <c r="BF4328" s="1065"/>
      <c r="BG4328" s="1065"/>
    </row>
    <row r="4329" spans="4:59">
      <c r="D4329" s="1065"/>
      <c r="S4329" s="1065"/>
      <c r="BE4329" s="1065"/>
      <c r="BF4329" s="1065"/>
      <c r="BG4329" s="1065"/>
    </row>
    <row r="4330" spans="4:59">
      <c r="D4330" s="1065"/>
      <c r="S4330" s="1065"/>
      <c r="BE4330" s="1065"/>
      <c r="BF4330" s="1065"/>
      <c r="BG4330" s="1065"/>
    </row>
    <row r="4331" spans="4:59">
      <c r="D4331" s="1065"/>
      <c r="S4331" s="1065"/>
      <c r="BE4331" s="1065"/>
      <c r="BF4331" s="1065"/>
      <c r="BG4331" s="1065"/>
    </row>
    <row r="4332" spans="4:59">
      <c r="D4332" s="1065"/>
      <c r="S4332" s="1065"/>
      <c r="BE4332" s="1065"/>
      <c r="BF4332" s="1065"/>
      <c r="BG4332" s="1065"/>
    </row>
    <row r="4333" spans="4:59">
      <c r="D4333" s="1065"/>
      <c r="S4333" s="1065"/>
      <c r="BE4333" s="1065"/>
      <c r="BF4333" s="1065"/>
      <c r="BG4333" s="1065"/>
    </row>
    <row r="4334" spans="4:59">
      <c r="D4334" s="1065"/>
      <c r="S4334" s="1065"/>
      <c r="BE4334" s="1065"/>
      <c r="BF4334" s="1065"/>
      <c r="BG4334" s="1065"/>
    </row>
    <row r="4335" spans="4:59">
      <c r="D4335" s="1065"/>
      <c r="S4335" s="1065"/>
      <c r="BE4335" s="1065"/>
      <c r="BF4335" s="1065"/>
      <c r="BG4335" s="1065"/>
    </row>
    <row r="4336" spans="4:59">
      <c r="D4336" s="1065"/>
      <c r="S4336" s="1065"/>
      <c r="BE4336" s="1065"/>
      <c r="BF4336" s="1065"/>
      <c r="BG4336" s="1065"/>
    </row>
    <row r="4337" spans="4:59">
      <c r="D4337" s="1065"/>
      <c r="S4337" s="1065"/>
      <c r="BE4337" s="1065"/>
      <c r="BF4337" s="1065"/>
      <c r="BG4337" s="1065"/>
    </row>
    <row r="4338" spans="4:59">
      <c r="D4338" s="1065"/>
      <c r="S4338" s="1065"/>
      <c r="BE4338" s="1065"/>
      <c r="BF4338" s="1065"/>
      <c r="BG4338" s="1065"/>
    </row>
    <row r="4339" spans="4:59">
      <c r="D4339" s="1065"/>
      <c r="S4339" s="1065"/>
      <c r="BE4339" s="1065"/>
      <c r="BF4339" s="1065"/>
      <c r="BG4339" s="1065"/>
    </row>
    <row r="4340" spans="4:59">
      <c r="D4340" s="1065"/>
      <c r="S4340" s="1065"/>
      <c r="BE4340" s="1065"/>
      <c r="BF4340" s="1065"/>
      <c r="BG4340" s="1065"/>
    </row>
    <row r="4341" spans="4:59">
      <c r="D4341" s="1065"/>
      <c r="S4341" s="1065"/>
      <c r="BE4341" s="1065"/>
      <c r="BF4341" s="1065"/>
      <c r="BG4341" s="1065"/>
    </row>
    <row r="4342" spans="4:59">
      <c r="D4342" s="1065"/>
      <c r="S4342" s="1065"/>
      <c r="BE4342" s="1065"/>
      <c r="BF4342" s="1065"/>
      <c r="BG4342" s="1065"/>
    </row>
    <row r="4343" spans="4:59">
      <c r="D4343" s="1065"/>
      <c r="S4343" s="1065"/>
      <c r="BE4343" s="1065"/>
      <c r="BF4343" s="1065"/>
      <c r="BG4343" s="1065"/>
    </row>
    <row r="4344" spans="4:59">
      <c r="D4344" s="1065"/>
      <c r="S4344" s="1065"/>
      <c r="BE4344" s="1065"/>
      <c r="BF4344" s="1065"/>
      <c r="BG4344" s="1065"/>
    </row>
    <row r="4345" spans="4:59">
      <c r="D4345" s="1065"/>
      <c r="S4345" s="1065"/>
      <c r="BE4345" s="1065"/>
      <c r="BF4345" s="1065"/>
      <c r="BG4345" s="1065"/>
    </row>
    <row r="4346" spans="4:59">
      <c r="D4346" s="1065"/>
      <c r="S4346" s="1065"/>
      <c r="BE4346" s="1065"/>
      <c r="BF4346" s="1065"/>
      <c r="BG4346" s="1065"/>
    </row>
    <row r="4347" spans="4:59">
      <c r="D4347" s="1065"/>
      <c r="S4347" s="1065"/>
      <c r="BE4347" s="1065"/>
      <c r="BF4347" s="1065"/>
      <c r="BG4347" s="1065"/>
    </row>
    <row r="4348" spans="4:59">
      <c r="D4348" s="1065"/>
      <c r="S4348" s="1065"/>
      <c r="BE4348" s="1065"/>
      <c r="BF4348" s="1065"/>
      <c r="BG4348" s="1065"/>
    </row>
    <row r="4349" spans="4:59">
      <c r="D4349" s="1065"/>
      <c r="S4349" s="1065"/>
      <c r="BE4349" s="1065"/>
      <c r="BF4349" s="1065"/>
      <c r="BG4349" s="1065"/>
    </row>
    <row r="4350" spans="4:59">
      <c r="D4350" s="1065"/>
      <c r="S4350" s="1065"/>
      <c r="BE4350" s="1065"/>
      <c r="BF4350" s="1065"/>
      <c r="BG4350" s="1065"/>
    </row>
    <row r="4351" spans="4:59">
      <c r="D4351" s="1065"/>
      <c r="S4351" s="1065"/>
      <c r="BE4351" s="1065"/>
      <c r="BF4351" s="1065"/>
      <c r="BG4351" s="1065"/>
    </row>
    <row r="4352" spans="4:59">
      <c r="D4352" s="1065"/>
      <c r="S4352" s="1065"/>
      <c r="BE4352" s="1065"/>
      <c r="BF4352" s="1065"/>
      <c r="BG4352" s="1065"/>
    </row>
    <row r="4353" spans="4:59">
      <c r="D4353" s="1065"/>
      <c r="S4353" s="1065"/>
      <c r="BE4353" s="1065"/>
      <c r="BF4353" s="1065"/>
      <c r="BG4353" s="1065"/>
    </row>
    <row r="4354" spans="4:59">
      <c r="D4354" s="1065"/>
      <c r="S4354" s="1065"/>
      <c r="BE4354" s="1065"/>
      <c r="BF4354" s="1065"/>
      <c r="BG4354" s="1065"/>
    </row>
    <row r="4355" spans="4:59">
      <c r="D4355" s="1065"/>
      <c r="S4355" s="1065"/>
      <c r="BE4355" s="1065"/>
      <c r="BF4355" s="1065"/>
      <c r="BG4355" s="1065"/>
    </row>
    <row r="4356" spans="4:59">
      <c r="D4356" s="1065"/>
      <c r="S4356" s="1065"/>
      <c r="BE4356" s="1065"/>
      <c r="BF4356" s="1065"/>
      <c r="BG4356" s="1065"/>
    </row>
    <row r="4357" spans="4:59">
      <c r="D4357" s="1065"/>
      <c r="S4357" s="1065"/>
      <c r="BE4357" s="1065"/>
      <c r="BF4357" s="1065"/>
      <c r="BG4357" s="1065"/>
    </row>
    <row r="4358" spans="4:59">
      <c r="D4358" s="1065"/>
      <c r="S4358" s="1065"/>
      <c r="BE4358" s="1065"/>
      <c r="BF4358" s="1065"/>
      <c r="BG4358" s="1065"/>
    </row>
    <row r="4359" spans="4:59">
      <c r="D4359" s="1065"/>
      <c r="S4359" s="1065"/>
      <c r="BE4359" s="1065"/>
      <c r="BF4359" s="1065"/>
      <c r="BG4359" s="1065"/>
    </row>
    <row r="4360" spans="4:59">
      <c r="D4360" s="1065"/>
      <c r="S4360" s="1065"/>
      <c r="BE4360" s="1065"/>
      <c r="BF4360" s="1065"/>
      <c r="BG4360" s="1065"/>
    </row>
    <row r="4361" spans="4:59">
      <c r="D4361" s="1065"/>
      <c r="S4361" s="1065"/>
      <c r="BE4361" s="1065"/>
      <c r="BF4361" s="1065"/>
      <c r="BG4361" s="1065"/>
    </row>
    <row r="4362" spans="4:59">
      <c r="D4362" s="1065"/>
      <c r="S4362" s="1065"/>
      <c r="BE4362" s="1065"/>
      <c r="BF4362" s="1065"/>
      <c r="BG4362" s="1065"/>
    </row>
    <row r="4363" spans="4:59">
      <c r="D4363" s="1065"/>
      <c r="S4363" s="1065"/>
      <c r="BE4363" s="1065"/>
      <c r="BF4363" s="1065"/>
      <c r="BG4363" s="1065"/>
    </row>
    <row r="4364" spans="4:59">
      <c r="D4364" s="1065"/>
      <c r="S4364" s="1065"/>
      <c r="BE4364" s="1065"/>
      <c r="BF4364" s="1065"/>
      <c r="BG4364" s="1065"/>
    </row>
    <row r="4365" spans="4:59">
      <c r="D4365" s="1065"/>
      <c r="S4365" s="1065"/>
      <c r="BE4365" s="1065"/>
      <c r="BF4365" s="1065"/>
      <c r="BG4365" s="1065"/>
    </row>
    <row r="4366" spans="4:59">
      <c r="D4366" s="1065"/>
      <c r="S4366" s="1065"/>
      <c r="BE4366" s="1065"/>
      <c r="BF4366" s="1065"/>
      <c r="BG4366" s="1065"/>
    </row>
    <row r="4367" spans="4:59">
      <c r="D4367" s="1065"/>
      <c r="S4367" s="1065"/>
      <c r="BE4367" s="1065"/>
      <c r="BF4367" s="1065"/>
      <c r="BG4367" s="1065"/>
    </row>
    <row r="4368" spans="4:59">
      <c r="D4368" s="1065"/>
      <c r="S4368" s="1065"/>
      <c r="BE4368" s="1065"/>
      <c r="BF4368" s="1065"/>
      <c r="BG4368" s="1065"/>
    </row>
    <row r="4369" spans="4:59">
      <c r="D4369" s="1065"/>
      <c r="S4369" s="1065"/>
      <c r="BE4369" s="1065"/>
      <c r="BF4369" s="1065"/>
      <c r="BG4369" s="1065"/>
    </row>
    <row r="4370" spans="4:59">
      <c r="D4370" s="1065"/>
      <c r="S4370" s="1065"/>
      <c r="BE4370" s="1065"/>
      <c r="BF4370" s="1065"/>
      <c r="BG4370" s="1065"/>
    </row>
    <row r="4371" spans="4:59">
      <c r="D4371" s="1065"/>
      <c r="S4371" s="1065"/>
      <c r="BE4371" s="1065"/>
      <c r="BF4371" s="1065"/>
      <c r="BG4371" s="1065"/>
    </row>
    <row r="4372" spans="4:59">
      <c r="D4372" s="1065"/>
      <c r="S4372" s="1065"/>
      <c r="BE4372" s="1065"/>
      <c r="BF4372" s="1065"/>
      <c r="BG4372" s="1065"/>
    </row>
    <row r="4373" spans="4:59">
      <c r="D4373" s="1065"/>
      <c r="S4373" s="1065"/>
      <c r="BE4373" s="1065"/>
      <c r="BF4373" s="1065"/>
      <c r="BG4373" s="1065"/>
    </row>
    <row r="4374" spans="4:59">
      <c r="D4374" s="1065"/>
      <c r="S4374" s="1065"/>
      <c r="BE4374" s="1065"/>
      <c r="BF4374" s="1065"/>
      <c r="BG4374" s="1065"/>
    </row>
    <row r="4375" spans="4:59">
      <c r="D4375" s="1065"/>
      <c r="S4375" s="1065"/>
      <c r="BE4375" s="1065"/>
      <c r="BF4375" s="1065"/>
      <c r="BG4375" s="1065"/>
    </row>
    <row r="4376" spans="4:59">
      <c r="D4376" s="1065"/>
      <c r="S4376" s="1065"/>
      <c r="BE4376" s="1065"/>
      <c r="BF4376" s="1065"/>
      <c r="BG4376" s="1065"/>
    </row>
    <row r="4377" spans="4:59">
      <c r="D4377" s="1065"/>
      <c r="S4377" s="1065"/>
      <c r="BE4377" s="1065"/>
      <c r="BF4377" s="1065"/>
      <c r="BG4377" s="1065"/>
    </row>
    <row r="4378" spans="4:59">
      <c r="D4378" s="1065"/>
      <c r="S4378" s="1065"/>
      <c r="BE4378" s="1065"/>
      <c r="BF4378" s="1065"/>
      <c r="BG4378" s="1065"/>
    </row>
    <row r="4379" spans="4:59">
      <c r="D4379" s="1065"/>
      <c r="S4379" s="1065"/>
      <c r="BE4379" s="1065"/>
      <c r="BF4379" s="1065"/>
      <c r="BG4379" s="1065"/>
    </row>
    <row r="4380" spans="4:59">
      <c r="D4380" s="1065"/>
      <c r="S4380" s="1065"/>
      <c r="BE4380" s="1065"/>
      <c r="BF4380" s="1065"/>
      <c r="BG4380" s="1065"/>
    </row>
    <row r="4381" spans="4:59">
      <c r="D4381" s="1065"/>
      <c r="S4381" s="1065"/>
      <c r="BE4381" s="1065"/>
      <c r="BF4381" s="1065"/>
      <c r="BG4381" s="1065"/>
    </row>
    <row r="4382" spans="4:59">
      <c r="D4382" s="1065"/>
      <c r="S4382" s="1065"/>
      <c r="BE4382" s="1065"/>
      <c r="BF4382" s="1065"/>
      <c r="BG4382" s="1065"/>
    </row>
    <row r="4383" spans="4:59">
      <c r="D4383" s="1065"/>
      <c r="S4383" s="1065"/>
      <c r="BE4383" s="1065"/>
      <c r="BF4383" s="1065"/>
      <c r="BG4383" s="1065"/>
    </row>
    <row r="4384" spans="4:59">
      <c r="D4384" s="1065"/>
      <c r="S4384" s="1065"/>
      <c r="BE4384" s="1065"/>
      <c r="BF4384" s="1065"/>
      <c r="BG4384" s="1065"/>
    </row>
    <row r="4385" spans="4:59">
      <c r="D4385" s="1065"/>
      <c r="S4385" s="1065"/>
      <c r="BE4385" s="1065"/>
      <c r="BF4385" s="1065"/>
      <c r="BG4385" s="1065"/>
    </row>
    <row r="4386" spans="4:59">
      <c r="D4386" s="1065"/>
      <c r="S4386" s="1065"/>
      <c r="BE4386" s="1065"/>
      <c r="BF4386" s="1065"/>
      <c r="BG4386" s="1065"/>
    </row>
    <row r="4387" spans="4:59">
      <c r="D4387" s="1065"/>
      <c r="S4387" s="1065"/>
      <c r="BE4387" s="1065"/>
      <c r="BF4387" s="1065"/>
      <c r="BG4387" s="1065"/>
    </row>
    <row r="4388" spans="4:59">
      <c r="D4388" s="1065"/>
      <c r="S4388" s="1065"/>
      <c r="BE4388" s="1065"/>
      <c r="BF4388" s="1065"/>
      <c r="BG4388" s="1065"/>
    </row>
    <row r="4389" spans="4:59">
      <c r="D4389" s="1065"/>
      <c r="S4389" s="1065"/>
      <c r="BE4389" s="1065"/>
      <c r="BF4389" s="1065"/>
      <c r="BG4389" s="1065"/>
    </row>
    <row r="4390" spans="4:59">
      <c r="D4390" s="1065"/>
      <c r="S4390" s="1065"/>
      <c r="BE4390" s="1065"/>
      <c r="BF4390" s="1065"/>
      <c r="BG4390" s="1065"/>
    </row>
    <row r="4391" spans="4:59">
      <c r="D4391" s="1065"/>
      <c r="S4391" s="1065"/>
      <c r="BE4391" s="1065"/>
      <c r="BF4391" s="1065"/>
      <c r="BG4391" s="1065"/>
    </row>
    <row r="4392" spans="4:59">
      <c r="D4392" s="1065"/>
      <c r="S4392" s="1065"/>
      <c r="BE4392" s="1065"/>
      <c r="BF4392" s="1065"/>
      <c r="BG4392" s="1065"/>
    </row>
    <row r="4393" spans="4:59">
      <c r="D4393" s="1065"/>
      <c r="S4393" s="1065"/>
      <c r="BE4393" s="1065"/>
      <c r="BF4393" s="1065"/>
      <c r="BG4393" s="1065"/>
    </row>
    <row r="4394" spans="4:59">
      <c r="D4394" s="1065"/>
      <c r="S4394" s="1065"/>
      <c r="BE4394" s="1065"/>
      <c r="BF4394" s="1065"/>
      <c r="BG4394" s="1065"/>
    </row>
    <row r="4395" spans="4:59">
      <c r="D4395" s="1065"/>
      <c r="S4395" s="1065"/>
      <c r="BE4395" s="1065"/>
      <c r="BF4395" s="1065"/>
      <c r="BG4395" s="1065"/>
    </row>
    <row r="4396" spans="4:59">
      <c r="D4396" s="1065"/>
      <c r="S4396" s="1065"/>
      <c r="BE4396" s="1065"/>
      <c r="BF4396" s="1065"/>
      <c r="BG4396" s="1065"/>
    </row>
    <row r="4397" spans="4:59">
      <c r="D4397" s="1065"/>
      <c r="S4397" s="1065"/>
      <c r="BE4397" s="1065"/>
      <c r="BF4397" s="1065"/>
      <c r="BG4397" s="1065"/>
    </row>
    <row r="4398" spans="4:59">
      <c r="D4398" s="1065"/>
      <c r="S4398" s="1065"/>
      <c r="BE4398" s="1065"/>
      <c r="BF4398" s="1065"/>
      <c r="BG4398" s="1065"/>
    </row>
    <row r="4399" spans="4:59">
      <c r="D4399" s="1065"/>
      <c r="S4399" s="1065"/>
      <c r="BE4399" s="1065"/>
      <c r="BF4399" s="1065"/>
      <c r="BG4399" s="1065"/>
    </row>
    <row r="4400" spans="4:59">
      <c r="D4400" s="1065"/>
      <c r="S4400" s="1065"/>
      <c r="BE4400" s="1065"/>
      <c r="BF4400" s="1065"/>
      <c r="BG4400" s="1065"/>
    </row>
    <row r="4401" spans="4:59">
      <c r="D4401" s="1065"/>
      <c r="S4401" s="1065"/>
      <c r="BE4401" s="1065"/>
      <c r="BF4401" s="1065"/>
      <c r="BG4401" s="1065"/>
    </row>
    <row r="4402" spans="4:59">
      <c r="D4402" s="1065"/>
      <c r="S4402" s="1065"/>
      <c r="BE4402" s="1065"/>
      <c r="BF4402" s="1065"/>
      <c r="BG4402" s="1065"/>
    </row>
    <row r="4403" spans="4:59">
      <c r="D4403" s="1065"/>
      <c r="S4403" s="1065"/>
      <c r="BE4403" s="1065"/>
      <c r="BF4403" s="1065"/>
      <c r="BG4403" s="1065"/>
    </row>
    <row r="4404" spans="4:59">
      <c r="D4404" s="1065"/>
      <c r="S4404" s="1065"/>
      <c r="BE4404" s="1065"/>
      <c r="BF4404" s="1065"/>
      <c r="BG4404" s="1065"/>
    </row>
    <row r="4405" spans="4:59">
      <c r="D4405" s="1065"/>
      <c r="S4405" s="1065"/>
      <c r="BE4405" s="1065"/>
      <c r="BF4405" s="1065"/>
      <c r="BG4405" s="1065"/>
    </row>
    <row r="4406" spans="4:59">
      <c r="D4406" s="1065"/>
      <c r="S4406" s="1065"/>
      <c r="BE4406" s="1065"/>
      <c r="BF4406" s="1065"/>
      <c r="BG4406" s="1065"/>
    </row>
    <row r="4407" spans="4:59">
      <c r="D4407" s="1065"/>
      <c r="S4407" s="1065"/>
      <c r="BE4407" s="1065"/>
      <c r="BF4407" s="1065"/>
      <c r="BG4407" s="1065"/>
    </row>
    <row r="4408" spans="4:59">
      <c r="D4408" s="1065"/>
      <c r="S4408" s="1065"/>
      <c r="BE4408" s="1065"/>
      <c r="BF4408" s="1065"/>
      <c r="BG4408" s="1065"/>
    </row>
    <row r="4409" spans="4:59">
      <c r="D4409" s="1065"/>
      <c r="S4409" s="1065"/>
      <c r="BE4409" s="1065"/>
      <c r="BF4409" s="1065"/>
      <c r="BG4409" s="1065"/>
    </row>
    <row r="4410" spans="4:59">
      <c r="D4410" s="1065"/>
      <c r="S4410" s="1065"/>
      <c r="BE4410" s="1065"/>
      <c r="BF4410" s="1065"/>
      <c r="BG4410" s="1065"/>
    </row>
    <row r="4411" spans="4:59">
      <c r="D4411" s="1065"/>
      <c r="S4411" s="1065"/>
      <c r="BE4411" s="1065"/>
      <c r="BF4411" s="1065"/>
      <c r="BG4411" s="1065"/>
    </row>
    <row r="4412" spans="4:59">
      <c r="D4412" s="1065"/>
      <c r="S4412" s="1065"/>
      <c r="BE4412" s="1065"/>
      <c r="BF4412" s="1065"/>
      <c r="BG4412" s="1065"/>
    </row>
    <row r="4413" spans="4:59">
      <c r="D4413" s="1065"/>
      <c r="S4413" s="1065"/>
      <c r="BE4413" s="1065"/>
      <c r="BF4413" s="1065"/>
      <c r="BG4413" s="1065"/>
    </row>
    <row r="4414" spans="4:59">
      <c r="D4414" s="1065"/>
      <c r="S4414" s="1065"/>
      <c r="BE4414" s="1065"/>
      <c r="BF4414" s="1065"/>
      <c r="BG4414" s="1065"/>
    </row>
    <row r="4415" spans="4:59">
      <c r="D4415" s="1065"/>
      <c r="S4415" s="1065"/>
      <c r="BE4415" s="1065"/>
      <c r="BF4415" s="1065"/>
      <c r="BG4415" s="1065"/>
    </row>
    <row r="4416" spans="4:59">
      <c r="D4416" s="1065"/>
      <c r="S4416" s="1065"/>
      <c r="BE4416" s="1065"/>
      <c r="BF4416" s="1065"/>
      <c r="BG4416" s="1065"/>
    </row>
    <row r="4417" spans="4:59">
      <c r="D4417" s="1065"/>
      <c r="S4417" s="1065"/>
      <c r="BE4417" s="1065"/>
      <c r="BF4417" s="1065"/>
      <c r="BG4417" s="1065"/>
    </row>
    <row r="4418" spans="4:59">
      <c r="D4418" s="1065"/>
      <c r="S4418" s="1065"/>
      <c r="BE4418" s="1065"/>
      <c r="BF4418" s="1065"/>
      <c r="BG4418" s="1065"/>
    </row>
    <row r="4419" spans="4:59">
      <c r="D4419" s="1065"/>
      <c r="S4419" s="1065"/>
      <c r="BE4419" s="1065"/>
      <c r="BF4419" s="1065"/>
      <c r="BG4419" s="1065"/>
    </row>
    <row r="4420" spans="4:59">
      <c r="D4420" s="1065"/>
      <c r="S4420" s="1065"/>
      <c r="BE4420" s="1065"/>
      <c r="BF4420" s="1065"/>
      <c r="BG4420" s="1065"/>
    </row>
    <row r="4421" spans="4:59">
      <c r="D4421" s="1065"/>
      <c r="S4421" s="1065"/>
      <c r="BE4421" s="1065"/>
      <c r="BF4421" s="1065"/>
      <c r="BG4421" s="1065"/>
    </row>
    <row r="4422" spans="4:59">
      <c r="D4422" s="1065"/>
      <c r="S4422" s="1065"/>
      <c r="BE4422" s="1065"/>
      <c r="BF4422" s="1065"/>
      <c r="BG4422" s="1065"/>
    </row>
    <row r="4423" spans="4:59">
      <c r="D4423" s="1065"/>
      <c r="S4423" s="1065"/>
      <c r="BE4423" s="1065"/>
      <c r="BF4423" s="1065"/>
      <c r="BG4423" s="1065"/>
    </row>
    <row r="4424" spans="4:59">
      <c r="D4424" s="1065"/>
      <c r="S4424" s="1065"/>
      <c r="BE4424" s="1065"/>
      <c r="BF4424" s="1065"/>
      <c r="BG4424" s="1065"/>
    </row>
    <row r="4425" spans="4:59">
      <c r="D4425" s="1065"/>
      <c r="S4425" s="1065"/>
      <c r="BE4425" s="1065"/>
      <c r="BF4425" s="1065"/>
      <c r="BG4425" s="1065"/>
    </row>
    <row r="4426" spans="4:59">
      <c r="D4426" s="1065"/>
      <c r="S4426" s="1065"/>
      <c r="BE4426" s="1065"/>
      <c r="BF4426" s="1065"/>
      <c r="BG4426" s="1065"/>
    </row>
    <row r="4427" spans="4:59">
      <c r="D4427" s="1065"/>
      <c r="S4427" s="1065"/>
      <c r="BE4427" s="1065"/>
      <c r="BF4427" s="1065"/>
      <c r="BG4427" s="1065"/>
    </row>
    <row r="4428" spans="4:59">
      <c r="D4428" s="1065"/>
      <c r="S4428" s="1065"/>
      <c r="BE4428" s="1065"/>
      <c r="BF4428" s="1065"/>
      <c r="BG4428" s="1065"/>
    </row>
    <row r="4429" spans="4:59">
      <c r="D4429" s="1065"/>
      <c r="S4429" s="1065"/>
      <c r="BE4429" s="1065"/>
      <c r="BF4429" s="1065"/>
      <c r="BG4429" s="1065"/>
    </row>
    <row r="4430" spans="4:59">
      <c r="D4430" s="1065"/>
      <c r="S4430" s="1065"/>
      <c r="BE4430" s="1065"/>
      <c r="BF4430" s="1065"/>
      <c r="BG4430" s="1065"/>
    </row>
    <row r="4431" spans="4:59">
      <c r="D4431" s="1065"/>
      <c r="S4431" s="1065"/>
      <c r="BE4431" s="1065"/>
      <c r="BF4431" s="1065"/>
      <c r="BG4431" s="1065"/>
    </row>
    <row r="4432" spans="4:59">
      <c r="D4432" s="1065"/>
      <c r="S4432" s="1065"/>
      <c r="BE4432" s="1065"/>
      <c r="BF4432" s="1065"/>
      <c r="BG4432" s="1065"/>
    </row>
    <row r="4433" spans="4:59">
      <c r="D4433" s="1065"/>
      <c r="S4433" s="1065"/>
      <c r="BE4433" s="1065"/>
      <c r="BF4433" s="1065"/>
      <c r="BG4433" s="1065"/>
    </row>
    <row r="4434" spans="4:59">
      <c r="D4434" s="1065"/>
      <c r="S4434" s="1065"/>
      <c r="BE4434" s="1065"/>
      <c r="BF4434" s="1065"/>
      <c r="BG4434" s="1065"/>
    </row>
    <row r="4435" spans="4:59">
      <c r="D4435" s="1065"/>
      <c r="S4435" s="1065"/>
      <c r="BE4435" s="1065"/>
      <c r="BF4435" s="1065"/>
      <c r="BG4435" s="1065"/>
    </row>
    <row r="4436" spans="4:59">
      <c r="D4436" s="1065"/>
      <c r="S4436" s="1065"/>
      <c r="BE4436" s="1065"/>
      <c r="BF4436" s="1065"/>
      <c r="BG4436" s="1065"/>
    </row>
    <row r="4437" spans="4:59">
      <c r="D4437" s="1065"/>
      <c r="S4437" s="1065"/>
      <c r="BE4437" s="1065"/>
      <c r="BF4437" s="1065"/>
      <c r="BG4437" s="1065"/>
    </row>
    <row r="4438" spans="4:59">
      <c r="D4438" s="1065"/>
      <c r="S4438" s="1065"/>
      <c r="BE4438" s="1065"/>
      <c r="BF4438" s="1065"/>
      <c r="BG4438" s="1065"/>
    </row>
    <row r="4439" spans="4:59">
      <c r="D4439" s="1065"/>
      <c r="S4439" s="1065"/>
      <c r="BE4439" s="1065"/>
      <c r="BF4439" s="1065"/>
      <c r="BG4439" s="1065"/>
    </row>
    <row r="4440" spans="4:59">
      <c r="D4440" s="1065"/>
      <c r="S4440" s="1065"/>
      <c r="BE4440" s="1065"/>
      <c r="BF4440" s="1065"/>
      <c r="BG4440" s="1065"/>
    </row>
    <row r="4441" spans="4:59">
      <c r="D4441" s="1065"/>
      <c r="S4441" s="1065"/>
      <c r="BE4441" s="1065"/>
      <c r="BF4441" s="1065"/>
      <c r="BG4441" s="1065"/>
    </row>
    <row r="4442" spans="4:59">
      <c r="D4442" s="1065"/>
      <c r="S4442" s="1065"/>
      <c r="BE4442" s="1065"/>
      <c r="BF4442" s="1065"/>
      <c r="BG4442" s="1065"/>
    </row>
    <row r="4443" spans="4:59">
      <c r="D4443" s="1065"/>
      <c r="S4443" s="1065"/>
      <c r="BE4443" s="1065"/>
      <c r="BF4443" s="1065"/>
      <c r="BG4443" s="1065"/>
    </row>
    <row r="4444" spans="4:59">
      <c r="D4444" s="1065"/>
      <c r="S4444" s="1065"/>
      <c r="BE4444" s="1065"/>
      <c r="BF4444" s="1065"/>
      <c r="BG4444" s="1065"/>
    </row>
    <row r="4445" spans="4:59">
      <c r="D4445" s="1065"/>
      <c r="S4445" s="1065"/>
      <c r="BE4445" s="1065"/>
      <c r="BF4445" s="1065"/>
      <c r="BG4445" s="1065"/>
    </row>
    <row r="4446" spans="4:59">
      <c r="D4446" s="1065"/>
      <c r="S4446" s="1065"/>
      <c r="BE4446" s="1065"/>
      <c r="BF4446" s="1065"/>
      <c r="BG4446" s="1065"/>
    </row>
    <row r="4447" spans="4:59">
      <c r="D4447" s="1065"/>
      <c r="S4447" s="1065"/>
      <c r="BE4447" s="1065"/>
      <c r="BF4447" s="1065"/>
      <c r="BG4447" s="1065"/>
    </row>
    <row r="4448" spans="4:59">
      <c r="D4448" s="1065"/>
      <c r="S4448" s="1065"/>
      <c r="BE4448" s="1065"/>
      <c r="BF4448" s="1065"/>
      <c r="BG4448" s="1065"/>
    </row>
    <row r="4449" spans="4:59">
      <c r="D4449" s="1065"/>
      <c r="S4449" s="1065"/>
      <c r="BE4449" s="1065"/>
      <c r="BF4449" s="1065"/>
      <c r="BG4449" s="1065"/>
    </row>
    <row r="4450" spans="4:59">
      <c r="D4450" s="1065"/>
      <c r="S4450" s="1065"/>
      <c r="BE4450" s="1065"/>
      <c r="BF4450" s="1065"/>
      <c r="BG4450" s="1065"/>
    </row>
    <row r="4451" spans="4:59">
      <c r="D4451" s="1065"/>
      <c r="S4451" s="1065"/>
      <c r="BE4451" s="1065"/>
      <c r="BF4451" s="1065"/>
      <c r="BG4451" s="1065"/>
    </row>
    <row r="4452" spans="4:59">
      <c r="D4452" s="1065"/>
      <c r="S4452" s="1065"/>
      <c r="BE4452" s="1065"/>
      <c r="BF4452" s="1065"/>
      <c r="BG4452" s="1065"/>
    </row>
    <row r="4453" spans="4:59">
      <c r="D4453" s="1065"/>
      <c r="S4453" s="1065"/>
      <c r="BE4453" s="1065"/>
      <c r="BF4453" s="1065"/>
      <c r="BG4453" s="1065"/>
    </row>
    <row r="4454" spans="4:59">
      <c r="D4454" s="1065"/>
      <c r="S4454" s="1065"/>
      <c r="BE4454" s="1065"/>
      <c r="BF4454" s="1065"/>
      <c r="BG4454" s="1065"/>
    </row>
    <row r="4455" spans="4:59">
      <c r="D4455" s="1065"/>
      <c r="S4455" s="1065"/>
      <c r="BE4455" s="1065"/>
      <c r="BF4455" s="1065"/>
      <c r="BG4455" s="1065"/>
    </row>
    <row r="4456" spans="4:59">
      <c r="D4456" s="1065"/>
      <c r="S4456" s="1065"/>
      <c r="BE4456" s="1065"/>
      <c r="BF4456" s="1065"/>
      <c r="BG4456" s="1065"/>
    </row>
    <row r="4457" spans="4:59">
      <c r="D4457" s="1065"/>
      <c r="S4457" s="1065"/>
      <c r="BE4457" s="1065"/>
      <c r="BF4457" s="1065"/>
      <c r="BG4457" s="1065"/>
    </row>
    <row r="4458" spans="4:59">
      <c r="D4458" s="1065"/>
      <c r="S4458" s="1065"/>
      <c r="BE4458" s="1065"/>
      <c r="BF4458" s="1065"/>
      <c r="BG4458" s="1065"/>
    </row>
    <row r="4459" spans="4:59">
      <c r="D4459" s="1065"/>
      <c r="S4459" s="1065"/>
      <c r="BE4459" s="1065"/>
      <c r="BF4459" s="1065"/>
      <c r="BG4459" s="1065"/>
    </row>
    <row r="4460" spans="4:59">
      <c r="D4460" s="1065"/>
      <c r="S4460" s="1065"/>
      <c r="BE4460" s="1065"/>
      <c r="BF4460" s="1065"/>
      <c r="BG4460" s="1065"/>
    </row>
    <row r="4461" spans="4:59">
      <c r="D4461" s="1065"/>
      <c r="S4461" s="1065"/>
      <c r="BE4461" s="1065"/>
      <c r="BF4461" s="1065"/>
      <c r="BG4461" s="1065"/>
    </row>
    <row r="4462" spans="4:59">
      <c r="D4462" s="1065"/>
      <c r="S4462" s="1065"/>
      <c r="BE4462" s="1065"/>
      <c r="BF4462" s="1065"/>
      <c r="BG4462" s="1065"/>
    </row>
    <row r="4463" spans="4:59">
      <c r="D4463" s="1065"/>
      <c r="S4463" s="1065"/>
      <c r="BE4463" s="1065"/>
      <c r="BF4463" s="1065"/>
      <c r="BG4463" s="1065"/>
    </row>
    <row r="4464" spans="4:59">
      <c r="D4464" s="1065"/>
      <c r="S4464" s="1065"/>
      <c r="BE4464" s="1065"/>
      <c r="BF4464" s="1065"/>
      <c r="BG4464" s="1065"/>
    </row>
    <row r="4465" spans="4:59">
      <c r="D4465" s="1065"/>
      <c r="S4465" s="1065"/>
      <c r="BE4465" s="1065"/>
      <c r="BF4465" s="1065"/>
      <c r="BG4465" s="1065"/>
    </row>
    <row r="4466" spans="4:59">
      <c r="D4466" s="1065"/>
      <c r="S4466" s="1065"/>
      <c r="BE4466" s="1065"/>
      <c r="BF4466" s="1065"/>
      <c r="BG4466" s="1065"/>
    </row>
    <row r="4467" spans="4:59">
      <c r="D4467" s="1065"/>
      <c r="S4467" s="1065"/>
      <c r="BE4467" s="1065"/>
      <c r="BF4467" s="1065"/>
      <c r="BG4467" s="1065"/>
    </row>
    <row r="4478" spans="4:59">
      <c r="D4478" s="1065"/>
      <c r="S4478" s="1065"/>
      <c r="BE4478" s="1065"/>
      <c r="BF4478" s="1065"/>
      <c r="BG4478" s="1065"/>
    </row>
    <row r="4479" spans="4:59">
      <c r="D4479" s="1065"/>
      <c r="S4479" s="1065"/>
      <c r="BE4479" s="1065"/>
      <c r="BF4479" s="1065"/>
      <c r="BG4479" s="1065"/>
    </row>
    <row r="4480" spans="4:59">
      <c r="D4480" s="1065"/>
      <c r="S4480" s="1065"/>
      <c r="BE4480" s="1065"/>
      <c r="BF4480" s="1065"/>
      <c r="BG4480" s="1065"/>
    </row>
    <row r="4481" spans="4:59">
      <c r="D4481" s="1065"/>
      <c r="S4481" s="1065"/>
      <c r="BE4481" s="1065"/>
      <c r="BF4481" s="1065"/>
      <c r="BG4481" s="1065"/>
    </row>
    <row r="4482" spans="4:59">
      <c r="D4482" s="1065"/>
      <c r="S4482" s="1065"/>
      <c r="BE4482" s="1065"/>
      <c r="BF4482" s="1065"/>
      <c r="BG4482" s="1065"/>
    </row>
    <row r="4483" spans="4:59">
      <c r="D4483" s="1065"/>
      <c r="S4483" s="1065"/>
      <c r="BE4483" s="1065"/>
      <c r="BF4483" s="1065"/>
      <c r="BG4483" s="1065"/>
    </row>
    <row r="4484" spans="4:59">
      <c r="D4484" s="1065"/>
      <c r="S4484" s="1065"/>
      <c r="BE4484" s="1065"/>
      <c r="BF4484" s="1065"/>
      <c r="BG4484" s="1065"/>
    </row>
    <row r="4485" spans="4:59">
      <c r="D4485" s="1065"/>
      <c r="S4485" s="1065"/>
      <c r="BE4485" s="1065"/>
      <c r="BF4485" s="1065"/>
      <c r="BG4485" s="1065"/>
    </row>
    <row r="4486" spans="4:59">
      <c r="D4486" s="1065"/>
      <c r="S4486" s="1065"/>
      <c r="BE4486" s="1065"/>
      <c r="BF4486" s="1065"/>
      <c r="BG4486" s="1065"/>
    </row>
    <row r="4487" spans="4:59">
      <c r="D4487" s="1065"/>
      <c r="S4487" s="1065"/>
      <c r="BE4487" s="1065"/>
      <c r="BF4487" s="1065"/>
      <c r="BG4487" s="1065"/>
    </row>
    <row r="4488" spans="4:59">
      <c r="D4488" s="1065"/>
      <c r="S4488" s="1065"/>
      <c r="BE4488" s="1065"/>
      <c r="BF4488" s="1065"/>
      <c r="BG4488" s="1065"/>
    </row>
    <row r="4489" spans="4:59">
      <c r="D4489" s="1065"/>
      <c r="S4489" s="1065"/>
      <c r="BE4489" s="1065"/>
      <c r="BF4489" s="1065"/>
      <c r="BG4489" s="1065"/>
    </row>
    <row r="4490" spans="4:59">
      <c r="D4490" s="1065"/>
      <c r="S4490" s="1065"/>
      <c r="BE4490" s="1065"/>
      <c r="BF4490" s="1065"/>
      <c r="BG4490" s="1065"/>
    </row>
    <row r="4491" spans="4:59">
      <c r="D4491" s="1065"/>
      <c r="S4491" s="1065"/>
      <c r="BE4491" s="1065"/>
      <c r="BF4491" s="1065"/>
      <c r="BG4491" s="1065"/>
    </row>
    <row r="4492" spans="4:59">
      <c r="D4492" s="1065"/>
      <c r="S4492" s="1065"/>
      <c r="BE4492" s="1065"/>
      <c r="BF4492" s="1065"/>
      <c r="BG4492" s="1065"/>
    </row>
    <row r="4493" spans="4:59">
      <c r="D4493" s="1065"/>
      <c r="S4493" s="1065"/>
      <c r="BE4493" s="1065"/>
      <c r="BF4493" s="1065"/>
      <c r="BG4493" s="1065"/>
    </row>
    <row r="4494" spans="4:59">
      <c r="D4494" s="1065"/>
      <c r="S4494" s="1065"/>
      <c r="BE4494" s="1065"/>
      <c r="BF4494" s="1065"/>
      <c r="BG4494" s="1065"/>
    </row>
    <row r="4495" spans="4:59">
      <c r="D4495" s="1065"/>
      <c r="S4495" s="1065"/>
      <c r="BE4495" s="1065"/>
      <c r="BF4495" s="1065"/>
      <c r="BG4495" s="1065"/>
    </row>
    <row r="4496" spans="4:59">
      <c r="D4496" s="1065"/>
      <c r="S4496" s="1065"/>
      <c r="BE4496" s="1065"/>
      <c r="BF4496" s="1065"/>
      <c r="BG4496" s="1065"/>
    </row>
    <row r="4497" spans="4:59">
      <c r="D4497" s="1065"/>
      <c r="S4497" s="1065"/>
      <c r="BE4497" s="1065"/>
      <c r="BF4497" s="1065"/>
      <c r="BG4497" s="1065"/>
    </row>
    <row r="4498" spans="4:59">
      <c r="D4498" s="1065"/>
      <c r="S4498" s="1065"/>
      <c r="BE4498" s="1065"/>
      <c r="BF4498" s="1065"/>
      <c r="BG4498" s="1065"/>
    </row>
    <row r="4499" spans="4:59">
      <c r="D4499" s="1065"/>
      <c r="S4499" s="1065"/>
      <c r="BE4499" s="1065"/>
      <c r="BF4499" s="1065"/>
      <c r="BG4499" s="1065"/>
    </row>
    <row r="4500" spans="4:59">
      <c r="D4500" s="1065"/>
      <c r="S4500" s="1065"/>
      <c r="BE4500" s="1065"/>
      <c r="BF4500" s="1065"/>
      <c r="BG4500" s="1065"/>
    </row>
    <row r="4501" spans="4:59">
      <c r="D4501" s="1065"/>
      <c r="S4501" s="1065"/>
      <c r="BE4501" s="1065"/>
      <c r="BF4501" s="1065"/>
      <c r="BG4501" s="1065"/>
    </row>
    <row r="4502" spans="4:59">
      <c r="D4502" s="1065"/>
      <c r="S4502" s="1065"/>
      <c r="BE4502" s="1065"/>
      <c r="BF4502" s="1065"/>
      <c r="BG4502" s="1065"/>
    </row>
    <row r="4503" spans="4:59">
      <c r="D4503" s="1065"/>
      <c r="S4503" s="1065"/>
      <c r="BE4503" s="1065"/>
      <c r="BF4503" s="1065"/>
      <c r="BG4503" s="1065"/>
    </row>
    <row r="4504" spans="4:59">
      <c r="D4504" s="1065"/>
      <c r="S4504" s="1065"/>
      <c r="BE4504" s="1065"/>
      <c r="BF4504" s="1065"/>
      <c r="BG4504" s="1065"/>
    </row>
    <row r="4505" spans="4:59">
      <c r="D4505" s="1065"/>
      <c r="S4505" s="1065"/>
      <c r="BE4505" s="1065"/>
      <c r="BF4505" s="1065"/>
      <c r="BG4505" s="1065"/>
    </row>
    <row r="4506" spans="4:59">
      <c r="D4506" s="1065"/>
      <c r="S4506" s="1065"/>
      <c r="BE4506" s="1065"/>
      <c r="BF4506" s="1065"/>
      <c r="BG4506" s="1065"/>
    </row>
    <row r="4507" spans="4:59">
      <c r="D4507" s="1065"/>
      <c r="S4507" s="1065"/>
      <c r="BE4507" s="1065"/>
      <c r="BF4507" s="1065"/>
      <c r="BG4507" s="1065"/>
    </row>
    <row r="4508" spans="4:59">
      <c r="D4508" s="1065"/>
      <c r="S4508" s="1065"/>
      <c r="BE4508" s="1065"/>
      <c r="BF4508" s="1065"/>
      <c r="BG4508" s="1065"/>
    </row>
    <row r="4509" spans="4:59">
      <c r="D4509" s="1065"/>
      <c r="S4509" s="1065"/>
      <c r="BE4509" s="1065"/>
      <c r="BF4509" s="1065"/>
      <c r="BG4509" s="1065"/>
    </row>
    <row r="4510" spans="4:59">
      <c r="D4510" s="1065"/>
      <c r="S4510" s="1065"/>
      <c r="BE4510" s="1065"/>
      <c r="BF4510" s="1065"/>
      <c r="BG4510" s="1065"/>
    </row>
    <row r="4511" spans="4:59">
      <c r="D4511" s="1065"/>
      <c r="S4511" s="1065"/>
      <c r="BE4511" s="1065"/>
      <c r="BF4511" s="1065"/>
      <c r="BG4511" s="1065"/>
    </row>
    <row r="4512" spans="4:59">
      <c r="D4512" s="1065"/>
      <c r="S4512" s="1065"/>
      <c r="BE4512" s="1065"/>
      <c r="BF4512" s="1065"/>
      <c r="BG4512" s="1065"/>
    </row>
    <row r="4513" spans="4:59">
      <c r="D4513" s="1065"/>
      <c r="S4513" s="1065"/>
      <c r="BE4513" s="1065"/>
      <c r="BF4513" s="1065"/>
      <c r="BG4513" s="1065"/>
    </row>
    <row r="4514" spans="4:59">
      <c r="D4514" s="1065"/>
      <c r="S4514" s="1065"/>
      <c r="BE4514" s="1065"/>
      <c r="BF4514" s="1065"/>
      <c r="BG4514" s="1065"/>
    </row>
    <row r="4515" spans="4:59">
      <c r="D4515" s="1065"/>
      <c r="S4515" s="1065"/>
      <c r="BE4515" s="1065"/>
      <c r="BF4515" s="1065"/>
      <c r="BG4515" s="1065"/>
    </row>
    <row r="4516" spans="4:59">
      <c r="D4516" s="1065"/>
      <c r="S4516" s="1065"/>
      <c r="BE4516" s="1065"/>
      <c r="BF4516" s="1065"/>
      <c r="BG4516" s="1065"/>
    </row>
    <row r="4517" spans="4:59">
      <c r="D4517" s="1065"/>
      <c r="S4517" s="1065"/>
      <c r="BE4517" s="1065"/>
      <c r="BF4517" s="1065"/>
      <c r="BG4517" s="1065"/>
    </row>
    <row r="4518" spans="4:59">
      <c r="D4518" s="1065"/>
      <c r="S4518" s="1065"/>
      <c r="BE4518" s="1065"/>
      <c r="BF4518" s="1065"/>
      <c r="BG4518" s="1065"/>
    </row>
    <row r="4519" spans="4:59">
      <c r="D4519" s="1065"/>
      <c r="S4519" s="1065"/>
      <c r="BE4519" s="1065"/>
      <c r="BF4519" s="1065"/>
      <c r="BG4519" s="1065"/>
    </row>
    <row r="4520" spans="4:59">
      <c r="D4520" s="1065"/>
      <c r="S4520" s="1065"/>
      <c r="BE4520" s="1065"/>
      <c r="BF4520" s="1065"/>
      <c r="BG4520" s="1065"/>
    </row>
    <row r="4521" spans="4:59">
      <c r="D4521" s="1065"/>
      <c r="S4521" s="1065"/>
      <c r="BE4521" s="1065"/>
      <c r="BF4521" s="1065"/>
      <c r="BG4521" s="1065"/>
    </row>
    <row r="4522" spans="4:59">
      <c r="D4522" s="1065"/>
      <c r="S4522" s="1065"/>
      <c r="BE4522" s="1065"/>
      <c r="BF4522" s="1065"/>
      <c r="BG4522" s="1065"/>
    </row>
    <row r="4523" spans="4:59">
      <c r="D4523" s="1065"/>
      <c r="S4523" s="1065"/>
      <c r="BE4523" s="1065"/>
      <c r="BF4523" s="1065"/>
      <c r="BG4523" s="1065"/>
    </row>
    <row r="4524" spans="4:59">
      <c r="D4524" s="1065"/>
      <c r="S4524" s="1065"/>
      <c r="BE4524" s="1065"/>
      <c r="BF4524" s="1065"/>
      <c r="BG4524" s="1065"/>
    </row>
    <row r="4525" spans="4:59">
      <c r="D4525" s="1065"/>
      <c r="S4525" s="1065"/>
      <c r="BE4525" s="1065"/>
      <c r="BF4525" s="1065"/>
      <c r="BG4525" s="1065"/>
    </row>
    <row r="4526" spans="4:59">
      <c r="D4526" s="1065"/>
      <c r="S4526" s="1065"/>
      <c r="BE4526" s="1065"/>
      <c r="BF4526" s="1065"/>
      <c r="BG4526" s="1065"/>
    </row>
    <row r="4527" spans="4:59">
      <c r="D4527" s="1065"/>
      <c r="S4527" s="1065"/>
      <c r="BE4527" s="1065"/>
      <c r="BF4527" s="1065"/>
      <c r="BG4527" s="1065"/>
    </row>
    <row r="4528" spans="4:59">
      <c r="D4528" s="1065"/>
      <c r="S4528" s="1065"/>
      <c r="BE4528" s="1065"/>
      <c r="BF4528" s="1065"/>
      <c r="BG4528" s="1065"/>
    </row>
    <row r="4529" spans="4:59">
      <c r="D4529" s="1065"/>
      <c r="S4529" s="1065"/>
      <c r="BE4529" s="1065"/>
      <c r="BF4529" s="1065"/>
      <c r="BG4529" s="1065"/>
    </row>
    <row r="4530" spans="4:59">
      <c r="D4530" s="1065"/>
      <c r="S4530" s="1065"/>
      <c r="BE4530" s="1065"/>
      <c r="BF4530" s="1065"/>
      <c r="BG4530" s="1065"/>
    </row>
    <row r="4531" spans="4:59">
      <c r="D4531" s="1065"/>
      <c r="S4531" s="1065"/>
      <c r="BE4531" s="1065"/>
      <c r="BF4531" s="1065"/>
      <c r="BG4531" s="1065"/>
    </row>
    <row r="4532" spans="4:59">
      <c r="D4532" s="1065"/>
      <c r="S4532" s="1065"/>
      <c r="BE4532" s="1065"/>
      <c r="BF4532" s="1065"/>
      <c r="BG4532" s="1065"/>
    </row>
    <row r="4533" spans="4:59">
      <c r="D4533" s="1065"/>
      <c r="S4533" s="1065"/>
      <c r="BE4533" s="1065"/>
      <c r="BF4533" s="1065"/>
      <c r="BG4533" s="1065"/>
    </row>
    <row r="4534" spans="4:59">
      <c r="D4534" s="1065"/>
      <c r="S4534" s="1065"/>
      <c r="BE4534" s="1065"/>
      <c r="BF4534" s="1065"/>
      <c r="BG4534" s="1065"/>
    </row>
    <row r="4535" spans="4:59">
      <c r="D4535" s="1065"/>
      <c r="S4535" s="1065"/>
      <c r="BE4535" s="1065"/>
      <c r="BF4535" s="1065"/>
      <c r="BG4535" s="1065"/>
    </row>
    <row r="4536" spans="4:59">
      <c r="D4536" s="1065"/>
      <c r="S4536" s="1065"/>
      <c r="BE4536" s="1065"/>
      <c r="BF4536" s="1065"/>
      <c r="BG4536" s="1065"/>
    </row>
    <row r="4537" spans="4:59">
      <c r="D4537" s="1065"/>
      <c r="S4537" s="1065"/>
      <c r="BE4537" s="1065"/>
      <c r="BF4537" s="1065"/>
      <c r="BG4537" s="1065"/>
    </row>
    <row r="4538" spans="4:59">
      <c r="D4538" s="1065"/>
      <c r="S4538" s="1065"/>
      <c r="BE4538" s="1065"/>
      <c r="BF4538" s="1065"/>
      <c r="BG4538" s="1065"/>
    </row>
    <row r="4539" spans="4:59">
      <c r="D4539" s="1065"/>
      <c r="S4539" s="1065"/>
      <c r="BE4539" s="1065"/>
      <c r="BF4539" s="1065"/>
      <c r="BG4539" s="1065"/>
    </row>
    <row r="4540" spans="4:59">
      <c r="D4540" s="1065"/>
      <c r="S4540" s="1065"/>
      <c r="BE4540" s="1065"/>
      <c r="BF4540" s="1065"/>
      <c r="BG4540" s="1065"/>
    </row>
    <row r="4541" spans="4:59">
      <c r="D4541" s="1065"/>
      <c r="S4541" s="1065"/>
      <c r="BE4541" s="1065"/>
      <c r="BF4541" s="1065"/>
      <c r="BG4541" s="1065"/>
    </row>
    <row r="4542" spans="4:59">
      <c r="D4542" s="1065"/>
      <c r="S4542" s="1065"/>
      <c r="BE4542" s="1065"/>
      <c r="BF4542" s="1065"/>
      <c r="BG4542" s="1065"/>
    </row>
    <row r="4543" spans="4:59">
      <c r="D4543" s="1065"/>
      <c r="S4543" s="1065"/>
      <c r="BE4543" s="1065"/>
      <c r="BF4543" s="1065"/>
      <c r="BG4543" s="1065"/>
    </row>
    <row r="4544" spans="4:59">
      <c r="D4544" s="1065"/>
      <c r="S4544" s="1065"/>
      <c r="BE4544" s="1065"/>
      <c r="BF4544" s="1065"/>
      <c r="BG4544" s="1065"/>
    </row>
    <row r="4545" spans="4:59">
      <c r="D4545" s="1065"/>
      <c r="S4545" s="1065"/>
      <c r="BE4545" s="1065"/>
      <c r="BF4545" s="1065"/>
      <c r="BG4545" s="1065"/>
    </row>
    <row r="4546" spans="4:59">
      <c r="D4546" s="1065"/>
      <c r="S4546" s="1065"/>
      <c r="BE4546" s="1065"/>
      <c r="BF4546" s="1065"/>
      <c r="BG4546" s="1065"/>
    </row>
    <row r="4547" spans="4:59">
      <c r="D4547" s="1065"/>
      <c r="S4547" s="1065"/>
      <c r="BE4547" s="1065"/>
      <c r="BF4547" s="1065"/>
      <c r="BG4547" s="1065"/>
    </row>
    <row r="4548" spans="4:59">
      <c r="D4548" s="1065"/>
      <c r="S4548" s="1065"/>
      <c r="BE4548" s="1065"/>
      <c r="BF4548" s="1065"/>
      <c r="BG4548" s="1065"/>
    </row>
    <row r="4549" spans="4:59">
      <c r="D4549" s="1065"/>
      <c r="S4549" s="1065"/>
      <c r="BE4549" s="1065"/>
      <c r="BF4549" s="1065"/>
      <c r="BG4549" s="1065"/>
    </row>
    <row r="4550" spans="4:59">
      <c r="D4550" s="1065"/>
      <c r="S4550" s="1065"/>
      <c r="BE4550" s="1065"/>
      <c r="BF4550" s="1065"/>
      <c r="BG4550" s="1065"/>
    </row>
    <row r="4551" spans="4:59">
      <c r="D4551" s="1065"/>
      <c r="S4551" s="1065"/>
      <c r="BE4551" s="1065"/>
      <c r="BF4551" s="1065"/>
      <c r="BG4551" s="1065"/>
    </row>
    <row r="4552" spans="4:59">
      <c r="D4552" s="1065"/>
      <c r="S4552" s="1065"/>
      <c r="BE4552" s="1065"/>
      <c r="BF4552" s="1065"/>
      <c r="BG4552" s="1065"/>
    </row>
    <row r="4553" spans="4:59">
      <c r="D4553" s="1065"/>
      <c r="S4553" s="1065"/>
      <c r="BE4553" s="1065"/>
      <c r="BF4553" s="1065"/>
      <c r="BG4553" s="1065"/>
    </row>
    <row r="4554" spans="4:59">
      <c r="D4554" s="1065"/>
      <c r="S4554" s="1065"/>
      <c r="BE4554" s="1065"/>
      <c r="BF4554" s="1065"/>
      <c r="BG4554" s="1065"/>
    </row>
    <row r="4555" spans="4:59">
      <c r="D4555" s="1065"/>
      <c r="S4555" s="1065"/>
      <c r="BE4555" s="1065"/>
      <c r="BF4555" s="1065"/>
      <c r="BG4555" s="1065"/>
    </row>
    <row r="4556" spans="4:59">
      <c r="D4556" s="1065"/>
      <c r="S4556" s="1065"/>
      <c r="BE4556" s="1065"/>
      <c r="BF4556" s="1065"/>
      <c r="BG4556" s="1065"/>
    </row>
    <row r="4557" spans="4:59">
      <c r="D4557" s="1065"/>
      <c r="S4557" s="1065"/>
      <c r="BE4557" s="1065"/>
      <c r="BF4557" s="1065"/>
      <c r="BG4557" s="1065"/>
    </row>
    <row r="4558" spans="4:59">
      <c r="D4558" s="1065"/>
      <c r="S4558" s="1065"/>
      <c r="BE4558" s="1065"/>
      <c r="BF4558" s="1065"/>
      <c r="BG4558" s="1065"/>
    </row>
    <row r="4559" spans="4:59">
      <c r="D4559" s="1065"/>
      <c r="S4559" s="1065"/>
      <c r="BE4559" s="1065"/>
      <c r="BF4559" s="1065"/>
      <c r="BG4559" s="1065"/>
    </row>
    <row r="4560" spans="4:59">
      <c r="D4560" s="1065"/>
      <c r="S4560" s="1065"/>
      <c r="BE4560" s="1065"/>
      <c r="BF4560" s="1065"/>
      <c r="BG4560" s="1065"/>
    </row>
    <row r="4561" spans="4:59">
      <c r="D4561" s="1065"/>
      <c r="S4561" s="1065"/>
      <c r="BE4561" s="1065"/>
      <c r="BF4561" s="1065"/>
      <c r="BG4561" s="1065"/>
    </row>
    <row r="4562" spans="4:59">
      <c r="D4562" s="1065"/>
      <c r="S4562" s="1065"/>
      <c r="BE4562" s="1065"/>
      <c r="BF4562" s="1065"/>
      <c r="BG4562" s="1065"/>
    </row>
    <row r="4563" spans="4:59">
      <c r="D4563" s="1065"/>
      <c r="S4563" s="1065"/>
      <c r="BE4563" s="1065"/>
      <c r="BF4563" s="1065"/>
      <c r="BG4563" s="1065"/>
    </row>
    <row r="4564" spans="4:59">
      <c r="D4564" s="1065"/>
      <c r="S4564" s="1065"/>
      <c r="BE4564" s="1065"/>
      <c r="BF4564" s="1065"/>
      <c r="BG4564" s="1065"/>
    </row>
    <row r="4565" spans="4:59">
      <c r="D4565" s="1065"/>
      <c r="S4565" s="1065"/>
      <c r="BE4565" s="1065"/>
      <c r="BF4565" s="1065"/>
      <c r="BG4565" s="1065"/>
    </row>
    <row r="4566" spans="4:59">
      <c r="D4566" s="1065"/>
      <c r="S4566" s="1065"/>
      <c r="BE4566" s="1065"/>
      <c r="BF4566" s="1065"/>
      <c r="BG4566" s="1065"/>
    </row>
    <row r="4567" spans="4:59">
      <c r="D4567" s="1065"/>
      <c r="S4567" s="1065"/>
      <c r="BE4567" s="1065"/>
      <c r="BF4567" s="1065"/>
      <c r="BG4567" s="1065"/>
    </row>
    <row r="4568" spans="4:59">
      <c r="D4568" s="1065"/>
      <c r="S4568" s="1065"/>
      <c r="BE4568" s="1065"/>
      <c r="BF4568" s="1065"/>
      <c r="BG4568" s="1065"/>
    </row>
    <row r="4569" spans="4:59">
      <c r="D4569" s="1065"/>
      <c r="S4569" s="1065"/>
      <c r="BE4569" s="1065"/>
      <c r="BF4569" s="1065"/>
      <c r="BG4569" s="1065"/>
    </row>
    <row r="4570" spans="4:59">
      <c r="D4570" s="1065"/>
      <c r="S4570" s="1065"/>
      <c r="BE4570" s="1065"/>
      <c r="BF4570" s="1065"/>
      <c r="BG4570" s="1065"/>
    </row>
    <row r="4571" spans="4:59">
      <c r="D4571" s="1065"/>
      <c r="S4571" s="1065"/>
      <c r="BE4571" s="1065"/>
      <c r="BF4571" s="1065"/>
      <c r="BG4571" s="1065"/>
    </row>
    <row r="4572" spans="4:59">
      <c r="D4572" s="1065"/>
      <c r="S4572" s="1065"/>
      <c r="BE4572" s="1065"/>
      <c r="BF4572" s="1065"/>
      <c r="BG4572" s="1065"/>
    </row>
    <row r="4573" spans="4:59">
      <c r="D4573" s="1065"/>
      <c r="S4573" s="1065"/>
      <c r="BE4573" s="1065"/>
      <c r="BF4573" s="1065"/>
      <c r="BG4573" s="1065"/>
    </row>
    <row r="4574" spans="4:59">
      <c r="D4574" s="1065"/>
      <c r="S4574" s="1065"/>
      <c r="BE4574" s="1065"/>
      <c r="BF4574" s="1065"/>
      <c r="BG4574" s="1065"/>
    </row>
    <row r="4575" spans="4:59">
      <c r="D4575" s="1065"/>
      <c r="S4575" s="1065"/>
      <c r="BE4575" s="1065"/>
      <c r="BF4575" s="1065"/>
      <c r="BG4575" s="1065"/>
    </row>
    <row r="4576" spans="4:59">
      <c r="D4576" s="1065"/>
      <c r="S4576" s="1065"/>
      <c r="BE4576" s="1065"/>
      <c r="BF4576" s="1065"/>
      <c r="BG4576" s="1065"/>
    </row>
    <row r="4577" spans="4:59">
      <c r="D4577" s="1065"/>
      <c r="S4577" s="1065"/>
      <c r="BE4577" s="1065"/>
      <c r="BF4577" s="1065"/>
      <c r="BG4577" s="1065"/>
    </row>
    <row r="4578" spans="4:59">
      <c r="D4578" s="1065"/>
      <c r="S4578" s="1065"/>
      <c r="BE4578" s="1065"/>
      <c r="BF4578" s="1065"/>
      <c r="BG4578" s="1065"/>
    </row>
    <row r="4579" spans="4:59">
      <c r="D4579" s="1065"/>
      <c r="S4579" s="1065"/>
      <c r="BE4579" s="1065"/>
      <c r="BF4579" s="1065"/>
      <c r="BG4579" s="1065"/>
    </row>
    <row r="4580" spans="4:59">
      <c r="D4580" s="1065"/>
      <c r="S4580" s="1065"/>
      <c r="BE4580" s="1065"/>
      <c r="BF4580" s="1065"/>
      <c r="BG4580" s="1065"/>
    </row>
    <row r="4581" spans="4:59">
      <c r="D4581" s="1065"/>
      <c r="S4581" s="1065"/>
      <c r="BE4581" s="1065"/>
      <c r="BF4581" s="1065"/>
      <c r="BG4581" s="1065"/>
    </row>
    <row r="4582" spans="4:59">
      <c r="D4582" s="1065"/>
      <c r="S4582" s="1065"/>
      <c r="BE4582" s="1065"/>
      <c r="BF4582" s="1065"/>
      <c r="BG4582" s="1065"/>
    </row>
    <row r="4583" spans="4:59">
      <c r="D4583" s="1065"/>
      <c r="S4583" s="1065"/>
      <c r="BE4583" s="1065"/>
      <c r="BF4583" s="1065"/>
      <c r="BG4583" s="1065"/>
    </row>
    <row r="4584" spans="4:59">
      <c r="D4584" s="1065"/>
      <c r="S4584" s="1065"/>
      <c r="BE4584" s="1065"/>
      <c r="BF4584" s="1065"/>
      <c r="BG4584" s="1065"/>
    </row>
    <row r="4585" spans="4:59">
      <c r="D4585" s="1065"/>
      <c r="S4585" s="1065"/>
      <c r="BE4585" s="1065"/>
      <c r="BF4585" s="1065"/>
      <c r="BG4585" s="1065"/>
    </row>
    <row r="4586" spans="4:59">
      <c r="D4586" s="1065"/>
      <c r="S4586" s="1065"/>
      <c r="BE4586" s="1065"/>
      <c r="BF4586" s="1065"/>
      <c r="BG4586" s="1065"/>
    </row>
    <row r="4587" spans="4:59">
      <c r="D4587" s="1065"/>
      <c r="S4587" s="1065"/>
      <c r="BE4587" s="1065"/>
      <c r="BF4587" s="1065"/>
      <c r="BG4587" s="1065"/>
    </row>
    <row r="4588" spans="4:59">
      <c r="D4588" s="1065"/>
      <c r="S4588" s="1065"/>
      <c r="BE4588" s="1065"/>
      <c r="BF4588" s="1065"/>
      <c r="BG4588" s="1065"/>
    </row>
    <row r="4589" spans="4:59">
      <c r="D4589" s="1065"/>
      <c r="S4589" s="1065"/>
      <c r="BE4589" s="1065"/>
      <c r="BF4589" s="1065"/>
      <c r="BG4589" s="1065"/>
    </row>
    <row r="4590" spans="4:59">
      <c r="D4590" s="1065"/>
      <c r="S4590" s="1065"/>
      <c r="BE4590" s="1065"/>
      <c r="BF4590" s="1065"/>
      <c r="BG4590" s="1065"/>
    </row>
    <row r="4591" spans="4:59">
      <c r="D4591" s="1065"/>
      <c r="S4591" s="1065"/>
      <c r="BE4591" s="1065"/>
      <c r="BF4591" s="1065"/>
      <c r="BG4591" s="1065"/>
    </row>
    <row r="4592" spans="4:59">
      <c r="D4592" s="1065"/>
      <c r="S4592" s="1065"/>
      <c r="BE4592" s="1065"/>
      <c r="BF4592" s="1065"/>
      <c r="BG4592" s="1065"/>
    </row>
    <row r="4593" spans="4:59">
      <c r="D4593" s="1065"/>
      <c r="S4593" s="1065"/>
      <c r="BE4593" s="1065"/>
      <c r="BF4593" s="1065"/>
      <c r="BG4593" s="1065"/>
    </row>
    <row r="4594" spans="4:59">
      <c r="D4594" s="1065"/>
      <c r="S4594" s="1065"/>
      <c r="BE4594" s="1065"/>
      <c r="BF4594" s="1065"/>
      <c r="BG4594" s="1065"/>
    </row>
    <row r="4595" spans="4:59">
      <c r="D4595" s="1065"/>
      <c r="S4595" s="1065"/>
      <c r="BE4595" s="1065"/>
      <c r="BF4595" s="1065"/>
      <c r="BG4595" s="1065"/>
    </row>
    <row r="4596" spans="4:59">
      <c r="D4596" s="1065"/>
      <c r="S4596" s="1065"/>
      <c r="BE4596" s="1065"/>
      <c r="BF4596" s="1065"/>
      <c r="BG4596" s="1065"/>
    </row>
    <row r="4597" spans="4:59">
      <c r="D4597" s="1065"/>
      <c r="S4597" s="1065"/>
      <c r="BE4597" s="1065"/>
      <c r="BF4597" s="1065"/>
      <c r="BG4597" s="1065"/>
    </row>
    <row r="4598" spans="4:59">
      <c r="D4598" s="1065"/>
      <c r="S4598" s="1065"/>
      <c r="BE4598" s="1065"/>
      <c r="BF4598" s="1065"/>
      <c r="BG4598" s="1065"/>
    </row>
    <row r="4599" spans="4:59">
      <c r="D4599" s="1065"/>
      <c r="S4599" s="1065"/>
      <c r="BE4599" s="1065"/>
      <c r="BF4599" s="1065"/>
      <c r="BG4599" s="1065"/>
    </row>
    <row r="4600" spans="4:59">
      <c r="D4600" s="1065"/>
      <c r="S4600" s="1065"/>
      <c r="BE4600" s="1065"/>
      <c r="BF4600" s="1065"/>
      <c r="BG4600" s="1065"/>
    </row>
    <row r="4601" spans="4:59">
      <c r="D4601" s="1065"/>
      <c r="S4601" s="1065"/>
      <c r="BE4601" s="1065"/>
      <c r="BF4601" s="1065"/>
      <c r="BG4601" s="1065"/>
    </row>
    <row r="4602" spans="4:59">
      <c r="D4602" s="1065"/>
      <c r="S4602" s="1065"/>
      <c r="BE4602" s="1065"/>
      <c r="BF4602" s="1065"/>
      <c r="BG4602" s="1065"/>
    </row>
    <row r="4603" spans="4:59">
      <c r="D4603" s="1065"/>
      <c r="S4603" s="1065"/>
      <c r="BE4603" s="1065"/>
      <c r="BF4603" s="1065"/>
      <c r="BG4603" s="1065"/>
    </row>
    <row r="4604" spans="4:59">
      <c r="D4604" s="1065"/>
      <c r="S4604" s="1065"/>
      <c r="BE4604" s="1065"/>
      <c r="BF4604" s="1065"/>
      <c r="BG4604" s="1065"/>
    </row>
    <row r="4605" spans="4:59">
      <c r="D4605" s="1065"/>
      <c r="S4605" s="1065"/>
      <c r="BE4605" s="1065"/>
      <c r="BF4605" s="1065"/>
      <c r="BG4605" s="1065"/>
    </row>
    <row r="4606" spans="4:59">
      <c r="D4606" s="1065"/>
      <c r="S4606" s="1065"/>
      <c r="BE4606" s="1065"/>
      <c r="BF4606" s="1065"/>
      <c r="BG4606" s="1065"/>
    </row>
    <row r="4607" spans="4:59">
      <c r="D4607" s="1065"/>
      <c r="S4607" s="1065"/>
      <c r="BE4607" s="1065"/>
      <c r="BF4607" s="1065"/>
      <c r="BG4607" s="1065"/>
    </row>
    <row r="4608" spans="4:59">
      <c r="D4608" s="1065"/>
      <c r="S4608" s="1065"/>
      <c r="BE4608" s="1065"/>
      <c r="BF4608" s="1065"/>
      <c r="BG4608" s="1065"/>
    </row>
    <row r="4609" spans="4:59">
      <c r="D4609" s="1065"/>
      <c r="S4609" s="1065"/>
      <c r="BE4609" s="1065"/>
      <c r="BF4609" s="1065"/>
      <c r="BG4609" s="1065"/>
    </row>
    <row r="4610" spans="4:59">
      <c r="D4610" s="1065"/>
      <c r="S4610" s="1065"/>
      <c r="BE4610" s="1065"/>
      <c r="BF4610" s="1065"/>
      <c r="BG4610" s="1065"/>
    </row>
    <row r="4611" spans="4:59">
      <c r="D4611" s="1065"/>
      <c r="S4611" s="1065"/>
      <c r="BE4611" s="1065"/>
      <c r="BF4611" s="1065"/>
      <c r="BG4611" s="1065"/>
    </row>
    <row r="4612" spans="4:59">
      <c r="D4612" s="1065"/>
      <c r="S4612" s="1065"/>
      <c r="BE4612" s="1065"/>
      <c r="BF4612" s="1065"/>
      <c r="BG4612" s="1065"/>
    </row>
    <row r="4613" spans="4:59">
      <c r="D4613" s="1065"/>
      <c r="S4613" s="1065"/>
      <c r="BE4613" s="1065"/>
      <c r="BF4613" s="1065"/>
      <c r="BG4613" s="1065"/>
    </row>
    <row r="4614" spans="4:59">
      <c r="D4614" s="1065"/>
      <c r="S4614" s="1065"/>
      <c r="BE4614" s="1065"/>
      <c r="BF4614" s="1065"/>
      <c r="BG4614" s="1065"/>
    </row>
    <row r="4615" spans="4:59">
      <c r="D4615" s="1065"/>
      <c r="S4615" s="1065"/>
      <c r="BE4615" s="1065"/>
      <c r="BF4615" s="1065"/>
      <c r="BG4615" s="1065"/>
    </row>
    <row r="4616" spans="4:59">
      <c r="D4616" s="1065"/>
      <c r="S4616" s="1065"/>
      <c r="BE4616" s="1065"/>
      <c r="BF4616" s="1065"/>
      <c r="BG4616" s="1065"/>
    </row>
    <row r="4617" spans="4:59">
      <c r="D4617" s="1065"/>
      <c r="S4617" s="1065"/>
      <c r="BE4617" s="1065"/>
      <c r="BF4617" s="1065"/>
      <c r="BG4617" s="1065"/>
    </row>
    <row r="4618" spans="4:59">
      <c r="D4618" s="1065"/>
      <c r="S4618" s="1065"/>
      <c r="BE4618" s="1065"/>
      <c r="BF4618" s="1065"/>
      <c r="BG4618" s="1065"/>
    </row>
    <row r="4619" spans="4:59">
      <c r="D4619" s="1065"/>
      <c r="S4619" s="1065"/>
      <c r="BE4619" s="1065"/>
      <c r="BF4619" s="1065"/>
      <c r="BG4619" s="1065"/>
    </row>
    <row r="4620" spans="4:59">
      <c r="D4620" s="1065"/>
      <c r="S4620" s="1065"/>
      <c r="BE4620" s="1065"/>
      <c r="BF4620" s="1065"/>
      <c r="BG4620" s="1065"/>
    </row>
    <row r="4621" spans="4:59">
      <c r="D4621" s="1065"/>
      <c r="S4621" s="1065"/>
      <c r="BE4621" s="1065"/>
      <c r="BF4621" s="1065"/>
      <c r="BG4621" s="1065"/>
    </row>
    <row r="4622" spans="4:59">
      <c r="D4622" s="1065"/>
      <c r="S4622" s="1065"/>
      <c r="BE4622" s="1065"/>
      <c r="BF4622" s="1065"/>
      <c r="BG4622" s="1065"/>
    </row>
    <row r="4623" spans="4:59">
      <c r="D4623" s="1065"/>
      <c r="S4623" s="1065"/>
      <c r="BE4623" s="1065"/>
      <c r="BF4623" s="1065"/>
      <c r="BG4623" s="1065"/>
    </row>
    <row r="4624" spans="4:59">
      <c r="D4624" s="1065"/>
      <c r="S4624" s="1065"/>
      <c r="BE4624" s="1065"/>
      <c r="BF4624" s="1065"/>
      <c r="BG4624" s="1065"/>
    </row>
    <row r="4625" spans="4:59">
      <c r="D4625" s="1065"/>
      <c r="S4625" s="1065"/>
      <c r="BE4625" s="1065"/>
      <c r="BF4625" s="1065"/>
      <c r="BG4625" s="1065"/>
    </row>
    <row r="4626" spans="4:59">
      <c r="D4626" s="1065"/>
      <c r="S4626" s="1065"/>
      <c r="BE4626" s="1065"/>
      <c r="BF4626" s="1065"/>
      <c r="BG4626" s="1065"/>
    </row>
    <row r="4627" spans="4:59">
      <c r="D4627" s="1065"/>
      <c r="S4627" s="1065"/>
      <c r="BE4627" s="1065"/>
      <c r="BF4627" s="1065"/>
      <c r="BG4627" s="1065"/>
    </row>
    <row r="4628" spans="4:59">
      <c r="D4628" s="1065"/>
      <c r="S4628" s="1065"/>
      <c r="BE4628" s="1065"/>
      <c r="BF4628" s="1065"/>
      <c r="BG4628" s="1065"/>
    </row>
    <row r="4629" spans="4:59">
      <c r="D4629" s="1065"/>
      <c r="S4629" s="1065"/>
      <c r="BE4629" s="1065"/>
      <c r="BF4629" s="1065"/>
      <c r="BG4629" s="1065"/>
    </row>
    <row r="4630" spans="4:59">
      <c r="D4630" s="1065"/>
      <c r="S4630" s="1065"/>
      <c r="BE4630" s="1065"/>
      <c r="BF4630" s="1065"/>
      <c r="BG4630" s="1065"/>
    </row>
    <row r="4631" spans="4:59">
      <c r="D4631" s="1065"/>
      <c r="S4631" s="1065"/>
      <c r="BE4631" s="1065"/>
      <c r="BF4631" s="1065"/>
      <c r="BG4631" s="1065"/>
    </row>
    <row r="4632" spans="4:59">
      <c r="D4632" s="1065"/>
      <c r="S4632" s="1065"/>
      <c r="BE4632" s="1065"/>
      <c r="BF4632" s="1065"/>
      <c r="BG4632" s="1065"/>
    </row>
    <row r="4633" spans="4:59">
      <c r="D4633" s="1065"/>
      <c r="S4633" s="1065"/>
      <c r="BE4633" s="1065"/>
      <c r="BF4633" s="1065"/>
      <c r="BG4633" s="1065"/>
    </row>
    <row r="4634" spans="4:59">
      <c r="D4634" s="1065"/>
      <c r="S4634" s="1065"/>
      <c r="BE4634" s="1065"/>
      <c r="BF4634" s="1065"/>
      <c r="BG4634" s="1065"/>
    </row>
    <row r="4635" spans="4:59">
      <c r="D4635" s="1065"/>
      <c r="S4635" s="1065"/>
      <c r="BE4635" s="1065"/>
      <c r="BF4635" s="1065"/>
      <c r="BG4635" s="1065"/>
    </row>
    <row r="4636" spans="4:59">
      <c r="D4636" s="1065"/>
      <c r="S4636" s="1065"/>
      <c r="BE4636" s="1065"/>
      <c r="BF4636" s="1065"/>
      <c r="BG4636" s="1065"/>
    </row>
    <row r="4637" spans="4:59">
      <c r="D4637" s="1065"/>
      <c r="S4637" s="1065"/>
      <c r="BE4637" s="1065"/>
      <c r="BF4637" s="1065"/>
      <c r="BG4637" s="1065"/>
    </row>
    <row r="4638" spans="4:59">
      <c r="D4638" s="1065"/>
      <c r="S4638" s="1065"/>
      <c r="BE4638" s="1065"/>
      <c r="BF4638" s="1065"/>
      <c r="BG4638" s="1065"/>
    </row>
    <row r="4639" spans="4:59">
      <c r="D4639" s="1065"/>
      <c r="S4639" s="1065"/>
      <c r="BE4639" s="1065"/>
      <c r="BF4639" s="1065"/>
      <c r="BG4639" s="1065"/>
    </row>
    <row r="4640" spans="4:59">
      <c r="D4640" s="1065"/>
      <c r="S4640" s="1065"/>
      <c r="BE4640" s="1065"/>
      <c r="BF4640" s="1065"/>
      <c r="BG4640" s="1065"/>
    </row>
    <row r="4641" spans="4:59">
      <c r="D4641" s="1065"/>
      <c r="S4641" s="1065"/>
      <c r="BE4641" s="1065"/>
      <c r="BF4641" s="1065"/>
      <c r="BG4641" s="1065"/>
    </row>
    <row r="4642" spans="4:59">
      <c r="D4642" s="1065"/>
      <c r="S4642" s="1065"/>
      <c r="BE4642" s="1065"/>
      <c r="BF4642" s="1065"/>
      <c r="BG4642" s="1065"/>
    </row>
    <row r="4643" spans="4:59">
      <c r="D4643" s="1065"/>
      <c r="S4643" s="1065"/>
      <c r="BE4643" s="1065"/>
      <c r="BF4643" s="1065"/>
      <c r="BG4643" s="1065"/>
    </row>
    <row r="4644" spans="4:59">
      <c r="D4644" s="1065"/>
      <c r="S4644" s="1065"/>
      <c r="BE4644" s="1065"/>
      <c r="BF4644" s="1065"/>
      <c r="BG4644" s="1065"/>
    </row>
    <row r="4645" spans="4:59">
      <c r="D4645" s="1065"/>
      <c r="S4645" s="1065"/>
      <c r="BE4645" s="1065"/>
      <c r="BF4645" s="1065"/>
      <c r="BG4645" s="1065"/>
    </row>
    <row r="4646" spans="4:59">
      <c r="D4646" s="1065"/>
      <c r="S4646" s="1065"/>
      <c r="BE4646" s="1065"/>
      <c r="BF4646" s="1065"/>
      <c r="BG4646" s="1065"/>
    </row>
    <row r="4647" spans="4:59">
      <c r="D4647" s="1065"/>
      <c r="S4647" s="1065"/>
      <c r="BE4647" s="1065"/>
      <c r="BF4647" s="1065"/>
      <c r="BG4647" s="1065"/>
    </row>
    <row r="4648" spans="4:59">
      <c r="D4648" s="1065"/>
      <c r="S4648" s="1065"/>
      <c r="BE4648" s="1065"/>
      <c r="BF4648" s="1065"/>
      <c r="BG4648" s="1065"/>
    </row>
    <row r="4649" spans="4:59">
      <c r="D4649" s="1065"/>
      <c r="S4649" s="1065"/>
      <c r="BE4649" s="1065"/>
      <c r="BF4649" s="1065"/>
      <c r="BG4649" s="1065"/>
    </row>
    <row r="4650" spans="4:59">
      <c r="D4650" s="1065"/>
      <c r="S4650" s="1065"/>
      <c r="BE4650" s="1065"/>
      <c r="BF4650" s="1065"/>
      <c r="BG4650" s="1065"/>
    </row>
    <row r="4651" spans="4:59">
      <c r="D4651" s="1065"/>
      <c r="S4651" s="1065"/>
      <c r="BE4651" s="1065"/>
      <c r="BF4651" s="1065"/>
      <c r="BG4651" s="1065"/>
    </row>
    <row r="4652" spans="4:59">
      <c r="D4652" s="1065"/>
      <c r="S4652" s="1065"/>
      <c r="BE4652" s="1065"/>
      <c r="BF4652" s="1065"/>
      <c r="BG4652" s="1065"/>
    </row>
    <row r="4653" spans="4:59">
      <c r="D4653" s="1065"/>
      <c r="S4653" s="1065"/>
      <c r="BE4653" s="1065"/>
      <c r="BF4653" s="1065"/>
      <c r="BG4653" s="1065"/>
    </row>
    <row r="4654" spans="4:59">
      <c r="D4654" s="1065"/>
      <c r="S4654" s="1065"/>
      <c r="BE4654" s="1065"/>
      <c r="BF4654" s="1065"/>
      <c r="BG4654" s="1065"/>
    </row>
    <row r="4655" spans="4:59">
      <c r="D4655" s="1065"/>
      <c r="S4655" s="1065"/>
      <c r="BE4655" s="1065"/>
      <c r="BF4655" s="1065"/>
      <c r="BG4655" s="1065"/>
    </row>
    <row r="4656" spans="4:59">
      <c r="D4656" s="1065"/>
      <c r="S4656" s="1065"/>
      <c r="BE4656" s="1065"/>
      <c r="BF4656" s="1065"/>
      <c r="BG4656" s="1065"/>
    </row>
    <row r="4657" spans="4:59">
      <c r="D4657" s="1065"/>
      <c r="S4657" s="1065"/>
      <c r="BE4657" s="1065"/>
      <c r="BF4657" s="1065"/>
      <c r="BG4657" s="1065"/>
    </row>
    <row r="4658" spans="4:59">
      <c r="D4658" s="1065"/>
      <c r="S4658" s="1065"/>
      <c r="BE4658" s="1065"/>
      <c r="BF4658" s="1065"/>
      <c r="BG4658" s="1065"/>
    </row>
    <row r="4659" spans="4:59">
      <c r="D4659" s="1065"/>
      <c r="S4659" s="1065"/>
      <c r="BE4659" s="1065"/>
      <c r="BF4659" s="1065"/>
      <c r="BG4659" s="1065"/>
    </row>
    <row r="4660" spans="4:59">
      <c r="D4660" s="1065"/>
      <c r="S4660" s="1065"/>
      <c r="BE4660" s="1065"/>
      <c r="BF4660" s="1065"/>
      <c r="BG4660" s="1065"/>
    </row>
    <row r="4661" spans="4:59">
      <c r="D4661" s="1065"/>
      <c r="S4661" s="1065"/>
      <c r="BE4661" s="1065"/>
      <c r="BF4661" s="1065"/>
      <c r="BG4661" s="1065"/>
    </row>
    <row r="4662" spans="4:59">
      <c r="D4662" s="1065"/>
      <c r="S4662" s="1065"/>
      <c r="BE4662" s="1065"/>
      <c r="BF4662" s="1065"/>
      <c r="BG4662" s="1065"/>
    </row>
    <row r="4663" spans="4:59">
      <c r="D4663" s="1065"/>
      <c r="S4663" s="1065"/>
      <c r="BE4663" s="1065"/>
      <c r="BF4663" s="1065"/>
      <c r="BG4663" s="1065"/>
    </row>
    <row r="4664" spans="4:59">
      <c r="D4664" s="1065"/>
      <c r="S4664" s="1065"/>
      <c r="BE4664" s="1065"/>
      <c r="BF4664" s="1065"/>
      <c r="BG4664" s="1065"/>
    </row>
    <row r="4665" spans="4:59">
      <c r="D4665" s="1065"/>
      <c r="S4665" s="1065"/>
      <c r="BE4665" s="1065"/>
      <c r="BF4665" s="1065"/>
      <c r="BG4665" s="1065"/>
    </row>
    <row r="4666" spans="4:59">
      <c r="D4666" s="1065"/>
      <c r="S4666" s="1065"/>
      <c r="BE4666" s="1065"/>
      <c r="BF4666" s="1065"/>
      <c r="BG4666" s="1065"/>
    </row>
    <row r="4667" spans="4:59">
      <c r="D4667" s="1065"/>
      <c r="S4667" s="1065"/>
      <c r="BE4667" s="1065"/>
      <c r="BF4667" s="1065"/>
      <c r="BG4667" s="1065"/>
    </row>
    <row r="4668" spans="4:59">
      <c r="D4668" s="1065"/>
      <c r="S4668" s="1065"/>
      <c r="BE4668" s="1065"/>
      <c r="BF4668" s="1065"/>
      <c r="BG4668" s="1065"/>
    </row>
    <row r="4669" spans="4:59">
      <c r="D4669" s="1065"/>
      <c r="S4669" s="1065"/>
      <c r="BE4669" s="1065"/>
      <c r="BF4669" s="1065"/>
      <c r="BG4669" s="1065"/>
    </row>
    <row r="4670" spans="4:59">
      <c r="D4670" s="1065"/>
      <c r="S4670" s="1065"/>
      <c r="BE4670" s="1065"/>
      <c r="BF4670" s="1065"/>
      <c r="BG4670" s="1065"/>
    </row>
    <row r="4671" spans="4:59">
      <c r="D4671" s="1065"/>
      <c r="S4671" s="1065"/>
      <c r="BE4671" s="1065"/>
      <c r="BF4671" s="1065"/>
      <c r="BG4671" s="1065"/>
    </row>
    <row r="4672" spans="4:59">
      <c r="D4672" s="1065"/>
      <c r="S4672" s="1065"/>
      <c r="BE4672" s="1065"/>
      <c r="BF4672" s="1065"/>
      <c r="BG4672" s="1065"/>
    </row>
    <row r="4673" spans="4:59">
      <c r="D4673" s="1065"/>
      <c r="S4673" s="1065"/>
      <c r="BE4673" s="1065"/>
      <c r="BF4673" s="1065"/>
      <c r="BG4673" s="1065"/>
    </row>
    <row r="4674" spans="4:59">
      <c r="D4674" s="1065"/>
      <c r="S4674" s="1065"/>
      <c r="BE4674" s="1065"/>
      <c r="BF4674" s="1065"/>
      <c r="BG4674" s="1065"/>
    </row>
    <row r="4675" spans="4:59">
      <c r="D4675" s="1065"/>
      <c r="S4675" s="1065"/>
      <c r="BE4675" s="1065"/>
      <c r="BF4675" s="1065"/>
      <c r="BG4675" s="1065"/>
    </row>
    <row r="4676" spans="4:59">
      <c r="D4676" s="1065"/>
      <c r="S4676" s="1065"/>
      <c r="BE4676" s="1065"/>
      <c r="BF4676" s="1065"/>
      <c r="BG4676" s="1065"/>
    </row>
    <row r="4677" spans="4:59">
      <c r="D4677" s="1065"/>
      <c r="S4677" s="1065"/>
      <c r="BE4677" s="1065"/>
      <c r="BF4677" s="1065"/>
      <c r="BG4677" s="1065"/>
    </row>
    <row r="4678" spans="4:59">
      <c r="D4678" s="1065"/>
      <c r="S4678" s="1065"/>
      <c r="BE4678" s="1065"/>
      <c r="BF4678" s="1065"/>
      <c r="BG4678" s="1065"/>
    </row>
    <row r="4679" spans="4:59">
      <c r="D4679" s="1065"/>
      <c r="S4679" s="1065"/>
      <c r="BE4679" s="1065"/>
      <c r="BF4679" s="1065"/>
      <c r="BG4679" s="1065"/>
    </row>
    <row r="4680" spans="4:59">
      <c r="D4680" s="1065"/>
      <c r="S4680" s="1065"/>
      <c r="BE4680" s="1065"/>
      <c r="BF4680" s="1065"/>
      <c r="BG4680" s="1065"/>
    </row>
    <row r="4681" spans="4:59">
      <c r="D4681" s="1065"/>
      <c r="S4681" s="1065"/>
      <c r="BE4681" s="1065"/>
      <c r="BF4681" s="1065"/>
      <c r="BG4681" s="1065"/>
    </row>
    <row r="4682" spans="4:59">
      <c r="D4682" s="1065"/>
      <c r="S4682" s="1065"/>
      <c r="BE4682" s="1065"/>
      <c r="BF4682" s="1065"/>
      <c r="BG4682" s="1065"/>
    </row>
    <row r="4683" spans="4:59">
      <c r="D4683" s="1065"/>
      <c r="S4683" s="1065"/>
      <c r="BE4683" s="1065"/>
      <c r="BF4683" s="1065"/>
      <c r="BG4683" s="1065"/>
    </row>
    <row r="4684" spans="4:59">
      <c r="D4684" s="1065"/>
      <c r="S4684" s="1065"/>
      <c r="BE4684" s="1065"/>
      <c r="BF4684" s="1065"/>
      <c r="BG4684" s="1065"/>
    </row>
    <row r="4685" spans="4:59">
      <c r="D4685" s="1065"/>
      <c r="S4685" s="1065"/>
      <c r="BE4685" s="1065"/>
      <c r="BF4685" s="1065"/>
      <c r="BG4685" s="1065"/>
    </row>
    <row r="4686" spans="4:59">
      <c r="D4686" s="1065"/>
      <c r="S4686" s="1065"/>
      <c r="BE4686" s="1065"/>
      <c r="BF4686" s="1065"/>
      <c r="BG4686" s="1065"/>
    </row>
    <row r="4687" spans="4:59">
      <c r="D4687" s="1065"/>
      <c r="S4687" s="1065"/>
      <c r="BE4687" s="1065"/>
      <c r="BF4687" s="1065"/>
      <c r="BG4687" s="1065"/>
    </row>
    <row r="4688" spans="4:59">
      <c r="D4688" s="1065"/>
      <c r="S4688" s="1065"/>
      <c r="BE4688" s="1065"/>
      <c r="BF4688" s="1065"/>
      <c r="BG4688" s="1065"/>
    </row>
    <row r="4689" spans="4:59">
      <c r="D4689" s="1065"/>
      <c r="S4689" s="1065"/>
      <c r="BE4689" s="1065"/>
      <c r="BF4689" s="1065"/>
      <c r="BG4689" s="1065"/>
    </row>
    <row r="4690" spans="4:59">
      <c r="D4690" s="1065"/>
      <c r="S4690" s="1065"/>
      <c r="BE4690" s="1065"/>
      <c r="BF4690" s="1065"/>
      <c r="BG4690" s="1065"/>
    </row>
    <row r="4691" spans="4:59">
      <c r="D4691" s="1065"/>
      <c r="S4691" s="1065"/>
      <c r="BE4691" s="1065"/>
      <c r="BF4691" s="1065"/>
      <c r="BG4691" s="1065"/>
    </row>
    <row r="4692" spans="4:59">
      <c r="D4692" s="1065"/>
      <c r="S4692" s="1065"/>
      <c r="BE4692" s="1065"/>
      <c r="BF4692" s="1065"/>
      <c r="BG4692" s="1065"/>
    </row>
    <row r="4693" spans="4:59">
      <c r="D4693" s="1065"/>
      <c r="S4693" s="1065"/>
      <c r="BE4693" s="1065"/>
      <c r="BF4693" s="1065"/>
      <c r="BG4693" s="1065"/>
    </row>
    <row r="4694" spans="4:59">
      <c r="D4694" s="1065"/>
      <c r="S4694" s="1065"/>
      <c r="BE4694" s="1065"/>
      <c r="BF4694" s="1065"/>
      <c r="BG4694" s="1065"/>
    </row>
    <row r="4695" spans="4:59">
      <c r="D4695" s="1065"/>
      <c r="S4695" s="1065"/>
      <c r="BE4695" s="1065"/>
      <c r="BF4695" s="1065"/>
      <c r="BG4695" s="1065"/>
    </row>
    <row r="4696" spans="4:59">
      <c r="D4696" s="1065"/>
      <c r="S4696" s="1065"/>
      <c r="BE4696" s="1065"/>
      <c r="BF4696" s="1065"/>
      <c r="BG4696" s="1065"/>
    </row>
    <row r="4697" spans="4:59">
      <c r="D4697" s="1065"/>
      <c r="S4697" s="1065"/>
      <c r="BE4697" s="1065"/>
      <c r="BF4697" s="1065"/>
      <c r="BG4697" s="1065"/>
    </row>
    <row r="4698" spans="4:59">
      <c r="D4698" s="1065"/>
      <c r="S4698" s="1065"/>
      <c r="BE4698" s="1065"/>
      <c r="BF4698" s="1065"/>
      <c r="BG4698" s="1065"/>
    </row>
    <row r="4699" spans="4:59">
      <c r="D4699" s="1065"/>
      <c r="S4699" s="1065"/>
      <c r="BE4699" s="1065"/>
      <c r="BF4699" s="1065"/>
      <c r="BG4699" s="1065"/>
    </row>
    <row r="4700" spans="4:59">
      <c r="D4700" s="1065"/>
      <c r="S4700" s="1065"/>
      <c r="BE4700" s="1065"/>
      <c r="BF4700" s="1065"/>
      <c r="BG4700" s="1065"/>
    </row>
    <row r="4701" spans="4:59">
      <c r="D4701" s="1065"/>
      <c r="S4701" s="1065"/>
      <c r="BE4701" s="1065"/>
      <c r="BF4701" s="1065"/>
      <c r="BG4701" s="1065"/>
    </row>
    <row r="4702" spans="4:59">
      <c r="D4702" s="1065"/>
      <c r="S4702" s="1065"/>
      <c r="BE4702" s="1065"/>
      <c r="BF4702" s="1065"/>
      <c r="BG4702" s="1065"/>
    </row>
    <row r="4703" spans="4:59">
      <c r="D4703" s="1065"/>
      <c r="S4703" s="1065"/>
      <c r="BE4703" s="1065"/>
      <c r="BF4703" s="1065"/>
      <c r="BG4703" s="1065"/>
    </row>
    <row r="4704" spans="4:59">
      <c r="D4704" s="1065"/>
      <c r="S4704" s="1065"/>
      <c r="BE4704" s="1065"/>
      <c r="BF4704" s="1065"/>
      <c r="BG4704" s="1065"/>
    </row>
    <row r="4705" spans="4:59">
      <c r="D4705" s="1065"/>
      <c r="S4705" s="1065"/>
      <c r="BE4705" s="1065"/>
      <c r="BF4705" s="1065"/>
      <c r="BG4705" s="1065"/>
    </row>
    <row r="4706" spans="4:59">
      <c r="D4706" s="1065"/>
      <c r="S4706" s="1065"/>
      <c r="BE4706" s="1065"/>
      <c r="BF4706" s="1065"/>
      <c r="BG4706" s="1065"/>
    </row>
    <row r="4707" spans="4:59">
      <c r="D4707" s="1065"/>
      <c r="S4707" s="1065"/>
      <c r="BE4707" s="1065"/>
      <c r="BF4707" s="1065"/>
      <c r="BG4707" s="1065"/>
    </row>
    <row r="4708" spans="4:59">
      <c r="D4708" s="1065"/>
      <c r="S4708" s="1065"/>
      <c r="BE4708" s="1065"/>
      <c r="BF4708" s="1065"/>
      <c r="BG4708" s="1065"/>
    </row>
    <row r="4709" spans="4:59">
      <c r="D4709" s="1065"/>
      <c r="S4709" s="1065"/>
      <c r="BE4709" s="1065"/>
      <c r="BF4709" s="1065"/>
      <c r="BG4709" s="1065"/>
    </row>
    <row r="4710" spans="4:59">
      <c r="D4710" s="1065"/>
      <c r="S4710" s="1065"/>
      <c r="BE4710" s="1065"/>
      <c r="BF4710" s="1065"/>
      <c r="BG4710" s="1065"/>
    </row>
    <row r="4711" spans="4:59">
      <c r="D4711" s="1065"/>
      <c r="S4711" s="1065"/>
      <c r="BE4711" s="1065"/>
      <c r="BF4711" s="1065"/>
      <c r="BG4711" s="1065"/>
    </row>
    <row r="4712" spans="4:59">
      <c r="D4712" s="1065"/>
      <c r="S4712" s="1065"/>
      <c r="BE4712" s="1065"/>
      <c r="BF4712" s="1065"/>
      <c r="BG4712" s="1065"/>
    </row>
    <row r="4713" spans="4:59">
      <c r="D4713" s="1065"/>
      <c r="S4713" s="1065"/>
      <c r="BE4713" s="1065"/>
      <c r="BF4713" s="1065"/>
      <c r="BG4713" s="1065"/>
    </row>
    <row r="4714" spans="4:59">
      <c r="D4714" s="1065"/>
      <c r="S4714" s="1065"/>
      <c r="BE4714" s="1065"/>
      <c r="BF4714" s="1065"/>
      <c r="BG4714" s="1065"/>
    </row>
    <row r="4715" spans="4:59">
      <c r="D4715" s="1065"/>
      <c r="S4715" s="1065"/>
      <c r="BE4715" s="1065"/>
      <c r="BF4715" s="1065"/>
      <c r="BG4715" s="1065"/>
    </row>
    <row r="4716" spans="4:59">
      <c r="D4716" s="1065"/>
      <c r="S4716" s="1065"/>
      <c r="BE4716" s="1065"/>
      <c r="BF4716" s="1065"/>
      <c r="BG4716" s="1065"/>
    </row>
    <row r="4717" spans="4:59">
      <c r="D4717" s="1065"/>
      <c r="S4717" s="1065"/>
      <c r="BE4717" s="1065"/>
      <c r="BF4717" s="1065"/>
      <c r="BG4717" s="1065"/>
    </row>
    <row r="4718" spans="4:59">
      <c r="D4718" s="1065"/>
      <c r="S4718" s="1065"/>
      <c r="BE4718" s="1065"/>
      <c r="BF4718" s="1065"/>
      <c r="BG4718" s="1065"/>
    </row>
    <row r="4719" spans="4:59">
      <c r="D4719" s="1065"/>
      <c r="S4719" s="1065"/>
      <c r="BE4719" s="1065"/>
      <c r="BF4719" s="1065"/>
      <c r="BG4719" s="1065"/>
    </row>
    <row r="4720" spans="4:59">
      <c r="D4720" s="1065"/>
      <c r="S4720" s="1065"/>
      <c r="BE4720" s="1065"/>
      <c r="BF4720" s="1065"/>
      <c r="BG4720" s="1065"/>
    </row>
    <row r="4721" spans="4:59">
      <c r="D4721" s="1065"/>
      <c r="S4721" s="1065"/>
      <c r="BE4721" s="1065"/>
      <c r="BF4721" s="1065"/>
      <c r="BG4721" s="1065"/>
    </row>
    <row r="4722" spans="4:59">
      <c r="D4722" s="1065"/>
      <c r="S4722" s="1065"/>
      <c r="BE4722" s="1065"/>
      <c r="BF4722" s="1065"/>
      <c r="BG4722" s="1065"/>
    </row>
    <row r="4723" spans="4:59">
      <c r="D4723" s="1065"/>
      <c r="S4723" s="1065"/>
      <c r="BE4723" s="1065"/>
      <c r="BF4723" s="1065"/>
      <c r="BG4723" s="1065"/>
    </row>
    <row r="4724" spans="4:59">
      <c r="D4724" s="1065"/>
      <c r="S4724" s="1065"/>
      <c r="BE4724" s="1065"/>
      <c r="BF4724" s="1065"/>
      <c r="BG4724" s="1065"/>
    </row>
    <row r="4725" spans="4:59">
      <c r="D4725" s="1065"/>
      <c r="S4725" s="1065"/>
      <c r="BE4725" s="1065"/>
      <c r="BF4725" s="1065"/>
      <c r="BG4725" s="1065"/>
    </row>
    <row r="4726" spans="4:59">
      <c r="D4726" s="1065"/>
      <c r="S4726" s="1065"/>
      <c r="BE4726" s="1065"/>
      <c r="BF4726" s="1065"/>
      <c r="BG4726" s="1065"/>
    </row>
    <row r="4727" spans="4:59">
      <c r="D4727" s="1065"/>
      <c r="S4727" s="1065"/>
      <c r="BE4727" s="1065"/>
      <c r="BF4727" s="1065"/>
      <c r="BG4727" s="1065"/>
    </row>
    <row r="4728" spans="4:59">
      <c r="D4728" s="1065"/>
      <c r="S4728" s="1065"/>
      <c r="BE4728" s="1065"/>
      <c r="BF4728" s="1065"/>
      <c r="BG4728" s="1065"/>
    </row>
    <row r="4729" spans="4:59">
      <c r="D4729" s="1065"/>
      <c r="S4729" s="1065"/>
      <c r="BE4729" s="1065"/>
      <c r="BF4729" s="1065"/>
      <c r="BG4729" s="1065"/>
    </row>
    <row r="4730" spans="4:59">
      <c r="D4730" s="1065"/>
      <c r="S4730" s="1065"/>
      <c r="BE4730" s="1065"/>
      <c r="BF4730" s="1065"/>
      <c r="BG4730" s="1065"/>
    </row>
    <row r="4731" spans="4:59">
      <c r="D4731" s="1065"/>
      <c r="S4731" s="1065"/>
      <c r="BE4731" s="1065"/>
      <c r="BF4731" s="1065"/>
      <c r="BG4731" s="1065"/>
    </row>
    <row r="4732" spans="4:59">
      <c r="D4732" s="1065"/>
      <c r="S4732" s="1065"/>
      <c r="BE4732" s="1065"/>
      <c r="BF4732" s="1065"/>
      <c r="BG4732" s="1065"/>
    </row>
    <row r="4733" spans="4:59">
      <c r="D4733" s="1065"/>
      <c r="S4733" s="1065"/>
      <c r="BE4733" s="1065"/>
      <c r="BF4733" s="1065"/>
      <c r="BG4733" s="1065"/>
    </row>
    <row r="4734" spans="4:59">
      <c r="D4734" s="1065"/>
      <c r="S4734" s="1065"/>
      <c r="BE4734" s="1065"/>
      <c r="BF4734" s="1065"/>
      <c r="BG4734" s="1065"/>
    </row>
    <row r="4735" spans="4:59">
      <c r="D4735" s="1065"/>
      <c r="S4735" s="1065"/>
      <c r="BE4735" s="1065"/>
      <c r="BF4735" s="1065"/>
      <c r="BG4735" s="1065"/>
    </row>
    <row r="4736" spans="4:59">
      <c r="D4736" s="1065"/>
      <c r="S4736" s="1065"/>
      <c r="BE4736" s="1065"/>
      <c r="BF4736" s="1065"/>
      <c r="BG4736" s="1065"/>
    </row>
    <row r="4737" spans="4:59">
      <c r="D4737" s="1065"/>
      <c r="S4737" s="1065"/>
      <c r="BE4737" s="1065"/>
      <c r="BF4737" s="1065"/>
      <c r="BG4737" s="1065"/>
    </row>
    <row r="4738" spans="4:59">
      <c r="D4738" s="1065"/>
      <c r="S4738" s="1065"/>
      <c r="BE4738" s="1065"/>
      <c r="BF4738" s="1065"/>
      <c r="BG4738" s="1065"/>
    </row>
    <row r="4739" spans="4:59">
      <c r="D4739" s="1065"/>
      <c r="S4739" s="1065"/>
      <c r="BE4739" s="1065"/>
      <c r="BF4739" s="1065"/>
      <c r="BG4739" s="1065"/>
    </row>
    <row r="4744" spans="4:59">
      <c r="D4744" s="1065"/>
      <c r="S4744" s="1065"/>
      <c r="BE4744" s="1065"/>
      <c r="BF4744" s="1065"/>
      <c r="BG4744" s="1065"/>
    </row>
    <row r="4745" spans="4:59">
      <c r="D4745" s="1065"/>
      <c r="S4745" s="1065"/>
      <c r="BE4745" s="1065"/>
      <c r="BF4745" s="1065"/>
      <c r="BG4745" s="1065"/>
    </row>
    <row r="4748" spans="4:59">
      <c r="D4748" s="1065"/>
      <c r="S4748" s="1065"/>
      <c r="BE4748" s="1065"/>
      <c r="BF4748" s="1065"/>
      <c r="BG4748" s="1065"/>
    </row>
    <row r="4749" spans="4:59">
      <c r="D4749" s="1065"/>
      <c r="S4749" s="1065"/>
      <c r="BE4749" s="1065"/>
      <c r="BF4749" s="1065"/>
      <c r="BG4749" s="1065"/>
    </row>
    <row r="4750" spans="4:59">
      <c r="D4750" s="1065"/>
      <c r="S4750" s="1065"/>
      <c r="BE4750" s="1065"/>
      <c r="BF4750" s="1065"/>
      <c r="BG4750" s="1065"/>
    </row>
    <row r="4751" spans="4:59">
      <c r="D4751" s="1065"/>
      <c r="S4751" s="1065"/>
      <c r="BE4751" s="1065"/>
      <c r="BF4751" s="1065"/>
      <c r="BG4751" s="1065"/>
    </row>
    <row r="4752" spans="4:59">
      <c r="D4752" s="1065"/>
      <c r="S4752" s="1065"/>
      <c r="BE4752" s="1065"/>
      <c r="BF4752" s="1065"/>
      <c r="BG4752" s="1065"/>
    </row>
    <row r="4753" spans="4:59">
      <c r="D4753" s="1065"/>
      <c r="S4753" s="1065"/>
      <c r="BE4753" s="1065"/>
      <c r="BF4753" s="1065"/>
      <c r="BG4753" s="1065"/>
    </row>
    <row r="4754" spans="4:59">
      <c r="D4754" s="1065"/>
      <c r="S4754" s="1065"/>
      <c r="BE4754" s="1065"/>
      <c r="BF4754" s="1065"/>
      <c r="BG4754" s="1065"/>
    </row>
    <row r="4755" spans="4:59">
      <c r="D4755" s="1065"/>
      <c r="S4755" s="1065"/>
      <c r="BE4755" s="1065"/>
      <c r="BF4755" s="1065"/>
      <c r="BG4755" s="1065"/>
    </row>
    <row r="4756" spans="4:59">
      <c r="D4756" s="1065"/>
      <c r="S4756" s="1065"/>
      <c r="BE4756" s="1065"/>
      <c r="BF4756" s="1065"/>
      <c r="BG4756" s="1065"/>
    </row>
    <row r="4757" spans="4:59">
      <c r="D4757" s="1065"/>
      <c r="S4757" s="1065"/>
      <c r="BE4757" s="1065"/>
      <c r="BF4757" s="1065"/>
      <c r="BG4757" s="1065"/>
    </row>
    <row r="4758" spans="4:59">
      <c r="D4758" s="1065"/>
      <c r="S4758" s="1065"/>
      <c r="BE4758" s="1065"/>
      <c r="BF4758" s="1065"/>
      <c r="BG4758" s="1065"/>
    </row>
    <row r="4759" spans="4:59">
      <c r="D4759" s="1065"/>
      <c r="S4759" s="1065"/>
      <c r="BE4759" s="1065"/>
      <c r="BF4759" s="1065"/>
      <c r="BG4759" s="1065"/>
    </row>
    <row r="4760" spans="4:59">
      <c r="D4760" s="1065"/>
      <c r="S4760" s="1065"/>
      <c r="BE4760" s="1065"/>
      <c r="BF4760" s="1065"/>
      <c r="BG4760" s="1065"/>
    </row>
    <row r="4761" spans="4:59">
      <c r="D4761" s="1065"/>
      <c r="S4761" s="1065"/>
      <c r="BE4761" s="1065"/>
      <c r="BF4761" s="1065"/>
      <c r="BG4761" s="1065"/>
    </row>
    <row r="4762" spans="4:59">
      <c r="D4762" s="1065"/>
      <c r="S4762" s="1065"/>
      <c r="BE4762" s="1065"/>
      <c r="BF4762" s="1065"/>
      <c r="BG4762" s="1065"/>
    </row>
    <row r="4763" spans="4:59">
      <c r="D4763" s="1065"/>
      <c r="S4763" s="1065"/>
      <c r="BE4763" s="1065"/>
      <c r="BF4763" s="1065"/>
      <c r="BG4763" s="1065"/>
    </row>
    <row r="4764" spans="4:59">
      <c r="D4764" s="1065"/>
      <c r="S4764" s="1065"/>
      <c r="BE4764" s="1065"/>
      <c r="BF4764" s="1065"/>
      <c r="BG4764" s="1065"/>
    </row>
    <row r="4765" spans="4:59">
      <c r="D4765" s="1065"/>
      <c r="S4765" s="1065"/>
      <c r="BE4765" s="1065"/>
      <c r="BF4765" s="1065"/>
      <c r="BG4765" s="1065"/>
    </row>
    <row r="4766" spans="4:59">
      <c r="D4766" s="1065"/>
      <c r="S4766" s="1065"/>
      <c r="BE4766" s="1065"/>
      <c r="BF4766" s="1065"/>
      <c r="BG4766" s="1065"/>
    </row>
    <row r="4767" spans="4:59">
      <c r="D4767" s="1065"/>
      <c r="S4767" s="1065"/>
      <c r="BE4767" s="1065"/>
      <c r="BF4767" s="1065"/>
      <c r="BG4767" s="1065"/>
    </row>
    <row r="4768" spans="4:59">
      <c r="D4768" s="1065"/>
      <c r="S4768" s="1065"/>
      <c r="BE4768" s="1065"/>
      <c r="BF4768" s="1065"/>
      <c r="BG4768" s="1065"/>
    </row>
    <row r="4769" spans="4:59">
      <c r="D4769" s="1065"/>
      <c r="S4769" s="1065"/>
      <c r="BE4769" s="1065"/>
      <c r="BF4769" s="1065"/>
      <c r="BG4769" s="1065"/>
    </row>
    <row r="4770" spans="4:59">
      <c r="D4770" s="1065"/>
      <c r="S4770" s="1065"/>
      <c r="BE4770" s="1065"/>
      <c r="BF4770" s="1065"/>
      <c r="BG4770" s="1065"/>
    </row>
    <row r="4771" spans="4:59">
      <c r="D4771" s="1065"/>
      <c r="S4771" s="1065"/>
      <c r="BE4771" s="1065"/>
      <c r="BF4771" s="1065"/>
      <c r="BG4771" s="1065"/>
    </row>
    <row r="4772" spans="4:59">
      <c r="D4772" s="1065"/>
      <c r="S4772" s="1065"/>
      <c r="BE4772" s="1065"/>
      <c r="BF4772" s="1065"/>
      <c r="BG4772" s="1065"/>
    </row>
    <row r="4773" spans="4:59">
      <c r="D4773" s="1065"/>
      <c r="S4773" s="1065"/>
      <c r="BE4773" s="1065"/>
      <c r="BF4773" s="1065"/>
      <c r="BG4773" s="1065"/>
    </row>
    <row r="4774" spans="4:59">
      <c r="D4774" s="1065"/>
      <c r="S4774" s="1065"/>
      <c r="BE4774" s="1065"/>
      <c r="BF4774" s="1065"/>
      <c r="BG4774" s="1065"/>
    </row>
    <row r="4775" spans="4:59">
      <c r="D4775" s="1065"/>
      <c r="S4775" s="1065"/>
      <c r="BE4775" s="1065"/>
      <c r="BF4775" s="1065"/>
      <c r="BG4775" s="1065"/>
    </row>
    <row r="4776" spans="4:59">
      <c r="D4776" s="1065"/>
      <c r="S4776" s="1065"/>
      <c r="BE4776" s="1065"/>
      <c r="BF4776" s="1065"/>
      <c r="BG4776" s="1065"/>
    </row>
    <row r="4777" spans="4:59">
      <c r="D4777" s="1065"/>
      <c r="S4777" s="1065"/>
      <c r="BE4777" s="1065"/>
      <c r="BF4777" s="1065"/>
      <c r="BG4777" s="1065"/>
    </row>
    <row r="4778" spans="4:59">
      <c r="D4778" s="1065"/>
      <c r="S4778" s="1065"/>
      <c r="BE4778" s="1065"/>
      <c r="BF4778" s="1065"/>
      <c r="BG4778" s="1065"/>
    </row>
    <row r="4779" spans="4:59">
      <c r="D4779" s="1065"/>
      <c r="S4779" s="1065"/>
      <c r="BE4779" s="1065"/>
      <c r="BF4779" s="1065"/>
      <c r="BG4779" s="1065"/>
    </row>
    <row r="4780" spans="4:59">
      <c r="D4780" s="1065"/>
      <c r="S4780" s="1065"/>
      <c r="BE4780" s="1065"/>
      <c r="BF4780" s="1065"/>
      <c r="BG4780" s="1065"/>
    </row>
    <row r="4781" spans="4:59">
      <c r="D4781" s="1065"/>
      <c r="S4781" s="1065"/>
      <c r="BE4781" s="1065"/>
      <c r="BF4781" s="1065"/>
      <c r="BG4781" s="1065"/>
    </row>
    <row r="4782" spans="4:59">
      <c r="D4782" s="1065"/>
      <c r="S4782" s="1065"/>
      <c r="BE4782" s="1065"/>
      <c r="BF4782" s="1065"/>
      <c r="BG4782" s="1065"/>
    </row>
    <row r="4783" spans="4:59">
      <c r="D4783" s="1065"/>
      <c r="S4783" s="1065"/>
      <c r="BE4783" s="1065"/>
      <c r="BF4783" s="1065"/>
      <c r="BG4783" s="1065"/>
    </row>
    <row r="4784" spans="4:59">
      <c r="D4784" s="1065"/>
      <c r="S4784" s="1065"/>
      <c r="BE4784" s="1065"/>
      <c r="BF4784" s="1065"/>
      <c r="BG4784" s="1065"/>
    </row>
    <row r="4785" spans="4:59">
      <c r="D4785" s="1065"/>
      <c r="S4785" s="1065"/>
      <c r="BE4785" s="1065"/>
      <c r="BF4785" s="1065"/>
      <c r="BG4785" s="1065"/>
    </row>
    <row r="4786" spans="4:59">
      <c r="D4786" s="1065"/>
      <c r="S4786" s="1065"/>
      <c r="BE4786" s="1065"/>
      <c r="BF4786" s="1065"/>
      <c r="BG4786" s="1065"/>
    </row>
    <row r="4787" spans="4:59">
      <c r="D4787" s="1065"/>
      <c r="S4787" s="1065"/>
      <c r="BE4787" s="1065"/>
      <c r="BF4787" s="1065"/>
      <c r="BG4787" s="1065"/>
    </row>
    <row r="4788" spans="4:59">
      <c r="D4788" s="1065"/>
      <c r="S4788" s="1065"/>
      <c r="BE4788" s="1065"/>
      <c r="BF4788" s="1065"/>
      <c r="BG4788" s="1065"/>
    </row>
    <row r="4789" spans="4:59">
      <c r="D4789" s="1065"/>
      <c r="S4789" s="1065"/>
      <c r="BE4789" s="1065"/>
      <c r="BF4789" s="1065"/>
      <c r="BG4789" s="1065"/>
    </row>
    <row r="4790" spans="4:59">
      <c r="D4790" s="1065"/>
      <c r="S4790" s="1065"/>
      <c r="BE4790" s="1065"/>
      <c r="BF4790" s="1065"/>
      <c r="BG4790" s="1065"/>
    </row>
    <row r="4791" spans="4:59">
      <c r="D4791" s="1065"/>
      <c r="S4791" s="1065"/>
      <c r="BE4791" s="1065"/>
      <c r="BF4791" s="1065"/>
      <c r="BG4791" s="1065"/>
    </row>
    <row r="4792" spans="4:59">
      <c r="D4792" s="1065"/>
      <c r="S4792" s="1065"/>
      <c r="BE4792" s="1065"/>
      <c r="BF4792" s="1065"/>
      <c r="BG4792" s="1065"/>
    </row>
    <row r="4793" spans="4:59">
      <c r="D4793" s="1065"/>
      <c r="S4793" s="1065"/>
      <c r="BE4793" s="1065"/>
      <c r="BF4793" s="1065"/>
      <c r="BG4793" s="1065"/>
    </row>
    <row r="4794" spans="4:59">
      <c r="D4794" s="1065"/>
      <c r="S4794" s="1065"/>
      <c r="BE4794" s="1065"/>
      <c r="BF4794" s="1065"/>
      <c r="BG4794" s="1065"/>
    </row>
    <row r="4795" spans="4:59">
      <c r="D4795" s="1065"/>
      <c r="S4795" s="1065"/>
      <c r="BE4795" s="1065"/>
      <c r="BF4795" s="1065"/>
      <c r="BG4795" s="1065"/>
    </row>
    <row r="4796" spans="4:59">
      <c r="D4796" s="1065"/>
      <c r="S4796" s="1065"/>
      <c r="BE4796" s="1065"/>
      <c r="BF4796" s="1065"/>
      <c r="BG4796" s="1065"/>
    </row>
    <row r="4797" spans="4:59">
      <c r="D4797" s="1065"/>
      <c r="S4797" s="1065"/>
      <c r="BE4797" s="1065"/>
      <c r="BF4797" s="1065"/>
      <c r="BG4797" s="1065"/>
    </row>
    <row r="4798" spans="4:59">
      <c r="D4798" s="1065"/>
      <c r="S4798" s="1065"/>
      <c r="BE4798" s="1065"/>
      <c r="BF4798" s="1065"/>
      <c r="BG4798" s="1065"/>
    </row>
    <row r="4799" spans="4:59">
      <c r="D4799" s="1065"/>
      <c r="S4799" s="1065"/>
      <c r="BE4799" s="1065"/>
      <c r="BF4799" s="1065"/>
      <c r="BG4799" s="1065"/>
    </row>
    <row r="4800" spans="4:59">
      <c r="D4800" s="1065"/>
      <c r="S4800" s="1065"/>
      <c r="BE4800" s="1065"/>
      <c r="BF4800" s="1065"/>
      <c r="BG4800" s="1065"/>
    </row>
    <row r="4801" spans="4:59">
      <c r="D4801" s="1065"/>
      <c r="S4801" s="1065"/>
      <c r="BE4801" s="1065"/>
      <c r="BF4801" s="1065"/>
      <c r="BG4801" s="1065"/>
    </row>
    <row r="4802" spans="4:59">
      <c r="D4802" s="1065"/>
      <c r="S4802" s="1065"/>
      <c r="BE4802" s="1065"/>
      <c r="BF4802" s="1065"/>
      <c r="BG4802" s="1065"/>
    </row>
    <row r="4803" spans="4:59">
      <c r="D4803" s="1065"/>
      <c r="S4803" s="1065"/>
      <c r="BE4803" s="1065"/>
      <c r="BF4803" s="1065"/>
      <c r="BG4803" s="1065"/>
    </row>
    <row r="4804" spans="4:59">
      <c r="D4804" s="1065"/>
      <c r="S4804" s="1065"/>
      <c r="BE4804" s="1065"/>
      <c r="BF4804" s="1065"/>
      <c r="BG4804" s="1065"/>
    </row>
    <row r="4805" spans="4:59">
      <c r="D4805" s="1065"/>
      <c r="S4805" s="1065"/>
      <c r="BE4805" s="1065"/>
      <c r="BF4805" s="1065"/>
      <c r="BG4805" s="1065"/>
    </row>
    <row r="4808" spans="4:59">
      <c r="D4808" s="1065"/>
      <c r="S4808" s="1065"/>
      <c r="BE4808" s="1065"/>
      <c r="BF4808" s="1065"/>
      <c r="BG4808" s="1065"/>
    </row>
    <row r="4809" spans="4:59">
      <c r="D4809" s="1065"/>
      <c r="S4809" s="1065"/>
      <c r="BE4809" s="1065"/>
      <c r="BF4809" s="1065"/>
      <c r="BG4809" s="1065"/>
    </row>
    <row r="4814" spans="4:59">
      <c r="D4814" s="1065"/>
      <c r="S4814" s="1065"/>
      <c r="BE4814" s="1065"/>
      <c r="BF4814" s="1065"/>
      <c r="BG4814" s="1065"/>
    </row>
    <row r="4815" spans="4:59">
      <c r="D4815" s="1065"/>
      <c r="S4815" s="1065"/>
      <c r="BE4815" s="1065"/>
      <c r="BF4815" s="1065"/>
      <c r="BG4815" s="1065"/>
    </row>
    <row r="4816" spans="4:59">
      <c r="D4816" s="1065"/>
      <c r="S4816" s="1065"/>
      <c r="BE4816" s="1065"/>
      <c r="BF4816" s="1065"/>
      <c r="BG4816" s="1065"/>
    </row>
    <row r="4817" spans="4:59">
      <c r="D4817" s="1065"/>
      <c r="S4817" s="1065"/>
      <c r="BE4817" s="1065"/>
      <c r="BF4817" s="1065"/>
      <c r="BG4817" s="1065"/>
    </row>
    <row r="4818" spans="4:59">
      <c r="D4818" s="1065"/>
      <c r="S4818" s="1065"/>
      <c r="BE4818" s="1065"/>
      <c r="BF4818" s="1065"/>
      <c r="BG4818" s="1065"/>
    </row>
    <row r="4819" spans="4:59">
      <c r="D4819" s="1065"/>
      <c r="S4819" s="1065"/>
      <c r="BE4819" s="1065"/>
      <c r="BF4819" s="1065"/>
      <c r="BG4819" s="1065"/>
    </row>
    <row r="4820" spans="4:59">
      <c r="D4820" s="1065"/>
      <c r="S4820" s="1065"/>
      <c r="BE4820" s="1065"/>
      <c r="BF4820" s="1065"/>
      <c r="BG4820" s="1065"/>
    </row>
    <row r="4821" spans="4:59">
      <c r="D4821" s="1065"/>
      <c r="S4821" s="1065"/>
      <c r="BE4821" s="1065"/>
      <c r="BF4821" s="1065"/>
      <c r="BG4821" s="1065"/>
    </row>
    <row r="4822" spans="4:59">
      <c r="D4822" s="1065"/>
      <c r="S4822" s="1065"/>
      <c r="BE4822" s="1065"/>
      <c r="BF4822" s="1065"/>
      <c r="BG4822" s="1065"/>
    </row>
    <row r="4823" spans="4:59">
      <c r="D4823" s="1065"/>
      <c r="S4823" s="1065"/>
      <c r="BE4823" s="1065"/>
      <c r="BF4823" s="1065"/>
      <c r="BG4823" s="1065"/>
    </row>
    <row r="4824" spans="4:59">
      <c r="D4824" s="1065"/>
      <c r="S4824" s="1065"/>
      <c r="BE4824" s="1065"/>
      <c r="BF4824" s="1065"/>
      <c r="BG4824" s="1065"/>
    </row>
    <row r="4825" spans="4:59">
      <c r="D4825" s="1065"/>
      <c r="S4825" s="1065"/>
      <c r="BE4825" s="1065"/>
      <c r="BF4825" s="1065"/>
      <c r="BG4825" s="1065"/>
    </row>
    <row r="4826" spans="4:59">
      <c r="D4826" s="1065"/>
      <c r="S4826" s="1065"/>
      <c r="BE4826" s="1065"/>
      <c r="BF4826" s="1065"/>
      <c r="BG4826" s="1065"/>
    </row>
    <row r="4827" spans="4:59">
      <c r="D4827" s="1065"/>
      <c r="S4827" s="1065"/>
      <c r="BE4827" s="1065"/>
      <c r="BF4827" s="1065"/>
      <c r="BG4827" s="1065"/>
    </row>
    <row r="4828" spans="4:59">
      <c r="D4828" s="1065"/>
      <c r="S4828" s="1065"/>
      <c r="BE4828" s="1065"/>
      <c r="BF4828" s="1065"/>
      <c r="BG4828" s="1065"/>
    </row>
    <row r="4829" spans="4:59">
      <c r="D4829" s="1065"/>
      <c r="S4829" s="1065"/>
      <c r="BE4829" s="1065"/>
      <c r="BF4829" s="1065"/>
      <c r="BG4829" s="1065"/>
    </row>
    <row r="4830" spans="4:59">
      <c r="D4830" s="1065"/>
      <c r="S4830" s="1065"/>
      <c r="BE4830" s="1065"/>
      <c r="BF4830" s="1065"/>
      <c r="BG4830" s="1065"/>
    </row>
    <row r="4831" spans="4:59">
      <c r="D4831" s="1065"/>
      <c r="S4831" s="1065"/>
      <c r="BE4831" s="1065"/>
      <c r="BF4831" s="1065"/>
      <c r="BG4831" s="1065"/>
    </row>
    <row r="4832" spans="4:59">
      <c r="D4832" s="1065"/>
      <c r="S4832" s="1065"/>
      <c r="BE4832" s="1065"/>
      <c r="BF4832" s="1065"/>
      <c r="BG4832" s="1065"/>
    </row>
    <row r="4833" spans="4:59">
      <c r="D4833" s="1065"/>
      <c r="S4833" s="1065"/>
      <c r="BE4833" s="1065"/>
      <c r="BF4833" s="1065"/>
      <c r="BG4833" s="1065"/>
    </row>
    <row r="4834" spans="4:59">
      <c r="D4834" s="1065"/>
      <c r="S4834" s="1065"/>
      <c r="BE4834" s="1065"/>
      <c r="BF4834" s="1065"/>
      <c r="BG4834" s="1065"/>
    </row>
    <row r="4835" spans="4:59">
      <c r="D4835" s="1065"/>
      <c r="S4835" s="1065"/>
      <c r="BE4835" s="1065"/>
      <c r="BF4835" s="1065"/>
      <c r="BG4835" s="1065"/>
    </row>
    <row r="4836" spans="4:59">
      <c r="D4836" s="1065"/>
      <c r="S4836" s="1065"/>
      <c r="BE4836" s="1065"/>
      <c r="BF4836" s="1065"/>
      <c r="BG4836" s="1065"/>
    </row>
    <row r="4837" spans="4:59">
      <c r="D4837" s="1065"/>
      <c r="S4837" s="1065"/>
      <c r="BE4837" s="1065"/>
      <c r="BF4837" s="1065"/>
      <c r="BG4837" s="1065"/>
    </row>
    <row r="4838" spans="4:59">
      <c r="D4838" s="1065"/>
      <c r="S4838" s="1065"/>
      <c r="BE4838" s="1065"/>
      <c r="BF4838" s="1065"/>
      <c r="BG4838" s="1065"/>
    </row>
    <row r="4839" spans="4:59">
      <c r="D4839" s="1065"/>
      <c r="S4839" s="1065"/>
      <c r="BE4839" s="1065"/>
      <c r="BF4839" s="1065"/>
      <c r="BG4839" s="1065"/>
    </row>
    <row r="4840" spans="4:59">
      <c r="D4840" s="1065"/>
      <c r="S4840" s="1065"/>
      <c r="BE4840" s="1065"/>
      <c r="BF4840" s="1065"/>
      <c r="BG4840" s="1065"/>
    </row>
    <row r="4841" spans="4:59">
      <c r="D4841" s="1065"/>
      <c r="S4841" s="1065"/>
      <c r="BE4841" s="1065"/>
      <c r="BF4841" s="1065"/>
      <c r="BG4841" s="1065"/>
    </row>
    <row r="4842" spans="4:59">
      <c r="D4842" s="1065"/>
      <c r="S4842" s="1065"/>
      <c r="BE4842" s="1065"/>
      <c r="BF4842" s="1065"/>
      <c r="BG4842" s="1065"/>
    </row>
    <row r="4843" spans="4:59">
      <c r="D4843" s="1065"/>
      <c r="S4843" s="1065"/>
      <c r="BE4843" s="1065"/>
      <c r="BF4843" s="1065"/>
      <c r="BG4843" s="1065"/>
    </row>
    <row r="4844" spans="4:59">
      <c r="D4844" s="1065"/>
      <c r="S4844" s="1065"/>
      <c r="BE4844" s="1065"/>
      <c r="BF4844" s="1065"/>
      <c r="BG4844" s="1065"/>
    </row>
    <row r="4845" spans="4:59">
      <c r="D4845" s="1065"/>
      <c r="S4845" s="1065"/>
      <c r="BE4845" s="1065"/>
      <c r="BF4845" s="1065"/>
      <c r="BG4845" s="1065"/>
    </row>
    <row r="4846" spans="4:59">
      <c r="D4846" s="1065"/>
      <c r="S4846" s="1065"/>
      <c r="BE4846" s="1065"/>
      <c r="BF4846" s="1065"/>
      <c r="BG4846" s="1065"/>
    </row>
    <row r="4847" spans="4:59">
      <c r="D4847" s="1065"/>
      <c r="S4847" s="1065"/>
      <c r="BE4847" s="1065"/>
      <c r="BF4847" s="1065"/>
      <c r="BG4847" s="1065"/>
    </row>
    <row r="4848" spans="4:59">
      <c r="D4848" s="1065"/>
      <c r="S4848" s="1065"/>
      <c r="BE4848" s="1065"/>
      <c r="BF4848" s="1065"/>
      <c r="BG4848" s="1065"/>
    </row>
    <row r="4849" spans="4:59">
      <c r="D4849" s="1065"/>
      <c r="S4849" s="1065"/>
      <c r="BE4849" s="1065"/>
      <c r="BF4849" s="1065"/>
      <c r="BG4849" s="1065"/>
    </row>
    <row r="4850" spans="4:59">
      <c r="D4850" s="1065"/>
      <c r="S4850" s="1065"/>
      <c r="BE4850" s="1065"/>
      <c r="BF4850" s="1065"/>
      <c r="BG4850" s="1065"/>
    </row>
    <row r="4851" spans="4:59">
      <c r="D4851" s="1065"/>
      <c r="S4851" s="1065"/>
      <c r="BE4851" s="1065"/>
      <c r="BF4851" s="1065"/>
      <c r="BG4851" s="1065"/>
    </row>
    <row r="4852" spans="4:59">
      <c r="D4852" s="1065"/>
      <c r="S4852" s="1065"/>
      <c r="BE4852" s="1065"/>
      <c r="BF4852" s="1065"/>
      <c r="BG4852" s="1065"/>
    </row>
    <row r="4853" spans="4:59">
      <c r="D4853" s="1065"/>
      <c r="S4853" s="1065"/>
      <c r="BE4853" s="1065"/>
      <c r="BF4853" s="1065"/>
      <c r="BG4853" s="1065"/>
    </row>
    <row r="4854" spans="4:59">
      <c r="D4854" s="1065"/>
      <c r="S4854" s="1065"/>
      <c r="BE4854" s="1065"/>
      <c r="BF4854" s="1065"/>
      <c r="BG4854" s="1065"/>
    </row>
    <row r="4855" spans="4:59">
      <c r="D4855" s="1065"/>
      <c r="S4855" s="1065"/>
      <c r="BE4855" s="1065"/>
      <c r="BF4855" s="1065"/>
      <c r="BG4855" s="1065"/>
    </row>
    <row r="4856" spans="4:59">
      <c r="D4856" s="1065"/>
      <c r="S4856" s="1065"/>
      <c r="BE4856" s="1065"/>
      <c r="BF4856" s="1065"/>
      <c r="BG4856" s="1065"/>
    </row>
    <row r="4857" spans="4:59">
      <c r="D4857" s="1065"/>
      <c r="S4857" s="1065"/>
      <c r="BE4857" s="1065"/>
      <c r="BF4857" s="1065"/>
      <c r="BG4857" s="1065"/>
    </row>
    <row r="4858" spans="4:59">
      <c r="D4858" s="1065"/>
      <c r="S4858" s="1065"/>
      <c r="BE4858" s="1065"/>
      <c r="BF4858" s="1065"/>
      <c r="BG4858" s="1065"/>
    </row>
    <row r="4859" spans="4:59">
      <c r="D4859" s="1065"/>
      <c r="S4859" s="1065"/>
      <c r="BE4859" s="1065"/>
      <c r="BF4859" s="1065"/>
      <c r="BG4859" s="1065"/>
    </row>
    <row r="4860" spans="4:59">
      <c r="D4860" s="1065"/>
      <c r="S4860" s="1065"/>
      <c r="BE4860" s="1065"/>
      <c r="BF4860" s="1065"/>
      <c r="BG4860" s="1065"/>
    </row>
    <row r="4861" spans="4:59">
      <c r="D4861" s="1065"/>
      <c r="S4861" s="1065"/>
      <c r="BE4861" s="1065"/>
      <c r="BF4861" s="1065"/>
      <c r="BG4861" s="1065"/>
    </row>
    <row r="4862" spans="4:59">
      <c r="D4862" s="1065"/>
      <c r="S4862" s="1065"/>
      <c r="BE4862" s="1065"/>
      <c r="BF4862" s="1065"/>
      <c r="BG4862" s="1065"/>
    </row>
    <row r="4863" spans="4:59">
      <c r="D4863" s="1065"/>
      <c r="S4863" s="1065"/>
      <c r="BE4863" s="1065"/>
      <c r="BF4863" s="1065"/>
      <c r="BG4863" s="1065"/>
    </row>
    <row r="4864" spans="4:59">
      <c r="D4864" s="1065"/>
      <c r="S4864" s="1065"/>
      <c r="BE4864" s="1065"/>
      <c r="BF4864" s="1065"/>
      <c r="BG4864" s="1065"/>
    </row>
    <row r="4865" spans="4:59">
      <c r="D4865" s="1065"/>
      <c r="S4865" s="1065"/>
      <c r="BE4865" s="1065"/>
      <c r="BF4865" s="1065"/>
      <c r="BG4865" s="1065"/>
    </row>
    <row r="4866" spans="4:59">
      <c r="D4866" s="1065"/>
      <c r="S4866" s="1065"/>
      <c r="BE4866" s="1065"/>
      <c r="BF4866" s="1065"/>
      <c r="BG4866" s="1065"/>
    </row>
    <row r="4867" spans="4:59">
      <c r="D4867" s="1065"/>
      <c r="S4867" s="1065"/>
      <c r="BE4867" s="1065"/>
      <c r="BF4867" s="1065"/>
      <c r="BG4867" s="1065"/>
    </row>
    <row r="4868" spans="4:59">
      <c r="D4868" s="1065"/>
      <c r="S4868" s="1065"/>
      <c r="BE4868" s="1065"/>
      <c r="BF4868" s="1065"/>
      <c r="BG4868" s="1065"/>
    </row>
    <row r="4869" spans="4:59">
      <c r="D4869" s="1065"/>
      <c r="S4869" s="1065"/>
      <c r="BE4869" s="1065"/>
      <c r="BF4869" s="1065"/>
      <c r="BG4869" s="1065"/>
    </row>
    <row r="4870" spans="4:59">
      <c r="D4870" s="1065"/>
      <c r="S4870" s="1065"/>
      <c r="BE4870" s="1065"/>
      <c r="BF4870" s="1065"/>
      <c r="BG4870" s="1065"/>
    </row>
    <row r="4871" spans="4:59">
      <c r="D4871" s="1065"/>
      <c r="S4871" s="1065"/>
      <c r="BE4871" s="1065"/>
      <c r="BF4871" s="1065"/>
      <c r="BG4871" s="1065"/>
    </row>
    <row r="4872" spans="4:59">
      <c r="D4872" s="1065"/>
      <c r="S4872" s="1065"/>
      <c r="BE4872" s="1065"/>
      <c r="BF4872" s="1065"/>
      <c r="BG4872" s="1065"/>
    </row>
    <row r="4873" spans="4:59">
      <c r="D4873" s="1065"/>
      <c r="S4873" s="1065"/>
      <c r="BE4873" s="1065"/>
      <c r="BF4873" s="1065"/>
      <c r="BG4873" s="1065"/>
    </row>
    <row r="4874" spans="4:59">
      <c r="D4874" s="1065"/>
      <c r="S4874" s="1065"/>
      <c r="BE4874" s="1065"/>
      <c r="BF4874" s="1065"/>
      <c r="BG4874" s="1065"/>
    </row>
    <row r="4875" spans="4:59">
      <c r="D4875" s="1065"/>
      <c r="S4875" s="1065"/>
      <c r="BE4875" s="1065"/>
      <c r="BF4875" s="1065"/>
      <c r="BG4875" s="1065"/>
    </row>
    <row r="4876" spans="4:59">
      <c r="D4876" s="1065"/>
      <c r="S4876" s="1065"/>
      <c r="BE4876" s="1065"/>
      <c r="BF4876" s="1065"/>
      <c r="BG4876" s="1065"/>
    </row>
    <row r="4877" spans="4:59">
      <c r="D4877" s="1065"/>
      <c r="S4877" s="1065"/>
      <c r="BE4877" s="1065"/>
      <c r="BF4877" s="1065"/>
      <c r="BG4877" s="1065"/>
    </row>
    <row r="4878" spans="4:59">
      <c r="D4878" s="1065"/>
      <c r="S4878" s="1065"/>
      <c r="BE4878" s="1065"/>
      <c r="BF4878" s="1065"/>
      <c r="BG4878" s="1065"/>
    </row>
    <row r="4879" spans="4:59">
      <c r="D4879" s="1065"/>
      <c r="S4879" s="1065"/>
      <c r="BE4879" s="1065"/>
      <c r="BF4879" s="1065"/>
      <c r="BG4879" s="1065"/>
    </row>
    <row r="4880" spans="4:59">
      <c r="D4880" s="1065"/>
      <c r="S4880" s="1065"/>
      <c r="BE4880" s="1065"/>
      <c r="BF4880" s="1065"/>
      <c r="BG4880" s="1065"/>
    </row>
    <row r="4881" spans="4:59">
      <c r="D4881" s="1065"/>
      <c r="S4881" s="1065"/>
      <c r="BE4881" s="1065"/>
      <c r="BF4881" s="1065"/>
      <c r="BG4881" s="1065"/>
    </row>
    <row r="4882" spans="4:59">
      <c r="D4882" s="1065"/>
      <c r="S4882" s="1065"/>
      <c r="BE4882" s="1065"/>
      <c r="BF4882" s="1065"/>
      <c r="BG4882" s="1065"/>
    </row>
    <row r="4883" spans="4:59">
      <c r="D4883" s="1065"/>
      <c r="S4883" s="1065"/>
      <c r="BE4883" s="1065"/>
      <c r="BF4883" s="1065"/>
      <c r="BG4883" s="1065"/>
    </row>
    <row r="4884" spans="4:59">
      <c r="D4884" s="1065"/>
      <c r="S4884" s="1065"/>
      <c r="BE4884" s="1065"/>
      <c r="BF4884" s="1065"/>
      <c r="BG4884" s="1065"/>
    </row>
    <row r="4885" spans="4:59">
      <c r="D4885" s="1065"/>
      <c r="S4885" s="1065"/>
      <c r="BE4885" s="1065"/>
      <c r="BF4885" s="1065"/>
      <c r="BG4885" s="1065"/>
    </row>
    <row r="4886" spans="4:59">
      <c r="D4886" s="1065"/>
      <c r="S4886" s="1065"/>
      <c r="BE4886" s="1065"/>
      <c r="BF4886" s="1065"/>
      <c r="BG4886" s="1065"/>
    </row>
    <row r="4887" spans="4:59">
      <c r="D4887" s="1065"/>
      <c r="S4887" s="1065"/>
      <c r="BE4887" s="1065"/>
      <c r="BF4887" s="1065"/>
      <c r="BG4887" s="1065"/>
    </row>
    <row r="4888" spans="4:59">
      <c r="D4888" s="1065"/>
      <c r="S4888" s="1065"/>
      <c r="BE4888" s="1065"/>
      <c r="BF4888" s="1065"/>
      <c r="BG4888" s="1065"/>
    </row>
    <row r="4889" spans="4:59">
      <c r="D4889" s="1065"/>
      <c r="S4889" s="1065"/>
      <c r="BE4889" s="1065"/>
      <c r="BF4889" s="1065"/>
      <c r="BG4889" s="1065"/>
    </row>
    <row r="4890" spans="4:59">
      <c r="D4890" s="1065"/>
      <c r="S4890" s="1065"/>
      <c r="BE4890" s="1065"/>
      <c r="BF4890" s="1065"/>
      <c r="BG4890" s="1065"/>
    </row>
    <row r="4891" spans="4:59">
      <c r="D4891" s="1065"/>
      <c r="S4891" s="1065"/>
      <c r="BE4891" s="1065"/>
      <c r="BF4891" s="1065"/>
      <c r="BG4891" s="1065"/>
    </row>
    <row r="4892" spans="4:59">
      <c r="D4892" s="1065"/>
      <c r="S4892" s="1065"/>
      <c r="BE4892" s="1065"/>
      <c r="BF4892" s="1065"/>
      <c r="BG4892" s="1065"/>
    </row>
    <row r="4893" spans="4:59">
      <c r="D4893" s="1065"/>
      <c r="S4893" s="1065"/>
      <c r="BE4893" s="1065"/>
      <c r="BF4893" s="1065"/>
      <c r="BG4893" s="1065"/>
    </row>
    <row r="4894" spans="4:59">
      <c r="D4894" s="1065"/>
      <c r="S4894" s="1065"/>
      <c r="BE4894" s="1065"/>
      <c r="BF4894" s="1065"/>
      <c r="BG4894" s="1065"/>
    </row>
    <row r="4895" spans="4:59">
      <c r="D4895" s="1065"/>
      <c r="S4895" s="1065"/>
      <c r="BE4895" s="1065"/>
      <c r="BF4895" s="1065"/>
      <c r="BG4895" s="1065"/>
    </row>
    <row r="4896" spans="4:59">
      <c r="D4896" s="1065"/>
      <c r="S4896" s="1065"/>
      <c r="BE4896" s="1065"/>
      <c r="BF4896" s="1065"/>
      <c r="BG4896" s="1065"/>
    </row>
    <row r="4897" spans="4:59">
      <c r="D4897" s="1065"/>
      <c r="S4897" s="1065"/>
      <c r="BE4897" s="1065"/>
      <c r="BF4897" s="1065"/>
      <c r="BG4897" s="1065"/>
    </row>
    <row r="4898" spans="4:59">
      <c r="D4898" s="1065"/>
      <c r="S4898" s="1065"/>
      <c r="BE4898" s="1065"/>
      <c r="BF4898" s="1065"/>
      <c r="BG4898" s="1065"/>
    </row>
    <row r="4899" spans="4:59">
      <c r="D4899" s="1065"/>
      <c r="S4899" s="1065"/>
      <c r="BE4899" s="1065"/>
      <c r="BF4899" s="1065"/>
      <c r="BG4899" s="1065"/>
    </row>
    <row r="4900" spans="4:59">
      <c r="D4900" s="1065"/>
      <c r="S4900" s="1065"/>
      <c r="BE4900" s="1065"/>
      <c r="BF4900" s="1065"/>
      <c r="BG4900" s="1065"/>
    </row>
    <row r="4901" spans="4:59">
      <c r="D4901" s="1065"/>
      <c r="S4901" s="1065"/>
      <c r="BE4901" s="1065"/>
      <c r="BF4901" s="1065"/>
      <c r="BG4901" s="1065"/>
    </row>
    <row r="4902" spans="4:59">
      <c r="D4902" s="1065"/>
      <c r="S4902" s="1065"/>
      <c r="BE4902" s="1065"/>
      <c r="BF4902" s="1065"/>
      <c r="BG4902" s="1065"/>
    </row>
    <row r="4903" spans="4:59">
      <c r="D4903" s="1065"/>
      <c r="S4903" s="1065"/>
      <c r="BE4903" s="1065"/>
      <c r="BF4903" s="1065"/>
      <c r="BG4903" s="1065"/>
    </row>
    <row r="4904" spans="4:59">
      <c r="D4904" s="1065"/>
      <c r="S4904" s="1065"/>
      <c r="BE4904" s="1065"/>
      <c r="BF4904" s="1065"/>
      <c r="BG4904" s="1065"/>
    </row>
    <row r="4905" spans="4:59">
      <c r="D4905" s="1065"/>
      <c r="S4905" s="1065"/>
      <c r="BE4905" s="1065"/>
      <c r="BF4905" s="1065"/>
      <c r="BG4905" s="1065"/>
    </row>
    <row r="4906" spans="4:59">
      <c r="D4906" s="1065"/>
      <c r="S4906" s="1065"/>
      <c r="BE4906" s="1065"/>
      <c r="BF4906" s="1065"/>
      <c r="BG4906" s="1065"/>
    </row>
    <row r="4907" spans="4:59">
      <c r="D4907" s="1065"/>
      <c r="S4907" s="1065"/>
      <c r="BE4907" s="1065"/>
      <c r="BF4907" s="1065"/>
      <c r="BG4907" s="1065"/>
    </row>
    <row r="4908" spans="4:59">
      <c r="D4908" s="1065"/>
      <c r="S4908" s="1065"/>
      <c r="BE4908" s="1065"/>
      <c r="BF4908" s="1065"/>
      <c r="BG4908" s="1065"/>
    </row>
    <row r="4909" spans="4:59">
      <c r="D4909" s="1065"/>
      <c r="S4909" s="1065"/>
      <c r="BE4909" s="1065"/>
      <c r="BF4909" s="1065"/>
      <c r="BG4909" s="1065"/>
    </row>
    <row r="4910" spans="4:59">
      <c r="D4910" s="1065"/>
      <c r="S4910" s="1065"/>
      <c r="BE4910" s="1065"/>
      <c r="BF4910" s="1065"/>
      <c r="BG4910" s="1065"/>
    </row>
    <row r="4911" spans="4:59">
      <c r="D4911" s="1065"/>
      <c r="S4911" s="1065"/>
      <c r="BE4911" s="1065"/>
      <c r="BF4911" s="1065"/>
      <c r="BG4911" s="1065"/>
    </row>
    <row r="4912" spans="4:59">
      <c r="D4912" s="1065"/>
      <c r="S4912" s="1065"/>
      <c r="BE4912" s="1065"/>
      <c r="BF4912" s="1065"/>
      <c r="BG4912" s="1065"/>
    </row>
    <row r="4913" spans="4:59">
      <c r="D4913" s="1065"/>
      <c r="S4913" s="1065"/>
      <c r="BE4913" s="1065"/>
      <c r="BF4913" s="1065"/>
      <c r="BG4913" s="1065"/>
    </row>
    <row r="4914" spans="4:59">
      <c r="D4914" s="1065"/>
      <c r="S4914" s="1065"/>
      <c r="BE4914" s="1065"/>
      <c r="BF4914" s="1065"/>
      <c r="BG4914" s="1065"/>
    </row>
    <row r="4915" spans="4:59">
      <c r="D4915" s="1065"/>
      <c r="S4915" s="1065"/>
      <c r="BE4915" s="1065"/>
      <c r="BF4915" s="1065"/>
      <c r="BG4915" s="1065"/>
    </row>
    <row r="4916" spans="4:59">
      <c r="D4916" s="1065"/>
      <c r="S4916" s="1065"/>
      <c r="BE4916" s="1065"/>
      <c r="BF4916" s="1065"/>
      <c r="BG4916" s="1065"/>
    </row>
    <row r="4917" spans="4:59">
      <c r="D4917" s="1065"/>
      <c r="S4917" s="1065"/>
      <c r="BE4917" s="1065"/>
      <c r="BF4917" s="1065"/>
      <c r="BG4917" s="1065"/>
    </row>
    <row r="4918" spans="4:59">
      <c r="D4918" s="1065"/>
      <c r="S4918" s="1065"/>
      <c r="BE4918" s="1065"/>
      <c r="BF4918" s="1065"/>
      <c r="BG4918" s="1065"/>
    </row>
    <row r="4919" spans="4:59">
      <c r="D4919" s="1065"/>
      <c r="S4919" s="1065"/>
      <c r="BE4919" s="1065"/>
      <c r="BF4919" s="1065"/>
      <c r="BG4919" s="1065"/>
    </row>
    <row r="4920" spans="4:59">
      <c r="D4920" s="1065"/>
      <c r="S4920" s="1065"/>
      <c r="BE4920" s="1065"/>
      <c r="BF4920" s="1065"/>
      <c r="BG4920" s="1065"/>
    </row>
    <row r="4921" spans="4:59">
      <c r="D4921" s="1065"/>
      <c r="S4921" s="1065"/>
      <c r="BE4921" s="1065"/>
      <c r="BF4921" s="1065"/>
      <c r="BG4921" s="1065"/>
    </row>
    <row r="4922" spans="4:59">
      <c r="D4922" s="1065"/>
      <c r="S4922" s="1065"/>
      <c r="BE4922" s="1065"/>
      <c r="BF4922" s="1065"/>
      <c r="BG4922" s="1065"/>
    </row>
    <row r="4923" spans="4:59">
      <c r="D4923" s="1065"/>
      <c r="S4923" s="1065"/>
      <c r="BE4923" s="1065"/>
      <c r="BF4923" s="1065"/>
      <c r="BG4923" s="1065"/>
    </row>
    <row r="4924" spans="4:59">
      <c r="D4924" s="1065"/>
      <c r="S4924" s="1065"/>
      <c r="BE4924" s="1065"/>
      <c r="BF4924" s="1065"/>
      <c r="BG4924" s="1065"/>
    </row>
    <row r="4925" spans="4:59">
      <c r="D4925" s="1065"/>
      <c r="S4925" s="1065"/>
      <c r="BE4925" s="1065"/>
      <c r="BF4925" s="1065"/>
      <c r="BG4925" s="1065"/>
    </row>
    <row r="4926" spans="4:59">
      <c r="D4926" s="1065"/>
      <c r="S4926" s="1065"/>
      <c r="BE4926" s="1065"/>
      <c r="BF4926" s="1065"/>
      <c r="BG4926" s="1065"/>
    </row>
    <row r="4927" spans="4:59">
      <c r="D4927" s="1065"/>
      <c r="S4927" s="1065"/>
      <c r="BE4927" s="1065"/>
      <c r="BF4927" s="1065"/>
      <c r="BG4927" s="1065"/>
    </row>
    <row r="4928" spans="4:59">
      <c r="D4928" s="1065"/>
      <c r="S4928" s="1065"/>
      <c r="BE4928" s="1065"/>
      <c r="BF4928" s="1065"/>
      <c r="BG4928" s="1065"/>
    </row>
    <row r="4929" spans="4:59">
      <c r="D4929" s="1065"/>
      <c r="S4929" s="1065"/>
      <c r="BE4929" s="1065"/>
      <c r="BF4929" s="1065"/>
      <c r="BG4929" s="1065"/>
    </row>
    <row r="4930" spans="4:59">
      <c r="D4930" s="1065"/>
      <c r="S4930" s="1065"/>
      <c r="BE4930" s="1065"/>
      <c r="BF4930" s="1065"/>
      <c r="BG4930" s="1065"/>
    </row>
    <row r="4931" spans="4:59">
      <c r="D4931" s="1065"/>
      <c r="S4931" s="1065"/>
      <c r="BE4931" s="1065"/>
      <c r="BF4931" s="1065"/>
      <c r="BG4931" s="1065"/>
    </row>
    <row r="4932" spans="4:59">
      <c r="D4932" s="1065"/>
      <c r="S4932" s="1065"/>
      <c r="BE4932" s="1065"/>
      <c r="BF4932" s="1065"/>
      <c r="BG4932" s="1065"/>
    </row>
    <row r="4933" spans="4:59">
      <c r="D4933" s="1065"/>
      <c r="S4933" s="1065"/>
      <c r="BE4933" s="1065"/>
      <c r="BF4933" s="1065"/>
      <c r="BG4933" s="1065"/>
    </row>
    <row r="4934" spans="4:59">
      <c r="D4934" s="1065"/>
      <c r="S4934" s="1065"/>
      <c r="BE4934" s="1065"/>
      <c r="BF4934" s="1065"/>
      <c r="BG4934" s="1065"/>
    </row>
    <row r="4935" spans="4:59">
      <c r="D4935" s="1065"/>
      <c r="S4935" s="1065"/>
      <c r="BE4935" s="1065"/>
      <c r="BF4935" s="1065"/>
      <c r="BG4935" s="1065"/>
    </row>
    <row r="4936" spans="4:59">
      <c r="D4936" s="1065"/>
      <c r="S4936" s="1065"/>
      <c r="BE4936" s="1065"/>
      <c r="BF4936" s="1065"/>
      <c r="BG4936" s="1065"/>
    </row>
    <row r="4937" spans="4:59">
      <c r="D4937" s="1065"/>
      <c r="S4937" s="1065"/>
      <c r="BE4937" s="1065"/>
      <c r="BF4937" s="1065"/>
      <c r="BG4937" s="1065"/>
    </row>
    <row r="4938" spans="4:59">
      <c r="D4938" s="1065"/>
      <c r="S4938" s="1065"/>
      <c r="BE4938" s="1065"/>
      <c r="BF4938" s="1065"/>
      <c r="BG4938" s="1065"/>
    </row>
    <row r="4939" spans="4:59">
      <c r="D4939" s="1065"/>
      <c r="S4939" s="1065"/>
      <c r="BE4939" s="1065"/>
      <c r="BF4939" s="1065"/>
      <c r="BG4939" s="1065"/>
    </row>
    <row r="4940" spans="4:59">
      <c r="D4940" s="1065"/>
      <c r="S4940" s="1065"/>
      <c r="BE4940" s="1065"/>
      <c r="BF4940" s="1065"/>
      <c r="BG4940" s="1065"/>
    </row>
    <row r="4941" spans="4:59">
      <c r="D4941" s="1065"/>
      <c r="S4941" s="1065"/>
      <c r="BE4941" s="1065"/>
      <c r="BF4941" s="1065"/>
      <c r="BG4941" s="1065"/>
    </row>
    <row r="4942" spans="4:59">
      <c r="D4942" s="1065"/>
      <c r="S4942" s="1065"/>
      <c r="BE4942" s="1065"/>
      <c r="BF4942" s="1065"/>
      <c r="BG4942" s="1065"/>
    </row>
    <row r="4943" spans="4:59">
      <c r="D4943" s="1065"/>
      <c r="S4943" s="1065"/>
      <c r="BE4943" s="1065"/>
      <c r="BF4943" s="1065"/>
      <c r="BG4943" s="1065"/>
    </row>
    <row r="4944" spans="4:59">
      <c r="D4944" s="1065"/>
      <c r="S4944" s="1065"/>
      <c r="BE4944" s="1065"/>
      <c r="BF4944" s="1065"/>
      <c r="BG4944" s="1065"/>
    </row>
    <row r="4945" spans="4:59">
      <c r="D4945" s="1065"/>
      <c r="S4945" s="1065"/>
      <c r="BE4945" s="1065"/>
      <c r="BF4945" s="1065"/>
      <c r="BG4945" s="1065"/>
    </row>
    <row r="4946" spans="4:59">
      <c r="D4946" s="1065"/>
      <c r="S4946" s="1065"/>
      <c r="BE4946" s="1065"/>
      <c r="BF4946" s="1065"/>
      <c r="BG4946" s="1065"/>
    </row>
    <row r="4947" spans="4:59">
      <c r="D4947" s="1065"/>
      <c r="S4947" s="1065"/>
      <c r="BE4947" s="1065"/>
      <c r="BF4947" s="1065"/>
      <c r="BG4947" s="1065"/>
    </row>
    <row r="4948" spans="4:59">
      <c r="D4948" s="1065"/>
      <c r="S4948" s="1065"/>
      <c r="BE4948" s="1065"/>
      <c r="BF4948" s="1065"/>
      <c r="BG4948" s="1065"/>
    </row>
    <row r="4949" spans="4:59">
      <c r="D4949" s="1065"/>
      <c r="S4949" s="1065"/>
      <c r="BE4949" s="1065"/>
      <c r="BF4949" s="1065"/>
      <c r="BG4949" s="1065"/>
    </row>
    <row r="4950" spans="4:59">
      <c r="D4950" s="1065"/>
      <c r="S4950" s="1065"/>
      <c r="BE4950" s="1065"/>
      <c r="BF4950" s="1065"/>
      <c r="BG4950" s="1065"/>
    </row>
    <row r="4951" spans="4:59">
      <c r="D4951" s="1065"/>
      <c r="S4951" s="1065"/>
      <c r="BE4951" s="1065"/>
      <c r="BF4951" s="1065"/>
      <c r="BG4951" s="1065"/>
    </row>
    <row r="4952" spans="4:59">
      <c r="D4952" s="1065"/>
      <c r="S4952" s="1065"/>
      <c r="BE4952" s="1065"/>
      <c r="BF4952" s="1065"/>
      <c r="BG4952" s="1065"/>
    </row>
    <row r="4953" spans="4:59">
      <c r="D4953" s="1065"/>
      <c r="S4953" s="1065"/>
      <c r="BE4953" s="1065"/>
      <c r="BF4953" s="1065"/>
      <c r="BG4953" s="1065"/>
    </row>
    <row r="4954" spans="4:59">
      <c r="D4954" s="1065"/>
      <c r="S4954" s="1065"/>
      <c r="BE4954" s="1065"/>
      <c r="BF4954" s="1065"/>
      <c r="BG4954" s="1065"/>
    </row>
    <row r="4955" spans="4:59">
      <c r="D4955" s="1065"/>
      <c r="S4955" s="1065"/>
      <c r="BE4955" s="1065"/>
      <c r="BF4955" s="1065"/>
      <c r="BG4955" s="1065"/>
    </row>
    <row r="4956" spans="4:59">
      <c r="D4956" s="1065"/>
      <c r="S4956" s="1065"/>
      <c r="BE4956" s="1065"/>
      <c r="BF4956" s="1065"/>
      <c r="BG4956" s="1065"/>
    </row>
    <row r="4957" spans="4:59">
      <c r="D4957" s="1065"/>
      <c r="S4957" s="1065"/>
      <c r="BE4957" s="1065"/>
      <c r="BF4957" s="1065"/>
      <c r="BG4957" s="1065"/>
    </row>
    <row r="4958" spans="4:59">
      <c r="D4958" s="1065"/>
      <c r="S4958" s="1065"/>
      <c r="BE4958" s="1065"/>
      <c r="BF4958" s="1065"/>
      <c r="BG4958" s="1065"/>
    </row>
    <row r="4959" spans="4:59">
      <c r="D4959" s="1065"/>
      <c r="S4959" s="1065"/>
      <c r="BE4959" s="1065"/>
      <c r="BF4959" s="1065"/>
      <c r="BG4959" s="1065"/>
    </row>
    <row r="4960" spans="4:59">
      <c r="D4960" s="1065"/>
      <c r="S4960" s="1065"/>
      <c r="BE4960" s="1065"/>
      <c r="BF4960" s="1065"/>
      <c r="BG4960" s="1065"/>
    </row>
    <row r="4961" spans="4:59">
      <c r="D4961" s="1065"/>
      <c r="S4961" s="1065"/>
      <c r="BE4961" s="1065"/>
      <c r="BF4961" s="1065"/>
      <c r="BG4961" s="1065"/>
    </row>
    <row r="4962" spans="4:59">
      <c r="D4962" s="1065"/>
      <c r="S4962" s="1065"/>
      <c r="BE4962" s="1065"/>
      <c r="BF4962" s="1065"/>
      <c r="BG4962" s="1065"/>
    </row>
    <row r="4963" spans="4:59">
      <c r="D4963" s="1065"/>
      <c r="S4963" s="1065"/>
      <c r="BE4963" s="1065"/>
      <c r="BF4963" s="1065"/>
      <c r="BG4963" s="1065"/>
    </row>
    <row r="4964" spans="4:59">
      <c r="D4964" s="1065"/>
      <c r="S4964" s="1065"/>
      <c r="BE4964" s="1065"/>
      <c r="BF4964" s="1065"/>
      <c r="BG4964" s="1065"/>
    </row>
    <row r="4979" spans="4:59">
      <c r="D4979" s="1065"/>
      <c r="S4979" s="1065"/>
      <c r="BE4979" s="1065"/>
      <c r="BF4979" s="1065"/>
      <c r="BG4979" s="1065"/>
    </row>
    <row r="4980" spans="4:59">
      <c r="D4980" s="1065"/>
      <c r="S4980" s="1065"/>
      <c r="BE4980" s="1065"/>
      <c r="BF4980" s="1065"/>
      <c r="BG4980" s="1065"/>
    </row>
    <row r="4981" spans="4:59">
      <c r="D4981" s="1065"/>
      <c r="S4981" s="1065"/>
      <c r="BE4981" s="1065"/>
      <c r="BF4981" s="1065"/>
      <c r="BG4981" s="1065"/>
    </row>
    <row r="4982" spans="4:59">
      <c r="D4982" s="1065"/>
      <c r="S4982" s="1065"/>
      <c r="BE4982" s="1065"/>
      <c r="BF4982" s="1065"/>
      <c r="BG4982" s="1065"/>
    </row>
    <row r="4983" spans="4:59">
      <c r="D4983" s="1065"/>
      <c r="S4983" s="1065"/>
      <c r="BE4983" s="1065"/>
      <c r="BF4983" s="1065"/>
      <c r="BG4983" s="1065"/>
    </row>
    <row r="4984" spans="4:59">
      <c r="D4984" s="1065"/>
      <c r="S4984" s="1065"/>
      <c r="BE4984" s="1065"/>
      <c r="BF4984" s="1065"/>
      <c r="BG4984" s="1065"/>
    </row>
    <row r="4985" spans="4:59">
      <c r="D4985" s="1065"/>
      <c r="S4985" s="1065"/>
      <c r="BE4985" s="1065"/>
      <c r="BF4985" s="1065"/>
      <c r="BG4985" s="1065"/>
    </row>
    <row r="4986" spans="4:59">
      <c r="D4986" s="1065"/>
      <c r="S4986" s="1065"/>
      <c r="BE4986" s="1065"/>
      <c r="BF4986" s="1065"/>
      <c r="BG4986" s="1065"/>
    </row>
    <row r="4987" spans="4:59">
      <c r="D4987" s="1065"/>
      <c r="S4987" s="1065"/>
      <c r="BE4987" s="1065"/>
      <c r="BF4987" s="1065"/>
      <c r="BG4987" s="1065"/>
    </row>
    <row r="4988" spans="4:59">
      <c r="D4988" s="1065"/>
      <c r="S4988" s="1065"/>
      <c r="BE4988" s="1065"/>
      <c r="BF4988" s="1065"/>
      <c r="BG4988" s="1065"/>
    </row>
    <row r="4989" spans="4:59">
      <c r="D4989" s="1065"/>
      <c r="S4989" s="1065"/>
      <c r="BE4989" s="1065"/>
      <c r="BF4989" s="1065"/>
      <c r="BG4989" s="1065"/>
    </row>
    <row r="4990" spans="4:59">
      <c r="D4990" s="1065"/>
      <c r="S4990" s="1065"/>
      <c r="BE4990" s="1065"/>
      <c r="BF4990" s="1065"/>
      <c r="BG4990" s="1065"/>
    </row>
    <row r="4991" spans="4:59">
      <c r="D4991" s="1065"/>
      <c r="S4991" s="1065"/>
      <c r="BE4991" s="1065"/>
      <c r="BF4991" s="1065"/>
      <c r="BG4991" s="1065"/>
    </row>
    <row r="4992" spans="4:59">
      <c r="D4992" s="1065"/>
      <c r="S4992" s="1065"/>
      <c r="BE4992" s="1065"/>
      <c r="BF4992" s="1065"/>
      <c r="BG4992" s="1065"/>
    </row>
    <row r="4993" spans="4:59">
      <c r="D4993" s="1065"/>
      <c r="S4993" s="1065"/>
      <c r="BE4993" s="1065"/>
      <c r="BF4993" s="1065"/>
      <c r="BG4993" s="1065"/>
    </row>
    <row r="4994" spans="4:59">
      <c r="D4994" s="1065"/>
      <c r="S4994" s="1065"/>
      <c r="BE4994" s="1065"/>
      <c r="BF4994" s="1065"/>
      <c r="BG4994" s="1065"/>
    </row>
    <row r="4995" spans="4:59">
      <c r="D4995" s="1065"/>
      <c r="S4995" s="1065"/>
      <c r="BE4995" s="1065"/>
      <c r="BF4995" s="1065"/>
      <c r="BG4995" s="1065"/>
    </row>
    <row r="4996" spans="4:59">
      <c r="D4996" s="1065"/>
      <c r="S4996" s="1065"/>
      <c r="BE4996" s="1065"/>
      <c r="BF4996" s="1065"/>
      <c r="BG4996" s="1065"/>
    </row>
    <row r="4997" spans="4:59">
      <c r="D4997" s="1065"/>
      <c r="S4997" s="1065"/>
      <c r="BE4997" s="1065"/>
      <c r="BF4997" s="1065"/>
      <c r="BG4997" s="1065"/>
    </row>
    <row r="4998" spans="4:59">
      <c r="D4998" s="1065"/>
      <c r="S4998" s="1065"/>
      <c r="BE4998" s="1065"/>
      <c r="BF4998" s="1065"/>
      <c r="BG4998" s="1065"/>
    </row>
    <row r="4999" spans="4:59">
      <c r="D4999" s="1065"/>
      <c r="S4999" s="1065"/>
      <c r="BE4999" s="1065"/>
      <c r="BF4999" s="1065"/>
      <c r="BG4999" s="1065"/>
    </row>
    <row r="5000" spans="4:59">
      <c r="D5000" s="1065"/>
      <c r="S5000" s="1065"/>
      <c r="BE5000" s="1065"/>
      <c r="BF5000" s="1065"/>
      <c r="BG5000" s="1065"/>
    </row>
    <row r="5001" spans="4:59">
      <c r="D5001" s="1065"/>
      <c r="S5001" s="1065"/>
      <c r="BE5001" s="1065"/>
      <c r="BF5001" s="1065"/>
      <c r="BG5001" s="1065"/>
    </row>
    <row r="5002" spans="4:59">
      <c r="D5002" s="1065"/>
      <c r="S5002" s="1065"/>
      <c r="BE5002" s="1065"/>
      <c r="BF5002" s="1065"/>
      <c r="BG5002" s="1065"/>
    </row>
    <row r="5003" spans="4:59">
      <c r="D5003" s="1065"/>
      <c r="S5003" s="1065"/>
      <c r="BE5003" s="1065"/>
      <c r="BF5003" s="1065"/>
      <c r="BG5003" s="1065"/>
    </row>
    <row r="5004" spans="4:59">
      <c r="D5004" s="1065"/>
      <c r="S5004" s="1065"/>
      <c r="BE5004" s="1065"/>
      <c r="BF5004" s="1065"/>
      <c r="BG5004" s="1065"/>
    </row>
    <row r="5005" spans="4:59">
      <c r="D5005" s="1065"/>
      <c r="S5005" s="1065"/>
      <c r="BE5005" s="1065"/>
      <c r="BF5005" s="1065"/>
      <c r="BG5005" s="1065"/>
    </row>
    <row r="5006" spans="4:59">
      <c r="D5006" s="1065"/>
      <c r="S5006" s="1065"/>
      <c r="BE5006" s="1065"/>
      <c r="BF5006" s="1065"/>
      <c r="BG5006" s="1065"/>
    </row>
    <row r="5007" spans="4:59">
      <c r="D5007" s="1065"/>
      <c r="S5007" s="1065"/>
      <c r="BE5007" s="1065"/>
      <c r="BF5007" s="1065"/>
      <c r="BG5007" s="1065"/>
    </row>
    <row r="5008" spans="4:59">
      <c r="D5008" s="1065"/>
      <c r="S5008" s="1065"/>
      <c r="BE5008" s="1065"/>
      <c r="BF5008" s="1065"/>
      <c r="BG5008" s="1065"/>
    </row>
    <row r="5009" spans="4:59">
      <c r="D5009" s="1065"/>
      <c r="S5009" s="1065"/>
      <c r="BE5009" s="1065"/>
      <c r="BF5009" s="1065"/>
      <c r="BG5009" s="1065"/>
    </row>
    <row r="5010" spans="4:59">
      <c r="D5010" s="1065"/>
      <c r="S5010" s="1065"/>
      <c r="BE5010" s="1065"/>
      <c r="BF5010" s="1065"/>
      <c r="BG5010" s="1065"/>
    </row>
    <row r="5011" spans="4:59">
      <c r="D5011" s="1065"/>
      <c r="S5011" s="1065"/>
      <c r="BE5011" s="1065"/>
      <c r="BF5011" s="1065"/>
      <c r="BG5011" s="1065"/>
    </row>
    <row r="5012" spans="4:59">
      <c r="D5012" s="1065"/>
      <c r="S5012" s="1065"/>
      <c r="BE5012" s="1065"/>
      <c r="BF5012" s="1065"/>
      <c r="BG5012" s="1065"/>
    </row>
    <row r="5013" spans="4:59">
      <c r="D5013" s="1065"/>
      <c r="S5013" s="1065"/>
      <c r="BE5013" s="1065"/>
      <c r="BF5013" s="1065"/>
      <c r="BG5013" s="1065"/>
    </row>
    <row r="5014" spans="4:59">
      <c r="D5014" s="1065"/>
      <c r="S5014" s="1065"/>
      <c r="BE5014" s="1065"/>
      <c r="BF5014" s="1065"/>
      <c r="BG5014" s="1065"/>
    </row>
    <row r="5015" spans="4:59">
      <c r="D5015" s="1065"/>
      <c r="S5015" s="1065"/>
      <c r="BE5015" s="1065"/>
      <c r="BF5015" s="1065"/>
      <c r="BG5015" s="1065"/>
    </row>
    <row r="5016" spans="4:59">
      <c r="D5016" s="1065"/>
      <c r="S5016" s="1065"/>
      <c r="BE5016" s="1065"/>
      <c r="BF5016" s="1065"/>
      <c r="BG5016" s="1065"/>
    </row>
    <row r="5017" spans="4:59">
      <c r="D5017" s="1065"/>
      <c r="S5017" s="1065"/>
      <c r="BE5017" s="1065"/>
      <c r="BF5017" s="1065"/>
      <c r="BG5017" s="1065"/>
    </row>
    <row r="5018" spans="4:59">
      <c r="D5018" s="1065"/>
      <c r="S5018" s="1065"/>
      <c r="BE5018" s="1065"/>
      <c r="BF5018" s="1065"/>
      <c r="BG5018" s="1065"/>
    </row>
    <row r="5019" spans="4:59">
      <c r="D5019" s="1065"/>
      <c r="S5019" s="1065"/>
      <c r="BE5019" s="1065"/>
      <c r="BF5019" s="1065"/>
      <c r="BG5019" s="1065"/>
    </row>
    <row r="5020" spans="4:59">
      <c r="D5020" s="1065"/>
      <c r="S5020" s="1065"/>
      <c r="BE5020" s="1065"/>
      <c r="BF5020" s="1065"/>
      <c r="BG5020" s="1065"/>
    </row>
    <row r="5021" spans="4:59">
      <c r="D5021" s="1065"/>
      <c r="S5021" s="1065"/>
      <c r="BE5021" s="1065"/>
      <c r="BF5021" s="1065"/>
      <c r="BG5021" s="1065"/>
    </row>
    <row r="5026" spans="4:59">
      <c r="D5026" s="1065"/>
      <c r="S5026" s="1065"/>
      <c r="BE5026" s="1065"/>
      <c r="BF5026" s="1065"/>
      <c r="BG5026" s="1065"/>
    </row>
    <row r="5027" spans="4:59">
      <c r="D5027" s="1065"/>
      <c r="S5027" s="1065"/>
      <c r="BE5027" s="1065"/>
      <c r="BF5027" s="1065"/>
      <c r="BG5027" s="1065"/>
    </row>
    <row r="5030" spans="4:59">
      <c r="D5030" s="1065"/>
      <c r="S5030" s="1065"/>
      <c r="BE5030" s="1065"/>
      <c r="BF5030" s="1065"/>
      <c r="BG5030" s="1065"/>
    </row>
    <row r="5031" spans="4:59">
      <c r="D5031" s="1065"/>
      <c r="S5031" s="1065"/>
      <c r="BE5031" s="1065"/>
      <c r="BF5031" s="1065"/>
      <c r="BG5031" s="1065"/>
    </row>
    <row r="5032" spans="4:59">
      <c r="D5032" s="1065"/>
      <c r="S5032" s="1065"/>
      <c r="BE5032" s="1065"/>
      <c r="BF5032" s="1065"/>
      <c r="BG5032" s="1065"/>
    </row>
    <row r="5033" spans="4:59">
      <c r="D5033" s="1065"/>
      <c r="S5033" s="1065"/>
      <c r="BE5033" s="1065"/>
      <c r="BF5033" s="1065"/>
      <c r="BG5033" s="1065"/>
    </row>
    <row r="5034" spans="4:59">
      <c r="D5034" s="1065"/>
      <c r="S5034" s="1065"/>
      <c r="BE5034" s="1065"/>
      <c r="BF5034" s="1065"/>
      <c r="BG5034" s="1065"/>
    </row>
    <row r="5035" spans="4:59">
      <c r="D5035" s="1065"/>
      <c r="S5035" s="1065"/>
      <c r="BE5035" s="1065"/>
      <c r="BF5035" s="1065"/>
      <c r="BG5035" s="1065"/>
    </row>
    <row r="5036" spans="4:59">
      <c r="D5036" s="1065"/>
      <c r="S5036" s="1065"/>
      <c r="BE5036" s="1065"/>
      <c r="BF5036" s="1065"/>
      <c r="BG5036" s="1065"/>
    </row>
    <row r="5037" spans="4:59">
      <c r="D5037" s="1065"/>
      <c r="S5037" s="1065"/>
      <c r="BE5037" s="1065"/>
      <c r="BF5037" s="1065"/>
      <c r="BG5037" s="1065"/>
    </row>
    <row r="5038" spans="4:59">
      <c r="D5038" s="1065"/>
      <c r="S5038" s="1065"/>
      <c r="BE5038" s="1065"/>
      <c r="BF5038" s="1065"/>
      <c r="BG5038" s="1065"/>
    </row>
    <row r="5039" spans="4:59">
      <c r="D5039" s="1065"/>
      <c r="S5039" s="1065"/>
      <c r="BE5039" s="1065"/>
      <c r="BF5039" s="1065"/>
      <c r="BG5039" s="1065"/>
    </row>
    <row r="5040" spans="4:59">
      <c r="D5040" s="1065"/>
      <c r="S5040" s="1065"/>
      <c r="BE5040" s="1065"/>
      <c r="BF5040" s="1065"/>
      <c r="BG5040" s="1065"/>
    </row>
    <row r="5041" spans="4:59">
      <c r="D5041" s="1065"/>
      <c r="S5041" s="1065"/>
      <c r="BE5041" s="1065"/>
      <c r="BF5041" s="1065"/>
      <c r="BG5041" s="1065"/>
    </row>
    <row r="5042" spans="4:59">
      <c r="D5042" s="1065"/>
      <c r="S5042" s="1065"/>
      <c r="BE5042" s="1065"/>
      <c r="BF5042" s="1065"/>
      <c r="BG5042" s="1065"/>
    </row>
    <row r="5043" spans="4:59">
      <c r="D5043" s="1065"/>
      <c r="S5043" s="1065"/>
      <c r="BE5043" s="1065"/>
      <c r="BF5043" s="1065"/>
      <c r="BG5043" s="1065"/>
    </row>
    <row r="5044" spans="4:59">
      <c r="D5044" s="1065"/>
      <c r="S5044" s="1065"/>
      <c r="BE5044" s="1065"/>
      <c r="BF5044" s="1065"/>
      <c r="BG5044" s="1065"/>
    </row>
    <row r="5045" spans="4:59">
      <c r="D5045" s="1065"/>
      <c r="S5045" s="1065"/>
      <c r="BE5045" s="1065"/>
      <c r="BF5045" s="1065"/>
      <c r="BG5045" s="1065"/>
    </row>
    <row r="5046" spans="4:59">
      <c r="D5046" s="1065"/>
      <c r="S5046" s="1065"/>
      <c r="BE5046" s="1065"/>
      <c r="BF5046" s="1065"/>
      <c r="BG5046" s="1065"/>
    </row>
    <row r="5047" spans="4:59">
      <c r="D5047" s="1065"/>
      <c r="S5047" s="1065"/>
      <c r="BE5047" s="1065"/>
      <c r="BF5047" s="1065"/>
      <c r="BG5047" s="1065"/>
    </row>
    <row r="5048" spans="4:59">
      <c r="D5048" s="1065"/>
      <c r="S5048" s="1065"/>
      <c r="BE5048" s="1065"/>
      <c r="BF5048" s="1065"/>
      <c r="BG5048" s="1065"/>
    </row>
    <row r="5049" spans="4:59">
      <c r="D5049" s="1065"/>
      <c r="S5049" s="1065"/>
      <c r="BE5049" s="1065"/>
      <c r="BF5049" s="1065"/>
      <c r="BG5049" s="1065"/>
    </row>
    <row r="5050" spans="4:59">
      <c r="D5050" s="1065"/>
      <c r="S5050" s="1065"/>
      <c r="BE5050" s="1065"/>
      <c r="BF5050" s="1065"/>
      <c r="BG5050" s="1065"/>
    </row>
    <row r="5051" spans="4:59">
      <c r="D5051" s="1065"/>
      <c r="S5051" s="1065"/>
      <c r="BE5051" s="1065"/>
      <c r="BF5051" s="1065"/>
      <c r="BG5051" s="1065"/>
    </row>
    <row r="5052" spans="4:59">
      <c r="D5052" s="1065"/>
      <c r="S5052" s="1065"/>
      <c r="BE5052" s="1065"/>
      <c r="BF5052" s="1065"/>
      <c r="BG5052" s="1065"/>
    </row>
    <row r="5053" spans="4:59">
      <c r="D5053" s="1065"/>
      <c r="S5053" s="1065"/>
      <c r="BE5053" s="1065"/>
      <c r="BF5053" s="1065"/>
      <c r="BG5053" s="1065"/>
    </row>
    <row r="5054" spans="4:59">
      <c r="D5054" s="1065"/>
      <c r="S5054" s="1065"/>
      <c r="BE5054" s="1065"/>
      <c r="BF5054" s="1065"/>
      <c r="BG5054" s="1065"/>
    </row>
    <row r="5055" spans="4:59">
      <c r="D5055" s="1065"/>
      <c r="S5055" s="1065"/>
      <c r="BE5055" s="1065"/>
      <c r="BF5055" s="1065"/>
      <c r="BG5055" s="1065"/>
    </row>
    <row r="5056" spans="4:59">
      <c r="D5056" s="1065"/>
      <c r="S5056" s="1065"/>
      <c r="BE5056" s="1065"/>
      <c r="BF5056" s="1065"/>
      <c r="BG5056" s="1065"/>
    </row>
    <row r="5057" spans="4:59">
      <c r="D5057" s="1065"/>
      <c r="S5057" s="1065"/>
      <c r="BE5057" s="1065"/>
      <c r="BF5057" s="1065"/>
      <c r="BG5057" s="1065"/>
    </row>
    <row r="5058" spans="4:59">
      <c r="D5058" s="1065"/>
      <c r="S5058" s="1065"/>
      <c r="BE5058" s="1065"/>
      <c r="BF5058" s="1065"/>
      <c r="BG5058" s="1065"/>
    </row>
    <row r="5059" spans="4:59">
      <c r="D5059" s="1065"/>
      <c r="S5059" s="1065"/>
      <c r="BE5059" s="1065"/>
      <c r="BF5059" s="1065"/>
      <c r="BG5059" s="1065"/>
    </row>
    <row r="5060" spans="4:59">
      <c r="D5060" s="1065"/>
      <c r="S5060" s="1065"/>
      <c r="BE5060" s="1065"/>
      <c r="BF5060" s="1065"/>
      <c r="BG5060" s="1065"/>
    </row>
    <row r="5061" spans="4:59">
      <c r="D5061" s="1065"/>
      <c r="S5061" s="1065"/>
      <c r="BE5061" s="1065"/>
      <c r="BF5061" s="1065"/>
      <c r="BG5061" s="1065"/>
    </row>
    <row r="5062" spans="4:59">
      <c r="D5062" s="1065"/>
      <c r="S5062" s="1065"/>
      <c r="BE5062" s="1065"/>
      <c r="BF5062" s="1065"/>
      <c r="BG5062" s="1065"/>
    </row>
    <row r="5063" spans="4:59">
      <c r="D5063" s="1065"/>
      <c r="S5063" s="1065"/>
      <c r="BE5063" s="1065"/>
      <c r="BF5063" s="1065"/>
      <c r="BG5063" s="1065"/>
    </row>
    <row r="5064" spans="4:59">
      <c r="D5064" s="1065"/>
      <c r="S5064" s="1065"/>
      <c r="BE5064" s="1065"/>
      <c r="BF5064" s="1065"/>
      <c r="BG5064" s="1065"/>
    </row>
    <row r="5065" spans="4:59">
      <c r="D5065" s="1065"/>
      <c r="S5065" s="1065"/>
      <c r="BE5065" s="1065"/>
      <c r="BF5065" s="1065"/>
      <c r="BG5065" s="1065"/>
    </row>
    <row r="5066" spans="4:59">
      <c r="D5066" s="1065"/>
      <c r="S5066" s="1065"/>
      <c r="BE5066" s="1065"/>
      <c r="BF5066" s="1065"/>
      <c r="BG5066" s="1065"/>
    </row>
    <row r="5067" spans="4:59">
      <c r="D5067" s="1065"/>
      <c r="S5067" s="1065"/>
      <c r="BE5067" s="1065"/>
      <c r="BF5067" s="1065"/>
      <c r="BG5067" s="1065"/>
    </row>
    <row r="5068" spans="4:59">
      <c r="D5068" s="1065"/>
      <c r="S5068" s="1065"/>
      <c r="BE5068" s="1065"/>
      <c r="BF5068" s="1065"/>
      <c r="BG5068" s="1065"/>
    </row>
    <row r="5069" spans="4:59">
      <c r="D5069" s="1065"/>
      <c r="S5069" s="1065"/>
      <c r="BE5069" s="1065"/>
      <c r="BF5069" s="1065"/>
      <c r="BG5069" s="1065"/>
    </row>
    <row r="5070" spans="4:59">
      <c r="D5070" s="1065"/>
      <c r="S5070" s="1065"/>
      <c r="BE5070" s="1065"/>
      <c r="BF5070" s="1065"/>
      <c r="BG5070" s="1065"/>
    </row>
    <row r="5071" spans="4:59">
      <c r="D5071" s="1065"/>
      <c r="S5071" s="1065"/>
      <c r="BE5071" s="1065"/>
      <c r="BF5071" s="1065"/>
      <c r="BG5071" s="1065"/>
    </row>
    <row r="5072" spans="4:59">
      <c r="D5072" s="1065"/>
      <c r="S5072" s="1065"/>
      <c r="BE5072" s="1065"/>
      <c r="BF5072" s="1065"/>
      <c r="BG5072" s="1065"/>
    </row>
    <row r="5073" spans="4:59">
      <c r="D5073" s="1065"/>
      <c r="S5073" s="1065"/>
      <c r="BE5073" s="1065"/>
      <c r="BF5073" s="1065"/>
      <c r="BG5073" s="1065"/>
    </row>
    <row r="5074" spans="4:59">
      <c r="D5074" s="1065"/>
      <c r="S5074" s="1065"/>
      <c r="BE5074" s="1065"/>
      <c r="BF5074" s="1065"/>
      <c r="BG5074" s="1065"/>
    </row>
    <row r="5075" spans="4:59">
      <c r="D5075" s="1065"/>
      <c r="S5075" s="1065"/>
      <c r="BE5075" s="1065"/>
      <c r="BF5075" s="1065"/>
      <c r="BG5075" s="1065"/>
    </row>
    <row r="5076" spans="4:59">
      <c r="D5076" s="1065"/>
      <c r="S5076" s="1065"/>
      <c r="BE5076" s="1065"/>
      <c r="BF5076" s="1065"/>
      <c r="BG5076" s="1065"/>
    </row>
    <row r="5077" spans="4:59">
      <c r="D5077" s="1065"/>
      <c r="S5077" s="1065"/>
      <c r="BE5077" s="1065"/>
      <c r="BF5077" s="1065"/>
      <c r="BG5077" s="1065"/>
    </row>
    <row r="5078" spans="4:59">
      <c r="D5078" s="1065"/>
      <c r="S5078" s="1065"/>
      <c r="BE5078" s="1065"/>
      <c r="BF5078" s="1065"/>
      <c r="BG5078" s="1065"/>
    </row>
    <row r="5079" spans="4:59">
      <c r="D5079" s="1065"/>
      <c r="S5079" s="1065"/>
      <c r="BE5079" s="1065"/>
      <c r="BF5079" s="1065"/>
      <c r="BG5079" s="1065"/>
    </row>
    <row r="5080" spans="4:59">
      <c r="D5080" s="1065"/>
      <c r="S5080" s="1065"/>
      <c r="BE5080" s="1065"/>
      <c r="BF5080" s="1065"/>
      <c r="BG5080" s="1065"/>
    </row>
    <row r="5081" spans="4:59">
      <c r="D5081" s="1065"/>
      <c r="S5081" s="1065"/>
      <c r="BE5081" s="1065"/>
      <c r="BF5081" s="1065"/>
      <c r="BG5081" s="1065"/>
    </row>
    <row r="5082" spans="4:59">
      <c r="D5082" s="1065"/>
      <c r="S5082" s="1065"/>
      <c r="BE5082" s="1065"/>
      <c r="BF5082" s="1065"/>
      <c r="BG5082" s="1065"/>
    </row>
    <row r="5083" spans="4:59">
      <c r="D5083" s="1065"/>
      <c r="S5083" s="1065"/>
      <c r="BE5083" s="1065"/>
      <c r="BF5083" s="1065"/>
      <c r="BG5083" s="1065"/>
    </row>
    <row r="5084" spans="4:59">
      <c r="D5084" s="1065"/>
      <c r="S5084" s="1065"/>
      <c r="BE5084" s="1065"/>
      <c r="BF5084" s="1065"/>
      <c r="BG5084" s="1065"/>
    </row>
    <row r="5085" spans="4:59">
      <c r="D5085" s="1065"/>
      <c r="S5085" s="1065"/>
      <c r="BE5085" s="1065"/>
      <c r="BF5085" s="1065"/>
      <c r="BG5085" s="1065"/>
    </row>
    <row r="5086" spans="4:59">
      <c r="D5086" s="1065"/>
      <c r="S5086" s="1065"/>
      <c r="BE5086" s="1065"/>
      <c r="BF5086" s="1065"/>
      <c r="BG5086" s="1065"/>
    </row>
    <row r="5087" spans="4:59">
      <c r="D5087" s="1065"/>
      <c r="S5087" s="1065"/>
      <c r="BE5087" s="1065"/>
      <c r="BF5087" s="1065"/>
      <c r="BG5087" s="1065"/>
    </row>
    <row r="5088" spans="4:59">
      <c r="D5088" s="1065"/>
      <c r="S5088" s="1065"/>
      <c r="BE5088" s="1065"/>
      <c r="BF5088" s="1065"/>
      <c r="BG5088" s="1065"/>
    </row>
    <row r="5089" spans="4:59">
      <c r="D5089" s="1065"/>
      <c r="S5089" s="1065"/>
      <c r="BE5089" s="1065"/>
      <c r="BF5089" s="1065"/>
      <c r="BG5089" s="1065"/>
    </row>
    <row r="5090" spans="4:59">
      <c r="D5090" s="1065"/>
      <c r="S5090" s="1065"/>
      <c r="BE5090" s="1065"/>
      <c r="BF5090" s="1065"/>
      <c r="BG5090" s="1065"/>
    </row>
    <row r="5091" spans="4:59">
      <c r="D5091" s="1065"/>
      <c r="S5091" s="1065"/>
      <c r="BE5091" s="1065"/>
      <c r="BF5091" s="1065"/>
      <c r="BG5091" s="1065"/>
    </row>
    <row r="5092" spans="4:59">
      <c r="D5092" s="1065"/>
      <c r="S5092" s="1065"/>
      <c r="BE5092" s="1065"/>
      <c r="BF5092" s="1065"/>
      <c r="BG5092" s="1065"/>
    </row>
    <row r="5093" spans="4:59">
      <c r="D5093" s="1065"/>
      <c r="S5093" s="1065"/>
      <c r="BE5093" s="1065"/>
      <c r="BF5093" s="1065"/>
      <c r="BG5093" s="1065"/>
    </row>
    <row r="5094" spans="4:59">
      <c r="D5094" s="1065"/>
      <c r="S5094" s="1065"/>
      <c r="BE5094" s="1065"/>
      <c r="BF5094" s="1065"/>
      <c r="BG5094" s="1065"/>
    </row>
    <row r="5095" spans="4:59">
      <c r="D5095" s="1065"/>
      <c r="S5095" s="1065"/>
      <c r="BE5095" s="1065"/>
      <c r="BF5095" s="1065"/>
      <c r="BG5095" s="1065"/>
    </row>
    <row r="5096" spans="4:59">
      <c r="D5096" s="1065"/>
      <c r="S5096" s="1065"/>
      <c r="BE5096" s="1065"/>
      <c r="BF5096" s="1065"/>
      <c r="BG5096" s="1065"/>
    </row>
    <row r="5097" spans="4:59">
      <c r="D5097" s="1065"/>
      <c r="S5097" s="1065"/>
      <c r="BE5097" s="1065"/>
      <c r="BF5097" s="1065"/>
      <c r="BG5097" s="1065"/>
    </row>
    <row r="5098" spans="4:59">
      <c r="D5098" s="1065"/>
      <c r="S5098" s="1065"/>
      <c r="BE5098" s="1065"/>
      <c r="BF5098" s="1065"/>
      <c r="BG5098" s="1065"/>
    </row>
    <row r="5099" spans="4:59">
      <c r="D5099" s="1065"/>
      <c r="S5099" s="1065"/>
      <c r="BE5099" s="1065"/>
      <c r="BF5099" s="1065"/>
      <c r="BG5099" s="1065"/>
    </row>
    <row r="5100" spans="4:59">
      <c r="D5100" s="1065"/>
      <c r="S5100" s="1065"/>
      <c r="BE5100" s="1065"/>
      <c r="BF5100" s="1065"/>
      <c r="BG5100" s="1065"/>
    </row>
    <row r="5101" spans="4:59">
      <c r="D5101" s="1065"/>
      <c r="S5101" s="1065"/>
      <c r="BE5101" s="1065"/>
      <c r="BF5101" s="1065"/>
      <c r="BG5101" s="1065"/>
    </row>
    <row r="5102" spans="4:59">
      <c r="D5102" s="1065"/>
      <c r="S5102" s="1065"/>
      <c r="BE5102" s="1065"/>
      <c r="BF5102" s="1065"/>
      <c r="BG5102" s="1065"/>
    </row>
    <row r="5103" spans="4:59">
      <c r="D5103" s="1065"/>
      <c r="S5103" s="1065"/>
      <c r="BE5103" s="1065"/>
      <c r="BF5103" s="1065"/>
      <c r="BG5103" s="1065"/>
    </row>
    <row r="5104" spans="4:59">
      <c r="D5104" s="1065"/>
      <c r="S5104" s="1065"/>
      <c r="BE5104" s="1065"/>
      <c r="BF5104" s="1065"/>
      <c r="BG5104" s="1065"/>
    </row>
    <row r="5105" spans="4:59">
      <c r="D5105" s="1065"/>
      <c r="S5105" s="1065"/>
      <c r="BE5105" s="1065"/>
      <c r="BF5105" s="1065"/>
      <c r="BG5105" s="1065"/>
    </row>
    <row r="5106" spans="4:59">
      <c r="D5106" s="1065"/>
      <c r="S5106" s="1065"/>
      <c r="BE5106" s="1065"/>
      <c r="BF5106" s="1065"/>
      <c r="BG5106" s="1065"/>
    </row>
    <row r="5107" spans="4:59">
      <c r="D5107" s="1065"/>
      <c r="S5107" s="1065"/>
      <c r="BE5107" s="1065"/>
      <c r="BF5107" s="1065"/>
      <c r="BG5107" s="1065"/>
    </row>
    <row r="5108" spans="4:59">
      <c r="D5108" s="1065"/>
      <c r="S5108" s="1065"/>
      <c r="BE5108" s="1065"/>
      <c r="BF5108" s="1065"/>
      <c r="BG5108" s="1065"/>
    </row>
    <row r="5109" spans="4:59">
      <c r="D5109" s="1065"/>
      <c r="S5109" s="1065"/>
      <c r="BE5109" s="1065"/>
      <c r="BF5109" s="1065"/>
      <c r="BG5109" s="1065"/>
    </row>
    <row r="5110" spans="4:59">
      <c r="D5110" s="1065"/>
      <c r="S5110" s="1065"/>
      <c r="BE5110" s="1065"/>
      <c r="BF5110" s="1065"/>
      <c r="BG5110" s="1065"/>
    </row>
    <row r="5111" spans="4:59">
      <c r="D5111" s="1065"/>
      <c r="S5111" s="1065"/>
      <c r="BE5111" s="1065"/>
      <c r="BF5111" s="1065"/>
      <c r="BG5111" s="1065"/>
    </row>
    <row r="5112" spans="4:59">
      <c r="D5112" s="1065"/>
      <c r="S5112" s="1065"/>
      <c r="BE5112" s="1065"/>
      <c r="BF5112" s="1065"/>
      <c r="BG5112" s="1065"/>
    </row>
    <row r="5113" spans="4:59">
      <c r="D5113" s="1065"/>
      <c r="S5113" s="1065"/>
      <c r="BE5113" s="1065"/>
      <c r="BF5113" s="1065"/>
      <c r="BG5113" s="1065"/>
    </row>
    <row r="5114" spans="4:59">
      <c r="D5114" s="1065"/>
      <c r="S5114" s="1065"/>
      <c r="BE5114" s="1065"/>
      <c r="BF5114" s="1065"/>
      <c r="BG5114" s="1065"/>
    </row>
    <row r="5115" spans="4:59">
      <c r="D5115" s="1065"/>
      <c r="S5115" s="1065"/>
      <c r="BE5115" s="1065"/>
      <c r="BF5115" s="1065"/>
      <c r="BG5115" s="1065"/>
    </row>
    <row r="5116" spans="4:59">
      <c r="D5116" s="1065"/>
      <c r="S5116" s="1065"/>
      <c r="BE5116" s="1065"/>
      <c r="BF5116" s="1065"/>
      <c r="BG5116" s="1065"/>
    </row>
    <row r="5117" spans="4:59">
      <c r="D5117" s="1065"/>
      <c r="S5117" s="1065"/>
      <c r="BE5117" s="1065"/>
      <c r="BF5117" s="1065"/>
      <c r="BG5117" s="1065"/>
    </row>
    <row r="5118" spans="4:59">
      <c r="D5118" s="1065"/>
      <c r="S5118" s="1065"/>
      <c r="BE5118" s="1065"/>
      <c r="BF5118" s="1065"/>
      <c r="BG5118" s="1065"/>
    </row>
    <row r="5119" spans="4:59">
      <c r="D5119" s="1065"/>
      <c r="S5119" s="1065"/>
      <c r="BE5119" s="1065"/>
      <c r="BF5119" s="1065"/>
      <c r="BG5119" s="1065"/>
    </row>
    <row r="5120" spans="4:59">
      <c r="D5120" s="1065"/>
      <c r="S5120" s="1065"/>
      <c r="BE5120" s="1065"/>
      <c r="BF5120" s="1065"/>
      <c r="BG5120" s="1065"/>
    </row>
    <row r="5121" spans="4:59">
      <c r="D5121" s="1065"/>
      <c r="S5121" s="1065"/>
      <c r="BE5121" s="1065"/>
      <c r="BF5121" s="1065"/>
      <c r="BG5121" s="1065"/>
    </row>
    <row r="5122" spans="4:59">
      <c r="D5122" s="1065"/>
      <c r="S5122" s="1065"/>
      <c r="BE5122" s="1065"/>
      <c r="BF5122" s="1065"/>
      <c r="BG5122" s="1065"/>
    </row>
    <row r="5123" spans="4:59">
      <c r="D5123" s="1065"/>
      <c r="S5123" s="1065"/>
      <c r="BE5123" s="1065"/>
      <c r="BF5123" s="1065"/>
      <c r="BG5123" s="1065"/>
    </row>
    <row r="5124" spans="4:59">
      <c r="D5124" s="1065"/>
      <c r="S5124" s="1065"/>
      <c r="BE5124" s="1065"/>
      <c r="BF5124" s="1065"/>
      <c r="BG5124" s="1065"/>
    </row>
    <row r="5125" spans="4:59">
      <c r="D5125" s="1065"/>
      <c r="S5125" s="1065"/>
      <c r="BE5125" s="1065"/>
      <c r="BF5125" s="1065"/>
      <c r="BG5125" s="1065"/>
    </row>
    <row r="5126" spans="4:59">
      <c r="D5126" s="1065"/>
      <c r="S5126" s="1065"/>
      <c r="BE5126" s="1065"/>
      <c r="BF5126" s="1065"/>
      <c r="BG5126" s="1065"/>
    </row>
    <row r="5127" spans="4:59">
      <c r="D5127" s="1065"/>
      <c r="S5127" s="1065"/>
      <c r="BE5127" s="1065"/>
      <c r="BF5127" s="1065"/>
      <c r="BG5127" s="1065"/>
    </row>
    <row r="5128" spans="4:59">
      <c r="D5128" s="1065"/>
      <c r="S5128" s="1065"/>
      <c r="BE5128" s="1065"/>
      <c r="BF5128" s="1065"/>
      <c r="BG5128" s="1065"/>
    </row>
    <row r="5129" spans="4:59">
      <c r="D5129" s="1065"/>
      <c r="S5129" s="1065"/>
      <c r="BE5129" s="1065"/>
      <c r="BF5129" s="1065"/>
      <c r="BG5129" s="1065"/>
    </row>
    <row r="5130" spans="4:59">
      <c r="D5130" s="1065"/>
      <c r="S5130" s="1065"/>
      <c r="BE5130" s="1065"/>
      <c r="BF5130" s="1065"/>
      <c r="BG5130" s="1065"/>
    </row>
    <row r="5131" spans="4:59">
      <c r="D5131" s="1065"/>
      <c r="S5131" s="1065"/>
      <c r="BE5131" s="1065"/>
      <c r="BF5131" s="1065"/>
      <c r="BG5131" s="1065"/>
    </row>
    <row r="5132" spans="4:59">
      <c r="D5132" s="1065"/>
      <c r="S5132" s="1065"/>
      <c r="BE5132" s="1065"/>
      <c r="BF5132" s="1065"/>
      <c r="BG5132" s="1065"/>
    </row>
    <row r="5133" spans="4:59">
      <c r="D5133" s="1065"/>
      <c r="S5133" s="1065"/>
      <c r="BE5133" s="1065"/>
      <c r="BF5133" s="1065"/>
      <c r="BG5133" s="1065"/>
    </row>
    <row r="5134" spans="4:59">
      <c r="D5134" s="1065"/>
      <c r="S5134" s="1065"/>
      <c r="BE5134" s="1065"/>
      <c r="BF5134" s="1065"/>
      <c r="BG5134" s="1065"/>
    </row>
    <row r="5135" spans="4:59">
      <c r="D5135" s="1065"/>
      <c r="S5135" s="1065"/>
      <c r="BE5135" s="1065"/>
      <c r="BF5135" s="1065"/>
      <c r="BG5135" s="1065"/>
    </row>
    <row r="5136" spans="4:59">
      <c r="D5136" s="1065"/>
      <c r="S5136" s="1065"/>
      <c r="BE5136" s="1065"/>
      <c r="BF5136" s="1065"/>
      <c r="BG5136" s="1065"/>
    </row>
    <row r="5137" spans="4:59">
      <c r="D5137" s="1065"/>
      <c r="S5137" s="1065"/>
      <c r="BE5137" s="1065"/>
      <c r="BF5137" s="1065"/>
      <c r="BG5137" s="1065"/>
    </row>
    <row r="5138" spans="4:59">
      <c r="D5138" s="1065"/>
      <c r="S5138" s="1065"/>
      <c r="BE5138" s="1065"/>
      <c r="BF5138" s="1065"/>
      <c r="BG5138" s="1065"/>
    </row>
    <row r="5139" spans="4:59">
      <c r="D5139" s="1065"/>
      <c r="S5139" s="1065"/>
      <c r="BE5139" s="1065"/>
      <c r="BF5139" s="1065"/>
      <c r="BG5139" s="1065"/>
    </row>
    <row r="5140" spans="4:59">
      <c r="D5140" s="1065"/>
      <c r="S5140" s="1065"/>
      <c r="BE5140" s="1065"/>
      <c r="BF5140" s="1065"/>
      <c r="BG5140" s="1065"/>
    </row>
    <row r="5141" spans="4:59">
      <c r="D5141" s="1065"/>
      <c r="S5141" s="1065"/>
      <c r="BE5141" s="1065"/>
      <c r="BF5141" s="1065"/>
      <c r="BG5141" s="1065"/>
    </row>
    <row r="5142" spans="4:59">
      <c r="D5142" s="1065"/>
      <c r="S5142" s="1065"/>
      <c r="BE5142" s="1065"/>
      <c r="BF5142" s="1065"/>
      <c r="BG5142" s="1065"/>
    </row>
    <row r="5143" spans="4:59">
      <c r="D5143" s="1065"/>
      <c r="S5143" s="1065"/>
      <c r="BE5143" s="1065"/>
      <c r="BF5143" s="1065"/>
      <c r="BG5143" s="1065"/>
    </row>
    <row r="5144" spans="4:59">
      <c r="D5144" s="1065"/>
      <c r="S5144" s="1065"/>
      <c r="BE5144" s="1065"/>
      <c r="BF5144" s="1065"/>
      <c r="BG5144" s="1065"/>
    </row>
    <row r="5145" spans="4:59">
      <c r="D5145" s="1065"/>
      <c r="S5145" s="1065"/>
      <c r="BE5145" s="1065"/>
      <c r="BF5145" s="1065"/>
      <c r="BG5145" s="1065"/>
    </row>
    <row r="5146" spans="4:59">
      <c r="D5146" s="1065"/>
      <c r="S5146" s="1065"/>
      <c r="BE5146" s="1065"/>
      <c r="BF5146" s="1065"/>
      <c r="BG5146" s="1065"/>
    </row>
    <row r="5147" spans="4:59">
      <c r="D5147" s="1065"/>
      <c r="S5147" s="1065"/>
      <c r="BE5147" s="1065"/>
      <c r="BF5147" s="1065"/>
      <c r="BG5147" s="1065"/>
    </row>
    <row r="5148" spans="4:59">
      <c r="D5148" s="1065"/>
      <c r="S5148" s="1065"/>
      <c r="BE5148" s="1065"/>
      <c r="BF5148" s="1065"/>
      <c r="BG5148" s="1065"/>
    </row>
    <row r="5149" spans="4:59">
      <c r="D5149" s="1065"/>
      <c r="S5149" s="1065"/>
      <c r="BE5149" s="1065"/>
      <c r="BF5149" s="1065"/>
      <c r="BG5149" s="1065"/>
    </row>
    <row r="5150" spans="4:59">
      <c r="D5150" s="1065"/>
      <c r="S5150" s="1065"/>
      <c r="BE5150" s="1065"/>
      <c r="BF5150" s="1065"/>
      <c r="BG5150" s="1065"/>
    </row>
    <row r="5151" spans="4:59">
      <c r="D5151" s="1065"/>
      <c r="S5151" s="1065"/>
      <c r="BE5151" s="1065"/>
      <c r="BF5151" s="1065"/>
      <c r="BG5151" s="1065"/>
    </row>
    <row r="5152" spans="4:59">
      <c r="D5152" s="1065"/>
      <c r="S5152" s="1065"/>
      <c r="BE5152" s="1065"/>
      <c r="BF5152" s="1065"/>
      <c r="BG5152" s="1065"/>
    </row>
    <row r="5153" spans="4:59">
      <c r="D5153" s="1065"/>
      <c r="S5153" s="1065"/>
      <c r="BE5153" s="1065"/>
      <c r="BF5153" s="1065"/>
      <c r="BG5153" s="1065"/>
    </row>
    <row r="5154" spans="4:59">
      <c r="D5154" s="1065"/>
      <c r="S5154" s="1065"/>
      <c r="BE5154" s="1065"/>
      <c r="BF5154" s="1065"/>
      <c r="BG5154" s="1065"/>
    </row>
    <row r="5155" spans="4:59">
      <c r="D5155" s="1065"/>
      <c r="S5155" s="1065"/>
      <c r="BE5155" s="1065"/>
      <c r="BF5155" s="1065"/>
      <c r="BG5155" s="1065"/>
    </row>
    <row r="5156" spans="4:59">
      <c r="D5156" s="1065"/>
      <c r="S5156" s="1065"/>
      <c r="BE5156" s="1065"/>
      <c r="BF5156" s="1065"/>
      <c r="BG5156" s="1065"/>
    </row>
    <row r="5157" spans="4:59">
      <c r="D5157" s="1065"/>
      <c r="S5157" s="1065"/>
      <c r="BE5157" s="1065"/>
      <c r="BF5157" s="1065"/>
      <c r="BG5157" s="1065"/>
    </row>
    <row r="5158" spans="4:59">
      <c r="D5158" s="1065"/>
      <c r="S5158" s="1065"/>
      <c r="BE5158" s="1065"/>
      <c r="BF5158" s="1065"/>
      <c r="BG5158" s="1065"/>
    </row>
    <row r="5159" spans="4:59">
      <c r="D5159" s="1065"/>
      <c r="S5159" s="1065"/>
      <c r="BE5159" s="1065"/>
      <c r="BF5159" s="1065"/>
      <c r="BG5159" s="1065"/>
    </row>
    <row r="5160" spans="4:59">
      <c r="D5160" s="1065"/>
      <c r="S5160" s="1065"/>
      <c r="BE5160" s="1065"/>
      <c r="BF5160" s="1065"/>
      <c r="BG5160" s="1065"/>
    </row>
    <row r="5161" spans="4:59">
      <c r="D5161" s="1065"/>
      <c r="S5161" s="1065"/>
      <c r="BE5161" s="1065"/>
      <c r="BF5161" s="1065"/>
      <c r="BG5161" s="1065"/>
    </row>
    <row r="5162" spans="4:59">
      <c r="D5162" s="1065"/>
      <c r="S5162" s="1065"/>
      <c r="BE5162" s="1065"/>
      <c r="BF5162" s="1065"/>
      <c r="BG5162" s="1065"/>
    </row>
    <row r="5163" spans="4:59">
      <c r="D5163" s="1065"/>
      <c r="S5163" s="1065"/>
      <c r="BE5163" s="1065"/>
      <c r="BF5163" s="1065"/>
      <c r="BG5163" s="1065"/>
    </row>
    <row r="5164" spans="4:59">
      <c r="D5164" s="1065"/>
      <c r="S5164" s="1065"/>
      <c r="BE5164" s="1065"/>
      <c r="BF5164" s="1065"/>
      <c r="BG5164" s="1065"/>
    </row>
    <row r="5165" spans="4:59">
      <c r="D5165" s="1065"/>
      <c r="S5165" s="1065"/>
      <c r="BE5165" s="1065"/>
      <c r="BF5165" s="1065"/>
      <c r="BG5165" s="1065"/>
    </row>
    <row r="5166" spans="4:59">
      <c r="D5166" s="1065"/>
      <c r="S5166" s="1065"/>
      <c r="BE5166" s="1065"/>
      <c r="BF5166" s="1065"/>
      <c r="BG5166" s="1065"/>
    </row>
    <row r="5167" spans="4:59">
      <c r="D5167" s="1065"/>
      <c r="S5167" s="1065"/>
      <c r="BE5167" s="1065"/>
      <c r="BF5167" s="1065"/>
      <c r="BG5167" s="1065"/>
    </row>
    <row r="5168" spans="4:59">
      <c r="D5168" s="1065"/>
      <c r="S5168" s="1065"/>
      <c r="BE5168" s="1065"/>
      <c r="BF5168" s="1065"/>
      <c r="BG5168" s="1065"/>
    </row>
    <row r="5169" spans="4:59">
      <c r="D5169" s="1065"/>
      <c r="S5169" s="1065"/>
      <c r="BE5169" s="1065"/>
      <c r="BF5169" s="1065"/>
      <c r="BG5169" s="1065"/>
    </row>
    <row r="5170" spans="4:59">
      <c r="D5170" s="1065"/>
      <c r="S5170" s="1065"/>
      <c r="BE5170" s="1065"/>
      <c r="BF5170" s="1065"/>
      <c r="BG5170" s="1065"/>
    </row>
    <row r="5171" spans="4:59">
      <c r="D5171" s="1065"/>
      <c r="S5171" s="1065"/>
      <c r="BE5171" s="1065"/>
      <c r="BF5171" s="1065"/>
      <c r="BG5171" s="1065"/>
    </row>
    <row r="5172" spans="4:59">
      <c r="D5172" s="1065"/>
      <c r="S5172" s="1065"/>
      <c r="BE5172" s="1065"/>
      <c r="BF5172" s="1065"/>
      <c r="BG5172" s="1065"/>
    </row>
    <row r="5173" spans="4:59">
      <c r="D5173" s="1065"/>
      <c r="S5173" s="1065"/>
      <c r="BE5173" s="1065"/>
      <c r="BF5173" s="1065"/>
      <c r="BG5173" s="1065"/>
    </row>
    <row r="5174" spans="4:59">
      <c r="D5174" s="1065"/>
      <c r="S5174" s="1065"/>
      <c r="BE5174" s="1065"/>
      <c r="BF5174" s="1065"/>
      <c r="BG5174" s="1065"/>
    </row>
    <row r="5175" spans="4:59">
      <c r="D5175" s="1065"/>
      <c r="S5175" s="1065"/>
      <c r="BE5175" s="1065"/>
      <c r="BF5175" s="1065"/>
      <c r="BG5175" s="1065"/>
    </row>
    <row r="5176" spans="4:59">
      <c r="D5176" s="1065"/>
      <c r="S5176" s="1065"/>
      <c r="BE5176" s="1065"/>
      <c r="BF5176" s="1065"/>
      <c r="BG5176" s="1065"/>
    </row>
    <row r="5177" spans="4:59">
      <c r="D5177" s="1065"/>
      <c r="S5177" s="1065"/>
      <c r="BE5177" s="1065"/>
      <c r="BF5177" s="1065"/>
      <c r="BG5177" s="1065"/>
    </row>
    <row r="5178" spans="4:59">
      <c r="D5178" s="1065"/>
      <c r="S5178" s="1065"/>
      <c r="BE5178" s="1065"/>
      <c r="BF5178" s="1065"/>
      <c r="BG5178" s="1065"/>
    </row>
    <row r="5179" spans="4:59">
      <c r="D5179" s="1065"/>
      <c r="S5179" s="1065"/>
      <c r="BE5179" s="1065"/>
      <c r="BF5179" s="1065"/>
      <c r="BG5179" s="1065"/>
    </row>
    <row r="5180" spans="4:59">
      <c r="D5180" s="1065"/>
      <c r="S5180" s="1065"/>
      <c r="BE5180" s="1065"/>
      <c r="BF5180" s="1065"/>
      <c r="BG5180" s="1065"/>
    </row>
    <row r="5181" spans="4:59">
      <c r="D5181" s="1065"/>
      <c r="S5181" s="1065"/>
      <c r="BE5181" s="1065"/>
      <c r="BF5181" s="1065"/>
      <c r="BG5181" s="1065"/>
    </row>
    <row r="5182" spans="4:59">
      <c r="D5182" s="1065"/>
      <c r="S5182" s="1065"/>
      <c r="BE5182" s="1065"/>
      <c r="BF5182" s="1065"/>
      <c r="BG5182" s="1065"/>
    </row>
    <row r="5183" spans="4:59">
      <c r="D5183" s="1065"/>
      <c r="S5183" s="1065"/>
      <c r="BE5183" s="1065"/>
      <c r="BF5183" s="1065"/>
      <c r="BG5183" s="1065"/>
    </row>
    <row r="5184" spans="4:59">
      <c r="D5184" s="1065"/>
      <c r="S5184" s="1065"/>
      <c r="BE5184" s="1065"/>
      <c r="BF5184" s="1065"/>
      <c r="BG5184" s="1065"/>
    </row>
    <row r="5185" spans="4:59">
      <c r="D5185" s="1065"/>
      <c r="S5185" s="1065"/>
      <c r="BE5185" s="1065"/>
      <c r="BF5185" s="1065"/>
      <c r="BG5185" s="1065"/>
    </row>
    <row r="5186" spans="4:59">
      <c r="D5186" s="1065"/>
      <c r="S5186" s="1065"/>
      <c r="BE5186" s="1065"/>
      <c r="BF5186" s="1065"/>
      <c r="BG5186" s="1065"/>
    </row>
    <row r="5187" spans="4:59">
      <c r="D5187" s="1065"/>
      <c r="S5187" s="1065"/>
      <c r="BE5187" s="1065"/>
      <c r="BF5187" s="1065"/>
      <c r="BG5187" s="1065"/>
    </row>
    <row r="5188" spans="4:59">
      <c r="D5188" s="1065"/>
      <c r="S5188" s="1065"/>
      <c r="BE5188" s="1065"/>
      <c r="BF5188" s="1065"/>
      <c r="BG5188" s="1065"/>
    </row>
    <row r="5189" spans="4:59">
      <c r="D5189" s="1065"/>
      <c r="S5189" s="1065"/>
      <c r="BE5189" s="1065"/>
      <c r="BF5189" s="1065"/>
      <c r="BG5189" s="1065"/>
    </row>
    <row r="5190" spans="4:59">
      <c r="D5190" s="1065"/>
      <c r="S5190" s="1065"/>
      <c r="BE5190" s="1065"/>
      <c r="BF5190" s="1065"/>
      <c r="BG5190" s="1065"/>
    </row>
    <row r="5191" spans="4:59">
      <c r="D5191" s="1065"/>
      <c r="S5191" s="1065"/>
      <c r="BE5191" s="1065"/>
      <c r="BF5191" s="1065"/>
      <c r="BG5191" s="1065"/>
    </row>
    <row r="5192" spans="4:59">
      <c r="D5192" s="1065"/>
      <c r="S5192" s="1065"/>
      <c r="BE5192" s="1065"/>
      <c r="BF5192" s="1065"/>
      <c r="BG5192" s="1065"/>
    </row>
    <row r="5193" spans="4:59">
      <c r="D5193" s="1065"/>
      <c r="S5193" s="1065"/>
      <c r="BE5193" s="1065"/>
      <c r="BF5193" s="1065"/>
      <c r="BG5193" s="1065"/>
    </row>
    <row r="5194" spans="4:59">
      <c r="D5194" s="1065"/>
      <c r="S5194" s="1065"/>
      <c r="BE5194" s="1065"/>
      <c r="BF5194" s="1065"/>
      <c r="BG5194" s="1065"/>
    </row>
    <row r="5195" spans="4:59">
      <c r="D5195" s="1065"/>
      <c r="S5195" s="1065"/>
      <c r="BE5195" s="1065"/>
      <c r="BF5195" s="1065"/>
      <c r="BG5195" s="1065"/>
    </row>
    <row r="5196" spans="4:59">
      <c r="D5196" s="1065"/>
      <c r="S5196" s="1065"/>
      <c r="BE5196" s="1065"/>
      <c r="BF5196" s="1065"/>
      <c r="BG5196" s="1065"/>
    </row>
    <row r="5197" spans="4:59">
      <c r="D5197" s="1065"/>
      <c r="S5197" s="1065"/>
      <c r="BE5197" s="1065"/>
      <c r="BF5197" s="1065"/>
      <c r="BG5197" s="1065"/>
    </row>
    <row r="5198" spans="4:59">
      <c r="D5198" s="1065"/>
      <c r="S5198" s="1065"/>
      <c r="BE5198" s="1065"/>
      <c r="BF5198" s="1065"/>
      <c r="BG5198" s="1065"/>
    </row>
    <row r="5199" spans="4:59">
      <c r="D5199" s="1065"/>
      <c r="S5199" s="1065"/>
      <c r="BE5199" s="1065"/>
      <c r="BF5199" s="1065"/>
      <c r="BG5199" s="1065"/>
    </row>
    <row r="5200" spans="4:59">
      <c r="D5200" s="1065"/>
      <c r="S5200" s="1065"/>
      <c r="BE5200" s="1065"/>
      <c r="BF5200" s="1065"/>
      <c r="BG5200" s="1065"/>
    </row>
    <row r="5201" spans="4:59">
      <c r="D5201" s="1065"/>
      <c r="S5201" s="1065"/>
      <c r="BE5201" s="1065"/>
      <c r="BF5201" s="1065"/>
      <c r="BG5201" s="1065"/>
    </row>
    <row r="5202" spans="4:59">
      <c r="D5202" s="1065"/>
      <c r="S5202" s="1065"/>
      <c r="BE5202" s="1065"/>
      <c r="BF5202" s="1065"/>
      <c r="BG5202" s="1065"/>
    </row>
    <row r="5203" spans="4:59">
      <c r="D5203" s="1065"/>
      <c r="S5203" s="1065"/>
      <c r="BE5203" s="1065"/>
      <c r="BF5203" s="1065"/>
      <c r="BG5203" s="1065"/>
    </row>
    <row r="5204" spans="4:59">
      <c r="D5204" s="1065"/>
      <c r="S5204" s="1065"/>
      <c r="BE5204" s="1065"/>
      <c r="BF5204" s="1065"/>
      <c r="BG5204" s="1065"/>
    </row>
    <row r="5205" spans="4:59">
      <c r="D5205" s="1065"/>
      <c r="S5205" s="1065"/>
      <c r="BE5205" s="1065"/>
      <c r="BF5205" s="1065"/>
      <c r="BG5205" s="1065"/>
    </row>
    <row r="5206" spans="4:59">
      <c r="D5206" s="1065"/>
      <c r="S5206" s="1065"/>
      <c r="BE5206" s="1065"/>
      <c r="BF5206" s="1065"/>
      <c r="BG5206" s="1065"/>
    </row>
    <row r="5207" spans="4:59">
      <c r="D5207" s="1065"/>
      <c r="S5207" s="1065"/>
      <c r="BE5207" s="1065"/>
      <c r="BF5207" s="1065"/>
      <c r="BG5207" s="1065"/>
    </row>
    <row r="5208" spans="4:59">
      <c r="D5208" s="1065"/>
      <c r="S5208" s="1065"/>
      <c r="BE5208" s="1065"/>
      <c r="BF5208" s="1065"/>
      <c r="BG5208" s="1065"/>
    </row>
    <row r="5209" spans="4:59">
      <c r="D5209" s="1065"/>
      <c r="S5209" s="1065"/>
      <c r="BE5209" s="1065"/>
      <c r="BF5209" s="1065"/>
      <c r="BG5209" s="1065"/>
    </row>
    <row r="5210" spans="4:59">
      <c r="D5210" s="1065"/>
      <c r="S5210" s="1065"/>
      <c r="BE5210" s="1065"/>
      <c r="BF5210" s="1065"/>
      <c r="BG5210" s="1065"/>
    </row>
    <row r="5211" spans="4:59">
      <c r="D5211" s="1065"/>
      <c r="S5211" s="1065"/>
      <c r="BE5211" s="1065"/>
      <c r="BF5211" s="1065"/>
      <c r="BG5211" s="1065"/>
    </row>
    <row r="5212" spans="4:59">
      <c r="D5212" s="1065"/>
      <c r="S5212" s="1065"/>
      <c r="BE5212" s="1065"/>
      <c r="BF5212" s="1065"/>
      <c r="BG5212" s="1065"/>
    </row>
    <row r="5213" spans="4:59">
      <c r="D5213" s="1065"/>
      <c r="S5213" s="1065"/>
      <c r="BE5213" s="1065"/>
      <c r="BF5213" s="1065"/>
      <c r="BG5213" s="1065"/>
    </row>
    <row r="5214" spans="4:59">
      <c r="D5214" s="1065"/>
      <c r="S5214" s="1065"/>
      <c r="BE5214" s="1065"/>
      <c r="BF5214" s="1065"/>
      <c r="BG5214" s="1065"/>
    </row>
    <row r="5215" spans="4:59">
      <c r="D5215" s="1065"/>
      <c r="S5215" s="1065"/>
      <c r="BE5215" s="1065"/>
      <c r="BF5215" s="1065"/>
      <c r="BG5215" s="1065"/>
    </row>
    <row r="5216" spans="4:59">
      <c r="D5216" s="1065"/>
      <c r="S5216" s="1065"/>
      <c r="BE5216" s="1065"/>
      <c r="BF5216" s="1065"/>
      <c r="BG5216" s="1065"/>
    </row>
    <row r="5217" spans="4:59">
      <c r="D5217" s="1065"/>
      <c r="S5217" s="1065"/>
      <c r="BE5217" s="1065"/>
      <c r="BF5217" s="1065"/>
      <c r="BG5217" s="1065"/>
    </row>
    <row r="5218" spans="4:59">
      <c r="D5218" s="1065"/>
      <c r="S5218" s="1065"/>
      <c r="BE5218" s="1065"/>
      <c r="BF5218" s="1065"/>
      <c r="BG5218" s="1065"/>
    </row>
    <row r="5219" spans="4:59">
      <c r="D5219" s="1065"/>
      <c r="S5219" s="1065"/>
      <c r="BE5219" s="1065"/>
      <c r="BF5219" s="1065"/>
      <c r="BG5219" s="1065"/>
    </row>
    <row r="5220" spans="4:59">
      <c r="D5220" s="1065"/>
      <c r="S5220" s="1065"/>
      <c r="BE5220" s="1065"/>
      <c r="BF5220" s="1065"/>
      <c r="BG5220" s="1065"/>
    </row>
    <row r="5221" spans="4:59">
      <c r="D5221" s="1065"/>
      <c r="S5221" s="1065"/>
      <c r="BE5221" s="1065"/>
      <c r="BF5221" s="1065"/>
      <c r="BG5221" s="1065"/>
    </row>
    <row r="5222" spans="4:59">
      <c r="D5222" s="1065"/>
      <c r="S5222" s="1065"/>
      <c r="BE5222" s="1065"/>
      <c r="BF5222" s="1065"/>
      <c r="BG5222" s="1065"/>
    </row>
    <row r="5223" spans="4:59">
      <c r="D5223" s="1065"/>
      <c r="S5223" s="1065"/>
      <c r="BE5223" s="1065"/>
      <c r="BF5223" s="1065"/>
      <c r="BG5223" s="1065"/>
    </row>
    <row r="5224" spans="4:59">
      <c r="D5224" s="1065"/>
      <c r="S5224" s="1065"/>
      <c r="BE5224" s="1065"/>
      <c r="BF5224" s="1065"/>
      <c r="BG5224" s="1065"/>
    </row>
    <row r="5225" spans="4:59">
      <c r="D5225" s="1065"/>
      <c r="S5225" s="1065"/>
      <c r="BE5225" s="1065"/>
      <c r="BF5225" s="1065"/>
      <c r="BG5225" s="1065"/>
    </row>
    <row r="5226" spans="4:59">
      <c r="D5226" s="1065"/>
      <c r="S5226" s="1065"/>
      <c r="BE5226" s="1065"/>
      <c r="BF5226" s="1065"/>
      <c r="BG5226" s="1065"/>
    </row>
    <row r="5227" spans="4:59">
      <c r="D5227" s="1065"/>
      <c r="S5227" s="1065"/>
      <c r="BE5227" s="1065"/>
      <c r="BF5227" s="1065"/>
      <c r="BG5227" s="1065"/>
    </row>
    <row r="5228" spans="4:59">
      <c r="D5228" s="1065"/>
      <c r="S5228" s="1065"/>
      <c r="BE5228" s="1065"/>
      <c r="BF5228" s="1065"/>
      <c r="BG5228" s="1065"/>
    </row>
    <row r="5229" spans="4:59">
      <c r="D5229" s="1065"/>
      <c r="S5229" s="1065"/>
      <c r="BE5229" s="1065"/>
      <c r="BF5229" s="1065"/>
      <c r="BG5229" s="1065"/>
    </row>
    <row r="5230" spans="4:59">
      <c r="D5230" s="1065"/>
      <c r="S5230" s="1065"/>
      <c r="BE5230" s="1065"/>
      <c r="BF5230" s="1065"/>
      <c r="BG5230" s="1065"/>
    </row>
    <row r="5231" spans="4:59">
      <c r="D5231" s="1065"/>
      <c r="S5231" s="1065"/>
      <c r="BE5231" s="1065"/>
      <c r="BF5231" s="1065"/>
      <c r="BG5231" s="1065"/>
    </row>
    <row r="5232" spans="4:59">
      <c r="D5232" s="1065"/>
      <c r="S5232" s="1065"/>
      <c r="BE5232" s="1065"/>
      <c r="BF5232" s="1065"/>
      <c r="BG5232" s="1065"/>
    </row>
    <row r="5233" spans="4:59">
      <c r="D5233" s="1065"/>
      <c r="S5233" s="1065"/>
      <c r="BE5233" s="1065"/>
      <c r="BF5233" s="1065"/>
      <c r="BG5233" s="1065"/>
    </row>
    <row r="5234" spans="4:59">
      <c r="D5234" s="1065"/>
      <c r="S5234" s="1065"/>
      <c r="BE5234" s="1065"/>
      <c r="BF5234" s="1065"/>
      <c r="BG5234" s="1065"/>
    </row>
    <row r="5235" spans="4:59">
      <c r="D5235" s="1065"/>
      <c r="S5235" s="1065"/>
      <c r="BE5235" s="1065"/>
      <c r="BF5235" s="1065"/>
      <c r="BG5235" s="1065"/>
    </row>
    <row r="5236" spans="4:59">
      <c r="D5236" s="1065"/>
      <c r="S5236" s="1065"/>
      <c r="BE5236" s="1065"/>
      <c r="BF5236" s="1065"/>
      <c r="BG5236" s="1065"/>
    </row>
    <row r="5237" spans="4:59">
      <c r="D5237" s="1065"/>
      <c r="S5237" s="1065"/>
      <c r="BE5237" s="1065"/>
      <c r="BF5237" s="1065"/>
      <c r="BG5237" s="1065"/>
    </row>
    <row r="5238" spans="4:59">
      <c r="D5238" s="1065"/>
      <c r="S5238" s="1065"/>
      <c r="BE5238" s="1065"/>
      <c r="BF5238" s="1065"/>
      <c r="BG5238" s="1065"/>
    </row>
    <row r="5239" spans="4:59">
      <c r="D5239" s="1065"/>
      <c r="S5239" s="1065"/>
      <c r="BE5239" s="1065"/>
      <c r="BF5239" s="1065"/>
      <c r="BG5239" s="1065"/>
    </row>
    <row r="5240" spans="4:59">
      <c r="D5240" s="1065"/>
      <c r="S5240" s="1065"/>
      <c r="BE5240" s="1065"/>
      <c r="BF5240" s="1065"/>
      <c r="BG5240" s="1065"/>
    </row>
    <row r="5241" spans="4:59">
      <c r="D5241" s="1065"/>
      <c r="S5241" s="1065"/>
      <c r="BE5241" s="1065"/>
      <c r="BF5241" s="1065"/>
      <c r="BG5241" s="1065"/>
    </row>
    <row r="5242" spans="4:59">
      <c r="D5242" s="1065"/>
      <c r="S5242" s="1065"/>
      <c r="BE5242" s="1065"/>
      <c r="BF5242" s="1065"/>
      <c r="BG5242" s="1065"/>
    </row>
    <row r="5243" spans="4:59">
      <c r="D5243" s="1065"/>
      <c r="S5243" s="1065"/>
      <c r="BE5243" s="1065"/>
      <c r="BF5243" s="1065"/>
      <c r="BG5243" s="1065"/>
    </row>
    <row r="5244" spans="4:59">
      <c r="D5244" s="1065"/>
      <c r="S5244" s="1065"/>
      <c r="BE5244" s="1065"/>
      <c r="BF5244" s="1065"/>
      <c r="BG5244" s="1065"/>
    </row>
    <row r="5245" spans="4:59">
      <c r="D5245" s="1065"/>
      <c r="S5245" s="1065"/>
      <c r="BE5245" s="1065"/>
      <c r="BF5245" s="1065"/>
      <c r="BG5245" s="1065"/>
    </row>
    <row r="5246" spans="4:59">
      <c r="D5246" s="1065"/>
      <c r="S5246" s="1065"/>
      <c r="BE5246" s="1065"/>
      <c r="BF5246" s="1065"/>
      <c r="BG5246" s="1065"/>
    </row>
    <row r="5247" spans="4:59">
      <c r="D5247" s="1065"/>
      <c r="S5247" s="1065"/>
      <c r="BE5247" s="1065"/>
      <c r="BF5247" s="1065"/>
      <c r="BG5247" s="1065"/>
    </row>
    <row r="5248" spans="4:59">
      <c r="D5248" s="1065"/>
      <c r="S5248" s="1065"/>
      <c r="BE5248" s="1065"/>
      <c r="BF5248" s="1065"/>
      <c r="BG5248" s="1065"/>
    </row>
    <row r="5249" spans="4:59">
      <c r="D5249" s="1065"/>
      <c r="S5249" s="1065"/>
      <c r="BE5249" s="1065"/>
      <c r="BF5249" s="1065"/>
      <c r="BG5249" s="1065"/>
    </row>
    <row r="5250" spans="4:59">
      <c r="D5250" s="1065"/>
      <c r="S5250" s="1065"/>
      <c r="BE5250" s="1065"/>
      <c r="BF5250" s="1065"/>
      <c r="BG5250" s="1065"/>
    </row>
    <row r="5251" spans="4:59">
      <c r="D5251" s="1065"/>
      <c r="S5251" s="1065"/>
      <c r="BE5251" s="1065"/>
      <c r="BF5251" s="1065"/>
      <c r="BG5251" s="1065"/>
    </row>
    <row r="5252" spans="4:59">
      <c r="D5252" s="1065"/>
      <c r="S5252" s="1065"/>
      <c r="BE5252" s="1065"/>
      <c r="BF5252" s="1065"/>
      <c r="BG5252" s="1065"/>
    </row>
    <row r="5253" spans="4:59">
      <c r="D5253" s="1065"/>
      <c r="S5253" s="1065"/>
      <c r="BE5253" s="1065"/>
      <c r="BF5253" s="1065"/>
      <c r="BG5253" s="1065"/>
    </row>
    <row r="5254" spans="4:59">
      <c r="D5254" s="1065"/>
      <c r="S5254" s="1065"/>
      <c r="BE5254" s="1065"/>
      <c r="BF5254" s="1065"/>
      <c r="BG5254" s="1065"/>
    </row>
    <row r="5255" spans="4:59">
      <c r="D5255" s="1065"/>
      <c r="S5255" s="1065"/>
      <c r="BE5255" s="1065"/>
      <c r="BF5255" s="1065"/>
      <c r="BG5255" s="1065"/>
    </row>
    <row r="5256" spans="4:59">
      <c r="D5256" s="1065"/>
      <c r="S5256" s="1065"/>
      <c r="BE5256" s="1065"/>
      <c r="BF5256" s="1065"/>
      <c r="BG5256" s="1065"/>
    </row>
    <row r="5257" spans="4:59">
      <c r="D5257" s="1065"/>
      <c r="S5257" s="1065"/>
      <c r="BE5257" s="1065"/>
      <c r="BF5257" s="1065"/>
      <c r="BG5257" s="1065"/>
    </row>
    <row r="5258" spans="4:59">
      <c r="D5258" s="1065"/>
      <c r="S5258" s="1065"/>
      <c r="BE5258" s="1065"/>
      <c r="BF5258" s="1065"/>
      <c r="BG5258" s="1065"/>
    </row>
    <row r="5259" spans="4:59">
      <c r="D5259" s="1065"/>
      <c r="S5259" s="1065"/>
      <c r="BE5259" s="1065"/>
      <c r="BF5259" s="1065"/>
      <c r="BG5259" s="1065"/>
    </row>
    <row r="5260" spans="4:59">
      <c r="D5260" s="1065"/>
      <c r="S5260" s="1065"/>
      <c r="BE5260" s="1065"/>
      <c r="BF5260" s="1065"/>
      <c r="BG5260" s="1065"/>
    </row>
    <row r="5261" spans="4:59">
      <c r="D5261" s="1065"/>
      <c r="S5261" s="1065"/>
      <c r="BE5261" s="1065"/>
      <c r="BF5261" s="1065"/>
      <c r="BG5261" s="1065"/>
    </row>
    <row r="5262" spans="4:59">
      <c r="D5262" s="1065"/>
      <c r="S5262" s="1065"/>
      <c r="BE5262" s="1065"/>
      <c r="BF5262" s="1065"/>
      <c r="BG5262" s="1065"/>
    </row>
    <row r="5263" spans="4:59">
      <c r="D5263" s="1065"/>
      <c r="S5263" s="1065"/>
      <c r="BE5263" s="1065"/>
      <c r="BF5263" s="1065"/>
      <c r="BG5263" s="1065"/>
    </row>
    <row r="5264" spans="4:59">
      <c r="D5264" s="1065"/>
      <c r="S5264" s="1065"/>
      <c r="BE5264" s="1065"/>
      <c r="BF5264" s="1065"/>
      <c r="BG5264" s="1065"/>
    </row>
    <row r="5265" spans="4:59">
      <c r="D5265" s="1065"/>
      <c r="S5265" s="1065"/>
      <c r="BE5265" s="1065"/>
      <c r="BF5265" s="1065"/>
      <c r="BG5265" s="1065"/>
    </row>
    <row r="5266" spans="4:59">
      <c r="D5266" s="1065"/>
      <c r="S5266" s="1065"/>
      <c r="BE5266" s="1065"/>
      <c r="BF5266" s="1065"/>
      <c r="BG5266" s="1065"/>
    </row>
    <row r="5267" spans="4:59">
      <c r="D5267" s="1065"/>
      <c r="S5267" s="1065"/>
      <c r="BE5267" s="1065"/>
      <c r="BF5267" s="1065"/>
      <c r="BG5267" s="1065"/>
    </row>
    <row r="5268" spans="4:59">
      <c r="D5268" s="1065"/>
      <c r="S5268" s="1065"/>
      <c r="BE5268" s="1065"/>
      <c r="BF5268" s="1065"/>
      <c r="BG5268" s="1065"/>
    </row>
    <row r="5269" spans="4:59">
      <c r="D5269" s="1065"/>
      <c r="S5269" s="1065"/>
      <c r="BE5269" s="1065"/>
      <c r="BF5269" s="1065"/>
      <c r="BG5269" s="1065"/>
    </row>
    <row r="5270" spans="4:59">
      <c r="D5270" s="1065"/>
      <c r="S5270" s="1065"/>
      <c r="BE5270" s="1065"/>
      <c r="BF5270" s="1065"/>
      <c r="BG5270" s="1065"/>
    </row>
    <row r="5271" spans="4:59">
      <c r="D5271" s="1065"/>
      <c r="S5271" s="1065"/>
      <c r="BE5271" s="1065"/>
      <c r="BF5271" s="1065"/>
      <c r="BG5271" s="1065"/>
    </row>
    <row r="5272" spans="4:59">
      <c r="D5272" s="1065"/>
      <c r="S5272" s="1065"/>
      <c r="BE5272" s="1065"/>
      <c r="BF5272" s="1065"/>
      <c r="BG5272" s="1065"/>
    </row>
    <row r="5273" spans="4:59">
      <c r="D5273" s="1065"/>
      <c r="S5273" s="1065"/>
      <c r="BE5273" s="1065"/>
      <c r="BF5273" s="1065"/>
      <c r="BG5273" s="1065"/>
    </row>
    <row r="5274" spans="4:59">
      <c r="D5274" s="1065"/>
      <c r="S5274" s="1065"/>
      <c r="BE5274" s="1065"/>
      <c r="BF5274" s="1065"/>
      <c r="BG5274" s="1065"/>
    </row>
    <row r="5275" spans="4:59">
      <c r="D5275" s="1065"/>
      <c r="S5275" s="1065"/>
      <c r="BE5275" s="1065"/>
      <c r="BF5275" s="1065"/>
      <c r="BG5275" s="1065"/>
    </row>
    <row r="5276" spans="4:59">
      <c r="D5276" s="1065"/>
      <c r="S5276" s="1065"/>
      <c r="BE5276" s="1065"/>
      <c r="BF5276" s="1065"/>
      <c r="BG5276" s="1065"/>
    </row>
    <row r="5277" spans="4:59">
      <c r="D5277" s="1065"/>
      <c r="S5277" s="1065"/>
      <c r="BE5277" s="1065"/>
      <c r="BF5277" s="1065"/>
      <c r="BG5277" s="1065"/>
    </row>
    <row r="5278" spans="4:59">
      <c r="D5278" s="1065"/>
      <c r="S5278" s="1065"/>
      <c r="BE5278" s="1065"/>
      <c r="BF5278" s="1065"/>
      <c r="BG5278" s="1065"/>
    </row>
    <row r="5279" spans="4:59">
      <c r="D5279" s="1065"/>
      <c r="S5279" s="1065"/>
      <c r="BE5279" s="1065"/>
      <c r="BF5279" s="1065"/>
      <c r="BG5279" s="1065"/>
    </row>
    <row r="5280" spans="4:59">
      <c r="D5280" s="1065"/>
      <c r="S5280" s="1065"/>
      <c r="BE5280" s="1065"/>
      <c r="BF5280" s="1065"/>
      <c r="BG5280" s="1065"/>
    </row>
    <row r="5281" spans="4:59">
      <c r="D5281" s="1065"/>
      <c r="S5281" s="1065"/>
      <c r="BE5281" s="1065"/>
      <c r="BF5281" s="1065"/>
      <c r="BG5281" s="1065"/>
    </row>
    <row r="5282" spans="4:59">
      <c r="D5282" s="1065"/>
      <c r="S5282" s="1065"/>
      <c r="BE5282" s="1065"/>
      <c r="BF5282" s="1065"/>
      <c r="BG5282" s="1065"/>
    </row>
    <row r="5283" spans="4:59">
      <c r="D5283" s="1065"/>
      <c r="S5283" s="1065"/>
      <c r="BE5283" s="1065"/>
      <c r="BF5283" s="1065"/>
      <c r="BG5283" s="1065"/>
    </row>
    <row r="5284" spans="4:59">
      <c r="D5284" s="1065"/>
      <c r="S5284" s="1065"/>
      <c r="BE5284" s="1065"/>
      <c r="BF5284" s="1065"/>
      <c r="BG5284" s="1065"/>
    </row>
    <row r="5285" spans="4:59">
      <c r="D5285" s="1065"/>
      <c r="S5285" s="1065"/>
      <c r="BE5285" s="1065"/>
      <c r="BF5285" s="1065"/>
      <c r="BG5285" s="1065"/>
    </row>
    <row r="5286" spans="4:59">
      <c r="D5286" s="1065"/>
      <c r="S5286" s="1065"/>
      <c r="BE5286" s="1065"/>
      <c r="BF5286" s="1065"/>
      <c r="BG5286" s="1065"/>
    </row>
    <row r="5287" spans="4:59">
      <c r="D5287" s="1065"/>
      <c r="S5287" s="1065"/>
      <c r="BE5287" s="1065"/>
      <c r="BF5287" s="1065"/>
      <c r="BG5287" s="1065"/>
    </row>
    <row r="5288" spans="4:59">
      <c r="D5288" s="1065"/>
      <c r="S5288" s="1065"/>
      <c r="BE5288" s="1065"/>
      <c r="BF5288" s="1065"/>
      <c r="BG5288" s="1065"/>
    </row>
    <row r="5289" spans="4:59">
      <c r="D5289" s="1065"/>
      <c r="S5289" s="1065"/>
      <c r="BE5289" s="1065"/>
      <c r="BF5289" s="1065"/>
      <c r="BG5289" s="1065"/>
    </row>
    <row r="5290" spans="4:59">
      <c r="D5290" s="1065"/>
      <c r="S5290" s="1065"/>
      <c r="BE5290" s="1065"/>
      <c r="BF5290" s="1065"/>
      <c r="BG5290" s="1065"/>
    </row>
    <row r="5291" spans="4:59">
      <c r="D5291" s="1065"/>
      <c r="S5291" s="1065"/>
      <c r="BE5291" s="1065"/>
      <c r="BF5291" s="1065"/>
      <c r="BG5291" s="1065"/>
    </row>
    <row r="5296" spans="4:59">
      <c r="D5296" s="1065"/>
      <c r="S5296" s="1065"/>
      <c r="BE5296" s="1065"/>
      <c r="BF5296" s="1065"/>
      <c r="BG5296" s="1065"/>
    </row>
    <row r="5297" spans="4:59">
      <c r="D5297" s="1065"/>
      <c r="S5297" s="1065"/>
      <c r="BE5297" s="1065"/>
      <c r="BF5297" s="1065"/>
      <c r="BG5297" s="1065"/>
    </row>
    <row r="5300" spans="4:59">
      <c r="D5300" s="1065"/>
      <c r="S5300" s="1065"/>
      <c r="BE5300" s="1065"/>
      <c r="BF5300" s="1065"/>
      <c r="BG5300" s="1065"/>
    </row>
    <row r="5301" spans="4:59">
      <c r="D5301" s="1065"/>
      <c r="S5301" s="1065"/>
      <c r="BE5301" s="1065"/>
      <c r="BF5301" s="1065"/>
      <c r="BG5301" s="1065"/>
    </row>
    <row r="5302" spans="4:59">
      <c r="D5302" s="1065"/>
      <c r="S5302" s="1065"/>
      <c r="BE5302" s="1065"/>
      <c r="BF5302" s="1065"/>
      <c r="BG5302" s="1065"/>
    </row>
    <row r="5303" spans="4:59">
      <c r="D5303" s="1065"/>
      <c r="S5303" s="1065"/>
      <c r="BE5303" s="1065"/>
      <c r="BF5303" s="1065"/>
      <c r="BG5303" s="1065"/>
    </row>
    <row r="5304" spans="4:59">
      <c r="D5304" s="1065"/>
      <c r="S5304" s="1065"/>
      <c r="BE5304" s="1065"/>
      <c r="BF5304" s="1065"/>
      <c r="BG5304" s="1065"/>
    </row>
    <row r="5305" spans="4:59">
      <c r="D5305" s="1065"/>
      <c r="S5305" s="1065"/>
      <c r="BE5305" s="1065"/>
      <c r="BF5305" s="1065"/>
      <c r="BG5305" s="1065"/>
    </row>
    <row r="5306" spans="4:59">
      <c r="D5306" s="1065"/>
      <c r="S5306" s="1065"/>
      <c r="BE5306" s="1065"/>
      <c r="BF5306" s="1065"/>
      <c r="BG5306" s="1065"/>
    </row>
    <row r="5307" spans="4:59">
      <c r="D5307" s="1065"/>
      <c r="S5307" s="1065"/>
      <c r="BE5307" s="1065"/>
      <c r="BF5307" s="1065"/>
      <c r="BG5307" s="1065"/>
    </row>
    <row r="5308" spans="4:59">
      <c r="D5308" s="1065"/>
      <c r="S5308" s="1065"/>
      <c r="BE5308" s="1065"/>
      <c r="BF5308" s="1065"/>
      <c r="BG5308" s="1065"/>
    </row>
    <row r="5309" spans="4:59">
      <c r="D5309" s="1065"/>
      <c r="S5309" s="1065"/>
      <c r="BE5309" s="1065"/>
      <c r="BF5309" s="1065"/>
      <c r="BG5309" s="1065"/>
    </row>
    <row r="5310" spans="4:59">
      <c r="D5310" s="1065"/>
      <c r="S5310" s="1065"/>
      <c r="BE5310" s="1065"/>
      <c r="BF5310" s="1065"/>
      <c r="BG5310" s="1065"/>
    </row>
    <row r="5311" spans="4:59">
      <c r="D5311" s="1065"/>
      <c r="S5311" s="1065"/>
      <c r="BE5311" s="1065"/>
      <c r="BF5311" s="1065"/>
      <c r="BG5311" s="1065"/>
    </row>
    <row r="5312" spans="4:59">
      <c r="D5312" s="1065"/>
      <c r="S5312" s="1065"/>
      <c r="BE5312" s="1065"/>
      <c r="BF5312" s="1065"/>
      <c r="BG5312" s="1065"/>
    </row>
    <row r="5313" spans="4:59">
      <c r="D5313" s="1065"/>
      <c r="S5313" s="1065"/>
      <c r="BE5313" s="1065"/>
      <c r="BF5313" s="1065"/>
      <c r="BG5313" s="1065"/>
    </row>
    <row r="5314" spans="4:59">
      <c r="D5314" s="1065"/>
      <c r="S5314" s="1065"/>
      <c r="BE5314" s="1065"/>
      <c r="BF5314" s="1065"/>
      <c r="BG5314" s="1065"/>
    </row>
    <row r="5315" spans="4:59">
      <c r="D5315" s="1065"/>
      <c r="S5315" s="1065"/>
      <c r="BE5315" s="1065"/>
      <c r="BF5315" s="1065"/>
      <c r="BG5315" s="1065"/>
    </row>
    <row r="5316" spans="4:59">
      <c r="D5316" s="1065"/>
      <c r="S5316" s="1065"/>
      <c r="BE5316" s="1065"/>
      <c r="BF5316" s="1065"/>
      <c r="BG5316" s="1065"/>
    </row>
    <row r="5317" spans="4:59">
      <c r="D5317" s="1065"/>
      <c r="S5317" s="1065"/>
      <c r="BE5317" s="1065"/>
      <c r="BF5317" s="1065"/>
      <c r="BG5317" s="1065"/>
    </row>
    <row r="5318" spans="4:59">
      <c r="D5318" s="1065"/>
      <c r="S5318" s="1065"/>
      <c r="BE5318" s="1065"/>
      <c r="BF5318" s="1065"/>
      <c r="BG5318" s="1065"/>
    </row>
    <row r="5319" spans="4:59">
      <c r="D5319" s="1065"/>
      <c r="S5319" s="1065"/>
      <c r="BE5319" s="1065"/>
      <c r="BF5319" s="1065"/>
      <c r="BG5319" s="1065"/>
    </row>
    <row r="5320" spans="4:59">
      <c r="D5320" s="1065"/>
      <c r="S5320" s="1065"/>
      <c r="BE5320" s="1065"/>
      <c r="BF5320" s="1065"/>
      <c r="BG5320" s="1065"/>
    </row>
    <row r="5321" spans="4:59">
      <c r="D5321" s="1065"/>
      <c r="S5321" s="1065"/>
      <c r="BE5321" s="1065"/>
      <c r="BF5321" s="1065"/>
      <c r="BG5321" s="1065"/>
    </row>
    <row r="5322" spans="4:59">
      <c r="D5322" s="1065"/>
      <c r="S5322" s="1065"/>
      <c r="BE5322" s="1065"/>
      <c r="BF5322" s="1065"/>
      <c r="BG5322" s="1065"/>
    </row>
    <row r="5323" spans="4:59">
      <c r="D5323" s="1065"/>
      <c r="S5323" s="1065"/>
      <c r="BE5323" s="1065"/>
      <c r="BF5323" s="1065"/>
      <c r="BG5323" s="1065"/>
    </row>
    <row r="5324" spans="4:59">
      <c r="D5324" s="1065"/>
      <c r="S5324" s="1065"/>
      <c r="BE5324" s="1065"/>
      <c r="BF5324" s="1065"/>
      <c r="BG5324" s="1065"/>
    </row>
    <row r="5325" spans="4:59">
      <c r="D5325" s="1065"/>
      <c r="S5325" s="1065"/>
      <c r="BE5325" s="1065"/>
      <c r="BF5325" s="1065"/>
      <c r="BG5325" s="1065"/>
    </row>
    <row r="5326" spans="4:59">
      <c r="D5326" s="1065"/>
      <c r="S5326" s="1065"/>
      <c r="BE5326" s="1065"/>
      <c r="BF5326" s="1065"/>
      <c r="BG5326" s="1065"/>
    </row>
    <row r="5327" spans="4:59">
      <c r="D5327" s="1065"/>
      <c r="S5327" s="1065"/>
      <c r="BE5327" s="1065"/>
      <c r="BF5327" s="1065"/>
      <c r="BG5327" s="1065"/>
    </row>
    <row r="5328" spans="4:59">
      <c r="D5328" s="1065"/>
      <c r="S5328" s="1065"/>
      <c r="BE5328" s="1065"/>
      <c r="BF5328" s="1065"/>
      <c r="BG5328" s="1065"/>
    </row>
    <row r="5329" spans="4:59">
      <c r="D5329" s="1065"/>
      <c r="S5329" s="1065"/>
      <c r="BE5329" s="1065"/>
      <c r="BF5329" s="1065"/>
      <c r="BG5329" s="1065"/>
    </row>
    <row r="5330" spans="4:59">
      <c r="D5330" s="1065"/>
      <c r="S5330" s="1065"/>
      <c r="BE5330" s="1065"/>
      <c r="BF5330" s="1065"/>
      <c r="BG5330" s="1065"/>
    </row>
    <row r="5331" spans="4:59">
      <c r="D5331" s="1065"/>
      <c r="S5331" s="1065"/>
      <c r="BE5331" s="1065"/>
      <c r="BF5331" s="1065"/>
      <c r="BG5331" s="1065"/>
    </row>
    <row r="5332" spans="4:59">
      <c r="D5332" s="1065"/>
      <c r="S5332" s="1065"/>
      <c r="BE5332" s="1065"/>
      <c r="BF5332" s="1065"/>
      <c r="BG5332" s="1065"/>
    </row>
    <row r="5333" spans="4:59">
      <c r="D5333" s="1065"/>
      <c r="S5333" s="1065"/>
      <c r="BE5333" s="1065"/>
      <c r="BF5333" s="1065"/>
      <c r="BG5333" s="1065"/>
    </row>
    <row r="5334" spans="4:59">
      <c r="D5334" s="1065"/>
      <c r="S5334" s="1065"/>
      <c r="BE5334" s="1065"/>
      <c r="BF5334" s="1065"/>
      <c r="BG5334" s="1065"/>
    </row>
    <row r="5335" spans="4:59">
      <c r="D5335" s="1065"/>
      <c r="S5335" s="1065"/>
      <c r="BE5335" s="1065"/>
      <c r="BF5335" s="1065"/>
      <c r="BG5335" s="1065"/>
    </row>
    <row r="5336" spans="4:59">
      <c r="D5336" s="1065"/>
      <c r="S5336" s="1065"/>
      <c r="BE5336" s="1065"/>
      <c r="BF5336" s="1065"/>
      <c r="BG5336" s="1065"/>
    </row>
    <row r="5337" spans="4:59">
      <c r="D5337" s="1065"/>
      <c r="S5337" s="1065"/>
      <c r="BE5337" s="1065"/>
      <c r="BF5337" s="1065"/>
      <c r="BG5337" s="1065"/>
    </row>
    <row r="5338" spans="4:59">
      <c r="D5338" s="1065"/>
      <c r="S5338" s="1065"/>
      <c r="BE5338" s="1065"/>
      <c r="BF5338" s="1065"/>
      <c r="BG5338" s="1065"/>
    </row>
    <row r="5339" spans="4:59">
      <c r="D5339" s="1065"/>
      <c r="S5339" s="1065"/>
      <c r="BE5339" s="1065"/>
      <c r="BF5339" s="1065"/>
      <c r="BG5339" s="1065"/>
    </row>
    <row r="5340" spans="4:59">
      <c r="D5340" s="1065"/>
      <c r="S5340" s="1065"/>
      <c r="BE5340" s="1065"/>
      <c r="BF5340" s="1065"/>
      <c r="BG5340" s="1065"/>
    </row>
    <row r="5341" spans="4:59">
      <c r="D5341" s="1065"/>
      <c r="S5341" s="1065"/>
      <c r="BE5341" s="1065"/>
      <c r="BF5341" s="1065"/>
      <c r="BG5341" s="1065"/>
    </row>
    <row r="5342" spans="4:59">
      <c r="D5342" s="1065"/>
      <c r="S5342" s="1065"/>
      <c r="BE5342" s="1065"/>
      <c r="BF5342" s="1065"/>
      <c r="BG5342" s="1065"/>
    </row>
    <row r="5343" spans="4:59">
      <c r="D5343" s="1065"/>
      <c r="S5343" s="1065"/>
      <c r="BE5343" s="1065"/>
      <c r="BF5343" s="1065"/>
      <c r="BG5343" s="1065"/>
    </row>
    <row r="5344" spans="4:59">
      <c r="D5344" s="1065"/>
      <c r="S5344" s="1065"/>
      <c r="BE5344" s="1065"/>
      <c r="BF5344" s="1065"/>
      <c r="BG5344" s="1065"/>
    </row>
    <row r="5345" spans="4:59">
      <c r="D5345" s="1065"/>
      <c r="S5345" s="1065"/>
      <c r="BE5345" s="1065"/>
      <c r="BF5345" s="1065"/>
      <c r="BG5345" s="1065"/>
    </row>
    <row r="5346" spans="4:59">
      <c r="D5346" s="1065"/>
      <c r="S5346" s="1065"/>
      <c r="BE5346" s="1065"/>
      <c r="BF5346" s="1065"/>
      <c r="BG5346" s="1065"/>
    </row>
    <row r="5347" spans="4:59">
      <c r="D5347" s="1065"/>
      <c r="S5347" s="1065"/>
      <c r="BE5347" s="1065"/>
      <c r="BF5347" s="1065"/>
      <c r="BG5347" s="1065"/>
    </row>
    <row r="5348" spans="4:59">
      <c r="D5348" s="1065"/>
      <c r="S5348" s="1065"/>
      <c r="BE5348" s="1065"/>
      <c r="BF5348" s="1065"/>
      <c r="BG5348" s="1065"/>
    </row>
    <row r="5349" spans="4:59">
      <c r="D5349" s="1065"/>
      <c r="S5349" s="1065"/>
      <c r="BE5349" s="1065"/>
      <c r="BF5349" s="1065"/>
      <c r="BG5349" s="1065"/>
    </row>
    <row r="5350" spans="4:59">
      <c r="D5350" s="1065"/>
      <c r="S5350" s="1065"/>
      <c r="BE5350" s="1065"/>
      <c r="BF5350" s="1065"/>
      <c r="BG5350" s="1065"/>
    </row>
    <row r="5351" spans="4:59">
      <c r="D5351" s="1065"/>
      <c r="S5351" s="1065"/>
      <c r="BE5351" s="1065"/>
      <c r="BF5351" s="1065"/>
      <c r="BG5351" s="1065"/>
    </row>
    <row r="5352" spans="4:59">
      <c r="D5352" s="1065"/>
      <c r="S5352" s="1065"/>
      <c r="BE5352" s="1065"/>
      <c r="BF5352" s="1065"/>
      <c r="BG5352" s="1065"/>
    </row>
    <row r="5353" spans="4:59">
      <c r="D5353" s="1065"/>
      <c r="S5353" s="1065"/>
      <c r="BE5353" s="1065"/>
      <c r="BF5353" s="1065"/>
      <c r="BG5353" s="1065"/>
    </row>
    <row r="5354" spans="4:59">
      <c r="D5354" s="1065"/>
      <c r="S5354" s="1065"/>
      <c r="BE5354" s="1065"/>
      <c r="BF5354" s="1065"/>
      <c r="BG5354" s="1065"/>
    </row>
    <row r="5355" spans="4:59">
      <c r="D5355" s="1065"/>
      <c r="S5355" s="1065"/>
      <c r="BE5355" s="1065"/>
      <c r="BF5355" s="1065"/>
      <c r="BG5355" s="1065"/>
    </row>
    <row r="5356" spans="4:59">
      <c r="D5356" s="1065"/>
      <c r="S5356" s="1065"/>
      <c r="BE5356" s="1065"/>
      <c r="BF5356" s="1065"/>
      <c r="BG5356" s="1065"/>
    </row>
    <row r="5357" spans="4:59">
      <c r="D5357" s="1065"/>
      <c r="S5357" s="1065"/>
      <c r="BE5357" s="1065"/>
      <c r="BF5357" s="1065"/>
      <c r="BG5357" s="1065"/>
    </row>
    <row r="5358" spans="4:59">
      <c r="D5358" s="1065"/>
      <c r="S5358" s="1065"/>
      <c r="BE5358" s="1065"/>
      <c r="BF5358" s="1065"/>
      <c r="BG5358" s="1065"/>
    </row>
    <row r="5359" spans="4:59">
      <c r="D5359" s="1065"/>
      <c r="S5359" s="1065"/>
      <c r="BE5359" s="1065"/>
      <c r="BF5359" s="1065"/>
      <c r="BG5359" s="1065"/>
    </row>
    <row r="5360" spans="4:59">
      <c r="D5360" s="1065"/>
      <c r="S5360" s="1065"/>
      <c r="BE5360" s="1065"/>
      <c r="BF5360" s="1065"/>
      <c r="BG5360" s="1065"/>
    </row>
    <row r="5361" spans="4:59">
      <c r="D5361" s="1065"/>
      <c r="S5361" s="1065"/>
      <c r="BE5361" s="1065"/>
      <c r="BF5361" s="1065"/>
      <c r="BG5361" s="1065"/>
    </row>
    <row r="5362" spans="4:59">
      <c r="D5362" s="1065"/>
      <c r="S5362" s="1065"/>
      <c r="BE5362" s="1065"/>
      <c r="BF5362" s="1065"/>
      <c r="BG5362" s="1065"/>
    </row>
    <row r="5363" spans="4:59">
      <c r="D5363" s="1065"/>
      <c r="S5363" s="1065"/>
      <c r="BE5363" s="1065"/>
      <c r="BF5363" s="1065"/>
      <c r="BG5363" s="1065"/>
    </row>
    <row r="5364" spans="4:59">
      <c r="D5364" s="1065"/>
      <c r="S5364" s="1065"/>
      <c r="BE5364" s="1065"/>
      <c r="BF5364" s="1065"/>
      <c r="BG5364" s="1065"/>
    </row>
    <row r="5365" spans="4:59">
      <c r="D5365" s="1065"/>
      <c r="S5365" s="1065"/>
      <c r="BE5365" s="1065"/>
      <c r="BF5365" s="1065"/>
      <c r="BG5365" s="1065"/>
    </row>
    <row r="5366" spans="4:59">
      <c r="D5366" s="1065"/>
      <c r="S5366" s="1065"/>
      <c r="BE5366" s="1065"/>
      <c r="BF5366" s="1065"/>
      <c r="BG5366" s="1065"/>
    </row>
    <row r="5367" spans="4:59">
      <c r="D5367" s="1065"/>
      <c r="S5367" s="1065"/>
      <c r="BE5367" s="1065"/>
      <c r="BF5367" s="1065"/>
      <c r="BG5367" s="1065"/>
    </row>
    <row r="5368" spans="4:59">
      <c r="D5368" s="1065"/>
      <c r="S5368" s="1065"/>
      <c r="BE5368" s="1065"/>
      <c r="BF5368" s="1065"/>
      <c r="BG5368" s="1065"/>
    </row>
    <row r="5369" spans="4:59">
      <c r="D5369" s="1065"/>
      <c r="S5369" s="1065"/>
      <c r="BE5369" s="1065"/>
      <c r="BF5369" s="1065"/>
      <c r="BG5369" s="1065"/>
    </row>
    <row r="5370" spans="4:59">
      <c r="D5370" s="1065"/>
      <c r="S5370" s="1065"/>
      <c r="BE5370" s="1065"/>
      <c r="BF5370" s="1065"/>
      <c r="BG5370" s="1065"/>
    </row>
    <row r="5371" spans="4:59">
      <c r="D5371" s="1065"/>
      <c r="S5371" s="1065"/>
      <c r="BE5371" s="1065"/>
      <c r="BF5371" s="1065"/>
      <c r="BG5371" s="1065"/>
    </row>
    <row r="5372" spans="4:59">
      <c r="D5372" s="1065"/>
      <c r="S5372" s="1065"/>
      <c r="BE5372" s="1065"/>
      <c r="BF5372" s="1065"/>
      <c r="BG5372" s="1065"/>
    </row>
    <row r="5373" spans="4:59">
      <c r="D5373" s="1065"/>
      <c r="S5373" s="1065"/>
      <c r="BE5373" s="1065"/>
      <c r="BF5373" s="1065"/>
      <c r="BG5373" s="1065"/>
    </row>
    <row r="5374" spans="4:59">
      <c r="D5374" s="1065"/>
      <c r="S5374" s="1065"/>
      <c r="BE5374" s="1065"/>
      <c r="BF5374" s="1065"/>
      <c r="BG5374" s="1065"/>
    </row>
    <row r="5375" spans="4:59">
      <c r="D5375" s="1065"/>
      <c r="S5375" s="1065"/>
      <c r="BE5375" s="1065"/>
      <c r="BF5375" s="1065"/>
      <c r="BG5375" s="1065"/>
    </row>
    <row r="5376" spans="4:59">
      <c r="D5376" s="1065"/>
      <c r="S5376" s="1065"/>
      <c r="BE5376" s="1065"/>
      <c r="BF5376" s="1065"/>
      <c r="BG5376" s="1065"/>
    </row>
    <row r="5377" spans="4:59">
      <c r="D5377" s="1065"/>
      <c r="S5377" s="1065"/>
      <c r="BE5377" s="1065"/>
      <c r="BF5377" s="1065"/>
      <c r="BG5377" s="1065"/>
    </row>
    <row r="5378" spans="4:59">
      <c r="D5378" s="1065"/>
      <c r="S5378" s="1065"/>
      <c r="BE5378" s="1065"/>
      <c r="BF5378" s="1065"/>
      <c r="BG5378" s="1065"/>
    </row>
    <row r="5379" spans="4:59">
      <c r="D5379" s="1065"/>
      <c r="S5379" s="1065"/>
      <c r="BE5379" s="1065"/>
      <c r="BF5379" s="1065"/>
      <c r="BG5379" s="1065"/>
    </row>
    <row r="5380" spans="4:59">
      <c r="D5380" s="1065"/>
      <c r="S5380" s="1065"/>
      <c r="BE5380" s="1065"/>
      <c r="BF5380" s="1065"/>
      <c r="BG5380" s="1065"/>
    </row>
    <row r="5381" spans="4:59">
      <c r="D5381" s="1065"/>
      <c r="S5381" s="1065"/>
      <c r="BE5381" s="1065"/>
      <c r="BF5381" s="1065"/>
      <c r="BG5381" s="1065"/>
    </row>
    <row r="5382" spans="4:59">
      <c r="D5382" s="1065"/>
      <c r="S5382" s="1065"/>
      <c r="BE5382" s="1065"/>
      <c r="BF5382" s="1065"/>
      <c r="BG5382" s="1065"/>
    </row>
    <row r="5383" spans="4:59">
      <c r="D5383" s="1065"/>
      <c r="S5383" s="1065"/>
      <c r="BE5383" s="1065"/>
      <c r="BF5383" s="1065"/>
      <c r="BG5383" s="1065"/>
    </row>
    <row r="5384" spans="4:59">
      <c r="D5384" s="1065"/>
      <c r="S5384" s="1065"/>
      <c r="BE5384" s="1065"/>
      <c r="BF5384" s="1065"/>
      <c r="BG5384" s="1065"/>
    </row>
    <row r="5385" spans="4:59">
      <c r="D5385" s="1065"/>
      <c r="S5385" s="1065"/>
      <c r="BE5385" s="1065"/>
      <c r="BF5385" s="1065"/>
      <c r="BG5385" s="1065"/>
    </row>
    <row r="5386" spans="4:59">
      <c r="D5386" s="1065"/>
      <c r="S5386" s="1065"/>
      <c r="BE5386" s="1065"/>
      <c r="BF5386" s="1065"/>
      <c r="BG5386" s="1065"/>
    </row>
    <row r="5387" spans="4:59">
      <c r="D5387" s="1065"/>
      <c r="S5387" s="1065"/>
      <c r="BE5387" s="1065"/>
      <c r="BF5387" s="1065"/>
      <c r="BG5387" s="1065"/>
    </row>
    <row r="5388" spans="4:59">
      <c r="D5388" s="1065"/>
      <c r="S5388" s="1065"/>
      <c r="BE5388" s="1065"/>
      <c r="BF5388" s="1065"/>
      <c r="BG5388" s="1065"/>
    </row>
    <row r="5389" spans="4:59">
      <c r="D5389" s="1065"/>
      <c r="S5389" s="1065"/>
      <c r="BE5389" s="1065"/>
      <c r="BF5389" s="1065"/>
      <c r="BG5389" s="1065"/>
    </row>
    <row r="5390" spans="4:59">
      <c r="D5390" s="1065"/>
      <c r="S5390" s="1065"/>
      <c r="BE5390" s="1065"/>
      <c r="BF5390" s="1065"/>
      <c r="BG5390" s="1065"/>
    </row>
    <row r="5391" spans="4:59">
      <c r="D5391" s="1065"/>
      <c r="S5391" s="1065"/>
      <c r="BE5391" s="1065"/>
      <c r="BF5391" s="1065"/>
      <c r="BG5391" s="1065"/>
    </row>
    <row r="5392" spans="4:59">
      <c r="D5392" s="1065"/>
      <c r="S5392" s="1065"/>
      <c r="BE5392" s="1065"/>
      <c r="BF5392" s="1065"/>
      <c r="BG5392" s="1065"/>
    </row>
    <row r="5393" spans="4:59">
      <c r="D5393" s="1065"/>
      <c r="S5393" s="1065"/>
      <c r="BE5393" s="1065"/>
      <c r="BF5393" s="1065"/>
      <c r="BG5393" s="1065"/>
    </row>
    <row r="5394" spans="4:59">
      <c r="D5394" s="1065"/>
      <c r="S5394" s="1065"/>
      <c r="BE5394" s="1065"/>
      <c r="BF5394" s="1065"/>
      <c r="BG5394" s="1065"/>
    </row>
    <row r="5395" spans="4:59">
      <c r="D5395" s="1065"/>
      <c r="S5395" s="1065"/>
      <c r="BE5395" s="1065"/>
      <c r="BF5395" s="1065"/>
      <c r="BG5395" s="1065"/>
    </row>
    <row r="5396" spans="4:59">
      <c r="D5396" s="1065"/>
      <c r="S5396" s="1065"/>
      <c r="BE5396" s="1065"/>
      <c r="BF5396" s="1065"/>
      <c r="BG5396" s="1065"/>
    </row>
    <row r="5397" spans="4:59">
      <c r="D5397" s="1065"/>
      <c r="S5397" s="1065"/>
      <c r="BE5397" s="1065"/>
      <c r="BF5397" s="1065"/>
      <c r="BG5397" s="1065"/>
    </row>
    <row r="5398" spans="4:59">
      <c r="D5398" s="1065"/>
      <c r="S5398" s="1065"/>
      <c r="BE5398" s="1065"/>
      <c r="BF5398" s="1065"/>
      <c r="BG5398" s="1065"/>
    </row>
    <row r="5399" spans="4:59">
      <c r="D5399" s="1065"/>
      <c r="S5399" s="1065"/>
      <c r="BE5399" s="1065"/>
      <c r="BF5399" s="1065"/>
      <c r="BG5399" s="1065"/>
    </row>
    <row r="5400" spans="4:59">
      <c r="D5400" s="1065"/>
      <c r="S5400" s="1065"/>
      <c r="BE5400" s="1065"/>
      <c r="BF5400" s="1065"/>
      <c r="BG5400" s="1065"/>
    </row>
    <row r="5401" spans="4:59">
      <c r="D5401" s="1065"/>
      <c r="S5401" s="1065"/>
      <c r="BE5401" s="1065"/>
      <c r="BF5401" s="1065"/>
      <c r="BG5401" s="1065"/>
    </row>
    <row r="5402" spans="4:59">
      <c r="D5402" s="1065"/>
      <c r="S5402" s="1065"/>
      <c r="BE5402" s="1065"/>
      <c r="BF5402" s="1065"/>
      <c r="BG5402" s="1065"/>
    </row>
    <row r="5403" spans="4:59">
      <c r="D5403" s="1065"/>
      <c r="S5403" s="1065"/>
      <c r="BE5403" s="1065"/>
      <c r="BF5403" s="1065"/>
      <c r="BG5403" s="1065"/>
    </row>
    <row r="5404" spans="4:59">
      <c r="D5404" s="1065"/>
      <c r="S5404" s="1065"/>
      <c r="BE5404" s="1065"/>
      <c r="BF5404" s="1065"/>
      <c r="BG5404" s="1065"/>
    </row>
    <row r="5405" spans="4:59">
      <c r="D5405" s="1065"/>
      <c r="S5405" s="1065"/>
      <c r="BE5405" s="1065"/>
      <c r="BF5405" s="1065"/>
      <c r="BG5405" s="1065"/>
    </row>
    <row r="5406" spans="4:59">
      <c r="D5406" s="1065"/>
      <c r="S5406" s="1065"/>
      <c r="BE5406" s="1065"/>
      <c r="BF5406" s="1065"/>
      <c r="BG5406" s="1065"/>
    </row>
    <row r="5407" spans="4:59">
      <c r="D5407" s="1065"/>
      <c r="S5407" s="1065"/>
      <c r="BE5407" s="1065"/>
      <c r="BF5407" s="1065"/>
      <c r="BG5407" s="1065"/>
    </row>
    <row r="5408" spans="4:59">
      <c r="D5408" s="1065"/>
      <c r="S5408" s="1065"/>
      <c r="BE5408" s="1065"/>
      <c r="BF5408" s="1065"/>
      <c r="BG5408" s="1065"/>
    </row>
    <row r="5409" spans="4:59">
      <c r="D5409" s="1065"/>
      <c r="S5409" s="1065"/>
      <c r="BE5409" s="1065"/>
      <c r="BF5409" s="1065"/>
      <c r="BG5409" s="1065"/>
    </row>
    <row r="5410" spans="4:59">
      <c r="D5410" s="1065"/>
      <c r="S5410" s="1065"/>
      <c r="BE5410" s="1065"/>
      <c r="BF5410" s="1065"/>
      <c r="BG5410" s="1065"/>
    </row>
    <row r="5411" spans="4:59">
      <c r="D5411" s="1065"/>
      <c r="S5411" s="1065"/>
      <c r="BE5411" s="1065"/>
      <c r="BF5411" s="1065"/>
      <c r="BG5411" s="1065"/>
    </row>
    <row r="5412" spans="4:59">
      <c r="D5412" s="1065"/>
      <c r="S5412" s="1065"/>
      <c r="BE5412" s="1065"/>
      <c r="BF5412" s="1065"/>
      <c r="BG5412" s="1065"/>
    </row>
    <row r="5413" spans="4:59">
      <c r="D5413" s="1065"/>
      <c r="S5413" s="1065"/>
      <c r="BE5413" s="1065"/>
      <c r="BF5413" s="1065"/>
      <c r="BG5413" s="1065"/>
    </row>
    <row r="5414" spans="4:59">
      <c r="D5414" s="1065"/>
      <c r="S5414" s="1065"/>
      <c r="BE5414" s="1065"/>
      <c r="BF5414" s="1065"/>
      <c r="BG5414" s="1065"/>
    </row>
    <row r="5415" spans="4:59">
      <c r="D5415" s="1065"/>
      <c r="S5415" s="1065"/>
      <c r="BE5415" s="1065"/>
      <c r="BF5415" s="1065"/>
      <c r="BG5415" s="1065"/>
    </row>
    <row r="5416" spans="4:59">
      <c r="D5416" s="1065"/>
      <c r="S5416" s="1065"/>
      <c r="BE5416" s="1065"/>
      <c r="BF5416" s="1065"/>
      <c r="BG5416" s="1065"/>
    </row>
    <row r="5417" spans="4:59">
      <c r="D5417" s="1065"/>
      <c r="S5417" s="1065"/>
      <c r="BE5417" s="1065"/>
      <c r="BF5417" s="1065"/>
      <c r="BG5417" s="1065"/>
    </row>
    <row r="5418" spans="4:59">
      <c r="D5418" s="1065"/>
      <c r="S5418" s="1065"/>
      <c r="BE5418" s="1065"/>
      <c r="BF5418" s="1065"/>
      <c r="BG5418" s="1065"/>
    </row>
    <row r="5419" spans="4:59">
      <c r="D5419" s="1065"/>
      <c r="S5419" s="1065"/>
      <c r="BE5419" s="1065"/>
      <c r="BF5419" s="1065"/>
      <c r="BG5419" s="1065"/>
    </row>
    <row r="5420" spans="4:59">
      <c r="D5420" s="1065"/>
      <c r="S5420" s="1065"/>
      <c r="BE5420" s="1065"/>
      <c r="BF5420" s="1065"/>
      <c r="BG5420" s="1065"/>
    </row>
    <row r="5421" spans="4:59">
      <c r="D5421" s="1065"/>
      <c r="S5421" s="1065"/>
      <c r="BE5421" s="1065"/>
      <c r="BF5421" s="1065"/>
      <c r="BG5421" s="1065"/>
    </row>
    <row r="5422" spans="4:59">
      <c r="D5422" s="1065"/>
      <c r="S5422" s="1065"/>
      <c r="BE5422" s="1065"/>
      <c r="BF5422" s="1065"/>
      <c r="BG5422" s="1065"/>
    </row>
    <row r="5423" spans="4:59">
      <c r="D5423" s="1065"/>
      <c r="S5423" s="1065"/>
      <c r="BE5423" s="1065"/>
      <c r="BF5423" s="1065"/>
      <c r="BG5423" s="1065"/>
    </row>
    <row r="5424" spans="4:59">
      <c r="D5424" s="1065"/>
      <c r="S5424" s="1065"/>
      <c r="BE5424" s="1065"/>
      <c r="BF5424" s="1065"/>
      <c r="BG5424" s="1065"/>
    </row>
    <row r="5425" spans="4:59">
      <c r="D5425" s="1065"/>
      <c r="S5425" s="1065"/>
      <c r="BE5425" s="1065"/>
      <c r="BF5425" s="1065"/>
      <c r="BG5425" s="1065"/>
    </row>
    <row r="5426" spans="4:59">
      <c r="D5426" s="1065"/>
      <c r="S5426" s="1065"/>
      <c r="BE5426" s="1065"/>
      <c r="BF5426" s="1065"/>
      <c r="BG5426" s="1065"/>
    </row>
    <row r="5427" spans="4:59">
      <c r="D5427" s="1065"/>
      <c r="S5427" s="1065"/>
      <c r="BE5427" s="1065"/>
      <c r="BF5427" s="1065"/>
      <c r="BG5427" s="1065"/>
    </row>
    <row r="5428" spans="4:59">
      <c r="D5428" s="1065"/>
      <c r="S5428" s="1065"/>
      <c r="BE5428" s="1065"/>
      <c r="BF5428" s="1065"/>
      <c r="BG5428" s="1065"/>
    </row>
    <row r="5429" spans="4:59">
      <c r="D5429" s="1065"/>
      <c r="S5429" s="1065"/>
      <c r="BE5429" s="1065"/>
      <c r="BF5429" s="1065"/>
      <c r="BG5429" s="1065"/>
    </row>
    <row r="5430" spans="4:59">
      <c r="D5430" s="1065"/>
      <c r="S5430" s="1065"/>
      <c r="BE5430" s="1065"/>
      <c r="BF5430" s="1065"/>
      <c r="BG5430" s="1065"/>
    </row>
    <row r="5431" spans="4:59">
      <c r="D5431" s="1065"/>
      <c r="S5431" s="1065"/>
      <c r="BE5431" s="1065"/>
      <c r="BF5431" s="1065"/>
      <c r="BG5431" s="1065"/>
    </row>
    <row r="5432" spans="4:59">
      <c r="D5432" s="1065"/>
      <c r="S5432" s="1065"/>
      <c r="BE5432" s="1065"/>
      <c r="BF5432" s="1065"/>
      <c r="BG5432" s="1065"/>
    </row>
    <row r="5433" spans="4:59">
      <c r="D5433" s="1065"/>
      <c r="S5433" s="1065"/>
      <c r="BE5433" s="1065"/>
      <c r="BF5433" s="1065"/>
      <c r="BG5433" s="1065"/>
    </row>
    <row r="5434" spans="4:59">
      <c r="D5434" s="1065"/>
      <c r="S5434" s="1065"/>
      <c r="BE5434" s="1065"/>
      <c r="BF5434" s="1065"/>
      <c r="BG5434" s="1065"/>
    </row>
    <row r="5435" spans="4:59">
      <c r="D5435" s="1065"/>
      <c r="S5435" s="1065"/>
      <c r="BE5435" s="1065"/>
      <c r="BF5435" s="1065"/>
      <c r="BG5435" s="1065"/>
    </row>
    <row r="5436" spans="4:59">
      <c r="D5436" s="1065"/>
      <c r="S5436" s="1065"/>
      <c r="BE5436" s="1065"/>
      <c r="BF5436" s="1065"/>
      <c r="BG5436" s="1065"/>
    </row>
    <row r="5437" spans="4:59">
      <c r="D5437" s="1065"/>
      <c r="S5437" s="1065"/>
      <c r="BE5437" s="1065"/>
      <c r="BF5437" s="1065"/>
      <c r="BG5437" s="1065"/>
    </row>
    <row r="5438" spans="4:59">
      <c r="D5438" s="1065"/>
      <c r="S5438" s="1065"/>
      <c r="BE5438" s="1065"/>
      <c r="BF5438" s="1065"/>
      <c r="BG5438" s="1065"/>
    </row>
    <row r="5439" spans="4:59">
      <c r="D5439" s="1065"/>
      <c r="S5439" s="1065"/>
      <c r="BE5439" s="1065"/>
      <c r="BF5439" s="1065"/>
      <c r="BG5439" s="1065"/>
    </row>
    <row r="5440" spans="4:59">
      <c r="D5440" s="1065"/>
      <c r="S5440" s="1065"/>
      <c r="BE5440" s="1065"/>
      <c r="BF5440" s="1065"/>
      <c r="BG5440" s="1065"/>
    </row>
    <row r="5441" spans="4:59">
      <c r="D5441" s="1065"/>
      <c r="S5441" s="1065"/>
      <c r="BE5441" s="1065"/>
      <c r="BF5441" s="1065"/>
      <c r="BG5441" s="1065"/>
    </row>
    <row r="5442" spans="4:59">
      <c r="D5442" s="1065"/>
      <c r="S5442" s="1065"/>
      <c r="BE5442" s="1065"/>
      <c r="BF5442" s="1065"/>
      <c r="BG5442" s="1065"/>
    </row>
    <row r="5443" spans="4:59">
      <c r="D5443" s="1065"/>
      <c r="S5443" s="1065"/>
      <c r="BE5443" s="1065"/>
      <c r="BF5443" s="1065"/>
      <c r="BG5443" s="1065"/>
    </row>
    <row r="5444" spans="4:59">
      <c r="D5444" s="1065"/>
      <c r="S5444" s="1065"/>
      <c r="BE5444" s="1065"/>
      <c r="BF5444" s="1065"/>
      <c r="BG5444" s="1065"/>
    </row>
    <row r="5445" spans="4:59">
      <c r="D5445" s="1065"/>
      <c r="S5445" s="1065"/>
      <c r="BE5445" s="1065"/>
      <c r="BF5445" s="1065"/>
      <c r="BG5445" s="1065"/>
    </row>
    <row r="5446" spans="4:59">
      <c r="D5446" s="1065"/>
      <c r="S5446" s="1065"/>
      <c r="BE5446" s="1065"/>
      <c r="BF5446" s="1065"/>
      <c r="BG5446" s="1065"/>
    </row>
    <row r="5447" spans="4:59">
      <c r="D5447" s="1065"/>
      <c r="S5447" s="1065"/>
      <c r="BE5447" s="1065"/>
      <c r="BF5447" s="1065"/>
      <c r="BG5447" s="1065"/>
    </row>
    <row r="5448" spans="4:59">
      <c r="D5448" s="1065"/>
      <c r="S5448" s="1065"/>
      <c r="BE5448" s="1065"/>
      <c r="BF5448" s="1065"/>
      <c r="BG5448" s="1065"/>
    </row>
    <row r="5449" spans="4:59">
      <c r="D5449" s="1065"/>
      <c r="S5449" s="1065"/>
      <c r="BE5449" s="1065"/>
      <c r="BF5449" s="1065"/>
      <c r="BG5449" s="1065"/>
    </row>
    <row r="5450" spans="4:59">
      <c r="D5450" s="1065"/>
      <c r="S5450" s="1065"/>
      <c r="BE5450" s="1065"/>
      <c r="BF5450" s="1065"/>
      <c r="BG5450" s="1065"/>
    </row>
    <row r="5451" spans="4:59">
      <c r="D5451" s="1065"/>
      <c r="S5451" s="1065"/>
      <c r="BE5451" s="1065"/>
      <c r="BF5451" s="1065"/>
      <c r="BG5451" s="1065"/>
    </row>
    <row r="5452" spans="4:59">
      <c r="D5452" s="1065"/>
      <c r="S5452" s="1065"/>
      <c r="BE5452" s="1065"/>
      <c r="BF5452" s="1065"/>
      <c r="BG5452" s="1065"/>
    </row>
    <row r="5453" spans="4:59">
      <c r="D5453" s="1065"/>
      <c r="S5453" s="1065"/>
      <c r="BE5453" s="1065"/>
      <c r="BF5453" s="1065"/>
      <c r="BG5453" s="1065"/>
    </row>
    <row r="5454" spans="4:59">
      <c r="D5454" s="1065"/>
      <c r="S5454" s="1065"/>
      <c r="BE5454" s="1065"/>
      <c r="BF5454" s="1065"/>
      <c r="BG5454" s="1065"/>
    </row>
    <row r="5455" spans="4:59">
      <c r="D5455" s="1065"/>
      <c r="S5455" s="1065"/>
      <c r="BE5455" s="1065"/>
      <c r="BF5455" s="1065"/>
      <c r="BG5455" s="1065"/>
    </row>
    <row r="5456" spans="4:59">
      <c r="D5456" s="1065"/>
      <c r="S5456" s="1065"/>
      <c r="BE5456" s="1065"/>
      <c r="BF5456" s="1065"/>
      <c r="BG5456" s="1065"/>
    </row>
    <row r="5457" spans="4:59">
      <c r="D5457" s="1065"/>
      <c r="S5457" s="1065"/>
      <c r="BE5457" s="1065"/>
      <c r="BF5457" s="1065"/>
      <c r="BG5457" s="1065"/>
    </row>
    <row r="5458" spans="4:59">
      <c r="D5458" s="1065"/>
      <c r="S5458" s="1065"/>
      <c r="BE5458" s="1065"/>
      <c r="BF5458" s="1065"/>
      <c r="BG5458" s="1065"/>
    </row>
    <row r="5459" spans="4:59">
      <c r="D5459" s="1065"/>
      <c r="S5459" s="1065"/>
      <c r="BE5459" s="1065"/>
      <c r="BF5459" s="1065"/>
      <c r="BG5459" s="1065"/>
    </row>
    <row r="5460" spans="4:59">
      <c r="D5460" s="1065"/>
      <c r="S5460" s="1065"/>
      <c r="BE5460" s="1065"/>
      <c r="BF5460" s="1065"/>
      <c r="BG5460" s="1065"/>
    </row>
    <row r="5461" spans="4:59">
      <c r="D5461" s="1065"/>
      <c r="S5461" s="1065"/>
      <c r="BE5461" s="1065"/>
      <c r="BF5461" s="1065"/>
      <c r="BG5461" s="1065"/>
    </row>
    <row r="5462" spans="4:59">
      <c r="D5462" s="1065"/>
      <c r="S5462" s="1065"/>
      <c r="BE5462" s="1065"/>
      <c r="BF5462" s="1065"/>
      <c r="BG5462" s="1065"/>
    </row>
    <row r="5463" spans="4:59">
      <c r="D5463" s="1065"/>
      <c r="S5463" s="1065"/>
      <c r="BE5463" s="1065"/>
      <c r="BF5463" s="1065"/>
      <c r="BG5463" s="1065"/>
    </row>
    <row r="5464" spans="4:59">
      <c r="D5464" s="1065"/>
      <c r="S5464" s="1065"/>
      <c r="BE5464" s="1065"/>
      <c r="BF5464" s="1065"/>
      <c r="BG5464" s="1065"/>
    </row>
    <row r="5465" spans="4:59">
      <c r="D5465" s="1065"/>
      <c r="S5465" s="1065"/>
      <c r="BE5465" s="1065"/>
      <c r="BF5465" s="1065"/>
      <c r="BG5465" s="1065"/>
    </row>
    <row r="5466" spans="4:59">
      <c r="D5466" s="1065"/>
      <c r="S5466" s="1065"/>
      <c r="BE5466" s="1065"/>
      <c r="BF5466" s="1065"/>
      <c r="BG5466" s="1065"/>
    </row>
    <row r="5467" spans="4:59">
      <c r="D5467" s="1065"/>
      <c r="S5467" s="1065"/>
      <c r="BE5467" s="1065"/>
      <c r="BF5467" s="1065"/>
      <c r="BG5467" s="1065"/>
    </row>
    <row r="5468" spans="4:59">
      <c r="D5468" s="1065"/>
      <c r="S5468" s="1065"/>
      <c r="BE5468" s="1065"/>
      <c r="BF5468" s="1065"/>
      <c r="BG5468" s="1065"/>
    </row>
    <row r="5469" spans="4:59">
      <c r="D5469" s="1065"/>
      <c r="S5469" s="1065"/>
      <c r="BE5469" s="1065"/>
      <c r="BF5469" s="1065"/>
      <c r="BG5469" s="1065"/>
    </row>
    <row r="5470" spans="4:59">
      <c r="D5470" s="1065"/>
      <c r="S5470" s="1065"/>
      <c r="BE5470" s="1065"/>
      <c r="BF5470" s="1065"/>
      <c r="BG5470" s="1065"/>
    </row>
    <row r="5471" spans="4:59">
      <c r="D5471" s="1065"/>
      <c r="S5471" s="1065"/>
      <c r="BE5471" s="1065"/>
      <c r="BF5471" s="1065"/>
      <c r="BG5471" s="1065"/>
    </row>
    <row r="5472" spans="4:59">
      <c r="D5472" s="1065"/>
      <c r="S5472" s="1065"/>
      <c r="BE5472" s="1065"/>
      <c r="BF5472" s="1065"/>
      <c r="BG5472" s="1065"/>
    </row>
    <row r="5473" spans="4:59">
      <c r="D5473" s="1065"/>
      <c r="S5473" s="1065"/>
      <c r="BE5473" s="1065"/>
      <c r="BF5473" s="1065"/>
      <c r="BG5473" s="1065"/>
    </row>
    <row r="5474" spans="4:59">
      <c r="D5474" s="1065"/>
      <c r="S5474" s="1065"/>
      <c r="BE5474" s="1065"/>
      <c r="BF5474" s="1065"/>
      <c r="BG5474" s="1065"/>
    </row>
    <row r="5475" spans="4:59">
      <c r="D5475" s="1065"/>
      <c r="S5475" s="1065"/>
      <c r="BE5475" s="1065"/>
      <c r="BF5475" s="1065"/>
      <c r="BG5475" s="1065"/>
    </row>
    <row r="5476" spans="4:59">
      <c r="D5476" s="1065"/>
      <c r="S5476" s="1065"/>
      <c r="BE5476" s="1065"/>
      <c r="BF5476" s="1065"/>
      <c r="BG5476" s="1065"/>
    </row>
    <row r="5477" spans="4:59">
      <c r="D5477" s="1065"/>
      <c r="S5477" s="1065"/>
      <c r="BE5477" s="1065"/>
      <c r="BF5477" s="1065"/>
      <c r="BG5477" s="1065"/>
    </row>
    <row r="5478" spans="4:59">
      <c r="D5478" s="1065"/>
      <c r="S5478" s="1065"/>
      <c r="BE5478" s="1065"/>
      <c r="BF5478" s="1065"/>
      <c r="BG5478" s="1065"/>
    </row>
    <row r="5479" spans="4:59">
      <c r="D5479" s="1065"/>
      <c r="S5479" s="1065"/>
      <c r="BE5479" s="1065"/>
      <c r="BF5479" s="1065"/>
      <c r="BG5479" s="1065"/>
    </row>
    <row r="5480" spans="4:59">
      <c r="D5480" s="1065"/>
      <c r="S5480" s="1065"/>
      <c r="BE5480" s="1065"/>
      <c r="BF5480" s="1065"/>
      <c r="BG5480" s="1065"/>
    </row>
    <row r="5481" spans="4:59">
      <c r="D5481" s="1065"/>
      <c r="S5481" s="1065"/>
      <c r="BE5481" s="1065"/>
      <c r="BF5481" s="1065"/>
      <c r="BG5481" s="1065"/>
    </row>
    <row r="5482" spans="4:59">
      <c r="D5482" s="1065"/>
      <c r="S5482" s="1065"/>
      <c r="BE5482" s="1065"/>
      <c r="BF5482" s="1065"/>
      <c r="BG5482" s="1065"/>
    </row>
    <row r="5483" spans="4:59">
      <c r="D5483" s="1065"/>
      <c r="S5483" s="1065"/>
      <c r="BE5483" s="1065"/>
      <c r="BF5483" s="1065"/>
      <c r="BG5483" s="1065"/>
    </row>
    <row r="5484" spans="4:59">
      <c r="D5484" s="1065"/>
      <c r="S5484" s="1065"/>
      <c r="BE5484" s="1065"/>
      <c r="BF5484" s="1065"/>
      <c r="BG5484" s="1065"/>
    </row>
    <row r="5485" spans="4:59">
      <c r="D5485" s="1065"/>
      <c r="S5485" s="1065"/>
      <c r="BE5485" s="1065"/>
      <c r="BF5485" s="1065"/>
      <c r="BG5485" s="1065"/>
    </row>
    <row r="5486" spans="4:59">
      <c r="D5486" s="1065"/>
      <c r="S5486" s="1065"/>
      <c r="BE5486" s="1065"/>
      <c r="BF5486" s="1065"/>
      <c r="BG5486" s="1065"/>
    </row>
    <row r="5487" spans="4:59">
      <c r="D5487" s="1065"/>
      <c r="S5487" s="1065"/>
      <c r="BE5487" s="1065"/>
      <c r="BF5487" s="1065"/>
      <c r="BG5487" s="1065"/>
    </row>
    <row r="5488" spans="4:59">
      <c r="D5488" s="1065"/>
      <c r="S5488" s="1065"/>
      <c r="BE5488" s="1065"/>
      <c r="BF5488" s="1065"/>
      <c r="BG5488" s="1065"/>
    </row>
    <row r="5489" spans="4:59">
      <c r="D5489" s="1065"/>
      <c r="S5489" s="1065"/>
      <c r="BE5489" s="1065"/>
      <c r="BF5489" s="1065"/>
      <c r="BG5489" s="1065"/>
    </row>
    <row r="5490" spans="4:59">
      <c r="D5490" s="1065"/>
      <c r="S5490" s="1065"/>
      <c r="BE5490" s="1065"/>
      <c r="BF5490" s="1065"/>
      <c r="BG5490" s="1065"/>
    </row>
    <row r="5491" spans="4:59">
      <c r="D5491" s="1065"/>
      <c r="S5491" s="1065"/>
      <c r="BE5491" s="1065"/>
      <c r="BF5491" s="1065"/>
      <c r="BG5491" s="1065"/>
    </row>
    <row r="5492" spans="4:59">
      <c r="D5492" s="1065"/>
      <c r="S5492" s="1065"/>
      <c r="BE5492" s="1065"/>
      <c r="BF5492" s="1065"/>
      <c r="BG5492" s="1065"/>
    </row>
    <row r="5493" spans="4:59">
      <c r="D5493" s="1065"/>
      <c r="S5493" s="1065"/>
      <c r="BE5493" s="1065"/>
      <c r="BF5493" s="1065"/>
      <c r="BG5493" s="1065"/>
    </row>
    <row r="5494" spans="4:59">
      <c r="D5494" s="1065"/>
      <c r="S5494" s="1065"/>
      <c r="BE5494" s="1065"/>
      <c r="BF5494" s="1065"/>
      <c r="BG5494" s="1065"/>
    </row>
    <row r="5495" spans="4:59">
      <c r="D5495" s="1065"/>
      <c r="S5495" s="1065"/>
      <c r="BE5495" s="1065"/>
      <c r="BF5495" s="1065"/>
      <c r="BG5495" s="1065"/>
    </row>
    <row r="5496" spans="4:59">
      <c r="D5496" s="1065"/>
      <c r="S5496" s="1065"/>
      <c r="BE5496" s="1065"/>
      <c r="BF5496" s="1065"/>
      <c r="BG5496" s="1065"/>
    </row>
    <row r="5497" spans="4:59">
      <c r="D5497" s="1065"/>
      <c r="S5497" s="1065"/>
      <c r="BE5497" s="1065"/>
      <c r="BF5497" s="1065"/>
      <c r="BG5497" s="1065"/>
    </row>
    <row r="5498" spans="4:59">
      <c r="D5498" s="1065"/>
      <c r="S5498" s="1065"/>
      <c r="BE5498" s="1065"/>
      <c r="BF5498" s="1065"/>
      <c r="BG5498" s="1065"/>
    </row>
    <row r="5499" spans="4:59">
      <c r="D5499" s="1065"/>
      <c r="S5499" s="1065"/>
      <c r="BE5499" s="1065"/>
      <c r="BF5499" s="1065"/>
      <c r="BG5499" s="1065"/>
    </row>
    <row r="5500" spans="4:59">
      <c r="D5500" s="1065"/>
      <c r="S5500" s="1065"/>
      <c r="BE5500" s="1065"/>
      <c r="BF5500" s="1065"/>
      <c r="BG5500" s="1065"/>
    </row>
    <row r="5501" spans="4:59">
      <c r="D5501" s="1065"/>
      <c r="S5501" s="1065"/>
      <c r="BE5501" s="1065"/>
      <c r="BF5501" s="1065"/>
      <c r="BG5501" s="1065"/>
    </row>
    <row r="5502" spans="4:59">
      <c r="D5502" s="1065"/>
      <c r="S5502" s="1065"/>
      <c r="BE5502" s="1065"/>
      <c r="BF5502" s="1065"/>
      <c r="BG5502" s="1065"/>
    </row>
    <row r="5503" spans="4:59">
      <c r="D5503" s="1065"/>
      <c r="S5503" s="1065"/>
      <c r="BE5503" s="1065"/>
      <c r="BF5503" s="1065"/>
      <c r="BG5503" s="1065"/>
    </row>
    <row r="5504" spans="4:59">
      <c r="D5504" s="1065"/>
      <c r="S5504" s="1065"/>
      <c r="BE5504" s="1065"/>
      <c r="BF5504" s="1065"/>
      <c r="BG5504" s="1065"/>
    </row>
    <row r="5505" spans="4:59">
      <c r="D5505" s="1065"/>
      <c r="S5505" s="1065"/>
      <c r="BE5505" s="1065"/>
      <c r="BF5505" s="1065"/>
      <c r="BG5505" s="1065"/>
    </row>
    <row r="5506" spans="4:59">
      <c r="D5506" s="1065"/>
      <c r="S5506" s="1065"/>
      <c r="BE5506" s="1065"/>
      <c r="BF5506" s="1065"/>
      <c r="BG5506" s="1065"/>
    </row>
    <row r="5507" spans="4:59">
      <c r="D5507" s="1065"/>
      <c r="S5507" s="1065"/>
      <c r="BE5507" s="1065"/>
      <c r="BF5507" s="1065"/>
      <c r="BG5507" s="1065"/>
    </row>
    <row r="5508" spans="4:59">
      <c r="D5508" s="1065"/>
      <c r="S5508" s="1065"/>
      <c r="BE5508" s="1065"/>
      <c r="BF5508" s="1065"/>
      <c r="BG5508" s="1065"/>
    </row>
    <row r="5509" spans="4:59">
      <c r="D5509" s="1065"/>
      <c r="S5509" s="1065"/>
      <c r="BE5509" s="1065"/>
      <c r="BF5509" s="1065"/>
      <c r="BG5509" s="1065"/>
    </row>
    <row r="5510" spans="4:59">
      <c r="D5510" s="1065"/>
      <c r="S5510" s="1065"/>
      <c r="BE5510" s="1065"/>
      <c r="BF5510" s="1065"/>
      <c r="BG5510" s="1065"/>
    </row>
    <row r="5511" spans="4:59">
      <c r="D5511" s="1065"/>
      <c r="S5511" s="1065"/>
      <c r="BE5511" s="1065"/>
      <c r="BF5511" s="1065"/>
      <c r="BG5511" s="1065"/>
    </row>
    <row r="5512" spans="4:59">
      <c r="D5512" s="1065"/>
      <c r="S5512" s="1065"/>
      <c r="BE5512" s="1065"/>
      <c r="BF5512" s="1065"/>
      <c r="BG5512" s="1065"/>
    </row>
    <row r="5513" spans="4:59">
      <c r="D5513" s="1065"/>
      <c r="S5513" s="1065"/>
      <c r="BE5513" s="1065"/>
      <c r="BF5513" s="1065"/>
      <c r="BG5513" s="1065"/>
    </row>
    <row r="5514" spans="4:59">
      <c r="D5514" s="1065"/>
      <c r="S5514" s="1065"/>
      <c r="BE5514" s="1065"/>
      <c r="BF5514" s="1065"/>
      <c r="BG5514" s="1065"/>
    </row>
    <row r="5515" spans="4:59">
      <c r="D5515" s="1065"/>
      <c r="S5515" s="1065"/>
      <c r="BE5515" s="1065"/>
      <c r="BF5515" s="1065"/>
      <c r="BG5515" s="1065"/>
    </row>
    <row r="5516" spans="4:59">
      <c r="D5516" s="1065"/>
      <c r="S5516" s="1065"/>
      <c r="BE5516" s="1065"/>
      <c r="BF5516" s="1065"/>
      <c r="BG5516" s="1065"/>
    </row>
    <row r="5517" spans="4:59">
      <c r="D5517" s="1065"/>
      <c r="S5517" s="1065"/>
      <c r="BE5517" s="1065"/>
      <c r="BF5517" s="1065"/>
      <c r="BG5517" s="1065"/>
    </row>
    <row r="5518" spans="4:59">
      <c r="D5518" s="1065"/>
      <c r="S5518" s="1065"/>
      <c r="BE5518" s="1065"/>
      <c r="BF5518" s="1065"/>
      <c r="BG5518" s="1065"/>
    </row>
    <row r="5519" spans="4:59">
      <c r="D5519" s="1065"/>
      <c r="S5519" s="1065"/>
      <c r="BE5519" s="1065"/>
      <c r="BF5519" s="1065"/>
      <c r="BG5519" s="1065"/>
    </row>
    <row r="5520" spans="4:59">
      <c r="D5520" s="1065"/>
      <c r="S5520" s="1065"/>
      <c r="BE5520" s="1065"/>
      <c r="BF5520" s="1065"/>
      <c r="BG5520" s="1065"/>
    </row>
    <row r="5521" spans="4:59">
      <c r="D5521" s="1065"/>
      <c r="S5521" s="1065"/>
      <c r="BE5521" s="1065"/>
      <c r="BF5521" s="1065"/>
      <c r="BG5521" s="1065"/>
    </row>
    <row r="5522" spans="4:59">
      <c r="D5522" s="1065"/>
      <c r="S5522" s="1065"/>
      <c r="BE5522" s="1065"/>
      <c r="BF5522" s="1065"/>
      <c r="BG5522" s="1065"/>
    </row>
    <row r="5523" spans="4:59">
      <c r="D5523" s="1065"/>
      <c r="S5523" s="1065"/>
      <c r="BE5523" s="1065"/>
      <c r="BF5523" s="1065"/>
      <c r="BG5523" s="1065"/>
    </row>
    <row r="5524" spans="4:59">
      <c r="D5524" s="1065"/>
      <c r="S5524" s="1065"/>
      <c r="BE5524" s="1065"/>
      <c r="BF5524" s="1065"/>
      <c r="BG5524" s="1065"/>
    </row>
    <row r="5525" spans="4:59">
      <c r="D5525" s="1065"/>
      <c r="S5525" s="1065"/>
      <c r="BE5525" s="1065"/>
      <c r="BF5525" s="1065"/>
      <c r="BG5525" s="1065"/>
    </row>
    <row r="5526" spans="4:59">
      <c r="D5526" s="1065"/>
      <c r="S5526" s="1065"/>
      <c r="BE5526" s="1065"/>
      <c r="BF5526" s="1065"/>
      <c r="BG5526" s="1065"/>
    </row>
    <row r="5527" spans="4:59">
      <c r="D5527" s="1065"/>
      <c r="S5527" s="1065"/>
      <c r="BE5527" s="1065"/>
      <c r="BF5527" s="1065"/>
      <c r="BG5527" s="1065"/>
    </row>
    <row r="5528" spans="4:59">
      <c r="D5528" s="1065"/>
      <c r="S5528" s="1065"/>
      <c r="BE5528" s="1065"/>
      <c r="BF5528" s="1065"/>
      <c r="BG5528" s="1065"/>
    </row>
    <row r="5529" spans="4:59">
      <c r="D5529" s="1065"/>
      <c r="S5529" s="1065"/>
      <c r="BE5529" s="1065"/>
      <c r="BF5529" s="1065"/>
      <c r="BG5529" s="1065"/>
    </row>
    <row r="5530" spans="4:59">
      <c r="D5530" s="1065"/>
      <c r="S5530" s="1065"/>
      <c r="BE5530" s="1065"/>
      <c r="BF5530" s="1065"/>
      <c r="BG5530" s="1065"/>
    </row>
    <row r="5531" spans="4:59">
      <c r="D5531" s="1065"/>
      <c r="S5531" s="1065"/>
      <c r="BE5531" s="1065"/>
      <c r="BF5531" s="1065"/>
      <c r="BG5531" s="1065"/>
    </row>
    <row r="5532" spans="4:59">
      <c r="D5532" s="1065"/>
      <c r="S5532" s="1065"/>
      <c r="BE5532" s="1065"/>
      <c r="BF5532" s="1065"/>
      <c r="BG5532" s="1065"/>
    </row>
    <row r="5533" spans="4:59">
      <c r="D5533" s="1065"/>
      <c r="S5533" s="1065"/>
      <c r="BE5533" s="1065"/>
      <c r="BF5533" s="1065"/>
      <c r="BG5533" s="1065"/>
    </row>
    <row r="5534" spans="4:59">
      <c r="D5534" s="1065"/>
      <c r="S5534" s="1065"/>
      <c r="BE5534" s="1065"/>
      <c r="BF5534" s="1065"/>
      <c r="BG5534" s="1065"/>
    </row>
    <row r="5535" spans="4:59">
      <c r="D5535" s="1065"/>
      <c r="S5535" s="1065"/>
      <c r="BE5535" s="1065"/>
      <c r="BF5535" s="1065"/>
      <c r="BG5535" s="1065"/>
    </row>
    <row r="5536" spans="4:59">
      <c r="D5536" s="1065"/>
      <c r="S5536" s="1065"/>
      <c r="BE5536" s="1065"/>
      <c r="BF5536" s="1065"/>
      <c r="BG5536" s="1065"/>
    </row>
    <row r="5537" spans="4:59">
      <c r="D5537" s="1065"/>
      <c r="S5537" s="1065"/>
      <c r="BE5537" s="1065"/>
      <c r="BF5537" s="1065"/>
      <c r="BG5537" s="1065"/>
    </row>
    <row r="5538" spans="4:59">
      <c r="D5538" s="1065"/>
      <c r="S5538" s="1065"/>
      <c r="BE5538" s="1065"/>
      <c r="BF5538" s="1065"/>
      <c r="BG5538" s="1065"/>
    </row>
    <row r="5539" spans="4:59">
      <c r="D5539" s="1065"/>
      <c r="S5539" s="1065"/>
      <c r="BE5539" s="1065"/>
      <c r="BF5539" s="1065"/>
      <c r="BG5539" s="1065"/>
    </row>
    <row r="5540" spans="4:59">
      <c r="D5540" s="1065"/>
      <c r="S5540" s="1065"/>
      <c r="BE5540" s="1065"/>
      <c r="BF5540" s="1065"/>
      <c r="BG5540" s="1065"/>
    </row>
    <row r="5541" spans="4:59">
      <c r="D5541" s="1065"/>
      <c r="S5541" s="1065"/>
      <c r="BE5541" s="1065"/>
      <c r="BF5541" s="1065"/>
      <c r="BG5541" s="1065"/>
    </row>
    <row r="5542" spans="4:59">
      <c r="D5542" s="1065"/>
      <c r="S5542" s="1065"/>
      <c r="BE5542" s="1065"/>
      <c r="BF5542" s="1065"/>
      <c r="BG5542" s="1065"/>
    </row>
    <row r="5543" spans="4:59">
      <c r="D5543" s="1065"/>
      <c r="S5543" s="1065"/>
      <c r="BE5543" s="1065"/>
      <c r="BF5543" s="1065"/>
      <c r="BG5543" s="1065"/>
    </row>
    <row r="5544" spans="4:59">
      <c r="D5544" s="1065"/>
      <c r="S5544" s="1065"/>
      <c r="BE5544" s="1065"/>
      <c r="BF5544" s="1065"/>
      <c r="BG5544" s="1065"/>
    </row>
    <row r="5545" spans="4:59">
      <c r="D5545" s="1065"/>
      <c r="S5545" s="1065"/>
      <c r="BE5545" s="1065"/>
      <c r="BF5545" s="1065"/>
      <c r="BG5545" s="1065"/>
    </row>
    <row r="5546" spans="4:59">
      <c r="D5546" s="1065"/>
      <c r="S5546" s="1065"/>
      <c r="BE5546" s="1065"/>
      <c r="BF5546" s="1065"/>
      <c r="BG5546" s="1065"/>
    </row>
    <row r="5547" spans="4:59">
      <c r="D5547" s="1065"/>
      <c r="S5547" s="1065"/>
      <c r="BE5547" s="1065"/>
      <c r="BF5547" s="1065"/>
      <c r="BG5547" s="1065"/>
    </row>
    <row r="5548" spans="4:59">
      <c r="D5548" s="1065"/>
      <c r="S5548" s="1065"/>
      <c r="BE5548" s="1065"/>
      <c r="BF5548" s="1065"/>
      <c r="BG5548" s="1065"/>
    </row>
    <row r="5549" spans="4:59">
      <c r="D5549" s="1065"/>
      <c r="S5549" s="1065"/>
      <c r="BE5549" s="1065"/>
      <c r="BF5549" s="1065"/>
      <c r="BG5549" s="1065"/>
    </row>
    <row r="5550" spans="4:59">
      <c r="D5550" s="1065"/>
      <c r="S5550" s="1065"/>
      <c r="BE5550" s="1065"/>
      <c r="BF5550" s="1065"/>
      <c r="BG5550" s="1065"/>
    </row>
    <row r="5551" spans="4:59">
      <c r="D5551" s="1065"/>
      <c r="S5551" s="1065"/>
      <c r="BE5551" s="1065"/>
      <c r="BF5551" s="1065"/>
      <c r="BG5551" s="1065"/>
    </row>
    <row r="5552" spans="4:59">
      <c r="D5552" s="1065"/>
      <c r="S5552" s="1065"/>
      <c r="BE5552" s="1065"/>
      <c r="BF5552" s="1065"/>
      <c r="BG5552" s="1065"/>
    </row>
    <row r="5553" spans="4:59">
      <c r="D5553" s="1065"/>
      <c r="S5553" s="1065"/>
      <c r="BE5553" s="1065"/>
      <c r="BF5553" s="1065"/>
      <c r="BG5553" s="1065"/>
    </row>
    <row r="5554" spans="4:59">
      <c r="D5554" s="1065"/>
      <c r="S5554" s="1065"/>
      <c r="BE5554" s="1065"/>
      <c r="BF5554" s="1065"/>
      <c r="BG5554" s="1065"/>
    </row>
    <row r="5555" spans="4:59">
      <c r="D5555" s="1065"/>
      <c r="S5555" s="1065"/>
      <c r="BE5555" s="1065"/>
      <c r="BF5555" s="1065"/>
      <c r="BG5555" s="1065"/>
    </row>
    <row r="5556" spans="4:59">
      <c r="D5556" s="1065"/>
      <c r="S5556" s="1065"/>
      <c r="BE5556" s="1065"/>
      <c r="BF5556" s="1065"/>
      <c r="BG5556" s="1065"/>
    </row>
    <row r="5557" spans="4:59">
      <c r="D5557" s="1065"/>
      <c r="S5557" s="1065"/>
      <c r="BE5557" s="1065"/>
      <c r="BF5557" s="1065"/>
      <c r="BG5557" s="1065"/>
    </row>
    <row r="5558" spans="4:59">
      <c r="D5558" s="1065"/>
      <c r="S5558" s="1065"/>
      <c r="BE5558" s="1065"/>
      <c r="BF5558" s="1065"/>
      <c r="BG5558" s="1065"/>
    </row>
    <row r="5559" spans="4:59">
      <c r="D5559" s="1065"/>
      <c r="S5559" s="1065"/>
      <c r="BE5559" s="1065"/>
      <c r="BF5559" s="1065"/>
      <c r="BG5559" s="1065"/>
    </row>
    <row r="5560" spans="4:59">
      <c r="D5560" s="1065"/>
      <c r="S5560" s="1065"/>
      <c r="BE5560" s="1065"/>
      <c r="BF5560" s="1065"/>
      <c r="BG5560" s="1065"/>
    </row>
    <row r="5561" spans="4:59">
      <c r="D5561" s="1065"/>
      <c r="S5561" s="1065"/>
      <c r="BE5561" s="1065"/>
      <c r="BF5561" s="1065"/>
      <c r="BG5561" s="1065"/>
    </row>
    <row r="5562" spans="4:59">
      <c r="D5562" s="1065"/>
      <c r="S5562" s="1065"/>
      <c r="BE5562" s="1065"/>
      <c r="BF5562" s="1065"/>
      <c r="BG5562" s="1065"/>
    </row>
    <row r="5563" spans="4:59">
      <c r="D5563" s="1065"/>
      <c r="S5563" s="1065"/>
      <c r="BE5563" s="1065"/>
      <c r="BF5563" s="1065"/>
      <c r="BG5563" s="1065"/>
    </row>
    <row r="5568" spans="4:59">
      <c r="D5568" s="1065"/>
      <c r="S5568" s="1065"/>
      <c r="BE5568" s="1065"/>
      <c r="BF5568" s="1065"/>
      <c r="BG5568" s="1065"/>
    </row>
    <row r="5569" spans="4:59">
      <c r="D5569" s="1065"/>
      <c r="S5569" s="1065"/>
      <c r="BE5569" s="1065"/>
      <c r="BF5569" s="1065"/>
      <c r="BG5569" s="1065"/>
    </row>
    <row r="5572" spans="4:59">
      <c r="D5572" s="1065"/>
      <c r="S5572" s="1065"/>
      <c r="BE5572" s="1065"/>
      <c r="BF5572" s="1065"/>
      <c r="BG5572" s="1065"/>
    </row>
    <row r="5573" spans="4:59">
      <c r="D5573" s="1065"/>
      <c r="S5573" s="1065"/>
      <c r="BE5573" s="1065"/>
      <c r="BF5573" s="1065"/>
      <c r="BG5573" s="1065"/>
    </row>
    <row r="5574" spans="4:59">
      <c r="D5574" s="1065"/>
      <c r="S5574" s="1065"/>
      <c r="BE5574" s="1065"/>
      <c r="BF5574" s="1065"/>
      <c r="BG5574" s="1065"/>
    </row>
    <row r="5575" spans="4:59">
      <c r="D5575" s="1065"/>
      <c r="S5575" s="1065"/>
      <c r="BE5575" s="1065"/>
      <c r="BF5575" s="1065"/>
      <c r="BG5575" s="1065"/>
    </row>
    <row r="5576" spans="4:59">
      <c r="D5576" s="1065"/>
      <c r="S5576" s="1065"/>
      <c r="BE5576" s="1065"/>
      <c r="BF5576" s="1065"/>
      <c r="BG5576" s="1065"/>
    </row>
    <row r="5577" spans="4:59">
      <c r="D5577" s="1065"/>
      <c r="S5577" s="1065"/>
      <c r="BE5577" s="1065"/>
      <c r="BF5577" s="1065"/>
      <c r="BG5577" s="1065"/>
    </row>
    <row r="5578" spans="4:59">
      <c r="D5578" s="1065"/>
      <c r="S5578" s="1065"/>
      <c r="BE5578" s="1065"/>
      <c r="BF5578" s="1065"/>
      <c r="BG5578" s="1065"/>
    </row>
    <row r="5579" spans="4:59">
      <c r="D5579" s="1065"/>
      <c r="S5579" s="1065"/>
      <c r="BE5579" s="1065"/>
      <c r="BF5579" s="1065"/>
      <c r="BG5579" s="1065"/>
    </row>
    <row r="5580" spans="4:59">
      <c r="D5580" s="1065"/>
      <c r="S5580" s="1065"/>
      <c r="BE5580" s="1065"/>
      <c r="BF5580" s="1065"/>
      <c r="BG5580" s="1065"/>
    </row>
    <row r="5581" spans="4:59">
      <c r="D5581" s="1065"/>
      <c r="S5581" s="1065"/>
      <c r="BE5581" s="1065"/>
      <c r="BF5581" s="1065"/>
      <c r="BG5581" s="1065"/>
    </row>
    <row r="5582" spans="4:59">
      <c r="D5582" s="1065"/>
      <c r="S5582" s="1065"/>
      <c r="BE5582" s="1065"/>
      <c r="BF5582" s="1065"/>
      <c r="BG5582" s="1065"/>
    </row>
    <row r="5583" spans="4:59">
      <c r="D5583" s="1065"/>
      <c r="S5583" s="1065"/>
      <c r="BE5583" s="1065"/>
      <c r="BF5583" s="1065"/>
      <c r="BG5583" s="1065"/>
    </row>
    <row r="5584" spans="4:59">
      <c r="D5584" s="1065"/>
      <c r="S5584" s="1065"/>
      <c r="BE5584" s="1065"/>
      <c r="BF5584" s="1065"/>
      <c r="BG5584" s="1065"/>
    </row>
    <row r="5585" spans="4:59">
      <c r="D5585" s="1065"/>
      <c r="S5585" s="1065"/>
      <c r="BE5585" s="1065"/>
      <c r="BF5585" s="1065"/>
      <c r="BG5585" s="1065"/>
    </row>
    <row r="5586" spans="4:59">
      <c r="D5586" s="1065"/>
      <c r="S5586" s="1065"/>
      <c r="BE5586" s="1065"/>
      <c r="BF5586" s="1065"/>
      <c r="BG5586" s="1065"/>
    </row>
    <row r="5587" spans="4:59">
      <c r="D5587" s="1065"/>
      <c r="S5587" s="1065"/>
      <c r="BE5587" s="1065"/>
      <c r="BF5587" s="1065"/>
      <c r="BG5587" s="1065"/>
    </row>
    <row r="5588" spans="4:59">
      <c r="D5588" s="1065"/>
      <c r="S5588" s="1065"/>
      <c r="BE5588" s="1065"/>
      <c r="BF5588" s="1065"/>
      <c r="BG5588" s="1065"/>
    </row>
    <row r="5589" spans="4:59">
      <c r="D5589" s="1065"/>
      <c r="S5589" s="1065"/>
      <c r="BE5589" s="1065"/>
      <c r="BF5589" s="1065"/>
      <c r="BG5589" s="1065"/>
    </row>
    <row r="5590" spans="4:59">
      <c r="D5590" s="1065"/>
      <c r="S5590" s="1065"/>
      <c r="BE5590" s="1065"/>
      <c r="BF5590" s="1065"/>
      <c r="BG5590" s="1065"/>
    </row>
    <row r="5591" spans="4:59">
      <c r="D5591" s="1065"/>
      <c r="S5591" s="1065"/>
      <c r="BE5591" s="1065"/>
      <c r="BF5591" s="1065"/>
      <c r="BG5591" s="1065"/>
    </row>
    <row r="5592" spans="4:59">
      <c r="D5592" s="1065"/>
      <c r="S5592" s="1065"/>
      <c r="BE5592" s="1065"/>
      <c r="BF5592" s="1065"/>
      <c r="BG5592" s="1065"/>
    </row>
    <row r="5593" spans="4:59">
      <c r="D5593" s="1065"/>
      <c r="S5593" s="1065"/>
      <c r="BE5593" s="1065"/>
      <c r="BF5593" s="1065"/>
      <c r="BG5593" s="1065"/>
    </row>
    <row r="5594" spans="4:59">
      <c r="D5594" s="1065"/>
      <c r="S5594" s="1065"/>
      <c r="BE5594" s="1065"/>
      <c r="BF5594" s="1065"/>
      <c r="BG5594" s="1065"/>
    </row>
    <row r="5595" spans="4:59">
      <c r="D5595" s="1065"/>
      <c r="S5595" s="1065"/>
      <c r="BE5595" s="1065"/>
      <c r="BF5595" s="1065"/>
      <c r="BG5595" s="1065"/>
    </row>
    <row r="5596" spans="4:59">
      <c r="D5596" s="1065"/>
      <c r="S5596" s="1065"/>
      <c r="BE5596" s="1065"/>
      <c r="BF5596" s="1065"/>
      <c r="BG5596" s="1065"/>
    </row>
    <row r="5597" spans="4:59">
      <c r="D5597" s="1065"/>
      <c r="S5597" s="1065"/>
      <c r="BE5597" s="1065"/>
      <c r="BF5597" s="1065"/>
      <c r="BG5597" s="1065"/>
    </row>
    <row r="5598" spans="4:59">
      <c r="D5598" s="1065"/>
      <c r="S5598" s="1065"/>
      <c r="BE5598" s="1065"/>
      <c r="BF5598" s="1065"/>
      <c r="BG5598" s="1065"/>
    </row>
    <row r="5599" spans="4:59">
      <c r="D5599" s="1065"/>
      <c r="S5599" s="1065"/>
      <c r="BE5599" s="1065"/>
      <c r="BF5599" s="1065"/>
      <c r="BG5599" s="1065"/>
    </row>
    <row r="5600" spans="4:59">
      <c r="D5600" s="1065"/>
      <c r="S5600" s="1065"/>
      <c r="BE5600" s="1065"/>
      <c r="BF5600" s="1065"/>
      <c r="BG5600" s="1065"/>
    </row>
    <row r="5601" spans="4:59">
      <c r="D5601" s="1065"/>
      <c r="S5601" s="1065"/>
      <c r="BE5601" s="1065"/>
      <c r="BF5601" s="1065"/>
      <c r="BG5601" s="1065"/>
    </row>
    <row r="5602" spans="4:59">
      <c r="D5602" s="1065"/>
      <c r="S5602" s="1065"/>
      <c r="BE5602" s="1065"/>
      <c r="BF5602" s="1065"/>
      <c r="BG5602" s="1065"/>
    </row>
    <row r="5603" spans="4:59">
      <c r="D5603" s="1065"/>
      <c r="S5603" s="1065"/>
      <c r="BE5603" s="1065"/>
      <c r="BF5603" s="1065"/>
      <c r="BG5603" s="1065"/>
    </row>
    <row r="5604" spans="4:59">
      <c r="D5604" s="1065"/>
      <c r="S5604" s="1065"/>
      <c r="BE5604" s="1065"/>
      <c r="BF5604" s="1065"/>
      <c r="BG5604" s="1065"/>
    </row>
    <row r="5605" spans="4:59">
      <c r="D5605" s="1065"/>
      <c r="S5605" s="1065"/>
      <c r="BE5605" s="1065"/>
      <c r="BF5605" s="1065"/>
      <c r="BG5605" s="1065"/>
    </row>
    <row r="5606" spans="4:59">
      <c r="D5606" s="1065"/>
      <c r="S5606" s="1065"/>
      <c r="BE5606" s="1065"/>
      <c r="BF5606" s="1065"/>
      <c r="BG5606" s="1065"/>
    </row>
    <row r="5607" spans="4:59">
      <c r="D5607" s="1065"/>
      <c r="S5607" s="1065"/>
      <c r="BE5607" s="1065"/>
      <c r="BF5607" s="1065"/>
      <c r="BG5607" s="1065"/>
    </row>
    <row r="5608" spans="4:59">
      <c r="D5608" s="1065"/>
      <c r="S5608" s="1065"/>
      <c r="BE5608" s="1065"/>
      <c r="BF5608" s="1065"/>
      <c r="BG5608" s="1065"/>
    </row>
    <row r="5609" spans="4:59">
      <c r="D5609" s="1065"/>
      <c r="S5609" s="1065"/>
      <c r="BE5609" s="1065"/>
      <c r="BF5609" s="1065"/>
      <c r="BG5609" s="1065"/>
    </row>
    <row r="5610" spans="4:59">
      <c r="D5610" s="1065"/>
      <c r="S5610" s="1065"/>
      <c r="BE5610" s="1065"/>
      <c r="BF5610" s="1065"/>
      <c r="BG5610" s="1065"/>
    </row>
    <row r="5611" spans="4:59">
      <c r="D5611" s="1065"/>
      <c r="S5611" s="1065"/>
      <c r="BE5611" s="1065"/>
      <c r="BF5611" s="1065"/>
      <c r="BG5611" s="1065"/>
    </row>
    <row r="5612" spans="4:59">
      <c r="D5612" s="1065"/>
      <c r="S5612" s="1065"/>
      <c r="BE5612" s="1065"/>
      <c r="BF5612" s="1065"/>
      <c r="BG5612" s="1065"/>
    </row>
    <row r="5613" spans="4:59">
      <c r="D5613" s="1065"/>
      <c r="S5613" s="1065"/>
      <c r="BE5613" s="1065"/>
      <c r="BF5613" s="1065"/>
      <c r="BG5613" s="1065"/>
    </row>
    <row r="5614" spans="4:59">
      <c r="D5614" s="1065"/>
      <c r="S5614" s="1065"/>
      <c r="BE5614" s="1065"/>
      <c r="BF5614" s="1065"/>
      <c r="BG5614" s="1065"/>
    </row>
    <row r="5615" spans="4:59">
      <c r="D5615" s="1065"/>
      <c r="S5615" s="1065"/>
      <c r="BE5615" s="1065"/>
      <c r="BF5615" s="1065"/>
      <c r="BG5615" s="1065"/>
    </row>
    <row r="5616" spans="4:59">
      <c r="D5616" s="1065"/>
      <c r="S5616" s="1065"/>
      <c r="BE5616" s="1065"/>
      <c r="BF5616" s="1065"/>
      <c r="BG5616" s="1065"/>
    </row>
    <row r="5617" spans="4:59">
      <c r="D5617" s="1065"/>
      <c r="S5617" s="1065"/>
      <c r="BE5617" s="1065"/>
      <c r="BF5617" s="1065"/>
      <c r="BG5617" s="1065"/>
    </row>
    <row r="5618" spans="4:59">
      <c r="D5618" s="1065"/>
      <c r="S5618" s="1065"/>
      <c r="BE5618" s="1065"/>
      <c r="BF5618" s="1065"/>
      <c r="BG5618" s="1065"/>
    </row>
    <row r="5619" spans="4:59">
      <c r="D5619" s="1065"/>
      <c r="S5619" s="1065"/>
      <c r="BE5619" s="1065"/>
      <c r="BF5619" s="1065"/>
      <c r="BG5619" s="1065"/>
    </row>
    <row r="5620" spans="4:59">
      <c r="D5620" s="1065"/>
      <c r="S5620" s="1065"/>
      <c r="BE5620" s="1065"/>
      <c r="BF5620" s="1065"/>
      <c r="BG5620" s="1065"/>
    </row>
    <row r="5621" spans="4:59">
      <c r="D5621" s="1065"/>
      <c r="S5621" s="1065"/>
      <c r="BE5621" s="1065"/>
      <c r="BF5621" s="1065"/>
      <c r="BG5621" s="1065"/>
    </row>
    <row r="5622" spans="4:59">
      <c r="D5622" s="1065"/>
      <c r="S5622" s="1065"/>
      <c r="BE5622" s="1065"/>
      <c r="BF5622" s="1065"/>
      <c r="BG5622" s="1065"/>
    </row>
    <row r="5623" spans="4:59">
      <c r="D5623" s="1065"/>
      <c r="S5623" s="1065"/>
      <c r="BE5623" s="1065"/>
      <c r="BF5623" s="1065"/>
      <c r="BG5623" s="1065"/>
    </row>
    <row r="5624" spans="4:59">
      <c r="D5624" s="1065"/>
      <c r="S5624" s="1065"/>
      <c r="BE5624" s="1065"/>
      <c r="BF5624" s="1065"/>
      <c r="BG5624" s="1065"/>
    </row>
    <row r="5625" spans="4:59">
      <c r="D5625" s="1065"/>
      <c r="S5625" s="1065"/>
      <c r="BE5625" s="1065"/>
      <c r="BF5625" s="1065"/>
      <c r="BG5625" s="1065"/>
    </row>
    <row r="5626" spans="4:59">
      <c r="D5626" s="1065"/>
      <c r="S5626" s="1065"/>
      <c r="BE5626" s="1065"/>
      <c r="BF5626" s="1065"/>
      <c r="BG5626" s="1065"/>
    </row>
    <row r="5627" spans="4:59">
      <c r="D5627" s="1065"/>
      <c r="S5627" s="1065"/>
      <c r="BE5627" s="1065"/>
      <c r="BF5627" s="1065"/>
      <c r="BG5627" s="1065"/>
    </row>
    <row r="5628" spans="4:59">
      <c r="D5628" s="1065"/>
      <c r="S5628" s="1065"/>
      <c r="BE5628" s="1065"/>
      <c r="BF5628" s="1065"/>
      <c r="BG5628" s="1065"/>
    </row>
    <row r="5629" spans="4:59">
      <c r="D5629" s="1065"/>
      <c r="S5629" s="1065"/>
      <c r="BE5629" s="1065"/>
      <c r="BF5629" s="1065"/>
      <c r="BG5629" s="1065"/>
    </row>
    <row r="5632" spans="4:59">
      <c r="D5632" s="1065"/>
      <c r="S5632" s="1065"/>
      <c r="BE5632" s="1065"/>
      <c r="BF5632" s="1065"/>
      <c r="BG5632" s="1065"/>
    </row>
    <row r="5633" spans="4:59">
      <c r="D5633" s="1065"/>
      <c r="S5633" s="1065"/>
      <c r="BE5633" s="1065"/>
      <c r="BF5633" s="1065"/>
      <c r="BG5633" s="1065"/>
    </row>
    <row r="5638" spans="4:59">
      <c r="D5638" s="1065"/>
      <c r="S5638" s="1065"/>
      <c r="BE5638" s="1065"/>
      <c r="BF5638" s="1065"/>
      <c r="BG5638" s="1065"/>
    </row>
    <row r="5639" spans="4:59">
      <c r="D5639" s="1065"/>
      <c r="S5639" s="1065"/>
      <c r="BE5639" s="1065"/>
      <c r="BF5639" s="1065"/>
      <c r="BG5639" s="1065"/>
    </row>
    <row r="5640" spans="4:59">
      <c r="D5640" s="1065"/>
      <c r="S5640" s="1065"/>
      <c r="BE5640" s="1065"/>
      <c r="BF5640" s="1065"/>
      <c r="BG5640" s="1065"/>
    </row>
    <row r="5641" spans="4:59">
      <c r="D5641" s="1065"/>
      <c r="S5641" s="1065"/>
      <c r="BE5641" s="1065"/>
      <c r="BF5641" s="1065"/>
      <c r="BG5641" s="1065"/>
    </row>
    <row r="5642" spans="4:59">
      <c r="D5642" s="1065"/>
      <c r="S5642" s="1065"/>
      <c r="BE5642" s="1065"/>
      <c r="BF5642" s="1065"/>
      <c r="BG5642" s="1065"/>
    </row>
    <row r="5643" spans="4:59">
      <c r="D5643" s="1065"/>
      <c r="S5643" s="1065"/>
      <c r="BE5643" s="1065"/>
      <c r="BF5643" s="1065"/>
      <c r="BG5643" s="1065"/>
    </row>
    <row r="5644" spans="4:59">
      <c r="D5644" s="1065"/>
      <c r="S5644" s="1065"/>
      <c r="BE5644" s="1065"/>
      <c r="BF5644" s="1065"/>
      <c r="BG5644" s="1065"/>
    </row>
    <row r="5645" spans="4:59">
      <c r="D5645" s="1065"/>
      <c r="S5645" s="1065"/>
      <c r="BE5645" s="1065"/>
      <c r="BF5645" s="1065"/>
      <c r="BG5645" s="1065"/>
    </row>
    <row r="5646" spans="4:59">
      <c r="D5646" s="1065"/>
      <c r="S5646" s="1065"/>
      <c r="BE5646" s="1065"/>
      <c r="BF5646" s="1065"/>
      <c r="BG5646" s="1065"/>
    </row>
    <row r="5647" spans="4:59">
      <c r="D5647" s="1065"/>
      <c r="S5647" s="1065"/>
      <c r="BE5647" s="1065"/>
      <c r="BF5647" s="1065"/>
      <c r="BG5647" s="1065"/>
    </row>
    <row r="5648" spans="4:59">
      <c r="D5648" s="1065"/>
      <c r="S5648" s="1065"/>
      <c r="BE5648" s="1065"/>
      <c r="BF5648" s="1065"/>
      <c r="BG5648" s="1065"/>
    </row>
    <row r="5649" spans="4:59">
      <c r="D5649" s="1065"/>
      <c r="S5649" s="1065"/>
      <c r="BE5649" s="1065"/>
      <c r="BF5649" s="1065"/>
      <c r="BG5649" s="1065"/>
    </row>
    <row r="5650" spans="4:59">
      <c r="D5650" s="1065"/>
      <c r="S5650" s="1065"/>
      <c r="BE5650" s="1065"/>
      <c r="BF5650" s="1065"/>
      <c r="BG5650" s="1065"/>
    </row>
    <row r="5651" spans="4:59">
      <c r="D5651" s="1065"/>
      <c r="S5651" s="1065"/>
      <c r="BE5651" s="1065"/>
      <c r="BF5651" s="1065"/>
      <c r="BG5651" s="1065"/>
    </row>
    <row r="5652" spans="4:59">
      <c r="D5652" s="1065"/>
      <c r="S5652" s="1065"/>
      <c r="BE5652" s="1065"/>
      <c r="BF5652" s="1065"/>
      <c r="BG5652" s="1065"/>
    </row>
    <row r="5653" spans="4:59">
      <c r="D5653" s="1065"/>
      <c r="S5653" s="1065"/>
      <c r="BE5653" s="1065"/>
      <c r="BF5653" s="1065"/>
      <c r="BG5653" s="1065"/>
    </row>
    <row r="5654" spans="4:59">
      <c r="D5654" s="1065"/>
      <c r="S5654" s="1065"/>
      <c r="BE5654" s="1065"/>
      <c r="BF5654" s="1065"/>
      <c r="BG5654" s="1065"/>
    </row>
    <row r="5655" spans="4:59">
      <c r="D5655" s="1065"/>
      <c r="S5655" s="1065"/>
      <c r="BE5655" s="1065"/>
      <c r="BF5655" s="1065"/>
      <c r="BG5655" s="1065"/>
    </row>
    <row r="5656" spans="4:59">
      <c r="D5656" s="1065"/>
      <c r="S5656" s="1065"/>
      <c r="BE5656" s="1065"/>
      <c r="BF5656" s="1065"/>
      <c r="BG5656" s="1065"/>
    </row>
    <row r="5657" spans="4:59">
      <c r="D5657" s="1065"/>
      <c r="S5657" s="1065"/>
      <c r="BE5657" s="1065"/>
      <c r="BF5657" s="1065"/>
      <c r="BG5657" s="1065"/>
    </row>
    <row r="5658" spans="4:59">
      <c r="D5658" s="1065"/>
      <c r="S5658" s="1065"/>
      <c r="BE5658" s="1065"/>
      <c r="BF5658" s="1065"/>
      <c r="BG5658" s="1065"/>
    </row>
    <row r="5659" spans="4:59">
      <c r="D5659" s="1065"/>
      <c r="S5659" s="1065"/>
      <c r="BE5659" s="1065"/>
      <c r="BF5659" s="1065"/>
      <c r="BG5659" s="1065"/>
    </row>
    <row r="5660" spans="4:59">
      <c r="D5660" s="1065"/>
      <c r="S5660" s="1065"/>
      <c r="BE5660" s="1065"/>
      <c r="BF5660" s="1065"/>
      <c r="BG5660" s="1065"/>
    </row>
    <row r="5661" spans="4:59">
      <c r="D5661" s="1065"/>
      <c r="S5661" s="1065"/>
      <c r="BE5661" s="1065"/>
      <c r="BF5661" s="1065"/>
      <c r="BG5661" s="1065"/>
    </row>
    <row r="5662" spans="4:59">
      <c r="D5662" s="1065"/>
      <c r="S5662" s="1065"/>
      <c r="BE5662" s="1065"/>
      <c r="BF5662" s="1065"/>
      <c r="BG5662" s="1065"/>
    </row>
    <row r="5663" spans="4:59">
      <c r="D5663" s="1065"/>
      <c r="S5663" s="1065"/>
      <c r="BE5663" s="1065"/>
      <c r="BF5663" s="1065"/>
      <c r="BG5663" s="1065"/>
    </row>
    <row r="5664" spans="4:59">
      <c r="D5664" s="1065"/>
      <c r="S5664" s="1065"/>
      <c r="BE5664" s="1065"/>
      <c r="BF5664" s="1065"/>
      <c r="BG5664" s="1065"/>
    </row>
    <row r="5665" spans="4:59">
      <c r="D5665" s="1065"/>
      <c r="S5665" s="1065"/>
      <c r="BE5665" s="1065"/>
      <c r="BF5665" s="1065"/>
      <c r="BG5665" s="1065"/>
    </row>
    <row r="5666" spans="4:59">
      <c r="D5666" s="1065"/>
      <c r="S5666" s="1065"/>
      <c r="BE5666" s="1065"/>
      <c r="BF5666" s="1065"/>
      <c r="BG5666" s="1065"/>
    </row>
    <row r="5667" spans="4:59">
      <c r="D5667" s="1065"/>
      <c r="S5667" s="1065"/>
      <c r="BE5667" s="1065"/>
      <c r="BF5667" s="1065"/>
      <c r="BG5667" s="1065"/>
    </row>
    <row r="5668" spans="4:59">
      <c r="D5668" s="1065"/>
      <c r="S5668" s="1065"/>
      <c r="BE5668" s="1065"/>
      <c r="BF5668" s="1065"/>
      <c r="BG5668" s="1065"/>
    </row>
    <row r="5669" spans="4:59">
      <c r="D5669" s="1065"/>
      <c r="S5669" s="1065"/>
      <c r="BE5669" s="1065"/>
      <c r="BF5669" s="1065"/>
      <c r="BG5669" s="1065"/>
    </row>
    <row r="5670" spans="4:59">
      <c r="D5670" s="1065"/>
      <c r="S5670" s="1065"/>
      <c r="BE5670" s="1065"/>
      <c r="BF5670" s="1065"/>
      <c r="BG5670" s="1065"/>
    </row>
    <row r="5671" spans="4:59">
      <c r="D5671" s="1065"/>
      <c r="S5671" s="1065"/>
      <c r="BE5671" s="1065"/>
      <c r="BF5671" s="1065"/>
      <c r="BG5671" s="1065"/>
    </row>
    <row r="5672" spans="4:59">
      <c r="D5672" s="1065"/>
      <c r="S5672" s="1065"/>
      <c r="BE5672" s="1065"/>
      <c r="BF5672" s="1065"/>
      <c r="BG5672" s="1065"/>
    </row>
    <row r="5673" spans="4:59">
      <c r="D5673" s="1065"/>
      <c r="S5673" s="1065"/>
      <c r="BE5673" s="1065"/>
      <c r="BF5673" s="1065"/>
      <c r="BG5673" s="1065"/>
    </row>
    <row r="5674" spans="4:59">
      <c r="D5674" s="1065"/>
      <c r="S5674" s="1065"/>
      <c r="BE5674" s="1065"/>
      <c r="BF5674" s="1065"/>
      <c r="BG5674" s="1065"/>
    </row>
    <row r="5675" spans="4:59">
      <c r="D5675" s="1065"/>
      <c r="S5675" s="1065"/>
      <c r="BE5675" s="1065"/>
      <c r="BF5675" s="1065"/>
      <c r="BG5675" s="1065"/>
    </row>
    <row r="5676" spans="4:59">
      <c r="D5676" s="1065"/>
      <c r="S5676" s="1065"/>
      <c r="BE5676" s="1065"/>
      <c r="BF5676" s="1065"/>
      <c r="BG5676" s="1065"/>
    </row>
    <row r="5677" spans="4:59">
      <c r="D5677" s="1065"/>
      <c r="S5677" s="1065"/>
      <c r="BE5677" s="1065"/>
      <c r="BF5677" s="1065"/>
      <c r="BG5677" s="1065"/>
    </row>
    <row r="5678" spans="4:59">
      <c r="D5678" s="1065"/>
      <c r="S5678" s="1065"/>
      <c r="BE5678" s="1065"/>
      <c r="BF5678" s="1065"/>
      <c r="BG5678" s="1065"/>
    </row>
    <row r="5679" spans="4:59">
      <c r="D5679" s="1065"/>
      <c r="S5679" s="1065"/>
      <c r="BE5679" s="1065"/>
      <c r="BF5679" s="1065"/>
      <c r="BG5679" s="1065"/>
    </row>
    <row r="5680" spans="4:59">
      <c r="D5680" s="1065"/>
      <c r="S5680" s="1065"/>
      <c r="BE5680" s="1065"/>
      <c r="BF5680" s="1065"/>
      <c r="BG5680" s="1065"/>
    </row>
    <row r="5681" spans="4:59">
      <c r="D5681" s="1065"/>
      <c r="S5681" s="1065"/>
      <c r="BE5681" s="1065"/>
      <c r="BF5681" s="1065"/>
      <c r="BG5681" s="1065"/>
    </row>
    <row r="5682" spans="4:59">
      <c r="D5682" s="1065"/>
      <c r="S5682" s="1065"/>
      <c r="BE5682" s="1065"/>
      <c r="BF5682" s="1065"/>
      <c r="BG5682" s="1065"/>
    </row>
    <row r="5683" spans="4:59">
      <c r="D5683" s="1065"/>
      <c r="S5683" s="1065"/>
      <c r="BE5683" s="1065"/>
      <c r="BF5683" s="1065"/>
      <c r="BG5683" s="1065"/>
    </row>
    <row r="5684" spans="4:59">
      <c r="D5684" s="1065"/>
      <c r="S5684" s="1065"/>
      <c r="BE5684" s="1065"/>
      <c r="BF5684" s="1065"/>
      <c r="BG5684" s="1065"/>
    </row>
    <row r="5685" spans="4:59">
      <c r="D5685" s="1065"/>
      <c r="S5685" s="1065"/>
      <c r="BE5685" s="1065"/>
      <c r="BF5685" s="1065"/>
      <c r="BG5685" s="1065"/>
    </row>
    <row r="5686" spans="4:59">
      <c r="D5686" s="1065"/>
      <c r="S5686" s="1065"/>
      <c r="BE5686" s="1065"/>
      <c r="BF5686" s="1065"/>
      <c r="BG5686" s="1065"/>
    </row>
    <row r="5687" spans="4:59">
      <c r="D5687" s="1065"/>
      <c r="S5687" s="1065"/>
      <c r="BE5687" s="1065"/>
      <c r="BF5687" s="1065"/>
      <c r="BG5687" s="1065"/>
    </row>
    <row r="5688" spans="4:59">
      <c r="D5688" s="1065"/>
      <c r="S5688" s="1065"/>
      <c r="BE5688" s="1065"/>
      <c r="BF5688" s="1065"/>
      <c r="BG5688" s="1065"/>
    </row>
    <row r="5689" spans="4:59">
      <c r="D5689" s="1065"/>
      <c r="S5689" s="1065"/>
      <c r="BE5689" s="1065"/>
      <c r="BF5689" s="1065"/>
      <c r="BG5689" s="1065"/>
    </row>
    <row r="5690" spans="4:59">
      <c r="D5690" s="1065"/>
      <c r="S5690" s="1065"/>
      <c r="BE5690" s="1065"/>
      <c r="BF5690" s="1065"/>
      <c r="BG5690" s="1065"/>
    </row>
    <row r="5691" spans="4:59">
      <c r="D5691" s="1065"/>
      <c r="S5691" s="1065"/>
      <c r="BE5691" s="1065"/>
      <c r="BF5691" s="1065"/>
      <c r="BG5691" s="1065"/>
    </row>
    <row r="5692" spans="4:59">
      <c r="D5692" s="1065"/>
      <c r="S5692" s="1065"/>
      <c r="BE5692" s="1065"/>
      <c r="BF5692" s="1065"/>
      <c r="BG5692" s="1065"/>
    </row>
    <row r="5693" spans="4:59">
      <c r="D5693" s="1065"/>
      <c r="S5693" s="1065"/>
      <c r="BE5693" s="1065"/>
      <c r="BF5693" s="1065"/>
      <c r="BG5693" s="1065"/>
    </row>
    <row r="5694" spans="4:59">
      <c r="D5694" s="1065"/>
      <c r="S5694" s="1065"/>
      <c r="BE5694" s="1065"/>
      <c r="BF5694" s="1065"/>
      <c r="BG5694" s="1065"/>
    </row>
    <row r="5695" spans="4:59">
      <c r="D5695" s="1065"/>
      <c r="S5695" s="1065"/>
      <c r="BE5695" s="1065"/>
      <c r="BF5695" s="1065"/>
      <c r="BG5695" s="1065"/>
    </row>
    <row r="5696" spans="4:59">
      <c r="D5696" s="1065"/>
      <c r="S5696" s="1065"/>
      <c r="BE5696" s="1065"/>
      <c r="BF5696" s="1065"/>
      <c r="BG5696" s="1065"/>
    </row>
    <row r="5697" spans="4:59">
      <c r="D5697" s="1065"/>
      <c r="S5697" s="1065"/>
      <c r="BE5697" s="1065"/>
      <c r="BF5697" s="1065"/>
      <c r="BG5697" s="1065"/>
    </row>
    <row r="5698" spans="4:59">
      <c r="D5698" s="1065"/>
      <c r="S5698" s="1065"/>
      <c r="BE5698" s="1065"/>
      <c r="BF5698" s="1065"/>
      <c r="BG5698" s="1065"/>
    </row>
    <row r="5699" spans="4:59">
      <c r="D5699" s="1065"/>
      <c r="S5699" s="1065"/>
      <c r="BE5699" s="1065"/>
      <c r="BF5699" s="1065"/>
      <c r="BG5699" s="1065"/>
    </row>
    <row r="5700" spans="4:59">
      <c r="D5700" s="1065"/>
      <c r="S5700" s="1065"/>
      <c r="BE5700" s="1065"/>
      <c r="BF5700" s="1065"/>
      <c r="BG5700" s="1065"/>
    </row>
    <row r="5701" spans="4:59">
      <c r="D5701" s="1065"/>
      <c r="S5701" s="1065"/>
      <c r="BE5701" s="1065"/>
      <c r="BF5701" s="1065"/>
      <c r="BG5701" s="1065"/>
    </row>
    <row r="5702" spans="4:59">
      <c r="D5702" s="1065"/>
      <c r="S5702" s="1065"/>
      <c r="BE5702" s="1065"/>
      <c r="BF5702" s="1065"/>
      <c r="BG5702" s="1065"/>
    </row>
    <row r="5703" spans="4:59">
      <c r="D5703" s="1065"/>
      <c r="S5703" s="1065"/>
      <c r="BE5703" s="1065"/>
      <c r="BF5703" s="1065"/>
      <c r="BG5703" s="1065"/>
    </row>
    <row r="5704" spans="4:59">
      <c r="D5704" s="1065"/>
      <c r="S5704" s="1065"/>
      <c r="BE5704" s="1065"/>
      <c r="BF5704" s="1065"/>
      <c r="BG5704" s="1065"/>
    </row>
    <row r="5705" spans="4:59">
      <c r="D5705" s="1065"/>
      <c r="S5705" s="1065"/>
      <c r="BE5705" s="1065"/>
      <c r="BF5705" s="1065"/>
      <c r="BG5705" s="1065"/>
    </row>
    <row r="5706" spans="4:59">
      <c r="D5706" s="1065"/>
      <c r="S5706" s="1065"/>
      <c r="BE5706" s="1065"/>
      <c r="BF5706" s="1065"/>
      <c r="BG5706" s="1065"/>
    </row>
    <row r="5707" spans="4:59">
      <c r="D5707" s="1065"/>
      <c r="S5707" s="1065"/>
      <c r="BE5707" s="1065"/>
      <c r="BF5707" s="1065"/>
      <c r="BG5707" s="1065"/>
    </row>
    <row r="5708" spans="4:59">
      <c r="D5708" s="1065"/>
      <c r="S5708" s="1065"/>
      <c r="BE5708" s="1065"/>
      <c r="BF5708" s="1065"/>
      <c r="BG5708" s="1065"/>
    </row>
    <row r="5709" spans="4:59">
      <c r="D5709" s="1065"/>
      <c r="S5709" s="1065"/>
      <c r="BE5709" s="1065"/>
      <c r="BF5709" s="1065"/>
      <c r="BG5709" s="1065"/>
    </row>
    <row r="5710" spans="4:59">
      <c r="D5710" s="1065"/>
      <c r="S5710" s="1065"/>
      <c r="BE5710" s="1065"/>
      <c r="BF5710" s="1065"/>
      <c r="BG5710" s="1065"/>
    </row>
    <row r="5711" spans="4:59">
      <c r="D5711" s="1065"/>
      <c r="S5711" s="1065"/>
      <c r="BE5711" s="1065"/>
      <c r="BF5711" s="1065"/>
      <c r="BG5711" s="1065"/>
    </row>
    <row r="5712" spans="4:59">
      <c r="D5712" s="1065"/>
      <c r="S5712" s="1065"/>
      <c r="BE5712" s="1065"/>
      <c r="BF5712" s="1065"/>
      <c r="BG5712" s="1065"/>
    </row>
    <row r="5713" spans="4:59">
      <c r="D5713" s="1065"/>
      <c r="S5713" s="1065"/>
      <c r="BE5713" s="1065"/>
      <c r="BF5713" s="1065"/>
      <c r="BG5713" s="1065"/>
    </row>
    <row r="5714" spans="4:59">
      <c r="D5714" s="1065"/>
      <c r="S5714" s="1065"/>
      <c r="BE5714" s="1065"/>
      <c r="BF5714" s="1065"/>
      <c r="BG5714" s="1065"/>
    </row>
    <row r="5715" spans="4:59">
      <c r="D5715" s="1065"/>
      <c r="S5715" s="1065"/>
      <c r="BE5715" s="1065"/>
      <c r="BF5715" s="1065"/>
      <c r="BG5715" s="1065"/>
    </row>
    <row r="5716" spans="4:59">
      <c r="D5716" s="1065"/>
      <c r="S5716" s="1065"/>
      <c r="BE5716" s="1065"/>
      <c r="BF5716" s="1065"/>
      <c r="BG5716" s="1065"/>
    </row>
    <row r="5717" spans="4:59">
      <c r="D5717" s="1065"/>
      <c r="S5717" s="1065"/>
      <c r="BE5717" s="1065"/>
      <c r="BF5717" s="1065"/>
      <c r="BG5717" s="1065"/>
    </row>
    <row r="5718" spans="4:59">
      <c r="D5718" s="1065"/>
      <c r="S5718" s="1065"/>
      <c r="BE5718" s="1065"/>
      <c r="BF5718" s="1065"/>
      <c r="BG5718" s="1065"/>
    </row>
    <row r="5719" spans="4:59">
      <c r="D5719" s="1065"/>
      <c r="S5719" s="1065"/>
      <c r="BE5719" s="1065"/>
      <c r="BF5719" s="1065"/>
      <c r="BG5719" s="1065"/>
    </row>
    <row r="5720" spans="4:59">
      <c r="D5720" s="1065"/>
      <c r="S5720" s="1065"/>
      <c r="BE5720" s="1065"/>
      <c r="BF5720" s="1065"/>
      <c r="BG5720" s="1065"/>
    </row>
    <row r="5721" spans="4:59">
      <c r="D5721" s="1065"/>
      <c r="S5721" s="1065"/>
      <c r="BE5721" s="1065"/>
      <c r="BF5721" s="1065"/>
      <c r="BG5721" s="1065"/>
    </row>
    <row r="5722" spans="4:59">
      <c r="D5722" s="1065"/>
      <c r="S5722" s="1065"/>
      <c r="BE5722" s="1065"/>
      <c r="BF5722" s="1065"/>
      <c r="BG5722" s="1065"/>
    </row>
    <row r="5723" spans="4:59">
      <c r="D5723" s="1065"/>
      <c r="S5723" s="1065"/>
      <c r="BE5723" s="1065"/>
      <c r="BF5723" s="1065"/>
      <c r="BG5723" s="1065"/>
    </row>
    <row r="5724" spans="4:59">
      <c r="D5724" s="1065"/>
      <c r="S5724" s="1065"/>
      <c r="BE5724" s="1065"/>
      <c r="BF5724" s="1065"/>
      <c r="BG5724" s="1065"/>
    </row>
    <row r="5725" spans="4:59">
      <c r="D5725" s="1065"/>
      <c r="S5725" s="1065"/>
      <c r="BE5725" s="1065"/>
      <c r="BF5725" s="1065"/>
      <c r="BG5725" s="1065"/>
    </row>
    <row r="5726" spans="4:59">
      <c r="D5726" s="1065"/>
      <c r="S5726" s="1065"/>
      <c r="BE5726" s="1065"/>
      <c r="BF5726" s="1065"/>
      <c r="BG5726" s="1065"/>
    </row>
    <row r="5727" spans="4:59">
      <c r="D5727" s="1065"/>
      <c r="S5727" s="1065"/>
      <c r="BE5727" s="1065"/>
      <c r="BF5727" s="1065"/>
      <c r="BG5727" s="1065"/>
    </row>
    <row r="5728" spans="4:59">
      <c r="D5728" s="1065"/>
      <c r="S5728" s="1065"/>
      <c r="BE5728" s="1065"/>
      <c r="BF5728" s="1065"/>
      <c r="BG5728" s="1065"/>
    </row>
    <row r="5729" spans="4:59">
      <c r="D5729" s="1065"/>
      <c r="S5729" s="1065"/>
      <c r="BE5729" s="1065"/>
      <c r="BF5729" s="1065"/>
      <c r="BG5729" s="1065"/>
    </row>
    <row r="5730" spans="4:59">
      <c r="D5730" s="1065"/>
      <c r="S5730" s="1065"/>
      <c r="BE5730" s="1065"/>
      <c r="BF5730" s="1065"/>
      <c r="BG5730" s="1065"/>
    </row>
    <row r="5731" spans="4:59">
      <c r="D5731" s="1065"/>
      <c r="S5731" s="1065"/>
      <c r="BE5731" s="1065"/>
      <c r="BF5731" s="1065"/>
      <c r="BG5731" s="1065"/>
    </row>
    <row r="5732" spans="4:59">
      <c r="D5732" s="1065"/>
      <c r="S5732" s="1065"/>
      <c r="BE5732" s="1065"/>
      <c r="BF5732" s="1065"/>
      <c r="BG5732" s="1065"/>
    </row>
    <row r="5733" spans="4:59">
      <c r="D5733" s="1065"/>
      <c r="S5733" s="1065"/>
      <c r="BE5733" s="1065"/>
      <c r="BF5733" s="1065"/>
      <c r="BG5733" s="1065"/>
    </row>
    <row r="5734" spans="4:59">
      <c r="D5734" s="1065"/>
      <c r="S5734" s="1065"/>
      <c r="BE5734" s="1065"/>
      <c r="BF5734" s="1065"/>
      <c r="BG5734" s="1065"/>
    </row>
    <row r="5735" spans="4:59">
      <c r="D5735" s="1065"/>
      <c r="S5735" s="1065"/>
      <c r="BE5735" s="1065"/>
      <c r="BF5735" s="1065"/>
      <c r="BG5735" s="1065"/>
    </row>
    <row r="5736" spans="4:59">
      <c r="D5736" s="1065"/>
      <c r="S5736" s="1065"/>
      <c r="BE5736" s="1065"/>
      <c r="BF5736" s="1065"/>
      <c r="BG5736" s="1065"/>
    </row>
    <row r="5737" spans="4:59">
      <c r="D5737" s="1065"/>
      <c r="S5737" s="1065"/>
      <c r="BE5737" s="1065"/>
      <c r="BF5737" s="1065"/>
      <c r="BG5737" s="1065"/>
    </row>
    <row r="5738" spans="4:59">
      <c r="D5738" s="1065"/>
      <c r="S5738" s="1065"/>
      <c r="BE5738" s="1065"/>
      <c r="BF5738" s="1065"/>
      <c r="BG5738" s="1065"/>
    </row>
    <row r="5739" spans="4:59">
      <c r="D5739" s="1065"/>
      <c r="S5739" s="1065"/>
      <c r="BE5739" s="1065"/>
      <c r="BF5739" s="1065"/>
      <c r="BG5739" s="1065"/>
    </row>
    <row r="5740" spans="4:59">
      <c r="D5740" s="1065"/>
      <c r="S5740" s="1065"/>
      <c r="BE5740" s="1065"/>
      <c r="BF5740" s="1065"/>
      <c r="BG5740" s="1065"/>
    </row>
    <row r="5741" spans="4:59">
      <c r="D5741" s="1065"/>
      <c r="S5741" s="1065"/>
      <c r="BE5741" s="1065"/>
      <c r="BF5741" s="1065"/>
      <c r="BG5741" s="1065"/>
    </row>
    <row r="5742" spans="4:59">
      <c r="D5742" s="1065"/>
      <c r="S5742" s="1065"/>
      <c r="BE5742" s="1065"/>
      <c r="BF5742" s="1065"/>
      <c r="BG5742" s="1065"/>
    </row>
    <row r="5743" spans="4:59">
      <c r="D5743" s="1065"/>
      <c r="S5743" s="1065"/>
      <c r="BE5743" s="1065"/>
      <c r="BF5743" s="1065"/>
      <c r="BG5743" s="1065"/>
    </row>
    <row r="5744" spans="4:59">
      <c r="D5744" s="1065"/>
      <c r="S5744" s="1065"/>
      <c r="BE5744" s="1065"/>
      <c r="BF5744" s="1065"/>
      <c r="BG5744" s="1065"/>
    </row>
    <row r="5745" spans="4:59">
      <c r="D5745" s="1065"/>
      <c r="S5745" s="1065"/>
      <c r="BE5745" s="1065"/>
      <c r="BF5745" s="1065"/>
      <c r="BG5745" s="1065"/>
    </row>
    <row r="5746" spans="4:59">
      <c r="D5746" s="1065"/>
      <c r="S5746" s="1065"/>
      <c r="BE5746" s="1065"/>
      <c r="BF5746" s="1065"/>
      <c r="BG5746" s="1065"/>
    </row>
    <row r="5747" spans="4:59">
      <c r="D5747" s="1065"/>
      <c r="S5747" s="1065"/>
      <c r="BE5747" s="1065"/>
      <c r="BF5747" s="1065"/>
      <c r="BG5747" s="1065"/>
    </row>
    <row r="5748" spans="4:59">
      <c r="D5748" s="1065"/>
      <c r="S5748" s="1065"/>
      <c r="BE5748" s="1065"/>
      <c r="BF5748" s="1065"/>
      <c r="BG5748" s="1065"/>
    </row>
    <row r="5749" spans="4:59">
      <c r="D5749" s="1065"/>
      <c r="S5749" s="1065"/>
      <c r="BE5749" s="1065"/>
      <c r="BF5749" s="1065"/>
      <c r="BG5749" s="1065"/>
    </row>
    <row r="5750" spans="4:59">
      <c r="D5750" s="1065"/>
      <c r="S5750" s="1065"/>
      <c r="BE5750" s="1065"/>
      <c r="BF5750" s="1065"/>
      <c r="BG5750" s="1065"/>
    </row>
    <row r="5751" spans="4:59">
      <c r="D5751" s="1065"/>
      <c r="S5751" s="1065"/>
      <c r="BE5751" s="1065"/>
      <c r="BF5751" s="1065"/>
      <c r="BG5751" s="1065"/>
    </row>
    <row r="5752" spans="4:59">
      <c r="D5752" s="1065"/>
      <c r="S5752" s="1065"/>
      <c r="BE5752" s="1065"/>
      <c r="BF5752" s="1065"/>
      <c r="BG5752" s="1065"/>
    </row>
    <row r="5753" spans="4:59">
      <c r="D5753" s="1065"/>
      <c r="S5753" s="1065"/>
      <c r="BE5753" s="1065"/>
      <c r="BF5753" s="1065"/>
      <c r="BG5753" s="1065"/>
    </row>
    <row r="5754" spans="4:59">
      <c r="D5754" s="1065"/>
      <c r="S5754" s="1065"/>
      <c r="BE5754" s="1065"/>
      <c r="BF5754" s="1065"/>
      <c r="BG5754" s="1065"/>
    </row>
    <row r="5755" spans="4:59">
      <c r="D5755" s="1065"/>
      <c r="S5755" s="1065"/>
      <c r="BE5755" s="1065"/>
      <c r="BF5755" s="1065"/>
      <c r="BG5755" s="1065"/>
    </row>
    <row r="5756" spans="4:59">
      <c r="D5756" s="1065"/>
      <c r="S5756" s="1065"/>
      <c r="BE5756" s="1065"/>
      <c r="BF5756" s="1065"/>
      <c r="BG5756" s="1065"/>
    </row>
    <row r="5757" spans="4:59">
      <c r="D5757" s="1065"/>
      <c r="S5757" s="1065"/>
      <c r="BE5757" s="1065"/>
      <c r="BF5757" s="1065"/>
      <c r="BG5757" s="1065"/>
    </row>
    <row r="5758" spans="4:59">
      <c r="D5758" s="1065"/>
      <c r="S5758" s="1065"/>
      <c r="BE5758" s="1065"/>
      <c r="BF5758" s="1065"/>
      <c r="BG5758" s="1065"/>
    </row>
    <row r="5759" spans="4:59">
      <c r="D5759" s="1065"/>
      <c r="S5759" s="1065"/>
      <c r="BE5759" s="1065"/>
      <c r="BF5759" s="1065"/>
      <c r="BG5759" s="1065"/>
    </row>
    <row r="5760" spans="4:59">
      <c r="D5760" s="1065"/>
      <c r="S5760" s="1065"/>
      <c r="BE5760" s="1065"/>
      <c r="BF5760" s="1065"/>
      <c r="BG5760" s="1065"/>
    </row>
    <row r="5761" spans="4:59">
      <c r="D5761" s="1065"/>
      <c r="S5761" s="1065"/>
      <c r="BE5761" s="1065"/>
      <c r="BF5761" s="1065"/>
      <c r="BG5761" s="1065"/>
    </row>
    <row r="5762" spans="4:59">
      <c r="D5762" s="1065"/>
      <c r="S5762" s="1065"/>
      <c r="BE5762" s="1065"/>
      <c r="BF5762" s="1065"/>
      <c r="BG5762" s="1065"/>
    </row>
    <row r="5763" spans="4:59">
      <c r="D5763" s="1065"/>
      <c r="S5763" s="1065"/>
      <c r="BE5763" s="1065"/>
      <c r="BF5763" s="1065"/>
      <c r="BG5763" s="1065"/>
    </row>
    <row r="5764" spans="4:59">
      <c r="D5764" s="1065"/>
      <c r="S5764" s="1065"/>
      <c r="BE5764" s="1065"/>
      <c r="BF5764" s="1065"/>
      <c r="BG5764" s="1065"/>
    </row>
    <row r="5765" spans="4:59">
      <c r="D5765" s="1065"/>
      <c r="S5765" s="1065"/>
      <c r="BE5765" s="1065"/>
      <c r="BF5765" s="1065"/>
      <c r="BG5765" s="1065"/>
    </row>
    <row r="5766" spans="4:59">
      <c r="D5766" s="1065"/>
      <c r="S5766" s="1065"/>
      <c r="BE5766" s="1065"/>
      <c r="BF5766" s="1065"/>
      <c r="BG5766" s="1065"/>
    </row>
    <row r="5767" spans="4:59">
      <c r="D5767" s="1065"/>
      <c r="S5767" s="1065"/>
      <c r="BE5767" s="1065"/>
      <c r="BF5767" s="1065"/>
      <c r="BG5767" s="1065"/>
    </row>
    <row r="5768" spans="4:59">
      <c r="D5768" s="1065"/>
      <c r="S5768" s="1065"/>
      <c r="BE5768" s="1065"/>
      <c r="BF5768" s="1065"/>
      <c r="BG5768" s="1065"/>
    </row>
    <row r="5769" spans="4:59">
      <c r="D5769" s="1065"/>
      <c r="S5769" s="1065"/>
      <c r="BE5769" s="1065"/>
      <c r="BF5769" s="1065"/>
      <c r="BG5769" s="1065"/>
    </row>
    <row r="5770" spans="4:59">
      <c r="D5770" s="1065"/>
      <c r="S5770" s="1065"/>
      <c r="BE5770" s="1065"/>
      <c r="BF5770" s="1065"/>
      <c r="BG5770" s="1065"/>
    </row>
    <row r="5771" spans="4:59">
      <c r="D5771" s="1065"/>
      <c r="S5771" s="1065"/>
      <c r="BE5771" s="1065"/>
      <c r="BF5771" s="1065"/>
      <c r="BG5771" s="1065"/>
    </row>
    <row r="5772" spans="4:59">
      <c r="D5772" s="1065"/>
      <c r="S5772" s="1065"/>
      <c r="BE5772" s="1065"/>
      <c r="BF5772" s="1065"/>
      <c r="BG5772" s="1065"/>
    </row>
    <row r="5773" spans="4:59">
      <c r="D5773" s="1065"/>
      <c r="S5773" s="1065"/>
      <c r="BE5773" s="1065"/>
      <c r="BF5773" s="1065"/>
      <c r="BG5773" s="1065"/>
    </row>
    <row r="5774" spans="4:59">
      <c r="D5774" s="1065"/>
      <c r="S5774" s="1065"/>
      <c r="BE5774" s="1065"/>
      <c r="BF5774" s="1065"/>
      <c r="BG5774" s="1065"/>
    </row>
    <row r="5775" spans="4:59">
      <c r="D5775" s="1065"/>
      <c r="S5775" s="1065"/>
      <c r="BE5775" s="1065"/>
      <c r="BF5775" s="1065"/>
      <c r="BG5775" s="1065"/>
    </row>
    <row r="5776" spans="4:59">
      <c r="D5776" s="1065"/>
      <c r="S5776" s="1065"/>
      <c r="BE5776" s="1065"/>
      <c r="BF5776" s="1065"/>
      <c r="BG5776" s="1065"/>
    </row>
    <row r="5777" spans="4:59">
      <c r="D5777" s="1065"/>
      <c r="S5777" s="1065"/>
      <c r="BE5777" s="1065"/>
      <c r="BF5777" s="1065"/>
      <c r="BG5777" s="1065"/>
    </row>
    <row r="5778" spans="4:59">
      <c r="D5778" s="1065"/>
      <c r="S5778" s="1065"/>
      <c r="BE5778" s="1065"/>
      <c r="BF5778" s="1065"/>
      <c r="BG5778" s="1065"/>
    </row>
    <row r="5779" spans="4:59">
      <c r="D5779" s="1065"/>
      <c r="S5779" s="1065"/>
      <c r="BE5779" s="1065"/>
      <c r="BF5779" s="1065"/>
      <c r="BG5779" s="1065"/>
    </row>
    <row r="5780" spans="4:59">
      <c r="D5780" s="1065"/>
      <c r="S5780" s="1065"/>
      <c r="BE5780" s="1065"/>
      <c r="BF5780" s="1065"/>
      <c r="BG5780" s="1065"/>
    </row>
    <row r="5781" spans="4:59">
      <c r="D5781" s="1065"/>
      <c r="S5781" s="1065"/>
      <c r="BE5781" s="1065"/>
      <c r="BF5781" s="1065"/>
      <c r="BG5781" s="1065"/>
    </row>
    <row r="5782" spans="4:59">
      <c r="D5782" s="1065"/>
      <c r="S5782" s="1065"/>
      <c r="BE5782" s="1065"/>
      <c r="BF5782" s="1065"/>
      <c r="BG5782" s="1065"/>
    </row>
    <row r="5783" spans="4:59">
      <c r="D5783" s="1065"/>
      <c r="S5783" s="1065"/>
      <c r="BE5783" s="1065"/>
      <c r="BF5783" s="1065"/>
      <c r="BG5783" s="1065"/>
    </row>
    <row r="5784" spans="4:59">
      <c r="D5784" s="1065"/>
      <c r="S5784" s="1065"/>
      <c r="BE5784" s="1065"/>
      <c r="BF5784" s="1065"/>
      <c r="BG5784" s="1065"/>
    </row>
    <row r="5785" spans="4:59">
      <c r="D5785" s="1065"/>
      <c r="S5785" s="1065"/>
      <c r="BE5785" s="1065"/>
      <c r="BF5785" s="1065"/>
      <c r="BG5785" s="1065"/>
    </row>
    <row r="5786" spans="4:59">
      <c r="D5786" s="1065"/>
      <c r="S5786" s="1065"/>
      <c r="BE5786" s="1065"/>
      <c r="BF5786" s="1065"/>
      <c r="BG5786" s="1065"/>
    </row>
    <row r="5787" spans="4:59">
      <c r="D5787" s="1065"/>
      <c r="S5787" s="1065"/>
      <c r="BE5787" s="1065"/>
      <c r="BF5787" s="1065"/>
      <c r="BG5787" s="1065"/>
    </row>
    <row r="5788" spans="4:59">
      <c r="D5788" s="1065"/>
      <c r="S5788" s="1065"/>
      <c r="BE5788" s="1065"/>
      <c r="BF5788" s="1065"/>
      <c r="BG5788" s="1065"/>
    </row>
    <row r="5800" spans="4:59">
      <c r="D5800" s="1065"/>
      <c r="S5800" s="1065"/>
      <c r="BE5800" s="1065"/>
      <c r="BF5800" s="1065"/>
      <c r="BG5800" s="1065"/>
    </row>
    <row r="5801" spans="4:59">
      <c r="D5801" s="1065"/>
      <c r="S5801" s="1065"/>
      <c r="BE5801" s="1065"/>
      <c r="BF5801" s="1065"/>
      <c r="BG5801" s="1065"/>
    </row>
    <row r="5804" spans="4:59">
      <c r="D5804" s="1065"/>
      <c r="S5804" s="1065"/>
      <c r="BE5804" s="1065"/>
      <c r="BF5804" s="1065"/>
      <c r="BG5804" s="1065"/>
    </row>
    <row r="5805" spans="4:59">
      <c r="D5805" s="1065"/>
      <c r="S5805" s="1065"/>
      <c r="BE5805" s="1065"/>
      <c r="BF5805" s="1065"/>
      <c r="BG5805" s="1065"/>
    </row>
    <row r="5806" spans="4:59">
      <c r="D5806" s="1065"/>
      <c r="S5806" s="1065"/>
      <c r="BE5806" s="1065"/>
      <c r="BF5806" s="1065"/>
      <c r="BG5806" s="1065"/>
    </row>
    <row r="5807" spans="4:59">
      <c r="D5807" s="1065"/>
      <c r="S5807" s="1065"/>
      <c r="BE5807" s="1065"/>
      <c r="BF5807" s="1065"/>
      <c r="BG5807" s="1065"/>
    </row>
    <row r="5808" spans="4:59">
      <c r="D5808" s="1065"/>
      <c r="S5808" s="1065"/>
      <c r="BE5808" s="1065"/>
      <c r="BF5808" s="1065"/>
      <c r="BG5808" s="1065"/>
    </row>
    <row r="5809" spans="4:59">
      <c r="D5809" s="1065"/>
      <c r="S5809" s="1065"/>
      <c r="BE5809" s="1065"/>
      <c r="BF5809" s="1065"/>
      <c r="BG5809" s="1065"/>
    </row>
    <row r="5810" spans="4:59">
      <c r="D5810" s="1065"/>
      <c r="S5810" s="1065"/>
      <c r="BE5810" s="1065"/>
      <c r="BF5810" s="1065"/>
      <c r="BG5810" s="1065"/>
    </row>
    <row r="5811" spans="4:59">
      <c r="D5811" s="1065"/>
      <c r="S5811" s="1065"/>
      <c r="BE5811" s="1065"/>
      <c r="BF5811" s="1065"/>
      <c r="BG5811" s="1065"/>
    </row>
    <row r="5812" spans="4:59">
      <c r="D5812" s="1065"/>
      <c r="S5812" s="1065"/>
      <c r="BE5812" s="1065"/>
      <c r="BF5812" s="1065"/>
      <c r="BG5812" s="1065"/>
    </row>
    <row r="5813" spans="4:59">
      <c r="D5813" s="1065"/>
      <c r="S5813" s="1065"/>
      <c r="BE5813" s="1065"/>
      <c r="BF5813" s="1065"/>
      <c r="BG5813" s="1065"/>
    </row>
    <row r="5814" spans="4:59">
      <c r="D5814" s="1065"/>
      <c r="S5814" s="1065"/>
      <c r="BE5814" s="1065"/>
      <c r="BF5814" s="1065"/>
      <c r="BG5814" s="1065"/>
    </row>
    <row r="5815" spans="4:59">
      <c r="D5815" s="1065"/>
      <c r="S5815" s="1065"/>
      <c r="BE5815" s="1065"/>
      <c r="BF5815" s="1065"/>
      <c r="BG5815" s="1065"/>
    </row>
    <row r="5816" spans="4:59">
      <c r="D5816" s="1065"/>
      <c r="S5816" s="1065"/>
      <c r="BE5816" s="1065"/>
      <c r="BF5816" s="1065"/>
      <c r="BG5816" s="1065"/>
    </row>
    <row r="5817" spans="4:59">
      <c r="D5817" s="1065"/>
      <c r="S5817" s="1065"/>
      <c r="BE5817" s="1065"/>
      <c r="BF5817" s="1065"/>
      <c r="BG5817" s="1065"/>
    </row>
    <row r="5818" spans="4:59">
      <c r="D5818" s="1065"/>
      <c r="S5818" s="1065"/>
      <c r="BE5818" s="1065"/>
      <c r="BF5818" s="1065"/>
      <c r="BG5818" s="1065"/>
    </row>
    <row r="5819" spans="4:59">
      <c r="D5819" s="1065"/>
      <c r="S5819" s="1065"/>
      <c r="BE5819" s="1065"/>
      <c r="BF5819" s="1065"/>
      <c r="BG5819" s="1065"/>
    </row>
    <row r="5820" spans="4:59">
      <c r="D5820" s="1065"/>
      <c r="S5820" s="1065"/>
      <c r="BE5820" s="1065"/>
      <c r="BF5820" s="1065"/>
      <c r="BG5820" s="1065"/>
    </row>
    <row r="5821" spans="4:59">
      <c r="D5821" s="1065"/>
      <c r="S5821" s="1065"/>
      <c r="BE5821" s="1065"/>
      <c r="BF5821" s="1065"/>
      <c r="BG5821" s="1065"/>
    </row>
    <row r="5822" spans="4:59">
      <c r="D5822" s="1065"/>
      <c r="S5822" s="1065"/>
      <c r="BE5822" s="1065"/>
      <c r="BF5822" s="1065"/>
      <c r="BG5822" s="1065"/>
    </row>
    <row r="5823" spans="4:59">
      <c r="D5823" s="1065"/>
      <c r="S5823" s="1065"/>
      <c r="BE5823" s="1065"/>
      <c r="BF5823" s="1065"/>
      <c r="BG5823" s="1065"/>
    </row>
    <row r="5824" spans="4:59">
      <c r="D5824" s="1065"/>
      <c r="S5824" s="1065"/>
      <c r="BE5824" s="1065"/>
      <c r="BF5824" s="1065"/>
      <c r="BG5824" s="1065"/>
    </row>
    <row r="5825" spans="4:59">
      <c r="D5825" s="1065"/>
      <c r="S5825" s="1065"/>
      <c r="BE5825" s="1065"/>
      <c r="BF5825" s="1065"/>
      <c r="BG5825" s="1065"/>
    </row>
    <row r="5826" spans="4:59">
      <c r="D5826" s="1065"/>
      <c r="S5826" s="1065"/>
      <c r="BE5826" s="1065"/>
      <c r="BF5826" s="1065"/>
      <c r="BG5826" s="1065"/>
    </row>
    <row r="5827" spans="4:59">
      <c r="D5827" s="1065"/>
      <c r="S5827" s="1065"/>
      <c r="BE5827" s="1065"/>
      <c r="BF5827" s="1065"/>
      <c r="BG5827" s="1065"/>
    </row>
    <row r="5828" spans="4:59">
      <c r="D5828" s="1065"/>
      <c r="S5828" s="1065"/>
      <c r="BE5828" s="1065"/>
      <c r="BF5828" s="1065"/>
      <c r="BG5828" s="1065"/>
    </row>
    <row r="5829" spans="4:59">
      <c r="D5829" s="1065"/>
      <c r="S5829" s="1065"/>
      <c r="BE5829" s="1065"/>
      <c r="BF5829" s="1065"/>
      <c r="BG5829" s="1065"/>
    </row>
    <row r="5830" spans="4:59">
      <c r="D5830" s="1065"/>
      <c r="S5830" s="1065"/>
      <c r="BE5830" s="1065"/>
      <c r="BF5830" s="1065"/>
      <c r="BG5830" s="1065"/>
    </row>
    <row r="5831" spans="4:59">
      <c r="D5831" s="1065"/>
      <c r="S5831" s="1065"/>
      <c r="BE5831" s="1065"/>
      <c r="BF5831" s="1065"/>
      <c r="BG5831" s="1065"/>
    </row>
    <row r="5832" spans="4:59">
      <c r="D5832" s="1065"/>
      <c r="S5832" s="1065"/>
      <c r="BE5832" s="1065"/>
      <c r="BF5832" s="1065"/>
      <c r="BG5832" s="1065"/>
    </row>
    <row r="5833" spans="4:59">
      <c r="D5833" s="1065"/>
      <c r="S5833" s="1065"/>
      <c r="BE5833" s="1065"/>
      <c r="BF5833" s="1065"/>
      <c r="BG5833" s="1065"/>
    </row>
    <row r="5834" spans="4:59">
      <c r="D5834" s="1065"/>
      <c r="S5834" s="1065"/>
      <c r="BE5834" s="1065"/>
      <c r="BF5834" s="1065"/>
      <c r="BG5834" s="1065"/>
    </row>
    <row r="5835" spans="4:59">
      <c r="D5835" s="1065"/>
      <c r="S5835" s="1065"/>
      <c r="BE5835" s="1065"/>
      <c r="BF5835" s="1065"/>
      <c r="BG5835" s="1065"/>
    </row>
    <row r="5836" spans="4:59">
      <c r="D5836" s="1065"/>
      <c r="S5836" s="1065"/>
      <c r="BE5836" s="1065"/>
      <c r="BF5836" s="1065"/>
      <c r="BG5836" s="1065"/>
    </row>
    <row r="5837" spans="4:59">
      <c r="D5837" s="1065"/>
      <c r="S5837" s="1065"/>
      <c r="BE5837" s="1065"/>
      <c r="BF5837" s="1065"/>
      <c r="BG5837" s="1065"/>
    </row>
    <row r="5838" spans="4:59">
      <c r="D5838" s="1065"/>
      <c r="S5838" s="1065"/>
      <c r="BE5838" s="1065"/>
      <c r="BF5838" s="1065"/>
      <c r="BG5838" s="1065"/>
    </row>
    <row r="5839" spans="4:59">
      <c r="D5839" s="1065"/>
      <c r="S5839" s="1065"/>
      <c r="BE5839" s="1065"/>
      <c r="BF5839" s="1065"/>
      <c r="BG5839" s="1065"/>
    </row>
    <row r="5840" spans="4:59">
      <c r="D5840" s="1065"/>
      <c r="S5840" s="1065"/>
      <c r="BE5840" s="1065"/>
      <c r="BF5840" s="1065"/>
      <c r="BG5840" s="1065"/>
    </row>
    <row r="5841" spans="4:59">
      <c r="D5841" s="1065"/>
      <c r="S5841" s="1065"/>
      <c r="BE5841" s="1065"/>
      <c r="BF5841" s="1065"/>
      <c r="BG5841" s="1065"/>
    </row>
    <row r="5842" spans="4:59">
      <c r="D5842" s="1065"/>
      <c r="S5842" s="1065"/>
      <c r="BE5842" s="1065"/>
      <c r="BF5842" s="1065"/>
      <c r="BG5842" s="1065"/>
    </row>
    <row r="5843" spans="4:59">
      <c r="D5843" s="1065"/>
      <c r="S5843" s="1065"/>
      <c r="BE5843" s="1065"/>
      <c r="BF5843" s="1065"/>
      <c r="BG5843" s="1065"/>
    </row>
    <row r="5844" spans="4:59">
      <c r="D5844" s="1065"/>
      <c r="S5844" s="1065"/>
      <c r="BE5844" s="1065"/>
      <c r="BF5844" s="1065"/>
      <c r="BG5844" s="1065"/>
    </row>
    <row r="5845" spans="4:59">
      <c r="D5845" s="1065"/>
      <c r="S5845" s="1065"/>
      <c r="BE5845" s="1065"/>
      <c r="BF5845" s="1065"/>
      <c r="BG5845" s="1065"/>
    </row>
    <row r="5846" spans="4:59">
      <c r="D5846" s="1065"/>
      <c r="S5846" s="1065"/>
      <c r="BE5846" s="1065"/>
      <c r="BF5846" s="1065"/>
      <c r="BG5846" s="1065"/>
    </row>
    <row r="5847" spans="4:59">
      <c r="D5847" s="1065"/>
      <c r="S5847" s="1065"/>
      <c r="BE5847" s="1065"/>
      <c r="BF5847" s="1065"/>
      <c r="BG5847" s="1065"/>
    </row>
    <row r="5848" spans="4:59">
      <c r="D5848" s="1065"/>
      <c r="S5848" s="1065"/>
      <c r="BE5848" s="1065"/>
      <c r="BF5848" s="1065"/>
      <c r="BG5848" s="1065"/>
    </row>
    <row r="5849" spans="4:59">
      <c r="D5849" s="1065"/>
      <c r="S5849" s="1065"/>
      <c r="BE5849" s="1065"/>
      <c r="BF5849" s="1065"/>
      <c r="BG5849" s="1065"/>
    </row>
    <row r="5850" spans="4:59">
      <c r="D5850" s="1065"/>
      <c r="S5850" s="1065"/>
      <c r="BE5850" s="1065"/>
      <c r="BF5850" s="1065"/>
      <c r="BG5850" s="1065"/>
    </row>
    <row r="5851" spans="4:59">
      <c r="D5851" s="1065"/>
      <c r="S5851" s="1065"/>
      <c r="BE5851" s="1065"/>
      <c r="BF5851" s="1065"/>
      <c r="BG5851" s="1065"/>
    </row>
    <row r="5852" spans="4:59">
      <c r="D5852" s="1065"/>
      <c r="S5852" s="1065"/>
      <c r="BE5852" s="1065"/>
      <c r="BF5852" s="1065"/>
      <c r="BG5852" s="1065"/>
    </row>
    <row r="5853" spans="4:59">
      <c r="D5853" s="1065"/>
      <c r="S5853" s="1065"/>
      <c r="BE5853" s="1065"/>
      <c r="BF5853" s="1065"/>
      <c r="BG5853" s="1065"/>
    </row>
    <row r="5854" spans="4:59">
      <c r="D5854" s="1065"/>
      <c r="S5854" s="1065"/>
      <c r="BE5854" s="1065"/>
      <c r="BF5854" s="1065"/>
      <c r="BG5854" s="1065"/>
    </row>
    <row r="5855" spans="4:59">
      <c r="D5855" s="1065"/>
      <c r="S5855" s="1065"/>
      <c r="BE5855" s="1065"/>
      <c r="BF5855" s="1065"/>
      <c r="BG5855" s="1065"/>
    </row>
    <row r="5856" spans="4:59">
      <c r="D5856" s="1065"/>
      <c r="S5856" s="1065"/>
      <c r="BE5856" s="1065"/>
      <c r="BF5856" s="1065"/>
      <c r="BG5856" s="1065"/>
    </row>
    <row r="5857" spans="4:59">
      <c r="D5857" s="1065"/>
      <c r="S5857" s="1065"/>
      <c r="BE5857" s="1065"/>
      <c r="BF5857" s="1065"/>
      <c r="BG5857" s="1065"/>
    </row>
    <row r="5858" spans="4:59">
      <c r="D5858" s="1065"/>
      <c r="S5858" s="1065"/>
      <c r="BE5858" s="1065"/>
      <c r="BF5858" s="1065"/>
      <c r="BG5858" s="1065"/>
    </row>
    <row r="5859" spans="4:59">
      <c r="D5859" s="1065"/>
      <c r="S5859" s="1065"/>
      <c r="BE5859" s="1065"/>
      <c r="BF5859" s="1065"/>
      <c r="BG5859" s="1065"/>
    </row>
    <row r="5860" spans="4:59">
      <c r="D5860" s="1065"/>
      <c r="S5860" s="1065"/>
      <c r="BE5860" s="1065"/>
      <c r="BF5860" s="1065"/>
      <c r="BG5860" s="1065"/>
    </row>
    <row r="5861" spans="4:59">
      <c r="D5861" s="1065"/>
      <c r="S5861" s="1065"/>
      <c r="BE5861" s="1065"/>
      <c r="BF5861" s="1065"/>
      <c r="BG5861" s="1065"/>
    </row>
    <row r="5864" spans="4:59">
      <c r="D5864" s="1065"/>
      <c r="S5864" s="1065"/>
      <c r="BE5864" s="1065"/>
      <c r="BF5864" s="1065"/>
      <c r="BG5864" s="1065"/>
    </row>
    <row r="5865" spans="4:59">
      <c r="D5865" s="1065"/>
      <c r="S5865" s="1065"/>
      <c r="BE5865" s="1065"/>
      <c r="BF5865" s="1065"/>
      <c r="BG5865" s="1065"/>
    </row>
    <row r="5870" spans="4:59">
      <c r="D5870" s="1065"/>
      <c r="S5870" s="1065"/>
      <c r="BE5870" s="1065"/>
      <c r="BF5870" s="1065"/>
      <c r="BG5870" s="1065"/>
    </row>
    <row r="5871" spans="4:59">
      <c r="D5871" s="1065"/>
      <c r="S5871" s="1065"/>
      <c r="BE5871" s="1065"/>
      <c r="BF5871" s="1065"/>
      <c r="BG5871" s="1065"/>
    </row>
    <row r="5872" spans="4:59">
      <c r="D5872" s="1065"/>
      <c r="S5872" s="1065"/>
      <c r="BE5872" s="1065"/>
      <c r="BF5872" s="1065"/>
      <c r="BG5872" s="1065"/>
    </row>
    <row r="5873" spans="4:59">
      <c r="D5873" s="1065"/>
      <c r="S5873" s="1065"/>
      <c r="BE5873" s="1065"/>
      <c r="BF5873" s="1065"/>
      <c r="BG5873" s="1065"/>
    </row>
    <row r="5874" spans="4:59">
      <c r="D5874" s="1065"/>
      <c r="S5874" s="1065"/>
      <c r="BE5874" s="1065"/>
      <c r="BF5874" s="1065"/>
      <c r="BG5874" s="1065"/>
    </row>
    <row r="5875" spans="4:59">
      <c r="D5875" s="1065"/>
      <c r="S5875" s="1065"/>
      <c r="BE5875" s="1065"/>
      <c r="BF5875" s="1065"/>
      <c r="BG5875" s="1065"/>
    </row>
    <row r="5876" spans="4:59">
      <c r="D5876" s="1065"/>
      <c r="S5876" s="1065"/>
      <c r="BE5876" s="1065"/>
      <c r="BF5876" s="1065"/>
      <c r="BG5876" s="1065"/>
    </row>
    <row r="5877" spans="4:59">
      <c r="D5877" s="1065"/>
      <c r="S5877" s="1065"/>
      <c r="BE5877" s="1065"/>
      <c r="BF5877" s="1065"/>
      <c r="BG5877" s="1065"/>
    </row>
    <row r="5878" spans="4:59">
      <c r="D5878" s="1065"/>
      <c r="S5878" s="1065"/>
      <c r="BE5878" s="1065"/>
      <c r="BF5878" s="1065"/>
      <c r="BG5878" s="1065"/>
    </row>
    <row r="5879" spans="4:59">
      <c r="D5879" s="1065"/>
      <c r="S5879" s="1065"/>
      <c r="BE5879" s="1065"/>
      <c r="BF5879" s="1065"/>
      <c r="BG5879" s="1065"/>
    </row>
    <row r="5880" spans="4:59">
      <c r="D5880" s="1065"/>
      <c r="S5880" s="1065"/>
      <c r="BE5880" s="1065"/>
      <c r="BF5880" s="1065"/>
      <c r="BG5880" s="1065"/>
    </row>
    <row r="5881" spans="4:59">
      <c r="D5881" s="1065"/>
      <c r="S5881" s="1065"/>
      <c r="BE5881" s="1065"/>
      <c r="BF5881" s="1065"/>
      <c r="BG5881" s="1065"/>
    </row>
    <row r="5882" spans="4:59">
      <c r="D5882" s="1065"/>
      <c r="S5882" s="1065"/>
      <c r="BE5882" s="1065"/>
      <c r="BF5882" s="1065"/>
      <c r="BG5882" s="1065"/>
    </row>
    <row r="5883" spans="4:59">
      <c r="D5883" s="1065"/>
      <c r="S5883" s="1065"/>
      <c r="BE5883" s="1065"/>
      <c r="BF5883" s="1065"/>
      <c r="BG5883" s="1065"/>
    </row>
    <row r="5884" spans="4:59">
      <c r="D5884" s="1065"/>
      <c r="S5884" s="1065"/>
      <c r="BE5884" s="1065"/>
      <c r="BF5884" s="1065"/>
      <c r="BG5884" s="1065"/>
    </row>
    <row r="5885" spans="4:59">
      <c r="D5885" s="1065"/>
      <c r="S5885" s="1065"/>
      <c r="BE5885" s="1065"/>
      <c r="BF5885" s="1065"/>
      <c r="BG5885" s="1065"/>
    </row>
    <row r="5886" spans="4:59">
      <c r="D5886" s="1065"/>
      <c r="S5886" s="1065"/>
      <c r="BE5886" s="1065"/>
      <c r="BF5886" s="1065"/>
      <c r="BG5886" s="1065"/>
    </row>
    <row r="5887" spans="4:59">
      <c r="D5887" s="1065"/>
      <c r="S5887" s="1065"/>
      <c r="BE5887" s="1065"/>
      <c r="BF5887" s="1065"/>
      <c r="BG5887" s="1065"/>
    </row>
    <row r="5888" spans="4:59">
      <c r="D5888" s="1065"/>
      <c r="S5888" s="1065"/>
      <c r="BE5888" s="1065"/>
      <c r="BF5888" s="1065"/>
      <c r="BG5888" s="1065"/>
    </row>
    <row r="5889" spans="4:59">
      <c r="D5889" s="1065"/>
      <c r="S5889" s="1065"/>
      <c r="BE5889" s="1065"/>
      <c r="BF5889" s="1065"/>
      <c r="BG5889" s="1065"/>
    </row>
    <row r="5890" spans="4:59">
      <c r="D5890" s="1065"/>
      <c r="S5890" s="1065"/>
      <c r="BE5890" s="1065"/>
      <c r="BF5890" s="1065"/>
      <c r="BG5890" s="1065"/>
    </row>
    <row r="5891" spans="4:59">
      <c r="D5891" s="1065"/>
      <c r="S5891" s="1065"/>
      <c r="BE5891" s="1065"/>
      <c r="BF5891" s="1065"/>
      <c r="BG5891" s="1065"/>
    </row>
    <row r="5892" spans="4:59">
      <c r="D5892" s="1065"/>
      <c r="S5892" s="1065"/>
      <c r="BE5892" s="1065"/>
      <c r="BF5892" s="1065"/>
      <c r="BG5892" s="1065"/>
    </row>
    <row r="5893" spans="4:59">
      <c r="D5893" s="1065"/>
      <c r="S5893" s="1065"/>
      <c r="BE5893" s="1065"/>
      <c r="BF5893" s="1065"/>
      <c r="BG5893" s="1065"/>
    </row>
    <row r="5894" spans="4:59">
      <c r="D5894" s="1065"/>
      <c r="S5894" s="1065"/>
      <c r="BE5894" s="1065"/>
      <c r="BF5894" s="1065"/>
      <c r="BG5894" s="1065"/>
    </row>
    <row r="5895" spans="4:59">
      <c r="D5895" s="1065"/>
      <c r="S5895" s="1065"/>
      <c r="BE5895" s="1065"/>
      <c r="BF5895" s="1065"/>
      <c r="BG5895" s="1065"/>
    </row>
    <row r="5896" spans="4:59">
      <c r="D5896" s="1065"/>
      <c r="S5896" s="1065"/>
      <c r="BE5896" s="1065"/>
      <c r="BF5896" s="1065"/>
      <c r="BG5896" s="1065"/>
    </row>
    <row r="5897" spans="4:59">
      <c r="D5897" s="1065"/>
      <c r="S5897" s="1065"/>
      <c r="BE5897" s="1065"/>
      <c r="BF5897" s="1065"/>
      <c r="BG5897" s="1065"/>
    </row>
    <row r="5898" spans="4:59">
      <c r="D5898" s="1065"/>
      <c r="S5898" s="1065"/>
      <c r="BE5898" s="1065"/>
      <c r="BF5898" s="1065"/>
      <c r="BG5898" s="1065"/>
    </row>
    <row r="5899" spans="4:59">
      <c r="D5899" s="1065"/>
      <c r="S5899" s="1065"/>
      <c r="BE5899" s="1065"/>
      <c r="BF5899" s="1065"/>
      <c r="BG5899" s="1065"/>
    </row>
    <row r="5900" spans="4:59">
      <c r="D5900" s="1065"/>
      <c r="S5900" s="1065"/>
      <c r="BE5900" s="1065"/>
      <c r="BF5900" s="1065"/>
      <c r="BG5900" s="1065"/>
    </row>
    <row r="5901" spans="4:59">
      <c r="D5901" s="1065"/>
      <c r="S5901" s="1065"/>
      <c r="BE5901" s="1065"/>
      <c r="BF5901" s="1065"/>
      <c r="BG5901" s="1065"/>
    </row>
    <row r="5902" spans="4:59">
      <c r="D5902" s="1065"/>
      <c r="S5902" s="1065"/>
      <c r="BE5902" s="1065"/>
      <c r="BF5902" s="1065"/>
      <c r="BG5902" s="1065"/>
    </row>
    <row r="5903" spans="4:59">
      <c r="D5903" s="1065"/>
      <c r="S5903" s="1065"/>
      <c r="BE5903" s="1065"/>
      <c r="BF5903" s="1065"/>
      <c r="BG5903" s="1065"/>
    </row>
    <row r="5904" spans="4:59">
      <c r="D5904" s="1065"/>
      <c r="S5904" s="1065"/>
      <c r="BE5904" s="1065"/>
      <c r="BF5904" s="1065"/>
      <c r="BG5904" s="1065"/>
    </row>
    <row r="5905" spans="4:59">
      <c r="D5905" s="1065"/>
      <c r="S5905" s="1065"/>
      <c r="BE5905" s="1065"/>
      <c r="BF5905" s="1065"/>
      <c r="BG5905" s="1065"/>
    </row>
    <row r="5906" spans="4:59">
      <c r="D5906" s="1065"/>
      <c r="S5906" s="1065"/>
      <c r="BE5906" s="1065"/>
      <c r="BF5906" s="1065"/>
      <c r="BG5906" s="1065"/>
    </row>
    <row r="5907" spans="4:59">
      <c r="D5907" s="1065"/>
      <c r="S5907" s="1065"/>
      <c r="BE5907" s="1065"/>
      <c r="BF5907" s="1065"/>
      <c r="BG5907" s="1065"/>
    </row>
    <row r="5908" spans="4:59">
      <c r="D5908" s="1065"/>
      <c r="S5908" s="1065"/>
      <c r="BE5908" s="1065"/>
      <c r="BF5908" s="1065"/>
      <c r="BG5908" s="1065"/>
    </row>
    <row r="5909" spans="4:59">
      <c r="D5909" s="1065"/>
      <c r="S5909" s="1065"/>
      <c r="BE5909" s="1065"/>
      <c r="BF5909" s="1065"/>
      <c r="BG5909" s="1065"/>
    </row>
    <row r="5910" spans="4:59">
      <c r="D5910" s="1065"/>
      <c r="S5910" s="1065"/>
      <c r="BE5910" s="1065"/>
      <c r="BF5910" s="1065"/>
      <c r="BG5910" s="1065"/>
    </row>
    <row r="5911" spans="4:59">
      <c r="D5911" s="1065"/>
      <c r="S5911" s="1065"/>
      <c r="BE5911" s="1065"/>
      <c r="BF5911" s="1065"/>
      <c r="BG5911" s="1065"/>
    </row>
    <row r="5912" spans="4:59">
      <c r="D5912" s="1065"/>
      <c r="S5912" s="1065"/>
      <c r="BE5912" s="1065"/>
      <c r="BF5912" s="1065"/>
      <c r="BG5912" s="1065"/>
    </row>
    <row r="5913" spans="4:59">
      <c r="D5913" s="1065"/>
      <c r="S5913" s="1065"/>
      <c r="BE5913" s="1065"/>
      <c r="BF5913" s="1065"/>
      <c r="BG5913" s="1065"/>
    </row>
    <row r="5914" spans="4:59">
      <c r="D5914" s="1065"/>
      <c r="S5914" s="1065"/>
      <c r="BE5914" s="1065"/>
      <c r="BF5914" s="1065"/>
      <c r="BG5914" s="1065"/>
    </row>
    <row r="5915" spans="4:59">
      <c r="D5915" s="1065"/>
      <c r="S5915" s="1065"/>
      <c r="BE5915" s="1065"/>
      <c r="BF5915" s="1065"/>
      <c r="BG5915" s="1065"/>
    </row>
    <row r="5916" spans="4:59">
      <c r="D5916" s="1065"/>
      <c r="S5916" s="1065"/>
      <c r="BE5916" s="1065"/>
      <c r="BF5916" s="1065"/>
      <c r="BG5916" s="1065"/>
    </row>
    <row r="5917" spans="4:59">
      <c r="D5917" s="1065"/>
      <c r="S5917" s="1065"/>
      <c r="BE5917" s="1065"/>
      <c r="BF5917" s="1065"/>
      <c r="BG5917" s="1065"/>
    </row>
    <row r="5918" spans="4:59">
      <c r="D5918" s="1065"/>
      <c r="S5918" s="1065"/>
      <c r="BE5918" s="1065"/>
      <c r="BF5918" s="1065"/>
      <c r="BG5918" s="1065"/>
    </row>
    <row r="5919" spans="4:59">
      <c r="D5919" s="1065"/>
      <c r="S5919" s="1065"/>
      <c r="BE5919" s="1065"/>
      <c r="BF5919" s="1065"/>
      <c r="BG5919" s="1065"/>
    </row>
    <row r="5920" spans="4:59">
      <c r="D5920" s="1065"/>
      <c r="S5920" s="1065"/>
      <c r="BE5920" s="1065"/>
      <c r="BF5920" s="1065"/>
      <c r="BG5920" s="1065"/>
    </row>
    <row r="5921" spans="4:59">
      <c r="D5921" s="1065"/>
      <c r="S5921" s="1065"/>
      <c r="BE5921" s="1065"/>
      <c r="BF5921" s="1065"/>
      <c r="BG5921" s="1065"/>
    </row>
    <row r="5922" spans="4:59">
      <c r="D5922" s="1065"/>
      <c r="S5922" s="1065"/>
      <c r="BE5922" s="1065"/>
      <c r="BF5922" s="1065"/>
      <c r="BG5922" s="1065"/>
    </row>
    <row r="5923" spans="4:59">
      <c r="D5923" s="1065"/>
      <c r="S5923" s="1065"/>
      <c r="BE5923" s="1065"/>
      <c r="BF5923" s="1065"/>
      <c r="BG5923" s="1065"/>
    </row>
    <row r="5924" spans="4:59">
      <c r="D5924" s="1065"/>
      <c r="S5924" s="1065"/>
      <c r="BE5924" s="1065"/>
      <c r="BF5924" s="1065"/>
      <c r="BG5924" s="1065"/>
    </row>
    <row r="5925" spans="4:59">
      <c r="D5925" s="1065"/>
      <c r="S5925" s="1065"/>
      <c r="BE5925" s="1065"/>
      <c r="BF5925" s="1065"/>
      <c r="BG5925" s="1065"/>
    </row>
    <row r="5926" spans="4:59">
      <c r="D5926" s="1065"/>
      <c r="S5926" s="1065"/>
      <c r="BE5926" s="1065"/>
      <c r="BF5926" s="1065"/>
      <c r="BG5926" s="1065"/>
    </row>
    <row r="5927" spans="4:59">
      <c r="D5927" s="1065"/>
      <c r="S5927" s="1065"/>
      <c r="BE5927" s="1065"/>
      <c r="BF5927" s="1065"/>
      <c r="BG5927" s="1065"/>
    </row>
    <row r="5928" spans="4:59">
      <c r="D5928" s="1065"/>
      <c r="S5928" s="1065"/>
      <c r="BE5928" s="1065"/>
      <c r="BF5928" s="1065"/>
      <c r="BG5928" s="1065"/>
    </row>
    <row r="5929" spans="4:59">
      <c r="D5929" s="1065"/>
      <c r="S5929" s="1065"/>
      <c r="BE5929" s="1065"/>
      <c r="BF5929" s="1065"/>
      <c r="BG5929" s="1065"/>
    </row>
    <row r="5930" spans="4:59">
      <c r="D5930" s="1065"/>
      <c r="S5930" s="1065"/>
      <c r="BE5930" s="1065"/>
      <c r="BF5930" s="1065"/>
      <c r="BG5930" s="1065"/>
    </row>
    <row r="5931" spans="4:59">
      <c r="D5931" s="1065"/>
      <c r="S5931" s="1065"/>
      <c r="BE5931" s="1065"/>
      <c r="BF5931" s="1065"/>
      <c r="BG5931" s="1065"/>
    </row>
    <row r="5932" spans="4:59">
      <c r="D5932" s="1065"/>
      <c r="S5932" s="1065"/>
      <c r="BE5932" s="1065"/>
      <c r="BF5932" s="1065"/>
      <c r="BG5932" s="1065"/>
    </row>
    <row r="5933" spans="4:59">
      <c r="D5933" s="1065"/>
      <c r="S5933" s="1065"/>
      <c r="BE5933" s="1065"/>
      <c r="BF5933" s="1065"/>
      <c r="BG5933" s="1065"/>
    </row>
    <row r="5934" spans="4:59">
      <c r="D5934" s="1065"/>
      <c r="S5934" s="1065"/>
      <c r="BE5934" s="1065"/>
      <c r="BF5934" s="1065"/>
      <c r="BG5934" s="1065"/>
    </row>
    <row r="5935" spans="4:59">
      <c r="D5935" s="1065"/>
      <c r="S5935" s="1065"/>
      <c r="BE5935" s="1065"/>
      <c r="BF5935" s="1065"/>
      <c r="BG5935" s="1065"/>
    </row>
    <row r="5936" spans="4:59">
      <c r="D5936" s="1065"/>
      <c r="S5936" s="1065"/>
      <c r="BE5936" s="1065"/>
      <c r="BF5936" s="1065"/>
      <c r="BG5936" s="1065"/>
    </row>
    <row r="5937" spans="4:59">
      <c r="D5937" s="1065"/>
      <c r="S5937" s="1065"/>
      <c r="BE5937" s="1065"/>
      <c r="BF5937" s="1065"/>
      <c r="BG5937" s="1065"/>
    </row>
    <row r="5938" spans="4:59">
      <c r="D5938" s="1065"/>
      <c r="S5938" s="1065"/>
      <c r="BE5938" s="1065"/>
      <c r="BF5938" s="1065"/>
      <c r="BG5938" s="1065"/>
    </row>
    <row r="5939" spans="4:59">
      <c r="D5939" s="1065"/>
      <c r="S5939" s="1065"/>
      <c r="BE5939" s="1065"/>
      <c r="BF5939" s="1065"/>
      <c r="BG5939" s="1065"/>
    </row>
    <row r="5940" spans="4:59">
      <c r="D5940" s="1065"/>
      <c r="S5940" s="1065"/>
      <c r="BE5940" s="1065"/>
      <c r="BF5940" s="1065"/>
      <c r="BG5940" s="1065"/>
    </row>
    <row r="5941" spans="4:59">
      <c r="D5941" s="1065"/>
      <c r="S5941" s="1065"/>
      <c r="BE5941" s="1065"/>
      <c r="BF5941" s="1065"/>
      <c r="BG5941" s="1065"/>
    </row>
    <row r="5942" spans="4:59">
      <c r="D5942" s="1065"/>
      <c r="S5942" s="1065"/>
      <c r="BE5942" s="1065"/>
      <c r="BF5942" s="1065"/>
      <c r="BG5942" s="1065"/>
    </row>
    <row r="5943" spans="4:59">
      <c r="D5943" s="1065"/>
      <c r="S5943" s="1065"/>
      <c r="BE5943" s="1065"/>
      <c r="BF5943" s="1065"/>
      <c r="BG5943" s="1065"/>
    </row>
    <row r="5944" spans="4:59">
      <c r="D5944" s="1065"/>
      <c r="S5944" s="1065"/>
      <c r="BE5944" s="1065"/>
      <c r="BF5944" s="1065"/>
      <c r="BG5944" s="1065"/>
    </row>
    <row r="5945" spans="4:59">
      <c r="D5945" s="1065"/>
      <c r="S5945" s="1065"/>
      <c r="BE5945" s="1065"/>
      <c r="BF5945" s="1065"/>
      <c r="BG5945" s="1065"/>
    </row>
    <row r="5946" spans="4:59">
      <c r="D5946" s="1065"/>
      <c r="S5946" s="1065"/>
      <c r="BE5946" s="1065"/>
      <c r="BF5946" s="1065"/>
      <c r="BG5946" s="1065"/>
    </row>
    <row r="5947" spans="4:59">
      <c r="D5947" s="1065"/>
      <c r="S5947" s="1065"/>
      <c r="BE5947" s="1065"/>
      <c r="BF5947" s="1065"/>
      <c r="BG5947" s="1065"/>
    </row>
    <row r="5948" spans="4:59">
      <c r="D5948" s="1065"/>
      <c r="S5948" s="1065"/>
      <c r="BE5948" s="1065"/>
      <c r="BF5948" s="1065"/>
      <c r="BG5948" s="1065"/>
    </row>
    <row r="5949" spans="4:59">
      <c r="D5949" s="1065"/>
      <c r="S5949" s="1065"/>
      <c r="BE5949" s="1065"/>
      <c r="BF5949" s="1065"/>
      <c r="BG5949" s="1065"/>
    </row>
    <row r="5950" spans="4:59">
      <c r="D5950" s="1065"/>
      <c r="S5950" s="1065"/>
      <c r="BE5950" s="1065"/>
      <c r="BF5950" s="1065"/>
      <c r="BG5950" s="1065"/>
    </row>
    <row r="5951" spans="4:59">
      <c r="D5951" s="1065"/>
      <c r="S5951" s="1065"/>
      <c r="BE5951" s="1065"/>
      <c r="BF5951" s="1065"/>
      <c r="BG5951" s="1065"/>
    </row>
    <row r="5952" spans="4:59">
      <c r="D5952" s="1065"/>
      <c r="S5952" s="1065"/>
      <c r="BE5952" s="1065"/>
      <c r="BF5952" s="1065"/>
      <c r="BG5952" s="1065"/>
    </row>
    <row r="5953" spans="4:59">
      <c r="D5953" s="1065"/>
      <c r="S5953" s="1065"/>
      <c r="BE5953" s="1065"/>
      <c r="BF5953" s="1065"/>
      <c r="BG5953" s="1065"/>
    </row>
    <row r="5954" spans="4:59">
      <c r="D5954" s="1065"/>
      <c r="S5954" s="1065"/>
      <c r="BE5954" s="1065"/>
      <c r="BF5954" s="1065"/>
      <c r="BG5954" s="1065"/>
    </row>
    <row r="5955" spans="4:59">
      <c r="D5955" s="1065"/>
      <c r="S5955" s="1065"/>
      <c r="BE5955" s="1065"/>
      <c r="BF5955" s="1065"/>
      <c r="BG5955" s="1065"/>
    </row>
    <row r="5956" spans="4:59">
      <c r="D5956" s="1065"/>
      <c r="S5956" s="1065"/>
      <c r="BE5956" s="1065"/>
      <c r="BF5956" s="1065"/>
      <c r="BG5956" s="1065"/>
    </row>
    <row r="5957" spans="4:59">
      <c r="D5957" s="1065"/>
      <c r="S5957" s="1065"/>
      <c r="BE5957" s="1065"/>
      <c r="BF5957" s="1065"/>
      <c r="BG5957" s="1065"/>
    </row>
    <row r="5958" spans="4:59">
      <c r="D5958" s="1065"/>
      <c r="S5958" s="1065"/>
      <c r="BE5958" s="1065"/>
      <c r="BF5958" s="1065"/>
      <c r="BG5958" s="1065"/>
    </row>
    <row r="5959" spans="4:59">
      <c r="D5959" s="1065"/>
      <c r="S5959" s="1065"/>
      <c r="BE5959" s="1065"/>
      <c r="BF5959" s="1065"/>
      <c r="BG5959" s="1065"/>
    </row>
    <row r="5960" spans="4:59">
      <c r="D5960" s="1065"/>
      <c r="S5960" s="1065"/>
      <c r="BE5960" s="1065"/>
      <c r="BF5960" s="1065"/>
      <c r="BG5960" s="1065"/>
    </row>
    <row r="5961" spans="4:59">
      <c r="D5961" s="1065"/>
      <c r="S5961" s="1065"/>
      <c r="BE5961" s="1065"/>
      <c r="BF5961" s="1065"/>
      <c r="BG5961" s="1065"/>
    </row>
    <row r="5962" spans="4:59">
      <c r="D5962" s="1065"/>
      <c r="S5962" s="1065"/>
      <c r="BE5962" s="1065"/>
      <c r="BF5962" s="1065"/>
      <c r="BG5962" s="1065"/>
    </row>
    <row r="5963" spans="4:59">
      <c r="D5963" s="1065"/>
      <c r="S5963" s="1065"/>
      <c r="BE5963" s="1065"/>
      <c r="BF5963" s="1065"/>
      <c r="BG5963" s="1065"/>
    </row>
    <row r="5964" spans="4:59">
      <c r="D5964" s="1065"/>
      <c r="S5964" s="1065"/>
      <c r="BE5964" s="1065"/>
      <c r="BF5964" s="1065"/>
      <c r="BG5964" s="1065"/>
    </row>
    <row r="5965" spans="4:59">
      <c r="D5965" s="1065"/>
      <c r="S5965" s="1065"/>
      <c r="BE5965" s="1065"/>
      <c r="BF5965" s="1065"/>
      <c r="BG5965" s="1065"/>
    </row>
    <row r="5966" spans="4:59">
      <c r="D5966" s="1065"/>
      <c r="S5966" s="1065"/>
      <c r="BE5966" s="1065"/>
      <c r="BF5966" s="1065"/>
      <c r="BG5966" s="1065"/>
    </row>
    <row r="5967" spans="4:59">
      <c r="D5967" s="1065"/>
      <c r="S5967" s="1065"/>
      <c r="BE5967" s="1065"/>
      <c r="BF5967" s="1065"/>
      <c r="BG5967" s="1065"/>
    </row>
    <row r="5968" spans="4:59">
      <c r="D5968" s="1065"/>
      <c r="S5968" s="1065"/>
      <c r="BE5968" s="1065"/>
      <c r="BF5968" s="1065"/>
      <c r="BG5968" s="1065"/>
    </row>
    <row r="5969" spans="4:59">
      <c r="D5969" s="1065"/>
      <c r="S5969" s="1065"/>
      <c r="BE5969" s="1065"/>
      <c r="BF5969" s="1065"/>
      <c r="BG5969" s="1065"/>
    </row>
    <row r="5970" spans="4:59">
      <c r="D5970" s="1065"/>
      <c r="S5970" s="1065"/>
      <c r="BE5970" s="1065"/>
      <c r="BF5970" s="1065"/>
      <c r="BG5970" s="1065"/>
    </row>
    <row r="5971" spans="4:59">
      <c r="D5971" s="1065"/>
      <c r="S5971" s="1065"/>
      <c r="BE5971" s="1065"/>
      <c r="BF5971" s="1065"/>
      <c r="BG5971" s="1065"/>
    </row>
    <row r="5972" spans="4:59">
      <c r="D5972" s="1065"/>
      <c r="S5972" s="1065"/>
      <c r="BE5972" s="1065"/>
      <c r="BF5972" s="1065"/>
      <c r="BG5972" s="1065"/>
    </row>
    <row r="5973" spans="4:59">
      <c r="D5973" s="1065"/>
      <c r="S5973" s="1065"/>
      <c r="BE5973" s="1065"/>
      <c r="BF5973" s="1065"/>
      <c r="BG5973" s="1065"/>
    </row>
    <row r="5974" spans="4:59">
      <c r="D5974" s="1065"/>
      <c r="S5974" s="1065"/>
      <c r="BE5974" s="1065"/>
      <c r="BF5974" s="1065"/>
      <c r="BG5974" s="1065"/>
    </row>
    <row r="5975" spans="4:59">
      <c r="D5975" s="1065"/>
      <c r="S5975" s="1065"/>
      <c r="BE5975" s="1065"/>
      <c r="BF5975" s="1065"/>
      <c r="BG5975" s="1065"/>
    </row>
    <row r="5976" spans="4:59">
      <c r="D5976" s="1065"/>
      <c r="S5976" s="1065"/>
      <c r="BE5976" s="1065"/>
      <c r="BF5976" s="1065"/>
      <c r="BG5976" s="1065"/>
    </row>
    <row r="5977" spans="4:59">
      <c r="D5977" s="1065"/>
      <c r="S5977" s="1065"/>
      <c r="BE5977" s="1065"/>
      <c r="BF5977" s="1065"/>
      <c r="BG5977" s="1065"/>
    </row>
    <row r="5978" spans="4:59">
      <c r="D5978" s="1065"/>
      <c r="S5978" s="1065"/>
      <c r="BE5978" s="1065"/>
      <c r="BF5978" s="1065"/>
      <c r="BG5978" s="1065"/>
    </row>
    <row r="5979" spans="4:59">
      <c r="D5979" s="1065"/>
      <c r="S5979" s="1065"/>
      <c r="BE5979" s="1065"/>
      <c r="BF5979" s="1065"/>
      <c r="BG5979" s="1065"/>
    </row>
    <row r="5980" spans="4:59">
      <c r="D5980" s="1065"/>
      <c r="S5980" s="1065"/>
      <c r="BE5980" s="1065"/>
      <c r="BF5980" s="1065"/>
      <c r="BG5980" s="1065"/>
    </row>
    <row r="5981" spans="4:59">
      <c r="D5981" s="1065"/>
      <c r="S5981" s="1065"/>
      <c r="BE5981" s="1065"/>
      <c r="BF5981" s="1065"/>
      <c r="BG5981" s="1065"/>
    </row>
    <row r="5982" spans="4:59">
      <c r="D5982" s="1065"/>
      <c r="S5982" s="1065"/>
      <c r="BE5982" s="1065"/>
      <c r="BF5982" s="1065"/>
      <c r="BG5982" s="1065"/>
    </row>
    <row r="5983" spans="4:59">
      <c r="D5983" s="1065"/>
      <c r="S5983" s="1065"/>
      <c r="BE5983" s="1065"/>
      <c r="BF5983" s="1065"/>
      <c r="BG5983" s="1065"/>
    </row>
    <row r="5984" spans="4:59">
      <c r="D5984" s="1065"/>
      <c r="S5984" s="1065"/>
      <c r="BE5984" s="1065"/>
      <c r="BF5984" s="1065"/>
      <c r="BG5984" s="1065"/>
    </row>
    <row r="5985" spans="4:59">
      <c r="D5985" s="1065"/>
      <c r="S5985" s="1065"/>
      <c r="BE5985" s="1065"/>
      <c r="BF5985" s="1065"/>
      <c r="BG5985" s="1065"/>
    </row>
    <row r="5986" spans="4:59">
      <c r="D5986" s="1065"/>
      <c r="S5986" s="1065"/>
      <c r="BE5986" s="1065"/>
      <c r="BF5986" s="1065"/>
      <c r="BG5986" s="1065"/>
    </row>
    <row r="5987" spans="4:59">
      <c r="D5987" s="1065"/>
      <c r="S5987" s="1065"/>
      <c r="BE5987" s="1065"/>
      <c r="BF5987" s="1065"/>
      <c r="BG5987" s="1065"/>
    </row>
    <row r="5988" spans="4:59">
      <c r="D5988" s="1065"/>
      <c r="S5988" s="1065"/>
      <c r="BE5988" s="1065"/>
      <c r="BF5988" s="1065"/>
      <c r="BG5988" s="1065"/>
    </row>
    <row r="5989" spans="4:59">
      <c r="D5989" s="1065"/>
      <c r="S5989" s="1065"/>
      <c r="BE5989" s="1065"/>
      <c r="BF5989" s="1065"/>
      <c r="BG5989" s="1065"/>
    </row>
    <row r="5990" spans="4:59">
      <c r="D5990" s="1065"/>
      <c r="S5990" s="1065"/>
      <c r="BE5990" s="1065"/>
      <c r="BF5990" s="1065"/>
      <c r="BG5990" s="1065"/>
    </row>
    <row r="5991" spans="4:59">
      <c r="D5991" s="1065"/>
      <c r="S5991" s="1065"/>
      <c r="BE5991" s="1065"/>
      <c r="BF5991" s="1065"/>
      <c r="BG5991" s="1065"/>
    </row>
    <row r="5992" spans="4:59">
      <c r="D5992" s="1065"/>
      <c r="S5992" s="1065"/>
      <c r="BE5992" s="1065"/>
      <c r="BF5992" s="1065"/>
      <c r="BG5992" s="1065"/>
    </row>
    <row r="5993" spans="4:59">
      <c r="D5993" s="1065"/>
      <c r="S5993" s="1065"/>
      <c r="BE5993" s="1065"/>
      <c r="BF5993" s="1065"/>
      <c r="BG5993" s="1065"/>
    </row>
    <row r="5994" spans="4:59">
      <c r="D5994" s="1065"/>
      <c r="S5994" s="1065"/>
      <c r="BE5994" s="1065"/>
      <c r="BF5994" s="1065"/>
      <c r="BG5994" s="1065"/>
    </row>
    <row r="5995" spans="4:59">
      <c r="D5995" s="1065"/>
      <c r="S5995" s="1065"/>
      <c r="BE5995" s="1065"/>
      <c r="BF5995" s="1065"/>
      <c r="BG5995" s="1065"/>
    </row>
    <row r="5996" spans="4:59">
      <c r="D5996" s="1065"/>
      <c r="S5996" s="1065"/>
      <c r="BE5996" s="1065"/>
      <c r="BF5996" s="1065"/>
      <c r="BG5996" s="1065"/>
    </row>
    <row r="5997" spans="4:59">
      <c r="D5997" s="1065"/>
      <c r="S5997" s="1065"/>
      <c r="BE5997" s="1065"/>
      <c r="BF5997" s="1065"/>
      <c r="BG5997" s="1065"/>
    </row>
    <row r="5998" spans="4:59">
      <c r="D5998" s="1065"/>
      <c r="S5998" s="1065"/>
      <c r="BE5998" s="1065"/>
      <c r="BF5998" s="1065"/>
      <c r="BG5998" s="1065"/>
    </row>
    <row r="5999" spans="4:59">
      <c r="D5999" s="1065"/>
      <c r="S5999" s="1065"/>
      <c r="BE5999" s="1065"/>
      <c r="BF5999" s="1065"/>
      <c r="BG5999" s="1065"/>
    </row>
    <row r="6000" spans="4:59">
      <c r="D6000" s="1065"/>
      <c r="S6000" s="1065"/>
      <c r="BE6000" s="1065"/>
      <c r="BF6000" s="1065"/>
      <c r="BG6000" s="1065"/>
    </row>
    <row r="6001" spans="4:59">
      <c r="D6001" s="1065"/>
      <c r="S6001" s="1065"/>
      <c r="BE6001" s="1065"/>
      <c r="BF6001" s="1065"/>
      <c r="BG6001" s="1065"/>
    </row>
    <row r="6002" spans="4:59">
      <c r="D6002" s="1065"/>
      <c r="S6002" s="1065"/>
      <c r="BE6002" s="1065"/>
      <c r="BF6002" s="1065"/>
      <c r="BG6002" s="1065"/>
    </row>
    <row r="6003" spans="4:59">
      <c r="D6003" s="1065"/>
      <c r="S6003" s="1065"/>
      <c r="BE6003" s="1065"/>
      <c r="BF6003" s="1065"/>
      <c r="BG6003" s="1065"/>
    </row>
    <row r="6004" spans="4:59">
      <c r="D6004" s="1065"/>
      <c r="S6004" s="1065"/>
      <c r="BE6004" s="1065"/>
      <c r="BF6004" s="1065"/>
      <c r="BG6004" s="1065"/>
    </row>
    <row r="6005" spans="4:59">
      <c r="D6005" s="1065"/>
      <c r="S6005" s="1065"/>
      <c r="BE6005" s="1065"/>
      <c r="BF6005" s="1065"/>
      <c r="BG6005" s="1065"/>
    </row>
    <row r="6006" spans="4:59">
      <c r="D6006" s="1065"/>
      <c r="S6006" s="1065"/>
      <c r="BE6006" s="1065"/>
      <c r="BF6006" s="1065"/>
      <c r="BG6006" s="1065"/>
    </row>
    <row r="6007" spans="4:59">
      <c r="D6007" s="1065"/>
      <c r="S6007" s="1065"/>
      <c r="BE6007" s="1065"/>
      <c r="BF6007" s="1065"/>
      <c r="BG6007" s="1065"/>
    </row>
    <row r="6008" spans="4:59">
      <c r="D6008" s="1065"/>
      <c r="S6008" s="1065"/>
      <c r="BE6008" s="1065"/>
      <c r="BF6008" s="1065"/>
      <c r="BG6008" s="1065"/>
    </row>
    <row r="6009" spans="4:59">
      <c r="D6009" s="1065"/>
      <c r="S6009" s="1065"/>
      <c r="BE6009" s="1065"/>
      <c r="BF6009" s="1065"/>
      <c r="BG6009" s="1065"/>
    </row>
    <row r="6010" spans="4:59">
      <c r="D6010" s="1065"/>
      <c r="S6010" s="1065"/>
      <c r="BE6010" s="1065"/>
      <c r="BF6010" s="1065"/>
      <c r="BG6010" s="1065"/>
    </row>
    <row r="6011" spans="4:59">
      <c r="D6011" s="1065"/>
      <c r="S6011" s="1065"/>
      <c r="BE6011" s="1065"/>
      <c r="BF6011" s="1065"/>
      <c r="BG6011" s="1065"/>
    </row>
    <row r="6012" spans="4:59">
      <c r="D6012" s="1065"/>
      <c r="S6012" s="1065"/>
      <c r="BE6012" s="1065"/>
      <c r="BF6012" s="1065"/>
      <c r="BG6012" s="1065"/>
    </row>
    <row r="6013" spans="4:59">
      <c r="D6013" s="1065"/>
      <c r="S6013" s="1065"/>
      <c r="BE6013" s="1065"/>
      <c r="BF6013" s="1065"/>
      <c r="BG6013" s="1065"/>
    </row>
    <row r="6014" spans="4:59">
      <c r="D6014" s="1065"/>
      <c r="S6014" s="1065"/>
      <c r="BE6014" s="1065"/>
      <c r="BF6014" s="1065"/>
      <c r="BG6014" s="1065"/>
    </row>
    <row r="6015" spans="4:59">
      <c r="D6015" s="1065"/>
      <c r="S6015" s="1065"/>
      <c r="BE6015" s="1065"/>
      <c r="BF6015" s="1065"/>
      <c r="BG6015" s="1065"/>
    </row>
    <row r="6016" spans="4:59">
      <c r="D6016" s="1065"/>
      <c r="S6016" s="1065"/>
      <c r="BE6016" s="1065"/>
      <c r="BF6016" s="1065"/>
      <c r="BG6016" s="1065"/>
    </row>
    <row r="6017" spans="4:59">
      <c r="D6017" s="1065"/>
      <c r="S6017" s="1065"/>
      <c r="BE6017" s="1065"/>
      <c r="BF6017" s="1065"/>
      <c r="BG6017" s="1065"/>
    </row>
    <row r="6018" spans="4:59">
      <c r="D6018" s="1065"/>
      <c r="S6018" s="1065"/>
      <c r="BE6018" s="1065"/>
      <c r="BF6018" s="1065"/>
      <c r="BG6018" s="1065"/>
    </row>
    <row r="6019" spans="4:59">
      <c r="D6019" s="1065"/>
      <c r="S6019" s="1065"/>
      <c r="BE6019" s="1065"/>
      <c r="BF6019" s="1065"/>
      <c r="BG6019" s="1065"/>
    </row>
    <row r="6020" spans="4:59">
      <c r="D6020" s="1065"/>
      <c r="S6020" s="1065"/>
      <c r="BE6020" s="1065"/>
      <c r="BF6020" s="1065"/>
      <c r="BG6020" s="1065"/>
    </row>
    <row r="6022" spans="4:59">
      <c r="D6022" s="1065"/>
      <c r="S6022" s="1065"/>
      <c r="BE6022" s="1065"/>
      <c r="BF6022" s="1065"/>
      <c r="BG6022" s="1065"/>
    </row>
    <row r="6023" spans="4:59">
      <c r="D6023" s="1065"/>
      <c r="S6023" s="1065"/>
      <c r="BE6023" s="1065"/>
      <c r="BF6023" s="1065"/>
      <c r="BG6023" s="1065"/>
    </row>
    <row r="6024" spans="4:59">
      <c r="D6024" s="1065"/>
      <c r="S6024" s="1065"/>
      <c r="BE6024" s="1065"/>
      <c r="BF6024" s="1065"/>
      <c r="BG6024" s="1065"/>
    </row>
    <row r="6025" spans="4:59">
      <c r="D6025" s="1065"/>
      <c r="S6025" s="1065"/>
      <c r="BE6025" s="1065"/>
      <c r="BF6025" s="1065"/>
      <c r="BG6025" s="1065"/>
    </row>
    <row r="6026" spans="4:59">
      <c r="D6026" s="1065"/>
      <c r="S6026" s="1065"/>
      <c r="BE6026" s="1065"/>
      <c r="BF6026" s="1065"/>
      <c r="BG6026" s="1065"/>
    </row>
    <row r="6027" spans="4:59">
      <c r="D6027" s="1065"/>
      <c r="S6027" s="1065"/>
      <c r="BE6027" s="1065"/>
      <c r="BF6027" s="1065"/>
      <c r="BG6027" s="1065"/>
    </row>
    <row r="6028" spans="4:59">
      <c r="D6028" s="1065"/>
      <c r="S6028" s="1065"/>
      <c r="BE6028" s="1065"/>
      <c r="BF6028" s="1065"/>
      <c r="BG6028" s="1065"/>
    </row>
    <row r="6029" spans="4:59">
      <c r="D6029" s="1065"/>
      <c r="S6029" s="1065"/>
      <c r="BE6029" s="1065"/>
      <c r="BF6029" s="1065"/>
      <c r="BG6029" s="1065"/>
    </row>
    <row r="6030" spans="4:59">
      <c r="D6030" s="1065"/>
      <c r="S6030" s="1065"/>
      <c r="BE6030" s="1065"/>
      <c r="BF6030" s="1065"/>
      <c r="BG6030" s="1065"/>
    </row>
    <row r="6031" spans="4:59">
      <c r="D6031" s="1065"/>
      <c r="S6031" s="1065"/>
      <c r="BE6031" s="1065"/>
      <c r="BF6031" s="1065"/>
      <c r="BG6031" s="1065"/>
    </row>
    <row r="6032" spans="4:59">
      <c r="D6032" s="1065"/>
      <c r="S6032" s="1065"/>
      <c r="BE6032" s="1065"/>
      <c r="BF6032" s="1065"/>
      <c r="BG6032" s="1065"/>
    </row>
    <row r="6033" spans="4:59">
      <c r="D6033" s="1065"/>
      <c r="S6033" s="1065"/>
      <c r="BE6033" s="1065"/>
      <c r="BF6033" s="1065"/>
      <c r="BG6033" s="1065"/>
    </row>
    <row r="6034" spans="4:59">
      <c r="D6034" s="1065"/>
      <c r="S6034" s="1065"/>
      <c r="BE6034" s="1065"/>
      <c r="BF6034" s="1065"/>
      <c r="BG6034" s="1065"/>
    </row>
    <row r="6035" spans="4:59">
      <c r="D6035" s="1065"/>
      <c r="S6035" s="1065"/>
      <c r="BE6035" s="1065"/>
      <c r="BF6035" s="1065"/>
      <c r="BG6035" s="1065"/>
    </row>
    <row r="6036" spans="4:59">
      <c r="D6036" s="1065"/>
      <c r="S6036" s="1065"/>
      <c r="BE6036" s="1065"/>
      <c r="BF6036" s="1065"/>
      <c r="BG6036" s="1065"/>
    </row>
    <row r="6037" spans="4:59">
      <c r="D6037" s="1065"/>
      <c r="S6037" s="1065"/>
      <c r="BE6037" s="1065"/>
      <c r="BF6037" s="1065"/>
      <c r="BG6037" s="1065"/>
    </row>
    <row r="6038" spans="4:59">
      <c r="D6038" s="1065"/>
      <c r="S6038" s="1065"/>
      <c r="BE6038" s="1065"/>
      <c r="BF6038" s="1065"/>
      <c r="BG6038" s="1065"/>
    </row>
    <row r="6039" spans="4:59">
      <c r="D6039" s="1065"/>
      <c r="S6039" s="1065"/>
      <c r="BE6039" s="1065"/>
      <c r="BF6039" s="1065"/>
      <c r="BG6039" s="1065"/>
    </row>
    <row r="6040" spans="4:59">
      <c r="D6040" s="1065"/>
      <c r="S6040" s="1065"/>
      <c r="BE6040" s="1065"/>
      <c r="BF6040" s="1065"/>
      <c r="BG6040" s="1065"/>
    </row>
    <row r="6041" spans="4:59">
      <c r="D6041" s="1065"/>
      <c r="S6041" s="1065"/>
      <c r="BE6041" s="1065"/>
      <c r="BF6041" s="1065"/>
      <c r="BG6041" s="1065"/>
    </row>
    <row r="6042" spans="4:59">
      <c r="D6042" s="1065"/>
      <c r="S6042" s="1065"/>
      <c r="BE6042" s="1065"/>
      <c r="BF6042" s="1065"/>
      <c r="BG6042" s="1065"/>
    </row>
    <row r="6043" spans="4:59">
      <c r="D6043" s="1065"/>
      <c r="S6043" s="1065"/>
      <c r="BE6043" s="1065"/>
      <c r="BF6043" s="1065"/>
      <c r="BG6043" s="1065"/>
    </row>
    <row r="6044" spans="4:59">
      <c r="D6044" s="1065"/>
      <c r="S6044" s="1065"/>
      <c r="BE6044" s="1065"/>
      <c r="BF6044" s="1065"/>
      <c r="BG6044" s="1065"/>
    </row>
    <row r="6045" spans="4:59">
      <c r="D6045" s="1065"/>
      <c r="S6045" s="1065"/>
      <c r="BE6045" s="1065"/>
      <c r="BF6045" s="1065"/>
      <c r="BG6045" s="1065"/>
    </row>
    <row r="6046" spans="4:59">
      <c r="D6046" s="1065"/>
      <c r="S6046" s="1065"/>
      <c r="BE6046" s="1065"/>
      <c r="BF6046" s="1065"/>
      <c r="BG6046" s="1065"/>
    </row>
    <row r="6047" spans="4:59">
      <c r="D6047" s="1065"/>
      <c r="S6047" s="1065"/>
      <c r="BE6047" s="1065"/>
      <c r="BF6047" s="1065"/>
      <c r="BG6047" s="1065"/>
    </row>
    <row r="6048" spans="4:59">
      <c r="D6048" s="1065"/>
      <c r="S6048" s="1065"/>
      <c r="BE6048" s="1065"/>
      <c r="BF6048" s="1065"/>
      <c r="BG6048" s="1065"/>
    </row>
    <row r="6049" spans="4:59">
      <c r="D6049" s="1065"/>
      <c r="S6049" s="1065"/>
      <c r="BE6049" s="1065"/>
      <c r="BF6049" s="1065"/>
      <c r="BG6049" s="1065"/>
    </row>
    <row r="6050" spans="4:59">
      <c r="D6050" s="1065"/>
      <c r="S6050" s="1065"/>
      <c r="BE6050" s="1065"/>
      <c r="BF6050" s="1065"/>
      <c r="BG6050" s="1065"/>
    </row>
    <row r="6051" spans="4:59">
      <c r="D6051" s="1065"/>
      <c r="S6051" s="1065"/>
      <c r="BE6051" s="1065"/>
      <c r="BF6051" s="1065"/>
      <c r="BG6051" s="1065"/>
    </row>
    <row r="6052" spans="4:59">
      <c r="D6052" s="1065"/>
      <c r="S6052" s="1065"/>
      <c r="BE6052" s="1065"/>
      <c r="BF6052" s="1065"/>
      <c r="BG6052" s="1065"/>
    </row>
    <row r="6053" spans="4:59">
      <c r="D6053" s="1065"/>
      <c r="S6053" s="1065"/>
      <c r="BE6053" s="1065"/>
      <c r="BF6053" s="1065"/>
      <c r="BG6053" s="1065"/>
    </row>
    <row r="6054" spans="4:59">
      <c r="D6054" s="1065"/>
      <c r="S6054" s="1065"/>
      <c r="BE6054" s="1065"/>
      <c r="BF6054" s="1065"/>
      <c r="BG6054" s="1065"/>
    </row>
    <row r="6055" spans="4:59">
      <c r="D6055" s="1065"/>
      <c r="S6055" s="1065"/>
      <c r="BE6055" s="1065"/>
      <c r="BF6055" s="1065"/>
      <c r="BG6055" s="1065"/>
    </row>
    <row r="6056" spans="4:59">
      <c r="D6056" s="1065"/>
      <c r="S6056" s="1065"/>
      <c r="BE6056" s="1065"/>
      <c r="BF6056" s="1065"/>
      <c r="BG6056" s="1065"/>
    </row>
    <row r="6057" spans="4:59">
      <c r="D6057" s="1065"/>
      <c r="S6057" s="1065"/>
      <c r="BE6057" s="1065"/>
      <c r="BF6057" s="1065"/>
      <c r="BG6057" s="1065"/>
    </row>
    <row r="6058" spans="4:59">
      <c r="D6058" s="1065"/>
      <c r="S6058" s="1065"/>
      <c r="BE6058" s="1065"/>
      <c r="BF6058" s="1065"/>
      <c r="BG6058" s="1065"/>
    </row>
    <row r="6059" spans="4:59">
      <c r="D6059" s="1065"/>
      <c r="S6059" s="1065"/>
      <c r="BE6059" s="1065"/>
      <c r="BF6059" s="1065"/>
      <c r="BG6059" s="1065"/>
    </row>
    <row r="6060" spans="4:59">
      <c r="D6060" s="1065"/>
      <c r="S6060" s="1065"/>
      <c r="BE6060" s="1065"/>
      <c r="BF6060" s="1065"/>
      <c r="BG6060" s="1065"/>
    </row>
    <row r="6061" spans="4:59">
      <c r="D6061" s="1065"/>
      <c r="S6061" s="1065"/>
      <c r="BE6061" s="1065"/>
      <c r="BF6061" s="1065"/>
      <c r="BG6061" s="1065"/>
    </row>
    <row r="6062" spans="4:59">
      <c r="D6062" s="1065"/>
      <c r="S6062" s="1065"/>
      <c r="BE6062" s="1065"/>
      <c r="BF6062" s="1065"/>
      <c r="BG6062" s="1065"/>
    </row>
    <row r="6063" spans="4:59">
      <c r="D6063" s="1065"/>
      <c r="S6063" s="1065"/>
      <c r="BE6063" s="1065"/>
      <c r="BF6063" s="1065"/>
      <c r="BG6063" s="1065"/>
    </row>
    <row r="6064" spans="4:59">
      <c r="D6064" s="1065"/>
      <c r="S6064" s="1065"/>
      <c r="BE6064" s="1065"/>
      <c r="BF6064" s="1065"/>
      <c r="BG6064" s="1065"/>
    </row>
    <row r="6065" spans="4:59">
      <c r="D6065" s="1065"/>
      <c r="S6065" s="1065"/>
      <c r="BE6065" s="1065"/>
      <c r="BF6065" s="1065"/>
      <c r="BG6065" s="1065"/>
    </row>
    <row r="6066" spans="4:59">
      <c r="D6066" s="1065"/>
      <c r="S6066" s="1065"/>
      <c r="BE6066" s="1065"/>
      <c r="BF6066" s="1065"/>
      <c r="BG6066" s="1065"/>
    </row>
    <row r="6067" spans="4:59">
      <c r="D6067" s="1065"/>
      <c r="S6067" s="1065"/>
      <c r="BE6067" s="1065"/>
      <c r="BF6067" s="1065"/>
      <c r="BG6067" s="1065"/>
    </row>
    <row r="6068" spans="4:59">
      <c r="D6068" s="1065"/>
      <c r="S6068" s="1065"/>
      <c r="BE6068" s="1065"/>
      <c r="BF6068" s="1065"/>
      <c r="BG6068" s="1065"/>
    </row>
    <row r="6069" spans="4:59">
      <c r="D6069" s="1065"/>
      <c r="S6069" s="1065"/>
      <c r="BE6069" s="1065"/>
      <c r="BF6069" s="1065"/>
      <c r="BG6069" s="1065"/>
    </row>
    <row r="6070" spans="4:59">
      <c r="D6070" s="1065"/>
      <c r="S6070" s="1065"/>
      <c r="BE6070" s="1065"/>
      <c r="BF6070" s="1065"/>
      <c r="BG6070" s="1065"/>
    </row>
    <row r="6071" spans="4:59">
      <c r="D6071" s="1065"/>
      <c r="S6071" s="1065"/>
      <c r="BE6071" s="1065"/>
      <c r="BF6071" s="1065"/>
      <c r="BG6071" s="1065"/>
    </row>
    <row r="6072" spans="4:59">
      <c r="D6072" s="1065"/>
      <c r="S6072" s="1065"/>
      <c r="BE6072" s="1065"/>
      <c r="BF6072" s="1065"/>
      <c r="BG6072" s="1065"/>
    </row>
    <row r="6073" spans="4:59">
      <c r="D6073" s="1065"/>
      <c r="S6073" s="1065"/>
      <c r="BE6073" s="1065"/>
      <c r="BF6073" s="1065"/>
      <c r="BG6073" s="1065"/>
    </row>
    <row r="6074" spans="4:59">
      <c r="D6074" s="1065"/>
      <c r="S6074" s="1065"/>
      <c r="BE6074" s="1065"/>
      <c r="BF6074" s="1065"/>
      <c r="BG6074" s="1065"/>
    </row>
    <row r="6075" spans="4:59">
      <c r="D6075" s="1065"/>
      <c r="S6075" s="1065"/>
      <c r="BE6075" s="1065"/>
      <c r="BF6075" s="1065"/>
      <c r="BG6075" s="1065"/>
    </row>
    <row r="6076" spans="4:59">
      <c r="D6076" s="1065"/>
      <c r="S6076" s="1065"/>
      <c r="BE6076" s="1065"/>
      <c r="BF6076" s="1065"/>
      <c r="BG6076" s="1065"/>
    </row>
    <row r="6077" spans="4:59">
      <c r="D6077" s="1065"/>
      <c r="S6077" s="1065"/>
      <c r="BE6077" s="1065"/>
      <c r="BF6077" s="1065"/>
      <c r="BG6077" s="1065"/>
    </row>
    <row r="6078" spans="4:59">
      <c r="D6078" s="1065"/>
      <c r="S6078" s="1065"/>
      <c r="BE6078" s="1065"/>
      <c r="BF6078" s="1065"/>
      <c r="BG6078" s="1065"/>
    </row>
    <row r="6079" spans="4:59">
      <c r="D6079" s="1065"/>
      <c r="S6079" s="1065"/>
      <c r="BE6079" s="1065"/>
      <c r="BF6079" s="1065"/>
      <c r="BG6079" s="1065"/>
    </row>
    <row r="6080" spans="4:59">
      <c r="D6080" s="1065"/>
      <c r="S6080" s="1065"/>
      <c r="BE6080" s="1065"/>
      <c r="BF6080" s="1065"/>
      <c r="BG6080" s="1065"/>
    </row>
    <row r="6081" spans="4:59">
      <c r="D6081" s="1065"/>
      <c r="S6081" s="1065"/>
      <c r="BE6081" s="1065"/>
      <c r="BF6081" s="1065"/>
      <c r="BG6081" s="1065"/>
    </row>
    <row r="6082" spans="4:59">
      <c r="D6082" s="1065"/>
      <c r="S6082" s="1065"/>
      <c r="BE6082" s="1065"/>
      <c r="BF6082" s="1065"/>
      <c r="BG6082" s="1065"/>
    </row>
    <row r="6083" spans="4:59">
      <c r="D6083" s="1065"/>
      <c r="S6083" s="1065"/>
      <c r="BE6083" s="1065"/>
      <c r="BF6083" s="1065"/>
      <c r="BG6083" s="1065"/>
    </row>
    <row r="6084" spans="4:59">
      <c r="D6084" s="1065"/>
      <c r="S6084" s="1065"/>
      <c r="BE6084" s="1065"/>
      <c r="BF6084" s="1065"/>
      <c r="BG6084" s="1065"/>
    </row>
    <row r="6085" spans="4:59">
      <c r="D6085" s="1065"/>
      <c r="S6085" s="1065"/>
      <c r="BE6085" s="1065"/>
      <c r="BF6085" s="1065"/>
      <c r="BG6085" s="1065"/>
    </row>
    <row r="6086" spans="4:59">
      <c r="D6086" s="1065"/>
      <c r="S6086" s="1065"/>
      <c r="BE6086" s="1065"/>
      <c r="BF6086" s="1065"/>
      <c r="BG6086" s="1065"/>
    </row>
    <row r="6087" spans="4:59">
      <c r="D6087" s="1065"/>
      <c r="S6087" s="1065"/>
      <c r="BE6087" s="1065"/>
      <c r="BF6087" s="1065"/>
      <c r="BG6087" s="1065"/>
    </row>
    <row r="6088" spans="4:59">
      <c r="D6088" s="1065"/>
      <c r="S6088" s="1065"/>
      <c r="BE6088" s="1065"/>
      <c r="BF6088" s="1065"/>
      <c r="BG6088" s="1065"/>
    </row>
    <row r="6089" spans="4:59">
      <c r="D6089" s="1065"/>
      <c r="S6089" s="1065"/>
      <c r="BE6089" s="1065"/>
      <c r="BF6089" s="1065"/>
      <c r="BG6089" s="1065"/>
    </row>
    <row r="6090" spans="4:59">
      <c r="D6090" s="1065"/>
      <c r="S6090" s="1065"/>
      <c r="BE6090" s="1065"/>
      <c r="BF6090" s="1065"/>
      <c r="BG6090" s="1065"/>
    </row>
    <row r="6091" spans="4:59">
      <c r="D6091" s="1065"/>
      <c r="S6091" s="1065"/>
      <c r="BE6091" s="1065"/>
      <c r="BF6091" s="1065"/>
      <c r="BG6091" s="1065"/>
    </row>
    <row r="6092" spans="4:59">
      <c r="D6092" s="1065"/>
      <c r="S6092" s="1065"/>
      <c r="BE6092" s="1065"/>
      <c r="BF6092" s="1065"/>
      <c r="BG6092" s="1065"/>
    </row>
    <row r="6093" spans="4:59">
      <c r="D6093" s="1065"/>
      <c r="S6093" s="1065"/>
      <c r="BE6093" s="1065"/>
      <c r="BF6093" s="1065"/>
      <c r="BG6093" s="1065"/>
    </row>
    <row r="6094" spans="4:59">
      <c r="D6094" s="1065"/>
      <c r="S6094" s="1065"/>
      <c r="BE6094" s="1065"/>
      <c r="BF6094" s="1065"/>
      <c r="BG6094" s="1065"/>
    </row>
    <row r="6095" spans="4:59">
      <c r="D6095" s="1065"/>
      <c r="S6095" s="1065"/>
      <c r="BE6095" s="1065"/>
      <c r="BF6095" s="1065"/>
      <c r="BG6095" s="1065"/>
    </row>
    <row r="6096" spans="4:59">
      <c r="D6096" s="1065"/>
      <c r="S6096" s="1065"/>
      <c r="BE6096" s="1065"/>
      <c r="BF6096" s="1065"/>
      <c r="BG6096" s="1065"/>
    </row>
    <row r="6097" spans="4:59">
      <c r="D6097" s="1065"/>
      <c r="S6097" s="1065"/>
      <c r="BE6097" s="1065"/>
      <c r="BF6097" s="1065"/>
      <c r="BG6097" s="1065"/>
    </row>
    <row r="6098" spans="4:59">
      <c r="D6098" s="1065"/>
      <c r="S6098" s="1065"/>
      <c r="BE6098" s="1065"/>
      <c r="BF6098" s="1065"/>
      <c r="BG6098" s="1065"/>
    </row>
    <row r="6099" spans="4:59">
      <c r="D6099" s="1065"/>
      <c r="S6099" s="1065"/>
      <c r="BE6099" s="1065"/>
      <c r="BF6099" s="1065"/>
      <c r="BG6099" s="1065"/>
    </row>
    <row r="6100" spans="4:59">
      <c r="D6100" s="1065"/>
      <c r="S6100" s="1065"/>
      <c r="BE6100" s="1065"/>
      <c r="BF6100" s="1065"/>
      <c r="BG6100" s="1065"/>
    </row>
    <row r="6101" spans="4:59">
      <c r="D6101" s="1065"/>
      <c r="S6101" s="1065"/>
      <c r="BE6101" s="1065"/>
      <c r="BF6101" s="1065"/>
      <c r="BG6101" s="1065"/>
    </row>
    <row r="6102" spans="4:59">
      <c r="D6102" s="1065"/>
      <c r="S6102" s="1065"/>
      <c r="BE6102" s="1065"/>
      <c r="BF6102" s="1065"/>
      <c r="BG6102" s="1065"/>
    </row>
    <row r="6103" spans="4:59">
      <c r="D6103" s="1065"/>
      <c r="S6103" s="1065"/>
      <c r="BE6103" s="1065"/>
      <c r="BF6103" s="1065"/>
      <c r="BG6103" s="1065"/>
    </row>
    <row r="6104" spans="4:59">
      <c r="D6104" s="1065"/>
      <c r="S6104" s="1065"/>
      <c r="BE6104" s="1065"/>
      <c r="BF6104" s="1065"/>
      <c r="BG6104" s="1065"/>
    </row>
    <row r="6105" spans="4:59">
      <c r="D6105" s="1065"/>
      <c r="S6105" s="1065"/>
      <c r="BE6105" s="1065"/>
      <c r="BF6105" s="1065"/>
      <c r="BG6105" s="1065"/>
    </row>
    <row r="6106" spans="4:59">
      <c r="D6106" s="1065"/>
      <c r="S6106" s="1065"/>
      <c r="BE6106" s="1065"/>
      <c r="BF6106" s="1065"/>
      <c r="BG6106" s="1065"/>
    </row>
    <row r="6107" spans="4:59">
      <c r="D6107" s="1065"/>
      <c r="S6107" s="1065"/>
      <c r="BE6107" s="1065"/>
      <c r="BF6107" s="1065"/>
      <c r="BG6107" s="1065"/>
    </row>
    <row r="6108" spans="4:59">
      <c r="D6108" s="1065"/>
      <c r="S6108" s="1065"/>
      <c r="BE6108" s="1065"/>
      <c r="BF6108" s="1065"/>
      <c r="BG6108" s="1065"/>
    </row>
    <row r="6109" spans="4:59">
      <c r="D6109" s="1065"/>
      <c r="S6109" s="1065"/>
      <c r="BE6109" s="1065"/>
      <c r="BF6109" s="1065"/>
      <c r="BG6109" s="1065"/>
    </row>
    <row r="6110" spans="4:59">
      <c r="D6110" s="1065"/>
      <c r="S6110" s="1065"/>
      <c r="BE6110" s="1065"/>
      <c r="BF6110" s="1065"/>
      <c r="BG6110" s="1065"/>
    </row>
    <row r="6111" spans="4:59">
      <c r="D6111" s="1065"/>
      <c r="S6111" s="1065"/>
      <c r="BE6111" s="1065"/>
      <c r="BF6111" s="1065"/>
      <c r="BG6111" s="1065"/>
    </row>
    <row r="6112" spans="4:59">
      <c r="D6112" s="1065"/>
      <c r="S6112" s="1065"/>
      <c r="BE6112" s="1065"/>
      <c r="BF6112" s="1065"/>
      <c r="BG6112" s="1065"/>
    </row>
    <row r="6113" spans="4:59">
      <c r="D6113" s="1065"/>
      <c r="S6113" s="1065"/>
      <c r="BE6113" s="1065"/>
      <c r="BF6113" s="1065"/>
      <c r="BG6113" s="1065"/>
    </row>
    <row r="6114" spans="4:59">
      <c r="D6114" s="1065"/>
      <c r="S6114" s="1065"/>
      <c r="BE6114" s="1065"/>
      <c r="BF6114" s="1065"/>
      <c r="BG6114" s="1065"/>
    </row>
    <row r="6115" spans="4:59">
      <c r="D6115" s="1065"/>
      <c r="S6115" s="1065"/>
      <c r="BE6115" s="1065"/>
      <c r="BF6115" s="1065"/>
      <c r="BG6115" s="1065"/>
    </row>
    <row r="6116" spans="4:59">
      <c r="D6116" s="1065"/>
      <c r="S6116" s="1065"/>
      <c r="BE6116" s="1065"/>
      <c r="BF6116" s="1065"/>
      <c r="BG6116" s="1065"/>
    </row>
    <row r="6117" spans="4:59">
      <c r="D6117" s="1065"/>
      <c r="S6117" s="1065"/>
      <c r="BE6117" s="1065"/>
      <c r="BF6117" s="1065"/>
      <c r="BG6117" s="1065"/>
    </row>
    <row r="6118" spans="4:59">
      <c r="D6118" s="1065"/>
      <c r="S6118" s="1065"/>
      <c r="BE6118" s="1065"/>
      <c r="BF6118" s="1065"/>
      <c r="BG6118" s="1065"/>
    </row>
    <row r="6119" spans="4:59">
      <c r="D6119" s="1065"/>
      <c r="S6119" s="1065"/>
      <c r="BE6119" s="1065"/>
      <c r="BF6119" s="1065"/>
      <c r="BG6119" s="1065"/>
    </row>
    <row r="6120" spans="4:59">
      <c r="D6120" s="1065"/>
      <c r="S6120" s="1065"/>
      <c r="BE6120" s="1065"/>
      <c r="BF6120" s="1065"/>
      <c r="BG6120" s="1065"/>
    </row>
    <row r="6121" spans="4:59">
      <c r="D6121" s="1065"/>
      <c r="S6121" s="1065"/>
      <c r="BE6121" s="1065"/>
      <c r="BF6121" s="1065"/>
      <c r="BG6121" s="1065"/>
    </row>
    <row r="6122" spans="4:59">
      <c r="D6122" s="1065"/>
      <c r="S6122" s="1065"/>
      <c r="BE6122" s="1065"/>
      <c r="BF6122" s="1065"/>
      <c r="BG6122" s="1065"/>
    </row>
    <row r="6123" spans="4:59">
      <c r="D6123" s="1065"/>
      <c r="S6123" s="1065"/>
      <c r="BE6123" s="1065"/>
      <c r="BF6123" s="1065"/>
      <c r="BG6123" s="1065"/>
    </row>
    <row r="6124" spans="4:59">
      <c r="D6124" s="1065"/>
      <c r="S6124" s="1065"/>
      <c r="BE6124" s="1065"/>
      <c r="BF6124" s="1065"/>
      <c r="BG6124" s="1065"/>
    </row>
    <row r="6125" spans="4:59">
      <c r="D6125" s="1065"/>
      <c r="S6125" s="1065"/>
      <c r="BE6125" s="1065"/>
      <c r="BF6125" s="1065"/>
      <c r="BG6125" s="1065"/>
    </row>
    <row r="6126" spans="4:59">
      <c r="D6126" s="1065"/>
      <c r="S6126" s="1065"/>
      <c r="BE6126" s="1065"/>
      <c r="BF6126" s="1065"/>
      <c r="BG6126" s="1065"/>
    </row>
    <row r="6127" spans="4:59">
      <c r="D6127" s="1065"/>
      <c r="S6127" s="1065"/>
      <c r="BE6127" s="1065"/>
      <c r="BF6127" s="1065"/>
      <c r="BG6127" s="1065"/>
    </row>
    <row r="6128" spans="4:59">
      <c r="D6128" s="1065"/>
      <c r="S6128" s="1065"/>
      <c r="BE6128" s="1065"/>
      <c r="BF6128" s="1065"/>
      <c r="BG6128" s="1065"/>
    </row>
    <row r="6129" spans="4:59">
      <c r="D6129" s="1065"/>
      <c r="S6129" s="1065"/>
      <c r="BE6129" s="1065"/>
      <c r="BF6129" s="1065"/>
      <c r="BG6129" s="1065"/>
    </row>
    <row r="6130" spans="4:59">
      <c r="D6130" s="1065"/>
      <c r="S6130" s="1065"/>
      <c r="BE6130" s="1065"/>
      <c r="BF6130" s="1065"/>
      <c r="BG6130" s="1065"/>
    </row>
    <row r="6131" spans="4:59">
      <c r="D6131" s="1065"/>
      <c r="S6131" s="1065"/>
      <c r="BE6131" s="1065"/>
      <c r="BF6131" s="1065"/>
      <c r="BG6131" s="1065"/>
    </row>
    <row r="6132" spans="4:59">
      <c r="D6132" s="1065"/>
      <c r="S6132" s="1065"/>
      <c r="BE6132" s="1065"/>
      <c r="BF6132" s="1065"/>
      <c r="BG6132" s="1065"/>
    </row>
    <row r="6133" spans="4:59">
      <c r="D6133" s="1065"/>
      <c r="S6133" s="1065"/>
      <c r="BE6133" s="1065"/>
      <c r="BF6133" s="1065"/>
      <c r="BG6133" s="1065"/>
    </row>
    <row r="6134" spans="4:59">
      <c r="D6134" s="1065"/>
      <c r="S6134" s="1065"/>
      <c r="BE6134" s="1065"/>
      <c r="BF6134" s="1065"/>
      <c r="BG6134" s="1065"/>
    </row>
    <row r="6135" spans="4:59">
      <c r="D6135" s="1065"/>
      <c r="S6135" s="1065"/>
      <c r="BE6135" s="1065"/>
      <c r="BF6135" s="1065"/>
      <c r="BG6135" s="1065"/>
    </row>
    <row r="6136" spans="4:59">
      <c r="D6136" s="1065"/>
      <c r="S6136" s="1065"/>
      <c r="BE6136" s="1065"/>
      <c r="BF6136" s="1065"/>
      <c r="BG6136" s="1065"/>
    </row>
    <row r="6137" spans="4:59">
      <c r="D6137" s="1065"/>
      <c r="S6137" s="1065"/>
      <c r="BE6137" s="1065"/>
      <c r="BF6137" s="1065"/>
      <c r="BG6137" s="1065"/>
    </row>
    <row r="6138" spans="4:59">
      <c r="D6138" s="1065"/>
      <c r="S6138" s="1065"/>
      <c r="BE6138" s="1065"/>
      <c r="BF6138" s="1065"/>
      <c r="BG6138" s="1065"/>
    </row>
    <row r="6139" spans="4:59">
      <c r="D6139" s="1065"/>
      <c r="S6139" s="1065"/>
      <c r="BE6139" s="1065"/>
      <c r="BF6139" s="1065"/>
      <c r="BG6139" s="1065"/>
    </row>
    <row r="6140" spans="4:59">
      <c r="D6140" s="1065"/>
      <c r="S6140" s="1065"/>
      <c r="BE6140" s="1065"/>
      <c r="BF6140" s="1065"/>
      <c r="BG6140" s="1065"/>
    </row>
    <row r="6141" spans="4:59">
      <c r="D6141" s="1065"/>
      <c r="S6141" s="1065"/>
      <c r="BE6141" s="1065"/>
      <c r="BF6141" s="1065"/>
      <c r="BG6141" s="1065"/>
    </row>
    <row r="6142" spans="4:59">
      <c r="D6142" s="1065"/>
      <c r="S6142" s="1065"/>
      <c r="BE6142" s="1065"/>
      <c r="BF6142" s="1065"/>
      <c r="BG6142" s="1065"/>
    </row>
    <row r="6143" spans="4:59">
      <c r="D6143" s="1065"/>
      <c r="S6143" s="1065"/>
      <c r="BE6143" s="1065"/>
      <c r="BF6143" s="1065"/>
      <c r="BG6143" s="1065"/>
    </row>
    <row r="6144" spans="4:59">
      <c r="D6144" s="1065"/>
      <c r="S6144" s="1065"/>
      <c r="BE6144" s="1065"/>
      <c r="BF6144" s="1065"/>
      <c r="BG6144" s="1065"/>
    </row>
    <row r="6145" spans="4:59">
      <c r="D6145" s="1065"/>
      <c r="S6145" s="1065"/>
      <c r="BE6145" s="1065"/>
      <c r="BF6145" s="1065"/>
      <c r="BG6145" s="1065"/>
    </row>
    <row r="6146" spans="4:59">
      <c r="D6146" s="1065"/>
      <c r="S6146" s="1065"/>
      <c r="BE6146" s="1065"/>
      <c r="BF6146" s="1065"/>
      <c r="BG6146" s="1065"/>
    </row>
    <row r="6147" spans="4:59">
      <c r="D6147" s="1065"/>
      <c r="S6147" s="1065"/>
      <c r="BE6147" s="1065"/>
      <c r="BF6147" s="1065"/>
      <c r="BG6147" s="1065"/>
    </row>
    <row r="6148" spans="4:59">
      <c r="D6148" s="1065"/>
      <c r="S6148" s="1065"/>
      <c r="BE6148" s="1065"/>
      <c r="BF6148" s="1065"/>
      <c r="BG6148" s="1065"/>
    </row>
    <row r="6149" spans="4:59">
      <c r="D6149" s="1065"/>
      <c r="S6149" s="1065"/>
      <c r="BE6149" s="1065"/>
      <c r="BF6149" s="1065"/>
      <c r="BG6149" s="1065"/>
    </row>
    <row r="6150" spans="4:59">
      <c r="D6150" s="1065"/>
      <c r="S6150" s="1065"/>
      <c r="BE6150" s="1065"/>
      <c r="BF6150" s="1065"/>
      <c r="BG6150" s="1065"/>
    </row>
    <row r="6151" spans="4:59">
      <c r="D6151" s="1065"/>
      <c r="S6151" s="1065"/>
      <c r="BE6151" s="1065"/>
      <c r="BF6151" s="1065"/>
      <c r="BG6151" s="1065"/>
    </row>
    <row r="6152" spans="4:59">
      <c r="D6152" s="1065"/>
      <c r="S6152" s="1065"/>
      <c r="BE6152" s="1065"/>
      <c r="BF6152" s="1065"/>
      <c r="BG6152" s="1065"/>
    </row>
    <row r="6153" spans="4:59">
      <c r="D6153" s="1065"/>
      <c r="S6153" s="1065"/>
      <c r="BE6153" s="1065"/>
      <c r="BF6153" s="1065"/>
      <c r="BG6153" s="1065"/>
    </row>
    <row r="6154" spans="4:59">
      <c r="D6154" s="1065"/>
      <c r="S6154" s="1065"/>
      <c r="BE6154" s="1065"/>
      <c r="BF6154" s="1065"/>
      <c r="BG6154" s="1065"/>
    </row>
    <row r="6155" spans="4:59">
      <c r="D6155" s="1065"/>
      <c r="S6155" s="1065"/>
      <c r="BE6155" s="1065"/>
      <c r="BF6155" s="1065"/>
      <c r="BG6155" s="1065"/>
    </row>
    <row r="6156" spans="4:59">
      <c r="D6156" s="1065"/>
      <c r="S6156" s="1065"/>
      <c r="BE6156" s="1065"/>
      <c r="BF6156" s="1065"/>
      <c r="BG6156" s="1065"/>
    </row>
    <row r="6157" spans="4:59">
      <c r="D6157" s="1065"/>
      <c r="S6157" s="1065"/>
      <c r="BE6157" s="1065"/>
      <c r="BF6157" s="1065"/>
      <c r="BG6157" s="1065"/>
    </row>
    <row r="6158" spans="4:59">
      <c r="D6158" s="1065"/>
      <c r="S6158" s="1065"/>
      <c r="BE6158" s="1065"/>
      <c r="BF6158" s="1065"/>
      <c r="BG6158" s="1065"/>
    </row>
    <row r="6159" spans="4:59">
      <c r="D6159" s="1065"/>
      <c r="S6159" s="1065"/>
      <c r="BE6159" s="1065"/>
      <c r="BF6159" s="1065"/>
      <c r="BG6159" s="1065"/>
    </row>
    <row r="6160" spans="4:59">
      <c r="D6160" s="1065"/>
      <c r="S6160" s="1065"/>
      <c r="BE6160" s="1065"/>
      <c r="BF6160" s="1065"/>
      <c r="BG6160" s="1065"/>
    </row>
    <row r="6161" spans="4:59">
      <c r="D6161" s="1065"/>
      <c r="S6161" s="1065"/>
      <c r="BE6161" s="1065"/>
      <c r="BF6161" s="1065"/>
      <c r="BG6161" s="1065"/>
    </row>
    <row r="6162" spans="4:59">
      <c r="D6162" s="1065"/>
      <c r="S6162" s="1065"/>
      <c r="BE6162" s="1065"/>
      <c r="BF6162" s="1065"/>
      <c r="BG6162" s="1065"/>
    </row>
    <row r="6163" spans="4:59">
      <c r="D6163" s="1065"/>
      <c r="S6163" s="1065"/>
      <c r="BE6163" s="1065"/>
      <c r="BF6163" s="1065"/>
      <c r="BG6163" s="1065"/>
    </row>
    <row r="6164" spans="4:59">
      <c r="D6164" s="1065"/>
      <c r="S6164" s="1065"/>
      <c r="BE6164" s="1065"/>
      <c r="BF6164" s="1065"/>
      <c r="BG6164" s="1065"/>
    </row>
    <row r="6165" spans="4:59">
      <c r="D6165" s="1065"/>
      <c r="S6165" s="1065"/>
      <c r="BE6165" s="1065"/>
      <c r="BF6165" s="1065"/>
      <c r="BG6165" s="1065"/>
    </row>
    <row r="6166" spans="4:59">
      <c r="D6166" s="1065"/>
      <c r="S6166" s="1065"/>
      <c r="BE6166" s="1065"/>
      <c r="BF6166" s="1065"/>
      <c r="BG6166" s="1065"/>
    </row>
    <row r="6167" spans="4:59">
      <c r="D6167" s="1065"/>
      <c r="S6167" s="1065"/>
      <c r="BE6167" s="1065"/>
      <c r="BF6167" s="1065"/>
      <c r="BG6167" s="1065"/>
    </row>
    <row r="6168" spans="4:59">
      <c r="D6168" s="1065"/>
      <c r="S6168" s="1065"/>
      <c r="BE6168" s="1065"/>
      <c r="BF6168" s="1065"/>
      <c r="BG6168" s="1065"/>
    </row>
    <row r="6169" spans="4:59">
      <c r="D6169" s="1065"/>
      <c r="S6169" s="1065"/>
      <c r="BE6169" s="1065"/>
      <c r="BF6169" s="1065"/>
      <c r="BG6169" s="1065"/>
    </row>
    <row r="6170" spans="4:59">
      <c r="D6170" s="1065"/>
      <c r="S6170" s="1065"/>
      <c r="BE6170" s="1065"/>
      <c r="BF6170" s="1065"/>
      <c r="BG6170" s="1065"/>
    </row>
    <row r="6171" spans="4:59">
      <c r="D6171" s="1065"/>
      <c r="S6171" s="1065"/>
      <c r="BE6171" s="1065"/>
      <c r="BF6171" s="1065"/>
      <c r="BG6171" s="1065"/>
    </row>
    <row r="6172" spans="4:59">
      <c r="D6172" s="1065"/>
      <c r="S6172" s="1065"/>
      <c r="BE6172" s="1065"/>
      <c r="BF6172" s="1065"/>
      <c r="BG6172" s="1065"/>
    </row>
    <row r="6173" spans="4:59">
      <c r="D6173" s="1065"/>
      <c r="S6173" s="1065"/>
      <c r="BE6173" s="1065"/>
      <c r="BF6173" s="1065"/>
      <c r="BG6173" s="1065"/>
    </row>
    <row r="6174" spans="4:59">
      <c r="D6174" s="1065"/>
      <c r="S6174" s="1065"/>
      <c r="BE6174" s="1065"/>
      <c r="BF6174" s="1065"/>
      <c r="BG6174" s="1065"/>
    </row>
    <row r="6175" spans="4:59">
      <c r="D6175" s="1065"/>
      <c r="S6175" s="1065"/>
      <c r="BE6175" s="1065"/>
      <c r="BF6175" s="1065"/>
      <c r="BG6175" s="1065"/>
    </row>
    <row r="6176" spans="4:59">
      <c r="D6176" s="1065"/>
      <c r="S6176" s="1065"/>
      <c r="BE6176" s="1065"/>
      <c r="BF6176" s="1065"/>
      <c r="BG6176" s="1065"/>
    </row>
    <row r="6177" spans="4:59">
      <c r="D6177" s="1065"/>
      <c r="S6177" s="1065"/>
      <c r="BE6177" s="1065"/>
      <c r="BF6177" s="1065"/>
      <c r="BG6177" s="1065"/>
    </row>
    <row r="6178" spans="4:59">
      <c r="D6178" s="1065"/>
      <c r="S6178" s="1065"/>
      <c r="BE6178" s="1065"/>
      <c r="BF6178" s="1065"/>
      <c r="BG6178" s="1065"/>
    </row>
    <row r="6179" spans="4:59">
      <c r="D6179" s="1065"/>
      <c r="S6179" s="1065"/>
      <c r="BE6179" s="1065"/>
      <c r="BF6179" s="1065"/>
      <c r="BG6179" s="1065"/>
    </row>
    <row r="6180" spans="4:59">
      <c r="D6180" s="1065"/>
      <c r="S6180" s="1065"/>
      <c r="BE6180" s="1065"/>
      <c r="BF6180" s="1065"/>
      <c r="BG6180" s="1065"/>
    </row>
    <row r="6181" spans="4:59">
      <c r="D6181" s="1065"/>
      <c r="S6181" s="1065"/>
      <c r="BE6181" s="1065"/>
      <c r="BF6181" s="1065"/>
      <c r="BG6181" s="1065"/>
    </row>
    <row r="6182" spans="4:59">
      <c r="D6182" s="1065"/>
      <c r="S6182" s="1065"/>
      <c r="BE6182" s="1065"/>
      <c r="BF6182" s="1065"/>
      <c r="BG6182" s="1065"/>
    </row>
    <row r="6183" spans="4:59">
      <c r="D6183" s="1065"/>
      <c r="S6183" s="1065"/>
      <c r="BE6183" s="1065"/>
      <c r="BF6183" s="1065"/>
      <c r="BG6183" s="1065"/>
    </row>
    <row r="6184" spans="4:59">
      <c r="D6184" s="1065"/>
      <c r="S6184" s="1065"/>
      <c r="BE6184" s="1065"/>
      <c r="BF6184" s="1065"/>
      <c r="BG6184" s="1065"/>
    </row>
    <row r="6185" spans="4:59">
      <c r="D6185" s="1065"/>
      <c r="S6185" s="1065"/>
      <c r="BE6185" s="1065"/>
      <c r="BF6185" s="1065"/>
      <c r="BG6185" s="1065"/>
    </row>
    <row r="6186" spans="4:59">
      <c r="D6186" s="1065"/>
      <c r="S6186" s="1065"/>
      <c r="BE6186" s="1065"/>
      <c r="BF6186" s="1065"/>
      <c r="BG6186" s="1065"/>
    </row>
    <row r="6187" spans="4:59">
      <c r="D6187" s="1065"/>
      <c r="S6187" s="1065"/>
      <c r="BE6187" s="1065"/>
      <c r="BF6187" s="1065"/>
      <c r="BG6187" s="1065"/>
    </row>
    <row r="6188" spans="4:59">
      <c r="D6188" s="1065"/>
      <c r="S6188" s="1065"/>
      <c r="BE6188" s="1065"/>
      <c r="BF6188" s="1065"/>
      <c r="BG6188" s="1065"/>
    </row>
    <row r="6189" spans="4:59">
      <c r="D6189" s="1065"/>
      <c r="S6189" s="1065"/>
      <c r="BE6189" s="1065"/>
      <c r="BF6189" s="1065"/>
      <c r="BG6189" s="1065"/>
    </row>
    <row r="6190" spans="4:59">
      <c r="D6190" s="1065"/>
      <c r="S6190" s="1065"/>
      <c r="BE6190" s="1065"/>
      <c r="BF6190" s="1065"/>
      <c r="BG6190" s="1065"/>
    </row>
    <row r="6191" spans="4:59">
      <c r="D6191" s="1065"/>
      <c r="S6191" s="1065"/>
      <c r="BE6191" s="1065"/>
      <c r="BF6191" s="1065"/>
      <c r="BG6191" s="1065"/>
    </row>
    <row r="6192" spans="4:59">
      <c r="D6192" s="1065"/>
      <c r="S6192" s="1065"/>
      <c r="BE6192" s="1065"/>
      <c r="BF6192" s="1065"/>
      <c r="BG6192" s="1065"/>
    </row>
    <row r="6193" spans="4:59">
      <c r="D6193" s="1065"/>
      <c r="S6193" s="1065"/>
      <c r="BE6193" s="1065"/>
      <c r="BF6193" s="1065"/>
      <c r="BG6193" s="1065"/>
    </row>
    <row r="6194" spans="4:59">
      <c r="D6194" s="1065"/>
      <c r="S6194" s="1065"/>
      <c r="BE6194" s="1065"/>
      <c r="BF6194" s="1065"/>
      <c r="BG6194" s="1065"/>
    </row>
    <row r="6195" spans="4:59">
      <c r="D6195" s="1065"/>
      <c r="S6195" s="1065"/>
      <c r="BE6195" s="1065"/>
      <c r="BF6195" s="1065"/>
      <c r="BG6195" s="1065"/>
    </row>
    <row r="6196" spans="4:59">
      <c r="D6196" s="1065"/>
      <c r="S6196" s="1065"/>
      <c r="BE6196" s="1065"/>
      <c r="BF6196" s="1065"/>
      <c r="BG6196" s="1065"/>
    </row>
    <row r="6197" spans="4:59">
      <c r="D6197" s="1065"/>
      <c r="S6197" s="1065"/>
      <c r="BE6197" s="1065"/>
      <c r="BF6197" s="1065"/>
      <c r="BG6197" s="1065"/>
    </row>
    <row r="6198" spans="4:59">
      <c r="D6198" s="1065"/>
      <c r="S6198" s="1065"/>
      <c r="BE6198" s="1065"/>
      <c r="BF6198" s="1065"/>
      <c r="BG6198" s="1065"/>
    </row>
    <row r="6199" spans="4:59">
      <c r="D6199" s="1065"/>
      <c r="S6199" s="1065"/>
      <c r="BE6199" s="1065"/>
      <c r="BF6199" s="1065"/>
      <c r="BG6199" s="1065"/>
    </row>
    <row r="6200" spans="4:59">
      <c r="D6200" s="1065"/>
      <c r="S6200" s="1065"/>
      <c r="BE6200" s="1065"/>
      <c r="BF6200" s="1065"/>
      <c r="BG6200" s="1065"/>
    </row>
    <row r="6201" spans="4:59">
      <c r="D6201" s="1065"/>
      <c r="S6201" s="1065"/>
      <c r="BE6201" s="1065"/>
      <c r="BF6201" s="1065"/>
      <c r="BG6201" s="1065"/>
    </row>
    <row r="6202" spans="4:59">
      <c r="D6202" s="1065"/>
      <c r="S6202" s="1065"/>
      <c r="BE6202" s="1065"/>
      <c r="BF6202" s="1065"/>
      <c r="BG6202" s="1065"/>
    </row>
    <row r="6203" spans="4:59">
      <c r="D6203" s="1065"/>
      <c r="S6203" s="1065"/>
      <c r="BE6203" s="1065"/>
      <c r="BF6203" s="1065"/>
      <c r="BG6203" s="1065"/>
    </row>
    <row r="6204" spans="4:59">
      <c r="D6204" s="1065"/>
      <c r="S6204" s="1065"/>
      <c r="BE6204" s="1065"/>
      <c r="BF6204" s="1065"/>
      <c r="BG6204" s="1065"/>
    </row>
    <row r="6205" spans="4:59">
      <c r="D6205" s="1065"/>
      <c r="S6205" s="1065"/>
      <c r="BE6205" s="1065"/>
      <c r="BF6205" s="1065"/>
      <c r="BG6205" s="1065"/>
    </row>
    <row r="6206" spans="4:59">
      <c r="D6206" s="1065"/>
      <c r="S6206" s="1065"/>
      <c r="BE6206" s="1065"/>
      <c r="BF6206" s="1065"/>
      <c r="BG6206" s="1065"/>
    </row>
    <row r="6207" spans="4:59">
      <c r="D6207" s="1065"/>
      <c r="S6207" s="1065"/>
      <c r="BE6207" s="1065"/>
      <c r="BF6207" s="1065"/>
      <c r="BG6207" s="1065"/>
    </row>
    <row r="6208" spans="4:59">
      <c r="D6208" s="1065"/>
      <c r="S6208" s="1065"/>
      <c r="BE6208" s="1065"/>
      <c r="BF6208" s="1065"/>
      <c r="BG6208" s="1065"/>
    </row>
    <row r="6209" spans="4:59">
      <c r="D6209" s="1065"/>
      <c r="S6209" s="1065"/>
      <c r="BE6209" s="1065"/>
      <c r="BF6209" s="1065"/>
      <c r="BG6209" s="1065"/>
    </row>
    <row r="6210" spans="4:59">
      <c r="D6210" s="1065"/>
      <c r="S6210" s="1065"/>
      <c r="BE6210" s="1065"/>
      <c r="BF6210" s="1065"/>
      <c r="BG6210" s="1065"/>
    </row>
    <row r="6211" spans="4:59">
      <c r="D6211" s="1065"/>
      <c r="S6211" s="1065"/>
      <c r="BE6211" s="1065"/>
      <c r="BF6211" s="1065"/>
      <c r="BG6211" s="1065"/>
    </row>
    <row r="6212" spans="4:59">
      <c r="D6212" s="1065"/>
      <c r="S6212" s="1065"/>
      <c r="BE6212" s="1065"/>
      <c r="BF6212" s="1065"/>
      <c r="BG6212" s="1065"/>
    </row>
    <row r="6213" spans="4:59">
      <c r="D6213" s="1065"/>
      <c r="S6213" s="1065"/>
      <c r="BE6213" s="1065"/>
      <c r="BF6213" s="1065"/>
      <c r="BG6213" s="1065"/>
    </row>
    <row r="6214" spans="4:59">
      <c r="D6214" s="1065"/>
      <c r="S6214" s="1065"/>
      <c r="BE6214" s="1065"/>
      <c r="BF6214" s="1065"/>
      <c r="BG6214" s="1065"/>
    </row>
    <row r="6215" spans="4:59">
      <c r="D6215" s="1065"/>
      <c r="S6215" s="1065"/>
      <c r="BE6215" s="1065"/>
      <c r="BF6215" s="1065"/>
      <c r="BG6215" s="1065"/>
    </row>
    <row r="6216" spans="4:59">
      <c r="D6216" s="1065"/>
      <c r="S6216" s="1065"/>
      <c r="BE6216" s="1065"/>
      <c r="BF6216" s="1065"/>
      <c r="BG6216" s="1065"/>
    </row>
    <row r="6217" spans="4:59">
      <c r="D6217" s="1065"/>
      <c r="S6217" s="1065"/>
      <c r="BE6217" s="1065"/>
      <c r="BF6217" s="1065"/>
      <c r="BG6217" s="1065"/>
    </row>
    <row r="6218" spans="4:59">
      <c r="D6218" s="1065"/>
      <c r="S6218" s="1065"/>
      <c r="BE6218" s="1065"/>
      <c r="BF6218" s="1065"/>
      <c r="BG6218" s="1065"/>
    </row>
    <row r="6219" spans="4:59">
      <c r="D6219" s="1065"/>
      <c r="S6219" s="1065"/>
      <c r="BE6219" s="1065"/>
      <c r="BF6219" s="1065"/>
      <c r="BG6219" s="1065"/>
    </row>
    <row r="6220" spans="4:59">
      <c r="D6220" s="1065"/>
      <c r="S6220" s="1065"/>
      <c r="BE6220" s="1065"/>
      <c r="BF6220" s="1065"/>
      <c r="BG6220" s="1065"/>
    </row>
    <row r="6221" spans="4:59">
      <c r="D6221" s="1065"/>
      <c r="S6221" s="1065"/>
      <c r="BE6221" s="1065"/>
      <c r="BF6221" s="1065"/>
      <c r="BG6221" s="1065"/>
    </row>
    <row r="6222" spans="4:59">
      <c r="D6222" s="1065"/>
      <c r="S6222" s="1065"/>
      <c r="BE6222" s="1065"/>
      <c r="BF6222" s="1065"/>
      <c r="BG6222" s="1065"/>
    </row>
    <row r="6223" spans="4:59">
      <c r="D6223" s="1065"/>
      <c r="S6223" s="1065"/>
      <c r="BE6223" s="1065"/>
      <c r="BF6223" s="1065"/>
      <c r="BG6223" s="1065"/>
    </row>
    <row r="6224" spans="4:59">
      <c r="D6224" s="1065"/>
      <c r="S6224" s="1065"/>
      <c r="BE6224" s="1065"/>
      <c r="BF6224" s="1065"/>
      <c r="BG6224" s="1065"/>
    </row>
    <row r="6225" spans="4:59">
      <c r="D6225" s="1065"/>
      <c r="S6225" s="1065"/>
      <c r="BE6225" s="1065"/>
      <c r="BF6225" s="1065"/>
      <c r="BG6225" s="1065"/>
    </row>
    <row r="6226" spans="4:59">
      <c r="D6226" s="1065"/>
      <c r="S6226" s="1065"/>
      <c r="BE6226" s="1065"/>
      <c r="BF6226" s="1065"/>
      <c r="BG6226" s="1065"/>
    </row>
    <row r="6227" spans="4:59">
      <c r="D6227" s="1065"/>
      <c r="S6227" s="1065"/>
      <c r="BE6227" s="1065"/>
      <c r="BF6227" s="1065"/>
      <c r="BG6227" s="1065"/>
    </row>
    <row r="6228" spans="4:59">
      <c r="D6228" s="1065"/>
      <c r="S6228" s="1065"/>
      <c r="BE6228" s="1065"/>
      <c r="BF6228" s="1065"/>
      <c r="BG6228" s="1065"/>
    </row>
    <row r="6229" spans="4:59">
      <c r="D6229" s="1065"/>
      <c r="S6229" s="1065"/>
      <c r="BE6229" s="1065"/>
      <c r="BF6229" s="1065"/>
      <c r="BG6229" s="1065"/>
    </row>
    <row r="6230" spans="4:59">
      <c r="D6230" s="1065"/>
      <c r="S6230" s="1065"/>
      <c r="BE6230" s="1065"/>
      <c r="BF6230" s="1065"/>
      <c r="BG6230" s="1065"/>
    </row>
    <row r="6231" spans="4:59">
      <c r="D6231" s="1065"/>
      <c r="S6231" s="1065"/>
      <c r="BE6231" s="1065"/>
      <c r="BF6231" s="1065"/>
      <c r="BG6231" s="1065"/>
    </row>
    <row r="6232" spans="4:59">
      <c r="D6232" s="1065"/>
      <c r="S6232" s="1065"/>
      <c r="BE6232" s="1065"/>
      <c r="BF6232" s="1065"/>
      <c r="BG6232" s="1065"/>
    </row>
    <row r="6233" spans="4:59">
      <c r="D6233" s="1065"/>
      <c r="S6233" s="1065"/>
      <c r="BE6233" s="1065"/>
      <c r="BF6233" s="1065"/>
      <c r="BG6233" s="1065"/>
    </row>
    <row r="6234" spans="4:59">
      <c r="D6234" s="1065"/>
      <c r="S6234" s="1065"/>
      <c r="BE6234" s="1065"/>
      <c r="BF6234" s="1065"/>
      <c r="BG6234" s="1065"/>
    </row>
    <row r="6235" spans="4:59">
      <c r="D6235" s="1065"/>
      <c r="S6235" s="1065"/>
      <c r="BE6235" s="1065"/>
      <c r="BF6235" s="1065"/>
      <c r="BG6235" s="1065"/>
    </row>
    <row r="6236" spans="4:59">
      <c r="D6236" s="1065"/>
      <c r="S6236" s="1065"/>
      <c r="BE6236" s="1065"/>
      <c r="BF6236" s="1065"/>
      <c r="BG6236" s="1065"/>
    </row>
    <row r="6237" spans="4:59">
      <c r="D6237" s="1065"/>
      <c r="S6237" s="1065"/>
      <c r="BE6237" s="1065"/>
      <c r="BF6237" s="1065"/>
      <c r="BG6237" s="1065"/>
    </row>
    <row r="6238" spans="4:59">
      <c r="D6238" s="1065"/>
      <c r="S6238" s="1065"/>
      <c r="BE6238" s="1065"/>
      <c r="BF6238" s="1065"/>
      <c r="BG6238" s="1065"/>
    </row>
    <row r="6239" spans="4:59">
      <c r="D6239" s="1065"/>
      <c r="S6239" s="1065"/>
      <c r="BE6239" s="1065"/>
      <c r="BF6239" s="1065"/>
      <c r="BG6239" s="1065"/>
    </row>
    <row r="6240" spans="4:59">
      <c r="D6240" s="1065"/>
      <c r="S6240" s="1065"/>
      <c r="BE6240" s="1065"/>
      <c r="BF6240" s="1065"/>
      <c r="BG6240" s="1065"/>
    </row>
    <row r="6241" spans="4:59">
      <c r="D6241" s="1065"/>
      <c r="S6241" s="1065"/>
      <c r="BE6241" s="1065"/>
      <c r="BF6241" s="1065"/>
      <c r="BG6241" s="1065"/>
    </row>
    <row r="6242" spans="4:59">
      <c r="D6242" s="1065"/>
      <c r="S6242" s="1065"/>
      <c r="BE6242" s="1065"/>
      <c r="BF6242" s="1065"/>
      <c r="BG6242" s="1065"/>
    </row>
    <row r="6243" spans="4:59">
      <c r="D6243" s="1065"/>
      <c r="S6243" s="1065"/>
      <c r="BE6243" s="1065"/>
      <c r="BF6243" s="1065"/>
      <c r="BG6243" s="1065"/>
    </row>
    <row r="6244" spans="4:59">
      <c r="D6244" s="1065"/>
      <c r="S6244" s="1065"/>
      <c r="BE6244" s="1065"/>
      <c r="BF6244" s="1065"/>
      <c r="BG6244" s="1065"/>
    </row>
    <row r="6245" spans="4:59">
      <c r="D6245" s="1065"/>
      <c r="S6245" s="1065"/>
      <c r="BE6245" s="1065"/>
      <c r="BF6245" s="1065"/>
      <c r="BG6245" s="1065"/>
    </row>
    <row r="6246" spans="4:59">
      <c r="D6246" s="1065"/>
      <c r="S6246" s="1065"/>
      <c r="BE6246" s="1065"/>
      <c r="BF6246" s="1065"/>
      <c r="BG6246" s="1065"/>
    </row>
    <row r="6247" spans="4:59">
      <c r="D6247" s="1065"/>
      <c r="S6247" s="1065"/>
      <c r="BE6247" s="1065"/>
      <c r="BF6247" s="1065"/>
      <c r="BG6247" s="1065"/>
    </row>
    <row r="6248" spans="4:59">
      <c r="D6248" s="1065"/>
      <c r="S6248" s="1065"/>
      <c r="BE6248" s="1065"/>
      <c r="BF6248" s="1065"/>
      <c r="BG6248" s="1065"/>
    </row>
    <row r="6249" spans="4:59">
      <c r="D6249" s="1065"/>
      <c r="S6249" s="1065"/>
      <c r="BE6249" s="1065"/>
      <c r="BF6249" s="1065"/>
      <c r="BG6249" s="1065"/>
    </row>
    <row r="6250" spans="4:59">
      <c r="D6250" s="1065"/>
      <c r="S6250" s="1065"/>
      <c r="BE6250" s="1065"/>
      <c r="BF6250" s="1065"/>
      <c r="BG6250" s="1065"/>
    </row>
    <row r="6251" spans="4:59">
      <c r="D6251" s="1065"/>
      <c r="S6251" s="1065"/>
      <c r="BE6251" s="1065"/>
      <c r="BF6251" s="1065"/>
      <c r="BG6251" s="1065"/>
    </row>
    <row r="6252" spans="4:59">
      <c r="D6252" s="1065"/>
      <c r="S6252" s="1065"/>
      <c r="BE6252" s="1065"/>
      <c r="BF6252" s="1065"/>
      <c r="BG6252" s="1065"/>
    </row>
    <row r="6253" spans="4:59">
      <c r="D6253" s="1065"/>
      <c r="S6253" s="1065"/>
      <c r="BE6253" s="1065"/>
      <c r="BF6253" s="1065"/>
      <c r="BG6253" s="1065"/>
    </row>
    <row r="6254" spans="4:59">
      <c r="D6254" s="1065"/>
      <c r="S6254" s="1065"/>
      <c r="BE6254" s="1065"/>
      <c r="BF6254" s="1065"/>
      <c r="BG6254" s="1065"/>
    </row>
    <row r="6255" spans="4:59">
      <c r="D6255" s="1065"/>
      <c r="S6255" s="1065"/>
      <c r="BE6255" s="1065"/>
      <c r="BF6255" s="1065"/>
      <c r="BG6255" s="1065"/>
    </row>
    <row r="6256" spans="4:59">
      <c r="D6256" s="1065"/>
      <c r="S6256" s="1065"/>
      <c r="BE6256" s="1065"/>
      <c r="BF6256" s="1065"/>
      <c r="BG6256" s="1065"/>
    </row>
    <row r="6257" spans="4:59">
      <c r="D6257" s="1065"/>
      <c r="S6257" s="1065"/>
      <c r="BE6257" s="1065"/>
      <c r="BF6257" s="1065"/>
      <c r="BG6257" s="1065"/>
    </row>
    <row r="6258" spans="4:59">
      <c r="D6258" s="1065"/>
      <c r="S6258" s="1065"/>
      <c r="BE6258" s="1065"/>
      <c r="BF6258" s="1065"/>
      <c r="BG6258" s="1065"/>
    </row>
    <row r="6259" spans="4:59">
      <c r="D6259" s="1065"/>
      <c r="S6259" s="1065"/>
      <c r="BE6259" s="1065"/>
      <c r="BF6259" s="1065"/>
      <c r="BG6259" s="1065"/>
    </row>
    <row r="6260" spans="4:59">
      <c r="D6260" s="1065"/>
      <c r="S6260" s="1065"/>
      <c r="BE6260" s="1065"/>
      <c r="BF6260" s="1065"/>
      <c r="BG6260" s="1065"/>
    </row>
    <row r="6261" spans="4:59">
      <c r="D6261" s="1065"/>
      <c r="S6261" s="1065"/>
      <c r="BE6261" s="1065"/>
      <c r="BF6261" s="1065"/>
      <c r="BG6261" s="1065"/>
    </row>
    <row r="6262" spans="4:59">
      <c r="D6262" s="1065"/>
      <c r="S6262" s="1065"/>
      <c r="BE6262" s="1065"/>
      <c r="BF6262" s="1065"/>
      <c r="BG6262" s="1065"/>
    </row>
    <row r="6263" spans="4:59">
      <c r="D6263" s="1065"/>
      <c r="S6263" s="1065"/>
      <c r="BE6263" s="1065"/>
      <c r="BF6263" s="1065"/>
      <c r="BG6263" s="1065"/>
    </row>
    <row r="6264" spans="4:59">
      <c r="D6264" s="1065"/>
      <c r="S6264" s="1065"/>
      <c r="BE6264" s="1065"/>
      <c r="BF6264" s="1065"/>
      <c r="BG6264" s="1065"/>
    </row>
    <row r="6265" spans="4:59">
      <c r="D6265" s="1065"/>
      <c r="S6265" s="1065"/>
      <c r="BE6265" s="1065"/>
      <c r="BF6265" s="1065"/>
      <c r="BG6265" s="1065"/>
    </row>
    <row r="6266" spans="4:59">
      <c r="D6266" s="1065"/>
      <c r="S6266" s="1065"/>
      <c r="BE6266" s="1065"/>
      <c r="BF6266" s="1065"/>
      <c r="BG6266" s="1065"/>
    </row>
    <row r="6267" spans="4:59">
      <c r="D6267" s="1065"/>
      <c r="S6267" s="1065"/>
      <c r="BE6267" s="1065"/>
      <c r="BF6267" s="1065"/>
      <c r="BG6267" s="1065"/>
    </row>
    <row r="6268" spans="4:59">
      <c r="D6268" s="1065"/>
      <c r="S6268" s="1065"/>
      <c r="BE6268" s="1065"/>
      <c r="BF6268" s="1065"/>
      <c r="BG6268" s="1065"/>
    </row>
    <row r="6269" spans="4:59">
      <c r="D6269" s="1065"/>
      <c r="S6269" s="1065"/>
      <c r="BE6269" s="1065"/>
      <c r="BF6269" s="1065"/>
      <c r="BG6269" s="1065"/>
    </row>
    <row r="6270" spans="4:59">
      <c r="D6270" s="1065"/>
      <c r="S6270" s="1065"/>
      <c r="BE6270" s="1065"/>
      <c r="BF6270" s="1065"/>
      <c r="BG6270" s="1065"/>
    </row>
    <row r="6271" spans="4:59">
      <c r="D6271" s="1065"/>
      <c r="S6271" s="1065"/>
      <c r="BE6271" s="1065"/>
      <c r="BF6271" s="1065"/>
      <c r="BG6271" s="1065"/>
    </row>
    <row r="6272" spans="4:59">
      <c r="D6272" s="1065"/>
      <c r="S6272" s="1065"/>
      <c r="BE6272" s="1065"/>
      <c r="BF6272" s="1065"/>
      <c r="BG6272" s="1065"/>
    </row>
    <row r="6273" spans="4:59">
      <c r="D6273" s="1065"/>
      <c r="S6273" s="1065"/>
      <c r="BE6273" s="1065"/>
      <c r="BF6273" s="1065"/>
      <c r="BG6273" s="1065"/>
    </row>
    <row r="6274" spans="4:59">
      <c r="D6274" s="1065"/>
      <c r="S6274" s="1065"/>
      <c r="BE6274" s="1065"/>
      <c r="BF6274" s="1065"/>
      <c r="BG6274" s="1065"/>
    </row>
    <row r="6275" spans="4:59">
      <c r="D6275" s="1065"/>
      <c r="S6275" s="1065"/>
      <c r="BE6275" s="1065"/>
      <c r="BF6275" s="1065"/>
      <c r="BG6275" s="1065"/>
    </row>
    <row r="6276" spans="4:59">
      <c r="D6276" s="1065"/>
      <c r="S6276" s="1065"/>
      <c r="BE6276" s="1065"/>
      <c r="BF6276" s="1065"/>
      <c r="BG6276" s="1065"/>
    </row>
    <row r="6277" spans="4:59">
      <c r="D6277" s="1065"/>
      <c r="S6277" s="1065"/>
      <c r="BE6277" s="1065"/>
      <c r="BF6277" s="1065"/>
      <c r="BG6277" s="1065"/>
    </row>
    <row r="6278" spans="4:59">
      <c r="D6278" s="1065"/>
      <c r="S6278" s="1065"/>
      <c r="BE6278" s="1065"/>
      <c r="BF6278" s="1065"/>
      <c r="BG6278" s="1065"/>
    </row>
    <row r="6279" spans="4:59">
      <c r="D6279" s="1065"/>
      <c r="S6279" s="1065"/>
      <c r="BE6279" s="1065"/>
      <c r="BF6279" s="1065"/>
      <c r="BG6279" s="1065"/>
    </row>
    <row r="6280" spans="4:59">
      <c r="D6280" s="1065"/>
      <c r="S6280" s="1065"/>
      <c r="BE6280" s="1065"/>
      <c r="BF6280" s="1065"/>
      <c r="BG6280" s="1065"/>
    </row>
    <row r="6281" spans="4:59">
      <c r="D6281" s="1065"/>
      <c r="S6281" s="1065"/>
      <c r="BE6281" s="1065"/>
      <c r="BF6281" s="1065"/>
      <c r="BG6281" s="1065"/>
    </row>
    <row r="6282" spans="4:59">
      <c r="D6282" s="1065"/>
      <c r="S6282" s="1065"/>
      <c r="BE6282" s="1065"/>
      <c r="BF6282" s="1065"/>
      <c r="BG6282" s="1065"/>
    </row>
    <row r="6283" spans="4:59">
      <c r="D6283" s="1065"/>
      <c r="S6283" s="1065"/>
      <c r="BE6283" s="1065"/>
      <c r="BF6283" s="1065"/>
      <c r="BG6283" s="1065"/>
    </row>
    <row r="6284" spans="4:59">
      <c r="D6284" s="1065"/>
      <c r="S6284" s="1065"/>
      <c r="BE6284" s="1065"/>
      <c r="BF6284" s="1065"/>
      <c r="BG6284" s="1065"/>
    </row>
    <row r="6285" spans="4:59">
      <c r="D6285" s="1065"/>
      <c r="S6285" s="1065"/>
      <c r="BE6285" s="1065"/>
      <c r="BF6285" s="1065"/>
      <c r="BG6285" s="1065"/>
    </row>
    <row r="6286" spans="4:59">
      <c r="D6286" s="1065"/>
      <c r="S6286" s="1065"/>
      <c r="BE6286" s="1065"/>
      <c r="BF6286" s="1065"/>
      <c r="BG6286" s="1065"/>
    </row>
    <row r="6287" spans="4:59">
      <c r="D6287" s="1065"/>
      <c r="S6287" s="1065"/>
      <c r="BE6287" s="1065"/>
      <c r="BF6287" s="1065"/>
      <c r="BG6287" s="1065"/>
    </row>
    <row r="6288" spans="4:59">
      <c r="D6288" s="1065"/>
      <c r="S6288" s="1065"/>
      <c r="BE6288" s="1065"/>
      <c r="BF6288" s="1065"/>
      <c r="BG6288" s="1065"/>
    </row>
    <row r="6289" spans="4:59">
      <c r="D6289" s="1065"/>
      <c r="S6289" s="1065"/>
      <c r="BE6289" s="1065"/>
      <c r="BF6289" s="1065"/>
      <c r="BG6289" s="1065"/>
    </row>
    <row r="6290" spans="4:59">
      <c r="D6290" s="1065"/>
      <c r="S6290" s="1065"/>
      <c r="BE6290" s="1065"/>
      <c r="BF6290" s="1065"/>
      <c r="BG6290" s="1065"/>
    </row>
    <row r="6291" spans="4:59">
      <c r="D6291" s="1065"/>
      <c r="S6291" s="1065"/>
      <c r="BE6291" s="1065"/>
      <c r="BF6291" s="1065"/>
      <c r="BG6291" s="1065"/>
    </row>
    <row r="6292" spans="4:59">
      <c r="D6292" s="1065"/>
      <c r="S6292" s="1065"/>
      <c r="BE6292" s="1065"/>
      <c r="BF6292" s="1065"/>
      <c r="BG6292" s="1065"/>
    </row>
    <row r="6293" spans="4:59">
      <c r="D6293" s="1065"/>
      <c r="S6293" s="1065"/>
      <c r="BE6293" s="1065"/>
      <c r="BF6293" s="1065"/>
      <c r="BG6293" s="1065"/>
    </row>
    <row r="6294" spans="4:59">
      <c r="D6294" s="1065"/>
      <c r="S6294" s="1065"/>
      <c r="BE6294" s="1065"/>
      <c r="BF6294" s="1065"/>
      <c r="BG6294" s="1065"/>
    </row>
    <row r="6295" spans="4:59">
      <c r="D6295" s="1065"/>
      <c r="S6295" s="1065"/>
      <c r="BE6295" s="1065"/>
      <c r="BF6295" s="1065"/>
      <c r="BG6295" s="1065"/>
    </row>
    <row r="6296" spans="4:59">
      <c r="D6296" s="1065"/>
      <c r="S6296" s="1065"/>
      <c r="BE6296" s="1065"/>
      <c r="BF6296" s="1065"/>
      <c r="BG6296" s="1065"/>
    </row>
    <row r="6297" spans="4:59">
      <c r="D6297" s="1065"/>
      <c r="S6297" s="1065"/>
      <c r="BE6297" s="1065"/>
      <c r="BF6297" s="1065"/>
      <c r="BG6297" s="1065"/>
    </row>
    <row r="6298" spans="4:59">
      <c r="D6298" s="1065"/>
      <c r="S6298" s="1065"/>
      <c r="BE6298" s="1065"/>
      <c r="BF6298" s="1065"/>
      <c r="BG6298" s="1065"/>
    </row>
    <row r="6299" spans="4:59">
      <c r="D6299" s="1065"/>
      <c r="S6299" s="1065"/>
      <c r="BE6299" s="1065"/>
      <c r="BF6299" s="1065"/>
      <c r="BG6299" s="1065"/>
    </row>
    <row r="6300" spans="4:59">
      <c r="D6300" s="1065"/>
      <c r="S6300" s="1065"/>
      <c r="BE6300" s="1065"/>
      <c r="BF6300" s="1065"/>
      <c r="BG6300" s="1065"/>
    </row>
    <row r="6301" spans="4:59">
      <c r="D6301" s="1065"/>
      <c r="S6301" s="1065"/>
      <c r="BE6301" s="1065"/>
      <c r="BF6301" s="1065"/>
      <c r="BG6301" s="1065"/>
    </row>
    <row r="6302" spans="4:59">
      <c r="D6302" s="1065"/>
      <c r="S6302" s="1065"/>
      <c r="BE6302" s="1065"/>
      <c r="BF6302" s="1065"/>
      <c r="BG6302" s="1065"/>
    </row>
    <row r="6303" spans="4:59">
      <c r="D6303" s="1065"/>
      <c r="S6303" s="1065"/>
      <c r="BE6303" s="1065"/>
      <c r="BF6303" s="1065"/>
      <c r="BG6303" s="1065"/>
    </row>
    <row r="6304" spans="4:59">
      <c r="D6304" s="1065"/>
      <c r="S6304" s="1065"/>
      <c r="BE6304" s="1065"/>
      <c r="BF6304" s="1065"/>
      <c r="BG6304" s="1065"/>
    </row>
    <row r="6305" spans="4:59">
      <c r="D6305" s="1065"/>
      <c r="S6305" s="1065"/>
      <c r="BE6305" s="1065"/>
      <c r="BF6305" s="1065"/>
      <c r="BG6305" s="1065"/>
    </row>
    <row r="6306" spans="4:59">
      <c r="D6306" s="1065"/>
      <c r="S6306" s="1065"/>
      <c r="BE6306" s="1065"/>
      <c r="BF6306" s="1065"/>
      <c r="BG6306" s="1065"/>
    </row>
    <row r="6307" spans="4:59">
      <c r="D6307" s="1065"/>
      <c r="S6307" s="1065"/>
      <c r="BE6307" s="1065"/>
      <c r="BF6307" s="1065"/>
      <c r="BG6307" s="1065"/>
    </row>
    <row r="6308" spans="4:59">
      <c r="D6308" s="1065"/>
      <c r="S6308" s="1065"/>
      <c r="BE6308" s="1065"/>
      <c r="BF6308" s="1065"/>
      <c r="BG6308" s="1065"/>
    </row>
    <row r="6309" spans="4:59">
      <c r="D6309" s="1065"/>
      <c r="S6309" s="1065"/>
      <c r="BE6309" s="1065"/>
      <c r="BF6309" s="1065"/>
      <c r="BG6309" s="1065"/>
    </row>
    <row r="6310" spans="4:59">
      <c r="D6310" s="1065"/>
      <c r="S6310" s="1065"/>
      <c r="BE6310" s="1065"/>
      <c r="BF6310" s="1065"/>
      <c r="BG6310" s="1065"/>
    </row>
    <row r="6311" spans="4:59">
      <c r="D6311" s="1065"/>
      <c r="S6311" s="1065"/>
      <c r="BE6311" s="1065"/>
      <c r="BF6311" s="1065"/>
      <c r="BG6311" s="1065"/>
    </row>
    <row r="6312" spans="4:59">
      <c r="D6312" s="1065"/>
      <c r="S6312" s="1065"/>
      <c r="BE6312" s="1065"/>
      <c r="BF6312" s="1065"/>
      <c r="BG6312" s="1065"/>
    </row>
    <row r="6313" spans="4:59">
      <c r="D6313" s="1065"/>
      <c r="S6313" s="1065"/>
      <c r="BE6313" s="1065"/>
      <c r="BF6313" s="1065"/>
      <c r="BG6313" s="1065"/>
    </row>
    <row r="6314" spans="4:59">
      <c r="D6314" s="1065"/>
      <c r="S6314" s="1065"/>
      <c r="BE6314" s="1065"/>
      <c r="BF6314" s="1065"/>
      <c r="BG6314" s="1065"/>
    </row>
    <row r="6315" spans="4:59">
      <c r="D6315" s="1065"/>
      <c r="S6315" s="1065"/>
      <c r="BE6315" s="1065"/>
      <c r="BF6315" s="1065"/>
      <c r="BG6315" s="1065"/>
    </row>
    <row r="6316" spans="4:59">
      <c r="D6316" s="1065"/>
      <c r="S6316" s="1065"/>
      <c r="BE6316" s="1065"/>
      <c r="BF6316" s="1065"/>
      <c r="BG6316" s="1065"/>
    </row>
    <row r="6317" spans="4:59">
      <c r="D6317" s="1065"/>
      <c r="S6317" s="1065"/>
      <c r="BE6317" s="1065"/>
      <c r="BF6317" s="1065"/>
      <c r="BG6317" s="1065"/>
    </row>
    <row r="6318" spans="4:59">
      <c r="D6318" s="1065"/>
      <c r="S6318" s="1065"/>
      <c r="BE6318" s="1065"/>
      <c r="BF6318" s="1065"/>
      <c r="BG6318" s="1065"/>
    </row>
    <row r="6319" spans="4:59">
      <c r="D6319" s="1065"/>
      <c r="S6319" s="1065"/>
      <c r="BE6319" s="1065"/>
      <c r="BF6319" s="1065"/>
      <c r="BG6319" s="1065"/>
    </row>
    <row r="6320" spans="4:59">
      <c r="D6320" s="1065"/>
      <c r="S6320" s="1065"/>
      <c r="BE6320" s="1065"/>
      <c r="BF6320" s="1065"/>
      <c r="BG6320" s="1065"/>
    </row>
    <row r="6321" spans="4:59">
      <c r="D6321" s="1065"/>
      <c r="S6321" s="1065"/>
      <c r="BE6321" s="1065"/>
      <c r="BF6321" s="1065"/>
      <c r="BG6321" s="1065"/>
    </row>
    <row r="6322" spans="4:59">
      <c r="D6322" s="1065"/>
      <c r="S6322" s="1065"/>
      <c r="BE6322" s="1065"/>
      <c r="BF6322" s="1065"/>
      <c r="BG6322" s="1065"/>
    </row>
    <row r="6323" spans="4:59">
      <c r="D6323" s="1065"/>
      <c r="S6323" s="1065"/>
      <c r="BE6323" s="1065"/>
      <c r="BF6323" s="1065"/>
      <c r="BG6323" s="1065"/>
    </row>
    <row r="6324" spans="4:59">
      <c r="D6324" s="1065"/>
      <c r="S6324" s="1065"/>
      <c r="BE6324" s="1065"/>
      <c r="BF6324" s="1065"/>
      <c r="BG6324" s="1065"/>
    </row>
    <row r="6325" spans="4:59">
      <c r="D6325" s="1065"/>
      <c r="S6325" s="1065"/>
      <c r="BE6325" s="1065"/>
      <c r="BF6325" s="1065"/>
      <c r="BG6325" s="1065"/>
    </row>
    <row r="6326" spans="4:59">
      <c r="D6326" s="1065"/>
      <c r="S6326" s="1065"/>
      <c r="BE6326" s="1065"/>
      <c r="BF6326" s="1065"/>
      <c r="BG6326" s="1065"/>
    </row>
    <row r="6327" spans="4:59">
      <c r="D6327" s="1065"/>
      <c r="S6327" s="1065"/>
      <c r="BE6327" s="1065"/>
      <c r="BF6327" s="1065"/>
      <c r="BG6327" s="1065"/>
    </row>
    <row r="6328" spans="4:59">
      <c r="D6328" s="1065"/>
      <c r="S6328" s="1065"/>
      <c r="BE6328" s="1065"/>
      <c r="BF6328" s="1065"/>
      <c r="BG6328" s="1065"/>
    </row>
    <row r="6329" spans="4:59">
      <c r="D6329" s="1065"/>
      <c r="S6329" s="1065"/>
      <c r="BE6329" s="1065"/>
      <c r="BF6329" s="1065"/>
      <c r="BG6329" s="1065"/>
    </row>
    <row r="6330" spans="4:59">
      <c r="D6330" s="1065"/>
      <c r="S6330" s="1065"/>
      <c r="BE6330" s="1065"/>
      <c r="BF6330" s="1065"/>
      <c r="BG6330" s="1065"/>
    </row>
    <row r="6331" spans="4:59">
      <c r="D6331" s="1065"/>
      <c r="S6331" s="1065"/>
      <c r="BE6331" s="1065"/>
      <c r="BF6331" s="1065"/>
      <c r="BG6331" s="1065"/>
    </row>
    <row r="6332" spans="4:59">
      <c r="D6332" s="1065"/>
      <c r="S6332" s="1065"/>
      <c r="BE6332" s="1065"/>
      <c r="BF6332" s="1065"/>
      <c r="BG6332" s="1065"/>
    </row>
    <row r="6333" spans="4:59">
      <c r="D6333" s="1065"/>
      <c r="S6333" s="1065"/>
      <c r="BE6333" s="1065"/>
      <c r="BF6333" s="1065"/>
      <c r="BG6333" s="1065"/>
    </row>
    <row r="6334" spans="4:59">
      <c r="D6334" s="1065"/>
      <c r="S6334" s="1065"/>
      <c r="BE6334" s="1065"/>
      <c r="BF6334" s="1065"/>
      <c r="BG6334" s="1065"/>
    </row>
    <row r="6335" spans="4:59">
      <c r="D6335" s="1065"/>
      <c r="S6335" s="1065"/>
      <c r="BE6335" s="1065"/>
      <c r="BF6335" s="1065"/>
      <c r="BG6335" s="1065"/>
    </row>
    <row r="6336" spans="4:59">
      <c r="D6336" s="1065"/>
      <c r="S6336" s="1065"/>
      <c r="BE6336" s="1065"/>
      <c r="BF6336" s="1065"/>
      <c r="BG6336" s="1065"/>
    </row>
    <row r="6337" spans="4:59">
      <c r="D6337" s="1065"/>
      <c r="S6337" s="1065"/>
      <c r="BE6337" s="1065"/>
      <c r="BF6337" s="1065"/>
      <c r="BG6337" s="1065"/>
    </row>
    <row r="6338" spans="4:59">
      <c r="D6338" s="1065"/>
      <c r="S6338" s="1065"/>
      <c r="BE6338" s="1065"/>
      <c r="BF6338" s="1065"/>
      <c r="BG6338" s="1065"/>
    </row>
    <row r="6339" spans="4:59">
      <c r="D6339" s="1065"/>
      <c r="S6339" s="1065"/>
      <c r="BE6339" s="1065"/>
      <c r="BF6339" s="1065"/>
      <c r="BG6339" s="1065"/>
    </row>
    <row r="6340" spans="4:59">
      <c r="D6340" s="1065"/>
      <c r="S6340" s="1065"/>
      <c r="BE6340" s="1065"/>
      <c r="BF6340" s="1065"/>
      <c r="BG6340" s="1065"/>
    </row>
    <row r="6341" spans="4:59">
      <c r="D6341" s="1065"/>
      <c r="S6341" s="1065"/>
      <c r="BE6341" s="1065"/>
      <c r="BF6341" s="1065"/>
      <c r="BG6341" s="1065"/>
    </row>
    <row r="6342" spans="4:59">
      <c r="D6342" s="1065"/>
      <c r="S6342" s="1065"/>
      <c r="BE6342" s="1065"/>
      <c r="BF6342" s="1065"/>
      <c r="BG6342" s="1065"/>
    </row>
    <row r="6343" spans="4:59">
      <c r="D6343" s="1065"/>
      <c r="S6343" s="1065"/>
      <c r="BE6343" s="1065"/>
      <c r="BF6343" s="1065"/>
      <c r="BG6343" s="1065"/>
    </row>
    <row r="6344" spans="4:59">
      <c r="D6344" s="1065"/>
      <c r="S6344" s="1065"/>
      <c r="BE6344" s="1065"/>
      <c r="BF6344" s="1065"/>
      <c r="BG6344" s="1065"/>
    </row>
    <row r="6345" spans="4:59">
      <c r="D6345" s="1065"/>
      <c r="S6345" s="1065"/>
      <c r="BE6345" s="1065"/>
      <c r="BF6345" s="1065"/>
      <c r="BG6345" s="1065"/>
    </row>
    <row r="6346" spans="4:59">
      <c r="D6346" s="1065"/>
      <c r="S6346" s="1065"/>
      <c r="BE6346" s="1065"/>
      <c r="BF6346" s="1065"/>
      <c r="BG6346" s="1065"/>
    </row>
    <row r="6347" spans="4:59">
      <c r="D6347" s="1065"/>
      <c r="S6347" s="1065"/>
      <c r="BE6347" s="1065"/>
      <c r="BF6347" s="1065"/>
      <c r="BG6347" s="1065"/>
    </row>
    <row r="6348" spans="4:59">
      <c r="D6348" s="1065"/>
      <c r="S6348" s="1065"/>
      <c r="BE6348" s="1065"/>
      <c r="BF6348" s="1065"/>
      <c r="BG6348" s="1065"/>
    </row>
    <row r="6349" spans="4:59">
      <c r="D6349" s="1065"/>
      <c r="S6349" s="1065"/>
      <c r="BE6349" s="1065"/>
      <c r="BF6349" s="1065"/>
      <c r="BG6349" s="1065"/>
    </row>
    <row r="6350" spans="4:59">
      <c r="D6350" s="1065"/>
      <c r="S6350" s="1065"/>
      <c r="BE6350" s="1065"/>
      <c r="BF6350" s="1065"/>
      <c r="BG6350" s="1065"/>
    </row>
    <row r="6351" spans="4:59">
      <c r="D6351" s="1065"/>
      <c r="S6351" s="1065"/>
      <c r="BE6351" s="1065"/>
      <c r="BF6351" s="1065"/>
      <c r="BG6351" s="1065"/>
    </row>
    <row r="6352" spans="4:59">
      <c r="D6352" s="1065"/>
      <c r="S6352" s="1065"/>
      <c r="BE6352" s="1065"/>
      <c r="BF6352" s="1065"/>
      <c r="BG6352" s="1065"/>
    </row>
    <row r="6353" spans="4:59">
      <c r="D6353" s="1065"/>
      <c r="S6353" s="1065"/>
      <c r="BE6353" s="1065"/>
      <c r="BF6353" s="1065"/>
      <c r="BG6353" s="1065"/>
    </row>
    <row r="6354" spans="4:59">
      <c r="D6354" s="1065"/>
      <c r="S6354" s="1065"/>
      <c r="BE6354" s="1065"/>
      <c r="BF6354" s="1065"/>
      <c r="BG6354" s="1065"/>
    </row>
    <row r="6355" spans="4:59">
      <c r="D6355" s="1065"/>
      <c r="S6355" s="1065"/>
      <c r="BE6355" s="1065"/>
      <c r="BF6355" s="1065"/>
      <c r="BG6355" s="1065"/>
    </row>
    <row r="6356" spans="4:59">
      <c r="D6356" s="1065"/>
      <c r="S6356" s="1065"/>
      <c r="BE6356" s="1065"/>
      <c r="BF6356" s="1065"/>
      <c r="BG6356" s="1065"/>
    </row>
    <row r="6357" spans="4:59">
      <c r="D6357" s="1065"/>
      <c r="S6357" s="1065"/>
      <c r="BE6357" s="1065"/>
      <c r="BF6357" s="1065"/>
      <c r="BG6357" s="1065"/>
    </row>
    <row r="6358" spans="4:59">
      <c r="D6358" s="1065"/>
      <c r="S6358" s="1065"/>
      <c r="BE6358" s="1065"/>
      <c r="BF6358" s="1065"/>
      <c r="BG6358" s="1065"/>
    </row>
    <row r="6359" spans="4:59">
      <c r="D6359" s="1065"/>
      <c r="S6359" s="1065"/>
      <c r="BE6359" s="1065"/>
      <c r="BF6359" s="1065"/>
      <c r="BG6359" s="1065"/>
    </row>
    <row r="6360" spans="4:59">
      <c r="D6360" s="1065"/>
      <c r="S6360" s="1065"/>
      <c r="BE6360" s="1065"/>
      <c r="BF6360" s="1065"/>
      <c r="BG6360" s="1065"/>
    </row>
    <row r="6361" spans="4:59">
      <c r="D6361" s="1065"/>
      <c r="S6361" s="1065"/>
      <c r="BE6361" s="1065"/>
      <c r="BF6361" s="1065"/>
      <c r="BG6361" s="1065"/>
    </row>
    <row r="6362" spans="4:59">
      <c r="D6362" s="1065"/>
      <c r="S6362" s="1065"/>
      <c r="BE6362" s="1065"/>
      <c r="BF6362" s="1065"/>
      <c r="BG6362" s="1065"/>
    </row>
    <row r="6363" spans="4:59">
      <c r="D6363" s="1065"/>
      <c r="S6363" s="1065"/>
      <c r="BE6363" s="1065"/>
      <c r="BF6363" s="1065"/>
      <c r="BG6363" s="1065"/>
    </row>
    <row r="6364" spans="4:59">
      <c r="D6364" s="1065"/>
      <c r="S6364" s="1065"/>
      <c r="BE6364" s="1065"/>
      <c r="BF6364" s="1065"/>
      <c r="BG6364" s="1065"/>
    </row>
    <row r="6365" spans="4:59">
      <c r="D6365" s="1065"/>
      <c r="S6365" s="1065"/>
      <c r="BE6365" s="1065"/>
      <c r="BF6365" s="1065"/>
      <c r="BG6365" s="1065"/>
    </row>
    <row r="6366" spans="4:59">
      <c r="D6366" s="1065"/>
      <c r="S6366" s="1065"/>
      <c r="BE6366" s="1065"/>
      <c r="BF6366" s="1065"/>
      <c r="BG6366" s="1065"/>
    </row>
    <row r="6367" spans="4:59">
      <c r="D6367" s="1065"/>
      <c r="S6367" s="1065"/>
      <c r="BE6367" s="1065"/>
      <c r="BF6367" s="1065"/>
      <c r="BG6367" s="1065"/>
    </row>
    <row r="6368" spans="4:59">
      <c r="D6368" s="1065"/>
      <c r="S6368" s="1065"/>
      <c r="BE6368" s="1065"/>
      <c r="BF6368" s="1065"/>
      <c r="BG6368" s="1065"/>
    </row>
    <row r="6369" spans="4:59">
      <c r="D6369" s="1065"/>
      <c r="S6369" s="1065"/>
      <c r="BE6369" s="1065"/>
      <c r="BF6369" s="1065"/>
      <c r="BG6369" s="1065"/>
    </row>
    <row r="6370" spans="4:59">
      <c r="D6370" s="1065"/>
      <c r="S6370" s="1065"/>
      <c r="BE6370" s="1065"/>
      <c r="BF6370" s="1065"/>
      <c r="BG6370" s="1065"/>
    </row>
    <row r="6371" spans="4:59">
      <c r="D6371" s="1065"/>
      <c r="S6371" s="1065"/>
      <c r="BE6371" s="1065"/>
      <c r="BF6371" s="1065"/>
      <c r="BG6371" s="1065"/>
    </row>
    <row r="6372" spans="4:59">
      <c r="D6372" s="1065"/>
      <c r="S6372" s="1065"/>
      <c r="BE6372" s="1065"/>
      <c r="BF6372" s="1065"/>
      <c r="BG6372" s="1065"/>
    </row>
    <row r="6373" spans="4:59">
      <c r="D6373" s="1065"/>
      <c r="S6373" s="1065"/>
      <c r="BE6373" s="1065"/>
      <c r="BF6373" s="1065"/>
      <c r="BG6373" s="1065"/>
    </row>
    <row r="6374" spans="4:59">
      <c r="D6374" s="1065"/>
      <c r="S6374" s="1065"/>
      <c r="BE6374" s="1065"/>
      <c r="BF6374" s="1065"/>
      <c r="BG6374" s="1065"/>
    </row>
    <row r="6375" spans="4:59">
      <c r="D6375" s="1065"/>
      <c r="S6375" s="1065"/>
      <c r="BE6375" s="1065"/>
      <c r="BF6375" s="1065"/>
      <c r="BG6375" s="1065"/>
    </row>
    <row r="6376" spans="4:59">
      <c r="D6376" s="1065"/>
      <c r="S6376" s="1065"/>
      <c r="BE6376" s="1065"/>
      <c r="BF6376" s="1065"/>
      <c r="BG6376" s="1065"/>
    </row>
    <row r="6377" spans="4:59">
      <c r="D6377" s="1065"/>
      <c r="S6377" s="1065"/>
      <c r="BE6377" s="1065"/>
      <c r="BF6377" s="1065"/>
      <c r="BG6377" s="1065"/>
    </row>
    <row r="6378" spans="4:59">
      <c r="D6378" s="1065"/>
      <c r="S6378" s="1065"/>
      <c r="BE6378" s="1065"/>
      <c r="BF6378" s="1065"/>
      <c r="BG6378" s="1065"/>
    </row>
    <row r="6379" spans="4:59">
      <c r="D6379" s="1065"/>
      <c r="S6379" s="1065"/>
      <c r="BE6379" s="1065"/>
      <c r="BF6379" s="1065"/>
      <c r="BG6379" s="1065"/>
    </row>
    <row r="6380" spans="4:59">
      <c r="D6380" s="1065"/>
      <c r="S6380" s="1065"/>
      <c r="BE6380" s="1065"/>
      <c r="BF6380" s="1065"/>
      <c r="BG6380" s="1065"/>
    </row>
    <row r="6381" spans="4:59">
      <c r="D6381" s="1065"/>
      <c r="S6381" s="1065"/>
      <c r="BE6381" s="1065"/>
      <c r="BF6381" s="1065"/>
      <c r="BG6381" s="1065"/>
    </row>
    <row r="6382" spans="4:59">
      <c r="D6382" s="1065"/>
      <c r="S6382" s="1065"/>
      <c r="BE6382" s="1065"/>
      <c r="BF6382" s="1065"/>
      <c r="BG6382" s="1065"/>
    </row>
    <row r="6383" spans="4:59">
      <c r="D6383" s="1065"/>
      <c r="S6383" s="1065"/>
      <c r="BE6383" s="1065"/>
      <c r="BF6383" s="1065"/>
      <c r="BG6383" s="1065"/>
    </row>
    <row r="6384" spans="4:59">
      <c r="D6384" s="1065"/>
      <c r="S6384" s="1065"/>
      <c r="BE6384" s="1065"/>
      <c r="BF6384" s="1065"/>
      <c r="BG6384" s="1065"/>
    </row>
    <row r="6385" spans="4:59">
      <c r="D6385" s="1065"/>
      <c r="S6385" s="1065"/>
      <c r="BE6385" s="1065"/>
      <c r="BF6385" s="1065"/>
      <c r="BG6385" s="1065"/>
    </row>
    <row r="6386" spans="4:59">
      <c r="D6386" s="1065"/>
      <c r="S6386" s="1065"/>
      <c r="BE6386" s="1065"/>
      <c r="BF6386" s="1065"/>
      <c r="BG6386" s="1065"/>
    </row>
    <row r="6387" spans="4:59">
      <c r="D6387" s="1065"/>
      <c r="S6387" s="1065"/>
      <c r="BE6387" s="1065"/>
      <c r="BF6387" s="1065"/>
      <c r="BG6387" s="1065"/>
    </row>
    <row r="6388" spans="4:59">
      <c r="D6388" s="1065"/>
      <c r="S6388" s="1065"/>
      <c r="BE6388" s="1065"/>
      <c r="BF6388" s="1065"/>
      <c r="BG6388" s="1065"/>
    </row>
    <row r="6389" spans="4:59">
      <c r="D6389" s="1065"/>
      <c r="S6389" s="1065"/>
      <c r="BE6389" s="1065"/>
      <c r="BF6389" s="1065"/>
      <c r="BG6389" s="1065"/>
    </row>
    <row r="6390" spans="4:59">
      <c r="D6390" s="1065"/>
      <c r="S6390" s="1065"/>
      <c r="BE6390" s="1065"/>
      <c r="BF6390" s="1065"/>
      <c r="BG6390" s="1065"/>
    </row>
    <row r="6391" spans="4:59">
      <c r="D6391" s="1065"/>
      <c r="S6391" s="1065"/>
      <c r="BE6391" s="1065"/>
      <c r="BF6391" s="1065"/>
      <c r="BG6391" s="1065"/>
    </row>
    <row r="6392" spans="4:59">
      <c r="D6392" s="1065"/>
      <c r="S6392" s="1065"/>
      <c r="BE6392" s="1065"/>
      <c r="BF6392" s="1065"/>
      <c r="BG6392" s="1065"/>
    </row>
    <row r="6393" spans="4:59">
      <c r="D6393" s="1065"/>
      <c r="S6393" s="1065"/>
      <c r="BE6393" s="1065"/>
      <c r="BF6393" s="1065"/>
      <c r="BG6393" s="1065"/>
    </row>
    <row r="6394" spans="4:59">
      <c r="D6394" s="1065"/>
      <c r="S6394" s="1065"/>
      <c r="BE6394" s="1065"/>
      <c r="BF6394" s="1065"/>
      <c r="BG6394" s="1065"/>
    </row>
    <row r="6395" spans="4:59">
      <c r="D6395" s="1065"/>
      <c r="S6395" s="1065"/>
      <c r="BE6395" s="1065"/>
      <c r="BF6395" s="1065"/>
      <c r="BG6395" s="1065"/>
    </row>
    <row r="6396" spans="4:59">
      <c r="D6396" s="1065"/>
      <c r="S6396" s="1065"/>
      <c r="BE6396" s="1065"/>
      <c r="BF6396" s="1065"/>
      <c r="BG6396" s="1065"/>
    </row>
    <row r="6397" spans="4:59">
      <c r="D6397" s="1065"/>
      <c r="S6397" s="1065"/>
      <c r="BE6397" s="1065"/>
      <c r="BF6397" s="1065"/>
      <c r="BG6397" s="1065"/>
    </row>
    <row r="6398" spans="4:59">
      <c r="D6398" s="1065"/>
      <c r="S6398" s="1065"/>
      <c r="BE6398" s="1065"/>
      <c r="BF6398" s="1065"/>
      <c r="BG6398" s="1065"/>
    </row>
    <row r="6399" spans="4:59">
      <c r="D6399" s="1065"/>
      <c r="S6399" s="1065"/>
      <c r="BE6399" s="1065"/>
      <c r="BF6399" s="1065"/>
      <c r="BG6399" s="1065"/>
    </row>
    <row r="6400" spans="4:59">
      <c r="D6400" s="1065"/>
      <c r="S6400" s="1065"/>
      <c r="BE6400" s="1065"/>
      <c r="BF6400" s="1065"/>
      <c r="BG6400" s="1065"/>
    </row>
    <row r="6401" spans="4:59">
      <c r="D6401" s="1065"/>
      <c r="S6401" s="1065"/>
      <c r="BE6401" s="1065"/>
      <c r="BF6401" s="1065"/>
      <c r="BG6401" s="1065"/>
    </row>
    <row r="6402" spans="4:59">
      <c r="D6402" s="1065"/>
      <c r="S6402" s="1065"/>
      <c r="BE6402" s="1065"/>
      <c r="BF6402" s="1065"/>
      <c r="BG6402" s="1065"/>
    </row>
    <row r="6403" spans="4:59">
      <c r="D6403" s="1065"/>
      <c r="S6403" s="1065"/>
      <c r="BE6403" s="1065"/>
      <c r="BF6403" s="1065"/>
      <c r="BG6403" s="1065"/>
    </row>
    <row r="6404" spans="4:59">
      <c r="D6404" s="1065"/>
      <c r="S6404" s="1065"/>
      <c r="BE6404" s="1065"/>
      <c r="BF6404" s="1065"/>
      <c r="BG6404" s="1065"/>
    </row>
    <row r="6405" spans="4:59">
      <c r="D6405" s="1065"/>
      <c r="S6405" s="1065"/>
      <c r="BE6405" s="1065"/>
      <c r="BF6405" s="1065"/>
      <c r="BG6405" s="1065"/>
    </row>
    <row r="6406" spans="4:59">
      <c r="D6406" s="1065"/>
      <c r="S6406" s="1065"/>
      <c r="BE6406" s="1065"/>
      <c r="BF6406" s="1065"/>
      <c r="BG6406" s="1065"/>
    </row>
    <row r="6407" spans="4:59">
      <c r="D6407" s="1065"/>
      <c r="S6407" s="1065"/>
      <c r="BE6407" s="1065"/>
      <c r="BF6407" s="1065"/>
      <c r="BG6407" s="1065"/>
    </row>
    <row r="6408" spans="4:59">
      <c r="D6408" s="1065"/>
      <c r="S6408" s="1065"/>
      <c r="BE6408" s="1065"/>
      <c r="BF6408" s="1065"/>
      <c r="BG6408" s="1065"/>
    </row>
    <row r="6409" spans="4:59">
      <c r="D6409" s="1065"/>
      <c r="S6409" s="1065"/>
      <c r="BE6409" s="1065"/>
      <c r="BF6409" s="1065"/>
      <c r="BG6409" s="1065"/>
    </row>
    <row r="6410" spans="4:59">
      <c r="D6410" s="1065"/>
      <c r="S6410" s="1065"/>
      <c r="BE6410" s="1065"/>
      <c r="BF6410" s="1065"/>
      <c r="BG6410" s="1065"/>
    </row>
    <row r="6411" spans="4:59">
      <c r="D6411" s="1065"/>
      <c r="S6411" s="1065"/>
      <c r="BE6411" s="1065"/>
      <c r="BF6411" s="1065"/>
      <c r="BG6411" s="1065"/>
    </row>
    <row r="6412" spans="4:59">
      <c r="D6412" s="1065"/>
      <c r="S6412" s="1065"/>
      <c r="BE6412" s="1065"/>
      <c r="BF6412" s="1065"/>
      <c r="BG6412" s="1065"/>
    </row>
    <row r="6413" spans="4:59">
      <c r="D6413" s="1065"/>
      <c r="S6413" s="1065"/>
      <c r="BE6413" s="1065"/>
      <c r="BF6413" s="1065"/>
      <c r="BG6413" s="1065"/>
    </row>
    <row r="6414" spans="4:59">
      <c r="D6414" s="1065"/>
      <c r="S6414" s="1065"/>
      <c r="BE6414" s="1065"/>
      <c r="BF6414" s="1065"/>
      <c r="BG6414" s="1065"/>
    </row>
    <row r="6415" spans="4:59">
      <c r="D6415" s="1065"/>
      <c r="S6415" s="1065"/>
      <c r="BE6415" s="1065"/>
      <c r="BF6415" s="1065"/>
      <c r="BG6415" s="1065"/>
    </row>
    <row r="6416" spans="4:59">
      <c r="D6416" s="1065"/>
      <c r="S6416" s="1065"/>
      <c r="BE6416" s="1065"/>
      <c r="BF6416" s="1065"/>
      <c r="BG6416" s="1065"/>
    </row>
    <row r="6417" spans="4:59">
      <c r="D6417" s="1065"/>
      <c r="S6417" s="1065"/>
      <c r="BE6417" s="1065"/>
      <c r="BF6417" s="1065"/>
      <c r="BG6417" s="1065"/>
    </row>
    <row r="6418" spans="4:59">
      <c r="D6418" s="1065"/>
      <c r="S6418" s="1065"/>
      <c r="BE6418" s="1065"/>
      <c r="BF6418" s="1065"/>
      <c r="BG6418" s="1065"/>
    </row>
    <row r="6419" spans="4:59">
      <c r="D6419" s="1065"/>
      <c r="S6419" s="1065"/>
      <c r="BE6419" s="1065"/>
      <c r="BF6419" s="1065"/>
      <c r="BG6419" s="1065"/>
    </row>
    <row r="6420" spans="4:59">
      <c r="D6420" s="1065"/>
      <c r="S6420" s="1065"/>
      <c r="BE6420" s="1065"/>
      <c r="BF6420" s="1065"/>
      <c r="BG6420" s="1065"/>
    </row>
    <row r="6421" spans="4:59">
      <c r="D6421" s="1065"/>
      <c r="S6421" s="1065"/>
      <c r="BE6421" s="1065"/>
      <c r="BF6421" s="1065"/>
      <c r="BG6421" s="1065"/>
    </row>
    <row r="6422" spans="4:59">
      <c r="D6422" s="1065"/>
      <c r="S6422" s="1065"/>
      <c r="BE6422" s="1065"/>
      <c r="BF6422" s="1065"/>
      <c r="BG6422" s="1065"/>
    </row>
    <row r="6423" spans="4:59">
      <c r="D6423" s="1065"/>
      <c r="S6423" s="1065"/>
      <c r="BE6423" s="1065"/>
      <c r="BF6423" s="1065"/>
      <c r="BG6423" s="1065"/>
    </row>
    <row r="6424" spans="4:59">
      <c r="D6424" s="1065"/>
      <c r="S6424" s="1065"/>
      <c r="BE6424" s="1065"/>
      <c r="BF6424" s="1065"/>
      <c r="BG6424" s="1065"/>
    </row>
    <row r="6425" spans="4:59">
      <c r="D6425" s="1065"/>
      <c r="S6425" s="1065"/>
      <c r="BE6425" s="1065"/>
      <c r="BF6425" s="1065"/>
      <c r="BG6425" s="1065"/>
    </row>
    <row r="6426" spans="4:59">
      <c r="D6426" s="1065"/>
      <c r="S6426" s="1065"/>
      <c r="BE6426" s="1065"/>
      <c r="BF6426" s="1065"/>
      <c r="BG6426" s="1065"/>
    </row>
    <row r="6427" spans="4:59">
      <c r="D6427" s="1065"/>
      <c r="S6427" s="1065"/>
      <c r="BE6427" s="1065"/>
      <c r="BF6427" s="1065"/>
      <c r="BG6427" s="1065"/>
    </row>
    <row r="6428" spans="4:59">
      <c r="D6428" s="1065"/>
      <c r="S6428" s="1065"/>
      <c r="BE6428" s="1065"/>
      <c r="BF6428" s="1065"/>
      <c r="BG6428" s="1065"/>
    </row>
    <row r="6429" spans="4:59">
      <c r="D6429" s="1065"/>
      <c r="S6429" s="1065"/>
      <c r="BE6429" s="1065"/>
      <c r="BF6429" s="1065"/>
      <c r="BG6429" s="1065"/>
    </row>
    <row r="6430" spans="4:59">
      <c r="D6430" s="1065"/>
      <c r="S6430" s="1065"/>
      <c r="BE6430" s="1065"/>
      <c r="BF6430" s="1065"/>
      <c r="BG6430" s="1065"/>
    </row>
    <row r="6431" spans="4:59">
      <c r="D6431" s="1065"/>
      <c r="S6431" s="1065"/>
      <c r="BE6431" s="1065"/>
      <c r="BF6431" s="1065"/>
      <c r="BG6431" s="1065"/>
    </row>
    <row r="6432" spans="4:59">
      <c r="D6432" s="1065"/>
      <c r="S6432" s="1065"/>
      <c r="BE6432" s="1065"/>
      <c r="BF6432" s="1065"/>
      <c r="BG6432" s="1065"/>
    </row>
    <row r="6433" spans="4:59">
      <c r="D6433" s="1065"/>
      <c r="S6433" s="1065"/>
      <c r="BE6433" s="1065"/>
      <c r="BF6433" s="1065"/>
      <c r="BG6433" s="1065"/>
    </row>
    <row r="6434" spans="4:59">
      <c r="D6434" s="1065"/>
      <c r="S6434" s="1065"/>
      <c r="BE6434" s="1065"/>
      <c r="BF6434" s="1065"/>
      <c r="BG6434" s="1065"/>
    </row>
    <row r="6435" spans="4:59">
      <c r="D6435" s="1065"/>
      <c r="S6435" s="1065"/>
      <c r="BE6435" s="1065"/>
      <c r="BF6435" s="1065"/>
      <c r="BG6435" s="1065"/>
    </row>
    <row r="6436" spans="4:59">
      <c r="D6436" s="1065"/>
      <c r="S6436" s="1065"/>
      <c r="BE6436" s="1065"/>
      <c r="BF6436" s="1065"/>
      <c r="BG6436" s="1065"/>
    </row>
    <row r="6437" spans="4:59">
      <c r="D6437" s="1065"/>
      <c r="S6437" s="1065"/>
      <c r="BE6437" s="1065"/>
      <c r="BF6437" s="1065"/>
      <c r="BG6437" s="1065"/>
    </row>
    <row r="6438" spans="4:59">
      <c r="D6438" s="1065"/>
      <c r="S6438" s="1065"/>
      <c r="BE6438" s="1065"/>
      <c r="BF6438" s="1065"/>
      <c r="BG6438" s="1065"/>
    </row>
    <row r="6439" spans="4:59">
      <c r="D6439" s="1065"/>
      <c r="S6439" s="1065"/>
      <c r="BE6439" s="1065"/>
      <c r="BF6439" s="1065"/>
      <c r="BG6439" s="1065"/>
    </row>
    <row r="6440" spans="4:59">
      <c r="D6440" s="1065"/>
      <c r="S6440" s="1065"/>
      <c r="BE6440" s="1065"/>
      <c r="BF6440" s="1065"/>
      <c r="BG6440" s="1065"/>
    </row>
    <row r="6441" spans="4:59">
      <c r="D6441" s="1065"/>
      <c r="S6441" s="1065"/>
      <c r="BE6441" s="1065"/>
      <c r="BF6441" s="1065"/>
      <c r="BG6441" s="1065"/>
    </row>
    <row r="6442" spans="4:59">
      <c r="D6442" s="1065"/>
      <c r="S6442" s="1065"/>
      <c r="BE6442" s="1065"/>
      <c r="BF6442" s="1065"/>
      <c r="BG6442" s="1065"/>
    </row>
    <row r="6443" spans="4:59">
      <c r="D6443" s="1065"/>
      <c r="S6443" s="1065"/>
      <c r="BE6443" s="1065"/>
      <c r="BF6443" s="1065"/>
      <c r="BG6443" s="1065"/>
    </row>
    <row r="6444" spans="4:59">
      <c r="D6444" s="1065"/>
      <c r="S6444" s="1065"/>
      <c r="BE6444" s="1065"/>
      <c r="BF6444" s="1065"/>
      <c r="BG6444" s="1065"/>
    </row>
    <row r="6445" spans="4:59">
      <c r="D6445" s="1065"/>
      <c r="S6445" s="1065"/>
      <c r="BE6445" s="1065"/>
      <c r="BF6445" s="1065"/>
      <c r="BG6445" s="1065"/>
    </row>
    <row r="6448" spans="4:59">
      <c r="D6448" s="1065"/>
      <c r="S6448" s="1065"/>
      <c r="BE6448" s="1065"/>
      <c r="BF6448" s="1065"/>
      <c r="BG6448" s="1065"/>
    </row>
    <row r="6449" spans="4:59">
      <c r="D6449" s="1065"/>
      <c r="S6449" s="1065"/>
      <c r="BE6449" s="1065"/>
      <c r="BF6449" s="1065"/>
      <c r="BG6449" s="1065"/>
    </row>
    <row r="6454" spans="4:59">
      <c r="D6454" s="1065"/>
      <c r="S6454" s="1065"/>
      <c r="BE6454" s="1065"/>
      <c r="BF6454" s="1065"/>
      <c r="BG6454" s="1065"/>
    </row>
    <row r="6455" spans="4:59">
      <c r="D6455" s="1065"/>
      <c r="S6455" s="1065"/>
      <c r="BE6455" s="1065"/>
      <c r="BF6455" s="1065"/>
      <c r="BG6455" s="1065"/>
    </row>
    <row r="6456" spans="4:59">
      <c r="D6456" s="1065"/>
      <c r="S6456" s="1065"/>
      <c r="BE6456" s="1065"/>
      <c r="BF6456" s="1065"/>
      <c r="BG6456" s="1065"/>
    </row>
    <row r="6457" spans="4:59">
      <c r="D6457" s="1065"/>
      <c r="S6457" s="1065"/>
      <c r="BE6457" s="1065"/>
      <c r="BF6457" s="1065"/>
      <c r="BG6457" s="1065"/>
    </row>
    <row r="6458" spans="4:59">
      <c r="D6458" s="1065"/>
      <c r="S6458" s="1065"/>
      <c r="BE6458" s="1065"/>
      <c r="BF6458" s="1065"/>
      <c r="BG6458" s="1065"/>
    </row>
    <row r="6459" spans="4:59">
      <c r="D6459" s="1065"/>
      <c r="S6459" s="1065"/>
      <c r="BE6459" s="1065"/>
      <c r="BF6459" s="1065"/>
      <c r="BG6459" s="1065"/>
    </row>
    <row r="6460" spans="4:59">
      <c r="D6460" s="1065"/>
      <c r="S6460" s="1065"/>
      <c r="BE6460" s="1065"/>
      <c r="BF6460" s="1065"/>
      <c r="BG6460" s="1065"/>
    </row>
    <row r="6461" spans="4:59">
      <c r="D6461" s="1065"/>
      <c r="S6461" s="1065"/>
      <c r="BE6461" s="1065"/>
      <c r="BF6461" s="1065"/>
      <c r="BG6461" s="1065"/>
    </row>
    <row r="6462" spans="4:59">
      <c r="D6462" s="1065"/>
      <c r="S6462" s="1065"/>
      <c r="BE6462" s="1065"/>
      <c r="BF6462" s="1065"/>
      <c r="BG6462" s="1065"/>
    </row>
    <row r="6463" spans="4:59">
      <c r="D6463" s="1065"/>
      <c r="S6463" s="1065"/>
      <c r="BE6463" s="1065"/>
      <c r="BF6463" s="1065"/>
      <c r="BG6463" s="1065"/>
    </row>
    <row r="6464" spans="4:59">
      <c r="D6464" s="1065"/>
      <c r="S6464" s="1065"/>
      <c r="BE6464" s="1065"/>
      <c r="BF6464" s="1065"/>
      <c r="BG6464" s="1065"/>
    </row>
    <row r="6465" spans="4:59">
      <c r="D6465" s="1065"/>
      <c r="S6465" s="1065"/>
      <c r="BE6465" s="1065"/>
      <c r="BF6465" s="1065"/>
      <c r="BG6465" s="1065"/>
    </row>
    <row r="6466" spans="4:59">
      <c r="D6466" s="1065"/>
      <c r="S6466" s="1065"/>
      <c r="BE6466" s="1065"/>
      <c r="BF6466" s="1065"/>
      <c r="BG6466" s="1065"/>
    </row>
    <row r="6467" spans="4:59">
      <c r="D6467" s="1065"/>
      <c r="S6467" s="1065"/>
      <c r="BE6467" s="1065"/>
      <c r="BF6467" s="1065"/>
      <c r="BG6467" s="1065"/>
    </row>
    <row r="6468" spans="4:59">
      <c r="D6468" s="1065"/>
      <c r="S6468" s="1065"/>
      <c r="BE6468" s="1065"/>
      <c r="BF6468" s="1065"/>
      <c r="BG6468" s="1065"/>
    </row>
    <row r="6469" spans="4:59">
      <c r="D6469" s="1065"/>
      <c r="S6469" s="1065"/>
      <c r="BE6469" s="1065"/>
      <c r="BF6469" s="1065"/>
      <c r="BG6469" s="1065"/>
    </row>
    <row r="6470" spans="4:59">
      <c r="D6470" s="1065"/>
      <c r="S6470" s="1065"/>
      <c r="BE6470" s="1065"/>
      <c r="BF6470" s="1065"/>
      <c r="BG6470" s="1065"/>
    </row>
    <row r="6471" spans="4:59">
      <c r="D6471" s="1065"/>
      <c r="S6471" s="1065"/>
      <c r="BE6471" s="1065"/>
      <c r="BF6471" s="1065"/>
      <c r="BG6471" s="1065"/>
    </row>
    <row r="6472" spans="4:59">
      <c r="D6472" s="1065"/>
      <c r="S6472" s="1065"/>
      <c r="BE6472" s="1065"/>
      <c r="BF6472" s="1065"/>
      <c r="BG6472" s="1065"/>
    </row>
    <row r="6473" spans="4:59">
      <c r="D6473" s="1065"/>
      <c r="S6473" s="1065"/>
      <c r="BE6473" s="1065"/>
      <c r="BF6473" s="1065"/>
      <c r="BG6473" s="1065"/>
    </row>
    <row r="6474" spans="4:59">
      <c r="D6474" s="1065"/>
      <c r="S6474" s="1065"/>
      <c r="BE6474" s="1065"/>
      <c r="BF6474" s="1065"/>
      <c r="BG6474" s="1065"/>
    </row>
    <row r="6475" spans="4:59">
      <c r="D6475" s="1065"/>
      <c r="S6475" s="1065"/>
      <c r="BE6475" s="1065"/>
      <c r="BF6475" s="1065"/>
      <c r="BG6475" s="1065"/>
    </row>
    <row r="6476" spans="4:59">
      <c r="D6476" s="1065"/>
      <c r="S6476" s="1065"/>
      <c r="BE6476" s="1065"/>
      <c r="BF6476" s="1065"/>
      <c r="BG6476" s="1065"/>
    </row>
    <row r="6477" spans="4:59">
      <c r="D6477" s="1065"/>
      <c r="S6477" s="1065"/>
      <c r="BE6477" s="1065"/>
      <c r="BF6477" s="1065"/>
      <c r="BG6477" s="1065"/>
    </row>
    <row r="6478" spans="4:59">
      <c r="D6478" s="1065"/>
      <c r="S6478" s="1065"/>
      <c r="BE6478" s="1065"/>
      <c r="BF6478" s="1065"/>
      <c r="BG6478" s="1065"/>
    </row>
    <row r="6479" spans="4:59">
      <c r="D6479" s="1065"/>
      <c r="S6479" s="1065"/>
      <c r="BE6479" s="1065"/>
      <c r="BF6479" s="1065"/>
      <c r="BG6479" s="1065"/>
    </row>
    <row r="6480" spans="4:59">
      <c r="D6480" s="1065"/>
      <c r="S6480" s="1065"/>
      <c r="BE6480" s="1065"/>
      <c r="BF6480" s="1065"/>
      <c r="BG6480" s="1065"/>
    </row>
    <row r="6481" spans="4:59">
      <c r="D6481" s="1065"/>
      <c r="S6481" s="1065"/>
      <c r="BE6481" s="1065"/>
      <c r="BF6481" s="1065"/>
      <c r="BG6481" s="1065"/>
    </row>
    <row r="6482" spans="4:59">
      <c r="D6482" s="1065"/>
      <c r="S6482" s="1065"/>
      <c r="BE6482" s="1065"/>
      <c r="BF6482" s="1065"/>
      <c r="BG6482" s="1065"/>
    </row>
    <row r="6483" spans="4:59">
      <c r="D6483" s="1065"/>
      <c r="S6483" s="1065"/>
      <c r="BE6483" s="1065"/>
      <c r="BF6483" s="1065"/>
      <c r="BG6483" s="1065"/>
    </row>
    <row r="6484" spans="4:59">
      <c r="D6484" s="1065"/>
      <c r="S6484" s="1065"/>
      <c r="BE6484" s="1065"/>
      <c r="BF6484" s="1065"/>
      <c r="BG6484" s="1065"/>
    </row>
    <row r="6485" spans="4:59">
      <c r="D6485" s="1065"/>
      <c r="S6485" s="1065"/>
      <c r="BE6485" s="1065"/>
      <c r="BF6485" s="1065"/>
      <c r="BG6485" s="1065"/>
    </row>
    <row r="6486" spans="4:59">
      <c r="D6486" s="1065"/>
      <c r="S6486" s="1065"/>
      <c r="BE6486" s="1065"/>
      <c r="BF6486" s="1065"/>
      <c r="BG6486" s="1065"/>
    </row>
    <row r="6487" spans="4:59">
      <c r="D6487" s="1065"/>
      <c r="S6487" s="1065"/>
      <c r="BE6487" s="1065"/>
      <c r="BF6487" s="1065"/>
      <c r="BG6487" s="1065"/>
    </row>
    <row r="6488" spans="4:59">
      <c r="D6488" s="1065"/>
      <c r="S6488" s="1065"/>
      <c r="BE6488" s="1065"/>
      <c r="BF6488" s="1065"/>
      <c r="BG6488" s="1065"/>
    </row>
    <row r="6489" spans="4:59">
      <c r="D6489" s="1065"/>
      <c r="S6489" s="1065"/>
      <c r="BE6489" s="1065"/>
      <c r="BF6489" s="1065"/>
      <c r="BG6489" s="1065"/>
    </row>
    <row r="6490" spans="4:59">
      <c r="D6490" s="1065"/>
      <c r="S6490" s="1065"/>
      <c r="BE6490" s="1065"/>
      <c r="BF6490" s="1065"/>
      <c r="BG6490" s="1065"/>
    </row>
    <row r="6491" spans="4:59">
      <c r="D6491" s="1065"/>
      <c r="S6491" s="1065"/>
      <c r="BE6491" s="1065"/>
      <c r="BF6491" s="1065"/>
      <c r="BG6491" s="1065"/>
    </row>
    <row r="6492" spans="4:59">
      <c r="D6492" s="1065"/>
      <c r="S6492" s="1065"/>
      <c r="BE6492" s="1065"/>
      <c r="BF6492" s="1065"/>
      <c r="BG6492" s="1065"/>
    </row>
    <row r="6493" spans="4:59">
      <c r="D6493" s="1065"/>
      <c r="S6493" s="1065"/>
      <c r="BE6493" s="1065"/>
      <c r="BF6493" s="1065"/>
      <c r="BG6493" s="1065"/>
    </row>
    <row r="6494" spans="4:59">
      <c r="D6494" s="1065"/>
      <c r="S6494" s="1065"/>
      <c r="BE6494" s="1065"/>
      <c r="BF6494" s="1065"/>
      <c r="BG6494" s="1065"/>
    </row>
    <row r="6495" spans="4:59">
      <c r="D6495" s="1065"/>
      <c r="S6495" s="1065"/>
      <c r="BE6495" s="1065"/>
      <c r="BF6495" s="1065"/>
      <c r="BG6495" s="1065"/>
    </row>
    <row r="6496" spans="4:59">
      <c r="D6496" s="1065"/>
      <c r="S6496" s="1065"/>
      <c r="BE6496" s="1065"/>
      <c r="BF6496" s="1065"/>
      <c r="BG6496" s="1065"/>
    </row>
    <row r="6497" spans="4:59">
      <c r="D6497" s="1065"/>
      <c r="S6497" s="1065"/>
      <c r="BE6497" s="1065"/>
      <c r="BF6497" s="1065"/>
      <c r="BG6497" s="1065"/>
    </row>
    <row r="6498" spans="4:59">
      <c r="D6498" s="1065"/>
      <c r="S6498" s="1065"/>
      <c r="BE6498" s="1065"/>
      <c r="BF6498" s="1065"/>
      <c r="BG6498" s="1065"/>
    </row>
    <row r="6499" spans="4:59">
      <c r="D6499" s="1065"/>
      <c r="S6499" s="1065"/>
      <c r="BE6499" s="1065"/>
      <c r="BF6499" s="1065"/>
      <c r="BG6499" s="1065"/>
    </row>
    <row r="6500" spans="4:59">
      <c r="D6500" s="1065"/>
      <c r="S6500" s="1065"/>
      <c r="BE6500" s="1065"/>
      <c r="BF6500" s="1065"/>
      <c r="BG6500" s="1065"/>
    </row>
    <row r="6501" spans="4:59">
      <c r="D6501" s="1065"/>
      <c r="S6501" s="1065"/>
      <c r="BE6501" s="1065"/>
      <c r="BF6501" s="1065"/>
      <c r="BG6501" s="1065"/>
    </row>
    <row r="6502" spans="4:59">
      <c r="D6502" s="1065"/>
      <c r="S6502" s="1065"/>
      <c r="BE6502" s="1065"/>
      <c r="BF6502" s="1065"/>
      <c r="BG6502" s="1065"/>
    </row>
    <row r="6503" spans="4:59">
      <c r="D6503" s="1065"/>
      <c r="S6503" s="1065"/>
      <c r="BE6503" s="1065"/>
      <c r="BF6503" s="1065"/>
      <c r="BG6503" s="1065"/>
    </row>
    <row r="6504" spans="4:59">
      <c r="D6504" s="1065"/>
      <c r="S6504" s="1065"/>
      <c r="BE6504" s="1065"/>
      <c r="BF6504" s="1065"/>
      <c r="BG6504" s="1065"/>
    </row>
    <row r="6505" spans="4:59">
      <c r="D6505" s="1065"/>
      <c r="S6505" s="1065"/>
      <c r="BE6505" s="1065"/>
      <c r="BF6505" s="1065"/>
      <c r="BG6505" s="1065"/>
    </row>
    <row r="6506" spans="4:59">
      <c r="D6506" s="1065"/>
      <c r="S6506" s="1065"/>
      <c r="BE6506" s="1065"/>
      <c r="BF6506" s="1065"/>
      <c r="BG6506" s="1065"/>
    </row>
    <row r="6507" spans="4:59">
      <c r="D6507" s="1065"/>
      <c r="S6507" s="1065"/>
      <c r="BE6507" s="1065"/>
      <c r="BF6507" s="1065"/>
      <c r="BG6507" s="1065"/>
    </row>
    <row r="6508" spans="4:59">
      <c r="D6508" s="1065"/>
      <c r="S6508" s="1065"/>
      <c r="BE6508" s="1065"/>
      <c r="BF6508" s="1065"/>
      <c r="BG6508" s="1065"/>
    </row>
    <row r="6509" spans="4:59">
      <c r="D6509" s="1065"/>
      <c r="S6509" s="1065"/>
      <c r="BE6509" s="1065"/>
      <c r="BF6509" s="1065"/>
      <c r="BG6509" s="1065"/>
    </row>
    <row r="6510" spans="4:59">
      <c r="D6510" s="1065"/>
      <c r="S6510" s="1065"/>
      <c r="BE6510" s="1065"/>
      <c r="BF6510" s="1065"/>
      <c r="BG6510" s="1065"/>
    </row>
    <row r="6511" spans="4:59">
      <c r="D6511" s="1065"/>
      <c r="S6511" s="1065"/>
      <c r="BE6511" s="1065"/>
      <c r="BF6511" s="1065"/>
      <c r="BG6511" s="1065"/>
    </row>
    <row r="6512" spans="4:59">
      <c r="D6512" s="1065"/>
      <c r="S6512" s="1065"/>
      <c r="BE6512" s="1065"/>
      <c r="BF6512" s="1065"/>
      <c r="BG6512" s="1065"/>
    </row>
    <row r="6513" spans="4:59">
      <c r="D6513" s="1065"/>
      <c r="S6513" s="1065"/>
      <c r="BE6513" s="1065"/>
      <c r="BF6513" s="1065"/>
      <c r="BG6513" s="1065"/>
    </row>
    <row r="6514" spans="4:59">
      <c r="D6514" s="1065"/>
      <c r="S6514" s="1065"/>
      <c r="BE6514" s="1065"/>
      <c r="BF6514" s="1065"/>
      <c r="BG6514" s="1065"/>
    </row>
    <row r="6515" spans="4:59">
      <c r="D6515" s="1065"/>
      <c r="S6515" s="1065"/>
      <c r="BE6515" s="1065"/>
      <c r="BF6515" s="1065"/>
      <c r="BG6515" s="1065"/>
    </row>
    <row r="6516" spans="4:59">
      <c r="D6516" s="1065"/>
      <c r="S6516" s="1065"/>
      <c r="BE6516" s="1065"/>
      <c r="BF6516" s="1065"/>
      <c r="BG6516" s="1065"/>
    </row>
    <row r="6517" spans="4:59">
      <c r="D6517" s="1065"/>
      <c r="S6517" s="1065"/>
      <c r="BE6517" s="1065"/>
      <c r="BF6517" s="1065"/>
      <c r="BG6517" s="1065"/>
    </row>
    <row r="6518" spans="4:59">
      <c r="D6518" s="1065"/>
      <c r="S6518" s="1065"/>
      <c r="BE6518" s="1065"/>
      <c r="BF6518" s="1065"/>
      <c r="BG6518" s="1065"/>
    </row>
    <row r="6519" spans="4:59">
      <c r="D6519" s="1065"/>
      <c r="S6519" s="1065"/>
      <c r="BE6519" s="1065"/>
      <c r="BF6519" s="1065"/>
      <c r="BG6519" s="1065"/>
    </row>
    <row r="6520" spans="4:59">
      <c r="D6520" s="1065"/>
      <c r="S6520" s="1065"/>
      <c r="BE6520" s="1065"/>
      <c r="BF6520" s="1065"/>
      <c r="BG6520" s="1065"/>
    </row>
    <row r="6521" spans="4:59">
      <c r="D6521" s="1065"/>
      <c r="S6521" s="1065"/>
      <c r="BE6521" s="1065"/>
      <c r="BF6521" s="1065"/>
      <c r="BG6521" s="1065"/>
    </row>
    <row r="6522" spans="4:59">
      <c r="D6522" s="1065"/>
      <c r="S6522" s="1065"/>
      <c r="BE6522" s="1065"/>
      <c r="BF6522" s="1065"/>
      <c r="BG6522" s="1065"/>
    </row>
    <row r="6523" spans="4:59">
      <c r="D6523" s="1065"/>
      <c r="S6523" s="1065"/>
      <c r="BE6523" s="1065"/>
      <c r="BF6523" s="1065"/>
      <c r="BG6523" s="1065"/>
    </row>
    <row r="6524" spans="4:59">
      <c r="D6524" s="1065"/>
      <c r="S6524" s="1065"/>
      <c r="BE6524" s="1065"/>
      <c r="BF6524" s="1065"/>
      <c r="BG6524" s="1065"/>
    </row>
    <row r="6525" spans="4:59">
      <c r="D6525" s="1065"/>
      <c r="S6525" s="1065"/>
      <c r="BE6525" s="1065"/>
      <c r="BF6525" s="1065"/>
      <c r="BG6525" s="1065"/>
    </row>
    <row r="6526" spans="4:59">
      <c r="D6526" s="1065"/>
      <c r="S6526" s="1065"/>
      <c r="BE6526" s="1065"/>
      <c r="BF6526" s="1065"/>
      <c r="BG6526" s="1065"/>
    </row>
    <row r="6527" spans="4:59">
      <c r="D6527" s="1065"/>
      <c r="S6527" s="1065"/>
      <c r="BE6527" s="1065"/>
      <c r="BF6527" s="1065"/>
      <c r="BG6527" s="1065"/>
    </row>
    <row r="6528" spans="4:59">
      <c r="D6528" s="1065"/>
      <c r="S6528" s="1065"/>
      <c r="BE6528" s="1065"/>
      <c r="BF6528" s="1065"/>
      <c r="BG6528" s="1065"/>
    </row>
    <row r="6529" spans="4:59">
      <c r="D6529" s="1065"/>
      <c r="S6529" s="1065"/>
      <c r="BE6529" s="1065"/>
      <c r="BF6529" s="1065"/>
      <c r="BG6529" s="1065"/>
    </row>
    <row r="6530" spans="4:59">
      <c r="D6530" s="1065"/>
      <c r="S6530" s="1065"/>
      <c r="BE6530" s="1065"/>
      <c r="BF6530" s="1065"/>
      <c r="BG6530" s="1065"/>
    </row>
    <row r="6531" spans="4:59">
      <c r="D6531" s="1065"/>
      <c r="S6531" s="1065"/>
      <c r="BE6531" s="1065"/>
      <c r="BF6531" s="1065"/>
      <c r="BG6531" s="1065"/>
    </row>
    <row r="6532" spans="4:59">
      <c r="D6532" s="1065"/>
      <c r="S6532" s="1065"/>
      <c r="BE6532" s="1065"/>
      <c r="BF6532" s="1065"/>
      <c r="BG6532" s="1065"/>
    </row>
    <row r="6533" spans="4:59">
      <c r="D6533" s="1065"/>
      <c r="S6533" s="1065"/>
      <c r="BE6533" s="1065"/>
      <c r="BF6533" s="1065"/>
      <c r="BG6533" s="1065"/>
    </row>
    <row r="6534" spans="4:59">
      <c r="D6534" s="1065"/>
      <c r="S6534" s="1065"/>
      <c r="BE6534" s="1065"/>
      <c r="BF6534" s="1065"/>
      <c r="BG6534" s="1065"/>
    </row>
    <row r="6535" spans="4:59">
      <c r="D6535" s="1065"/>
      <c r="S6535" s="1065"/>
      <c r="BE6535" s="1065"/>
      <c r="BF6535" s="1065"/>
      <c r="BG6535" s="1065"/>
    </row>
    <row r="6536" spans="4:59">
      <c r="D6536" s="1065"/>
      <c r="S6536" s="1065"/>
      <c r="BE6536" s="1065"/>
      <c r="BF6536" s="1065"/>
      <c r="BG6536" s="1065"/>
    </row>
    <row r="6537" spans="4:59">
      <c r="D6537" s="1065"/>
      <c r="S6537" s="1065"/>
      <c r="BE6537" s="1065"/>
      <c r="BF6537" s="1065"/>
      <c r="BG6537" s="1065"/>
    </row>
    <row r="6538" spans="4:59">
      <c r="D6538" s="1065"/>
      <c r="S6538" s="1065"/>
      <c r="BE6538" s="1065"/>
      <c r="BF6538" s="1065"/>
      <c r="BG6538" s="1065"/>
    </row>
    <row r="6539" spans="4:59">
      <c r="D6539" s="1065"/>
      <c r="S6539" s="1065"/>
      <c r="BE6539" s="1065"/>
      <c r="BF6539" s="1065"/>
      <c r="BG6539" s="1065"/>
    </row>
    <row r="6540" spans="4:59">
      <c r="D6540" s="1065"/>
      <c r="S6540" s="1065"/>
      <c r="BE6540" s="1065"/>
      <c r="BF6540" s="1065"/>
      <c r="BG6540" s="1065"/>
    </row>
    <row r="6541" spans="4:59">
      <c r="D6541" s="1065"/>
      <c r="S6541" s="1065"/>
      <c r="BE6541" s="1065"/>
      <c r="BF6541" s="1065"/>
      <c r="BG6541" s="1065"/>
    </row>
    <row r="6542" spans="4:59">
      <c r="D6542" s="1065"/>
      <c r="S6542" s="1065"/>
      <c r="BE6542" s="1065"/>
      <c r="BF6542" s="1065"/>
      <c r="BG6542" s="1065"/>
    </row>
    <row r="6543" spans="4:59">
      <c r="D6543" s="1065"/>
      <c r="S6543" s="1065"/>
      <c r="BE6543" s="1065"/>
      <c r="BF6543" s="1065"/>
      <c r="BG6543" s="1065"/>
    </row>
    <row r="6544" spans="4:59">
      <c r="D6544" s="1065"/>
      <c r="S6544" s="1065"/>
      <c r="BE6544" s="1065"/>
      <c r="BF6544" s="1065"/>
      <c r="BG6544" s="1065"/>
    </row>
    <row r="6545" spans="4:59">
      <c r="D6545" s="1065"/>
      <c r="S6545" s="1065"/>
      <c r="BE6545" s="1065"/>
      <c r="BF6545" s="1065"/>
      <c r="BG6545" s="1065"/>
    </row>
    <row r="6546" spans="4:59">
      <c r="D6546" s="1065"/>
      <c r="S6546" s="1065"/>
      <c r="BE6546" s="1065"/>
      <c r="BF6546" s="1065"/>
      <c r="BG6546" s="1065"/>
    </row>
    <row r="6547" spans="4:59">
      <c r="D6547" s="1065"/>
      <c r="S6547" s="1065"/>
      <c r="BE6547" s="1065"/>
      <c r="BF6547" s="1065"/>
      <c r="BG6547" s="1065"/>
    </row>
    <row r="6548" spans="4:59">
      <c r="D6548" s="1065"/>
      <c r="S6548" s="1065"/>
      <c r="BE6548" s="1065"/>
      <c r="BF6548" s="1065"/>
      <c r="BG6548" s="1065"/>
    </row>
    <row r="6549" spans="4:59">
      <c r="D6549" s="1065"/>
      <c r="S6549" s="1065"/>
      <c r="BE6549" s="1065"/>
      <c r="BF6549" s="1065"/>
      <c r="BG6549" s="1065"/>
    </row>
    <row r="6550" spans="4:59">
      <c r="D6550" s="1065"/>
      <c r="S6550" s="1065"/>
      <c r="BE6550" s="1065"/>
      <c r="BF6550" s="1065"/>
      <c r="BG6550" s="1065"/>
    </row>
    <row r="6551" spans="4:59">
      <c r="D6551" s="1065"/>
      <c r="S6551" s="1065"/>
      <c r="BE6551" s="1065"/>
      <c r="BF6551" s="1065"/>
      <c r="BG6551" s="1065"/>
    </row>
    <row r="6552" spans="4:59">
      <c r="D6552" s="1065"/>
      <c r="S6552" s="1065"/>
      <c r="BE6552" s="1065"/>
      <c r="BF6552" s="1065"/>
      <c r="BG6552" s="1065"/>
    </row>
    <row r="6553" spans="4:59">
      <c r="D6553" s="1065"/>
      <c r="S6553" s="1065"/>
      <c r="BE6553" s="1065"/>
      <c r="BF6553" s="1065"/>
      <c r="BG6553" s="1065"/>
    </row>
    <row r="6554" spans="4:59">
      <c r="D6554" s="1065"/>
      <c r="S6554" s="1065"/>
      <c r="BE6554" s="1065"/>
      <c r="BF6554" s="1065"/>
      <c r="BG6554" s="1065"/>
    </row>
    <row r="6555" spans="4:59">
      <c r="D6555" s="1065"/>
      <c r="S6555" s="1065"/>
      <c r="BE6555" s="1065"/>
      <c r="BF6555" s="1065"/>
      <c r="BG6555" s="1065"/>
    </row>
    <row r="6556" spans="4:59">
      <c r="D6556" s="1065"/>
      <c r="S6556" s="1065"/>
      <c r="BE6556" s="1065"/>
      <c r="BF6556" s="1065"/>
      <c r="BG6556" s="1065"/>
    </row>
    <row r="6557" spans="4:59">
      <c r="D6557" s="1065"/>
      <c r="S6557" s="1065"/>
      <c r="BE6557" s="1065"/>
      <c r="BF6557" s="1065"/>
      <c r="BG6557" s="1065"/>
    </row>
    <row r="6558" spans="4:59">
      <c r="D6558" s="1065"/>
      <c r="S6558" s="1065"/>
      <c r="BE6558" s="1065"/>
      <c r="BF6558" s="1065"/>
      <c r="BG6558" s="1065"/>
    </row>
    <row r="6559" spans="4:59">
      <c r="D6559" s="1065"/>
      <c r="S6559" s="1065"/>
      <c r="BE6559" s="1065"/>
      <c r="BF6559" s="1065"/>
      <c r="BG6559" s="1065"/>
    </row>
    <row r="6560" spans="4:59">
      <c r="D6560" s="1065"/>
      <c r="S6560" s="1065"/>
      <c r="BE6560" s="1065"/>
      <c r="BF6560" s="1065"/>
      <c r="BG6560" s="1065"/>
    </row>
    <row r="6561" spans="4:59">
      <c r="D6561" s="1065"/>
      <c r="S6561" s="1065"/>
      <c r="BE6561" s="1065"/>
      <c r="BF6561" s="1065"/>
      <c r="BG6561" s="1065"/>
    </row>
    <row r="6562" spans="4:59">
      <c r="D6562" s="1065"/>
      <c r="S6562" s="1065"/>
      <c r="BE6562" s="1065"/>
      <c r="BF6562" s="1065"/>
      <c r="BG6562" s="1065"/>
    </row>
    <row r="6563" spans="4:59">
      <c r="D6563" s="1065"/>
      <c r="S6563" s="1065"/>
      <c r="BE6563" s="1065"/>
      <c r="BF6563" s="1065"/>
      <c r="BG6563" s="1065"/>
    </row>
    <row r="6564" spans="4:59">
      <c r="D6564" s="1065"/>
      <c r="S6564" s="1065"/>
      <c r="BE6564" s="1065"/>
      <c r="BF6564" s="1065"/>
      <c r="BG6564" s="1065"/>
    </row>
    <row r="6565" spans="4:59">
      <c r="D6565" s="1065"/>
      <c r="S6565" s="1065"/>
      <c r="BE6565" s="1065"/>
      <c r="BF6565" s="1065"/>
      <c r="BG6565" s="1065"/>
    </row>
    <row r="6566" spans="4:59">
      <c r="D6566" s="1065"/>
      <c r="S6566" s="1065"/>
      <c r="BE6566" s="1065"/>
      <c r="BF6566" s="1065"/>
      <c r="BG6566" s="1065"/>
    </row>
    <row r="6567" spans="4:59">
      <c r="D6567" s="1065"/>
      <c r="S6567" s="1065"/>
      <c r="BE6567" s="1065"/>
      <c r="BF6567" s="1065"/>
      <c r="BG6567" s="1065"/>
    </row>
    <row r="6568" spans="4:59">
      <c r="D6568" s="1065"/>
      <c r="S6568" s="1065"/>
      <c r="BE6568" s="1065"/>
      <c r="BF6568" s="1065"/>
      <c r="BG6568" s="1065"/>
    </row>
    <row r="6569" spans="4:59">
      <c r="D6569" s="1065"/>
      <c r="S6569" s="1065"/>
      <c r="BE6569" s="1065"/>
      <c r="BF6569" s="1065"/>
      <c r="BG6569" s="1065"/>
    </row>
    <row r="6570" spans="4:59">
      <c r="D6570" s="1065"/>
      <c r="S6570" s="1065"/>
      <c r="BE6570" s="1065"/>
      <c r="BF6570" s="1065"/>
      <c r="BG6570" s="1065"/>
    </row>
    <row r="6571" spans="4:59">
      <c r="D6571" s="1065"/>
      <c r="S6571" s="1065"/>
      <c r="BE6571" s="1065"/>
      <c r="BF6571" s="1065"/>
      <c r="BG6571" s="1065"/>
    </row>
    <row r="6572" spans="4:59">
      <c r="D6572" s="1065"/>
      <c r="S6572" s="1065"/>
      <c r="BE6572" s="1065"/>
      <c r="BF6572" s="1065"/>
      <c r="BG6572" s="1065"/>
    </row>
    <row r="6573" spans="4:59">
      <c r="D6573" s="1065"/>
      <c r="S6573" s="1065"/>
      <c r="BE6573" s="1065"/>
      <c r="BF6573" s="1065"/>
      <c r="BG6573" s="1065"/>
    </row>
    <row r="6574" spans="4:59">
      <c r="D6574" s="1065"/>
      <c r="S6574" s="1065"/>
      <c r="BE6574" s="1065"/>
      <c r="BF6574" s="1065"/>
      <c r="BG6574" s="1065"/>
    </row>
    <row r="6575" spans="4:59">
      <c r="D6575" s="1065"/>
      <c r="S6575" s="1065"/>
      <c r="BE6575" s="1065"/>
      <c r="BF6575" s="1065"/>
      <c r="BG6575" s="1065"/>
    </row>
    <row r="6576" spans="4:59">
      <c r="D6576" s="1065"/>
      <c r="S6576" s="1065"/>
      <c r="BE6576" s="1065"/>
      <c r="BF6576" s="1065"/>
      <c r="BG6576" s="1065"/>
    </row>
    <row r="6577" spans="4:59">
      <c r="D6577" s="1065"/>
      <c r="S6577" s="1065"/>
      <c r="BE6577" s="1065"/>
      <c r="BF6577" s="1065"/>
      <c r="BG6577" s="1065"/>
    </row>
    <row r="6578" spans="4:59">
      <c r="D6578" s="1065"/>
      <c r="S6578" s="1065"/>
      <c r="BE6578" s="1065"/>
      <c r="BF6578" s="1065"/>
      <c r="BG6578" s="1065"/>
    </row>
    <row r="6579" spans="4:59">
      <c r="D6579" s="1065"/>
      <c r="S6579" s="1065"/>
      <c r="BE6579" s="1065"/>
      <c r="BF6579" s="1065"/>
      <c r="BG6579" s="1065"/>
    </row>
    <row r="6580" spans="4:59">
      <c r="D6580" s="1065"/>
      <c r="S6580" s="1065"/>
      <c r="BE6580" s="1065"/>
      <c r="BF6580" s="1065"/>
      <c r="BG6580" s="1065"/>
    </row>
    <row r="6581" spans="4:59">
      <c r="D6581" s="1065"/>
      <c r="S6581" s="1065"/>
      <c r="BE6581" s="1065"/>
      <c r="BF6581" s="1065"/>
      <c r="BG6581" s="1065"/>
    </row>
    <row r="6582" spans="4:59">
      <c r="D6582" s="1065"/>
      <c r="S6582" s="1065"/>
      <c r="BE6582" s="1065"/>
      <c r="BF6582" s="1065"/>
      <c r="BG6582" s="1065"/>
    </row>
    <row r="6583" spans="4:59">
      <c r="D6583" s="1065"/>
      <c r="S6583" s="1065"/>
      <c r="BE6583" s="1065"/>
      <c r="BF6583" s="1065"/>
      <c r="BG6583" s="1065"/>
    </row>
    <row r="6584" spans="4:59">
      <c r="D6584" s="1065"/>
      <c r="S6584" s="1065"/>
      <c r="BE6584" s="1065"/>
      <c r="BF6584" s="1065"/>
      <c r="BG6584" s="1065"/>
    </row>
    <row r="6585" spans="4:59">
      <c r="D6585" s="1065"/>
      <c r="S6585" s="1065"/>
      <c r="BE6585" s="1065"/>
      <c r="BF6585" s="1065"/>
      <c r="BG6585" s="1065"/>
    </row>
    <row r="6586" spans="4:59">
      <c r="D6586" s="1065"/>
      <c r="S6586" s="1065"/>
      <c r="BE6586" s="1065"/>
      <c r="BF6586" s="1065"/>
      <c r="BG6586" s="1065"/>
    </row>
    <row r="6587" spans="4:59">
      <c r="D6587" s="1065"/>
      <c r="S6587" s="1065"/>
      <c r="BE6587" s="1065"/>
      <c r="BF6587" s="1065"/>
      <c r="BG6587" s="1065"/>
    </row>
    <row r="6588" spans="4:59">
      <c r="D6588" s="1065"/>
      <c r="S6588" s="1065"/>
      <c r="BE6588" s="1065"/>
      <c r="BF6588" s="1065"/>
      <c r="BG6588" s="1065"/>
    </row>
    <row r="6589" spans="4:59">
      <c r="D6589" s="1065"/>
      <c r="S6589" s="1065"/>
      <c r="BE6589" s="1065"/>
      <c r="BF6589" s="1065"/>
      <c r="BG6589" s="1065"/>
    </row>
    <row r="6590" spans="4:59">
      <c r="D6590" s="1065"/>
      <c r="S6590" s="1065"/>
      <c r="BE6590" s="1065"/>
      <c r="BF6590" s="1065"/>
      <c r="BG6590" s="1065"/>
    </row>
    <row r="6591" spans="4:59">
      <c r="D6591" s="1065"/>
      <c r="S6591" s="1065"/>
      <c r="BE6591" s="1065"/>
      <c r="BF6591" s="1065"/>
      <c r="BG6591" s="1065"/>
    </row>
    <row r="6592" spans="4:59">
      <c r="D6592" s="1065"/>
      <c r="S6592" s="1065"/>
      <c r="BE6592" s="1065"/>
      <c r="BF6592" s="1065"/>
      <c r="BG6592" s="1065"/>
    </row>
    <row r="6593" spans="4:59">
      <c r="D6593" s="1065"/>
      <c r="S6593" s="1065"/>
      <c r="BE6593" s="1065"/>
      <c r="BF6593" s="1065"/>
      <c r="BG6593" s="1065"/>
    </row>
    <row r="6594" spans="4:59">
      <c r="D6594" s="1065"/>
      <c r="S6594" s="1065"/>
      <c r="BE6594" s="1065"/>
      <c r="BF6594" s="1065"/>
      <c r="BG6594" s="1065"/>
    </row>
    <row r="6595" spans="4:59">
      <c r="D6595" s="1065"/>
      <c r="S6595" s="1065"/>
      <c r="BE6595" s="1065"/>
      <c r="BF6595" s="1065"/>
      <c r="BG6595" s="1065"/>
    </row>
    <row r="6596" spans="4:59">
      <c r="D6596" s="1065"/>
      <c r="S6596" s="1065"/>
      <c r="BE6596" s="1065"/>
      <c r="BF6596" s="1065"/>
      <c r="BG6596" s="1065"/>
    </row>
    <row r="6597" spans="4:59">
      <c r="D6597" s="1065"/>
      <c r="S6597" s="1065"/>
      <c r="BE6597" s="1065"/>
      <c r="BF6597" s="1065"/>
      <c r="BG6597" s="1065"/>
    </row>
    <row r="6598" spans="4:59">
      <c r="D6598" s="1065"/>
      <c r="S6598" s="1065"/>
      <c r="BE6598" s="1065"/>
      <c r="BF6598" s="1065"/>
      <c r="BG6598" s="1065"/>
    </row>
    <row r="6599" spans="4:59">
      <c r="D6599" s="1065"/>
      <c r="S6599" s="1065"/>
      <c r="BE6599" s="1065"/>
      <c r="BF6599" s="1065"/>
      <c r="BG6599" s="1065"/>
    </row>
    <row r="6600" spans="4:59">
      <c r="D6600" s="1065"/>
      <c r="S6600" s="1065"/>
      <c r="BE6600" s="1065"/>
      <c r="BF6600" s="1065"/>
      <c r="BG6600" s="1065"/>
    </row>
    <row r="6601" spans="4:59">
      <c r="D6601" s="1065"/>
      <c r="S6601" s="1065"/>
      <c r="BE6601" s="1065"/>
      <c r="BF6601" s="1065"/>
      <c r="BG6601" s="1065"/>
    </row>
    <row r="6602" spans="4:59">
      <c r="D6602" s="1065"/>
      <c r="S6602" s="1065"/>
      <c r="BE6602" s="1065"/>
      <c r="BF6602" s="1065"/>
      <c r="BG6602" s="1065"/>
    </row>
    <row r="6603" spans="4:59">
      <c r="D6603" s="1065"/>
      <c r="S6603" s="1065"/>
      <c r="BE6603" s="1065"/>
      <c r="BF6603" s="1065"/>
      <c r="BG6603" s="1065"/>
    </row>
    <row r="6604" spans="4:59">
      <c r="D6604" s="1065"/>
      <c r="S6604" s="1065"/>
      <c r="BE6604" s="1065"/>
      <c r="BF6604" s="1065"/>
      <c r="BG6604" s="1065"/>
    </row>
    <row r="6612" spans="4:59">
      <c r="D6612" s="1065"/>
      <c r="S6612" s="1065"/>
      <c r="BE6612" s="1065"/>
      <c r="BF6612" s="1065"/>
      <c r="BG6612" s="1065"/>
    </row>
    <row r="6613" spans="4:59">
      <c r="D6613" s="1065"/>
      <c r="S6613" s="1065"/>
      <c r="BE6613" s="1065"/>
      <c r="BF6613" s="1065"/>
      <c r="BG6613" s="1065"/>
    </row>
    <row r="6614" spans="4:59">
      <c r="D6614" s="1065"/>
      <c r="S6614" s="1065"/>
      <c r="BE6614" s="1065"/>
      <c r="BF6614" s="1065"/>
      <c r="BG6614" s="1065"/>
    </row>
    <row r="6615" spans="4:59">
      <c r="D6615" s="1065"/>
      <c r="S6615" s="1065"/>
      <c r="BE6615" s="1065"/>
      <c r="BF6615" s="1065"/>
      <c r="BG6615" s="1065"/>
    </row>
    <row r="6616" spans="4:59">
      <c r="D6616" s="1065"/>
      <c r="S6616" s="1065"/>
      <c r="BE6616" s="1065"/>
      <c r="BF6616" s="1065"/>
      <c r="BG6616" s="1065"/>
    </row>
    <row r="6617" spans="4:59">
      <c r="D6617" s="1065"/>
      <c r="S6617" s="1065"/>
      <c r="BE6617" s="1065"/>
      <c r="BF6617" s="1065"/>
      <c r="BG6617" s="1065"/>
    </row>
    <row r="6618" spans="4:59">
      <c r="D6618" s="1065"/>
      <c r="S6618" s="1065"/>
      <c r="BE6618" s="1065"/>
      <c r="BF6618" s="1065"/>
      <c r="BG6618" s="1065"/>
    </row>
    <row r="6619" spans="4:59">
      <c r="D6619" s="1065"/>
      <c r="S6619" s="1065"/>
      <c r="BE6619" s="1065"/>
      <c r="BF6619" s="1065"/>
      <c r="BG6619" s="1065"/>
    </row>
    <row r="6620" spans="4:59">
      <c r="D6620" s="1065"/>
      <c r="S6620" s="1065"/>
      <c r="BE6620" s="1065"/>
      <c r="BF6620" s="1065"/>
      <c r="BG6620" s="1065"/>
    </row>
    <row r="6621" spans="4:59">
      <c r="D6621" s="1065"/>
      <c r="S6621" s="1065"/>
      <c r="BE6621" s="1065"/>
      <c r="BF6621" s="1065"/>
      <c r="BG6621" s="1065"/>
    </row>
    <row r="6622" spans="4:59">
      <c r="D6622" s="1065"/>
      <c r="S6622" s="1065"/>
      <c r="BE6622" s="1065"/>
      <c r="BF6622" s="1065"/>
      <c r="BG6622" s="1065"/>
    </row>
    <row r="6623" spans="4:59">
      <c r="D6623" s="1065"/>
      <c r="S6623" s="1065"/>
      <c r="BE6623" s="1065"/>
      <c r="BF6623" s="1065"/>
      <c r="BG6623" s="1065"/>
    </row>
    <row r="6624" spans="4:59">
      <c r="D6624" s="1065"/>
      <c r="S6624" s="1065"/>
      <c r="BE6624" s="1065"/>
      <c r="BF6624" s="1065"/>
      <c r="BG6624" s="1065"/>
    </row>
    <row r="6625" spans="4:59">
      <c r="D6625" s="1065"/>
      <c r="S6625" s="1065"/>
      <c r="BE6625" s="1065"/>
      <c r="BF6625" s="1065"/>
      <c r="BG6625" s="1065"/>
    </row>
    <row r="6626" spans="4:59">
      <c r="D6626" s="1065"/>
      <c r="S6626" s="1065"/>
      <c r="BE6626" s="1065"/>
      <c r="BF6626" s="1065"/>
      <c r="BG6626" s="1065"/>
    </row>
    <row r="6627" spans="4:59">
      <c r="D6627" s="1065"/>
      <c r="S6627" s="1065"/>
      <c r="BE6627" s="1065"/>
      <c r="BF6627" s="1065"/>
      <c r="BG6627" s="1065"/>
    </row>
    <row r="6628" spans="4:59">
      <c r="D6628" s="1065"/>
      <c r="S6628" s="1065"/>
      <c r="BE6628" s="1065"/>
      <c r="BF6628" s="1065"/>
      <c r="BG6628" s="1065"/>
    </row>
    <row r="6629" spans="4:59">
      <c r="D6629" s="1065"/>
      <c r="S6629" s="1065"/>
      <c r="BE6629" s="1065"/>
      <c r="BF6629" s="1065"/>
      <c r="BG6629" s="1065"/>
    </row>
    <row r="6630" spans="4:59">
      <c r="D6630" s="1065"/>
      <c r="S6630" s="1065"/>
      <c r="BE6630" s="1065"/>
      <c r="BF6630" s="1065"/>
      <c r="BG6630" s="1065"/>
    </row>
    <row r="6631" spans="4:59">
      <c r="D6631" s="1065"/>
      <c r="S6631" s="1065"/>
      <c r="BE6631" s="1065"/>
      <c r="BF6631" s="1065"/>
      <c r="BG6631" s="1065"/>
    </row>
    <row r="6632" spans="4:59">
      <c r="D6632" s="1065"/>
      <c r="S6632" s="1065"/>
      <c r="BE6632" s="1065"/>
      <c r="BF6632" s="1065"/>
      <c r="BG6632" s="1065"/>
    </row>
    <row r="6633" spans="4:59">
      <c r="D6633" s="1065"/>
      <c r="S6633" s="1065"/>
      <c r="BE6633" s="1065"/>
      <c r="BF6633" s="1065"/>
      <c r="BG6633" s="1065"/>
    </row>
    <row r="6634" spans="4:59">
      <c r="D6634" s="1065"/>
      <c r="S6634" s="1065"/>
      <c r="BE6634" s="1065"/>
      <c r="BF6634" s="1065"/>
      <c r="BG6634" s="1065"/>
    </row>
    <row r="6635" spans="4:59">
      <c r="D6635" s="1065"/>
      <c r="S6635" s="1065"/>
      <c r="BE6635" s="1065"/>
      <c r="BF6635" s="1065"/>
      <c r="BG6635" s="1065"/>
    </row>
    <row r="6636" spans="4:59">
      <c r="D6636" s="1065"/>
      <c r="S6636" s="1065"/>
      <c r="BE6636" s="1065"/>
      <c r="BF6636" s="1065"/>
      <c r="BG6636" s="1065"/>
    </row>
    <row r="6637" spans="4:59">
      <c r="D6637" s="1065"/>
      <c r="S6637" s="1065"/>
      <c r="BE6637" s="1065"/>
      <c r="BF6637" s="1065"/>
      <c r="BG6637" s="1065"/>
    </row>
    <row r="6638" spans="4:59">
      <c r="D6638" s="1065"/>
      <c r="S6638" s="1065"/>
      <c r="BE6638" s="1065"/>
      <c r="BF6638" s="1065"/>
      <c r="BG6638" s="1065"/>
    </row>
    <row r="6639" spans="4:59">
      <c r="D6639" s="1065"/>
      <c r="S6639" s="1065"/>
      <c r="BE6639" s="1065"/>
      <c r="BF6639" s="1065"/>
      <c r="BG6639" s="1065"/>
    </row>
    <row r="6640" spans="4:59">
      <c r="D6640" s="1065"/>
      <c r="S6640" s="1065"/>
      <c r="BE6640" s="1065"/>
      <c r="BF6640" s="1065"/>
      <c r="BG6640" s="1065"/>
    </row>
    <row r="6641" spans="4:59">
      <c r="D6641" s="1065"/>
      <c r="S6641" s="1065"/>
      <c r="BE6641" s="1065"/>
      <c r="BF6641" s="1065"/>
      <c r="BG6641" s="1065"/>
    </row>
    <row r="6642" spans="4:59">
      <c r="D6642" s="1065"/>
      <c r="S6642" s="1065"/>
      <c r="BE6642" s="1065"/>
      <c r="BF6642" s="1065"/>
      <c r="BG6642" s="1065"/>
    </row>
    <row r="6643" spans="4:59">
      <c r="D6643" s="1065"/>
      <c r="S6643" s="1065"/>
      <c r="BE6643" s="1065"/>
      <c r="BF6643" s="1065"/>
      <c r="BG6643" s="1065"/>
    </row>
    <row r="6644" spans="4:59">
      <c r="D6644" s="1065"/>
      <c r="S6644" s="1065"/>
      <c r="BE6644" s="1065"/>
      <c r="BF6644" s="1065"/>
      <c r="BG6644" s="1065"/>
    </row>
    <row r="6645" spans="4:59">
      <c r="D6645" s="1065"/>
      <c r="S6645" s="1065"/>
      <c r="BE6645" s="1065"/>
      <c r="BF6645" s="1065"/>
      <c r="BG6645" s="1065"/>
    </row>
    <row r="6646" spans="4:59">
      <c r="D6646" s="1065"/>
      <c r="S6646" s="1065"/>
      <c r="BE6646" s="1065"/>
      <c r="BF6646" s="1065"/>
      <c r="BG6646" s="1065"/>
    </row>
    <row r="6647" spans="4:59">
      <c r="D6647" s="1065"/>
      <c r="S6647" s="1065"/>
      <c r="BE6647" s="1065"/>
      <c r="BF6647" s="1065"/>
      <c r="BG6647" s="1065"/>
    </row>
    <row r="6648" spans="4:59">
      <c r="D6648" s="1065"/>
      <c r="S6648" s="1065"/>
      <c r="BE6648" s="1065"/>
      <c r="BF6648" s="1065"/>
      <c r="BG6648" s="1065"/>
    </row>
    <row r="6649" spans="4:59">
      <c r="D6649" s="1065"/>
      <c r="S6649" s="1065"/>
      <c r="BE6649" s="1065"/>
      <c r="BF6649" s="1065"/>
      <c r="BG6649" s="1065"/>
    </row>
    <row r="6650" spans="4:59">
      <c r="D6650" s="1065"/>
      <c r="S6650" s="1065"/>
      <c r="BE6650" s="1065"/>
      <c r="BF6650" s="1065"/>
      <c r="BG6650" s="1065"/>
    </row>
    <row r="6651" spans="4:59">
      <c r="D6651" s="1065"/>
      <c r="S6651" s="1065"/>
      <c r="BE6651" s="1065"/>
      <c r="BF6651" s="1065"/>
      <c r="BG6651" s="1065"/>
    </row>
    <row r="6652" spans="4:59">
      <c r="D6652" s="1065"/>
      <c r="S6652" s="1065"/>
      <c r="BE6652" s="1065"/>
      <c r="BF6652" s="1065"/>
      <c r="BG6652" s="1065"/>
    </row>
    <row r="6653" spans="4:59">
      <c r="D6653" s="1065"/>
      <c r="S6653" s="1065"/>
      <c r="BE6653" s="1065"/>
      <c r="BF6653" s="1065"/>
      <c r="BG6653" s="1065"/>
    </row>
    <row r="6654" spans="4:59">
      <c r="D6654" s="1065"/>
      <c r="S6654" s="1065"/>
      <c r="BE6654" s="1065"/>
      <c r="BF6654" s="1065"/>
      <c r="BG6654" s="1065"/>
    </row>
    <row r="6655" spans="4:59">
      <c r="D6655" s="1065"/>
      <c r="S6655" s="1065"/>
      <c r="BE6655" s="1065"/>
      <c r="BF6655" s="1065"/>
      <c r="BG6655" s="1065"/>
    </row>
    <row r="6656" spans="4:59">
      <c r="D6656" s="1065"/>
      <c r="S6656" s="1065"/>
      <c r="BE6656" s="1065"/>
      <c r="BF6656" s="1065"/>
      <c r="BG6656" s="1065"/>
    </row>
    <row r="6657" spans="4:59">
      <c r="D6657" s="1065"/>
      <c r="S6657" s="1065"/>
      <c r="BE6657" s="1065"/>
      <c r="BF6657" s="1065"/>
      <c r="BG6657" s="1065"/>
    </row>
    <row r="6658" spans="4:59">
      <c r="D6658" s="1065"/>
      <c r="S6658" s="1065"/>
      <c r="BE6658" s="1065"/>
      <c r="BF6658" s="1065"/>
      <c r="BG6658" s="1065"/>
    </row>
    <row r="6659" spans="4:59">
      <c r="D6659" s="1065"/>
      <c r="S6659" s="1065"/>
      <c r="BE6659" s="1065"/>
      <c r="BF6659" s="1065"/>
      <c r="BG6659" s="1065"/>
    </row>
    <row r="6660" spans="4:59">
      <c r="D6660" s="1065"/>
      <c r="S6660" s="1065"/>
      <c r="BE6660" s="1065"/>
      <c r="BF6660" s="1065"/>
      <c r="BG6660" s="1065"/>
    </row>
    <row r="6661" spans="4:59">
      <c r="D6661" s="1065"/>
      <c r="S6661" s="1065"/>
      <c r="BE6661" s="1065"/>
      <c r="BF6661" s="1065"/>
      <c r="BG6661" s="1065"/>
    </row>
    <row r="6662" spans="4:59">
      <c r="D6662" s="1065"/>
      <c r="S6662" s="1065"/>
      <c r="BE6662" s="1065"/>
      <c r="BF6662" s="1065"/>
      <c r="BG6662" s="1065"/>
    </row>
    <row r="6663" spans="4:59">
      <c r="D6663" s="1065"/>
      <c r="S6663" s="1065"/>
      <c r="BE6663" s="1065"/>
      <c r="BF6663" s="1065"/>
      <c r="BG6663" s="1065"/>
    </row>
    <row r="6664" spans="4:59">
      <c r="D6664" s="1065"/>
      <c r="S6664" s="1065"/>
      <c r="BE6664" s="1065"/>
      <c r="BF6664" s="1065"/>
      <c r="BG6664" s="1065"/>
    </row>
    <row r="6665" spans="4:59">
      <c r="D6665" s="1065"/>
      <c r="S6665" s="1065"/>
      <c r="BE6665" s="1065"/>
      <c r="BF6665" s="1065"/>
      <c r="BG6665" s="1065"/>
    </row>
    <row r="6666" spans="4:59">
      <c r="D6666" s="1065"/>
      <c r="S6666" s="1065"/>
      <c r="BE6666" s="1065"/>
      <c r="BF6666" s="1065"/>
      <c r="BG6666" s="1065"/>
    </row>
    <row r="6667" spans="4:59">
      <c r="D6667" s="1065"/>
      <c r="S6667" s="1065"/>
      <c r="BE6667" s="1065"/>
      <c r="BF6667" s="1065"/>
      <c r="BG6667" s="1065"/>
    </row>
    <row r="6668" spans="4:59">
      <c r="D6668" s="1065"/>
      <c r="S6668" s="1065"/>
      <c r="BE6668" s="1065"/>
      <c r="BF6668" s="1065"/>
      <c r="BG6668" s="1065"/>
    </row>
    <row r="6669" spans="4:59">
      <c r="D6669" s="1065"/>
      <c r="S6669" s="1065"/>
      <c r="BE6669" s="1065"/>
      <c r="BF6669" s="1065"/>
      <c r="BG6669" s="1065"/>
    </row>
    <row r="6670" spans="4:59">
      <c r="D6670" s="1065"/>
      <c r="S6670" s="1065"/>
      <c r="BE6670" s="1065"/>
      <c r="BF6670" s="1065"/>
      <c r="BG6670" s="1065"/>
    </row>
    <row r="6671" spans="4:59">
      <c r="D6671" s="1065"/>
      <c r="S6671" s="1065"/>
      <c r="BE6671" s="1065"/>
      <c r="BF6671" s="1065"/>
      <c r="BG6671" s="1065"/>
    </row>
    <row r="6672" spans="4:59">
      <c r="D6672" s="1065"/>
      <c r="S6672" s="1065"/>
      <c r="BE6672" s="1065"/>
      <c r="BF6672" s="1065"/>
      <c r="BG6672" s="1065"/>
    </row>
    <row r="6673" spans="4:59">
      <c r="D6673" s="1065"/>
      <c r="S6673" s="1065"/>
      <c r="BE6673" s="1065"/>
      <c r="BF6673" s="1065"/>
      <c r="BG6673" s="1065"/>
    </row>
    <row r="6674" spans="4:59">
      <c r="D6674" s="1065"/>
      <c r="S6674" s="1065"/>
      <c r="BE6674" s="1065"/>
      <c r="BF6674" s="1065"/>
      <c r="BG6674" s="1065"/>
    </row>
    <row r="6675" spans="4:59">
      <c r="D6675" s="1065"/>
      <c r="S6675" s="1065"/>
      <c r="BE6675" s="1065"/>
      <c r="BF6675" s="1065"/>
      <c r="BG6675" s="1065"/>
    </row>
    <row r="6676" spans="4:59">
      <c r="D6676" s="1065"/>
      <c r="S6676" s="1065"/>
      <c r="BE6676" s="1065"/>
      <c r="BF6676" s="1065"/>
      <c r="BG6676" s="1065"/>
    </row>
    <row r="6677" spans="4:59">
      <c r="D6677" s="1065"/>
      <c r="S6677" s="1065"/>
      <c r="BE6677" s="1065"/>
      <c r="BF6677" s="1065"/>
      <c r="BG6677" s="1065"/>
    </row>
    <row r="6678" spans="4:59">
      <c r="D6678" s="1065"/>
      <c r="S6678" s="1065"/>
      <c r="BE6678" s="1065"/>
      <c r="BF6678" s="1065"/>
      <c r="BG6678" s="1065"/>
    </row>
    <row r="6679" spans="4:59">
      <c r="D6679" s="1065"/>
      <c r="S6679" s="1065"/>
      <c r="BE6679" s="1065"/>
      <c r="BF6679" s="1065"/>
      <c r="BG6679" s="1065"/>
    </row>
    <row r="6680" spans="4:59">
      <c r="D6680" s="1065"/>
      <c r="S6680" s="1065"/>
      <c r="BE6680" s="1065"/>
      <c r="BF6680" s="1065"/>
      <c r="BG6680" s="1065"/>
    </row>
    <row r="6681" spans="4:59">
      <c r="D6681" s="1065"/>
      <c r="S6681" s="1065"/>
      <c r="BE6681" s="1065"/>
      <c r="BF6681" s="1065"/>
      <c r="BG6681" s="1065"/>
    </row>
    <row r="6682" spans="4:59">
      <c r="D6682" s="1065"/>
      <c r="S6682" s="1065"/>
      <c r="BE6682" s="1065"/>
      <c r="BF6682" s="1065"/>
      <c r="BG6682" s="1065"/>
    </row>
    <row r="6683" spans="4:59">
      <c r="D6683" s="1065"/>
      <c r="S6683" s="1065"/>
      <c r="BE6683" s="1065"/>
      <c r="BF6683" s="1065"/>
      <c r="BG6683" s="1065"/>
    </row>
    <row r="6684" spans="4:59">
      <c r="D6684" s="1065"/>
      <c r="S6684" s="1065"/>
      <c r="BE6684" s="1065"/>
      <c r="BF6684" s="1065"/>
      <c r="BG6684" s="1065"/>
    </row>
    <row r="6685" spans="4:59">
      <c r="D6685" s="1065"/>
      <c r="S6685" s="1065"/>
      <c r="BE6685" s="1065"/>
      <c r="BF6685" s="1065"/>
      <c r="BG6685" s="1065"/>
    </row>
    <row r="6686" spans="4:59">
      <c r="D6686" s="1065"/>
      <c r="S6686" s="1065"/>
      <c r="BE6686" s="1065"/>
      <c r="BF6686" s="1065"/>
      <c r="BG6686" s="1065"/>
    </row>
    <row r="6687" spans="4:59">
      <c r="D6687" s="1065"/>
      <c r="S6687" s="1065"/>
      <c r="BE6687" s="1065"/>
      <c r="BF6687" s="1065"/>
      <c r="BG6687" s="1065"/>
    </row>
    <row r="6688" spans="4:59">
      <c r="D6688" s="1065"/>
      <c r="S6688" s="1065"/>
      <c r="BE6688" s="1065"/>
      <c r="BF6688" s="1065"/>
      <c r="BG6688" s="1065"/>
    </row>
    <row r="6689" spans="4:59">
      <c r="D6689" s="1065"/>
      <c r="S6689" s="1065"/>
      <c r="BE6689" s="1065"/>
      <c r="BF6689" s="1065"/>
      <c r="BG6689" s="1065"/>
    </row>
    <row r="6690" spans="4:59">
      <c r="D6690" s="1065"/>
      <c r="S6690" s="1065"/>
      <c r="BE6690" s="1065"/>
      <c r="BF6690" s="1065"/>
      <c r="BG6690" s="1065"/>
    </row>
    <row r="6691" spans="4:59">
      <c r="D6691" s="1065"/>
      <c r="S6691" s="1065"/>
      <c r="BE6691" s="1065"/>
      <c r="BF6691" s="1065"/>
      <c r="BG6691" s="1065"/>
    </row>
    <row r="6692" spans="4:59">
      <c r="D6692" s="1065"/>
      <c r="S6692" s="1065"/>
      <c r="BE6692" s="1065"/>
      <c r="BF6692" s="1065"/>
      <c r="BG6692" s="1065"/>
    </row>
    <row r="6693" spans="4:59">
      <c r="D6693" s="1065"/>
      <c r="S6693" s="1065"/>
      <c r="BE6693" s="1065"/>
      <c r="BF6693" s="1065"/>
      <c r="BG6693" s="1065"/>
    </row>
    <row r="6694" spans="4:59">
      <c r="D6694" s="1065"/>
      <c r="S6694" s="1065"/>
      <c r="BE6694" s="1065"/>
      <c r="BF6694" s="1065"/>
      <c r="BG6694" s="1065"/>
    </row>
    <row r="6695" spans="4:59">
      <c r="D6695" s="1065"/>
      <c r="S6695" s="1065"/>
      <c r="BE6695" s="1065"/>
      <c r="BF6695" s="1065"/>
      <c r="BG6695" s="1065"/>
    </row>
    <row r="6696" spans="4:59">
      <c r="D6696" s="1065"/>
      <c r="S6696" s="1065"/>
      <c r="BE6696" s="1065"/>
      <c r="BF6696" s="1065"/>
      <c r="BG6696" s="1065"/>
    </row>
    <row r="6697" spans="4:59">
      <c r="D6697" s="1065"/>
      <c r="S6697" s="1065"/>
      <c r="BE6697" s="1065"/>
      <c r="BF6697" s="1065"/>
      <c r="BG6697" s="1065"/>
    </row>
    <row r="6698" spans="4:59">
      <c r="D6698" s="1065"/>
      <c r="S6698" s="1065"/>
      <c r="BE6698" s="1065"/>
      <c r="BF6698" s="1065"/>
      <c r="BG6698" s="1065"/>
    </row>
    <row r="6699" spans="4:59">
      <c r="D6699" s="1065"/>
      <c r="S6699" s="1065"/>
      <c r="BE6699" s="1065"/>
      <c r="BF6699" s="1065"/>
      <c r="BG6699" s="1065"/>
    </row>
    <row r="6700" spans="4:59">
      <c r="D6700" s="1065"/>
      <c r="S6700" s="1065"/>
      <c r="BE6700" s="1065"/>
      <c r="BF6700" s="1065"/>
      <c r="BG6700" s="1065"/>
    </row>
    <row r="6701" spans="4:59">
      <c r="D6701" s="1065"/>
      <c r="S6701" s="1065"/>
      <c r="BE6701" s="1065"/>
      <c r="BF6701" s="1065"/>
      <c r="BG6701" s="1065"/>
    </row>
    <row r="6702" spans="4:59">
      <c r="D6702" s="1065"/>
      <c r="S6702" s="1065"/>
      <c r="BE6702" s="1065"/>
      <c r="BF6702" s="1065"/>
      <c r="BG6702" s="1065"/>
    </row>
    <row r="6703" spans="4:59">
      <c r="D6703" s="1065"/>
      <c r="S6703" s="1065"/>
      <c r="BE6703" s="1065"/>
      <c r="BF6703" s="1065"/>
      <c r="BG6703" s="1065"/>
    </row>
    <row r="6704" spans="4:59">
      <c r="D6704" s="1065"/>
      <c r="S6704" s="1065"/>
      <c r="BE6704" s="1065"/>
      <c r="BF6704" s="1065"/>
      <c r="BG6704" s="1065"/>
    </row>
    <row r="6705" spans="4:59">
      <c r="D6705" s="1065"/>
      <c r="S6705" s="1065"/>
      <c r="BE6705" s="1065"/>
      <c r="BF6705" s="1065"/>
      <c r="BG6705" s="1065"/>
    </row>
    <row r="6706" spans="4:59">
      <c r="D6706" s="1065"/>
      <c r="S6706" s="1065"/>
      <c r="BE6706" s="1065"/>
      <c r="BF6706" s="1065"/>
      <c r="BG6706" s="1065"/>
    </row>
    <row r="6707" spans="4:59">
      <c r="D6707" s="1065"/>
      <c r="S6707" s="1065"/>
      <c r="BE6707" s="1065"/>
      <c r="BF6707" s="1065"/>
      <c r="BG6707" s="1065"/>
    </row>
    <row r="6708" spans="4:59">
      <c r="D6708" s="1065"/>
      <c r="S6708" s="1065"/>
      <c r="BE6708" s="1065"/>
      <c r="BF6708" s="1065"/>
      <c r="BG6708" s="1065"/>
    </row>
    <row r="6709" spans="4:59">
      <c r="D6709" s="1065"/>
      <c r="S6709" s="1065"/>
      <c r="BE6709" s="1065"/>
      <c r="BF6709" s="1065"/>
      <c r="BG6709" s="1065"/>
    </row>
    <row r="6710" spans="4:59">
      <c r="D6710" s="1065"/>
      <c r="S6710" s="1065"/>
      <c r="BE6710" s="1065"/>
      <c r="BF6710" s="1065"/>
      <c r="BG6710" s="1065"/>
    </row>
    <row r="6711" spans="4:59">
      <c r="D6711" s="1065"/>
      <c r="S6711" s="1065"/>
      <c r="BE6711" s="1065"/>
      <c r="BF6711" s="1065"/>
      <c r="BG6711" s="1065"/>
    </row>
    <row r="6712" spans="4:59">
      <c r="D6712" s="1065"/>
      <c r="S6712" s="1065"/>
      <c r="BE6712" s="1065"/>
      <c r="BF6712" s="1065"/>
      <c r="BG6712" s="1065"/>
    </row>
    <row r="6713" spans="4:59">
      <c r="D6713" s="1065"/>
      <c r="S6713" s="1065"/>
      <c r="BE6713" s="1065"/>
      <c r="BF6713" s="1065"/>
      <c r="BG6713" s="1065"/>
    </row>
    <row r="6714" spans="4:59">
      <c r="D6714" s="1065"/>
      <c r="S6714" s="1065"/>
      <c r="BE6714" s="1065"/>
      <c r="BF6714" s="1065"/>
      <c r="BG6714" s="1065"/>
    </row>
    <row r="6715" spans="4:59">
      <c r="D6715" s="1065"/>
      <c r="S6715" s="1065"/>
      <c r="BE6715" s="1065"/>
      <c r="BF6715" s="1065"/>
      <c r="BG6715" s="1065"/>
    </row>
    <row r="6716" spans="4:59">
      <c r="D6716" s="1065"/>
      <c r="S6716" s="1065"/>
      <c r="BE6716" s="1065"/>
      <c r="BF6716" s="1065"/>
      <c r="BG6716" s="1065"/>
    </row>
    <row r="6717" spans="4:59">
      <c r="D6717" s="1065"/>
      <c r="S6717" s="1065"/>
      <c r="BE6717" s="1065"/>
      <c r="BF6717" s="1065"/>
      <c r="BG6717" s="1065"/>
    </row>
    <row r="6718" spans="4:59">
      <c r="D6718" s="1065"/>
      <c r="S6718" s="1065"/>
      <c r="BE6718" s="1065"/>
      <c r="BF6718" s="1065"/>
      <c r="BG6718" s="1065"/>
    </row>
    <row r="6719" spans="4:59">
      <c r="D6719" s="1065"/>
      <c r="S6719" s="1065"/>
      <c r="BE6719" s="1065"/>
      <c r="BF6719" s="1065"/>
      <c r="BG6719" s="1065"/>
    </row>
    <row r="6720" spans="4:59">
      <c r="D6720" s="1065"/>
      <c r="S6720" s="1065"/>
      <c r="BE6720" s="1065"/>
      <c r="BF6720" s="1065"/>
      <c r="BG6720" s="1065"/>
    </row>
    <row r="6721" spans="4:59">
      <c r="D6721" s="1065"/>
      <c r="S6721" s="1065"/>
      <c r="BE6721" s="1065"/>
      <c r="BF6721" s="1065"/>
      <c r="BG6721" s="1065"/>
    </row>
    <row r="6722" spans="4:59">
      <c r="D6722" s="1065"/>
      <c r="S6722" s="1065"/>
      <c r="BE6722" s="1065"/>
      <c r="BF6722" s="1065"/>
      <c r="BG6722" s="1065"/>
    </row>
    <row r="6723" spans="4:59">
      <c r="D6723" s="1065"/>
      <c r="S6723" s="1065"/>
      <c r="BE6723" s="1065"/>
      <c r="BF6723" s="1065"/>
      <c r="BG6723" s="1065"/>
    </row>
    <row r="6724" spans="4:59">
      <c r="D6724" s="1065"/>
      <c r="S6724" s="1065"/>
      <c r="BE6724" s="1065"/>
      <c r="BF6724" s="1065"/>
      <c r="BG6724" s="1065"/>
    </row>
    <row r="6725" spans="4:59">
      <c r="D6725" s="1065"/>
      <c r="S6725" s="1065"/>
      <c r="BE6725" s="1065"/>
      <c r="BF6725" s="1065"/>
      <c r="BG6725" s="1065"/>
    </row>
    <row r="6726" spans="4:59">
      <c r="D6726" s="1065"/>
      <c r="S6726" s="1065"/>
      <c r="BE6726" s="1065"/>
      <c r="BF6726" s="1065"/>
      <c r="BG6726" s="1065"/>
    </row>
    <row r="6727" spans="4:59">
      <c r="D6727" s="1065"/>
      <c r="S6727" s="1065"/>
      <c r="BE6727" s="1065"/>
      <c r="BF6727" s="1065"/>
      <c r="BG6727" s="1065"/>
    </row>
    <row r="6728" spans="4:59">
      <c r="D6728" s="1065"/>
      <c r="S6728" s="1065"/>
      <c r="BE6728" s="1065"/>
      <c r="BF6728" s="1065"/>
      <c r="BG6728" s="1065"/>
    </row>
    <row r="6729" spans="4:59">
      <c r="D6729" s="1065"/>
      <c r="S6729" s="1065"/>
      <c r="BE6729" s="1065"/>
      <c r="BF6729" s="1065"/>
      <c r="BG6729" s="1065"/>
    </row>
    <row r="6730" spans="4:59">
      <c r="D6730" s="1065"/>
      <c r="S6730" s="1065"/>
      <c r="BE6730" s="1065"/>
      <c r="BF6730" s="1065"/>
      <c r="BG6730" s="1065"/>
    </row>
    <row r="6731" spans="4:59">
      <c r="D6731" s="1065"/>
      <c r="S6731" s="1065"/>
      <c r="BE6731" s="1065"/>
      <c r="BF6731" s="1065"/>
      <c r="BG6731" s="1065"/>
    </row>
    <row r="6732" spans="4:59">
      <c r="D6732" s="1065"/>
      <c r="S6732" s="1065"/>
      <c r="BE6732" s="1065"/>
      <c r="BF6732" s="1065"/>
      <c r="BG6732" s="1065"/>
    </row>
    <row r="6737" spans="4:59">
      <c r="D6737" s="1065"/>
      <c r="S6737" s="1065"/>
      <c r="BE6737" s="1065"/>
      <c r="BF6737" s="1065"/>
      <c r="BG6737" s="1065"/>
    </row>
    <row r="6738" spans="4:59">
      <c r="D6738" s="1065"/>
      <c r="S6738" s="1065"/>
      <c r="BE6738" s="1065"/>
      <c r="BF6738" s="1065"/>
      <c r="BG6738" s="1065"/>
    </row>
    <row r="6741" spans="4:59">
      <c r="D6741" s="1065"/>
      <c r="S6741" s="1065"/>
      <c r="BE6741" s="1065"/>
      <c r="BF6741" s="1065"/>
      <c r="BG6741" s="1065"/>
    </row>
    <row r="6742" spans="4:59">
      <c r="D6742" s="1065"/>
      <c r="S6742" s="1065"/>
      <c r="BE6742" s="1065"/>
      <c r="BF6742" s="1065"/>
      <c r="BG6742" s="1065"/>
    </row>
    <row r="6743" spans="4:59">
      <c r="D6743" s="1065"/>
      <c r="S6743" s="1065"/>
      <c r="BE6743" s="1065"/>
      <c r="BF6743" s="1065"/>
      <c r="BG6743" s="1065"/>
    </row>
    <row r="6744" spans="4:59">
      <c r="D6744" s="1065"/>
      <c r="S6744" s="1065"/>
      <c r="BE6744" s="1065"/>
      <c r="BF6744" s="1065"/>
      <c r="BG6744" s="1065"/>
    </row>
    <row r="6745" spans="4:59">
      <c r="D6745" s="1065"/>
      <c r="S6745" s="1065"/>
      <c r="BE6745" s="1065"/>
      <c r="BF6745" s="1065"/>
      <c r="BG6745" s="1065"/>
    </row>
    <row r="6746" spans="4:59">
      <c r="D6746" s="1065"/>
      <c r="S6746" s="1065"/>
      <c r="BE6746" s="1065"/>
      <c r="BF6746" s="1065"/>
      <c r="BG6746" s="1065"/>
    </row>
    <row r="6747" spans="4:59">
      <c r="D6747" s="1065"/>
      <c r="S6747" s="1065"/>
      <c r="BE6747" s="1065"/>
      <c r="BF6747" s="1065"/>
      <c r="BG6747" s="1065"/>
    </row>
    <row r="6748" spans="4:59">
      <c r="D6748" s="1065"/>
      <c r="S6748" s="1065"/>
      <c r="BE6748" s="1065"/>
      <c r="BF6748" s="1065"/>
      <c r="BG6748" s="1065"/>
    </row>
    <row r="6749" spans="4:59">
      <c r="D6749" s="1065"/>
      <c r="S6749" s="1065"/>
      <c r="BE6749" s="1065"/>
      <c r="BF6749" s="1065"/>
      <c r="BG6749" s="1065"/>
    </row>
    <row r="6750" spans="4:59">
      <c r="D6750" s="1065"/>
      <c r="S6750" s="1065"/>
      <c r="BE6750" s="1065"/>
      <c r="BF6750" s="1065"/>
      <c r="BG6750" s="1065"/>
    </row>
    <row r="6751" spans="4:59">
      <c r="D6751" s="1065"/>
      <c r="S6751" s="1065"/>
      <c r="BE6751" s="1065"/>
      <c r="BF6751" s="1065"/>
      <c r="BG6751" s="1065"/>
    </row>
    <row r="6752" spans="4:59">
      <c r="D6752" s="1065"/>
      <c r="S6752" s="1065"/>
      <c r="BE6752" s="1065"/>
      <c r="BF6752" s="1065"/>
      <c r="BG6752" s="1065"/>
    </row>
    <row r="6753" spans="4:59">
      <c r="D6753" s="1065"/>
      <c r="S6753" s="1065"/>
      <c r="BE6753" s="1065"/>
      <c r="BF6753" s="1065"/>
      <c r="BG6753" s="1065"/>
    </row>
    <row r="6754" spans="4:59">
      <c r="D6754" s="1065"/>
      <c r="S6754" s="1065"/>
      <c r="BE6754" s="1065"/>
      <c r="BF6754" s="1065"/>
      <c r="BG6754" s="1065"/>
    </row>
    <row r="6755" spans="4:59">
      <c r="D6755" s="1065"/>
      <c r="S6755" s="1065"/>
      <c r="BE6755" s="1065"/>
      <c r="BF6755" s="1065"/>
      <c r="BG6755" s="1065"/>
    </row>
    <row r="6756" spans="4:59">
      <c r="D6756" s="1065"/>
      <c r="S6756" s="1065"/>
      <c r="BE6756" s="1065"/>
      <c r="BF6756" s="1065"/>
      <c r="BG6756" s="1065"/>
    </row>
    <row r="6757" spans="4:59">
      <c r="D6757" s="1065"/>
      <c r="S6757" s="1065"/>
      <c r="BE6757" s="1065"/>
      <c r="BF6757" s="1065"/>
      <c r="BG6757" s="1065"/>
    </row>
    <row r="6758" spans="4:59">
      <c r="D6758" s="1065"/>
      <c r="S6758" s="1065"/>
      <c r="BE6758" s="1065"/>
      <c r="BF6758" s="1065"/>
      <c r="BG6758" s="1065"/>
    </row>
    <row r="6761" spans="4:59">
      <c r="D6761" s="1065"/>
      <c r="S6761" s="1065"/>
      <c r="BE6761" s="1065"/>
      <c r="BF6761" s="1065"/>
      <c r="BG6761" s="1065"/>
    </row>
    <row r="6762" spans="4:59">
      <c r="D6762" s="1065"/>
      <c r="S6762" s="1065"/>
      <c r="BE6762" s="1065"/>
      <c r="BF6762" s="1065"/>
      <c r="BG6762" s="1065"/>
    </row>
    <row r="6767" spans="4:59">
      <c r="D6767" s="1065"/>
      <c r="S6767" s="1065"/>
      <c r="BE6767" s="1065"/>
      <c r="BF6767" s="1065"/>
      <c r="BG6767" s="1065"/>
    </row>
    <row r="6768" spans="4:59">
      <c r="D6768" s="1065"/>
      <c r="S6768" s="1065"/>
      <c r="BE6768" s="1065"/>
      <c r="BF6768" s="1065"/>
      <c r="BG6768" s="1065"/>
    </row>
    <row r="6769" spans="4:59">
      <c r="D6769" s="1065"/>
      <c r="S6769" s="1065"/>
      <c r="BE6769" s="1065"/>
      <c r="BF6769" s="1065"/>
      <c r="BG6769" s="1065"/>
    </row>
    <row r="6770" spans="4:59">
      <c r="D6770" s="1065"/>
      <c r="S6770" s="1065"/>
      <c r="BE6770" s="1065"/>
      <c r="BF6770" s="1065"/>
      <c r="BG6770" s="1065"/>
    </row>
    <row r="6771" spans="4:59">
      <c r="D6771" s="1065"/>
      <c r="S6771" s="1065"/>
      <c r="BE6771" s="1065"/>
      <c r="BF6771" s="1065"/>
      <c r="BG6771" s="1065"/>
    </row>
    <row r="6772" spans="4:59">
      <c r="D6772" s="1065"/>
      <c r="S6772" s="1065"/>
      <c r="BE6772" s="1065"/>
      <c r="BF6772" s="1065"/>
      <c r="BG6772" s="1065"/>
    </row>
    <row r="6773" spans="4:59">
      <c r="D6773" s="1065"/>
      <c r="S6773" s="1065"/>
      <c r="BE6773" s="1065"/>
      <c r="BF6773" s="1065"/>
      <c r="BG6773" s="1065"/>
    </row>
    <row r="6774" spans="4:59">
      <c r="D6774" s="1065"/>
      <c r="S6774" s="1065"/>
      <c r="BE6774" s="1065"/>
      <c r="BF6774" s="1065"/>
      <c r="BG6774" s="1065"/>
    </row>
    <row r="6775" spans="4:59">
      <c r="D6775" s="1065"/>
      <c r="S6775" s="1065"/>
      <c r="BE6775" s="1065"/>
      <c r="BF6775" s="1065"/>
      <c r="BG6775" s="1065"/>
    </row>
    <row r="6776" spans="4:59">
      <c r="D6776" s="1065"/>
      <c r="S6776" s="1065"/>
      <c r="BE6776" s="1065"/>
      <c r="BF6776" s="1065"/>
      <c r="BG6776" s="1065"/>
    </row>
    <row r="6777" spans="4:59">
      <c r="D6777" s="1065"/>
      <c r="S6777" s="1065"/>
      <c r="BE6777" s="1065"/>
      <c r="BF6777" s="1065"/>
      <c r="BG6777" s="1065"/>
    </row>
    <row r="6778" spans="4:59">
      <c r="D6778" s="1065"/>
      <c r="S6778" s="1065"/>
      <c r="BE6778" s="1065"/>
      <c r="BF6778" s="1065"/>
      <c r="BG6778" s="1065"/>
    </row>
    <row r="6779" spans="4:59">
      <c r="D6779" s="1065"/>
      <c r="S6779" s="1065"/>
      <c r="BE6779" s="1065"/>
      <c r="BF6779" s="1065"/>
      <c r="BG6779" s="1065"/>
    </row>
    <row r="6780" spans="4:59">
      <c r="D6780" s="1065"/>
      <c r="S6780" s="1065"/>
      <c r="BE6780" s="1065"/>
      <c r="BF6780" s="1065"/>
      <c r="BG6780" s="1065"/>
    </row>
    <row r="6781" spans="4:59">
      <c r="D6781" s="1065"/>
      <c r="S6781" s="1065"/>
      <c r="BE6781" s="1065"/>
      <c r="BF6781" s="1065"/>
      <c r="BG6781" s="1065"/>
    </row>
    <row r="6782" spans="4:59">
      <c r="D6782" s="1065"/>
      <c r="S6782" s="1065"/>
      <c r="BE6782" s="1065"/>
      <c r="BF6782" s="1065"/>
      <c r="BG6782" s="1065"/>
    </row>
    <row r="6783" spans="4:59">
      <c r="D6783" s="1065"/>
      <c r="S6783" s="1065"/>
      <c r="BE6783" s="1065"/>
      <c r="BF6783" s="1065"/>
      <c r="BG6783" s="1065"/>
    </row>
    <row r="6784" spans="4:59">
      <c r="D6784" s="1065"/>
      <c r="S6784" s="1065"/>
      <c r="BE6784" s="1065"/>
      <c r="BF6784" s="1065"/>
      <c r="BG6784" s="1065"/>
    </row>
    <row r="6785" spans="4:59">
      <c r="D6785" s="1065"/>
      <c r="S6785" s="1065"/>
      <c r="BE6785" s="1065"/>
      <c r="BF6785" s="1065"/>
      <c r="BG6785" s="1065"/>
    </row>
    <row r="6786" spans="4:59">
      <c r="D6786" s="1065"/>
      <c r="S6786" s="1065"/>
      <c r="BE6786" s="1065"/>
      <c r="BF6786" s="1065"/>
      <c r="BG6786" s="1065"/>
    </row>
    <row r="6787" spans="4:59">
      <c r="D6787" s="1065"/>
      <c r="S6787" s="1065"/>
      <c r="BE6787" s="1065"/>
      <c r="BF6787" s="1065"/>
      <c r="BG6787" s="1065"/>
    </row>
    <row r="6788" spans="4:59">
      <c r="D6788" s="1065"/>
      <c r="S6788" s="1065"/>
      <c r="BE6788" s="1065"/>
      <c r="BF6788" s="1065"/>
      <c r="BG6788" s="1065"/>
    </row>
    <row r="6789" spans="4:59">
      <c r="D6789" s="1065"/>
      <c r="S6789" s="1065"/>
      <c r="BE6789" s="1065"/>
      <c r="BF6789" s="1065"/>
      <c r="BG6789" s="1065"/>
    </row>
    <row r="6790" spans="4:59">
      <c r="D6790" s="1065"/>
      <c r="S6790" s="1065"/>
      <c r="BE6790" s="1065"/>
      <c r="BF6790" s="1065"/>
      <c r="BG6790" s="1065"/>
    </row>
    <row r="6791" spans="4:59">
      <c r="D6791" s="1065"/>
      <c r="S6791" s="1065"/>
      <c r="BE6791" s="1065"/>
      <c r="BF6791" s="1065"/>
      <c r="BG6791" s="1065"/>
    </row>
    <row r="6792" spans="4:59">
      <c r="D6792" s="1065"/>
      <c r="S6792" s="1065"/>
      <c r="BE6792" s="1065"/>
      <c r="BF6792" s="1065"/>
      <c r="BG6792" s="1065"/>
    </row>
    <row r="6793" spans="4:59">
      <c r="D6793" s="1065"/>
      <c r="S6793" s="1065"/>
      <c r="BE6793" s="1065"/>
      <c r="BF6793" s="1065"/>
      <c r="BG6793" s="1065"/>
    </row>
    <row r="6794" spans="4:59">
      <c r="D6794" s="1065"/>
      <c r="S6794" s="1065"/>
      <c r="BE6794" s="1065"/>
      <c r="BF6794" s="1065"/>
      <c r="BG6794" s="1065"/>
    </row>
    <row r="6795" spans="4:59">
      <c r="D6795" s="1065"/>
      <c r="S6795" s="1065"/>
      <c r="BE6795" s="1065"/>
      <c r="BF6795" s="1065"/>
      <c r="BG6795" s="1065"/>
    </row>
    <row r="6796" spans="4:59">
      <c r="D6796" s="1065"/>
      <c r="S6796" s="1065"/>
      <c r="BE6796" s="1065"/>
      <c r="BF6796" s="1065"/>
      <c r="BG6796" s="1065"/>
    </row>
    <row r="6797" spans="4:59">
      <c r="D6797" s="1065"/>
      <c r="S6797" s="1065"/>
      <c r="BE6797" s="1065"/>
      <c r="BF6797" s="1065"/>
      <c r="BG6797" s="1065"/>
    </row>
    <row r="6798" spans="4:59">
      <c r="D6798" s="1065"/>
      <c r="S6798" s="1065"/>
      <c r="BE6798" s="1065"/>
      <c r="BF6798" s="1065"/>
      <c r="BG6798" s="1065"/>
    </row>
    <row r="6799" spans="4:59">
      <c r="D6799" s="1065"/>
      <c r="S6799" s="1065"/>
      <c r="BE6799" s="1065"/>
      <c r="BF6799" s="1065"/>
      <c r="BG6799" s="1065"/>
    </row>
    <row r="6800" spans="4:59">
      <c r="D6800" s="1065"/>
      <c r="S6800" s="1065"/>
      <c r="BE6800" s="1065"/>
      <c r="BF6800" s="1065"/>
      <c r="BG6800" s="1065"/>
    </row>
    <row r="6801" spans="4:59">
      <c r="D6801" s="1065"/>
      <c r="S6801" s="1065"/>
      <c r="BE6801" s="1065"/>
      <c r="BF6801" s="1065"/>
      <c r="BG6801" s="1065"/>
    </row>
    <row r="6802" spans="4:59">
      <c r="D6802" s="1065"/>
      <c r="S6802" s="1065"/>
      <c r="BE6802" s="1065"/>
      <c r="BF6802" s="1065"/>
      <c r="BG6802" s="1065"/>
    </row>
    <row r="6803" spans="4:59">
      <c r="D6803" s="1065"/>
      <c r="S6803" s="1065"/>
      <c r="BE6803" s="1065"/>
      <c r="BF6803" s="1065"/>
      <c r="BG6803" s="1065"/>
    </row>
    <row r="6804" spans="4:59">
      <c r="D6804" s="1065"/>
      <c r="S6804" s="1065"/>
      <c r="BE6804" s="1065"/>
      <c r="BF6804" s="1065"/>
      <c r="BG6804" s="1065"/>
    </row>
    <row r="6805" spans="4:59">
      <c r="D6805" s="1065"/>
      <c r="S6805" s="1065"/>
      <c r="BE6805" s="1065"/>
      <c r="BF6805" s="1065"/>
      <c r="BG6805" s="1065"/>
    </row>
    <row r="6806" spans="4:59">
      <c r="D6806" s="1065"/>
      <c r="S6806" s="1065"/>
      <c r="BE6806" s="1065"/>
      <c r="BF6806" s="1065"/>
      <c r="BG6806" s="1065"/>
    </row>
    <row r="6807" spans="4:59">
      <c r="D6807" s="1065"/>
      <c r="S6807" s="1065"/>
      <c r="BE6807" s="1065"/>
      <c r="BF6807" s="1065"/>
      <c r="BG6807" s="1065"/>
    </row>
    <row r="6808" spans="4:59">
      <c r="D6808" s="1065"/>
      <c r="S6808" s="1065"/>
      <c r="BE6808" s="1065"/>
      <c r="BF6808" s="1065"/>
      <c r="BG6808" s="1065"/>
    </row>
    <row r="6809" spans="4:59">
      <c r="D6809" s="1065"/>
      <c r="S6809" s="1065"/>
      <c r="BE6809" s="1065"/>
      <c r="BF6809" s="1065"/>
      <c r="BG6809" s="1065"/>
    </row>
    <row r="6810" spans="4:59">
      <c r="D6810" s="1065"/>
      <c r="S6810" s="1065"/>
      <c r="BE6810" s="1065"/>
      <c r="BF6810" s="1065"/>
      <c r="BG6810" s="1065"/>
    </row>
    <row r="6811" spans="4:59">
      <c r="D6811" s="1065"/>
      <c r="S6811" s="1065"/>
      <c r="BE6811" s="1065"/>
      <c r="BF6811" s="1065"/>
      <c r="BG6811" s="1065"/>
    </row>
    <row r="6812" spans="4:59">
      <c r="D6812" s="1065"/>
      <c r="S6812" s="1065"/>
      <c r="BE6812" s="1065"/>
      <c r="BF6812" s="1065"/>
      <c r="BG6812" s="1065"/>
    </row>
    <row r="6813" spans="4:59">
      <c r="D6813" s="1065"/>
      <c r="S6813" s="1065"/>
      <c r="BE6813" s="1065"/>
      <c r="BF6813" s="1065"/>
      <c r="BG6813" s="1065"/>
    </row>
    <row r="6814" spans="4:59">
      <c r="D6814" s="1065"/>
      <c r="S6814" s="1065"/>
      <c r="BE6814" s="1065"/>
      <c r="BF6814" s="1065"/>
      <c r="BG6814" s="1065"/>
    </row>
    <row r="6815" spans="4:59">
      <c r="D6815" s="1065"/>
      <c r="S6815" s="1065"/>
      <c r="BE6815" s="1065"/>
      <c r="BF6815" s="1065"/>
      <c r="BG6815" s="1065"/>
    </row>
    <row r="6816" spans="4:59">
      <c r="D6816" s="1065"/>
      <c r="S6816" s="1065"/>
      <c r="BE6816" s="1065"/>
      <c r="BF6816" s="1065"/>
      <c r="BG6816" s="1065"/>
    </row>
    <row r="6817" spans="4:59">
      <c r="D6817" s="1065"/>
      <c r="S6817" s="1065"/>
      <c r="BE6817" s="1065"/>
      <c r="BF6817" s="1065"/>
      <c r="BG6817" s="1065"/>
    </row>
    <row r="6818" spans="4:59">
      <c r="D6818" s="1065"/>
      <c r="S6818" s="1065"/>
      <c r="BE6818" s="1065"/>
      <c r="BF6818" s="1065"/>
      <c r="BG6818" s="1065"/>
    </row>
    <row r="6819" spans="4:59">
      <c r="D6819" s="1065"/>
      <c r="S6819" s="1065"/>
      <c r="BE6819" s="1065"/>
      <c r="BF6819" s="1065"/>
      <c r="BG6819" s="1065"/>
    </row>
    <row r="6820" spans="4:59">
      <c r="D6820" s="1065"/>
      <c r="S6820" s="1065"/>
      <c r="BE6820" s="1065"/>
      <c r="BF6820" s="1065"/>
      <c r="BG6820" s="1065"/>
    </row>
    <row r="6821" spans="4:59">
      <c r="D6821" s="1065"/>
      <c r="S6821" s="1065"/>
      <c r="BE6821" s="1065"/>
      <c r="BF6821" s="1065"/>
      <c r="BG6821" s="1065"/>
    </row>
    <row r="6822" spans="4:59">
      <c r="D6822" s="1065"/>
      <c r="S6822" s="1065"/>
      <c r="BE6822" s="1065"/>
      <c r="BF6822" s="1065"/>
      <c r="BG6822" s="1065"/>
    </row>
    <row r="6823" spans="4:59">
      <c r="D6823" s="1065"/>
      <c r="S6823" s="1065"/>
      <c r="BE6823" s="1065"/>
      <c r="BF6823" s="1065"/>
      <c r="BG6823" s="1065"/>
    </row>
    <row r="6824" spans="4:59">
      <c r="D6824" s="1065"/>
      <c r="S6824" s="1065"/>
      <c r="BE6824" s="1065"/>
      <c r="BF6824" s="1065"/>
      <c r="BG6824" s="1065"/>
    </row>
    <row r="6825" spans="4:59">
      <c r="D6825" s="1065"/>
      <c r="S6825" s="1065"/>
      <c r="BE6825" s="1065"/>
      <c r="BF6825" s="1065"/>
      <c r="BG6825" s="1065"/>
    </row>
    <row r="6826" spans="4:59">
      <c r="D6826" s="1065"/>
      <c r="S6826" s="1065"/>
      <c r="BE6826" s="1065"/>
      <c r="BF6826" s="1065"/>
      <c r="BG6826" s="1065"/>
    </row>
    <row r="6827" spans="4:59">
      <c r="D6827" s="1065"/>
      <c r="S6827" s="1065"/>
      <c r="BE6827" s="1065"/>
      <c r="BF6827" s="1065"/>
      <c r="BG6827" s="1065"/>
    </row>
    <row r="6828" spans="4:59">
      <c r="D6828" s="1065"/>
      <c r="S6828" s="1065"/>
      <c r="BE6828" s="1065"/>
      <c r="BF6828" s="1065"/>
      <c r="BG6828" s="1065"/>
    </row>
    <row r="6829" spans="4:59">
      <c r="D6829" s="1065"/>
      <c r="S6829" s="1065"/>
      <c r="BE6829" s="1065"/>
      <c r="BF6829" s="1065"/>
      <c r="BG6829" s="1065"/>
    </row>
    <row r="6830" spans="4:59">
      <c r="D6830" s="1065"/>
      <c r="S6830" s="1065"/>
      <c r="BE6830" s="1065"/>
      <c r="BF6830" s="1065"/>
      <c r="BG6830" s="1065"/>
    </row>
    <row r="6831" spans="4:59">
      <c r="D6831" s="1065"/>
      <c r="S6831" s="1065"/>
      <c r="BE6831" s="1065"/>
      <c r="BF6831" s="1065"/>
      <c r="BG6831" s="1065"/>
    </row>
    <row r="6832" spans="4:59">
      <c r="D6832" s="1065"/>
      <c r="S6832" s="1065"/>
      <c r="BE6832" s="1065"/>
      <c r="BF6832" s="1065"/>
      <c r="BG6832" s="1065"/>
    </row>
    <row r="6833" spans="4:59">
      <c r="D6833" s="1065"/>
      <c r="S6833" s="1065"/>
      <c r="BE6833" s="1065"/>
      <c r="BF6833" s="1065"/>
      <c r="BG6833" s="1065"/>
    </row>
    <row r="6834" spans="4:59">
      <c r="D6834" s="1065"/>
      <c r="S6834" s="1065"/>
      <c r="BE6834" s="1065"/>
      <c r="BF6834" s="1065"/>
      <c r="BG6834" s="1065"/>
    </row>
    <row r="6835" spans="4:59">
      <c r="D6835" s="1065"/>
      <c r="S6835" s="1065"/>
      <c r="BE6835" s="1065"/>
      <c r="BF6835" s="1065"/>
      <c r="BG6835" s="1065"/>
    </row>
    <row r="6836" spans="4:59">
      <c r="D6836" s="1065"/>
      <c r="S6836" s="1065"/>
      <c r="BE6836" s="1065"/>
      <c r="BF6836" s="1065"/>
      <c r="BG6836" s="1065"/>
    </row>
    <row r="6837" spans="4:59">
      <c r="D6837" s="1065"/>
      <c r="S6837" s="1065"/>
      <c r="BE6837" s="1065"/>
      <c r="BF6837" s="1065"/>
      <c r="BG6837" s="1065"/>
    </row>
    <row r="6838" spans="4:59">
      <c r="D6838" s="1065"/>
      <c r="S6838" s="1065"/>
      <c r="BE6838" s="1065"/>
      <c r="BF6838" s="1065"/>
      <c r="BG6838" s="1065"/>
    </row>
    <row r="6839" spans="4:59">
      <c r="D6839" s="1065"/>
      <c r="S6839" s="1065"/>
      <c r="BE6839" s="1065"/>
      <c r="BF6839" s="1065"/>
      <c r="BG6839" s="1065"/>
    </row>
    <row r="6840" spans="4:59">
      <c r="D6840" s="1065"/>
      <c r="S6840" s="1065"/>
      <c r="BE6840" s="1065"/>
      <c r="BF6840" s="1065"/>
      <c r="BG6840" s="1065"/>
    </row>
    <row r="6841" spans="4:59">
      <c r="D6841" s="1065"/>
      <c r="S6841" s="1065"/>
      <c r="BE6841" s="1065"/>
      <c r="BF6841" s="1065"/>
      <c r="BG6841" s="1065"/>
    </row>
    <row r="6842" spans="4:59">
      <c r="D6842" s="1065"/>
      <c r="S6842" s="1065"/>
      <c r="BE6842" s="1065"/>
      <c r="BF6842" s="1065"/>
      <c r="BG6842" s="1065"/>
    </row>
    <row r="6843" spans="4:59">
      <c r="D6843" s="1065"/>
      <c r="S6843" s="1065"/>
      <c r="BE6843" s="1065"/>
      <c r="BF6843" s="1065"/>
      <c r="BG6843" s="1065"/>
    </row>
    <row r="6844" spans="4:59">
      <c r="D6844" s="1065"/>
      <c r="S6844" s="1065"/>
      <c r="BE6844" s="1065"/>
      <c r="BF6844" s="1065"/>
      <c r="BG6844" s="1065"/>
    </row>
    <row r="6845" spans="4:59">
      <c r="D6845" s="1065"/>
      <c r="S6845" s="1065"/>
      <c r="BE6845" s="1065"/>
      <c r="BF6845" s="1065"/>
      <c r="BG6845" s="1065"/>
    </row>
    <row r="6846" spans="4:59">
      <c r="D6846" s="1065"/>
      <c r="S6846" s="1065"/>
      <c r="BE6846" s="1065"/>
      <c r="BF6846" s="1065"/>
      <c r="BG6846" s="1065"/>
    </row>
    <row r="6847" spans="4:59">
      <c r="D6847" s="1065"/>
      <c r="S6847" s="1065"/>
      <c r="BE6847" s="1065"/>
      <c r="BF6847" s="1065"/>
      <c r="BG6847" s="1065"/>
    </row>
    <row r="6848" spans="4:59">
      <c r="D6848" s="1065"/>
      <c r="S6848" s="1065"/>
      <c r="BE6848" s="1065"/>
      <c r="BF6848" s="1065"/>
      <c r="BG6848" s="1065"/>
    </row>
    <row r="6849" spans="4:59">
      <c r="D6849" s="1065"/>
      <c r="S6849" s="1065"/>
      <c r="BE6849" s="1065"/>
      <c r="BF6849" s="1065"/>
      <c r="BG6849" s="1065"/>
    </row>
    <row r="6850" spans="4:59">
      <c r="D6850" s="1065"/>
      <c r="S6850" s="1065"/>
      <c r="BE6850" s="1065"/>
      <c r="BF6850" s="1065"/>
      <c r="BG6850" s="1065"/>
    </row>
    <row r="6851" spans="4:59">
      <c r="D6851" s="1065"/>
      <c r="S6851" s="1065"/>
      <c r="BE6851" s="1065"/>
      <c r="BF6851" s="1065"/>
      <c r="BG6851" s="1065"/>
    </row>
    <row r="6852" spans="4:59">
      <c r="D6852" s="1065"/>
      <c r="S6852" s="1065"/>
      <c r="BE6852" s="1065"/>
      <c r="BF6852" s="1065"/>
      <c r="BG6852" s="1065"/>
    </row>
    <row r="6853" spans="4:59">
      <c r="D6853" s="1065"/>
      <c r="S6853" s="1065"/>
      <c r="BE6853" s="1065"/>
      <c r="BF6853" s="1065"/>
      <c r="BG6853" s="1065"/>
    </row>
    <row r="6854" spans="4:59">
      <c r="D6854" s="1065"/>
      <c r="S6854" s="1065"/>
      <c r="BE6854" s="1065"/>
      <c r="BF6854" s="1065"/>
      <c r="BG6854" s="1065"/>
    </row>
    <row r="6855" spans="4:59">
      <c r="D6855" s="1065"/>
      <c r="S6855" s="1065"/>
      <c r="BE6855" s="1065"/>
      <c r="BF6855" s="1065"/>
      <c r="BG6855" s="1065"/>
    </row>
    <row r="6856" spans="4:59">
      <c r="D6856" s="1065"/>
      <c r="S6856" s="1065"/>
      <c r="BE6856" s="1065"/>
      <c r="BF6856" s="1065"/>
      <c r="BG6856" s="1065"/>
    </row>
    <row r="6857" spans="4:59">
      <c r="D6857" s="1065"/>
      <c r="S6857" s="1065"/>
      <c r="BE6857" s="1065"/>
      <c r="BF6857" s="1065"/>
      <c r="BG6857" s="1065"/>
    </row>
    <row r="6858" spans="4:59">
      <c r="D6858" s="1065"/>
      <c r="S6858" s="1065"/>
      <c r="BE6858" s="1065"/>
      <c r="BF6858" s="1065"/>
      <c r="BG6858" s="1065"/>
    </row>
    <row r="6859" spans="4:59">
      <c r="D6859" s="1065"/>
      <c r="S6859" s="1065"/>
      <c r="BE6859" s="1065"/>
      <c r="BF6859" s="1065"/>
      <c r="BG6859" s="1065"/>
    </row>
    <row r="6860" spans="4:59">
      <c r="D6860" s="1065"/>
      <c r="S6860" s="1065"/>
      <c r="BE6860" s="1065"/>
      <c r="BF6860" s="1065"/>
      <c r="BG6860" s="1065"/>
    </row>
    <row r="6861" spans="4:59">
      <c r="D6861" s="1065"/>
      <c r="S6861" s="1065"/>
      <c r="BE6861" s="1065"/>
      <c r="BF6861" s="1065"/>
      <c r="BG6861" s="1065"/>
    </row>
    <row r="6862" spans="4:59">
      <c r="D6862" s="1065"/>
      <c r="S6862" s="1065"/>
      <c r="BE6862" s="1065"/>
      <c r="BF6862" s="1065"/>
      <c r="BG6862" s="1065"/>
    </row>
    <row r="6863" spans="4:59">
      <c r="D6863" s="1065"/>
      <c r="S6863" s="1065"/>
      <c r="BE6863" s="1065"/>
      <c r="BF6863" s="1065"/>
      <c r="BG6863" s="1065"/>
    </row>
    <row r="6864" spans="4:59">
      <c r="D6864" s="1065"/>
      <c r="S6864" s="1065"/>
      <c r="BE6864" s="1065"/>
      <c r="BF6864" s="1065"/>
      <c r="BG6864" s="1065"/>
    </row>
    <row r="6865" spans="4:59">
      <c r="D6865" s="1065"/>
      <c r="S6865" s="1065"/>
      <c r="BE6865" s="1065"/>
      <c r="BF6865" s="1065"/>
      <c r="BG6865" s="1065"/>
    </row>
    <row r="6866" spans="4:59">
      <c r="D6866" s="1065"/>
      <c r="S6866" s="1065"/>
      <c r="BE6866" s="1065"/>
      <c r="BF6866" s="1065"/>
      <c r="BG6866" s="1065"/>
    </row>
    <row r="6867" spans="4:59">
      <c r="D6867" s="1065"/>
      <c r="S6867" s="1065"/>
      <c r="BE6867" s="1065"/>
      <c r="BF6867" s="1065"/>
      <c r="BG6867" s="1065"/>
    </row>
    <row r="6868" spans="4:59">
      <c r="D6868" s="1065"/>
      <c r="S6868" s="1065"/>
      <c r="BE6868" s="1065"/>
      <c r="BF6868" s="1065"/>
      <c r="BG6868" s="1065"/>
    </row>
    <row r="6869" spans="4:59">
      <c r="D6869" s="1065"/>
      <c r="S6869" s="1065"/>
      <c r="BE6869" s="1065"/>
      <c r="BF6869" s="1065"/>
      <c r="BG6869" s="1065"/>
    </row>
    <row r="6870" spans="4:59">
      <c r="D6870" s="1065"/>
      <c r="S6870" s="1065"/>
      <c r="BE6870" s="1065"/>
      <c r="BF6870" s="1065"/>
      <c r="BG6870" s="1065"/>
    </row>
    <row r="6871" spans="4:59">
      <c r="D6871" s="1065"/>
      <c r="S6871" s="1065"/>
      <c r="BE6871" s="1065"/>
      <c r="BF6871" s="1065"/>
      <c r="BG6871" s="1065"/>
    </row>
    <row r="6872" spans="4:59">
      <c r="D6872" s="1065"/>
      <c r="S6872" s="1065"/>
      <c r="BE6872" s="1065"/>
      <c r="BF6872" s="1065"/>
      <c r="BG6872" s="1065"/>
    </row>
    <row r="6873" spans="4:59">
      <c r="D6873" s="1065"/>
      <c r="S6873" s="1065"/>
      <c r="BE6873" s="1065"/>
      <c r="BF6873" s="1065"/>
      <c r="BG6873" s="1065"/>
    </row>
    <row r="6874" spans="4:59">
      <c r="D6874" s="1065"/>
      <c r="S6874" s="1065"/>
      <c r="BE6874" s="1065"/>
      <c r="BF6874" s="1065"/>
      <c r="BG6874" s="1065"/>
    </row>
    <row r="6875" spans="4:59">
      <c r="D6875" s="1065"/>
      <c r="S6875" s="1065"/>
      <c r="BE6875" s="1065"/>
      <c r="BF6875" s="1065"/>
      <c r="BG6875" s="1065"/>
    </row>
    <row r="6876" spans="4:59">
      <c r="D6876" s="1065"/>
      <c r="S6876" s="1065"/>
      <c r="BE6876" s="1065"/>
      <c r="BF6876" s="1065"/>
      <c r="BG6876" s="1065"/>
    </row>
    <row r="6877" spans="4:59">
      <c r="D6877" s="1065"/>
      <c r="S6877" s="1065"/>
      <c r="BE6877" s="1065"/>
      <c r="BF6877" s="1065"/>
      <c r="BG6877" s="1065"/>
    </row>
    <row r="6878" spans="4:59">
      <c r="D6878" s="1065"/>
      <c r="S6878" s="1065"/>
      <c r="BE6878" s="1065"/>
      <c r="BF6878" s="1065"/>
      <c r="BG6878" s="1065"/>
    </row>
    <row r="6879" spans="4:59">
      <c r="D6879" s="1065"/>
      <c r="S6879" s="1065"/>
      <c r="BE6879" s="1065"/>
      <c r="BF6879" s="1065"/>
      <c r="BG6879" s="1065"/>
    </row>
    <row r="6880" spans="4:59">
      <c r="D6880" s="1065"/>
      <c r="S6880" s="1065"/>
      <c r="BE6880" s="1065"/>
      <c r="BF6880" s="1065"/>
      <c r="BG6880" s="1065"/>
    </row>
    <row r="6881" spans="4:59">
      <c r="D6881" s="1065"/>
      <c r="S6881" s="1065"/>
      <c r="BE6881" s="1065"/>
      <c r="BF6881" s="1065"/>
      <c r="BG6881" s="1065"/>
    </row>
    <row r="6882" spans="4:59">
      <c r="D6882" s="1065"/>
      <c r="S6882" s="1065"/>
      <c r="BE6882" s="1065"/>
      <c r="BF6882" s="1065"/>
      <c r="BG6882" s="1065"/>
    </row>
    <row r="6883" spans="4:59">
      <c r="D6883" s="1065"/>
      <c r="S6883" s="1065"/>
      <c r="BE6883" s="1065"/>
      <c r="BF6883" s="1065"/>
      <c r="BG6883" s="1065"/>
    </row>
    <row r="6884" spans="4:59">
      <c r="D6884" s="1065"/>
      <c r="S6884" s="1065"/>
      <c r="BE6884" s="1065"/>
      <c r="BF6884" s="1065"/>
      <c r="BG6884" s="1065"/>
    </row>
    <row r="6885" spans="4:59">
      <c r="D6885" s="1065"/>
      <c r="S6885" s="1065"/>
      <c r="BE6885" s="1065"/>
      <c r="BF6885" s="1065"/>
      <c r="BG6885" s="1065"/>
    </row>
    <row r="6886" spans="4:59">
      <c r="D6886" s="1065"/>
      <c r="S6886" s="1065"/>
      <c r="BE6886" s="1065"/>
      <c r="BF6886" s="1065"/>
      <c r="BG6886" s="1065"/>
    </row>
    <row r="6887" spans="4:59">
      <c r="D6887" s="1065"/>
      <c r="S6887" s="1065"/>
      <c r="BE6887" s="1065"/>
      <c r="BF6887" s="1065"/>
      <c r="BG6887" s="1065"/>
    </row>
    <row r="6888" spans="4:59">
      <c r="D6888" s="1065"/>
      <c r="S6888" s="1065"/>
      <c r="BE6888" s="1065"/>
      <c r="BF6888" s="1065"/>
      <c r="BG6888" s="1065"/>
    </row>
    <row r="6889" spans="4:59">
      <c r="D6889" s="1065"/>
      <c r="S6889" s="1065"/>
      <c r="BE6889" s="1065"/>
      <c r="BF6889" s="1065"/>
      <c r="BG6889" s="1065"/>
    </row>
    <row r="6890" spans="4:59">
      <c r="D6890" s="1065"/>
      <c r="S6890" s="1065"/>
      <c r="BE6890" s="1065"/>
      <c r="BF6890" s="1065"/>
      <c r="BG6890" s="1065"/>
    </row>
    <row r="6891" spans="4:59">
      <c r="D6891" s="1065"/>
      <c r="S6891" s="1065"/>
      <c r="BE6891" s="1065"/>
      <c r="BF6891" s="1065"/>
      <c r="BG6891" s="1065"/>
    </row>
    <row r="6892" spans="4:59">
      <c r="D6892" s="1065"/>
      <c r="S6892" s="1065"/>
      <c r="BE6892" s="1065"/>
      <c r="BF6892" s="1065"/>
      <c r="BG6892" s="1065"/>
    </row>
    <row r="6893" spans="4:59">
      <c r="D6893" s="1065"/>
      <c r="S6893" s="1065"/>
      <c r="BE6893" s="1065"/>
      <c r="BF6893" s="1065"/>
      <c r="BG6893" s="1065"/>
    </row>
    <row r="6894" spans="4:59">
      <c r="D6894" s="1065"/>
      <c r="S6894" s="1065"/>
      <c r="BE6894" s="1065"/>
      <c r="BF6894" s="1065"/>
      <c r="BG6894" s="1065"/>
    </row>
    <row r="6895" spans="4:59">
      <c r="D6895" s="1065"/>
      <c r="S6895" s="1065"/>
      <c r="BE6895" s="1065"/>
      <c r="BF6895" s="1065"/>
      <c r="BG6895" s="1065"/>
    </row>
    <row r="6896" spans="4:59">
      <c r="D6896" s="1065"/>
      <c r="S6896" s="1065"/>
      <c r="BE6896" s="1065"/>
      <c r="BF6896" s="1065"/>
      <c r="BG6896" s="1065"/>
    </row>
    <row r="6897" spans="4:59">
      <c r="D6897" s="1065"/>
      <c r="S6897" s="1065"/>
      <c r="BE6897" s="1065"/>
      <c r="BF6897" s="1065"/>
      <c r="BG6897" s="1065"/>
    </row>
    <row r="6898" spans="4:59">
      <c r="D6898" s="1065"/>
      <c r="S6898" s="1065"/>
      <c r="BE6898" s="1065"/>
      <c r="BF6898" s="1065"/>
      <c r="BG6898" s="1065"/>
    </row>
    <row r="6899" spans="4:59">
      <c r="D6899" s="1065"/>
      <c r="S6899" s="1065"/>
      <c r="BE6899" s="1065"/>
      <c r="BF6899" s="1065"/>
      <c r="BG6899" s="1065"/>
    </row>
    <row r="6900" spans="4:59">
      <c r="D6900" s="1065"/>
      <c r="S6900" s="1065"/>
      <c r="BE6900" s="1065"/>
      <c r="BF6900" s="1065"/>
      <c r="BG6900" s="1065"/>
    </row>
    <row r="6901" spans="4:59">
      <c r="D6901" s="1065"/>
      <c r="S6901" s="1065"/>
      <c r="BE6901" s="1065"/>
      <c r="BF6901" s="1065"/>
      <c r="BG6901" s="1065"/>
    </row>
    <row r="6902" spans="4:59">
      <c r="D6902" s="1065"/>
      <c r="S6902" s="1065"/>
      <c r="BE6902" s="1065"/>
      <c r="BF6902" s="1065"/>
      <c r="BG6902" s="1065"/>
    </row>
    <row r="6903" spans="4:59">
      <c r="D6903" s="1065"/>
      <c r="S6903" s="1065"/>
      <c r="BE6903" s="1065"/>
      <c r="BF6903" s="1065"/>
      <c r="BG6903" s="1065"/>
    </row>
    <row r="6904" spans="4:59">
      <c r="D6904" s="1065"/>
      <c r="S6904" s="1065"/>
      <c r="BE6904" s="1065"/>
      <c r="BF6904" s="1065"/>
      <c r="BG6904" s="1065"/>
    </row>
    <row r="6905" spans="4:59">
      <c r="D6905" s="1065"/>
      <c r="S6905" s="1065"/>
      <c r="BE6905" s="1065"/>
      <c r="BF6905" s="1065"/>
      <c r="BG6905" s="1065"/>
    </row>
    <row r="6906" spans="4:59">
      <c r="D6906" s="1065"/>
      <c r="S6906" s="1065"/>
      <c r="BE6906" s="1065"/>
      <c r="BF6906" s="1065"/>
      <c r="BG6906" s="1065"/>
    </row>
    <row r="6907" spans="4:59">
      <c r="D6907" s="1065"/>
      <c r="S6907" s="1065"/>
      <c r="BE6907" s="1065"/>
      <c r="BF6907" s="1065"/>
      <c r="BG6907" s="1065"/>
    </row>
    <row r="6908" spans="4:59">
      <c r="D6908" s="1065"/>
      <c r="S6908" s="1065"/>
      <c r="BE6908" s="1065"/>
      <c r="BF6908" s="1065"/>
      <c r="BG6908" s="1065"/>
    </row>
    <row r="6909" spans="4:59">
      <c r="D6909" s="1065"/>
      <c r="S6909" s="1065"/>
      <c r="BE6909" s="1065"/>
      <c r="BF6909" s="1065"/>
      <c r="BG6909" s="1065"/>
    </row>
    <row r="6910" spans="4:59">
      <c r="D6910" s="1065"/>
      <c r="S6910" s="1065"/>
      <c r="BE6910" s="1065"/>
      <c r="BF6910" s="1065"/>
      <c r="BG6910" s="1065"/>
    </row>
    <row r="6911" spans="4:59">
      <c r="D6911" s="1065"/>
      <c r="S6911" s="1065"/>
      <c r="BE6911" s="1065"/>
      <c r="BF6911" s="1065"/>
      <c r="BG6911" s="1065"/>
    </row>
    <row r="6912" spans="4:59">
      <c r="D6912" s="1065"/>
      <c r="S6912" s="1065"/>
      <c r="BE6912" s="1065"/>
      <c r="BF6912" s="1065"/>
      <c r="BG6912" s="1065"/>
    </row>
    <row r="6913" spans="4:59">
      <c r="D6913" s="1065"/>
      <c r="S6913" s="1065"/>
      <c r="BE6913" s="1065"/>
      <c r="BF6913" s="1065"/>
      <c r="BG6913" s="1065"/>
    </row>
    <row r="6914" spans="4:59">
      <c r="D6914" s="1065"/>
      <c r="S6914" s="1065"/>
      <c r="BE6914" s="1065"/>
      <c r="BF6914" s="1065"/>
      <c r="BG6914" s="1065"/>
    </row>
    <row r="6915" spans="4:59">
      <c r="D6915" s="1065"/>
      <c r="S6915" s="1065"/>
      <c r="BE6915" s="1065"/>
      <c r="BF6915" s="1065"/>
      <c r="BG6915" s="1065"/>
    </row>
    <row r="6916" spans="4:59">
      <c r="D6916" s="1065"/>
      <c r="S6916" s="1065"/>
      <c r="BE6916" s="1065"/>
      <c r="BF6916" s="1065"/>
      <c r="BG6916" s="1065"/>
    </row>
    <row r="6917" spans="4:59">
      <c r="D6917" s="1065"/>
      <c r="S6917" s="1065"/>
      <c r="BE6917" s="1065"/>
      <c r="BF6917" s="1065"/>
      <c r="BG6917" s="1065"/>
    </row>
    <row r="6929" spans="4:59">
      <c r="D6929" s="1065"/>
      <c r="S6929" s="1065"/>
      <c r="BE6929" s="1065"/>
      <c r="BF6929" s="1065"/>
      <c r="BG6929" s="1065"/>
    </row>
    <row r="6930" spans="4:59">
      <c r="D6930" s="1065"/>
      <c r="S6930" s="1065"/>
      <c r="BE6930" s="1065"/>
      <c r="BF6930" s="1065"/>
      <c r="BG6930" s="1065"/>
    </row>
    <row r="6931" spans="4:59">
      <c r="D6931" s="1065"/>
      <c r="S6931" s="1065"/>
      <c r="BE6931" s="1065"/>
      <c r="BF6931" s="1065"/>
      <c r="BG6931" s="1065"/>
    </row>
    <row r="6932" spans="4:59">
      <c r="D6932" s="1065"/>
      <c r="S6932" s="1065"/>
      <c r="BE6932" s="1065"/>
      <c r="BF6932" s="1065"/>
      <c r="BG6932" s="1065"/>
    </row>
    <row r="6933" spans="4:59">
      <c r="D6933" s="1065"/>
      <c r="S6933" s="1065"/>
      <c r="BE6933" s="1065"/>
      <c r="BF6933" s="1065"/>
      <c r="BG6933" s="1065"/>
    </row>
    <row r="6934" spans="4:59">
      <c r="D6934" s="1065"/>
      <c r="S6934" s="1065"/>
      <c r="BE6934" s="1065"/>
      <c r="BF6934" s="1065"/>
      <c r="BG6934" s="1065"/>
    </row>
    <row r="6937" spans="4:59">
      <c r="D6937" s="1065"/>
      <c r="S6937" s="1065"/>
      <c r="BE6937" s="1065"/>
      <c r="BF6937" s="1065"/>
      <c r="BG6937" s="1065"/>
    </row>
    <row r="6938" spans="4:59">
      <c r="D6938" s="1065"/>
      <c r="S6938" s="1065"/>
      <c r="BE6938" s="1065"/>
      <c r="BF6938" s="1065"/>
      <c r="BG6938" s="1065"/>
    </row>
    <row r="6943" spans="4:59">
      <c r="D6943" s="1065"/>
      <c r="S6943" s="1065"/>
      <c r="BE6943" s="1065"/>
      <c r="BF6943" s="1065"/>
      <c r="BG6943" s="1065"/>
    </row>
    <row r="6944" spans="4:59">
      <c r="D6944" s="1065"/>
      <c r="S6944" s="1065"/>
      <c r="BE6944" s="1065"/>
      <c r="BF6944" s="1065"/>
      <c r="BG6944" s="1065"/>
    </row>
    <row r="6945" spans="4:59">
      <c r="D6945" s="1065"/>
      <c r="S6945" s="1065"/>
      <c r="BE6945" s="1065"/>
      <c r="BF6945" s="1065"/>
      <c r="BG6945" s="1065"/>
    </row>
    <row r="6946" spans="4:59">
      <c r="D6946" s="1065"/>
      <c r="S6946" s="1065"/>
      <c r="BE6946" s="1065"/>
      <c r="BF6946" s="1065"/>
      <c r="BG6946" s="1065"/>
    </row>
    <row r="6947" spans="4:59">
      <c r="D6947" s="1065"/>
      <c r="S6947" s="1065"/>
      <c r="BE6947" s="1065"/>
      <c r="BF6947" s="1065"/>
      <c r="BG6947" s="1065"/>
    </row>
    <row r="6948" spans="4:59">
      <c r="D6948" s="1065"/>
      <c r="S6948" s="1065"/>
      <c r="BE6948" s="1065"/>
      <c r="BF6948" s="1065"/>
      <c r="BG6948" s="1065"/>
    </row>
    <row r="6949" spans="4:59">
      <c r="D6949" s="1065"/>
      <c r="S6949" s="1065"/>
      <c r="BE6949" s="1065"/>
      <c r="BF6949" s="1065"/>
      <c r="BG6949" s="1065"/>
    </row>
    <row r="6950" spans="4:59">
      <c r="D6950" s="1065"/>
      <c r="S6950" s="1065"/>
      <c r="BE6950" s="1065"/>
      <c r="BF6950" s="1065"/>
      <c r="BG6950" s="1065"/>
    </row>
    <row r="6951" spans="4:59">
      <c r="D6951" s="1065"/>
      <c r="S6951" s="1065"/>
      <c r="BE6951" s="1065"/>
      <c r="BF6951" s="1065"/>
      <c r="BG6951" s="1065"/>
    </row>
    <row r="6952" spans="4:59">
      <c r="D6952" s="1065"/>
      <c r="S6952" s="1065"/>
      <c r="BE6952" s="1065"/>
      <c r="BF6952" s="1065"/>
      <c r="BG6952" s="1065"/>
    </row>
    <row r="6953" spans="4:59">
      <c r="D6953" s="1065"/>
      <c r="S6953" s="1065"/>
      <c r="BE6953" s="1065"/>
      <c r="BF6953" s="1065"/>
      <c r="BG6953" s="1065"/>
    </row>
    <row r="6954" spans="4:59">
      <c r="D6954" s="1065"/>
      <c r="S6954" s="1065"/>
      <c r="BE6954" s="1065"/>
      <c r="BF6954" s="1065"/>
      <c r="BG6954" s="1065"/>
    </row>
    <row r="6955" spans="4:59">
      <c r="D6955" s="1065"/>
      <c r="S6955" s="1065"/>
      <c r="BE6955" s="1065"/>
      <c r="BF6955" s="1065"/>
      <c r="BG6955" s="1065"/>
    </row>
    <row r="6956" spans="4:59">
      <c r="D6956" s="1065"/>
      <c r="S6956" s="1065"/>
      <c r="BE6956" s="1065"/>
      <c r="BF6956" s="1065"/>
      <c r="BG6956" s="1065"/>
    </row>
    <row r="6957" spans="4:59">
      <c r="D6957" s="1065"/>
      <c r="S6957" s="1065"/>
      <c r="BE6957" s="1065"/>
      <c r="BF6957" s="1065"/>
      <c r="BG6957" s="1065"/>
    </row>
    <row r="6958" spans="4:59">
      <c r="D6958" s="1065"/>
      <c r="S6958" s="1065"/>
      <c r="BE6958" s="1065"/>
      <c r="BF6958" s="1065"/>
      <c r="BG6958" s="1065"/>
    </row>
    <row r="6959" spans="4:59">
      <c r="D6959" s="1065"/>
      <c r="S6959" s="1065"/>
      <c r="BE6959" s="1065"/>
      <c r="BF6959" s="1065"/>
      <c r="BG6959" s="1065"/>
    </row>
    <row r="6960" spans="4:59">
      <c r="D6960" s="1065"/>
      <c r="S6960" s="1065"/>
      <c r="BE6960" s="1065"/>
      <c r="BF6960" s="1065"/>
      <c r="BG6960" s="1065"/>
    </row>
    <row r="6961" spans="4:59">
      <c r="D6961" s="1065"/>
      <c r="S6961" s="1065"/>
      <c r="BE6961" s="1065"/>
      <c r="BF6961" s="1065"/>
      <c r="BG6961" s="1065"/>
    </row>
    <row r="6962" spans="4:59">
      <c r="D6962" s="1065"/>
      <c r="S6962" s="1065"/>
      <c r="BE6962" s="1065"/>
      <c r="BF6962" s="1065"/>
      <c r="BG6962" s="1065"/>
    </row>
    <row r="6963" spans="4:59">
      <c r="D6963" s="1065"/>
      <c r="S6963" s="1065"/>
      <c r="BE6963" s="1065"/>
      <c r="BF6963" s="1065"/>
      <c r="BG6963" s="1065"/>
    </row>
    <row r="6964" spans="4:59">
      <c r="D6964" s="1065"/>
      <c r="S6964" s="1065"/>
      <c r="BE6964" s="1065"/>
      <c r="BF6964" s="1065"/>
      <c r="BG6964" s="1065"/>
    </row>
    <row r="6965" spans="4:59">
      <c r="D6965" s="1065"/>
      <c r="S6965" s="1065"/>
      <c r="BE6965" s="1065"/>
      <c r="BF6965" s="1065"/>
      <c r="BG6965" s="1065"/>
    </row>
    <row r="6966" spans="4:59">
      <c r="D6966" s="1065"/>
      <c r="S6966" s="1065"/>
      <c r="BE6966" s="1065"/>
      <c r="BF6966" s="1065"/>
      <c r="BG6966" s="1065"/>
    </row>
    <row r="6967" spans="4:59">
      <c r="D6967" s="1065"/>
      <c r="S6967" s="1065"/>
      <c r="BE6967" s="1065"/>
      <c r="BF6967" s="1065"/>
      <c r="BG6967" s="1065"/>
    </row>
    <row r="6968" spans="4:59">
      <c r="D6968" s="1065"/>
      <c r="S6968" s="1065"/>
      <c r="BE6968" s="1065"/>
      <c r="BF6968" s="1065"/>
      <c r="BG6968" s="1065"/>
    </row>
    <row r="6969" spans="4:59">
      <c r="D6969" s="1065"/>
      <c r="S6969" s="1065"/>
      <c r="BE6969" s="1065"/>
      <c r="BF6969" s="1065"/>
      <c r="BG6969" s="1065"/>
    </row>
    <row r="6970" spans="4:59">
      <c r="D6970" s="1065"/>
      <c r="S6970" s="1065"/>
      <c r="BE6970" s="1065"/>
      <c r="BF6970" s="1065"/>
      <c r="BG6970" s="1065"/>
    </row>
    <row r="6971" spans="4:59">
      <c r="D6971" s="1065"/>
      <c r="S6971" s="1065"/>
      <c r="BE6971" s="1065"/>
      <c r="BF6971" s="1065"/>
      <c r="BG6971" s="1065"/>
    </row>
    <row r="6972" spans="4:59">
      <c r="D6972" s="1065"/>
      <c r="S6972" s="1065"/>
      <c r="BE6972" s="1065"/>
      <c r="BF6972" s="1065"/>
      <c r="BG6972" s="1065"/>
    </row>
    <row r="6973" spans="4:59">
      <c r="D6973" s="1065"/>
      <c r="S6973" s="1065"/>
      <c r="BE6973" s="1065"/>
      <c r="BF6973" s="1065"/>
      <c r="BG6973" s="1065"/>
    </row>
    <row r="6974" spans="4:59">
      <c r="D6974" s="1065"/>
      <c r="S6974" s="1065"/>
      <c r="BE6974" s="1065"/>
      <c r="BF6974" s="1065"/>
      <c r="BG6974" s="1065"/>
    </row>
    <row r="6975" spans="4:59">
      <c r="D6975" s="1065"/>
      <c r="S6975" s="1065"/>
      <c r="BE6975" s="1065"/>
      <c r="BF6975" s="1065"/>
      <c r="BG6975" s="1065"/>
    </row>
    <row r="6976" spans="4:59">
      <c r="D6976" s="1065"/>
      <c r="S6976" s="1065"/>
      <c r="BE6976" s="1065"/>
      <c r="BF6976" s="1065"/>
      <c r="BG6976" s="1065"/>
    </row>
    <row r="6977" spans="4:59">
      <c r="D6977" s="1065"/>
      <c r="S6977" s="1065"/>
      <c r="BE6977" s="1065"/>
      <c r="BF6977" s="1065"/>
      <c r="BG6977" s="1065"/>
    </row>
    <row r="6978" spans="4:59">
      <c r="D6978" s="1065"/>
      <c r="S6978" s="1065"/>
      <c r="BE6978" s="1065"/>
      <c r="BF6978" s="1065"/>
      <c r="BG6978" s="1065"/>
    </row>
    <row r="6979" spans="4:59">
      <c r="D6979" s="1065"/>
      <c r="S6979" s="1065"/>
      <c r="BE6979" s="1065"/>
      <c r="BF6979" s="1065"/>
      <c r="BG6979" s="1065"/>
    </row>
    <row r="6980" spans="4:59">
      <c r="D6980" s="1065"/>
      <c r="S6980" s="1065"/>
      <c r="BE6980" s="1065"/>
      <c r="BF6980" s="1065"/>
      <c r="BG6980" s="1065"/>
    </row>
    <row r="6981" spans="4:59">
      <c r="D6981" s="1065"/>
      <c r="S6981" s="1065"/>
      <c r="BE6981" s="1065"/>
      <c r="BF6981" s="1065"/>
      <c r="BG6981" s="1065"/>
    </row>
    <row r="6982" spans="4:59">
      <c r="D6982" s="1065"/>
      <c r="S6982" s="1065"/>
      <c r="BE6982" s="1065"/>
      <c r="BF6982" s="1065"/>
      <c r="BG6982" s="1065"/>
    </row>
    <row r="6983" spans="4:59">
      <c r="D6983" s="1065"/>
      <c r="S6983" s="1065"/>
      <c r="BE6983" s="1065"/>
      <c r="BF6983" s="1065"/>
      <c r="BG6983" s="1065"/>
    </row>
    <row r="6984" spans="4:59">
      <c r="D6984" s="1065"/>
      <c r="S6984" s="1065"/>
      <c r="BE6984" s="1065"/>
      <c r="BF6984" s="1065"/>
      <c r="BG6984" s="1065"/>
    </row>
    <row r="6985" spans="4:59">
      <c r="D6985" s="1065"/>
      <c r="S6985" s="1065"/>
      <c r="BE6985" s="1065"/>
      <c r="BF6985" s="1065"/>
      <c r="BG6985" s="1065"/>
    </row>
    <row r="6986" spans="4:59">
      <c r="D6986" s="1065"/>
      <c r="S6986" s="1065"/>
      <c r="BE6986" s="1065"/>
      <c r="BF6986" s="1065"/>
      <c r="BG6986" s="1065"/>
    </row>
    <row r="6987" spans="4:59">
      <c r="D6987" s="1065"/>
      <c r="S6987" s="1065"/>
      <c r="BE6987" s="1065"/>
      <c r="BF6987" s="1065"/>
      <c r="BG6987" s="1065"/>
    </row>
    <row r="6988" spans="4:59">
      <c r="D6988" s="1065"/>
      <c r="S6988" s="1065"/>
      <c r="BE6988" s="1065"/>
      <c r="BF6988" s="1065"/>
      <c r="BG6988" s="1065"/>
    </row>
    <row r="6989" spans="4:59">
      <c r="D6989" s="1065"/>
      <c r="S6989" s="1065"/>
      <c r="BE6989" s="1065"/>
      <c r="BF6989" s="1065"/>
      <c r="BG6989" s="1065"/>
    </row>
    <row r="6990" spans="4:59">
      <c r="D6990" s="1065"/>
      <c r="S6990" s="1065"/>
      <c r="BE6990" s="1065"/>
      <c r="BF6990" s="1065"/>
      <c r="BG6990" s="1065"/>
    </row>
    <row r="6991" spans="4:59">
      <c r="D6991" s="1065"/>
      <c r="S6991" s="1065"/>
      <c r="BE6991" s="1065"/>
      <c r="BF6991" s="1065"/>
      <c r="BG6991" s="1065"/>
    </row>
    <row r="6992" spans="4:59">
      <c r="D6992" s="1065"/>
      <c r="S6992" s="1065"/>
      <c r="BE6992" s="1065"/>
      <c r="BF6992" s="1065"/>
      <c r="BG6992" s="1065"/>
    </row>
    <row r="6993" spans="4:59">
      <c r="D6993" s="1065"/>
      <c r="S6993" s="1065"/>
      <c r="BE6993" s="1065"/>
      <c r="BF6993" s="1065"/>
      <c r="BG6993" s="1065"/>
    </row>
    <row r="6994" spans="4:59">
      <c r="D6994" s="1065"/>
      <c r="S6994" s="1065"/>
      <c r="BE6994" s="1065"/>
      <c r="BF6994" s="1065"/>
      <c r="BG6994" s="1065"/>
    </row>
    <row r="6995" spans="4:59">
      <c r="D6995" s="1065"/>
      <c r="S6995" s="1065"/>
      <c r="BE6995" s="1065"/>
      <c r="BF6995" s="1065"/>
      <c r="BG6995" s="1065"/>
    </row>
    <row r="6996" spans="4:59">
      <c r="D6996" s="1065"/>
      <c r="S6996" s="1065"/>
      <c r="BE6996" s="1065"/>
      <c r="BF6996" s="1065"/>
      <c r="BG6996" s="1065"/>
    </row>
    <row r="6997" spans="4:59">
      <c r="D6997" s="1065"/>
      <c r="S6997" s="1065"/>
      <c r="BE6997" s="1065"/>
      <c r="BF6997" s="1065"/>
      <c r="BG6997" s="1065"/>
    </row>
    <row r="6998" spans="4:59">
      <c r="D6998" s="1065"/>
      <c r="S6998" s="1065"/>
      <c r="BE6998" s="1065"/>
      <c r="BF6998" s="1065"/>
      <c r="BG6998" s="1065"/>
    </row>
    <row r="6999" spans="4:59">
      <c r="D6999" s="1065"/>
      <c r="S6999" s="1065"/>
      <c r="BE6999" s="1065"/>
      <c r="BF6999" s="1065"/>
      <c r="BG6999" s="1065"/>
    </row>
    <row r="7000" spans="4:59">
      <c r="D7000" s="1065"/>
      <c r="S7000" s="1065"/>
      <c r="BE7000" s="1065"/>
      <c r="BF7000" s="1065"/>
      <c r="BG7000" s="1065"/>
    </row>
    <row r="7001" spans="4:59">
      <c r="D7001" s="1065"/>
      <c r="S7001" s="1065"/>
      <c r="BE7001" s="1065"/>
      <c r="BF7001" s="1065"/>
      <c r="BG7001" s="1065"/>
    </row>
    <row r="7002" spans="4:59">
      <c r="D7002" s="1065"/>
      <c r="S7002" s="1065"/>
      <c r="BE7002" s="1065"/>
      <c r="BF7002" s="1065"/>
      <c r="BG7002" s="1065"/>
    </row>
    <row r="7003" spans="4:59">
      <c r="D7003" s="1065"/>
      <c r="S7003" s="1065"/>
      <c r="BE7003" s="1065"/>
      <c r="BF7003" s="1065"/>
      <c r="BG7003" s="1065"/>
    </row>
    <row r="7004" spans="4:59">
      <c r="D7004" s="1065"/>
      <c r="S7004" s="1065"/>
      <c r="BE7004" s="1065"/>
      <c r="BF7004" s="1065"/>
      <c r="BG7004" s="1065"/>
    </row>
    <row r="7005" spans="4:59">
      <c r="D7005" s="1065"/>
      <c r="S7005" s="1065"/>
      <c r="BE7005" s="1065"/>
      <c r="BF7005" s="1065"/>
      <c r="BG7005" s="1065"/>
    </row>
    <row r="7006" spans="4:59">
      <c r="D7006" s="1065"/>
      <c r="S7006" s="1065"/>
      <c r="BE7006" s="1065"/>
      <c r="BF7006" s="1065"/>
      <c r="BG7006" s="1065"/>
    </row>
    <row r="7007" spans="4:59">
      <c r="D7007" s="1065"/>
      <c r="S7007" s="1065"/>
      <c r="BE7007" s="1065"/>
      <c r="BF7007" s="1065"/>
      <c r="BG7007" s="1065"/>
    </row>
    <row r="7008" spans="4:59">
      <c r="D7008" s="1065"/>
      <c r="S7008" s="1065"/>
      <c r="BE7008" s="1065"/>
      <c r="BF7008" s="1065"/>
      <c r="BG7008" s="1065"/>
    </row>
    <row r="7009" spans="4:59">
      <c r="D7009" s="1065"/>
      <c r="S7009" s="1065"/>
      <c r="BE7009" s="1065"/>
      <c r="BF7009" s="1065"/>
      <c r="BG7009" s="1065"/>
    </row>
    <row r="7010" spans="4:59">
      <c r="D7010" s="1065"/>
      <c r="S7010" s="1065"/>
      <c r="BE7010" s="1065"/>
      <c r="BF7010" s="1065"/>
      <c r="BG7010" s="1065"/>
    </row>
    <row r="7011" spans="4:59">
      <c r="D7011" s="1065"/>
      <c r="S7011" s="1065"/>
      <c r="BE7011" s="1065"/>
      <c r="BF7011" s="1065"/>
      <c r="BG7011" s="1065"/>
    </row>
    <row r="7012" spans="4:59">
      <c r="D7012" s="1065"/>
      <c r="S7012" s="1065"/>
      <c r="BE7012" s="1065"/>
      <c r="BF7012" s="1065"/>
      <c r="BG7012" s="1065"/>
    </row>
    <row r="7013" spans="4:59">
      <c r="D7013" s="1065"/>
      <c r="S7013" s="1065"/>
      <c r="BE7013" s="1065"/>
      <c r="BF7013" s="1065"/>
      <c r="BG7013" s="1065"/>
    </row>
    <row r="7014" spans="4:59">
      <c r="D7014" s="1065"/>
      <c r="S7014" s="1065"/>
      <c r="BE7014" s="1065"/>
      <c r="BF7014" s="1065"/>
      <c r="BG7014" s="1065"/>
    </row>
    <row r="7015" spans="4:59">
      <c r="D7015" s="1065"/>
      <c r="S7015" s="1065"/>
      <c r="BE7015" s="1065"/>
      <c r="BF7015" s="1065"/>
      <c r="BG7015" s="1065"/>
    </row>
    <row r="7016" spans="4:59">
      <c r="D7016" s="1065"/>
      <c r="S7016" s="1065"/>
      <c r="BE7016" s="1065"/>
      <c r="BF7016" s="1065"/>
      <c r="BG7016" s="1065"/>
    </row>
    <row r="7017" spans="4:59">
      <c r="D7017" s="1065"/>
      <c r="S7017" s="1065"/>
      <c r="BE7017" s="1065"/>
      <c r="BF7017" s="1065"/>
      <c r="BG7017" s="1065"/>
    </row>
    <row r="7018" spans="4:59">
      <c r="D7018" s="1065"/>
      <c r="S7018" s="1065"/>
      <c r="BE7018" s="1065"/>
      <c r="BF7018" s="1065"/>
      <c r="BG7018" s="1065"/>
    </row>
    <row r="7019" spans="4:59">
      <c r="D7019" s="1065"/>
      <c r="S7019" s="1065"/>
      <c r="BE7019" s="1065"/>
      <c r="BF7019" s="1065"/>
      <c r="BG7019" s="1065"/>
    </row>
    <row r="7020" spans="4:59">
      <c r="D7020" s="1065"/>
      <c r="S7020" s="1065"/>
      <c r="BE7020" s="1065"/>
      <c r="BF7020" s="1065"/>
      <c r="BG7020" s="1065"/>
    </row>
    <row r="7021" spans="4:59">
      <c r="D7021" s="1065"/>
      <c r="S7021" s="1065"/>
      <c r="BE7021" s="1065"/>
      <c r="BF7021" s="1065"/>
      <c r="BG7021" s="1065"/>
    </row>
    <row r="7022" spans="4:59">
      <c r="D7022" s="1065"/>
      <c r="S7022" s="1065"/>
      <c r="BE7022" s="1065"/>
      <c r="BF7022" s="1065"/>
      <c r="BG7022" s="1065"/>
    </row>
    <row r="7023" spans="4:59">
      <c r="D7023" s="1065"/>
      <c r="S7023" s="1065"/>
      <c r="BE7023" s="1065"/>
      <c r="BF7023" s="1065"/>
      <c r="BG7023" s="1065"/>
    </row>
    <row r="7024" spans="4:59">
      <c r="D7024" s="1065"/>
      <c r="S7024" s="1065"/>
      <c r="BE7024" s="1065"/>
      <c r="BF7024" s="1065"/>
      <c r="BG7024" s="1065"/>
    </row>
    <row r="7025" spans="4:59">
      <c r="D7025" s="1065"/>
      <c r="S7025" s="1065"/>
      <c r="BE7025" s="1065"/>
      <c r="BF7025" s="1065"/>
      <c r="BG7025" s="1065"/>
    </row>
    <row r="7026" spans="4:59">
      <c r="D7026" s="1065"/>
      <c r="S7026" s="1065"/>
      <c r="BE7026" s="1065"/>
      <c r="BF7026" s="1065"/>
      <c r="BG7026" s="1065"/>
    </row>
    <row r="7027" spans="4:59">
      <c r="D7027" s="1065"/>
      <c r="S7027" s="1065"/>
      <c r="BE7027" s="1065"/>
      <c r="BF7027" s="1065"/>
      <c r="BG7027" s="1065"/>
    </row>
    <row r="7028" spans="4:59">
      <c r="D7028" s="1065"/>
      <c r="S7028" s="1065"/>
      <c r="BE7028" s="1065"/>
      <c r="BF7028" s="1065"/>
      <c r="BG7028" s="1065"/>
    </row>
    <row r="7029" spans="4:59">
      <c r="D7029" s="1065"/>
      <c r="S7029" s="1065"/>
      <c r="BE7029" s="1065"/>
      <c r="BF7029" s="1065"/>
      <c r="BG7029" s="1065"/>
    </row>
    <row r="7030" spans="4:59">
      <c r="D7030" s="1065"/>
      <c r="S7030" s="1065"/>
      <c r="BE7030" s="1065"/>
      <c r="BF7030" s="1065"/>
      <c r="BG7030" s="1065"/>
    </row>
    <row r="7031" spans="4:59">
      <c r="D7031" s="1065"/>
      <c r="S7031" s="1065"/>
      <c r="BE7031" s="1065"/>
      <c r="BF7031" s="1065"/>
      <c r="BG7031" s="1065"/>
    </row>
    <row r="7032" spans="4:59">
      <c r="D7032" s="1065"/>
      <c r="S7032" s="1065"/>
      <c r="BE7032" s="1065"/>
      <c r="BF7032" s="1065"/>
      <c r="BG7032" s="1065"/>
    </row>
    <row r="7033" spans="4:59">
      <c r="D7033" s="1065"/>
      <c r="S7033" s="1065"/>
      <c r="BE7033" s="1065"/>
      <c r="BF7033" s="1065"/>
      <c r="BG7033" s="1065"/>
    </row>
    <row r="7034" spans="4:59">
      <c r="D7034" s="1065"/>
      <c r="S7034" s="1065"/>
      <c r="BE7034" s="1065"/>
      <c r="BF7034" s="1065"/>
      <c r="BG7034" s="1065"/>
    </row>
    <row r="7035" spans="4:59">
      <c r="D7035" s="1065"/>
      <c r="S7035" s="1065"/>
      <c r="BE7035" s="1065"/>
      <c r="BF7035" s="1065"/>
      <c r="BG7035" s="1065"/>
    </row>
    <row r="7036" spans="4:59">
      <c r="D7036" s="1065"/>
      <c r="S7036" s="1065"/>
      <c r="BE7036" s="1065"/>
      <c r="BF7036" s="1065"/>
      <c r="BG7036" s="1065"/>
    </row>
    <row r="7037" spans="4:59">
      <c r="D7037" s="1065"/>
      <c r="S7037" s="1065"/>
      <c r="BE7037" s="1065"/>
      <c r="BF7037" s="1065"/>
      <c r="BG7037" s="1065"/>
    </row>
    <row r="7038" spans="4:59">
      <c r="D7038" s="1065"/>
      <c r="S7038" s="1065"/>
      <c r="BE7038" s="1065"/>
      <c r="BF7038" s="1065"/>
      <c r="BG7038" s="1065"/>
    </row>
    <row r="7039" spans="4:59">
      <c r="D7039" s="1065"/>
      <c r="S7039" s="1065"/>
      <c r="BE7039" s="1065"/>
      <c r="BF7039" s="1065"/>
      <c r="BG7039" s="1065"/>
    </row>
    <row r="7040" spans="4:59">
      <c r="D7040" s="1065"/>
      <c r="S7040" s="1065"/>
      <c r="BE7040" s="1065"/>
      <c r="BF7040" s="1065"/>
      <c r="BG7040" s="1065"/>
    </row>
    <row r="7041" spans="4:59">
      <c r="D7041" s="1065"/>
      <c r="S7041" s="1065"/>
      <c r="BE7041" s="1065"/>
      <c r="BF7041" s="1065"/>
      <c r="BG7041" s="1065"/>
    </row>
    <row r="7042" spans="4:59">
      <c r="D7042" s="1065"/>
      <c r="S7042" s="1065"/>
      <c r="BE7042" s="1065"/>
      <c r="BF7042" s="1065"/>
      <c r="BG7042" s="1065"/>
    </row>
    <row r="7043" spans="4:59">
      <c r="D7043" s="1065"/>
      <c r="S7043" s="1065"/>
      <c r="BE7043" s="1065"/>
      <c r="BF7043" s="1065"/>
      <c r="BG7043" s="1065"/>
    </row>
    <row r="7044" spans="4:59">
      <c r="D7044" s="1065"/>
      <c r="S7044" s="1065"/>
      <c r="BE7044" s="1065"/>
      <c r="BF7044" s="1065"/>
      <c r="BG7044" s="1065"/>
    </row>
    <row r="7045" spans="4:59">
      <c r="D7045" s="1065"/>
      <c r="S7045" s="1065"/>
      <c r="BE7045" s="1065"/>
      <c r="BF7045" s="1065"/>
      <c r="BG7045" s="1065"/>
    </row>
    <row r="7046" spans="4:59">
      <c r="D7046" s="1065"/>
      <c r="S7046" s="1065"/>
      <c r="BE7046" s="1065"/>
      <c r="BF7046" s="1065"/>
      <c r="BG7046" s="1065"/>
    </row>
    <row r="7047" spans="4:59">
      <c r="D7047" s="1065"/>
      <c r="S7047" s="1065"/>
      <c r="BE7047" s="1065"/>
      <c r="BF7047" s="1065"/>
      <c r="BG7047" s="1065"/>
    </row>
    <row r="7048" spans="4:59">
      <c r="D7048" s="1065"/>
      <c r="S7048" s="1065"/>
      <c r="BE7048" s="1065"/>
      <c r="BF7048" s="1065"/>
      <c r="BG7048" s="1065"/>
    </row>
    <row r="7049" spans="4:59">
      <c r="D7049" s="1065"/>
      <c r="S7049" s="1065"/>
      <c r="BE7049" s="1065"/>
      <c r="BF7049" s="1065"/>
      <c r="BG7049" s="1065"/>
    </row>
    <row r="7050" spans="4:59">
      <c r="D7050" s="1065"/>
      <c r="S7050" s="1065"/>
      <c r="BE7050" s="1065"/>
      <c r="BF7050" s="1065"/>
      <c r="BG7050" s="1065"/>
    </row>
    <row r="7051" spans="4:59">
      <c r="D7051" s="1065"/>
      <c r="S7051" s="1065"/>
      <c r="BE7051" s="1065"/>
      <c r="BF7051" s="1065"/>
      <c r="BG7051" s="1065"/>
    </row>
    <row r="7052" spans="4:59">
      <c r="D7052" s="1065"/>
      <c r="S7052" s="1065"/>
      <c r="BE7052" s="1065"/>
      <c r="BF7052" s="1065"/>
      <c r="BG7052" s="1065"/>
    </row>
    <row r="7053" spans="4:59">
      <c r="D7053" s="1065"/>
      <c r="S7053" s="1065"/>
      <c r="BE7053" s="1065"/>
      <c r="BF7053" s="1065"/>
      <c r="BG7053" s="1065"/>
    </row>
    <row r="7054" spans="4:59">
      <c r="D7054" s="1065"/>
      <c r="S7054" s="1065"/>
      <c r="BE7054" s="1065"/>
      <c r="BF7054" s="1065"/>
      <c r="BG7054" s="1065"/>
    </row>
    <row r="7055" spans="4:59">
      <c r="D7055" s="1065"/>
      <c r="S7055" s="1065"/>
      <c r="BE7055" s="1065"/>
      <c r="BF7055" s="1065"/>
      <c r="BG7055" s="1065"/>
    </row>
    <row r="7056" spans="4:59">
      <c r="D7056" s="1065"/>
      <c r="S7056" s="1065"/>
      <c r="BE7056" s="1065"/>
      <c r="BF7056" s="1065"/>
      <c r="BG7056" s="1065"/>
    </row>
    <row r="7057" spans="4:59">
      <c r="D7057" s="1065"/>
      <c r="S7057" s="1065"/>
      <c r="BE7057" s="1065"/>
      <c r="BF7057" s="1065"/>
      <c r="BG7057" s="1065"/>
    </row>
    <row r="7058" spans="4:59">
      <c r="D7058" s="1065"/>
      <c r="S7058" s="1065"/>
      <c r="BE7058" s="1065"/>
      <c r="BF7058" s="1065"/>
      <c r="BG7058" s="1065"/>
    </row>
    <row r="7059" spans="4:59">
      <c r="D7059" s="1065"/>
      <c r="S7059" s="1065"/>
      <c r="BE7059" s="1065"/>
      <c r="BF7059" s="1065"/>
      <c r="BG7059" s="1065"/>
    </row>
    <row r="7060" spans="4:59">
      <c r="D7060" s="1065"/>
      <c r="S7060" s="1065"/>
      <c r="BE7060" s="1065"/>
      <c r="BF7060" s="1065"/>
      <c r="BG7060" s="1065"/>
    </row>
    <row r="7061" spans="4:59">
      <c r="D7061" s="1065"/>
      <c r="S7061" s="1065"/>
      <c r="BE7061" s="1065"/>
      <c r="BF7061" s="1065"/>
      <c r="BG7061" s="1065"/>
    </row>
    <row r="7062" spans="4:59">
      <c r="D7062" s="1065"/>
      <c r="S7062" s="1065"/>
      <c r="BE7062" s="1065"/>
      <c r="BF7062" s="1065"/>
      <c r="BG7062" s="1065"/>
    </row>
    <row r="7063" spans="4:59">
      <c r="D7063" s="1065"/>
      <c r="S7063" s="1065"/>
      <c r="BE7063" s="1065"/>
      <c r="BF7063" s="1065"/>
      <c r="BG7063" s="1065"/>
    </row>
    <row r="7064" spans="4:59">
      <c r="D7064" s="1065"/>
      <c r="S7064" s="1065"/>
      <c r="BE7064" s="1065"/>
      <c r="BF7064" s="1065"/>
      <c r="BG7064" s="1065"/>
    </row>
    <row r="7065" spans="4:59">
      <c r="D7065" s="1065"/>
      <c r="S7065" s="1065"/>
      <c r="BE7065" s="1065"/>
      <c r="BF7065" s="1065"/>
      <c r="BG7065" s="1065"/>
    </row>
    <row r="7066" spans="4:59">
      <c r="D7066" s="1065"/>
      <c r="S7066" s="1065"/>
      <c r="BE7066" s="1065"/>
      <c r="BF7066" s="1065"/>
      <c r="BG7066" s="1065"/>
    </row>
    <row r="7067" spans="4:59">
      <c r="D7067" s="1065"/>
      <c r="S7067" s="1065"/>
      <c r="BE7067" s="1065"/>
      <c r="BF7067" s="1065"/>
      <c r="BG7067" s="1065"/>
    </row>
    <row r="7068" spans="4:59">
      <c r="D7068" s="1065"/>
      <c r="S7068" s="1065"/>
      <c r="BE7068" s="1065"/>
      <c r="BF7068" s="1065"/>
      <c r="BG7068" s="1065"/>
    </row>
    <row r="7069" spans="4:59">
      <c r="D7069" s="1065"/>
      <c r="S7069" s="1065"/>
      <c r="BE7069" s="1065"/>
      <c r="BF7069" s="1065"/>
      <c r="BG7069" s="1065"/>
    </row>
    <row r="7070" spans="4:59">
      <c r="D7070" s="1065"/>
      <c r="S7070" s="1065"/>
      <c r="BE7070" s="1065"/>
      <c r="BF7070" s="1065"/>
      <c r="BG7070" s="1065"/>
    </row>
    <row r="7071" spans="4:59">
      <c r="D7071" s="1065"/>
      <c r="S7071" s="1065"/>
      <c r="BE7071" s="1065"/>
      <c r="BF7071" s="1065"/>
      <c r="BG7071" s="1065"/>
    </row>
    <row r="7072" spans="4:59">
      <c r="D7072" s="1065"/>
      <c r="S7072" s="1065"/>
      <c r="BE7072" s="1065"/>
      <c r="BF7072" s="1065"/>
      <c r="BG7072" s="1065"/>
    </row>
    <row r="7073" spans="4:59">
      <c r="D7073" s="1065"/>
      <c r="S7073" s="1065"/>
      <c r="BE7073" s="1065"/>
      <c r="BF7073" s="1065"/>
      <c r="BG7073" s="1065"/>
    </row>
    <row r="7074" spans="4:59">
      <c r="D7074" s="1065"/>
      <c r="S7074" s="1065"/>
      <c r="BE7074" s="1065"/>
      <c r="BF7074" s="1065"/>
      <c r="BG7074" s="1065"/>
    </row>
    <row r="7075" spans="4:59">
      <c r="D7075" s="1065"/>
      <c r="S7075" s="1065"/>
      <c r="BE7075" s="1065"/>
      <c r="BF7075" s="1065"/>
      <c r="BG7075" s="1065"/>
    </row>
    <row r="7076" spans="4:59">
      <c r="D7076" s="1065"/>
      <c r="S7076" s="1065"/>
      <c r="BE7076" s="1065"/>
      <c r="BF7076" s="1065"/>
      <c r="BG7076" s="1065"/>
    </row>
    <row r="7077" spans="4:59">
      <c r="D7077" s="1065"/>
      <c r="S7077" s="1065"/>
      <c r="BE7077" s="1065"/>
      <c r="BF7077" s="1065"/>
      <c r="BG7077" s="1065"/>
    </row>
    <row r="7078" spans="4:59">
      <c r="D7078" s="1065"/>
      <c r="S7078" s="1065"/>
      <c r="BE7078" s="1065"/>
      <c r="BF7078" s="1065"/>
      <c r="BG7078" s="1065"/>
    </row>
    <row r="7079" spans="4:59">
      <c r="D7079" s="1065"/>
      <c r="S7079" s="1065"/>
      <c r="BE7079" s="1065"/>
      <c r="BF7079" s="1065"/>
      <c r="BG7079" s="1065"/>
    </row>
    <row r="7080" spans="4:59">
      <c r="D7080" s="1065"/>
      <c r="S7080" s="1065"/>
      <c r="BE7080" s="1065"/>
      <c r="BF7080" s="1065"/>
      <c r="BG7080" s="1065"/>
    </row>
    <row r="7081" spans="4:59">
      <c r="D7081" s="1065"/>
      <c r="S7081" s="1065"/>
      <c r="BE7081" s="1065"/>
      <c r="BF7081" s="1065"/>
      <c r="BG7081" s="1065"/>
    </row>
    <row r="7082" spans="4:59">
      <c r="D7082" s="1065"/>
      <c r="S7082" s="1065"/>
      <c r="BE7082" s="1065"/>
      <c r="BF7082" s="1065"/>
      <c r="BG7082" s="1065"/>
    </row>
    <row r="7083" spans="4:59">
      <c r="D7083" s="1065"/>
      <c r="S7083" s="1065"/>
      <c r="BE7083" s="1065"/>
      <c r="BF7083" s="1065"/>
      <c r="BG7083" s="1065"/>
    </row>
    <row r="7084" spans="4:59">
      <c r="D7084" s="1065"/>
      <c r="S7084" s="1065"/>
      <c r="BE7084" s="1065"/>
      <c r="BF7084" s="1065"/>
      <c r="BG7084" s="1065"/>
    </row>
    <row r="7085" spans="4:59">
      <c r="D7085" s="1065"/>
      <c r="S7085" s="1065"/>
      <c r="BE7085" s="1065"/>
      <c r="BF7085" s="1065"/>
      <c r="BG7085" s="1065"/>
    </row>
    <row r="7086" spans="4:59">
      <c r="D7086" s="1065"/>
      <c r="S7086" s="1065"/>
      <c r="BE7086" s="1065"/>
      <c r="BF7086" s="1065"/>
      <c r="BG7086" s="1065"/>
    </row>
    <row r="7087" spans="4:59">
      <c r="D7087" s="1065"/>
      <c r="S7087" s="1065"/>
      <c r="BE7087" s="1065"/>
      <c r="BF7087" s="1065"/>
      <c r="BG7087" s="1065"/>
    </row>
    <row r="7088" spans="4:59">
      <c r="D7088" s="1065"/>
      <c r="S7088" s="1065"/>
      <c r="BE7088" s="1065"/>
      <c r="BF7088" s="1065"/>
      <c r="BG7088" s="1065"/>
    </row>
    <row r="7089" spans="4:59">
      <c r="D7089" s="1065"/>
      <c r="S7089" s="1065"/>
      <c r="BE7089" s="1065"/>
      <c r="BF7089" s="1065"/>
      <c r="BG7089" s="1065"/>
    </row>
    <row r="7090" spans="4:59">
      <c r="D7090" s="1065"/>
      <c r="S7090" s="1065"/>
      <c r="BE7090" s="1065"/>
      <c r="BF7090" s="1065"/>
      <c r="BG7090" s="1065"/>
    </row>
    <row r="7091" spans="4:59">
      <c r="D7091" s="1065"/>
      <c r="S7091" s="1065"/>
      <c r="BE7091" s="1065"/>
      <c r="BF7091" s="1065"/>
      <c r="BG7091" s="1065"/>
    </row>
    <row r="7092" spans="4:59">
      <c r="D7092" s="1065"/>
      <c r="S7092" s="1065"/>
      <c r="BE7092" s="1065"/>
      <c r="BF7092" s="1065"/>
      <c r="BG7092" s="1065"/>
    </row>
    <row r="7093" spans="4:59">
      <c r="D7093" s="1065"/>
      <c r="S7093" s="1065"/>
      <c r="BE7093" s="1065"/>
      <c r="BF7093" s="1065"/>
      <c r="BG7093" s="1065"/>
    </row>
    <row r="7104" spans="4:59">
      <c r="D7104" s="1065"/>
      <c r="S7104" s="1065"/>
      <c r="BE7104" s="1065"/>
      <c r="BF7104" s="1065"/>
      <c r="BG7104" s="1065"/>
    </row>
    <row r="7105" spans="4:59">
      <c r="D7105" s="1065"/>
      <c r="S7105" s="1065"/>
      <c r="BE7105" s="1065"/>
      <c r="BF7105" s="1065"/>
      <c r="BG7105" s="1065"/>
    </row>
    <row r="7106" spans="4:59">
      <c r="D7106" s="1065"/>
      <c r="S7106" s="1065"/>
      <c r="BE7106" s="1065"/>
      <c r="BF7106" s="1065"/>
      <c r="BG7106" s="1065"/>
    </row>
    <row r="7107" spans="4:59">
      <c r="D7107" s="1065"/>
      <c r="S7107" s="1065"/>
      <c r="BE7107" s="1065"/>
      <c r="BF7107" s="1065"/>
      <c r="BG7107" s="1065"/>
    </row>
    <row r="7108" spans="4:59">
      <c r="D7108" s="1065"/>
      <c r="S7108" s="1065"/>
      <c r="BE7108" s="1065"/>
      <c r="BF7108" s="1065"/>
      <c r="BG7108" s="1065"/>
    </row>
    <row r="7109" spans="4:59">
      <c r="D7109" s="1065"/>
      <c r="S7109" s="1065"/>
      <c r="BE7109" s="1065"/>
      <c r="BF7109" s="1065"/>
      <c r="BG7109" s="1065"/>
    </row>
    <row r="7110" spans="4:59">
      <c r="D7110" s="1065"/>
      <c r="S7110" s="1065"/>
      <c r="BE7110" s="1065"/>
      <c r="BF7110" s="1065"/>
      <c r="BG7110" s="1065"/>
    </row>
    <row r="7111" spans="4:59">
      <c r="D7111" s="1065"/>
      <c r="S7111" s="1065"/>
      <c r="BE7111" s="1065"/>
      <c r="BF7111" s="1065"/>
      <c r="BG7111" s="1065"/>
    </row>
    <row r="7112" spans="4:59">
      <c r="D7112" s="1065"/>
      <c r="S7112" s="1065"/>
      <c r="BE7112" s="1065"/>
      <c r="BF7112" s="1065"/>
      <c r="BG7112" s="1065"/>
    </row>
    <row r="7113" spans="4:59">
      <c r="D7113" s="1065"/>
      <c r="S7113" s="1065"/>
      <c r="BE7113" s="1065"/>
      <c r="BF7113" s="1065"/>
      <c r="BG7113" s="1065"/>
    </row>
    <row r="7114" spans="4:59">
      <c r="D7114" s="1065"/>
      <c r="S7114" s="1065"/>
      <c r="BE7114" s="1065"/>
      <c r="BF7114" s="1065"/>
      <c r="BG7114" s="1065"/>
    </row>
    <row r="7115" spans="4:59">
      <c r="D7115" s="1065"/>
      <c r="S7115" s="1065"/>
      <c r="BE7115" s="1065"/>
      <c r="BF7115" s="1065"/>
      <c r="BG7115" s="1065"/>
    </row>
    <row r="7116" spans="4:59">
      <c r="D7116" s="1065"/>
      <c r="S7116" s="1065"/>
      <c r="BE7116" s="1065"/>
      <c r="BF7116" s="1065"/>
      <c r="BG7116" s="1065"/>
    </row>
    <row r="7117" spans="4:59">
      <c r="D7117" s="1065"/>
      <c r="S7117" s="1065"/>
      <c r="BE7117" s="1065"/>
      <c r="BF7117" s="1065"/>
      <c r="BG7117" s="1065"/>
    </row>
    <row r="7118" spans="4:59">
      <c r="D7118" s="1065"/>
      <c r="S7118" s="1065"/>
      <c r="BE7118" s="1065"/>
      <c r="BF7118" s="1065"/>
      <c r="BG7118" s="1065"/>
    </row>
    <row r="7119" spans="4:59">
      <c r="D7119" s="1065"/>
      <c r="S7119" s="1065"/>
      <c r="BE7119" s="1065"/>
      <c r="BF7119" s="1065"/>
      <c r="BG7119" s="1065"/>
    </row>
    <row r="7120" spans="4:59">
      <c r="D7120" s="1065"/>
      <c r="S7120" s="1065"/>
      <c r="BE7120" s="1065"/>
      <c r="BF7120" s="1065"/>
      <c r="BG7120" s="1065"/>
    </row>
    <row r="7121" spans="4:59">
      <c r="D7121" s="1065"/>
      <c r="S7121" s="1065"/>
      <c r="BE7121" s="1065"/>
      <c r="BF7121" s="1065"/>
      <c r="BG7121" s="1065"/>
    </row>
    <row r="7122" spans="4:59">
      <c r="D7122" s="1065"/>
      <c r="S7122" s="1065"/>
      <c r="BE7122" s="1065"/>
      <c r="BF7122" s="1065"/>
      <c r="BG7122" s="1065"/>
    </row>
    <row r="7123" spans="4:59">
      <c r="D7123" s="1065"/>
      <c r="S7123" s="1065"/>
      <c r="BE7123" s="1065"/>
      <c r="BF7123" s="1065"/>
      <c r="BG7123" s="1065"/>
    </row>
    <row r="7124" spans="4:59">
      <c r="D7124" s="1065"/>
      <c r="S7124" s="1065"/>
      <c r="BE7124" s="1065"/>
      <c r="BF7124" s="1065"/>
      <c r="BG7124" s="1065"/>
    </row>
    <row r="7125" spans="4:59">
      <c r="D7125" s="1065"/>
      <c r="S7125" s="1065"/>
      <c r="BE7125" s="1065"/>
      <c r="BF7125" s="1065"/>
      <c r="BG7125" s="1065"/>
    </row>
    <row r="7126" spans="4:59">
      <c r="D7126" s="1065"/>
      <c r="S7126" s="1065"/>
      <c r="BE7126" s="1065"/>
      <c r="BF7126" s="1065"/>
      <c r="BG7126" s="1065"/>
    </row>
    <row r="7127" spans="4:59">
      <c r="D7127" s="1065"/>
      <c r="S7127" s="1065"/>
      <c r="BE7127" s="1065"/>
      <c r="BF7127" s="1065"/>
      <c r="BG7127" s="1065"/>
    </row>
    <row r="7128" spans="4:59">
      <c r="D7128" s="1065"/>
      <c r="S7128" s="1065"/>
      <c r="BE7128" s="1065"/>
      <c r="BF7128" s="1065"/>
      <c r="BG7128" s="1065"/>
    </row>
    <row r="7129" spans="4:59">
      <c r="D7129" s="1065"/>
      <c r="S7129" s="1065"/>
      <c r="BE7129" s="1065"/>
      <c r="BF7129" s="1065"/>
      <c r="BG7129" s="1065"/>
    </row>
    <row r="7130" spans="4:59">
      <c r="D7130" s="1065"/>
      <c r="S7130" s="1065"/>
      <c r="BE7130" s="1065"/>
      <c r="BF7130" s="1065"/>
      <c r="BG7130" s="1065"/>
    </row>
    <row r="7131" spans="4:59">
      <c r="D7131" s="1065"/>
      <c r="S7131" s="1065"/>
      <c r="BE7131" s="1065"/>
      <c r="BF7131" s="1065"/>
      <c r="BG7131" s="1065"/>
    </row>
    <row r="7132" spans="4:59">
      <c r="D7132" s="1065"/>
      <c r="S7132" s="1065"/>
      <c r="BE7132" s="1065"/>
      <c r="BF7132" s="1065"/>
      <c r="BG7132" s="1065"/>
    </row>
    <row r="7133" spans="4:59">
      <c r="D7133" s="1065"/>
      <c r="S7133" s="1065"/>
      <c r="BE7133" s="1065"/>
      <c r="BF7133" s="1065"/>
      <c r="BG7133" s="1065"/>
    </row>
    <row r="7134" spans="4:59">
      <c r="D7134" s="1065"/>
      <c r="S7134" s="1065"/>
      <c r="BE7134" s="1065"/>
      <c r="BF7134" s="1065"/>
      <c r="BG7134" s="1065"/>
    </row>
    <row r="7135" spans="4:59">
      <c r="D7135" s="1065"/>
      <c r="S7135" s="1065"/>
      <c r="BE7135" s="1065"/>
      <c r="BF7135" s="1065"/>
      <c r="BG7135" s="1065"/>
    </row>
    <row r="7136" spans="4:59">
      <c r="D7136" s="1065"/>
      <c r="S7136" s="1065"/>
      <c r="BE7136" s="1065"/>
      <c r="BF7136" s="1065"/>
      <c r="BG7136" s="1065"/>
    </row>
    <row r="7137" spans="4:59">
      <c r="D7137" s="1065"/>
      <c r="S7137" s="1065"/>
      <c r="BE7137" s="1065"/>
      <c r="BF7137" s="1065"/>
      <c r="BG7137" s="1065"/>
    </row>
    <row r="7138" spans="4:59">
      <c r="D7138" s="1065"/>
      <c r="S7138" s="1065"/>
      <c r="BE7138" s="1065"/>
      <c r="BF7138" s="1065"/>
      <c r="BG7138" s="1065"/>
    </row>
    <row r="7139" spans="4:59">
      <c r="D7139" s="1065"/>
      <c r="S7139" s="1065"/>
      <c r="BE7139" s="1065"/>
      <c r="BF7139" s="1065"/>
      <c r="BG7139" s="1065"/>
    </row>
    <row r="7140" spans="4:59">
      <c r="D7140" s="1065"/>
      <c r="S7140" s="1065"/>
      <c r="BE7140" s="1065"/>
      <c r="BF7140" s="1065"/>
      <c r="BG7140" s="1065"/>
    </row>
    <row r="7141" spans="4:59">
      <c r="D7141" s="1065"/>
      <c r="S7141" s="1065"/>
      <c r="BE7141" s="1065"/>
      <c r="BF7141" s="1065"/>
      <c r="BG7141" s="1065"/>
    </row>
    <row r="7142" spans="4:59">
      <c r="D7142" s="1065"/>
      <c r="S7142" s="1065"/>
      <c r="BE7142" s="1065"/>
      <c r="BF7142" s="1065"/>
      <c r="BG7142" s="1065"/>
    </row>
    <row r="7143" spans="4:59">
      <c r="D7143" s="1065"/>
      <c r="S7143" s="1065"/>
      <c r="BE7143" s="1065"/>
      <c r="BF7143" s="1065"/>
      <c r="BG7143" s="1065"/>
    </row>
    <row r="7144" spans="4:59">
      <c r="D7144" s="1065"/>
      <c r="S7144" s="1065"/>
      <c r="BE7144" s="1065"/>
      <c r="BF7144" s="1065"/>
      <c r="BG7144" s="1065"/>
    </row>
    <row r="7145" spans="4:59">
      <c r="D7145" s="1065"/>
      <c r="S7145" s="1065"/>
      <c r="BE7145" s="1065"/>
      <c r="BF7145" s="1065"/>
      <c r="BG7145" s="1065"/>
    </row>
    <row r="7146" spans="4:59">
      <c r="D7146" s="1065"/>
      <c r="S7146" s="1065"/>
      <c r="BE7146" s="1065"/>
      <c r="BF7146" s="1065"/>
      <c r="BG7146" s="1065"/>
    </row>
    <row r="7147" spans="4:59">
      <c r="D7147" s="1065"/>
      <c r="S7147" s="1065"/>
      <c r="BE7147" s="1065"/>
      <c r="BF7147" s="1065"/>
      <c r="BG7147" s="1065"/>
    </row>
    <row r="7152" spans="4:59">
      <c r="D7152" s="1065"/>
      <c r="S7152" s="1065"/>
      <c r="BE7152" s="1065"/>
      <c r="BF7152" s="1065"/>
      <c r="BG7152" s="1065"/>
    </row>
    <row r="7153" spans="4:59">
      <c r="D7153" s="1065"/>
      <c r="S7153" s="1065"/>
      <c r="BE7153" s="1065"/>
      <c r="BF7153" s="1065"/>
      <c r="BG7153" s="1065"/>
    </row>
    <row r="7156" spans="4:59">
      <c r="D7156" s="1065"/>
      <c r="S7156" s="1065"/>
      <c r="BE7156" s="1065"/>
      <c r="BF7156" s="1065"/>
      <c r="BG7156" s="1065"/>
    </row>
    <row r="7157" spans="4:59">
      <c r="D7157" s="1065"/>
      <c r="S7157" s="1065"/>
      <c r="BE7157" s="1065"/>
      <c r="BF7157" s="1065"/>
      <c r="BG7157" s="1065"/>
    </row>
    <row r="7158" spans="4:59">
      <c r="D7158" s="1065"/>
      <c r="S7158" s="1065"/>
      <c r="BE7158" s="1065"/>
      <c r="BF7158" s="1065"/>
      <c r="BG7158" s="1065"/>
    </row>
    <row r="7159" spans="4:59">
      <c r="D7159" s="1065"/>
      <c r="S7159" s="1065"/>
      <c r="BE7159" s="1065"/>
      <c r="BF7159" s="1065"/>
      <c r="BG7159" s="1065"/>
    </row>
    <row r="7160" spans="4:59">
      <c r="D7160" s="1065"/>
      <c r="S7160" s="1065"/>
      <c r="BE7160" s="1065"/>
      <c r="BF7160" s="1065"/>
      <c r="BG7160" s="1065"/>
    </row>
    <row r="7161" spans="4:59">
      <c r="D7161" s="1065"/>
      <c r="S7161" s="1065"/>
      <c r="BE7161" s="1065"/>
      <c r="BF7161" s="1065"/>
      <c r="BG7161" s="1065"/>
    </row>
    <row r="7162" spans="4:59">
      <c r="D7162" s="1065"/>
      <c r="S7162" s="1065"/>
      <c r="BE7162" s="1065"/>
      <c r="BF7162" s="1065"/>
      <c r="BG7162" s="1065"/>
    </row>
    <row r="7163" spans="4:59">
      <c r="D7163" s="1065"/>
      <c r="S7163" s="1065"/>
      <c r="BE7163" s="1065"/>
      <c r="BF7163" s="1065"/>
      <c r="BG7163" s="1065"/>
    </row>
    <row r="7166" spans="4:59">
      <c r="D7166" s="1065"/>
      <c r="S7166" s="1065"/>
      <c r="BE7166" s="1065"/>
      <c r="BF7166" s="1065"/>
      <c r="BG7166" s="1065"/>
    </row>
    <row r="7167" spans="4:59">
      <c r="D7167" s="1065"/>
      <c r="S7167" s="1065"/>
      <c r="BE7167" s="1065"/>
      <c r="BF7167" s="1065"/>
      <c r="BG7167" s="1065"/>
    </row>
    <row r="7172" spans="4:59">
      <c r="D7172" s="1065"/>
      <c r="S7172" s="1065"/>
      <c r="BE7172" s="1065"/>
      <c r="BF7172" s="1065"/>
      <c r="BG7172" s="1065"/>
    </row>
    <row r="7173" spans="4:59">
      <c r="D7173" s="1065"/>
      <c r="S7173" s="1065"/>
      <c r="BE7173" s="1065"/>
      <c r="BF7173" s="1065"/>
      <c r="BG7173" s="1065"/>
    </row>
    <row r="7174" spans="4:59">
      <c r="D7174" s="1065"/>
      <c r="S7174" s="1065"/>
      <c r="BE7174" s="1065"/>
      <c r="BF7174" s="1065"/>
      <c r="BG7174" s="1065"/>
    </row>
    <row r="7175" spans="4:59">
      <c r="D7175" s="1065"/>
      <c r="S7175" s="1065"/>
      <c r="BE7175" s="1065"/>
      <c r="BF7175" s="1065"/>
      <c r="BG7175" s="1065"/>
    </row>
    <row r="7176" spans="4:59">
      <c r="D7176" s="1065"/>
      <c r="S7176" s="1065"/>
      <c r="BE7176" s="1065"/>
      <c r="BF7176" s="1065"/>
      <c r="BG7176" s="1065"/>
    </row>
    <row r="7177" spans="4:59">
      <c r="D7177" s="1065"/>
      <c r="S7177" s="1065"/>
      <c r="BE7177" s="1065"/>
      <c r="BF7177" s="1065"/>
      <c r="BG7177" s="1065"/>
    </row>
    <row r="7178" spans="4:59">
      <c r="D7178" s="1065"/>
      <c r="S7178" s="1065"/>
      <c r="BE7178" s="1065"/>
      <c r="BF7178" s="1065"/>
      <c r="BG7178" s="1065"/>
    </row>
    <row r="7179" spans="4:59">
      <c r="D7179" s="1065"/>
      <c r="S7179" s="1065"/>
      <c r="BE7179" s="1065"/>
      <c r="BF7179" s="1065"/>
      <c r="BG7179" s="1065"/>
    </row>
    <row r="7180" spans="4:59">
      <c r="D7180" s="1065"/>
      <c r="S7180" s="1065"/>
      <c r="BE7180" s="1065"/>
      <c r="BF7180" s="1065"/>
      <c r="BG7180" s="1065"/>
    </row>
    <row r="7181" spans="4:59">
      <c r="D7181" s="1065"/>
      <c r="S7181" s="1065"/>
      <c r="BE7181" s="1065"/>
      <c r="BF7181" s="1065"/>
      <c r="BG7181" s="1065"/>
    </row>
    <row r="7182" spans="4:59">
      <c r="D7182" s="1065"/>
      <c r="S7182" s="1065"/>
      <c r="BE7182" s="1065"/>
      <c r="BF7182" s="1065"/>
      <c r="BG7182" s="1065"/>
    </row>
    <row r="7183" spans="4:59">
      <c r="D7183" s="1065"/>
      <c r="S7183" s="1065"/>
      <c r="BE7183" s="1065"/>
      <c r="BF7183" s="1065"/>
      <c r="BG7183" s="1065"/>
    </row>
    <row r="7184" spans="4:59">
      <c r="D7184" s="1065"/>
      <c r="S7184" s="1065"/>
      <c r="BE7184" s="1065"/>
      <c r="BF7184" s="1065"/>
      <c r="BG7184" s="1065"/>
    </row>
    <row r="7185" spans="4:59">
      <c r="D7185" s="1065"/>
      <c r="S7185" s="1065"/>
      <c r="BE7185" s="1065"/>
      <c r="BF7185" s="1065"/>
      <c r="BG7185" s="1065"/>
    </row>
    <row r="7186" spans="4:59">
      <c r="D7186" s="1065"/>
      <c r="S7186" s="1065"/>
      <c r="BE7186" s="1065"/>
      <c r="BF7186" s="1065"/>
      <c r="BG7186" s="1065"/>
    </row>
    <row r="7187" spans="4:59">
      <c r="D7187" s="1065"/>
      <c r="S7187" s="1065"/>
      <c r="BE7187" s="1065"/>
      <c r="BF7187" s="1065"/>
      <c r="BG7187" s="1065"/>
    </row>
    <row r="7188" spans="4:59">
      <c r="D7188" s="1065"/>
      <c r="S7188" s="1065"/>
      <c r="BE7188" s="1065"/>
      <c r="BF7188" s="1065"/>
      <c r="BG7188" s="1065"/>
    </row>
    <row r="7189" spans="4:59">
      <c r="D7189" s="1065"/>
      <c r="S7189" s="1065"/>
      <c r="BE7189" s="1065"/>
      <c r="BF7189" s="1065"/>
      <c r="BG7189" s="1065"/>
    </row>
    <row r="7190" spans="4:59">
      <c r="D7190" s="1065"/>
      <c r="S7190" s="1065"/>
      <c r="BE7190" s="1065"/>
      <c r="BF7190" s="1065"/>
      <c r="BG7190" s="1065"/>
    </row>
    <row r="7191" spans="4:59">
      <c r="D7191" s="1065"/>
      <c r="S7191" s="1065"/>
      <c r="BE7191" s="1065"/>
      <c r="BF7191" s="1065"/>
      <c r="BG7191" s="1065"/>
    </row>
    <row r="7192" spans="4:59">
      <c r="D7192" s="1065"/>
      <c r="S7192" s="1065"/>
      <c r="BE7192" s="1065"/>
      <c r="BF7192" s="1065"/>
      <c r="BG7192" s="1065"/>
    </row>
    <row r="7193" spans="4:59">
      <c r="D7193" s="1065"/>
      <c r="S7193" s="1065"/>
      <c r="BE7193" s="1065"/>
      <c r="BF7193" s="1065"/>
      <c r="BG7193" s="1065"/>
    </row>
    <row r="7194" spans="4:59">
      <c r="D7194" s="1065"/>
      <c r="S7194" s="1065"/>
      <c r="BE7194" s="1065"/>
      <c r="BF7194" s="1065"/>
      <c r="BG7194" s="1065"/>
    </row>
    <row r="7195" spans="4:59">
      <c r="D7195" s="1065"/>
      <c r="S7195" s="1065"/>
      <c r="BE7195" s="1065"/>
      <c r="BF7195" s="1065"/>
      <c r="BG7195" s="1065"/>
    </row>
    <row r="7196" spans="4:59">
      <c r="D7196" s="1065"/>
      <c r="S7196" s="1065"/>
      <c r="BE7196" s="1065"/>
      <c r="BF7196" s="1065"/>
      <c r="BG7196" s="1065"/>
    </row>
    <row r="7197" spans="4:59">
      <c r="D7197" s="1065"/>
      <c r="S7197" s="1065"/>
      <c r="BE7197" s="1065"/>
      <c r="BF7197" s="1065"/>
      <c r="BG7197" s="1065"/>
    </row>
    <row r="7198" spans="4:59">
      <c r="D7198" s="1065"/>
      <c r="S7198" s="1065"/>
      <c r="BE7198" s="1065"/>
      <c r="BF7198" s="1065"/>
      <c r="BG7198" s="1065"/>
    </row>
    <row r="7199" spans="4:59">
      <c r="D7199" s="1065"/>
      <c r="S7199" s="1065"/>
      <c r="BE7199" s="1065"/>
      <c r="BF7199" s="1065"/>
      <c r="BG7199" s="1065"/>
    </row>
    <row r="7200" spans="4:59">
      <c r="D7200" s="1065"/>
      <c r="S7200" s="1065"/>
      <c r="BE7200" s="1065"/>
      <c r="BF7200" s="1065"/>
      <c r="BG7200" s="1065"/>
    </row>
    <row r="7201" spans="4:59">
      <c r="D7201" s="1065"/>
      <c r="S7201" s="1065"/>
      <c r="BE7201" s="1065"/>
      <c r="BF7201" s="1065"/>
      <c r="BG7201" s="1065"/>
    </row>
    <row r="7202" spans="4:59">
      <c r="D7202" s="1065"/>
      <c r="S7202" s="1065"/>
      <c r="BE7202" s="1065"/>
      <c r="BF7202" s="1065"/>
      <c r="BG7202" s="1065"/>
    </row>
    <row r="7203" spans="4:59">
      <c r="D7203" s="1065"/>
      <c r="S7203" s="1065"/>
      <c r="BE7203" s="1065"/>
      <c r="BF7203" s="1065"/>
      <c r="BG7203" s="1065"/>
    </row>
    <row r="7204" spans="4:59">
      <c r="D7204" s="1065"/>
      <c r="S7204" s="1065"/>
      <c r="BE7204" s="1065"/>
      <c r="BF7204" s="1065"/>
      <c r="BG7204" s="1065"/>
    </row>
    <row r="7205" spans="4:59">
      <c r="D7205" s="1065"/>
      <c r="S7205" s="1065"/>
      <c r="BE7205" s="1065"/>
      <c r="BF7205" s="1065"/>
      <c r="BG7205" s="1065"/>
    </row>
    <row r="7206" spans="4:59">
      <c r="D7206" s="1065"/>
      <c r="S7206" s="1065"/>
      <c r="BE7206" s="1065"/>
      <c r="BF7206" s="1065"/>
      <c r="BG7206" s="1065"/>
    </row>
    <row r="7207" spans="4:59">
      <c r="D7207" s="1065"/>
      <c r="S7207" s="1065"/>
      <c r="BE7207" s="1065"/>
      <c r="BF7207" s="1065"/>
      <c r="BG7207" s="1065"/>
    </row>
    <row r="7208" spans="4:59">
      <c r="D7208" s="1065"/>
      <c r="S7208" s="1065"/>
      <c r="BE7208" s="1065"/>
      <c r="BF7208" s="1065"/>
      <c r="BG7208" s="1065"/>
    </row>
    <row r="7209" spans="4:59">
      <c r="D7209" s="1065"/>
      <c r="S7209" s="1065"/>
      <c r="BE7209" s="1065"/>
      <c r="BF7209" s="1065"/>
      <c r="BG7209" s="1065"/>
    </row>
    <row r="7210" spans="4:59">
      <c r="D7210" s="1065"/>
      <c r="S7210" s="1065"/>
      <c r="BE7210" s="1065"/>
      <c r="BF7210" s="1065"/>
      <c r="BG7210" s="1065"/>
    </row>
    <row r="7211" spans="4:59">
      <c r="D7211" s="1065"/>
      <c r="S7211" s="1065"/>
      <c r="BE7211" s="1065"/>
      <c r="BF7211" s="1065"/>
      <c r="BG7211" s="1065"/>
    </row>
    <row r="7212" spans="4:59">
      <c r="D7212" s="1065"/>
      <c r="S7212" s="1065"/>
      <c r="BE7212" s="1065"/>
      <c r="BF7212" s="1065"/>
      <c r="BG7212" s="1065"/>
    </row>
    <row r="7213" spans="4:59">
      <c r="D7213" s="1065"/>
      <c r="S7213" s="1065"/>
      <c r="BE7213" s="1065"/>
      <c r="BF7213" s="1065"/>
      <c r="BG7213" s="1065"/>
    </row>
    <row r="7214" spans="4:59">
      <c r="D7214" s="1065"/>
      <c r="S7214" s="1065"/>
      <c r="BE7214" s="1065"/>
      <c r="BF7214" s="1065"/>
      <c r="BG7214" s="1065"/>
    </row>
    <row r="7215" spans="4:59">
      <c r="D7215" s="1065"/>
      <c r="S7215" s="1065"/>
      <c r="BE7215" s="1065"/>
      <c r="BF7215" s="1065"/>
      <c r="BG7215" s="1065"/>
    </row>
    <row r="7216" spans="4:59">
      <c r="D7216" s="1065"/>
      <c r="S7216" s="1065"/>
      <c r="BE7216" s="1065"/>
      <c r="BF7216" s="1065"/>
      <c r="BG7216" s="1065"/>
    </row>
    <row r="7217" spans="4:59">
      <c r="D7217" s="1065"/>
      <c r="S7217" s="1065"/>
      <c r="BE7217" s="1065"/>
      <c r="BF7217" s="1065"/>
      <c r="BG7217" s="1065"/>
    </row>
    <row r="7218" spans="4:59">
      <c r="D7218" s="1065"/>
      <c r="S7218" s="1065"/>
      <c r="BE7218" s="1065"/>
      <c r="BF7218" s="1065"/>
      <c r="BG7218" s="1065"/>
    </row>
    <row r="7219" spans="4:59">
      <c r="D7219" s="1065"/>
      <c r="S7219" s="1065"/>
      <c r="BE7219" s="1065"/>
      <c r="BF7219" s="1065"/>
      <c r="BG7219" s="1065"/>
    </row>
    <row r="7220" spans="4:59">
      <c r="D7220" s="1065"/>
      <c r="S7220" s="1065"/>
      <c r="BE7220" s="1065"/>
      <c r="BF7220" s="1065"/>
      <c r="BG7220" s="1065"/>
    </row>
    <row r="7221" spans="4:59">
      <c r="D7221" s="1065"/>
      <c r="S7221" s="1065"/>
      <c r="BE7221" s="1065"/>
      <c r="BF7221" s="1065"/>
      <c r="BG7221" s="1065"/>
    </row>
    <row r="7222" spans="4:59">
      <c r="D7222" s="1065"/>
      <c r="S7222" s="1065"/>
      <c r="BE7222" s="1065"/>
      <c r="BF7222" s="1065"/>
      <c r="BG7222" s="1065"/>
    </row>
    <row r="7223" spans="4:59">
      <c r="D7223" s="1065"/>
      <c r="S7223" s="1065"/>
      <c r="BE7223" s="1065"/>
      <c r="BF7223" s="1065"/>
      <c r="BG7223" s="1065"/>
    </row>
    <row r="7224" spans="4:59">
      <c r="D7224" s="1065"/>
      <c r="S7224" s="1065"/>
      <c r="BE7224" s="1065"/>
      <c r="BF7224" s="1065"/>
      <c r="BG7224" s="1065"/>
    </row>
    <row r="7225" spans="4:59">
      <c r="D7225" s="1065"/>
      <c r="S7225" s="1065"/>
      <c r="BE7225" s="1065"/>
      <c r="BF7225" s="1065"/>
      <c r="BG7225" s="1065"/>
    </row>
    <row r="7226" spans="4:59">
      <c r="D7226" s="1065"/>
      <c r="S7226" s="1065"/>
      <c r="BE7226" s="1065"/>
      <c r="BF7226" s="1065"/>
      <c r="BG7226" s="1065"/>
    </row>
    <row r="7227" spans="4:59">
      <c r="D7227" s="1065"/>
      <c r="S7227" s="1065"/>
      <c r="BE7227" s="1065"/>
      <c r="BF7227" s="1065"/>
      <c r="BG7227" s="1065"/>
    </row>
    <row r="7228" spans="4:59">
      <c r="D7228" s="1065"/>
      <c r="S7228" s="1065"/>
      <c r="BE7228" s="1065"/>
      <c r="BF7228" s="1065"/>
      <c r="BG7228" s="1065"/>
    </row>
    <row r="7229" spans="4:59">
      <c r="D7229" s="1065"/>
      <c r="S7229" s="1065"/>
      <c r="BE7229" s="1065"/>
      <c r="BF7229" s="1065"/>
      <c r="BG7229" s="1065"/>
    </row>
    <row r="7230" spans="4:59">
      <c r="D7230" s="1065"/>
      <c r="S7230" s="1065"/>
      <c r="BE7230" s="1065"/>
      <c r="BF7230" s="1065"/>
      <c r="BG7230" s="1065"/>
    </row>
    <row r="7231" spans="4:59">
      <c r="D7231" s="1065"/>
      <c r="S7231" s="1065"/>
      <c r="BE7231" s="1065"/>
      <c r="BF7231" s="1065"/>
      <c r="BG7231" s="1065"/>
    </row>
    <row r="7232" spans="4:59">
      <c r="D7232" s="1065"/>
      <c r="S7232" s="1065"/>
      <c r="BE7232" s="1065"/>
      <c r="BF7232" s="1065"/>
      <c r="BG7232" s="1065"/>
    </row>
    <row r="7233" spans="4:59">
      <c r="D7233" s="1065"/>
      <c r="S7233" s="1065"/>
      <c r="BE7233" s="1065"/>
      <c r="BF7233" s="1065"/>
      <c r="BG7233" s="1065"/>
    </row>
    <row r="7234" spans="4:59">
      <c r="D7234" s="1065"/>
      <c r="S7234" s="1065"/>
      <c r="BE7234" s="1065"/>
      <c r="BF7234" s="1065"/>
      <c r="BG7234" s="1065"/>
    </row>
    <row r="7235" spans="4:59">
      <c r="D7235" s="1065"/>
      <c r="S7235" s="1065"/>
      <c r="BE7235" s="1065"/>
      <c r="BF7235" s="1065"/>
      <c r="BG7235" s="1065"/>
    </row>
    <row r="7236" spans="4:59">
      <c r="D7236" s="1065"/>
      <c r="S7236" s="1065"/>
      <c r="BE7236" s="1065"/>
      <c r="BF7236" s="1065"/>
      <c r="BG7236" s="1065"/>
    </row>
    <row r="7237" spans="4:59">
      <c r="D7237" s="1065"/>
      <c r="S7237" s="1065"/>
      <c r="BE7237" s="1065"/>
      <c r="BF7237" s="1065"/>
      <c r="BG7237" s="1065"/>
    </row>
    <row r="7238" spans="4:59">
      <c r="D7238" s="1065"/>
      <c r="S7238" s="1065"/>
      <c r="BE7238" s="1065"/>
      <c r="BF7238" s="1065"/>
      <c r="BG7238" s="1065"/>
    </row>
    <row r="7239" spans="4:59">
      <c r="D7239" s="1065"/>
      <c r="S7239" s="1065"/>
      <c r="BE7239" s="1065"/>
      <c r="BF7239" s="1065"/>
      <c r="BG7239" s="1065"/>
    </row>
    <row r="7240" spans="4:59">
      <c r="D7240" s="1065"/>
      <c r="S7240" s="1065"/>
      <c r="BE7240" s="1065"/>
      <c r="BF7240" s="1065"/>
      <c r="BG7240" s="1065"/>
    </row>
    <row r="7241" spans="4:59">
      <c r="D7241" s="1065"/>
      <c r="S7241" s="1065"/>
      <c r="BE7241" s="1065"/>
      <c r="BF7241" s="1065"/>
      <c r="BG7241" s="1065"/>
    </row>
    <row r="7242" spans="4:59">
      <c r="D7242" s="1065"/>
      <c r="S7242" s="1065"/>
      <c r="BE7242" s="1065"/>
      <c r="BF7242" s="1065"/>
      <c r="BG7242" s="1065"/>
    </row>
    <row r="7243" spans="4:59">
      <c r="D7243" s="1065"/>
      <c r="S7243" s="1065"/>
      <c r="BE7243" s="1065"/>
      <c r="BF7243" s="1065"/>
      <c r="BG7243" s="1065"/>
    </row>
    <row r="7244" spans="4:59">
      <c r="D7244" s="1065"/>
      <c r="S7244" s="1065"/>
      <c r="BE7244" s="1065"/>
      <c r="BF7244" s="1065"/>
      <c r="BG7244" s="1065"/>
    </row>
    <row r="7245" spans="4:59">
      <c r="D7245" s="1065"/>
      <c r="S7245" s="1065"/>
      <c r="BE7245" s="1065"/>
      <c r="BF7245" s="1065"/>
      <c r="BG7245" s="1065"/>
    </row>
    <row r="7246" spans="4:59">
      <c r="D7246" s="1065"/>
      <c r="S7246" s="1065"/>
      <c r="BE7246" s="1065"/>
      <c r="BF7246" s="1065"/>
      <c r="BG7246" s="1065"/>
    </row>
    <row r="7247" spans="4:59">
      <c r="D7247" s="1065"/>
      <c r="S7247" s="1065"/>
      <c r="BE7247" s="1065"/>
      <c r="BF7247" s="1065"/>
      <c r="BG7247" s="1065"/>
    </row>
    <row r="7248" spans="4:59">
      <c r="D7248" s="1065"/>
      <c r="S7248" s="1065"/>
      <c r="BE7248" s="1065"/>
      <c r="BF7248" s="1065"/>
      <c r="BG7248" s="1065"/>
    </row>
    <row r="7249" spans="4:59">
      <c r="D7249" s="1065"/>
      <c r="S7249" s="1065"/>
      <c r="BE7249" s="1065"/>
      <c r="BF7249" s="1065"/>
      <c r="BG7249" s="1065"/>
    </row>
    <row r="7250" spans="4:59">
      <c r="D7250" s="1065"/>
      <c r="S7250" s="1065"/>
      <c r="BE7250" s="1065"/>
      <c r="BF7250" s="1065"/>
      <c r="BG7250" s="1065"/>
    </row>
    <row r="7251" spans="4:59">
      <c r="D7251" s="1065"/>
      <c r="S7251" s="1065"/>
      <c r="BE7251" s="1065"/>
      <c r="BF7251" s="1065"/>
      <c r="BG7251" s="1065"/>
    </row>
    <row r="7252" spans="4:59">
      <c r="D7252" s="1065"/>
      <c r="S7252" s="1065"/>
      <c r="BE7252" s="1065"/>
      <c r="BF7252" s="1065"/>
      <c r="BG7252" s="1065"/>
    </row>
    <row r="7253" spans="4:59">
      <c r="D7253" s="1065"/>
      <c r="S7253" s="1065"/>
      <c r="BE7253" s="1065"/>
      <c r="BF7253" s="1065"/>
      <c r="BG7253" s="1065"/>
    </row>
    <row r="7254" spans="4:59">
      <c r="D7254" s="1065"/>
      <c r="S7254" s="1065"/>
      <c r="BE7254" s="1065"/>
      <c r="BF7254" s="1065"/>
      <c r="BG7254" s="1065"/>
    </row>
    <row r="7255" spans="4:59">
      <c r="D7255" s="1065"/>
      <c r="S7255" s="1065"/>
      <c r="BE7255" s="1065"/>
      <c r="BF7255" s="1065"/>
      <c r="BG7255" s="1065"/>
    </row>
    <row r="7256" spans="4:59">
      <c r="D7256" s="1065"/>
      <c r="S7256" s="1065"/>
      <c r="BE7256" s="1065"/>
      <c r="BF7256" s="1065"/>
      <c r="BG7256" s="1065"/>
    </row>
    <row r="7257" spans="4:59">
      <c r="D7257" s="1065"/>
      <c r="S7257" s="1065"/>
      <c r="BE7257" s="1065"/>
      <c r="BF7257" s="1065"/>
      <c r="BG7257" s="1065"/>
    </row>
    <row r="7258" spans="4:59">
      <c r="D7258" s="1065"/>
      <c r="S7258" s="1065"/>
      <c r="BE7258" s="1065"/>
      <c r="BF7258" s="1065"/>
      <c r="BG7258" s="1065"/>
    </row>
    <row r="7259" spans="4:59">
      <c r="D7259" s="1065"/>
      <c r="S7259" s="1065"/>
      <c r="BE7259" s="1065"/>
      <c r="BF7259" s="1065"/>
      <c r="BG7259" s="1065"/>
    </row>
    <row r="7260" spans="4:59">
      <c r="D7260" s="1065"/>
      <c r="S7260" s="1065"/>
      <c r="BE7260" s="1065"/>
      <c r="BF7260" s="1065"/>
      <c r="BG7260" s="1065"/>
    </row>
    <row r="7261" spans="4:59">
      <c r="D7261" s="1065"/>
      <c r="S7261" s="1065"/>
      <c r="BE7261" s="1065"/>
      <c r="BF7261" s="1065"/>
      <c r="BG7261" s="1065"/>
    </row>
    <row r="7262" spans="4:59">
      <c r="D7262" s="1065"/>
      <c r="S7262" s="1065"/>
      <c r="BE7262" s="1065"/>
      <c r="BF7262" s="1065"/>
      <c r="BG7262" s="1065"/>
    </row>
    <row r="7263" spans="4:59">
      <c r="D7263" s="1065"/>
      <c r="S7263" s="1065"/>
      <c r="BE7263" s="1065"/>
      <c r="BF7263" s="1065"/>
      <c r="BG7263" s="1065"/>
    </row>
    <row r="7264" spans="4:59">
      <c r="D7264" s="1065"/>
      <c r="S7264" s="1065"/>
      <c r="BE7264" s="1065"/>
      <c r="BF7264" s="1065"/>
      <c r="BG7264" s="1065"/>
    </row>
    <row r="7265" spans="4:59">
      <c r="D7265" s="1065"/>
      <c r="S7265" s="1065"/>
      <c r="BE7265" s="1065"/>
      <c r="BF7265" s="1065"/>
      <c r="BG7265" s="1065"/>
    </row>
    <row r="7266" spans="4:59">
      <c r="D7266" s="1065"/>
      <c r="S7266" s="1065"/>
      <c r="BE7266" s="1065"/>
      <c r="BF7266" s="1065"/>
      <c r="BG7266" s="1065"/>
    </row>
    <row r="7267" spans="4:59">
      <c r="D7267" s="1065"/>
      <c r="S7267" s="1065"/>
      <c r="BE7267" s="1065"/>
      <c r="BF7267" s="1065"/>
      <c r="BG7267" s="1065"/>
    </row>
    <row r="7268" spans="4:59">
      <c r="D7268" s="1065"/>
      <c r="S7268" s="1065"/>
      <c r="BE7268" s="1065"/>
      <c r="BF7268" s="1065"/>
      <c r="BG7268" s="1065"/>
    </row>
    <row r="7269" spans="4:59">
      <c r="D7269" s="1065"/>
      <c r="S7269" s="1065"/>
      <c r="BE7269" s="1065"/>
      <c r="BF7269" s="1065"/>
      <c r="BG7269" s="1065"/>
    </row>
    <row r="7270" spans="4:59">
      <c r="D7270" s="1065"/>
      <c r="S7270" s="1065"/>
      <c r="BE7270" s="1065"/>
      <c r="BF7270" s="1065"/>
      <c r="BG7270" s="1065"/>
    </row>
    <row r="7271" spans="4:59">
      <c r="D7271" s="1065"/>
      <c r="S7271" s="1065"/>
      <c r="BE7271" s="1065"/>
      <c r="BF7271" s="1065"/>
      <c r="BG7271" s="1065"/>
    </row>
    <row r="7272" spans="4:59">
      <c r="D7272" s="1065"/>
      <c r="S7272" s="1065"/>
      <c r="BE7272" s="1065"/>
      <c r="BF7272" s="1065"/>
      <c r="BG7272" s="1065"/>
    </row>
    <row r="7273" spans="4:59">
      <c r="D7273" s="1065"/>
      <c r="S7273" s="1065"/>
      <c r="BE7273" s="1065"/>
      <c r="BF7273" s="1065"/>
      <c r="BG7273" s="1065"/>
    </row>
    <row r="7274" spans="4:59">
      <c r="D7274" s="1065"/>
      <c r="S7274" s="1065"/>
      <c r="BE7274" s="1065"/>
      <c r="BF7274" s="1065"/>
      <c r="BG7274" s="1065"/>
    </row>
    <row r="7275" spans="4:59">
      <c r="D7275" s="1065"/>
      <c r="S7275" s="1065"/>
      <c r="BE7275" s="1065"/>
      <c r="BF7275" s="1065"/>
      <c r="BG7275" s="1065"/>
    </row>
    <row r="7276" spans="4:59">
      <c r="D7276" s="1065"/>
      <c r="S7276" s="1065"/>
      <c r="BE7276" s="1065"/>
      <c r="BF7276" s="1065"/>
      <c r="BG7276" s="1065"/>
    </row>
    <row r="7277" spans="4:59">
      <c r="D7277" s="1065"/>
      <c r="S7277" s="1065"/>
      <c r="BE7277" s="1065"/>
      <c r="BF7277" s="1065"/>
      <c r="BG7277" s="1065"/>
    </row>
    <row r="7278" spans="4:59">
      <c r="D7278" s="1065"/>
      <c r="S7278" s="1065"/>
      <c r="BE7278" s="1065"/>
      <c r="BF7278" s="1065"/>
      <c r="BG7278" s="1065"/>
    </row>
    <row r="7279" spans="4:59">
      <c r="D7279" s="1065"/>
      <c r="S7279" s="1065"/>
      <c r="BE7279" s="1065"/>
      <c r="BF7279" s="1065"/>
      <c r="BG7279" s="1065"/>
    </row>
    <row r="7280" spans="4:59">
      <c r="D7280" s="1065"/>
      <c r="S7280" s="1065"/>
      <c r="BE7280" s="1065"/>
      <c r="BF7280" s="1065"/>
      <c r="BG7280" s="1065"/>
    </row>
    <row r="7281" spans="4:59">
      <c r="D7281" s="1065"/>
      <c r="S7281" s="1065"/>
      <c r="BE7281" s="1065"/>
      <c r="BF7281" s="1065"/>
      <c r="BG7281" s="1065"/>
    </row>
    <row r="7282" spans="4:59">
      <c r="D7282" s="1065"/>
      <c r="S7282" s="1065"/>
      <c r="BE7282" s="1065"/>
      <c r="BF7282" s="1065"/>
      <c r="BG7282" s="1065"/>
    </row>
    <row r="7283" spans="4:59">
      <c r="D7283" s="1065"/>
      <c r="S7283" s="1065"/>
      <c r="BE7283" s="1065"/>
      <c r="BF7283" s="1065"/>
      <c r="BG7283" s="1065"/>
    </row>
    <row r="7284" spans="4:59">
      <c r="D7284" s="1065"/>
      <c r="S7284" s="1065"/>
      <c r="BE7284" s="1065"/>
      <c r="BF7284" s="1065"/>
      <c r="BG7284" s="1065"/>
    </row>
    <row r="7285" spans="4:59">
      <c r="D7285" s="1065"/>
      <c r="S7285" s="1065"/>
      <c r="BE7285" s="1065"/>
      <c r="BF7285" s="1065"/>
      <c r="BG7285" s="1065"/>
    </row>
    <row r="7286" spans="4:59">
      <c r="D7286" s="1065"/>
      <c r="S7286" s="1065"/>
      <c r="BE7286" s="1065"/>
      <c r="BF7286" s="1065"/>
      <c r="BG7286" s="1065"/>
    </row>
    <row r="7287" spans="4:59">
      <c r="D7287" s="1065"/>
      <c r="S7287" s="1065"/>
      <c r="BE7287" s="1065"/>
      <c r="BF7287" s="1065"/>
      <c r="BG7287" s="1065"/>
    </row>
    <row r="7288" spans="4:59">
      <c r="D7288" s="1065"/>
      <c r="S7288" s="1065"/>
      <c r="BE7288" s="1065"/>
      <c r="BF7288" s="1065"/>
      <c r="BG7288" s="1065"/>
    </row>
    <row r="7289" spans="4:59">
      <c r="D7289" s="1065"/>
      <c r="S7289" s="1065"/>
      <c r="BE7289" s="1065"/>
      <c r="BF7289" s="1065"/>
      <c r="BG7289" s="1065"/>
    </row>
    <row r="7290" spans="4:59">
      <c r="D7290" s="1065"/>
      <c r="S7290" s="1065"/>
      <c r="BE7290" s="1065"/>
      <c r="BF7290" s="1065"/>
      <c r="BG7290" s="1065"/>
    </row>
    <row r="7291" spans="4:59">
      <c r="D7291" s="1065"/>
      <c r="S7291" s="1065"/>
      <c r="BE7291" s="1065"/>
      <c r="BF7291" s="1065"/>
      <c r="BG7291" s="1065"/>
    </row>
    <row r="7292" spans="4:59">
      <c r="D7292" s="1065"/>
      <c r="S7292" s="1065"/>
      <c r="BE7292" s="1065"/>
      <c r="BF7292" s="1065"/>
      <c r="BG7292" s="1065"/>
    </row>
    <row r="7293" spans="4:59">
      <c r="D7293" s="1065"/>
      <c r="S7293" s="1065"/>
      <c r="BE7293" s="1065"/>
      <c r="BF7293" s="1065"/>
      <c r="BG7293" s="1065"/>
    </row>
    <row r="7294" spans="4:59">
      <c r="D7294" s="1065"/>
      <c r="S7294" s="1065"/>
      <c r="BE7294" s="1065"/>
      <c r="BF7294" s="1065"/>
      <c r="BG7294" s="1065"/>
    </row>
    <row r="7295" spans="4:59">
      <c r="D7295" s="1065"/>
      <c r="S7295" s="1065"/>
      <c r="BE7295" s="1065"/>
      <c r="BF7295" s="1065"/>
      <c r="BG7295" s="1065"/>
    </row>
    <row r="7296" spans="4:59">
      <c r="D7296" s="1065"/>
      <c r="S7296" s="1065"/>
      <c r="BE7296" s="1065"/>
      <c r="BF7296" s="1065"/>
      <c r="BG7296" s="1065"/>
    </row>
    <row r="7297" spans="4:59">
      <c r="D7297" s="1065"/>
      <c r="S7297" s="1065"/>
      <c r="BE7297" s="1065"/>
      <c r="BF7297" s="1065"/>
      <c r="BG7297" s="1065"/>
    </row>
    <row r="7298" spans="4:59">
      <c r="D7298" s="1065"/>
      <c r="S7298" s="1065"/>
      <c r="BE7298" s="1065"/>
      <c r="BF7298" s="1065"/>
      <c r="BG7298" s="1065"/>
    </row>
    <row r="7299" spans="4:59">
      <c r="D7299" s="1065"/>
      <c r="S7299" s="1065"/>
      <c r="BE7299" s="1065"/>
      <c r="BF7299" s="1065"/>
      <c r="BG7299" s="1065"/>
    </row>
    <row r="7300" spans="4:59">
      <c r="D7300" s="1065"/>
      <c r="S7300" s="1065"/>
      <c r="BE7300" s="1065"/>
      <c r="BF7300" s="1065"/>
      <c r="BG7300" s="1065"/>
    </row>
    <row r="7301" spans="4:59">
      <c r="D7301" s="1065"/>
      <c r="S7301" s="1065"/>
      <c r="BE7301" s="1065"/>
      <c r="BF7301" s="1065"/>
      <c r="BG7301" s="1065"/>
    </row>
    <row r="7302" spans="4:59">
      <c r="D7302" s="1065"/>
      <c r="S7302" s="1065"/>
      <c r="BE7302" s="1065"/>
      <c r="BF7302" s="1065"/>
      <c r="BG7302" s="1065"/>
    </row>
    <row r="7303" spans="4:59">
      <c r="D7303" s="1065"/>
      <c r="S7303" s="1065"/>
      <c r="BE7303" s="1065"/>
      <c r="BF7303" s="1065"/>
      <c r="BG7303" s="1065"/>
    </row>
    <row r="7304" spans="4:59">
      <c r="D7304" s="1065"/>
      <c r="S7304" s="1065"/>
      <c r="BE7304" s="1065"/>
      <c r="BF7304" s="1065"/>
      <c r="BG7304" s="1065"/>
    </row>
    <row r="7305" spans="4:59">
      <c r="D7305" s="1065"/>
      <c r="S7305" s="1065"/>
      <c r="BE7305" s="1065"/>
      <c r="BF7305" s="1065"/>
      <c r="BG7305" s="1065"/>
    </row>
    <row r="7306" spans="4:59">
      <c r="D7306" s="1065"/>
      <c r="S7306" s="1065"/>
      <c r="BE7306" s="1065"/>
      <c r="BF7306" s="1065"/>
      <c r="BG7306" s="1065"/>
    </row>
    <row r="7307" spans="4:59">
      <c r="D7307" s="1065"/>
      <c r="S7307" s="1065"/>
      <c r="BE7307" s="1065"/>
      <c r="BF7307" s="1065"/>
      <c r="BG7307" s="1065"/>
    </row>
    <row r="7308" spans="4:59">
      <c r="D7308" s="1065"/>
      <c r="S7308" s="1065"/>
      <c r="BE7308" s="1065"/>
      <c r="BF7308" s="1065"/>
      <c r="BG7308" s="1065"/>
    </row>
    <row r="7309" spans="4:59">
      <c r="D7309" s="1065"/>
      <c r="S7309" s="1065"/>
      <c r="BE7309" s="1065"/>
      <c r="BF7309" s="1065"/>
      <c r="BG7309" s="1065"/>
    </row>
    <row r="7310" spans="4:59">
      <c r="D7310" s="1065"/>
      <c r="S7310" s="1065"/>
      <c r="BE7310" s="1065"/>
      <c r="BF7310" s="1065"/>
      <c r="BG7310" s="1065"/>
    </row>
    <row r="7311" spans="4:59">
      <c r="D7311" s="1065"/>
      <c r="S7311" s="1065"/>
      <c r="BE7311" s="1065"/>
      <c r="BF7311" s="1065"/>
      <c r="BG7311" s="1065"/>
    </row>
    <row r="7312" spans="4:59">
      <c r="D7312" s="1065"/>
      <c r="S7312" s="1065"/>
      <c r="BE7312" s="1065"/>
      <c r="BF7312" s="1065"/>
      <c r="BG7312" s="1065"/>
    </row>
    <row r="7313" spans="4:59">
      <c r="D7313" s="1065"/>
      <c r="S7313" s="1065"/>
      <c r="BE7313" s="1065"/>
      <c r="BF7313" s="1065"/>
      <c r="BG7313" s="1065"/>
    </row>
    <row r="7314" spans="4:59">
      <c r="D7314" s="1065"/>
      <c r="S7314" s="1065"/>
      <c r="BE7314" s="1065"/>
      <c r="BF7314" s="1065"/>
      <c r="BG7314" s="1065"/>
    </row>
    <row r="7315" spans="4:59">
      <c r="D7315" s="1065"/>
      <c r="S7315" s="1065"/>
      <c r="BE7315" s="1065"/>
      <c r="BF7315" s="1065"/>
      <c r="BG7315" s="1065"/>
    </row>
    <row r="7316" spans="4:59">
      <c r="D7316" s="1065"/>
      <c r="S7316" s="1065"/>
      <c r="BE7316" s="1065"/>
      <c r="BF7316" s="1065"/>
      <c r="BG7316" s="1065"/>
    </row>
    <row r="7317" spans="4:59">
      <c r="D7317" s="1065"/>
      <c r="S7317" s="1065"/>
      <c r="BE7317" s="1065"/>
      <c r="BF7317" s="1065"/>
      <c r="BG7317" s="1065"/>
    </row>
    <row r="7318" spans="4:59">
      <c r="D7318" s="1065"/>
      <c r="S7318" s="1065"/>
      <c r="BE7318" s="1065"/>
      <c r="BF7318" s="1065"/>
      <c r="BG7318" s="1065"/>
    </row>
    <row r="7319" spans="4:59">
      <c r="D7319" s="1065"/>
      <c r="S7319" s="1065"/>
      <c r="BE7319" s="1065"/>
      <c r="BF7319" s="1065"/>
      <c r="BG7319" s="1065"/>
    </row>
    <row r="7320" spans="4:59">
      <c r="D7320" s="1065"/>
      <c r="S7320" s="1065"/>
      <c r="BE7320" s="1065"/>
      <c r="BF7320" s="1065"/>
      <c r="BG7320" s="1065"/>
    </row>
    <row r="7321" spans="4:59">
      <c r="D7321" s="1065"/>
      <c r="S7321" s="1065"/>
      <c r="BE7321" s="1065"/>
      <c r="BF7321" s="1065"/>
      <c r="BG7321" s="1065"/>
    </row>
    <row r="7322" spans="4:59">
      <c r="D7322" s="1065"/>
      <c r="S7322" s="1065"/>
      <c r="BE7322" s="1065"/>
      <c r="BF7322" s="1065"/>
      <c r="BG7322" s="1065"/>
    </row>
    <row r="7328" spans="4:59">
      <c r="D7328" s="1065"/>
      <c r="S7328" s="1065"/>
      <c r="BE7328" s="1065"/>
      <c r="BF7328" s="1065"/>
      <c r="BG7328" s="1065"/>
    </row>
    <row r="7329" spans="4:59">
      <c r="D7329" s="1065"/>
      <c r="S7329" s="1065"/>
      <c r="BE7329" s="1065"/>
      <c r="BF7329" s="1065"/>
      <c r="BG7329" s="1065"/>
    </row>
    <row r="7330" spans="4:59">
      <c r="D7330" s="1065"/>
      <c r="S7330" s="1065"/>
      <c r="BE7330" s="1065"/>
      <c r="BF7330" s="1065"/>
      <c r="BG7330" s="1065"/>
    </row>
    <row r="7331" spans="4:59">
      <c r="D7331" s="1065"/>
      <c r="S7331" s="1065"/>
      <c r="BE7331" s="1065"/>
      <c r="BF7331" s="1065"/>
      <c r="BG7331" s="1065"/>
    </row>
    <row r="7332" spans="4:59">
      <c r="D7332" s="1065"/>
      <c r="S7332" s="1065"/>
      <c r="BE7332" s="1065"/>
      <c r="BF7332" s="1065"/>
      <c r="BG7332" s="1065"/>
    </row>
    <row r="7333" spans="4:59">
      <c r="D7333" s="1065"/>
      <c r="S7333" s="1065"/>
      <c r="BE7333" s="1065"/>
      <c r="BF7333" s="1065"/>
      <c r="BG7333" s="1065"/>
    </row>
    <row r="7334" spans="4:59">
      <c r="D7334" s="1065"/>
      <c r="S7334" s="1065"/>
      <c r="BE7334" s="1065"/>
      <c r="BF7334" s="1065"/>
      <c r="BG7334" s="1065"/>
    </row>
    <row r="7335" spans="4:59">
      <c r="D7335" s="1065"/>
      <c r="S7335" s="1065"/>
      <c r="BE7335" s="1065"/>
      <c r="BF7335" s="1065"/>
      <c r="BG7335" s="1065"/>
    </row>
    <row r="7336" spans="4:59">
      <c r="D7336" s="1065"/>
      <c r="S7336" s="1065"/>
      <c r="BE7336" s="1065"/>
      <c r="BF7336" s="1065"/>
      <c r="BG7336" s="1065"/>
    </row>
    <row r="7337" spans="4:59">
      <c r="D7337" s="1065"/>
      <c r="S7337" s="1065"/>
      <c r="BE7337" s="1065"/>
      <c r="BF7337" s="1065"/>
      <c r="BG7337" s="1065"/>
    </row>
    <row r="7338" spans="4:59">
      <c r="D7338" s="1065"/>
      <c r="S7338" s="1065"/>
      <c r="BE7338" s="1065"/>
      <c r="BF7338" s="1065"/>
      <c r="BG7338" s="1065"/>
    </row>
    <row r="7339" spans="4:59">
      <c r="D7339" s="1065"/>
      <c r="S7339" s="1065"/>
      <c r="BE7339" s="1065"/>
      <c r="BF7339" s="1065"/>
      <c r="BG7339" s="1065"/>
    </row>
    <row r="7340" spans="4:59">
      <c r="D7340" s="1065"/>
      <c r="S7340" s="1065"/>
      <c r="BE7340" s="1065"/>
      <c r="BF7340" s="1065"/>
      <c r="BG7340" s="1065"/>
    </row>
    <row r="7341" spans="4:59">
      <c r="D7341" s="1065"/>
      <c r="S7341" s="1065"/>
      <c r="BE7341" s="1065"/>
      <c r="BF7341" s="1065"/>
      <c r="BG7341" s="1065"/>
    </row>
    <row r="7342" spans="4:59">
      <c r="D7342" s="1065"/>
      <c r="S7342" s="1065"/>
      <c r="BE7342" s="1065"/>
      <c r="BF7342" s="1065"/>
      <c r="BG7342" s="1065"/>
    </row>
    <row r="7343" spans="4:59">
      <c r="D7343" s="1065"/>
      <c r="S7343" s="1065"/>
      <c r="BE7343" s="1065"/>
      <c r="BF7343" s="1065"/>
      <c r="BG7343" s="1065"/>
    </row>
    <row r="7344" spans="4:59">
      <c r="D7344" s="1065"/>
      <c r="S7344" s="1065"/>
      <c r="BE7344" s="1065"/>
      <c r="BF7344" s="1065"/>
      <c r="BG7344" s="1065"/>
    </row>
    <row r="7345" spans="4:59">
      <c r="D7345" s="1065"/>
      <c r="S7345" s="1065"/>
      <c r="BE7345" s="1065"/>
      <c r="BF7345" s="1065"/>
      <c r="BG7345" s="1065"/>
    </row>
    <row r="7346" spans="4:59">
      <c r="D7346" s="1065"/>
      <c r="S7346" s="1065"/>
      <c r="BE7346" s="1065"/>
      <c r="BF7346" s="1065"/>
      <c r="BG7346" s="1065"/>
    </row>
    <row r="7347" spans="4:59">
      <c r="D7347" s="1065"/>
      <c r="S7347" s="1065"/>
      <c r="BE7347" s="1065"/>
      <c r="BF7347" s="1065"/>
      <c r="BG7347" s="1065"/>
    </row>
    <row r="7348" spans="4:59">
      <c r="D7348" s="1065"/>
      <c r="S7348" s="1065"/>
      <c r="BE7348" s="1065"/>
      <c r="BF7348" s="1065"/>
      <c r="BG7348" s="1065"/>
    </row>
    <row r="7349" spans="4:59">
      <c r="D7349" s="1065"/>
      <c r="S7349" s="1065"/>
      <c r="BE7349" s="1065"/>
      <c r="BF7349" s="1065"/>
      <c r="BG7349" s="1065"/>
    </row>
    <row r="7350" spans="4:59">
      <c r="D7350" s="1065"/>
      <c r="S7350" s="1065"/>
      <c r="BE7350" s="1065"/>
      <c r="BF7350" s="1065"/>
      <c r="BG7350" s="1065"/>
    </row>
    <row r="7361" spans="4:59">
      <c r="D7361" s="1065"/>
      <c r="S7361" s="1065"/>
      <c r="BE7361" s="1065"/>
      <c r="BF7361" s="1065"/>
      <c r="BG7361" s="1065"/>
    </row>
    <row r="7362" spans="4:59">
      <c r="D7362" s="1065"/>
      <c r="S7362" s="1065"/>
      <c r="BE7362" s="1065"/>
      <c r="BF7362" s="1065"/>
      <c r="BG7362" s="1065"/>
    </row>
    <row r="7363" spans="4:59">
      <c r="D7363" s="1065"/>
      <c r="S7363" s="1065"/>
      <c r="BE7363" s="1065"/>
      <c r="BF7363" s="1065"/>
      <c r="BG7363" s="1065"/>
    </row>
    <row r="7364" spans="4:59">
      <c r="D7364" s="1065"/>
      <c r="S7364" s="1065"/>
      <c r="BE7364" s="1065"/>
      <c r="BF7364" s="1065"/>
      <c r="BG7364" s="1065"/>
    </row>
    <row r="7365" spans="4:59">
      <c r="D7365" s="1065"/>
      <c r="S7365" s="1065"/>
      <c r="BE7365" s="1065"/>
      <c r="BF7365" s="1065"/>
      <c r="BG7365" s="1065"/>
    </row>
    <row r="7366" spans="4:59">
      <c r="D7366" s="1065"/>
      <c r="S7366" s="1065"/>
      <c r="BE7366" s="1065"/>
      <c r="BF7366" s="1065"/>
      <c r="BG7366" s="1065"/>
    </row>
    <row r="7367" spans="4:59">
      <c r="D7367" s="1065"/>
      <c r="S7367" s="1065"/>
      <c r="BE7367" s="1065"/>
      <c r="BF7367" s="1065"/>
      <c r="BG7367" s="1065"/>
    </row>
    <row r="7368" spans="4:59">
      <c r="D7368" s="1065"/>
      <c r="S7368" s="1065"/>
      <c r="BE7368" s="1065"/>
      <c r="BF7368" s="1065"/>
      <c r="BG7368" s="1065"/>
    </row>
    <row r="7369" spans="4:59">
      <c r="D7369" s="1065"/>
      <c r="S7369" s="1065"/>
      <c r="BE7369" s="1065"/>
      <c r="BF7369" s="1065"/>
      <c r="BG7369" s="1065"/>
    </row>
    <row r="7370" spans="4:59">
      <c r="D7370" s="1065"/>
      <c r="S7370" s="1065"/>
      <c r="BE7370" s="1065"/>
      <c r="BF7370" s="1065"/>
      <c r="BG7370" s="1065"/>
    </row>
    <row r="7371" spans="4:59">
      <c r="D7371" s="1065"/>
      <c r="S7371" s="1065"/>
      <c r="BE7371" s="1065"/>
      <c r="BF7371" s="1065"/>
      <c r="BG7371" s="1065"/>
    </row>
    <row r="7372" spans="4:59">
      <c r="D7372" s="1065"/>
      <c r="S7372" s="1065"/>
      <c r="BE7372" s="1065"/>
      <c r="BF7372" s="1065"/>
      <c r="BG7372" s="1065"/>
    </row>
    <row r="7373" spans="4:59">
      <c r="D7373" s="1065"/>
      <c r="S7373" s="1065"/>
      <c r="BE7373" s="1065"/>
      <c r="BF7373" s="1065"/>
      <c r="BG7373" s="1065"/>
    </row>
    <row r="7374" spans="4:59">
      <c r="D7374" s="1065"/>
      <c r="S7374" s="1065"/>
      <c r="BE7374" s="1065"/>
      <c r="BF7374" s="1065"/>
      <c r="BG7374" s="1065"/>
    </row>
    <row r="7375" spans="4:59">
      <c r="D7375" s="1065"/>
      <c r="S7375" s="1065"/>
      <c r="BE7375" s="1065"/>
      <c r="BF7375" s="1065"/>
      <c r="BG7375" s="1065"/>
    </row>
    <row r="7376" spans="4:59">
      <c r="D7376" s="1065"/>
      <c r="S7376" s="1065"/>
      <c r="BE7376" s="1065"/>
      <c r="BF7376" s="1065"/>
      <c r="BG7376" s="1065"/>
    </row>
    <row r="7377" spans="4:59">
      <c r="D7377" s="1065"/>
      <c r="S7377" s="1065"/>
      <c r="BE7377" s="1065"/>
      <c r="BF7377" s="1065"/>
      <c r="BG7377" s="1065"/>
    </row>
    <row r="7378" spans="4:59">
      <c r="D7378" s="1065"/>
      <c r="S7378" s="1065"/>
      <c r="BE7378" s="1065"/>
      <c r="BF7378" s="1065"/>
      <c r="BG7378" s="1065"/>
    </row>
    <row r="7379" spans="4:59">
      <c r="D7379" s="1065"/>
      <c r="S7379" s="1065"/>
      <c r="BE7379" s="1065"/>
      <c r="BF7379" s="1065"/>
      <c r="BG7379" s="1065"/>
    </row>
    <row r="7380" spans="4:59">
      <c r="D7380" s="1065"/>
      <c r="S7380" s="1065"/>
      <c r="BE7380" s="1065"/>
      <c r="BF7380" s="1065"/>
      <c r="BG7380" s="1065"/>
    </row>
    <row r="7381" spans="4:59">
      <c r="D7381" s="1065"/>
      <c r="S7381" s="1065"/>
      <c r="BE7381" s="1065"/>
      <c r="BF7381" s="1065"/>
      <c r="BG7381" s="1065"/>
    </row>
    <row r="7382" spans="4:59">
      <c r="D7382" s="1065"/>
      <c r="S7382" s="1065"/>
      <c r="BE7382" s="1065"/>
      <c r="BF7382" s="1065"/>
      <c r="BG7382" s="1065"/>
    </row>
    <row r="7383" spans="4:59">
      <c r="D7383" s="1065"/>
      <c r="S7383" s="1065"/>
      <c r="BE7383" s="1065"/>
      <c r="BF7383" s="1065"/>
      <c r="BG7383" s="1065"/>
    </row>
    <row r="7384" spans="4:59">
      <c r="D7384" s="1065"/>
      <c r="S7384" s="1065"/>
      <c r="BE7384" s="1065"/>
      <c r="BF7384" s="1065"/>
      <c r="BG7384" s="1065"/>
    </row>
    <row r="7385" spans="4:59">
      <c r="D7385" s="1065"/>
      <c r="S7385" s="1065"/>
      <c r="BE7385" s="1065"/>
      <c r="BF7385" s="1065"/>
      <c r="BG7385" s="1065"/>
    </row>
    <row r="7386" spans="4:59">
      <c r="D7386" s="1065"/>
      <c r="S7386" s="1065"/>
      <c r="BE7386" s="1065"/>
      <c r="BF7386" s="1065"/>
      <c r="BG7386" s="1065"/>
    </row>
    <row r="7387" spans="4:59">
      <c r="D7387" s="1065"/>
      <c r="S7387" s="1065"/>
      <c r="BE7387" s="1065"/>
      <c r="BF7387" s="1065"/>
      <c r="BG7387" s="1065"/>
    </row>
    <row r="7388" spans="4:59">
      <c r="D7388" s="1065"/>
      <c r="S7388" s="1065"/>
      <c r="BE7388" s="1065"/>
      <c r="BF7388" s="1065"/>
      <c r="BG7388" s="1065"/>
    </row>
    <row r="7389" spans="4:59">
      <c r="D7389" s="1065"/>
      <c r="S7389" s="1065"/>
      <c r="BE7389" s="1065"/>
      <c r="BF7389" s="1065"/>
      <c r="BG7389" s="1065"/>
    </row>
    <row r="7390" spans="4:59">
      <c r="D7390" s="1065"/>
      <c r="S7390" s="1065"/>
      <c r="BE7390" s="1065"/>
      <c r="BF7390" s="1065"/>
      <c r="BG7390" s="1065"/>
    </row>
    <row r="7391" spans="4:59">
      <c r="D7391" s="1065"/>
      <c r="S7391" s="1065"/>
      <c r="BE7391" s="1065"/>
      <c r="BF7391" s="1065"/>
      <c r="BG7391" s="1065"/>
    </row>
    <row r="7392" spans="4:59">
      <c r="D7392" s="1065"/>
      <c r="S7392" s="1065"/>
      <c r="BE7392" s="1065"/>
      <c r="BF7392" s="1065"/>
      <c r="BG7392" s="1065"/>
    </row>
    <row r="7393" spans="4:59">
      <c r="D7393" s="1065"/>
      <c r="S7393" s="1065"/>
      <c r="BE7393" s="1065"/>
      <c r="BF7393" s="1065"/>
      <c r="BG7393" s="1065"/>
    </row>
    <row r="7394" spans="4:59">
      <c r="D7394" s="1065"/>
      <c r="S7394" s="1065"/>
      <c r="BE7394" s="1065"/>
      <c r="BF7394" s="1065"/>
      <c r="BG7394" s="1065"/>
    </row>
    <row r="7395" spans="4:59">
      <c r="D7395" s="1065"/>
      <c r="S7395" s="1065"/>
      <c r="BE7395" s="1065"/>
      <c r="BF7395" s="1065"/>
      <c r="BG7395" s="1065"/>
    </row>
    <row r="7396" spans="4:59">
      <c r="D7396" s="1065"/>
      <c r="S7396" s="1065"/>
      <c r="BE7396" s="1065"/>
      <c r="BF7396" s="1065"/>
      <c r="BG7396" s="1065"/>
    </row>
    <row r="7397" spans="4:59">
      <c r="D7397" s="1065"/>
      <c r="S7397" s="1065"/>
      <c r="BE7397" s="1065"/>
      <c r="BF7397" s="1065"/>
      <c r="BG7397" s="1065"/>
    </row>
    <row r="7398" spans="4:59">
      <c r="D7398" s="1065"/>
      <c r="S7398" s="1065"/>
      <c r="BE7398" s="1065"/>
      <c r="BF7398" s="1065"/>
      <c r="BG7398" s="1065"/>
    </row>
    <row r="7399" spans="4:59">
      <c r="D7399" s="1065"/>
      <c r="S7399" s="1065"/>
      <c r="BE7399" s="1065"/>
      <c r="BF7399" s="1065"/>
      <c r="BG7399" s="1065"/>
    </row>
    <row r="7400" spans="4:59">
      <c r="D7400" s="1065"/>
      <c r="S7400" s="1065"/>
      <c r="BE7400" s="1065"/>
      <c r="BF7400" s="1065"/>
      <c r="BG7400" s="1065"/>
    </row>
    <row r="7401" spans="4:59">
      <c r="D7401" s="1065"/>
      <c r="S7401" s="1065"/>
      <c r="BE7401" s="1065"/>
      <c r="BF7401" s="1065"/>
      <c r="BG7401" s="1065"/>
    </row>
    <row r="7402" spans="4:59">
      <c r="D7402" s="1065"/>
      <c r="S7402" s="1065"/>
      <c r="BE7402" s="1065"/>
      <c r="BF7402" s="1065"/>
      <c r="BG7402" s="1065"/>
    </row>
    <row r="7403" spans="4:59">
      <c r="D7403" s="1065"/>
      <c r="S7403" s="1065"/>
      <c r="BE7403" s="1065"/>
      <c r="BF7403" s="1065"/>
      <c r="BG7403" s="1065"/>
    </row>
    <row r="7404" spans="4:59">
      <c r="D7404" s="1065"/>
      <c r="S7404" s="1065"/>
      <c r="BE7404" s="1065"/>
      <c r="BF7404" s="1065"/>
      <c r="BG7404" s="1065"/>
    </row>
    <row r="7409" spans="4:59">
      <c r="D7409" s="1065"/>
      <c r="S7409" s="1065"/>
      <c r="BE7409" s="1065"/>
      <c r="BF7409" s="1065"/>
      <c r="BG7409" s="1065"/>
    </row>
    <row r="7410" spans="4:59">
      <c r="D7410" s="1065"/>
      <c r="S7410" s="1065"/>
      <c r="BE7410" s="1065"/>
      <c r="BF7410" s="1065"/>
      <c r="BG7410" s="1065"/>
    </row>
    <row r="7413" spans="4:59">
      <c r="D7413" s="1065"/>
      <c r="S7413" s="1065"/>
      <c r="BE7413" s="1065"/>
      <c r="BF7413" s="1065"/>
      <c r="BG7413" s="1065"/>
    </row>
    <row r="7414" spans="4:59">
      <c r="D7414" s="1065"/>
      <c r="S7414" s="1065"/>
      <c r="BE7414" s="1065"/>
      <c r="BF7414" s="1065"/>
      <c r="BG7414" s="1065"/>
    </row>
    <row r="7415" spans="4:59">
      <c r="D7415" s="1065"/>
      <c r="S7415" s="1065"/>
      <c r="BE7415" s="1065"/>
      <c r="BF7415" s="1065"/>
      <c r="BG7415" s="1065"/>
    </row>
    <row r="7416" spans="4:59">
      <c r="D7416" s="1065"/>
      <c r="S7416" s="1065"/>
      <c r="BE7416" s="1065"/>
      <c r="BF7416" s="1065"/>
      <c r="BG7416" s="1065"/>
    </row>
    <row r="7417" spans="4:59">
      <c r="D7417" s="1065"/>
      <c r="S7417" s="1065"/>
      <c r="BE7417" s="1065"/>
      <c r="BF7417" s="1065"/>
      <c r="BG7417" s="1065"/>
    </row>
    <row r="7418" spans="4:59">
      <c r="D7418" s="1065"/>
      <c r="S7418" s="1065"/>
      <c r="BE7418" s="1065"/>
      <c r="BF7418" s="1065"/>
      <c r="BG7418" s="1065"/>
    </row>
    <row r="7419" spans="4:59">
      <c r="D7419" s="1065"/>
      <c r="S7419" s="1065"/>
      <c r="BE7419" s="1065"/>
      <c r="BF7419" s="1065"/>
      <c r="BG7419" s="1065"/>
    </row>
    <row r="7420" spans="4:59">
      <c r="D7420" s="1065"/>
      <c r="S7420" s="1065"/>
      <c r="BE7420" s="1065"/>
      <c r="BF7420" s="1065"/>
      <c r="BG7420" s="1065"/>
    </row>
    <row r="7423" spans="4:59">
      <c r="D7423" s="1065"/>
      <c r="S7423" s="1065"/>
      <c r="BE7423" s="1065"/>
      <c r="BF7423" s="1065"/>
      <c r="BG7423" s="1065"/>
    </row>
    <row r="7424" spans="4:59">
      <c r="D7424" s="1065"/>
      <c r="S7424" s="1065"/>
      <c r="BE7424" s="1065"/>
      <c r="BF7424" s="1065"/>
      <c r="BG7424" s="1065"/>
    </row>
    <row r="7429" spans="4:59">
      <c r="D7429" s="1065"/>
      <c r="S7429" s="1065"/>
      <c r="BE7429" s="1065"/>
      <c r="BF7429" s="1065"/>
      <c r="BG7429" s="1065"/>
    </row>
    <row r="7430" spans="4:59">
      <c r="D7430" s="1065"/>
      <c r="S7430" s="1065"/>
      <c r="BE7430" s="1065"/>
      <c r="BF7430" s="1065"/>
      <c r="BG7430" s="1065"/>
    </row>
    <row r="7431" spans="4:59">
      <c r="D7431" s="1065"/>
      <c r="S7431" s="1065"/>
      <c r="BE7431" s="1065"/>
      <c r="BF7431" s="1065"/>
      <c r="BG7431" s="1065"/>
    </row>
    <row r="7432" spans="4:59">
      <c r="D7432" s="1065"/>
      <c r="S7432" s="1065"/>
      <c r="BE7432" s="1065"/>
      <c r="BF7432" s="1065"/>
      <c r="BG7432" s="1065"/>
    </row>
    <row r="7433" spans="4:59">
      <c r="D7433" s="1065"/>
      <c r="S7433" s="1065"/>
      <c r="BE7433" s="1065"/>
      <c r="BF7433" s="1065"/>
      <c r="BG7433" s="1065"/>
    </row>
    <row r="7434" spans="4:59">
      <c r="D7434" s="1065"/>
      <c r="S7434" s="1065"/>
      <c r="BE7434" s="1065"/>
      <c r="BF7434" s="1065"/>
      <c r="BG7434" s="1065"/>
    </row>
    <row r="7435" spans="4:59">
      <c r="D7435" s="1065"/>
      <c r="S7435" s="1065"/>
      <c r="BE7435" s="1065"/>
      <c r="BF7435" s="1065"/>
      <c r="BG7435" s="1065"/>
    </row>
    <row r="7436" spans="4:59">
      <c r="D7436" s="1065"/>
      <c r="S7436" s="1065"/>
      <c r="BE7436" s="1065"/>
      <c r="BF7436" s="1065"/>
      <c r="BG7436" s="1065"/>
    </row>
    <row r="7437" spans="4:59">
      <c r="D7437" s="1065"/>
      <c r="S7437" s="1065"/>
      <c r="BE7437" s="1065"/>
      <c r="BF7437" s="1065"/>
      <c r="BG7437" s="1065"/>
    </row>
    <row r="7438" spans="4:59">
      <c r="D7438" s="1065"/>
      <c r="S7438" s="1065"/>
      <c r="BE7438" s="1065"/>
      <c r="BF7438" s="1065"/>
      <c r="BG7438" s="1065"/>
    </row>
    <row r="7439" spans="4:59">
      <c r="D7439" s="1065"/>
      <c r="S7439" s="1065"/>
      <c r="BE7439" s="1065"/>
      <c r="BF7439" s="1065"/>
      <c r="BG7439" s="1065"/>
    </row>
    <row r="7440" spans="4:59">
      <c r="D7440" s="1065"/>
      <c r="S7440" s="1065"/>
      <c r="BE7440" s="1065"/>
      <c r="BF7440" s="1065"/>
      <c r="BG7440" s="1065"/>
    </row>
    <row r="7441" spans="4:59">
      <c r="D7441" s="1065"/>
      <c r="S7441" s="1065"/>
      <c r="BE7441" s="1065"/>
      <c r="BF7441" s="1065"/>
      <c r="BG7441" s="1065"/>
    </row>
    <row r="7442" spans="4:59">
      <c r="D7442" s="1065"/>
      <c r="S7442" s="1065"/>
      <c r="BE7442" s="1065"/>
      <c r="BF7442" s="1065"/>
      <c r="BG7442" s="1065"/>
    </row>
    <row r="7443" spans="4:59">
      <c r="D7443" s="1065"/>
      <c r="S7443" s="1065"/>
      <c r="BE7443" s="1065"/>
      <c r="BF7443" s="1065"/>
      <c r="BG7443" s="1065"/>
    </row>
    <row r="7444" spans="4:59">
      <c r="D7444" s="1065"/>
      <c r="S7444" s="1065"/>
      <c r="BE7444" s="1065"/>
      <c r="BF7444" s="1065"/>
      <c r="BG7444" s="1065"/>
    </row>
    <row r="7445" spans="4:59">
      <c r="D7445" s="1065"/>
      <c r="S7445" s="1065"/>
      <c r="BE7445" s="1065"/>
      <c r="BF7445" s="1065"/>
      <c r="BG7445" s="1065"/>
    </row>
    <row r="7446" spans="4:59">
      <c r="D7446" s="1065"/>
      <c r="S7446" s="1065"/>
      <c r="BE7446" s="1065"/>
      <c r="BF7446" s="1065"/>
      <c r="BG7446" s="1065"/>
    </row>
    <row r="7447" spans="4:59">
      <c r="D7447" s="1065"/>
      <c r="S7447" s="1065"/>
      <c r="BE7447" s="1065"/>
      <c r="BF7447" s="1065"/>
      <c r="BG7447" s="1065"/>
    </row>
    <row r="7448" spans="4:59">
      <c r="D7448" s="1065"/>
      <c r="S7448" s="1065"/>
      <c r="BE7448" s="1065"/>
      <c r="BF7448" s="1065"/>
      <c r="BG7448" s="1065"/>
    </row>
    <row r="7449" spans="4:59">
      <c r="D7449" s="1065"/>
      <c r="S7449" s="1065"/>
      <c r="BE7449" s="1065"/>
      <c r="BF7449" s="1065"/>
      <c r="BG7449" s="1065"/>
    </row>
    <row r="7450" spans="4:59">
      <c r="D7450" s="1065"/>
      <c r="S7450" s="1065"/>
      <c r="BE7450" s="1065"/>
      <c r="BF7450" s="1065"/>
      <c r="BG7450" s="1065"/>
    </row>
    <row r="7451" spans="4:59">
      <c r="D7451" s="1065"/>
      <c r="S7451" s="1065"/>
      <c r="BE7451" s="1065"/>
      <c r="BF7451" s="1065"/>
      <c r="BG7451" s="1065"/>
    </row>
    <row r="7452" spans="4:59">
      <c r="D7452" s="1065"/>
      <c r="S7452" s="1065"/>
      <c r="BE7452" s="1065"/>
      <c r="BF7452" s="1065"/>
      <c r="BG7452" s="1065"/>
    </row>
    <row r="7453" spans="4:59">
      <c r="D7453" s="1065"/>
      <c r="S7453" s="1065"/>
      <c r="BE7453" s="1065"/>
      <c r="BF7453" s="1065"/>
      <c r="BG7453" s="1065"/>
    </row>
    <row r="7454" spans="4:59">
      <c r="D7454" s="1065"/>
      <c r="S7454" s="1065"/>
      <c r="BE7454" s="1065"/>
      <c r="BF7454" s="1065"/>
      <c r="BG7454" s="1065"/>
    </row>
    <row r="7455" spans="4:59">
      <c r="D7455" s="1065"/>
      <c r="S7455" s="1065"/>
      <c r="BE7455" s="1065"/>
      <c r="BF7455" s="1065"/>
      <c r="BG7455" s="1065"/>
    </row>
    <row r="7456" spans="4:59">
      <c r="D7456" s="1065"/>
      <c r="S7456" s="1065"/>
      <c r="BE7456" s="1065"/>
      <c r="BF7456" s="1065"/>
      <c r="BG7456" s="1065"/>
    </row>
    <row r="7457" spans="4:59">
      <c r="D7457" s="1065"/>
      <c r="S7457" s="1065"/>
      <c r="BE7457" s="1065"/>
      <c r="BF7457" s="1065"/>
      <c r="BG7457" s="1065"/>
    </row>
    <row r="7458" spans="4:59">
      <c r="D7458" s="1065"/>
      <c r="S7458" s="1065"/>
      <c r="BE7458" s="1065"/>
      <c r="BF7458" s="1065"/>
      <c r="BG7458" s="1065"/>
    </row>
    <row r="7459" spans="4:59">
      <c r="D7459" s="1065"/>
      <c r="S7459" s="1065"/>
      <c r="BE7459" s="1065"/>
      <c r="BF7459" s="1065"/>
      <c r="BG7459" s="1065"/>
    </row>
    <row r="7460" spans="4:59">
      <c r="D7460" s="1065"/>
      <c r="S7460" s="1065"/>
      <c r="BE7460" s="1065"/>
      <c r="BF7460" s="1065"/>
      <c r="BG7460" s="1065"/>
    </row>
    <row r="7461" spans="4:59">
      <c r="D7461" s="1065"/>
      <c r="S7461" s="1065"/>
      <c r="BE7461" s="1065"/>
      <c r="BF7461" s="1065"/>
      <c r="BG7461" s="1065"/>
    </row>
    <row r="7462" spans="4:59">
      <c r="D7462" s="1065"/>
      <c r="S7462" s="1065"/>
      <c r="BE7462" s="1065"/>
      <c r="BF7462" s="1065"/>
      <c r="BG7462" s="1065"/>
    </row>
    <row r="7463" spans="4:59">
      <c r="D7463" s="1065"/>
      <c r="S7463" s="1065"/>
      <c r="BE7463" s="1065"/>
      <c r="BF7463" s="1065"/>
      <c r="BG7463" s="1065"/>
    </row>
    <row r="7464" spans="4:59">
      <c r="D7464" s="1065"/>
      <c r="S7464" s="1065"/>
      <c r="BE7464" s="1065"/>
      <c r="BF7464" s="1065"/>
      <c r="BG7464" s="1065"/>
    </row>
    <row r="7465" spans="4:59">
      <c r="D7465" s="1065"/>
      <c r="S7465" s="1065"/>
      <c r="BE7465" s="1065"/>
      <c r="BF7465" s="1065"/>
      <c r="BG7465" s="1065"/>
    </row>
    <row r="7466" spans="4:59">
      <c r="D7466" s="1065"/>
      <c r="S7466" s="1065"/>
      <c r="BE7466" s="1065"/>
      <c r="BF7466" s="1065"/>
      <c r="BG7466" s="1065"/>
    </row>
    <row r="7467" spans="4:59">
      <c r="D7467" s="1065"/>
      <c r="S7467" s="1065"/>
      <c r="BE7467" s="1065"/>
      <c r="BF7467" s="1065"/>
      <c r="BG7467" s="1065"/>
    </row>
    <row r="7468" spans="4:59">
      <c r="D7468" s="1065"/>
      <c r="S7468" s="1065"/>
      <c r="BE7468" s="1065"/>
      <c r="BF7468" s="1065"/>
      <c r="BG7468" s="1065"/>
    </row>
    <row r="7469" spans="4:59">
      <c r="D7469" s="1065"/>
      <c r="S7469" s="1065"/>
      <c r="BE7469" s="1065"/>
      <c r="BF7469" s="1065"/>
      <c r="BG7469" s="1065"/>
    </row>
    <row r="7470" spans="4:59">
      <c r="D7470" s="1065"/>
      <c r="S7470" s="1065"/>
      <c r="BE7470" s="1065"/>
      <c r="BF7470" s="1065"/>
      <c r="BG7470" s="1065"/>
    </row>
    <row r="7471" spans="4:59">
      <c r="D7471" s="1065"/>
      <c r="S7471" s="1065"/>
      <c r="BE7471" s="1065"/>
      <c r="BF7471" s="1065"/>
      <c r="BG7471" s="1065"/>
    </row>
    <row r="7472" spans="4:59">
      <c r="D7472" s="1065"/>
      <c r="S7472" s="1065"/>
      <c r="BE7472" s="1065"/>
      <c r="BF7472" s="1065"/>
      <c r="BG7472" s="1065"/>
    </row>
    <row r="7473" spans="4:59">
      <c r="D7473" s="1065"/>
      <c r="S7473" s="1065"/>
      <c r="BE7473" s="1065"/>
      <c r="BF7473" s="1065"/>
      <c r="BG7473" s="1065"/>
    </row>
    <row r="7474" spans="4:59">
      <c r="D7474" s="1065"/>
      <c r="S7474" s="1065"/>
      <c r="BE7474" s="1065"/>
      <c r="BF7474" s="1065"/>
      <c r="BG7474" s="1065"/>
    </row>
    <row r="7475" spans="4:59">
      <c r="D7475" s="1065"/>
      <c r="S7475" s="1065"/>
      <c r="BE7475" s="1065"/>
      <c r="BF7475" s="1065"/>
      <c r="BG7475" s="1065"/>
    </row>
    <row r="7476" spans="4:59">
      <c r="D7476" s="1065"/>
      <c r="S7476" s="1065"/>
      <c r="BE7476" s="1065"/>
      <c r="BF7476" s="1065"/>
      <c r="BG7476" s="1065"/>
    </row>
    <row r="7477" spans="4:59">
      <c r="D7477" s="1065"/>
      <c r="S7477" s="1065"/>
      <c r="BE7477" s="1065"/>
      <c r="BF7477" s="1065"/>
      <c r="BG7477" s="1065"/>
    </row>
    <row r="7478" spans="4:59">
      <c r="D7478" s="1065"/>
      <c r="S7478" s="1065"/>
      <c r="BE7478" s="1065"/>
      <c r="BF7478" s="1065"/>
      <c r="BG7478" s="1065"/>
    </row>
    <row r="7479" spans="4:59">
      <c r="D7479" s="1065"/>
      <c r="S7479" s="1065"/>
      <c r="BE7479" s="1065"/>
      <c r="BF7479" s="1065"/>
      <c r="BG7479" s="1065"/>
    </row>
    <row r="7480" spans="4:59">
      <c r="D7480" s="1065"/>
      <c r="S7480" s="1065"/>
      <c r="BE7480" s="1065"/>
      <c r="BF7480" s="1065"/>
      <c r="BG7480" s="1065"/>
    </row>
    <row r="7481" spans="4:59">
      <c r="D7481" s="1065"/>
      <c r="S7481" s="1065"/>
      <c r="BE7481" s="1065"/>
      <c r="BF7481" s="1065"/>
      <c r="BG7481" s="1065"/>
    </row>
    <row r="7482" spans="4:59">
      <c r="D7482" s="1065"/>
      <c r="S7482" s="1065"/>
      <c r="BE7482" s="1065"/>
      <c r="BF7482" s="1065"/>
      <c r="BG7482" s="1065"/>
    </row>
    <row r="7483" spans="4:59">
      <c r="D7483" s="1065"/>
      <c r="S7483" s="1065"/>
      <c r="BE7483" s="1065"/>
      <c r="BF7483" s="1065"/>
      <c r="BG7483" s="1065"/>
    </row>
    <row r="7484" spans="4:59">
      <c r="D7484" s="1065"/>
      <c r="S7484" s="1065"/>
      <c r="BE7484" s="1065"/>
      <c r="BF7484" s="1065"/>
      <c r="BG7484" s="1065"/>
    </row>
    <row r="7485" spans="4:59">
      <c r="D7485" s="1065"/>
      <c r="S7485" s="1065"/>
      <c r="BE7485" s="1065"/>
      <c r="BF7485" s="1065"/>
      <c r="BG7485" s="1065"/>
    </row>
    <row r="7486" spans="4:59">
      <c r="D7486" s="1065"/>
      <c r="S7486" s="1065"/>
      <c r="BE7486" s="1065"/>
      <c r="BF7486" s="1065"/>
      <c r="BG7486" s="1065"/>
    </row>
    <row r="7487" spans="4:59">
      <c r="D7487" s="1065"/>
      <c r="S7487" s="1065"/>
      <c r="BE7487" s="1065"/>
      <c r="BF7487" s="1065"/>
      <c r="BG7487" s="1065"/>
    </row>
    <row r="7488" spans="4:59">
      <c r="D7488" s="1065"/>
      <c r="S7488" s="1065"/>
      <c r="BE7488" s="1065"/>
      <c r="BF7488" s="1065"/>
      <c r="BG7488" s="1065"/>
    </row>
    <row r="7489" spans="4:59">
      <c r="D7489" s="1065"/>
      <c r="S7489" s="1065"/>
      <c r="BE7489" s="1065"/>
      <c r="BF7489" s="1065"/>
      <c r="BG7489" s="1065"/>
    </row>
    <row r="7490" spans="4:59">
      <c r="D7490" s="1065"/>
      <c r="S7490" s="1065"/>
      <c r="BE7490" s="1065"/>
      <c r="BF7490" s="1065"/>
      <c r="BG7490" s="1065"/>
    </row>
    <row r="7491" spans="4:59">
      <c r="D7491" s="1065"/>
      <c r="S7491" s="1065"/>
      <c r="BE7491" s="1065"/>
      <c r="BF7491" s="1065"/>
      <c r="BG7491" s="1065"/>
    </row>
    <row r="7492" spans="4:59">
      <c r="D7492" s="1065"/>
      <c r="S7492" s="1065"/>
      <c r="BE7492" s="1065"/>
      <c r="BF7492" s="1065"/>
      <c r="BG7492" s="1065"/>
    </row>
    <row r="7493" spans="4:59">
      <c r="D7493" s="1065"/>
      <c r="S7493" s="1065"/>
      <c r="BE7493" s="1065"/>
      <c r="BF7493" s="1065"/>
      <c r="BG7493" s="1065"/>
    </row>
    <row r="7494" spans="4:59">
      <c r="D7494" s="1065"/>
      <c r="S7494" s="1065"/>
      <c r="BE7494" s="1065"/>
      <c r="BF7494" s="1065"/>
      <c r="BG7494" s="1065"/>
    </row>
    <row r="7495" spans="4:59">
      <c r="D7495" s="1065"/>
      <c r="S7495" s="1065"/>
      <c r="BE7495" s="1065"/>
      <c r="BF7495" s="1065"/>
      <c r="BG7495" s="1065"/>
    </row>
    <row r="7496" spans="4:59">
      <c r="D7496" s="1065"/>
      <c r="S7496" s="1065"/>
      <c r="BE7496" s="1065"/>
      <c r="BF7496" s="1065"/>
      <c r="BG7496" s="1065"/>
    </row>
    <row r="7497" spans="4:59">
      <c r="D7497" s="1065"/>
      <c r="S7497" s="1065"/>
      <c r="BE7497" s="1065"/>
      <c r="BF7497" s="1065"/>
      <c r="BG7497" s="1065"/>
    </row>
    <row r="7498" spans="4:59">
      <c r="D7498" s="1065"/>
      <c r="S7498" s="1065"/>
      <c r="BE7498" s="1065"/>
      <c r="BF7498" s="1065"/>
      <c r="BG7498" s="1065"/>
    </row>
    <row r="7499" spans="4:59">
      <c r="D7499" s="1065"/>
      <c r="S7499" s="1065"/>
      <c r="BE7499" s="1065"/>
      <c r="BF7499" s="1065"/>
      <c r="BG7499" s="1065"/>
    </row>
    <row r="7500" spans="4:59">
      <c r="D7500" s="1065"/>
      <c r="S7500" s="1065"/>
      <c r="BE7500" s="1065"/>
      <c r="BF7500" s="1065"/>
      <c r="BG7500" s="1065"/>
    </row>
    <row r="7501" spans="4:59">
      <c r="D7501" s="1065"/>
      <c r="S7501" s="1065"/>
      <c r="BE7501" s="1065"/>
      <c r="BF7501" s="1065"/>
      <c r="BG7501" s="1065"/>
    </row>
    <row r="7502" spans="4:59">
      <c r="D7502" s="1065"/>
      <c r="S7502" s="1065"/>
      <c r="BE7502" s="1065"/>
      <c r="BF7502" s="1065"/>
      <c r="BG7502" s="1065"/>
    </row>
    <row r="7503" spans="4:59">
      <c r="D7503" s="1065"/>
      <c r="S7503" s="1065"/>
      <c r="BE7503" s="1065"/>
      <c r="BF7503" s="1065"/>
      <c r="BG7503" s="1065"/>
    </row>
    <row r="7504" spans="4:59">
      <c r="D7504" s="1065"/>
      <c r="S7504" s="1065"/>
      <c r="BE7504" s="1065"/>
      <c r="BF7504" s="1065"/>
      <c r="BG7504" s="1065"/>
    </row>
    <row r="7505" spans="4:59">
      <c r="D7505" s="1065"/>
      <c r="S7505" s="1065"/>
      <c r="BE7505" s="1065"/>
      <c r="BF7505" s="1065"/>
      <c r="BG7505" s="1065"/>
    </row>
    <row r="7506" spans="4:59">
      <c r="D7506" s="1065"/>
      <c r="S7506" s="1065"/>
      <c r="BE7506" s="1065"/>
      <c r="BF7506" s="1065"/>
      <c r="BG7506" s="1065"/>
    </row>
    <row r="7507" spans="4:59">
      <c r="D7507" s="1065"/>
      <c r="S7507" s="1065"/>
      <c r="BE7507" s="1065"/>
      <c r="BF7507" s="1065"/>
      <c r="BG7507" s="1065"/>
    </row>
    <row r="7508" spans="4:59">
      <c r="D7508" s="1065"/>
      <c r="S7508" s="1065"/>
      <c r="BE7508" s="1065"/>
      <c r="BF7508" s="1065"/>
      <c r="BG7508" s="1065"/>
    </row>
    <row r="7509" spans="4:59">
      <c r="D7509" s="1065"/>
      <c r="S7509" s="1065"/>
      <c r="BE7509" s="1065"/>
      <c r="BF7509" s="1065"/>
      <c r="BG7509" s="1065"/>
    </row>
    <row r="7510" spans="4:59">
      <c r="D7510" s="1065"/>
      <c r="S7510" s="1065"/>
      <c r="BE7510" s="1065"/>
      <c r="BF7510" s="1065"/>
      <c r="BG7510" s="1065"/>
    </row>
    <row r="7511" spans="4:59">
      <c r="D7511" s="1065"/>
      <c r="S7511" s="1065"/>
      <c r="BE7511" s="1065"/>
      <c r="BF7511" s="1065"/>
      <c r="BG7511" s="1065"/>
    </row>
    <row r="7512" spans="4:59">
      <c r="D7512" s="1065"/>
      <c r="S7512" s="1065"/>
      <c r="BE7512" s="1065"/>
      <c r="BF7512" s="1065"/>
      <c r="BG7512" s="1065"/>
    </row>
    <row r="7513" spans="4:59">
      <c r="D7513" s="1065"/>
      <c r="S7513" s="1065"/>
      <c r="BE7513" s="1065"/>
      <c r="BF7513" s="1065"/>
      <c r="BG7513" s="1065"/>
    </row>
    <row r="7514" spans="4:59">
      <c r="D7514" s="1065"/>
      <c r="S7514" s="1065"/>
      <c r="BE7514" s="1065"/>
      <c r="BF7514" s="1065"/>
      <c r="BG7514" s="1065"/>
    </row>
    <row r="7515" spans="4:59">
      <c r="D7515" s="1065"/>
      <c r="S7515" s="1065"/>
      <c r="BE7515" s="1065"/>
      <c r="BF7515" s="1065"/>
      <c r="BG7515" s="1065"/>
    </row>
    <row r="7516" spans="4:59">
      <c r="D7516" s="1065"/>
      <c r="S7516" s="1065"/>
      <c r="BE7516" s="1065"/>
      <c r="BF7516" s="1065"/>
      <c r="BG7516" s="1065"/>
    </row>
    <row r="7517" spans="4:59">
      <c r="D7517" s="1065"/>
      <c r="S7517" s="1065"/>
      <c r="BE7517" s="1065"/>
      <c r="BF7517" s="1065"/>
      <c r="BG7517" s="1065"/>
    </row>
    <row r="7518" spans="4:59">
      <c r="D7518" s="1065"/>
      <c r="S7518" s="1065"/>
      <c r="BE7518" s="1065"/>
      <c r="BF7518" s="1065"/>
      <c r="BG7518" s="1065"/>
    </row>
    <row r="7519" spans="4:59">
      <c r="D7519" s="1065"/>
      <c r="S7519" s="1065"/>
      <c r="BE7519" s="1065"/>
      <c r="BF7519" s="1065"/>
      <c r="BG7519" s="1065"/>
    </row>
    <row r="7520" spans="4:59">
      <c r="D7520" s="1065"/>
      <c r="S7520" s="1065"/>
      <c r="BE7520" s="1065"/>
      <c r="BF7520" s="1065"/>
      <c r="BG7520" s="1065"/>
    </row>
    <row r="7521" spans="4:59">
      <c r="D7521" s="1065"/>
      <c r="S7521" s="1065"/>
      <c r="BE7521" s="1065"/>
      <c r="BF7521" s="1065"/>
      <c r="BG7521" s="1065"/>
    </row>
    <row r="7522" spans="4:59">
      <c r="D7522" s="1065"/>
      <c r="S7522" s="1065"/>
      <c r="BE7522" s="1065"/>
      <c r="BF7522" s="1065"/>
      <c r="BG7522" s="1065"/>
    </row>
    <row r="7523" spans="4:59">
      <c r="D7523" s="1065"/>
      <c r="S7523" s="1065"/>
      <c r="BE7523" s="1065"/>
      <c r="BF7523" s="1065"/>
      <c r="BG7523" s="1065"/>
    </row>
    <row r="7524" spans="4:59">
      <c r="D7524" s="1065"/>
      <c r="S7524" s="1065"/>
      <c r="BE7524" s="1065"/>
      <c r="BF7524" s="1065"/>
      <c r="BG7524" s="1065"/>
    </row>
    <row r="7525" spans="4:59">
      <c r="D7525" s="1065"/>
      <c r="S7525" s="1065"/>
      <c r="BE7525" s="1065"/>
      <c r="BF7525" s="1065"/>
      <c r="BG7525" s="1065"/>
    </row>
    <row r="7526" spans="4:59">
      <c r="D7526" s="1065"/>
      <c r="S7526" s="1065"/>
      <c r="BE7526" s="1065"/>
      <c r="BF7526" s="1065"/>
      <c r="BG7526" s="1065"/>
    </row>
    <row r="7527" spans="4:59">
      <c r="D7527" s="1065"/>
      <c r="S7527" s="1065"/>
      <c r="BE7527" s="1065"/>
      <c r="BF7527" s="1065"/>
      <c r="BG7527" s="1065"/>
    </row>
    <row r="7528" spans="4:59">
      <c r="D7528" s="1065"/>
      <c r="S7528" s="1065"/>
      <c r="BE7528" s="1065"/>
      <c r="BF7528" s="1065"/>
      <c r="BG7528" s="1065"/>
    </row>
    <row r="7529" spans="4:59">
      <c r="D7529" s="1065"/>
      <c r="S7529" s="1065"/>
      <c r="BE7529" s="1065"/>
      <c r="BF7529" s="1065"/>
      <c r="BG7529" s="1065"/>
    </row>
    <row r="7530" spans="4:59">
      <c r="D7530" s="1065"/>
      <c r="S7530" s="1065"/>
      <c r="BE7530" s="1065"/>
      <c r="BF7530" s="1065"/>
      <c r="BG7530" s="1065"/>
    </row>
    <row r="7531" spans="4:59">
      <c r="D7531" s="1065"/>
      <c r="S7531" s="1065"/>
      <c r="BE7531" s="1065"/>
      <c r="BF7531" s="1065"/>
      <c r="BG7531" s="1065"/>
    </row>
    <row r="7532" spans="4:59">
      <c r="D7532" s="1065"/>
      <c r="S7532" s="1065"/>
      <c r="BE7532" s="1065"/>
      <c r="BF7532" s="1065"/>
      <c r="BG7532" s="1065"/>
    </row>
    <row r="7533" spans="4:59">
      <c r="D7533" s="1065"/>
      <c r="S7533" s="1065"/>
      <c r="BE7533" s="1065"/>
      <c r="BF7533" s="1065"/>
      <c r="BG7533" s="1065"/>
    </row>
    <row r="7534" spans="4:59">
      <c r="D7534" s="1065"/>
      <c r="S7534" s="1065"/>
      <c r="BE7534" s="1065"/>
      <c r="BF7534" s="1065"/>
      <c r="BG7534" s="1065"/>
    </row>
    <row r="7535" spans="4:59">
      <c r="D7535" s="1065"/>
      <c r="S7535" s="1065"/>
      <c r="BE7535" s="1065"/>
      <c r="BF7535" s="1065"/>
      <c r="BG7535" s="1065"/>
    </row>
    <row r="7536" spans="4:59">
      <c r="D7536" s="1065"/>
      <c r="S7536" s="1065"/>
      <c r="BE7536" s="1065"/>
      <c r="BF7536" s="1065"/>
      <c r="BG7536" s="1065"/>
    </row>
    <row r="7537" spans="4:59">
      <c r="D7537" s="1065"/>
      <c r="S7537" s="1065"/>
      <c r="BE7537" s="1065"/>
      <c r="BF7537" s="1065"/>
      <c r="BG7537" s="1065"/>
    </row>
    <row r="7538" spans="4:59">
      <c r="D7538" s="1065"/>
      <c r="S7538" s="1065"/>
      <c r="BE7538" s="1065"/>
      <c r="BF7538" s="1065"/>
      <c r="BG7538" s="1065"/>
    </row>
    <row r="7539" spans="4:59">
      <c r="D7539" s="1065"/>
      <c r="S7539" s="1065"/>
      <c r="BE7539" s="1065"/>
      <c r="BF7539" s="1065"/>
      <c r="BG7539" s="1065"/>
    </row>
    <row r="7540" spans="4:59">
      <c r="D7540" s="1065"/>
      <c r="S7540" s="1065"/>
      <c r="BE7540" s="1065"/>
      <c r="BF7540" s="1065"/>
      <c r="BG7540" s="1065"/>
    </row>
    <row r="7541" spans="4:59">
      <c r="D7541" s="1065"/>
      <c r="S7541" s="1065"/>
      <c r="BE7541" s="1065"/>
      <c r="BF7541" s="1065"/>
      <c r="BG7541" s="1065"/>
    </row>
    <row r="7542" spans="4:59">
      <c r="D7542" s="1065"/>
      <c r="S7542" s="1065"/>
      <c r="BE7542" s="1065"/>
      <c r="BF7542" s="1065"/>
      <c r="BG7542" s="1065"/>
    </row>
    <row r="7543" spans="4:59">
      <c r="D7543" s="1065"/>
      <c r="S7543" s="1065"/>
      <c r="BE7543" s="1065"/>
      <c r="BF7543" s="1065"/>
      <c r="BG7543" s="1065"/>
    </row>
    <row r="7544" spans="4:59">
      <c r="D7544" s="1065"/>
      <c r="S7544" s="1065"/>
      <c r="BE7544" s="1065"/>
      <c r="BF7544" s="1065"/>
      <c r="BG7544" s="1065"/>
    </row>
    <row r="7545" spans="4:59">
      <c r="D7545" s="1065"/>
      <c r="S7545" s="1065"/>
      <c r="BE7545" s="1065"/>
      <c r="BF7545" s="1065"/>
      <c r="BG7545" s="1065"/>
    </row>
    <row r="7546" spans="4:59">
      <c r="D7546" s="1065"/>
      <c r="S7546" s="1065"/>
      <c r="BE7546" s="1065"/>
      <c r="BF7546" s="1065"/>
      <c r="BG7546" s="1065"/>
    </row>
    <row r="7547" spans="4:59">
      <c r="D7547" s="1065"/>
      <c r="S7547" s="1065"/>
      <c r="BE7547" s="1065"/>
      <c r="BF7547" s="1065"/>
      <c r="BG7547" s="1065"/>
    </row>
    <row r="7548" spans="4:59">
      <c r="D7548" s="1065"/>
      <c r="S7548" s="1065"/>
      <c r="BE7548" s="1065"/>
      <c r="BF7548" s="1065"/>
      <c r="BG7548" s="1065"/>
    </row>
    <row r="7549" spans="4:59">
      <c r="D7549" s="1065"/>
      <c r="S7549" s="1065"/>
      <c r="BE7549" s="1065"/>
      <c r="BF7549" s="1065"/>
      <c r="BG7549" s="1065"/>
    </row>
    <row r="7550" spans="4:59">
      <c r="D7550" s="1065"/>
      <c r="S7550" s="1065"/>
      <c r="BE7550" s="1065"/>
      <c r="BF7550" s="1065"/>
      <c r="BG7550" s="1065"/>
    </row>
    <row r="7551" spans="4:59">
      <c r="D7551" s="1065"/>
      <c r="S7551" s="1065"/>
      <c r="BE7551" s="1065"/>
      <c r="BF7551" s="1065"/>
      <c r="BG7551" s="1065"/>
    </row>
    <row r="7552" spans="4:59">
      <c r="D7552" s="1065"/>
      <c r="S7552" s="1065"/>
      <c r="BE7552" s="1065"/>
      <c r="BF7552" s="1065"/>
      <c r="BG7552" s="1065"/>
    </row>
    <row r="7553" spans="4:59">
      <c r="D7553" s="1065"/>
      <c r="S7553" s="1065"/>
      <c r="BE7553" s="1065"/>
      <c r="BF7553" s="1065"/>
      <c r="BG7553" s="1065"/>
    </row>
    <row r="7554" spans="4:59">
      <c r="D7554" s="1065"/>
      <c r="S7554" s="1065"/>
      <c r="BE7554" s="1065"/>
      <c r="BF7554" s="1065"/>
      <c r="BG7554" s="1065"/>
    </row>
    <row r="7555" spans="4:59">
      <c r="D7555" s="1065"/>
      <c r="S7555" s="1065"/>
      <c r="BE7555" s="1065"/>
      <c r="BF7555" s="1065"/>
      <c r="BG7555" s="1065"/>
    </row>
    <row r="7556" spans="4:59">
      <c r="D7556" s="1065"/>
      <c r="S7556" s="1065"/>
      <c r="BE7556" s="1065"/>
      <c r="BF7556" s="1065"/>
      <c r="BG7556" s="1065"/>
    </row>
    <row r="7557" spans="4:59">
      <c r="D7557" s="1065"/>
      <c r="S7557" s="1065"/>
      <c r="BE7557" s="1065"/>
      <c r="BF7557" s="1065"/>
      <c r="BG7557" s="1065"/>
    </row>
    <row r="7558" spans="4:59">
      <c r="D7558" s="1065"/>
      <c r="S7558" s="1065"/>
      <c r="BE7558" s="1065"/>
      <c r="BF7558" s="1065"/>
      <c r="BG7558" s="1065"/>
    </row>
    <row r="7559" spans="4:59">
      <c r="D7559" s="1065"/>
      <c r="S7559" s="1065"/>
      <c r="BE7559" s="1065"/>
      <c r="BF7559" s="1065"/>
      <c r="BG7559" s="1065"/>
    </row>
    <row r="7560" spans="4:59">
      <c r="D7560" s="1065"/>
      <c r="S7560" s="1065"/>
      <c r="BE7560" s="1065"/>
      <c r="BF7560" s="1065"/>
      <c r="BG7560" s="1065"/>
    </row>
    <row r="7561" spans="4:59">
      <c r="D7561" s="1065"/>
      <c r="S7561" s="1065"/>
      <c r="BE7561" s="1065"/>
      <c r="BF7561" s="1065"/>
      <c r="BG7561" s="1065"/>
    </row>
    <row r="7562" spans="4:59">
      <c r="D7562" s="1065"/>
      <c r="S7562" s="1065"/>
      <c r="BE7562" s="1065"/>
      <c r="BF7562" s="1065"/>
      <c r="BG7562" s="1065"/>
    </row>
    <row r="7563" spans="4:59">
      <c r="D7563" s="1065"/>
      <c r="S7563" s="1065"/>
      <c r="BE7563" s="1065"/>
      <c r="BF7563" s="1065"/>
      <c r="BG7563" s="1065"/>
    </row>
    <row r="7564" spans="4:59">
      <c r="D7564" s="1065"/>
      <c r="S7564" s="1065"/>
      <c r="BE7564" s="1065"/>
      <c r="BF7564" s="1065"/>
      <c r="BG7564" s="1065"/>
    </row>
    <row r="7565" spans="4:59">
      <c r="D7565" s="1065"/>
      <c r="S7565" s="1065"/>
      <c r="BE7565" s="1065"/>
      <c r="BF7565" s="1065"/>
      <c r="BG7565" s="1065"/>
    </row>
    <row r="7566" spans="4:59">
      <c r="D7566" s="1065"/>
      <c r="S7566" s="1065"/>
      <c r="BE7566" s="1065"/>
      <c r="BF7566" s="1065"/>
      <c r="BG7566" s="1065"/>
    </row>
    <row r="7567" spans="4:59">
      <c r="D7567" s="1065"/>
      <c r="S7567" s="1065"/>
      <c r="BE7567" s="1065"/>
      <c r="BF7567" s="1065"/>
      <c r="BG7567" s="1065"/>
    </row>
    <row r="7568" spans="4:59">
      <c r="D7568" s="1065"/>
      <c r="S7568" s="1065"/>
      <c r="BE7568" s="1065"/>
      <c r="BF7568" s="1065"/>
      <c r="BG7568" s="1065"/>
    </row>
    <row r="7569" spans="4:59">
      <c r="D7569" s="1065"/>
      <c r="S7569" s="1065"/>
      <c r="BE7569" s="1065"/>
      <c r="BF7569" s="1065"/>
      <c r="BG7569" s="1065"/>
    </row>
    <row r="7570" spans="4:59">
      <c r="D7570" s="1065"/>
      <c r="S7570" s="1065"/>
      <c r="BE7570" s="1065"/>
      <c r="BF7570" s="1065"/>
      <c r="BG7570" s="1065"/>
    </row>
    <row r="7571" spans="4:59">
      <c r="D7571" s="1065"/>
      <c r="S7571" s="1065"/>
      <c r="BE7571" s="1065"/>
      <c r="BF7571" s="1065"/>
      <c r="BG7571" s="1065"/>
    </row>
    <row r="7572" spans="4:59">
      <c r="D7572" s="1065"/>
      <c r="S7572" s="1065"/>
      <c r="BE7572" s="1065"/>
      <c r="BF7572" s="1065"/>
      <c r="BG7572" s="1065"/>
    </row>
    <row r="7573" spans="4:59">
      <c r="D7573" s="1065"/>
      <c r="S7573" s="1065"/>
      <c r="BE7573" s="1065"/>
      <c r="BF7573" s="1065"/>
      <c r="BG7573" s="1065"/>
    </row>
    <row r="7574" spans="4:59">
      <c r="D7574" s="1065"/>
      <c r="S7574" s="1065"/>
      <c r="BE7574" s="1065"/>
      <c r="BF7574" s="1065"/>
      <c r="BG7574" s="1065"/>
    </row>
    <row r="7575" spans="4:59">
      <c r="D7575" s="1065"/>
      <c r="S7575" s="1065"/>
      <c r="BE7575" s="1065"/>
      <c r="BF7575" s="1065"/>
      <c r="BG7575" s="1065"/>
    </row>
    <row r="7576" spans="4:59">
      <c r="D7576" s="1065"/>
      <c r="S7576" s="1065"/>
      <c r="BE7576" s="1065"/>
      <c r="BF7576" s="1065"/>
      <c r="BG7576" s="1065"/>
    </row>
    <row r="7577" spans="4:59">
      <c r="D7577" s="1065"/>
      <c r="S7577" s="1065"/>
      <c r="BE7577" s="1065"/>
      <c r="BF7577" s="1065"/>
      <c r="BG7577" s="1065"/>
    </row>
    <row r="7578" spans="4:59">
      <c r="D7578" s="1065"/>
      <c r="S7578" s="1065"/>
      <c r="BE7578" s="1065"/>
      <c r="BF7578" s="1065"/>
      <c r="BG7578" s="1065"/>
    </row>
    <row r="7579" spans="4:59">
      <c r="D7579" s="1065"/>
      <c r="S7579" s="1065"/>
      <c r="BE7579" s="1065"/>
      <c r="BF7579" s="1065"/>
      <c r="BG7579" s="1065"/>
    </row>
    <row r="7581" spans="4:59">
      <c r="D7581" s="1065"/>
      <c r="S7581" s="1065"/>
      <c r="BE7581" s="1065"/>
      <c r="BF7581" s="1065"/>
      <c r="BG7581" s="1065"/>
    </row>
    <row r="7582" spans="4:59">
      <c r="D7582" s="1065"/>
      <c r="S7582" s="1065"/>
      <c r="BE7582" s="1065"/>
      <c r="BF7582" s="1065"/>
      <c r="BG7582" s="1065"/>
    </row>
    <row r="7584" spans="4:59">
      <c r="D7584" s="1065"/>
      <c r="S7584" s="1065"/>
      <c r="BE7584" s="1065"/>
      <c r="BF7584" s="1065"/>
      <c r="BG7584" s="1065"/>
    </row>
    <row r="7585" spans="4:59">
      <c r="D7585" s="1065"/>
      <c r="S7585" s="1065"/>
      <c r="BE7585" s="1065"/>
      <c r="BF7585" s="1065"/>
      <c r="BG7585" s="1065"/>
    </row>
    <row r="7586" spans="4:59">
      <c r="D7586" s="1065"/>
      <c r="S7586" s="1065"/>
      <c r="BE7586" s="1065"/>
      <c r="BF7586" s="1065"/>
      <c r="BG7586" s="1065"/>
    </row>
    <row r="7587" spans="4:59">
      <c r="D7587" s="1065"/>
      <c r="S7587" s="1065"/>
      <c r="BE7587" s="1065"/>
      <c r="BF7587" s="1065"/>
      <c r="BG7587" s="1065"/>
    </row>
    <row r="7588" spans="4:59">
      <c r="D7588" s="1065"/>
      <c r="S7588" s="1065"/>
      <c r="BE7588" s="1065"/>
      <c r="BF7588" s="1065"/>
      <c r="BG7588" s="1065"/>
    </row>
    <row r="7589" spans="4:59">
      <c r="D7589" s="1065"/>
      <c r="S7589" s="1065"/>
      <c r="BE7589" s="1065"/>
      <c r="BF7589" s="1065"/>
      <c r="BG7589" s="1065"/>
    </row>
    <row r="7590" spans="4:59">
      <c r="D7590" s="1065"/>
      <c r="S7590" s="1065"/>
      <c r="BE7590" s="1065"/>
      <c r="BF7590" s="1065"/>
      <c r="BG7590" s="1065"/>
    </row>
    <row r="7591" spans="4:59">
      <c r="D7591" s="1065"/>
      <c r="S7591" s="1065"/>
      <c r="BE7591" s="1065"/>
      <c r="BF7591" s="1065"/>
      <c r="BG7591" s="1065"/>
    </row>
    <row r="7592" spans="4:59">
      <c r="D7592" s="1065"/>
      <c r="S7592" s="1065"/>
      <c r="BE7592" s="1065"/>
      <c r="BF7592" s="1065"/>
      <c r="BG7592" s="1065"/>
    </row>
    <row r="7595" spans="4:59">
      <c r="D7595" s="1065"/>
      <c r="S7595" s="1065"/>
      <c r="BE7595" s="1065"/>
      <c r="BF7595" s="1065"/>
      <c r="BG7595" s="1065"/>
    </row>
    <row r="7596" spans="4:59">
      <c r="D7596" s="1065"/>
      <c r="S7596" s="1065"/>
      <c r="BE7596" s="1065"/>
      <c r="BF7596" s="1065"/>
      <c r="BG7596" s="1065"/>
    </row>
    <row r="7601" spans="4:59">
      <c r="D7601" s="1065"/>
      <c r="S7601" s="1065"/>
      <c r="BE7601" s="1065"/>
      <c r="BF7601" s="1065"/>
      <c r="BG7601" s="1065"/>
    </row>
    <row r="7602" spans="4:59">
      <c r="D7602" s="1065"/>
      <c r="S7602" s="1065"/>
      <c r="BE7602" s="1065"/>
      <c r="BF7602" s="1065"/>
      <c r="BG7602" s="1065"/>
    </row>
    <row r="7603" spans="4:59">
      <c r="D7603" s="1065"/>
      <c r="S7603" s="1065"/>
      <c r="BE7603" s="1065"/>
      <c r="BF7603" s="1065"/>
      <c r="BG7603" s="1065"/>
    </row>
    <row r="7604" spans="4:59">
      <c r="D7604" s="1065"/>
      <c r="S7604" s="1065"/>
      <c r="BE7604" s="1065"/>
      <c r="BF7604" s="1065"/>
      <c r="BG7604" s="1065"/>
    </row>
    <row r="7605" spans="4:59">
      <c r="D7605" s="1065"/>
      <c r="S7605" s="1065"/>
      <c r="BE7605" s="1065"/>
      <c r="BF7605" s="1065"/>
      <c r="BG7605" s="1065"/>
    </row>
    <row r="7606" spans="4:59">
      <c r="D7606" s="1065"/>
      <c r="S7606" s="1065"/>
      <c r="BE7606" s="1065"/>
      <c r="BF7606" s="1065"/>
      <c r="BG7606" s="1065"/>
    </row>
    <row r="7607" spans="4:59">
      <c r="D7607" s="1065"/>
      <c r="S7607" s="1065"/>
      <c r="BE7607" s="1065"/>
      <c r="BF7607" s="1065"/>
      <c r="BG7607" s="1065"/>
    </row>
    <row r="7608" spans="4:59">
      <c r="D7608" s="1065"/>
      <c r="S7608" s="1065"/>
      <c r="BE7608" s="1065"/>
      <c r="BF7608" s="1065"/>
      <c r="BG7608" s="1065"/>
    </row>
    <row r="7609" spans="4:59">
      <c r="D7609" s="1065"/>
      <c r="S7609" s="1065"/>
      <c r="BE7609" s="1065"/>
      <c r="BF7609" s="1065"/>
      <c r="BG7609" s="1065"/>
    </row>
    <row r="7610" spans="4:59">
      <c r="D7610" s="1065"/>
      <c r="S7610" s="1065"/>
      <c r="BE7610" s="1065"/>
      <c r="BF7610" s="1065"/>
      <c r="BG7610" s="1065"/>
    </row>
    <row r="7611" spans="4:59">
      <c r="D7611" s="1065"/>
      <c r="S7611" s="1065"/>
      <c r="BE7611" s="1065"/>
      <c r="BF7611" s="1065"/>
      <c r="BG7611" s="1065"/>
    </row>
    <row r="7612" spans="4:59">
      <c r="D7612" s="1065"/>
      <c r="S7612" s="1065"/>
      <c r="BE7612" s="1065"/>
      <c r="BF7612" s="1065"/>
      <c r="BG7612" s="1065"/>
    </row>
    <row r="7613" spans="4:59">
      <c r="D7613" s="1065"/>
      <c r="S7613" s="1065"/>
      <c r="BE7613" s="1065"/>
      <c r="BF7613" s="1065"/>
      <c r="BG7613" s="1065"/>
    </row>
    <row r="7614" spans="4:59">
      <c r="D7614" s="1065"/>
      <c r="S7614" s="1065"/>
      <c r="BE7614" s="1065"/>
      <c r="BF7614" s="1065"/>
      <c r="BG7614" s="1065"/>
    </row>
    <row r="7615" spans="4:59">
      <c r="D7615" s="1065"/>
      <c r="S7615" s="1065"/>
      <c r="BE7615" s="1065"/>
      <c r="BF7615" s="1065"/>
      <c r="BG7615" s="1065"/>
    </row>
    <row r="7616" spans="4:59">
      <c r="D7616" s="1065"/>
      <c r="S7616" s="1065"/>
      <c r="BE7616" s="1065"/>
      <c r="BF7616" s="1065"/>
      <c r="BG7616" s="1065"/>
    </row>
    <row r="7617" spans="4:59">
      <c r="D7617" s="1065"/>
      <c r="S7617" s="1065"/>
      <c r="BE7617" s="1065"/>
      <c r="BF7617" s="1065"/>
      <c r="BG7617" s="1065"/>
    </row>
    <row r="7618" spans="4:59">
      <c r="D7618" s="1065"/>
      <c r="S7618" s="1065"/>
      <c r="BE7618" s="1065"/>
      <c r="BF7618" s="1065"/>
      <c r="BG7618" s="1065"/>
    </row>
    <row r="7619" spans="4:59">
      <c r="D7619" s="1065"/>
      <c r="S7619" s="1065"/>
      <c r="BE7619" s="1065"/>
      <c r="BF7619" s="1065"/>
      <c r="BG7619" s="1065"/>
    </row>
    <row r="7620" spans="4:59">
      <c r="D7620" s="1065"/>
      <c r="S7620" s="1065"/>
      <c r="BE7620" s="1065"/>
      <c r="BF7620" s="1065"/>
      <c r="BG7620" s="1065"/>
    </row>
    <row r="7621" spans="4:59">
      <c r="D7621" s="1065"/>
      <c r="S7621" s="1065"/>
      <c r="BE7621" s="1065"/>
      <c r="BF7621" s="1065"/>
      <c r="BG7621" s="1065"/>
    </row>
    <row r="7622" spans="4:59">
      <c r="D7622" s="1065"/>
      <c r="S7622" s="1065"/>
      <c r="BE7622" s="1065"/>
      <c r="BF7622" s="1065"/>
      <c r="BG7622" s="1065"/>
    </row>
    <row r="7623" spans="4:59">
      <c r="D7623" s="1065"/>
      <c r="S7623" s="1065"/>
      <c r="BE7623" s="1065"/>
      <c r="BF7623" s="1065"/>
      <c r="BG7623" s="1065"/>
    </row>
    <row r="7624" spans="4:59">
      <c r="D7624" s="1065"/>
      <c r="S7624" s="1065"/>
      <c r="BE7624" s="1065"/>
      <c r="BF7624" s="1065"/>
      <c r="BG7624" s="1065"/>
    </row>
    <row r="7625" spans="4:59">
      <c r="D7625" s="1065"/>
      <c r="S7625" s="1065"/>
      <c r="BE7625" s="1065"/>
      <c r="BF7625" s="1065"/>
      <c r="BG7625" s="1065"/>
    </row>
    <row r="7626" spans="4:59">
      <c r="D7626" s="1065"/>
      <c r="S7626" s="1065"/>
      <c r="BE7626" s="1065"/>
      <c r="BF7626" s="1065"/>
      <c r="BG7626" s="1065"/>
    </row>
    <row r="7627" spans="4:59">
      <c r="D7627" s="1065"/>
      <c r="S7627" s="1065"/>
      <c r="BE7627" s="1065"/>
      <c r="BF7627" s="1065"/>
      <c r="BG7627" s="1065"/>
    </row>
    <row r="7628" spans="4:59">
      <c r="D7628" s="1065"/>
      <c r="S7628" s="1065"/>
      <c r="BE7628" s="1065"/>
      <c r="BF7628" s="1065"/>
      <c r="BG7628" s="1065"/>
    </row>
    <row r="7629" spans="4:59">
      <c r="D7629" s="1065"/>
      <c r="S7629" s="1065"/>
      <c r="BE7629" s="1065"/>
      <c r="BF7629" s="1065"/>
      <c r="BG7629" s="1065"/>
    </row>
    <row r="7630" spans="4:59">
      <c r="D7630" s="1065"/>
      <c r="S7630" s="1065"/>
      <c r="BE7630" s="1065"/>
      <c r="BF7630" s="1065"/>
      <c r="BG7630" s="1065"/>
    </row>
    <row r="7631" spans="4:59">
      <c r="D7631" s="1065"/>
      <c r="S7631" s="1065"/>
      <c r="BE7631" s="1065"/>
      <c r="BF7631" s="1065"/>
      <c r="BG7631" s="1065"/>
    </row>
    <row r="7632" spans="4:59">
      <c r="D7632" s="1065"/>
      <c r="S7632" s="1065"/>
      <c r="BE7632" s="1065"/>
      <c r="BF7632" s="1065"/>
      <c r="BG7632" s="1065"/>
    </row>
    <row r="7633" spans="4:59">
      <c r="D7633" s="1065"/>
      <c r="S7633" s="1065"/>
      <c r="BE7633" s="1065"/>
      <c r="BF7633" s="1065"/>
      <c r="BG7633" s="1065"/>
    </row>
    <row r="7634" spans="4:59">
      <c r="D7634" s="1065"/>
      <c r="S7634" s="1065"/>
      <c r="BE7634" s="1065"/>
      <c r="BF7634" s="1065"/>
      <c r="BG7634" s="1065"/>
    </row>
    <row r="7635" spans="4:59">
      <c r="D7635" s="1065"/>
      <c r="S7635" s="1065"/>
      <c r="BE7635" s="1065"/>
      <c r="BF7635" s="1065"/>
      <c r="BG7635" s="1065"/>
    </row>
    <row r="7636" spans="4:59">
      <c r="D7636" s="1065"/>
      <c r="S7636" s="1065"/>
      <c r="BE7636" s="1065"/>
      <c r="BF7636" s="1065"/>
      <c r="BG7636" s="1065"/>
    </row>
    <row r="7637" spans="4:59">
      <c r="D7637" s="1065"/>
      <c r="S7637" s="1065"/>
      <c r="BE7637" s="1065"/>
      <c r="BF7637" s="1065"/>
      <c r="BG7637" s="1065"/>
    </row>
    <row r="7638" spans="4:59">
      <c r="D7638" s="1065"/>
      <c r="S7638" s="1065"/>
      <c r="BE7638" s="1065"/>
      <c r="BF7638" s="1065"/>
      <c r="BG7638" s="1065"/>
    </row>
    <row r="7639" spans="4:59">
      <c r="D7639" s="1065"/>
      <c r="S7639" s="1065"/>
      <c r="BE7639" s="1065"/>
      <c r="BF7639" s="1065"/>
      <c r="BG7639" s="1065"/>
    </row>
    <row r="7640" spans="4:59">
      <c r="D7640" s="1065"/>
      <c r="S7640" s="1065"/>
      <c r="BE7640" s="1065"/>
      <c r="BF7640" s="1065"/>
      <c r="BG7640" s="1065"/>
    </row>
    <row r="7641" spans="4:59">
      <c r="D7641" s="1065"/>
      <c r="S7641" s="1065"/>
      <c r="BE7641" s="1065"/>
      <c r="BF7641" s="1065"/>
      <c r="BG7641" s="1065"/>
    </row>
    <row r="7642" spans="4:59">
      <c r="D7642" s="1065"/>
      <c r="S7642" s="1065"/>
      <c r="BE7642" s="1065"/>
      <c r="BF7642" s="1065"/>
      <c r="BG7642" s="1065"/>
    </row>
    <row r="7643" spans="4:59">
      <c r="D7643" s="1065"/>
      <c r="S7643" s="1065"/>
      <c r="BE7643" s="1065"/>
      <c r="BF7643" s="1065"/>
      <c r="BG7643" s="1065"/>
    </row>
    <row r="7644" spans="4:59">
      <c r="D7644" s="1065"/>
      <c r="S7644" s="1065"/>
      <c r="BE7644" s="1065"/>
      <c r="BF7644" s="1065"/>
      <c r="BG7644" s="1065"/>
    </row>
    <row r="7645" spans="4:59">
      <c r="D7645" s="1065"/>
      <c r="S7645" s="1065"/>
      <c r="BE7645" s="1065"/>
      <c r="BF7645" s="1065"/>
      <c r="BG7645" s="1065"/>
    </row>
    <row r="7646" spans="4:59">
      <c r="D7646" s="1065"/>
      <c r="S7646" s="1065"/>
      <c r="BE7646" s="1065"/>
      <c r="BF7646" s="1065"/>
      <c r="BG7646" s="1065"/>
    </row>
    <row r="7651" spans="4:59">
      <c r="D7651" s="1065"/>
      <c r="S7651" s="1065"/>
      <c r="BE7651" s="1065"/>
      <c r="BF7651" s="1065"/>
      <c r="BG7651" s="1065"/>
    </row>
    <row r="7652" spans="4:59">
      <c r="D7652" s="1065"/>
      <c r="S7652" s="1065"/>
      <c r="BE7652" s="1065"/>
      <c r="BF7652" s="1065"/>
      <c r="BG7652" s="1065"/>
    </row>
    <row r="7655" spans="4:59">
      <c r="D7655" s="1065"/>
      <c r="S7655" s="1065"/>
      <c r="BE7655" s="1065"/>
      <c r="BF7655" s="1065"/>
      <c r="BG7655" s="1065"/>
    </row>
    <row r="7656" spans="4:59">
      <c r="D7656" s="1065"/>
      <c r="S7656" s="1065"/>
      <c r="BE7656" s="1065"/>
      <c r="BF7656" s="1065"/>
      <c r="BG7656" s="1065"/>
    </row>
    <row r="7657" spans="4:59">
      <c r="D7657" s="1065"/>
      <c r="S7657" s="1065"/>
      <c r="BE7657" s="1065"/>
      <c r="BF7657" s="1065"/>
      <c r="BG7657" s="1065"/>
    </row>
    <row r="7658" spans="4:59">
      <c r="D7658" s="1065"/>
      <c r="S7658" s="1065"/>
      <c r="BE7658" s="1065"/>
      <c r="BF7658" s="1065"/>
      <c r="BG7658" s="1065"/>
    </row>
    <row r="7659" spans="4:59">
      <c r="D7659" s="1065"/>
      <c r="S7659" s="1065"/>
      <c r="BE7659" s="1065"/>
      <c r="BF7659" s="1065"/>
      <c r="BG7659" s="1065"/>
    </row>
    <row r="7660" spans="4:59">
      <c r="D7660" s="1065"/>
      <c r="S7660" s="1065"/>
      <c r="BE7660" s="1065"/>
      <c r="BF7660" s="1065"/>
      <c r="BG7660" s="1065"/>
    </row>
    <row r="7661" spans="4:59">
      <c r="D7661" s="1065"/>
      <c r="S7661" s="1065"/>
      <c r="BE7661" s="1065"/>
      <c r="BF7661" s="1065"/>
      <c r="BG7661" s="1065"/>
    </row>
    <row r="7662" spans="4:59">
      <c r="D7662" s="1065"/>
      <c r="S7662" s="1065"/>
      <c r="BE7662" s="1065"/>
      <c r="BF7662" s="1065"/>
      <c r="BG7662" s="1065"/>
    </row>
    <row r="7665" spans="4:59">
      <c r="D7665" s="1065"/>
      <c r="S7665" s="1065"/>
      <c r="BE7665" s="1065"/>
      <c r="BF7665" s="1065"/>
      <c r="BG7665" s="1065"/>
    </row>
    <row r="7666" spans="4:59">
      <c r="D7666" s="1065"/>
      <c r="S7666" s="1065"/>
      <c r="BE7666" s="1065"/>
      <c r="BF7666" s="1065"/>
      <c r="BG7666" s="1065"/>
    </row>
    <row r="7671" spans="4:59">
      <c r="D7671" s="1065"/>
      <c r="S7671" s="1065"/>
      <c r="BE7671" s="1065"/>
      <c r="BF7671" s="1065"/>
      <c r="BG7671" s="1065"/>
    </row>
    <row r="7672" spans="4:59">
      <c r="D7672" s="1065"/>
      <c r="S7672" s="1065"/>
      <c r="BE7672" s="1065"/>
      <c r="BF7672" s="1065"/>
      <c r="BG7672" s="1065"/>
    </row>
    <row r="7673" spans="4:59">
      <c r="D7673" s="1065"/>
      <c r="S7673" s="1065"/>
      <c r="BE7673" s="1065"/>
      <c r="BF7673" s="1065"/>
      <c r="BG7673" s="1065"/>
    </row>
    <row r="7674" spans="4:59">
      <c r="D7674" s="1065"/>
      <c r="S7674" s="1065"/>
      <c r="BE7674" s="1065"/>
      <c r="BF7674" s="1065"/>
      <c r="BG7674" s="1065"/>
    </row>
    <row r="7675" spans="4:59">
      <c r="D7675" s="1065"/>
      <c r="S7675" s="1065"/>
      <c r="BE7675" s="1065"/>
      <c r="BF7675" s="1065"/>
      <c r="BG7675" s="1065"/>
    </row>
    <row r="7676" spans="4:59">
      <c r="D7676" s="1065"/>
      <c r="S7676" s="1065"/>
      <c r="BE7676" s="1065"/>
      <c r="BF7676" s="1065"/>
      <c r="BG7676" s="1065"/>
    </row>
    <row r="7677" spans="4:59">
      <c r="D7677" s="1065"/>
      <c r="S7677" s="1065"/>
      <c r="BE7677" s="1065"/>
      <c r="BF7677" s="1065"/>
      <c r="BG7677" s="1065"/>
    </row>
    <row r="7678" spans="4:59">
      <c r="D7678" s="1065"/>
      <c r="S7678" s="1065"/>
      <c r="BE7678" s="1065"/>
      <c r="BF7678" s="1065"/>
      <c r="BG7678" s="1065"/>
    </row>
    <row r="7679" spans="4:59">
      <c r="D7679" s="1065"/>
      <c r="S7679" s="1065"/>
      <c r="BE7679" s="1065"/>
      <c r="BF7679" s="1065"/>
      <c r="BG7679" s="1065"/>
    </row>
    <row r="7680" spans="4:59">
      <c r="D7680" s="1065"/>
      <c r="S7680" s="1065"/>
      <c r="BE7680" s="1065"/>
      <c r="BF7680" s="1065"/>
      <c r="BG7680" s="1065"/>
    </row>
    <row r="7681" spans="4:59">
      <c r="D7681" s="1065"/>
      <c r="S7681" s="1065"/>
      <c r="BE7681" s="1065"/>
      <c r="BF7681" s="1065"/>
      <c r="BG7681" s="1065"/>
    </row>
    <row r="7682" spans="4:59">
      <c r="D7682" s="1065"/>
      <c r="S7682" s="1065"/>
      <c r="BE7682" s="1065"/>
      <c r="BF7682" s="1065"/>
      <c r="BG7682" s="1065"/>
    </row>
    <row r="7683" spans="4:59">
      <c r="D7683" s="1065"/>
      <c r="S7683" s="1065"/>
      <c r="BE7683" s="1065"/>
      <c r="BF7683" s="1065"/>
      <c r="BG7683" s="1065"/>
    </row>
    <row r="7684" spans="4:59">
      <c r="D7684" s="1065"/>
      <c r="S7684" s="1065"/>
      <c r="BE7684" s="1065"/>
      <c r="BF7684" s="1065"/>
      <c r="BG7684" s="1065"/>
    </row>
    <row r="7685" spans="4:59">
      <c r="D7685" s="1065"/>
      <c r="S7685" s="1065"/>
      <c r="BE7685" s="1065"/>
      <c r="BF7685" s="1065"/>
      <c r="BG7685" s="1065"/>
    </row>
    <row r="7686" spans="4:59">
      <c r="D7686" s="1065"/>
      <c r="S7686" s="1065"/>
      <c r="BE7686" s="1065"/>
      <c r="BF7686" s="1065"/>
      <c r="BG7686" s="1065"/>
    </row>
    <row r="7687" spans="4:59">
      <c r="D7687" s="1065"/>
      <c r="S7687" s="1065"/>
      <c r="BE7687" s="1065"/>
      <c r="BF7687" s="1065"/>
      <c r="BG7687" s="1065"/>
    </row>
    <row r="7688" spans="4:59">
      <c r="D7688" s="1065"/>
      <c r="S7688" s="1065"/>
      <c r="BE7688" s="1065"/>
      <c r="BF7688" s="1065"/>
      <c r="BG7688" s="1065"/>
    </row>
    <row r="7689" spans="4:59">
      <c r="D7689" s="1065"/>
      <c r="S7689" s="1065"/>
      <c r="BE7689" s="1065"/>
      <c r="BF7689" s="1065"/>
      <c r="BG7689" s="1065"/>
    </row>
    <row r="7690" spans="4:59">
      <c r="D7690" s="1065"/>
      <c r="S7690" s="1065"/>
      <c r="BE7690" s="1065"/>
      <c r="BF7690" s="1065"/>
      <c r="BG7690" s="1065"/>
    </row>
    <row r="7691" spans="4:59">
      <c r="D7691" s="1065"/>
      <c r="S7691" s="1065"/>
      <c r="BE7691" s="1065"/>
      <c r="BF7691" s="1065"/>
      <c r="BG7691" s="1065"/>
    </row>
    <row r="7692" spans="4:59">
      <c r="D7692" s="1065"/>
      <c r="S7692" s="1065"/>
      <c r="BE7692" s="1065"/>
      <c r="BF7692" s="1065"/>
      <c r="BG7692" s="1065"/>
    </row>
    <row r="7693" spans="4:59">
      <c r="D7693" s="1065"/>
      <c r="S7693" s="1065"/>
      <c r="BE7693" s="1065"/>
      <c r="BF7693" s="1065"/>
      <c r="BG7693" s="1065"/>
    </row>
    <row r="7694" spans="4:59">
      <c r="D7694" s="1065"/>
      <c r="S7694" s="1065"/>
      <c r="BE7694" s="1065"/>
      <c r="BF7694" s="1065"/>
      <c r="BG7694" s="1065"/>
    </row>
    <row r="7695" spans="4:59">
      <c r="D7695" s="1065"/>
      <c r="S7695" s="1065"/>
      <c r="BE7695" s="1065"/>
      <c r="BF7695" s="1065"/>
      <c r="BG7695" s="1065"/>
    </row>
    <row r="7696" spans="4:59">
      <c r="D7696" s="1065"/>
      <c r="S7696" s="1065"/>
      <c r="BE7696" s="1065"/>
      <c r="BF7696" s="1065"/>
      <c r="BG7696" s="1065"/>
    </row>
    <row r="7697" spans="4:59">
      <c r="D7697" s="1065"/>
      <c r="S7697" s="1065"/>
      <c r="BE7697" s="1065"/>
      <c r="BF7697" s="1065"/>
      <c r="BG7697" s="1065"/>
    </row>
    <row r="7698" spans="4:59">
      <c r="D7698" s="1065"/>
      <c r="S7698" s="1065"/>
      <c r="BE7698" s="1065"/>
      <c r="BF7698" s="1065"/>
      <c r="BG7698" s="1065"/>
    </row>
    <row r="7699" spans="4:59">
      <c r="D7699" s="1065"/>
      <c r="S7699" s="1065"/>
      <c r="BE7699" s="1065"/>
      <c r="BF7699" s="1065"/>
      <c r="BG7699" s="1065"/>
    </row>
    <row r="7700" spans="4:59">
      <c r="D7700" s="1065"/>
      <c r="S7700" s="1065"/>
      <c r="BE7700" s="1065"/>
      <c r="BF7700" s="1065"/>
      <c r="BG7700" s="1065"/>
    </row>
    <row r="7701" spans="4:59">
      <c r="D7701" s="1065"/>
      <c r="S7701" s="1065"/>
      <c r="BE7701" s="1065"/>
      <c r="BF7701" s="1065"/>
      <c r="BG7701" s="1065"/>
    </row>
    <row r="7702" spans="4:59">
      <c r="D7702" s="1065"/>
      <c r="S7702" s="1065"/>
      <c r="BE7702" s="1065"/>
      <c r="BF7702" s="1065"/>
      <c r="BG7702" s="1065"/>
    </row>
    <row r="7703" spans="4:59">
      <c r="D7703" s="1065"/>
      <c r="S7703" s="1065"/>
      <c r="BE7703" s="1065"/>
      <c r="BF7703" s="1065"/>
      <c r="BG7703" s="1065"/>
    </row>
    <row r="7704" spans="4:59">
      <c r="D7704" s="1065"/>
      <c r="S7704" s="1065"/>
      <c r="BE7704" s="1065"/>
      <c r="BF7704" s="1065"/>
      <c r="BG7704" s="1065"/>
    </row>
    <row r="7705" spans="4:59">
      <c r="D7705" s="1065"/>
      <c r="S7705" s="1065"/>
      <c r="BE7705" s="1065"/>
      <c r="BF7705" s="1065"/>
      <c r="BG7705" s="1065"/>
    </row>
    <row r="7706" spans="4:59">
      <c r="D7706" s="1065"/>
      <c r="S7706" s="1065"/>
      <c r="BE7706" s="1065"/>
      <c r="BF7706" s="1065"/>
      <c r="BG7706" s="1065"/>
    </row>
    <row r="7707" spans="4:59">
      <c r="D7707" s="1065"/>
      <c r="S7707" s="1065"/>
      <c r="BE7707" s="1065"/>
      <c r="BF7707" s="1065"/>
      <c r="BG7707" s="1065"/>
    </row>
    <row r="7708" spans="4:59">
      <c r="D7708" s="1065"/>
      <c r="S7708" s="1065"/>
      <c r="BE7708" s="1065"/>
      <c r="BF7708" s="1065"/>
      <c r="BG7708" s="1065"/>
    </row>
    <row r="7709" spans="4:59">
      <c r="D7709" s="1065"/>
      <c r="S7709" s="1065"/>
      <c r="BE7709" s="1065"/>
      <c r="BF7709" s="1065"/>
      <c r="BG7709" s="1065"/>
    </row>
    <row r="7710" spans="4:59">
      <c r="D7710" s="1065"/>
      <c r="S7710" s="1065"/>
      <c r="BE7710" s="1065"/>
      <c r="BF7710" s="1065"/>
      <c r="BG7710" s="1065"/>
    </row>
    <row r="7711" spans="4:59">
      <c r="D7711" s="1065"/>
      <c r="S7711" s="1065"/>
      <c r="BE7711" s="1065"/>
      <c r="BF7711" s="1065"/>
      <c r="BG7711" s="1065"/>
    </row>
    <row r="7712" spans="4:59">
      <c r="D7712" s="1065"/>
      <c r="S7712" s="1065"/>
      <c r="BE7712" s="1065"/>
      <c r="BF7712" s="1065"/>
      <c r="BG7712" s="1065"/>
    </row>
    <row r="7713" spans="4:59">
      <c r="D7713" s="1065"/>
      <c r="S7713" s="1065"/>
      <c r="BE7713" s="1065"/>
      <c r="BF7713" s="1065"/>
      <c r="BG7713" s="1065"/>
    </row>
    <row r="7714" spans="4:59">
      <c r="D7714" s="1065"/>
      <c r="S7714" s="1065"/>
      <c r="BE7714" s="1065"/>
      <c r="BF7714" s="1065"/>
      <c r="BG7714" s="1065"/>
    </row>
    <row r="7715" spans="4:59">
      <c r="D7715" s="1065"/>
      <c r="S7715" s="1065"/>
      <c r="BE7715" s="1065"/>
      <c r="BF7715" s="1065"/>
      <c r="BG7715" s="1065"/>
    </row>
    <row r="7716" spans="4:59">
      <c r="D7716" s="1065"/>
      <c r="S7716" s="1065"/>
      <c r="BE7716" s="1065"/>
      <c r="BF7716" s="1065"/>
      <c r="BG7716" s="1065"/>
    </row>
    <row r="7717" spans="4:59">
      <c r="D7717" s="1065"/>
      <c r="S7717" s="1065"/>
      <c r="BE7717" s="1065"/>
      <c r="BF7717" s="1065"/>
      <c r="BG7717" s="1065"/>
    </row>
    <row r="7718" spans="4:59">
      <c r="D7718" s="1065"/>
      <c r="S7718" s="1065"/>
      <c r="BE7718" s="1065"/>
      <c r="BF7718" s="1065"/>
      <c r="BG7718" s="1065"/>
    </row>
    <row r="7719" spans="4:59">
      <c r="D7719" s="1065"/>
      <c r="S7719" s="1065"/>
      <c r="BE7719" s="1065"/>
      <c r="BF7719" s="1065"/>
      <c r="BG7719" s="1065"/>
    </row>
    <row r="7720" spans="4:59">
      <c r="D7720" s="1065"/>
      <c r="S7720" s="1065"/>
      <c r="BE7720" s="1065"/>
      <c r="BF7720" s="1065"/>
      <c r="BG7720" s="1065"/>
    </row>
    <row r="7721" spans="4:59">
      <c r="D7721" s="1065"/>
      <c r="S7721" s="1065"/>
      <c r="BE7721" s="1065"/>
      <c r="BF7721" s="1065"/>
      <c r="BG7721" s="1065"/>
    </row>
    <row r="7722" spans="4:59">
      <c r="D7722" s="1065"/>
      <c r="S7722" s="1065"/>
      <c r="BE7722" s="1065"/>
      <c r="BF7722" s="1065"/>
      <c r="BG7722" s="1065"/>
    </row>
    <row r="7723" spans="4:59">
      <c r="D7723" s="1065"/>
      <c r="S7723" s="1065"/>
      <c r="BE7723" s="1065"/>
      <c r="BF7723" s="1065"/>
      <c r="BG7723" s="1065"/>
    </row>
    <row r="7724" spans="4:59">
      <c r="D7724" s="1065"/>
      <c r="S7724" s="1065"/>
      <c r="BE7724" s="1065"/>
      <c r="BF7724" s="1065"/>
      <c r="BG7724" s="1065"/>
    </row>
    <row r="7725" spans="4:59">
      <c r="D7725" s="1065"/>
      <c r="S7725" s="1065"/>
      <c r="BE7725" s="1065"/>
      <c r="BF7725" s="1065"/>
      <c r="BG7725" s="1065"/>
    </row>
    <row r="7726" spans="4:59">
      <c r="D7726" s="1065"/>
      <c r="S7726" s="1065"/>
      <c r="BE7726" s="1065"/>
      <c r="BF7726" s="1065"/>
      <c r="BG7726" s="1065"/>
    </row>
    <row r="7727" spans="4:59">
      <c r="D7727" s="1065"/>
      <c r="S7727" s="1065"/>
      <c r="BE7727" s="1065"/>
      <c r="BF7727" s="1065"/>
      <c r="BG7727" s="1065"/>
    </row>
    <row r="7728" spans="4:59">
      <c r="D7728" s="1065"/>
      <c r="S7728" s="1065"/>
      <c r="BE7728" s="1065"/>
      <c r="BF7728" s="1065"/>
      <c r="BG7728" s="1065"/>
    </row>
    <row r="7729" spans="4:59">
      <c r="D7729" s="1065"/>
      <c r="S7729" s="1065"/>
      <c r="BE7729" s="1065"/>
      <c r="BF7729" s="1065"/>
      <c r="BG7729" s="1065"/>
    </row>
    <row r="7730" spans="4:59">
      <c r="D7730" s="1065"/>
      <c r="S7730" s="1065"/>
      <c r="BE7730" s="1065"/>
      <c r="BF7730" s="1065"/>
      <c r="BG7730" s="1065"/>
    </row>
    <row r="7731" spans="4:59">
      <c r="D7731" s="1065"/>
      <c r="S7731" s="1065"/>
      <c r="BE7731" s="1065"/>
      <c r="BF7731" s="1065"/>
      <c r="BG7731" s="1065"/>
    </row>
    <row r="7732" spans="4:59">
      <c r="D7732" s="1065"/>
      <c r="S7732" s="1065"/>
      <c r="BE7732" s="1065"/>
      <c r="BF7732" s="1065"/>
      <c r="BG7732" s="1065"/>
    </row>
    <row r="7733" spans="4:59">
      <c r="D7733" s="1065"/>
      <c r="S7733" s="1065"/>
      <c r="BE7733" s="1065"/>
      <c r="BF7733" s="1065"/>
      <c r="BG7733" s="1065"/>
    </row>
    <row r="7734" spans="4:59">
      <c r="D7734" s="1065"/>
      <c r="S7734" s="1065"/>
      <c r="BE7734" s="1065"/>
      <c r="BF7734" s="1065"/>
      <c r="BG7734" s="1065"/>
    </row>
    <row r="7735" spans="4:59">
      <c r="D7735" s="1065"/>
      <c r="S7735" s="1065"/>
      <c r="BE7735" s="1065"/>
      <c r="BF7735" s="1065"/>
      <c r="BG7735" s="1065"/>
    </row>
    <row r="7736" spans="4:59">
      <c r="D7736" s="1065"/>
      <c r="S7736" s="1065"/>
      <c r="BE7736" s="1065"/>
      <c r="BF7736" s="1065"/>
      <c r="BG7736" s="1065"/>
    </row>
    <row r="7737" spans="4:59">
      <c r="D7737" s="1065"/>
      <c r="S7737" s="1065"/>
      <c r="BE7737" s="1065"/>
      <c r="BF7737" s="1065"/>
      <c r="BG7737" s="1065"/>
    </row>
    <row r="7738" spans="4:59">
      <c r="D7738" s="1065"/>
      <c r="S7738" s="1065"/>
      <c r="BE7738" s="1065"/>
      <c r="BF7738" s="1065"/>
      <c r="BG7738" s="1065"/>
    </row>
    <row r="7739" spans="4:59">
      <c r="D7739" s="1065"/>
      <c r="S7739" s="1065"/>
      <c r="BE7739" s="1065"/>
      <c r="BF7739" s="1065"/>
      <c r="BG7739" s="1065"/>
    </row>
    <row r="7740" spans="4:59">
      <c r="D7740" s="1065"/>
      <c r="S7740" s="1065"/>
      <c r="BE7740" s="1065"/>
      <c r="BF7740" s="1065"/>
      <c r="BG7740" s="1065"/>
    </row>
    <row r="7741" spans="4:59">
      <c r="D7741" s="1065"/>
      <c r="S7741" s="1065"/>
      <c r="BE7741" s="1065"/>
      <c r="BF7741" s="1065"/>
      <c r="BG7741" s="1065"/>
    </row>
    <row r="7742" spans="4:59">
      <c r="D7742" s="1065"/>
      <c r="S7742" s="1065"/>
      <c r="BE7742" s="1065"/>
      <c r="BF7742" s="1065"/>
      <c r="BG7742" s="1065"/>
    </row>
    <row r="7743" spans="4:59">
      <c r="D7743" s="1065"/>
      <c r="S7743" s="1065"/>
      <c r="BE7743" s="1065"/>
      <c r="BF7743" s="1065"/>
      <c r="BG7743" s="1065"/>
    </row>
    <row r="7744" spans="4:59">
      <c r="D7744" s="1065"/>
      <c r="S7744" s="1065"/>
      <c r="BE7744" s="1065"/>
      <c r="BF7744" s="1065"/>
      <c r="BG7744" s="1065"/>
    </row>
    <row r="7745" spans="4:59">
      <c r="D7745" s="1065"/>
      <c r="S7745" s="1065"/>
      <c r="BE7745" s="1065"/>
      <c r="BF7745" s="1065"/>
      <c r="BG7745" s="1065"/>
    </row>
    <row r="7746" spans="4:59">
      <c r="D7746" s="1065"/>
      <c r="S7746" s="1065"/>
      <c r="BE7746" s="1065"/>
      <c r="BF7746" s="1065"/>
      <c r="BG7746" s="1065"/>
    </row>
    <row r="7747" spans="4:59">
      <c r="D7747" s="1065"/>
      <c r="S7747" s="1065"/>
      <c r="BE7747" s="1065"/>
      <c r="BF7747" s="1065"/>
      <c r="BG7747" s="1065"/>
    </row>
    <row r="7748" spans="4:59">
      <c r="D7748" s="1065"/>
      <c r="S7748" s="1065"/>
      <c r="BE7748" s="1065"/>
      <c r="BF7748" s="1065"/>
      <c r="BG7748" s="1065"/>
    </row>
    <row r="7749" spans="4:59">
      <c r="D7749" s="1065"/>
      <c r="S7749" s="1065"/>
      <c r="BE7749" s="1065"/>
      <c r="BF7749" s="1065"/>
      <c r="BG7749" s="1065"/>
    </row>
    <row r="7750" spans="4:59">
      <c r="D7750" s="1065"/>
      <c r="S7750" s="1065"/>
      <c r="BE7750" s="1065"/>
      <c r="BF7750" s="1065"/>
      <c r="BG7750" s="1065"/>
    </row>
    <row r="7751" spans="4:59">
      <c r="D7751" s="1065"/>
      <c r="S7751" s="1065"/>
      <c r="BE7751" s="1065"/>
      <c r="BF7751" s="1065"/>
      <c r="BG7751" s="1065"/>
    </row>
    <row r="7752" spans="4:59">
      <c r="D7752" s="1065"/>
      <c r="S7752" s="1065"/>
      <c r="BE7752" s="1065"/>
      <c r="BF7752" s="1065"/>
      <c r="BG7752" s="1065"/>
    </row>
    <row r="7753" spans="4:59">
      <c r="D7753" s="1065"/>
      <c r="S7753" s="1065"/>
      <c r="BE7753" s="1065"/>
      <c r="BF7753" s="1065"/>
      <c r="BG7753" s="1065"/>
    </row>
    <row r="7754" spans="4:59">
      <c r="D7754" s="1065"/>
      <c r="S7754" s="1065"/>
      <c r="BE7754" s="1065"/>
      <c r="BF7754" s="1065"/>
      <c r="BG7754" s="1065"/>
    </row>
    <row r="7755" spans="4:59">
      <c r="D7755" s="1065"/>
      <c r="S7755" s="1065"/>
      <c r="BE7755" s="1065"/>
      <c r="BF7755" s="1065"/>
      <c r="BG7755" s="1065"/>
    </row>
    <row r="7756" spans="4:59">
      <c r="D7756" s="1065"/>
      <c r="S7756" s="1065"/>
      <c r="BE7756" s="1065"/>
      <c r="BF7756" s="1065"/>
      <c r="BG7756" s="1065"/>
    </row>
    <row r="7757" spans="4:59">
      <c r="D7757" s="1065"/>
      <c r="S7757" s="1065"/>
      <c r="BE7757" s="1065"/>
      <c r="BF7757" s="1065"/>
      <c r="BG7757" s="1065"/>
    </row>
    <row r="7758" spans="4:59">
      <c r="D7758" s="1065"/>
      <c r="S7758" s="1065"/>
      <c r="BE7758" s="1065"/>
      <c r="BF7758" s="1065"/>
      <c r="BG7758" s="1065"/>
    </row>
    <row r="7759" spans="4:59">
      <c r="D7759" s="1065"/>
      <c r="S7759" s="1065"/>
      <c r="BE7759" s="1065"/>
      <c r="BF7759" s="1065"/>
      <c r="BG7759" s="1065"/>
    </row>
    <row r="7760" spans="4:59">
      <c r="D7760" s="1065"/>
      <c r="S7760" s="1065"/>
      <c r="BE7760" s="1065"/>
      <c r="BF7760" s="1065"/>
      <c r="BG7760" s="1065"/>
    </row>
    <row r="7761" spans="4:59">
      <c r="D7761" s="1065"/>
      <c r="S7761" s="1065"/>
      <c r="BE7761" s="1065"/>
      <c r="BF7761" s="1065"/>
      <c r="BG7761" s="1065"/>
    </row>
    <row r="7762" spans="4:59">
      <c r="D7762" s="1065"/>
      <c r="S7762" s="1065"/>
      <c r="BE7762" s="1065"/>
      <c r="BF7762" s="1065"/>
      <c r="BG7762" s="1065"/>
    </row>
    <row r="7763" spans="4:59">
      <c r="D7763" s="1065"/>
      <c r="S7763" s="1065"/>
      <c r="BE7763" s="1065"/>
      <c r="BF7763" s="1065"/>
      <c r="BG7763" s="1065"/>
    </row>
    <row r="7764" spans="4:59">
      <c r="D7764" s="1065"/>
      <c r="S7764" s="1065"/>
      <c r="BE7764" s="1065"/>
      <c r="BF7764" s="1065"/>
      <c r="BG7764" s="1065"/>
    </row>
    <row r="7765" spans="4:59">
      <c r="D7765" s="1065"/>
      <c r="S7765" s="1065"/>
      <c r="BE7765" s="1065"/>
      <c r="BF7765" s="1065"/>
      <c r="BG7765" s="1065"/>
    </row>
    <row r="7766" spans="4:59">
      <c r="D7766" s="1065"/>
      <c r="S7766" s="1065"/>
      <c r="BE7766" s="1065"/>
      <c r="BF7766" s="1065"/>
      <c r="BG7766" s="1065"/>
    </row>
    <row r="7767" spans="4:59">
      <c r="D7767" s="1065"/>
      <c r="S7767" s="1065"/>
      <c r="BE7767" s="1065"/>
      <c r="BF7767" s="1065"/>
      <c r="BG7767" s="1065"/>
    </row>
    <row r="7768" spans="4:59">
      <c r="D7768" s="1065"/>
      <c r="S7768" s="1065"/>
      <c r="BE7768" s="1065"/>
      <c r="BF7768" s="1065"/>
      <c r="BG7768" s="1065"/>
    </row>
    <row r="7769" spans="4:59">
      <c r="D7769" s="1065"/>
      <c r="S7769" s="1065"/>
      <c r="BE7769" s="1065"/>
      <c r="BF7769" s="1065"/>
      <c r="BG7769" s="1065"/>
    </row>
    <row r="7770" spans="4:59">
      <c r="D7770" s="1065"/>
      <c r="S7770" s="1065"/>
      <c r="BE7770" s="1065"/>
      <c r="BF7770" s="1065"/>
      <c r="BG7770" s="1065"/>
    </row>
    <row r="7771" spans="4:59">
      <c r="D7771" s="1065"/>
      <c r="S7771" s="1065"/>
      <c r="BE7771" s="1065"/>
      <c r="BF7771" s="1065"/>
      <c r="BG7771" s="1065"/>
    </row>
    <row r="7772" spans="4:59">
      <c r="D7772" s="1065"/>
      <c r="S7772" s="1065"/>
      <c r="BE7772" s="1065"/>
      <c r="BF7772" s="1065"/>
      <c r="BG7772" s="1065"/>
    </row>
    <row r="7773" spans="4:59">
      <c r="D7773" s="1065"/>
      <c r="S7773" s="1065"/>
      <c r="BE7773" s="1065"/>
      <c r="BF7773" s="1065"/>
      <c r="BG7773" s="1065"/>
    </row>
    <row r="7774" spans="4:59">
      <c r="D7774" s="1065"/>
      <c r="S7774" s="1065"/>
      <c r="BE7774" s="1065"/>
      <c r="BF7774" s="1065"/>
      <c r="BG7774" s="1065"/>
    </row>
    <row r="7775" spans="4:59">
      <c r="D7775" s="1065"/>
      <c r="S7775" s="1065"/>
      <c r="BE7775" s="1065"/>
      <c r="BF7775" s="1065"/>
      <c r="BG7775" s="1065"/>
    </row>
    <row r="7776" spans="4:59">
      <c r="D7776" s="1065"/>
      <c r="S7776" s="1065"/>
      <c r="BE7776" s="1065"/>
      <c r="BF7776" s="1065"/>
      <c r="BG7776" s="1065"/>
    </row>
    <row r="7777" spans="4:59">
      <c r="D7777" s="1065"/>
      <c r="S7777" s="1065"/>
      <c r="BE7777" s="1065"/>
      <c r="BF7777" s="1065"/>
      <c r="BG7777" s="1065"/>
    </row>
    <row r="7778" spans="4:59">
      <c r="D7778" s="1065"/>
      <c r="S7778" s="1065"/>
      <c r="BE7778" s="1065"/>
      <c r="BF7778" s="1065"/>
      <c r="BG7778" s="1065"/>
    </row>
    <row r="7779" spans="4:59">
      <c r="D7779" s="1065"/>
      <c r="S7779" s="1065"/>
      <c r="BE7779" s="1065"/>
      <c r="BF7779" s="1065"/>
      <c r="BG7779" s="1065"/>
    </row>
    <row r="7780" spans="4:59">
      <c r="D7780" s="1065"/>
      <c r="S7780" s="1065"/>
      <c r="BE7780" s="1065"/>
      <c r="BF7780" s="1065"/>
      <c r="BG7780" s="1065"/>
    </row>
    <row r="7781" spans="4:59">
      <c r="D7781" s="1065"/>
      <c r="S7781" s="1065"/>
      <c r="BE7781" s="1065"/>
      <c r="BF7781" s="1065"/>
      <c r="BG7781" s="1065"/>
    </row>
    <row r="7782" spans="4:59">
      <c r="D7782" s="1065"/>
      <c r="S7782" s="1065"/>
      <c r="BE7782" s="1065"/>
      <c r="BF7782" s="1065"/>
      <c r="BG7782" s="1065"/>
    </row>
    <row r="7783" spans="4:59">
      <c r="D7783" s="1065"/>
      <c r="S7783" s="1065"/>
      <c r="BE7783" s="1065"/>
      <c r="BF7783" s="1065"/>
      <c r="BG7783" s="1065"/>
    </row>
    <row r="7784" spans="4:59">
      <c r="D7784" s="1065"/>
      <c r="S7784" s="1065"/>
      <c r="BE7784" s="1065"/>
      <c r="BF7784" s="1065"/>
      <c r="BG7784" s="1065"/>
    </row>
    <row r="7785" spans="4:59">
      <c r="D7785" s="1065"/>
      <c r="S7785" s="1065"/>
      <c r="BE7785" s="1065"/>
      <c r="BF7785" s="1065"/>
      <c r="BG7785" s="1065"/>
    </row>
    <row r="7786" spans="4:59">
      <c r="D7786" s="1065"/>
      <c r="S7786" s="1065"/>
      <c r="BE7786" s="1065"/>
      <c r="BF7786" s="1065"/>
      <c r="BG7786" s="1065"/>
    </row>
    <row r="7787" spans="4:59">
      <c r="D7787" s="1065"/>
      <c r="S7787" s="1065"/>
      <c r="BE7787" s="1065"/>
      <c r="BF7787" s="1065"/>
      <c r="BG7787" s="1065"/>
    </row>
    <row r="7788" spans="4:59">
      <c r="D7788" s="1065"/>
      <c r="S7788" s="1065"/>
      <c r="BE7788" s="1065"/>
      <c r="BF7788" s="1065"/>
      <c r="BG7788" s="1065"/>
    </row>
    <row r="7789" spans="4:59">
      <c r="D7789" s="1065"/>
      <c r="S7789" s="1065"/>
      <c r="BE7789" s="1065"/>
      <c r="BF7789" s="1065"/>
      <c r="BG7789" s="1065"/>
    </row>
    <row r="7790" spans="4:59">
      <c r="D7790" s="1065"/>
      <c r="S7790" s="1065"/>
      <c r="BE7790" s="1065"/>
      <c r="BF7790" s="1065"/>
      <c r="BG7790" s="1065"/>
    </row>
    <row r="7791" spans="4:59">
      <c r="D7791" s="1065"/>
      <c r="S7791" s="1065"/>
      <c r="BE7791" s="1065"/>
      <c r="BF7791" s="1065"/>
      <c r="BG7791" s="1065"/>
    </row>
    <row r="7792" spans="4:59">
      <c r="D7792" s="1065"/>
      <c r="S7792" s="1065"/>
      <c r="BE7792" s="1065"/>
      <c r="BF7792" s="1065"/>
      <c r="BG7792" s="1065"/>
    </row>
    <row r="7793" spans="4:59">
      <c r="D7793" s="1065"/>
      <c r="S7793" s="1065"/>
      <c r="BE7793" s="1065"/>
      <c r="BF7793" s="1065"/>
      <c r="BG7793" s="1065"/>
    </row>
    <row r="7794" spans="4:59">
      <c r="D7794" s="1065"/>
      <c r="S7794" s="1065"/>
      <c r="BE7794" s="1065"/>
      <c r="BF7794" s="1065"/>
      <c r="BG7794" s="1065"/>
    </row>
    <row r="7795" spans="4:59">
      <c r="D7795" s="1065"/>
      <c r="S7795" s="1065"/>
      <c r="BE7795" s="1065"/>
      <c r="BF7795" s="1065"/>
      <c r="BG7795" s="1065"/>
    </row>
    <row r="7796" spans="4:59">
      <c r="D7796" s="1065"/>
      <c r="S7796" s="1065"/>
      <c r="BE7796" s="1065"/>
      <c r="BF7796" s="1065"/>
      <c r="BG7796" s="1065"/>
    </row>
    <row r="7797" spans="4:59">
      <c r="D7797" s="1065"/>
      <c r="S7797" s="1065"/>
      <c r="BE7797" s="1065"/>
      <c r="BF7797" s="1065"/>
      <c r="BG7797" s="1065"/>
    </row>
    <row r="7798" spans="4:59">
      <c r="D7798" s="1065"/>
      <c r="S7798" s="1065"/>
      <c r="BE7798" s="1065"/>
      <c r="BF7798" s="1065"/>
      <c r="BG7798" s="1065"/>
    </row>
    <row r="7799" spans="4:59">
      <c r="D7799" s="1065"/>
      <c r="S7799" s="1065"/>
      <c r="BE7799" s="1065"/>
      <c r="BF7799" s="1065"/>
      <c r="BG7799" s="1065"/>
    </row>
    <row r="7800" spans="4:59">
      <c r="D7800" s="1065"/>
      <c r="S7800" s="1065"/>
      <c r="BE7800" s="1065"/>
      <c r="BF7800" s="1065"/>
      <c r="BG7800" s="1065"/>
    </row>
    <row r="7801" spans="4:59">
      <c r="D7801" s="1065"/>
      <c r="S7801" s="1065"/>
      <c r="BE7801" s="1065"/>
      <c r="BF7801" s="1065"/>
      <c r="BG7801" s="1065"/>
    </row>
    <row r="7802" spans="4:59">
      <c r="D7802" s="1065"/>
      <c r="S7802" s="1065"/>
      <c r="BE7802" s="1065"/>
      <c r="BF7802" s="1065"/>
      <c r="BG7802" s="1065"/>
    </row>
    <row r="7803" spans="4:59">
      <c r="D7803" s="1065"/>
      <c r="S7803" s="1065"/>
      <c r="BE7803" s="1065"/>
      <c r="BF7803" s="1065"/>
      <c r="BG7803" s="1065"/>
    </row>
    <row r="7804" spans="4:59">
      <c r="D7804" s="1065"/>
      <c r="S7804" s="1065"/>
      <c r="BE7804" s="1065"/>
      <c r="BF7804" s="1065"/>
      <c r="BG7804" s="1065"/>
    </row>
    <row r="7805" spans="4:59">
      <c r="D7805" s="1065"/>
      <c r="S7805" s="1065"/>
      <c r="BE7805" s="1065"/>
      <c r="BF7805" s="1065"/>
      <c r="BG7805" s="1065"/>
    </row>
    <row r="7806" spans="4:59">
      <c r="D7806" s="1065"/>
      <c r="S7806" s="1065"/>
      <c r="BE7806" s="1065"/>
      <c r="BF7806" s="1065"/>
      <c r="BG7806" s="1065"/>
    </row>
    <row r="7807" spans="4:59">
      <c r="D7807" s="1065"/>
      <c r="S7807" s="1065"/>
      <c r="BE7807" s="1065"/>
      <c r="BF7807" s="1065"/>
      <c r="BG7807" s="1065"/>
    </row>
    <row r="7808" spans="4:59">
      <c r="D7808" s="1065"/>
      <c r="S7808" s="1065"/>
      <c r="BE7808" s="1065"/>
      <c r="BF7808" s="1065"/>
      <c r="BG7808" s="1065"/>
    </row>
    <row r="7809" spans="4:59">
      <c r="D7809" s="1065"/>
      <c r="S7809" s="1065"/>
      <c r="BE7809" s="1065"/>
      <c r="BF7809" s="1065"/>
      <c r="BG7809" s="1065"/>
    </row>
    <row r="7810" spans="4:59">
      <c r="D7810" s="1065"/>
      <c r="S7810" s="1065"/>
      <c r="BE7810" s="1065"/>
      <c r="BF7810" s="1065"/>
      <c r="BG7810" s="1065"/>
    </row>
    <row r="7811" spans="4:59">
      <c r="D7811" s="1065"/>
      <c r="S7811" s="1065"/>
      <c r="BE7811" s="1065"/>
      <c r="BF7811" s="1065"/>
      <c r="BG7811" s="1065"/>
    </row>
    <row r="7812" spans="4:59">
      <c r="D7812" s="1065"/>
      <c r="S7812" s="1065"/>
      <c r="BE7812" s="1065"/>
      <c r="BF7812" s="1065"/>
      <c r="BG7812" s="1065"/>
    </row>
    <row r="7813" spans="4:59">
      <c r="D7813" s="1065"/>
      <c r="S7813" s="1065"/>
      <c r="BE7813" s="1065"/>
      <c r="BF7813" s="1065"/>
      <c r="BG7813" s="1065"/>
    </row>
    <row r="7814" spans="4:59">
      <c r="D7814" s="1065"/>
      <c r="S7814" s="1065"/>
      <c r="BE7814" s="1065"/>
      <c r="BF7814" s="1065"/>
      <c r="BG7814" s="1065"/>
    </row>
    <row r="7815" spans="4:59">
      <c r="D7815" s="1065"/>
      <c r="S7815" s="1065"/>
      <c r="BE7815" s="1065"/>
      <c r="BF7815" s="1065"/>
      <c r="BG7815" s="1065"/>
    </row>
    <row r="7816" spans="4:59">
      <c r="D7816" s="1065"/>
      <c r="S7816" s="1065"/>
      <c r="BE7816" s="1065"/>
      <c r="BF7816" s="1065"/>
      <c r="BG7816" s="1065"/>
    </row>
    <row r="7817" spans="4:59">
      <c r="D7817" s="1065"/>
      <c r="S7817" s="1065"/>
      <c r="BE7817" s="1065"/>
      <c r="BF7817" s="1065"/>
      <c r="BG7817" s="1065"/>
    </row>
    <row r="7818" spans="4:59">
      <c r="D7818" s="1065"/>
      <c r="S7818" s="1065"/>
      <c r="BE7818" s="1065"/>
      <c r="BF7818" s="1065"/>
      <c r="BG7818" s="1065"/>
    </row>
    <row r="7819" spans="4:59">
      <c r="D7819" s="1065"/>
      <c r="S7819" s="1065"/>
      <c r="BE7819" s="1065"/>
      <c r="BF7819" s="1065"/>
      <c r="BG7819" s="1065"/>
    </row>
    <row r="7820" spans="4:59">
      <c r="D7820" s="1065"/>
      <c r="S7820" s="1065"/>
      <c r="BE7820" s="1065"/>
      <c r="BF7820" s="1065"/>
      <c r="BG7820" s="1065"/>
    </row>
    <row r="7821" spans="4:59">
      <c r="D7821" s="1065"/>
      <c r="S7821" s="1065"/>
      <c r="BE7821" s="1065"/>
      <c r="BF7821" s="1065"/>
      <c r="BG7821" s="1065"/>
    </row>
    <row r="7826" spans="4:59">
      <c r="D7826" s="1065"/>
      <c r="S7826" s="1065"/>
      <c r="BE7826" s="1065"/>
      <c r="BF7826" s="1065"/>
      <c r="BG7826" s="1065"/>
    </row>
    <row r="7827" spans="4:59">
      <c r="D7827" s="1065"/>
      <c r="S7827" s="1065"/>
      <c r="BE7827" s="1065"/>
      <c r="BF7827" s="1065"/>
      <c r="BG7827" s="1065"/>
    </row>
    <row r="7828" spans="4:59">
      <c r="D7828" s="1065"/>
      <c r="S7828" s="1065"/>
      <c r="BE7828" s="1065"/>
      <c r="BF7828" s="1065"/>
      <c r="BG7828" s="1065"/>
    </row>
    <row r="7829" spans="4:59">
      <c r="D7829" s="1065"/>
      <c r="S7829" s="1065"/>
      <c r="BE7829" s="1065"/>
      <c r="BF7829" s="1065"/>
      <c r="BG7829" s="1065"/>
    </row>
    <row r="7830" spans="4:59">
      <c r="D7830" s="1065"/>
      <c r="S7830" s="1065"/>
      <c r="BE7830" s="1065"/>
      <c r="BF7830" s="1065"/>
      <c r="BG7830" s="1065"/>
    </row>
    <row r="7833" spans="4:59">
      <c r="D7833" s="1065"/>
      <c r="S7833" s="1065"/>
      <c r="BE7833" s="1065"/>
      <c r="BF7833" s="1065"/>
      <c r="BG7833" s="1065"/>
    </row>
    <row r="7834" spans="4:59">
      <c r="D7834" s="1065"/>
      <c r="S7834" s="1065"/>
      <c r="BE7834" s="1065"/>
      <c r="BF7834" s="1065"/>
      <c r="BG7834" s="1065"/>
    </row>
    <row r="7839" spans="4:59">
      <c r="D7839" s="1065"/>
      <c r="S7839" s="1065"/>
      <c r="BE7839" s="1065"/>
      <c r="BF7839" s="1065"/>
      <c r="BG7839" s="1065"/>
    </row>
    <row r="7840" spans="4:59">
      <c r="D7840" s="1065"/>
      <c r="S7840" s="1065"/>
      <c r="BE7840" s="1065"/>
      <c r="BF7840" s="1065"/>
      <c r="BG7840" s="1065"/>
    </row>
    <row r="7841" spans="4:59">
      <c r="D7841" s="1065"/>
      <c r="S7841" s="1065"/>
      <c r="BE7841" s="1065"/>
      <c r="BF7841" s="1065"/>
      <c r="BG7841" s="1065"/>
    </row>
    <row r="7842" spans="4:59">
      <c r="D7842" s="1065"/>
      <c r="S7842" s="1065"/>
      <c r="BE7842" s="1065"/>
      <c r="BF7842" s="1065"/>
      <c r="BG7842" s="1065"/>
    </row>
    <row r="7843" spans="4:59">
      <c r="D7843" s="1065"/>
      <c r="S7843" s="1065"/>
      <c r="BE7843" s="1065"/>
      <c r="BF7843" s="1065"/>
      <c r="BG7843" s="1065"/>
    </row>
    <row r="7844" spans="4:59">
      <c r="D7844" s="1065"/>
      <c r="S7844" s="1065"/>
      <c r="BE7844" s="1065"/>
      <c r="BF7844" s="1065"/>
      <c r="BG7844" s="1065"/>
    </row>
    <row r="7845" spans="4:59">
      <c r="D7845" s="1065"/>
      <c r="S7845" s="1065"/>
      <c r="BE7845" s="1065"/>
      <c r="BF7845" s="1065"/>
      <c r="BG7845" s="1065"/>
    </row>
    <row r="7846" spans="4:59">
      <c r="D7846" s="1065"/>
      <c r="S7846" s="1065"/>
      <c r="BE7846" s="1065"/>
      <c r="BF7846" s="1065"/>
      <c r="BG7846" s="1065"/>
    </row>
    <row r="7847" spans="4:59">
      <c r="D7847" s="1065"/>
      <c r="S7847" s="1065"/>
      <c r="BE7847" s="1065"/>
      <c r="BF7847" s="1065"/>
      <c r="BG7847" s="1065"/>
    </row>
    <row r="7848" spans="4:59">
      <c r="D7848" s="1065"/>
      <c r="S7848" s="1065"/>
      <c r="BE7848" s="1065"/>
      <c r="BF7848" s="1065"/>
      <c r="BG7848" s="1065"/>
    </row>
    <row r="7849" spans="4:59">
      <c r="D7849" s="1065"/>
      <c r="S7849" s="1065"/>
      <c r="BE7849" s="1065"/>
      <c r="BF7849" s="1065"/>
      <c r="BG7849" s="1065"/>
    </row>
    <row r="7850" spans="4:59">
      <c r="D7850" s="1065"/>
      <c r="S7850" s="1065"/>
      <c r="BE7850" s="1065"/>
      <c r="BF7850" s="1065"/>
      <c r="BG7850" s="1065"/>
    </row>
    <row r="7851" spans="4:59">
      <c r="D7851" s="1065"/>
      <c r="S7851" s="1065"/>
      <c r="BE7851" s="1065"/>
      <c r="BF7851" s="1065"/>
      <c r="BG7851" s="1065"/>
    </row>
    <row r="7852" spans="4:59">
      <c r="D7852" s="1065"/>
      <c r="S7852" s="1065"/>
      <c r="BE7852" s="1065"/>
      <c r="BF7852" s="1065"/>
      <c r="BG7852" s="1065"/>
    </row>
    <row r="7853" spans="4:59">
      <c r="D7853" s="1065"/>
      <c r="S7853" s="1065"/>
      <c r="BE7853" s="1065"/>
      <c r="BF7853" s="1065"/>
      <c r="BG7853" s="1065"/>
    </row>
    <row r="7854" spans="4:59">
      <c r="D7854" s="1065"/>
      <c r="S7854" s="1065"/>
      <c r="BE7854" s="1065"/>
      <c r="BF7854" s="1065"/>
      <c r="BG7854" s="1065"/>
    </row>
    <row r="7855" spans="4:59">
      <c r="D7855" s="1065"/>
      <c r="S7855" s="1065"/>
      <c r="BE7855" s="1065"/>
      <c r="BF7855" s="1065"/>
      <c r="BG7855" s="1065"/>
    </row>
    <row r="7856" spans="4:59">
      <c r="D7856" s="1065"/>
      <c r="S7856" s="1065"/>
      <c r="BE7856" s="1065"/>
      <c r="BF7856" s="1065"/>
      <c r="BG7856" s="1065"/>
    </row>
    <row r="7857" spans="4:59">
      <c r="D7857" s="1065"/>
      <c r="S7857" s="1065"/>
      <c r="BE7857" s="1065"/>
      <c r="BF7857" s="1065"/>
      <c r="BG7857" s="1065"/>
    </row>
    <row r="7858" spans="4:59">
      <c r="D7858" s="1065"/>
      <c r="S7858" s="1065"/>
      <c r="BE7858" s="1065"/>
      <c r="BF7858" s="1065"/>
      <c r="BG7858" s="1065"/>
    </row>
    <row r="7859" spans="4:59">
      <c r="D7859" s="1065"/>
      <c r="S7859" s="1065"/>
      <c r="BE7859" s="1065"/>
      <c r="BF7859" s="1065"/>
      <c r="BG7859" s="1065"/>
    </row>
    <row r="7860" spans="4:59">
      <c r="D7860" s="1065"/>
      <c r="S7860" s="1065"/>
      <c r="BE7860" s="1065"/>
      <c r="BF7860" s="1065"/>
      <c r="BG7860" s="1065"/>
    </row>
    <row r="7861" spans="4:59">
      <c r="D7861" s="1065"/>
      <c r="S7861" s="1065"/>
      <c r="BE7861" s="1065"/>
      <c r="BF7861" s="1065"/>
      <c r="BG7861" s="1065"/>
    </row>
    <row r="7862" spans="4:59">
      <c r="D7862" s="1065"/>
      <c r="S7862" s="1065"/>
      <c r="BE7862" s="1065"/>
      <c r="BF7862" s="1065"/>
      <c r="BG7862" s="1065"/>
    </row>
    <row r="7863" spans="4:59">
      <c r="D7863" s="1065"/>
      <c r="S7863" s="1065"/>
      <c r="BE7863" s="1065"/>
      <c r="BF7863" s="1065"/>
      <c r="BG7863" s="1065"/>
    </row>
    <row r="7864" spans="4:59">
      <c r="D7864" s="1065"/>
      <c r="S7864" s="1065"/>
      <c r="BE7864" s="1065"/>
      <c r="BF7864" s="1065"/>
      <c r="BG7864" s="1065"/>
    </row>
    <row r="7865" spans="4:59">
      <c r="D7865" s="1065"/>
      <c r="S7865" s="1065"/>
      <c r="BE7865" s="1065"/>
      <c r="BF7865" s="1065"/>
      <c r="BG7865" s="1065"/>
    </row>
    <row r="7866" spans="4:59">
      <c r="D7866" s="1065"/>
      <c r="S7866" s="1065"/>
      <c r="BE7866" s="1065"/>
      <c r="BF7866" s="1065"/>
      <c r="BG7866" s="1065"/>
    </row>
    <row r="7867" spans="4:59">
      <c r="D7867" s="1065"/>
      <c r="S7867" s="1065"/>
      <c r="BE7867" s="1065"/>
      <c r="BF7867" s="1065"/>
      <c r="BG7867" s="1065"/>
    </row>
    <row r="7868" spans="4:59">
      <c r="D7868" s="1065"/>
      <c r="S7868" s="1065"/>
      <c r="BE7868" s="1065"/>
      <c r="BF7868" s="1065"/>
      <c r="BG7868" s="1065"/>
    </row>
    <row r="7869" spans="4:59">
      <c r="D7869" s="1065"/>
      <c r="S7869" s="1065"/>
      <c r="BE7869" s="1065"/>
      <c r="BF7869" s="1065"/>
      <c r="BG7869" s="1065"/>
    </row>
    <row r="7870" spans="4:59">
      <c r="D7870" s="1065"/>
      <c r="S7870" s="1065"/>
      <c r="BE7870" s="1065"/>
      <c r="BF7870" s="1065"/>
      <c r="BG7870" s="1065"/>
    </row>
    <row r="7871" spans="4:59">
      <c r="D7871" s="1065"/>
      <c r="S7871" s="1065"/>
      <c r="BE7871" s="1065"/>
      <c r="BF7871" s="1065"/>
      <c r="BG7871" s="1065"/>
    </row>
    <row r="7872" spans="4:59">
      <c r="D7872" s="1065"/>
      <c r="S7872" s="1065"/>
      <c r="BE7872" s="1065"/>
      <c r="BF7872" s="1065"/>
      <c r="BG7872" s="1065"/>
    </row>
    <row r="7873" spans="4:59">
      <c r="D7873" s="1065"/>
      <c r="S7873" s="1065"/>
      <c r="BE7873" s="1065"/>
      <c r="BF7873" s="1065"/>
      <c r="BG7873" s="1065"/>
    </row>
    <row r="7874" spans="4:59">
      <c r="D7874" s="1065"/>
      <c r="S7874" s="1065"/>
      <c r="BE7874" s="1065"/>
      <c r="BF7874" s="1065"/>
      <c r="BG7874" s="1065"/>
    </row>
    <row r="7875" spans="4:59">
      <c r="D7875" s="1065"/>
      <c r="S7875" s="1065"/>
      <c r="BE7875" s="1065"/>
      <c r="BF7875" s="1065"/>
      <c r="BG7875" s="1065"/>
    </row>
    <row r="7876" spans="4:59">
      <c r="D7876" s="1065"/>
      <c r="S7876" s="1065"/>
      <c r="BE7876" s="1065"/>
      <c r="BF7876" s="1065"/>
      <c r="BG7876" s="1065"/>
    </row>
    <row r="7877" spans="4:59">
      <c r="D7877" s="1065"/>
      <c r="S7877" s="1065"/>
      <c r="BE7877" s="1065"/>
      <c r="BF7877" s="1065"/>
      <c r="BG7877" s="1065"/>
    </row>
    <row r="7878" spans="4:59">
      <c r="D7878" s="1065"/>
      <c r="S7878" s="1065"/>
      <c r="BE7878" s="1065"/>
      <c r="BF7878" s="1065"/>
      <c r="BG7878" s="1065"/>
    </row>
    <row r="7879" spans="4:59">
      <c r="D7879" s="1065"/>
      <c r="S7879" s="1065"/>
      <c r="BE7879" s="1065"/>
      <c r="BF7879" s="1065"/>
      <c r="BG7879" s="1065"/>
    </row>
    <row r="7880" spans="4:59">
      <c r="D7880" s="1065"/>
      <c r="S7880" s="1065"/>
      <c r="BE7880" s="1065"/>
      <c r="BF7880" s="1065"/>
      <c r="BG7880" s="1065"/>
    </row>
    <row r="7881" spans="4:59">
      <c r="D7881" s="1065"/>
      <c r="S7881" s="1065"/>
      <c r="BE7881" s="1065"/>
      <c r="BF7881" s="1065"/>
      <c r="BG7881" s="1065"/>
    </row>
    <row r="7882" spans="4:59">
      <c r="D7882" s="1065"/>
      <c r="S7882" s="1065"/>
      <c r="BE7882" s="1065"/>
      <c r="BF7882" s="1065"/>
      <c r="BG7882" s="1065"/>
    </row>
    <row r="7883" spans="4:59">
      <c r="D7883" s="1065"/>
      <c r="S7883" s="1065"/>
      <c r="BE7883" s="1065"/>
      <c r="BF7883" s="1065"/>
      <c r="BG7883" s="1065"/>
    </row>
    <row r="7884" spans="4:59">
      <c r="D7884" s="1065"/>
      <c r="S7884" s="1065"/>
      <c r="BE7884" s="1065"/>
      <c r="BF7884" s="1065"/>
      <c r="BG7884" s="1065"/>
    </row>
    <row r="7889" spans="4:59">
      <c r="D7889" s="1065"/>
      <c r="S7889" s="1065"/>
      <c r="BE7889" s="1065"/>
      <c r="BF7889" s="1065"/>
      <c r="BG7889" s="1065"/>
    </row>
    <row r="7890" spans="4:59">
      <c r="D7890" s="1065"/>
      <c r="S7890" s="1065"/>
      <c r="BE7890" s="1065"/>
      <c r="BF7890" s="1065"/>
      <c r="BG7890" s="1065"/>
    </row>
    <row r="7893" spans="4:59">
      <c r="D7893" s="1065"/>
      <c r="S7893" s="1065"/>
      <c r="BE7893" s="1065"/>
      <c r="BF7893" s="1065"/>
      <c r="BG7893" s="1065"/>
    </row>
    <row r="7894" spans="4:59">
      <c r="D7894" s="1065"/>
      <c r="S7894" s="1065"/>
      <c r="BE7894" s="1065"/>
      <c r="BF7894" s="1065"/>
      <c r="BG7894" s="1065"/>
    </row>
    <row r="7895" spans="4:59">
      <c r="D7895" s="1065"/>
      <c r="S7895" s="1065"/>
      <c r="BE7895" s="1065"/>
      <c r="BF7895" s="1065"/>
      <c r="BG7895" s="1065"/>
    </row>
    <row r="7896" spans="4:59">
      <c r="D7896" s="1065"/>
      <c r="S7896" s="1065"/>
      <c r="BE7896" s="1065"/>
      <c r="BF7896" s="1065"/>
      <c r="BG7896" s="1065"/>
    </row>
    <row r="7897" spans="4:59">
      <c r="D7897" s="1065"/>
      <c r="S7897" s="1065"/>
      <c r="BE7897" s="1065"/>
      <c r="BF7897" s="1065"/>
      <c r="BG7897" s="1065"/>
    </row>
    <row r="7898" spans="4:59">
      <c r="D7898" s="1065"/>
      <c r="S7898" s="1065"/>
      <c r="BE7898" s="1065"/>
      <c r="BF7898" s="1065"/>
      <c r="BG7898" s="1065"/>
    </row>
    <row r="7899" spans="4:59">
      <c r="D7899" s="1065"/>
      <c r="S7899" s="1065"/>
      <c r="BE7899" s="1065"/>
      <c r="BF7899" s="1065"/>
      <c r="BG7899" s="1065"/>
    </row>
    <row r="7900" spans="4:59">
      <c r="D7900" s="1065"/>
      <c r="S7900" s="1065"/>
      <c r="BE7900" s="1065"/>
      <c r="BF7900" s="1065"/>
      <c r="BG7900" s="1065"/>
    </row>
    <row r="7903" spans="4:59">
      <c r="D7903" s="1065"/>
      <c r="S7903" s="1065"/>
      <c r="BE7903" s="1065"/>
      <c r="BF7903" s="1065"/>
      <c r="BG7903" s="1065"/>
    </row>
    <row r="7904" spans="4:59">
      <c r="D7904" s="1065"/>
      <c r="S7904" s="1065"/>
      <c r="BE7904" s="1065"/>
      <c r="BF7904" s="1065"/>
      <c r="BG7904" s="1065"/>
    </row>
    <row r="7909" spans="4:59">
      <c r="D7909" s="1065"/>
      <c r="S7909" s="1065"/>
      <c r="BE7909" s="1065"/>
      <c r="BF7909" s="1065"/>
      <c r="BG7909" s="1065"/>
    </row>
    <row r="7910" spans="4:59">
      <c r="D7910" s="1065"/>
      <c r="S7910" s="1065"/>
      <c r="BE7910" s="1065"/>
      <c r="BF7910" s="1065"/>
      <c r="BG7910" s="1065"/>
    </row>
    <row r="7911" spans="4:59">
      <c r="D7911" s="1065"/>
      <c r="S7911" s="1065"/>
      <c r="BE7911" s="1065"/>
      <c r="BF7911" s="1065"/>
      <c r="BG7911" s="1065"/>
    </row>
    <row r="7912" spans="4:59">
      <c r="D7912" s="1065"/>
      <c r="S7912" s="1065"/>
      <c r="BE7912" s="1065"/>
      <c r="BF7912" s="1065"/>
      <c r="BG7912" s="1065"/>
    </row>
    <row r="7913" spans="4:59">
      <c r="D7913" s="1065"/>
      <c r="S7913" s="1065"/>
      <c r="BE7913" s="1065"/>
      <c r="BF7913" s="1065"/>
      <c r="BG7913" s="1065"/>
    </row>
    <row r="7914" spans="4:59">
      <c r="D7914" s="1065"/>
      <c r="S7914" s="1065"/>
      <c r="BE7914" s="1065"/>
      <c r="BF7914" s="1065"/>
      <c r="BG7914" s="1065"/>
    </row>
    <row r="7915" spans="4:59">
      <c r="D7915" s="1065"/>
      <c r="S7915" s="1065"/>
      <c r="BE7915" s="1065"/>
      <c r="BF7915" s="1065"/>
      <c r="BG7915" s="1065"/>
    </row>
    <row r="7916" spans="4:59">
      <c r="D7916" s="1065"/>
      <c r="S7916" s="1065"/>
      <c r="BE7916" s="1065"/>
      <c r="BF7916" s="1065"/>
      <c r="BG7916" s="1065"/>
    </row>
    <row r="7917" spans="4:59">
      <c r="D7917" s="1065"/>
      <c r="S7917" s="1065"/>
      <c r="BE7917" s="1065"/>
      <c r="BF7917" s="1065"/>
      <c r="BG7917" s="1065"/>
    </row>
    <row r="7918" spans="4:59">
      <c r="D7918" s="1065"/>
      <c r="S7918" s="1065"/>
      <c r="BE7918" s="1065"/>
      <c r="BF7918" s="1065"/>
      <c r="BG7918" s="1065"/>
    </row>
    <row r="7919" spans="4:59">
      <c r="D7919" s="1065"/>
      <c r="S7919" s="1065"/>
      <c r="BE7919" s="1065"/>
      <c r="BF7919" s="1065"/>
      <c r="BG7919" s="1065"/>
    </row>
    <row r="7920" spans="4:59">
      <c r="D7920" s="1065"/>
      <c r="S7920" s="1065"/>
      <c r="BE7920" s="1065"/>
      <c r="BF7920" s="1065"/>
      <c r="BG7920" s="1065"/>
    </row>
    <row r="7921" spans="4:59">
      <c r="D7921" s="1065"/>
      <c r="S7921" s="1065"/>
      <c r="BE7921" s="1065"/>
      <c r="BF7921" s="1065"/>
      <c r="BG7921" s="1065"/>
    </row>
    <row r="7922" spans="4:59">
      <c r="D7922" s="1065"/>
      <c r="S7922" s="1065"/>
      <c r="BE7922" s="1065"/>
      <c r="BF7922" s="1065"/>
      <c r="BG7922" s="1065"/>
    </row>
    <row r="7923" spans="4:59">
      <c r="D7923" s="1065"/>
      <c r="S7923" s="1065"/>
      <c r="BE7923" s="1065"/>
      <c r="BF7923" s="1065"/>
      <c r="BG7923" s="1065"/>
    </row>
    <row r="7924" spans="4:59">
      <c r="D7924" s="1065"/>
      <c r="S7924" s="1065"/>
      <c r="BE7924" s="1065"/>
      <c r="BF7924" s="1065"/>
      <c r="BG7924" s="1065"/>
    </row>
    <row r="7925" spans="4:59">
      <c r="D7925" s="1065"/>
      <c r="S7925" s="1065"/>
      <c r="BE7925" s="1065"/>
      <c r="BF7925" s="1065"/>
      <c r="BG7925" s="1065"/>
    </row>
    <row r="7926" spans="4:59">
      <c r="D7926" s="1065"/>
      <c r="S7926" s="1065"/>
      <c r="BE7926" s="1065"/>
      <c r="BF7926" s="1065"/>
      <c r="BG7926" s="1065"/>
    </row>
    <row r="7927" spans="4:59">
      <c r="D7927" s="1065"/>
      <c r="S7927" s="1065"/>
      <c r="BE7927" s="1065"/>
      <c r="BF7927" s="1065"/>
      <c r="BG7927" s="1065"/>
    </row>
    <row r="7928" spans="4:59">
      <c r="D7928" s="1065"/>
      <c r="S7928" s="1065"/>
      <c r="BE7928" s="1065"/>
      <c r="BF7928" s="1065"/>
      <c r="BG7928" s="1065"/>
    </row>
    <row r="7929" spans="4:59">
      <c r="D7929" s="1065"/>
      <c r="S7929" s="1065"/>
      <c r="BE7929" s="1065"/>
      <c r="BF7929" s="1065"/>
      <c r="BG7929" s="1065"/>
    </row>
    <row r="7930" spans="4:59">
      <c r="D7930" s="1065"/>
      <c r="S7930" s="1065"/>
      <c r="BE7930" s="1065"/>
      <c r="BF7930" s="1065"/>
      <c r="BG7930" s="1065"/>
    </row>
    <row r="7931" spans="4:59">
      <c r="D7931" s="1065"/>
      <c r="S7931" s="1065"/>
      <c r="BE7931" s="1065"/>
      <c r="BF7931" s="1065"/>
      <c r="BG7931" s="1065"/>
    </row>
    <row r="7932" spans="4:59">
      <c r="D7932" s="1065"/>
      <c r="S7932" s="1065"/>
      <c r="BE7932" s="1065"/>
      <c r="BF7932" s="1065"/>
      <c r="BG7932" s="1065"/>
    </row>
    <row r="7933" spans="4:59">
      <c r="D7933" s="1065"/>
      <c r="S7933" s="1065"/>
      <c r="BE7933" s="1065"/>
      <c r="BF7933" s="1065"/>
      <c r="BG7933" s="1065"/>
    </row>
    <row r="7934" spans="4:59">
      <c r="D7934" s="1065"/>
      <c r="S7934" s="1065"/>
      <c r="BE7934" s="1065"/>
      <c r="BF7934" s="1065"/>
      <c r="BG7934" s="1065"/>
    </row>
    <row r="7935" spans="4:59">
      <c r="D7935" s="1065"/>
      <c r="S7935" s="1065"/>
      <c r="BE7935" s="1065"/>
      <c r="BF7935" s="1065"/>
      <c r="BG7935" s="1065"/>
    </row>
    <row r="7936" spans="4:59">
      <c r="D7936" s="1065"/>
      <c r="S7936" s="1065"/>
      <c r="BE7936" s="1065"/>
      <c r="BF7936" s="1065"/>
      <c r="BG7936" s="1065"/>
    </row>
    <row r="7937" spans="4:59">
      <c r="D7937" s="1065"/>
      <c r="S7937" s="1065"/>
      <c r="BE7937" s="1065"/>
      <c r="BF7937" s="1065"/>
      <c r="BG7937" s="1065"/>
    </row>
    <row r="7938" spans="4:59">
      <c r="D7938" s="1065"/>
      <c r="S7938" s="1065"/>
      <c r="BE7938" s="1065"/>
      <c r="BF7938" s="1065"/>
      <c r="BG7938" s="1065"/>
    </row>
    <row r="7939" spans="4:59">
      <c r="D7939" s="1065"/>
      <c r="S7939" s="1065"/>
      <c r="BE7939" s="1065"/>
      <c r="BF7939" s="1065"/>
      <c r="BG7939" s="1065"/>
    </row>
    <row r="7940" spans="4:59">
      <c r="D7940" s="1065"/>
      <c r="S7940" s="1065"/>
      <c r="BE7940" s="1065"/>
      <c r="BF7940" s="1065"/>
      <c r="BG7940" s="1065"/>
    </row>
    <row r="7941" spans="4:59">
      <c r="D7941" s="1065"/>
      <c r="S7941" s="1065"/>
      <c r="BE7941" s="1065"/>
      <c r="BF7941" s="1065"/>
      <c r="BG7941" s="1065"/>
    </row>
    <row r="7942" spans="4:59">
      <c r="D7942" s="1065"/>
      <c r="S7942" s="1065"/>
      <c r="BE7942" s="1065"/>
      <c r="BF7942" s="1065"/>
      <c r="BG7942" s="1065"/>
    </row>
    <row r="7943" spans="4:59">
      <c r="D7943" s="1065"/>
      <c r="S7943" s="1065"/>
      <c r="BE7943" s="1065"/>
      <c r="BF7943" s="1065"/>
      <c r="BG7943" s="1065"/>
    </row>
    <row r="7944" spans="4:59">
      <c r="D7944" s="1065"/>
      <c r="S7944" s="1065"/>
      <c r="BE7944" s="1065"/>
      <c r="BF7944" s="1065"/>
      <c r="BG7944" s="1065"/>
    </row>
    <row r="7945" spans="4:59">
      <c r="D7945" s="1065"/>
      <c r="S7945" s="1065"/>
      <c r="BE7945" s="1065"/>
      <c r="BF7945" s="1065"/>
      <c r="BG7945" s="1065"/>
    </row>
    <row r="7946" spans="4:59">
      <c r="D7946" s="1065"/>
      <c r="S7946" s="1065"/>
      <c r="BE7946" s="1065"/>
      <c r="BF7946" s="1065"/>
      <c r="BG7946" s="1065"/>
    </row>
    <row r="7947" spans="4:59">
      <c r="D7947" s="1065"/>
      <c r="S7947" s="1065"/>
      <c r="BE7947" s="1065"/>
      <c r="BF7947" s="1065"/>
      <c r="BG7947" s="1065"/>
    </row>
    <row r="7948" spans="4:59">
      <c r="D7948" s="1065"/>
      <c r="S7948" s="1065"/>
      <c r="BE7948" s="1065"/>
      <c r="BF7948" s="1065"/>
      <c r="BG7948" s="1065"/>
    </row>
    <row r="7949" spans="4:59">
      <c r="D7949" s="1065"/>
      <c r="S7949" s="1065"/>
      <c r="BE7949" s="1065"/>
      <c r="BF7949" s="1065"/>
      <c r="BG7949" s="1065"/>
    </row>
    <row r="7950" spans="4:59">
      <c r="D7950" s="1065"/>
      <c r="S7950" s="1065"/>
      <c r="BE7950" s="1065"/>
      <c r="BF7950" s="1065"/>
      <c r="BG7950" s="1065"/>
    </row>
    <row r="7951" spans="4:59">
      <c r="D7951" s="1065"/>
      <c r="S7951" s="1065"/>
      <c r="BE7951" s="1065"/>
      <c r="BF7951" s="1065"/>
      <c r="BG7951" s="1065"/>
    </row>
    <row r="7952" spans="4:59">
      <c r="D7952" s="1065"/>
      <c r="S7952" s="1065"/>
      <c r="BE7952" s="1065"/>
      <c r="BF7952" s="1065"/>
      <c r="BG7952" s="1065"/>
    </row>
    <row r="7953" spans="4:59">
      <c r="D7953" s="1065"/>
      <c r="S7953" s="1065"/>
      <c r="BE7953" s="1065"/>
      <c r="BF7953" s="1065"/>
      <c r="BG7953" s="1065"/>
    </row>
    <row r="7954" spans="4:59">
      <c r="D7954" s="1065"/>
      <c r="S7954" s="1065"/>
      <c r="BE7954" s="1065"/>
      <c r="BF7954" s="1065"/>
      <c r="BG7954" s="1065"/>
    </row>
    <row r="7955" spans="4:59">
      <c r="D7955" s="1065"/>
      <c r="S7955" s="1065"/>
      <c r="BE7955" s="1065"/>
      <c r="BF7955" s="1065"/>
      <c r="BG7955" s="1065"/>
    </row>
    <row r="7956" spans="4:59">
      <c r="D7956" s="1065"/>
      <c r="S7956" s="1065"/>
      <c r="BE7956" s="1065"/>
      <c r="BF7956" s="1065"/>
      <c r="BG7956" s="1065"/>
    </row>
    <row r="7957" spans="4:59">
      <c r="D7957" s="1065"/>
      <c r="S7957" s="1065"/>
      <c r="BE7957" s="1065"/>
      <c r="BF7957" s="1065"/>
      <c r="BG7957" s="1065"/>
    </row>
    <row r="7958" spans="4:59">
      <c r="D7958" s="1065"/>
      <c r="S7958" s="1065"/>
      <c r="BE7958" s="1065"/>
      <c r="BF7958" s="1065"/>
      <c r="BG7958" s="1065"/>
    </row>
    <row r="7959" spans="4:59">
      <c r="D7959" s="1065"/>
      <c r="S7959" s="1065"/>
      <c r="BE7959" s="1065"/>
      <c r="BF7959" s="1065"/>
      <c r="BG7959" s="1065"/>
    </row>
    <row r="7960" spans="4:59">
      <c r="D7960" s="1065"/>
      <c r="S7960" s="1065"/>
      <c r="BE7960" s="1065"/>
      <c r="BF7960" s="1065"/>
      <c r="BG7960" s="1065"/>
    </row>
    <row r="7961" spans="4:59">
      <c r="D7961" s="1065"/>
      <c r="S7961" s="1065"/>
      <c r="BE7961" s="1065"/>
      <c r="BF7961" s="1065"/>
      <c r="BG7961" s="1065"/>
    </row>
    <row r="7962" spans="4:59">
      <c r="D7962" s="1065"/>
      <c r="S7962" s="1065"/>
      <c r="BE7962" s="1065"/>
      <c r="BF7962" s="1065"/>
      <c r="BG7962" s="1065"/>
    </row>
    <row r="7963" spans="4:59">
      <c r="D7963" s="1065"/>
      <c r="S7963" s="1065"/>
      <c r="BE7963" s="1065"/>
      <c r="BF7963" s="1065"/>
      <c r="BG7963" s="1065"/>
    </row>
    <row r="7964" spans="4:59">
      <c r="D7964" s="1065"/>
      <c r="S7964" s="1065"/>
      <c r="BE7964" s="1065"/>
      <c r="BF7964" s="1065"/>
      <c r="BG7964" s="1065"/>
    </row>
    <row r="7965" spans="4:59">
      <c r="D7965" s="1065"/>
      <c r="S7965" s="1065"/>
      <c r="BE7965" s="1065"/>
      <c r="BF7965" s="1065"/>
      <c r="BG7965" s="1065"/>
    </row>
    <row r="7966" spans="4:59">
      <c r="D7966" s="1065"/>
      <c r="S7966" s="1065"/>
      <c r="BE7966" s="1065"/>
      <c r="BF7966" s="1065"/>
      <c r="BG7966" s="1065"/>
    </row>
    <row r="7967" spans="4:59">
      <c r="D7967" s="1065"/>
      <c r="S7967" s="1065"/>
      <c r="BE7967" s="1065"/>
      <c r="BF7967" s="1065"/>
      <c r="BG7967" s="1065"/>
    </row>
    <row r="7968" spans="4:59">
      <c r="D7968" s="1065"/>
      <c r="S7968" s="1065"/>
      <c r="BE7968" s="1065"/>
      <c r="BF7968" s="1065"/>
      <c r="BG7968" s="1065"/>
    </row>
    <row r="7969" spans="4:59">
      <c r="D7969" s="1065"/>
      <c r="S7969" s="1065"/>
      <c r="BE7969" s="1065"/>
      <c r="BF7969" s="1065"/>
      <c r="BG7969" s="1065"/>
    </row>
    <row r="7970" spans="4:59">
      <c r="D7970" s="1065"/>
      <c r="S7970" s="1065"/>
      <c r="BE7970" s="1065"/>
      <c r="BF7970" s="1065"/>
      <c r="BG7970" s="1065"/>
    </row>
    <row r="7971" spans="4:59">
      <c r="D7971" s="1065"/>
      <c r="S7971" s="1065"/>
      <c r="BE7971" s="1065"/>
      <c r="BF7971" s="1065"/>
      <c r="BG7971" s="1065"/>
    </row>
    <row r="7972" spans="4:59">
      <c r="D7972" s="1065"/>
      <c r="S7972" s="1065"/>
      <c r="BE7972" s="1065"/>
      <c r="BF7972" s="1065"/>
      <c r="BG7972" s="1065"/>
    </row>
    <row r="7973" spans="4:59">
      <c r="D7973" s="1065"/>
      <c r="S7973" s="1065"/>
      <c r="BE7973" s="1065"/>
      <c r="BF7973" s="1065"/>
      <c r="BG7973" s="1065"/>
    </row>
    <row r="7974" spans="4:59">
      <c r="D7974" s="1065"/>
      <c r="S7974" s="1065"/>
      <c r="BE7974" s="1065"/>
      <c r="BF7974" s="1065"/>
      <c r="BG7974" s="1065"/>
    </row>
    <row r="7975" spans="4:59">
      <c r="D7975" s="1065"/>
      <c r="S7975" s="1065"/>
      <c r="BE7975" s="1065"/>
      <c r="BF7975" s="1065"/>
      <c r="BG7975" s="1065"/>
    </row>
    <row r="7976" spans="4:59">
      <c r="D7976" s="1065"/>
      <c r="S7976" s="1065"/>
      <c r="BE7976" s="1065"/>
      <c r="BF7976" s="1065"/>
      <c r="BG7976" s="1065"/>
    </row>
    <row r="7977" spans="4:59">
      <c r="D7977" s="1065"/>
      <c r="S7977" s="1065"/>
      <c r="BE7977" s="1065"/>
      <c r="BF7977" s="1065"/>
      <c r="BG7977" s="1065"/>
    </row>
    <row r="7978" spans="4:59">
      <c r="D7978" s="1065"/>
      <c r="S7978" s="1065"/>
      <c r="BE7978" s="1065"/>
      <c r="BF7978" s="1065"/>
      <c r="BG7978" s="1065"/>
    </row>
    <row r="7979" spans="4:59">
      <c r="D7979" s="1065"/>
      <c r="S7979" s="1065"/>
      <c r="BE7979" s="1065"/>
      <c r="BF7979" s="1065"/>
      <c r="BG7979" s="1065"/>
    </row>
    <row r="7980" spans="4:59">
      <c r="D7980" s="1065"/>
      <c r="S7980" s="1065"/>
      <c r="BE7980" s="1065"/>
      <c r="BF7980" s="1065"/>
      <c r="BG7980" s="1065"/>
    </row>
    <row r="7981" spans="4:59">
      <c r="D7981" s="1065"/>
      <c r="S7981" s="1065"/>
      <c r="BE7981" s="1065"/>
      <c r="BF7981" s="1065"/>
      <c r="BG7981" s="1065"/>
    </row>
    <row r="7982" spans="4:59">
      <c r="D7982" s="1065"/>
      <c r="S7982" s="1065"/>
      <c r="BE7982" s="1065"/>
      <c r="BF7982" s="1065"/>
      <c r="BG7982" s="1065"/>
    </row>
    <row r="7983" spans="4:59">
      <c r="D7983" s="1065"/>
      <c r="S7983" s="1065"/>
      <c r="BE7983" s="1065"/>
      <c r="BF7983" s="1065"/>
      <c r="BG7983" s="1065"/>
    </row>
    <row r="7984" spans="4:59">
      <c r="D7984" s="1065"/>
      <c r="S7984" s="1065"/>
      <c r="BE7984" s="1065"/>
      <c r="BF7984" s="1065"/>
      <c r="BG7984" s="1065"/>
    </row>
    <row r="7985" spans="4:59">
      <c r="D7985" s="1065"/>
      <c r="S7985" s="1065"/>
      <c r="BE7985" s="1065"/>
      <c r="BF7985" s="1065"/>
      <c r="BG7985" s="1065"/>
    </row>
    <row r="7986" spans="4:59">
      <c r="D7986" s="1065"/>
      <c r="S7986" s="1065"/>
      <c r="BE7986" s="1065"/>
      <c r="BF7986" s="1065"/>
      <c r="BG7986" s="1065"/>
    </row>
    <row r="7987" spans="4:59">
      <c r="D7987" s="1065"/>
      <c r="S7987" s="1065"/>
      <c r="BE7987" s="1065"/>
      <c r="BF7987" s="1065"/>
      <c r="BG7987" s="1065"/>
    </row>
    <row r="7988" spans="4:59">
      <c r="D7988" s="1065"/>
      <c r="S7988" s="1065"/>
      <c r="BE7988" s="1065"/>
      <c r="BF7988" s="1065"/>
      <c r="BG7988" s="1065"/>
    </row>
    <row r="7989" spans="4:59">
      <c r="D7989" s="1065"/>
      <c r="S7989" s="1065"/>
      <c r="BE7989" s="1065"/>
      <c r="BF7989" s="1065"/>
      <c r="BG7989" s="1065"/>
    </row>
    <row r="7990" spans="4:59">
      <c r="D7990" s="1065"/>
      <c r="S7990" s="1065"/>
      <c r="BE7990" s="1065"/>
      <c r="BF7990" s="1065"/>
      <c r="BG7990" s="1065"/>
    </row>
    <row r="7991" spans="4:59">
      <c r="D7991" s="1065"/>
      <c r="S7991" s="1065"/>
      <c r="BE7991" s="1065"/>
      <c r="BF7991" s="1065"/>
      <c r="BG7991" s="1065"/>
    </row>
    <row r="7992" spans="4:59">
      <c r="D7992" s="1065"/>
      <c r="S7992" s="1065"/>
      <c r="BE7992" s="1065"/>
      <c r="BF7992" s="1065"/>
      <c r="BG7992" s="1065"/>
    </row>
    <row r="7993" spans="4:59">
      <c r="D7993" s="1065"/>
      <c r="S7993" s="1065"/>
      <c r="BE7993" s="1065"/>
      <c r="BF7993" s="1065"/>
      <c r="BG7993" s="1065"/>
    </row>
    <row r="7994" spans="4:59">
      <c r="D7994" s="1065"/>
      <c r="S7994" s="1065"/>
      <c r="BE7994" s="1065"/>
      <c r="BF7994" s="1065"/>
      <c r="BG7994" s="1065"/>
    </row>
    <row r="7995" spans="4:59">
      <c r="D7995" s="1065"/>
      <c r="S7995" s="1065"/>
      <c r="BE7995" s="1065"/>
      <c r="BF7995" s="1065"/>
      <c r="BG7995" s="1065"/>
    </row>
    <row r="7996" spans="4:59">
      <c r="D7996" s="1065"/>
      <c r="S7996" s="1065"/>
      <c r="BE7996" s="1065"/>
      <c r="BF7996" s="1065"/>
      <c r="BG7996" s="1065"/>
    </row>
    <row r="7997" spans="4:59">
      <c r="D7997" s="1065"/>
      <c r="S7997" s="1065"/>
      <c r="BE7997" s="1065"/>
      <c r="BF7997" s="1065"/>
      <c r="BG7997" s="1065"/>
    </row>
    <row r="7998" spans="4:59">
      <c r="D7998" s="1065"/>
      <c r="S7998" s="1065"/>
      <c r="BE7998" s="1065"/>
      <c r="BF7998" s="1065"/>
      <c r="BG7998" s="1065"/>
    </row>
    <row r="7999" spans="4:59">
      <c r="D7999" s="1065"/>
      <c r="S7999" s="1065"/>
      <c r="BE7999" s="1065"/>
      <c r="BF7999" s="1065"/>
      <c r="BG7999" s="1065"/>
    </row>
    <row r="8000" spans="4:59">
      <c r="D8000" s="1065"/>
      <c r="S8000" s="1065"/>
      <c r="BE8000" s="1065"/>
      <c r="BF8000" s="1065"/>
      <c r="BG8000" s="1065"/>
    </row>
    <row r="8001" spans="4:59">
      <c r="D8001" s="1065"/>
      <c r="S8001" s="1065"/>
      <c r="BE8001" s="1065"/>
      <c r="BF8001" s="1065"/>
      <c r="BG8001" s="1065"/>
    </row>
    <row r="8002" spans="4:59">
      <c r="D8002" s="1065"/>
      <c r="S8002" s="1065"/>
      <c r="BE8002" s="1065"/>
      <c r="BF8002" s="1065"/>
      <c r="BG8002" s="1065"/>
    </row>
    <row r="8003" spans="4:59">
      <c r="D8003" s="1065"/>
      <c r="S8003" s="1065"/>
      <c r="BE8003" s="1065"/>
      <c r="BF8003" s="1065"/>
      <c r="BG8003" s="1065"/>
    </row>
    <row r="8004" spans="4:59">
      <c r="D8004" s="1065"/>
      <c r="S8004" s="1065"/>
      <c r="BE8004" s="1065"/>
      <c r="BF8004" s="1065"/>
      <c r="BG8004" s="1065"/>
    </row>
    <row r="8005" spans="4:59">
      <c r="D8005" s="1065"/>
      <c r="S8005" s="1065"/>
      <c r="BE8005" s="1065"/>
      <c r="BF8005" s="1065"/>
      <c r="BG8005" s="1065"/>
    </row>
    <row r="8006" spans="4:59">
      <c r="D8006" s="1065"/>
      <c r="S8006" s="1065"/>
      <c r="BE8006" s="1065"/>
      <c r="BF8006" s="1065"/>
      <c r="BG8006" s="1065"/>
    </row>
    <row r="8007" spans="4:59">
      <c r="D8007" s="1065"/>
      <c r="S8007" s="1065"/>
      <c r="BE8007" s="1065"/>
      <c r="BF8007" s="1065"/>
      <c r="BG8007" s="1065"/>
    </row>
    <row r="8008" spans="4:59">
      <c r="D8008" s="1065"/>
      <c r="S8008" s="1065"/>
      <c r="BE8008" s="1065"/>
      <c r="BF8008" s="1065"/>
      <c r="BG8008" s="1065"/>
    </row>
    <row r="8009" spans="4:59">
      <c r="D8009" s="1065"/>
      <c r="S8009" s="1065"/>
      <c r="BE8009" s="1065"/>
      <c r="BF8009" s="1065"/>
      <c r="BG8009" s="1065"/>
    </row>
    <row r="8010" spans="4:59">
      <c r="D8010" s="1065"/>
      <c r="S8010" s="1065"/>
      <c r="BE8010" s="1065"/>
      <c r="BF8010" s="1065"/>
      <c r="BG8010" s="1065"/>
    </row>
    <row r="8011" spans="4:59">
      <c r="D8011" s="1065"/>
      <c r="S8011" s="1065"/>
      <c r="BE8011" s="1065"/>
      <c r="BF8011" s="1065"/>
      <c r="BG8011" s="1065"/>
    </row>
    <row r="8012" spans="4:59">
      <c r="D8012" s="1065"/>
      <c r="S8012" s="1065"/>
      <c r="BE8012" s="1065"/>
      <c r="BF8012" s="1065"/>
      <c r="BG8012" s="1065"/>
    </row>
    <row r="8013" spans="4:59">
      <c r="D8013" s="1065"/>
      <c r="S8013" s="1065"/>
      <c r="BE8013" s="1065"/>
      <c r="BF8013" s="1065"/>
      <c r="BG8013" s="1065"/>
    </row>
    <row r="8014" spans="4:59">
      <c r="D8014" s="1065"/>
      <c r="S8014" s="1065"/>
      <c r="BE8014" s="1065"/>
      <c r="BF8014" s="1065"/>
      <c r="BG8014" s="1065"/>
    </row>
    <row r="8015" spans="4:59">
      <c r="D8015" s="1065"/>
      <c r="S8015" s="1065"/>
      <c r="BE8015" s="1065"/>
      <c r="BF8015" s="1065"/>
      <c r="BG8015" s="1065"/>
    </row>
    <row r="8016" spans="4:59">
      <c r="D8016" s="1065"/>
      <c r="S8016" s="1065"/>
      <c r="BE8016" s="1065"/>
      <c r="BF8016" s="1065"/>
      <c r="BG8016" s="1065"/>
    </row>
    <row r="8017" spans="4:59">
      <c r="D8017" s="1065"/>
      <c r="S8017" s="1065"/>
      <c r="BE8017" s="1065"/>
      <c r="BF8017" s="1065"/>
      <c r="BG8017" s="1065"/>
    </row>
    <row r="8018" spans="4:59">
      <c r="D8018" s="1065"/>
      <c r="S8018" s="1065"/>
      <c r="BE8018" s="1065"/>
      <c r="BF8018" s="1065"/>
      <c r="BG8018" s="1065"/>
    </row>
    <row r="8019" spans="4:59">
      <c r="D8019" s="1065"/>
      <c r="S8019" s="1065"/>
      <c r="BE8019" s="1065"/>
      <c r="BF8019" s="1065"/>
      <c r="BG8019" s="1065"/>
    </row>
    <row r="8020" spans="4:59">
      <c r="D8020" s="1065"/>
      <c r="S8020" s="1065"/>
      <c r="BE8020" s="1065"/>
      <c r="BF8020" s="1065"/>
      <c r="BG8020" s="1065"/>
    </row>
    <row r="8021" spans="4:59">
      <c r="D8021" s="1065"/>
      <c r="S8021" s="1065"/>
      <c r="BE8021" s="1065"/>
      <c r="BF8021" s="1065"/>
      <c r="BG8021" s="1065"/>
    </row>
    <row r="8022" spans="4:59">
      <c r="D8022" s="1065"/>
      <c r="S8022" s="1065"/>
      <c r="BE8022" s="1065"/>
      <c r="BF8022" s="1065"/>
      <c r="BG8022" s="1065"/>
    </row>
    <row r="8023" spans="4:59">
      <c r="D8023" s="1065"/>
      <c r="S8023" s="1065"/>
      <c r="BE8023" s="1065"/>
      <c r="BF8023" s="1065"/>
      <c r="BG8023" s="1065"/>
    </row>
    <row r="8024" spans="4:59">
      <c r="D8024" s="1065"/>
      <c r="S8024" s="1065"/>
      <c r="BE8024" s="1065"/>
      <c r="BF8024" s="1065"/>
      <c r="BG8024" s="1065"/>
    </row>
    <row r="8025" spans="4:59">
      <c r="D8025" s="1065"/>
      <c r="S8025" s="1065"/>
      <c r="BE8025" s="1065"/>
      <c r="BF8025" s="1065"/>
      <c r="BG8025" s="1065"/>
    </row>
    <row r="8026" spans="4:59">
      <c r="D8026" s="1065"/>
      <c r="S8026" s="1065"/>
      <c r="BE8026" s="1065"/>
      <c r="BF8026" s="1065"/>
      <c r="BG8026" s="1065"/>
    </row>
    <row r="8027" spans="4:59">
      <c r="D8027" s="1065"/>
      <c r="S8027" s="1065"/>
      <c r="BE8027" s="1065"/>
      <c r="BF8027" s="1065"/>
      <c r="BG8027" s="1065"/>
    </row>
    <row r="8028" spans="4:59">
      <c r="D8028" s="1065"/>
      <c r="S8028" s="1065"/>
      <c r="BE8028" s="1065"/>
      <c r="BF8028" s="1065"/>
      <c r="BG8028" s="1065"/>
    </row>
    <row r="8029" spans="4:59">
      <c r="D8029" s="1065"/>
      <c r="S8029" s="1065"/>
      <c r="BE8029" s="1065"/>
      <c r="BF8029" s="1065"/>
      <c r="BG8029" s="1065"/>
    </row>
    <row r="8030" spans="4:59">
      <c r="D8030" s="1065"/>
      <c r="S8030" s="1065"/>
      <c r="BE8030" s="1065"/>
      <c r="BF8030" s="1065"/>
      <c r="BG8030" s="1065"/>
    </row>
    <row r="8031" spans="4:59">
      <c r="D8031" s="1065"/>
      <c r="S8031" s="1065"/>
      <c r="BE8031" s="1065"/>
      <c r="BF8031" s="1065"/>
      <c r="BG8031" s="1065"/>
    </row>
    <row r="8032" spans="4:59">
      <c r="D8032" s="1065"/>
      <c r="S8032" s="1065"/>
      <c r="BE8032" s="1065"/>
      <c r="BF8032" s="1065"/>
      <c r="BG8032" s="1065"/>
    </row>
    <row r="8033" spans="4:59">
      <c r="D8033" s="1065"/>
      <c r="S8033" s="1065"/>
      <c r="BE8033" s="1065"/>
      <c r="BF8033" s="1065"/>
      <c r="BG8033" s="1065"/>
    </row>
    <row r="8034" spans="4:59">
      <c r="D8034" s="1065"/>
      <c r="S8034" s="1065"/>
      <c r="BE8034" s="1065"/>
      <c r="BF8034" s="1065"/>
      <c r="BG8034" s="1065"/>
    </row>
    <row r="8035" spans="4:59">
      <c r="D8035" s="1065"/>
      <c r="S8035" s="1065"/>
      <c r="BE8035" s="1065"/>
      <c r="BF8035" s="1065"/>
      <c r="BG8035" s="1065"/>
    </row>
    <row r="8036" spans="4:59">
      <c r="D8036" s="1065"/>
      <c r="S8036" s="1065"/>
      <c r="BE8036" s="1065"/>
      <c r="BF8036" s="1065"/>
      <c r="BG8036" s="1065"/>
    </row>
    <row r="8037" spans="4:59">
      <c r="D8037" s="1065"/>
      <c r="S8037" s="1065"/>
      <c r="BE8037" s="1065"/>
      <c r="BF8037" s="1065"/>
      <c r="BG8037" s="1065"/>
    </row>
    <row r="8038" spans="4:59">
      <c r="D8038" s="1065"/>
      <c r="S8038" s="1065"/>
      <c r="BE8038" s="1065"/>
      <c r="BF8038" s="1065"/>
      <c r="BG8038" s="1065"/>
    </row>
    <row r="8039" spans="4:59">
      <c r="D8039" s="1065"/>
      <c r="S8039" s="1065"/>
      <c r="BE8039" s="1065"/>
      <c r="BF8039" s="1065"/>
      <c r="BG8039" s="1065"/>
    </row>
    <row r="8040" spans="4:59">
      <c r="D8040" s="1065"/>
      <c r="S8040" s="1065"/>
      <c r="BE8040" s="1065"/>
      <c r="BF8040" s="1065"/>
      <c r="BG8040" s="1065"/>
    </row>
    <row r="8041" spans="4:59">
      <c r="D8041" s="1065"/>
      <c r="S8041" s="1065"/>
      <c r="BE8041" s="1065"/>
      <c r="BF8041" s="1065"/>
      <c r="BG8041" s="1065"/>
    </row>
    <row r="8042" spans="4:59">
      <c r="D8042" s="1065"/>
      <c r="S8042" s="1065"/>
      <c r="BE8042" s="1065"/>
      <c r="BF8042" s="1065"/>
      <c r="BG8042" s="1065"/>
    </row>
    <row r="8043" spans="4:59">
      <c r="D8043" s="1065"/>
      <c r="S8043" s="1065"/>
      <c r="BE8043" s="1065"/>
      <c r="BF8043" s="1065"/>
      <c r="BG8043" s="1065"/>
    </row>
    <row r="8044" spans="4:59">
      <c r="D8044" s="1065"/>
      <c r="S8044" s="1065"/>
      <c r="BE8044" s="1065"/>
      <c r="BF8044" s="1065"/>
      <c r="BG8044" s="1065"/>
    </row>
    <row r="8045" spans="4:59">
      <c r="D8045" s="1065"/>
      <c r="S8045" s="1065"/>
      <c r="BE8045" s="1065"/>
      <c r="BF8045" s="1065"/>
      <c r="BG8045" s="1065"/>
    </row>
    <row r="8046" spans="4:59">
      <c r="D8046" s="1065"/>
      <c r="S8046" s="1065"/>
      <c r="BE8046" s="1065"/>
      <c r="BF8046" s="1065"/>
      <c r="BG8046" s="1065"/>
    </row>
    <row r="8047" spans="4:59">
      <c r="D8047" s="1065"/>
      <c r="S8047" s="1065"/>
      <c r="BE8047" s="1065"/>
      <c r="BF8047" s="1065"/>
      <c r="BG8047" s="1065"/>
    </row>
    <row r="8048" spans="4:59">
      <c r="D8048" s="1065"/>
      <c r="S8048" s="1065"/>
      <c r="BE8048" s="1065"/>
      <c r="BF8048" s="1065"/>
      <c r="BG8048" s="1065"/>
    </row>
    <row r="8049" spans="4:59">
      <c r="D8049" s="1065"/>
      <c r="S8049" s="1065"/>
      <c r="BE8049" s="1065"/>
      <c r="BF8049" s="1065"/>
      <c r="BG8049" s="1065"/>
    </row>
    <row r="8050" spans="4:59">
      <c r="D8050" s="1065"/>
      <c r="S8050" s="1065"/>
      <c r="BE8050" s="1065"/>
      <c r="BF8050" s="1065"/>
      <c r="BG8050" s="1065"/>
    </row>
    <row r="8051" spans="4:59">
      <c r="D8051" s="1065"/>
      <c r="S8051" s="1065"/>
      <c r="BE8051" s="1065"/>
      <c r="BF8051" s="1065"/>
      <c r="BG8051" s="1065"/>
    </row>
    <row r="8052" spans="4:59">
      <c r="D8052" s="1065"/>
      <c r="S8052" s="1065"/>
      <c r="BE8052" s="1065"/>
      <c r="BF8052" s="1065"/>
      <c r="BG8052" s="1065"/>
    </row>
    <row r="8053" spans="4:59">
      <c r="D8053" s="1065"/>
      <c r="S8053" s="1065"/>
      <c r="BE8053" s="1065"/>
      <c r="BF8053" s="1065"/>
      <c r="BG8053" s="1065"/>
    </row>
    <row r="8054" spans="4:59">
      <c r="D8054" s="1065"/>
      <c r="S8054" s="1065"/>
      <c r="BE8054" s="1065"/>
      <c r="BF8054" s="1065"/>
      <c r="BG8054" s="1065"/>
    </row>
    <row r="8055" spans="4:59">
      <c r="D8055" s="1065"/>
      <c r="S8055" s="1065"/>
      <c r="BE8055" s="1065"/>
      <c r="BF8055" s="1065"/>
      <c r="BG8055" s="1065"/>
    </row>
    <row r="8056" spans="4:59">
      <c r="D8056" s="1065"/>
      <c r="S8056" s="1065"/>
      <c r="BE8056" s="1065"/>
      <c r="BF8056" s="1065"/>
      <c r="BG8056" s="1065"/>
    </row>
    <row r="8057" spans="4:59">
      <c r="D8057" s="1065"/>
      <c r="S8057" s="1065"/>
      <c r="BE8057" s="1065"/>
      <c r="BF8057" s="1065"/>
      <c r="BG8057" s="1065"/>
    </row>
    <row r="8058" spans="4:59">
      <c r="D8058" s="1065"/>
      <c r="S8058" s="1065"/>
      <c r="BE8058" s="1065"/>
      <c r="BF8058" s="1065"/>
      <c r="BG8058" s="1065"/>
    </row>
    <row r="8059" spans="4:59">
      <c r="D8059" s="1065"/>
      <c r="S8059" s="1065"/>
      <c r="BE8059" s="1065"/>
      <c r="BF8059" s="1065"/>
      <c r="BG8059" s="1065"/>
    </row>
    <row r="8070" spans="4:59">
      <c r="D8070" s="1065"/>
      <c r="S8070" s="1065"/>
      <c r="BE8070" s="1065"/>
      <c r="BF8070" s="1065"/>
      <c r="BG8070" s="1065"/>
    </row>
    <row r="8071" spans="4:59">
      <c r="D8071" s="1065"/>
      <c r="S8071" s="1065"/>
      <c r="BE8071" s="1065"/>
      <c r="BF8071" s="1065"/>
      <c r="BG8071" s="1065"/>
    </row>
    <row r="8072" spans="4:59">
      <c r="D8072" s="1065"/>
      <c r="S8072" s="1065"/>
      <c r="BE8072" s="1065"/>
      <c r="BF8072" s="1065"/>
      <c r="BG8072" s="1065"/>
    </row>
    <row r="8073" spans="4:59">
      <c r="D8073" s="1065"/>
      <c r="S8073" s="1065"/>
      <c r="BE8073" s="1065"/>
      <c r="BF8073" s="1065"/>
      <c r="BG8073" s="1065"/>
    </row>
    <row r="8074" spans="4:59">
      <c r="D8074" s="1065"/>
      <c r="S8074" s="1065"/>
      <c r="BE8074" s="1065"/>
      <c r="BF8074" s="1065"/>
      <c r="BG8074" s="1065"/>
    </row>
    <row r="8075" spans="4:59">
      <c r="D8075" s="1065"/>
      <c r="S8075" s="1065"/>
      <c r="BE8075" s="1065"/>
      <c r="BF8075" s="1065"/>
      <c r="BG8075" s="1065"/>
    </row>
    <row r="8076" spans="4:59">
      <c r="D8076" s="1065"/>
      <c r="S8076" s="1065"/>
      <c r="BE8076" s="1065"/>
      <c r="BF8076" s="1065"/>
      <c r="BG8076" s="1065"/>
    </row>
    <row r="8077" spans="4:59">
      <c r="D8077" s="1065"/>
      <c r="S8077" s="1065"/>
      <c r="BE8077" s="1065"/>
      <c r="BF8077" s="1065"/>
      <c r="BG8077" s="1065"/>
    </row>
    <row r="8078" spans="4:59">
      <c r="D8078" s="1065"/>
      <c r="S8078" s="1065"/>
      <c r="BE8078" s="1065"/>
      <c r="BF8078" s="1065"/>
      <c r="BG8078" s="1065"/>
    </row>
    <row r="8079" spans="4:59">
      <c r="D8079" s="1065"/>
      <c r="S8079" s="1065"/>
      <c r="BE8079" s="1065"/>
      <c r="BF8079" s="1065"/>
      <c r="BG8079" s="1065"/>
    </row>
    <row r="8080" spans="4:59">
      <c r="D8080" s="1065"/>
      <c r="S8080" s="1065"/>
      <c r="BE8080" s="1065"/>
      <c r="BF8080" s="1065"/>
      <c r="BG8080" s="1065"/>
    </row>
    <row r="8081" spans="4:59">
      <c r="D8081" s="1065"/>
      <c r="S8081" s="1065"/>
      <c r="BE8081" s="1065"/>
      <c r="BF8081" s="1065"/>
      <c r="BG8081" s="1065"/>
    </row>
    <row r="8082" spans="4:59">
      <c r="D8082" s="1065"/>
      <c r="S8082" s="1065"/>
      <c r="BE8082" s="1065"/>
      <c r="BF8082" s="1065"/>
      <c r="BG8082" s="1065"/>
    </row>
    <row r="8083" spans="4:59">
      <c r="D8083" s="1065"/>
      <c r="S8083" s="1065"/>
      <c r="BE8083" s="1065"/>
      <c r="BF8083" s="1065"/>
      <c r="BG8083" s="1065"/>
    </row>
    <row r="8084" spans="4:59">
      <c r="D8084" s="1065"/>
      <c r="S8084" s="1065"/>
      <c r="BE8084" s="1065"/>
      <c r="BF8084" s="1065"/>
      <c r="BG8084" s="1065"/>
    </row>
    <row r="8085" spans="4:59">
      <c r="D8085" s="1065"/>
      <c r="S8085" s="1065"/>
      <c r="BE8085" s="1065"/>
      <c r="BF8085" s="1065"/>
      <c r="BG8085" s="1065"/>
    </row>
    <row r="8086" spans="4:59">
      <c r="D8086" s="1065"/>
      <c r="S8086" s="1065"/>
      <c r="BE8086" s="1065"/>
      <c r="BF8086" s="1065"/>
      <c r="BG8086" s="1065"/>
    </row>
    <row r="8087" spans="4:59">
      <c r="D8087" s="1065"/>
      <c r="S8087" s="1065"/>
      <c r="BE8087" s="1065"/>
      <c r="BF8087" s="1065"/>
      <c r="BG8087" s="1065"/>
    </row>
    <row r="8088" spans="4:59">
      <c r="D8088" s="1065"/>
      <c r="S8088" s="1065"/>
      <c r="BE8088" s="1065"/>
      <c r="BF8088" s="1065"/>
      <c r="BG8088" s="1065"/>
    </row>
    <row r="8089" spans="4:59">
      <c r="D8089" s="1065"/>
      <c r="S8089" s="1065"/>
      <c r="BE8089" s="1065"/>
      <c r="BF8089" s="1065"/>
      <c r="BG8089" s="1065"/>
    </row>
    <row r="8090" spans="4:59">
      <c r="D8090" s="1065"/>
      <c r="S8090" s="1065"/>
      <c r="BE8090" s="1065"/>
      <c r="BF8090" s="1065"/>
      <c r="BG8090" s="1065"/>
    </row>
    <row r="8091" spans="4:59">
      <c r="D8091" s="1065"/>
      <c r="S8091" s="1065"/>
      <c r="BE8091" s="1065"/>
      <c r="BF8091" s="1065"/>
      <c r="BG8091" s="1065"/>
    </row>
    <row r="8092" spans="4:59">
      <c r="D8092" s="1065"/>
      <c r="S8092" s="1065"/>
      <c r="BE8092" s="1065"/>
      <c r="BF8092" s="1065"/>
      <c r="BG8092" s="1065"/>
    </row>
    <row r="8093" spans="4:59">
      <c r="D8093" s="1065"/>
      <c r="S8093" s="1065"/>
      <c r="BE8093" s="1065"/>
      <c r="BF8093" s="1065"/>
      <c r="BG8093" s="1065"/>
    </row>
    <row r="8094" spans="4:59">
      <c r="D8094" s="1065"/>
      <c r="S8094" s="1065"/>
      <c r="BE8094" s="1065"/>
      <c r="BF8094" s="1065"/>
      <c r="BG8094" s="1065"/>
    </row>
    <row r="8095" spans="4:59">
      <c r="D8095" s="1065"/>
      <c r="S8095" s="1065"/>
      <c r="BE8095" s="1065"/>
      <c r="BF8095" s="1065"/>
      <c r="BG8095" s="1065"/>
    </row>
    <row r="8096" spans="4:59">
      <c r="D8096" s="1065"/>
      <c r="S8096" s="1065"/>
      <c r="BE8096" s="1065"/>
      <c r="BF8096" s="1065"/>
      <c r="BG8096" s="1065"/>
    </row>
    <row r="8097" spans="4:59">
      <c r="D8097" s="1065"/>
      <c r="S8097" s="1065"/>
      <c r="BE8097" s="1065"/>
      <c r="BF8097" s="1065"/>
      <c r="BG8097" s="1065"/>
    </row>
    <row r="8098" spans="4:59">
      <c r="D8098" s="1065"/>
      <c r="S8098" s="1065"/>
      <c r="BE8098" s="1065"/>
      <c r="BF8098" s="1065"/>
      <c r="BG8098" s="1065"/>
    </row>
    <row r="8099" spans="4:59">
      <c r="D8099" s="1065"/>
      <c r="S8099" s="1065"/>
      <c r="BE8099" s="1065"/>
      <c r="BF8099" s="1065"/>
      <c r="BG8099" s="1065"/>
    </row>
    <row r="8104" spans="4:59">
      <c r="D8104" s="1065"/>
      <c r="S8104" s="1065"/>
      <c r="BE8104" s="1065"/>
      <c r="BF8104" s="1065"/>
      <c r="BG8104" s="1065"/>
    </row>
    <row r="8105" spans="4:59">
      <c r="D8105" s="1065"/>
      <c r="S8105" s="1065"/>
      <c r="BE8105" s="1065"/>
      <c r="BF8105" s="1065"/>
      <c r="BG8105" s="1065"/>
    </row>
    <row r="8108" spans="4:59">
      <c r="D8108" s="1065"/>
      <c r="S8108" s="1065"/>
      <c r="BE8108" s="1065"/>
      <c r="BF8108" s="1065"/>
      <c r="BG8108" s="1065"/>
    </row>
    <row r="8109" spans="4:59">
      <c r="D8109" s="1065"/>
      <c r="S8109" s="1065"/>
      <c r="BE8109" s="1065"/>
      <c r="BF8109" s="1065"/>
      <c r="BG8109" s="1065"/>
    </row>
    <row r="8110" spans="4:59">
      <c r="D8110" s="1065"/>
      <c r="S8110" s="1065"/>
      <c r="BE8110" s="1065"/>
      <c r="BF8110" s="1065"/>
      <c r="BG8110" s="1065"/>
    </row>
    <row r="8111" spans="4:59">
      <c r="D8111" s="1065"/>
      <c r="S8111" s="1065"/>
      <c r="BE8111" s="1065"/>
      <c r="BF8111" s="1065"/>
      <c r="BG8111" s="1065"/>
    </row>
    <row r="8112" spans="4:59">
      <c r="D8112" s="1065"/>
      <c r="S8112" s="1065"/>
      <c r="BE8112" s="1065"/>
      <c r="BF8112" s="1065"/>
      <c r="BG8112" s="1065"/>
    </row>
    <row r="8113" spans="4:59">
      <c r="D8113" s="1065"/>
      <c r="S8113" s="1065"/>
      <c r="BE8113" s="1065"/>
      <c r="BF8113" s="1065"/>
      <c r="BG8113" s="1065"/>
    </row>
    <row r="8114" spans="4:59">
      <c r="D8114" s="1065"/>
      <c r="S8114" s="1065"/>
      <c r="BE8114" s="1065"/>
      <c r="BF8114" s="1065"/>
      <c r="BG8114" s="1065"/>
    </row>
    <row r="8115" spans="4:59">
      <c r="D8115" s="1065"/>
      <c r="S8115" s="1065"/>
      <c r="BE8115" s="1065"/>
      <c r="BF8115" s="1065"/>
      <c r="BG8115" s="1065"/>
    </row>
    <row r="8118" spans="4:59">
      <c r="D8118" s="1065"/>
      <c r="S8118" s="1065"/>
      <c r="BE8118" s="1065"/>
      <c r="BF8118" s="1065"/>
      <c r="BG8118" s="1065"/>
    </row>
    <row r="8119" spans="4:59">
      <c r="D8119" s="1065"/>
      <c r="S8119" s="1065"/>
      <c r="BE8119" s="1065"/>
      <c r="BF8119" s="1065"/>
      <c r="BG8119" s="1065"/>
    </row>
    <row r="8124" spans="4:59">
      <c r="D8124" s="1065"/>
      <c r="S8124" s="1065"/>
      <c r="BE8124" s="1065"/>
      <c r="BF8124" s="1065"/>
      <c r="BG8124" s="1065"/>
    </row>
    <row r="8125" spans="4:59">
      <c r="D8125" s="1065"/>
      <c r="S8125" s="1065"/>
      <c r="BE8125" s="1065"/>
      <c r="BF8125" s="1065"/>
      <c r="BG8125" s="1065"/>
    </row>
    <row r="8126" spans="4:59">
      <c r="D8126" s="1065"/>
      <c r="S8126" s="1065"/>
      <c r="BE8126" s="1065"/>
      <c r="BF8126" s="1065"/>
      <c r="BG8126" s="1065"/>
    </row>
    <row r="8127" spans="4:59">
      <c r="D8127" s="1065"/>
      <c r="S8127" s="1065"/>
      <c r="BE8127" s="1065"/>
      <c r="BF8127" s="1065"/>
      <c r="BG8127" s="1065"/>
    </row>
    <row r="8128" spans="4:59">
      <c r="D8128" s="1065"/>
      <c r="S8128" s="1065"/>
      <c r="BE8128" s="1065"/>
      <c r="BF8128" s="1065"/>
      <c r="BG8128" s="1065"/>
    </row>
    <row r="8129" spans="4:59">
      <c r="D8129" s="1065"/>
      <c r="S8129" s="1065"/>
      <c r="BE8129" s="1065"/>
      <c r="BF8129" s="1065"/>
      <c r="BG8129" s="1065"/>
    </row>
    <row r="8130" spans="4:59">
      <c r="D8130" s="1065"/>
      <c r="S8130" s="1065"/>
      <c r="BE8130" s="1065"/>
      <c r="BF8130" s="1065"/>
      <c r="BG8130" s="1065"/>
    </row>
    <row r="8131" spans="4:59">
      <c r="D8131" s="1065"/>
      <c r="S8131" s="1065"/>
      <c r="BE8131" s="1065"/>
      <c r="BF8131" s="1065"/>
      <c r="BG8131" s="1065"/>
    </row>
    <row r="8132" spans="4:59">
      <c r="D8132" s="1065"/>
      <c r="S8132" s="1065"/>
      <c r="BE8132" s="1065"/>
      <c r="BF8132" s="1065"/>
      <c r="BG8132" s="1065"/>
    </row>
    <row r="8133" spans="4:59">
      <c r="D8133" s="1065"/>
      <c r="S8133" s="1065"/>
      <c r="BE8133" s="1065"/>
      <c r="BF8133" s="1065"/>
      <c r="BG8133" s="1065"/>
    </row>
    <row r="8134" spans="4:59">
      <c r="D8134" s="1065"/>
      <c r="S8134" s="1065"/>
      <c r="BE8134" s="1065"/>
      <c r="BF8134" s="1065"/>
      <c r="BG8134" s="1065"/>
    </row>
    <row r="8135" spans="4:59">
      <c r="D8135" s="1065"/>
      <c r="S8135" s="1065"/>
      <c r="BE8135" s="1065"/>
      <c r="BF8135" s="1065"/>
      <c r="BG8135" s="1065"/>
    </row>
    <row r="8136" spans="4:59">
      <c r="D8136" s="1065"/>
      <c r="S8136" s="1065"/>
      <c r="BE8136" s="1065"/>
      <c r="BF8136" s="1065"/>
      <c r="BG8136" s="1065"/>
    </row>
    <row r="8137" spans="4:59">
      <c r="D8137" s="1065"/>
      <c r="S8137" s="1065"/>
      <c r="BE8137" s="1065"/>
      <c r="BF8137" s="1065"/>
      <c r="BG8137" s="1065"/>
    </row>
    <row r="8138" spans="4:59">
      <c r="D8138" s="1065"/>
      <c r="S8138" s="1065"/>
      <c r="BE8138" s="1065"/>
      <c r="BF8138" s="1065"/>
      <c r="BG8138" s="1065"/>
    </row>
    <row r="8139" spans="4:59">
      <c r="D8139" s="1065"/>
      <c r="S8139" s="1065"/>
      <c r="BE8139" s="1065"/>
      <c r="BF8139" s="1065"/>
      <c r="BG8139" s="1065"/>
    </row>
    <row r="8140" spans="4:59">
      <c r="D8140" s="1065"/>
      <c r="S8140" s="1065"/>
      <c r="BE8140" s="1065"/>
      <c r="BF8140" s="1065"/>
      <c r="BG8140" s="1065"/>
    </row>
    <row r="8141" spans="4:59">
      <c r="D8141" s="1065"/>
      <c r="S8141" s="1065"/>
      <c r="BE8141" s="1065"/>
      <c r="BF8141" s="1065"/>
      <c r="BG8141" s="1065"/>
    </row>
    <row r="8142" spans="4:59">
      <c r="D8142" s="1065"/>
      <c r="S8142" s="1065"/>
      <c r="BE8142" s="1065"/>
      <c r="BF8142" s="1065"/>
      <c r="BG8142" s="1065"/>
    </row>
    <row r="8143" spans="4:59">
      <c r="D8143" s="1065"/>
      <c r="S8143" s="1065"/>
      <c r="BE8143" s="1065"/>
      <c r="BF8143" s="1065"/>
      <c r="BG8143" s="1065"/>
    </row>
    <row r="8144" spans="4:59">
      <c r="D8144" s="1065"/>
      <c r="S8144" s="1065"/>
      <c r="BE8144" s="1065"/>
      <c r="BF8144" s="1065"/>
      <c r="BG8144" s="1065"/>
    </row>
    <row r="8145" spans="4:59">
      <c r="D8145" s="1065"/>
      <c r="S8145" s="1065"/>
      <c r="BE8145" s="1065"/>
      <c r="BF8145" s="1065"/>
      <c r="BG8145" s="1065"/>
    </row>
    <row r="8146" spans="4:59">
      <c r="D8146" s="1065"/>
      <c r="S8146" s="1065"/>
      <c r="BE8146" s="1065"/>
      <c r="BF8146" s="1065"/>
      <c r="BG8146" s="1065"/>
    </row>
    <row r="8147" spans="4:59">
      <c r="D8147" s="1065"/>
      <c r="S8147" s="1065"/>
      <c r="BE8147" s="1065"/>
      <c r="BF8147" s="1065"/>
      <c r="BG8147" s="1065"/>
    </row>
    <row r="8148" spans="4:59">
      <c r="D8148" s="1065"/>
      <c r="S8148" s="1065"/>
      <c r="BE8148" s="1065"/>
      <c r="BF8148" s="1065"/>
      <c r="BG8148" s="1065"/>
    </row>
    <row r="8149" spans="4:59">
      <c r="D8149" s="1065"/>
      <c r="S8149" s="1065"/>
      <c r="BE8149" s="1065"/>
      <c r="BF8149" s="1065"/>
      <c r="BG8149" s="1065"/>
    </row>
    <row r="8150" spans="4:59">
      <c r="D8150" s="1065"/>
      <c r="S8150" s="1065"/>
      <c r="BE8150" s="1065"/>
      <c r="BF8150" s="1065"/>
      <c r="BG8150" s="1065"/>
    </row>
    <row r="8151" spans="4:59">
      <c r="D8151" s="1065"/>
      <c r="S8151" s="1065"/>
      <c r="BE8151" s="1065"/>
      <c r="BF8151" s="1065"/>
      <c r="BG8151" s="1065"/>
    </row>
    <row r="8152" spans="4:59">
      <c r="D8152" s="1065"/>
      <c r="S8152" s="1065"/>
      <c r="BE8152" s="1065"/>
      <c r="BF8152" s="1065"/>
      <c r="BG8152" s="1065"/>
    </row>
    <row r="8153" spans="4:59">
      <c r="D8153" s="1065"/>
      <c r="S8153" s="1065"/>
      <c r="BE8153" s="1065"/>
      <c r="BF8153" s="1065"/>
      <c r="BG8153" s="1065"/>
    </row>
    <row r="8154" spans="4:59">
      <c r="D8154" s="1065"/>
      <c r="S8154" s="1065"/>
      <c r="BE8154" s="1065"/>
      <c r="BF8154" s="1065"/>
      <c r="BG8154" s="1065"/>
    </row>
    <row r="8155" spans="4:59">
      <c r="D8155" s="1065"/>
      <c r="S8155" s="1065"/>
      <c r="BE8155" s="1065"/>
      <c r="BF8155" s="1065"/>
      <c r="BG8155" s="1065"/>
    </row>
    <row r="8156" spans="4:59">
      <c r="D8156" s="1065"/>
      <c r="S8156" s="1065"/>
      <c r="BE8156" s="1065"/>
      <c r="BF8156" s="1065"/>
      <c r="BG8156" s="1065"/>
    </row>
    <row r="8157" spans="4:59">
      <c r="D8157" s="1065"/>
      <c r="S8157" s="1065"/>
      <c r="BE8157" s="1065"/>
      <c r="BF8157" s="1065"/>
      <c r="BG8157" s="1065"/>
    </row>
    <row r="8158" spans="4:59">
      <c r="D8158" s="1065"/>
      <c r="S8158" s="1065"/>
      <c r="BE8158" s="1065"/>
      <c r="BF8158" s="1065"/>
      <c r="BG8158" s="1065"/>
    </row>
    <row r="8159" spans="4:59">
      <c r="D8159" s="1065"/>
      <c r="S8159" s="1065"/>
      <c r="BE8159" s="1065"/>
      <c r="BF8159" s="1065"/>
      <c r="BG8159" s="1065"/>
    </row>
    <row r="8160" spans="4:59">
      <c r="D8160" s="1065"/>
      <c r="S8160" s="1065"/>
      <c r="BE8160" s="1065"/>
      <c r="BF8160" s="1065"/>
      <c r="BG8160" s="1065"/>
    </row>
    <row r="8161" spans="4:59">
      <c r="D8161" s="1065"/>
      <c r="S8161" s="1065"/>
      <c r="BE8161" s="1065"/>
      <c r="BF8161" s="1065"/>
      <c r="BG8161" s="1065"/>
    </row>
    <row r="8162" spans="4:59">
      <c r="D8162" s="1065"/>
      <c r="S8162" s="1065"/>
      <c r="BE8162" s="1065"/>
      <c r="BF8162" s="1065"/>
      <c r="BG8162" s="1065"/>
    </row>
    <row r="8163" spans="4:59">
      <c r="D8163" s="1065"/>
      <c r="S8163" s="1065"/>
      <c r="BE8163" s="1065"/>
      <c r="BF8163" s="1065"/>
      <c r="BG8163" s="1065"/>
    </row>
    <row r="8164" spans="4:59">
      <c r="D8164" s="1065"/>
      <c r="S8164" s="1065"/>
      <c r="BE8164" s="1065"/>
      <c r="BF8164" s="1065"/>
      <c r="BG8164" s="1065"/>
    </row>
    <row r="8165" spans="4:59">
      <c r="D8165" s="1065"/>
      <c r="S8165" s="1065"/>
      <c r="BE8165" s="1065"/>
      <c r="BF8165" s="1065"/>
      <c r="BG8165" s="1065"/>
    </row>
    <row r="8166" spans="4:59">
      <c r="D8166" s="1065"/>
      <c r="S8166" s="1065"/>
      <c r="BE8166" s="1065"/>
      <c r="BF8166" s="1065"/>
      <c r="BG8166" s="1065"/>
    </row>
    <row r="8167" spans="4:59">
      <c r="D8167" s="1065"/>
      <c r="S8167" s="1065"/>
      <c r="BE8167" s="1065"/>
      <c r="BF8167" s="1065"/>
      <c r="BG8167" s="1065"/>
    </row>
    <row r="8168" spans="4:59">
      <c r="D8168" s="1065"/>
      <c r="S8168" s="1065"/>
      <c r="BE8168" s="1065"/>
      <c r="BF8168" s="1065"/>
      <c r="BG8168" s="1065"/>
    </row>
    <row r="8169" spans="4:59">
      <c r="D8169" s="1065"/>
      <c r="S8169" s="1065"/>
      <c r="BE8169" s="1065"/>
      <c r="BF8169" s="1065"/>
      <c r="BG8169" s="1065"/>
    </row>
    <row r="8170" spans="4:59">
      <c r="D8170" s="1065"/>
      <c r="S8170" s="1065"/>
      <c r="BE8170" s="1065"/>
      <c r="BF8170" s="1065"/>
      <c r="BG8170" s="1065"/>
    </row>
    <row r="8171" spans="4:59">
      <c r="D8171" s="1065"/>
      <c r="S8171" s="1065"/>
      <c r="BE8171" s="1065"/>
      <c r="BF8171" s="1065"/>
      <c r="BG8171" s="1065"/>
    </row>
    <row r="8172" spans="4:59">
      <c r="D8172" s="1065"/>
      <c r="S8172" s="1065"/>
      <c r="BE8172" s="1065"/>
      <c r="BF8172" s="1065"/>
      <c r="BG8172" s="1065"/>
    </row>
    <row r="8173" spans="4:59">
      <c r="D8173" s="1065"/>
      <c r="S8173" s="1065"/>
      <c r="BE8173" s="1065"/>
      <c r="BF8173" s="1065"/>
      <c r="BG8173" s="1065"/>
    </row>
    <row r="8174" spans="4:59">
      <c r="D8174" s="1065"/>
      <c r="S8174" s="1065"/>
      <c r="BE8174" s="1065"/>
      <c r="BF8174" s="1065"/>
      <c r="BG8174" s="1065"/>
    </row>
    <row r="8175" spans="4:59">
      <c r="D8175" s="1065"/>
      <c r="S8175" s="1065"/>
      <c r="BE8175" s="1065"/>
      <c r="BF8175" s="1065"/>
      <c r="BG8175" s="1065"/>
    </row>
    <row r="8176" spans="4:59">
      <c r="D8176" s="1065"/>
      <c r="S8176" s="1065"/>
      <c r="BE8176" s="1065"/>
      <c r="BF8176" s="1065"/>
      <c r="BG8176" s="1065"/>
    </row>
    <row r="8177" spans="4:59">
      <c r="D8177" s="1065"/>
      <c r="S8177" s="1065"/>
      <c r="BE8177" s="1065"/>
      <c r="BF8177" s="1065"/>
      <c r="BG8177" s="1065"/>
    </row>
    <row r="8178" spans="4:59">
      <c r="D8178" s="1065"/>
      <c r="S8178" s="1065"/>
      <c r="BE8178" s="1065"/>
      <c r="BF8178" s="1065"/>
      <c r="BG8178" s="1065"/>
    </row>
    <row r="8179" spans="4:59">
      <c r="D8179" s="1065"/>
      <c r="S8179" s="1065"/>
      <c r="BE8179" s="1065"/>
      <c r="BF8179" s="1065"/>
      <c r="BG8179" s="1065"/>
    </row>
    <row r="8180" spans="4:59">
      <c r="D8180" s="1065"/>
      <c r="S8180" s="1065"/>
      <c r="BE8180" s="1065"/>
      <c r="BF8180" s="1065"/>
      <c r="BG8180" s="1065"/>
    </row>
    <row r="8181" spans="4:59">
      <c r="D8181" s="1065"/>
      <c r="S8181" s="1065"/>
      <c r="BE8181" s="1065"/>
      <c r="BF8181" s="1065"/>
      <c r="BG8181" s="1065"/>
    </row>
    <row r="8182" spans="4:59">
      <c r="D8182" s="1065"/>
      <c r="S8182" s="1065"/>
      <c r="BE8182" s="1065"/>
      <c r="BF8182" s="1065"/>
      <c r="BG8182" s="1065"/>
    </row>
    <row r="8183" spans="4:59">
      <c r="D8183" s="1065"/>
      <c r="S8183" s="1065"/>
      <c r="BE8183" s="1065"/>
      <c r="BF8183" s="1065"/>
      <c r="BG8183" s="1065"/>
    </row>
    <row r="8184" spans="4:59">
      <c r="D8184" s="1065"/>
      <c r="S8184" s="1065"/>
      <c r="BE8184" s="1065"/>
      <c r="BF8184" s="1065"/>
      <c r="BG8184" s="1065"/>
    </row>
    <row r="8185" spans="4:59">
      <c r="D8185" s="1065"/>
      <c r="S8185" s="1065"/>
      <c r="BE8185" s="1065"/>
      <c r="BF8185" s="1065"/>
      <c r="BG8185" s="1065"/>
    </row>
    <row r="8186" spans="4:59">
      <c r="D8186" s="1065"/>
      <c r="S8186" s="1065"/>
      <c r="BE8186" s="1065"/>
      <c r="BF8186" s="1065"/>
      <c r="BG8186" s="1065"/>
    </row>
    <row r="8187" spans="4:59">
      <c r="D8187" s="1065"/>
      <c r="S8187" s="1065"/>
      <c r="BE8187" s="1065"/>
      <c r="BF8187" s="1065"/>
      <c r="BG8187" s="1065"/>
    </row>
    <row r="8188" spans="4:59">
      <c r="D8188" s="1065"/>
      <c r="S8188" s="1065"/>
      <c r="BE8188" s="1065"/>
      <c r="BF8188" s="1065"/>
      <c r="BG8188" s="1065"/>
    </row>
    <row r="8189" spans="4:59">
      <c r="D8189" s="1065"/>
      <c r="S8189" s="1065"/>
      <c r="BE8189" s="1065"/>
      <c r="BF8189" s="1065"/>
      <c r="BG8189" s="1065"/>
    </row>
    <row r="8190" spans="4:59">
      <c r="D8190" s="1065"/>
      <c r="S8190" s="1065"/>
      <c r="BE8190" s="1065"/>
      <c r="BF8190" s="1065"/>
      <c r="BG8190" s="1065"/>
    </row>
    <row r="8191" spans="4:59">
      <c r="D8191" s="1065"/>
      <c r="S8191" s="1065"/>
      <c r="BE8191" s="1065"/>
      <c r="BF8191" s="1065"/>
      <c r="BG8191" s="1065"/>
    </row>
    <row r="8192" spans="4:59">
      <c r="D8192" s="1065"/>
      <c r="S8192" s="1065"/>
      <c r="BE8192" s="1065"/>
      <c r="BF8192" s="1065"/>
      <c r="BG8192" s="1065"/>
    </row>
    <row r="8193" spans="4:59">
      <c r="D8193" s="1065"/>
      <c r="S8193" s="1065"/>
      <c r="BE8193" s="1065"/>
      <c r="BF8193" s="1065"/>
      <c r="BG8193" s="1065"/>
    </row>
    <row r="8194" spans="4:59">
      <c r="D8194" s="1065"/>
      <c r="S8194" s="1065"/>
      <c r="BE8194" s="1065"/>
      <c r="BF8194" s="1065"/>
      <c r="BG8194" s="1065"/>
    </row>
    <row r="8195" spans="4:59">
      <c r="D8195" s="1065"/>
      <c r="S8195" s="1065"/>
      <c r="BE8195" s="1065"/>
      <c r="BF8195" s="1065"/>
      <c r="BG8195" s="1065"/>
    </row>
    <row r="8196" spans="4:59">
      <c r="D8196" s="1065"/>
      <c r="S8196" s="1065"/>
      <c r="BE8196" s="1065"/>
      <c r="BF8196" s="1065"/>
      <c r="BG8196" s="1065"/>
    </row>
    <row r="8197" spans="4:59">
      <c r="D8197" s="1065"/>
      <c r="S8197" s="1065"/>
      <c r="BE8197" s="1065"/>
      <c r="BF8197" s="1065"/>
      <c r="BG8197" s="1065"/>
    </row>
    <row r="8198" spans="4:59">
      <c r="D8198" s="1065"/>
      <c r="S8198" s="1065"/>
      <c r="BE8198" s="1065"/>
      <c r="BF8198" s="1065"/>
      <c r="BG8198" s="1065"/>
    </row>
    <row r="8199" spans="4:59">
      <c r="D8199" s="1065"/>
      <c r="S8199" s="1065"/>
      <c r="BE8199" s="1065"/>
      <c r="BF8199" s="1065"/>
      <c r="BG8199" s="1065"/>
    </row>
    <row r="8200" spans="4:59">
      <c r="D8200" s="1065"/>
      <c r="S8200" s="1065"/>
      <c r="BE8200" s="1065"/>
      <c r="BF8200" s="1065"/>
      <c r="BG8200" s="1065"/>
    </row>
    <row r="8201" spans="4:59">
      <c r="D8201" s="1065"/>
      <c r="S8201" s="1065"/>
      <c r="BE8201" s="1065"/>
      <c r="BF8201" s="1065"/>
      <c r="BG8201" s="1065"/>
    </row>
    <row r="8202" spans="4:59">
      <c r="D8202" s="1065"/>
      <c r="S8202" s="1065"/>
      <c r="BE8202" s="1065"/>
      <c r="BF8202" s="1065"/>
      <c r="BG8202" s="1065"/>
    </row>
    <row r="8203" spans="4:59">
      <c r="D8203" s="1065"/>
      <c r="S8203" s="1065"/>
      <c r="BE8203" s="1065"/>
      <c r="BF8203" s="1065"/>
      <c r="BG8203" s="1065"/>
    </row>
    <row r="8204" spans="4:59">
      <c r="D8204" s="1065"/>
      <c r="S8204" s="1065"/>
      <c r="BE8204" s="1065"/>
      <c r="BF8204" s="1065"/>
      <c r="BG8204" s="1065"/>
    </row>
    <row r="8205" spans="4:59">
      <c r="D8205" s="1065"/>
      <c r="S8205" s="1065"/>
      <c r="BE8205" s="1065"/>
      <c r="BF8205" s="1065"/>
      <c r="BG8205" s="1065"/>
    </row>
    <row r="8206" spans="4:59">
      <c r="D8206" s="1065"/>
      <c r="S8206" s="1065"/>
      <c r="BE8206" s="1065"/>
      <c r="BF8206" s="1065"/>
      <c r="BG8206" s="1065"/>
    </row>
    <row r="8207" spans="4:59">
      <c r="D8207" s="1065"/>
      <c r="S8207" s="1065"/>
      <c r="BE8207" s="1065"/>
      <c r="BF8207" s="1065"/>
      <c r="BG8207" s="1065"/>
    </row>
    <row r="8208" spans="4:59">
      <c r="D8208" s="1065"/>
      <c r="S8208" s="1065"/>
      <c r="BE8208" s="1065"/>
      <c r="BF8208" s="1065"/>
      <c r="BG8208" s="1065"/>
    </row>
    <row r="8209" spans="4:59">
      <c r="D8209" s="1065"/>
      <c r="S8209" s="1065"/>
      <c r="BE8209" s="1065"/>
      <c r="BF8209" s="1065"/>
      <c r="BG8209" s="1065"/>
    </row>
    <row r="8210" spans="4:59">
      <c r="D8210" s="1065"/>
      <c r="S8210" s="1065"/>
      <c r="BE8210" s="1065"/>
      <c r="BF8210" s="1065"/>
      <c r="BG8210" s="1065"/>
    </row>
    <row r="8211" spans="4:59">
      <c r="D8211" s="1065"/>
      <c r="S8211" s="1065"/>
      <c r="BE8211" s="1065"/>
      <c r="BF8211" s="1065"/>
      <c r="BG8211" s="1065"/>
    </row>
    <row r="8212" spans="4:59">
      <c r="D8212" s="1065"/>
      <c r="S8212" s="1065"/>
      <c r="BE8212" s="1065"/>
      <c r="BF8212" s="1065"/>
      <c r="BG8212" s="1065"/>
    </row>
    <row r="8213" spans="4:59">
      <c r="D8213" s="1065"/>
      <c r="S8213" s="1065"/>
      <c r="BE8213" s="1065"/>
      <c r="BF8213" s="1065"/>
      <c r="BG8213" s="1065"/>
    </row>
    <row r="8214" spans="4:59">
      <c r="D8214" s="1065"/>
      <c r="S8214" s="1065"/>
      <c r="BE8214" s="1065"/>
      <c r="BF8214" s="1065"/>
      <c r="BG8214" s="1065"/>
    </row>
    <row r="8215" spans="4:59">
      <c r="D8215" s="1065"/>
      <c r="S8215" s="1065"/>
      <c r="BE8215" s="1065"/>
      <c r="BF8215" s="1065"/>
      <c r="BG8215" s="1065"/>
    </row>
    <row r="8216" spans="4:59">
      <c r="D8216" s="1065"/>
      <c r="S8216" s="1065"/>
      <c r="BE8216" s="1065"/>
      <c r="BF8216" s="1065"/>
      <c r="BG8216" s="1065"/>
    </row>
    <row r="8217" spans="4:59">
      <c r="D8217" s="1065"/>
      <c r="S8217" s="1065"/>
      <c r="BE8217" s="1065"/>
      <c r="BF8217" s="1065"/>
      <c r="BG8217" s="1065"/>
    </row>
    <row r="8218" spans="4:59">
      <c r="D8218" s="1065"/>
      <c r="S8218" s="1065"/>
      <c r="BE8218" s="1065"/>
      <c r="BF8218" s="1065"/>
      <c r="BG8218" s="1065"/>
    </row>
    <row r="8219" spans="4:59">
      <c r="D8219" s="1065"/>
      <c r="S8219" s="1065"/>
      <c r="BE8219" s="1065"/>
      <c r="BF8219" s="1065"/>
      <c r="BG8219" s="1065"/>
    </row>
    <row r="8220" spans="4:59">
      <c r="D8220" s="1065"/>
      <c r="S8220" s="1065"/>
      <c r="BE8220" s="1065"/>
      <c r="BF8220" s="1065"/>
      <c r="BG8220" s="1065"/>
    </row>
    <row r="8221" spans="4:59">
      <c r="D8221" s="1065"/>
      <c r="S8221" s="1065"/>
      <c r="BE8221" s="1065"/>
      <c r="BF8221" s="1065"/>
      <c r="BG8221" s="1065"/>
    </row>
    <row r="8222" spans="4:59">
      <c r="D8222" s="1065"/>
      <c r="S8222" s="1065"/>
      <c r="BE8222" s="1065"/>
      <c r="BF8222" s="1065"/>
      <c r="BG8222" s="1065"/>
    </row>
    <row r="8223" spans="4:59">
      <c r="D8223" s="1065"/>
      <c r="S8223" s="1065"/>
      <c r="BE8223" s="1065"/>
      <c r="BF8223" s="1065"/>
      <c r="BG8223" s="1065"/>
    </row>
    <row r="8224" spans="4:59">
      <c r="D8224" s="1065"/>
      <c r="S8224" s="1065"/>
      <c r="BE8224" s="1065"/>
      <c r="BF8224" s="1065"/>
      <c r="BG8224" s="1065"/>
    </row>
    <row r="8225" spans="4:59">
      <c r="D8225" s="1065"/>
      <c r="S8225" s="1065"/>
      <c r="BE8225" s="1065"/>
      <c r="BF8225" s="1065"/>
      <c r="BG8225" s="1065"/>
    </row>
    <row r="8226" spans="4:59">
      <c r="D8226" s="1065"/>
      <c r="S8226" s="1065"/>
      <c r="BE8226" s="1065"/>
      <c r="BF8226" s="1065"/>
      <c r="BG8226" s="1065"/>
    </row>
    <row r="8227" spans="4:59">
      <c r="D8227" s="1065"/>
      <c r="S8227" s="1065"/>
      <c r="BE8227" s="1065"/>
      <c r="BF8227" s="1065"/>
      <c r="BG8227" s="1065"/>
    </row>
    <row r="8228" spans="4:59">
      <c r="D8228" s="1065"/>
      <c r="S8228" s="1065"/>
      <c r="BE8228" s="1065"/>
      <c r="BF8228" s="1065"/>
      <c r="BG8228" s="1065"/>
    </row>
    <row r="8229" spans="4:59">
      <c r="D8229" s="1065"/>
      <c r="S8229" s="1065"/>
      <c r="BE8229" s="1065"/>
      <c r="BF8229" s="1065"/>
      <c r="BG8229" s="1065"/>
    </row>
    <row r="8230" spans="4:59">
      <c r="D8230" s="1065"/>
      <c r="S8230" s="1065"/>
      <c r="BE8230" s="1065"/>
      <c r="BF8230" s="1065"/>
      <c r="BG8230" s="1065"/>
    </row>
    <row r="8231" spans="4:59">
      <c r="D8231" s="1065"/>
      <c r="S8231" s="1065"/>
      <c r="BE8231" s="1065"/>
      <c r="BF8231" s="1065"/>
      <c r="BG8231" s="1065"/>
    </row>
    <row r="8232" spans="4:59">
      <c r="D8232" s="1065"/>
      <c r="S8232" s="1065"/>
      <c r="BE8232" s="1065"/>
      <c r="BF8232" s="1065"/>
      <c r="BG8232" s="1065"/>
    </row>
    <row r="8233" spans="4:59">
      <c r="D8233" s="1065"/>
      <c r="S8233" s="1065"/>
      <c r="BE8233" s="1065"/>
      <c r="BF8233" s="1065"/>
      <c r="BG8233" s="1065"/>
    </row>
    <row r="8234" spans="4:59">
      <c r="D8234" s="1065"/>
      <c r="S8234" s="1065"/>
      <c r="BE8234" s="1065"/>
      <c r="BF8234" s="1065"/>
      <c r="BG8234" s="1065"/>
    </row>
    <row r="8235" spans="4:59">
      <c r="D8235" s="1065"/>
      <c r="S8235" s="1065"/>
      <c r="BE8235" s="1065"/>
      <c r="BF8235" s="1065"/>
      <c r="BG8235" s="1065"/>
    </row>
    <row r="8236" spans="4:59">
      <c r="D8236" s="1065"/>
      <c r="S8236" s="1065"/>
      <c r="BE8236" s="1065"/>
      <c r="BF8236" s="1065"/>
      <c r="BG8236" s="1065"/>
    </row>
    <row r="8237" spans="4:59">
      <c r="D8237" s="1065"/>
      <c r="S8237" s="1065"/>
      <c r="BE8237" s="1065"/>
      <c r="BF8237" s="1065"/>
      <c r="BG8237" s="1065"/>
    </row>
    <row r="8238" spans="4:59">
      <c r="D8238" s="1065"/>
      <c r="S8238" s="1065"/>
      <c r="BE8238" s="1065"/>
      <c r="BF8238" s="1065"/>
      <c r="BG8238" s="1065"/>
    </row>
    <row r="8239" spans="4:59">
      <c r="D8239" s="1065"/>
      <c r="S8239" s="1065"/>
      <c r="BE8239" s="1065"/>
      <c r="BF8239" s="1065"/>
      <c r="BG8239" s="1065"/>
    </row>
    <row r="8240" spans="4:59">
      <c r="D8240" s="1065"/>
      <c r="S8240" s="1065"/>
      <c r="BE8240" s="1065"/>
      <c r="BF8240" s="1065"/>
      <c r="BG8240" s="1065"/>
    </row>
    <row r="8241" spans="4:59">
      <c r="D8241" s="1065"/>
      <c r="S8241" s="1065"/>
      <c r="BE8241" s="1065"/>
      <c r="BF8241" s="1065"/>
      <c r="BG8241" s="1065"/>
    </row>
    <row r="8242" spans="4:59">
      <c r="D8242" s="1065"/>
      <c r="S8242" s="1065"/>
      <c r="BE8242" s="1065"/>
      <c r="BF8242" s="1065"/>
      <c r="BG8242" s="1065"/>
    </row>
    <row r="8243" spans="4:59">
      <c r="D8243" s="1065"/>
      <c r="S8243" s="1065"/>
      <c r="BE8243" s="1065"/>
      <c r="BF8243" s="1065"/>
      <c r="BG8243" s="1065"/>
    </row>
    <row r="8244" spans="4:59">
      <c r="D8244" s="1065"/>
      <c r="S8244" s="1065"/>
      <c r="BE8244" s="1065"/>
      <c r="BF8244" s="1065"/>
      <c r="BG8244" s="1065"/>
    </row>
    <row r="8245" spans="4:59">
      <c r="D8245" s="1065"/>
      <c r="S8245" s="1065"/>
      <c r="BE8245" s="1065"/>
      <c r="BF8245" s="1065"/>
      <c r="BG8245" s="1065"/>
    </row>
    <row r="8246" spans="4:59">
      <c r="D8246" s="1065"/>
      <c r="S8246" s="1065"/>
      <c r="BE8246" s="1065"/>
      <c r="BF8246" s="1065"/>
      <c r="BG8246" s="1065"/>
    </row>
    <row r="8247" spans="4:59">
      <c r="D8247" s="1065"/>
      <c r="S8247" s="1065"/>
      <c r="BE8247" s="1065"/>
      <c r="BF8247" s="1065"/>
      <c r="BG8247" s="1065"/>
    </row>
    <row r="8248" spans="4:59">
      <c r="D8248" s="1065"/>
      <c r="S8248" s="1065"/>
      <c r="BE8248" s="1065"/>
      <c r="BF8248" s="1065"/>
      <c r="BG8248" s="1065"/>
    </row>
    <row r="8249" spans="4:59">
      <c r="D8249" s="1065"/>
      <c r="S8249" s="1065"/>
      <c r="BE8249" s="1065"/>
      <c r="BF8249" s="1065"/>
      <c r="BG8249" s="1065"/>
    </row>
    <row r="8250" spans="4:59">
      <c r="D8250" s="1065"/>
      <c r="S8250" s="1065"/>
      <c r="BE8250" s="1065"/>
      <c r="BF8250" s="1065"/>
      <c r="BG8250" s="1065"/>
    </row>
    <row r="8251" spans="4:59">
      <c r="D8251" s="1065"/>
      <c r="S8251" s="1065"/>
      <c r="BE8251" s="1065"/>
      <c r="BF8251" s="1065"/>
      <c r="BG8251" s="1065"/>
    </row>
    <row r="8252" spans="4:59">
      <c r="D8252" s="1065"/>
      <c r="S8252" s="1065"/>
      <c r="BE8252" s="1065"/>
      <c r="BF8252" s="1065"/>
      <c r="BG8252" s="1065"/>
    </row>
    <row r="8253" spans="4:59">
      <c r="D8253" s="1065"/>
      <c r="S8253" s="1065"/>
      <c r="BE8253" s="1065"/>
      <c r="BF8253" s="1065"/>
      <c r="BG8253" s="1065"/>
    </row>
    <row r="8254" spans="4:59">
      <c r="D8254" s="1065"/>
      <c r="S8254" s="1065"/>
      <c r="BE8254" s="1065"/>
      <c r="BF8254" s="1065"/>
      <c r="BG8254" s="1065"/>
    </row>
    <row r="8255" spans="4:59">
      <c r="D8255" s="1065"/>
      <c r="S8255" s="1065"/>
      <c r="BE8255" s="1065"/>
      <c r="BF8255" s="1065"/>
      <c r="BG8255" s="1065"/>
    </row>
    <row r="8256" spans="4:59">
      <c r="D8256" s="1065"/>
      <c r="S8256" s="1065"/>
      <c r="BE8256" s="1065"/>
      <c r="BF8256" s="1065"/>
      <c r="BG8256" s="1065"/>
    </row>
    <row r="8257" spans="4:59">
      <c r="D8257" s="1065"/>
      <c r="S8257" s="1065"/>
      <c r="BE8257" s="1065"/>
      <c r="BF8257" s="1065"/>
      <c r="BG8257" s="1065"/>
    </row>
    <row r="8258" spans="4:59">
      <c r="D8258" s="1065"/>
      <c r="S8258" s="1065"/>
      <c r="BE8258" s="1065"/>
      <c r="BF8258" s="1065"/>
      <c r="BG8258" s="1065"/>
    </row>
    <row r="8259" spans="4:59">
      <c r="D8259" s="1065"/>
      <c r="S8259" s="1065"/>
      <c r="BE8259" s="1065"/>
      <c r="BF8259" s="1065"/>
      <c r="BG8259" s="1065"/>
    </row>
    <row r="8260" spans="4:59">
      <c r="D8260" s="1065"/>
      <c r="S8260" s="1065"/>
      <c r="BE8260" s="1065"/>
      <c r="BF8260" s="1065"/>
      <c r="BG8260" s="1065"/>
    </row>
    <row r="8261" spans="4:59">
      <c r="D8261" s="1065"/>
      <c r="S8261" s="1065"/>
      <c r="BE8261" s="1065"/>
      <c r="BF8261" s="1065"/>
      <c r="BG8261" s="1065"/>
    </row>
    <row r="8262" spans="4:59">
      <c r="D8262" s="1065"/>
      <c r="S8262" s="1065"/>
      <c r="BE8262" s="1065"/>
      <c r="BF8262" s="1065"/>
      <c r="BG8262" s="1065"/>
    </row>
    <row r="8263" spans="4:59">
      <c r="D8263" s="1065"/>
      <c r="S8263" s="1065"/>
      <c r="BE8263" s="1065"/>
      <c r="BF8263" s="1065"/>
      <c r="BG8263" s="1065"/>
    </row>
    <row r="8264" spans="4:59">
      <c r="D8264" s="1065"/>
      <c r="S8264" s="1065"/>
      <c r="BE8264" s="1065"/>
      <c r="BF8264" s="1065"/>
      <c r="BG8264" s="1065"/>
    </row>
    <row r="8265" spans="4:59">
      <c r="D8265" s="1065"/>
      <c r="S8265" s="1065"/>
      <c r="BE8265" s="1065"/>
      <c r="BF8265" s="1065"/>
      <c r="BG8265" s="1065"/>
    </row>
    <row r="8266" spans="4:59">
      <c r="D8266" s="1065"/>
      <c r="S8266" s="1065"/>
      <c r="BE8266" s="1065"/>
      <c r="BF8266" s="1065"/>
      <c r="BG8266" s="1065"/>
    </row>
    <row r="8267" spans="4:59">
      <c r="D8267" s="1065"/>
      <c r="S8267" s="1065"/>
      <c r="BE8267" s="1065"/>
      <c r="BF8267" s="1065"/>
      <c r="BG8267" s="1065"/>
    </row>
    <row r="8268" spans="4:59">
      <c r="D8268" s="1065"/>
      <c r="S8268" s="1065"/>
      <c r="BE8268" s="1065"/>
      <c r="BF8268" s="1065"/>
      <c r="BG8268" s="1065"/>
    </row>
    <row r="8269" spans="4:59">
      <c r="D8269" s="1065"/>
      <c r="S8269" s="1065"/>
      <c r="BE8269" s="1065"/>
      <c r="BF8269" s="1065"/>
      <c r="BG8269" s="1065"/>
    </row>
    <row r="8270" spans="4:59">
      <c r="D8270" s="1065"/>
      <c r="S8270" s="1065"/>
      <c r="BE8270" s="1065"/>
      <c r="BF8270" s="1065"/>
      <c r="BG8270" s="1065"/>
    </row>
    <row r="8271" spans="4:59">
      <c r="D8271" s="1065"/>
      <c r="S8271" s="1065"/>
      <c r="BE8271" s="1065"/>
      <c r="BF8271" s="1065"/>
      <c r="BG8271" s="1065"/>
    </row>
    <row r="8272" spans="4:59">
      <c r="D8272" s="1065"/>
      <c r="S8272" s="1065"/>
      <c r="BE8272" s="1065"/>
      <c r="BF8272" s="1065"/>
      <c r="BG8272" s="1065"/>
    </row>
    <row r="8273" spans="4:59">
      <c r="D8273" s="1065"/>
      <c r="S8273" s="1065"/>
      <c r="BE8273" s="1065"/>
      <c r="BF8273" s="1065"/>
      <c r="BG8273" s="1065"/>
    </row>
    <row r="8274" spans="4:59">
      <c r="D8274" s="1065"/>
      <c r="S8274" s="1065"/>
      <c r="BE8274" s="1065"/>
      <c r="BF8274" s="1065"/>
      <c r="BG8274" s="1065"/>
    </row>
    <row r="8285" spans="4:59">
      <c r="D8285" s="1065"/>
      <c r="S8285" s="1065"/>
      <c r="BE8285" s="1065"/>
      <c r="BF8285" s="1065"/>
      <c r="BG8285" s="1065"/>
    </row>
    <row r="8286" spans="4:59">
      <c r="D8286" s="1065"/>
      <c r="S8286" s="1065"/>
      <c r="BE8286" s="1065"/>
      <c r="BF8286" s="1065"/>
      <c r="BG8286" s="1065"/>
    </row>
    <row r="8287" spans="4:59">
      <c r="D8287" s="1065"/>
      <c r="S8287" s="1065"/>
      <c r="BE8287" s="1065"/>
      <c r="BF8287" s="1065"/>
      <c r="BG8287" s="1065"/>
    </row>
    <row r="8288" spans="4:59">
      <c r="D8288" s="1065"/>
      <c r="S8288" s="1065"/>
      <c r="BE8288" s="1065"/>
      <c r="BF8288" s="1065"/>
      <c r="BG8288" s="1065"/>
    </row>
    <row r="8289" spans="4:59">
      <c r="D8289" s="1065"/>
      <c r="S8289" s="1065"/>
      <c r="BE8289" s="1065"/>
      <c r="BF8289" s="1065"/>
      <c r="BG8289" s="1065"/>
    </row>
    <row r="8290" spans="4:59">
      <c r="D8290" s="1065"/>
      <c r="S8290" s="1065"/>
      <c r="BE8290" s="1065"/>
      <c r="BF8290" s="1065"/>
      <c r="BG8290" s="1065"/>
    </row>
    <row r="8291" spans="4:59">
      <c r="D8291" s="1065"/>
      <c r="S8291" s="1065"/>
      <c r="BE8291" s="1065"/>
      <c r="BF8291" s="1065"/>
      <c r="BG8291" s="1065"/>
    </row>
    <row r="8292" spans="4:59">
      <c r="D8292" s="1065"/>
      <c r="S8292" s="1065"/>
      <c r="BE8292" s="1065"/>
      <c r="BF8292" s="1065"/>
      <c r="BG8292" s="1065"/>
    </row>
    <row r="8293" spans="4:59">
      <c r="D8293" s="1065"/>
      <c r="S8293" s="1065"/>
      <c r="BE8293" s="1065"/>
      <c r="BF8293" s="1065"/>
      <c r="BG8293" s="1065"/>
    </row>
    <row r="8294" spans="4:59">
      <c r="D8294" s="1065"/>
      <c r="S8294" s="1065"/>
      <c r="BE8294" s="1065"/>
      <c r="BF8294" s="1065"/>
      <c r="BG8294" s="1065"/>
    </row>
    <row r="8295" spans="4:59">
      <c r="D8295" s="1065"/>
      <c r="S8295" s="1065"/>
      <c r="BE8295" s="1065"/>
      <c r="BF8295" s="1065"/>
      <c r="BG8295" s="1065"/>
    </row>
    <row r="8296" spans="4:59">
      <c r="D8296" s="1065"/>
      <c r="S8296" s="1065"/>
      <c r="BE8296" s="1065"/>
      <c r="BF8296" s="1065"/>
      <c r="BG8296" s="1065"/>
    </row>
    <row r="8297" spans="4:59">
      <c r="D8297" s="1065"/>
      <c r="S8297" s="1065"/>
      <c r="BE8297" s="1065"/>
      <c r="BF8297" s="1065"/>
      <c r="BG8297" s="1065"/>
    </row>
    <row r="8298" spans="4:59">
      <c r="D8298" s="1065"/>
      <c r="S8298" s="1065"/>
      <c r="BE8298" s="1065"/>
      <c r="BF8298" s="1065"/>
      <c r="BG8298" s="1065"/>
    </row>
    <row r="8299" spans="4:59">
      <c r="D8299" s="1065"/>
      <c r="S8299" s="1065"/>
      <c r="BE8299" s="1065"/>
      <c r="BF8299" s="1065"/>
      <c r="BG8299" s="1065"/>
    </row>
    <row r="8300" spans="4:59">
      <c r="D8300" s="1065"/>
      <c r="S8300" s="1065"/>
      <c r="BE8300" s="1065"/>
      <c r="BF8300" s="1065"/>
      <c r="BG8300" s="1065"/>
    </row>
    <row r="8301" spans="4:59">
      <c r="D8301" s="1065"/>
      <c r="S8301" s="1065"/>
      <c r="BE8301" s="1065"/>
      <c r="BF8301" s="1065"/>
      <c r="BG8301" s="1065"/>
    </row>
    <row r="8302" spans="4:59">
      <c r="D8302" s="1065"/>
      <c r="S8302" s="1065"/>
      <c r="BE8302" s="1065"/>
      <c r="BF8302" s="1065"/>
      <c r="BG8302" s="1065"/>
    </row>
    <row r="8303" spans="4:59">
      <c r="D8303" s="1065"/>
      <c r="S8303" s="1065"/>
      <c r="BE8303" s="1065"/>
      <c r="BF8303" s="1065"/>
      <c r="BG8303" s="1065"/>
    </row>
    <row r="8304" spans="4:59">
      <c r="D8304" s="1065"/>
      <c r="S8304" s="1065"/>
      <c r="BE8304" s="1065"/>
      <c r="BF8304" s="1065"/>
      <c r="BG8304" s="1065"/>
    </row>
    <row r="8305" spans="4:59">
      <c r="D8305" s="1065"/>
      <c r="S8305" s="1065"/>
      <c r="BE8305" s="1065"/>
      <c r="BF8305" s="1065"/>
      <c r="BG8305" s="1065"/>
    </row>
    <row r="8306" spans="4:59">
      <c r="D8306" s="1065"/>
      <c r="S8306" s="1065"/>
      <c r="BE8306" s="1065"/>
      <c r="BF8306" s="1065"/>
      <c r="BG8306" s="1065"/>
    </row>
    <row r="8307" spans="4:59">
      <c r="D8307" s="1065"/>
      <c r="S8307" s="1065"/>
      <c r="BE8307" s="1065"/>
      <c r="BF8307" s="1065"/>
      <c r="BG8307" s="1065"/>
    </row>
    <row r="8308" spans="4:59">
      <c r="D8308" s="1065"/>
      <c r="S8308" s="1065"/>
      <c r="BE8308" s="1065"/>
      <c r="BF8308" s="1065"/>
      <c r="BG8308" s="1065"/>
    </row>
    <row r="8309" spans="4:59">
      <c r="D8309" s="1065"/>
      <c r="S8309" s="1065"/>
      <c r="BE8309" s="1065"/>
      <c r="BF8309" s="1065"/>
      <c r="BG8309" s="1065"/>
    </row>
    <row r="8310" spans="4:59">
      <c r="D8310" s="1065"/>
      <c r="S8310" s="1065"/>
      <c r="BE8310" s="1065"/>
      <c r="BF8310" s="1065"/>
      <c r="BG8310" s="1065"/>
    </row>
    <row r="8311" spans="4:59">
      <c r="D8311" s="1065"/>
      <c r="S8311" s="1065"/>
      <c r="BE8311" s="1065"/>
      <c r="BF8311" s="1065"/>
      <c r="BG8311" s="1065"/>
    </row>
    <row r="8312" spans="4:59">
      <c r="D8312" s="1065"/>
      <c r="S8312" s="1065"/>
      <c r="BE8312" s="1065"/>
      <c r="BF8312" s="1065"/>
      <c r="BG8312" s="1065"/>
    </row>
    <row r="8313" spans="4:59">
      <c r="D8313" s="1065"/>
      <c r="S8313" s="1065"/>
      <c r="BE8313" s="1065"/>
      <c r="BF8313" s="1065"/>
      <c r="BG8313" s="1065"/>
    </row>
    <row r="8318" spans="4:59">
      <c r="D8318" s="1065"/>
      <c r="S8318" s="1065"/>
      <c r="BE8318" s="1065"/>
      <c r="BF8318" s="1065"/>
      <c r="BG8318" s="1065"/>
    </row>
    <row r="8319" spans="4:59">
      <c r="D8319" s="1065"/>
      <c r="S8319" s="1065"/>
      <c r="BE8319" s="1065"/>
      <c r="BF8319" s="1065"/>
      <c r="BG8319" s="1065"/>
    </row>
    <row r="8320" spans="4:59">
      <c r="D8320" s="1065"/>
      <c r="S8320" s="1065"/>
      <c r="BE8320" s="1065"/>
      <c r="BF8320" s="1065"/>
      <c r="BG8320" s="1065"/>
    </row>
    <row r="8321" spans="4:59">
      <c r="D8321" s="1065"/>
      <c r="S8321" s="1065"/>
      <c r="BE8321" s="1065"/>
      <c r="BF8321" s="1065"/>
      <c r="BG8321" s="1065"/>
    </row>
    <row r="8322" spans="4:59">
      <c r="D8322" s="1065"/>
      <c r="S8322" s="1065"/>
      <c r="BE8322" s="1065"/>
      <c r="BF8322" s="1065"/>
      <c r="BG8322" s="1065"/>
    </row>
    <row r="8325" spans="4:59">
      <c r="D8325" s="1065"/>
      <c r="S8325" s="1065"/>
      <c r="BE8325" s="1065"/>
      <c r="BF8325" s="1065"/>
      <c r="BG8325" s="1065"/>
    </row>
    <row r="8326" spans="4:59">
      <c r="D8326" s="1065"/>
      <c r="S8326" s="1065"/>
      <c r="BE8326" s="1065"/>
      <c r="BF8326" s="1065"/>
      <c r="BG8326" s="1065"/>
    </row>
    <row r="8331" spans="4:59">
      <c r="D8331" s="1065"/>
      <c r="S8331" s="1065"/>
      <c r="BE8331" s="1065"/>
      <c r="BF8331" s="1065"/>
      <c r="BG8331" s="1065"/>
    </row>
    <row r="8332" spans="4:59">
      <c r="D8332" s="1065"/>
      <c r="S8332" s="1065"/>
      <c r="BE8332" s="1065"/>
      <c r="BF8332" s="1065"/>
      <c r="BG8332" s="1065"/>
    </row>
    <row r="8333" spans="4:59">
      <c r="D8333" s="1065"/>
      <c r="S8333" s="1065"/>
      <c r="BE8333" s="1065"/>
      <c r="BF8333" s="1065"/>
      <c r="BG8333" s="1065"/>
    </row>
    <row r="8334" spans="4:59">
      <c r="D8334" s="1065"/>
      <c r="S8334" s="1065"/>
      <c r="BE8334" s="1065"/>
      <c r="BF8334" s="1065"/>
      <c r="BG8334" s="1065"/>
    </row>
    <row r="8335" spans="4:59">
      <c r="D8335" s="1065"/>
      <c r="S8335" s="1065"/>
      <c r="BE8335" s="1065"/>
      <c r="BF8335" s="1065"/>
      <c r="BG8335" s="1065"/>
    </row>
    <row r="8336" spans="4:59">
      <c r="D8336" s="1065"/>
      <c r="S8336" s="1065"/>
      <c r="BE8336" s="1065"/>
      <c r="BF8336" s="1065"/>
      <c r="BG8336" s="1065"/>
    </row>
    <row r="8337" spans="4:59">
      <c r="D8337" s="1065"/>
      <c r="S8337" s="1065"/>
      <c r="BE8337" s="1065"/>
      <c r="BF8337" s="1065"/>
      <c r="BG8337" s="1065"/>
    </row>
    <row r="8338" spans="4:59">
      <c r="D8338" s="1065"/>
      <c r="S8338" s="1065"/>
      <c r="BE8338" s="1065"/>
      <c r="BF8338" s="1065"/>
      <c r="BG8338" s="1065"/>
    </row>
    <row r="8339" spans="4:59">
      <c r="D8339" s="1065"/>
      <c r="S8339" s="1065"/>
      <c r="BE8339" s="1065"/>
      <c r="BF8339" s="1065"/>
      <c r="BG8339" s="1065"/>
    </row>
    <row r="8340" spans="4:59">
      <c r="D8340" s="1065"/>
      <c r="S8340" s="1065"/>
      <c r="BE8340" s="1065"/>
      <c r="BF8340" s="1065"/>
      <c r="BG8340" s="1065"/>
    </row>
    <row r="8341" spans="4:59">
      <c r="D8341" s="1065"/>
      <c r="S8341" s="1065"/>
      <c r="BE8341" s="1065"/>
      <c r="BF8341" s="1065"/>
      <c r="BG8341" s="1065"/>
    </row>
    <row r="8342" spans="4:59">
      <c r="D8342" s="1065"/>
      <c r="S8342" s="1065"/>
      <c r="BE8342" s="1065"/>
      <c r="BF8342" s="1065"/>
      <c r="BG8342" s="1065"/>
    </row>
    <row r="8343" spans="4:59">
      <c r="D8343" s="1065"/>
      <c r="S8343" s="1065"/>
      <c r="BE8343" s="1065"/>
      <c r="BF8343" s="1065"/>
      <c r="BG8343" s="1065"/>
    </row>
    <row r="8344" spans="4:59">
      <c r="D8344" s="1065"/>
      <c r="S8344" s="1065"/>
      <c r="BE8344" s="1065"/>
      <c r="BF8344" s="1065"/>
      <c r="BG8344" s="1065"/>
    </row>
    <row r="8345" spans="4:59">
      <c r="D8345" s="1065"/>
      <c r="S8345" s="1065"/>
      <c r="BE8345" s="1065"/>
      <c r="BF8345" s="1065"/>
      <c r="BG8345" s="1065"/>
    </row>
    <row r="8346" spans="4:59">
      <c r="D8346" s="1065"/>
      <c r="S8346" s="1065"/>
      <c r="BE8346" s="1065"/>
      <c r="BF8346" s="1065"/>
      <c r="BG8346" s="1065"/>
    </row>
    <row r="8347" spans="4:59">
      <c r="D8347" s="1065"/>
      <c r="S8347" s="1065"/>
      <c r="BE8347" s="1065"/>
      <c r="BF8347" s="1065"/>
      <c r="BG8347" s="1065"/>
    </row>
    <row r="8348" spans="4:59">
      <c r="D8348" s="1065"/>
      <c r="S8348" s="1065"/>
      <c r="BE8348" s="1065"/>
      <c r="BF8348" s="1065"/>
      <c r="BG8348" s="1065"/>
    </row>
    <row r="8349" spans="4:59">
      <c r="D8349" s="1065"/>
      <c r="S8349" s="1065"/>
      <c r="BE8349" s="1065"/>
      <c r="BF8349" s="1065"/>
      <c r="BG8349" s="1065"/>
    </row>
    <row r="8350" spans="4:59">
      <c r="D8350" s="1065"/>
      <c r="S8350" s="1065"/>
      <c r="BE8350" s="1065"/>
      <c r="BF8350" s="1065"/>
      <c r="BG8350" s="1065"/>
    </row>
    <row r="8351" spans="4:59">
      <c r="D8351" s="1065"/>
      <c r="S8351" s="1065"/>
      <c r="BE8351" s="1065"/>
      <c r="BF8351" s="1065"/>
      <c r="BG8351" s="1065"/>
    </row>
    <row r="8352" spans="4:59">
      <c r="D8352" s="1065"/>
      <c r="S8352" s="1065"/>
      <c r="BE8352" s="1065"/>
      <c r="BF8352" s="1065"/>
      <c r="BG8352" s="1065"/>
    </row>
    <row r="8353" spans="4:59">
      <c r="D8353" s="1065"/>
      <c r="S8353" s="1065"/>
      <c r="BE8353" s="1065"/>
      <c r="BF8353" s="1065"/>
      <c r="BG8353" s="1065"/>
    </row>
    <row r="8354" spans="4:59">
      <c r="D8354" s="1065"/>
      <c r="S8354" s="1065"/>
      <c r="BE8354" s="1065"/>
      <c r="BF8354" s="1065"/>
      <c r="BG8354" s="1065"/>
    </row>
    <row r="8355" spans="4:59">
      <c r="D8355" s="1065"/>
      <c r="S8355" s="1065"/>
      <c r="BE8355" s="1065"/>
      <c r="BF8355" s="1065"/>
      <c r="BG8355" s="1065"/>
    </row>
    <row r="8356" spans="4:59">
      <c r="D8356" s="1065"/>
      <c r="S8356" s="1065"/>
      <c r="BE8356" s="1065"/>
      <c r="BF8356" s="1065"/>
      <c r="BG8356" s="1065"/>
    </row>
    <row r="8357" spans="4:59">
      <c r="D8357" s="1065"/>
      <c r="S8357" s="1065"/>
      <c r="BE8357" s="1065"/>
      <c r="BF8357" s="1065"/>
      <c r="BG8357" s="1065"/>
    </row>
    <row r="8358" spans="4:59">
      <c r="D8358" s="1065"/>
      <c r="S8358" s="1065"/>
      <c r="BE8358" s="1065"/>
      <c r="BF8358" s="1065"/>
      <c r="BG8358" s="1065"/>
    </row>
    <row r="8359" spans="4:59">
      <c r="D8359" s="1065"/>
      <c r="S8359" s="1065"/>
      <c r="BE8359" s="1065"/>
      <c r="BF8359" s="1065"/>
      <c r="BG8359" s="1065"/>
    </row>
    <row r="8360" spans="4:59">
      <c r="D8360" s="1065"/>
      <c r="S8360" s="1065"/>
      <c r="BE8360" s="1065"/>
      <c r="BF8360" s="1065"/>
      <c r="BG8360" s="1065"/>
    </row>
    <row r="8361" spans="4:59">
      <c r="D8361" s="1065"/>
      <c r="S8361" s="1065"/>
      <c r="BE8361" s="1065"/>
      <c r="BF8361" s="1065"/>
      <c r="BG8361" s="1065"/>
    </row>
    <row r="8362" spans="4:59">
      <c r="D8362" s="1065"/>
      <c r="S8362" s="1065"/>
      <c r="BE8362" s="1065"/>
      <c r="BF8362" s="1065"/>
      <c r="BG8362" s="1065"/>
    </row>
    <row r="8363" spans="4:59">
      <c r="D8363" s="1065"/>
      <c r="S8363" s="1065"/>
      <c r="BE8363" s="1065"/>
      <c r="BF8363" s="1065"/>
      <c r="BG8363" s="1065"/>
    </row>
    <row r="8364" spans="4:59">
      <c r="D8364" s="1065"/>
      <c r="S8364" s="1065"/>
      <c r="BE8364" s="1065"/>
      <c r="BF8364" s="1065"/>
      <c r="BG8364" s="1065"/>
    </row>
    <row r="8365" spans="4:59">
      <c r="D8365" s="1065"/>
      <c r="S8365" s="1065"/>
      <c r="BE8365" s="1065"/>
      <c r="BF8365" s="1065"/>
      <c r="BG8365" s="1065"/>
    </row>
    <row r="8366" spans="4:59">
      <c r="D8366" s="1065"/>
      <c r="S8366" s="1065"/>
      <c r="BE8366" s="1065"/>
      <c r="BF8366" s="1065"/>
      <c r="BG8366" s="1065"/>
    </row>
    <row r="8367" spans="4:59">
      <c r="D8367" s="1065"/>
      <c r="S8367" s="1065"/>
      <c r="BE8367" s="1065"/>
      <c r="BF8367" s="1065"/>
      <c r="BG8367" s="1065"/>
    </row>
    <row r="8368" spans="4:59">
      <c r="D8368" s="1065"/>
      <c r="S8368" s="1065"/>
      <c r="BE8368" s="1065"/>
      <c r="BF8368" s="1065"/>
      <c r="BG8368" s="1065"/>
    </row>
    <row r="8369" spans="4:59">
      <c r="D8369" s="1065"/>
      <c r="S8369" s="1065"/>
      <c r="BE8369" s="1065"/>
      <c r="BF8369" s="1065"/>
      <c r="BG8369" s="1065"/>
    </row>
    <row r="8370" spans="4:59">
      <c r="D8370" s="1065"/>
      <c r="S8370" s="1065"/>
      <c r="BE8370" s="1065"/>
      <c r="BF8370" s="1065"/>
      <c r="BG8370" s="1065"/>
    </row>
    <row r="8371" spans="4:59">
      <c r="D8371" s="1065"/>
      <c r="S8371" s="1065"/>
      <c r="BE8371" s="1065"/>
      <c r="BF8371" s="1065"/>
      <c r="BG8371" s="1065"/>
    </row>
    <row r="8372" spans="4:59">
      <c r="D8372" s="1065"/>
      <c r="S8372" s="1065"/>
      <c r="BE8372" s="1065"/>
      <c r="BF8372" s="1065"/>
      <c r="BG8372" s="1065"/>
    </row>
    <row r="8373" spans="4:59">
      <c r="D8373" s="1065"/>
      <c r="S8373" s="1065"/>
      <c r="BE8373" s="1065"/>
      <c r="BF8373" s="1065"/>
      <c r="BG8373" s="1065"/>
    </row>
    <row r="8374" spans="4:59">
      <c r="D8374" s="1065"/>
      <c r="S8374" s="1065"/>
      <c r="BE8374" s="1065"/>
      <c r="BF8374" s="1065"/>
      <c r="BG8374" s="1065"/>
    </row>
    <row r="8375" spans="4:59">
      <c r="D8375" s="1065"/>
      <c r="S8375" s="1065"/>
      <c r="BE8375" s="1065"/>
      <c r="BF8375" s="1065"/>
      <c r="BG8375" s="1065"/>
    </row>
    <row r="8376" spans="4:59">
      <c r="D8376" s="1065"/>
      <c r="S8376" s="1065"/>
      <c r="BE8376" s="1065"/>
      <c r="BF8376" s="1065"/>
      <c r="BG8376" s="1065"/>
    </row>
    <row r="8381" spans="4:59">
      <c r="D8381" s="1065"/>
      <c r="S8381" s="1065"/>
      <c r="BE8381" s="1065"/>
      <c r="BF8381" s="1065"/>
      <c r="BG8381" s="1065"/>
    </row>
    <row r="8382" spans="4:59">
      <c r="D8382" s="1065"/>
      <c r="S8382" s="1065"/>
      <c r="BE8382" s="1065"/>
      <c r="BF8382" s="1065"/>
      <c r="BG8382" s="1065"/>
    </row>
    <row r="8385" spans="4:59">
      <c r="D8385" s="1065"/>
      <c r="S8385" s="1065"/>
      <c r="BE8385" s="1065"/>
      <c r="BF8385" s="1065"/>
      <c r="BG8385" s="1065"/>
    </row>
    <row r="8386" spans="4:59">
      <c r="D8386" s="1065"/>
      <c r="S8386" s="1065"/>
      <c r="BE8386" s="1065"/>
      <c r="BF8386" s="1065"/>
      <c r="BG8386" s="1065"/>
    </row>
    <row r="8387" spans="4:59">
      <c r="D8387" s="1065"/>
      <c r="S8387" s="1065"/>
      <c r="BE8387" s="1065"/>
      <c r="BF8387" s="1065"/>
      <c r="BG8387" s="1065"/>
    </row>
    <row r="8388" spans="4:59">
      <c r="D8388" s="1065"/>
      <c r="S8388" s="1065"/>
      <c r="BE8388" s="1065"/>
      <c r="BF8388" s="1065"/>
      <c r="BG8388" s="1065"/>
    </row>
    <row r="8389" spans="4:59">
      <c r="D8389" s="1065"/>
      <c r="S8389" s="1065"/>
      <c r="BE8389" s="1065"/>
      <c r="BF8389" s="1065"/>
      <c r="BG8389" s="1065"/>
    </row>
    <row r="8390" spans="4:59">
      <c r="D8390" s="1065"/>
      <c r="S8390" s="1065"/>
      <c r="BE8390" s="1065"/>
      <c r="BF8390" s="1065"/>
      <c r="BG8390" s="1065"/>
    </row>
    <row r="8391" spans="4:59">
      <c r="D8391" s="1065"/>
      <c r="S8391" s="1065"/>
      <c r="BE8391" s="1065"/>
      <c r="BF8391" s="1065"/>
      <c r="BG8391" s="1065"/>
    </row>
    <row r="8392" spans="4:59">
      <c r="D8392" s="1065"/>
      <c r="S8392" s="1065"/>
      <c r="BE8392" s="1065"/>
      <c r="BF8392" s="1065"/>
      <c r="BG8392" s="1065"/>
    </row>
    <row r="8395" spans="4:59">
      <c r="D8395" s="1065"/>
      <c r="S8395" s="1065"/>
      <c r="BE8395" s="1065"/>
      <c r="BF8395" s="1065"/>
      <c r="BG8395" s="1065"/>
    </row>
    <row r="8396" spans="4:59">
      <c r="D8396" s="1065"/>
      <c r="S8396" s="1065"/>
      <c r="BE8396" s="1065"/>
      <c r="BF8396" s="1065"/>
      <c r="BG8396" s="1065"/>
    </row>
    <row r="8401" spans="4:59">
      <c r="D8401" s="1065"/>
      <c r="S8401" s="1065"/>
      <c r="BE8401" s="1065"/>
      <c r="BF8401" s="1065"/>
      <c r="BG8401" s="1065"/>
    </row>
    <row r="8402" spans="4:59">
      <c r="D8402" s="1065"/>
      <c r="S8402" s="1065"/>
      <c r="BE8402" s="1065"/>
      <c r="BF8402" s="1065"/>
      <c r="BG8402" s="1065"/>
    </row>
    <row r="8403" spans="4:59">
      <c r="D8403" s="1065"/>
      <c r="S8403" s="1065"/>
      <c r="BE8403" s="1065"/>
      <c r="BF8403" s="1065"/>
      <c r="BG8403" s="1065"/>
    </row>
    <row r="8404" spans="4:59">
      <c r="D8404" s="1065"/>
      <c r="S8404" s="1065"/>
      <c r="BE8404" s="1065"/>
      <c r="BF8404" s="1065"/>
      <c r="BG8404" s="1065"/>
    </row>
    <row r="8405" spans="4:59">
      <c r="D8405" s="1065"/>
      <c r="S8405" s="1065"/>
      <c r="BE8405" s="1065"/>
      <c r="BF8405" s="1065"/>
      <c r="BG8405" s="1065"/>
    </row>
    <row r="8406" spans="4:59">
      <c r="D8406" s="1065"/>
      <c r="S8406" s="1065"/>
      <c r="BE8406" s="1065"/>
      <c r="BF8406" s="1065"/>
      <c r="BG8406" s="1065"/>
    </row>
    <row r="8407" spans="4:59">
      <c r="D8407" s="1065"/>
      <c r="S8407" s="1065"/>
      <c r="BE8407" s="1065"/>
      <c r="BF8407" s="1065"/>
      <c r="BG8407" s="1065"/>
    </row>
    <row r="8408" spans="4:59">
      <c r="D8408" s="1065"/>
      <c r="S8408" s="1065"/>
      <c r="BE8408" s="1065"/>
      <c r="BF8408" s="1065"/>
      <c r="BG8408" s="1065"/>
    </row>
    <row r="8409" spans="4:59">
      <c r="D8409" s="1065"/>
      <c r="S8409" s="1065"/>
      <c r="BE8409" s="1065"/>
      <c r="BF8409" s="1065"/>
      <c r="BG8409" s="1065"/>
    </row>
    <row r="8410" spans="4:59">
      <c r="D8410" s="1065"/>
      <c r="S8410" s="1065"/>
      <c r="BE8410" s="1065"/>
      <c r="BF8410" s="1065"/>
      <c r="BG8410" s="1065"/>
    </row>
    <row r="8411" spans="4:59">
      <c r="D8411" s="1065"/>
      <c r="S8411" s="1065"/>
      <c r="BE8411" s="1065"/>
      <c r="BF8411" s="1065"/>
      <c r="BG8411" s="1065"/>
    </row>
    <row r="8412" spans="4:59">
      <c r="D8412" s="1065"/>
      <c r="S8412" s="1065"/>
      <c r="BE8412" s="1065"/>
      <c r="BF8412" s="1065"/>
      <c r="BG8412" s="1065"/>
    </row>
    <row r="8413" spans="4:59">
      <c r="D8413" s="1065"/>
      <c r="S8413" s="1065"/>
      <c r="BE8413" s="1065"/>
      <c r="BF8413" s="1065"/>
      <c r="BG8413" s="1065"/>
    </row>
    <row r="8414" spans="4:59">
      <c r="D8414" s="1065"/>
      <c r="S8414" s="1065"/>
      <c r="BE8414" s="1065"/>
      <c r="BF8414" s="1065"/>
      <c r="BG8414" s="1065"/>
    </row>
    <row r="8415" spans="4:59">
      <c r="D8415" s="1065"/>
      <c r="S8415" s="1065"/>
      <c r="BE8415" s="1065"/>
      <c r="BF8415" s="1065"/>
      <c r="BG8415" s="1065"/>
    </row>
    <row r="8416" spans="4:59">
      <c r="D8416" s="1065"/>
      <c r="S8416" s="1065"/>
      <c r="BE8416" s="1065"/>
      <c r="BF8416" s="1065"/>
      <c r="BG8416" s="1065"/>
    </row>
    <row r="8417" spans="4:59">
      <c r="D8417" s="1065"/>
      <c r="S8417" s="1065"/>
      <c r="BE8417" s="1065"/>
      <c r="BF8417" s="1065"/>
      <c r="BG8417" s="1065"/>
    </row>
    <row r="8418" spans="4:59">
      <c r="D8418" s="1065"/>
      <c r="S8418" s="1065"/>
      <c r="BE8418" s="1065"/>
      <c r="BF8418" s="1065"/>
      <c r="BG8418" s="1065"/>
    </row>
    <row r="8419" spans="4:59">
      <c r="D8419" s="1065"/>
      <c r="S8419" s="1065"/>
      <c r="BE8419" s="1065"/>
      <c r="BF8419" s="1065"/>
      <c r="BG8419" s="1065"/>
    </row>
    <row r="8420" spans="4:59">
      <c r="D8420" s="1065"/>
      <c r="S8420" s="1065"/>
      <c r="BE8420" s="1065"/>
      <c r="BF8420" s="1065"/>
      <c r="BG8420" s="1065"/>
    </row>
    <row r="8421" spans="4:59">
      <c r="D8421" s="1065"/>
      <c r="S8421" s="1065"/>
      <c r="BE8421" s="1065"/>
      <c r="BF8421" s="1065"/>
      <c r="BG8421" s="1065"/>
    </row>
    <row r="8422" spans="4:59">
      <c r="D8422" s="1065"/>
      <c r="S8422" s="1065"/>
      <c r="BE8422" s="1065"/>
      <c r="BF8422" s="1065"/>
      <c r="BG8422" s="1065"/>
    </row>
    <row r="8423" spans="4:59">
      <c r="D8423" s="1065"/>
      <c r="S8423" s="1065"/>
      <c r="BE8423" s="1065"/>
      <c r="BF8423" s="1065"/>
      <c r="BG8423" s="1065"/>
    </row>
    <row r="8424" spans="4:59">
      <c r="D8424" s="1065"/>
      <c r="S8424" s="1065"/>
      <c r="BE8424" s="1065"/>
      <c r="BF8424" s="1065"/>
      <c r="BG8424" s="1065"/>
    </row>
    <row r="8425" spans="4:59">
      <c r="D8425" s="1065"/>
      <c r="S8425" s="1065"/>
      <c r="BE8425" s="1065"/>
      <c r="BF8425" s="1065"/>
      <c r="BG8425" s="1065"/>
    </row>
    <row r="8426" spans="4:59">
      <c r="D8426" s="1065"/>
      <c r="S8426" s="1065"/>
      <c r="BE8426" s="1065"/>
      <c r="BF8426" s="1065"/>
      <c r="BG8426" s="1065"/>
    </row>
    <row r="8427" spans="4:59">
      <c r="D8427" s="1065"/>
      <c r="S8427" s="1065"/>
      <c r="BE8427" s="1065"/>
      <c r="BF8427" s="1065"/>
      <c r="BG8427" s="1065"/>
    </row>
    <row r="8428" spans="4:59">
      <c r="D8428" s="1065"/>
      <c r="S8428" s="1065"/>
      <c r="BE8428" s="1065"/>
      <c r="BF8428" s="1065"/>
      <c r="BG8428" s="1065"/>
    </row>
    <row r="8429" spans="4:59">
      <c r="D8429" s="1065"/>
      <c r="S8429" s="1065"/>
      <c r="BE8429" s="1065"/>
      <c r="BF8429" s="1065"/>
      <c r="BG8429" s="1065"/>
    </row>
    <row r="8430" spans="4:59">
      <c r="D8430" s="1065"/>
      <c r="S8430" s="1065"/>
      <c r="BE8430" s="1065"/>
      <c r="BF8430" s="1065"/>
      <c r="BG8430" s="1065"/>
    </row>
    <row r="8431" spans="4:59">
      <c r="D8431" s="1065"/>
      <c r="S8431" s="1065"/>
      <c r="BE8431" s="1065"/>
      <c r="BF8431" s="1065"/>
      <c r="BG8431" s="1065"/>
    </row>
    <row r="8432" spans="4:59">
      <c r="D8432" s="1065"/>
      <c r="S8432" s="1065"/>
      <c r="BE8432" s="1065"/>
      <c r="BF8432" s="1065"/>
      <c r="BG8432" s="1065"/>
    </row>
    <row r="8433" spans="4:59">
      <c r="D8433" s="1065"/>
      <c r="S8433" s="1065"/>
      <c r="BE8433" s="1065"/>
      <c r="BF8433" s="1065"/>
      <c r="BG8433" s="1065"/>
    </row>
    <row r="8434" spans="4:59">
      <c r="D8434" s="1065"/>
      <c r="S8434" s="1065"/>
      <c r="BE8434" s="1065"/>
      <c r="BF8434" s="1065"/>
      <c r="BG8434" s="1065"/>
    </row>
    <row r="8435" spans="4:59">
      <c r="D8435" s="1065"/>
      <c r="S8435" s="1065"/>
      <c r="BE8435" s="1065"/>
      <c r="BF8435" s="1065"/>
      <c r="BG8435" s="1065"/>
    </row>
    <row r="8436" spans="4:59">
      <c r="D8436" s="1065"/>
      <c r="S8436" s="1065"/>
      <c r="BE8436" s="1065"/>
      <c r="BF8436" s="1065"/>
      <c r="BG8436" s="1065"/>
    </row>
    <row r="8437" spans="4:59">
      <c r="D8437" s="1065"/>
      <c r="S8437" s="1065"/>
      <c r="BE8437" s="1065"/>
      <c r="BF8437" s="1065"/>
      <c r="BG8437" s="1065"/>
    </row>
    <row r="8438" spans="4:59">
      <c r="D8438" s="1065"/>
      <c r="S8438" s="1065"/>
      <c r="BE8438" s="1065"/>
      <c r="BF8438" s="1065"/>
      <c r="BG8438" s="1065"/>
    </row>
    <row r="8439" spans="4:59">
      <c r="D8439" s="1065"/>
      <c r="S8439" s="1065"/>
      <c r="BE8439" s="1065"/>
      <c r="BF8439" s="1065"/>
      <c r="BG8439" s="1065"/>
    </row>
    <row r="8440" spans="4:59">
      <c r="D8440" s="1065"/>
      <c r="S8440" s="1065"/>
      <c r="BE8440" s="1065"/>
      <c r="BF8440" s="1065"/>
      <c r="BG8440" s="1065"/>
    </row>
    <row r="8441" spans="4:59">
      <c r="D8441" s="1065"/>
      <c r="S8441" s="1065"/>
      <c r="BE8441" s="1065"/>
      <c r="BF8441" s="1065"/>
      <c r="BG8441" s="1065"/>
    </row>
    <row r="8442" spans="4:59">
      <c r="D8442" s="1065"/>
      <c r="S8442" s="1065"/>
      <c r="BE8442" s="1065"/>
      <c r="BF8442" s="1065"/>
      <c r="BG8442" s="1065"/>
    </row>
    <row r="8443" spans="4:59">
      <c r="D8443" s="1065"/>
      <c r="S8443" s="1065"/>
      <c r="BE8443" s="1065"/>
      <c r="BF8443" s="1065"/>
      <c r="BG8443" s="1065"/>
    </row>
    <row r="8444" spans="4:59">
      <c r="D8444" s="1065"/>
      <c r="S8444" s="1065"/>
      <c r="BE8444" s="1065"/>
      <c r="BF8444" s="1065"/>
      <c r="BG8444" s="1065"/>
    </row>
    <row r="8445" spans="4:59">
      <c r="D8445" s="1065"/>
      <c r="S8445" s="1065"/>
      <c r="BE8445" s="1065"/>
      <c r="BF8445" s="1065"/>
      <c r="BG8445" s="1065"/>
    </row>
    <row r="8446" spans="4:59">
      <c r="D8446" s="1065"/>
      <c r="S8446" s="1065"/>
      <c r="BE8446" s="1065"/>
      <c r="BF8446" s="1065"/>
      <c r="BG8446" s="1065"/>
    </row>
    <row r="8447" spans="4:59">
      <c r="D8447" s="1065"/>
      <c r="S8447" s="1065"/>
      <c r="BE8447" s="1065"/>
      <c r="BF8447" s="1065"/>
      <c r="BG8447" s="1065"/>
    </row>
    <row r="8448" spans="4:59">
      <c r="D8448" s="1065"/>
      <c r="S8448" s="1065"/>
      <c r="BE8448" s="1065"/>
      <c r="BF8448" s="1065"/>
      <c r="BG8448" s="1065"/>
    </row>
    <row r="8449" spans="4:59">
      <c r="D8449" s="1065"/>
      <c r="S8449" s="1065"/>
      <c r="BE8449" s="1065"/>
      <c r="BF8449" s="1065"/>
      <c r="BG8449" s="1065"/>
    </row>
    <row r="8450" spans="4:59">
      <c r="D8450" s="1065"/>
      <c r="S8450" s="1065"/>
      <c r="BE8450" s="1065"/>
      <c r="BF8450" s="1065"/>
      <c r="BG8450" s="1065"/>
    </row>
    <row r="8451" spans="4:59">
      <c r="D8451" s="1065"/>
      <c r="S8451" s="1065"/>
      <c r="BE8451" s="1065"/>
      <c r="BF8451" s="1065"/>
      <c r="BG8451" s="1065"/>
    </row>
    <row r="8452" spans="4:59">
      <c r="D8452" s="1065"/>
      <c r="S8452" s="1065"/>
      <c r="BE8452" s="1065"/>
      <c r="BF8452" s="1065"/>
      <c r="BG8452" s="1065"/>
    </row>
    <row r="8453" spans="4:59">
      <c r="D8453" s="1065"/>
      <c r="S8453" s="1065"/>
      <c r="BE8453" s="1065"/>
      <c r="BF8453" s="1065"/>
      <c r="BG8453" s="1065"/>
    </row>
    <row r="8454" spans="4:59">
      <c r="D8454" s="1065"/>
      <c r="S8454" s="1065"/>
      <c r="BE8454" s="1065"/>
      <c r="BF8454" s="1065"/>
      <c r="BG8454" s="1065"/>
    </row>
    <row r="8455" spans="4:59">
      <c r="D8455" s="1065"/>
      <c r="S8455" s="1065"/>
      <c r="BE8455" s="1065"/>
      <c r="BF8455" s="1065"/>
      <c r="BG8455" s="1065"/>
    </row>
    <row r="8456" spans="4:59">
      <c r="D8456" s="1065"/>
      <c r="S8456" s="1065"/>
      <c r="BE8456" s="1065"/>
      <c r="BF8456" s="1065"/>
      <c r="BG8456" s="1065"/>
    </row>
    <row r="8457" spans="4:59">
      <c r="D8457" s="1065"/>
      <c r="S8457" s="1065"/>
      <c r="BE8457" s="1065"/>
      <c r="BF8457" s="1065"/>
      <c r="BG8457" s="1065"/>
    </row>
    <row r="8458" spans="4:59">
      <c r="D8458" s="1065"/>
      <c r="S8458" s="1065"/>
      <c r="BE8458" s="1065"/>
      <c r="BF8458" s="1065"/>
      <c r="BG8458" s="1065"/>
    </row>
    <row r="8459" spans="4:59">
      <c r="D8459" s="1065"/>
      <c r="S8459" s="1065"/>
      <c r="BE8459" s="1065"/>
      <c r="BF8459" s="1065"/>
      <c r="BG8459" s="1065"/>
    </row>
    <row r="8460" spans="4:59">
      <c r="D8460" s="1065"/>
      <c r="S8460" s="1065"/>
      <c r="BE8460" s="1065"/>
      <c r="BF8460" s="1065"/>
      <c r="BG8460" s="1065"/>
    </row>
    <row r="8461" spans="4:59">
      <c r="D8461" s="1065"/>
      <c r="S8461" s="1065"/>
      <c r="BE8461" s="1065"/>
      <c r="BF8461" s="1065"/>
      <c r="BG8461" s="1065"/>
    </row>
    <row r="8462" spans="4:59">
      <c r="D8462" s="1065"/>
      <c r="S8462" s="1065"/>
      <c r="BE8462" s="1065"/>
      <c r="BF8462" s="1065"/>
      <c r="BG8462" s="1065"/>
    </row>
    <row r="8463" spans="4:59">
      <c r="D8463" s="1065"/>
      <c r="S8463" s="1065"/>
      <c r="BE8463" s="1065"/>
      <c r="BF8463" s="1065"/>
      <c r="BG8463" s="1065"/>
    </row>
    <row r="8464" spans="4:59">
      <c r="D8464" s="1065"/>
      <c r="S8464" s="1065"/>
      <c r="BE8464" s="1065"/>
      <c r="BF8464" s="1065"/>
      <c r="BG8464" s="1065"/>
    </row>
    <row r="8465" spans="4:59">
      <c r="D8465" s="1065"/>
      <c r="S8465" s="1065"/>
      <c r="BE8465" s="1065"/>
      <c r="BF8465" s="1065"/>
      <c r="BG8465" s="1065"/>
    </row>
    <row r="8466" spans="4:59">
      <c r="D8466" s="1065"/>
      <c r="S8466" s="1065"/>
      <c r="BE8466" s="1065"/>
      <c r="BF8466" s="1065"/>
      <c r="BG8466" s="1065"/>
    </row>
    <row r="8467" spans="4:59">
      <c r="D8467" s="1065"/>
      <c r="S8467" s="1065"/>
      <c r="BE8467" s="1065"/>
      <c r="BF8467" s="1065"/>
      <c r="BG8467" s="1065"/>
    </row>
    <row r="8468" spans="4:59">
      <c r="D8468" s="1065"/>
      <c r="S8468" s="1065"/>
      <c r="BE8468" s="1065"/>
      <c r="BF8468" s="1065"/>
      <c r="BG8468" s="1065"/>
    </row>
    <row r="8469" spans="4:59">
      <c r="D8469" s="1065"/>
      <c r="S8469" s="1065"/>
      <c r="BE8469" s="1065"/>
      <c r="BF8469" s="1065"/>
      <c r="BG8469" s="1065"/>
    </row>
    <row r="8470" spans="4:59">
      <c r="D8470" s="1065"/>
      <c r="S8470" s="1065"/>
      <c r="BE8470" s="1065"/>
      <c r="BF8470" s="1065"/>
      <c r="BG8470" s="1065"/>
    </row>
    <row r="8471" spans="4:59">
      <c r="D8471" s="1065"/>
      <c r="S8471" s="1065"/>
      <c r="BE8471" s="1065"/>
      <c r="BF8471" s="1065"/>
      <c r="BG8471" s="1065"/>
    </row>
    <row r="8472" spans="4:59">
      <c r="D8472" s="1065"/>
      <c r="S8472" s="1065"/>
      <c r="BE8472" s="1065"/>
      <c r="BF8472" s="1065"/>
      <c r="BG8472" s="1065"/>
    </row>
    <row r="8473" spans="4:59">
      <c r="D8473" s="1065"/>
      <c r="S8473" s="1065"/>
      <c r="BE8473" s="1065"/>
      <c r="BF8473" s="1065"/>
      <c r="BG8473" s="1065"/>
    </row>
    <row r="8474" spans="4:59">
      <c r="D8474" s="1065"/>
      <c r="S8474" s="1065"/>
      <c r="BE8474" s="1065"/>
      <c r="BF8474" s="1065"/>
      <c r="BG8474" s="1065"/>
    </row>
    <row r="8475" spans="4:59">
      <c r="D8475" s="1065"/>
      <c r="S8475" s="1065"/>
      <c r="BE8475" s="1065"/>
      <c r="BF8475" s="1065"/>
      <c r="BG8475" s="1065"/>
    </row>
    <row r="8476" spans="4:59">
      <c r="D8476" s="1065"/>
      <c r="S8476" s="1065"/>
      <c r="BE8476" s="1065"/>
      <c r="BF8476" s="1065"/>
      <c r="BG8476" s="1065"/>
    </row>
    <row r="8477" spans="4:59">
      <c r="D8477" s="1065"/>
      <c r="S8477" s="1065"/>
      <c r="BE8477" s="1065"/>
      <c r="BF8477" s="1065"/>
      <c r="BG8477" s="1065"/>
    </row>
    <row r="8478" spans="4:59">
      <c r="D8478" s="1065"/>
      <c r="S8478" s="1065"/>
      <c r="BE8478" s="1065"/>
      <c r="BF8478" s="1065"/>
      <c r="BG8478" s="1065"/>
    </row>
    <row r="8479" spans="4:59">
      <c r="D8479" s="1065"/>
      <c r="S8479" s="1065"/>
      <c r="BE8479" s="1065"/>
      <c r="BF8479" s="1065"/>
      <c r="BG8479" s="1065"/>
    </row>
    <row r="8480" spans="4:59">
      <c r="D8480" s="1065"/>
      <c r="S8480" s="1065"/>
      <c r="BE8480" s="1065"/>
      <c r="BF8480" s="1065"/>
      <c r="BG8480" s="1065"/>
    </row>
    <row r="8481" spans="4:59">
      <c r="D8481" s="1065"/>
      <c r="S8481" s="1065"/>
      <c r="BE8481" s="1065"/>
      <c r="BF8481" s="1065"/>
      <c r="BG8481" s="1065"/>
    </row>
    <row r="8482" spans="4:59">
      <c r="D8482" s="1065"/>
      <c r="S8482" s="1065"/>
      <c r="BE8482" s="1065"/>
      <c r="BF8482" s="1065"/>
      <c r="BG8482" s="1065"/>
    </row>
    <row r="8483" spans="4:59">
      <c r="D8483" s="1065"/>
      <c r="S8483" s="1065"/>
      <c r="BE8483" s="1065"/>
      <c r="BF8483" s="1065"/>
      <c r="BG8483" s="1065"/>
    </row>
    <row r="8484" spans="4:59">
      <c r="D8484" s="1065"/>
      <c r="S8484" s="1065"/>
      <c r="BE8484" s="1065"/>
      <c r="BF8484" s="1065"/>
      <c r="BG8484" s="1065"/>
    </row>
    <row r="8485" spans="4:59">
      <c r="D8485" s="1065"/>
      <c r="S8485" s="1065"/>
      <c r="BE8485" s="1065"/>
      <c r="BF8485" s="1065"/>
      <c r="BG8485" s="1065"/>
    </row>
    <row r="8486" spans="4:59">
      <c r="D8486" s="1065"/>
      <c r="S8486" s="1065"/>
      <c r="BE8486" s="1065"/>
      <c r="BF8486" s="1065"/>
      <c r="BG8486" s="1065"/>
    </row>
    <row r="8487" spans="4:59">
      <c r="D8487" s="1065"/>
      <c r="S8487" s="1065"/>
      <c r="BE8487" s="1065"/>
      <c r="BF8487" s="1065"/>
      <c r="BG8487" s="1065"/>
    </row>
    <row r="8488" spans="4:59">
      <c r="D8488" s="1065"/>
      <c r="S8488" s="1065"/>
      <c r="BE8488" s="1065"/>
      <c r="BF8488" s="1065"/>
      <c r="BG8488" s="1065"/>
    </row>
    <row r="8489" spans="4:59">
      <c r="D8489" s="1065"/>
      <c r="S8489" s="1065"/>
      <c r="BE8489" s="1065"/>
      <c r="BF8489" s="1065"/>
      <c r="BG8489" s="1065"/>
    </row>
    <row r="8490" spans="4:59">
      <c r="D8490" s="1065"/>
      <c r="S8490" s="1065"/>
      <c r="BE8490" s="1065"/>
      <c r="BF8490" s="1065"/>
      <c r="BG8490" s="1065"/>
    </row>
    <row r="8491" spans="4:59">
      <c r="D8491" s="1065"/>
      <c r="S8491" s="1065"/>
      <c r="BE8491" s="1065"/>
      <c r="BF8491" s="1065"/>
      <c r="BG8491" s="1065"/>
    </row>
    <row r="8492" spans="4:59">
      <c r="D8492" s="1065"/>
      <c r="S8492" s="1065"/>
      <c r="BE8492" s="1065"/>
      <c r="BF8492" s="1065"/>
      <c r="BG8492" s="1065"/>
    </row>
    <row r="8493" spans="4:59">
      <c r="D8493" s="1065"/>
      <c r="S8493" s="1065"/>
      <c r="BE8493" s="1065"/>
      <c r="BF8493" s="1065"/>
      <c r="BG8493" s="1065"/>
    </row>
    <row r="8494" spans="4:59">
      <c r="D8494" s="1065"/>
      <c r="S8494" s="1065"/>
      <c r="BE8494" s="1065"/>
      <c r="BF8494" s="1065"/>
      <c r="BG8494" s="1065"/>
    </row>
    <row r="8495" spans="4:59">
      <c r="D8495" s="1065"/>
      <c r="S8495" s="1065"/>
      <c r="BE8495" s="1065"/>
      <c r="BF8495" s="1065"/>
      <c r="BG8495" s="1065"/>
    </row>
    <row r="8496" spans="4:59">
      <c r="D8496" s="1065"/>
      <c r="S8496" s="1065"/>
      <c r="BE8496" s="1065"/>
      <c r="BF8496" s="1065"/>
      <c r="BG8496" s="1065"/>
    </row>
    <row r="8497" spans="4:59">
      <c r="D8497" s="1065"/>
      <c r="S8497" s="1065"/>
      <c r="BE8497" s="1065"/>
      <c r="BF8497" s="1065"/>
      <c r="BG8497" s="1065"/>
    </row>
    <row r="8498" spans="4:59">
      <c r="D8498" s="1065"/>
      <c r="S8498" s="1065"/>
      <c r="BE8498" s="1065"/>
      <c r="BF8498" s="1065"/>
      <c r="BG8498" s="1065"/>
    </row>
    <row r="8499" spans="4:59">
      <c r="D8499" s="1065"/>
      <c r="S8499" s="1065"/>
      <c r="BE8499" s="1065"/>
      <c r="BF8499" s="1065"/>
      <c r="BG8499" s="1065"/>
    </row>
    <row r="8500" spans="4:59">
      <c r="D8500" s="1065"/>
      <c r="S8500" s="1065"/>
      <c r="BE8500" s="1065"/>
      <c r="BF8500" s="1065"/>
      <c r="BG8500" s="1065"/>
    </row>
    <row r="8501" spans="4:59">
      <c r="D8501" s="1065"/>
      <c r="S8501" s="1065"/>
      <c r="BE8501" s="1065"/>
      <c r="BF8501" s="1065"/>
      <c r="BG8501" s="1065"/>
    </row>
    <row r="8502" spans="4:59">
      <c r="D8502" s="1065"/>
      <c r="S8502" s="1065"/>
      <c r="BE8502" s="1065"/>
      <c r="BF8502" s="1065"/>
      <c r="BG8502" s="1065"/>
    </row>
    <row r="8503" spans="4:59">
      <c r="D8503" s="1065"/>
      <c r="S8503" s="1065"/>
      <c r="BE8503" s="1065"/>
      <c r="BF8503" s="1065"/>
      <c r="BG8503" s="1065"/>
    </row>
    <row r="8504" spans="4:59">
      <c r="D8504" s="1065"/>
      <c r="S8504" s="1065"/>
      <c r="BE8504" s="1065"/>
      <c r="BF8504" s="1065"/>
      <c r="BG8504" s="1065"/>
    </row>
    <row r="8505" spans="4:59">
      <c r="D8505" s="1065"/>
      <c r="S8505" s="1065"/>
      <c r="BE8505" s="1065"/>
      <c r="BF8505" s="1065"/>
      <c r="BG8505" s="1065"/>
    </row>
    <row r="8506" spans="4:59">
      <c r="D8506" s="1065"/>
      <c r="S8506" s="1065"/>
      <c r="BE8506" s="1065"/>
      <c r="BF8506" s="1065"/>
      <c r="BG8506" s="1065"/>
    </row>
    <row r="8507" spans="4:59">
      <c r="D8507" s="1065"/>
      <c r="S8507" s="1065"/>
      <c r="BE8507" s="1065"/>
      <c r="BF8507" s="1065"/>
      <c r="BG8507" s="1065"/>
    </row>
    <row r="8508" spans="4:59">
      <c r="D8508" s="1065"/>
      <c r="S8508" s="1065"/>
      <c r="BE8508" s="1065"/>
      <c r="BF8508" s="1065"/>
      <c r="BG8508" s="1065"/>
    </row>
    <row r="8509" spans="4:59">
      <c r="D8509" s="1065"/>
      <c r="S8509" s="1065"/>
      <c r="BE8509" s="1065"/>
      <c r="BF8509" s="1065"/>
      <c r="BG8509" s="1065"/>
    </row>
    <row r="8510" spans="4:59">
      <c r="D8510" s="1065"/>
      <c r="S8510" s="1065"/>
      <c r="BE8510" s="1065"/>
      <c r="BF8510" s="1065"/>
      <c r="BG8510" s="1065"/>
    </row>
    <row r="8511" spans="4:59">
      <c r="D8511" s="1065"/>
      <c r="S8511" s="1065"/>
      <c r="BE8511" s="1065"/>
      <c r="BF8511" s="1065"/>
      <c r="BG8511" s="1065"/>
    </row>
    <row r="8512" spans="4:59">
      <c r="D8512" s="1065"/>
      <c r="S8512" s="1065"/>
      <c r="BE8512" s="1065"/>
      <c r="BF8512" s="1065"/>
      <c r="BG8512" s="1065"/>
    </row>
    <row r="8513" spans="4:59">
      <c r="D8513" s="1065"/>
      <c r="S8513" s="1065"/>
      <c r="BE8513" s="1065"/>
      <c r="BF8513" s="1065"/>
      <c r="BG8513" s="1065"/>
    </row>
    <row r="8514" spans="4:59">
      <c r="D8514" s="1065"/>
      <c r="S8514" s="1065"/>
      <c r="BE8514" s="1065"/>
      <c r="BF8514" s="1065"/>
      <c r="BG8514" s="1065"/>
    </row>
    <row r="8515" spans="4:59">
      <c r="D8515" s="1065"/>
      <c r="S8515" s="1065"/>
      <c r="BE8515" s="1065"/>
      <c r="BF8515" s="1065"/>
      <c r="BG8515" s="1065"/>
    </row>
    <row r="8516" spans="4:59">
      <c r="D8516" s="1065"/>
      <c r="S8516" s="1065"/>
      <c r="BE8516" s="1065"/>
      <c r="BF8516" s="1065"/>
      <c r="BG8516" s="1065"/>
    </row>
    <row r="8517" spans="4:59">
      <c r="D8517" s="1065"/>
      <c r="S8517" s="1065"/>
      <c r="BE8517" s="1065"/>
      <c r="BF8517" s="1065"/>
      <c r="BG8517" s="1065"/>
    </row>
    <row r="8518" spans="4:59">
      <c r="D8518" s="1065"/>
      <c r="S8518" s="1065"/>
      <c r="BE8518" s="1065"/>
      <c r="BF8518" s="1065"/>
      <c r="BG8518" s="1065"/>
    </row>
    <row r="8519" spans="4:59">
      <c r="D8519" s="1065"/>
      <c r="S8519" s="1065"/>
      <c r="BE8519" s="1065"/>
      <c r="BF8519" s="1065"/>
      <c r="BG8519" s="1065"/>
    </row>
    <row r="8520" spans="4:59">
      <c r="D8520" s="1065"/>
      <c r="S8520" s="1065"/>
      <c r="BE8520" s="1065"/>
      <c r="BF8520" s="1065"/>
      <c r="BG8520" s="1065"/>
    </row>
    <row r="8521" spans="4:59">
      <c r="D8521" s="1065"/>
      <c r="S8521" s="1065"/>
      <c r="BE8521" s="1065"/>
      <c r="BF8521" s="1065"/>
      <c r="BG8521" s="1065"/>
    </row>
    <row r="8522" spans="4:59">
      <c r="D8522" s="1065"/>
      <c r="S8522" s="1065"/>
      <c r="BE8522" s="1065"/>
      <c r="BF8522" s="1065"/>
      <c r="BG8522" s="1065"/>
    </row>
    <row r="8523" spans="4:59">
      <c r="D8523" s="1065"/>
      <c r="S8523" s="1065"/>
      <c r="BE8523" s="1065"/>
      <c r="BF8523" s="1065"/>
      <c r="BG8523" s="1065"/>
    </row>
    <row r="8524" spans="4:59">
      <c r="D8524" s="1065"/>
      <c r="S8524" s="1065"/>
      <c r="BE8524" s="1065"/>
      <c r="BF8524" s="1065"/>
      <c r="BG8524" s="1065"/>
    </row>
    <row r="8525" spans="4:59">
      <c r="D8525" s="1065"/>
      <c r="S8525" s="1065"/>
      <c r="BE8525" s="1065"/>
      <c r="BF8525" s="1065"/>
      <c r="BG8525" s="1065"/>
    </row>
    <row r="8526" spans="4:59">
      <c r="D8526" s="1065"/>
      <c r="S8526" s="1065"/>
      <c r="BE8526" s="1065"/>
      <c r="BF8526" s="1065"/>
      <c r="BG8526" s="1065"/>
    </row>
    <row r="8527" spans="4:59">
      <c r="D8527" s="1065"/>
      <c r="S8527" s="1065"/>
      <c r="BE8527" s="1065"/>
      <c r="BF8527" s="1065"/>
      <c r="BG8527" s="1065"/>
    </row>
    <row r="8528" spans="4:59">
      <c r="D8528" s="1065"/>
      <c r="S8528" s="1065"/>
      <c r="BE8528" s="1065"/>
      <c r="BF8528" s="1065"/>
      <c r="BG8528" s="1065"/>
    </row>
    <row r="8529" spans="4:59">
      <c r="D8529" s="1065"/>
      <c r="S8529" s="1065"/>
      <c r="BE8529" s="1065"/>
      <c r="BF8529" s="1065"/>
      <c r="BG8529" s="1065"/>
    </row>
    <row r="8530" spans="4:59">
      <c r="D8530" s="1065"/>
      <c r="S8530" s="1065"/>
      <c r="BE8530" s="1065"/>
      <c r="BF8530" s="1065"/>
      <c r="BG8530" s="1065"/>
    </row>
    <row r="8531" spans="4:59">
      <c r="D8531" s="1065"/>
      <c r="S8531" s="1065"/>
      <c r="BE8531" s="1065"/>
      <c r="BF8531" s="1065"/>
      <c r="BG8531" s="1065"/>
    </row>
    <row r="8532" spans="4:59">
      <c r="D8532" s="1065"/>
      <c r="S8532" s="1065"/>
      <c r="BE8532" s="1065"/>
      <c r="BF8532" s="1065"/>
      <c r="BG8532" s="1065"/>
    </row>
    <row r="8533" spans="4:59">
      <c r="D8533" s="1065"/>
      <c r="S8533" s="1065"/>
      <c r="BE8533" s="1065"/>
      <c r="BF8533" s="1065"/>
      <c r="BG8533" s="1065"/>
    </row>
    <row r="8534" spans="4:59">
      <c r="D8534" s="1065"/>
      <c r="S8534" s="1065"/>
      <c r="BE8534" s="1065"/>
      <c r="BF8534" s="1065"/>
      <c r="BG8534" s="1065"/>
    </row>
    <row r="8535" spans="4:59">
      <c r="D8535" s="1065"/>
      <c r="S8535" s="1065"/>
      <c r="BE8535" s="1065"/>
      <c r="BF8535" s="1065"/>
      <c r="BG8535" s="1065"/>
    </row>
    <row r="8536" spans="4:59">
      <c r="D8536" s="1065"/>
      <c r="S8536" s="1065"/>
      <c r="BE8536" s="1065"/>
      <c r="BF8536" s="1065"/>
      <c r="BG8536" s="1065"/>
    </row>
    <row r="8537" spans="4:59">
      <c r="D8537" s="1065"/>
      <c r="S8537" s="1065"/>
      <c r="BE8537" s="1065"/>
      <c r="BF8537" s="1065"/>
      <c r="BG8537" s="1065"/>
    </row>
    <row r="8538" spans="4:59">
      <c r="D8538" s="1065"/>
      <c r="S8538" s="1065"/>
      <c r="BE8538" s="1065"/>
      <c r="BF8538" s="1065"/>
      <c r="BG8538" s="1065"/>
    </row>
    <row r="8539" spans="4:59">
      <c r="D8539" s="1065"/>
      <c r="S8539" s="1065"/>
      <c r="BE8539" s="1065"/>
      <c r="BF8539" s="1065"/>
      <c r="BG8539" s="1065"/>
    </row>
    <row r="8540" spans="4:59">
      <c r="D8540" s="1065"/>
      <c r="S8540" s="1065"/>
      <c r="BE8540" s="1065"/>
      <c r="BF8540" s="1065"/>
      <c r="BG8540" s="1065"/>
    </row>
    <row r="8541" spans="4:59">
      <c r="D8541" s="1065"/>
      <c r="S8541" s="1065"/>
      <c r="BE8541" s="1065"/>
      <c r="BF8541" s="1065"/>
      <c r="BG8541" s="1065"/>
    </row>
    <row r="8542" spans="4:59">
      <c r="D8542" s="1065"/>
      <c r="S8542" s="1065"/>
      <c r="BE8542" s="1065"/>
      <c r="BF8542" s="1065"/>
      <c r="BG8542" s="1065"/>
    </row>
    <row r="8543" spans="4:59">
      <c r="D8543" s="1065"/>
      <c r="S8543" s="1065"/>
      <c r="BE8543" s="1065"/>
      <c r="BF8543" s="1065"/>
      <c r="BG8543" s="1065"/>
    </row>
    <row r="8544" spans="4:59">
      <c r="D8544" s="1065"/>
      <c r="S8544" s="1065"/>
      <c r="BE8544" s="1065"/>
      <c r="BF8544" s="1065"/>
      <c r="BG8544" s="1065"/>
    </row>
    <row r="8545" spans="4:59">
      <c r="D8545" s="1065"/>
      <c r="S8545" s="1065"/>
      <c r="BE8545" s="1065"/>
      <c r="BF8545" s="1065"/>
      <c r="BG8545" s="1065"/>
    </row>
    <row r="8546" spans="4:59">
      <c r="D8546" s="1065"/>
      <c r="S8546" s="1065"/>
      <c r="BE8546" s="1065"/>
      <c r="BF8546" s="1065"/>
      <c r="BG8546" s="1065"/>
    </row>
    <row r="8547" spans="4:59">
      <c r="D8547" s="1065"/>
      <c r="S8547" s="1065"/>
      <c r="BE8547" s="1065"/>
      <c r="BF8547" s="1065"/>
      <c r="BG8547" s="1065"/>
    </row>
    <row r="8548" spans="4:59">
      <c r="D8548" s="1065"/>
      <c r="S8548" s="1065"/>
      <c r="BE8548" s="1065"/>
      <c r="BF8548" s="1065"/>
      <c r="BG8548" s="1065"/>
    </row>
    <row r="8549" spans="4:59">
      <c r="D8549" s="1065"/>
      <c r="S8549" s="1065"/>
      <c r="BE8549" s="1065"/>
      <c r="BF8549" s="1065"/>
      <c r="BG8549" s="1065"/>
    </row>
    <row r="8550" spans="4:59">
      <c r="D8550" s="1065"/>
      <c r="S8550" s="1065"/>
      <c r="BE8550" s="1065"/>
      <c r="BF8550" s="1065"/>
      <c r="BG8550" s="1065"/>
    </row>
    <row r="8551" spans="4:59">
      <c r="D8551" s="1065"/>
      <c r="S8551" s="1065"/>
      <c r="BE8551" s="1065"/>
      <c r="BF8551" s="1065"/>
      <c r="BG8551" s="1065"/>
    </row>
    <row r="8557" spans="4:59">
      <c r="D8557" s="1065"/>
      <c r="S8557" s="1065"/>
      <c r="BE8557" s="1065"/>
      <c r="BF8557" s="1065"/>
      <c r="BG8557" s="1065"/>
    </row>
    <row r="8558" spans="4:59">
      <c r="D8558" s="1065"/>
      <c r="S8558" s="1065"/>
      <c r="BE8558" s="1065"/>
      <c r="BF8558" s="1065"/>
      <c r="BG8558" s="1065"/>
    </row>
    <row r="8559" spans="4:59">
      <c r="D8559" s="1065"/>
      <c r="S8559" s="1065"/>
      <c r="BE8559" s="1065"/>
      <c r="BF8559" s="1065"/>
      <c r="BG8559" s="1065"/>
    </row>
    <row r="8560" spans="4:59">
      <c r="D8560" s="1065"/>
      <c r="S8560" s="1065"/>
      <c r="BE8560" s="1065"/>
      <c r="BF8560" s="1065"/>
      <c r="BG8560" s="1065"/>
    </row>
    <row r="8561" spans="4:59">
      <c r="D8561" s="1065"/>
      <c r="S8561" s="1065"/>
      <c r="BE8561" s="1065"/>
      <c r="BF8561" s="1065"/>
      <c r="BG8561" s="1065"/>
    </row>
    <row r="8562" spans="4:59">
      <c r="D8562" s="1065"/>
      <c r="S8562" s="1065"/>
      <c r="BE8562" s="1065"/>
      <c r="BF8562" s="1065"/>
      <c r="BG8562" s="1065"/>
    </row>
    <row r="8563" spans="4:59">
      <c r="D8563" s="1065"/>
      <c r="S8563" s="1065"/>
      <c r="BE8563" s="1065"/>
      <c r="BF8563" s="1065"/>
      <c r="BG8563" s="1065"/>
    </row>
    <row r="8564" spans="4:59">
      <c r="D8564" s="1065"/>
      <c r="S8564" s="1065"/>
      <c r="BE8564" s="1065"/>
      <c r="BF8564" s="1065"/>
      <c r="BG8564" s="1065"/>
    </row>
    <row r="8565" spans="4:59">
      <c r="D8565" s="1065"/>
      <c r="S8565" s="1065"/>
      <c r="BE8565" s="1065"/>
      <c r="BF8565" s="1065"/>
      <c r="BG8565" s="1065"/>
    </row>
    <row r="8566" spans="4:59">
      <c r="D8566" s="1065"/>
      <c r="S8566" s="1065"/>
      <c r="BE8566" s="1065"/>
      <c r="BF8566" s="1065"/>
      <c r="BG8566" s="1065"/>
    </row>
    <row r="8567" spans="4:59">
      <c r="D8567" s="1065"/>
      <c r="S8567" s="1065"/>
      <c r="BE8567" s="1065"/>
      <c r="BF8567" s="1065"/>
      <c r="BG8567" s="1065"/>
    </row>
    <row r="8568" spans="4:59">
      <c r="D8568" s="1065"/>
      <c r="S8568" s="1065"/>
      <c r="BE8568" s="1065"/>
      <c r="BF8568" s="1065"/>
      <c r="BG8568" s="1065"/>
    </row>
    <row r="8569" spans="4:59">
      <c r="D8569" s="1065"/>
      <c r="S8569" s="1065"/>
      <c r="BE8569" s="1065"/>
      <c r="BF8569" s="1065"/>
      <c r="BG8569" s="1065"/>
    </row>
    <row r="8570" spans="4:59">
      <c r="D8570" s="1065"/>
      <c r="S8570" s="1065"/>
      <c r="BE8570" s="1065"/>
      <c r="BF8570" s="1065"/>
      <c r="BG8570" s="1065"/>
    </row>
    <row r="8571" spans="4:59">
      <c r="D8571" s="1065"/>
      <c r="S8571" s="1065"/>
      <c r="BE8571" s="1065"/>
      <c r="BF8571" s="1065"/>
      <c r="BG8571" s="1065"/>
    </row>
    <row r="8572" spans="4:59">
      <c r="D8572" s="1065"/>
      <c r="S8572" s="1065"/>
      <c r="BE8572" s="1065"/>
      <c r="BF8572" s="1065"/>
      <c r="BG8572" s="1065"/>
    </row>
    <row r="8573" spans="4:59">
      <c r="D8573" s="1065"/>
      <c r="S8573" s="1065"/>
      <c r="BE8573" s="1065"/>
      <c r="BF8573" s="1065"/>
      <c r="BG8573" s="1065"/>
    </row>
    <row r="8574" spans="4:59">
      <c r="D8574" s="1065"/>
      <c r="S8574" s="1065"/>
      <c r="BE8574" s="1065"/>
      <c r="BF8574" s="1065"/>
      <c r="BG8574" s="1065"/>
    </row>
    <row r="8575" spans="4:59">
      <c r="D8575" s="1065"/>
      <c r="S8575" s="1065"/>
      <c r="BE8575" s="1065"/>
      <c r="BF8575" s="1065"/>
      <c r="BG8575" s="1065"/>
    </row>
    <row r="8576" spans="4:59">
      <c r="D8576" s="1065"/>
      <c r="S8576" s="1065"/>
      <c r="BE8576" s="1065"/>
      <c r="BF8576" s="1065"/>
      <c r="BG8576" s="1065"/>
    </row>
    <row r="8577" spans="4:59">
      <c r="D8577" s="1065"/>
      <c r="S8577" s="1065"/>
      <c r="BE8577" s="1065"/>
      <c r="BF8577" s="1065"/>
      <c r="BG8577" s="1065"/>
    </row>
    <row r="8578" spans="4:59">
      <c r="D8578" s="1065"/>
      <c r="S8578" s="1065"/>
      <c r="BE8578" s="1065"/>
      <c r="BF8578" s="1065"/>
      <c r="BG8578" s="1065"/>
    </row>
    <row r="8579" spans="4:59">
      <c r="D8579" s="1065"/>
      <c r="S8579" s="1065"/>
      <c r="BE8579" s="1065"/>
      <c r="BF8579" s="1065"/>
      <c r="BG8579" s="1065"/>
    </row>
    <row r="8580" spans="4:59">
      <c r="D8580" s="1065"/>
      <c r="S8580" s="1065"/>
      <c r="BE8580" s="1065"/>
      <c r="BF8580" s="1065"/>
      <c r="BG8580" s="1065"/>
    </row>
    <row r="8581" spans="4:59">
      <c r="D8581" s="1065"/>
      <c r="S8581" s="1065"/>
      <c r="BE8581" s="1065"/>
      <c r="BF8581" s="1065"/>
      <c r="BG8581" s="1065"/>
    </row>
    <row r="8582" spans="4:59">
      <c r="D8582" s="1065"/>
      <c r="S8582" s="1065"/>
      <c r="BE8582" s="1065"/>
      <c r="BF8582" s="1065"/>
      <c r="BG8582" s="1065"/>
    </row>
    <row r="8583" spans="4:59">
      <c r="D8583" s="1065"/>
      <c r="S8583" s="1065"/>
      <c r="BE8583" s="1065"/>
      <c r="BF8583" s="1065"/>
      <c r="BG8583" s="1065"/>
    </row>
    <row r="8584" spans="4:59">
      <c r="D8584" s="1065"/>
      <c r="S8584" s="1065"/>
      <c r="BE8584" s="1065"/>
      <c r="BF8584" s="1065"/>
      <c r="BG8584" s="1065"/>
    </row>
    <row r="8585" spans="4:59">
      <c r="D8585" s="1065"/>
      <c r="S8585" s="1065"/>
      <c r="BE8585" s="1065"/>
      <c r="BF8585" s="1065"/>
      <c r="BG8585" s="1065"/>
    </row>
    <row r="8586" spans="4:59">
      <c r="D8586" s="1065"/>
      <c r="S8586" s="1065"/>
      <c r="BE8586" s="1065"/>
      <c r="BF8586" s="1065"/>
      <c r="BG8586" s="1065"/>
    </row>
    <row r="8587" spans="4:59">
      <c r="D8587" s="1065"/>
      <c r="S8587" s="1065"/>
      <c r="BE8587" s="1065"/>
      <c r="BF8587" s="1065"/>
      <c r="BG8587" s="1065"/>
    </row>
    <row r="8588" spans="4:59">
      <c r="D8588" s="1065"/>
      <c r="S8588" s="1065"/>
      <c r="BE8588" s="1065"/>
      <c r="BF8588" s="1065"/>
      <c r="BG8588" s="1065"/>
    </row>
    <row r="8589" spans="4:59">
      <c r="D8589" s="1065"/>
      <c r="S8589" s="1065"/>
      <c r="BE8589" s="1065"/>
      <c r="BF8589" s="1065"/>
      <c r="BG8589" s="1065"/>
    </row>
    <row r="8590" spans="4:59">
      <c r="D8590" s="1065"/>
      <c r="S8590" s="1065"/>
      <c r="BE8590" s="1065"/>
      <c r="BF8590" s="1065"/>
      <c r="BG8590" s="1065"/>
    </row>
    <row r="8591" spans="4:59">
      <c r="D8591" s="1065"/>
      <c r="S8591" s="1065"/>
      <c r="BE8591" s="1065"/>
      <c r="BF8591" s="1065"/>
      <c r="BG8591" s="1065"/>
    </row>
    <row r="8592" spans="4:59">
      <c r="D8592" s="1065"/>
      <c r="S8592" s="1065"/>
      <c r="BE8592" s="1065"/>
      <c r="BF8592" s="1065"/>
      <c r="BG8592" s="1065"/>
    </row>
    <row r="8593" spans="4:59">
      <c r="D8593" s="1065"/>
      <c r="S8593" s="1065"/>
      <c r="BE8593" s="1065"/>
      <c r="BF8593" s="1065"/>
      <c r="BG8593" s="1065"/>
    </row>
    <row r="8594" spans="4:59">
      <c r="D8594" s="1065"/>
      <c r="S8594" s="1065"/>
      <c r="BE8594" s="1065"/>
      <c r="BF8594" s="1065"/>
      <c r="BG8594" s="1065"/>
    </row>
    <row r="8595" spans="4:59">
      <c r="D8595" s="1065"/>
      <c r="S8595" s="1065"/>
      <c r="BE8595" s="1065"/>
      <c r="BF8595" s="1065"/>
      <c r="BG8595" s="1065"/>
    </row>
    <row r="8596" spans="4:59">
      <c r="D8596" s="1065"/>
      <c r="S8596" s="1065"/>
      <c r="BE8596" s="1065"/>
      <c r="BF8596" s="1065"/>
      <c r="BG8596" s="1065"/>
    </row>
    <row r="8597" spans="4:59">
      <c r="D8597" s="1065"/>
      <c r="S8597" s="1065"/>
      <c r="BE8597" s="1065"/>
      <c r="BF8597" s="1065"/>
      <c r="BG8597" s="1065"/>
    </row>
    <row r="8598" spans="4:59">
      <c r="D8598" s="1065"/>
      <c r="S8598" s="1065"/>
      <c r="BE8598" s="1065"/>
      <c r="BF8598" s="1065"/>
      <c r="BG8598" s="1065"/>
    </row>
    <row r="8599" spans="4:59">
      <c r="D8599" s="1065"/>
      <c r="S8599" s="1065"/>
      <c r="BE8599" s="1065"/>
      <c r="BF8599" s="1065"/>
      <c r="BG8599" s="1065"/>
    </row>
    <row r="8600" spans="4:59">
      <c r="D8600" s="1065"/>
      <c r="S8600" s="1065"/>
      <c r="BE8600" s="1065"/>
      <c r="BF8600" s="1065"/>
      <c r="BG8600" s="1065"/>
    </row>
    <row r="8601" spans="4:59">
      <c r="D8601" s="1065"/>
      <c r="S8601" s="1065"/>
      <c r="BE8601" s="1065"/>
      <c r="BF8601" s="1065"/>
      <c r="BG8601" s="1065"/>
    </row>
    <row r="8602" spans="4:59">
      <c r="D8602" s="1065"/>
      <c r="S8602" s="1065"/>
      <c r="BE8602" s="1065"/>
      <c r="BF8602" s="1065"/>
      <c r="BG8602" s="1065"/>
    </row>
    <row r="8607" spans="4:59">
      <c r="D8607" s="1065"/>
      <c r="S8607" s="1065"/>
      <c r="BE8607" s="1065"/>
      <c r="BF8607" s="1065"/>
      <c r="BG8607" s="1065"/>
    </row>
    <row r="8608" spans="4:59">
      <c r="D8608" s="1065"/>
      <c r="S8608" s="1065"/>
      <c r="BE8608" s="1065"/>
      <c r="BF8608" s="1065"/>
      <c r="BG8608" s="1065"/>
    </row>
    <row r="8611" spans="4:59">
      <c r="D8611" s="1065"/>
      <c r="S8611" s="1065"/>
      <c r="BE8611" s="1065"/>
      <c r="BF8611" s="1065"/>
      <c r="BG8611" s="1065"/>
    </row>
    <row r="8612" spans="4:59">
      <c r="D8612" s="1065"/>
      <c r="S8612" s="1065"/>
      <c r="BE8612" s="1065"/>
      <c r="BF8612" s="1065"/>
      <c r="BG8612" s="1065"/>
    </row>
    <row r="8613" spans="4:59">
      <c r="D8613" s="1065"/>
      <c r="S8613" s="1065"/>
      <c r="BE8613" s="1065"/>
      <c r="BF8613" s="1065"/>
      <c r="BG8613" s="1065"/>
    </row>
    <row r="8614" spans="4:59">
      <c r="D8614" s="1065"/>
      <c r="S8614" s="1065"/>
      <c r="BE8614" s="1065"/>
      <c r="BF8614" s="1065"/>
      <c r="BG8614" s="1065"/>
    </row>
    <row r="8615" spans="4:59">
      <c r="D8615" s="1065"/>
      <c r="S8615" s="1065"/>
      <c r="BE8615" s="1065"/>
      <c r="BF8615" s="1065"/>
      <c r="BG8615" s="1065"/>
    </row>
    <row r="8616" spans="4:59">
      <c r="D8616" s="1065"/>
      <c r="S8616" s="1065"/>
      <c r="BE8616" s="1065"/>
      <c r="BF8616" s="1065"/>
      <c r="BG8616" s="1065"/>
    </row>
    <row r="8617" spans="4:59">
      <c r="D8617" s="1065"/>
      <c r="S8617" s="1065"/>
      <c r="BE8617" s="1065"/>
      <c r="BF8617" s="1065"/>
      <c r="BG8617" s="1065"/>
    </row>
    <row r="8618" spans="4:59">
      <c r="D8618" s="1065"/>
      <c r="S8618" s="1065"/>
      <c r="BE8618" s="1065"/>
      <c r="BF8618" s="1065"/>
      <c r="BG8618" s="1065"/>
    </row>
    <row r="8621" spans="4:59">
      <c r="D8621" s="1065"/>
      <c r="S8621" s="1065"/>
      <c r="BE8621" s="1065"/>
      <c r="BF8621" s="1065"/>
      <c r="BG8621" s="1065"/>
    </row>
    <row r="8622" spans="4:59">
      <c r="D8622" s="1065"/>
      <c r="S8622" s="1065"/>
      <c r="BE8622" s="1065"/>
      <c r="BF8622" s="1065"/>
      <c r="BG8622" s="1065"/>
    </row>
    <row r="8627" spans="4:59">
      <c r="D8627" s="1065"/>
      <c r="S8627" s="1065"/>
      <c r="BE8627" s="1065"/>
      <c r="BF8627" s="1065"/>
      <c r="BG8627" s="1065"/>
    </row>
    <row r="8628" spans="4:59">
      <c r="D8628" s="1065"/>
      <c r="S8628" s="1065"/>
      <c r="BE8628" s="1065"/>
      <c r="BF8628" s="1065"/>
      <c r="BG8628" s="1065"/>
    </row>
    <row r="8629" spans="4:59">
      <c r="D8629" s="1065"/>
      <c r="S8629" s="1065"/>
      <c r="BE8629" s="1065"/>
      <c r="BF8629" s="1065"/>
      <c r="BG8629" s="1065"/>
    </row>
    <row r="8630" spans="4:59">
      <c r="D8630" s="1065"/>
      <c r="S8630" s="1065"/>
      <c r="BE8630" s="1065"/>
      <c r="BF8630" s="1065"/>
      <c r="BG8630" s="1065"/>
    </row>
    <row r="8631" spans="4:59">
      <c r="D8631" s="1065"/>
      <c r="S8631" s="1065"/>
      <c r="BE8631" s="1065"/>
      <c r="BF8631" s="1065"/>
      <c r="BG8631" s="1065"/>
    </row>
    <row r="8632" spans="4:59">
      <c r="D8632" s="1065"/>
      <c r="S8632" s="1065"/>
      <c r="BE8632" s="1065"/>
      <c r="BF8632" s="1065"/>
      <c r="BG8632" s="1065"/>
    </row>
    <row r="8633" spans="4:59">
      <c r="D8633" s="1065"/>
      <c r="S8633" s="1065"/>
      <c r="BE8633" s="1065"/>
      <c r="BF8633" s="1065"/>
      <c r="BG8633" s="1065"/>
    </row>
    <row r="8634" spans="4:59">
      <c r="D8634" s="1065"/>
      <c r="S8634" s="1065"/>
      <c r="BE8634" s="1065"/>
      <c r="BF8634" s="1065"/>
      <c r="BG8634" s="1065"/>
    </row>
    <row r="8635" spans="4:59">
      <c r="D8635" s="1065"/>
      <c r="S8635" s="1065"/>
      <c r="BE8635" s="1065"/>
      <c r="BF8635" s="1065"/>
      <c r="BG8635" s="1065"/>
    </row>
    <row r="8636" spans="4:59">
      <c r="D8636" s="1065"/>
      <c r="S8636" s="1065"/>
      <c r="BE8636" s="1065"/>
      <c r="BF8636" s="1065"/>
      <c r="BG8636" s="1065"/>
    </row>
    <row r="8637" spans="4:59">
      <c r="D8637" s="1065"/>
      <c r="S8637" s="1065"/>
      <c r="BE8637" s="1065"/>
      <c r="BF8637" s="1065"/>
      <c r="BG8637" s="1065"/>
    </row>
    <row r="8638" spans="4:59">
      <c r="D8638" s="1065"/>
      <c r="S8638" s="1065"/>
      <c r="BE8638" s="1065"/>
      <c r="BF8638" s="1065"/>
      <c r="BG8638" s="1065"/>
    </row>
    <row r="8639" spans="4:59">
      <c r="D8639" s="1065"/>
      <c r="S8639" s="1065"/>
      <c r="BE8639" s="1065"/>
      <c r="BF8639" s="1065"/>
      <c r="BG8639" s="1065"/>
    </row>
    <row r="8640" spans="4:59">
      <c r="D8640" s="1065"/>
      <c r="S8640" s="1065"/>
      <c r="BE8640" s="1065"/>
      <c r="BF8640" s="1065"/>
      <c r="BG8640" s="1065"/>
    </row>
    <row r="8641" spans="4:59">
      <c r="D8641" s="1065"/>
      <c r="S8641" s="1065"/>
      <c r="BE8641" s="1065"/>
      <c r="BF8641" s="1065"/>
      <c r="BG8641" s="1065"/>
    </row>
    <row r="8642" spans="4:59">
      <c r="D8642" s="1065"/>
      <c r="S8642" s="1065"/>
      <c r="BE8642" s="1065"/>
      <c r="BF8642" s="1065"/>
      <c r="BG8642" s="1065"/>
    </row>
    <row r="8643" spans="4:59">
      <c r="D8643" s="1065"/>
      <c r="S8643" s="1065"/>
      <c r="BE8643" s="1065"/>
      <c r="BF8643" s="1065"/>
      <c r="BG8643" s="1065"/>
    </row>
    <row r="8644" spans="4:59">
      <c r="D8644" s="1065"/>
      <c r="S8644" s="1065"/>
      <c r="BE8644" s="1065"/>
      <c r="BF8644" s="1065"/>
      <c r="BG8644" s="1065"/>
    </row>
    <row r="8645" spans="4:59">
      <c r="D8645" s="1065"/>
      <c r="S8645" s="1065"/>
      <c r="BE8645" s="1065"/>
      <c r="BF8645" s="1065"/>
      <c r="BG8645" s="1065"/>
    </row>
    <row r="8646" spans="4:59">
      <c r="D8646" s="1065"/>
      <c r="S8646" s="1065"/>
      <c r="BE8646" s="1065"/>
      <c r="BF8646" s="1065"/>
      <c r="BG8646" s="1065"/>
    </row>
    <row r="8647" spans="4:59">
      <c r="D8647" s="1065"/>
      <c r="S8647" s="1065"/>
      <c r="BE8647" s="1065"/>
      <c r="BF8647" s="1065"/>
      <c r="BG8647" s="1065"/>
    </row>
    <row r="8648" spans="4:59">
      <c r="D8648" s="1065"/>
      <c r="S8648" s="1065"/>
      <c r="BE8648" s="1065"/>
      <c r="BF8648" s="1065"/>
      <c r="BG8648" s="1065"/>
    </row>
    <row r="8649" spans="4:59">
      <c r="D8649" s="1065"/>
      <c r="S8649" s="1065"/>
      <c r="BE8649" s="1065"/>
      <c r="BF8649" s="1065"/>
      <c r="BG8649" s="1065"/>
    </row>
    <row r="8650" spans="4:59">
      <c r="D8650" s="1065"/>
      <c r="S8650" s="1065"/>
      <c r="BE8650" s="1065"/>
      <c r="BF8650" s="1065"/>
      <c r="BG8650" s="1065"/>
    </row>
    <row r="8651" spans="4:59">
      <c r="D8651" s="1065"/>
      <c r="S8651" s="1065"/>
      <c r="BE8651" s="1065"/>
      <c r="BF8651" s="1065"/>
      <c r="BG8651" s="1065"/>
    </row>
    <row r="8652" spans="4:59">
      <c r="D8652" s="1065"/>
      <c r="S8652" s="1065"/>
      <c r="BE8652" s="1065"/>
      <c r="BF8652" s="1065"/>
      <c r="BG8652" s="1065"/>
    </row>
    <row r="8653" spans="4:59">
      <c r="D8653" s="1065"/>
      <c r="S8653" s="1065"/>
      <c r="BE8653" s="1065"/>
      <c r="BF8653" s="1065"/>
      <c r="BG8653" s="1065"/>
    </row>
    <row r="8654" spans="4:59">
      <c r="D8654" s="1065"/>
      <c r="S8654" s="1065"/>
      <c r="BE8654" s="1065"/>
      <c r="BF8654" s="1065"/>
      <c r="BG8654" s="1065"/>
    </row>
    <row r="8655" spans="4:59">
      <c r="D8655" s="1065"/>
      <c r="S8655" s="1065"/>
      <c r="BE8655" s="1065"/>
      <c r="BF8655" s="1065"/>
      <c r="BG8655" s="1065"/>
    </row>
    <row r="8656" spans="4:59">
      <c r="D8656" s="1065"/>
      <c r="S8656" s="1065"/>
      <c r="BE8656" s="1065"/>
      <c r="BF8656" s="1065"/>
      <c r="BG8656" s="1065"/>
    </row>
    <row r="8657" spans="4:59">
      <c r="D8657" s="1065"/>
      <c r="S8657" s="1065"/>
      <c r="BE8657" s="1065"/>
      <c r="BF8657" s="1065"/>
      <c r="BG8657" s="1065"/>
    </row>
    <row r="8658" spans="4:59">
      <c r="D8658" s="1065"/>
      <c r="S8658" s="1065"/>
      <c r="BE8658" s="1065"/>
      <c r="BF8658" s="1065"/>
      <c r="BG8658" s="1065"/>
    </row>
    <row r="8659" spans="4:59">
      <c r="D8659" s="1065"/>
      <c r="S8659" s="1065"/>
      <c r="BE8659" s="1065"/>
      <c r="BF8659" s="1065"/>
      <c r="BG8659" s="1065"/>
    </row>
    <row r="8660" spans="4:59">
      <c r="D8660" s="1065"/>
      <c r="S8660" s="1065"/>
      <c r="BE8660" s="1065"/>
      <c r="BF8660" s="1065"/>
      <c r="BG8660" s="1065"/>
    </row>
    <row r="8661" spans="4:59">
      <c r="D8661" s="1065"/>
      <c r="S8661" s="1065"/>
      <c r="BE8661" s="1065"/>
      <c r="BF8661" s="1065"/>
      <c r="BG8661" s="1065"/>
    </row>
    <row r="8662" spans="4:59">
      <c r="D8662" s="1065"/>
      <c r="S8662" s="1065"/>
      <c r="BE8662" s="1065"/>
      <c r="BF8662" s="1065"/>
      <c r="BG8662" s="1065"/>
    </row>
    <row r="8663" spans="4:59">
      <c r="D8663" s="1065"/>
      <c r="S8663" s="1065"/>
      <c r="BE8663" s="1065"/>
      <c r="BF8663" s="1065"/>
      <c r="BG8663" s="1065"/>
    </row>
    <row r="8664" spans="4:59">
      <c r="D8664" s="1065"/>
      <c r="S8664" s="1065"/>
      <c r="BE8664" s="1065"/>
      <c r="BF8664" s="1065"/>
      <c r="BG8664" s="1065"/>
    </row>
    <row r="8665" spans="4:59">
      <c r="D8665" s="1065"/>
      <c r="S8665" s="1065"/>
      <c r="BE8665" s="1065"/>
      <c r="BF8665" s="1065"/>
      <c r="BG8665" s="1065"/>
    </row>
    <row r="8666" spans="4:59">
      <c r="D8666" s="1065"/>
      <c r="S8666" s="1065"/>
      <c r="BE8666" s="1065"/>
      <c r="BF8666" s="1065"/>
      <c r="BG8666" s="1065"/>
    </row>
    <row r="8667" spans="4:59">
      <c r="D8667" s="1065"/>
      <c r="S8667" s="1065"/>
      <c r="BE8667" s="1065"/>
      <c r="BF8667" s="1065"/>
      <c r="BG8667" s="1065"/>
    </row>
    <row r="8668" spans="4:59">
      <c r="D8668" s="1065"/>
      <c r="S8668" s="1065"/>
      <c r="BE8668" s="1065"/>
      <c r="BF8668" s="1065"/>
      <c r="BG8668" s="1065"/>
    </row>
    <row r="8669" spans="4:59">
      <c r="D8669" s="1065"/>
      <c r="S8669" s="1065"/>
      <c r="BE8669" s="1065"/>
      <c r="BF8669" s="1065"/>
      <c r="BG8669" s="1065"/>
    </row>
    <row r="8670" spans="4:59">
      <c r="D8670" s="1065"/>
      <c r="S8670" s="1065"/>
      <c r="BE8670" s="1065"/>
      <c r="BF8670" s="1065"/>
      <c r="BG8670" s="1065"/>
    </row>
    <row r="8671" spans="4:59">
      <c r="D8671" s="1065"/>
      <c r="S8671" s="1065"/>
      <c r="BE8671" s="1065"/>
      <c r="BF8671" s="1065"/>
      <c r="BG8671" s="1065"/>
    </row>
    <row r="8672" spans="4:59">
      <c r="D8672" s="1065"/>
      <c r="S8672" s="1065"/>
      <c r="BE8672" s="1065"/>
      <c r="BF8672" s="1065"/>
      <c r="BG8672" s="1065"/>
    </row>
    <row r="8673" spans="4:59">
      <c r="D8673" s="1065"/>
      <c r="S8673" s="1065"/>
      <c r="BE8673" s="1065"/>
      <c r="BF8673" s="1065"/>
      <c r="BG8673" s="1065"/>
    </row>
    <row r="8674" spans="4:59">
      <c r="D8674" s="1065"/>
      <c r="S8674" s="1065"/>
      <c r="BE8674" s="1065"/>
      <c r="BF8674" s="1065"/>
      <c r="BG8674" s="1065"/>
    </row>
    <row r="8675" spans="4:59">
      <c r="D8675" s="1065"/>
      <c r="S8675" s="1065"/>
      <c r="BE8675" s="1065"/>
      <c r="BF8675" s="1065"/>
      <c r="BG8675" s="1065"/>
    </row>
    <row r="8676" spans="4:59">
      <c r="D8676" s="1065"/>
      <c r="S8676" s="1065"/>
      <c r="BE8676" s="1065"/>
      <c r="BF8676" s="1065"/>
      <c r="BG8676" s="1065"/>
    </row>
    <row r="8677" spans="4:59">
      <c r="D8677" s="1065"/>
      <c r="S8677" s="1065"/>
      <c r="BE8677" s="1065"/>
      <c r="BF8677" s="1065"/>
      <c r="BG8677" s="1065"/>
    </row>
    <row r="8678" spans="4:59">
      <c r="D8678" s="1065"/>
      <c r="S8678" s="1065"/>
      <c r="BE8678" s="1065"/>
      <c r="BF8678" s="1065"/>
      <c r="BG8678" s="1065"/>
    </row>
    <row r="8679" spans="4:59">
      <c r="D8679" s="1065"/>
      <c r="S8679" s="1065"/>
      <c r="BE8679" s="1065"/>
      <c r="BF8679" s="1065"/>
      <c r="BG8679" s="1065"/>
    </row>
    <row r="8680" spans="4:59">
      <c r="D8680" s="1065"/>
      <c r="S8680" s="1065"/>
      <c r="BE8680" s="1065"/>
      <c r="BF8680" s="1065"/>
      <c r="BG8680" s="1065"/>
    </row>
    <row r="8681" spans="4:59">
      <c r="D8681" s="1065"/>
      <c r="S8681" s="1065"/>
      <c r="BE8681" s="1065"/>
      <c r="BF8681" s="1065"/>
      <c r="BG8681" s="1065"/>
    </row>
    <row r="8682" spans="4:59">
      <c r="D8682" s="1065"/>
      <c r="S8682" s="1065"/>
      <c r="BE8682" s="1065"/>
      <c r="BF8682" s="1065"/>
      <c r="BG8682" s="1065"/>
    </row>
    <row r="8683" spans="4:59">
      <c r="D8683" s="1065"/>
      <c r="S8683" s="1065"/>
      <c r="BE8683" s="1065"/>
      <c r="BF8683" s="1065"/>
      <c r="BG8683" s="1065"/>
    </row>
    <row r="8684" spans="4:59">
      <c r="D8684" s="1065"/>
      <c r="S8684" s="1065"/>
      <c r="BE8684" s="1065"/>
      <c r="BF8684" s="1065"/>
      <c r="BG8684" s="1065"/>
    </row>
    <row r="8685" spans="4:59">
      <c r="D8685" s="1065"/>
      <c r="S8685" s="1065"/>
      <c r="BE8685" s="1065"/>
      <c r="BF8685" s="1065"/>
      <c r="BG8685" s="1065"/>
    </row>
    <row r="8686" spans="4:59">
      <c r="D8686" s="1065"/>
      <c r="S8686" s="1065"/>
      <c r="BE8686" s="1065"/>
      <c r="BF8686" s="1065"/>
      <c r="BG8686" s="1065"/>
    </row>
    <row r="8687" spans="4:59">
      <c r="D8687" s="1065"/>
      <c r="S8687" s="1065"/>
      <c r="BE8687" s="1065"/>
      <c r="BF8687" s="1065"/>
      <c r="BG8687" s="1065"/>
    </row>
    <row r="8688" spans="4:59">
      <c r="D8688" s="1065"/>
      <c r="S8688" s="1065"/>
      <c r="BE8688" s="1065"/>
      <c r="BF8688" s="1065"/>
      <c r="BG8688" s="1065"/>
    </row>
    <row r="8689" spans="4:59">
      <c r="D8689" s="1065"/>
      <c r="S8689" s="1065"/>
      <c r="BE8689" s="1065"/>
      <c r="BF8689" s="1065"/>
      <c r="BG8689" s="1065"/>
    </row>
    <row r="8690" spans="4:59">
      <c r="D8690" s="1065"/>
      <c r="S8690" s="1065"/>
      <c r="BE8690" s="1065"/>
      <c r="BF8690" s="1065"/>
      <c r="BG8690" s="1065"/>
    </row>
    <row r="8691" spans="4:59">
      <c r="D8691" s="1065"/>
      <c r="S8691" s="1065"/>
      <c r="BE8691" s="1065"/>
      <c r="BF8691" s="1065"/>
      <c r="BG8691" s="1065"/>
    </row>
    <row r="8692" spans="4:59">
      <c r="D8692" s="1065"/>
      <c r="S8692" s="1065"/>
      <c r="BE8692" s="1065"/>
      <c r="BF8692" s="1065"/>
      <c r="BG8692" s="1065"/>
    </row>
    <row r="8693" spans="4:59">
      <c r="D8693" s="1065"/>
      <c r="S8693" s="1065"/>
      <c r="BE8693" s="1065"/>
      <c r="BF8693" s="1065"/>
      <c r="BG8693" s="1065"/>
    </row>
    <row r="8694" spans="4:59">
      <c r="D8694" s="1065"/>
      <c r="S8694" s="1065"/>
      <c r="BE8694" s="1065"/>
      <c r="BF8694" s="1065"/>
      <c r="BG8694" s="1065"/>
    </row>
    <row r="8695" spans="4:59">
      <c r="D8695" s="1065"/>
      <c r="S8695" s="1065"/>
      <c r="BE8695" s="1065"/>
      <c r="BF8695" s="1065"/>
      <c r="BG8695" s="1065"/>
    </row>
    <row r="8696" spans="4:59">
      <c r="D8696" s="1065"/>
      <c r="S8696" s="1065"/>
      <c r="BE8696" s="1065"/>
      <c r="BF8696" s="1065"/>
      <c r="BG8696" s="1065"/>
    </row>
    <row r="8697" spans="4:59">
      <c r="D8697" s="1065"/>
      <c r="S8697" s="1065"/>
      <c r="BE8697" s="1065"/>
      <c r="BF8697" s="1065"/>
      <c r="BG8697" s="1065"/>
    </row>
    <row r="8698" spans="4:59">
      <c r="D8698" s="1065"/>
      <c r="S8698" s="1065"/>
      <c r="BE8698" s="1065"/>
      <c r="BF8698" s="1065"/>
      <c r="BG8698" s="1065"/>
    </row>
    <row r="8699" spans="4:59">
      <c r="D8699" s="1065"/>
      <c r="S8699" s="1065"/>
      <c r="BE8699" s="1065"/>
      <c r="BF8699" s="1065"/>
      <c r="BG8699" s="1065"/>
    </row>
    <row r="8700" spans="4:59">
      <c r="D8700" s="1065"/>
      <c r="S8700" s="1065"/>
      <c r="BE8700" s="1065"/>
      <c r="BF8700" s="1065"/>
      <c r="BG8700" s="1065"/>
    </row>
    <row r="8701" spans="4:59">
      <c r="D8701" s="1065"/>
      <c r="S8701" s="1065"/>
      <c r="BE8701" s="1065"/>
      <c r="BF8701" s="1065"/>
      <c r="BG8701" s="1065"/>
    </row>
    <row r="8702" spans="4:59">
      <c r="D8702" s="1065"/>
      <c r="S8702" s="1065"/>
      <c r="BE8702" s="1065"/>
      <c r="BF8702" s="1065"/>
      <c r="BG8702" s="1065"/>
    </row>
    <row r="8703" spans="4:59">
      <c r="D8703" s="1065"/>
      <c r="S8703" s="1065"/>
      <c r="BE8703" s="1065"/>
      <c r="BF8703" s="1065"/>
      <c r="BG8703" s="1065"/>
    </row>
    <row r="8704" spans="4:59">
      <c r="D8704" s="1065"/>
      <c r="S8704" s="1065"/>
      <c r="BE8704" s="1065"/>
      <c r="BF8704" s="1065"/>
      <c r="BG8704" s="1065"/>
    </row>
    <row r="8705" spans="4:59">
      <c r="D8705" s="1065"/>
      <c r="S8705" s="1065"/>
      <c r="BE8705" s="1065"/>
      <c r="BF8705" s="1065"/>
      <c r="BG8705" s="1065"/>
    </row>
    <row r="8706" spans="4:59">
      <c r="D8706" s="1065"/>
      <c r="S8706" s="1065"/>
      <c r="BE8706" s="1065"/>
      <c r="BF8706" s="1065"/>
      <c r="BG8706" s="1065"/>
    </row>
    <row r="8707" spans="4:59">
      <c r="D8707" s="1065"/>
      <c r="S8707" s="1065"/>
      <c r="BE8707" s="1065"/>
      <c r="BF8707" s="1065"/>
      <c r="BG8707" s="1065"/>
    </row>
    <row r="8708" spans="4:59">
      <c r="D8708" s="1065"/>
      <c r="S8708" s="1065"/>
      <c r="BE8708" s="1065"/>
      <c r="BF8708" s="1065"/>
      <c r="BG8708" s="1065"/>
    </row>
    <row r="8709" spans="4:59">
      <c r="D8709" s="1065"/>
      <c r="S8709" s="1065"/>
      <c r="BE8709" s="1065"/>
      <c r="BF8709" s="1065"/>
      <c r="BG8709" s="1065"/>
    </row>
    <row r="8710" spans="4:59">
      <c r="D8710" s="1065"/>
      <c r="S8710" s="1065"/>
      <c r="BE8710" s="1065"/>
      <c r="BF8710" s="1065"/>
      <c r="BG8710" s="1065"/>
    </row>
    <row r="8711" spans="4:59">
      <c r="D8711" s="1065"/>
      <c r="S8711" s="1065"/>
      <c r="BE8711" s="1065"/>
      <c r="BF8711" s="1065"/>
      <c r="BG8711" s="1065"/>
    </row>
    <row r="8712" spans="4:59">
      <c r="D8712" s="1065"/>
      <c r="S8712" s="1065"/>
      <c r="BE8712" s="1065"/>
      <c r="BF8712" s="1065"/>
      <c r="BG8712" s="1065"/>
    </row>
    <row r="8713" spans="4:59">
      <c r="D8713" s="1065"/>
      <c r="S8713" s="1065"/>
      <c r="BE8713" s="1065"/>
      <c r="BF8713" s="1065"/>
      <c r="BG8713" s="1065"/>
    </row>
    <row r="8714" spans="4:59">
      <c r="D8714" s="1065"/>
      <c r="S8714" s="1065"/>
      <c r="BE8714" s="1065"/>
      <c r="BF8714" s="1065"/>
      <c r="BG8714" s="1065"/>
    </row>
    <row r="8715" spans="4:59">
      <c r="D8715" s="1065"/>
      <c r="S8715" s="1065"/>
      <c r="BE8715" s="1065"/>
      <c r="BF8715" s="1065"/>
      <c r="BG8715" s="1065"/>
    </row>
    <row r="8716" spans="4:59">
      <c r="D8716" s="1065"/>
      <c r="S8716" s="1065"/>
      <c r="BE8716" s="1065"/>
      <c r="BF8716" s="1065"/>
      <c r="BG8716" s="1065"/>
    </row>
    <row r="8717" spans="4:59">
      <c r="D8717" s="1065"/>
      <c r="S8717" s="1065"/>
      <c r="BE8717" s="1065"/>
      <c r="BF8717" s="1065"/>
      <c r="BG8717" s="1065"/>
    </row>
    <row r="8718" spans="4:59">
      <c r="D8718" s="1065"/>
      <c r="S8718" s="1065"/>
      <c r="BE8718" s="1065"/>
      <c r="BF8718" s="1065"/>
      <c r="BG8718" s="1065"/>
    </row>
    <row r="8719" spans="4:59">
      <c r="D8719" s="1065"/>
      <c r="S8719" s="1065"/>
      <c r="BE8719" s="1065"/>
      <c r="BF8719" s="1065"/>
      <c r="BG8719" s="1065"/>
    </row>
    <row r="8720" spans="4:59">
      <c r="D8720" s="1065"/>
      <c r="S8720" s="1065"/>
      <c r="BE8720" s="1065"/>
      <c r="BF8720" s="1065"/>
      <c r="BG8720" s="1065"/>
    </row>
    <row r="8721" spans="4:59">
      <c r="D8721" s="1065"/>
      <c r="S8721" s="1065"/>
      <c r="BE8721" s="1065"/>
      <c r="BF8721" s="1065"/>
      <c r="BG8721" s="1065"/>
    </row>
    <row r="8722" spans="4:59">
      <c r="D8722" s="1065"/>
      <c r="S8722" s="1065"/>
      <c r="BE8722" s="1065"/>
      <c r="BF8722" s="1065"/>
      <c r="BG8722" s="1065"/>
    </row>
    <row r="8723" spans="4:59">
      <c r="D8723" s="1065"/>
      <c r="S8723" s="1065"/>
      <c r="BE8723" s="1065"/>
      <c r="BF8723" s="1065"/>
      <c r="BG8723" s="1065"/>
    </row>
    <row r="8724" spans="4:59">
      <c r="D8724" s="1065"/>
      <c r="S8724" s="1065"/>
      <c r="BE8724" s="1065"/>
      <c r="BF8724" s="1065"/>
      <c r="BG8724" s="1065"/>
    </row>
    <row r="8725" spans="4:59">
      <c r="D8725" s="1065"/>
      <c r="S8725" s="1065"/>
      <c r="BE8725" s="1065"/>
      <c r="BF8725" s="1065"/>
      <c r="BG8725" s="1065"/>
    </row>
    <row r="8726" spans="4:59">
      <c r="D8726" s="1065"/>
      <c r="S8726" s="1065"/>
      <c r="BE8726" s="1065"/>
      <c r="BF8726" s="1065"/>
      <c r="BG8726" s="1065"/>
    </row>
    <row r="8727" spans="4:59">
      <c r="D8727" s="1065"/>
      <c r="S8727" s="1065"/>
      <c r="BE8727" s="1065"/>
      <c r="BF8727" s="1065"/>
      <c r="BG8727" s="1065"/>
    </row>
    <row r="8728" spans="4:59">
      <c r="D8728" s="1065"/>
      <c r="S8728" s="1065"/>
      <c r="BE8728" s="1065"/>
      <c r="BF8728" s="1065"/>
      <c r="BG8728" s="1065"/>
    </row>
    <row r="8729" spans="4:59">
      <c r="D8729" s="1065"/>
      <c r="S8729" s="1065"/>
      <c r="BE8729" s="1065"/>
      <c r="BF8729" s="1065"/>
      <c r="BG8729" s="1065"/>
    </row>
    <row r="8730" spans="4:59">
      <c r="D8730" s="1065"/>
      <c r="S8730" s="1065"/>
      <c r="BE8730" s="1065"/>
      <c r="BF8730" s="1065"/>
      <c r="BG8730" s="1065"/>
    </row>
    <row r="8731" spans="4:59">
      <c r="D8731" s="1065"/>
      <c r="S8731" s="1065"/>
      <c r="BE8731" s="1065"/>
      <c r="BF8731" s="1065"/>
      <c r="BG8731" s="1065"/>
    </row>
    <row r="8732" spans="4:59">
      <c r="D8732" s="1065"/>
      <c r="S8732" s="1065"/>
      <c r="BE8732" s="1065"/>
      <c r="BF8732" s="1065"/>
      <c r="BG8732" s="1065"/>
    </row>
    <row r="8733" spans="4:59">
      <c r="D8733" s="1065"/>
      <c r="S8733" s="1065"/>
      <c r="BE8733" s="1065"/>
      <c r="BF8733" s="1065"/>
      <c r="BG8733" s="1065"/>
    </row>
    <row r="8734" spans="4:59">
      <c r="D8734" s="1065"/>
      <c r="S8734" s="1065"/>
      <c r="BE8734" s="1065"/>
      <c r="BF8734" s="1065"/>
      <c r="BG8734" s="1065"/>
    </row>
    <row r="8735" spans="4:59">
      <c r="D8735" s="1065"/>
      <c r="S8735" s="1065"/>
      <c r="BE8735" s="1065"/>
      <c r="BF8735" s="1065"/>
      <c r="BG8735" s="1065"/>
    </row>
    <row r="8736" spans="4:59">
      <c r="D8736" s="1065"/>
      <c r="S8736" s="1065"/>
      <c r="BE8736" s="1065"/>
      <c r="BF8736" s="1065"/>
      <c r="BG8736" s="1065"/>
    </row>
    <row r="8737" spans="4:59">
      <c r="D8737" s="1065"/>
      <c r="S8737" s="1065"/>
      <c r="BE8737" s="1065"/>
      <c r="BF8737" s="1065"/>
      <c r="BG8737" s="1065"/>
    </row>
    <row r="8738" spans="4:59">
      <c r="D8738" s="1065"/>
      <c r="S8738" s="1065"/>
      <c r="BE8738" s="1065"/>
      <c r="BF8738" s="1065"/>
      <c r="BG8738" s="1065"/>
    </row>
    <row r="8739" spans="4:59">
      <c r="D8739" s="1065"/>
      <c r="S8739" s="1065"/>
      <c r="BE8739" s="1065"/>
      <c r="BF8739" s="1065"/>
      <c r="BG8739" s="1065"/>
    </row>
    <row r="8740" spans="4:59">
      <c r="D8740" s="1065"/>
      <c r="S8740" s="1065"/>
      <c r="BE8740" s="1065"/>
      <c r="BF8740" s="1065"/>
      <c r="BG8740" s="1065"/>
    </row>
    <row r="8741" spans="4:59">
      <c r="D8741" s="1065"/>
      <c r="S8741" s="1065"/>
      <c r="BE8741" s="1065"/>
      <c r="BF8741" s="1065"/>
      <c r="BG8741" s="1065"/>
    </row>
    <row r="8742" spans="4:59">
      <c r="D8742" s="1065"/>
      <c r="S8742" s="1065"/>
      <c r="BE8742" s="1065"/>
      <c r="BF8742" s="1065"/>
      <c r="BG8742" s="1065"/>
    </row>
    <row r="8743" spans="4:59">
      <c r="D8743" s="1065"/>
      <c r="S8743" s="1065"/>
      <c r="BE8743" s="1065"/>
      <c r="BF8743" s="1065"/>
      <c r="BG8743" s="1065"/>
    </row>
    <row r="8744" spans="4:59">
      <c r="D8744" s="1065"/>
      <c r="S8744" s="1065"/>
      <c r="BE8744" s="1065"/>
      <c r="BF8744" s="1065"/>
      <c r="BG8744" s="1065"/>
    </row>
    <row r="8745" spans="4:59">
      <c r="D8745" s="1065"/>
      <c r="S8745" s="1065"/>
      <c r="BE8745" s="1065"/>
      <c r="BF8745" s="1065"/>
      <c r="BG8745" s="1065"/>
    </row>
    <row r="8746" spans="4:59">
      <c r="D8746" s="1065"/>
      <c r="S8746" s="1065"/>
      <c r="BE8746" s="1065"/>
      <c r="BF8746" s="1065"/>
      <c r="BG8746" s="1065"/>
    </row>
    <row r="8747" spans="4:59">
      <c r="D8747" s="1065"/>
      <c r="S8747" s="1065"/>
      <c r="BE8747" s="1065"/>
      <c r="BF8747" s="1065"/>
      <c r="BG8747" s="1065"/>
    </row>
    <row r="8748" spans="4:59">
      <c r="D8748" s="1065"/>
      <c r="S8748" s="1065"/>
      <c r="BE8748" s="1065"/>
      <c r="BF8748" s="1065"/>
      <c r="BG8748" s="1065"/>
    </row>
    <row r="8749" spans="4:59">
      <c r="D8749" s="1065"/>
      <c r="S8749" s="1065"/>
      <c r="BE8749" s="1065"/>
      <c r="BF8749" s="1065"/>
      <c r="BG8749" s="1065"/>
    </row>
    <row r="8750" spans="4:59">
      <c r="D8750" s="1065"/>
      <c r="S8750" s="1065"/>
      <c r="BE8750" s="1065"/>
      <c r="BF8750" s="1065"/>
      <c r="BG8750" s="1065"/>
    </row>
    <row r="8751" spans="4:59">
      <c r="D8751" s="1065"/>
      <c r="S8751" s="1065"/>
      <c r="BE8751" s="1065"/>
      <c r="BF8751" s="1065"/>
      <c r="BG8751" s="1065"/>
    </row>
    <row r="8752" spans="4:59">
      <c r="D8752" s="1065"/>
      <c r="S8752" s="1065"/>
      <c r="BE8752" s="1065"/>
      <c r="BF8752" s="1065"/>
      <c r="BG8752" s="1065"/>
    </row>
    <row r="8753" spans="4:59">
      <c r="D8753" s="1065"/>
      <c r="S8753" s="1065"/>
      <c r="BE8753" s="1065"/>
      <c r="BF8753" s="1065"/>
      <c r="BG8753" s="1065"/>
    </row>
    <row r="8754" spans="4:59">
      <c r="D8754" s="1065"/>
      <c r="S8754" s="1065"/>
      <c r="BE8754" s="1065"/>
      <c r="BF8754" s="1065"/>
      <c r="BG8754" s="1065"/>
    </row>
    <row r="8755" spans="4:59">
      <c r="D8755" s="1065"/>
      <c r="S8755" s="1065"/>
      <c r="BE8755" s="1065"/>
      <c r="BF8755" s="1065"/>
      <c r="BG8755" s="1065"/>
    </row>
    <row r="8756" spans="4:59">
      <c r="D8756" s="1065"/>
      <c r="S8756" s="1065"/>
      <c r="BE8756" s="1065"/>
      <c r="BF8756" s="1065"/>
      <c r="BG8756" s="1065"/>
    </row>
    <row r="8757" spans="4:59">
      <c r="D8757" s="1065"/>
      <c r="S8757" s="1065"/>
      <c r="BE8757" s="1065"/>
      <c r="BF8757" s="1065"/>
      <c r="BG8757" s="1065"/>
    </row>
    <row r="8758" spans="4:59">
      <c r="D8758" s="1065"/>
      <c r="S8758" s="1065"/>
      <c r="BE8758" s="1065"/>
      <c r="BF8758" s="1065"/>
      <c r="BG8758" s="1065"/>
    </row>
    <row r="8759" spans="4:59">
      <c r="D8759" s="1065"/>
      <c r="S8759" s="1065"/>
      <c r="BE8759" s="1065"/>
      <c r="BF8759" s="1065"/>
      <c r="BG8759" s="1065"/>
    </row>
    <row r="8760" spans="4:59">
      <c r="D8760" s="1065"/>
      <c r="S8760" s="1065"/>
      <c r="BE8760" s="1065"/>
      <c r="BF8760" s="1065"/>
      <c r="BG8760" s="1065"/>
    </row>
    <row r="8761" spans="4:59">
      <c r="D8761" s="1065"/>
      <c r="S8761" s="1065"/>
      <c r="BE8761" s="1065"/>
      <c r="BF8761" s="1065"/>
      <c r="BG8761" s="1065"/>
    </row>
    <row r="8762" spans="4:59">
      <c r="D8762" s="1065"/>
      <c r="S8762" s="1065"/>
      <c r="BE8762" s="1065"/>
      <c r="BF8762" s="1065"/>
      <c r="BG8762" s="1065"/>
    </row>
    <row r="8763" spans="4:59">
      <c r="D8763" s="1065"/>
      <c r="S8763" s="1065"/>
      <c r="BE8763" s="1065"/>
      <c r="BF8763" s="1065"/>
      <c r="BG8763" s="1065"/>
    </row>
    <row r="8764" spans="4:59">
      <c r="D8764" s="1065"/>
      <c r="S8764" s="1065"/>
      <c r="BE8764" s="1065"/>
      <c r="BF8764" s="1065"/>
      <c r="BG8764" s="1065"/>
    </row>
    <row r="8765" spans="4:59">
      <c r="D8765" s="1065"/>
      <c r="S8765" s="1065"/>
      <c r="BE8765" s="1065"/>
      <c r="BF8765" s="1065"/>
      <c r="BG8765" s="1065"/>
    </row>
    <row r="8766" spans="4:59">
      <c r="D8766" s="1065"/>
      <c r="S8766" s="1065"/>
      <c r="BE8766" s="1065"/>
      <c r="BF8766" s="1065"/>
      <c r="BG8766" s="1065"/>
    </row>
    <row r="8767" spans="4:59">
      <c r="D8767" s="1065"/>
      <c r="S8767" s="1065"/>
      <c r="BE8767" s="1065"/>
      <c r="BF8767" s="1065"/>
      <c r="BG8767" s="1065"/>
    </row>
    <row r="8768" spans="4:59">
      <c r="D8768" s="1065"/>
      <c r="S8768" s="1065"/>
      <c r="BE8768" s="1065"/>
      <c r="BF8768" s="1065"/>
      <c r="BG8768" s="1065"/>
    </row>
    <row r="8769" spans="4:59">
      <c r="D8769" s="1065"/>
      <c r="S8769" s="1065"/>
      <c r="BE8769" s="1065"/>
      <c r="BF8769" s="1065"/>
      <c r="BG8769" s="1065"/>
    </row>
    <row r="8770" spans="4:59">
      <c r="D8770" s="1065"/>
      <c r="S8770" s="1065"/>
      <c r="BE8770" s="1065"/>
      <c r="BF8770" s="1065"/>
      <c r="BG8770" s="1065"/>
    </row>
    <row r="8771" spans="4:59">
      <c r="D8771" s="1065"/>
      <c r="S8771" s="1065"/>
      <c r="BE8771" s="1065"/>
      <c r="BF8771" s="1065"/>
      <c r="BG8771" s="1065"/>
    </row>
    <row r="8772" spans="4:59">
      <c r="D8772" s="1065"/>
      <c r="S8772" s="1065"/>
      <c r="BE8772" s="1065"/>
      <c r="BF8772" s="1065"/>
      <c r="BG8772" s="1065"/>
    </row>
    <row r="8773" spans="4:59">
      <c r="D8773" s="1065"/>
      <c r="S8773" s="1065"/>
      <c r="BE8773" s="1065"/>
      <c r="BF8773" s="1065"/>
      <c r="BG8773" s="1065"/>
    </row>
    <row r="8774" spans="4:59">
      <c r="D8774" s="1065"/>
      <c r="S8774" s="1065"/>
      <c r="BE8774" s="1065"/>
      <c r="BF8774" s="1065"/>
      <c r="BG8774" s="1065"/>
    </row>
    <row r="8775" spans="4:59">
      <c r="D8775" s="1065"/>
      <c r="S8775" s="1065"/>
      <c r="BE8775" s="1065"/>
      <c r="BF8775" s="1065"/>
      <c r="BG8775" s="1065"/>
    </row>
    <row r="8776" spans="4:59">
      <c r="D8776" s="1065"/>
      <c r="S8776" s="1065"/>
      <c r="BE8776" s="1065"/>
      <c r="BF8776" s="1065"/>
      <c r="BG8776" s="1065"/>
    </row>
    <row r="8777" spans="4:59">
      <c r="D8777" s="1065"/>
      <c r="S8777" s="1065"/>
      <c r="BE8777" s="1065"/>
      <c r="BF8777" s="1065"/>
      <c r="BG8777" s="1065"/>
    </row>
  </sheetData>
  <mergeCells count="46">
    <mergeCell ref="AJ7:AJ8"/>
    <mergeCell ref="AO7:AP7"/>
    <mergeCell ref="AX7:AX8"/>
    <mergeCell ref="AM6:AM7"/>
    <mergeCell ref="K18:M18"/>
    <mergeCell ref="AF18:AL18"/>
    <mergeCell ref="AQ18:AS18"/>
    <mergeCell ref="K13:M13"/>
    <mergeCell ref="AF13:AM13"/>
    <mergeCell ref="AQ13:AS13"/>
    <mergeCell ref="K16:M16"/>
    <mergeCell ref="AQ16:AS16"/>
    <mergeCell ref="K17:M17"/>
    <mergeCell ref="AF17:AM17"/>
    <mergeCell ref="AQ17:AS17"/>
    <mergeCell ref="V8:W8"/>
    <mergeCell ref="Y8:Z8"/>
    <mergeCell ref="U7:W7"/>
    <mergeCell ref="X7:Z7"/>
    <mergeCell ref="AH7:AH8"/>
    <mergeCell ref="H8:I8"/>
    <mergeCell ref="J8:K8"/>
    <mergeCell ref="L8:M8"/>
    <mergeCell ref="N8:O8"/>
    <mergeCell ref="P8:Q8"/>
    <mergeCell ref="AO6:AP6"/>
    <mergeCell ref="AR6:AV7"/>
    <mergeCell ref="BF6:BG8"/>
    <mergeCell ref="H7:I7"/>
    <mergeCell ref="J7:K7"/>
    <mergeCell ref="L7:M7"/>
    <mergeCell ref="N7:O7"/>
    <mergeCell ref="P7:Q7"/>
    <mergeCell ref="S7:T7"/>
    <mergeCell ref="H6:Q6"/>
    <mergeCell ref="S6:Z6"/>
    <mergeCell ref="AA6:AA8"/>
    <mergeCell ref="AB6:AB8"/>
    <mergeCell ref="AL6:AL8"/>
    <mergeCell ref="AY7:AY8"/>
    <mergeCell ref="BC7:BC8"/>
    <mergeCell ref="A2:BH2"/>
    <mergeCell ref="A3:BH3"/>
    <mergeCell ref="A5:C5"/>
    <mergeCell ref="Y5:AA5"/>
    <mergeCell ref="AN5:AO5"/>
  </mergeCells>
  <pageMargins left="0" right="0" top="0" bottom="0" header="0.3" footer="0.3"/>
  <pageSetup paperSize="9" scale="40" orientation="landscape" horizontalDpi="0" verticalDpi="0" r:id="rId1"/>
  <colBreaks count="1" manualBreakCount="1">
    <brk id="6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BF345"/>
  <sheetViews>
    <sheetView topLeftCell="O1" zoomScaleNormal="100" workbookViewId="0">
      <selection activeCell="AE11" sqref="AE11"/>
    </sheetView>
  </sheetViews>
  <sheetFormatPr defaultColWidth="9.140625" defaultRowHeight="12.75"/>
  <cols>
    <col min="1" max="1" width="5" style="432" customWidth="1"/>
    <col min="2" max="2" width="9.140625" style="432" hidden="1" customWidth="1"/>
    <col min="3" max="3" width="2.85546875" style="432" hidden="1" customWidth="1"/>
    <col min="4" max="4" width="16.85546875" style="432" customWidth="1"/>
    <col min="5" max="5" width="5.7109375" style="432" customWidth="1"/>
    <col min="6" max="6" width="7.85546875" style="432" customWidth="1"/>
    <col min="7" max="7" width="11.5703125" style="432" customWidth="1"/>
    <col min="8" max="8" width="5.5703125" style="432" customWidth="1"/>
    <col min="9" max="9" width="8.7109375" style="432" customWidth="1"/>
    <col min="10" max="10" width="4.28515625" style="432" customWidth="1"/>
    <col min="11" max="11" width="8.28515625" style="432" customWidth="1"/>
    <col min="12" max="12" width="4.85546875" style="432" hidden="1" customWidth="1"/>
    <col min="13" max="13" width="5.5703125" style="432" hidden="1" customWidth="1"/>
    <col min="14" max="14" width="4.85546875" style="432" customWidth="1"/>
    <col min="15" max="15" width="8.85546875" style="432" customWidth="1"/>
    <col min="16" max="16" width="4.7109375" style="432" customWidth="1"/>
    <col min="17" max="17" width="8.5703125" style="432" customWidth="1"/>
    <col min="18" max="18" width="5.7109375" style="432" hidden="1" customWidth="1"/>
    <col min="19" max="19" width="10.42578125" style="432" hidden="1" customWidth="1"/>
    <col min="20" max="20" width="5" style="432" hidden="1" customWidth="1"/>
    <col min="21" max="21" width="7.7109375" style="432" hidden="1" customWidth="1"/>
    <col min="22" max="22" width="5" style="432" customWidth="1"/>
    <col min="23" max="23" width="8" style="432" customWidth="1"/>
    <col min="24" max="24" width="8.28515625" style="432" customWidth="1"/>
    <col min="25" max="25" width="5.85546875" style="432" hidden="1" customWidth="1"/>
    <col min="26" max="26" width="4.7109375" style="432" hidden="1" customWidth="1"/>
    <col min="27" max="27" width="10.5703125" style="432" customWidth="1"/>
    <col min="28" max="28" width="6.85546875" style="432" hidden="1" customWidth="1"/>
    <col min="29" max="29" width="4.5703125" style="432" hidden="1" customWidth="1"/>
    <col min="30" max="30" width="12.140625" style="432" customWidth="1"/>
    <col min="31" max="31" width="13" style="432" customWidth="1"/>
    <col min="32" max="32" width="10" style="432" customWidth="1"/>
    <col min="33" max="33" width="8.5703125" style="432" hidden="1" customWidth="1"/>
    <col min="34" max="34" width="10.85546875" style="432" hidden="1" customWidth="1"/>
    <col min="35" max="35" width="11" style="432" customWidth="1"/>
    <col min="36" max="36" width="9" style="432" customWidth="1"/>
    <col min="37" max="37" width="8.85546875" style="432" customWidth="1"/>
    <col min="38" max="38" width="9.85546875" style="432" customWidth="1"/>
    <col min="39" max="39" width="9.42578125" style="432" customWidth="1"/>
    <col min="40" max="40" width="9" style="432" customWidth="1"/>
    <col min="41" max="41" width="9.28515625" style="432" customWidth="1"/>
    <col min="42" max="42" width="8.85546875" style="432" customWidth="1"/>
    <col min="43" max="43" width="8.5703125" style="432" customWidth="1"/>
    <col min="44" max="44" width="7.28515625" style="432" customWidth="1"/>
    <col min="45" max="45" width="9.28515625" style="432" customWidth="1"/>
    <col min="46" max="46" width="11.42578125" style="432" hidden="1" customWidth="1"/>
    <col min="47" max="48" width="7.5703125" style="432" hidden="1" customWidth="1"/>
    <col min="49" max="51" width="9.28515625" style="432" hidden="1" customWidth="1"/>
    <col min="52" max="52" width="13.85546875" style="432" customWidth="1"/>
    <col min="53" max="54" width="4.42578125" style="432" customWidth="1"/>
    <col min="55" max="55" width="9.28515625" style="432" customWidth="1"/>
    <col min="56" max="57" width="9.85546875" style="432" customWidth="1"/>
    <col min="58" max="58" width="10.85546875" style="432" customWidth="1"/>
    <col min="59" max="16384" width="9.140625" style="432"/>
  </cols>
  <sheetData>
    <row r="2" spans="1:58">
      <c r="A2" s="1409" t="s">
        <v>66</v>
      </c>
      <c r="B2" s="1409"/>
      <c r="C2" s="1409"/>
      <c r="D2" s="1409"/>
      <c r="E2" s="1409"/>
      <c r="F2" s="1409"/>
      <c r="G2" s="1409"/>
      <c r="H2" s="1409"/>
      <c r="I2" s="1409"/>
      <c r="J2" s="1409"/>
      <c r="K2" s="1409"/>
      <c r="L2" s="1409"/>
      <c r="M2" s="1409"/>
      <c r="N2" s="1409"/>
      <c r="O2" s="1409"/>
      <c r="P2" s="1409"/>
      <c r="Q2" s="1409"/>
      <c r="R2" s="1409"/>
      <c r="S2" s="1409"/>
      <c r="T2" s="1409"/>
      <c r="U2" s="1409"/>
      <c r="V2" s="1409"/>
      <c r="W2" s="1409"/>
      <c r="X2" s="1409"/>
      <c r="Y2" s="1409"/>
      <c r="Z2" s="1409"/>
      <c r="AA2" s="1409"/>
      <c r="AB2" s="1409"/>
      <c r="AC2" s="1409"/>
      <c r="AD2" s="1409"/>
      <c r="AE2" s="1409"/>
      <c r="AF2" s="1409"/>
      <c r="AG2" s="1409"/>
      <c r="AH2" s="1409"/>
      <c r="AI2" s="1409"/>
      <c r="AJ2" s="1409"/>
      <c r="AK2" s="1409"/>
      <c r="AL2" s="1409"/>
      <c r="AM2" s="1409"/>
      <c r="AN2" s="1409"/>
      <c r="AO2" s="1409"/>
      <c r="AP2" s="1409"/>
      <c r="AQ2" s="1409"/>
      <c r="AR2" s="1409"/>
      <c r="AS2" s="1409"/>
      <c r="AT2" s="1409"/>
      <c r="AU2" s="1409"/>
      <c r="AV2" s="1409"/>
      <c r="AW2" s="1409"/>
      <c r="AX2" s="1409"/>
      <c r="AY2" s="1409"/>
      <c r="AZ2" s="1409"/>
      <c r="BA2" s="1409"/>
      <c r="BB2" s="1409"/>
    </row>
    <row r="3" spans="1:58">
      <c r="A3" s="433"/>
      <c r="B3" s="433"/>
      <c r="C3" s="433"/>
      <c r="D3" s="433"/>
      <c r="E3" s="433"/>
      <c r="F3" s="433"/>
      <c r="G3" s="433"/>
      <c r="H3" s="433"/>
      <c r="I3" s="433"/>
      <c r="J3" s="433"/>
      <c r="K3" s="433"/>
      <c r="L3" s="433"/>
      <c r="M3" s="433"/>
      <c r="N3" s="433"/>
      <c r="O3" s="433"/>
      <c r="P3" s="433"/>
      <c r="Q3" s="433"/>
      <c r="R3" s="433"/>
      <c r="S3" s="433"/>
      <c r="T3" s="433"/>
      <c r="U3" s="433"/>
      <c r="V3" s="433"/>
      <c r="W3" s="433"/>
      <c r="X3" s="433"/>
      <c r="Y3" s="433"/>
      <c r="Z3" s="433"/>
      <c r="AA3" s="433"/>
      <c r="AB3" s="433"/>
      <c r="AC3" s="433"/>
      <c r="AD3" s="433"/>
      <c r="AE3" s="433"/>
      <c r="AF3" s="433"/>
      <c r="AG3" s="433"/>
      <c r="AH3" s="433"/>
      <c r="AI3" s="433"/>
      <c r="AJ3" s="433"/>
      <c r="AK3" s="433"/>
      <c r="AL3" s="433"/>
      <c r="AM3" s="433"/>
      <c r="AN3" s="433"/>
      <c r="AO3" s="433"/>
      <c r="AP3" s="433"/>
      <c r="AQ3" s="433"/>
      <c r="AR3" s="433"/>
      <c r="AS3" s="433"/>
      <c r="AT3" s="433"/>
      <c r="AU3" s="433"/>
      <c r="AV3" s="433"/>
      <c r="AW3" s="433"/>
      <c r="AX3" s="433"/>
      <c r="AY3" s="622"/>
      <c r="AZ3" s="434"/>
      <c r="BA3" s="434"/>
      <c r="BB3" s="433"/>
    </row>
    <row r="4" spans="1:58">
      <c r="A4" s="1410" t="s">
        <v>191</v>
      </c>
      <c r="B4" s="1410"/>
      <c r="C4" s="1410"/>
      <c r="D4" s="1410"/>
      <c r="E4" s="1410"/>
      <c r="F4" s="1410"/>
      <c r="G4" s="1410"/>
      <c r="H4" s="1410"/>
      <c r="I4" s="1410"/>
      <c r="J4" s="1410"/>
      <c r="K4" s="1410"/>
      <c r="L4" s="1410"/>
      <c r="M4" s="1410"/>
      <c r="N4" s="1410"/>
      <c r="O4" s="1410"/>
      <c r="P4" s="1410"/>
      <c r="Q4" s="1410"/>
      <c r="R4" s="1410"/>
      <c r="S4" s="1410"/>
      <c r="T4" s="1410"/>
      <c r="U4" s="1410"/>
      <c r="V4" s="1410"/>
      <c r="W4" s="1410"/>
      <c r="X4" s="1410"/>
      <c r="Y4" s="1410"/>
      <c r="Z4" s="1410"/>
      <c r="AA4" s="1410"/>
      <c r="AB4" s="1410"/>
      <c r="AC4" s="1410"/>
      <c r="AD4" s="1410"/>
      <c r="AE4" s="1410"/>
      <c r="AF4" s="1410"/>
      <c r="AG4" s="1410"/>
      <c r="AH4" s="1410"/>
      <c r="AI4" s="1410"/>
      <c r="AJ4" s="1410"/>
      <c r="AK4" s="1410"/>
      <c r="AL4" s="1410"/>
      <c r="AM4" s="1410"/>
      <c r="AN4" s="1410"/>
      <c r="AO4" s="1410"/>
      <c r="AP4" s="1410"/>
      <c r="AQ4" s="1410"/>
      <c r="AR4" s="1410"/>
      <c r="AS4" s="1410"/>
      <c r="AT4" s="1410"/>
      <c r="AU4" s="1410"/>
      <c r="AV4" s="1410"/>
      <c r="AW4" s="1410"/>
      <c r="AX4" s="1410"/>
      <c r="AY4" s="1410"/>
      <c r="AZ4" s="1410"/>
      <c r="BA4" s="1410"/>
      <c r="BB4" s="1410"/>
    </row>
    <row r="5" spans="1:58">
      <c r="A5" s="435" t="s">
        <v>192</v>
      </c>
      <c r="B5" s="435"/>
      <c r="C5" s="435"/>
      <c r="D5" s="1411" t="s">
        <v>416</v>
      </c>
      <c r="E5" s="1412"/>
      <c r="F5" s="436"/>
      <c r="G5" s="436"/>
      <c r="H5" s="436"/>
      <c r="I5" s="436"/>
      <c r="J5" s="436"/>
      <c r="K5" s="436"/>
      <c r="L5" s="436"/>
      <c r="M5" s="436"/>
      <c r="N5" s="436"/>
      <c r="O5" s="436"/>
      <c r="P5" s="436"/>
      <c r="Q5" s="436"/>
      <c r="R5" s="436"/>
      <c r="S5" s="436"/>
      <c r="T5" s="436"/>
      <c r="U5" s="436"/>
      <c r="V5" s="436"/>
      <c r="W5" s="436"/>
      <c r="X5" s="436"/>
      <c r="Y5" s="436"/>
      <c r="Z5" s="436"/>
      <c r="AA5" s="436"/>
      <c r="AB5" s="436"/>
      <c r="AC5" s="436"/>
      <c r="AD5" s="1413" t="s">
        <v>120</v>
      </c>
      <c r="AE5" s="1413"/>
      <c r="AF5" s="436"/>
      <c r="AG5" s="436"/>
      <c r="AH5" s="436"/>
      <c r="AI5" s="437" t="s">
        <v>121</v>
      </c>
      <c r="AJ5" s="436"/>
      <c r="AK5" s="436" t="s">
        <v>208</v>
      </c>
      <c r="AL5" s="437" t="s">
        <v>209</v>
      </c>
      <c r="AM5" s="437"/>
      <c r="AN5" s="437"/>
      <c r="AO5" s="437"/>
      <c r="AP5" s="437"/>
      <c r="AQ5" s="437"/>
      <c r="AR5" s="438" t="s">
        <v>210</v>
      </c>
      <c r="AS5" s="438"/>
      <c r="AT5" s="438"/>
      <c r="AU5" s="438"/>
      <c r="AV5" s="438"/>
      <c r="AW5" s="438"/>
      <c r="AX5" s="438"/>
      <c r="AY5" s="438"/>
      <c r="AZ5" s="436"/>
      <c r="BA5" s="436"/>
      <c r="BB5" s="436"/>
    </row>
    <row r="6" spans="1:58" ht="13.5" thickBot="1">
      <c r="A6" s="436"/>
      <c r="B6" s="436"/>
      <c r="C6" s="436"/>
      <c r="D6" s="434"/>
      <c r="E6" s="434"/>
      <c r="F6" s="434"/>
      <c r="G6" s="434"/>
      <c r="H6" s="434"/>
      <c r="I6" s="434"/>
      <c r="J6" s="434"/>
      <c r="K6" s="434"/>
      <c r="L6" s="434"/>
      <c r="M6" s="434"/>
      <c r="N6" s="434"/>
      <c r="O6" s="434"/>
      <c r="P6" s="436"/>
      <c r="Q6" s="434"/>
      <c r="R6" s="434"/>
      <c r="S6" s="434"/>
      <c r="T6" s="434"/>
      <c r="U6" s="434"/>
      <c r="V6" s="434"/>
      <c r="W6" s="434"/>
      <c r="X6" s="434"/>
      <c r="Y6" s="434"/>
      <c r="Z6" s="434"/>
      <c r="AA6" s="434"/>
      <c r="AB6" s="434"/>
      <c r="AC6" s="434"/>
      <c r="AD6" s="434"/>
      <c r="AE6" s="434"/>
      <c r="AF6" s="434"/>
      <c r="AG6" s="434"/>
      <c r="AH6" s="434"/>
      <c r="AI6" s="434"/>
      <c r="AJ6" s="436"/>
      <c r="AK6" s="436"/>
      <c r="AL6" s="436"/>
      <c r="AM6" s="436"/>
      <c r="AN6" s="436"/>
      <c r="AO6" s="436"/>
      <c r="AP6" s="436"/>
      <c r="AQ6" s="436"/>
      <c r="AR6" s="436"/>
      <c r="AS6" s="436"/>
      <c r="AT6" s="436"/>
      <c r="AU6" s="436"/>
      <c r="AV6" s="436"/>
      <c r="AW6" s="436"/>
      <c r="AX6" s="436"/>
      <c r="AY6" s="623"/>
      <c r="AZ6" s="436"/>
      <c r="BA6" s="436"/>
      <c r="BB6" s="436"/>
    </row>
    <row r="7" spans="1:58" s="446" customFormat="1" ht="12">
      <c r="A7" s="439"/>
      <c r="B7" s="440"/>
      <c r="C7" s="440"/>
      <c r="D7" s="440"/>
      <c r="E7" s="440"/>
      <c r="F7" s="440"/>
      <c r="G7" s="441"/>
      <c r="H7" s="1414" t="s">
        <v>124</v>
      </c>
      <c r="I7" s="1415"/>
      <c r="J7" s="1415"/>
      <c r="K7" s="1415"/>
      <c r="L7" s="1415"/>
      <c r="M7" s="1415"/>
      <c r="N7" s="1415"/>
      <c r="O7" s="1415"/>
      <c r="P7" s="1415"/>
      <c r="Q7" s="1415"/>
      <c r="R7" s="1415"/>
      <c r="S7" s="1415"/>
      <c r="T7" s="1415"/>
      <c r="U7" s="1416"/>
      <c r="V7" s="442"/>
      <c r="W7" s="1417" t="s">
        <v>125</v>
      </c>
      <c r="X7" s="1417"/>
      <c r="Y7" s="1417"/>
      <c r="Z7" s="1417"/>
      <c r="AA7" s="1417"/>
      <c r="AB7" s="1417"/>
      <c r="AC7" s="1417"/>
      <c r="AD7" s="1417"/>
      <c r="AE7" s="1418" t="s">
        <v>97</v>
      </c>
      <c r="AF7" s="1418" t="s">
        <v>23</v>
      </c>
      <c r="AG7" s="1420"/>
      <c r="AH7" s="443"/>
      <c r="AI7" s="444" t="s">
        <v>126</v>
      </c>
      <c r="AJ7" s="1423" t="s">
        <v>127</v>
      </c>
      <c r="AK7" s="1424"/>
      <c r="AL7" s="1425"/>
      <c r="AM7" s="1427" t="s">
        <v>128</v>
      </c>
      <c r="AN7" s="1428"/>
      <c r="AO7" s="1428"/>
      <c r="AP7" s="1428"/>
      <c r="AQ7" s="1429"/>
      <c r="AR7" s="440"/>
      <c r="AS7" s="440"/>
      <c r="AT7" s="365"/>
      <c r="AU7" s="1420"/>
      <c r="AV7" s="445"/>
      <c r="AW7" s="445"/>
      <c r="AX7" s="445"/>
      <c r="AY7" s="445"/>
      <c r="AZ7" s="440" t="s">
        <v>126</v>
      </c>
      <c r="BA7" s="1423" t="s">
        <v>130</v>
      </c>
      <c r="BB7" s="1433"/>
    </row>
    <row r="8" spans="1:58" s="446" customFormat="1" ht="13.5" customHeight="1">
      <c r="A8" s="447" t="s">
        <v>132</v>
      </c>
      <c r="B8" s="448" t="s">
        <v>40</v>
      </c>
      <c r="C8" s="448" t="s">
        <v>133</v>
      </c>
      <c r="D8" s="448" t="s">
        <v>81</v>
      </c>
      <c r="E8" s="448" t="s">
        <v>134</v>
      </c>
      <c r="F8" s="448" t="s">
        <v>135</v>
      </c>
      <c r="G8" s="448" t="s">
        <v>135</v>
      </c>
      <c r="H8" s="1404" t="s">
        <v>136</v>
      </c>
      <c r="I8" s="1405"/>
      <c r="J8" s="1404" t="s">
        <v>137</v>
      </c>
      <c r="K8" s="1405"/>
      <c r="L8" s="1404" t="s">
        <v>47</v>
      </c>
      <c r="M8" s="1405"/>
      <c r="N8" s="1404" t="s">
        <v>138</v>
      </c>
      <c r="O8" s="1405"/>
      <c r="P8" s="1404" t="s">
        <v>139</v>
      </c>
      <c r="Q8" s="1405"/>
      <c r="R8" s="1404" t="s">
        <v>140</v>
      </c>
      <c r="S8" s="1405"/>
      <c r="T8" s="1404" t="s">
        <v>51</v>
      </c>
      <c r="U8" s="1405"/>
      <c r="V8" s="449" t="s">
        <v>43</v>
      </c>
      <c r="W8" s="1406" t="s">
        <v>141</v>
      </c>
      <c r="X8" s="1406"/>
      <c r="Y8" s="1406" t="s">
        <v>142</v>
      </c>
      <c r="Z8" s="1406"/>
      <c r="AA8" s="1406"/>
      <c r="AB8" s="1406" t="s">
        <v>143</v>
      </c>
      <c r="AC8" s="1406"/>
      <c r="AD8" s="1406"/>
      <c r="AE8" s="1419"/>
      <c r="AF8" s="1419"/>
      <c r="AG8" s="1421"/>
      <c r="AH8" s="1407" t="s">
        <v>198</v>
      </c>
      <c r="AI8" s="450" t="s">
        <v>135</v>
      </c>
      <c r="AJ8" s="1404"/>
      <c r="AK8" s="1426"/>
      <c r="AL8" s="1405"/>
      <c r="AM8" s="1430"/>
      <c r="AN8" s="1431"/>
      <c r="AO8" s="1431"/>
      <c r="AP8" s="1431"/>
      <c r="AQ8" s="1432"/>
      <c r="AR8" s="448" t="s">
        <v>145</v>
      </c>
      <c r="AS8" s="448" t="s">
        <v>146</v>
      </c>
      <c r="AT8" s="372" t="s">
        <v>211</v>
      </c>
      <c r="AU8" s="1421"/>
      <c r="AV8" s="451"/>
      <c r="AW8" s="1436" t="s">
        <v>198</v>
      </c>
      <c r="AX8" s="1351" t="s">
        <v>148</v>
      </c>
      <c r="AY8" s="1390" t="s">
        <v>323</v>
      </c>
      <c r="AZ8" s="448" t="s">
        <v>135</v>
      </c>
      <c r="BA8" s="1434"/>
      <c r="BB8" s="1435"/>
    </row>
    <row r="9" spans="1:58" s="446" customFormat="1" ht="45">
      <c r="A9" s="447" t="s">
        <v>150</v>
      </c>
      <c r="B9" s="448" t="s">
        <v>151</v>
      </c>
      <c r="C9" s="448"/>
      <c r="D9" s="448" t="s">
        <v>152</v>
      </c>
      <c r="E9" s="448" t="s">
        <v>153</v>
      </c>
      <c r="F9" s="448" t="s">
        <v>154</v>
      </c>
      <c r="G9" s="448" t="s">
        <v>155</v>
      </c>
      <c r="H9" s="1437" t="s">
        <v>126</v>
      </c>
      <c r="I9" s="1438"/>
      <c r="J9" s="1437" t="s">
        <v>126</v>
      </c>
      <c r="K9" s="1438"/>
      <c r="L9" s="1437" t="s">
        <v>126</v>
      </c>
      <c r="M9" s="1438"/>
      <c r="N9" s="1437" t="s">
        <v>126</v>
      </c>
      <c r="O9" s="1438"/>
      <c r="P9" s="1437" t="s">
        <v>126</v>
      </c>
      <c r="Q9" s="1438"/>
      <c r="R9" s="1437" t="s">
        <v>126</v>
      </c>
      <c r="S9" s="1438"/>
      <c r="T9" s="1437" t="s">
        <v>126</v>
      </c>
      <c r="U9" s="1438"/>
      <c r="V9" s="449" t="s">
        <v>26</v>
      </c>
      <c r="W9" s="450" t="s">
        <v>156</v>
      </c>
      <c r="X9" s="452" t="s">
        <v>157</v>
      </c>
      <c r="Y9" s="450" t="s">
        <v>156</v>
      </c>
      <c r="Z9" s="1406" t="s">
        <v>126</v>
      </c>
      <c r="AA9" s="1406"/>
      <c r="AB9" s="450" t="s">
        <v>156</v>
      </c>
      <c r="AC9" s="1406" t="s">
        <v>126</v>
      </c>
      <c r="AD9" s="1406"/>
      <c r="AE9" s="1419"/>
      <c r="AF9" s="1419"/>
      <c r="AG9" s="1421"/>
      <c r="AH9" s="1408"/>
      <c r="AI9" s="450" t="s">
        <v>160</v>
      </c>
      <c r="AJ9" s="448" t="s">
        <v>161</v>
      </c>
      <c r="AK9" s="448" t="s">
        <v>162</v>
      </c>
      <c r="AL9" s="448" t="s">
        <v>126</v>
      </c>
      <c r="AM9" s="453" t="s">
        <v>163</v>
      </c>
      <c r="AN9" s="454" t="s">
        <v>164</v>
      </c>
      <c r="AO9" s="454" t="s">
        <v>165</v>
      </c>
      <c r="AP9" s="454" t="s">
        <v>166</v>
      </c>
      <c r="AQ9" s="455" t="s">
        <v>126</v>
      </c>
      <c r="AR9" s="448" t="s">
        <v>167</v>
      </c>
      <c r="AS9" s="456">
        <v>0.05</v>
      </c>
      <c r="AT9" s="235" t="s">
        <v>212</v>
      </c>
      <c r="AU9" s="1421"/>
      <c r="AV9" s="451"/>
      <c r="AW9" s="1436"/>
      <c r="AX9" s="1351"/>
      <c r="AY9" s="1391"/>
      <c r="AZ9" s="448" t="s">
        <v>170</v>
      </c>
      <c r="BA9" s="1434"/>
      <c r="BB9" s="1435"/>
    </row>
    <row r="10" spans="1:58" s="446" customFormat="1" ht="13.5" thickBot="1">
      <c r="A10" s="457"/>
      <c r="B10" s="458" t="s">
        <v>152</v>
      </c>
      <c r="C10" s="458"/>
      <c r="D10" s="458"/>
      <c r="E10" s="458"/>
      <c r="F10" s="458" t="s">
        <v>172</v>
      </c>
      <c r="G10" s="458" t="s">
        <v>172</v>
      </c>
      <c r="H10" s="459" t="s">
        <v>173</v>
      </c>
      <c r="I10" s="460" t="s">
        <v>172</v>
      </c>
      <c r="J10" s="459" t="s">
        <v>173</v>
      </c>
      <c r="K10" s="460" t="s">
        <v>172</v>
      </c>
      <c r="L10" s="459" t="s">
        <v>134</v>
      </c>
      <c r="M10" s="460" t="s">
        <v>172</v>
      </c>
      <c r="N10" s="459" t="s">
        <v>173</v>
      </c>
      <c r="O10" s="460" t="s">
        <v>172</v>
      </c>
      <c r="P10" s="459" t="s">
        <v>173</v>
      </c>
      <c r="Q10" s="460" t="s">
        <v>172</v>
      </c>
      <c r="R10" s="459" t="s">
        <v>134</v>
      </c>
      <c r="S10" s="460" t="s">
        <v>172</v>
      </c>
      <c r="T10" s="459" t="s">
        <v>134</v>
      </c>
      <c r="U10" s="460" t="s">
        <v>172</v>
      </c>
      <c r="V10" s="461"/>
      <c r="W10" s="462" t="s">
        <v>26</v>
      </c>
      <c r="X10" s="462" t="s">
        <v>172</v>
      </c>
      <c r="Y10" s="459" t="s">
        <v>26</v>
      </c>
      <c r="Z10" s="459" t="s">
        <v>26</v>
      </c>
      <c r="AA10" s="459" t="s">
        <v>172</v>
      </c>
      <c r="AB10" s="459" t="s">
        <v>45</v>
      </c>
      <c r="AC10" s="459" t="s">
        <v>45</v>
      </c>
      <c r="AD10" s="459" t="s">
        <v>172</v>
      </c>
      <c r="AE10" s="462" t="s">
        <v>172</v>
      </c>
      <c r="AF10" s="462" t="s">
        <v>172</v>
      </c>
      <c r="AG10" s="1422"/>
      <c r="AH10" s="463"/>
      <c r="AI10" s="462" t="s">
        <v>172</v>
      </c>
      <c r="AJ10" s="458" t="s">
        <v>172</v>
      </c>
      <c r="AK10" s="458" t="s">
        <v>172</v>
      </c>
      <c r="AL10" s="458" t="s">
        <v>172</v>
      </c>
      <c r="AM10" s="464" t="s">
        <v>172</v>
      </c>
      <c r="AN10" s="464" t="s">
        <v>172</v>
      </c>
      <c r="AO10" s="464" t="s">
        <v>172</v>
      </c>
      <c r="AP10" s="464" t="s">
        <v>172</v>
      </c>
      <c r="AQ10" s="464" t="s">
        <v>172</v>
      </c>
      <c r="AR10" s="458"/>
      <c r="AS10" s="458"/>
      <c r="AT10" s="465"/>
      <c r="AU10" s="1422"/>
      <c r="AV10" s="466"/>
      <c r="AW10" s="467"/>
      <c r="AX10" s="467"/>
      <c r="AY10" s="638"/>
      <c r="AZ10" s="462" t="s">
        <v>172</v>
      </c>
      <c r="BA10" s="462" t="s">
        <v>19</v>
      </c>
      <c r="BB10" s="468" t="s">
        <v>15</v>
      </c>
    </row>
    <row r="11" spans="1:58" s="294" customFormat="1" ht="45.75" customHeight="1">
      <c r="A11" s="469">
        <v>1</v>
      </c>
      <c r="B11" s="470" t="s">
        <v>213</v>
      </c>
      <c r="C11" s="470" t="s">
        <v>175</v>
      </c>
      <c r="D11" s="471" t="s">
        <v>214</v>
      </c>
      <c r="E11" s="418">
        <v>25</v>
      </c>
      <c r="F11" s="418">
        <v>134500</v>
      </c>
      <c r="G11" s="418">
        <f t="shared" ref="G11:G14" si="0">E11*F11</f>
        <v>3362500</v>
      </c>
      <c r="H11" s="418"/>
      <c r="I11" s="418">
        <f t="shared" ref="I11:I14" si="1">SUM(H11*F11)</f>
        <v>0</v>
      </c>
      <c r="J11" s="418"/>
      <c r="K11" s="418">
        <f t="shared" ref="K11:K14" si="2">F11*J11</f>
        <v>0</v>
      </c>
      <c r="L11" s="472"/>
      <c r="M11" s="418"/>
      <c r="N11" s="418">
        <v>4</v>
      </c>
      <c r="O11" s="418">
        <f t="shared" ref="O11:O14" si="3">SUM(N11*F11)</f>
        <v>538000</v>
      </c>
      <c r="P11" s="418">
        <v>2</v>
      </c>
      <c r="Q11" s="418">
        <f t="shared" ref="Q11:Q14" si="4">SUM(P11*F11)</f>
        <v>269000</v>
      </c>
      <c r="R11" s="418"/>
      <c r="S11" s="418">
        <f t="shared" ref="S11:S14" si="5">SUM(R11*F11)</f>
        <v>0</v>
      </c>
      <c r="T11" s="418"/>
      <c r="U11" s="418">
        <f t="shared" ref="U11:U14" si="6">SUM(T11*F11)</f>
        <v>0</v>
      </c>
      <c r="V11" s="472">
        <f t="shared" ref="V11:V14" si="7">SUM(T11+R11+P11+N11+L11+J11+H11+E11)</f>
        <v>31</v>
      </c>
      <c r="W11" s="418">
        <v>4200</v>
      </c>
      <c r="X11" s="418">
        <f t="shared" ref="X11:X14" si="8">SUM(W11*V11)</f>
        <v>130200</v>
      </c>
      <c r="Y11" s="418">
        <v>3500</v>
      </c>
      <c r="Z11" s="418">
        <f t="shared" ref="Z11:Z14" si="9">E11</f>
        <v>25</v>
      </c>
      <c r="AA11" s="418">
        <f t="shared" ref="AA11:AA14" si="10">SUM(Z11*Y11)</f>
        <v>87500</v>
      </c>
      <c r="AB11" s="418">
        <v>2500</v>
      </c>
      <c r="AC11" s="418">
        <v>20</v>
      </c>
      <c r="AD11" s="403">
        <v>92500</v>
      </c>
      <c r="AE11" s="418">
        <v>1492716.8</v>
      </c>
      <c r="AF11" s="403">
        <f>1449915+879601</f>
        <v>2329516</v>
      </c>
      <c r="AG11" s="418"/>
      <c r="AH11" s="418"/>
      <c r="AI11" s="418">
        <f>G11+I11+K11+M11+O11+Q11+S11+U11+X11+AA11+AD11+AE11+AF11+AG11+AH11</f>
        <v>8301932.7999999998</v>
      </c>
      <c r="AJ11" s="250">
        <f>(4035000+AD11)*0.02</f>
        <v>82550</v>
      </c>
      <c r="AK11" s="250">
        <f>(4035000+AD11)*3.7%</f>
        <v>152717.50000000003</v>
      </c>
      <c r="AL11" s="473">
        <f>SUM(AK11+AJ11)</f>
        <v>235267.50000000003</v>
      </c>
      <c r="AM11" s="250">
        <f>(4035000+AD11)*1%</f>
        <v>41275</v>
      </c>
      <c r="AN11" s="250">
        <f>(4035000+AD11)*4%</f>
        <v>165100</v>
      </c>
      <c r="AO11" s="250">
        <f>(4035000+AD11)*1%</f>
        <v>41275</v>
      </c>
      <c r="AP11" s="250">
        <f>(4035000+AD11)*2%</f>
        <v>82550</v>
      </c>
      <c r="AQ11" s="474">
        <f t="shared" ref="AQ11:AQ14" si="11">AM11+AN11+AO11+AP11</f>
        <v>330200</v>
      </c>
      <c r="AR11" s="418">
        <v>4000</v>
      </c>
      <c r="AS11" s="403">
        <f>PAJAK!AK35</f>
        <v>85017</v>
      </c>
      <c r="AT11" s="418"/>
      <c r="AU11" s="418"/>
      <c r="AV11" s="418"/>
      <c r="AW11" s="418">
        <f>AH11</f>
        <v>0</v>
      </c>
      <c r="AX11" s="418"/>
      <c r="AY11" s="639"/>
      <c r="AZ11" s="418">
        <f>AI11-AJ11-AM11-AO11-AR11-AS11-AU11-AT11-AW11+AX11-AY11</f>
        <v>8047815.7999999998</v>
      </c>
      <c r="BA11" s="475"/>
      <c r="BB11" s="476"/>
      <c r="BD11" s="294">
        <f>BA11+BB11</f>
        <v>0</v>
      </c>
      <c r="BE11" s="294">
        <f>-F11*BD11</f>
        <v>0</v>
      </c>
      <c r="BF11" s="294">
        <f>X11+AA11+AD11+AE11+AF11</f>
        <v>4132432.8</v>
      </c>
    </row>
    <row r="12" spans="1:58" s="294" customFormat="1" ht="45.75" customHeight="1">
      <c r="A12" s="469">
        <v>2</v>
      </c>
      <c r="B12" s="418" t="s">
        <v>215</v>
      </c>
      <c r="C12" s="470" t="s">
        <v>175</v>
      </c>
      <c r="D12" s="471" t="s">
        <v>216</v>
      </c>
      <c r="E12" s="418">
        <v>24</v>
      </c>
      <c r="F12" s="418">
        <v>134500</v>
      </c>
      <c r="G12" s="418">
        <f t="shared" si="0"/>
        <v>3228000</v>
      </c>
      <c r="H12" s="418">
        <v>1</v>
      </c>
      <c r="I12" s="418">
        <f t="shared" si="1"/>
        <v>134500</v>
      </c>
      <c r="J12" s="418"/>
      <c r="K12" s="418">
        <f t="shared" si="2"/>
        <v>0</v>
      </c>
      <c r="L12" s="472"/>
      <c r="M12" s="418"/>
      <c r="N12" s="418">
        <v>4</v>
      </c>
      <c r="O12" s="418">
        <f t="shared" si="3"/>
        <v>538000</v>
      </c>
      <c r="P12" s="418">
        <v>2</v>
      </c>
      <c r="Q12" s="418">
        <f t="shared" si="4"/>
        <v>269000</v>
      </c>
      <c r="R12" s="418"/>
      <c r="S12" s="418">
        <f t="shared" si="5"/>
        <v>0</v>
      </c>
      <c r="T12" s="418"/>
      <c r="U12" s="418">
        <f t="shared" si="6"/>
        <v>0</v>
      </c>
      <c r="V12" s="472">
        <f t="shared" si="7"/>
        <v>31</v>
      </c>
      <c r="W12" s="418">
        <v>4200</v>
      </c>
      <c r="X12" s="418">
        <f t="shared" si="8"/>
        <v>130200</v>
      </c>
      <c r="Y12" s="418">
        <v>2500</v>
      </c>
      <c r="Z12" s="418">
        <f t="shared" si="9"/>
        <v>24</v>
      </c>
      <c r="AA12" s="418">
        <f t="shared" si="10"/>
        <v>60000</v>
      </c>
      <c r="AB12" s="418">
        <v>2500</v>
      </c>
      <c r="AC12" s="418">
        <v>7</v>
      </c>
      <c r="AD12" s="403">
        <v>33000</v>
      </c>
      <c r="AE12" s="418">
        <v>1586011.6</v>
      </c>
      <c r="AF12" s="403">
        <f>1449915+714632</f>
        <v>2164547</v>
      </c>
      <c r="AG12" s="418"/>
      <c r="AH12" s="418"/>
      <c r="AI12" s="418">
        <f>G12+I12+K12+M12+O12+Q12+S12+U12+X12+AA12+AD12+AE12+AF12+AG12+AH12</f>
        <v>8143258.5999999996</v>
      </c>
      <c r="AJ12" s="250">
        <f t="shared" ref="AJ12:AJ14" si="12">(4035000+AD12)*0.02</f>
        <v>81360</v>
      </c>
      <c r="AK12" s="250">
        <f t="shared" ref="AK12:AK14" si="13">(4035000+AD12)*3.7%</f>
        <v>150516.00000000003</v>
      </c>
      <c r="AL12" s="473">
        <f t="shared" ref="AL12:AL14" si="14">SUM(AK12+AJ12)</f>
        <v>231876.00000000003</v>
      </c>
      <c r="AM12" s="250">
        <f t="shared" ref="AM12:AM14" si="15">(4035000+AD12)*1%</f>
        <v>40680</v>
      </c>
      <c r="AN12" s="250">
        <f t="shared" ref="AN12:AN14" si="16">(4035000+AD12)*4%</f>
        <v>162720</v>
      </c>
      <c r="AO12" s="250">
        <f t="shared" ref="AO12:AO14" si="17">(4035000+AD12)*1%</f>
        <v>40680</v>
      </c>
      <c r="AP12" s="250">
        <f t="shared" ref="AP12:AP14" si="18">(4035000+AD12)*2%</f>
        <v>81360</v>
      </c>
      <c r="AQ12" s="424">
        <f t="shared" si="11"/>
        <v>325440</v>
      </c>
      <c r="AR12" s="418">
        <v>4000</v>
      </c>
      <c r="AS12" s="403">
        <f>PAJAK!AK36</f>
        <v>83402</v>
      </c>
      <c r="AT12" s="418"/>
      <c r="AU12" s="418"/>
      <c r="AV12" s="418"/>
      <c r="AW12" s="418">
        <f>AH12</f>
        <v>0</v>
      </c>
      <c r="AX12" s="418"/>
      <c r="AY12" s="639"/>
      <c r="AZ12" s="418">
        <f>AI12-AJ12-AM12-AO12-AR12-AS12-AU12-AT12-AW12+AX12</f>
        <v>7893136.5999999996</v>
      </c>
      <c r="BA12" s="475"/>
      <c r="BB12" s="476"/>
      <c r="BD12" s="294">
        <f t="shared" ref="BD12:BD15" si="19">BA12+BB12</f>
        <v>0</v>
      </c>
      <c r="BE12" s="294">
        <f t="shared" ref="BE12:BE14" si="20">-F12*BD12</f>
        <v>0</v>
      </c>
      <c r="BF12" s="926">
        <f t="shared" ref="BF12:BF15" si="21">X12+AA12+AD12+AE12+AF12</f>
        <v>3973758.6</v>
      </c>
    </row>
    <row r="13" spans="1:58" s="294" customFormat="1" ht="45.75" customHeight="1">
      <c r="A13" s="469">
        <v>3</v>
      </c>
      <c r="B13" s="470" t="s">
        <v>217</v>
      </c>
      <c r="C13" s="470" t="s">
        <v>175</v>
      </c>
      <c r="D13" s="471" t="s">
        <v>218</v>
      </c>
      <c r="E13" s="470">
        <v>24</v>
      </c>
      <c r="F13" s="418">
        <v>134500</v>
      </c>
      <c r="G13" s="418">
        <f t="shared" si="0"/>
        <v>3228000</v>
      </c>
      <c r="H13" s="470">
        <v>1</v>
      </c>
      <c r="I13" s="418">
        <f t="shared" si="1"/>
        <v>134500</v>
      </c>
      <c r="J13" s="470"/>
      <c r="K13" s="418">
        <f t="shared" si="2"/>
        <v>0</v>
      </c>
      <c r="L13" s="472"/>
      <c r="M13" s="470"/>
      <c r="N13" s="418">
        <v>4</v>
      </c>
      <c r="O13" s="418">
        <f t="shared" si="3"/>
        <v>538000</v>
      </c>
      <c r="P13" s="418">
        <v>2</v>
      </c>
      <c r="Q13" s="418">
        <f t="shared" si="4"/>
        <v>269000</v>
      </c>
      <c r="R13" s="418"/>
      <c r="S13" s="418">
        <f t="shared" si="5"/>
        <v>0</v>
      </c>
      <c r="T13" s="418"/>
      <c r="U13" s="418">
        <f t="shared" si="6"/>
        <v>0</v>
      </c>
      <c r="V13" s="472">
        <f t="shared" si="7"/>
        <v>31</v>
      </c>
      <c r="W13" s="418">
        <v>4650</v>
      </c>
      <c r="X13" s="418">
        <f t="shared" si="8"/>
        <v>144150</v>
      </c>
      <c r="Y13" s="418">
        <v>3500</v>
      </c>
      <c r="Z13" s="418">
        <f t="shared" si="9"/>
        <v>24</v>
      </c>
      <c r="AA13" s="418">
        <f t="shared" si="10"/>
        <v>84000</v>
      </c>
      <c r="AB13" s="418">
        <v>2500</v>
      </c>
      <c r="AC13" s="418">
        <v>12</v>
      </c>
      <c r="AD13" s="403">
        <v>89000</v>
      </c>
      <c r="AE13" s="418">
        <v>1259479.8</v>
      </c>
      <c r="AF13" s="403">
        <f>929015+396505</f>
        <v>1325520</v>
      </c>
      <c r="AG13" s="418"/>
      <c r="AH13" s="418"/>
      <c r="AI13" s="418">
        <f>G13+I13+K13+M13+O13+Q13+S13+U13+X13+AA13+AD13+AE13+AF13+AG13+AH13</f>
        <v>7071649.7999999998</v>
      </c>
      <c r="AJ13" s="250">
        <f t="shared" si="12"/>
        <v>82480</v>
      </c>
      <c r="AK13" s="250">
        <f t="shared" si="13"/>
        <v>152588.00000000003</v>
      </c>
      <c r="AL13" s="473">
        <f t="shared" si="14"/>
        <v>235068.00000000003</v>
      </c>
      <c r="AM13" s="250">
        <f t="shared" si="15"/>
        <v>41240</v>
      </c>
      <c r="AN13" s="250">
        <f t="shared" si="16"/>
        <v>164960</v>
      </c>
      <c r="AO13" s="250">
        <f t="shared" si="17"/>
        <v>41240</v>
      </c>
      <c r="AP13" s="250">
        <f t="shared" si="18"/>
        <v>82480</v>
      </c>
      <c r="AQ13" s="424">
        <f t="shared" si="11"/>
        <v>329920</v>
      </c>
      <c r="AR13" s="418">
        <v>4000</v>
      </c>
      <c r="AS13" s="403">
        <f>PAJAK!AK37</f>
        <v>54534</v>
      </c>
      <c r="AT13" s="418"/>
      <c r="AU13" s="418"/>
      <c r="AV13" s="418"/>
      <c r="AW13" s="418">
        <f t="shared" ref="AW13:AW14" si="22">AH13</f>
        <v>0</v>
      </c>
      <c r="AX13" s="418"/>
      <c r="AY13" s="639"/>
      <c r="AZ13" s="418">
        <f t="shared" ref="AZ13:AZ14" si="23">AI13-AJ13-AM13-AO13-AR13-AS13-AU13-AT13-AW13+AX13</f>
        <v>6848155.7999999998</v>
      </c>
      <c r="BA13" s="475"/>
      <c r="BB13" s="476"/>
      <c r="BD13" s="294">
        <f t="shared" si="19"/>
        <v>0</v>
      </c>
      <c r="BE13" s="294">
        <f t="shared" si="20"/>
        <v>0</v>
      </c>
      <c r="BF13" s="926">
        <f t="shared" si="21"/>
        <v>2902149.8</v>
      </c>
    </row>
    <row r="14" spans="1:58" s="294" customFormat="1" ht="45.75" customHeight="1">
      <c r="A14" s="469">
        <v>4</v>
      </c>
      <c r="B14" s="470" t="s">
        <v>219</v>
      </c>
      <c r="C14" s="470" t="s">
        <v>175</v>
      </c>
      <c r="D14" s="471" t="s">
        <v>220</v>
      </c>
      <c r="E14" s="418">
        <v>25</v>
      </c>
      <c r="F14" s="418">
        <v>134500</v>
      </c>
      <c r="G14" s="418">
        <f t="shared" si="0"/>
        <v>3362500</v>
      </c>
      <c r="H14" s="418"/>
      <c r="I14" s="418">
        <f t="shared" si="1"/>
        <v>0</v>
      </c>
      <c r="J14" s="418"/>
      <c r="K14" s="418">
        <f t="shared" si="2"/>
        <v>0</v>
      </c>
      <c r="L14" s="472"/>
      <c r="M14" s="418"/>
      <c r="N14" s="418">
        <v>4</v>
      </c>
      <c r="O14" s="418">
        <f t="shared" si="3"/>
        <v>538000</v>
      </c>
      <c r="P14" s="418">
        <v>2</v>
      </c>
      <c r="Q14" s="418">
        <f t="shared" si="4"/>
        <v>269000</v>
      </c>
      <c r="R14" s="418"/>
      <c r="S14" s="418">
        <f t="shared" si="5"/>
        <v>0</v>
      </c>
      <c r="T14" s="418"/>
      <c r="U14" s="418">
        <f t="shared" si="6"/>
        <v>0</v>
      </c>
      <c r="V14" s="472">
        <f t="shared" si="7"/>
        <v>31</v>
      </c>
      <c r="W14" s="418">
        <v>5550</v>
      </c>
      <c r="X14" s="418">
        <f t="shared" si="8"/>
        <v>172050</v>
      </c>
      <c r="Y14" s="418">
        <v>2500</v>
      </c>
      <c r="Z14" s="418">
        <f t="shared" si="9"/>
        <v>25</v>
      </c>
      <c r="AA14" s="418">
        <f t="shared" si="10"/>
        <v>62500</v>
      </c>
      <c r="AB14" s="418">
        <v>2500</v>
      </c>
      <c r="AC14" s="418">
        <v>8</v>
      </c>
      <c r="AD14" s="1083">
        <v>96000</v>
      </c>
      <c r="AE14" s="418">
        <v>1294465.3500000001</v>
      </c>
      <c r="AF14" s="403">
        <f>1019470+435085</f>
        <v>1454555</v>
      </c>
      <c r="AG14" s="418"/>
      <c r="AH14" s="418"/>
      <c r="AI14" s="418">
        <f>G14+I14+K14+M14+O14+Q14+S14+U14+X14+AA14+AD14+AE14+AF14+AG14+AH14</f>
        <v>7249070.3499999996</v>
      </c>
      <c r="AJ14" s="858">
        <f t="shared" si="12"/>
        <v>82620</v>
      </c>
      <c r="AK14" s="858">
        <f t="shared" si="13"/>
        <v>152847.00000000003</v>
      </c>
      <c r="AL14" s="473">
        <f t="shared" si="14"/>
        <v>235467.00000000003</v>
      </c>
      <c r="AM14" s="858">
        <f t="shared" si="15"/>
        <v>41310</v>
      </c>
      <c r="AN14" s="858">
        <f t="shared" si="16"/>
        <v>165240</v>
      </c>
      <c r="AO14" s="858">
        <f t="shared" si="17"/>
        <v>41310</v>
      </c>
      <c r="AP14" s="858">
        <f t="shared" si="18"/>
        <v>82620</v>
      </c>
      <c r="AQ14" s="424">
        <f t="shared" si="11"/>
        <v>330480</v>
      </c>
      <c r="AR14" s="418">
        <v>4000</v>
      </c>
      <c r="AS14" s="403">
        <f>PAJAK!AK38</f>
        <v>74490</v>
      </c>
      <c r="AT14" s="418"/>
      <c r="AU14" s="418"/>
      <c r="AV14" s="418"/>
      <c r="AW14" s="418">
        <f t="shared" si="22"/>
        <v>0</v>
      </c>
      <c r="AX14" s="418"/>
      <c r="AY14" s="639"/>
      <c r="AZ14" s="418">
        <f t="shared" si="23"/>
        <v>7005340.3499999996</v>
      </c>
      <c r="BA14" s="475"/>
      <c r="BB14" s="476"/>
      <c r="BD14" s="294">
        <f t="shared" si="19"/>
        <v>0</v>
      </c>
      <c r="BE14" s="294">
        <f t="shared" si="20"/>
        <v>0</v>
      </c>
      <c r="BF14" s="926">
        <f t="shared" si="21"/>
        <v>3079570.35</v>
      </c>
    </row>
    <row r="15" spans="1:58" s="480" customFormat="1" ht="42" customHeight="1" thickBot="1">
      <c r="A15" s="477"/>
      <c r="B15" s="478"/>
      <c r="C15" s="478"/>
      <c r="D15" s="478" t="s">
        <v>221</v>
      </c>
      <c r="E15" s="478">
        <f>SUM(E11:E14)</f>
        <v>98</v>
      </c>
      <c r="F15" s="478">
        <f t="shared" ref="F15:V15" si="24">SUM(F11:F14)</f>
        <v>538000</v>
      </c>
      <c r="G15" s="478">
        <f t="shared" si="24"/>
        <v>13181000</v>
      </c>
      <c r="H15" s="478">
        <f t="shared" si="24"/>
        <v>2</v>
      </c>
      <c r="I15" s="478">
        <f t="shared" si="24"/>
        <v>269000</v>
      </c>
      <c r="J15" s="478">
        <f t="shared" si="24"/>
        <v>0</v>
      </c>
      <c r="K15" s="478">
        <f t="shared" si="24"/>
        <v>0</v>
      </c>
      <c r="L15" s="478">
        <f t="shared" si="24"/>
        <v>0</v>
      </c>
      <c r="M15" s="478">
        <f t="shared" si="24"/>
        <v>0</v>
      </c>
      <c r="N15" s="478">
        <f t="shared" si="24"/>
        <v>16</v>
      </c>
      <c r="O15" s="478">
        <f t="shared" si="24"/>
        <v>2152000</v>
      </c>
      <c r="P15" s="478">
        <f t="shared" si="24"/>
        <v>8</v>
      </c>
      <c r="Q15" s="478">
        <f t="shared" si="24"/>
        <v>1076000</v>
      </c>
      <c r="R15" s="478">
        <f t="shared" si="24"/>
        <v>0</v>
      </c>
      <c r="S15" s="478">
        <f t="shared" si="24"/>
        <v>0</v>
      </c>
      <c r="T15" s="478">
        <f t="shared" si="24"/>
        <v>0</v>
      </c>
      <c r="U15" s="478">
        <f t="shared" si="24"/>
        <v>0</v>
      </c>
      <c r="V15" s="478">
        <f t="shared" si="24"/>
        <v>124</v>
      </c>
      <c r="W15" s="478"/>
      <c r="X15" s="478">
        <f>SUM(X11:X14)</f>
        <v>576600</v>
      </c>
      <c r="Y15" s="478">
        <f>SUM(Y11:Y14)</f>
        <v>12000</v>
      </c>
      <c r="Z15" s="478">
        <f>SUM(Z11:Z14)</f>
        <v>98</v>
      </c>
      <c r="AA15" s="478">
        <f>SUM(AA11:AA14)</f>
        <v>294000</v>
      </c>
      <c r="AB15" s="478"/>
      <c r="AC15" s="478"/>
      <c r="AD15" s="478">
        <f t="shared" ref="AD15:BB15" si="25">SUM(AD11:AD14)</f>
        <v>310500</v>
      </c>
      <c r="AE15" s="478">
        <f t="shared" si="25"/>
        <v>5632673.5500000007</v>
      </c>
      <c r="AF15" s="478">
        <f>SUM(AF11:AF14)</f>
        <v>7274138</v>
      </c>
      <c r="AG15" s="478">
        <f t="shared" si="25"/>
        <v>0</v>
      </c>
      <c r="AH15" s="478">
        <f t="shared" si="25"/>
        <v>0</v>
      </c>
      <c r="AI15" s="478">
        <f t="shared" si="25"/>
        <v>30765911.549999997</v>
      </c>
      <c r="AJ15" s="478">
        <f t="shared" si="25"/>
        <v>329010</v>
      </c>
      <c r="AK15" s="478">
        <f t="shared" si="25"/>
        <v>608668.50000000012</v>
      </c>
      <c r="AL15" s="478">
        <f t="shared" si="25"/>
        <v>937678.50000000012</v>
      </c>
      <c r="AM15" s="478">
        <f t="shared" si="25"/>
        <v>164505</v>
      </c>
      <c r="AN15" s="478">
        <f t="shared" si="25"/>
        <v>658020</v>
      </c>
      <c r="AO15" s="478">
        <f t="shared" si="25"/>
        <v>164505</v>
      </c>
      <c r="AP15" s="478">
        <f t="shared" si="25"/>
        <v>329010</v>
      </c>
      <c r="AQ15" s="478">
        <f t="shared" si="25"/>
        <v>1316040</v>
      </c>
      <c r="AR15" s="478">
        <f t="shared" si="25"/>
        <v>16000</v>
      </c>
      <c r="AS15" s="478">
        <f t="shared" si="25"/>
        <v>297443</v>
      </c>
      <c r="AT15" s="478">
        <f t="shared" si="25"/>
        <v>0</v>
      </c>
      <c r="AU15" s="478">
        <f t="shared" si="25"/>
        <v>0</v>
      </c>
      <c r="AV15" s="478">
        <f t="shared" si="25"/>
        <v>0</v>
      </c>
      <c r="AW15" s="478">
        <f t="shared" si="25"/>
        <v>0</v>
      </c>
      <c r="AX15" s="478">
        <f t="shared" si="25"/>
        <v>0</v>
      </c>
      <c r="AY15" s="478">
        <f t="shared" si="25"/>
        <v>0</v>
      </c>
      <c r="AZ15" s="478">
        <f t="shared" si="25"/>
        <v>29794448.549999997</v>
      </c>
      <c r="BA15" s="478">
        <f t="shared" si="25"/>
        <v>0</v>
      </c>
      <c r="BB15" s="479">
        <f t="shared" si="25"/>
        <v>0</v>
      </c>
      <c r="BD15" s="294">
        <f t="shared" si="19"/>
        <v>0</v>
      </c>
      <c r="BE15" s="480">
        <f>SUM(BE11:BE14)</f>
        <v>0</v>
      </c>
      <c r="BF15" s="926">
        <f t="shared" si="21"/>
        <v>14087911.550000001</v>
      </c>
    </row>
    <row r="16" spans="1:58">
      <c r="A16" s="481"/>
      <c r="B16" s="481"/>
      <c r="C16" s="481"/>
      <c r="D16" s="481"/>
      <c r="E16" s="481" t="s">
        <v>222</v>
      </c>
      <c r="F16" s="481"/>
      <c r="G16" s="481"/>
      <c r="H16" s="481"/>
      <c r="I16" s="481"/>
      <c r="J16" s="481"/>
      <c r="K16" s="481"/>
      <c r="L16" s="481"/>
      <c r="M16" s="481"/>
      <c r="N16" s="481"/>
      <c r="O16" s="481"/>
      <c r="P16" s="481"/>
      <c r="Q16" s="481"/>
      <c r="R16" s="481"/>
      <c r="S16" s="481"/>
      <c r="T16" s="481"/>
      <c r="U16" s="481"/>
      <c r="V16" s="481"/>
      <c r="W16" s="481"/>
      <c r="X16" s="481"/>
      <c r="Y16" s="481"/>
      <c r="Z16" s="481"/>
      <c r="AA16" s="481"/>
      <c r="AB16" s="481"/>
      <c r="AC16" s="481"/>
      <c r="AD16" s="481"/>
      <c r="AE16" s="481"/>
      <c r="AF16" s="481"/>
      <c r="AG16" s="481"/>
      <c r="AH16" s="481"/>
      <c r="AI16" s="481"/>
      <c r="AJ16" s="481"/>
      <c r="AK16" s="481"/>
      <c r="AL16" s="481"/>
      <c r="AM16" s="481"/>
      <c r="AN16" s="481"/>
      <c r="AO16" s="481"/>
      <c r="AP16" s="481"/>
      <c r="AQ16" s="481"/>
      <c r="AR16" s="481"/>
      <c r="AS16" s="481"/>
      <c r="AT16" s="481"/>
      <c r="AU16" s="481"/>
      <c r="AV16" s="481"/>
      <c r="AW16" s="481"/>
      <c r="AX16" s="481"/>
      <c r="AY16" s="481"/>
      <c r="AZ16" s="481"/>
      <c r="BA16" s="481"/>
      <c r="BB16" s="481"/>
    </row>
    <row r="17" spans="1:54" s="620" customFormat="1" ht="30.75" customHeight="1">
      <c r="A17" s="289"/>
      <c r="B17" s="289"/>
      <c r="C17" s="289"/>
      <c r="D17" s="290" t="s">
        <v>178</v>
      </c>
      <c r="E17" s="289"/>
      <c r="F17" s="291"/>
      <c r="G17" s="289"/>
      <c r="H17" s="289"/>
      <c r="I17" s="1345" t="s">
        <v>179</v>
      </c>
      <c r="J17" s="1345"/>
      <c r="K17" s="1345"/>
      <c r="L17" s="1345"/>
      <c r="M17" s="1345"/>
      <c r="N17" s="289"/>
      <c r="O17" s="289"/>
      <c r="P17" s="289"/>
      <c r="Q17" s="1345"/>
      <c r="R17" s="1345"/>
      <c r="S17" s="1345"/>
      <c r="T17" s="1345"/>
      <c r="U17" s="1345"/>
      <c r="V17" s="1345"/>
      <c r="W17" s="1345"/>
      <c r="X17" s="1345"/>
      <c r="Y17" s="292"/>
      <c r="Z17" s="619"/>
      <c r="AA17" s="619"/>
      <c r="AB17" s="619"/>
      <c r="AC17" s="619"/>
      <c r="AD17" s="292"/>
      <c r="AE17" s="292"/>
      <c r="AF17" s="1345" t="s">
        <v>180</v>
      </c>
      <c r="AG17" s="1345"/>
      <c r="AH17" s="1345"/>
      <c r="AI17" s="1345"/>
      <c r="AJ17" s="1345"/>
      <c r="AK17" s="1345"/>
      <c r="AL17" s="1345"/>
      <c r="AN17" s="292"/>
      <c r="AO17" s="292"/>
      <c r="AP17" s="1345" t="s">
        <v>113</v>
      </c>
      <c r="AQ17" s="1345"/>
      <c r="AR17" s="1345"/>
      <c r="AS17" s="292"/>
      <c r="AT17" s="292"/>
      <c r="AU17" s="292"/>
      <c r="AV17" s="292"/>
      <c r="AW17" s="292"/>
      <c r="AX17" s="292"/>
      <c r="AY17" s="292"/>
      <c r="AZ17" s="619"/>
      <c r="BA17" s="619"/>
    </row>
    <row r="18" spans="1:54" s="620" customFormat="1">
      <c r="A18" s="289"/>
      <c r="B18" s="289"/>
      <c r="C18" s="289"/>
      <c r="D18" s="290"/>
      <c r="E18" s="289"/>
      <c r="F18" s="291"/>
      <c r="G18" s="289"/>
      <c r="H18" s="289"/>
      <c r="I18" s="289"/>
      <c r="J18" s="289"/>
      <c r="K18" s="618"/>
      <c r="L18" s="618"/>
      <c r="M18" s="618"/>
      <c r="N18" s="289"/>
      <c r="O18" s="289"/>
      <c r="P18" s="289"/>
      <c r="Q18" s="618"/>
      <c r="R18" s="290"/>
      <c r="S18" s="618"/>
      <c r="T18" s="618"/>
      <c r="U18" s="618"/>
      <c r="V18" s="618"/>
      <c r="W18" s="618"/>
      <c r="X18" s="618"/>
      <c r="Y18" s="292"/>
      <c r="Z18" s="619"/>
      <c r="AA18" s="619"/>
      <c r="AB18" s="619"/>
      <c r="AC18" s="619"/>
      <c r="AD18" s="292"/>
      <c r="AE18" s="292"/>
      <c r="AG18" s="618"/>
      <c r="AH18" s="618"/>
      <c r="AI18" s="618"/>
      <c r="AJ18" s="618"/>
      <c r="AK18" s="618"/>
      <c r="AL18" s="618"/>
      <c r="AP18" s="618"/>
      <c r="AQ18" s="618"/>
      <c r="AR18" s="618"/>
      <c r="AS18" s="292"/>
      <c r="AT18" s="292"/>
      <c r="AU18" s="292"/>
      <c r="AV18" s="292"/>
      <c r="AW18" s="292"/>
      <c r="AX18" s="292"/>
      <c r="AY18" s="292"/>
      <c r="AZ18" s="619"/>
      <c r="BA18" s="619"/>
    </row>
    <row r="19" spans="1:54" s="620" customFormat="1" ht="15" customHeight="1">
      <c r="A19" s="223"/>
      <c r="B19" s="223"/>
      <c r="C19" s="618"/>
      <c r="D19" s="293"/>
      <c r="E19" s="618"/>
      <c r="F19" s="224"/>
      <c r="G19" s="618"/>
      <c r="K19" s="618"/>
      <c r="L19" s="618"/>
      <c r="M19" s="618"/>
      <c r="O19" s="618"/>
      <c r="P19" s="618"/>
      <c r="Q19" s="618"/>
      <c r="R19" s="618"/>
      <c r="S19" s="618"/>
      <c r="T19" s="618"/>
      <c r="U19" s="618"/>
      <c r="V19" s="618"/>
      <c r="W19" s="624"/>
      <c r="AG19" s="618"/>
      <c r="AH19" s="618"/>
      <c r="AI19" s="618"/>
      <c r="AJ19" s="618"/>
      <c r="AK19" s="618"/>
      <c r="AL19" s="624"/>
      <c r="AZ19" s="621"/>
      <c r="BA19" s="621"/>
    </row>
    <row r="20" spans="1:54" s="620" customFormat="1" ht="15" customHeight="1">
      <c r="A20" s="624"/>
      <c r="B20" s="624"/>
      <c r="D20" s="296"/>
      <c r="F20" s="297"/>
      <c r="K20" s="1346"/>
      <c r="L20" s="1346"/>
      <c r="M20" s="1346"/>
      <c r="O20" s="298"/>
      <c r="P20" s="298"/>
      <c r="Q20" s="298"/>
      <c r="R20" s="298"/>
      <c r="S20" s="298"/>
      <c r="T20" s="298"/>
      <c r="U20" s="298"/>
      <c r="V20" s="298"/>
      <c r="W20" s="298"/>
      <c r="X20" s="298"/>
      <c r="AD20" s="298"/>
      <c r="AE20" s="298"/>
      <c r="AF20" s="1346"/>
      <c r="AG20" s="1346"/>
      <c r="AH20" s="1346"/>
      <c r="AI20" s="1346"/>
      <c r="AJ20" s="1346"/>
      <c r="AK20" s="1346"/>
      <c r="AL20" s="1346"/>
      <c r="AN20" s="298"/>
      <c r="AO20" s="298"/>
      <c r="AP20" s="1346"/>
      <c r="AQ20" s="1346"/>
      <c r="AR20" s="1346"/>
      <c r="AS20" s="298"/>
      <c r="AT20" s="298"/>
      <c r="AU20" s="298"/>
      <c r="AV20" s="298"/>
      <c r="AW20" s="298"/>
      <c r="AX20" s="298"/>
      <c r="AY20" s="298"/>
      <c r="AZ20" s="621"/>
      <c r="BA20" s="621"/>
    </row>
    <row r="21" spans="1:54" s="620" customFormat="1" ht="17.25" customHeight="1">
      <c r="D21" s="296" t="s">
        <v>36</v>
      </c>
      <c r="F21" s="297"/>
      <c r="I21" s="1346" t="s">
        <v>182</v>
      </c>
      <c r="J21" s="1346"/>
      <c r="K21" s="1346"/>
      <c r="L21" s="1346"/>
      <c r="M21" s="1346"/>
      <c r="O21" s="299"/>
      <c r="P21" s="299"/>
      <c r="Q21" s="1346"/>
      <c r="R21" s="1346"/>
      <c r="S21" s="1346"/>
      <c r="T21" s="1346"/>
      <c r="U21" s="1346"/>
      <c r="V21" s="1346"/>
      <c r="W21" s="1346"/>
      <c r="X21" s="1346"/>
      <c r="AD21" s="299"/>
      <c r="AE21" s="299"/>
      <c r="AF21" s="1346" t="s">
        <v>181</v>
      </c>
      <c r="AG21" s="1346"/>
      <c r="AH21" s="1346"/>
      <c r="AI21" s="1346"/>
      <c r="AJ21" s="1346"/>
      <c r="AK21" s="1346"/>
      <c r="AL21" s="1346"/>
      <c r="AN21" s="299"/>
      <c r="AO21" s="299"/>
      <c r="AP21" s="1346" t="s">
        <v>319</v>
      </c>
      <c r="AQ21" s="1346"/>
      <c r="AR21" s="1346"/>
      <c r="AS21" s="299"/>
      <c r="AT21" s="299"/>
      <c r="AU21" s="299"/>
      <c r="AV21" s="299"/>
      <c r="AW21" s="299"/>
      <c r="AX21" s="299"/>
      <c r="AY21" s="299"/>
      <c r="AZ21" s="621"/>
      <c r="BA21" s="621"/>
    </row>
    <row r="22" spans="1:54" s="620" customFormat="1" ht="15" customHeight="1">
      <c r="D22" s="300" t="s">
        <v>184</v>
      </c>
      <c r="F22" s="297"/>
      <c r="I22" s="1344" t="s">
        <v>185</v>
      </c>
      <c r="J22" s="1344"/>
      <c r="K22" s="1344"/>
      <c r="L22" s="1344"/>
      <c r="M22" s="1344"/>
      <c r="Q22" s="1344"/>
      <c r="R22" s="1344"/>
      <c r="S22" s="1344"/>
      <c r="T22" s="1344"/>
      <c r="U22" s="1344"/>
      <c r="V22" s="1344"/>
      <c r="W22" s="1344"/>
      <c r="X22" s="1344"/>
      <c r="AF22" s="1344" t="s">
        <v>183</v>
      </c>
      <c r="AG22" s="1344"/>
      <c r="AH22" s="1344"/>
      <c r="AI22" s="1344"/>
      <c r="AJ22" s="1344"/>
      <c r="AK22" s="1344"/>
      <c r="AL22" s="1344"/>
      <c r="AP22" s="1344" t="s">
        <v>320</v>
      </c>
      <c r="AQ22" s="1344"/>
      <c r="AR22" s="1344"/>
      <c r="AY22" s="621"/>
      <c r="AZ22" s="621"/>
      <c r="BA22" s="621"/>
    </row>
    <row r="23" spans="1:54" s="625" customFormat="1">
      <c r="D23" s="434"/>
      <c r="I23" s="482"/>
      <c r="O23" s="640"/>
      <c r="P23" s="640"/>
      <c r="Q23" s="640"/>
      <c r="R23" s="640"/>
      <c r="S23" s="640"/>
      <c r="T23" s="640"/>
      <c r="U23" s="640"/>
      <c r="V23" s="640"/>
      <c r="W23" s="640"/>
      <c r="X23" s="640"/>
      <c r="Y23" s="640"/>
      <c r="Z23" s="640"/>
      <c r="AA23" s="640"/>
      <c r="AB23" s="640"/>
      <c r="AC23" s="640"/>
      <c r="AD23" s="483"/>
      <c r="AE23" s="483"/>
      <c r="AF23" s="483"/>
      <c r="AG23" s="483"/>
      <c r="AH23" s="483"/>
      <c r="AI23" s="483"/>
      <c r="AJ23" s="483"/>
      <c r="AK23" s="483"/>
      <c r="AL23" s="483"/>
      <c r="AM23" s="483"/>
      <c r="AN23" s="483"/>
      <c r="AO23" s="483"/>
      <c r="AP23" s="483"/>
      <c r="AQ23" s="483"/>
      <c r="AR23" s="483"/>
      <c r="AS23" s="483"/>
      <c r="AT23" s="483"/>
      <c r="AU23" s="483"/>
      <c r="AV23" s="483"/>
      <c r="AW23" s="483"/>
      <c r="AX23" s="483"/>
      <c r="AY23" s="483"/>
      <c r="AZ23" s="483"/>
    </row>
    <row r="24" spans="1:54" s="625" customFormat="1">
      <c r="O24" s="641"/>
      <c r="P24" s="641"/>
      <c r="Q24" s="641"/>
      <c r="R24" s="641"/>
      <c r="S24" s="641"/>
      <c r="T24" s="641"/>
      <c r="U24" s="641"/>
      <c r="V24" s="641"/>
      <c r="W24" s="641"/>
      <c r="X24" s="641"/>
      <c r="Y24" s="641"/>
      <c r="Z24" s="641"/>
      <c r="AA24" s="641"/>
      <c r="AB24" s="641"/>
      <c r="AC24" s="641"/>
      <c r="AD24" s="484"/>
      <c r="AE24" s="484"/>
      <c r="AF24" s="484"/>
      <c r="AG24" s="484"/>
      <c r="AH24" s="484"/>
      <c r="AI24" s="484"/>
      <c r="AJ24" s="484"/>
      <c r="AK24" s="484"/>
      <c r="AL24" s="484"/>
      <c r="AM24" s="484"/>
      <c r="AN24" s="484"/>
      <c r="AO24" s="484"/>
      <c r="AP24" s="484"/>
      <c r="AQ24" s="484"/>
      <c r="AR24" s="484"/>
      <c r="AS24" s="484"/>
      <c r="AT24" s="484"/>
      <c r="AU24" s="484"/>
      <c r="AV24" s="484"/>
      <c r="AW24" s="484"/>
      <c r="AX24" s="484"/>
      <c r="AY24" s="484"/>
      <c r="AZ24" s="484"/>
      <c r="BA24" s="485"/>
      <c r="BB24" s="485"/>
    </row>
    <row r="25" spans="1:54">
      <c r="X25" s="432" t="s">
        <v>222</v>
      </c>
    </row>
    <row r="26" spans="1:54">
      <c r="AI26" s="486"/>
    </row>
    <row r="27" spans="1:54">
      <c r="AH27" s="486"/>
    </row>
    <row r="28" spans="1:54">
      <c r="AH28" s="486"/>
    </row>
    <row r="29" spans="1:54">
      <c r="R29" s="723"/>
    </row>
    <row r="30" spans="1:54">
      <c r="B30" s="1439"/>
      <c r="C30" s="1439"/>
      <c r="D30" s="1439"/>
      <c r="E30" s="1439"/>
      <c r="F30" s="1439"/>
      <c r="AE30" s="304"/>
      <c r="AF30" s="302"/>
      <c r="AG30" s="302"/>
      <c r="AH30" s="302"/>
      <c r="AI30" s="431"/>
    </row>
    <row r="31" spans="1:54">
      <c r="AE31" s="304"/>
      <c r="AF31" s="302"/>
      <c r="AG31" s="302"/>
      <c r="AH31" s="302"/>
      <c r="AI31" s="431"/>
    </row>
    <row r="39" spans="18:36">
      <c r="AF39" s="304"/>
      <c r="AG39" s="302"/>
      <c r="AH39" s="302"/>
      <c r="AI39" s="302"/>
      <c r="AJ39" s="431"/>
    </row>
    <row r="40" spans="18:36">
      <c r="R40" s="723"/>
      <c r="AF40" s="304"/>
      <c r="AG40" s="302"/>
      <c r="AH40" s="302"/>
      <c r="AI40" s="302"/>
      <c r="AJ40" s="431"/>
    </row>
    <row r="42" spans="18:36">
      <c r="AA42" s="487"/>
    </row>
    <row r="50" spans="18:27">
      <c r="AA50" s="487"/>
    </row>
    <row r="51" spans="18:27">
      <c r="R51" s="723"/>
    </row>
    <row r="62" spans="18:27">
      <c r="R62" s="723"/>
    </row>
    <row r="73" spans="18:18">
      <c r="R73" s="723"/>
    </row>
    <row r="84" spans="18:18">
      <c r="R84" s="723"/>
    </row>
    <row r="95" spans="18:18">
      <c r="R95" s="723"/>
    </row>
    <row r="106" spans="18:18">
      <c r="R106" s="723"/>
    </row>
    <row r="117" spans="18:18">
      <c r="R117" s="723"/>
    </row>
    <row r="128" spans="18:18">
      <c r="R128" s="723"/>
    </row>
    <row r="139" spans="18:18">
      <c r="R139" s="723"/>
    </row>
    <row r="150" spans="18:18">
      <c r="R150" s="723"/>
    </row>
    <row r="161" spans="18:18">
      <c r="R161" s="723"/>
    </row>
    <row r="172" spans="18:18">
      <c r="R172" s="723"/>
    </row>
    <row r="183" spans="18:18">
      <c r="R183" s="723"/>
    </row>
    <row r="194" spans="18:18">
      <c r="R194" s="723"/>
    </row>
    <row r="205" spans="18:18">
      <c r="R205" s="723"/>
    </row>
    <row r="216" spans="18:18">
      <c r="R216" s="723"/>
    </row>
    <row r="238" spans="18:18">
      <c r="R238" s="723"/>
    </row>
    <row r="249" spans="18:18">
      <c r="R249" s="723"/>
    </row>
    <row r="260" spans="18:18">
      <c r="R260" s="723"/>
    </row>
    <row r="271" spans="18:18">
      <c r="R271" s="723"/>
    </row>
    <row r="282" spans="18:18">
      <c r="R282" s="723"/>
    </row>
    <row r="293" spans="18:18">
      <c r="R293" s="723"/>
    </row>
    <row r="304" spans="18:18">
      <c r="R304" s="723"/>
    </row>
    <row r="345" spans="18:18">
      <c r="R345" s="432">
        <v>26</v>
      </c>
    </row>
  </sheetData>
  <mergeCells count="52">
    <mergeCell ref="B30:F30"/>
    <mergeCell ref="K20:M20"/>
    <mergeCell ref="AF20:AL20"/>
    <mergeCell ref="AP20:AR20"/>
    <mergeCell ref="Q21:X21"/>
    <mergeCell ref="AF21:AL21"/>
    <mergeCell ref="AP21:AR21"/>
    <mergeCell ref="AF22:AL22"/>
    <mergeCell ref="AP22:AR22"/>
    <mergeCell ref="Q22:X22"/>
    <mergeCell ref="AW8:AW9"/>
    <mergeCell ref="T9:U9"/>
    <mergeCell ref="Z9:AA9"/>
    <mergeCell ref="AC9:AD9"/>
    <mergeCell ref="H9:I9"/>
    <mergeCell ref="J9:K9"/>
    <mergeCell ref="L9:M9"/>
    <mergeCell ref="N9:O9"/>
    <mergeCell ref="P9:Q9"/>
    <mergeCell ref="R9:S9"/>
    <mergeCell ref="A2:BB2"/>
    <mergeCell ref="A4:BB4"/>
    <mergeCell ref="D5:E5"/>
    <mergeCell ref="AD5:AE5"/>
    <mergeCell ref="H7:U7"/>
    <mergeCell ref="W7:AD7"/>
    <mergeCell ref="AE7:AE9"/>
    <mergeCell ref="AF7:AF9"/>
    <mergeCell ref="AG7:AG10"/>
    <mergeCell ref="AJ7:AL8"/>
    <mergeCell ref="AX8:AX9"/>
    <mergeCell ref="AM7:AQ8"/>
    <mergeCell ref="AU7:AU10"/>
    <mergeCell ref="BA7:BB9"/>
    <mergeCell ref="H8:I8"/>
    <mergeCell ref="J8:K8"/>
    <mergeCell ref="I17:M17"/>
    <mergeCell ref="I21:M21"/>
    <mergeCell ref="I22:M22"/>
    <mergeCell ref="AY8:AY9"/>
    <mergeCell ref="Q17:X17"/>
    <mergeCell ref="AF17:AL17"/>
    <mergeCell ref="AP17:AR17"/>
    <mergeCell ref="L8:M8"/>
    <mergeCell ref="N8:O8"/>
    <mergeCell ref="P8:Q8"/>
    <mergeCell ref="R8:S8"/>
    <mergeCell ref="T8:U8"/>
    <mergeCell ref="W8:X8"/>
    <mergeCell ref="Y8:AA8"/>
    <mergeCell ref="AB8:AD8"/>
    <mergeCell ref="AH8:AH9"/>
  </mergeCells>
  <pageMargins left="0" right="0" top="0" bottom="0" header="0.3" footer="0.3"/>
  <pageSetup paperSize="9" scale="50" orientation="landscape" horizontalDpi="0" verticalDpi="0" r:id="rId1"/>
  <colBreaks count="1" manualBreakCount="1">
    <brk id="5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92"/>
  <sheetViews>
    <sheetView topLeftCell="A15" zoomScaleNormal="100" workbookViewId="0">
      <selection activeCell="G26" sqref="G26"/>
    </sheetView>
  </sheetViews>
  <sheetFormatPr defaultRowHeight="15"/>
  <cols>
    <col min="1" max="1" width="11.85546875" customWidth="1"/>
    <col min="2" max="2" width="20.7109375" customWidth="1"/>
    <col min="3" max="3" width="34.5703125" customWidth="1"/>
    <col min="4" max="4" width="48.28515625" style="488" customWidth="1"/>
    <col min="5" max="5" width="46.28515625" style="532" customWidth="1"/>
  </cols>
  <sheetData>
    <row r="1" spans="1:5" ht="15.75">
      <c r="A1" s="1445" t="s">
        <v>223</v>
      </c>
      <c r="B1" s="1445"/>
      <c r="C1" s="1445"/>
      <c r="D1" s="1445"/>
      <c r="E1" s="1445"/>
    </row>
    <row r="2" spans="1:5" ht="15.75">
      <c r="A2" s="1446" t="s">
        <v>224</v>
      </c>
      <c r="B2" s="1446"/>
      <c r="C2" s="1446"/>
      <c r="D2" s="1446"/>
      <c r="E2" s="1446"/>
    </row>
    <row r="3" spans="1:5" ht="15.75" thickBot="1">
      <c r="A3" s="348"/>
      <c r="B3" s="575"/>
      <c r="C3" s="348"/>
      <c r="E3" s="489" t="s">
        <v>402</v>
      </c>
    </row>
    <row r="4" spans="1:5" s="347" customFormat="1" ht="42.75" customHeight="1" thickTop="1" thickBot="1">
      <c r="A4" s="490" t="s">
        <v>40</v>
      </c>
      <c r="B4" s="490" t="s">
        <v>261</v>
      </c>
      <c r="C4" s="490" t="s">
        <v>225</v>
      </c>
      <c r="D4" s="490" t="s">
        <v>226</v>
      </c>
      <c r="E4" s="490" t="s">
        <v>41</v>
      </c>
    </row>
    <row r="5" spans="1:5" ht="22.5" customHeight="1" thickTop="1">
      <c r="A5" s="491">
        <v>1</v>
      </c>
      <c r="B5" s="522" t="s">
        <v>277</v>
      </c>
      <c r="C5" s="492">
        <v>13101020059507</v>
      </c>
      <c r="D5" s="493">
        <f>'GAJI MAINTENANCE AJ'!AZ10</f>
        <v>8150894</v>
      </c>
      <c r="E5" s="494" t="s">
        <v>36</v>
      </c>
    </row>
    <row r="6" spans="1:5" ht="22.5" customHeight="1">
      <c r="A6" s="495">
        <v>2</v>
      </c>
      <c r="B6" s="582" t="s">
        <v>278</v>
      </c>
      <c r="C6" s="578">
        <v>13101019821505</v>
      </c>
      <c r="D6" s="493">
        <f>'GAJI MAINTENANCE AJ'!AZ11</f>
        <v>4405798</v>
      </c>
      <c r="E6" s="496" t="s">
        <v>53</v>
      </c>
    </row>
    <row r="7" spans="1:5" ht="22.5" customHeight="1">
      <c r="A7" s="491">
        <v>3</v>
      </c>
      <c r="B7" s="582" t="s">
        <v>279</v>
      </c>
      <c r="C7" s="579">
        <v>13101019710500</v>
      </c>
      <c r="D7" s="493">
        <f>'GAJI MAINTENANCE AJ'!AZ12</f>
        <v>4323865</v>
      </c>
      <c r="E7" s="497" t="s">
        <v>12</v>
      </c>
    </row>
    <row r="8" spans="1:5" ht="22.5" customHeight="1">
      <c r="A8" s="495">
        <v>4</v>
      </c>
      <c r="B8" s="582" t="s">
        <v>280</v>
      </c>
      <c r="C8" s="580">
        <v>13101019735500</v>
      </c>
      <c r="D8" s="493">
        <f>'GAJI MAINTENANCE AJ'!AZ13</f>
        <v>4246878</v>
      </c>
      <c r="E8" s="497" t="s">
        <v>54</v>
      </c>
    </row>
    <row r="9" spans="1:5" ht="22.5" customHeight="1">
      <c r="A9" s="491">
        <v>5</v>
      </c>
      <c r="B9" s="582" t="s">
        <v>281</v>
      </c>
      <c r="C9" s="580">
        <v>13101019814508</v>
      </c>
      <c r="D9" s="493">
        <f>'GAJI MAINTENANCE AJ'!AZ14</f>
        <v>4145507</v>
      </c>
      <c r="E9" s="497" t="s">
        <v>55</v>
      </c>
    </row>
    <row r="10" spans="1:5" ht="22.5" customHeight="1">
      <c r="A10" s="495">
        <v>6</v>
      </c>
      <c r="B10" s="582" t="s">
        <v>282</v>
      </c>
      <c r="C10" s="580">
        <v>13101019817506</v>
      </c>
      <c r="D10" s="493">
        <f>'GAJI MAINTENANCE AJ'!AZ15</f>
        <v>4284657</v>
      </c>
      <c r="E10" s="497" t="s">
        <v>56</v>
      </c>
    </row>
    <row r="11" spans="1:5" ht="22.5" customHeight="1">
      <c r="A11" s="491">
        <v>7</v>
      </c>
      <c r="B11" s="582" t="s">
        <v>283</v>
      </c>
      <c r="C11" s="579">
        <v>13101020056509</v>
      </c>
      <c r="D11" s="493">
        <f>'GAJI MAINTENANCE AJ'!AZ16</f>
        <v>4152478</v>
      </c>
      <c r="E11" s="497" t="s">
        <v>57</v>
      </c>
    </row>
    <row r="12" spans="1:5" ht="22.5" customHeight="1">
      <c r="A12" s="495">
        <v>8</v>
      </c>
      <c r="B12" s="582" t="s">
        <v>284</v>
      </c>
      <c r="C12" s="579">
        <v>13101020058501</v>
      </c>
      <c r="D12" s="493">
        <f>'GAJI MAINTENANCE AJ'!AZ17</f>
        <v>4264079</v>
      </c>
      <c r="E12" s="497" t="s">
        <v>58</v>
      </c>
    </row>
    <row r="13" spans="1:5" ht="22.5" customHeight="1">
      <c r="A13" s="491">
        <v>9</v>
      </c>
      <c r="B13" s="582" t="s">
        <v>285</v>
      </c>
      <c r="C13" s="581">
        <v>13101019832506</v>
      </c>
      <c r="D13" s="493">
        <f>'GAJI MAINTENANCE AJ'!AZ18</f>
        <v>4284657</v>
      </c>
      <c r="E13" s="497" t="s">
        <v>227</v>
      </c>
    </row>
    <row r="14" spans="1:5" ht="22.5" customHeight="1">
      <c r="A14" s="495">
        <v>10</v>
      </c>
      <c r="B14" s="582" t="s">
        <v>286</v>
      </c>
      <c r="C14" s="579">
        <v>13101019851500</v>
      </c>
      <c r="D14" s="493">
        <f>'GAJI MAINTENANCE AJ'!AZ19</f>
        <v>4307328</v>
      </c>
      <c r="E14" s="497" t="s">
        <v>60</v>
      </c>
    </row>
    <row r="15" spans="1:5" ht="22.5" customHeight="1">
      <c r="A15" s="491">
        <v>11</v>
      </c>
      <c r="B15" s="582" t="s">
        <v>287</v>
      </c>
      <c r="C15" s="579">
        <v>13101019799504</v>
      </c>
      <c r="D15" s="493">
        <f>'GAJI MAINTENANCE AJ'!AZ20</f>
        <v>4250345</v>
      </c>
      <c r="E15" s="497" t="s">
        <v>228</v>
      </c>
    </row>
    <row r="16" spans="1:5" ht="22.5" customHeight="1">
      <c r="A16" s="495">
        <v>12</v>
      </c>
      <c r="B16" s="731" t="s">
        <v>288</v>
      </c>
      <c r="C16" s="499">
        <v>13101019840509</v>
      </c>
      <c r="D16" s="493">
        <f>'GAJI MAINTENANCE AJ'!AZ21</f>
        <v>4297518</v>
      </c>
      <c r="E16" s="497" t="s">
        <v>62</v>
      </c>
    </row>
    <row r="17" spans="1:5" ht="22.5" customHeight="1">
      <c r="A17" s="491">
        <v>13</v>
      </c>
      <c r="B17" s="577" t="s">
        <v>289</v>
      </c>
      <c r="C17" s="498">
        <v>13101019887501</v>
      </c>
      <c r="D17" s="493">
        <f>'GAJI MAINTENANCE AJ'!AZ22</f>
        <v>4309675</v>
      </c>
      <c r="E17" s="497" t="s">
        <v>229</v>
      </c>
    </row>
    <row r="18" spans="1:5" ht="22.5" customHeight="1">
      <c r="A18" s="495">
        <v>14</v>
      </c>
      <c r="B18" s="577" t="s">
        <v>291</v>
      </c>
      <c r="C18" s="501" t="s">
        <v>232</v>
      </c>
      <c r="D18" s="493">
        <f>'GAJI MAINTENANCE AJ'!AZ23</f>
        <v>4253098</v>
      </c>
      <c r="E18" s="502" t="s">
        <v>64</v>
      </c>
    </row>
    <row r="19" spans="1:5" ht="22.5" customHeight="1">
      <c r="A19" s="491">
        <v>15</v>
      </c>
      <c r="B19" s="582" t="s">
        <v>292</v>
      </c>
      <c r="C19" s="505" t="s">
        <v>233</v>
      </c>
      <c r="D19" s="493">
        <f>'GAJI MAINTENANCE AJ'!AZ24</f>
        <v>4279286</v>
      </c>
      <c r="E19" s="506" t="s">
        <v>75</v>
      </c>
    </row>
    <row r="20" spans="1:5" ht="22.5" customHeight="1">
      <c r="A20" s="495">
        <v>16</v>
      </c>
      <c r="B20" s="582" t="s">
        <v>294</v>
      </c>
      <c r="C20" s="503">
        <v>13101020063506</v>
      </c>
      <c r="D20" s="493">
        <f>'GAJI MAINTENANCE AJ'!AZ25</f>
        <v>4299064.55</v>
      </c>
      <c r="E20" s="281" t="s">
        <v>76</v>
      </c>
    </row>
    <row r="21" spans="1:5" ht="22.5" customHeight="1">
      <c r="A21" s="491">
        <v>17</v>
      </c>
      <c r="B21" s="582" t="s">
        <v>295</v>
      </c>
      <c r="C21" s="503" t="s">
        <v>235</v>
      </c>
      <c r="D21" s="493">
        <f>'GAJI MAINTENANCE AJ'!AZ26</f>
        <v>4284657</v>
      </c>
      <c r="E21" s="506" t="s">
        <v>177</v>
      </c>
    </row>
    <row r="22" spans="1:5" ht="22.5" customHeight="1">
      <c r="A22" s="495">
        <v>18</v>
      </c>
      <c r="B22" s="522" t="s">
        <v>290</v>
      </c>
      <c r="C22" s="500" t="s">
        <v>230</v>
      </c>
      <c r="D22" s="493">
        <f>'GAJI MAINTENANCE AJ'!AZ27</f>
        <v>5283453.7</v>
      </c>
      <c r="E22" s="497" t="s">
        <v>231</v>
      </c>
    </row>
    <row r="23" spans="1:5" ht="22.5" customHeight="1">
      <c r="A23" s="491">
        <v>19</v>
      </c>
      <c r="B23" s="768" t="s">
        <v>373</v>
      </c>
      <c r="C23" s="769" t="s">
        <v>372</v>
      </c>
      <c r="D23" s="493">
        <f>'GAJI MAINTENANCE AJ'!AZ28</f>
        <v>4246878</v>
      </c>
      <c r="E23" s="770" t="s">
        <v>353</v>
      </c>
    </row>
    <row r="24" spans="1:5" ht="22.5" customHeight="1">
      <c r="A24" s="495">
        <v>20</v>
      </c>
      <c r="B24" s="522" t="s">
        <v>266</v>
      </c>
      <c r="C24" s="526">
        <v>13101035735504</v>
      </c>
      <c r="D24" s="493" t="e">
        <f>'GAJI MAINTENANCE AJ'!#REF!</f>
        <v>#REF!</v>
      </c>
      <c r="E24" s="770" t="s">
        <v>21</v>
      </c>
    </row>
    <row r="25" spans="1:5" ht="22.5" customHeight="1">
      <c r="A25" s="491">
        <v>21</v>
      </c>
      <c r="B25" s="522" t="s">
        <v>315</v>
      </c>
      <c r="C25" s="610" t="s">
        <v>314</v>
      </c>
      <c r="D25" s="493">
        <f>'GAJI MAINTENANCE AJ'!AZ29</f>
        <v>4188150</v>
      </c>
      <c r="E25" s="770" t="s">
        <v>301</v>
      </c>
    </row>
    <row r="26" spans="1:5" ht="22.5" customHeight="1">
      <c r="A26" s="495">
        <v>22</v>
      </c>
      <c r="B26" s="585" t="s">
        <v>265</v>
      </c>
      <c r="C26" s="526" t="s">
        <v>245</v>
      </c>
      <c r="D26" s="493">
        <f>'GAJI MAINTENANCE AJ'!AZ30</f>
        <v>4257951</v>
      </c>
      <c r="E26" s="770" t="s">
        <v>16</v>
      </c>
    </row>
    <row r="27" spans="1:5" ht="22.5" customHeight="1">
      <c r="A27" s="491">
        <v>23</v>
      </c>
      <c r="B27" s="768" t="s">
        <v>360</v>
      </c>
      <c r="C27" s="769" t="s">
        <v>359</v>
      </c>
      <c r="D27" s="493">
        <f>'GAJI MAINTENANCE AJ'!AZ31</f>
        <v>4127785</v>
      </c>
      <c r="E27" s="770" t="s">
        <v>329</v>
      </c>
    </row>
    <row r="28" spans="1:5" ht="22.5" customHeight="1">
      <c r="A28" s="495">
        <v>24</v>
      </c>
      <c r="B28" s="768" t="s">
        <v>363</v>
      </c>
      <c r="C28" s="769" t="s">
        <v>364</v>
      </c>
      <c r="D28" s="493">
        <f>'GAJI MAINTENANCE AJ'!AZ32</f>
        <v>4247118</v>
      </c>
      <c r="E28" s="770" t="s">
        <v>229</v>
      </c>
    </row>
    <row r="29" spans="1:5" ht="22.5" customHeight="1">
      <c r="A29" s="491">
        <v>25</v>
      </c>
      <c r="B29" s="768" t="s">
        <v>365</v>
      </c>
      <c r="C29" s="769" t="s">
        <v>366</v>
      </c>
      <c r="D29" s="493">
        <f>'GAJI MAINTENANCE AJ'!AZ33</f>
        <v>3844800</v>
      </c>
      <c r="E29" s="770" t="s">
        <v>328</v>
      </c>
    </row>
    <row r="30" spans="1:5" ht="22.5" customHeight="1">
      <c r="A30" s="495">
        <v>26</v>
      </c>
      <c r="B30" s="768" t="s">
        <v>369</v>
      </c>
      <c r="C30" s="769" t="s">
        <v>370</v>
      </c>
      <c r="D30" s="493">
        <f>'GAJI MAINTENANCE AJ'!AZ34</f>
        <v>4260052</v>
      </c>
      <c r="E30" s="770" t="s">
        <v>326</v>
      </c>
    </row>
    <row r="31" spans="1:5" ht="22.5" customHeight="1">
      <c r="A31" s="491">
        <v>27</v>
      </c>
      <c r="B31" s="768" t="s">
        <v>392</v>
      </c>
      <c r="C31" s="892" t="s">
        <v>397</v>
      </c>
      <c r="D31" s="493">
        <f>'GAJI MAINTENANCE AJ'!AZ35</f>
        <v>4077850</v>
      </c>
      <c r="E31" s="878" t="s">
        <v>388</v>
      </c>
    </row>
    <row r="32" spans="1:5" ht="22.5" customHeight="1">
      <c r="A32" s="495">
        <v>28</v>
      </c>
      <c r="B32" s="768" t="s">
        <v>393</v>
      </c>
      <c r="C32" s="892" t="s">
        <v>398</v>
      </c>
      <c r="D32" s="493">
        <f>'GAJI MAINTENANCE AJ'!AZ36</f>
        <v>3941100</v>
      </c>
      <c r="E32" s="878" t="s">
        <v>386</v>
      </c>
    </row>
    <row r="33" spans="1:24" ht="22.5" customHeight="1">
      <c r="A33" s="491">
        <v>29</v>
      </c>
      <c r="B33" s="768" t="s">
        <v>394</v>
      </c>
      <c r="C33" s="892" t="s">
        <v>399</v>
      </c>
      <c r="D33" s="493">
        <f>'GAJI MAINTENANCE AJ'!AZ37</f>
        <v>3941100</v>
      </c>
      <c r="E33" s="878" t="s">
        <v>387</v>
      </c>
    </row>
    <row r="34" spans="1:24" ht="22.5" customHeight="1">
      <c r="A34" s="924">
        <v>30</v>
      </c>
      <c r="B34" s="768"/>
      <c r="C34" s="892" t="s">
        <v>408</v>
      </c>
      <c r="D34" s="493">
        <f>'GAJI MAINTENANCE AJ'!AZ38</f>
        <v>4150480</v>
      </c>
      <c r="E34" s="878" t="s">
        <v>406</v>
      </c>
    </row>
    <row r="35" spans="1:24" ht="22.5" customHeight="1">
      <c r="A35" s="1440" t="s">
        <v>10</v>
      </c>
      <c r="B35" s="1440"/>
      <c r="C35" s="1440"/>
      <c r="D35" s="507" t="e">
        <f>SUM(D5:D34)</f>
        <v>#REF!</v>
      </c>
      <c r="E35" s="508"/>
    </row>
    <row r="36" spans="1:24" ht="22.5" customHeight="1">
      <c r="A36" s="495">
        <v>31</v>
      </c>
      <c r="B36" s="582" t="s">
        <v>213</v>
      </c>
      <c r="C36" s="509" t="s">
        <v>236</v>
      </c>
      <c r="D36" s="493">
        <f>OPERATOR!AZ11</f>
        <v>8047815.7999999998</v>
      </c>
      <c r="E36" s="504" t="s">
        <v>214</v>
      </c>
    </row>
    <row r="37" spans="1:24" ht="22.5" customHeight="1">
      <c r="A37" s="510">
        <v>32</v>
      </c>
      <c r="B37" s="582" t="s">
        <v>215</v>
      </c>
      <c r="C37" s="503" t="s">
        <v>237</v>
      </c>
      <c r="D37" s="493">
        <f>OPERATOR!AZ12</f>
        <v>7893136.5999999996</v>
      </c>
      <c r="E37" s="511" t="s">
        <v>216</v>
      </c>
    </row>
    <row r="38" spans="1:24" ht="22.5" customHeight="1">
      <c r="A38" s="512">
        <v>33</v>
      </c>
      <c r="B38" s="586" t="s">
        <v>296</v>
      </c>
      <c r="C38" s="583" t="s">
        <v>238</v>
      </c>
      <c r="D38" s="493">
        <f>OPERATOR!AZ13</f>
        <v>6848155.7999999998</v>
      </c>
      <c r="E38" s="514" t="s">
        <v>218</v>
      </c>
    </row>
    <row r="39" spans="1:24" ht="22.5" customHeight="1">
      <c r="A39" s="512">
        <v>34</v>
      </c>
      <c r="B39" s="586" t="s">
        <v>297</v>
      </c>
      <c r="C39" s="584" t="s">
        <v>239</v>
      </c>
      <c r="D39" s="493">
        <f>OPERATOR!AZ14</f>
        <v>7005340.3499999996</v>
      </c>
      <c r="E39" s="514" t="s">
        <v>220</v>
      </c>
    </row>
    <row r="40" spans="1:24" s="513" customFormat="1" ht="22.5" customHeight="1" thickBot="1">
      <c r="A40" s="1447" t="s">
        <v>10</v>
      </c>
      <c r="B40" s="1448"/>
      <c r="C40" s="1447"/>
      <c r="D40" s="515">
        <f>SUM(D36:D39)</f>
        <v>29794448.549999997</v>
      </c>
      <c r="E40" s="516"/>
      <c r="F40" s="321"/>
      <c r="G40" s="321"/>
      <c r="H40" s="321"/>
      <c r="I40" s="321"/>
      <c r="J40" s="321"/>
      <c r="K40" s="321"/>
      <c r="L40" s="321"/>
      <c r="M40" s="321"/>
      <c r="N40" s="321"/>
      <c r="O40" s="321"/>
      <c r="P40" s="321"/>
      <c r="Q40" s="321"/>
      <c r="R40" s="321"/>
      <c r="S40" s="321"/>
      <c r="T40" s="321"/>
      <c r="U40" s="321"/>
      <c r="V40" s="321"/>
      <c r="W40" s="321"/>
      <c r="X40" s="517"/>
    </row>
    <row r="41" spans="1:24" s="321" customFormat="1" ht="22.5" customHeight="1" thickBot="1">
      <c r="A41" s="518"/>
      <c r="B41" s="518"/>
      <c r="C41" s="518"/>
      <c r="D41" s="518"/>
      <c r="E41" s="519"/>
    </row>
    <row r="42" spans="1:24" s="347" customFormat="1" ht="22.5" customHeight="1" thickBot="1">
      <c r="A42" s="520" t="s">
        <v>40</v>
      </c>
      <c r="B42" s="520" t="s">
        <v>261</v>
      </c>
      <c r="C42" s="520" t="s">
        <v>225</v>
      </c>
      <c r="D42" s="520" t="s">
        <v>240</v>
      </c>
      <c r="E42" s="520" t="s">
        <v>41</v>
      </c>
    </row>
    <row r="43" spans="1:24" ht="22.5" customHeight="1" thickTop="1">
      <c r="A43" s="522">
        <v>35</v>
      </c>
      <c r="B43" s="522" t="s">
        <v>276</v>
      </c>
      <c r="C43" s="523" t="s">
        <v>241</v>
      </c>
      <c r="D43" s="521">
        <f>'PANEN 1'!BF10</f>
        <v>4994200</v>
      </c>
      <c r="E43" s="524" t="s">
        <v>80</v>
      </c>
    </row>
    <row r="44" spans="1:24" ht="22.5" customHeight="1">
      <c r="A44" s="721">
        <v>36</v>
      </c>
      <c r="B44" s="582" t="s">
        <v>293</v>
      </c>
      <c r="C44" s="500" t="s">
        <v>234</v>
      </c>
      <c r="D44" s="521">
        <f>'PANEN 1'!BF11</f>
        <v>5642630</v>
      </c>
      <c r="E44" s="506" t="s">
        <v>325</v>
      </c>
    </row>
    <row r="45" spans="1:24" ht="22.5" customHeight="1">
      <c r="A45" s="491">
        <v>37</v>
      </c>
      <c r="B45" s="585" t="s">
        <v>262</v>
      </c>
      <c r="C45" s="525" t="s">
        <v>242</v>
      </c>
      <c r="D45" s="521">
        <f>'PANEN 1'!BF12</f>
        <v>5084955.222222222</v>
      </c>
      <c r="E45" s="497" t="s">
        <v>13</v>
      </c>
    </row>
    <row r="46" spans="1:24" ht="22.5" customHeight="1">
      <c r="A46" s="721">
        <v>38</v>
      </c>
      <c r="B46" s="522" t="s">
        <v>263</v>
      </c>
      <c r="C46" s="525" t="s">
        <v>243</v>
      </c>
      <c r="D46" s="521">
        <f>'PANEN 1'!BF13</f>
        <v>5337819.222222222</v>
      </c>
      <c r="E46" s="497" t="s">
        <v>69</v>
      </c>
    </row>
    <row r="47" spans="1:24" ht="22.5" customHeight="1">
      <c r="A47" s="491">
        <v>39</v>
      </c>
      <c r="B47" s="522" t="s">
        <v>264</v>
      </c>
      <c r="C47" s="526" t="s">
        <v>244</v>
      </c>
      <c r="D47" s="521">
        <f>'PANEN 1'!BF14</f>
        <v>5535723.222222222</v>
      </c>
      <c r="E47" s="527" t="s">
        <v>14</v>
      </c>
    </row>
    <row r="48" spans="1:24" ht="22.5" customHeight="1">
      <c r="A48" s="721">
        <v>40</v>
      </c>
      <c r="B48" s="522" t="s">
        <v>268</v>
      </c>
      <c r="C48" s="526" t="s">
        <v>247</v>
      </c>
      <c r="D48" s="521">
        <f>'PANEN 1'!BF15</f>
        <v>5346824.666666667</v>
      </c>
      <c r="E48" s="524" t="s">
        <v>72</v>
      </c>
    </row>
    <row r="49" spans="1:5" ht="22.5" customHeight="1">
      <c r="A49" s="491">
        <v>41</v>
      </c>
      <c r="B49" s="585" t="s">
        <v>269</v>
      </c>
      <c r="C49" s="523" t="s">
        <v>248</v>
      </c>
      <c r="D49" s="521">
        <f>'PANEN 1'!BF16</f>
        <v>5638910</v>
      </c>
      <c r="E49" s="524" t="s">
        <v>78</v>
      </c>
    </row>
    <row r="50" spans="1:5" ht="22.5" customHeight="1">
      <c r="A50" s="721">
        <v>42</v>
      </c>
      <c r="B50" s="722" t="s">
        <v>270</v>
      </c>
      <c r="C50" s="529" t="s">
        <v>249</v>
      </c>
      <c r="D50" s="521">
        <f>'PANEN 1'!BF17</f>
        <v>4965182.222222222</v>
      </c>
      <c r="E50" s="528" t="s">
        <v>91</v>
      </c>
    </row>
    <row r="51" spans="1:5" ht="22.5" customHeight="1">
      <c r="A51" s="491">
        <v>43</v>
      </c>
      <c r="B51" s="585" t="s">
        <v>271</v>
      </c>
      <c r="C51" s="526" t="s">
        <v>250</v>
      </c>
      <c r="D51" s="521">
        <f>'PANEN 1'!BF18</f>
        <v>6498186.2999999998</v>
      </c>
      <c r="E51" s="528" t="s">
        <v>92</v>
      </c>
    </row>
    <row r="52" spans="1:5" ht="22.5" customHeight="1">
      <c r="A52" s="721">
        <v>44</v>
      </c>
      <c r="B52" s="522" t="s">
        <v>272</v>
      </c>
      <c r="C52" s="526" t="s">
        <v>251</v>
      </c>
      <c r="D52" s="521">
        <f>'PANEN 1'!BF19</f>
        <v>5990620</v>
      </c>
      <c r="E52" s="528" t="s">
        <v>93</v>
      </c>
    </row>
    <row r="53" spans="1:5" ht="22.5" customHeight="1">
      <c r="A53" s="491">
        <v>45</v>
      </c>
      <c r="B53" s="522" t="s">
        <v>273</v>
      </c>
      <c r="C53" s="526" t="s">
        <v>252</v>
      </c>
      <c r="D53" s="521">
        <f>'PANEN 1'!BF20</f>
        <v>5098424.3300970877</v>
      </c>
      <c r="E53" s="528" t="s">
        <v>207</v>
      </c>
    </row>
    <row r="54" spans="1:5" ht="22.5" customHeight="1">
      <c r="A54" s="721">
        <v>46</v>
      </c>
      <c r="B54" s="522" t="s">
        <v>274</v>
      </c>
      <c r="C54" s="526" t="s">
        <v>253</v>
      </c>
      <c r="D54" s="521">
        <f>'PANEN 1'!BF21</f>
        <v>6552779.6500000004</v>
      </c>
      <c r="E54" s="524" t="s">
        <v>107</v>
      </c>
    </row>
    <row r="55" spans="1:5" ht="22.5" customHeight="1">
      <c r="A55" s="491">
        <v>47</v>
      </c>
      <c r="B55" s="522" t="s">
        <v>275</v>
      </c>
      <c r="C55" s="526" t="s">
        <v>254</v>
      </c>
      <c r="D55" s="521">
        <f>'PANEN 1'!BF22</f>
        <v>5521206</v>
      </c>
      <c r="E55" s="524" t="s">
        <v>14</v>
      </c>
    </row>
    <row r="56" spans="1:5" ht="22.5" customHeight="1">
      <c r="A56" s="721">
        <v>48</v>
      </c>
      <c r="B56" s="522" t="s">
        <v>324</v>
      </c>
      <c r="C56" s="526" t="s">
        <v>313</v>
      </c>
      <c r="D56" s="521">
        <f>'PANEN 1'!BF23</f>
        <v>7348698</v>
      </c>
      <c r="E56" s="528" t="s">
        <v>303</v>
      </c>
    </row>
    <row r="57" spans="1:5" ht="22.5" customHeight="1">
      <c r="A57" s="491">
        <v>49</v>
      </c>
      <c r="B57" s="522" t="s">
        <v>351</v>
      </c>
      <c r="C57" s="526" t="s">
        <v>352</v>
      </c>
      <c r="D57" s="521">
        <f>'PANEN 1'!BF24</f>
        <v>4935328.252427184</v>
      </c>
      <c r="E57" s="528" t="s">
        <v>350</v>
      </c>
    </row>
    <row r="58" spans="1:5" ht="22.5" customHeight="1">
      <c r="A58" s="721">
        <v>50</v>
      </c>
      <c r="B58" s="522" t="s">
        <v>267</v>
      </c>
      <c r="C58" s="526" t="s">
        <v>246</v>
      </c>
      <c r="D58" s="521">
        <f>'PANEN 1'!BF25</f>
        <v>4846738.333333333</v>
      </c>
      <c r="E58" s="770" t="s">
        <v>71</v>
      </c>
    </row>
    <row r="59" spans="1:5" ht="22.5" customHeight="1">
      <c r="A59" s="491">
        <v>51</v>
      </c>
      <c r="B59" s="768" t="s">
        <v>361</v>
      </c>
      <c r="C59" s="769" t="s">
        <v>362</v>
      </c>
      <c r="D59" s="903">
        <f>'PANEN 1'!BF26</f>
        <v>3354006.9029126214</v>
      </c>
      <c r="E59" s="770" t="s">
        <v>356</v>
      </c>
    </row>
    <row r="60" spans="1:5" ht="22.5" customHeight="1">
      <c r="A60" s="721">
        <v>52</v>
      </c>
      <c r="B60" s="768" t="s">
        <v>368</v>
      </c>
      <c r="C60" s="769" t="s">
        <v>367</v>
      </c>
      <c r="D60" s="903">
        <f>'PANEN 1'!BF27</f>
        <v>4657411.777777778</v>
      </c>
      <c r="E60" s="770" t="s">
        <v>327</v>
      </c>
    </row>
    <row r="61" spans="1:5" ht="22.5" customHeight="1">
      <c r="A61" s="491">
        <v>53</v>
      </c>
      <c r="B61" s="768" t="s">
        <v>371</v>
      </c>
      <c r="C61" s="769" t="s">
        <v>358</v>
      </c>
      <c r="D61" s="903">
        <f>'PANEN 1'!BF28</f>
        <v>4256389.111111111</v>
      </c>
      <c r="E61" s="770" t="s">
        <v>357</v>
      </c>
    </row>
    <row r="62" spans="1:5" ht="22.5" customHeight="1">
      <c r="A62" s="721">
        <v>54</v>
      </c>
      <c r="B62" s="768" t="s">
        <v>400</v>
      </c>
      <c r="C62" s="906"/>
      <c r="D62" s="879">
        <f>'PANEN 1'!BF29</f>
        <v>4957823.3786407765</v>
      </c>
      <c r="E62" s="878" t="s">
        <v>395</v>
      </c>
    </row>
    <row r="63" spans="1:5" ht="22.5" customHeight="1">
      <c r="A63" s="1440" t="s">
        <v>10</v>
      </c>
      <c r="B63" s="1440"/>
      <c r="C63" s="1440"/>
      <c r="D63" s="507">
        <f>SUM(D43:D62)</f>
        <v>106563856.59185542</v>
      </c>
      <c r="E63" s="524"/>
    </row>
    <row r="64" spans="1:5" ht="27" customHeight="1" thickBot="1">
      <c r="A64" s="1441" t="s">
        <v>38</v>
      </c>
      <c r="B64" s="1442"/>
      <c r="C64" s="1443"/>
      <c r="D64" s="530" t="e">
        <f>D35+D40+D63</f>
        <v>#REF!</v>
      </c>
      <c r="E64" s="531"/>
    </row>
    <row r="65" spans="1:31" ht="15.75" thickTop="1">
      <c r="A65" s="348"/>
      <c r="B65" s="575"/>
      <c r="C65" s="348"/>
    </row>
    <row r="66" spans="1:31" s="535" customFormat="1" ht="14.25">
      <c r="A66" s="436"/>
      <c r="B66" s="576"/>
      <c r="C66" s="436"/>
      <c r="D66" s="533">
        <v>242654947</v>
      </c>
      <c r="E66" s="534"/>
      <c r="G66" s="537"/>
      <c r="H66" s="537"/>
      <c r="I66" s="537"/>
      <c r="J66" s="1444"/>
      <c r="K66" s="1444"/>
      <c r="L66" s="1444"/>
      <c r="M66" s="1444"/>
      <c r="N66" s="1444"/>
      <c r="O66" s="1444"/>
      <c r="P66" s="1444"/>
      <c r="Q66" s="1444"/>
      <c r="R66" s="1444"/>
      <c r="S66" s="538"/>
      <c r="T66" s="538"/>
      <c r="U66" s="539"/>
      <c r="V66" s="538"/>
      <c r="W66" s="538"/>
      <c r="X66" s="538"/>
      <c r="Y66" s="1444" t="s">
        <v>255</v>
      </c>
      <c r="Z66" s="1444"/>
      <c r="AA66" s="1444"/>
      <c r="AB66" s="540"/>
      <c r="AC66" s="541"/>
      <c r="AD66" s="541"/>
      <c r="AE66" s="538"/>
    </row>
    <row r="67" spans="1:31" s="535" customFormat="1" ht="15" customHeight="1">
      <c r="A67" s="1449" t="s">
        <v>178</v>
      </c>
      <c r="B67" s="1449"/>
      <c r="C67" s="533"/>
      <c r="D67" s="626" t="s">
        <v>180</v>
      </c>
      <c r="E67" s="626" t="s">
        <v>180</v>
      </c>
      <c r="F67" s="642"/>
      <c r="G67" s="537"/>
      <c r="H67" s="537"/>
      <c r="I67" s="537"/>
      <c r="J67" s="536"/>
      <c r="K67" s="537"/>
      <c r="L67" s="536"/>
      <c r="M67" s="537"/>
      <c r="N67" s="536"/>
      <c r="O67" s="538"/>
      <c r="P67" s="538"/>
      <c r="Q67" s="543"/>
      <c r="R67" s="538"/>
      <c r="S67" s="538"/>
      <c r="T67" s="538"/>
      <c r="U67" s="538"/>
      <c r="V67" s="538"/>
      <c r="W67" s="538"/>
      <c r="X67" s="538"/>
      <c r="Y67" s="537"/>
      <c r="Z67" s="537"/>
      <c r="AA67" s="537"/>
      <c r="AB67" s="544"/>
      <c r="AC67" s="543"/>
      <c r="AD67" s="543"/>
      <c r="AE67" s="538"/>
    </row>
    <row r="68" spans="1:31" s="548" customFormat="1">
      <c r="A68" s="545"/>
      <c r="B68" s="545"/>
      <c r="C68" s="546"/>
      <c r="D68" s="645"/>
      <c r="E68" s="645"/>
      <c r="F68" s="542"/>
      <c r="G68" s="332"/>
      <c r="H68" s="332"/>
      <c r="I68" s="332"/>
      <c r="J68" s="547"/>
      <c r="K68" s="1327"/>
      <c r="L68" s="1327"/>
      <c r="M68" s="1327"/>
      <c r="N68" s="332"/>
      <c r="O68" s="549"/>
      <c r="P68" s="549"/>
      <c r="Q68" s="549"/>
      <c r="U68" s="1452"/>
      <c r="V68" s="1452"/>
      <c r="Y68" s="332"/>
      <c r="Z68" s="332"/>
      <c r="AA68" s="332"/>
      <c r="AB68" s="549"/>
      <c r="AC68" s="549"/>
      <c r="AD68" s="549"/>
    </row>
    <row r="69" spans="1:31" s="548" customFormat="1">
      <c r="A69" s="545"/>
      <c r="B69" s="545"/>
      <c r="C69" s="546"/>
      <c r="D69" s="645"/>
      <c r="E69" s="645"/>
      <c r="F69" s="533"/>
      <c r="G69" s="332"/>
      <c r="H69" s="332"/>
      <c r="I69" s="332"/>
      <c r="J69" s="547"/>
      <c r="K69" s="349"/>
      <c r="L69" s="349"/>
      <c r="M69" s="349"/>
      <c r="N69" s="332"/>
      <c r="O69" s="549"/>
      <c r="P69" s="549"/>
      <c r="Q69" s="549"/>
      <c r="U69" s="549"/>
      <c r="V69" s="549"/>
      <c r="Y69" s="332"/>
      <c r="Z69" s="332"/>
      <c r="AA69" s="332"/>
      <c r="AB69" s="549"/>
      <c r="AC69" s="549"/>
      <c r="AD69" s="549"/>
    </row>
    <row r="70" spans="1:31" s="535" customFormat="1">
      <c r="A70" s="548"/>
      <c r="B70" s="548"/>
      <c r="C70" s="534"/>
      <c r="D70" s="627"/>
      <c r="E70" s="627"/>
      <c r="F70" s="550"/>
      <c r="G70" s="332"/>
      <c r="H70" s="332"/>
      <c r="I70" s="332"/>
      <c r="J70" s="1327"/>
      <c r="K70" s="1327"/>
      <c r="L70" s="1327"/>
      <c r="M70" s="1327"/>
      <c r="N70" s="1327"/>
      <c r="O70" s="1327"/>
      <c r="P70" s="1327"/>
      <c r="Q70" s="1327"/>
      <c r="R70" s="1327"/>
      <c r="U70" s="1451"/>
      <c r="V70" s="1451"/>
      <c r="X70" s="1327" t="s">
        <v>256</v>
      </c>
      <c r="Y70" s="1327"/>
      <c r="Z70" s="1327"/>
      <c r="AA70" s="1327"/>
      <c r="AB70" s="1327"/>
      <c r="AC70" s="551"/>
      <c r="AD70" s="551"/>
    </row>
    <row r="71" spans="1:31" s="535" customFormat="1">
      <c r="A71" s="1450" t="s">
        <v>305</v>
      </c>
      <c r="B71" s="1450"/>
      <c r="C71" s="552"/>
      <c r="D71" s="628" t="s">
        <v>181</v>
      </c>
      <c r="E71" s="628" t="s">
        <v>319</v>
      </c>
      <c r="F71" s="643"/>
      <c r="G71" s="553"/>
      <c r="H71" s="553"/>
      <c r="I71" s="553"/>
      <c r="J71" s="1328"/>
      <c r="K71" s="1328"/>
      <c r="L71" s="1328"/>
      <c r="M71" s="1328"/>
      <c r="N71" s="1328"/>
      <c r="O71" s="1328"/>
      <c r="P71" s="1328"/>
      <c r="Q71" s="1328"/>
      <c r="R71" s="1328"/>
      <c r="Y71" s="553" t="s">
        <v>257</v>
      </c>
      <c r="Z71" s="553"/>
      <c r="AA71" s="553"/>
      <c r="AB71" s="554"/>
      <c r="AC71" s="555"/>
      <c r="AD71" s="555"/>
    </row>
    <row r="72" spans="1:31">
      <c r="A72" s="1328" t="s">
        <v>306</v>
      </c>
      <c r="B72" s="1328"/>
      <c r="C72" s="556"/>
      <c r="D72" s="646" t="s">
        <v>115</v>
      </c>
      <c r="E72" s="646" t="s">
        <v>320</v>
      </c>
      <c r="F72" s="644"/>
    </row>
    <row r="73" spans="1:31">
      <c r="D73" s="557"/>
    </row>
    <row r="74" spans="1:31">
      <c r="D74" s="557"/>
      <c r="E74" s="558"/>
    </row>
    <row r="75" spans="1:31">
      <c r="D75" s="557">
        <f>'GAJI MAINTENANCE AJ'!AZ39+'PANEN 1'!BF30+OPERATOR!AZ15</f>
        <v>263464807.39185542</v>
      </c>
      <c r="E75" s="558"/>
    </row>
    <row r="76" spans="1:31">
      <c r="C76" s="55"/>
      <c r="D76" s="55"/>
      <c r="E76" s="558"/>
    </row>
    <row r="77" spans="1:31">
      <c r="D77" s="557"/>
      <c r="E77" s="558"/>
    </row>
    <row r="78" spans="1:31">
      <c r="D78" s="55"/>
    </row>
    <row r="79" spans="1:31">
      <c r="D79" s="55"/>
    </row>
    <row r="80" spans="1:31">
      <c r="D80"/>
      <c r="E80" s="558"/>
    </row>
    <row r="81" spans="4:5">
      <c r="D81" s="55"/>
      <c r="E81" s="558"/>
    </row>
    <row r="82" spans="4:5">
      <c r="D82"/>
    </row>
    <row r="83" spans="4:5">
      <c r="D83"/>
    </row>
    <row r="84" spans="4:5">
      <c r="D84" s="557"/>
    </row>
    <row r="88" spans="4:5">
      <c r="D88"/>
      <c r="E88"/>
    </row>
    <row r="89" spans="4:5">
      <c r="D89"/>
      <c r="E89"/>
    </row>
    <row r="90" spans="4:5">
      <c r="D90"/>
      <c r="E90"/>
    </row>
    <row r="91" spans="4:5">
      <c r="D91"/>
      <c r="E91"/>
    </row>
    <row r="92" spans="4:5">
      <c r="D92"/>
      <c r="E92"/>
    </row>
  </sheetData>
  <mergeCells count="17">
    <mergeCell ref="A67:B67"/>
    <mergeCell ref="A71:B71"/>
    <mergeCell ref="A72:B72"/>
    <mergeCell ref="Y66:AA66"/>
    <mergeCell ref="J70:R70"/>
    <mergeCell ref="U70:V70"/>
    <mergeCell ref="X70:AB70"/>
    <mergeCell ref="J71:R71"/>
    <mergeCell ref="K68:M68"/>
    <mergeCell ref="U68:V68"/>
    <mergeCell ref="A63:C63"/>
    <mergeCell ref="A64:C64"/>
    <mergeCell ref="J66:R66"/>
    <mergeCell ref="A1:E1"/>
    <mergeCell ref="A2:E2"/>
    <mergeCell ref="A35:C35"/>
    <mergeCell ref="A40:C40"/>
  </mergeCells>
  <pageMargins left="0" right="0" top="0" bottom="0" header="0.3" footer="0.3"/>
  <pageSetup paperSize="9" scale="55" orientation="portrait" horizontalDpi="0" verticalDpi="0" r:id="rId1"/>
  <colBreaks count="1" manualBreakCount="1">
    <brk id="5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8"/>
  <sheetViews>
    <sheetView tabSelected="1" topLeftCell="A25" zoomScaleNormal="100" workbookViewId="0">
      <selection activeCell="N35" sqref="N35"/>
    </sheetView>
  </sheetViews>
  <sheetFormatPr defaultRowHeight="15"/>
  <cols>
    <col min="1" max="1" width="4.5703125" customWidth="1"/>
    <col min="2" max="2" width="8" customWidth="1"/>
    <col min="3" max="3" width="22.5703125" customWidth="1"/>
    <col min="4" max="4" width="12.7109375" customWidth="1"/>
    <col min="5" max="5" width="13.42578125" customWidth="1"/>
    <col min="6" max="6" width="13.42578125" style="665" customWidth="1"/>
    <col min="7" max="7" width="11" customWidth="1"/>
    <col min="8" max="8" width="10.85546875" customWidth="1"/>
    <col min="9" max="9" width="10.5703125" customWidth="1"/>
    <col min="10" max="11" width="10.140625" bestFit="1" customWidth="1"/>
    <col min="12" max="12" width="9.85546875" customWidth="1"/>
    <col min="13" max="13" width="8.5703125" customWidth="1"/>
    <col min="14" max="14" width="9" bestFit="1" customWidth="1"/>
    <col min="15" max="15" width="9.140625" bestFit="1" customWidth="1"/>
    <col min="16" max="16" width="10.140625" bestFit="1" customWidth="1"/>
    <col min="17" max="17" width="10" customWidth="1"/>
    <col min="18" max="18" width="9.28515625" customWidth="1"/>
    <col min="19" max="19" width="7.42578125" customWidth="1"/>
    <col min="20" max="20" width="9" customWidth="1"/>
    <col min="21" max="21" width="6.5703125" customWidth="1"/>
    <col min="22" max="22" width="9" customWidth="1"/>
    <col min="23" max="23" width="9" bestFit="1" customWidth="1"/>
    <col min="24" max="24" width="7.28515625" bestFit="1" customWidth="1"/>
    <col min="25" max="26" width="14.28515625" customWidth="1"/>
    <col min="27" max="27" width="10.42578125" customWidth="1"/>
  </cols>
  <sheetData>
    <row r="1" spans="1:27">
      <c r="A1" t="s">
        <v>298</v>
      </c>
    </row>
    <row r="2" spans="1:27">
      <c r="A2" t="s">
        <v>331</v>
      </c>
    </row>
    <row r="3" spans="1:27">
      <c r="P3" s="55"/>
    </row>
    <row r="4" spans="1:27" ht="21">
      <c r="A4" s="1335" t="s">
        <v>332</v>
      </c>
      <c r="B4" s="1335"/>
      <c r="C4" s="1335"/>
      <c r="D4" s="1335"/>
      <c r="E4" s="1335"/>
      <c r="F4" s="1335"/>
      <c r="G4" s="1335"/>
      <c r="H4" s="1335"/>
      <c r="I4" s="1335"/>
      <c r="J4" s="1335"/>
      <c r="K4" s="1335"/>
      <c r="L4" s="1335"/>
      <c r="M4" s="1335"/>
      <c r="N4" s="1335"/>
      <c r="O4" s="1335"/>
      <c r="P4" s="1335"/>
      <c r="Q4" s="1335"/>
      <c r="R4" s="1335"/>
      <c r="S4" s="1335"/>
      <c r="T4" s="1335"/>
      <c r="U4" s="1335"/>
      <c r="V4" s="1335"/>
      <c r="W4" s="1335"/>
      <c r="X4" s="1335"/>
      <c r="Y4" s="1335"/>
    </row>
    <row r="5" spans="1:27" ht="23.25" customHeight="1" thickBot="1">
      <c r="A5" s="1453" t="s">
        <v>299</v>
      </c>
      <c r="B5" s="1453"/>
      <c r="C5" s="1453"/>
      <c r="D5" s="1453"/>
      <c r="E5" s="1453"/>
      <c r="F5" s="1453"/>
      <c r="G5" s="1453"/>
      <c r="H5" s="1453"/>
      <c r="I5" s="1453"/>
      <c r="J5" s="1453"/>
      <c r="K5" s="1453"/>
      <c r="L5" s="1453"/>
      <c r="M5" s="1453"/>
      <c r="N5" s="1453"/>
      <c r="O5" s="1453"/>
      <c r="P5" s="1453"/>
      <c r="Q5" s="1453"/>
      <c r="R5" s="1453"/>
      <c r="S5" s="1453"/>
      <c r="T5" s="1453"/>
      <c r="U5" s="1453"/>
      <c r="V5" s="1453"/>
      <c r="W5" s="1453"/>
      <c r="X5" s="1453"/>
      <c r="Y5" s="1453"/>
    </row>
    <row r="6" spans="1:27" ht="12.75" customHeight="1">
      <c r="A6" s="1454" t="s">
        <v>40</v>
      </c>
      <c r="B6" s="1456" t="s">
        <v>333</v>
      </c>
      <c r="C6" s="1456" t="s">
        <v>81</v>
      </c>
      <c r="D6" s="1458" t="s">
        <v>334</v>
      </c>
      <c r="E6" s="1458" t="s">
        <v>335</v>
      </c>
      <c r="F6" s="1460" t="s">
        <v>300</v>
      </c>
      <c r="G6" s="1462" t="s">
        <v>336</v>
      </c>
      <c r="H6" s="1463"/>
      <c r="I6" s="1463"/>
      <c r="J6" s="1463"/>
      <c r="K6" s="1463"/>
      <c r="L6" s="1463"/>
      <c r="M6" s="1463"/>
      <c r="N6" s="1463"/>
      <c r="O6" s="1463"/>
      <c r="P6" s="1463"/>
      <c r="Q6" s="1463"/>
      <c r="R6" s="1463"/>
      <c r="S6" s="1463"/>
      <c r="T6" s="1463"/>
      <c r="U6" s="1463"/>
      <c r="V6" s="1463"/>
      <c r="W6" s="1463"/>
      <c r="X6" s="1464"/>
      <c r="Y6" s="1465" t="s">
        <v>337</v>
      </c>
    </row>
    <row r="7" spans="1:27" ht="12.75" customHeight="1">
      <c r="A7" s="1455"/>
      <c r="B7" s="1457"/>
      <c r="C7" s="1457"/>
      <c r="D7" s="1459"/>
      <c r="E7" s="1459"/>
      <c r="F7" s="1461"/>
      <c r="G7" s="1467" t="s">
        <v>26</v>
      </c>
      <c r="H7" s="1468"/>
      <c r="I7" s="1469"/>
      <c r="J7" s="1467" t="s">
        <v>338</v>
      </c>
      <c r="K7" s="1468"/>
      <c r="L7" s="1469"/>
      <c r="M7" s="1467" t="s">
        <v>141</v>
      </c>
      <c r="N7" s="1468"/>
      <c r="O7" s="1469"/>
      <c r="P7" s="1467" t="s">
        <v>143</v>
      </c>
      <c r="Q7" s="1468"/>
      <c r="R7" s="1469"/>
      <c r="S7" s="1467" t="s">
        <v>339</v>
      </c>
      <c r="T7" s="1468"/>
      <c r="U7" s="1469"/>
      <c r="V7" s="1470" t="s">
        <v>340</v>
      </c>
      <c r="W7" s="1471"/>
      <c r="X7" s="1472"/>
      <c r="Y7" s="1466"/>
    </row>
    <row r="8" spans="1:27" ht="12.75" customHeight="1" thickBot="1">
      <c r="A8" s="1455"/>
      <c r="B8" s="1457"/>
      <c r="C8" s="1457"/>
      <c r="D8" s="1459"/>
      <c r="E8" s="1459"/>
      <c r="F8" s="1461"/>
      <c r="G8" s="670" t="s">
        <v>341</v>
      </c>
      <c r="H8" s="670" t="s">
        <v>342</v>
      </c>
      <c r="I8" s="671" t="s">
        <v>343</v>
      </c>
      <c r="J8" s="670" t="s">
        <v>341</v>
      </c>
      <c r="K8" s="670" t="s">
        <v>342</v>
      </c>
      <c r="L8" s="671" t="s">
        <v>343</v>
      </c>
      <c r="M8" s="670" t="s">
        <v>341</v>
      </c>
      <c r="N8" s="670" t="s">
        <v>342</v>
      </c>
      <c r="O8" s="671" t="s">
        <v>343</v>
      </c>
      <c r="P8" s="670" t="s">
        <v>341</v>
      </c>
      <c r="Q8" s="670" t="s">
        <v>342</v>
      </c>
      <c r="R8" s="671" t="s">
        <v>343</v>
      </c>
      <c r="S8" s="670" t="s">
        <v>341</v>
      </c>
      <c r="T8" s="670" t="s">
        <v>342</v>
      </c>
      <c r="U8" s="671" t="s">
        <v>343</v>
      </c>
      <c r="V8" s="670" t="s">
        <v>341</v>
      </c>
      <c r="W8" s="670" t="s">
        <v>342</v>
      </c>
      <c r="X8" s="671" t="s">
        <v>343</v>
      </c>
      <c r="Y8" s="1466"/>
    </row>
    <row r="9" spans="1:27" ht="12.75" customHeight="1" thickBot="1">
      <c r="A9" s="1479" t="s">
        <v>344</v>
      </c>
      <c r="B9" s="1480"/>
      <c r="C9" s="1480"/>
      <c r="D9" s="1480"/>
      <c r="E9" s="1480"/>
      <c r="F9" s="672"/>
      <c r="G9" s="673"/>
      <c r="H9" s="673"/>
      <c r="I9" s="674"/>
      <c r="J9" s="673"/>
      <c r="K9" s="673"/>
      <c r="L9" s="674"/>
      <c r="M9" s="673"/>
      <c r="N9" s="673"/>
      <c r="O9" s="674"/>
      <c r="P9" s="673"/>
      <c r="Q9" s="673"/>
      <c r="R9" s="674"/>
      <c r="S9" s="673"/>
      <c r="T9" s="673"/>
      <c r="U9" s="673"/>
      <c r="V9" s="673"/>
      <c r="W9" s="673"/>
      <c r="X9" s="674"/>
      <c r="Y9" s="675"/>
      <c r="Z9" s="55">
        <f>F9-Y9</f>
        <v>0</v>
      </c>
      <c r="AA9" s="55"/>
    </row>
    <row r="10" spans="1:27" ht="12.75" customHeight="1">
      <c r="A10" s="676">
        <v>1</v>
      </c>
      <c r="B10" s="677"/>
      <c r="C10" s="245" t="s">
        <v>36</v>
      </c>
      <c r="D10" s="678">
        <f>'GAJI MAINTENANCE AJ'!AZ10</f>
        <v>8150894</v>
      </c>
      <c r="E10" s="928">
        <v>8150899</v>
      </c>
      <c r="F10" s="679">
        <f>E10-D10</f>
        <v>5</v>
      </c>
      <c r="G10" s="678"/>
      <c r="H10" s="678"/>
      <c r="I10" s="680">
        <f t="shared" ref="I10:I67" si="0">G10-H10</f>
        <v>0</v>
      </c>
      <c r="J10" s="678"/>
      <c r="K10" s="678"/>
      <c r="L10" s="680">
        <f t="shared" ref="L10:L67" si="1">J10-K10</f>
        <v>0</v>
      </c>
      <c r="M10" s="678"/>
      <c r="N10" s="678"/>
      <c r="O10" s="680">
        <f t="shared" ref="O10:O67" si="2">M10-N10</f>
        <v>0</v>
      </c>
      <c r="P10" s="678"/>
      <c r="Q10" s="678"/>
      <c r="R10" s="680">
        <f t="shared" ref="R10:R67" si="3">P10-Q10</f>
        <v>0</v>
      </c>
      <c r="S10" s="678"/>
      <c r="T10" s="678"/>
      <c r="U10" s="680">
        <f t="shared" ref="U10:U67" si="4">S10-T10</f>
        <v>0</v>
      </c>
      <c r="V10" s="678"/>
      <c r="W10" s="678"/>
      <c r="X10" s="681">
        <f t="shared" ref="X10:X67" si="5">-(V10-W10)</f>
        <v>0</v>
      </c>
      <c r="Y10" s="682">
        <f>I10+L10+O10+R10+U10+X10</f>
        <v>0</v>
      </c>
      <c r="Z10" s="55">
        <f>Y10+F10</f>
        <v>5</v>
      </c>
      <c r="AA10" s="55"/>
    </row>
    <row r="11" spans="1:27" ht="12.75" customHeight="1">
      <c r="A11" s="683">
        <v>2</v>
      </c>
      <c r="B11" s="684"/>
      <c r="C11" s="257" t="s">
        <v>53</v>
      </c>
      <c r="D11" s="678">
        <f>'GAJI MAINTENANCE AJ'!AZ11</f>
        <v>4405798</v>
      </c>
      <c r="E11" s="930">
        <v>4405798</v>
      </c>
      <c r="F11" s="685">
        <f t="shared" ref="F11:F38" si="6">E11-D11</f>
        <v>0</v>
      </c>
      <c r="G11" s="678"/>
      <c r="H11" s="653"/>
      <c r="I11" s="686">
        <f t="shared" si="0"/>
        <v>0</v>
      </c>
      <c r="J11" s="653"/>
      <c r="K11" s="653"/>
      <c r="L11" s="686">
        <f t="shared" si="1"/>
        <v>0</v>
      </c>
      <c r="M11" s="653"/>
      <c r="N11" s="653"/>
      <c r="O11" s="686">
        <f t="shared" si="2"/>
        <v>0</v>
      </c>
      <c r="P11" s="653"/>
      <c r="Q11" s="653"/>
      <c r="R11" s="686">
        <f t="shared" si="3"/>
        <v>0</v>
      </c>
      <c r="S11" s="653"/>
      <c r="T11" s="653"/>
      <c r="U11" s="686">
        <f t="shared" si="4"/>
        <v>0</v>
      </c>
      <c r="V11" s="653"/>
      <c r="W11" s="653"/>
      <c r="X11" s="687">
        <f t="shared" si="5"/>
        <v>0</v>
      </c>
      <c r="Y11" s="682">
        <f t="shared" ref="Y11:Y67" si="7">I11+L11+O11+R11+U11+X11</f>
        <v>0</v>
      </c>
      <c r="Z11" s="55">
        <f t="shared" ref="Z11:Z68" si="8">Y11+F11</f>
        <v>0</v>
      </c>
      <c r="AA11" s="55"/>
    </row>
    <row r="12" spans="1:27" ht="12.75" customHeight="1">
      <c r="A12" s="683">
        <v>3</v>
      </c>
      <c r="B12" s="684"/>
      <c r="C12" s="257" t="s">
        <v>12</v>
      </c>
      <c r="D12" s="678">
        <f>'GAJI MAINTENANCE AJ'!AZ12</f>
        <v>4323865</v>
      </c>
      <c r="E12" s="929">
        <v>4323865</v>
      </c>
      <c r="F12" s="685">
        <f t="shared" si="6"/>
        <v>0</v>
      </c>
      <c r="G12" s="678"/>
      <c r="H12" s="653"/>
      <c r="I12" s="686">
        <f t="shared" si="0"/>
        <v>0</v>
      </c>
      <c r="J12" s="653"/>
      <c r="K12" s="653"/>
      <c r="L12" s="686">
        <f t="shared" si="1"/>
        <v>0</v>
      </c>
      <c r="M12" s="653"/>
      <c r="N12" s="653"/>
      <c r="O12" s="686">
        <f t="shared" si="2"/>
        <v>0</v>
      </c>
      <c r="P12" s="653"/>
      <c r="Q12" s="653"/>
      <c r="R12" s="686">
        <f t="shared" si="3"/>
        <v>0</v>
      </c>
      <c r="S12" s="653"/>
      <c r="T12" s="653"/>
      <c r="U12" s="686">
        <f t="shared" si="4"/>
        <v>0</v>
      </c>
      <c r="V12" s="653"/>
      <c r="W12" s="653"/>
      <c r="X12" s="687">
        <f t="shared" si="5"/>
        <v>0</v>
      </c>
      <c r="Y12" s="682">
        <f t="shared" si="7"/>
        <v>0</v>
      </c>
      <c r="Z12" s="55">
        <f t="shared" si="8"/>
        <v>0</v>
      </c>
      <c r="AA12" s="55"/>
    </row>
    <row r="13" spans="1:27" ht="12.75" customHeight="1">
      <c r="A13" s="683">
        <v>4</v>
      </c>
      <c r="B13" s="684"/>
      <c r="C13" s="257" t="s">
        <v>54</v>
      </c>
      <c r="D13" s="678">
        <f>'GAJI MAINTENANCE AJ'!AZ13</f>
        <v>4246878</v>
      </c>
      <c r="E13" s="929">
        <v>4246878</v>
      </c>
      <c r="F13" s="685">
        <f t="shared" si="6"/>
        <v>0</v>
      </c>
      <c r="G13" s="678"/>
      <c r="H13" s="653"/>
      <c r="I13" s="686">
        <f t="shared" si="0"/>
        <v>0</v>
      </c>
      <c r="J13" s="653"/>
      <c r="K13" s="653"/>
      <c r="L13" s="686">
        <f t="shared" si="1"/>
        <v>0</v>
      </c>
      <c r="M13" s="653"/>
      <c r="N13" s="653"/>
      <c r="O13" s="686">
        <f t="shared" si="2"/>
        <v>0</v>
      </c>
      <c r="P13" s="653"/>
      <c r="Q13" s="653"/>
      <c r="R13" s="686">
        <f t="shared" si="3"/>
        <v>0</v>
      </c>
      <c r="S13" s="653"/>
      <c r="T13" s="653"/>
      <c r="U13" s="686">
        <f t="shared" si="4"/>
        <v>0</v>
      </c>
      <c r="V13" s="653"/>
      <c r="W13" s="653"/>
      <c r="X13" s="687">
        <f t="shared" si="5"/>
        <v>0</v>
      </c>
      <c r="Y13" s="682">
        <f t="shared" si="7"/>
        <v>0</v>
      </c>
      <c r="Z13" s="55">
        <f t="shared" si="8"/>
        <v>0</v>
      </c>
      <c r="AA13" s="55"/>
    </row>
    <row r="14" spans="1:27" ht="12.75" customHeight="1">
      <c r="A14" s="683">
        <v>5</v>
      </c>
      <c r="B14" s="684"/>
      <c r="C14" s="262" t="s">
        <v>55</v>
      </c>
      <c r="D14" s="678">
        <f>'GAJI MAINTENANCE AJ'!AZ14</f>
        <v>4145507</v>
      </c>
      <c r="E14" s="929">
        <v>4145507</v>
      </c>
      <c r="F14" s="685">
        <f t="shared" si="6"/>
        <v>0</v>
      </c>
      <c r="G14" s="678"/>
      <c r="H14" s="653"/>
      <c r="I14" s="686">
        <f t="shared" si="0"/>
        <v>0</v>
      </c>
      <c r="J14" s="653"/>
      <c r="K14" s="653"/>
      <c r="L14" s="686">
        <f t="shared" si="1"/>
        <v>0</v>
      </c>
      <c r="M14" s="653"/>
      <c r="N14" s="653"/>
      <c r="O14" s="686">
        <f t="shared" si="2"/>
        <v>0</v>
      </c>
      <c r="P14" s="653"/>
      <c r="Q14" s="653"/>
      <c r="R14" s="686">
        <f t="shared" si="3"/>
        <v>0</v>
      </c>
      <c r="S14" s="653"/>
      <c r="T14" s="653"/>
      <c r="U14" s="686">
        <f t="shared" si="4"/>
        <v>0</v>
      </c>
      <c r="V14" s="653"/>
      <c r="W14" s="653"/>
      <c r="X14" s="687">
        <f t="shared" si="5"/>
        <v>0</v>
      </c>
      <c r="Y14" s="682">
        <f t="shared" si="7"/>
        <v>0</v>
      </c>
      <c r="Z14" s="55">
        <f t="shared" si="8"/>
        <v>0</v>
      </c>
      <c r="AA14" s="55"/>
    </row>
    <row r="15" spans="1:27" ht="12.75" customHeight="1">
      <c r="A15" s="683">
        <v>6</v>
      </c>
      <c r="B15" s="684"/>
      <c r="C15" s="262" t="s">
        <v>56</v>
      </c>
      <c r="D15" s="678">
        <f>'GAJI MAINTENANCE AJ'!AZ15</f>
        <v>4284657</v>
      </c>
      <c r="E15" s="929">
        <v>4284657</v>
      </c>
      <c r="F15" s="685">
        <f t="shared" si="6"/>
        <v>0</v>
      </c>
      <c r="G15" s="678"/>
      <c r="H15" s="653"/>
      <c r="I15" s="686">
        <f t="shared" si="0"/>
        <v>0</v>
      </c>
      <c r="J15" s="653"/>
      <c r="K15" s="653"/>
      <c r="L15" s="686">
        <f t="shared" si="1"/>
        <v>0</v>
      </c>
      <c r="M15" s="653"/>
      <c r="N15" s="653"/>
      <c r="O15" s="686">
        <f t="shared" si="2"/>
        <v>0</v>
      </c>
      <c r="P15" s="653"/>
      <c r="Q15" s="653"/>
      <c r="R15" s="686">
        <f t="shared" si="3"/>
        <v>0</v>
      </c>
      <c r="S15" s="653"/>
      <c r="T15" s="653"/>
      <c r="U15" s="686">
        <f t="shared" si="4"/>
        <v>0</v>
      </c>
      <c r="V15" s="653"/>
      <c r="W15" s="653"/>
      <c r="X15" s="687">
        <f t="shared" si="5"/>
        <v>0</v>
      </c>
      <c r="Y15" s="682">
        <f t="shared" si="7"/>
        <v>0</v>
      </c>
      <c r="Z15" s="55">
        <f t="shared" si="8"/>
        <v>0</v>
      </c>
      <c r="AA15" s="55"/>
    </row>
    <row r="16" spans="1:27" ht="12.75" customHeight="1">
      <c r="A16" s="683">
        <v>7</v>
      </c>
      <c r="B16" s="684"/>
      <c r="C16" s="260" t="s">
        <v>57</v>
      </c>
      <c r="D16" s="678">
        <f>'GAJI MAINTENANCE AJ'!AZ16</f>
        <v>4152478</v>
      </c>
      <c r="E16" s="929">
        <v>4152478</v>
      </c>
      <c r="F16" s="685">
        <f t="shared" si="6"/>
        <v>0</v>
      </c>
      <c r="G16" s="678"/>
      <c r="H16" s="653"/>
      <c r="I16" s="686">
        <f t="shared" si="0"/>
        <v>0</v>
      </c>
      <c r="J16" s="653"/>
      <c r="K16" s="653"/>
      <c r="L16" s="686">
        <f t="shared" si="1"/>
        <v>0</v>
      </c>
      <c r="M16" s="653"/>
      <c r="N16" s="653"/>
      <c r="O16" s="686">
        <f t="shared" si="2"/>
        <v>0</v>
      </c>
      <c r="P16" s="653"/>
      <c r="Q16" s="653"/>
      <c r="R16" s="686">
        <f t="shared" si="3"/>
        <v>0</v>
      </c>
      <c r="S16" s="653"/>
      <c r="T16" s="653"/>
      <c r="U16" s="686">
        <f t="shared" si="4"/>
        <v>0</v>
      </c>
      <c r="V16" s="653"/>
      <c r="W16" s="653"/>
      <c r="X16" s="687">
        <f t="shared" si="5"/>
        <v>0</v>
      </c>
      <c r="Y16" s="682">
        <f t="shared" si="7"/>
        <v>0</v>
      </c>
      <c r="Z16" s="55">
        <f t="shared" si="8"/>
        <v>0</v>
      </c>
      <c r="AA16" s="55"/>
    </row>
    <row r="17" spans="1:27" ht="12.75" customHeight="1">
      <c r="A17" s="683">
        <v>8</v>
      </c>
      <c r="B17" s="684"/>
      <c r="C17" s="267" t="s">
        <v>58</v>
      </c>
      <c r="D17" s="678">
        <f>'GAJI MAINTENANCE AJ'!AZ17</f>
        <v>4264079</v>
      </c>
      <c r="E17" s="929">
        <v>4264079</v>
      </c>
      <c r="F17" s="685">
        <f t="shared" si="6"/>
        <v>0</v>
      </c>
      <c r="G17" s="678"/>
      <c r="H17" s="653"/>
      <c r="I17" s="686">
        <f t="shared" si="0"/>
        <v>0</v>
      </c>
      <c r="J17" s="653"/>
      <c r="K17" s="653"/>
      <c r="L17" s="686">
        <f t="shared" si="1"/>
        <v>0</v>
      </c>
      <c r="M17" s="653"/>
      <c r="N17" s="653"/>
      <c r="O17" s="686">
        <f t="shared" si="2"/>
        <v>0</v>
      </c>
      <c r="P17" s="653"/>
      <c r="Q17" s="653"/>
      <c r="R17" s="686">
        <f t="shared" si="3"/>
        <v>0</v>
      </c>
      <c r="S17" s="653"/>
      <c r="T17" s="653"/>
      <c r="U17" s="686">
        <f t="shared" si="4"/>
        <v>0</v>
      </c>
      <c r="V17" s="653"/>
      <c r="W17" s="653"/>
      <c r="X17" s="687">
        <f t="shared" si="5"/>
        <v>0</v>
      </c>
      <c r="Y17" s="682">
        <f t="shared" si="7"/>
        <v>0</v>
      </c>
      <c r="Z17" s="55">
        <f t="shared" si="8"/>
        <v>0</v>
      </c>
      <c r="AA17" s="55"/>
    </row>
    <row r="18" spans="1:27" ht="12.75" customHeight="1">
      <c r="A18" s="683">
        <v>9</v>
      </c>
      <c r="B18" s="684"/>
      <c r="C18" s="260" t="s">
        <v>59</v>
      </c>
      <c r="D18" s="678">
        <f>'GAJI MAINTENANCE AJ'!AZ18</f>
        <v>4284657</v>
      </c>
      <c r="E18" s="929">
        <v>4284657</v>
      </c>
      <c r="F18" s="685">
        <f t="shared" si="6"/>
        <v>0</v>
      </c>
      <c r="G18" s="678"/>
      <c r="H18" s="653"/>
      <c r="I18" s="686">
        <f t="shared" si="0"/>
        <v>0</v>
      </c>
      <c r="J18" s="653"/>
      <c r="K18" s="653"/>
      <c r="L18" s="686">
        <f t="shared" si="1"/>
        <v>0</v>
      </c>
      <c r="M18" s="653"/>
      <c r="N18" s="653"/>
      <c r="O18" s="686">
        <f t="shared" si="2"/>
        <v>0</v>
      </c>
      <c r="P18" s="653"/>
      <c r="Q18" s="653"/>
      <c r="R18" s="686">
        <f t="shared" si="3"/>
        <v>0</v>
      </c>
      <c r="S18" s="653"/>
      <c r="T18" s="653"/>
      <c r="U18" s="686">
        <f t="shared" si="4"/>
        <v>0</v>
      </c>
      <c r="V18" s="653"/>
      <c r="W18" s="653"/>
      <c r="X18" s="687">
        <f t="shared" si="5"/>
        <v>0</v>
      </c>
      <c r="Y18" s="682">
        <f t="shared" si="7"/>
        <v>0</v>
      </c>
      <c r="Z18" s="55">
        <f t="shared" si="8"/>
        <v>0</v>
      </c>
      <c r="AA18" s="55"/>
    </row>
    <row r="19" spans="1:27" ht="12.75" customHeight="1">
      <c r="A19" s="683">
        <v>10</v>
      </c>
      <c r="B19" s="751"/>
      <c r="C19" s="270" t="s">
        <v>60</v>
      </c>
      <c r="D19" s="678">
        <f>'GAJI MAINTENANCE AJ'!AZ19</f>
        <v>4307328</v>
      </c>
      <c r="E19" s="929">
        <v>4307328</v>
      </c>
      <c r="F19" s="685">
        <f t="shared" si="6"/>
        <v>0</v>
      </c>
      <c r="G19" s="678"/>
      <c r="H19" s="752"/>
      <c r="I19" s="686">
        <f t="shared" si="0"/>
        <v>0</v>
      </c>
      <c r="J19" s="752"/>
      <c r="K19" s="752"/>
      <c r="L19" s="686">
        <f t="shared" si="1"/>
        <v>0</v>
      </c>
      <c r="M19" s="752"/>
      <c r="N19" s="752"/>
      <c r="O19" s="686">
        <f t="shared" si="2"/>
        <v>0</v>
      </c>
      <c r="P19" s="752"/>
      <c r="Q19" s="752"/>
      <c r="R19" s="686">
        <f t="shared" si="3"/>
        <v>0</v>
      </c>
      <c r="S19" s="752"/>
      <c r="T19" s="752"/>
      <c r="U19" s="686">
        <f t="shared" si="4"/>
        <v>0</v>
      </c>
      <c r="V19" s="752"/>
      <c r="W19" s="752"/>
      <c r="X19" s="687">
        <f t="shared" si="5"/>
        <v>0</v>
      </c>
      <c r="Y19" s="682">
        <f t="shared" si="7"/>
        <v>0</v>
      </c>
      <c r="Z19" s="55">
        <f t="shared" si="8"/>
        <v>0</v>
      </c>
      <c r="AA19" s="55"/>
    </row>
    <row r="20" spans="1:27" ht="12.75" customHeight="1">
      <c r="A20" s="683">
        <v>11</v>
      </c>
      <c r="B20" s="684"/>
      <c r="C20" s="272" t="s">
        <v>61</v>
      </c>
      <c r="D20" s="678">
        <f>'GAJI MAINTENANCE AJ'!AZ20</f>
        <v>4250345</v>
      </c>
      <c r="E20" s="929">
        <v>4250345</v>
      </c>
      <c r="F20" s="685">
        <f t="shared" si="6"/>
        <v>0</v>
      </c>
      <c r="G20" s="678"/>
      <c r="H20" s="653"/>
      <c r="I20" s="686">
        <f t="shared" si="0"/>
        <v>0</v>
      </c>
      <c r="J20" s="653"/>
      <c r="K20" s="653"/>
      <c r="L20" s="686">
        <f t="shared" si="1"/>
        <v>0</v>
      </c>
      <c r="M20" s="653"/>
      <c r="N20" s="653"/>
      <c r="O20" s="686">
        <f t="shared" si="2"/>
        <v>0</v>
      </c>
      <c r="P20" s="653"/>
      <c r="Q20" s="653"/>
      <c r="R20" s="686">
        <f t="shared" si="3"/>
        <v>0</v>
      </c>
      <c r="S20" s="653"/>
      <c r="T20" s="653"/>
      <c r="U20" s="686">
        <f t="shared" si="4"/>
        <v>0</v>
      </c>
      <c r="V20" s="653"/>
      <c r="W20" s="653"/>
      <c r="X20" s="687">
        <f t="shared" si="5"/>
        <v>0</v>
      </c>
      <c r="Y20" s="682">
        <f t="shared" si="7"/>
        <v>0</v>
      </c>
      <c r="Z20" s="55">
        <f t="shared" si="8"/>
        <v>0</v>
      </c>
      <c r="AA20" s="55"/>
    </row>
    <row r="21" spans="1:27" ht="12.75" customHeight="1">
      <c r="A21" s="683">
        <v>12</v>
      </c>
      <c r="B21" s="684"/>
      <c r="C21" s="257" t="s">
        <v>62</v>
      </c>
      <c r="D21" s="678">
        <f>'GAJI MAINTENANCE AJ'!AZ21</f>
        <v>4297518</v>
      </c>
      <c r="E21" s="1492">
        <v>4297518</v>
      </c>
      <c r="F21" s="685">
        <f t="shared" si="6"/>
        <v>0</v>
      </c>
      <c r="G21" s="678"/>
      <c r="H21" s="653"/>
      <c r="I21" s="686">
        <f t="shared" si="0"/>
        <v>0</v>
      </c>
      <c r="J21" s="653"/>
      <c r="K21" s="653"/>
      <c r="L21" s="686">
        <f t="shared" si="1"/>
        <v>0</v>
      </c>
      <c r="M21" s="653"/>
      <c r="N21" s="653"/>
      <c r="O21" s="686">
        <f t="shared" si="2"/>
        <v>0</v>
      </c>
      <c r="P21" s="653"/>
      <c r="Q21" s="653"/>
      <c r="R21" s="686">
        <f t="shared" si="3"/>
        <v>0</v>
      </c>
      <c r="S21" s="653"/>
      <c r="T21" s="653"/>
      <c r="U21" s="686">
        <f t="shared" si="4"/>
        <v>0</v>
      </c>
      <c r="V21" s="653"/>
      <c r="W21" s="653"/>
      <c r="X21" s="687">
        <f t="shared" si="5"/>
        <v>0</v>
      </c>
      <c r="Y21" s="682">
        <f t="shared" si="7"/>
        <v>0</v>
      </c>
      <c r="Z21" s="55">
        <f t="shared" si="8"/>
        <v>0</v>
      </c>
      <c r="AA21" s="55"/>
    </row>
    <row r="22" spans="1:27" ht="12.75" customHeight="1">
      <c r="A22" s="683">
        <v>13</v>
      </c>
      <c r="B22" s="684"/>
      <c r="C22" s="260" t="s">
        <v>63</v>
      </c>
      <c r="D22" s="678">
        <f>'GAJI MAINTENANCE AJ'!AZ22</f>
        <v>4309675</v>
      </c>
      <c r="E22" s="929">
        <f>4335595-27000</f>
        <v>4308595</v>
      </c>
      <c r="F22" s="685">
        <f t="shared" si="6"/>
        <v>-1080</v>
      </c>
      <c r="G22" s="678"/>
      <c r="H22" s="653"/>
      <c r="I22" s="686">
        <f t="shared" si="0"/>
        <v>0</v>
      </c>
      <c r="J22" s="653"/>
      <c r="K22" s="653"/>
      <c r="L22" s="686">
        <f t="shared" si="1"/>
        <v>0</v>
      </c>
      <c r="M22" s="653"/>
      <c r="N22" s="653"/>
      <c r="O22" s="686">
        <f t="shared" si="2"/>
        <v>0</v>
      </c>
      <c r="P22" s="653"/>
      <c r="Q22" s="653"/>
      <c r="R22" s="686">
        <f t="shared" si="3"/>
        <v>0</v>
      </c>
      <c r="S22" s="653"/>
      <c r="T22" s="653"/>
      <c r="U22" s="686">
        <f t="shared" si="4"/>
        <v>0</v>
      </c>
      <c r="V22" s="653"/>
      <c r="W22" s="653"/>
      <c r="X22" s="687">
        <f t="shared" si="5"/>
        <v>0</v>
      </c>
      <c r="Y22" s="682">
        <f t="shared" si="7"/>
        <v>0</v>
      </c>
      <c r="Z22" s="55">
        <f t="shared" si="8"/>
        <v>-1080</v>
      </c>
      <c r="AA22" s="55"/>
    </row>
    <row r="23" spans="1:27" ht="12.75" customHeight="1">
      <c r="A23" s="683">
        <v>14</v>
      </c>
      <c r="B23" s="684"/>
      <c r="C23" s="260" t="s">
        <v>64</v>
      </c>
      <c r="D23" s="678">
        <f>'GAJI MAINTENANCE AJ'!AZ23</f>
        <v>4253098</v>
      </c>
      <c r="E23" s="929">
        <v>4253098</v>
      </c>
      <c r="F23" s="685">
        <f t="shared" si="6"/>
        <v>0</v>
      </c>
      <c r="G23" s="678"/>
      <c r="H23" s="653"/>
      <c r="I23" s="686">
        <f t="shared" si="0"/>
        <v>0</v>
      </c>
      <c r="J23" s="653"/>
      <c r="K23" s="653"/>
      <c r="L23" s="686">
        <f t="shared" si="1"/>
        <v>0</v>
      </c>
      <c r="M23" s="653"/>
      <c r="N23" s="653"/>
      <c r="O23" s="686">
        <f t="shared" si="2"/>
        <v>0</v>
      </c>
      <c r="P23" s="653"/>
      <c r="Q23" s="653"/>
      <c r="R23" s="686">
        <f t="shared" si="3"/>
        <v>0</v>
      </c>
      <c r="S23" s="653"/>
      <c r="T23" s="653"/>
      <c r="U23" s="686">
        <f t="shared" si="4"/>
        <v>0</v>
      </c>
      <c r="V23" s="653"/>
      <c r="W23" s="653"/>
      <c r="X23" s="687">
        <f t="shared" si="5"/>
        <v>0</v>
      </c>
      <c r="Y23" s="682">
        <f t="shared" si="7"/>
        <v>0</v>
      </c>
      <c r="Z23" s="55">
        <f t="shared" si="8"/>
        <v>0</v>
      </c>
      <c r="AA23" s="55"/>
    </row>
    <row r="24" spans="1:27" ht="12.75" customHeight="1">
      <c r="A24" s="683">
        <v>15</v>
      </c>
      <c r="B24" s="684"/>
      <c r="C24" s="609" t="s">
        <v>75</v>
      </c>
      <c r="D24" s="678">
        <f>'GAJI MAINTENANCE AJ'!AZ24</f>
        <v>4279286</v>
      </c>
      <c r="E24" s="929">
        <v>4279286</v>
      </c>
      <c r="F24" s="689">
        <f t="shared" si="6"/>
        <v>0</v>
      </c>
      <c r="G24" s="678"/>
      <c r="H24" s="653"/>
      <c r="I24" s="686">
        <f t="shared" si="0"/>
        <v>0</v>
      </c>
      <c r="J24" s="653"/>
      <c r="K24" s="653"/>
      <c r="L24" s="686">
        <f t="shared" si="1"/>
        <v>0</v>
      </c>
      <c r="M24" s="653"/>
      <c r="N24" s="653"/>
      <c r="O24" s="686">
        <f t="shared" si="2"/>
        <v>0</v>
      </c>
      <c r="P24" s="653"/>
      <c r="Q24" s="653"/>
      <c r="R24" s="686">
        <f t="shared" si="3"/>
        <v>0</v>
      </c>
      <c r="S24" s="653"/>
      <c r="T24" s="653"/>
      <c r="U24" s="686">
        <f t="shared" si="4"/>
        <v>0</v>
      </c>
      <c r="V24" s="653"/>
      <c r="W24" s="653"/>
      <c r="X24" s="687">
        <f t="shared" si="5"/>
        <v>0</v>
      </c>
      <c r="Y24" s="682">
        <f t="shared" si="7"/>
        <v>0</v>
      </c>
      <c r="Z24" s="55">
        <f t="shared" si="8"/>
        <v>0</v>
      </c>
      <c r="AA24" s="55"/>
    </row>
    <row r="25" spans="1:27" ht="12.75" customHeight="1">
      <c r="A25" s="683">
        <v>16</v>
      </c>
      <c r="B25" s="684"/>
      <c r="C25" s="787" t="s">
        <v>76</v>
      </c>
      <c r="D25" s="678">
        <f>'GAJI MAINTENANCE AJ'!AZ25</f>
        <v>4299064.55</v>
      </c>
      <c r="E25" s="929">
        <v>4299065</v>
      </c>
      <c r="F25" s="685">
        <f t="shared" si="6"/>
        <v>0.45000000018626451</v>
      </c>
      <c r="G25" s="678"/>
      <c r="H25" s="653"/>
      <c r="I25" s="686">
        <f t="shared" si="0"/>
        <v>0</v>
      </c>
      <c r="J25" s="653"/>
      <c r="K25" s="653"/>
      <c r="L25" s="686">
        <f t="shared" si="1"/>
        <v>0</v>
      </c>
      <c r="M25" s="653"/>
      <c r="N25" s="653"/>
      <c r="O25" s="686">
        <f t="shared" si="2"/>
        <v>0</v>
      </c>
      <c r="P25" s="653"/>
      <c r="Q25" s="653"/>
      <c r="R25" s="686">
        <f t="shared" si="3"/>
        <v>0</v>
      </c>
      <c r="S25" s="653"/>
      <c r="T25" s="653"/>
      <c r="U25" s="686">
        <f t="shared" si="4"/>
        <v>0</v>
      </c>
      <c r="V25" s="653"/>
      <c r="W25" s="653"/>
      <c r="X25" s="687">
        <f t="shared" si="5"/>
        <v>0</v>
      </c>
      <c r="Y25" s="682">
        <f t="shared" si="7"/>
        <v>0</v>
      </c>
      <c r="Z25" s="55">
        <f t="shared" si="8"/>
        <v>0.45000000018626451</v>
      </c>
      <c r="AA25" s="55"/>
    </row>
    <row r="26" spans="1:27" ht="12.75" customHeight="1">
      <c r="A26" s="683">
        <v>17</v>
      </c>
      <c r="B26" s="785"/>
      <c r="C26" s="787" t="s">
        <v>77</v>
      </c>
      <c r="D26" s="678">
        <f>'GAJI MAINTENANCE AJ'!AZ26</f>
        <v>4284657</v>
      </c>
      <c r="E26" s="929">
        <v>4284657</v>
      </c>
      <c r="F26" s="685">
        <f t="shared" si="6"/>
        <v>0</v>
      </c>
      <c r="G26" s="678"/>
      <c r="H26" s="786"/>
      <c r="I26" s="686">
        <f t="shared" si="0"/>
        <v>0</v>
      </c>
      <c r="J26" s="786"/>
      <c r="K26" s="786"/>
      <c r="L26" s="686">
        <f t="shared" si="1"/>
        <v>0</v>
      </c>
      <c r="M26" s="786"/>
      <c r="N26" s="786"/>
      <c r="O26" s="686">
        <f t="shared" si="2"/>
        <v>0</v>
      </c>
      <c r="P26" s="786"/>
      <c r="Q26" s="786"/>
      <c r="R26" s="686">
        <f t="shared" si="3"/>
        <v>0</v>
      </c>
      <c r="S26" s="786"/>
      <c r="T26" s="786"/>
      <c r="U26" s="686">
        <f t="shared" si="4"/>
        <v>0</v>
      </c>
      <c r="V26" s="786"/>
      <c r="W26" s="786"/>
      <c r="X26" s="687">
        <f t="shared" si="5"/>
        <v>0</v>
      </c>
      <c r="Y26" s="682">
        <f t="shared" si="7"/>
        <v>0</v>
      </c>
      <c r="Z26" s="55">
        <f t="shared" si="8"/>
        <v>0</v>
      </c>
      <c r="AA26" s="55"/>
    </row>
    <row r="27" spans="1:27" ht="12.75" customHeight="1">
      <c r="A27" s="683">
        <v>18</v>
      </c>
      <c r="B27" s="785"/>
      <c r="C27" s="787" t="s">
        <v>258</v>
      </c>
      <c r="D27" s="678">
        <f>'GAJI MAINTENANCE AJ'!AZ27</f>
        <v>5283453.7</v>
      </c>
      <c r="E27" s="929">
        <v>5283457</v>
      </c>
      <c r="F27" s="685">
        <f t="shared" si="6"/>
        <v>3.2999999998137355</v>
      </c>
      <c r="G27" s="678"/>
      <c r="H27" s="786"/>
      <c r="I27" s="686">
        <f t="shared" si="0"/>
        <v>0</v>
      </c>
      <c r="J27" s="786"/>
      <c r="K27" s="786"/>
      <c r="L27" s="686">
        <f t="shared" si="1"/>
        <v>0</v>
      </c>
      <c r="M27" s="786"/>
      <c r="N27" s="786"/>
      <c r="O27" s="686">
        <f t="shared" si="2"/>
        <v>0</v>
      </c>
      <c r="P27" s="786"/>
      <c r="Q27" s="786"/>
      <c r="R27" s="686">
        <f t="shared" si="3"/>
        <v>0</v>
      </c>
      <c r="S27" s="786"/>
      <c r="T27" s="786"/>
      <c r="U27" s="686">
        <f t="shared" si="4"/>
        <v>0</v>
      </c>
      <c r="V27" s="786"/>
      <c r="W27" s="786"/>
      <c r="X27" s="687">
        <f t="shared" si="5"/>
        <v>0</v>
      </c>
      <c r="Y27" s="682">
        <f t="shared" si="7"/>
        <v>0</v>
      </c>
      <c r="Z27" s="55">
        <f t="shared" si="8"/>
        <v>3.2999999998137355</v>
      </c>
      <c r="AA27" s="55"/>
    </row>
    <row r="28" spans="1:27" ht="12.75" customHeight="1">
      <c r="A28" s="683">
        <v>19</v>
      </c>
      <c r="B28" s="785"/>
      <c r="C28" s="787" t="s">
        <v>353</v>
      </c>
      <c r="D28" s="678">
        <f>'GAJI MAINTENANCE AJ'!AZ28</f>
        <v>4246878</v>
      </c>
      <c r="E28" s="929">
        <v>4246878</v>
      </c>
      <c r="F28" s="685">
        <f t="shared" si="6"/>
        <v>0</v>
      </c>
      <c r="G28" s="678"/>
      <c r="H28" s="786"/>
      <c r="I28" s="686">
        <f t="shared" si="0"/>
        <v>0</v>
      </c>
      <c r="J28" s="786"/>
      <c r="K28" s="786"/>
      <c r="L28" s="686">
        <f t="shared" si="1"/>
        <v>0</v>
      </c>
      <c r="M28" s="786"/>
      <c r="N28" s="786"/>
      <c r="O28" s="686">
        <f t="shared" si="2"/>
        <v>0</v>
      </c>
      <c r="P28" s="786"/>
      <c r="Q28" s="786"/>
      <c r="R28" s="686">
        <f t="shared" si="3"/>
        <v>0</v>
      </c>
      <c r="S28" s="786"/>
      <c r="T28" s="786"/>
      <c r="U28" s="686">
        <f t="shared" si="4"/>
        <v>0</v>
      </c>
      <c r="V28" s="786"/>
      <c r="W28" s="786"/>
      <c r="X28" s="687">
        <f t="shared" si="5"/>
        <v>0</v>
      </c>
      <c r="Y28" s="682">
        <f t="shared" si="7"/>
        <v>0</v>
      </c>
      <c r="Z28" s="55">
        <f t="shared" si="8"/>
        <v>0</v>
      </c>
      <c r="AA28" s="55"/>
    </row>
    <row r="29" spans="1:27" ht="12.75" customHeight="1">
      <c r="A29" s="683">
        <v>20</v>
      </c>
      <c r="B29" s="785"/>
      <c r="C29" s="787" t="s">
        <v>301</v>
      </c>
      <c r="D29" s="678">
        <f>'GAJI MAINTENANCE AJ'!AZ29</f>
        <v>4188150</v>
      </c>
      <c r="E29" s="929">
        <v>4188150</v>
      </c>
      <c r="F29" s="685">
        <f t="shared" si="6"/>
        <v>0</v>
      </c>
      <c r="G29" s="678"/>
      <c r="H29" s="786"/>
      <c r="I29" s="686">
        <f t="shared" si="0"/>
        <v>0</v>
      </c>
      <c r="J29" s="786"/>
      <c r="K29" s="786"/>
      <c r="L29" s="686">
        <f t="shared" si="1"/>
        <v>0</v>
      </c>
      <c r="M29" s="786"/>
      <c r="N29" s="786"/>
      <c r="O29" s="686">
        <f t="shared" si="2"/>
        <v>0</v>
      </c>
      <c r="P29" s="786"/>
      <c r="Q29" s="786"/>
      <c r="R29" s="686">
        <f t="shared" si="3"/>
        <v>0</v>
      </c>
      <c r="S29" s="786"/>
      <c r="T29" s="786"/>
      <c r="U29" s="686">
        <f t="shared" si="4"/>
        <v>0</v>
      </c>
      <c r="V29" s="786"/>
      <c r="W29" s="786"/>
      <c r="X29" s="687">
        <f t="shared" si="5"/>
        <v>0</v>
      </c>
      <c r="Y29" s="682">
        <f t="shared" si="7"/>
        <v>0</v>
      </c>
      <c r="Z29" s="55">
        <f t="shared" si="8"/>
        <v>0</v>
      </c>
      <c r="AA29" s="55"/>
    </row>
    <row r="30" spans="1:27" ht="12.75" customHeight="1">
      <c r="A30" s="683">
        <v>21</v>
      </c>
      <c r="B30" s="785"/>
      <c r="C30" s="787" t="s">
        <v>16</v>
      </c>
      <c r="D30" s="678">
        <f>'GAJI MAINTENANCE AJ'!AZ30</f>
        <v>4257951</v>
      </c>
      <c r="E30" s="929">
        <v>4257951</v>
      </c>
      <c r="F30" s="685">
        <f t="shared" si="6"/>
        <v>0</v>
      </c>
      <c r="G30" s="678"/>
      <c r="H30" s="786"/>
      <c r="I30" s="686">
        <f t="shared" si="0"/>
        <v>0</v>
      </c>
      <c r="J30" s="786"/>
      <c r="K30" s="786"/>
      <c r="L30" s="686">
        <f t="shared" si="1"/>
        <v>0</v>
      </c>
      <c r="M30" s="786"/>
      <c r="N30" s="786"/>
      <c r="O30" s="686">
        <f t="shared" si="2"/>
        <v>0</v>
      </c>
      <c r="P30" s="786"/>
      <c r="Q30" s="786"/>
      <c r="R30" s="686">
        <f t="shared" si="3"/>
        <v>0</v>
      </c>
      <c r="S30" s="786"/>
      <c r="T30" s="786"/>
      <c r="U30" s="686">
        <f t="shared" si="4"/>
        <v>0</v>
      </c>
      <c r="V30" s="786"/>
      <c r="W30" s="786"/>
      <c r="X30" s="687">
        <f t="shared" si="5"/>
        <v>0</v>
      </c>
      <c r="Y30" s="682">
        <f t="shared" si="7"/>
        <v>0</v>
      </c>
      <c r="Z30" s="55">
        <f t="shared" si="8"/>
        <v>0</v>
      </c>
      <c r="AA30" s="55"/>
    </row>
    <row r="31" spans="1:27" ht="12.75" customHeight="1">
      <c r="A31" s="683">
        <v>22</v>
      </c>
      <c r="B31" s="785"/>
      <c r="C31" s="787" t="s">
        <v>329</v>
      </c>
      <c r="D31" s="678">
        <f>'GAJI MAINTENANCE AJ'!AZ31</f>
        <v>4127785</v>
      </c>
      <c r="E31" s="929">
        <v>4127785</v>
      </c>
      <c r="F31" s="685">
        <f t="shared" si="6"/>
        <v>0</v>
      </c>
      <c r="G31" s="678"/>
      <c r="H31" s="786"/>
      <c r="I31" s="686">
        <f t="shared" si="0"/>
        <v>0</v>
      </c>
      <c r="J31" s="786"/>
      <c r="K31" s="786"/>
      <c r="L31" s="686">
        <f t="shared" si="1"/>
        <v>0</v>
      </c>
      <c r="M31" s="786"/>
      <c r="N31" s="786"/>
      <c r="O31" s="686">
        <f t="shared" si="2"/>
        <v>0</v>
      </c>
      <c r="P31" s="786"/>
      <c r="Q31" s="786"/>
      <c r="R31" s="686">
        <f t="shared" si="3"/>
        <v>0</v>
      </c>
      <c r="S31" s="786"/>
      <c r="T31" s="786"/>
      <c r="U31" s="686">
        <f t="shared" si="4"/>
        <v>0</v>
      </c>
      <c r="V31" s="786"/>
      <c r="W31" s="786"/>
      <c r="X31" s="687">
        <f t="shared" si="5"/>
        <v>0</v>
      </c>
      <c r="Y31" s="682">
        <f t="shared" si="7"/>
        <v>0</v>
      </c>
      <c r="Z31" s="55">
        <f t="shared" si="8"/>
        <v>0</v>
      </c>
      <c r="AA31" s="55"/>
    </row>
    <row r="32" spans="1:27" ht="12.75" customHeight="1">
      <c r="A32" s="683">
        <v>23</v>
      </c>
      <c r="B32" s="785"/>
      <c r="C32" s="787" t="s">
        <v>229</v>
      </c>
      <c r="D32" s="678">
        <f>'GAJI MAINTENANCE AJ'!AZ32</f>
        <v>4247118</v>
      </c>
      <c r="E32" s="929">
        <v>4221198</v>
      </c>
      <c r="F32" s="685">
        <f t="shared" si="6"/>
        <v>-25920</v>
      </c>
      <c r="G32" s="678">
        <f>'GAJI MAINTENANCE AJ'!G32+'GAJI MAINTENANCE AJ'!O32+'GAJI MAINTENANCE AJ'!Q32</f>
        <v>4169500</v>
      </c>
      <c r="H32" s="786">
        <v>4169500</v>
      </c>
      <c r="I32" s="686">
        <f t="shared" si="0"/>
        <v>0</v>
      </c>
      <c r="J32" s="786"/>
      <c r="K32" s="786"/>
      <c r="L32" s="686">
        <f t="shared" si="1"/>
        <v>0</v>
      </c>
      <c r="M32" s="786">
        <f>'GAJI MAINTENANCE AJ'!X32</f>
        <v>130200</v>
      </c>
      <c r="N32" s="786">
        <v>130200</v>
      </c>
      <c r="O32" s="686">
        <f t="shared" si="2"/>
        <v>0</v>
      </c>
      <c r="P32" s="786">
        <v>27000</v>
      </c>
      <c r="Q32" s="786"/>
      <c r="R32" s="686">
        <f t="shared" si="3"/>
        <v>27000</v>
      </c>
      <c r="S32" s="786"/>
      <c r="T32" s="786"/>
      <c r="U32" s="686">
        <f t="shared" si="4"/>
        <v>0</v>
      </c>
      <c r="V32" s="786"/>
      <c r="W32" s="786"/>
      <c r="X32" s="687">
        <f t="shared" si="5"/>
        <v>0</v>
      </c>
      <c r="Y32" s="682">
        <f t="shared" si="7"/>
        <v>27000</v>
      </c>
      <c r="Z32" s="55">
        <f t="shared" si="8"/>
        <v>1080</v>
      </c>
      <c r="AA32" s="55"/>
    </row>
    <row r="33" spans="1:27" ht="12.75" customHeight="1">
      <c r="A33" s="683">
        <v>24</v>
      </c>
      <c r="B33" s="785"/>
      <c r="C33" s="787" t="s">
        <v>328</v>
      </c>
      <c r="D33" s="678">
        <f>'GAJI MAINTENANCE AJ'!AZ33</f>
        <v>3844800</v>
      </c>
      <c r="E33" s="929">
        <v>3844800</v>
      </c>
      <c r="F33" s="685">
        <f t="shared" si="6"/>
        <v>0</v>
      </c>
      <c r="G33" s="678"/>
      <c r="H33" s="786"/>
      <c r="I33" s="686">
        <f t="shared" si="0"/>
        <v>0</v>
      </c>
      <c r="J33" s="786"/>
      <c r="K33" s="786"/>
      <c r="L33" s="686">
        <f t="shared" si="1"/>
        <v>0</v>
      </c>
      <c r="M33" s="786"/>
      <c r="N33" s="786"/>
      <c r="O33" s="686">
        <f t="shared" si="2"/>
        <v>0</v>
      </c>
      <c r="P33" s="786"/>
      <c r="Q33" s="786"/>
      <c r="R33" s="686">
        <f t="shared" si="3"/>
        <v>0</v>
      </c>
      <c r="S33" s="786"/>
      <c r="T33" s="786"/>
      <c r="U33" s="686">
        <f t="shared" si="4"/>
        <v>0</v>
      </c>
      <c r="V33" s="786"/>
      <c r="W33" s="786"/>
      <c r="X33" s="687">
        <f t="shared" si="5"/>
        <v>0</v>
      </c>
      <c r="Y33" s="682">
        <f t="shared" si="7"/>
        <v>0</v>
      </c>
      <c r="Z33" s="55">
        <f t="shared" si="8"/>
        <v>0</v>
      </c>
      <c r="AA33" s="55"/>
    </row>
    <row r="34" spans="1:27" ht="12.75" customHeight="1">
      <c r="A34" s="683">
        <v>25</v>
      </c>
      <c r="B34" s="785"/>
      <c r="C34" s="787" t="s">
        <v>326</v>
      </c>
      <c r="D34" s="678">
        <f>'GAJI MAINTENANCE AJ'!AZ34</f>
        <v>4260052</v>
      </c>
      <c r="E34" s="929">
        <v>4260052</v>
      </c>
      <c r="F34" s="685">
        <f t="shared" si="6"/>
        <v>0</v>
      </c>
      <c r="G34" s="678"/>
      <c r="H34" s="786"/>
      <c r="I34" s="686">
        <f t="shared" si="0"/>
        <v>0</v>
      </c>
      <c r="J34" s="786"/>
      <c r="K34" s="786"/>
      <c r="L34" s="686">
        <f t="shared" si="1"/>
        <v>0</v>
      </c>
      <c r="M34" s="786"/>
      <c r="N34" s="786"/>
      <c r="O34" s="686">
        <f t="shared" si="2"/>
        <v>0</v>
      </c>
      <c r="P34" s="786"/>
      <c r="Q34" s="786"/>
      <c r="R34" s="686">
        <f t="shared" si="3"/>
        <v>0</v>
      </c>
      <c r="S34" s="786"/>
      <c r="T34" s="786"/>
      <c r="U34" s="686">
        <f t="shared" si="4"/>
        <v>0</v>
      </c>
      <c r="V34" s="786"/>
      <c r="W34" s="786"/>
      <c r="X34" s="687">
        <f t="shared" si="5"/>
        <v>0</v>
      </c>
      <c r="Y34" s="682">
        <f t="shared" si="7"/>
        <v>0</v>
      </c>
      <c r="Z34" s="55">
        <f t="shared" si="8"/>
        <v>0</v>
      </c>
      <c r="AA34" s="55"/>
    </row>
    <row r="35" spans="1:27" ht="12.75" customHeight="1">
      <c r="A35" s="683">
        <v>26</v>
      </c>
      <c r="B35" s="785"/>
      <c r="C35" s="787" t="s">
        <v>388</v>
      </c>
      <c r="D35" s="678">
        <f>'GAJI MAINTENANCE AJ'!AZ35</f>
        <v>4077850</v>
      </c>
      <c r="E35" s="929">
        <v>4077850</v>
      </c>
      <c r="F35" s="685">
        <f t="shared" si="6"/>
        <v>0</v>
      </c>
      <c r="G35" s="678"/>
      <c r="H35" s="786"/>
      <c r="I35" s="686">
        <f t="shared" si="0"/>
        <v>0</v>
      </c>
      <c r="J35" s="786"/>
      <c r="K35" s="786"/>
      <c r="L35" s="686">
        <f t="shared" si="1"/>
        <v>0</v>
      </c>
      <c r="M35" s="786"/>
      <c r="N35" s="786"/>
      <c r="O35" s="686">
        <f t="shared" si="2"/>
        <v>0</v>
      </c>
      <c r="P35" s="786"/>
      <c r="Q35" s="786"/>
      <c r="R35" s="686">
        <f t="shared" si="3"/>
        <v>0</v>
      </c>
      <c r="S35" s="786"/>
      <c r="T35" s="786"/>
      <c r="U35" s="686">
        <f t="shared" si="4"/>
        <v>0</v>
      </c>
      <c r="V35" s="786"/>
      <c r="W35" s="786"/>
      <c r="X35" s="687">
        <f t="shared" si="5"/>
        <v>0</v>
      </c>
      <c r="Y35" s="682">
        <f t="shared" si="7"/>
        <v>0</v>
      </c>
      <c r="Z35" s="55">
        <f t="shared" si="8"/>
        <v>0</v>
      </c>
      <c r="AA35" s="55"/>
    </row>
    <row r="36" spans="1:27" ht="12.75" customHeight="1">
      <c r="A36" s="683">
        <v>27</v>
      </c>
      <c r="B36" s="785"/>
      <c r="C36" s="787" t="s">
        <v>386</v>
      </c>
      <c r="D36" s="678">
        <f>'GAJI MAINTENANCE AJ'!AZ36</f>
        <v>3941100</v>
      </c>
      <c r="E36" s="929">
        <v>3941100</v>
      </c>
      <c r="F36" s="685">
        <f t="shared" si="6"/>
        <v>0</v>
      </c>
      <c r="G36" s="678"/>
      <c r="H36" s="786"/>
      <c r="I36" s="686">
        <f t="shared" si="0"/>
        <v>0</v>
      </c>
      <c r="J36" s="786"/>
      <c r="K36" s="786"/>
      <c r="L36" s="686">
        <f t="shared" si="1"/>
        <v>0</v>
      </c>
      <c r="M36" s="786"/>
      <c r="N36" s="786"/>
      <c r="O36" s="686">
        <f t="shared" si="2"/>
        <v>0</v>
      </c>
      <c r="P36" s="786"/>
      <c r="Q36" s="786"/>
      <c r="R36" s="686">
        <f t="shared" si="3"/>
        <v>0</v>
      </c>
      <c r="S36" s="786"/>
      <c r="T36" s="786"/>
      <c r="U36" s="686">
        <f t="shared" si="4"/>
        <v>0</v>
      </c>
      <c r="V36" s="786"/>
      <c r="W36" s="786"/>
      <c r="X36" s="687">
        <f t="shared" si="5"/>
        <v>0</v>
      </c>
      <c r="Y36" s="682">
        <f t="shared" si="7"/>
        <v>0</v>
      </c>
      <c r="Z36" s="55">
        <f t="shared" si="8"/>
        <v>0</v>
      </c>
      <c r="AA36" s="55"/>
    </row>
    <row r="37" spans="1:27" ht="12.75" customHeight="1">
      <c r="A37" s="683">
        <v>28</v>
      </c>
      <c r="B37" s="785"/>
      <c r="C37" s="787" t="s">
        <v>387</v>
      </c>
      <c r="D37" s="678">
        <f>'GAJI MAINTENANCE AJ'!AZ37</f>
        <v>3941100</v>
      </c>
      <c r="E37" s="929">
        <v>3941100</v>
      </c>
      <c r="F37" s="685">
        <f t="shared" si="6"/>
        <v>0</v>
      </c>
      <c r="G37" s="678"/>
      <c r="H37" s="786"/>
      <c r="I37" s="686">
        <f t="shared" si="0"/>
        <v>0</v>
      </c>
      <c r="J37" s="786"/>
      <c r="K37" s="786"/>
      <c r="L37" s="686">
        <f t="shared" si="1"/>
        <v>0</v>
      </c>
      <c r="M37" s="786"/>
      <c r="N37" s="786"/>
      <c r="O37" s="686">
        <f t="shared" si="2"/>
        <v>0</v>
      </c>
      <c r="P37" s="786"/>
      <c r="Q37" s="786"/>
      <c r="R37" s="686">
        <f t="shared" si="3"/>
        <v>0</v>
      </c>
      <c r="S37" s="786"/>
      <c r="T37" s="786"/>
      <c r="U37" s="686">
        <f t="shared" si="4"/>
        <v>0</v>
      </c>
      <c r="V37" s="786"/>
      <c r="W37" s="786"/>
      <c r="X37" s="687">
        <f t="shared" si="5"/>
        <v>0</v>
      </c>
      <c r="Y37" s="682">
        <f t="shared" si="7"/>
        <v>0</v>
      </c>
      <c r="Z37" s="55">
        <f t="shared" si="8"/>
        <v>0</v>
      </c>
      <c r="AA37" s="55"/>
    </row>
    <row r="38" spans="1:27" ht="12.75" customHeight="1" thickBot="1">
      <c r="A38" s="683">
        <v>29</v>
      </c>
      <c r="B38" s="684"/>
      <c r="C38" s="245" t="s">
        <v>406</v>
      </c>
      <c r="D38" s="678">
        <f>'GAJI MAINTENANCE AJ'!AZ38</f>
        <v>4150480</v>
      </c>
      <c r="E38" s="929">
        <v>4150480</v>
      </c>
      <c r="F38" s="685">
        <f t="shared" si="6"/>
        <v>0</v>
      </c>
      <c r="G38" s="678"/>
      <c r="H38" s="653"/>
      <c r="I38" s="686">
        <f t="shared" si="0"/>
        <v>0</v>
      </c>
      <c r="J38" s="653"/>
      <c r="K38" s="653"/>
      <c r="L38" s="686">
        <f t="shared" si="1"/>
        <v>0</v>
      </c>
      <c r="M38" s="653"/>
      <c r="N38" s="653"/>
      <c r="O38" s="686">
        <f t="shared" si="2"/>
        <v>0</v>
      </c>
      <c r="P38" s="653"/>
      <c r="Q38" s="653"/>
      <c r="R38" s="686">
        <f t="shared" si="3"/>
        <v>0</v>
      </c>
      <c r="S38" s="653"/>
      <c r="T38" s="653"/>
      <c r="U38" s="686">
        <f t="shared" si="4"/>
        <v>0</v>
      </c>
      <c r="V38" s="653"/>
      <c r="W38" s="653"/>
      <c r="X38" s="687">
        <f t="shared" si="5"/>
        <v>0</v>
      </c>
      <c r="Y38" s="682">
        <f t="shared" si="7"/>
        <v>0</v>
      </c>
      <c r="Z38" s="55">
        <f t="shared" si="8"/>
        <v>0</v>
      </c>
      <c r="AA38" s="55"/>
    </row>
    <row r="39" spans="1:27" ht="12.75" customHeight="1" thickBot="1">
      <c r="A39" s="1481" t="s">
        <v>10</v>
      </c>
      <c r="B39" s="1482"/>
      <c r="C39" s="1483"/>
      <c r="D39" s="690">
        <f t="shared" ref="D39:X39" si="9">SUM(D10:D38)</f>
        <v>127106502.25</v>
      </c>
      <c r="E39" s="690">
        <f t="shared" si="9"/>
        <v>127079511</v>
      </c>
      <c r="F39" s="690">
        <f t="shared" si="9"/>
        <v>-26991.25</v>
      </c>
      <c r="G39" s="690">
        <f t="shared" si="9"/>
        <v>4169500</v>
      </c>
      <c r="H39" s="690">
        <f t="shared" si="9"/>
        <v>4169500</v>
      </c>
      <c r="I39" s="690">
        <f t="shared" si="9"/>
        <v>0</v>
      </c>
      <c r="J39" s="690">
        <f t="shared" si="9"/>
        <v>0</v>
      </c>
      <c r="K39" s="690">
        <f t="shared" si="9"/>
        <v>0</v>
      </c>
      <c r="L39" s="690">
        <f t="shared" si="9"/>
        <v>0</v>
      </c>
      <c r="M39" s="690">
        <f t="shared" si="9"/>
        <v>130200</v>
      </c>
      <c r="N39" s="690">
        <f t="shared" si="9"/>
        <v>130200</v>
      </c>
      <c r="O39" s="690">
        <f t="shared" si="9"/>
        <v>0</v>
      </c>
      <c r="P39" s="690">
        <f t="shared" si="9"/>
        <v>27000</v>
      </c>
      <c r="Q39" s="690">
        <f t="shared" si="9"/>
        <v>0</v>
      </c>
      <c r="R39" s="690">
        <f t="shared" si="9"/>
        <v>27000</v>
      </c>
      <c r="S39" s="690">
        <f t="shared" si="9"/>
        <v>0</v>
      </c>
      <c r="T39" s="690">
        <f t="shared" si="9"/>
        <v>0</v>
      </c>
      <c r="U39" s="690">
        <f t="shared" si="9"/>
        <v>0</v>
      </c>
      <c r="V39" s="690">
        <f t="shared" si="9"/>
        <v>0</v>
      </c>
      <c r="W39" s="690">
        <f t="shared" si="9"/>
        <v>0</v>
      </c>
      <c r="X39" s="690">
        <f t="shared" si="9"/>
        <v>0</v>
      </c>
      <c r="Y39" s="706">
        <f t="shared" si="7"/>
        <v>27000</v>
      </c>
      <c r="Z39" s="55">
        <f t="shared" si="8"/>
        <v>8.75</v>
      </c>
      <c r="AA39" s="55"/>
    </row>
    <row r="40" spans="1:27" ht="12.75" customHeight="1" thickBot="1">
      <c r="A40" s="1479" t="s">
        <v>345</v>
      </c>
      <c r="B40" s="1480"/>
      <c r="C40" s="1480"/>
      <c r="D40" s="1480"/>
      <c r="E40" s="1480"/>
      <c r="F40" s="691"/>
      <c r="G40" s="692"/>
      <c r="H40" s="692"/>
      <c r="I40" s="693"/>
      <c r="J40" s="692"/>
      <c r="K40" s="692"/>
      <c r="L40" s="693"/>
      <c r="M40" s="692"/>
      <c r="N40" s="692"/>
      <c r="O40" s="693"/>
      <c r="P40" s="692"/>
      <c r="Q40" s="692"/>
      <c r="R40" s="693"/>
      <c r="S40" s="692"/>
      <c r="T40" s="692"/>
      <c r="U40" s="693"/>
      <c r="V40" s="692"/>
      <c r="W40" s="692"/>
      <c r="X40" s="693"/>
      <c r="Y40" s="706">
        <f t="shared" si="7"/>
        <v>0</v>
      </c>
      <c r="Z40" s="55">
        <f t="shared" si="8"/>
        <v>0</v>
      </c>
    </row>
    <row r="41" spans="1:27" ht="12.75" customHeight="1">
      <c r="A41" s="694">
        <v>30</v>
      </c>
      <c r="B41" s="695"/>
      <c r="C41" s="696" t="s">
        <v>214</v>
      </c>
      <c r="D41" s="927">
        <f>OPERATOR!AZ11</f>
        <v>8047815.7999999998</v>
      </c>
      <c r="E41" s="929">
        <v>8036160</v>
      </c>
      <c r="F41" s="1289">
        <f>E41-D41</f>
        <v>-11655.799999999814</v>
      </c>
      <c r="G41" s="697"/>
      <c r="H41" s="697"/>
      <c r="I41" s="698">
        <f>G41-H41</f>
        <v>0</v>
      </c>
      <c r="J41" s="418">
        <f>OPERATOR!AE11</f>
        <v>1492716.8</v>
      </c>
      <c r="K41" s="697" t="s">
        <v>611</v>
      </c>
      <c r="L41" s="698">
        <f>J41-K41</f>
        <v>11655.800000000047</v>
      </c>
      <c r="M41" s="697"/>
      <c r="N41" s="697"/>
      <c r="O41" s="698">
        <f>M41-N41</f>
        <v>0</v>
      </c>
      <c r="P41" s="697"/>
      <c r="Q41" s="697"/>
      <c r="R41" s="698">
        <f>P41-Q41</f>
        <v>0</v>
      </c>
      <c r="S41" s="697"/>
      <c r="T41" s="697"/>
      <c r="U41" s="698">
        <f>S41-T41</f>
        <v>0</v>
      </c>
      <c r="V41" s="697"/>
      <c r="W41" s="697"/>
      <c r="X41" s="699">
        <f>-(V41-W41)</f>
        <v>0</v>
      </c>
      <c r="Y41" s="682">
        <f t="shared" si="7"/>
        <v>11655.800000000047</v>
      </c>
      <c r="Z41" s="55">
        <f t="shared" si="8"/>
        <v>2.3283064365386963E-10</v>
      </c>
      <c r="AA41" s="55"/>
    </row>
    <row r="42" spans="1:27" ht="12.75" customHeight="1">
      <c r="A42" s="683">
        <v>31</v>
      </c>
      <c r="B42" s="684"/>
      <c r="C42" s="700" t="s">
        <v>216</v>
      </c>
      <c r="D42" s="786">
        <f>OPERATOR!AZ12</f>
        <v>7893136.5999999996</v>
      </c>
      <c r="E42" s="930">
        <v>7893142</v>
      </c>
      <c r="F42" s="1284">
        <f t="shared" ref="F42:F44" si="10">E42-D42</f>
        <v>5.400000000372529</v>
      </c>
      <c r="G42" s="653"/>
      <c r="H42" s="653"/>
      <c r="I42" s="686">
        <f>G42-H42</f>
        <v>0</v>
      </c>
      <c r="J42" s="418"/>
      <c r="K42" s="746"/>
      <c r="L42" s="686">
        <f>J42-K42</f>
        <v>0</v>
      </c>
      <c r="M42" s="653"/>
      <c r="N42" s="653"/>
      <c r="O42" s="686">
        <f>M42-N42</f>
        <v>0</v>
      </c>
      <c r="P42" s="653"/>
      <c r="Q42" s="653"/>
      <c r="R42" s="686">
        <f>P42-Q42</f>
        <v>0</v>
      </c>
      <c r="S42" s="653"/>
      <c r="T42" s="653"/>
      <c r="U42" s="686">
        <f>S42-T42</f>
        <v>0</v>
      </c>
      <c r="V42" s="653"/>
      <c r="W42" s="653"/>
      <c r="X42" s="687">
        <f>-(V42-W42)</f>
        <v>0</v>
      </c>
      <c r="Y42" s="682">
        <f t="shared" si="7"/>
        <v>0</v>
      </c>
      <c r="Z42" s="55">
        <f t="shared" si="8"/>
        <v>5.400000000372529</v>
      </c>
      <c r="AA42" s="55"/>
    </row>
    <row r="43" spans="1:27" ht="12.75" customHeight="1">
      <c r="A43" s="683">
        <v>32</v>
      </c>
      <c r="B43" s="684"/>
      <c r="C43" s="700" t="s">
        <v>218</v>
      </c>
      <c r="D43" s="786">
        <f>OPERATOR!AZ13</f>
        <v>6848155.7999999998</v>
      </c>
      <c r="E43" s="930">
        <v>6848160</v>
      </c>
      <c r="F43" s="1284">
        <f t="shared" si="10"/>
        <v>4.2000000001862645</v>
      </c>
      <c r="G43" s="653"/>
      <c r="H43" s="653"/>
      <c r="I43" s="686">
        <f>G43-H43</f>
        <v>0</v>
      </c>
      <c r="J43" s="418"/>
      <c r="K43" s="653"/>
      <c r="L43" s="686">
        <f>J43-K43</f>
        <v>0</v>
      </c>
      <c r="M43" s="653"/>
      <c r="N43" s="653"/>
      <c r="O43" s="686">
        <f>M43-N43</f>
        <v>0</v>
      </c>
      <c r="P43" s="653"/>
      <c r="Q43" s="653"/>
      <c r="R43" s="686">
        <f>P43-Q43</f>
        <v>0</v>
      </c>
      <c r="S43" s="653"/>
      <c r="T43" s="653"/>
      <c r="U43" s="686">
        <f>S43-T43</f>
        <v>0</v>
      </c>
      <c r="V43" s="653"/>
      <c r="W43" s="653"/>
      <c r="X43" s="687">
        <f>-(V43-W43)</f>
        <v>0</v>
      </c>
      <c r="Y43" s="682">
        <f t="shared" si="7"/>
        <v>0</v>
      </c>
      <c r="Z43" s="55">
        <f t="shared" si="8"/>
        <v>4.2000000001862645</v>
      </c>
      <c r="AA43" s="55"/>
    </row>
    <row r="44" spans="1:27" ht="12.75" customHeight="1" thickBot="1">
      <c r="A44" s="683">
        <v>33</v>
      </c>
      <c r="B44" s="684"/>
      <c r="C44" s="700" t="s">
        <v>220</v>
      </c>
      <c r="D44" s="1287">
        <f>OPERATOR!AZ14</f>
        <v>7005340.3499999996</v>
      </c>
      <c r="E44" s="929">
        <v>7005345</v>
      </c>
      <c r="F44" s="1290">
        <f t="shared" si="10"/>
        <v>4.650000000372529</v>
      </c>
      <c r="G44" s="653"/>
      <c r="H44" s="653"/>
      <c r="I44" s="686">
        <f>G44-H44</f>
        <v>0</v>
      </c>
      <c r="J44" s="418"/>
      <c r="K44" s="653"/>
      <c r="L44" s="686">
        <f>J44-K44</f>
        <v>0</v>
      </c>
      <c r="M44" s="653"/>
      <c r="N44" s="653"/>
      <c r="O44" s="686">
        <f>M44-N44</f>
        <v>0</v>
      </c>
      <c r="P44" s="653"/>
      <c r="Q44" s="653"/>
      <c r="R44" s="686">
        <f>P44-Q44</f>
        <v>0</v>
      </c>
      <c r="S44" s="653"/>
      <c r="T44" s="653"/>
      <c r="U44" s="686">
        <f>S44-T44</f>
        <v>0</v>
      </c>
      <c r="V44" s="653"/>
      <c r="W44" s="653"/>
      <c r="X44" s="687">
        <f>-(V44-W44)</f>
        <v>0</v>
      </c>
      <c r="Y44" s="682">
        <f t="shared" si="7"/>
        <v>0</v>
      </c>
      <c r="Z44" s="55">
        <f t="shared" si="8"/>
        <v>4.650000000372529</v>
      </c>
      <c r="AA44" s="55"/>
    </row>
    <row r="45" spans="1:27" ht="12.75" customHeight="1" thickBot="1">
      <c r="A45" s="1484" t="s">
        <v>10</v>
      </c>
      <c r="B45" s="1485"/>
      <c r="C45" s="1486"/>
      <c r="D45" s="1286">
        <f t="shared" ref="D45:X45" si="11">SUM(D41:D44)</f>
        <v>29794448.549999997</v>
      </c>
      <c r="E45" s="701">
        <f t="shared" si="11"/>
        <v>29782807</v>
      </c>
      <c r="F45" s="701">
        <f t="shared" si="11"/>
        <v>-11641.549999998882</v>
      </c>
      <c r="G45" s="701">
        <f t="shared" si="11"/>
        <v>0</v>
      </c>
      <c r="H45" s="701">
        <f t="shared" si="11"/>
        <v>0</v>
      </c>
      <c r="I45" s="701">
        <f t="shared" si="11"/>
        <v>0</v>
      </c>
      <c r="J45" s="701">
        <f t="shared" si="11"/>
        <v>1492716.8</v>
      </c>
      <c r="K45" s="701">
        <f t="shared" si="11"/>
        <v>0</v>
      </c>
      <c r="L45" s="701">
        <f t="shared" si="11"/>
        <v>11655.800000000047</v>
      </c>
      <c r="M45" s="701">
        <f t="shared" si="11"/>
        <v>0</v>
      </c>
      <c r="N45" s="701">
        <f t="shared" si="11"/>
        <v>0</v>
      </c>
      <c r="O45" s="701">
        <f t="shared" si="11"/>
        <v>0</v>
      </c>
      <c r="P45" s="701">
        <f t="shared" si="11"/>
        <v>0</v>
      </c>
      <c r="Q45" s="701">
        <f t="shared" si="11"/>
        <v>0</v>
      </c>
      <c r="R45" s="701">
        <f t="shared" si="11"/>
        <v>0</v>
      </c>
      <c r="S45" s="701">
        <f t="shared" si="11"/>
        <v>0</v>
      </c>
      <c r="T45" s="701">
        <f t="shared" si="11"/>
        <v>0</v>
      </c>
      <c r="U45" s="701">
        <f t="shared" si="11"/>
        <v>0</v>
      </c>
      <c r="V45" s="701">
        <f t="shared" si="11"/>
        <v>0</v>
      </c>
      <c r="W45" s="701">
        <f t="shared" si="11"/>
        <v>0</v>
      </c>
      <c r="X45" s="701">
        <f t="shared" si="11"/>
        <v>0</v>
      </c>
      <c r="Y45" s="682">
        <f t="shared" si="7"/>
        <v>11655.800000000047</v>
      </c>
      <c r="Z45" s="55">
        <f t="shared" si="8"/>
        <v>14.250000001164153</v>
      </c>
      <c r="AA45" s="55"/>
    </row>
    <row r="46" spans="1:27" ht="12.75" customHeight="1" thickBot="1">
      <c r="A46" s="1479" t="s">
        <v>346</v>
      </c>
      <c r="B46" s="1480"/>
      <c r="C46" s="1480"/>
      <c r="D46" s="1480"/>
      <c r="E46" s="1480"/>
      <c r="F46" s="672"/>
      <c r="G46" s="673"/>
      <c r="H46" s="673"/>
      <c r="I46" s="674"/>
      <c r="J46" s="673"/>
      <c r="K46" s="673"/>
      <c r="L46" s="674"/>
      <c r="M46" s="673"/>
      <c r="N46" s="673"/>
      <c r="O46" s="674"/>
      <c r="P46" s="673"/>
      <c r="Q46" s="673"/>
      <c r="R46" s="674"/>
      <c r="S46" s="673"/>
      <c r="T46" s="673"/>
      <c r="U46" s="673"/>
      <c r="V46" s="673"/>
      <c r="W46" s="673"/>
      <c r="X46" s="674"/>
      <c r="Y46" s="682">
        <f t="shared" si="7"/>
        <v>0</v>
      </c>
      <c r="Z46" s="55">
        <f t="shared" si="8"/>
        <v>0</v>
      </c>
      <c r="AA46" s="55"/>
    </row>
    <row r="47" spans="1:27" ht="12.75" customHeight="1">
      <c r="A47" s="676">
        <v>34</v>
      </c>
      <c r="B47" s="677"/>
      <c r="C47" s="395" t="s">
        <v>80</v>
      </c>
      <c r="D47" s="702">
        <f>'PANEN 1'!BF10</f>
        <v>4994200</v>
      </c>
      <c r="E47" s="1288">
        <v>4994200</v>
      </c>
      <c r="F47" s="679">
        <f>E47-D47</f>
        <v>0</v>
      </c>
      <c r="G47" s="678"/>
      <c r="H47" s="678"/>
      <c r="I47" s="680">
        <f t="shared" si="0"/>
        <v>0</v>
      </c>
      <c r="J47" s="678"/>
      <c r="K47" s="678"/>
      <c r="L47" s="680">
        <f t="shared" si="1"/>
        <v>0</v>
      </c>
      <c r="M47" s="678"/>
      <c r="N47" s="678"/>
      <c r="O47" s="680">
        <f t="shared" si="2"/>
        <v>0</v>
      </c>
      <c r="P47" s="678"/>
      <c r="Q47" s="678"/>
      <c r="R47" s="680">
        <f t="shared" si="3"/>
        <v>0</v>
      </c>
      <c r="S47" s="678"/>
      <c r="T47" s="678"/>
      <c r="U47" s="680">
        <f t="shared" si="4"/>
        <v>0</v>
      </c>
      <c r="V47" s="678"/>
      <c r="W47" s="678"/>
      <c r="X47" s="681">
        <f t="shared" si="5"/>
        <v>0</v>
      </c>
      <c r="Y47" s="682">
        <f t="shared" si="7"/>
        <v>0</v>
      </c>
      <c r="Z47" s="55">
        <f t="shared" si="8"/>
        <v>0</v>
      </c>
      <c r="AA47" s="55"/>
    </row>
    <row r="48" spans="1:27" ht="12.75" customHeight="1">
      <c r="A48" s="683">
        <v>35</v>
      </c>
      <c r="B48" s="684"/>
      <c r="C48" s="657" t="s">
        <v>325</v>
      </c>
      <c r="D48" s="702">
        <f>'PANEN 1'!BF11</f>
        <v>5642630</v>
      </c>
      <c r="E48" s="930">
        <v>5642630</v>
      </c>
      <c r="F48" s="685">
        <f t="shared" ref="F48:F67" si="12">E48-D48</f>
        <v>0</v>
      </c>
      <c r="G48" s="653"/>
      <c r="H48" s="653"/>
      <c r="I48" s="686">
        <f t="shared" si="0"/>
        <v>0</v>
      </c>
      <c r="J48" s="278"/>
      <c r="K48" s="653"/>
      <c r="L48" s="686">
        <f t="shared" si="1"/>
        <v>0</v>
      </c>
      <c r="M48" s="653"/>
      <c r="N48" s="653"/>
      <c r="O48" s="686">
        <f t="shared" si="2"/>
        <v>0</v>
      </c>
      <c r="P48" s="653"/>
      <c r="Q48" s="653"/>
      <c r="R48" s="686">
        <f t="shared" si="3"/>
        <v>0</v>
      </c>
      <c r="S48" s="653"/>
      <c r="T48" s="653">
        <v>0</v>
      </c>
      <c r="U48" s="686">
        <f t="shared" si="4"/>
        <v>0</v>
      </c>
      <c r="V48" s="653"/>
      <c r="W48" s="653"/>
      <c r="X48" s="687">
        <f t="shared" si="5"/>
        <v>0</v>
      </c>
      <c r="Y48" s="682">
        <f t="shared" si="7"/>
        <v>0</v>
      </c>
      <c r="Z48" s="55">
        <f t="shared" si="8"/>
        <v>0</v>
      </c>
      <c r="AA48" s="55"/>
    </row>
    <row r="49" spans="1:27" ht="12.75" customHeight="1">
      <c r="A49" s="676">
        <v>36</v>
      </c>
      <c r="B49" s="684"/>
      <c r="C49" s="406" t="s">
        <v>13</v>
      </c>
      <c r="D49" s="702">
        <f>'PANEN 1'!BF12</f>
        <v>5084955.222222222</v>
      </c>
      <c r="E49" s="930">
        <v>5084955</v>
      </c>
      <c r="F49" s="689">
        <f t="shared" si="12"/>
        <v>-0.22222222201526165</v>
      </c>
      <c r="G49" s="653"/>
      <c r="H49" s="653"/>
      <c r="I49" s="686">
        <f>G49-H49</f>
        <v>0</v>
      </c>
      <c r="J49" s="653"/>
      <c r="K49" s="653"/>
      <c r="L49" s="686">
        <f t="shared" si="1"/>
        <v>0</v>
      </c>
      <c r="M49" s="653"/>
      <c r="N49" s="653"/>
      <c r="O49" s="686">
        <f t="shared" si="2"/>
        <v>0</v>
      </c>
      <c r="P49" s="688"/>
      <c r="Q49" s="653"/>
      <c r="R49" s="686">
        <f t="shared" si="3"/>
        <v>0</v>
      </c>
      <c r="S49" s="653"/>
      <c r="T49" s="653"/>
      <c r="U49" s="686">
        <f t="shared" si="4"/>
        <v>0</v>
      </c>
      <c r="V49" s="653"/>
      <c r="W49" s="653"/>
      <c r="X49" s="687">
        <f t="shared" si="5"/>
        <v>0</v>
      </c>
      <c r="Y49" s="682">
        <f t="shared" si="7"/>
        <v>0</v>
      </c>
      <c r="Z49" s="55">
        <f t="shared" si="8"/>
        <v>-0.22222222201526165</v>
      </c>
      <c r="AA49" s="55"/>
    </row>
    <row r="50" spans="1:27" ht="12.75" customHeight="1">
      <c r="A50" s="683">
        <v>37</v>
      </c>
      <c r="B50" s="684"/>
      <c r="C50" s="406" t="s">
        <v>69</v>
      </c>
      <c r="D50" s="702">
        <f>'PANEN 1'!BF13</f>
        <v>5337819.222222222</v>
      </c>
      <c r="E50" s="930">
        <v>5337819</v>
      </c>
      <c r="F50" s="689">
        <f t="shared" si="12"/>
        <v>-0.22222222201526165</v>
      </c>
      <c r="G50" s="653"/>
      <c r="H50" s="653"/>
      <c r="I50" s="686">
        <f t="shared" si="0"/>
        <v>0</v>
      </c>
      <c r="J50" s="653"/>
      <c r="K50" s="653"/>
      <c r="L50" s="686">
        <f t="shared" si="1"/>
        <v>0</v>
      </c>
      <c r="M50" s="653"/>
      <c r="N50" s="653"/>
      <c r="O50" s="686">
        <f t="shared" si="2"/>
        <v>0</v>
      </c>
      <c r="P50" s="688"/>
      <c r="Q50" s="653"/>
      <c r="R50" s="686">
        <f t="shared" si="3"/>
        <v>0</v>
      </c>
      <c r="S50" s="653"/>
      <c r="T50" s="653"/>
      <c r="U50" s="686">
        <f t="shared" si="4"/>
        <v>0</v>
      </c>
      <c r="V50" s="653"/>
      <c r="W50" s="653"/>
      <c r="X50" s="687">
        <f t="shared" si="5"/>
        <v>0</v>
      </c>
      <c r="Y50" s="682">
        <f t="shared" si="7"/>
        <v>0</v>
      </c>
      <c r="Z50" s="55">
        <f t="shared" si="8"/>
        <v>-0.22222222201526165</v>
      </c>
      <c r="AA50" s="55"/>
    </row>
    <row r="51" spans="1:27" ht="12.75" customHeight="1">
      <c r="A51" s="676">
        <v>38</v>
      </c>
      <c r="B51" s="684"/>
      <c r="C51" s="406" t="s">
        <v>14</v>
      </c>
      <c r="D51" s="702">
        <f>'PANEN 1'!BF14</f>
        <v>5535723.222222222</v>
      </c>
      <c r="E51" s="930">
        <v>5535723</v>
      </c>
      <c r="F51" s="689">
        <f t="shared" si="12"/>
        <v>-0.22222222201526165</v>
      </c>
      <c r="G51" s="653"/>
      <c r="H51" s="653"/>
      <c r="I51" s="686">
        <f t="shared" si="0"/>
        <v>0</v>
      </c>
      <c r="J51" s="653"/>
      <c r="K51" s="653"/>
      <c r="L51" s="686">
        <f t="shared" si="1"/>
        <v>0</v>
      </c>
      <c r="M51" s="653"/>
      <c r="N51" s="653"/>
      <c r="O51" s="686">
        <f t="shared" si="2"/>
        <v>0</v>
      </c>
      <c r="P51" s="688"/>
      <c r="Q51" s="653"/>
      <c r="R51" s="686">
        <f t="shared" si="3"/>
        <v>0</v>
      </c>
      <c r="S51" s="653"/>
      <c r="T51" s="653"/>
      <c r="U51" s="686">
        <f t="shared" si="4"/>
        <v>0</v>
      </c>
      <c r="V51" s="653"/>
      <c r="W51" s="653"/>
      <c r="X51" s="687">
        <f t="shared" si="5"/>
        <v>0</v>
      </c>
      <c r="Y51" s="682">
        <f t="shared" si="7"/>
        <v>0</v>
      </c>
      <c r="Z51" s="55">
        <f t="shared" si="8"/>
        <v>-0.22222222201526165</v>
      </c>
      <c r="AA51" s="55"/>
    </row>
    <row r="52" spans="1:27" ht="12.75" customHeight="1">
      <c r="A52" s="683">
        <v>39</v>
      </c>
      <c r="B52" s="684"/>
      <c r="C52" s="406" t="s">
        <v>72</v>
      </c>
      <c r="D52" s="702">
        <f>'PANEN 1'!BF15</f>
        <v>5346824.666666667</v>
      </c>
      <c r="E52" s="930">
        <v>5346825</v>
      </c>
      <c r="F52" s="689">
        <f t="shared" si="12"/>
        <v>0.33333333302289248</v>
      </c>
      <c r="G52" s="653"/>
      <c r="H52" s="653"/>
      <c r="I52" s="686">
        <f t="shared" si="0"/>
        <v>0</v>
      </c>
      <c r="J52" s="653"/>
      <c r="K52" s="653"/>
      <c r="L52" s="686">
        <f t="shared" si="1"/>
        <v>0</v>
      </c>
      <c r="M52" s="653"/>
      <c r="N52" s="653"/>
      <c r="O52" s="686">
        <f t="shared" si="2"/>
        <v>0</v>
      </c>
      <c r="P52" s="688"/>
      <c r="Q52" s="653"/>
      <c r="R52" s="686">
        <f t="shared" si="3"/>
        <v>0</v>
      </c>
      <c r="S52" s="653"/>
      <c r="T52" s="653"/>
      <c r="U52" s="686">
        <f t="shared" si="4"/>
        <v>0</v>
      </c>
      <c r="V52" s="653"/>
      <c r="W52" s="653"/>
      <c r="X52" s="687">
        <f t="shared" si="5"/>
        <v>0</v>
      </c>
      <c r="Y52" s="682">
        <f t="shared" si="7"/>
        <v>0</v>
      </c>
      <c r="Z52" s="55">
        <f t="shared" si="8"/>
        <v>0.33333333302289248</v>
      </c>
      <c r="AA52" s="55"/>
    </row>
    <row r="53" spans="1:27" ht="12.75" customHeight="1">
      <c r="A53" s="676">
        <v>40</v>
      </c>
      <c r="B53" s="684"/>
      <c r="C53" s="414" t="s">
        <v>78</v>
      </c>
      <c r="D53" s="702">
        <f>'PANEN 1'!BF16</f>
        <v>5638910</v>
      </c>
      <c r="E53" s="1288">
        <v>5638910</v>
      </c>
      <c r="F53" s="689">
        <f>E53-D53</f>
        <v>0</v>
      </c>
      <c r="G53" s="653"/>
      <c r="H53" s="653"/>
      <c r="I53" s="686">
        <f t="shared" si="0"/>
        <v>0</v>
      </c>
      <c r="J53" s="653"/>
      <c r="K53" s="653"/>
      <c r="L53" s="686">
        <f t="shared" si="1"/>
        <v>0</v>
      </c>
      <c r="M53" s="653"/>
      <c r="N53" s="653"/>
      <c r="O53" s="686">
        <f t="shared" si="2"/>
        <v>0</v>
      </c>
      <c r="P53" s="688"/>
      <c r="Q53" s="653"/>
      <c r="R53" s="686">
        <f t="shared" si="3"/>
        <v>0</v>
      </c>
      <c r="S53" s="653"/>
      <c r="T53" s="653"/>
      <c r="U53" s="686">
        <f t="shared" si="4"/>
        <v>0</v>
      </c>
      <c r="V53" s="653"/>
      <c r="W53" s="653"/>
      <c r="X53" s="687">
        <f t="shared" si="5"/>
        <v>0</v>
      </c>
      <c r="Y53" s="682">
        <f t="shared" si="7"/>
        <v>0</v>
      </c>
      <c r="Z53" s="55">
        <f t="shared" si="8"/>
        <v>0</v>
      </c>
      <c r="AA53" s="55"/>
    </row>
    <row r="54" spans="1:27" ht="12.75" customHeight="1">
      <c r="A54" s="683">
        <v>41</v>
      </c>
      <c r="B54" s="684"/>
      <c r="C54" s="414" t="s">
        <v>91</v>
      </c>
      <c r="D54" s="702">
        <f>'PANEN 1'!BF17</f>
        <v>4965182.222222222</v>
      </c>
      <c r="E54" s="930">
        <v>4965182</v>
      </c>
      <c r="F54" s="689">
        <f t="shared" si="12"/>
        <v>-0.22222222201526165</v>
      </c>
      <c r="G54" s="653"/>
      <c r="H54" s="653"/>
      <c r="I54" s="686">
        <f t="shared" si="0"/>
        <v>0</v>
      </c>
      <c r="J54" s="653"/>
      <c r="K54" s="653"/>
      <c r="L54" s="686">
        <f t="shared" si="1"/>
        <v>0</v>
      </c>
      <c r="M54" s="653"/>
      <c r="N54" s="653"/>
      <c r="O54" s="686">
        <f t="shared" si="2"/>
        <v>0</v>
      </c>
      <c r="P54" s="688"/>
      <c r="Q54" s="653"/>
      <c r="R54" s="686">
        <f t="shared" si="3"/>
        <v>0</v>
      </c>
      <c r="S54" s="653"/>
      <c r="T54" s="653"/>
      <c r="U54" s="686">
        <f t="shared" si="4"/>
        <v>0</v>
      </c>
      <c r="V54" s="653"/>
      <c r="W54" s="653"/>
      <c r="X54" s="687">
        <f t="shared" si="5"/>
        <v>0</v>
      </c>
      <c r="Y54" s="682">
        <f t="shared" si="7"/>
        <v>0</v>
      </c>
      <c r="Z54" s="55">
        <f t="shared" si="8"/>
        <v>-0.22222222201526165</v>
      </c>
      <c r="AA54" s="55"/>
    </row>
    <row r="55" spans="1:27" ht="12.75" customHeight="1">
      <c r="A55" s="676">
        <v>42</v>
      </c>
      <c r="B55" s="684"/>
      <c r="C55" s="414" t="s">
        <v>92</v>
      </c>
      <c r="D55" s="702">
        <f>'PANEN 1'!BF18</f>
        <v>6498186.2999999998</v>
      </c>
      <c r="E55" s="930">
        <v>6498187</v>
      </c>
      <c r="F55" s="689">
        <f t="shared" si="12"/>
        <v>0.70000000018626451</v>
      </c>
      <c r="G55" s="653"/>
      <c r="H55" s="653"/>
      <c r="I55" s="686">
        <f t="shared" si="0"/>
        <v>0</v>
      </c>
      <c r="J55" s="653"/>
      <c r="K55" s="653"/>
      <c r="L55" s="686">
        <f t="shared" si="1"/>
        <v>0</v>
      </c>
      <c r="M55" s="653"/>
      <c r="N55" s="653"/>
      <c r="O55" s="686">
        <f t="shared" si="2"/>
        <v>0</v>
      </c>
      <c r="P55" s="688"/>
      <c r="Q55" s="653"/>
      <c r="R55" s="686">
        <f t="shared" si="3"/>
        <v>0</v>
      </c>
      <c r="S55" s="653"/>
      <c r="T55" s="653"/>
      <c r="U55" s="686">
        <f t="shared" si="4"/>
        <v>0</v>
      </c>
      <c r="V55" s="653"/>
      <c r="W55" s="653"/>
      <c r="X55" s="687">
        <f t="shared" si="5"/>
        <v>0</v>
      </c>
      <c r="Y55" s="682">
        <f t="shared" si="7"/>
        <v>0</v>
      </c>
      <c r="Z55" s="55">
        <f t="shared" si="8"/>
        <v>0.70000000018626451</v>
      </c>
      <c r="AA55" s="55"/>
    </row>
    <row r="56" spans="1:27" ht="15.75" customHeight="1">
      <c r="A56" s="683">
        <v>43</v>
      </c>
      <c r="B56" s="684"/>
      <c r="C56" s="414" t="s">
        <v>93</v>
      </c>
      <c r="D56" s="702">
        <f>'PANEN 1'!BF19</f>
        <v>5990620</v>
      </c>
      <c r="E56" s="930">
        <v>5990620</v>
      </c>
      <c r="F56" s="689">
        <f t="shared" si="12"/>
        <v>0</v>
      </c>
      <c r="G56" s="653"/>
      <c r="H56" s="653"/>
      <c r="I56" s="686">
        <f t="shared" si="0"/>
        <v>0</v>
      </c>
      <c r="J56" s="653"/>
      <c r="K56" s="653"/>
      <c r="L56" s="686">
        <f t="shared" si="1"/>
        <v>0</v>
      </c>
      <c r="M56" s="653"/>
      <c r="N56" s="653"/>
      <c r="O56" s="686">
        <f t="shared" si="2"/>
        <v>0</v>
      </c>
      <c r="P56" s="688"/>
      <c r="Q56" s="653"/>
      <c r="R56" s="686">
        <f t="shared" si="3"/>
        <v>0</v>
      </c>
      <c r="S56" s="653"/>
      <c r="T56" s="653"/>
      <c r="U56" s="686">
        <f t="shared" si="4"/>
        <v>0</v>
      </c>
      <c r="V56" s="653"/>
      <c r="W56" s="653"/>
      <c r="X56" s="687">
        <f t="shared" si="5"/>
        <v>0</v>
      </c>
      <c r="Y56" s="682">
        <f t="shared" si="7"/>
        <v>0</v>
      </c>
      <c r="Z56" s="55">
        <f t="shared" si="8"/>
        <v>0</v>
      </c>
      <c r="AA56" s="55"/>
    </row>
    <row r="57" spans="1:27" ht="15.75" customHeight="1">
      <c r="A57" s="676">
        <v>44</v>
      </c>
      <c r="B57" s="684"/>
      <c r="C57" s="414" t="s">
        <v>207</v>
      </c>
      <c r="D57" s="702">
        <f>'PANEN 1'!BF20</f>
        <v>5098424.3300970877</v>
      </c>
      <c r="E57" s="930">
        <v>5098424</v>
      </c>
      <c r="F57" s="689">
        <f t="shared" si="12"/>
        <v>-0.33009708765894175</v>
      </c>
      <c r="G57" s="653"/>
      <c r="H57" s="653"/>
      <c r="I57" s="686">
        <f t="shared" si="0"/>
        <v>0</v>
      </c>
      <c r="J57" s="653"/>
      <c r="K57" s="653"/>
      <c r="L57" s="686">
        <f t="shared" si="1"/>
        <v>0</v>
      </c>
      <c r="M57" s="653"/>
      <c r="N57" s="653"/>
      <c r="O57" s="686">
        <f t="shared" si="2"/>
        <v>0</v>
      </c>
      <c r="P57" s="688"/>
      <c r="Q57" s="653"/>
      <c r="R57" s="686">
        <f t="shared" si="3"/>
        <v>0</v>
      </c>
      <c r="S57" s="653"/>
      <c r="T57" s="653"/>
      <c r="U57" s="686">
        <f t="shared" si="4"/>
        <v>0</v>
      </c>
      <c r="V57" s="653"/>
      <c r="W57" s="653"/>
      <c r="X57" s="687">
        <f t="shared" si="5"/>
        <v>0</v>
      </c>
      <c r="Y57" s="682">
        <f t="shared" si="7"/>
        <v>0</v>
      </c>
      <c r="Z57" s="55">
        <f t="shared" si="8"/>
        <v>-0.33009708765894175</v>
      </c>
      <c r="AA57" s="55"/>
    </row>
    <row r="58" spans="1:27" ht="15.75" customHeight="1">
      <c r="A58" s="683">
        <v>45</v>
      </c>
      <c r="B58" s="684"/>
      <c r="C58" s="414" t="s">
        <v>107</v>
      </c>
      <c r="D58" s="702">
        <f>'PANEN 1'!BF21</f>
        <v>6552779.6500000004</v>
      </c>
      <c r="E58" s="930">
        <v>6552781</v>
      </c>
      <c r="F58" s="689">
        <f t="shared" si="12"/>
        <v>1.349999999627471</v>
      </c>
      <c r="G58" s="653"/>
      <c r="H58" s="653"/>
      <c r="I58" s="686">
        <f t="shared" si="0"/>
        <v>0</v>
      </c>
      <c r="J58" s="653"/>
      <c r="K58" s="653"/>
      <c r="L58" s="686">
        <f t="shared" si="1"/>
        <v>0</v>
      </c>
      <c r="M58" s="653"/>
      <c r="N58" s="653"/>
      <c r="O58" s="686">
        <f t="shared" si="2"/>
        <v>0</v>
      </c>
      <c r="P58" s="688"/>
      <c r="Q58" s="653"/>
      <c r="R58" s="686">
        <f t="shared" si="3"/>
        <v>0</v>
      </c>
      <c r="S58" s="653"/>
      <c r="T58" s="653"/>
      <c r="U58" s="686">
        <f t="shared" si="4"/>
        <v>0</v>
      </c>
      <c r="V58" s="653"/>
      <c r="W58" s="653"/>
      <c r="X58" s="687">
        <f t="shared" si="5"/>
        <v>0</v>
      </c>
      <c r="Y58" s="682">
        <f t="shared" si="7"/>
        <v>0</v>
      </c>
      <c r="Z58" s="55">
        <f t="shared" si="8"/>
        <v>1.349999999627471</v>
      </c>
      <c r="AA58" s="55"/>
    </row>
    <row r="59" spans="1:27" ht="15.75" customHeight="1">
      <c r="A59" s="676">
        <v>46</v>
      </c>
      <c r="B59" s="684"/>
      <c r="C59" s="528" t="s">
        <v>304</v>
      </c>
      <c r="D59" s="702">
        <f>'PANEN 1'!BF22</f>
        <v>5521206</v>
      </c>
      <c r="E59" s="930">
        <v>5521206</v>
      </c>
      <c r="F59" s="689">
        <f t="shared" si="12"/>
        <v>0</v>
      </c>
      <c r="G59" s="653"/>
      <c r="H59" s="653"/>
      <c r="I59" s="686">
        <f t="shared" si="0"/>
        <v>0</v>
      </c>
      <c r="J59" s="653"/>
      <c r="K59" s="653"/>
      <c r="L59" s="686">
        <f t="shared" si="1"/>
        <v>0</v>
      </c>
      <c r="M59" s="653"/>
      <c r="N59" s="653"/>
      <c r="O59" s="686">
        <f t="shared" si="2"/>
        <v>0</v>
      </c>
      <c r="P59" s="688"/>
      <c r="Q59" s="653"/>
      <c r="R59" s="686">
        <f t="shared" si="3"/>
        <v>0</v>
      </c>
      <c r="S59" s="653"/>
      <c r="T59" s="653"/>
      <c r="U59" s="686">
        <f t="shared" si="4"/>
        <v>0</v>
      </c>
      <c r="V59" s="653"/>
      <c r="W59" s="653"/>
      <c r="X59" s="687">
        <f t="shared" si="5"/>
        <v>0</v>
      </c>
      <c r="Y59" s="682">
        <f t="shared" si="7"/>
        <v>0</v>
      </c>
      <c r="Z59" s="55">
        <f t="shared" si="8"/>
        <v>0</v>
      </c>
      <c r="AA59" s="55"/>
    </row>
    <row r="60" spans="1:27" ht="15.75" customHeight="1">
      <c r="A60" s="683">
        <v>47</v>
      </c>
      <c r="B60" s="684"/>
      <c r="C60" s="528" t="s">
        <v>303</v>
      </c>
      <c r="D60" s="702">
        <f>'PANEN 1'!BF23</f>
        <v>7348698</v>
      </c>
      <c r="E60" s="930">
        <v>7348698</v>
      </c>
      <c r="F60" s="689">
        <f t="shared" si="12"/>
        <v>0</v>
      </c>
      <c r="G60" s="653"/>
      <c r="H60" s="653"/>
      <c r="I60" s="686">
        <f t="shared" si="0"/>
        <v>0</v>
      </c>
      <c r="J60" s="653"/>
      <c r="K60" s="653"/>
      <c r="L60" s="686">
        <f t="shared" si="1"/>
        <v>0</v>
      </c>
      <c r="M60" s="653"/>
      <c r="N60" s="653"/>
      <c r="O60" s="686">
        <f t="shared" si="2"/>
        <v>0</v>
      </c>
      <c r="P60" s="688"/>
      <c r="Q60" s="653"/>
      <c r="R60" s="686">
        <f t="shared" si="3"/>
        <v>0</v>
      </c>
      <c r="S60" s="653"/>
      <c r="T60" s="653"/>
      <c r="U60" s="686">
        <f t="shared" si="4"/>
        <v>0</v>
      </c>
      <c r="V60" s="653"/>
      <c r="W60" s="653"/>
      <c r="X60" s="687">
        <f t="shared" si="5"/>
        <v>0</v>
      </c>
      <c r="Y60" s="682">
        <f t="shared" si="7"/>
        <v>0</v>
      </c>
      <c r="Z60" s="110">
        <f t="shared" si="8"/>
        <v>0</v>
      </c>
      <c r="AA60" s="55"/>
    </row>
    <row r="61" spans="1:27" ht="15.75" customHeight="1">
      <c r="A61" s="676">
        <v>48</v>
      </c>
      <c r="B61" s="684"/>
      <c r="C61" s="528" t="s">
        <v>350</v>
      </c>
      <c r="D61" s="702">
        <f>'PANEN 1'!BF24</f>
        <v>4935328.252427184</v>
      </c>
      <c r="E61" s="930">
        <v>4935328</v>
      </c>
      <c r="F61" s="689">
        <f t="shared" si="12"/>
        <v>-0.25242718402296305</v>
      </c>
      <c r="G61" s="653"/>
      <c r="H61" s="653"/>
      <c r="I61" s="686">
        <f t="shared" si="0"/>
        <v>0</v>
      </c>
      <c r="J61" s="653"/>
      <c r="K61" s="653"/>
      <c r="L61" s="686">
        <f t="shared" si="1"/>
        <v>0</v>
      </c>
      <c r="M61" s="653"/>
      <c r="N61" s="653"/>
      <c r="O61" s="686">
        <f t="shared" si="2"/>
        <v>0</v>
      </c>
      <c r="P61" s="688"/>
      <c r="Q61" s="653"/>
      <c r="R61" s="686">
        <f t="shared" si="3"/>
        <v>0</v>
      </c>
      <c r="S61" s="653"/>
      <c r="T61" s="653"/>
      <c r="U61" s="686">
        <f t="shared" si="4"/>
        <v>0</v>
      </c>
      <c r="V61" s="653"/>
      <c r="W61" s="653"/>
      <c r="X61" s="687">
        <f t="shared" si="5"/>
        <v>0</v>
      </c>
      <c r="Y61" s="682">
        <f t="shared" si="7"/>
        <v>0</v>
      </c>
      <c r="Z61" s="110">
        <f t="shared" si="8"/>
        <v>-0.25242718402296305</v>
      </c>
      <c r="AA61" s="55"/>
    </row>
    <row r="62" spans="1:27" ht="15.75" customHeight="1">
      <c r="A62" s="683">
        <v>49</v>
      </c>
      <c r="B62" s="684"/>
      <c r="C62" s="528" t="s">
        <v>71</v>
      </c>
      <c r="D62" s="702">
        <f>'PANEN 1'!BF25</f>
        <v>4846738.333333333</v>
      </c>
      <c r="E62" s="930">
        <v>4846738</v>
      </c>
      <c r="F62" s="689">
        <f t="shared" si="12"/>
        <v>-0.33333333302289248</v>
      </c>
      <c r="G62" s="653"/>
      <c r="H62" s="653"/>
      <c r="I62" s="686">
        <f t="shared" si="0"/>
        <v>0</v>
      </c>
      <c r="J62" s="653"/>
      <c r="K62" s="653"/>
      <c r="L62" s="686">
        <f t="shared" si="1"/>
        <v>0</v>
      </c>
      <c r="M62" s="653"/>
      <c r="N62" s="653"/>
      <c r="O62" s="686">
        <f t="shared" si="2"/>
        <v>0</v>
      </c>
      <c r="P62" s="688"/>
      <c r="Q62" s="653"/>
      <c r="R62" s="686">
        <f t="shared" si="3"/>
        <v>0</v>
      </c>
      <c r="S62" s="653"/>
      <c r="T62" s="653"/>
      <c r="U62" s="686">
        <f t="shared" si="4"/>
        <v>0</v>
      </c>
      <c r="V62" s="653"/>
      <c r="W62" s="653"/>
      <c r="X62" s="687">
        <f t="shared" si="5"/>
        <v>0</v>
      </c>
      <c r="Y62" s="682">
        <f t="shared" si="7"/>
        <v>0</v>
      </c>
      <c r="Z62" s="110">
        <f t="shared" si="8"/>
        <v>-0.33333333302289248</v>
      </c>
      <c r="AA62" s="55"/>
    </row>
    <row r="63" spans="1:27" ht="15.75" customHeight="1">
      <c r="A63" s="676">
        <v>50</v>
      </c>
      <c r="B63" s="684"/>
      <c r="C63" s="528" t="s">
        <v>390</v>
      </c>
      <c r="D63" s="702">
        <f>'PANEN 1'!BF26</f>
        <v>3354006.9029126214</v>
      </c>
      <c r="E63" s="930">
        <v>3354007</v>
      </c>
      <c r="F63" s="689">
        <f t="shared" si="12"/>
        <v>9.7087378613650799E-2</v>
      </c>
      <c r="G63" s="786"/>
      <c r="H63" s="786"/>
      <c r="I63" s="686">
        <f t="shared" si="0"/>
        <v>0</v>
      </c>
      <c r="J63" s="786"/>
      <c r="K63" s="786"/>
      <c r="L63" s="686">
        <f t="shared" si="1"/>
        <v>0</v>
      </c>
      <c r="M63" s="786"/>
      <c r="N63" s="786"/>
      <c r="O63" s="686">
        <f t="shared" si="2"/>
        <v>0</v>
      </c>
      <c r="P63" s="893"/>
      <c r="Q63" s="786">
        <v>0</v>
      </c>
      <c r="R63" s="686">
        <f t="shared" si="3"/>
        <v>0</v>
      </c>
      <c r="S63" s="786"/>
      <c r="T63" s="786"/>
      <c r="U63" s="686">
        <f t="shared" si="4"/>
        <v>0</v>
      </c>
      <c r="V63" s="786"/>
      <c r="W63" s="786"/>
      <c r="X63" s="687">
        <f t="shared" si="5"/>
        <v>0</v>
      </c>
      <c r="Y63" s="682">
        <f t="shared" si="7"/>
        <v>0</v>
      </c>
      <c r="Z63" s="110">
        <f t="shared" si="8"/>
        <v>9.7087378613650799E-2</v>
      </c>
      <c r="AA63" s="55"/>
    </row>
    <row r="64" spans="1:27" ht="15.75" customHeight="1">
      <c r="A64" s="683">
        <v>51</v>
      </c>
      <c r="B64" s="684"/>
      <c r="C64" s="528" t="s">
        <v>327</v>
      </c>
      <c r="D64" s="702">
        <f>'PANEN 1'!BF27</f>
        <v>4657411.777777778</v>
      </c>
      <c r="E64" s="930">
        <v>4657412</v>
      </c>
      <c r="F64" s="689">
        <f t="shared" si="12"/>
        <v>0.22222222201526165</v>
      </c>
      <c r="G64" s="786"/>
      <c r="H64" s="786"/>
      <c r="I64" s="686">
        <f t="shared" si="0"/>
        <v>0</v>
      </c>
      <c r="J64" s="786"/>
      <c r="K64" s="786"/>
      <c r="L64" s="686">
        <f t="shared" si="1"/>
        <v>0</v>
      </c>
      <c r="M64" s="786"/>
      <c r="N64" s="786"/>
      <c r="O64" s="686">
        <f t="shared" si="2"/>
        <v>0</v>
      </c>
      <c r="P64" s="893"/>
      <c r="Q64" s="786">
        <v>0</v>
      </c>
      <c r="R64" s="686">
        <f t="shared" si="3"/>
        <v>0</v>
      </c>
      <c r="S64" s="786"/>
      <c r="T64" s="786"/>
      <c r="U64" s="686">
        <f t="shared" si="4"/>
        <v>0</v>
      </c>
      <c r="V64" s="786"/>
      <c r="W64" s="786"/>
      <c r="X64" s="687">
        <f t="shared" si="5"/>
        <v>0</v>
      </c>
      <c r="Y64" s="682">
        <f t="shared" si="7"/>
        <v>0</v>
      </c>
      <c r="Z64" s="110">
        <f t="shared" si="8"/>
        <v>0.22222222201526165</v>
      </c>
      <c r="AA64" s="55"/>
    </row>
    <row r="65" spans="1:27" ht="15.75" customHeight="1">
      <c r="A65" s="676">
        <v>52</v>
      </c>
      <c r="B65" s="684"/>
      <c r="C65" s="528" t="s">
        <v>357</v>
      </c>
      <c r="D65" s="702">
        <f>'PANEN 1'!BF28</f>
        <v>4256389.111111111</v>
      </c>
      <c r="E65" s="930">
        <v>4256389</v>
      </c>
      <c r="F65" s="689">
        <f t="shared" si="12"/>
        <v>-0.11111111100763083</v>
      </c>
      <c r="G65" s="786"/>
      <c r="H65" s="786"/>
      <c r="I65" s="686">
        <f t="shared" si="0"/>
        <v>0</v>
      </c>
      <c r="J65" s="786"/>
      <c r="K65" s="786"/>
      <c r="L65" s="686">
        <f t="shared" si="1"/>
        <v>0</v>
      </c>
      <c r="M65" s="786"/>
      <c r="N65" s="786"/>
      <c r="O65" s="686">
        <f t="shared" si="2"/>
        <v>0</v>
      </c>
      <c r="P65" s="893"/>
      <c r="Q65" s="786">
        <v>0</v>
      </c>
      <c r="R65" s="686">
        <f t="shared" si="3"/>
        <v>0</v>
      </c>
      <c r="S65" s="786"/>
      <c r="T65" s="786"/>
      <c r="U65" s="686">
        <f t="shared" si="4"/>
        <v>0</v>
      </c>
      <c r="V65" s="786"/>
      <c r="W65" s="786"/>
      <c r="X65" s="687">
        <f t="shared" si="5"/>
        <v>0</v>
      </c>
      <c r="Y65" s="682">
        <f t="shared" si="7"/>
        <v>0</v>
      </c>
      <c r="Z65" s="110">
        <f t="shared" si="8"/>
        <v>-0.11111111100763083</v>
      </c>
      <c r="AA65" s="55"/>
    </row>
    <row r="66" spans="1:27" ht="15.75" customHeight="1">
      <c r="A66" s="786">
        <v>53</v>
      </c>
      <c r="B66" s="786"/>
      <c r="C66" s="865" t="s">
        <v>395</v>
      </c>
      <c r="D66" s="702">
        <f>'PANEN 1'!BF29</f>
        <v>4957823.3786407765</v>
      </c>
      <c r="E66" s="930">
        <v>4957823</v>
      </c>
      <c r="F66" s="1284">
        <f t="shared" si="12"/>
        <v>-0.37864077650010586</v>
      </c>
      <c r="G66" s="786"/>
      <c r="H66" s="786"/>
      <c r="I66" s="798">
        <f t="shared" si="0"/>
        <v>0</v>
      </c>
      <c r="J66" s="786"/>
      <c r="K66" s="786"/>
      <c r="L66" s="798">
        <f t="shared" si="1"/>
        <v>0</v>
      </c>
      <c r="M66" s="786"/>
      <c r="N66" s="786"/>
      <c r="O66" s="798">
        <f t="shared" si="2"/>
        <v>0</v>
      </c>
      <c r="P66" s="893"/>
      <c r="Q66" s="786">
        <v>0</v>
      </c>
      <c r="R66" s="798">
        <f t="shared" si="3"/>
        <v>0</v>
      </c>
      <c r="S66" s="786"/>
      <c r="T66" s="786"/>
      <c r="U66" s="798">
        <f t="shared" si="4"/>
        <v>0</v>
      </c>
      <c r="V66" s="786"/>
      <c r="W66" s="786"/>
      <c r="X66" s="1285">
        <f t="shared" si="5"/>
        <v>0</v>
      </c>
      <c r="Y66" s="682">
        <f t="shared" si="7"/>
        <v>0</v>
      </c>
      <c r="Z66" s="110">
        <f t="shared" si="8"/>
        <v>-0.37864077650010586</v>
      </c>
      <c r="AA66" s="55"/>
    </row>
    <row r="67" spans="1:27" ht="15.75" customHeight="1">
      <c r="A67" s="676">
        <v>54</v>
      </c>
      <c r="B67" s="786"/>
      <c r="C67" s="865" t="s">
        <v>414</v>
      </c>
      <c r="D67" s="702">
        <f>'PANEN BHL'!BE10</f>
        <v>3180600</v>
      </c>
      <c r="E67" s="930">
        <v>3180600</v>
      </c>
      <c r="F67" s="1284">
        <f t="shared" si="12"/>
        <v>0</v>
      </c>
      <c r="G67" s="786"/>
      <c r="H67" s="786"/>
      <c r="I67" s="798">
        <f t="shared" si="0"/>
        <v>0</v>
      </c>
      <c r="J67" s="786"/>
      <c r="K67" s="786"/>
      <c r="L67" s="798">
        <f t="shared" si="1"/>
        <v>0</v>
      </c>
      <c r="M67" s="786"/>
      <c r="N67" s="786"/>
      <c r="O67" s="798">
        <f t="shared" si="2"/>
        <v>0</v>
      </c>
      <c r="P67" s="893"/>
      <c r="Q67" s="786">
        <v>0</v>
      </c>
      <c r="R67" s="798">
        <f t="shared" si="3"/>
        <v>0</v>
      </c>
      <c r="S67" s="786"/>
      <c r="T67" s="786"/>
      <c r="U67" s="798">
        <f t="shared" si="4"/>
        <v>0</v>
      </c>
      <c r="V67" s="786"/>
      <c r="W67" s="786"/>
      <c r="X67" s="1285">
        <f t="shared" si="5"/>
        <v>0</v>
      </c>
      <c r="Y67" s="682">
        <f t="shared" si="7"/>
        <v>0</v>
      </c>
      <c r="Z67" s="110"/>
      <c r="AA67" s="55"/>
    </row>
    <row r="68" spans="1:27" ht="15.75" thickBot="1">
      <c r="A68" s="1473" t="s">
        <v>10</v>
      </c>
      <c r="B68" s="1474"/>
      <c r="C68" s="1475"/>
      <c r="D68" s="1283">
        <f>SUM(D47:D67)</f>
        <v>109744456.59185542</v>
      </c>
      <c r="E68" s="1283">
        <f t="shared" ref="E68:Y68" si="13">SUM(E47:E67)</f>
        <v>109744457</v>
      </c>
      <c r="F68" s="1283">
        <f>SUM(F47:F67)</f>
        <v>0.40814455319195986</v>
      </c>
      <c r="G68" s="1283">
        <f t="shared" si="13"/>
        <v>0</v>
      </c>
      <c r="H68" s="1283">
        <f t="shared" si="13"/>
        <v>0</v>
      </c>
      <c r="I68" s="1283">
        <f t="shared" si="13"/>
        <v>0</v>
      </c>
      <c r="J68" s="1283">
        <f t="shared" si="13"/>
        <v>0</v>
      </c>
      <c r="K68" s="1283">
        <f t="shared" si="13"/>
        <v>0</v>
      </c>
      <c r="L68" s="1283">
        <f t="shared" si="13"/>
        <v>0</v>
      </c>
      <c r="M68" s="1283">
        <f t="shared" si="13"/>
        <v>0</v>
      </c>
      <c r="N68" s="1283">
        <f t="shared" si="13"/>
        <v>0</v>
      </c>
      <c r="O68" s="1283">
        <f t="shared" si="13"/>
        <v>0</v>
      </c>
      <c r="P68" s="1283">
        <f t="shared" si="13"/>
        <v>0</v>
      </c>
      <c r="Q68" s="786">
        <v>0</v>
      </c>
      <c r="R68" s="1283">
        <f t="shared" si="13"/>
        <v>0</v>
      </c>
      <c r="S68" s="1283">
        <f t="shared" si="13"/>
        <v>0</v>
      </c>
      <c r="T68" s="1283">
        <f t="shared" si="13"/>
        <v>0</v>
      </c>
      <c r="U68" s="1283">
        <f t="shared" si="13"/>
        <v>0</v>
      </c>
      <c r="V68" s="1283">
        <f t="shared" si="13"/>
        <v>0</v>
      </c>
      <c r="W68" s="1283">
        <f t="shared" si="13"/>
        <v>0</v>
      </c>
      <c r="X68" s="1283">
        <f t="shared" si="13"/>
        <v>0</v>
      </c>
      <c r="Y68" s="1283">
        <f t="shared" si="13"/>
        <v>0</v>
      </c>
      <c r="Z68" s="110">
        <f t="shared" si="8"/>
        <v>0.40814455319195986</v>
      </c>
      <c r="AA68" s="55"/>
    </row>
    <row r="69" spans="1:27" ht="15.75" thickBot="1">
      <c r="A69" s="1476" t="s">
        <v>38</v>
      </c>
      <c r="B69" s="1477"/>
      <c r="C69" s="1478"/>
      <c r="D69" s="703">
        <f>D39+D45+D68</f>
        <v>266645407.39185542</v>
      </c>
      <c r="E69" s="703">
        <f t="shared" ref="E69:Y69" si="14">E39+E45+E68</f>
        <v>266606775</v>
      </c>
      <c r="F69" s="703">
        <f t="shared" si="14"/>
        <v>-38632.39185544569</v>
      </c>
      <c r="G69" s="703">
        <f t="shared" si="14"/>
        <v>4169500</v>
      </c>
      <c r="H69" s="703">
        <f t="shared" si="14"/>
        <v>4169500</v>
      </c>
      <c r="I69" s="703">
        <f t="shared" si="14"/>
        <v>0</v>
      </c>
      <c r="J69" s="703">
        <f t="shared" si="14"/>
        <v>1492716.8</v>
      </c>
      <c r="K69" s="703">
        <f t="shared" si="14"/>
        <v>0</v>
      </c>
      <c r="L69" s="703">
        <f t="shared" si="14"/>
        <v>11655.800000000047</v>
      </c>
      <c r="M69" s="703">
        <f t="shared" si="14"/>
        <v>130200</v>
      </c>
      <c r="N69" s="703">
        <f t="shared" si="14"/>
        <v>130200</v>
      </c>
      <c r="O69" s="703">
        <f t="shared" si="14"/>
        <v>0</v>
      </c>
      <c r="P69" s="703">
        <f t="shared" si="14"/>
        <v>27000</v>
      </c>
      <c r="Q69" s="703">
        <f t="shared" si="14"/>
        <v>0</v>
      </c>
      <c r="R69" s="703">
        <f t="shared" si="14"/>
        <v>27000</v>
      </c>
      <c r="S69" s="703">
        <f t="shared" si="14"/>
        <v>0</v>
      </c>
      <c r="T69" s="703">
        <f t="shared" si="14"/>
        <v>0</v>
      </c>
      <c r="U69" s="703">
        <f t="shared" si="14"/>
        <v>0</v>
      </c>
      <c r="V69" s="703">
        <f t="shared" si="14"/>
        <v>0</v>
      </c>
      <c r="W69" s="703">
        <f t="shared" si="14"/>
        <v>0</v>
      </c>
      <c r="X69" s="703">
        <f t="shared" si="14"/>
        <v>0</v>
      </c>
      <c r="Y69" s="703">
        <f t="shared" si="14"/>
        <v>38655.800000000047</v>
      </c>
      <c r="Z69" s="110">
        <f t="shared" ref="Z69" si="15">Y69+F69</f>
        <v>23.408144554356113</v>
      </c>
      <c r="AA69" s="55"/>
    </row>
    <row r="70" spans="1:27" s="704" customFormat="1" ht="12.75"/>
    <row r="71" spans="1:27" s="704" customFormat="1" ht="12.75"/>
    <row r="72" spans="1:27">
      <c r="A72" s="331"/>
      <c r="B72" s="331"/>
      <c r="C72" s="331"/>
      <c r="D72" s="331"/>
      <c r="F72" s="331"/>
      <c r="G72" s="331"/>
      <c r="H72" s="331"/>
      <c r="M72" s="331"/>
      <c r="N72" s="331"/>
      <c r="O72" s="331"/>
      <c r="V72" s="331"/>
      <c r="W72" s="331"/>
      <c r="X72" s="331"/>
    </row>
    <row r="73" spans="1:27">
      <c r="D73" s="55"/>
    </row>
    <row r="76" spans="1:27">
      <c r="A76" s="705"/>
      <c r="B76" s="705"/>
      <c r="C76" s="705"/>
      <c r="D76" s="705"/>
      <c r="F76" s="705"/>
      <c r="G76" s="705"/>
      <c r="H76" s="705"/>
      <c r="M76" s="705"/>
      <c r="N76" s="705"/>
      <c r="O76" s="705"/>
      <c r="V76" s="705"/>
      <c r="W76" s="705"/>
      <c r="X76" s="705"/>
    </row>
    <row r="77" spans="1:27">
      <c r="A77" s="331"/>
      <c r="B77" s="331"/>
      <c r="C77" s="331"/>
      <c r="D77" s="331"/>
      <c r="F77" s="331"/>
      <c r="G77" s="331"/>
      <c r="H77" s="331"/>
      <c r="M77" s="331"/>
      <c r="N77" s="331"/>
      <c r="O77" s="331"/>
      <c r="V77" s="1323"/>
      <c r="W77" s="1323"/>
      <c r="X77" s="1323"/>
    </row>
    <row r="85" spans="6:7">
      <c r="F85"/>
    </row>
    <row r="86" spans="6:7">
      <c r="F86"/>
    </row>
    <row r="88" spans="6:7">
      <c r="F88"/>
    </row>
    <row r="89" spans="6:7">
      <c r="F89"/>
      <c r="G89" s="747"/>
    </row>
    <row r="97" spans="6:6">
      <c r="F97"/>
    </row>
    <row r="98" spans="6:6">
      <c r="F98"/>
    </row>
  </sheetData>
  <mergeCells count="24">
    <mergeCell ref="A68:C68"/>
    <mergeCell ref="A69:C69"/>
    <mergeCell ref="V77:X77"/>
    <mergeCell ref="A9:E9"/>
    <mergeCell ref="A39:C39"/>
    <mergeCell ref="A40:E40"/>
    <mergeCell ref="A45:C45"/>
    <mergeCell ref="A46:E46"/>
    <mergeCell ref="A4:Y4"/>
    <mergeCell ref="A5:Y5"/>
    <mergeCell ref="A6:A8"/>
    <mergeCell ref="B6:B8"/>
    <mergeCell ref="C6:C8"/>
    <mergeCell ref="D6:D8"/>
    <mergeCell ref="E6:E8"/>
    <mergeCell ref="F6:F8"/>
    <mergeCell ref="G6:X6"/>
    <mergeCell ref="Y6:Y8"/>
    <mergeCell ref="G7:I7"/>
    <mergeCell ref="J7:L7"/>
    <mergeCell ref="M7:O7"/>
    <mergeCell ref="P7:R7"/>
    <mergeCell ref="S7:U7"/>
    <mergeCell ref="V7:X7"/>
  </mergeCells>
  <pageMargins left="0" right="0" top="0" bottom="0" header="0.3" footer="0.3"/>
  <pageSetup paperSize="9" scale="57" orientation="landscape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I83"/>
  <sheetViews>
    <sheetView topLeftCell="A7" zoomScaleNormal="100" workbookViewId="0">
      <pane xSplit="3" topLeftCell="G1" activePane="topRight" state="frozen"/>
      <selection pane="topRight" activeCell="Q16" sqref="Q16"/>
    </sheetView>
  </sheetViews>
  <sheetFormatPr defaultRowHeight="12.75" outlineLevelCol="1"/>
  <cols>
    <col min="1" max="1" width="1.5703125" style="1090" customWidth="1"/>
    <col min="2" max="2" width="5.7109375" style="1091" customWidth="1"/>
    <col min="3" max="3" width="19" style="1092" customWidth="1"/>
    <col min="4" max="4" width="18.5703125" style="1093" customWidth="1" outlineLevel="1"/>
    <col min="5" max="5" width="19.7109375" style="1094" customWidth="1" outlineLevel="1"/>
    <col min="6" max="6" width="20.85546875" style="1092" customWidth="1" outlineLevel="1"/>
    <col min="7" max="7" width="20.5703125" style="1095" customWidth="1" outlineLevel="1"/>
    <col min="8" max="8" width="6.140625" style="1096" customWidth="1" outlineLevel="1"/>
    <col min="9" max="9" width="6.7109375" style="1096" customWidth="1" outlineLevel="1"/>
    <col min="10" max="10" width="8.7109375" style="1096" customWidth="1" outlineLevel="1"/>
    <col min="11" max="11" width="12.140625" style="1092" customWidth="1"/>
    <col min="12" max="12" width="11" style="1092" customWidth="1"/>
    <col min="13" max="13" width="10.7109375" style="1092" customWidth="1"/>
    <col min="14" max="14" width="12.7109375" style="1092" hidden="1" customWidth="1"/>
    <col min="15" max="15" width="10.7109375" style="1092" customWidth="1"/>
    <col min="16" max="16" width="9.28515625" style="1092" customWidth="1"/>
    <col min="17" max="17" width="12.85546875" style="1092" customWidth="1"/>
    <col min="18" max="18" width="12.7109375" style="1092" hidden="1" customWidth="1"/>
    <col min="19" max="19" width="11" style="1092" customWidth="1"/>
    <col min="20" max="20" width="11.28515625" style="1092" customWidth="1"/>
    <col min="21" max="21" width="11.42578125" style="1092" customWidth="1"/>
    <col min="22" max="23" width="11.7109375" style="1092" customWidth="1"/>
    <col min="24" max="24" width="12.7109375" style="1092" customWidth="1"/>
    <col min="25" max="25" width="10" style="1092" customWidth="1"/>
    <col min="26" max="26" width="9.42578125" style="1092" hidden="1" customWidth="1"/>
    <col min="27" max="27" width="11.140625" style="1092" customWidth="1"/>
    <col min="28" max="28" width="11.7109375" style="1092" customWidth="1"/>
    <col min="29" max="29" width="12" style="1092" hidden="1" customWidth="1"/>
    <col min="30" max="30" width="12.7109375" style="1092" hidden="1" customWidth="1"/>
    <col min="31" max="31" width="11.7109375" style="1092" customWidth="1"/>
    <col min="32" max="32" width="13.140625" style="1092" hidden="1" customWidth="1"/>
    <col min="33" max="34" width="12.7109375" style="1092" hidden="1" customWidth="1"/>
    <col min="35" max="35" width="13.85546875" style="1092" customWidth="1" collapsed="1"/>
    <col min="36" max="36" width="7.7109375" style="1097" customWidth="1"/>
    <col min="37" max="37" width="11.42578125" style="1092" customWidth="1"/>
    <col min="38" max="38" width="12.7109375" style="1091" customWidth="1"/>
    <col min="39" max="39" width="14.28515625" style="1091" customWidth="1"/>
    <col min="40" max="40" width="13.85546875" style="1090" bestFit="1" customWidth="1"/>
    <col min="41" max="41" width="12.5703125" style="1090" customWidth="1"/>
    <col min="42" max="42" width="12.7109375" style="1090" customWidth="1"/>
    <col min="43" max="43" width="12.85546875" style="1090" customWidth="1"/>
    <col min="44" max="44" width="10.28515625" style="1090" bestFit="1" customWidth="1"/>
    <col min="45" max="16384" width="9.140625" style="1090"/>
  </cols>
  <sheetData>
    <row r="1" spans="2:43">
      <c r="B1" s="1091" t="s">
        <v>417</v>
      </c>
      <c r="AL1" s="1090"/>
      <c r="AM1" s="1090"/>
    </row>
    <row r="2" spans="2:43">
      <c r="B2" s="1091" t="s">
        <v>418</v>
      </c>
      <c r="AL2" s="1090"/>
      <c r="AM2" s="1090"/>
    </row>
    <row r="3" spans="2:43">
      <c r="B3" s="1091" t="s">
        <v>419</v>
      </c>
      <c r="AL3" s="1090"/>
      <c r="AM3" s="1090"/>
    </row>
    <row r="4" spans="2:43" s="1091" customFormat="1" ht="13.5" thickBot="1">
      <c r="C4" s="1098" t="s">
        <v>420</v>
      </c>
      <c r="D4" s="1093"/>
      <c r="E4" s="1094"/>
      <c r="F4" s="1092"/>
      <c r="G4" s="1095"/>
      <c r="H4" s="1096"/>
      <c r="I4" s="1096"/>
      <c r="J4" s="1096"/>
      <c r="K4" s="1092"/>
      <c r="L4" s="1092"/>
      <c r="M4" s="1092"/>
      <c r="N4" s="1092"/>
      <c r="O4" s="1092" t="s">
        <v>421</v>
      </c>
      <c r="P4" s="1092" t="s">
        <v>422</v>
      </c>
      <c r="Q4" s="1092" t="s">
        <v>423</v>
      </c>
      <c r="R4" s="1092"/>
      <c r="S4" s="1092"/>
      <c r="T4" s="1092"/>
      <c r="U4" s="1092"/>
      <c r="V4" s="1092"/>
      <c r="W4" s="1092"/>
      <c r="X4" s="1092"/>
      <c r="Y4" s="1092"/>
      <c r="Z4" s="1092"/>
      <c r="AA4" s="1092"/>
      <c r="AB4" s="1092"/>
      <c r="AC4" s="1092"/>
      <c r="AD4" s="1092"/>
      <c r="AE4" s="1092"/>
      <c r="AF4" s="1092"/>
      <c r="AG4" s="1092"/>
      <c r="AH4" s="1092"/>
      <c r="AI4" s="1092"/>
      <c r="AJ4" s="1097"/>
      <c r="AK4" s="1092"/>
    </row>
    <row r="5" spans="2:43" s="1091" customFormat="1" ht="51.75" thickBot="1">
      <c r="B5" s="1099" t="s">
        <v>132</v>
      </c>
      <c r="C5" s="1099" t="s">
        <v>41</v>
      </c>
      <c r="D5" s="1100" t="s">
        <v>424</v>
      </c>
      <c r="E5" s="1101" t="s">
        <v>425</v>
      </c>
      <c r="F5" s="1099" t="s">
        <v>426</v>
      </c>
      <c r="G5" s="1102" t="s">
        <v>142</v>
      </c>
      <c r="H5" s="1103" t="s">
        <v>133</v>
      </c>
      <c r="I5" s="1104" t="s">
        <v>427</v>
      </c>
      <c r="J5" s="1104" t="s">
        <v>428</v>
      </c>
      <c r="K5" s="1105" t="s">
        <v>429</v>
      </c>
      <c r="L5" s="1106" t="s">
        <v>430</v>
      </c>
      <c r="M5" s="1106" t="s">
        <v>431</v>
      </c>
      <c r="N5" s="1107" t="s">
        <v>432</v>
      </c>
      <c r="O5" s="1106" t="s">
        <v>433</v>
      </c>
      <c r="P5" s="1108" t="s">
        <v>434</v>
      </c>
      <c r="Q5" s="1107" t="s">
        <v>435</v>
      </c>
      <c r="R5" s="1107" t="s">
        <v>436</v>
      </c>
      <c r="S5" s="1109" t="s">
        <v>437</v>
      </c>
      <c r="T5" s="1106" t="s">
        <v>438</v>
      </c>
      <c r="U5" s="1106" t="s">
        <v>439</v>
      </c>
      <c r="V5" s="1106" t="s">
        <v>440</v>
      </c>
      <c r="W5" s="1106" t="s">
        <v>441</v>
      </c>
      <c r="X5" s="1106" t="s">
        <v>442</v>
      </c>
      <c r="Y5" s="1106" t="s">
        <v>443</v>
      </c>
      <c r="Z5" s="1109" t="s">
        <v>197</v>
      </c>
      <c r="AA5" s="1106" t="s">
        <v>444</v>
      </c>
      <c r="AB5" s="1106" t="s">
        <v>144</v>
      </c>
      <c r="AC5" s="1106" t="s">
        <v>198</v>
      </c>
      <c r="AD5" s="1106" t="s">
        <v>445</v>
      </c>
      <c r="AE5" s="1106" t="s">
        <v>446</v>
      </c>
      <c r="AF5" s="1106" t="s">
        <v>447</v>
      </c>
      <c r="AG5" s="1106" t="s">
        <v>448</v>
      </c>
      <c r="AH5" s="1106" t="s">
        <v>447</v>
      </c>
      <c r="AI5" s="1106" t="s">
        <v>449</v>
      </c>
      <c r="AJ5" s="1110" t="s">
        <v>450</v>
      </c>
      <c r="AK5" s="1106" t="s">
        <v>451</v>
      </c>
    </row>
    <row r="6" spans="2:43" s="1091" customFormat="1" ht="17.25" customHeight="1">
      <c r="B6" s="1111">
        <v>1</v>
      </c>
      <c r="C6" s="1112" t="s">
        <v>36</v>
      </c>
      <c r="D6" s="1113" t="s">
        <v>452</v>
      </c>
      <c r="E6" s="1114" t="s">
        <v>453</v>
      </c>
      <c r="F6" s="1115" t="s">
        <v>454</v>
      </c>
      <c r="G6" s="1116" t="s">
        <v>455</v>
      </c>
      <c r="H6" s="1117" t="s">
        <v>175</v>
      </c>
      <c r="I6" s="1118" t="s">
        <v>456</v>
      </c>
      <c r="J6" s="1119" t="str">
        <f>IF(ISBLANK(I6),"",IF(OR(I6="TK/0",I6="TK/1",I6="K/0"),"TER A",IF(I6="K/3","TER C","TER B")))</f>
        <v>TER B</v>
      </c>
      <c r="K6" s="1122">
        <f>134500*31</f>
        <v>4169500</v>
      </c>
      <c r="L6" s="1121">
        <f>(4035000+S6)*0.84%</f>
        <v>34171.199999999997</v>
      </c>
      <c r="M6" s="1121">
        <f>(4035000+S6)*4%</f>
        <v>162720</v>
      </c>
      <c r="N6" s="1122"/>
      <c r="O6" s="1123">
        <f>'GAJI MAINTENANCE AJ'!X10</f>
        <v>172050</v>
      </c>
      <c r="P6" s="1120">
        <f>'GAJI MAINTENANCE AJ'!AA10</f>
        <v>60000</v>
      </c>
      <c r="Q6" s="1120">
        <f>'GAJI MAINTENANCE AJ'!AF10</f>
        <v>3965029.0000000005</v>
      </c>
      <c r="R6" s="1122"/>
      <c r="S6" s="1123">
        <f>'GAJI MAINTENANCE AJ'!AD10</f>
        <v>33000</v>
      </c>
      <c r="T6" s="1123"/>
      <c r="U6" s="1123"/>
      <c r="V6" s="1123"/>
      <c r="W6" s="1123"/>
      <c r="X6" s="1123"/>
      <c r="Y6" s="1123"/>
      <c r="Z6" s="1123"/>
      <c r="AA6" s="1123"/>
      <c r="AB6" s="1123"/>
      <c r="AC6" s="1123"/>
      <c r="AD6" s="1123"/>
      <c r="AE6" s="1123">
        <f>'GAJI MAINTENANCE AJ'!BF10</f>
        <v>0</v>
      </c>
      <c r="AF6" s="1123"/>
      <c r="AG6" s="1122"/>
      <c r="AH6" s="1123"/>
      <c r="AI6" s="1124">
        <f>ROUND(SUM(K6:AH6),0)</f>
        <v>8596470</v>
      </c>
      <c r="AJ6" s="1125">
        <f t="shared" ref="AJ6:AJ53" si="0">IF(J6="TER A",VLOOKUP(AI6,Ter_A,4,TRUE),IF(J6="TER B",VLOOKUP(AI6,Ter_B,4,TRUE),VLOOKUP(AI6,Ter_C,4,TRUE)))</f>
        <v>0.01</v>
      </c>
      <c r="AK6" s="1126">
        <f t="shared" ref="AK6:AK53" si="1">ROUND(IF(E6=0,AI6*AJ6*120%,AI6*AJ6),0)</f>
        <v>85965</v>
      </c>
      <c r="AL6" s="1127">
        <f>'GAJI MAINTENANCE AJ'!AK10</f>
        <v>8399579</v>
      </c>
      <c r="AM6" s="1128">
        <f t="shared" ref="AM6:AM53" si="2">L6+M6</f>
        <v>196891.2</v>
      </c>
      <c r="AN6" s="1129">
        <f>AL6+AM6</f>
        <v>8596470.1999999993</v>
      </c>
      <c r="AO6" s="1128">
        <f>AN6-AI6</f>
        <v>0.19999999925494194</v>
      </c>
      <c r="AP6" s="1130"/>
      <c r="AQ6" s="1130"/>
    </row>
    <row r="7" spans="2:43" s="1091" customFormat="1" ht="17.25" customHeight="1">
      <c r="B7" s="1131">
        <v>2</v>
      </c>
      <c r="C7" s="1132" t="s">
        <v>53</v>
      </c>
      <c r="D7" s="1133" t="s">
        <v>457</v>
      </c>
      <c r="E7" s="1134" t="s">
        <v>458</v>
      </c>
      <c r="F7" s="1135" t="s">
        <v>459</v>
      </c>
      <c r="G7" s="1136" t="s">
        <v>460</v>
      </c>
      <c r="H7" s="1137" t="s">
        <v>175</v>
      </c>
      <c r="I7" s="1138" t="s">
        <v>461</v>
      </c>
      <c r="J7" s="1139" t="str">
        <f t="shared" ref="J7:J53" si="3">IF(ISBLANK(I7),"",IF(OR(I7="TK/0",I7="TK/1",I7="K/0"),"TER A",IF(I7="K/3","TER C","TER B")))</f>
        <v>TER A</v>
      </c>
      <c r="K7" s="1140">
        <f t="shared" ref="K7:K58" si="4">134500*31</f>
        <v>4169500</v>
      </c>
      <c r="L7" s="1141">
        <f t="shared" ref="L7:L59" si="5">(4035000+S7)*0.84%</f>
        <v>34641.599999999999</v>
      </c>
      <c r="M7" s="1141">
        <f t="shared" ref="M7:M59" si="6">(4035000+S7)*4%</f>
        <v>164960</v>
      </c>
      <c r="N7" s="1123"/>
      <c r="O7" s="1123">
        <f>'GAJI MAINTENANCE AJ'!X11</f>
        <v>100750</v>
      </c>
      <c r="P7" s="1140">
        <f>'GAJI MAINTENANCE AJ'!AA11</f>
        <v>87500</v>
      </c>
      <c r="Q7" s="1140"/>
      <c r="R7" s="1123"/>
      <c r="S7" s="1123">
        <f>'GAJI MAINTENANCE AJ'!AD11</f>
        <v>89000</v>
      </c>
      <c r="T7" s="1123"/>
      <c r="U7" s="1123"/>
      <c r="V7" s="1123"/>
      <c r="W7" s="1123"/>
      <c r="X7" s="1123"/>
      <c r="Y7" s="1123"/>
      <c r="Z7" s="1123"/>
      <c r="AA7" s="1123"/>
      <c r="AB7" s="1123"/>
      <c r="AC7" s="1123"/>
      <c r="AD7" s="1123"/>
      <c r="AE7" s="1123">
        <f>'GAJI MAINTENANCE AJ'!BF11</f>
        <v>0</v>
      </c>
      <c r="AF7" s="1123"/>
      <c r="AG7" s="1123"/>
      <c r="AH7" s="1123"/>
      <c r="AI7" s="1124">
        <f t="shared" ref="AI7:AI53" si="7">ROUND(SUM(K7:AH7),0)</f>
        <v>4646352</v>
      </c>
      <c r="AJ7" s="1142">
        <f t="shared" si="0"/>
        <v>0</v>
      </c>
      <c r="AK7" s="1126">
        <f t="shared" si="1"/>
        <v>0</v>
      </c>
      <c r="AL7" s="1127">
        <f>'GAJI MAINTENANCE AJ'!AK11</f>
        <v>4446750</v>
      </c>
      <c r="AM7" s="1128">
        <f t="shared" si="2"/>
        <v>199601.6</v>
      </c>
      <c r="AN7" s="1129">
        <f>AL7+AM7</f>
        <v>4646351.5999999996</v>
      </c>
      <c r="AO7" s="1128">
        <f t="shared" ref="AO7:AO59" si="8">AN7-AI7</f>
        <v>-0.40000000037252903</v>
      </c>
      <c r="AP7" s="1130"/>
      <c r="AQ7" s="1130"/>
    </row>
    <row r="8" spans="2:43" s="1091" customFormat="1" ht="17.25" customHeight="1">
      <c r="B8" s="1131">
        <v>3</v>
      </c>
      <c r="C8" s="1132" t="s">
        <v>12</v>
      </c>
      <c r="D8" s="1133" t="s">
        <v>462</v>
      </c>
      <c r="E8" s="1134" t="s">
        <v>463</v>
      </c>
      <c r="F8" s="1135" t="s">
        <v>464</v>
      </c>
      <c r="G8" s="1136" t="s">
        <v>465</v>
      </c>
      <c r="H8" s="1137" t="s">
        <v>175</v>
      </c>
      <c r="I8" s="1138" t="s">
        <v>461</v>
      </c>
      <c r="J8" s="1139" t="str">
        <f t="shared" si="3"/>
        <v>TER A</v>
      </c>
      <c r="K8" s="1140">
        <f t="shared" si="4"/>
        <v>4169500</v>
      </c>
      <c r="L8" s="1141">
        <f t="shared" si="5"/>
        <v>34700.400000000001</v>
      </c>
      <c r="M8" s="1141">
        <f t="shared" si="6"/>
        <v>165240</v>
      </c>
      <c r="N8" s="1123"/>
      <c r="O8" s="1123">
        <f>'GAJI MAINTENANCE AJ'!X12</f>
        <v>100750</v>
      </c>
      <c r="P8" s="1140"/>
      <c r="Q8" s="1140"/>
      <c r="R8" s="1123"/>
      <c r="S8" s="1123">
        <f>'GAJI MAINTENANCE AJ'!AD12</f>
        <v>96000</v>
      </c>
      <c r="T8" s="1123"/>
      <c r="U8" s="1123"/>
      <c r="V8" s="1123"/>
      <c r="W8" s="1123"/>
      <c r="X8" s="1123"/>
      <c r="Y8" s="1123"/>
      <c r="Z8" s="1123"/>
      <c r="AA8" s="1123"/>
      <c r="AB8" s="1123"/>
      <c r="AC8" s="1123"/>
      <c r="AD8" s="1123"/>
      <c r="AE8" s="1123">
        <f>'GAJI MAINTENANCE AJ'!BF12</f>
        <v>0</v>
      </c>
      <c r="AF8" s="1123"/>
      <c r="AG8" s="1123"/>
      <c r="AH8" s="1123"/>
      <c r="AI8" s="1124">
        <f t="shared" si="7"/>
        <v>4566190</v>
      </c>
      <c r="AJ8" s="1142">
        <f t="shared" si="0"/>
        <v>0</v>
      </c>
      <c r="AK8" s="1126">
        <f t="shared" si="1"/>
        <v>0</v>
      </c>
      <c r="AL8" s="1127">
        <f>'GAJI MAINTENANCE AJ'!AK12</f>
        <v>4366250</v>
      </c>
      <c r="AM8" s="1128">
        <f t="shared" si="2"/>
        <v>199940.4</v>
      </c>
      <c r="AN8" s="1129">
        <f t="shared" ref="AN8:AN53" si="9">AL8+AM8</f>
        <v>4566190.4000000004</v>
      </c>
      <c r="AO8" s="1128">
        <f t="shared" si="8"/>
        <v>0.40000000037252903</v>
      </c>
      <c r="AP8" s="1130"/>
      <c r="AQ8" s="1130"/>
    </row>
    <row r="9" spans="2:43" s="1091" customFormat="1" ht="17.25" customHeight="1">
      <c r="B9" s="1131">
        <v>4</v>
      </c>
      <c r="C9" s="1132" t="s">
        <v>54</v>
      </c>
      <c r="D9" s="1133" t="s">
        <v>466</v>
      </c>
      <c r="E9" s="1134" t="s">
        <v>467</v>
      </c>
      <c r="F9" s="1135" t="s">
        <v>468</v>
      </c>
      <c r="G9" s="1136" t="s">
        <v>465</v>
      </c>
      <c r="H9" s="1137" t="s">
        <v>176</v>
      </c>
      <c r="I9" s="1143" t="s">
        <v>469</v>
      </c>
      <c r="J9" s="1139" t="str">
        <f t="shared" si="3"/>
        <v>TER A</v>
      </c>
      <c r="K9" s="1140">
        <f t="shared" si="4"/>
        <v>4169500</v>
      </c>
      <c r="L9" s="1141">
        <f t="shared" si="5"/>
        <v>34318.199999999997</v>
      </c>
      <c r="M9" s="1141">
        <f t="shared" si="6"/>
        <v>163420</v>
      </c>
      <c r="N9" s="1123"/>
      <c r="O9" s="1123">
        <f>'GAJI MAINTENANCE AJ'!X13</f>
        <v>69750</v>
      </c>
      <c r="P9" s="1140"/>
      <c r="Q9" s="1140"/>
      <c r="R9" s="1123"/>
      <c r="S9" s="1123">
        <f>'GAJI MAINTENANCE AJ'!AD13</f>
        <v>50500</v>
      </c>
      <c r="T9" s="1123"/>
      <c r="U9" s="1123"/>
      <c r="V9" s="1123"/>
      <c r="W9" s="1123"/>
      <c r="X9" s="1123"/>
      <c r="Y9" s="1123"/>
      <c r="Z9" s="1123"/>
      <c r="AA9" s="1123"/>
      <c r="AB9" s="1123"/>
      <c r="AC9" s="1123"/>
      <c r="AD9" s="1123"/>
      <c r="AE9" s="1123">
        <f>'GAJI MAINTENANCE AJ'!BF13</f>
        <v>0</v>
      </c>
      <c r="AF9" s="1123"/>
      <c r="AG9" s="1123"/>
      <c r="AH9" s="1123"/>
      <c r="AI9" s="1124">
        <f t="shared" si="7"/>
        <v>4487488</v>
      </c>
      <c r="AJ9" s="1142">
        <f t="shared" si="0"/>
        <v>0</v>
      </c>
      <c r="AK9" s="1126">
        <f t="shared" si="1"/>
        <v>0</v>
      </c>
      <c r="AL9" s="1127">
        <f>'GAJI MAINTENANCE AJ'!AK13</f>
        <v>4289750</v>
      </c>
      <c r="AM9" s="1128">
        <f t="shared" si="2"/>
        <v>197738.2</v>
      </c>
      <c r="AN9" s="1129">
        <f t="shared" si="9"/>
        <v>4487488.2</v>
      </c>
      <c r="AO9" s="1128">
        <f t="shared" si="8"/>
        <v>0.20000000018626451</v>
      </c>
      <c r="AP9" s="1130"/>
      <c r="AQ9" s="1130"/>
    </row>
    <row r="10" spans="2:43" s="1091" customFormat="1" ht="17.25" customHeight="1">
      <c r="B10" s="1131">
        <v>5</v>
      </c>
      <c r="C10" s="1132" t="s">
        <v>55</v>
      </c>
      <c r="D10" s="1133" t="s">
        <v>470</v>
      </c>
      <c r="E10" s="1134" t="s">
        <v>471</v>
      </c>
      <c r="F10" s="1135" t="s">
        <v>472</v>
      </c>
      <c r="G10" s="1136" t="s">
        <v>465</v>
      </c>
      <c r="H10" s="1137" t="s">
        <v>175</v>
      </c>
      <c r="I10" s="1143" t="s">
        <v>473</v>
      </c>
      <c r="J10" s="1139" t="str">
        <f t="shared" si="3"/>
        <v>TER B</v>
      </c>
      <c r="K10" s="1140">
        <f t="shared" si="4"/>
        <v>4169500</v>
      </c>
      <c r="L10" s="1141">
        <f t="shared" si="5"/>
        <v>34347.599999999999</v>
      </c>
      <c r="M10" s="1141">
        <f t="shared" si="6"/>
        <v>163560</v>
      </c>
      <c r="N10" s="1123"/>
      <c r="O10" s="1123">
        <f>'GAJI MAINTENANCE AJ'!X14</f>
        <v>139500</v>
      </c>
      <c r="P10" s="1140"/>
      <c r="Q10" s="1140"/>
      <c r="R10" s="1123"/>
      <c r="S10" s="1123">
        <f>'GAJI MAINTENANCE AJ'!AD14</f>
        <v>54000</v>
      </c>
      <c r="T10" s="1123"/>
      <c r="U10" s="1123"/>
      <c r="V10" s="1123"/>
      <c r="W10" s="1123"/>
      <c r="X10" s="1123"/>
      <c r="Y10" s="1123"/>
      <c r="Z10" s="1123"/>
      <c r="AA10" s="1123"/>
      <c r="AB10" s="1123"/>
      <c r="AC10" s="1123"/>
      <c r="AD10" s="1123"/>
      <c r="AE10" s="1123">
        <f>'GAJI MAINTENANCE AJ'!BF14</f>
        <v>-134500</v>
      </c>
      <c r="AF10" s="1123"/>
      <c r="AG10" s="1123"/>
      <c r="AH10" s="1123"/>
      <c r="AI10" s="1124">
        <f t="shared" si="7"/>
        <v>4426408</v>
      </c>
      <c r="AJ10" s="1142">
        <f t="shared" si="0"/>
        <v>0</v>
      </c>
      <c r="AK10" s="1126">
        <f t="shared" si="1"/>
        <v>0</v>
      </c>
      <c r="AL10" s="1127">
        <f>'GAJI MAINTENANCE AJ'!AK14</f>
        <v>4228500</v>
      </c>
      <c r="AM10" s="1128">
        <f t="shared" si="2"/>
        <v>197907.6</v>
      </c>
      <c r="AN10" s="1129">
        <f t="shared" si="9"/>
        <v>4426407.5999999996</v>
      </c>
      <c r="AO10" s="1128">
        <f t="shared" si="8"/>
        <v>-0.40000000037252903</v>
      </c>
      <c r="AP10" s="1130"/>
      <c r="AQ10" s="1130"/>
    </row>
    <row r="11" spans="2:43" s="1091" customFormat="1" ht="17.25" customHeight="1">
      <c r="B11" s="1131">
        <v>6</v>
      </c>
      <c r="C11" s="1132" t="s">
        <v>56</v>
      </c>
      <c r="D11" s="1133" t="s">
        <v>474</v>
      </c>
      <c r="E11" s="1134" t="s">
        <v>475</v>
      </c>
      <c r="F11" s="1135" t="s">
        <v>476</v>
      </c>
      <c r="G11" s="1136" t="s">
        <v>465</v>
      </c>
      <c r="H11" s="1137" t="s">
        <v>175</v>
      </c>
      <c r="I11" s="1143" t="s">
        <v>473</v>
      </c>
      <c r="J11" s="1139" t="str">
        <f t="shared" si="3"/>
        <v>TER B</v>
      </c>
      <c r="K11" s="1140">
        <f t="shared" si="4"/>
        <v>4169500</v>
      </c>
      <c r="L11" s="1141">
        <f t="shared" si="5"/>
        <v>34347.599999999999</v>
      </c>
      <c r="M11" s="1141">
        <f t="shared" si="6"/>
        <v>163560</v>
      </c>
      <c r="N11" s="1123"/>
      <c r="O11" s="1123">
        <f>'GAJI MAINTENANCE AJ'!X15</f>
        <v>144150</v>
      </c>
      <c r="P11" s="1140"/>
      <c r="Q11" s="1140"/>
      <c r="R11" s="1123"/>
      <c r="S11" s="1123">
        <f>'GAJI MAINTENANCE AJ'!AD15</f>
        <v>54000</v>
      </c>
      <c r="T11" s="1123"/>
      <c r="U11" s="1123"/>
      <c r="V11" s="1123"/>
      <c r="W11" s="1123"/>
      <c r="X11" s="1123"/>
      <c r="Y11" s="1123"/>
      <c r="Z11" s="1123"/>
      <c r="AA11" s="1123"/>
      <c r="AB11" s="1123"/>
      <c r="AC11" s="1123"/>
      <c r="AD11" s="1123"/>
      <c r="AE11" s="1123">
        <f>'GAJI MAINTENANCE AJ'!BF15</f>
        <v>0</v>
      </c>
      <c r="AF11" s="1123"/>
      <c r="AG11" s="1123"/>
      <c r="AH11" s="1123"/>
      <c r="AI11" s="1124">
        <f t="shared" si="7"/>
        <v>4565558</v>
      </c>
      <c r="AJ11" s="1142">
        <f t="shared" si="0"/>
        <v>0</v>
      </c>
      <c r="AK11" s="1126">
        <f t="shared" si="1"/>
        <v>0</v>
      </c>
      <c r="AL11" s="1127">
        <f>'GAJI MAINTENANCE AJ'!AK15</f>
        <v>4367650</v>
      </c>
      <c r="AM11" s="1128">
        <f t="shared" si="2"/>
        <v>197907.6</v>
      </c>
      <c r="AN11" s="1129">
        <f t="shared" si="9"/>
        <v>4565557.5999999996</v>
      </c>
      <c r="AO11" s="1128">
        <f t="shared" si="8"/>
        <v>-0.40000000037252903</v>
      </c>
      <c r="AP11" s="1130"/>
      <c r="AQ11" s="1130"/>
    </row>
    <row r="12" spans="2:43" s="1091" customFormat="1" ht="17.25" customHeight="1">
      <c r="B12" s="1131">
        <v>7</v>
      </c>
      <c r="C12" s="1132" t="s">
        <v>57</v>
      </c>
      <c r="D12" s="1133" t="s">
        <v>477</v>
      </c>
      <c r="E12" s="1134" t="s">
        <v>478</v>
      </c>
      <c r="F12" s="1135" t="s">
        <v>479</v>
      </c>
      <c r="G12" s="1136" t="s">
        <v>465</v>
      </c>
      <c r="H12" s="1137" t="s">
        <v>175</v>
      </c>
      <c r="I12" s="1143" t="s">
        <v>456</v>
      </c>
      <c r="J12" s="1139" t="str">
        <f t="shared" si="3"/>
        <v>TER B</v>
      </c>
      <c r="K12" s="1140">
        <f t="shared" si="4"/>
        <v>4169500</v>
      </c>
      <c r="L12" s="1141">
        <f t="shared" si="5"/>
        <v>34171.199999999997</v>
      </c>
      <c r="M12" s="1141">
        <f t="shared" si="6"/>
        <v>162720</v>
      </c>
      <c r="N12" s="1123"/>
      <c r="O12" s="1123">
        <f>'GAJI MAINTENANCE AJ'!X16</f>
        <v>166500</v>
      </c>
      <c r="P12" s="1140"/>
      <c r="Q12" s="1140"/>
      <c r="R12" s="1123"/>
      <c r="S12" s="1123">
        <f>'GAJI MAINTENANCE AJ'!AD16</f>
        <v>33000</v>
      </c>
      <c r="T12" s="1123"/>
      <c r="U12" s="1123"/>
      <c r="V12" s="1123"/>
      <c r="W12" s="1123"/>
      <c r="X12" s="1123"/>
      <c r="Y12" s="1123"/>
      <c r="Z12" s="1123"/>
      <c r="AA12" s="1123"/>
      <c r="AB12" s="1123"/>
      <c r="AC12" s="1123"/>
      <c r="AD12" s="1123"/>
      <c r="AE12" s="1123">
        <f>'GAJI MAINTENANCE AJ'!BF16</f>
        <v>-134500</v>
      </c>
      <c r="AF12" s="1123"/>
      <c r="AG12" s="1123"/>
      <c r="AH12" s="1123"/>
      <c r="AI12" s="1124">
        <f t="shared" si="7"/>
        <v>4431391</v>
      </c>
      <c r="AJ12" s="1142">
        <f t="shared" si="0"/>
        <v>0</v>
      </c>
      <c r="AK12" s="1126">
        <f t="shared" si="1"/>
        <v>0</v>
      </c>
      <c r="AL12" s="1127">
        <f>'GAJI MAINTENANCE AJ'!AK16</f>
        <v>4234500</v>
      </c>
      <c r="AM12" s="1128">
        <f t="shared" si="2"/>
        <v>196891.2</v>
      </c>
      <c r="AN12" s="1129">
        <f t="shared" si="9"/>
        <v>4431391.2</v>
      </c>
      <c r="AO12" s="1128">
        <f t="shared" si="8"/>
        <v>0.20000000018626451</v>
      </c>
      <c r="AP12" s="1130"/>
      <c r="AQ12" s="1130"/>
    </row>
    <row r="13" spans="2:43" s="1091" customFormat="1" ht="17.25" customHeight="1">
      <c r="B13" s="1131">
        <v>8</v>
      </c>
      <c r="C13" s="1132" t="s">
        <v>58</v>
      </c>
      <c r="D13" s="1133" t="s">
        <v>480</v>
      </c>
      <c r="E13" s="1134" t="s">
        <v>481</v>
      </c>
      <c r="F13" s="1135" t="s">
        <v>482</v>
      </c>
      <c r="G13" s="1136" t="s">
        <v>465</v>
      </c>
      <c r="H13" s="1137" t="s">
        <v>175</v>
      </c>
      <c r="I13" s="1143" t="s">
        <v>473</v>
      </c>
      <c r="J13" s="1139" t="str">
        <f t="shared" si="3"/>
        <v>TER B</v>
      </c>
      <c r="K13" s="1140">
        <f t="shared" si="4"/>
        <v>4169500</v>
      </c>
      <c r="L13" s="1141">
        <f t="shared" si="5"/>
        <v>34171.199999999997</v>
      </c>
      <c r="M13" s="1141">
        <f t="shared" si="6"/>
        <v>162720</v>
      </c>
      <c r="N13" s="1123"/>
      <c r="O13" s="1123">
        <f>'GAJI MAINTENANCE AJ'!X17</f>
        <v>144150</v>
      </c>
      <c r="P13" s="1140"/>
      <c r="Q13" s="1140"/>
      <c r="R13" s="1123"/>
      <c r="S13" s="1123">
        <f>'GAJI MAINTENANCE AJ'!AD17</f>
        <v>33000</v>
      </c>
      <c r="T13" s="1123"/>
      <c r="U13" s="1123"/>
      <c r="V13" s="1123"/>
      <c r="W13" s="1123"/>
      <c r="X13" s="1123"/>
      <c r="Y13" s="1123"/>
      <c r="Z13" s="1123"/>
      <c r="AA13" s="1123"/>
      <c r="AB13" s="1123"/>
      <c r="AC13" s="1123"/>
      <c r="AD13" s="1123"/>
      <c r="AE13" s="1123">
        <f>'GAJI MAINTENANCE AJ'!BF17</f>
        <v>0</v>
      </c>
      <c r="AF13" s="1123"/>
      <c r="AG13" s="1123"/>
      <c r="AH13" s="1123"/>
      <c r="AI13" s="1124">
        <f t="shared" si="7"/>
        <v>4543541</v>
      </c>
      <c r="AJ13" s="1142">
        <f t="shared" si="0"/>
        <v>0</v>
      </c>
      <c r="AK13" s="1126">
        <f t="shared" si="1"/>
        <v>0</v>
      </c>
      <c r="AL13" s="1127">
        <f>'GAJI MAINTENANCE AJ'!AK17</f>
        <v>4346650</v>
      </c>
      <c r="AM13" s="1128">
        <f t="shared" si="2"/>
        <v>196891.2</v>
      </c>
      <c r="AN13" s="1129">
        <f t="shared" si="9"/>
        <v>4543541.2</v>
      </c>
      <c r="AO13" s="1128">
        <f t="shared" si="8"/>
        <v>0.20000000018626451</v>
      </c>
      <c r="AP13" s="1130"/>
      <c r="AQ13" s="1130"/>
    </row>
    <row r="14" spans="2:43" s="1091" customFormat="1" ht="17.25" customHeight="1">
      <c r="B14" s="1131">
        <v>9</v>
      </c>
      <c r="C14" s="1132" t="s">
        <v>227</v>
      </c>
      <c r="D14" s="1133" t="s">
        <v>483</v>
      </c>
      <c r="E14" s="1134" t="s">
        <v>484</v>
      </c>
      <c r="F14" s="1135" t="s">
        <v>485</v>
      </c>
      <c r="G14" s="1136" t="s">
        <v>465</v>
      </c>
      <c r="H14" s="1137" t="s">
        <v>175</v>
      </c>
      <c r="I14" s="1143" t="s">
        <v>473</v>
      </c>
      <c r="J14" s="1139" t="str">
        <f t="shared" si="3"/>
        <v>TER B</v>
      </c>
      <c r="K14" s="1140">
        <f t="shared" si="4"/>
        <v>4169500</v>
      </c>
      <c r="L14" s="1141">
        <f t="shared" si="5"/>
        <v>34347.599999999999</v>
      </c>
      <c r="M14" s="1141">
        <f t="shared" si="6"/>
        <v>163560</v>
      </c>
      <c r="N14" s="1123"/>
      <c r="O14" s="1123">
        <f>'GAJI MAINTENANCE AJ'!X18</f>
        <v>144150</v>
      </c>
      <c r="P14" s="1140"/>
      <c r="Q14" s="1140"/>
      <c r="R14" s="1123"/>
      <c r="S14" s="1123">
        <f>'GAJI MAINTENANCE AJ'!AD18</f>
        <v>54000</v>
      </c>
      <c r="T14" s="1123"/>
      <c r="U14" s="1123"/>
      <c r="V14" s="1123"/>
      <c r="W14" s="1123"/>
      <c r="X14" s="1123"/>
      <c r="Y14" s="1123"/>
      <c r="Z14" s="1123"/>
      <c r="AA14" s="1123"/>
      <c r="AB14" s="1123"/>
      <c r="AC14" s="1123"/>
      <c r="AD14" s="1123"/>
      <c r="AE14" s="1123">
        <f>'GAJI MAINTENANCE AJ'!BF18</f>
        <v>0</v>
      </c>
      <c r="AF14" s="1123"/>
      <c r="AG14" s="1123"/>
      <c r="AH14" s="1123"/>
      <c r="AI14" s="1124">
        <f t="shared" si="7"/>
        <v>4565558</v>
      </c>
      <c r="AJ14" s="1142">
        <f t="shared" si="0"/>
        <v>0</v>
      </c>
      <c r="AK14" s="1126">
        <f t="shared" si="1"/>
        <v>0</v>
      </c>
      <c r="AL14" s="1127">
        <f>'GAJI MAINTENANCE AJ'!AK18</f>
        <v>4367650</v>
      </c>
      <c r="AM14" s="1128">
        <f t="shared" si="2"/>
        <v>197907.6</v>
      </c>
      <c r="AN14" s="1129">
        <f t="shared" si="9"/>
        <v>4565557.5999999996</v>
      </c>
      <c r="AO14" s="1128">
        <f t="shared" si="8"/>
        <v>-0.40000000037252903</v>
      </c>
      <c r="AP14" s="1130"/>
      <c r="AQ14" s="1130"/>
    </row>
    <row r="15" spans="2:43" s="1091" customFormat="1" ht="17.25" customHeight="1">
      <c r="B15" s="1131">
        <v>10</v>
      </c>
      <c r="C15" s="1132" t="s">
        <v>486</v>
      </c>
      <c r="D15" s="1133" t="s">
        <v>487</v>
      </c>
      <c r="E15" s="1134" t="s">
        <v>488</v>
      </c>
      <c r="F15" s="1135" t="s">
        <v>489</v>
      </c>
      <c r="G15" s="1136" t="s">
        <v>465</v>
      </c>
      <c r="H15" s="1137" t="s">
        <v>176</v>
      </c>
      <c r="I15" s="1143" t="s">
        <v>469</v>
      </c>
      <c r="J15" s="1139" t="str">
        <f t="shared" si="3"/>
        <v>TER A</v>
      </c>
      <c r="K15" s="1140">
        <f t="shared" si="4"/>
        <v>4169500</v>
      </c>
      <c r="L15" s="1141">
        <f t="shared" si="5"/>
        <v>34318.199999999997</v>
      </c>
      <c r="M15" s="1141">
        <f t="shared" si="6"/>
        <v>163420</v>
      </c>
      <c r="N15" s="1140"/>
      <c r="O15" s="1123">
        <f>'GAJI MAINTENANCE AJ'!X19</f>
        <v>130200</v>
      </c>
      <c r="P15" s="1140"/>
      <c r="Q15" s="1140"/>
      <c r="R15" s="1123"/>
      <c r="S15" s="1123">
        <f>'GAJI MAINTENANCE AJ'!AD19</f>
        <v>50500</v>
      </c>
      <c r="T15" s="1123"/>
      <c r="U15" s="1123"/>
      <c r="V15" s="1123"/>
      <c r="W15" s="1123"/>
      <c r="X15" s="1123"/>
      <c r="Y15" s="1123"/>
      <c r="Z15" s="1123"/>
      <c r="AA15" s="1123"/>
      <c r="AB15" s="1123"/>
      <c r="AC15" s="1123"/>
      <c r="AD15" s="1123"/>
      <c r="AE15" s="1123">
        <f>'GAJI MAINTENANCE AJ'!BF19</f>
        <v>0</v>
      </c>
      <c r="AF15" s="1123"/>
      <c r="AG15" s="1123"/>
      <c r="AH15" s="1123"/>
      <c r="AI15" s="1124">
        <f t="shared" si="7"/>
        <v>4547938</v>
      </c>
      <c r="AJ15" s="1142">
        <f t="shared" si="0"/>
        <v>0</v>
      </c>
      <c r="AK15" s="1126">
        <f t="shared" si="1"/>
        <v>0</v>
      </c>
      <c r="AL15" s="1127">
        <f>'GAJI MAINTENANCE AJ'!AK19</f>
        <v>4350200</v>
      </c>
      <c r="AM15" s="1128">
        <f t="shared" si="2"/>
        <v>197738.2</v>
      </c>
      <c r="AN15" s="1129">
        <f t="shared" si="9"/>
        <v>4547938.2</v>
      </c>
      <c r="AO15" s="1128">
        <f t="shared" si="8"/>
        <v>0.20000000018626451</v>
      </c>
      <c r="AP15" s="1130"/>
      <c r="AQ15" s="1130"/>
    </row>
    <row r="16" spans="2:43" s="1091" customFormat="1" ht="17.25" customHeight="1">
      <c r="B16" s="1131">
        <v>11</v>
      </c>
      <c r="C16" s="1132" t="s">
        <v>228</v>
      </c>
      <c r="D16" s="1133" t="s">
        <v>490</v>
      </c>
      <c r="E16" s="1134" t="s">
        <v>491</v>
      </c>
      <c r="F16" s="1135" t="s">
        <v>492</v>
      </c>
      <c r="G16" s="1136" t="s">
        <v>465</v>
      </c>
      <c r="H16" s="1137" t="s">
        <v>176</v>
      </c>
      <c r="I16" s="1143" t="s">
        <v>469</v>
      </c>
      <c r="J16" s="1139" t="str">
        <f t="shared" si="3"/>
        <v>TER A</v>
      </c>
      <c r="K16" s="1140">
        <f t="shared" si="4"/>
        <v>4169500</v>
      </c>
      <c r="L16" s="1141">
        <f t="shared" si="5"/>
        <v>34347.599999999999</v>
      </c>
      <c r="M16" s="1141">
        <f t="shared" si="6"/>
        <v>163560</v>
      </c>
      <c r="N16" s="1140"/>
      <c r="O16" s="1123">
        <f>'GAJI MAINTENANCE AJ'!X20</f>
        <v>69750</v>
      </c>
      <c r="P16" s="1140"/>
      <c r="Q16" s="1140"/>
      <c r="R16" s="1123"/>
      <c r="S16" s="1123">
        <f>'GAJI MAINTENANCE AJ'!AD20</f>
        <v>54000</v>
      </c>
      <c r="T16" s="1123"/>
      <c r="U16" s="1123"/>
      <c r="V16" s="1123"/>
      <c r="W16" s="1123"/>
      <c r="X16" s="1123"/>
      <c r="Y16" s="1123"/>
      <c r="Z16" s="1123"/>
      <c r="AA16" s="1123"/>
      <c r="AB16" s="1123"/>
      <c r="AC16" s="1123"/>
      <c r="AD16" s="1123"/>
      <c r="AE16" s="1123">
        <f>'GAJI MAINTENANCE AJ'!BF20</f>
        <v>0</v>
      </c>
      <c r="AF16" s="1123"/>
      <c r="AG16" s="1123"/>
      <c r="AH16" s="1123"/>
      <c r="AI16" s="1124">
        <f t="shared" si="7"/>
        <v>4491158</v>
      </c>
      <c r="AJ16" s="1142">
        <f t="shared" si="0"/>
        <v>0</v>
      </c>
      <c r="AK16" s="1126">
        <f t="shared" si="1"/>
        <v>0</v>
      </c>
      <c r="AL16" s="1127">
        <f>'GAJI MAINTENANCE AJ'!AK20</f>
        <v>4293250</v>
      </c>
      <c r="AM16" s="1128">
        <f t="shared" si="2"/>
        <v>197907.6</v>
      </c>
      <c r="AN16" s="1129">
        <f t="shared" si="9"/>
        <v>4491157.5999999996</v>
      </c>
      <c r="AO16" s="1128">
        <f t="shared" si="8"/>
        <v>-0.40000000037252903</v>
      </c>
      <c r="AP16" s="1130"/>
      <c r="AQ16" s="1130"/>
    </row>
    <row r="17" spans="2:43" s="1091" customFormat="1" ht="17.25" customHeight="1">
      <c r="B17" s="1131">
        <v>12</v>
      </c>
      <c r="C17" s="1132" t="s">
        <v>62</v>
      </c>
      <c r="D17" s="1133" t="s">
        <v>493</v>
      </c>
      <c r="E17" s="1134" t="s">
        <v>494</v>
      </c>
      <c r="F17" s="1135" t="s">
        <v>495</v>
      </c>
      <c r="G17" s="1136" t="s">
        <v>465</v>
      </c>
      <c r="H17" s="1137" t="s">
        <v>175</v>
      </c>
      <c r="I17" s="1143" t="s">
        <v>456</v>
      </c>
      <c r="J17" s="1139" t="str">
        <f t="shared" si="3"/>
        <v>TER B</v>
      </c>
      <c r="K17" s="1140">
        <f t="shared" si="4"/>
        <v>4169500</v>
      </c>
      <c r="L17" s="1141">
        <f t="shared" si="5"/>
        <v>34200.6</v>
      </c>
      <c r="M17" s="1141">
        <f t="shared" si="6"/>
        <v>162860</v>
      </c>
      <c r="N17" s="1140"/>
      <c r="O17" s="1123">
        <f>'GAJI MAINTENANCE AJ'!X21</f>
        <v>172050</v>
      </c>
      <c r="P17" s="1140"/>
      <c r="Q17" s="1140"/>
      <c r="R17" s="1123"/>
      <c r="S17" s="1123">
        <f>'GAJI MAINTENANCE AJ'!AD21</f>
        <v>36500</v>
      </c>
      <c r="T17" s="1123"/>
      <c r="U17" s="1123"/>
      <c r="V17" s="1123"/>
      <c r="W17" s="1123"/>
      <c r="X17" s="1123"/>
      <c r="Y17" s="1123"/>
      <c r="Z17" s="1123"/>
      <c r="AA17" s="1123"/>
      <c r="AB17" s="1123"/>
      <c r="AC17" s="1123"/>
      <c r="AD17" s="1123"/>
      <c r="AE17" s="1123">
        <f>'GAJI MAINTENANCE AJ'!BF21</f>
        <v>0</v>
      </c>
      <c r="AF17" s="1123"/>
      <c r="AG17" s="1123"/>
      <c r="AH17" s="1123"/>
      <c r="AI17" s="1124">
        <f t="shared" si="7"/>
        <v>4575111</v>
      </c>
      <c r="AJ17" s="1142">
        <f t="shared" si="0"/>
        <v>0</v>
      </c>
      <c r="AK17" s="1126">
        <f t="shared" si="1"/>
        <v>0</v>
      </c>
      <c r="AL17" s="1127">
        <f>'GAJI MAINTENANCE AJ'!AK21</f>
        <v>4378050</v>
      </c>
      <c r="AM17" s="1128">
        <f t="shared" si="2"/>
        <v>197060.6</v>
      </c>
      <c r="AN17" s="1129">
        <f t="shared" si="9"/>
        <v>4575110.5999999996</v>
      </c>
      <c r="AO17" s="1128">
        <f t="shared" si="8"/>
        <v>-0.40000000037252903</v>
      </c>
      <c r="AP17" s="1130"/>
      <c r="AQ17" s="1130"/>
    </row>
    <row r="18" spans="2:43" s="1091" customFormat="1" ht="17.25" customHeight="1">
      <c r="B18" s="1131">
        <v>13</v>
      </c>
      <c r="C18" s="1132" t="s">
        <v>229</v>
      </c>
      <c r="D18" s="1144" t="s">
        <v>496</v>
      </c>
      <c r="E18" s="1145" t="s">
        <v>497</v>
      </c>
      <c r="F18" s="1146" t="s">
        <v>472</v>
      </c>
      <c r="G18" s="1136" t="s">
        <v>465</v>
      </c>
      <c r="H18" s="1147" t="s">
        <v>175</v>
      </c>
      <c r="I18" s="1143" t="s">
        <v>456</v>
      </c>
      <c r="J18" s="1139" t="str">
        <f t="shared" si="3"/>
        <v>TER B</v>
      </c>
      <c r="K18" s="1140">
        <f t="shared" si="4"/>
        <v>4169500</v>
      </c>
      <c r="L18" s="1141">
        <f t="shared" si="5"/>
        <v>34318.199999999997</v>
      </c>
      <c r="M18" s="1141">
        <f t="shared" si="6"/>
        <v>163420</v>
      </c>
      <c r="N18" s="1140"/>
      <c r="O18" s="1123">
        <f>'GAJI MAINTENANCE AJ'!X22</f>
        <v>172050</v>
      </c>
      <c r="P18" s="1140"/>
      <c r="Q18" s="1140"/>
      <c r="R18" s="1140"/>
      <c r="S18" s="1123">
        <f>'GAJI MAINTENANCE AJ'!AD22</f>
        <v>50500</v>
      </c>
      <c r="T18" s="1140"/>
      <c r="U18" s="1123"/>
      <c r="V18" s="1140"/>
      <c r="W18" s="1140"/>
      <c r="X18" s="1140"/>
      <c r="Y18" s="1140"/>
      <c r="Z18" s="1140"/>
      <c r="AA18" s="1140"/>
      <c r="AB18" s="1140"/>
      <c r="AC18" s="1140"/>
      <c r="AD18" s="1140"/>
      <c r="AE18" s="1123">
        <f>'GAJI MAINTENANCE AJ'!BF22</f>
        <v>0</v>
      </c>
      <c r="AF18" s="1123"/>
      <c r="AG18" s="1140"/>
      <c r="AH18" s="1123"/>
      <c r="AI18" s="1124">
        <f t="shared" si="7"/>
        <v>4589788</v>
      </c>
      <c r="AJ18" s="1142">
        <f t="shared" si="0"/>
        <v>0</v>
      </c>
      <c r="AK18" s="1126">
        <f t="shared" si="1"/>
        <v>0</v>
      </c>
      <c r="AL18" s="1127">
        <f>'GAJI MAINTENANCE AJ'!AK22</f>
        <v>4392050</v>
      </c>
      <c r="AM18" s="1128">
        <f t="shared" si="2"/>
        <v>197738.2</v>
      </c>
      <c r="AN18" s="1129">
        <f t="shared" si="9"/>
        <v>4589788.2</v>
      </c>
      <c r="AO18" s="1128">
        <f t="shared" si="8"/>
        <v>0.20000000018626451</v>
      </c>
      <c r="AP18" s="1130"/>
      <c r="AQ18" s="1130"/>
    </row>
    <row r="19" spans="2:43" s="1091" customFormat="1" ht="17.25" customHeight="1">
      <c r="B19" s="1131">
        <v>14</v>
      </c>
      <c r="C19" s="1132" t="s">
        <v>498</v>
      </c>
      <c r="D19" s="1144" t="s">
        <v>499</v>
      </c>
      <c r="E19" s="1134" t="s">
        <v>354</v>
      </c>
      <c r="F19" s="1146" t="s">
        <v>500</v>
      </c>
      <c r="G19" s="1136" t="s">
        <v>465</v>
      </c>
      <c r="H19" s="1147" t="s">
        <v>175</v>
      </c>
      <c r="I19" s="1143" t="s">
        <v>473</v>
      </c>
      <c r="J19" s="1139" t="str">
        <f t="shared" si="3"/>
        <v>TER B</v>
      </c>
      <c r="K19" s="1140">
        <f t="shared" si="4"/>
        <v>4169500</v>
      </c>
      <c r="L19" s="1141">
        <f t="shared" si="5"/>
        <v>34070.400000000001</v>
      </c>
      <c r="M19" s="1141">
        <f t="shared" si="6"/>
        <v>162240</v>
      </c>
      <c r="N19" s="1140"/>
      <c r="O19" s="1123">
        <f>'GAJI MAINTENANCE AJ'!X23</f>
        <v>144150</v>
      </c>
      <c r="P19" s="1140"/>
      <c r="Q19" s="1140"/>
      <c r="R19" s="1140"/>
      <c r="S19" s="1123">
        <f>'GAJI MAINTENANCE AJ'!AD23</f>
        <v>21000</v>
      </c>
      <c r="T19" s="1140"/>
      <c r="U19" s="1123"/>
      <c r="V19" s="1140"/>
      <c r="W19" s="1140"/>
      <c r="X19" s="1140"/>
      <c r="Y19" s="1140"/>
      <c r="Z19" s="1140"/>
      <c r="AA19" s="1140"/>
      <c r="AB19" s="1140"/>
      <c r="AC19" s="1140"/>
      <c r="AD19" s="1140"/>
      <c r="AE19" s="1123">
        <f>'GAJI MAINTENANCE AJ'!BF23</f>
        <v>0</v>
      </c>
      <c r="AF19" s="1123"/>
      <c r="AG19" s="1140"/>
      <c r="AH19" s="1123"/>
      <c r="AI19" s="1124">
        <f t="shared" si="7"/>
        <v>4530960</v>
      </c>
      <c r="AJ19" s="1142">
        <f t="shared" si="0"/>
        <v>0</v>
      </c>
      <c r="AK19" s="1126">
        <f t="shared" si="1"/>
        <v>0</v>
      </c>
      <c r="AL19" s="1127">
        <f>'GAJI MAINTENANCE AJ'!AK23</f>
        <v>4334650</v>
      </c>
      <c r="AM19" s="1128">
        <f t="shared" si="2"/>
        <v>196310.39999999999</v>
      </c>
      <c r="AN19" s="1129">
        <f t="shared" si="9"/>
        <v>4530960.4000000004</v>
      </c>
      <c r="AO19" s="1128">
        <f t="shared" si="8"/>
        <v>0.40000000037252903</v>
      </c>
      <c r="AP19" s="1130"/>
      <c r="AQ19" s="1130"/>
    </row>
    <row r="20" spans="2:43" s="1091" customFormat="1" ht="17.25" customHeight="1">
      <c r="B20" s="1131">
        <v>15</v>
      </c>
      <c r="C20" s="1132" t="s">
        <v>75</v>
      </c>
      <c r="D20" s="1144" t="s">
        <v>501</v>
      </c>
      <c r="E20" s="1134" t="s">
        <v>354</v>
      </c>
      <c r="F20" s="1146" t="s">
        <v>502</v>
      </c>
      <c r="G20" s="1136" t="s">
        <v>465</v>
      </c>
      <c r="H20" s="1147" t="s">
        <v>175</v>
      </c>
      <c r="I20" s="1143" t="s">
        <v>461</v>
      </c>
      <c r="J20" s="1139" t="str">
        <f t="shared" si="3"/>
        <v>TER A</v>
      </c>
      <c r="K20" s="1140">
        <f t="shared" si="4"/>
        <v>4169500</v>
      </c>
      <c r="L20" s="1141">
        <f t="shared" si="5"/>
        <v>34200.6</v>
      </c>
      <c r="M20" s="1141">
        <f t="shared" si="6"/>
        <v>162860</v>
      </c>
      <c r="N20" s="1140"/>
      <c r="O20" s="1123">
        <f>'GAJI MAINTENANCE AJ'!X24</f>
        <v>114700</v>
      </c>
      <c r="P20" s="1140"/>
      <c r="Q20" s="1140"/>
      <c r="R20" s="1140"/>
      <c r="S20" s="1123">
        <f>'GAJI MAINTENANCE AJ'!AD24</f>
        <v>36500</v>
      </c>
      <c r="T20" s="1140"/>
      <c r="U20" s="1123"/>
      <c r="V20" s="1140"/>
      <c r="W20" s="1140"/>
      <c r="X20" s="1140"/>
      <c r="Y20" s="1140"/>
      <c r="Z20" s="1140"/>
      <c r="AA20" s="1140"/>
      <c r="AB20" s="1140"/>
      <c r="AC20" s="1140"/>
      <c r="AD20" s="1140"/>
      <c r="AE20" s="1123">
        <f>'GAJI MAINTENANCE AJ'!BF24</f>
        <v>0</v>
      </c>
      <c r="AF20" s="1123"/>
      <c r="AG20" s="1140"/>
      <c r="AH20" s="1123"/>
      <c r="AI20" s="1124">
        <f t="shared" si="7"/>
        <v>4517761</v>
      </c>
      <c r="AJ20" s="1142">
        <f t="shared" si="0"/>
        <v>0</v>
      </c>
      <c r="AK20" s="1126">
        <f t="shared" si="1"/>
        <v>0</v>
      </c>
      <c r="AL20" s="1127">
        <f>'GAJI MAINTENANCE AJ'!AK24</f>
        <v>4320700</v>
      </c>
      <c r="AM20" s="1128">
        <f t="shared" si="2"/>
        <v>197060.6</v>
      </c>
      <c r="AN20" s="1129">
        <f t="shared" si="9"/>
        <v>4517760.5999999996</v>
      </c>
      <c r="AO20" s="1128">
        <f t="shared" si="8"/>
        <v>-0.40000000037252903</v>
      </c>
      <c r="AP20" s="1130"/>
      <c r="AQ20" s="1130"/>
    </row>
    <row r="21" spans="2:43" s="1091" customFormat="1" ht="17.25" customHeight="1">
      <c r="B21" s="1131">
        <v>16</v>
      </c>
      <c r="C21" s="1132" t="s">
        <v>76</v>
      </c>
      <c r="D21" s="1144" t="s">
        <v>503</v>
      </c>
      <c r="E21" s="1134" t="s">
        <v>354</v>
      </c>
      <c r="F21" s="1146" t="s">
        <v>504</v>
      </c>
      <c r="G21" s="1136" t="s">
        <v>465</v>
      </c>
      <c r="H21" s="1147" t="s">
        <v>175</v>
      </c>
      <c r="I21" s="1143" t="s">
        <v>473</v>
      </c>
      <c r="J21" s="1139" t="str">
        <f t="shared" si="3"/>
        <v>TER B</v>
      </c>
      <c r="K21" s="1140">
        <f t="shared" si="4"/>
        <v>4169500</v>
      </c>
      <c r="L21" s="1141">
        <f t="shared" si="5"/>
        <v>34171.199999999997</v>
      </c>
      <c r="M21" s="1141">
        <f t="shared" si="6"/>
        <v>162720</v>
      </c>
      <c r="N21" s="1140"/>
      <c r="O21" s="1123">
        <f>'GAJI MAINTENANCE AJ'!X25</f>
        <v>144150</v>
      </c>
      <c r="P21" s="1140"/>
      <c r="Q21" s="1140">
        <f>'GAJI MAINTENANCE AJ'!AF25</f>
        <v>34985.550000000003</v>
      </c>
      <c r="R21" s="1140"/>
      <c r="S21" s="1123">
        <f>'GAJI MAINTENANCE AJ'!AD25</f>
        <v>33000</v>
      </c>
      <c r="T21" s="1140"/>
      <c r="U21" s="1123"/>
      <c r="V21" s="1140"/>
      <c r="W21" s="1140"/>
      <c r="X21" s="1140"/>
      <c r="Y21" s="1140"/>
      <c r="Z21" s="1140"/>
      <c r="AA21" s="1140"/>
      <c r="AB21" s="1140"/>
      <c r="AC21" s="1140"/>
      <c r="AD21" s="1140"/>
      <c r="AE21" s="1123">
        <f>'GAJI MAINTENANCE AJ'!BF25</f>
        <v>0</v>
      </c>
      <c r="AF21" s="1123"/>
      <c r="AG21" s="1140"/>
      <c r="AH21" s="1123"/>
      <c r="AI21" s="1124">
        <f t="shared" si="7"/>
        <v>4578527</v>
      </c>
      <c r="AJ21" s="1142">
        <f t="shared" si="0"/>
        <v>0</v>
      </c>
      <c r="AK21" s="1126">
        <f t="shared" si="1"/>
        <v>0</v>
      </c>
      <c r="AL21" s="1127">
        <f>'GAJI MAINTENANCE AJ'!AK25</f>
        <v>4381635.55</v>
      </c>
      <c r="AM21" s="1128">
        <f t="shared" si="2"/>
        <v>196891.2</v>
      </c>
      <c r="AN21" s="1129">
        <f t="shared" si="9"/>
        <v>4578526.75</v>
      </c>
      <c r="AO21" s="1128">
        <f t="shared" si="8"/>
        <v>-0.25</v>
      </c>
      <c r="AP21" s="1130"/>
      <c r="AQ21" s="1130"/>
    </row>
    <row r="22" spans="2:43" s="1091" customFormat="1" ht="17.25" customHeight="1">
      <c r="B22" s="1131">
        <v>17</v>
      </c>
      <c r="C22" s="1132" t="s">
        <v>177</v>
      </c>
      <c r="D22" s="1144" t="s">
        <v>505</v>
      </c>
      <c r="E22" s="1134" t="s">
        <v>354</v>
      </c>
      <c r="F22" s="1146" t="s">
        <v>506</v>
      </c>
      <c r="G22" s="1136" t="s">
        <v>465</v>
      </c>
      <c r="H22" s="1147" t="s">
        <v>175</v>
      </c>
      <c r="I22" s="1143" t="s">
        <v>473</v>
      </c>
      <c r="J22" s="1139" t="str">
        <f t="shared" si="3"/>
        <v>TER B</v>
      </c>
      <c r="K22" s="1140">
        <f t="shared" si="4"/>
        <v>4169500</v>
      </c>
      <c r="L22" s="1141">
        <f t="shared" si="5"/>
        <v>34347.599999999999</v>
      </c>
      <c r="M22" s="1141">
        <f t="shared" si="6"/>
        <v>163560</v>
      </c>
      <c r="N22" s="1140"/>
      <c r="O22" s="1123">
        <f>'GAJI MAINTENANCE AJ'!X26</f>
        <v>144150</v>
      </c>
      <c r="P22" s="1140"/>
      <c r="Q22" s="1140"/>
      <c r="R22" s="1140"/>
      <c r="S22" s="1123">
        <f>'GAJI MAINTENANCE AJ'!AD26</f>
        <v>54000</v>
      </c>
      <c r="T22" s="1140"/>
      <c r="U22" s="1123"/>
      <c r="V22" s="1140"/>
      <c r="W22" s="1140"/>
      <c r="X22" s="1140"/>
      <c r="Y22" s="1140"/>
      <c r="Z22" s="1140"/>
      <c r="AA22" s="1140"/>
      <c r="AB22" s="1140"/>
      <c r="AC22" s="1140"/>
      <c r="AD22" s="1140"/>
      <c r="AE22" s="1123">
        <f>'GAJI MAINTENANCE AJ'!BF26</f>
        <v>0</v>
      </c>
      <c r="AF22" s="1123"/>
      <c r="AG22" s="1140"/>
      <c r="AH22" s="1123"/>
      <c r="AI22" s="1124">
        <f t="shared" si="7"/>
        <v>4565558</v>
      </c>
      <c r="AJ22" s="1142">
        <f t="shared" si="0"/>
        <v>0</v>
      </c>
      <c r="AK22" s="1126">
        <f t="shared" si="1"/>
        <v>0</v>
      </c>
      <c r="AL22" s="1127">
        <f>'GAJI MAINTENANCE AJ'!AK26</f>
        <v>4367650</v>
      </c>
      <c r="AM22" s="1128">
        <f t="shared" si="2"/>
        <v>197907.6</v>
      </c>
      <c r="AN22" s="1129">
        <f t="shared" si="9"/>
        <v>4565557.5999999996</v>
      </c>
      <c r="AO22" s="1128">
        <f t="shared" si="8"/>
        <v>-0.40000000037252903</v>
      </c>
      <c r="AP22" s="1130"/>
      <c r="AQ22" s="1130"/>
    </row>
    <row r="23" spans="2:43" s="1091" customFormat="1" ht="17.25" customHeight="1">
      <c r="B23" s="1131">
        <v>18</v>
      </c>
      <c r="C23" s="1132" t="s">
        <v>507</v>
      </c>
      <c r="D23" s="1144" t="s">
        <v>508</v>
      </c>
      <c r="E23" s="1145" t="s">
        <v>509</v>
      </c>
      <c r="F23" s="1146" t="s">
        <v>510</v>
      </c>
      <c r="G23" s="1136" t="s">
        <v>465</v>
      </c>
      <c r="H23" s="1147" t="s">
        <v>175</v>
      </c>
      <c r="I23" s="1143" t="s">
        <v>469</v>
      </c>
      <c r="J23" s="1139" t="str">
        <f>IF(ISBLANK(I23),"",IF(OR(I23="TK/0",I23="TK/1",I23="K/0"),"TER A",IF(I23="K/3","TER C","TER B")))</f>
        <v>TER A</v>
      </c>
      <c r="K23" s="1140">
        <f t="shared" si="4"/>
        <v>4169500</v>
      </c>
      <c r="L23" s="1141">
        <f t="shared" si="5"/>
        <v>34318.199999999997</v>
      </c>
      <c r="M23" s="1141">
        <f t="shared" si="6"/>
        <v>163420</v>
      </c>
      <c r="N23" s="1140"/>
      <c r="O23" s="1123">
        <f>'GAJI MAINTENANCE AJ'!X27</f>
        <v>69750</v>
      </c>
      <c r="P23" s="1140"/>
      <c r="Q23" s="1140">
        <f>'GAJI MAINTENANCE AJ'!AF27</f>
        <v>1189508.7000000002</v>
      </c>
      <c r="R23" s="1140"/>
      <c r="S23" s="1123">
        <f>'GAJI MAINTENANCE AJ'!AD27</f>
        <v>50500</v>
      </c>
      <c r="T23" s="1140"/>
      <c r="U23" s="1140"/>
      <c r="V23" s="1140"/>
      <c r="W23" s="1140"/>
      <c r="X23" s="1140"/>
      <c r="Y23" s="1140"/>
      <c r="Z23" s="1140"/>
      <c r="AA23" s="1140"/>
      <c r="AB23" s="1140"/>
      <c r="AC23" s="1140"/>
      <c r="AD23" s="1140"/>
      <c r="AE23" s="1123">
        <f>'GAJI MAINTENANCE AJ'!BF27</f>
        <v>0</v>
      </c>
      <c r="AF23" s="1123"/>
      <c r="AG23" s="1140"/>
      <c r="AH23" s="1123"/>
      <c r="AI23" s="1124">
        <f t="shared" si="7"/>
        <v>5676997</v>
      </c>
      <c r="AJ23" s="1142">
        <f t="shared" si="0"/>
        <v>5.0000000000000001E-3</v>
      </c>
      <c r="AK23" s="1126">
        <f t="shared" si="1"/>
        <v>28385</v>
      </c>
      <c r="AL23" s="1127">
        <f>'GAJI MAINTENANCE AJ'!AK27</f>
        <v>5479258.7000000002</v>
      </c>
      <c r="AM23" s="1128">
        <f t="shared" si="2"/>
        <v>197738.2</v>
      </c>
      <c r="AN23" s="1129">
        <f t="shared" si="9"/>
        <v>5676996.9000000004</v>
      </c>
      <c r="AO23" s="1128">
        <f t="shared" si="8"/>
        <v>-9.999999962747097E-2</v>
      </c>
      <c r="AP23" s="1130"/>
      <c r="AQ23" s="1130"/>
    </row>
    <row r="24" spans="2:43" s="1091" customFormat="1" ht="17.25" customHeight="1">
      <c r="B24" s="1131">
        <v>19</v>
      </c>
      <c r="C24" s="1149" t="s">
        <v>353</v>
      </c>
      <c r="D24" s="1144" t="s">
        <v>511</v>
      </c>
      <c r="E24" s="1145" t="s">
        <v>512</v>
      </c>
      <c r="F24" s="1146" t="s">
        <v>513</v>
      </c>
      <c r="G24" s="1136" t="s">
        <v>465</v>
      </c>
      <c r="H24" s="1147" t="s">
        <v>176</v>
      </c>
      <c r="I24" s="1143" t="s">
        <v>469</v>
      </c>
      <c r="J24" s="1139" t="str">
        <f>IF(ISBLANK(I24),"",IF(OR(I24="TK/0",I24="TK/1",I24="K/0"),"TER A",IF(I24="K/3","TER C","TER B")))</f>
        <v>TER A</v>
      </c>
      <c r="K24" s="1140">
        <f t="shared" si="4"/>
        <v>4169500</v>
      </c>
      <c r="L24" s="1141">
        <f t="shared" si="5"/>
        <v>34318.199999999997</v>
      </c>
      <c r="M24" s="1141">
        <f t="shared" si="6"/>
        <v>163420</v>
      </c>
      <c r="N24" s="1140"/>
      <c r="O24" s="1123">
        <f>'GAJI MAINTENANCE AJ'!X28</f>
        <v>69750</v>
      </c>
      <c r="P24" s="1123"/>
      <c r="Q24" s="1140"/>
      <c r="R24" s="1140"/>
      <c r="S24" s="1123">
        <f>'GAJI MAINTENANCE AJ'!AD28</f>
        <v>50500</v>
      </c>
      <c r="T24" s="1140"/>
      <c r="U24" s="1123"/>
      <c r="V24" s="1140"/>
      <c r="W24" s="1140"/>
      <c r="X24" s="1140"/>
      <c r="Y24" s="1140"/>
      <c r="Z24" s="1140"/>
      <c r="AA24" s="1140"/>
      <c r="AB24" s="1140"/>
      <c r="AC24" s="1140"/>
      <c r="AD24" s="1140"/>
      <c r="AE24" s="1123">
        <f>'GAJI MAINTENANCE AJ'!BF28</f>
        <v>0</v>
      </c>
      <c r="AF24" s="1123"/>
      <c r="AG24" s="1140"/>
      <c r="AH24" s="1123"/>
      <c r="AI24" s="1124">
        <f t="shared" si="7"/>
        <v>4487488</v>
      </c>
      <c r="AJ24" s="1142">
        <f t="shared" si="0"/>
        <v>0</v>
      </c>
      <c r="AK24" s="1126">
        <f t="shared" si="1"/>
        <v>0</v>
      </c>
      <c r="AL24" s="1127">
        <f>'GAJI MAINTENANCE AJ'!AK28</f>
        <v>4289750</v>
      </c>
      <c r="AM24" s="1128">
        <f t="shared" si="2"/>
        <v>197738.2</v>
      </c>
      <c r="AN24" s="1129">
        <f t="shared" si="9"/>
        <v>4487488.2</v>
      </c>
      <c r="AO24" s="1128">
        <f t="shared" si="8"/>
        <v>0.20000000018626451</v>
      </c>
      <c r="AP24" s="1130"/>
      <c r="AQ24" s="1130"/>
    </row>
    <row r="25" spans="2:43" s="1157" customFormat="1" ht="17.25" customHeight="1">
      <c r="B25" s="1131">
        <v>20</v>
      </c>
      <c r="C25" s="1150" t="s">
        <v>301</v>
      </c>
      <c r="D25" s="1151">
        <v>1902012706890000</v>
      </c>
      <c r="E25" s="1152" t="s">
        <v>354</v>
      </c>
      <c r="F25" s="1153" t="s">
        <v>514</v>
      </c>
      <c r="G25" s="1136" t="s">
        <v>465</v>
      </c>
      <c r="H25" s="1154" t="s">
        <v>175</v>
      </c>
      <c r="I25" s="1155" t="s">
        <v>473</v>
      </c>
      <c r="J25" s="1156" t="str">
        <f t="shared" ref="J25:J32" si="10">IF(ISBLANK(I25),"",IF(OR(I25="TK/0",I25="TK/1",I25="K/0"),"TER A",IF(I25="K/3","TER C","TER B")))</f>
        <v>TER B</v>
      </c>
      <c r="K25" s="1140">
        <f t="shared" si="4"/>
        <v>4169500</v>
      </c>
      <c r="L25" s="1141">
        <f t="shared" si="5"/>
        <v>33999</v>
      </c>
      <c r="M25" s="1141">
        <f t="shared" si="6"/>
        <v>161900</v>
      </c>
      <c r="N25" s="1148"/>
      <c r="O25" s="1123">
        <f>'GAJI MAINTENANCE AJ'!X29</f>
        <v>172050</v>
      </c>
      <c r="P25" s="1148"/>
      <c r="Q25" s="1140"/>
      <c r="R25" s="1148"/>
      <c r="S25" s="1123">
        <f>'GAJI MAINTENANCE AJ'!AD29</f>
        <v>12500</v>
      </c>
      <c r="T25" s="1140"/>
      <c r="U25" s="1140"/>
      <c r="V25" s="1140"/>
      <c r="W25" s="1148"/>
      <c r="X25" s="1148"/>
      <c r="Y25" s="1148"/>
      <c r="Z25" s="1148"/>
      <c r="AA25" s="1140"/>
      <c r="AB25" s="1140"/>
      <c r="AC25" s="1140"/>
      <c r="AD25" s="1140"/>
      <c r="AE25" s="1123">
        <f>'GAJI MAINTENANCE AJ'!BF29</f>
        <v>0</v>
      </c>
      <c r="AF25" s="1148"/>
      <c r="AG25" s="1148"/>
      <c r="AH25" s="1140"/>
      <c r="AI25" s="1124">
        <f t="shared" si="7"/>
        <v>4549949</v>
      </c>
      <c r="AJ25" s="1142">
        <f t="shared" si="0"/>
        <v>0</v>
      </c>
      <c r="AK25" s="1126">
        <f t="shared" si="1"/>
        <v>0</v>
      </c>
      <c r="AL25" s="1127">
        <f>'GAJI MAINTENANCE AJ'!AK29</f>
        <v>4354050</v>
      </c>
      <c r="AM25" s="1128">
        <f t="shared" si="2"/>
        <v>195899</v>
      </c>
      <c r="AN25" s="1129">
        <f t="shared" si="9"/>
        <v>4549949</v>
      </c>
      <c r="AO25" s="1128">
        <f t="shared" si="8"/>
        <v>0</v>
      </c>
      <c r="AP25" s="1130"/>
      <c r="AQ25" s="1130"/>
    </row>
    <row r="26" spans="2:43" s="1091" customFormat="1" ht="17.25" customHeight="1">
      <c r="B26" s="1131">
        <v>21</v>
      </c>
      <c r="C26" s="1132" t="s">
        <v>16</v>
      </c>
      <c r="D26" s="1144" t="s">
        <v>515</v>
      </c>
      <c r="E26" s="1145" t="s">
        <v>354</v>
      </c>
      <c r="F26" s="1146" t="s">
        <v>516</v>
      </c>
      <c r="G26" s="1136" t="s">
        <v>465</v>
      </c>
      <c r="H26" s="1147" t="s">
        <v>175</v>
      </c>
      <c r="I26" s="1143" t="s">
        <v>456</v>
      </c>
      <c r="J26" s="1139" t="str">
        <f t="shared" si="10"/>
        <v>TER B</v>
      </c>
      <c r="K26" s="1140">
        <f t="shared" si="4"/>
        <v>4169500</v>
      </c>
      <c r="L26" s="1141">
        <f t="shared" si="5"/>
        <v>34070.400000000001</v>
      </c>
      <c r="M26" s="1141">
        <f t="shared" si="6"/>
        <v>162240</v>
      </c>
      <c r="N26" s="1140"/>
      <c r="O26" s="1123">
        <f>'GAJI MAINTENANCE AJ'!X30</f>
        <v>144150</v>
      </c>
      <c r="P26" s="1140"/>
      <c r="Q26" s="1140"/>
      <c r="R26" s="1140"/>
      <c r="S26" s="1123">
        <f>'GAJI MAINTENANCE AJ'!AD30</f>
        <v>21000</v>
      </c>
      <c r="T26" s="1140"/>
      <c r="U26" s="1140"/>
      <c r="V26" s="1140"/>
      <c r="W26" s="1140"/>
      <c r="X26" s="1140"/>
      <c r="Y26" s="1140"/>
      <c r="Z26" s="1140"/>
      <c r="AA26" s="1140"/>
      <c r="AB26" s="1140"/>
      <c r="AC26" s="1140"/>
      <c r="AD26" s="1140"/>
      <c r="AE26" s="1123">
        <f>'GAJI MAINTENANCE AJ'!BF30</f>
        <v>0</v>
      </c>
      <c r="AF26" s="1140"/>
      <c r="AG26" s="1140"/>
      <c r="AH26" s="1140"/>
      <c r="AI26" s="1124">
        <f t="shared" si="7"/>
        <v>4530960</v>
      </c>
      <c r="AJ26" s="1142">
        <f t="shared" si="0"/>
        <v>0</v>
      </c>
      <c r="AK26" s="1126">
        <f t="shared" si="1"/>
        <v>0</v>
      </c>
      <c r="AL26" s="1127">
        <f>'GAJI MAINTENANCE AJ'!AK30</f>
        <v>4334650</v>
      </c>
      <c r="AM26" s="1128">
        <f t="shared" si="2"/>
        <v>196310.39999999999</v>
      </c>
      <c r="AN26" s="1129">
        <f t="shared" si="9"/>
        <v>4530960.4000000004</v>
      </c>
      <c r="AO26" s="1128">
        <f t="shared" si="8"/>
        <v>0.40000000037252903</v>
      </c>
      <c r="AP26" s="1130"/>
      <c r="AQ26" s="1130"/>
    </row>
    <row r="27" spans="2:43" s="1091" customFormat="1" ht="17.25" customHeight="1">
      <c r="B27" s="1131">
        <v>22</v>
      </c>
      <c r="C27" s="1149" t="s">
        <v>329</v>
      </c>
      <c r="D27" s="1158" t="s">
        <v>517</v>
      </c>
      <c r="E27" s="1145" t="s">
        <v>518</v>
      </c>
      <c r="F27" s="1146" t="s">
        <v>519</v>
      </c>
      <c r="G27" s="1136" t="s">
        <v>465</v>
      </c>
      <c r="H27" s="1147" t="s">
        <v>175</v>
      </c>
      <c r="I27" s="1143" t="s">
        <v>473</v>
      </c>
      <c r="J27" s="1139" t="str">
        <f t="shared" si="10"/>
        <v>TER B</v>
      </c>
      <c r="K27" s="1140">
        <f t="shared" si="4"/>
        <v>4169500</v>
      </c>
      <c r="L27" s="1141">
        <f t="shared" si="5"/>
        <v>34171.199999999997</v>
      </c>
      <c r="M27" s="1141">
        <f t="shared" si="6"/>
        <v>162720</v>
      </c>
      <c r="N27" s="1140"/>
      <c r="O27" s="1123">
        <f>'GAJI MAINTENANCE AJ'!X31</f>
        <v>139500</v>
      </c>
      <c r="P27" s="1140"/>
      <c r="Q27" s="1123"/>
      <c r="R27" s="1140"/>
      <c r="S27" s="1123">
        <f>'GAJI MAINTENANCE AJ'!AD31</f>
        <v>33000</v>
      </c>
      <c r="T27" s="1140"/>
      <c r="U27" s="1123"/>
      <c r="V27" s="1140"/>
      <c r="W27" s="1140"/>
      <c r="X27" s="1140"/>
      <c r="Y27" s="1140"/>
      <c r="Z27" s="1140"/>
      <c r="AA27" s="1140"/>
      <c r="AB27" s="1140"/>
      <c r="AC27" s="1140"/>
      <c r="AD27" s="1140"/>
      <c r="AE27" s="1123">
        <f>'GAJI MAINTENANCE AJ'!BF31</f>
        <v>-134500</v>
      </c>
      <c r="AF27" s="1123"/>
      <c r="AG27" s="1140"/>
      <c r="AH27" s="1123"/>
      <c r="AI27" s="1124">
        <f t="shared" si="7"/>
        <v>4404391</v>
      </c>
      <c r="AJ27" s="1142">
        <f t="shared" si="0"/>
        <v>0</v>
      </c>
      <c r="AK27" s="1126">
        <f t="shared" si="1"/>
        <v>0</v>
      </c>
      <c r="AL27" s="1127">
        <f>'GAJI MAINTENANCE AJ'!AK31</f>
        <v>4207500</v>
      </c>
      <c r="AM27" s="1128">
        <f t="shared" si="2"/>
        <v>196891.2</v>
      </c>
      <c r="AN27" s="1129">
        <f t="shared" si="9"/>
        <v>4404391.2</v>
      </c>
      <c r="AO27" s="1128">
        <f t="shared" si="8"/>
        <v>0.20000000018626451</v>
      </c>
      <c r="AP27" s="1130"/>
      <c r="AQ27" s="1130"/>
    </row>
    <row r="28" spans="2:43" s="1091" customFormat="1" ht="17.25" customHeight="1">
      <c r="B28" s="1131">
        <v>23</v>
      </c>
      <c r="C28" s="1149" t="s">
        <v>229</v>
      </c>
      <c r="D28" s="1158" t="s">
        <v>520</v>
      </c>
      <c r="E28" s="1145" t="s">
        <v>521</v>
      </c>
      <c r="F28" s="1146" t="s">
        <v>522</v>
      </c>
      <c r="G28" s="1136" t="s">
        <v>465</v>
      </c>
      <c r="H28" s="1147" t="s">
        <v>175</v>
      </c>
      <c r="I28" s="1143" t="s">
        <v>473</v>
      </c>
      <c r="J28" s="1139" t="str">
        <f t="shared" si="10"/>
        <v>TER B</v>
      </c>
      <c r="K28" s="1140">
        <f t="shared" si="4"/>
        <v>4169500</v>
      </c>
      <c r="L28" s="1141">
        <f t="shared" si="5"/>
        <v>34120.799999999996</v>
      </c>
      <c r="M28" s="1141">
        <f t="shared" si="6"/>
        <v>162480</v>
      </c>
      <c r="N28" s="1140"/>
      <c r="O28" s="1123">
        <f>'GAJI MAINTENANCE AJ'!X32</f>
        <v>130200</v>
      </c>
      <c r="P28" s="1140"/>
      <c r="Q28" s="1123"/>
      <c r="R28" s="1140"/>
      <c r="S28" s="1123">
        <f>'GAJI MAINTENANCE AJ'!AD32</f>
        <v>27000</v>
      </c>
      <c r="T28" s="1140"/>
      <c r="U28" s="1123"/>
      <c r="V28" s="1140"/>
      <c r="W28" s="1140"/>
      <c r="X28" s="1140"/>
      <c r="Y28" s="1140"/>
      <c r="Z28" s="1140"/>
      <c r="AA28" s="1140"/>
      <c r="AB28" s="1140"/>
      <c r="AC28" s="1140"/>
      <c r="AD28" s="1140"/>
      <c r="AE28" s="1123">
        <f>'GAJI MAINTENANCE AJ'!BF32</f>
        <v>0</v>
      </c>
      <c r="AF28" s="1123"/>
      <c r="AG28" s="1140"/>
      <c r="AH28" s="1123"/>
      <c r="AI28" s="1124">
        <f t="shared" si="7"/>
        <v>4523301</v>
      </c>
      <c r="AJ28" s="1142">
        <f t="shared" si="0"/>
        <v>0</v>
      </c>
      <c r="AK28" s="1126">
        <f t="shared" si="1"/>
        <v>0</v>
      </c>
      <c r="AL28" s="1127">
        <f>'GAJI MAINTENANCE AJ'!AK32</f>
        <v>4326700</v>
      </c>
      <c r="AM28" s="1128">
        <f t="shared" si="2"/>
        <v>196600.8</v>
      </c>
      <c r="AN28" s="1129">
        <f t="shared" si="9"/>
        <v>4523300.8</v>
      </c>
      <c r="AO28" s="1128">
        <f t="shared" si="8"/>
        <v>-0.20000000018626451</v>
      </c>
      <c r="AP28" s="1130"/>
      <c r="AQ28" s="1130"/>
    </row>
    <row r="29" spans="2:43" s="1091" customFormat="1" ht="17.25" customHeight="1">
      <c r="B29" s="1131">
        <v>24</v>
      </c>
      <c r="C29" s="1149" t="s">
        <v>328</v>
      </c>
      <c r="D29" s="1159" t="s">
        <v>523</v>
      </c>
      <c r="E29" s="1160" t="s">
        <v>354</v>
      </c>
      <c r="F29" s="1153" t="s">
        <v>524</v>
      </c>
      <c r="G29" s="1161" t="s">
        <v>465</v>
      </c>
      <c r="H29" s="1154" t="s">
        <v>175</v>
      </c>
      <c r="I29" s="1162" t="s">
        <v>461</v>
      </c>
      <c r="J29" s="1163" t="str">
        <f t="shared" si="10"/>
        <v>TER A</v>
      </c>
      <c r="K29" s="1140">
        <f t="shared" si="4"/>
        <v>4169500</v>
      </c>
      <c r="L29" s="1141">
        <f t="shared" si="5"/>
        <v>33915</v>
      </c>
      <c r="M29" s="1141">
        <f t="shared" si="6"/>
        <v>161500</v>
      </c>
      <c r="N29" s="1140"/>
      <c r="O29" s="1123">
        <f>'GAJI MAINTENANCE AJ'!X33</f>
        <v>107300</v>
      </c>
      <c r="P29" s="1140"/>
      <c r="Q29" s="1123"/>
      <c r="R29" s="1140"/>
      <c r="S29" s="1123">
        <f>'GAJI MAINTENANCE AJ'!AD33</f>
        <v>2500</v>
      </c>
      <c r="T29" s="1140"/>
      <c r="U29" s="1123"/>
      <c r="V29" s="1140"/>
      <c r="W29" s="1140"/>
      <c r="X29" s="1140"/>
      <c r="Y29" s="1140"/>
      <c r="Z29" s="1140"/>
      <c r="AA29" s="1140"/>
      <c r="AB29" s="1140"/>
      <c r="AC29" s="1140"/>
      <c r="AD29" s="1140"/>
      <c r="AE29" s="1123">
        <f>'GAJI MAINTENANCE AJ'!BF33</f>
        <v>-269000</v>
      </c>
      <c r="AF29" s="1123"/>
      <c r="AG29" s="1140"/>
      <c r="AH29" s="1123"/>
      <c r="AI29" s="1124">
        <f t="shared" si="7"/>
        <v>4205715</v>
      </c>
      <c r="AJ29" s="1142">
        <f t="shared" si="0"/>
        <v>0</v>
      </c>
      <c r="AK29" s="1126">
        <f t="shared" si="1"/>
        <v>0</v>
      </c>
      <c r="AL29" s="1127">
        <f>'GAJI MAINTENANCE AJ'!AK33</f>
        <v>4010300</v>
      </c>
      <c r="AM29" s="1128">
        <f t="shared" si="2"/>
        <v>195415</v>
      </c>
      <c r="AN29" s="1129">
        <f t="shared" si="9"/>
        <v>4205715</v>
      </c>
      <c r="AO29" s="1128">
        <f t="shared" si="8"/>
        <v>0</v>
      </c>
      <c r="AP29" s="1130"/>
      <c r="AQ29" s="1130"/>
    </row>
    <row r="30" spans="2:43" s="1091" customFormat="1" ht="17.25" customHeight="1">
      <c r="B30" s="1131">
        <v>25</v>
      </c>
      <c r="C30" s="1149" t="s">
        <v>326</v>
      </c>
      <c r="D30" s="1164" t="s">
        <v>525</v>
      </c>
      <c r="E30" s="1165" t="s">
        <v>526</v>
      </c>
      <c r="F30" s="1166" t="s">
        <v>527</v>
      </c>
      <c r="G30" s="1167" t="s">
        <v>465</v>
      </c>
      <c r="H30" s="1147" t="s">
        <v>175</v>
      </c>
      <c r="I30" s="1143" t="s">
        <v>456</v>
      </c>
      <c r="J30" s="1139" t="str">
        <f t="shared" si="10"/>
        <v>TER B</v>
      </c>
      <c r="K30" s="1140">
        <f t="shared" si="4"/>
        <v>4169500</v>
      </c>
      <c r="L30" s="1141">
        <f t="shared" si="5"/>
        <v>34120.799999999996</v>
      </c>
      <c r="M30" s="1141">
        <f t="shared" si="6"/>
        <v>162480</v>
      </c>
      <c r="N30" s="1140"/>
      <c r="O30" s="1123">
        <f>'GAJI MAINTENANCE AJ'!X34</f>
        <v>144150</v>
      </c>
      <c r="P30" s="1140"/>
      <c r="Q30" s="1123"/>
      <c r="R30" s="1140"/>
      <c r="S30" s="1123">
        <f>'GAJI MAINTENANCE AJ'!AD34</f>
        <v>27000</v>
      </c>
      <c r="T30" s="1140"/>
      <c r="U30" s="1123"/>
      <c r="V30" s="1140"/>
      <c r="W30" s="1140"/>
      <c r="X30" s="1140"/>
      <c r="Y30" s="1140"/>
      <c r="Z30" s="1140"/>
      <c r="AA30" s="1140"/>
      <c r="AB30" s="1140"/>
      <c r="AC30" s="1140"/>
      <c r="AD30" s="1140"/>
      <c r="AE30" s="1123">
        <f>'GAJI MAINTENANCE AJ'!BF34</f>
        <v>0</v>
      </c>
      <c r="AF30" s="1123"/>
      <c r="AG30" s="1140"/>
      <c r="AH30" s="1123"/>
      <c r="AI30" s="1124">
        <f t="shared" si="7"/>
        <v>4537251</v>
      </c>
      <c r="AJ30" s="1142">
        <f t="shared" si="0"/>
        <v>0</v>
      </c>
      <c r="AK30" s="1126">
        <f t="shared" si="1"/>
        <v>0</v>
      </c>
      <c r="AL30" s="1127">
        <f>'GAJI MAINTENANCE AJ'!AK34</f>
        <v>4340650</v>
      </c>
      <c r="AM30" s="1128">
        <f t="shared" si="2"/>
        <v>196600.8</v>
      </c>
      <c r="AN30" s="1129">
        <f t="shared" si="9"/>
        <v>4537250.8</v>
      </c>
      <c r="AO30" s="1128">
        <f t="shared" si="8"/>
        <v>-0.20000000018626451</v>
      </c>
      <c r="AP30" s="1130"/>
      <c r="AQ30" s="1130"/>
    </row>
    <row r="31" spans="2:43" s="1178" customFormat="1" ht="17.25" customHeight="1">
      <c r="B31" s="1131">
        <v>26</v>
      </c>
      <c r="C31" s="1168" t="s">
        <v>388</v>
      </c>
      <c r="D31" s="1169" t="s">
        <v>528</v>
      </c>
      <c r="E31" s="1170" t="s">
        <v>354</v>
      </c>
      <c r="F31" s="1171" t="s">
        <v>529</v>
      </c>
      <c r="G31" s="1172" t="s">
        <v>465</v>
      </c>
      <c r="H31" s="1173" t="s">
        <v>176</v>
      </c>
      <c r="I31" s="1174" t="s">
        <v>469</v>
      </c>
      <c r="J31" s="1139" t="str">
        <f t="shared" si="10"/>
        <v>TER A</v>
      </c>
      <c r="K31" s="1140">
        <f t="shared" si="4"/>
        <v>4169500</v>
      </c>
      <c r="L31" s="1141">
        <f t="shared" si="5"/>
        <v>33894</v>
      </c>
      <c r="M31" s="1141">
        <f t="shared" si="6"/>
        <v>161400</v>
      </c>
      <c r="N31" s="1175"/>
      <c r="O31" s="1123">
        <f>'GAJI MAINTENANCE AJ'!X35</f>
        <v>69750</v>
      </c>
      <c r="P31" s="1175"/>
      <c r="Q31" s="1176"/>
      <c r="R31" s="1175"/>
      <c r="S31" s="1123">
        <f>'GAJI MAINTENANCE AJ'!AD35</f>
        <v>0</v>
      </c>
      <c r="T31" s="1175"/>
      <c r="U31" s="1176"/>
      <c r="V31" s="1175"/>
      <c r="W31" s="1175"/>
      <c r="X31" s="1175"/>
      <c r="Y31" s="1175"/>
      <c r="Z31" s="1175"/>
      <c r="AA31" s="1175"/>
      <c r="AB31" s="1175"/>
      <c r="AC31" s="1175"/>
      <c r="AD31" s="1175"/>
      <c r="AE31" s="1123">
        <f>'GAJI MAINTENANCE AJ'!BF35</f>
        <v>0</v>
      </c>
      <c r="AF31" s="1176"/>
      <c r="AG31" s="1175"/>
      <c r="AH31" s="1176"/>
      <c r="AI31" s="1124">
        <f t="shared" si="7"/>
        <v>4434544</v>
      </c>
      <c r="AJ31" s="1142">
        <f t="shared" si="0"/>
        <v>0</v>
      </c>
      <c r="AK31" s="1126">
        <f t="shared" si="1"/>
        <v>0</v>
      </c>
      <c r="AL31" s="1127">
        <f>'GAJI MAINTENANCE AJ'!AK35</f>
        <v>4239250</v>
      </c>
      <c r="AM31" s="1128">
        <f t="shared" si="2"/>
        <v>195294</v>
      </c>
      <c r="AN31" s="1129">
        <f t="shared" si="9"/>
        <v>4434544</v>
      </c>
      <c r="AO31" s="1128">
        <f t="shared" si="8"/>
        <v>0</v>
      </c>
      <c r="AP31" s="1177"/>
      <c r="AQ31" s="1130"/>
    </row>
    <row r="32" spans="2:43" s="1178" customFormat="1" ht="17.25" customHeight="1">
      <c r="B32" s="1131">
        <v>27</v>
      </c>
      <c r="C32" s="1168" t="s">
        <v>386</v>
      </c>
      <c r="D32" s="1169" t="s">
        <v>530</v>
      </c>
      <c r="E32" s="1170" t="s">
        <v>354</v>
      </c>
      <c r="F32" s="1171" t="s">
        <v>531</v>
      </c>
      <c r="G32" s="1172" t="s">
        <v>465</v>
      </c>
      <c r="H32" s="1173" t="s">
        <v>175</v>
      </c>
      <c r="I32" s="1174" t="s">
        <v>469</v>
      </c>
      <c r="J32" s="1139" t="str">
        <f t="shared" si="10"/>
        <v>TER A</v>
      </c>
      <c r="K32" s="1140">
        <f t="shared" si="4"/>
        <v>4169500</v>
      </c>
      <c r="L32" s="1141">
        <f t="shared" si="5"/>
        <v>33894</v>
      </c>
      <c r="M32" s="1141">
        <f t="shared" si="6"/>
        <v>161400</v>
      </c>
      <c r="N32" s="1175"/>
      <c r="O32" s="1123">
        <f>'GAJI MAINTENANCE AJ'!X36</f>
        <v>67500</v>
      </c>
      <c r="P32" s="1175"/>
      <c r="Q32" s="1176"/>
      <c r="R32" s="1175"/>
      <c r="S32" s="1123">
        <f>'GAJI MAINTENANCE AJ'!AD36</f>
        <v>0</v>
      </c>
      <c r="T32" s="1175"/>
      <c r="U32" s="1176"/>
      <c r="V32" s="1175"/>
      <c r="W32" s="1175"/>
      <c r="X32" s="1175"/>
      <c r="Y32" s="1175"/>
      <c r="Z32" s="1175"/>
      <c r="AA32" s="1175"/>
      <c r="AB32" s="1175"/>
      <c r="AC32" s="1175"/>
      <c r="AD32" s="1175"/>
      <c r="AE32" s="1123">
        <f>'GAJI MAINTENANCE AJ'!BF36</f>
        <v>-134500</v>
      </c>
      <c r="AF32" s="1176"/>
      <c r="AG32" s="1175"/>
      <c r="AH32" s="1176"/>
      <c r="AI32" s="1124">
        <f t="shared" si="7"/>
        <v>4297794</v>
      </c>
      <c r="AJ32" s="1142">
        <f t="shared" si="0"/>
        <v>0</v>
      </c>
      <c r="AK32" s="1126">
        <f t="shared" si="1"/>
        <v>0</v>
      </c>
      <c r="AL32" s="1127">
        <f>'GAJI MAINTENANCE AJ'!AK36</f>
        <v>4102500</v>
      </c>
      <c r="AM32" s="1128">
        <f t="shared" si="2"/>
        <v>195294</v>
      </c>
      <c r="AN32" s="1129">
        <f t="shared" si="9"/>
        <v>4297794</v>
      </c>
      <c r="AO32" s="1128">
        <f t="shared" si="8"/>
        <v>0</v>
      </c>
      <c r="AP32" s="1177"/>
      <c r="AQ32" s="1130"/>
    </row>
    <row r="33" spans="2:43" s="1178" customFormat="1" ht="17.25" customHeight="1">
      <c r="B33" s="1131">
        <v>28</v>
      </c>
      <c r="C33" s="1168" t="s">
        <v>387</v>
      </c>
      <c r="D33" s="1169" t="s">
        <v>532</v>
      </c>
      <c r="E33" s="1170" t="s">
        <v>354</v>
      </c>
      <c r="F33" s="1171" t="s">
        <v>533</v>
      </c>
      <c r="G33" s="1172" t="s">
        <v>465</v>
      </c>
      <c r="H33" s="1173" t="s">
        <v>176</v>
      </c>
      <c r="I33" s="1174" t="s">
        <v>469</v>
      </c>
      <c r="J33" s="1139" t="str">
        <f>IF(ISBLANK(I33),"",IF(OR(I33="TK/0",I33="TK/1",I33="K/0"),"TER A",IF(I33="K/3","TER C","TER B")))</f>
        <v>TER A</v>
      </c>
      <c r="K33" s="1140">
        <f t="shared" si="4"/>
        <v>4169500</v>
      </c>
      <c r="L33" s="1141">
        <f t="shared" si="5"/>
        <v>33894</v>
      </c>
      <c r="M33" s="1141">
        <f t="shared" si="6"/>
        <v>161400</v>
      </c>
      <c r="N33" s="1175"/>
      <c r="O33" s="1123">
        <f>'GAJI MAINTENANCE AJ'!X37</f>
        <v>67500</v>
      </c>
      <c r="P33" s="1175"/>
      <c r="Q33" s="1176"/>
      <c r="R33" s="1175"/>
      <c r="S33" s="1123">
        <f>'GAJI MAINTENANCE AJ'!AD37</f>
        <v>0</v>
      </c>
      <c r="T33" s="1175"/>
      <c r="U33" s="1176"/>
      <c r="V33" s="1175"/>
      <c r="W33" s="1175"/>
      <c r="X33" s="1175"/>
      <c r="Y33" s="1175"/>
      <c r="Z33" s="1175"/>
      <c r="AA33" s="1175"/>
      <c r="AB33" s="1175"/>
      <c r="AC33" s="1175"/>
      <c r="AD33" s="1175"/>
      <c r="AE33" s="1123">
        <f>'GAJI MAINTENANCE AJ'!BF37</f>
        <v>-134500</v>
      </c>
      <c r="AF33" s="1176"/>
      <c r="AG33" s="1175"/>
      <c r="AH33" s="1176"/>
      <c r="AI33" s="1124">
        <f t="shared" si="7"/>
        <v>4297794</v>
      </c>
      <c r="AJ33" s="1142">
        <f t="shared" si="0"/>
        <v>0</v>
      </c>
      <c r="AK33" s="1126">
        <f t="shared" si="1"/>
        <v>0</v>
      </c>
      <c r="AL33" s="1127">
        <f>'GAJI MAINTENANCE AJ'!AK37</f>
        <v>4102500</v>
      </c>
      <c r="AM33" s="1128">
        <f t="shared" si="2"/>
        <v>195294</v>
      </c>
      <c r="AN33" s="1129">
        <f t="shared" si="9"/>
        <v>4297794</v>
      </c>
      <c r="AO33" s="1128">
        <f t="shared" si="8"/>
        <v>0</v>
      </c>
      <c r="AP33" s="1177"/>
      <c r="AQ33" s="1130"/>
    </row>
    <row r="34" spans="2:43" s="1178" customFormat="1" ht="17.25" customHeight="1">
      <c r="B34" s="1131">
        <v>29</v>
      </c>
      <c r="C34" s="1168" t="s">
        <v>406</v>
      </c>
      <c r="D34" s="1169" t="s">
        <v>534</v>
      </c>
      <c r="E34" s="1170" t="s">
        <v>535</v>
      </c>
      <c r="F34" s="1171" t="s">
        <v>536</v>
      </c>
      <c r="G34" s="1172"/>
      <c r="H34" s="1173" t="s">
        <v>175</v>
      </c>
      <c r="I34" s="1174" t="s">
        <v>461</v>
      </c>
      <c r="J34" s="1139" t="str">
        <f>IF(ISBLANK(I34),"",IF(OR(I34="TK/0",I34="TK/1",I34="K/0"),"TER A",IF(I34="K/3","TER C","TER B")))</f>
        <v>TER A</v>
      </c>
      <c r="K34" s="1140">
        <f t="shared" si="4"/>
        <v>4169500</v>
      </c>
      <c r="L34" s="1141">
        <f t="shared" si="5"/>
        <v>34171.199999999997</v>
      </c>
      <c r="M34" s="1141">
        <f t="shared" si="6"/>
        <v>162720</v>
      </c>
      <c r="N34" s="1175"/>
      <c r="O34" s="1123">
        <f>'GAJI MAINTENANCE AJ'!X38</f>
        <v>114700</v>
      </c>
      <c r="P34" s="1175"/>
      <c r="Q34" s="1176"/>
      <c r="R34" s="1175"/>
      <c r="S34" s="1123">
        <f>'GAJI MAINTENANCE AJ'!AD38</f>
        <v>33000</v>
      </c>
      <c r="T34" s="1175"/>
      <c r="U34" s="1176"/>
      <c r="V34" s="1175"/>
      <c r="W34" s="1175"/>
      <c r="X34" s="1175"/>
      <c r="Y34" s="1175"/>
      <c r="Z34" s="1175"/>
      <c r="AA34" s="1175"/>
      <c r="AB34" s="1175"/>
      <c r="AC34" s="1175"/>
      <c r="AD34" s="1175"/>
      <c r="AE34" s="1123">
        <f>'GAJI MAINTENANCE AJ'!BF38</f>
        <v>0</v>
      </c>
      <c r="AF34" s="1176"/>
      <c r="AG34" s="1175"/>
      <c r="AH34" s="1176"/>
      <c r="AI34" s="1124">
        <f t="shared" si="7"/>
        <v>4514091</v>
      </c>
      <c r="AJ34" s="1142">
        <f t="shared" si="0"/>
        <v>0</v>
      </c>
      <c r="AK34" s="1126">
        <f t="shared" si="1"/>
        <v>0</v>
      </c>
      <c r="AL34" s="1127">
        <f>'GAJI MAINTENANCE AJ'!AK38</f>
        <v>4317200</v>
      </c>
      <c r="AM34" s="1128">
        <f t="shared" si="2"/>
        <v>196891.2</v>
      </c>
      <c r="AN34" s="1129">
        <f t="shared" si="9"/>
        <v>4514091.2</v>
      </c>
      <c r="AO34" s="1128">
        <f t="shared" si="8"/>
        <v>0.20000000018626451</v>
      </c>
      <c r="AP34" s="1177"/>
      <c r="AQ34" s="1130"/>
    </row>
    <row r="35" spans="2:43" s="1091" customFormat="1" ht="17.25" customHeight="1">
      <c r="B35" s="1131">
        <v>30</v>
      </c>
      <c r="C35" s="1132" t="s">
        <v>214</v>
      </c>
      <c r="D35" s="1144" t="s">
        <v>537</v>
      </c>
      <c r="E35" s="1145" t="s">
        <v>538</v>
      </c>
      <c r="F35" s="1146" t="s">
        <v>539</v>
      </c>
      <c r="G35" s="1167" t="s">
        <v>540</v>
      </c>
      <c r="H35" s="1147" t="s">
        <v>175</v>
      </c>
      <c r="I35" s="1143" t="s">
        <v>473</v>
      </c>
      <c r="J35" s="1139" t="str">
        <f t="shared" si="3"/>
        <v>TER B</v>
      </c>
      <c r="K35" s="1140">
        <f t="shared" si="4"/>
        <v>4169500</v>
      </c>
      <c r="L35" s="1141">
        <f t="shared" si="5"/>
        <v>34671</v>
      </c>
      <c r="M35" s="1141">
        <f t="shared" si="6"/>
        <v>165100</v>
      </c>
      <c r="N35" s="1140"/>
      <c r="O35" s="1140">
        <f>OPERATOR!X11</f>
        <v>130200</v>
      </c>
      <c r="P35" s="1140">
        <f>OPERATOR!AA11</f>
        <v>87500</v>
      </c>
      <c r="Q35" s="1140">
        <f>OPERATOR!AE11</f>
        <v>1492716.8</v>
      </c>
      <c r="R35" s="1140"/>
      <c r="S35" s="1140">
        <f>OPERATOR!AD11</f>
        <v>92500</v>
      </c>
      <c r="T35" s="1140"/>
      <c r="U35" s="1123"/>
      <c r="V35" s="1140"/>
      <c r="W35" s="1140"/>
      <c r="X35" s="1140">
        <f>OPERATOR!AF11</f>
        <v>2329516</v>
      </c>
      <c r="Y35" s="1140"/>
      <c r="Z35" s="1140"/>
      <c r="AA35" s="1140"/>
      <c r="AB35" s="1140"/>
      <c r="AC35" s="1140"/>
      <c r="AD35" s="1140"/>
      <c r="AE35" s="1140">
        <f>OPERATOR!BE11</f>
        <v>0</v>
      </c>
      <c r="AF35" s="1140"/>
      <c r="AG35" s="1140"/>
      <c r="AH35" s="1140"/>
      <c r="AI35" s="1124">
        <f t="shared" si="7"/>
        <v>8501704</v>
      </c>
      <c r="AJ35" s="1142">
        <f t="shared" si="0"/>
        <v>0.01</v>
      </c>
      <c r="AK35" s="1126">
        <f t="shared" si="1"/>
        <v>85017</v>
      </c>
      <c r="AL35" s="1127">
        <f>OPERATOR!AI11</f>
        <v>8301932.7999999998</v>
      </c>
      <c r="AM35" s="1128">
        <f t="shared" si="2"/>
        <v>199771</v>
      </c>
      <c r="AN35" s="1129">
        <f t="shared" si="9"/>
        <v>8501703.8000000007</v>
      </c>
      <c r="AO35" s="1128">
        <f t="shared" si="8"/>
        <v>-0.19999999925494194</v>
      </c>
      <c r="AP35" s="1130"/>
      <c r="AQ35" s="1130"/>
    </row>
    <row r="36" spans="2:43" s="1091" customFormat="1" ht="17.25" customHeight="1">
      <c r="B36" s="1131">
        <v>31</v>
      </c>
      <c r="C36" s="1132" t="s">
        <v>216</v>
      </c>
      <c r="D36" s="1144" t="s">
        <v>541</v>
      </c>
      <c r="E36" s="1145" t="s">
        <v>542</v>
      </c>
      <c r="F36" s="1146" t="s">
        <v>543</v>
      </c>
      <c r="G36" s="1136" t="s">
        <v>544</v>
      </c>
      <c r="H36" s="1147" t="s">
        <v>175</v>
      </c>
      <c r="I36" s="1143" t="s">
        <v>473</v>
      </c>
      <c r="J36" s="1139" t="str">
        <f t="shared" si="3"/>
        <v>TER B</v>
      </c>
      <c r="K36" s="1140">
        <f t="shared" si="4"/>
        <v>4169500</v>
      </c>
      <c r="L36" s="1141">
        <f t="shared" si="5"/>
        <v>34171.199999999997</v>
      </c>
      <c r="M36" s="1141">
        <f t="shared" si="6"/>
        <v>162720</v>
      </c>
      <c r="N36" s="1140"/>
      <c r="O36" s="1140">
        <f>OPERATOR!X12</f>
        <v>130200</v>
      </c>
      <c r="P36" s="1140">
        <f>OPERATOR!AA12</f>
        <v>60000</v>
      </c>
      <c r="Q36" s="1140">
        <f>OPERATOR!AE12</f>
        <v>1586011.6</v>
      </c>
      <c r="R36" s="1140"/>
      <c r="S36" s="1140">
        <f>OPERATOR!AD12</f>
        <v>33000</v>
      </c>
      <c r="T36" s="1140"/>
      <c r="U36" s="1123"/>
      <c r="V36" s="1140"/>
      <c r="W36" s="1140"/>
      <c r="X36" s="1140">
        <f>OPERATOR!AF12</f>
        <v>2164547</v>
      </c>
      <c r="Y36" s="1140"/>
      <c r="Z36" s="1140"/>
      <c r="AA36" s="1140"/>
      <c r="AB36" s="1140"/>
      <c r="AC36" s="1140"/>
      <c r="AD36" s="1140"/>
      <c r="AE36" s="1140">
        <f>OPERATOR!BE12</f>
        <v>0</v>
      </c>
      <c r="AF36" s="1140"/>
      <c r="AG36" s="1140"/>
      <c r="AH36" s="1140"/>
      <c r="AI36" s="1124">
        <f t="shared" si="7"/>
        <v>8340150</v>
      </c>
      <c r="AJ36" s="1142">
        <f t="shared" si="0"/>
        <v>0.01</v>
      </c>
      <c r="AK36" s="1126">
        <f t="shared" si="1"/>
        <v>83402</v>
      </c>
      <c r="AL36" s="1127">
        <f>OPERATOR!AI12</f>
        <v>8143258.5999999996</v>
      </c>
      <c r="AM36" s="1128">
        <f t="shared" si="2"/>
        <v>196891.2</v>
      </c>
      <c r="AN36" s="1129">
        <f t="shared" si="9"/>
        <v>8340149.7999999998</v>
      </c>
      <c r="AO36" s="1128">
        <f t="shared" si="8"/>
        <v>-0.20000000018626451</v>
      </c>
      <c r="AP36" s="1130"/>
      <c r="AQ36" s="1130"/>
    </row>
    <row r="37" spans="2:43" s="1091" customFormat="1" ht="17.25" customHeight="1">
      <c r="B37" s="1131">
        <v>32</v>
      </c>
      <c r="C37" s="1132" t="s">
        <v>218</v>
      </c>
      <c r="D37" s="1144" t="s">
        <v>545</v>
      </c>
      <c r="E37" s="1145" t="s">
        <v>546</v>
      </c>
      <c r="F37" s="1146" t="s">
        <v>547</v>
      </c>
      <c r="G37" s="1136" t="s">
        <v>540</v>
      </c>
      <c r="H37" s="1147" t="s">
        <v>175</v>
      </c>
      <c r="I37" s="1143" t="s">
        <v>473</v>
      </c>
      <c r="J37" s="1139" t="str">
        <f t="shared" si="3"/>
        <v>TER B</v>
      </c>
      <c r="K37" s="1140">
        <f t="shared" si="4"/>
        <v>4169500</v>
      </c>
      <c r="L37" s="1141">
        <f t="shared" si="5"/>
        <v>34641.599999999999</v>
      </c>
      <c r="M37" s="1141">
        <f t="shared" si="6"/>
        <v>164960</v>
      </c>
      <c r="N37" s="1140"/>
      <c r="O37" s="1140">
        <f>OPERATOR!X13</f>
        <v>144150</v>
      </c>
      <c r="P37" s="1140">
        <f>OPERATOR!AA13</f>
        <v>84000</v>
      </c>
      <c r="Q37" s="1140">
        <f>OPERATOR!AE13</f>
        <v>1259479.8</v>
      </c>
      <c r="R37" s="1140"/>
      <c r="S37" s="1140">
        <f>OPERATOR!AD13</f>
        <v>89000</v>
      </c>
      <c r="T37" s="1140"/>
      <c r="U37" s="1123"/>
      <c r="V37" s="1140"/>
      <c r="W37" s="1140"/>
      <c r="X37" s="1140">
        <f>OPERATOR!AF13</f>
        <v>1325520</v>
      </c>
      <c r="Y37" s="1140"/>
      <c r="Z37" s="1140"/>
      <c r="AA37" s="1140"/>
      <c r="AB37" s="1140"/>
      <c r="AC37" s="1140"/>
      <c r="AD37" s="1140"/>
      <c r="AE37" s="1140">
        <f>OPERATOR!BE13</f>
        <v>0</v>
      </c>
      <c r="AF37" s="1140"/>
      <c r="AG37" s="1140"/>
      <c r="AH37" s="1140"/>
      <c r="AI37" s="1124">
        <f t="shared" si="7"/>
        <v>7271251</v>
      </c>
      <c r="AJ37" s="1142">
        <f t="shared" si="0"/>
        <v>7.4999999999999997E-3</v>
      </c>
      <c r="AK37" s="1126">
        <f t="shared" si="1"/>
        <v>54534</v>
      </c>
      <c r="AL37" s="1127">
        <f>OPERATOR!AI13</f>
        <v>7071649.7999999998</v>
      </c>
      <c r="AM37" s="1128">
        <f t="shared" si="2"/>
        <v>199601.6</v>
      </c>
      <c r="AN37" s="1129">
        <f t="shared" si="9"/>
        <v>7271251.3999999994</v>
      </c>
      <c r="AO37" s="1128">
        <f t="shared" si="8"/>
        <v>0.39999999944120646</v>
      </c>
      <c r="AP37" s="1130"/>
      <c r="AQ37" s="1130"/>
    </row>
    <row r="38" spans="2:43" s="1091" customFormat="1" ht="17.25" customHeight="1">
      <c r="B38" s="1131">
        <v>33</v>
      </c>
      <c r="C38" s="1132" t="s">
        <v>220</v>
      </c>
      <c r="D38" s="1144" t="s">
        <v>548</v>
      </c>
      <c r="E38" s="1145" t="s">
        <v>549</v>
      </c>
      <c r="F38" s="1146" t="s">
        <v>550</v>
      </c>
      <c r="G38" s="1136" t="s">
        <v>544</v>
      </c>
      <c r="H38" s="1147" t="s">
        <v>175</v>
      </c>
      <c r="I38" s="1143" t="s">
        <v>456</v>
      </c>
      <c r="J38" s="1139" t="str">
        <f t="shared" si="3"/>
        <v>TER B</v>
      </c>
      <c r="K38" s="1140">
        <f t="shared" si="4"/>
        <v>4169500</v>
      </c>
      <c r="L38" s="1141">
        <f t="shared" si="5"/>
        <v>34700.400000000001</v>
      </c>
      <c r="M38" s="1141">
        <f t="shared" si="6"/>
        <v>165240</v>
      </c>
      <c r="N38" s="1140"/>
      <c r="O38" s="1140">
        <f>OPERATOR!X14</f>
        <v>172050</v>
      </c>
      <c r="P38" s="1140">
        <f>OPERATOR!AA14</f>
        <v>62500</v>
      </c>
      <c r="Q38" s="1140">
        <f>OPERATOR!AE14</f>
        <v>1294465.3500000001</v>
      </c>
      <c r="R38" s="1140"/>
      <c r="S38" s="1140">
        <f>OPERATOR!AD14</f>
        <v>96000</v>
      </c>
      <c r="T38" s="1140"/>
      <c r="U38" s="1123"/>
      <c r="V38" s="1140"/>
      <c r="W38" s="1140"/>
      <c r="X38" s="1140">
        <f>OPERATOR!AF14</f>
        <v>1454555</v>
      </c>
      <c r="Y38" s="1140"/>
      <c r="Z38" s="1140"/>
      <c r="AA38" s="1140"/>
      <c r="AB38" s="1140"/>
      <c r="AC38" s="1140"/>
      <c r="AD38" s="1140"/>
      <c r="AE38" s="1140">
        <f>OPERATOR!BE14</f>
        <v>0</v>
      </c>
      <c r="AF38" s="1140"/>
      <c r="AG38" s="1140"/>
      <c r="AH38" s="1140"/>
      <c r="AI38" s="1124">
        <f t="shared" si="7"/>
        <v>7449011</v>
      </c>
      <c r="AJ38" s="1142">
        <f t="shared" si="0"/>
        <v>0.01</v>
      </c>
      <c r="AK38" s="1126">
        <f t="shared" si="1"/>
        <v>74490</v>
      </c>
      <c r="AL38" s="1127">
        <f>OPERATOR!AI14</f>
        <v>7249070.3499999996</v>
      </c>
      <c r="AM38" s="1128">
        <f t="shared" si="2"/>
        <v>199940.4</v>
      </c>
      <c r="AN38" s="1129">
        <f t="shared" si="9"/>
        <v>7449010.75</v>
      </c>
      <c r="AO38" s="1128">
        <f t="shared" si="8"/>
        <v>-0.25</v>
      </c>
      <c r="AP38" s="1130"/>
      <c r="AQ38" s="1130"/>
    </row>
    <row r="39" spans="2:43" s="1091" customFormat="1" ht="17.25" customHeight="1">
      <c r="B39" s="1131">
        <v>34</v>
      </c>
      <c r="C39" s="1132" t="s">
        <v>80</v>
      </c>
      <c r="D39" s="1144" t="s">
        <v>551</v>
      </c>
      <c r="E39" s="1145" t="s">
        <v>354</v>
      </c>
      <c r="F39" s="1146" t="s">
        <v>552</v>
      </c>
      <c r="G39" s="1136" t="s">
        <v>553</v>
      </c>
      <c r="H39" s="1147" t="s">
        <v>175</v>
      </c>
      <c r="I39" s="1143" t="s">
        <v>461</v>
      </c>
      <c r="J39" s="1139" t="str">
        <f t="shared" si="3"/>
        <v>TER A</v>
      </c>
      <c r="K39" s="1140">
        <f t="shared" si="4"/>
        <v>4169500</v>
      </c>
      <c r="L39" s="1141">
        <f t="shared" si="5"/>
        <v>33936</v>
      </c>
      <c r="M39" s="1141">
        <f t="shared" si="6"/>
        <v>161600</v>
      </c>
      <c r="N39" s="1140"/>
      <c r="O39" s="1140">
        <f>'PANEN 1'!T10</f>
        <v>114700</v>
      </c>
      <c r="P39" s="1140">
        <f>'PANEN 1'!W10</f>
        <v>42000</v>
      </c>
      <c r="Q39" s="1140"/>
      <c r="R39" s="1140"/>
      <c r="S39" s="1140">
        <f>'PANEN 1'!Z10</f>
        <v>5000</v>
      </c>
      <c r="T39" s="1140"/>
      <c r="U39" s="1140"/>
      <c r="V39" s="1140"/>
      <c r="W39" s="1140"/>
      <c r="X39" s="1140">
        <f>'PANEN 1'!AB10</f>
        <v>824600</v>
      </c>
      <c r="Y39" s="1140"/>
      <c r="Z39" s="1140"/>
      <c r="AA39" s="1140"/>
      <c r="AB39" s="1140"/>
      <c r="AC39" s="1140"/>
      <c r="AD39" s="1140"/>
      <c r="AE39" s="1140">
        <f>'PANEN 1'!BL10</f>
        <v>0</v>
      </c>
      <c r="AF39" s="1140"/>
      <c r="AG39" s="1140"/>
      <c r="AH39" s="1140"/>
      <c r="AI39" s="1124">
        <f t="shared" si="7"/>
        <v>5351336</v>
      </c>
      <c r="AJ39" s="1142">
        <f t="shared" si="0"/>
        <v>0</v>
      </c>
      <c r="AK39" s="1126">
        <f t="shared" si="1"/>
        <v>0</v>
      </c>
      <c r="AL39" s="1127">
        <f>'PANEN 1'!AN10</f>
        <v>5155800</v>
      </c>
      <c r="AM39" s="1128">
        <f t="shared" si="2"/>
        <v>195536</v>
      </c>
      <c r="AN39" s="1129">
        <f t="shared" si="9"/>
        <v>5351336</v>
      </c>
      <c r="AO39" s="1128">
        <f t="shared" si="8"/>
        <v>0</v>
      </c>
      <c r="AP39" s="1130"/>
      <c r="AQ39" s="1130"/>
    </row>
    <row r="40" spans="2:43" s="1091" customFormat="1" ht="17.25" customHeight="1">
      <c r="B40" s="1131">
        <v>35</v>
      </c>
      <c r="C40" s="1132" t="s">
        <v>554</v>
      </c>
      <c r="D40" s="1144" t="s">
        <v>555</v>
      </c>
      <c r="E40" s="1134" t="s">
        <v>354</v>
      </c>
      <c r="F40" s="1146" t="s">
        <v>556</v>
      </c>
      <c r="G40" s="1136" t="s">
        <v>465</v>
      </c>
      <c r="H40" s="1147" t="s">
        <v>175</v>
      </c>
      <c r="I40" s="1143" t="s">
        <v>473</v>
      </c>
      <c r="J40" s="1139" t="str">
        <f>IF(ISBLANK(I40),"",IF(OR(I40="TK/0",I40="TK/1",I40="K/0"),"TER A",IF(I40="K/3","TER C","TER B")))</f>
        <v>TER B</v>
      </c>
      <c r="K40" s="1140">
        <f t="shared" si="4"/>
        <v>4169500</v>
      </c>
      <c r="L40" s="1141">
        <f t="shared" si="5"/>
        <v>34171.199999999997</v>
      </c>
      <c r="M40" s="1141">
        <f t="shared" si="6"/>
        <v>162720</v>
      </c>
      <c r="N40" s="1140"/>
      <c r="O40" s="1140">
        <f>'PANEN 1'!T11</f>
        <v>144150</v>
      </c>
      <c r="P40" s="1140">
        <f>'PANEN 1'!W11</f>
        <v>47500</v>
      </c>
      <c r="Q40" s="1140"/>
      <c r="R40" s="1140"/>
      <c r="S40" s="1140">
        <f>'PANEN 1'!Z11</f>
        <v>33000</v>
      </c>
      <c r="T40" s="1140"/>
      <c r="U40" s="1140"/>
      <c r="V40" s="1140"/>
      <c r="W40" s="1140"/>
      <c r="X40" s="1140">
        <f>'PANEN 1'!AB11</f>
        <v>1415200</v>
      </c>
      <c r="Y40" s="1140"/>
      <c r="Z40" s="1140"/>
      <c r="AA40" s="1140"/>
      <c r="AB40" s="1140"/>
      <c r="AC40" s="1140"/>
      <c r="AD40" s="1140"/>
      <c r="AE40" s="1140">
        <f>'PANEN 1'!BL11</f>
        <v>0</v>
      </c>
      <c r="AF40" s="1123"/>
      <c r="AG40" s="1140"/>
      <c r="AH40" s="1123"/>
      <c r="AI40" s="1124">
        <f t="shared" si="7"/>
        <v>6006241</v>
      </c>
      <c r="AJ40" s="1142">
        <f t="shared" si="0"/>
        <v>0</v>
      </c>
      <c r="AK40" s="1126">
        <f t="shared" si="1"/>
        <v>0</v>
      </c>
      <c r="AL40" s="1127">
        <f>'PANEN 1'!AN11</f>
        <v>5809350</v>
      </c>
      <c r="AM40" s="1128">
        <f t="shared" si="2"/>
        <v>196891.2</v>
      </c>
      <c r="AN40" s="1129">
        <f t="shared" si="9"/>
        <v>6006241.2000000002</v>
      </c>
      <c r="AO40" s="1128">
        <f t="shared" si="8"/>
        <v>0.20000000018626451</v>
      </c>
      <c r="AP40" s="1130"/>
      <c r="AQ40" s="1130"/>
    </row>
    <row r="41" spans="2:43" s="1091" customFormat="1" ht="17.25" customHeight="1">
      <c r="B41" s="1131">
        <v>36</v>
      </c>
      <c r="C41" s="1132" t="s">
        <v>13</v>
      </c>
      <c r="D41" s="1144" t="s">
        <v>557</v>
      </c>
      <c r="E41" s="1145" t="s">
        <v>354</v>
      </c>
      <c r="F41" s="1146" t="s">
        <v>558</v>
      </c>
      <c r="G41" s="1136" t="s">
        <v>559</v>
      </c>
      <c r="H41" s="1147" t="s">
        <v>175</v>
      </c>
      <c r="I41" s="1143" t="s">
        <v>473</v>
      </c>
      <c r="J41" s="1139" t="str">
        <f t="shared" si="3"/>
        <v>TER B</v>
      </c>
      <c r="K41" s="1140">
        <f t="shared" si="4"/>
        <v>4169500</v>
      </c>
      <c r="L41" s="1141">
        <f t="shared" si="5"/>
        <v>34095.599999999999</v>
      </c>
      <c r="M41" s="1141">
        <f t="shared" si="6"/>
        <v>162360</v>
      </c>
      <c r="N41" s="1140"/>
      <c r="O41" s="1140">
        <f>'PANEN 1'!T12</f>
        <v>144150</v>
      </c>
      <c r="P41" s="1140"/>
      <c r="Q41" s="1140"/>
      <c r="R41" s="1140"/>
      <c r="S41" s="1140">
        <f>'PANEN 1'!Z12</f>
        <v>24000</v>
      </c>
      <c r="T41" s="1140">
        <f>'PANEN 1'!AE12</f>
        <v>148064</v>
      </c>
      <c r="U41" s="1140">
        <f>'PANEN 1'!AF12</f>
        <v>355250</v>
      </c>
      <c r="V41" s="1140">
        <f>'PANEN 1'!AG12</f>
        <v>368000</v>
      </c>
      <c r="W41" s="1140"/>
      <c r="X41" s="1140"/>
      <c r="Y41" s="1140"/>
      <c r="Z41" s="1140"/>
      <c r="AA41" s="1140">
        <f>'PANEN 1'!AI12</f>
        <v>0</v>
      </c>
      <c r="AB41" s="1140">
        <f>-'PANEN 1'!AL12</f>
        <v>-100127.77777777778</v>
      </c>
      <c r="AC41" s="1140"/>
      <c r="AD41" s="1140"/>
      <c r="AE41" s="1140">
        <f>'PANEN 1'!BL12</f>
        <v>0</v>
      </c>
      <c r="AF41" s="1140"/>
      <c r="AG41" s="1140"/>
      <c r="AH41" s="1140"/>
      <c r="AI41" s="1124">
        <f t="shared" si="7"/>
        <v>5305292</v>
      </c>
      <c r="AJ41" s="1142">
        <f t="shared" si="0"/>
        <v>0</v>
      </c>
      <c r="AK41" s="1126">
        <f t="shared" si="1"/>
        <v>0</v>
      </c>
      <c r="AL41" s="1127">
        <f>'PANEN 1'!AN12</f>
        <v>5108836.222222222</v>
      </c>
      <c r="AM41" s="1128">
        <f t="shared" si="2"/>
        <v>196455.6</v>
      </c>
      <c r="AN41" s="1129">
        <f t="shared" si="9"/>
        <v>5305291.8222222216</v>
      </c>
      <c r="AO41" s="1128">
        <f t="shared" si="8"/>
        <v>-0.17777777835726738</v>
      </c>
      <c r="AP41" s="1130"/>
      <c r="AQ41" s="1130"/>
    </row>
    <row r="42" spans="2:43" s="1091" customFormat="1" ht="17.25" customHeight="1">
      <c r="B42" s="1131">
        <v>37</v>
      </c>
      <c r="C42" s="1132" t="s">
        <v>69</v>
      </c>
      <c r="D42" s="1144" t="s">
        <v>560</v>
      </c>
      <c r="E42" s="1145" t="s">
        <v>354</v>
      </c>
      <c r="F42" s="1146" t="s">
        <v>561</v>
      </c>
      <c r="G42" s="1136" t="s">
        <v>559</v>
      </c>
      <c r="H42" s="1147" t="s">
        <v>175</v>
      </c>
      <c r="I42" s="1143" t="s">
        <v>456</v>
      </c>
      <c r="J42" s="1139" t="str">
        <f t="shared" si="3"/>
        <v>TER B</v>
      </c>
      <c r="K42" s="1140">
        <f t="shared" si="4"/>
        <v>4169500</v>
      </c>
      <c r="L42" s="1141">
        <f t="shared" si="5"/>
        <v>34095.599999999999</v>
      </c>
      <c r="M42" s="1141">
        <f t="shared" si="6"/>
        <v>162360</v>
      </c>
      <c r="N42" s="1140"/>
      <c r="O42" s="1140">
        <f>'PANEN 1'!T13</f>
        <v>172050</v>
      </c>
      <c r="P42" s="1140"/>
      <c r="Q42" s="1140"/>
      <c r="R42" s="1140"/>
      <c r="S42" s="1140">
        <f>'PANEN 1'!Z13</f>
        <v>24000</v>
      </c>
      <c r="T42" s="1140">
        <f>'PANEN 1'!AE13</f>
        <v>139107</v>
      </c>
      <c r="U42" s="1140">
        <f>'PANEN 1'!AF13</f>
        <v>381500</v>
      </c>
      <c r="V42" s="1140">
        <f>'PANEN 1'!AG13</f>
        <v>499500</v>
      </c>
      <c r="W42" s="1140"/>
      <c r="X42" s="1140"/>
      <c r="Y42" s="1140"/>
      <c r="Z42" s="1140"/>
      <c r="AA42" s="1140">
        <f>'PANEN 1'!AI13</f>
        <v>0</v>
      </c>
      <c r="AB42" s="1140">
        <f>-'PANEN 1'!AL13</f>
        <v>-59777.777777777781</v>
      </c>
      <c r="AC42" s="1140"/>
      <c r="AD42" s="1140"/>
      <c r="AE42" s="1140">
        <f>'PANEN 1'!BL13</f>
        <v>0</v>
      </c>
      <c r="AF42" s="1140"/>
      <c r="AG42" s="1140"/>
      <c r="AH42" s="1140"/>
      <c r="AI42" s="1124">
        <f t="shared" si="7"/>
        <v>5522335</v>
      </c>
      <c r="AJ42" s="1142">
        <f t="shared" si="0"/>
        <v>0</v>
      </c>
      <c r="AK42" s="1126">
        <f t="shared" si="1"/>
        <v>0</v>
      </c>
      <c r="AL42" s="1127">
        <f>'PANEN 1'!AN13</f>
        <v>5325879.222222222</v>
      </c>
      <c r="AM42" s="1128">
        <f t="shared" si="2"/>
        <v>196455.6</v>
      </c>
      <c r="AN42" s="1129">
        <f t="shared" si="9"/>
        <v>5522334.8222222216</v>
      </c>
      <c r="AO42" s="1128">
        <f t="shared" si="8"/>
        <v>-0.17777777835726738</v>
      </c>
      <c r="AP42" s="1130"/>
      <c r="AQ42" s="1130"/>
    </row>
    <row r="43" spans="2:43" s="1091" customFormat="1" ht="17.25" customHeight="1">
      <c r="B43" s="1131">
        <v>38</v>
      </c>
      <c r="C43" s="1132" t="s">
        <v>14</v>
      </c>
      <c r="D43" s="1144" t="s">
        <v>562</v>
      </c>
      <c r="E43" s="1145" t="s">
        <v>354</v>
      </c>
      <c r="F43" s="1146" t="s">
        <v>563</v>
      </c>
      <c r="G43" s="1136" t="s">
        <v>559</v>
      </c>
      <c r="H43" s="1147" t="s">
        <v>175</v>
      </c>
      <c r="I43" s="1143" t="s">
        <v>456</v>
      </c>
      <c r="J43" s="1139" t="str">
        <f t="shared" si="3"/>
        <v>TER B</v>
      </c>
      <c r="K43" s="1140">
        <f t="shared" si="4"/>
        <v>4169500</v>
      </c>
      <c r="L43" s="1141">
        <f t="shared" si="5"/>
        <v>34070.400000000001</v>
      </c>
      <c r="M43" s="1141">
        <f t="shared" si="6"/>
        <v>162240</v>
      </c>
      <c r="N43" s="1140"/>
      <c r="O43" s="1140">
        <f>'PANEN 1'!T14</f>
        <v>172050</v>
      </c>
      <c r="P43" s="1140"/>
      <c r="Q43" s="1140"/>
      <c r="R43" s="1140"/>
      <c r="S43" s="1140">
        <f>'PANEN 1'!Z14</f>
        <v>21000</v>
      </c>
      <c r="T43" s="1140">
        <f>'PANEN 1'!AE14</f>
        <v>201485</v>
      </c>
      <c r="U43" s="1140">
        <f>'PANEN 1'!AF14</f>
        <v>490000</v>
      </c>
      <c r="V43" s="1140">
        <f>'PANEN 1'!AG14</f>
        <v>552500</v>
      </c>
      <c r="W43" s="1140"/>
      <c r="X43" s="1140"/>
      <c r="Y43" s="1140"/>
      <c r="Z43" s="1140"/>
      <c r="AA43" s="1140">
        <f>'PANEN 1'!AI14</f>
        <v>0</v>
      </c>
      <c r="AB43" s="1140">
        <f>-'PANEN 1'!AL14</f>
        <v>-46327.777777777781</v>
      </c>
      <c r="AC43" s="1140"/>
      <c r="AD43" s="1140"/>
      <c r="AE43" s="1140">
        <f>'PANEN 1'!BL14</f>
        <v>0</v>
      </c>
      <c r="AF43" s="1140"/>
      <c r="AG43" s="1140"/>
      <c r="AH43" s="1140"/>
      <c r="AI43" s="1124">
        <f t="shared" si="7"/>
        <v>5756518</v>
      </c>
      <c r="AJ43" s="1142">
        <f t="shared" si="0"/>
        <v>0</v>
      </c>
      <c r="AK43" s="1126">
        <f t="shared" si="1"/>
        <v>0</v>
      </c>
      <c r="AL43" s="1127">
        <f>'PANEN 1'!AN14</f>
        <v>5560207.222222222</v>
      </c>
      <c r="AM43" s="1128">
        <f t="shared" si="2"/>
        <v>196310.39999999999</v>
      </c>
      <c r="AN43" s="1129">
        <f t="shared" si="9"/>
        <v>5756517.6222222224</v>
      </c>
      <c r="AO43" s="1128">
        <f t="shared" si="8"/>
        <v>-0.37777777761220932</v>
      </c>
      <c r="AP43" s="1130"/>
      <c r="AQ43" s="1130"/>
    </row>
    <row r="44" spans="2:43" s="1091" customFormat="1" ht="17.25" customHeight="1">
      <c r="B44" s="1131">
        <v>39</v>
      </c>
      <c r="C44" s="1132" t="s">
        <v>72</v>
      </c>
      <c r="D44" s="1144" t="s">
        <v>564</v>
      </c>
      <c r="E44" s="1145" t="s">
        <v>354</v>
      </c>
      <c r="F44" s="1146" t="s">
        <v>565</v>
      </c>
      <c r="G44" s="1136" t="s">
        <v>559</v>
      </c>
      <c r="H44" s="1147" t="s">
        <v>175</v>
      </c>
      <c r="I44" s="1143" t="s">
        <v>473</v>
      </c>
      <c r="J44" s="1139" t="str">
        <f t="shared" si="3"/>
        <v>TER B</v>
      </c>
      <c r="K44" s="1140">
        <f t="shared" si="4"/>
        <v>4169500</v>
      </c>
      <c r="L44" s="1141">
        <f t="shared" si="5"/>
        <v>33978</v>
      </c>
      <c r="M44" s="1141">
        <f t="shared" si="6"/>
        <v>161800</v>
      </c>
      <c r="N44" s="1140"/>
      <c r="O44" s="1140">
        <f>'PANEN 1'!T15</f>
        <v>144150</v>
      </c>
      <c r="P44" s="1140"/>
      <c r="Q44" s="1140"/>
      <c r="R44" s="1140"/>
      <c r="S44" s="1140">
        <f>'PANEN 1'!Z15</f>
        <v>10000</v>
      </c>
      <c r="T44" s="1140">
        <f>'PANEN 1'!AE15</f>
        <v>170538</v>
      </c>
      <c r="U44" s="1140">
        <f>'PANEN 1'!AF15</f>
        <v>444500</v>
      </c>
      <c r="V44" s="1140">
        <f>'PANEN 1'!AG15</f>
        <v>522000</v>
      </c>
      <c r="W44" s="1140"/>
      <c r="X44" s="1140"/>
      <c r="Y44" s="1140"/>
      <c r="Z44" s="1140"/>
      <c r="AA44" s="1140">
        <f>'PANEN 1'!AI15</f>
        <v>0</v>
      </c>
      <c r="AB44" s="1140">
        <f>-'PANEN 1'!AL15</f>
        <v>-44833.333333333343</v>
      </c>
      <c r="AC44" s="1140"/>
      <c r="AD44" s="1140"/>
      <c r="AE44" s="1140">
        <f>'PANEN 1'!BL15</f>
        <v>0</v>
      </c>
      <c r="AF44" s="1140"/>
      <c r="AG44" s="1140"/>
      <c r="AH44" s="1140"/>
      <c r="AI44" s="1124">
        <f t="shared" si="7"/>
        <v>5611633</v>
      </c>
      <c r="AJ44" s="1142">
        <f t="shared" si="0"/>
        <v>0</v>
      </c>
      <c r="AK44" s="1126">
        <f t="shared" si="1"/>
        <v>0</v>
      </c>
      <c r="AL44" s="1127">
        <f>'PANEN 1'!AN15</f>
        <v>5415854.666666667</v>
      </c>
      <c r="AM44" s="1128">
        <f t="shared" si="2"/>
        <v>195778</v>
      </c>
      <c r="AN44" s="1129">
        <f t="shared" si="9"/>
        <v>5611632.666666667</v>
      </c>
      <c r="AO44" s="1128">
        <f t="shared" si="8"/>
        <v>-0.33333333302289248</v>
      </c>
      <c r="AP44" s="1130"/>
      <c r="AQ44" s="1130"/>
    </row>
    <row r="45" spans="2:43" s="1091" customFormat="1" ht="17.25" customHeight="1">
      <c r="B45" s="1131">
        <v>40</v>
      </c>
      <c r="C45" s="1132" t="s">
        <v>78</v>
      </c>
      <c r="D45" s="1144" t="s">
        <v>566</v>
      </c>
      <c r="E45" s="1145" t="s">
        <v>354</v>
      </c>
      <c r="F45" s="1146" t="s">
        <v>567</v>
      </c>
      <c r="G45" s="1136" t="s">
        <v>559</v>
      </c>
      <c r="H45" s="1147" t="s">
        <v>175</v>
      </c>
      <c r="I45" s="1143" t="s">
        <v>473</v>
      </c>
      <c r="J45" s="1139" t="str">
        <f t="shared" si="3"/>
        <v>TER B</v>
      </c>
      <c r="K45" s="1140">
        <f t="shared" si="4"/>
        <v>4169500</v>
      </c>
      <c r="L45" s="1141">
        <f t="shared" si="5"/>
        <v>33936</v>
      </c>
      <c r="M45" s="1141">
        <f t="shared" si="6"/>
        <v>161600</v>
      </c>
      <c r="N45" s="1140"/>
      <c r="O45" s="1140">
        <f>'PANEN 1'!T16</f>
        <v>144150</v>
      </c>
      <c r="P45" s="1140"/>
      <c r="Q45" s="1140"/>
      <c r="R45" s="1140"/>
      <c r="S45" s="1140">
        <f>'PANEN 1'!Z16</f>
        <v>5000</v>
      </c>
      <c r="T45" s="1140">
        <f>'PANEN 1'!AE16</f>
        <v>271292</v>
      </c>
      <c r="U45" s="1140">
        <f>'PANEN 1'!AF16</f>
        <v>554750</v>
      </c>
      <c r="V45" s="1140">
        <f>'PANEN 1'!AG16</f>
        <v>627500</v>
      </c>
      <c r="W45" s="1140"/>
      <c r="X45" s="1140"/>
      <c r="Y45" s="1140"/>
      <c r="Z45" s="1140"/>
      <c r="AA45" s="1140">
        <f>'PANEN 1'!AI16</f>
        <v>0</v>
      </c>
      <c r="AB45" s="1140">
        <f>-'PANEN 1'!AL16</f>
        <v>0</v>
      </c>
      <c r="AC45" s="1140"/>
      <c r="AD45" s="1140"/>
      <c r="AE45" s="1140">
        <f>'PANEN 1'!BL16</f>
        <v>0</v>
      </c>
      <c r="AF45" s="1140"/>
      <c r="AG45" s="1140"/>
      <c r="AH45" s="1140"/>
      <c r="AI45" s="1124">
        <f t="shared" si="7"/>
        <v>5967728</v>
      </c>
      <c r="AJ45" s="1142">
        <f t="shared" si="0"/>
        <v>0</v>
      </c>
      <c r="AK45" s="1126">
        <f t="shared" si="1"/>
        <v>0</v>
      </c>
      <c r="AL45" s="1127">
        <f>'PANEN 1'!AN16</f>
        <v>5772192</v>
      </c>
      <c r="AM45" s="1128">
        <f t="shared" si="2"/>
        <v>195536</v>
      </c>
      <c r="AN45" s="1129">
        <f t="shared" si="9"/>
        <v>5967728</v>
      </c>
      <c r="AO45" s="1128">
        <f t="shared" si="8"/>
        <v>0</v>
      </c>
      <c r="AP45" s="1130"/>
      <c r="AQ45" s="1130"/>
    </row>
    <row r="46" spans="2:43" s="1091" customFormat="1" ht="17.25" customHeight="1">
      <c r="B46" s="1131">
        <v>41</v>
      </c>
      <c r="C46" s="1132" t="s">
        <v>91</v>
      </c>
      <c r="D46" s="1144" t="s">
        <v>568</v>
      </c>
      <c r="E46" s="1145" t="s">
        <v>354</v>
      </c>
      <c r="F46" s="1146" t="s">
        <v>569</v>
      </c>
      <c r="G46" s="1136" t="s">
        <v>559</v>
      </c>
      <c r="H46" s="1147" t="s">
        <v>175</v>
      </c>
      <c r="I46" s="1143" t="s">
        <v>469</v>
      </c>
      <c r="J46" s="1139" t="str">
        <f t="shared" si="3"/>
        <v>TER A</v>
      </c>
      <c r="K46" s="1140">
        <f t="shared" si="4"/>
        <v>4169500</v>
      </c>
      <c r="L46" s="1141">
        <f t="shared" si="5"/>
        <v>33936</v>
      </c>
      <c r="M46" s="1141">
        <f t="shared" si="6"/>
        <v>161600</v>
      </c>
      <c r="N46" s="1140"/>
      <c r="O46" s="1140">
        <f>'PANEN 1'!T17</f>
        <v>69750</v>
      </c>
      <c r="P46" s="1140"/>
      <c r="Q46" s="1140"/>
      <c r="R46" s="1140"/>
      <c r="S46" s="1140">
        <f>'PANEN 1'!Z17</f>
        <v>5000</v>
      </c>
      <c r="T46" s="1140">
        <f>'PANEN 1'!AE17</f>
        <v>275360</v>
      </c>
      <c r="U46" s="1140">
        <f>'PANEN 1'!AF17</f>
        <v>393750</v>
      </c>
      <c r="V46" s="1140">
        <f>'PANEN 1'!AG17</f>
        <v>327000</v>
      </c>
      <c r="W46" s="1140"/>
      <c r="X46" s="1140"/>
      <c r="Y46" s="1140"/>
      <c r="Z46" s="1140"/>
      <c r="AA46" s="1140">
        <f>'PANEN 1'!AI17</f>
        <v>0</v>
      </c>
      <c r="AB46" s="1140">
        <f>-'PANEN 1'!AL17</f>
        <v>-113577.77777777778</v>
      </c>
      <c r="AC46" s="1140"/>
      <c r="AD46" s="1140"/>
      <c r="AE46" s="1140">
        <f>'PANEN 1'!BL17</f>
        <v>0</v>
      </c>
      <c r="AF46" s="1140"/>
      <c r="AG46" s="1140"/>
      <c r="AH46" s="1140"/>
      <c r="AI46" s="1124">
        <f t="shared" si="7"/>
        <v>5322318</v>
      </c>
      <c r="AJ46" s="1142">
        <f t="shared" si="0"/>
        <v>0</v>
      </c>
      <c r="AK46" s="1126">
        <f t="shared" si="1"/>
        <v>0</v>
      </c>
      <c r="AL46" s="1127">
        <f>'PANEN 1'!AN17</f>
        <v>5126782.222222222</v>
      </c>
      <c r="AM46" s="1128">
        <f t="shared" si="2"/>
        <v>195536</v>
      </c>
      <c r="AN46" s="1129">
        <f t="shared" si="9"/>
        <v>5322318.222222222</v>
      </c>
      <c r="AO46" s="1128">
        <f t="shared" si="8"/>
        <v>0.22222222201526165</v>
      </c>
      <c r="AP46" s="1130"/>
      <c r="AQ46" s="1130"/>
    </row>
    <row r="47" spans="2:43" s="1091" customFormat="1" ht="17.25" customHeight="1">
      <c r="B47" s="1131">
        <v>42</v>
      </c>
      <c r="C47" s="1132" t="s">
        <v>92</v>
      </c>
      <c r="D47" s="1144" t="s">
        <v>570</v>
      </c>
      <c r="E47" s="1145" t="s">
        <v>354</v>
      </c>
      <c r="F47" s="1146" t="s">
        <v>569</v>
      </c>
      <c r="G47" s="1136" t="s">
        <v>559</v>
      </c>
      <c r="H47" s="1147" t="s">
        <v>175</v>
      </c>
      <c r="I47" s="1138" t="s">
        <v>571</v>
      </c>
      <c r="J47" s="1139" t="str">
        <f t="shared" si="3"/>
        <v>TER C</v>
      </c>
      <c r="K47" s="1140">
        <f t="shared" si="4"/>
        <v>4169500</v>
      </c>
      <c r="L47" s="1141">
        <f t="shared" si="5"/>
        <v>33915</v>
      </c>
      <c r="M47" s="1141">
        <f t="shared" si="6"/>
        <v>161500</v>
      </c>
      <c r="N47" s="1140"/>
      <c r="O47" s="1140">
        <f>'PANEN 1'!T18</f>
        <v>144150</v>
      </c>
      <c r="P47" s="1140"/>
      <c r="Q47" s="1140">
        <f>'PANEN 1'!AD18</f>
        <v>209913.30000000002</v>
      </c>
      <c r="R47" s="1140"/>
      <c r="S47" s="1140">
        <f>'PANEN 1'!Z18</f>
        <v>2500</v>
      </c>
      <c r="T47" s="1140">
        <f>'PANEN 1'!AE18</f>
        <v>810804</v>
      </c>
      <c r="U47" s="1140">
        <f>'PANEN 1'!AF18</f>
        <v>588000</v>
      </c>
      <c r="V47" s="1140">
        <f>'PANEN 1'!AG18</f>
        <v>602000</v>
      </c>
      <c r="W47" s="1140"/>
      <c r="X47" s="1140"/>
      <c r="Y47" s="1140"/>
      <c r="Z47" s="1140"/>
      <c r="AA47" s="1140">
        <f>'PANEN 1'!AI18</f>
        <v>150000</v>
      </c>
      <c r="AB47" s="1140">
        <f>-'PANEN 1'!AL18</f>
        <v>0</v>
      </c>
      <c r="AC47" s="1140"/>
      <c r="AD47" s="1140"/>
      <c r="AE47" s="1140">
        <f>'PANEN 1'!BL18</f>
        <v>0</v>
      </c>
      <c r="AF47" s="1140"/>
      <c r="AG47" s="1140"/>
      <c r="AH47" s="1140"/>
      <c r="AI47" s="1124">
        <f t="shared" si="7"/>
        <v>6872282</v>
      </c>
      <c r="AJ47" s="1142">
        <f t="shared" si="0"/>
        <v>2.5000000000000001E-3</v>
      </c>
      <c r="AK47" s="1126">
        <f t="shared" si="1"/>
        <v>17181</v>
      </c>
      <c r="AL47" s="1127">
        <f>'PANEN 1'!AN18</f>
        <v>6676867.2999999998</v>
      </c>
      <c r="AM47" s="1128">
        <f t="shared" si="2"/>
        <v>195415</v>
      </c>
      <c r="AN47" s="1129">
        <f t="shared" si="9"/>
        <v>6872282.2999999998</v>
      </c>
      <c r="AO47" s="1128">
        <f t="shared" si="8"/>
        <v>0.29999999981373549</v>
      </c>
      <c r="AP47" s="1130"/>
      <c r="AQ47" s="1130"/>
    </row>
    <row r="48" spans="2:43" s="1091" customFormat="1" ht="17.25" customHeight="1">
      <c r="B48" s="1131">
        <v>43</v>
      </c>
      <c r="C48" s="1132" t="s">
        <v>93</v>
      </c>
      <c r="D48" s="1158" t="s">
        <v>572</v>
      </c>
      <c r="E48" s="1145" t="s">
        <v>354</v>
      </c>
      <c r="F48" s="1146" t="s">
        <v>569</v>
      </c>
      <c r="G48" s="1136" t="s">
        <v>559</v>
      </c>
      <c r="H48" s="1147" t="s">
        <v>175</v>
      </c>
      <c r="I48" s="1138" t="s">
        <v>456</v>
      </c>
      <c r="J48" s="1139" t="str">
        <f t="shared" si="3"/>
        <v>TER B</v>
      </c>
      <c r="K48" s="1140">
        <f t="shared" si="4"/>
        <v>4169500</v>
      </c>
      <c r="L48" s="1141">
        <f t="shared" si="5"/>
        <v>33915</v>
      </c>
      <c r="M48" s="1141">
        <f t="shared" si="6"/>
        <v>161500</v>
      </c>
      <c r="N48" s="1140"/>
      <c r="O48" s="1140">
        <f>'PANEN 1'!T19</f>
        <v>172050</v>
      </c>
      <c r="P48" s="1140"/>
      <c r="Q48" s="1140"/>
      <c r="R48" s="1140"/>
      <c r="S48" s="1140">
        <f>'PANEN 1'!Z19</f>
        <v>2500</v>
      </c>
      <c r="T48" s="1140">
        <f>'PANEN 1'!AE19</f>
        <v>484688</v>
      </c>
      <c r="U48" s="1140">
        <f>'PANEN 1'!AF19</f>
        <v>514500</v>
      </c>
      <c r="V48" s="1140">
        <f>'PANEN 1'!AG19</f>
        <v>597000</v>
      </c>
      <c r="W48" s="1140"/>
      <c r="X48" s="1140"/>
      <c r="Y48" s="1140"/>
      <c r="Z48" s="1140"/>
      <c r="AA48" s="1140">
        <f>'PANEN 1'!AI19</f>
        <v>0</v>
      </c>
      <c r="AB48" s="1140">
        <f>-'PANEN 1'!AL19</f>
        <v>0</v>
      </c>
      <c r="AC48" s="1140"/>
      <c r="AD48" s="1140"/>
      <c r="AE48" s="1140">
        <f>'PANEN 1'!BL19</f>
        <v>0</v>
      </c>
      <c r="AF48" s="1140"/>
      <c r="AG48" s="1140"/>
      <c r="AH48" s="1140"/>
      <c r="AI48" s="1124">
        <f t="shared" si="7"/>
        <v>6135653</v>
      </c>
      <c r="AJ48" s="1142">
        <f t="shared" si="0"/>
        <v>0</v>
      </c>
      <c r="AK48" s="1126">
        <f t="shared" si="1"/>
        <v>0</v>
      </c>
      <c r="AL48" s="1127">
        <f>'PANEN 1'!AN19</f>
        <v>5940238</v>
      </c>
      <c r="AM48" s="1128">
        <f t="shared" si="2"/>
        <v>195415</v>
      </c>
      <c r="AN48" s="1129">
        <f t="shared" si="9"/>
        <v>6135653</v>
      </c>
      <c r="AO48" s="1128">
        <f t="shared" si="8"/>
        <v>0</v>
      </c>
      <c r="AP48" s="1130"/>
      <c r="AQ48" s="1130"/>
    </row>
    <row r="49" spans="2:61" s="1091" customFormat="1" ht="17.25" customHeight="1">
      <c r="B49" s="1131">
        <v>44</v>
      </c>
      <c r="C49" s="1132" t="s">
        <v>207</v>
      </c>
      <c r="D49" s="1158" t="s">
        <v>573</v>
      </c>
      <c r="E49" s="1145" t="s">
        <v>354</v>
      </c>
      <c r="F49" s="1146" t="s">
        <v>574</v>
      </c>
      <c r="G49" s="1136" t="s">
        <v>559</v>
      </c>
      <c r="H49" s="1147" t="s">
        <v>175</v>
      </c>
      <c r="I49" s="1138" t="s">
        <v>571</v>
      </c>
      <c r="J49" s="1139" t="str">
        <f t="shared" si="3"/>
        <v>TER C</v>
      </c>
      <c r="K49" s="1140">
        <f t="shared" si="4"/>
        <v>4169500</v>
      </c>
      <c r="L49" s="1141">
        <f t="shared" si="5"/>
        <v>33915</v>
      </c>
      <c r="M49" s="1141">
        <f t="shared" si="6"/>
        <v>161500</v>
      </c>
      <c r="N49" s="1140"/>
      <c r="O49" s="1140">
        <f>'PANEN 1'!T20</f>
        <v>172050</v>
      </c>
      <c r="P49" s="1140"/>
      <c r="Q49" s="1140"/>
      <c r="R49" s="1140"/>
      <c r="S49" s="1140">
        <f>'PANEN 1'!Z20</f>
        <v>2500</v>
      </c>
      <c r="T49" s="1140">
        <f>'PANEN 1'!AE20</f>
        <v>146742</v>
      </c>
      <c r="U49" s="1140">
        <f>'PANEN 1'!AF20</f>
        <v>292250</v>
      </c>
      <c r="V49" s="1140">
        <f>'PANEN 1'!AG20</f>
        <v>548000</v>
      </c>
      <c r="W49" s="1140"/>
      <c r="X49" s="1140"/>
      <c r="Y49" s="1140"/>
      <c r="Z49" s="1140"/>
      <c r="AA49" s="1140">
        <f>'PANEN 1'!AI20</f>
        <v>0</v>
      </c>
      <c r="AB49" s="1140">
        <f>-'PANEN 1'!AL20</f>
        <v>-107077.66990291262</v>
      </c>
      <c r="AC49" s="1140"/>
      <c r="AD49" s="1140"/>
      <c r="AE49" s="1140">
        <f>'PANEN 1'!BL20</f>
        <v>0</v>
      </c>
      <c r="AF49" s="1140"/>
      <c r="AG49" s="1140"/>
      <c r="AH49" s="1140"/>
      <c r="AI49" s="1124">
        <f t="shared" si="7"/>
        <v>5419379</v>
      </c>
      <c r="AJ49" s="1142">
        <f t="shared" si="0"/>
        <v>0</v>
      </c>
      <c r="AK49" s="1126">
        <f t="shared" si="1"/>
        <v>0</v>
      </c>
      <c r="AL49" s="1127">
        <f>'PANEN 1'!AN20</f>
        <v>5223964.3300970877</v>
      </c>
      <c r="AM49" s="1128">
        <f t="shared" si="2"/>
        <v>195415</v>
      </c>
      <c r="AN49" s="1129">
        <f t="shared" si="9"/>
        <v>5419379.3300970877</v>
      </c>
      <c r="AO49" s="1128">
        <f t="shared" si="8"/>
        <v>0.33009708765894175</v>
      </c>
      <c r="AP49" s="1130"/>
      <c r="AQ49" s="1130"/>
    </row>
    <row r="50" spans="2:61" s="1157" customFormat="1" ht="17.25" customHeight="1">
      <c r="B50" s="1131">
        <v>45</v>
      </c>
      <c r="C50" s="1179" t="s">
        <v>107</v>
      </c>
      <c r="D50" s="1158" t="s">
        <v>575</v>
      </c>
      <c r="E50" s="1180" t="s">
        <v>354</v>
      </c>
      <c r="F50" s="1146" t="s">
        <v>576</v>
      </c>
      <c r="G50" s="1167" t="s">
        <v>559</v>
      </c>
      <c r="H50" s="1147" t="s">
        <v>175</v>
      </c>
      <c r="I50" s="1181" t="s">
        <v>456</v>
      </c>
      <c r="J50" s="1182" t="str">
        <f t="shared" si="3"/>
        <v>TER B</v>
      </c>
      <c r="K50" s="1140">
        <f t="shared" si="4"/>
        <v>4169500</v>
      </c>
      <c r="L50" s="1141">
        <f t="shared" si="5"/>
        <v>33915</v>
      </c>
      <c r="M50" s="1141">
        <f t="shared" si="6"/>
        <v>161500</v>
      </c>
      <c r="N50" s="1140"/>
      <c r="O50" s="1140">
        <f>'PANEN 1'!T21</f>
        <v>172050</v>
      </c>
      <c r="P50" s="1140"/>
      <c r="Q50" s="1140">
        <f>'PANEN 1'!AD21</f>
        <v>338193.65</v>
      </c>
      <c r="R50" s="1140"/>
      <c r="S50" s="1140">
        <f>'PANEN 1'!Z21</f>
        <v>2500</v>
      </c>
      <c r="T50" s="1140">
        <f>'PANEN 1'!AE21</f>
        <v>415057</v>
      </c>
      <c r="U50" s="1140">
        <f>'PANEN 1'!AF21</f>
        <v>493500</v>
      </c>
      <c r="V50" s="1140">
        <f>'PANEN 1'!AG21</f>
        <v>763000</v>
      </c>
      <c r="W50" s="1140"/>
      <c r="X50" s="1140"/>
      <c r="Y50" s="1140">
        <f>'PANEN 1'!AC21</f>
        <v>250000</v>
      </c>
      <c r="Z50" s="1140"/>
      <c r="AA50" s="1140">
        <f>'PANEN 1'!AI21</f>
        <v>150000</v>
      </c>
      <c r="AB50" s="1140">
        <f>-'PANEN 1'!AL21</f>
        <v>0</v>
      </c>
      <c r="AC50" s="1140"/>
      <c r="AD50" s="1140"/>
      <c r="AE50" s="1140">
        <f>'PANEN 1'!BL21</f>
        <v>0</v>
      </c>
      <c r="AF50" s="1140"/>
      <c r="AG50" s="1140"/>
      <c r="AH50" s="1140"/>
      <c r="AI50" s="1124">
        <f t="shared" si="7"/>
        <v>6949216</v>
      </c>
      <c r="AJ50" s="1142">
        <f t="shared" si="0"/>
        <v>7.4999999999999997E-3</v>
      </c>
      <c r="AK50" s="1126">
        <f t="shared" si="1"/>
        <v>52119</v>
      </c>
      <c r="AL50" s="1127">
        <f>'PANEN 1'!AN21</f>
        <v>6753800.6500000004</v>
      </c>
      <c r="AM50" s="1128">
        <f t="shared" si="2"/>
        <v>195415</v>
      </c>
      <c r="AN50" s="1129">
        <f t="shared" si="9"/>
        <v>6949215.6500000004</v>
      </c>
      <c r="AO50" s="1128">
        <f t="shared" si="8"/>
        <v>-0.34999999962747097</v>
      </c>
      <c r="AP50" s="1130"/>
      <c r="AQ50" s="1130"/>
    </row>
    <row r="51" spans="2:61" s="1157" customFormat="1" ht="17.25" customHeight="1">
      <c r="B51" s="1131">
        <v>46</v>
      </c>
      <c r="C51" s="1179" t="s">
        <v>14</v>
      </c>
      <c r="D51" s="1158" t="s">
        <v>577</v>
      </c>
      <c r="E51" s="1180" t="s">
        <v>354</v>
      </c>
      <c r="F51" s="1146" t="s">
        <v>578</v>
      </c>
      <c r="G51" s="1167" t="s">
        <v>559</v>
      </c>
      <c r="H51" s="1147" t="s">
        <v>175</v>
      </c>
      <c r="I51" s="1181" t="s">
        <v>571</v>
      </c>
      <c r="J51" s="1182" t="str">
        <f t="shared" si="3"/>
        <v>TER C</v>
      </c>
      <c r="K51" s="1140">
        <f t="shared" si="4"/>
        <v>4169500</v>
      </c>
      <c r="L51" s="1141">
        <f t="shared" si="5"/>
        <v>33915</v>
      </c>
      <c r="M51" s="1141">
        <f t="shared" si="6"/>
        <v>161500</v>
      </c>
      <c r="N51" s="1140"/>
      <c r="O51" s="1140">
        <f>'PANEN 1'!T22</f>
        <v>172050</v>
      </c>
      <c r="P51" s="1140"/>
      <c r="Q51" s="1140"/>
      <c r="R51" s="1140"/>
      <c r="S51" s="1140">
        <f>'PANEN 1'!Z22</f>
        <v>2500</v>
      </c>
      <c r="T51" s="1140">
        <f>'PANEN 1'!AE22</f>
        <v>327856</v>
      </c>
      <c r="U51" s="1140">
        <f>'PANEN 1'!AF22</f>
        <v>518000</v>
      </c>
      <c r="V51" s="1140">
        <f>'PANEN 1'!AG22</f>
        <v>457000</v>
      </c>
      <c r="W51" s="1140"/>
      <c r="X51" s="1140"/>
      <c r="Y51" s="1140"/>
      <c r="Z51" s="1140"/>
      <c r="AA51" s="1140">
        <f>'PANEN 1'!AI22</f>
        <v>0</v>
      </c>
      <c r="AB51" s="1140">
        <f>-'PANEN 1'!AL22</f>
        <v>0</v>
      </c>
      <c r="AC51" s="1140"/>
      <c r="AD51" s="1140"/>
      <c r="AE51" s="1140">
        <f>'PANEN 1'!BL22</f>
        <v>0</v>
      </c>
      <c r="AF51" s="1140"/>
      <c r="AG51" s="1140"/>
      <c r="AH51" s="1140"/>
      <c r="AI51" s="1124">
        <f t="shared" si="7"/>
        <v>5842321</v>
      </c>
      <c r="AJ51" s="1142">
        <f t="shared" si="0"/>
        <v>0</v>
      </c>
      <c r="AK51" s="1126">
        <f t="shared" si="1"/>
        <v>0</v>
      </c>
      <c r="AL51" s="1127">
        <f>'PANEN 1'!AN22</f>
        <v>5646906</v>
      </c>
      <c r="AM51" s="1128">
        <f t="shared" si="2"/>
        <v>195415</v>
      </c>
      <c r="AN51" s="1129">
        <f t="shared" si="9"/>
        <v>5842321</v>
      </c>
      <c r="AO51" s="1128">
        <f t="shared" si="8"/>
        <v>0</v>
      </c>
      <c r="AP51" s="1130"/>
      <c r="AQ51" s="1130"/>
    </row>
    <row r="52" spans="2:61" s="1157" customFormat="1" ht="17.25" customHeight="1">
      <c r="B52" s="1131">
        <v>47</v>
      </c>
      <c r="C52" s="1179" t="s">
        <v>303</v>
      </c>
      <c r="D52" s="1158" t="s">
        <v>579</v>
      </c>
      <c r="E52" s="1152" t="s">
        <v>354</v>
      </c>
      <c r="F52" s="1146" t="s">
        <v>580</v>
      </c>
      <c r="G52" s="1167" t="s">
        <v>559</v>
      </c>
      <c r="H52" s="1147" t="s">
        <v>175</v>
      </c>
      <c r="I52" s="1181" t="s">
        <v>469</v>
      </c>
      <c r="J52" s="1156" t="str">
        <f t="shared" si="3"/>
        <v>TER A</v>
      </c>
      <c r="K52" s="1140">
        <f t="shared" si="4"/>
        <v>4169500</v>
      </c>
      <c r="L52" s="1141">
        <f t="shared" si="5"/>
        <v>33894</v>
      </c>
      <c r="M52" s="1141">
        <f t="shared" si="6"/>
        <v>161400</v>
      </c>
      <c r="N52" s="1140"/>
      <c r="O52" s="1140">
        <f>'PANEN 1'!T23</f>
        <v>69750</v>
      </c>
      <c r="P52" s="1140"/>
      <c r="Q52" s="1140"/>
      <c r="R52" s="1140"/>
      <c r="S52" s="1140">
        <f>'PANEN 1'!Z23</f>
        <v>0</v>
      </c>
      <c r="T52" s="1140">
        <f>'PANEN 1'!AE23</f>
        <v>1595654</v>
      </c>
      <c r="U52" s="1140">
        <f>'PANEN 1'!AF23</f>
        <v>651000</v>
      </c>
      <c r="V52" s="1140">
        <f>'PANEN 1'!AG23</f>
        <v>532500</v>
      </c>
      <c r="W52" s="1140"/>
      <c r="X52" s="1140"/>
      <c r="Y52" s="1140"/>
      <c r="Z52" s="1140"/>
      <c r="AA52" s="1140">
        <f>'PANEN 1'!AI23</f>
        <v>320410</v>
      </c>
      <c r="AB52" s="1140">
        <f>-'PANEN 1'!AL23</f>
        <v>0</v>
      </c>
      <c r="AC52" s="1140"/>
      <c r="AD52" s="1140"/>
      <c r="AE52" s="1140">
        <f>'PANEN 1'!BL23</f>
        <v>0</v>
      </c>
      <c r="AF52" s="1140"/>
      <c r="AG52" s="1140"/>
      <c r="AH52" s="1140"/>
      <c r="AI52" s="1124">
        <f t="shared" si="7"/>
        <v>7534108</v>
      </c>
      <c r="AJ52" s="1142">
        <f t="shared" si="0"/>
        <v>1.5000000000000001E-2</v>
      </c>
      <c r="AK52" s="1126">
        <f t="shared" si="1"/>
        <v>113012</v>
      </c>
      <c r="AL52" s="1127">
        <f>'PANEN 1'!AN23</f>
        <v>7338814</v>
      </c>
      <c r="AM52" s="1128">
        <f t="shared" si="2"/>
        <v>195294</v>
      </c>
      <c r="AN52" s="1129">
        <f t="shared" si="9"/>
        <v>7534108</v>
      </c>
      <c r="AO52" s="1128">
        <f t="shared" si="8"/>
        <v>0</v>
      </c>
      <c r="AP52" s="1130"/>
      <c r="AQ52" s="1130"/>
    </row>
    <row r="53" spans="2:61" s="1157" customFormat="1" ht="17.25" customHeight="1">
      <c r="B53" s="1131">
        <v>48</v>
      </c>
      <c r="C53" s="1179" t="s">
        <v>350</v>
      </c>
      <c r="D53" s="1158" t="s">
        <v>581</v>
      </c>
      <c r="E53" s="1152" t="s">
        <v>354</v>
      </c>
      <c r="F53" s="1146" t="s">
        <v>582</v>
      </c>
      <c r="G53" s="1167" t="s">
        <v>559</v>
      </c>
      <c r="H53" s="1147" t="s">
        <v>175</v>
      </c>
      <c r="I53" s="1181" t="s">
        <v>469</v>
      </c>
      <c r="J53" s="1156" t="str">
        <f t="shared" si="3"/>
        <v>TER A</v>
      </c>
      <c r="K53" s="1140">
        <f t="shared" si="4"/>
        <v>4169500</v>
      </c>
      <c r="L53" s="1141">
        <f t="shared" si="5"/>
        <v>33894</v>
      </c>
      <c r="M53" s="1141">
        <f t="shared" si="6"/>
        <v>161400</v>
      </c>
      <c r="N53" s="1140"/>
      <c r="O53" s="1140">
        <f>'PANEN 1'!T24</f>
        <v>69750</v>
      </c>
      <c r="P53" s="1140"/>
      <c r="Q53" s="1140"/>
      <c r="R53" s="1140"/>
      <c r="S53" s="1140">
        <f>'PANEN 1'!Z24</f>
        <v>0</v>
      </c>
      <c r="T53" s="1140">
        <f>'PANEN 1'!AE24</f>
        <v>183170</v>
      </c>
      <c r="U53" s="1140">
        <f>'PANEN 1'!AF24</f>
        <v>446250</v>
      </c>
      <c r="V53" s="1140">
        <f>'PANEN 1'!AG24</f>
        <v>349500</v>
      </c>
      <c r="W53" s="1140"/>
      <c r="X53" s="1140"/>
      <c r="Y53" s="1140"/>
      <c r="Z53" s="1140"/>
      <c r="AA53" s="1140">
        <f>'PANEN 1'!AI24</f>
        <v>0</v>
      </c>
      <c r="AB53" s="1140">
        <f>-'PANEN 1'!AL24</f>
        <v>-121441.74757281554</v>
      </c>
      <c r="AC53" s="1140"/>
      <c r="AD53" s="1140"/>
      <c r="AE53" s="1140">
        <f>'PANEN 1'!BL24</f>
        <v>0</v>
      </c>
      <c r="AF53" s="1140"/>
      <c r="AG53" s="1140"/>
      <c r="AH53" s="1140"/>
      <c r="AI53" s="1124">
        <f t="shared" si="7"/>
        <v>5292022</v>
      </c>
      <c r="AJ53" s="1142">
        <f t="shared" si="0"/>
        <v>0</v>
      </c>
      <c r="AK53" s="1126">
        <f t="shared" si="1"/>
        <v>0</v>
      </c>
      <c r="AL53" s="1127">
        <f>'PANEN 1'!AN24</f>
        <v>5096728.252427184</v>
      </c>
      <c r="AM53" s="1128">
        <f t="shared" si="2"/>
        <v>195294</v>
      </c>
      <c r="AN53" s="1129">
        <f t="shared" si="9"/>
        <v>5292022.252427184</v>
      </c>
      <c r="AO53" s="1128">
        <f t="shared" si="8"/>
        <v>0.25242718402296305</v>
      </c>
      <c r="AP53" s="1130"/>
      <c r="AQ53" s="1130"/>
    </row>
    <row r="54" spans="2:61" s="1091" customFormat="1" ht="17.25" customHeight="1">
      <c r="B54" s="1131">
        <v>49</v>
      </c>
      <c r="C54" s="1132" t="s">
        <v>71</v>
      </c>
      <c r="D54" s="1144" t="s">
        <v>583</v>
      </c>
      <c r="E54" s="1145" t="s">
        <v>354</v>
      </c>
      <c r="F54" s="1146" t="s">
        <v>584</v>
      </c>
      <c r="G54" s="1167" t="s">
        <v>559</v>
      </c>
      <c r="H54" s="1147" t="s">
        <v>175</v>
      </c>
      <c r="I54" s="1143" t="s">
        <v>473</v>
      </c>
      <c r="J54" s="1139" t="str">
        <f t="shared" ref="J54:J59" si="11">IF(ISBLANK(I54),"",IF(OR(I54="TK/0",I54="TK/1",I54="K/0"),"TER A",IF(I54="K/3","TER C","TER B")))</f>
        <v>TER B</v>
      </c>
      <c r="K54" s="1140">
        <f t="shared" si="4"/>
        <v>4169500</v>
      </c>
      <c r="L54" s="1141">
        <f t="shared" si="5"/>
        <v>33999</v>
      </c>
      <c r="M54" s="1141">
        <f t="shared" si="6"/>
        <v>161900</v>
      </c>
      <c r="N54" s="1140"/>
      <c r="O54" s="1140">
        <f>'PANEN 1'!T25</f>
        <v>172050</v>
      </c>
      <c r="P54" s="1140"/>
      <c r="Q54" s="1140"/>
      <c r="R54" s="1140"/>
      <c r="S54" s="1140">
        <f>'PANEN 1'!Z25</f>
        <v>12500</v>
      </c>
      <c r="T54" s="1140">
        <f>'PANEN 1'!AE25</f>
        <v>119538</v>
      </c>
      <c r="U54" s="1140">
        <f>'PANEN 1'!AF25</f>
        <v>344750</v>
      </c>
      <c r="V54" s="1140">
        <f>'PANEN 1'!AG25</f>
        <v>206000</v>
      </c>
      <c r="W54" s="1140"/>
      <c r="X54" s="1140"/>
      <c r="Y54" s="1140"/>
      <c r="Z54" s="1140"/>
      <c r="AA54" s="1140">
        <f>'PANEN 1'!AI25</f>
        <v>0</v>
      </c>
      <c r="AB54" s="1140">
        <f>-'PANEN 1'!AL25</f>
        <v>-103116.66666666667</v>
      </c>
      <c r="AC54" s="1140"/>
      <c r="AD54" s="1140"/>
      <c r="AE54" s="1140">
        <f>'PANEN 1'!BL25</f>
        <v>0</v>
      </c>
      <c r="AF54" s="1140"/>
      <c r="AG54" s="1140"/>
      <c r="AH54" s="1140"/>
      <c r="AI54" s="1124">
        <f t="shared" ref="AI54:AI59" si="12">ROUND(SUM(K54:AH54),0)</f>
        <v>5117120</v>
      </c>
      <c r="AJ54" s="1142">
        <f t="shared" ref="AJ54:AJ59" si="13">IF(J54="TER A",VLOOKUP(AI54,Ter_A,4,TRUE),IF(J54="TER B",VLOOKUP(AI54,Ter_B,4,TRUE),VLOOKUP(AI54,Ter_C,4,TRUE)))</f>
        <v>0</v>
      </c>
      <c r="AK54" s="1126">
        <f t="shared" ref="AK54:AK59" si="14">ROUND(IF(E54=0,AI54*AJ54*120%,AI54*AJ54),0)</f>
        <v>0</v>
      </c>
      <c r="AL54" s="1127">
        <f>'PANEN 1'!AN25</f>
        <v>4921221.333333333</v>
      </c>
      <c r="AM54" s="1128">
        <f t="shared" ref="AM54:AM59" si="15">L54+M54</f>
        <v>195899</v>
      </c>
      <c r="AN54" s="1129">
        <f t="shared" ref="AN54:AN59" si="16">AL54+AM54</f>
        <v>5117120.333333333</v>
      </c>
      <c r="AO54" s="1128">
        <f t="shared" si="8"/>
        <v>0.33333333302289248</v>
      </c>
      <c r="AP54" s="1130"/>
      <c r="AQ54" s="1130"/>
    </row>
    <row r="55" spans="2:61" s="1091" customFormat="1" ht="17.25" customHeight="1">
      <c r="B55" s="1131">
        <v>50</v>
      </c>
      <c r="C55" s="1149" t="s">
        <v>356</v>
      </c>
      <c r="D55" s="1144" t="s">
        <v>585</v>
      </c>
      <c r="E55" s="1134" t="s">
        <v>354</v>
      </c>
      <c r="F55" s="1146" t="s">
        <v>586</v>
      </c>
      <c r="G55" s="1167" t="s">
        <v>559</v>
      </c>
      <c r="H55" s="1147" t="s">
        <v>175</v>
      </c>
      <c r="I55" s="1143" t="s">
        <v>469</v>
      </c>
      <c r="J55" s="1139" t="str">
        <f t="shared" si="11"/>
        <v>TER A</v>
      </c>
      <c r="K55" s="1140">
        <f t="shared" si="4"/>
        <v>4169500</v>
      </c>
      <c r="L55" s="1141">
        <f t="shared" si="5"/>
        <v>33915</v>
      </c>
      <c r="M55" s="1141">
        <f t="shared" si="6"/>
        <v>161500</v>
      </c>
      <c r="N55" s="1140"/>
      <c r="O55" s="1140">
        <f>'PANEN 1'!T26</f>
        <v>56250</v>
      </c>
      <c r="P55" s="1140"/>
      <c r="Q55" s="1123"/>
      <c r="R55" s="1140"/>
      <c r="S55" s="1140">
        <f>'PANEN 1'!Z26</f>
        <v>2500</v>
      </c>
      <c r="T55" s="1140">
        <f>'PANEN 1'!AE26</f>
        <v>0</v>
      </c>
      <c r="U55" s="1140">
        <f>'PANEN 1'!AF26</f>
        <v>175000</v>
      </c>
      <c r="V55" s="1140">
        <f>'PANEN 1'!AG26</f>
        <v>157500</v>
      </c>
      <c r="W55" s="1140"/>
      <c r="X55" s="1140"/>
      <c r="Y55" s="1140"/>
      <c r="Z55" s="1140"/>
      <c r="AA55" s="1140">
        <f>'PANEN 1'!AI26</f>
        <v>0</v>
      </c>
      <c r="AB55" s="1140">
        <f>-'PANEN 1'!AL26</f>
        <v>-347480.09708737861</v>
      </c>
      <c r="AC55" s="1140"/>
      <c r="AD55" s="1140"/>
      <c r="AE55" s="1140">
        <f>'PANEN 1'!BL26</f>
        <v>-807000</v>
      </c>
      <c r="AF55" s="1123"/>
      <c r="AG55" s="1140"/>
      <c r="AH55" s="1123"/>
      <c r="AI55" s="1124">
        <f t="shared" si="12"/>
        <v>3601685</v>
      </c>
      <c r="AJ55" s="1142">
        <f t="shared" si="13"/>
        <v>0</v>
      </c>
      <c r="AK55" s="1126">
        <f t="shared" si="14"/>
        <v>0</v>
      </c>
      <c r="AL55" s="1127">
        <f>'PANEN 1'!AN26</f>
        <v>3406269.9029126214</v>
      </c>
      <c r="AM55" s="1128">
        <f t="shared" si="15"/>
        <v>195415</v>
      </c>
      <c r="AN55" s="1129">
        <f t="shared" si="16"/>
        <v>3601684.9029126214</v>
      </c>
      <c r="AO55" s="1128">
        <f t="shared" si="8"/>
        <v>-9.7087378613650799E-2</v>
      </c>
      <c r="AP55" s="1130"/>
      <c r="AQ55" s="1130"/>
    </row>
    <row r="56" spans="2:61" s="1091" customFormat="1" ht="17.25" customHeight="1">
      <c r="B56" s="1131">
        <v>51</v>
      </c>
      <c r="C56" s="1149" t="s">
        <v>327</v>
      </c>
      <c r="D56" s="1183" t="s">
        <v>587</v>
      </c>
      <c r="E56" s="1165" t="s">
        <v>588</v>
      </c>
      <c r="F56" s="1184" t="s">
        <v>589</v>
      </c>
      <c r="G56" s="1167" t="s">
        <v>559</v>
      </c>
      <c r="H56" s="1147" t="s">
        <v>175</v>
      </c>
      <c r="I56" s="1143" t="s">
        <v>473</v>
      </c>
      <c r="J56" s="1139" t="str">
        <f t="shared" si="11"/>
        <v>TER B</v>
      </c>
      <c r="K56" s="1140">
        <f t="shared" si="4"/>
        <v>4169500</v>
      </c>
      <c r="L56" s="1141">
        <f t="shared" si="5"/>
        <v>34230</v>
      </c>
      <c r="M56" s="1141">
        <f t="shared" si="6"/>
        <v>163000</v>
      </c>
      <c r="N56" s="1140"/>
      <c r="O56" s="1140">
        <f>'PANEN 1'!T27</f>
        <v>139500</v>
      </c>
      <c r="P56" s="1140"/>
      <c r="Q56" s="1123"/>
      <c r="R56" s="1140"/>
      <c r="S56" s="1140">
        <f>'PANEN 1'!Z27</f>
        <v>40000</v>
      </c>
      <c r="T56" s="1140">
        <f>'PANEN 1'!AE27</f>
        <v>162712</v>
      </c>
      <c r="U56" s="1140">
        <f>'PANEN 1'!AF27</f>
        <v>313250</v>
      </c>
      <c r="V56" s="1140">
        <f>'PANEN 1'!AG27</f>
        <v>150500</v>
      </c>
      <c r="W56" s="1140"/>
      <c r="X56" s="1140"/>
      <c r="Y56" s="1140"/>
      <c r="Z56" s="1140"/>
      <c r="AA56" s="1140">
        <f>'PANEN 1'!AI27</f>
        <v>0</v>
      </c>
      <c r="AB56" s="1140">
        <f>-'PANEN 1'!AL27</f>
        <v>-101622.22222222222</v>
      </c>
      <c r="AC56" s="1140"/>
      <c r="AD56" s="1140"/>
      <c r="AE56" s="1140">
        <f>'PANEN 1'!BL27</f>
        <v>-134500</v>
      </c>
      <c r="AF56" s="1123"/>
      <c r="AG56" s="1140"/>
      <c r="AH56" s="1123"/>
      <c r="AI56" s="1124">
        <f t="shared" si="12"/>
        <v>4936570</v>
      </c>
      <c r="AJ56" s="1142">
        <f t="shared" si="13"/>
        <v>0</v>
      </c>
      <c r="AK56" s="1126">
        <f t="shared" si="14"/>
        <v>0</v>
      </c>
      <c r="AL56" s="1127">
        <f>'PANEN 1'!AN27</f>
        <v>4739339.777777778</v>
      </c>
      <c r="AM56" s="1128">
        <f t="shared" si="15"/>
        <v>197230</v>
      </c>
      <c r="AN56" s="1129">
        <f t="shared" si="16"/>
        <v>4936569.777777778</v>
      </c>
      <c r="AO56" s="1128">
        <f t="shared" si="8"/>
        <v>-0.22222222201526165</v>
      </c>
      <c r="AP56" s="1130"/>
      <c r="AQ56" s="1130"/>
    </row>
    <row r="57" spans="2:61" s="1091" customFormat="1" ht="17.25" customHeight="1">
      <c r="B57" s="1131">
        <v>52</v>
      </c>
      <c r="C57" s="1149" t="s">
        <v>357</v>
      </c>
      <c r="D57" s="1158" t="s">
        <v>590</v>
      </c>
      <c r="E57" s="1145" t="s">
        <v>354</v>
      </c>
      <c r="F57" s="1146" t="s">
        <v>591</v>
      </c>
      <c r="G57" s="1167" t="s">
        <v>559</v>
      </c>
      <c r="H57" s="1147" t="s">
        <v>175</v>
      </c>
      <c r="I57" s="1143" t="s">
        <v>469</v>
      </c>
      <c r="J57" s="1139" t="str">
        <f t="shared" si="11"/>
        <v>TER A</v>
      </c>
      <c r="K57" s="1140">
        <f t="shared" si="4"/>
        <v>4169500</v>
      </c>
      <c r="L57" s="1141">
        <f t="shared" si="5"/>
        <v>33936</v>
      </c>
      <c r="M57" s="1141">
        <f t="shared" si="6"/>
        <v>161600</v>
      </c>
      <c r="N57" s="1140"/>
      <c r="O57" s="1140">
        <f>'PANEN 1'!T28</f>
        <v>65250</v>
      </c>
      <c r="P57" s="1140"/>
      <c r="Q57" s="1123"/>
      <c r="R57" s="1140"/>
      <c r="S57" s="1140">
        <f>'PANEN 1'!Z28</f>
        <v>5000</v>
      </c>
      <c r="T57" s="1140">
        <f>'PANEN 1'!AE28</f>
        <v>136028</v>
      </c>
      <c r="U57" s="1140">
        <f>'PANEN 1'!AF28</f>
        <v>337750</v>
      </c>
      <c r="V57" s="1140">
        <f>'PANEN 1'!AG28</f>
        <v>366500</v>
      </c>
      <c r="W57" s="1140"/>
      <c r="X57" s="1140"/>
      <c r="Y57" s="1140"/>
      <c r="Z57" s="1140"/>
      <c r="AA57" s="1140">
        <f>'PANEN 1'!AI28</f>
        <v>0</v>
      </c>
      <c r="AB57" s="1140">
        <f>-'PANEN 1'!AL28</f>
        <v>-393038.88888888888</v>
      </c>
      <c r="AC57" s="1140"/>
      <c r="AD57" s="1140"/>
      <c r="AE57" s="1140">
        <f>'PANEN 1'!BL28</f>
        <v>-269000</v>
      </c>
      <c r="AF57" s="1123"/>
      <c r="AG57" s="1140"/>
      <c r="AH57" s="1123"/>
      <c r="AI57" s="1124">
        <f t="shared" si="12"/>
        <v>4613525</v>
      </c>
      <c r="AJ57" s="1142">
        <f t="shared" si="13"/>
        <v>0</v>
      </c>
      <c r="AK57" s="1126">
        <f t="shared" si="14"/>
        <v>0</v>
      </c>
      <c r="AL57" s="1127">
        <f>'PANEN 1'!AN28</f>
        <v>4417989.111111111</v>
      </c>
      <c r="AM57" s="1128">
        <f t="shared" si="15"/>
        <v>195536</v>
      </c>
      <c r="AN57" s="1129">
        <f t="shared" si="16"/>
        <v>4613525.111111111</v>
      </c>
      <c r="AO57" s="1128">
        <f t="shared" si="8"/>
        <v>0.11111111100763083</v>
      </c>
      <c r="AP57" s="1130"/>
      <c r="AQ57" s="1130"/>
    </row>
    <row r="58" spans="2:61" s="1091" customFormat="1" ht="17.25" customHeight="1">
      <c r="B58" s="1131">
        <v>53</v>
      </c>
      <c r="C58" s="1185" t="s">
        <v>395</v>
      </c>
      <c r="D58" s="1199" t="s">
        <v>592</v>
      </c>
      <c r="E58" s="1145" t="s">
        <v>354</v>
      </c>
      <c r="F58" s="1205" t="s">
        <v>565</v>
      </c>
      <c r="G58" s="1206" t="s">
        <v>559</v>
      </c>
      <c r="H58" s="1147" t="s">
        <v>175</v>
      </c>
      <c r="I58" s="1143" t="s">
        <v>469</v>
      </c>
      <c r="J58" s="1139" t="str">
        <f t="shared" si="11"/>
        <v>TER A</v>
      </c>
      <c r="K58" s="1140">
        <f t="shared" si="4"/>
        <v>4169500</v>
      </c>
      <c r="L58" s="1141">
        <f t="shared" si="5"/>
        <v>33894</v>
      </c>
      <c r="M58" s="1141">
        <f t="shared" si="6"/>
        <v>161400</v>
      </c>
      <c r="N58" s="1186"/>
      <c r="O58" s="1140">
        <f>'PANEN 1'!T29</f>
        <v>69750</v>
      </c>
      <c r="P58" s="1140"/>
      <c r="Q58" s="1140"/>
      <c r="R58" s="1140"/>
      <c r="S58" s="1140">
        <f>'PANEN 1'!Z29</f>
        <v>0</v>
      </c>
      <c r="T58" s="1140">
        <f>'PANEN 1'!AE29</f>
        <v>149386</v>
      </c>
      <c r="U58" s="1140">
        <f>'PANEN 1'!AF29</f>
        <v>455000</v>
      </c>
      <c r="V58" s="1140">
        <f>'PANEN 1'!AG29</f>
        <v>390500</v>
      </c>
      <c r="W58" s="1140"/>
      <c r="X58" s="1186"/>
      <c r="Y58" s="1186"/>
      <c r="Z58" s="1186"/>
      <c r="AA58" s="1140">
        <f>'PANEN 1'!AI29</f>
        <v>0</v>
      </c>
      <c r="AB58" s="1140">
        <f>-'PANEN 1'!AL29</f>
        <v>-114912.6213592233</v>
      </c>
      <c r="AC58" s="1186"/>
      <c r="AD58" s="1186"/>
      <c r="AE58" s="1140">
        <f>'PANEN 1'!BL29</f>
        <v>0</v>
      </c>
      <c r="AF58" s="1186"/>
      <c r="AG58" s="1186"/>
      <c r="AH58" s="1186"/>
      <c r="AI58" s="1124">
        <f t="shared" si="12"/>
        <v>5314517</v>
      </c>
      <c r="AJ58" s="1142">
        <f t="shared" si="13"/>
        <v>0</v>
      </c>
      <c r="AK58" s="1126">
        <f t="shared" si="14"/>
        <v>0</v>
      </c>
      <c r="AL58" s="1127">
        <f>'PANEN 1'!AN29</f>
        <v>5119223.3786407765</v>
      </c>
      <c r="AM58" s="1128">
        <f t="shared" si="15"/>
        <v>195294</v>
      </c>
      <c r="AN58" s="1129">
        <f t="shared" si="16"/>
        <v>5314517.3786407765</v>
      </c>
      <c r="AO58" s="1128">
        <f t="shared" si="8"/>
        <v>0.37864077650010586</v>
      </c>
      <c r="AP58" s="1130"/>
      <c r="AQ58" s="1130"/>
    </row>
    <row r="59" spans="2:61" s="1091" customFormat="1" ht="17.25" customHeight="1" thickBot="1">
      <c r="B59" s="1131">
        <v>54</v>
      </c>
      <c r="C59" s="1185" t="s">
        <v>414</v>
      </c>
      <c r="D59" s="1197" t="s">
        <v>605</v>
      </c>
      <c r="E59" s="1198" t="s">
        <v>354</v>
      </c>
      <c r="F59" s="1135" t="s">
        <v>606</v>
      </c>
      <c r="G59" s="1136" t="s">
        <v>559</v>
      </c>
      <c r="H59" s="1137" t="s">
        <v>175</v>
      </c>
      <c r="I59" s="1143" t="s">
        <v>469</v>
      </c>
      <c r="J59" s="1139" t="str">
        <f t="shared" si="11"/>
        <v>TER A</v>
      </c>
      <c r="K59" s="1207">
        <f>134500*22</f>
        <v>2959000</v>
      </c>
      <c r="L59" s="1121">
        <f t="shared" si="5"/>
        <v>33894</v>
      </c>
      <c r="M59" s="1121">
        <f t="shared" si="6"/>
        <v>161400</v>
      </c>
      <c r="N59" s="1186"/>
      <c r="O59" s="1140">
        <v>0</v>
      </c>
      <c r="P59" s="1186"/>
      <c r="Q59" s="1186"/>
      <c r="R59" s="1186"/>
      <c r="S59" s="1123"/>
      <c r="T59" s="1123"/>
      <c r="U59" s="1123">
        <f>'PANEN BHL'!AF10</f>
        <v>238000</v>
      </c>
      <c r="V59" s="1123">
        <f>'PANEN BHL'!AG10</f>
        <v>145000</v>
      </c>
      <c r="W59" s="1140"/>
      <c r="X59" s="1186"/>
      <c r="Y59" s="1186"/>
      <c r="Z59" s="1186"/>
      <c r="AA59" s="1140"/>
      <c r="AB59" s="1140"/>
      <c r="AC59" s="1186"/>
      <c r="AD59" s="1186"/>
      <c r="AE59" s="1140"/>
      <c r="AF59" s="1186"/>
      <c r="AG59" s="1186"/>
      <c r="AH59" s="1186"/>
      <c r="AI59" s="1124">
        <f t="shared" si="12"/>
        <v>3537294</v>
      </c>
      <c r="AJ59" s="1142">
        <f t="shared" si="13"/>
        <v>0</v>
      </c>
      <c r="AK59" s="1126">
        <f t="shared" si="14"/>
        <v>0</v>
      </c>
      <c r="AL59" s="1127">
        <f>'PANEN BHL'!AN10</f>
        <v>3342000</v>
      </c>
      <c r="AM59" s="1128">
        <f t="shared" si="15"/>
        <v>195294</v>
      </c>
      <c r="AN59" s="1129">
        <f t="shared" si="16"/>
        <v>3537294</v>
      </c>
      <c r="AO59" s="1128">
        <f t="shared" si="8"/>
        <v>0</v>
      </c>
      <c r="AP59" s="1130"/>
      <c r="AQ59" s="1130"/>
    </row>
    <row r="60" spans="2:61" s="1190" customFormat="1" ht="19.5" customHeight="1" thickBot="1">
      <c r="B60" s="1187"/>
      <c r="C60" s="1188"/>
      <c r="D60" s="1188"/>
      <c r="E60" s="1188"/>
      <c r="F60" s="1188"/>
      <c r="G60" s="1188"/>
      <c r="H60" s="1188"/>
      <c r="I60" s="1188"/>
      <c r="J60" s="1188"/>
      <c r="K60" s="1189">
        <f>SUM(K6:K59)</f>
        <v>223942500</v>
      </c>
      <c r="L60" s="1189">
        <f t="shared" ref="L60:AN60" si="17">SUM(L6:L59)</f>
        <v>1843711.7999999998</v>
      </c>
      <c r="M60" s="1189">
        <f t="shared" si="17"/>
        <v>8779580</v>
      </c>
      <c r="N60" s="1189">
        <f t="shared" si="17"/>
        <v>0</v>
      </c>
      <c r="O60" s="1189">
        <f t="shared" si="17"/>
        <v>6725650</v>
      </c>
      <c r="P60" s="1189">
        <f t="shared" si="17"/>
        <v>531000</v>
      </c>
      <c r="Q60" s="1189">
        <f t="shared" si="17"/>
        <v>11370303.750000002</v>
      </c>
      <c r="R60" s="1189">
        <f t="shared" si="17"/>
        <v>0</v>
      </c>
      <c r="S60" s="1189">
        <f t="shared" si="17"/>
        <v>1599500</v>
      </c>
      <c r="T60" s="1189">
        <f t="shared" si="17"/>
        <v>5737481</v>
      </c>
      <c r="U60" s="1189">
        <f t="shared" si="17"/>
        <v>7987000</v>
      </c>
      <c r="V60" s="1189">
        <f t="shared" si="17"/>
        <v>8161500</v>
      </c>
      <c r="W60" s="1189">
        <f t="shared" si="17"/>
        <v>0</v>
      </c>
      <c r="X60" s="1189">
        <f t="shared" si="17"/>
        <v>9513938</v>
      </c>
      <c r="Y60" s="1189">
        <f t="shared" si="17"/>
        <v>250000</v>
      </c>
      <c r="Z60" s="1189">
        <f t="shared" si="17"/>
        <v>0</v>
      </c>
      <c r="AA60" s="1189">
        <f t="shared" si="17"/>
        <v>620410</v>
      </c>
      <c r="AB60" s="1189">
        <f t="shared" si="17"/>
        <v>-1653334.3581445522</v>
      </c>
      <c r="AC60" s="1189">
        <f t="shared" si="17"/>
        <v>0</v>
      </c>
      <c r="AD60" s="1189">
        <f t="shared" si="17"/>
        <v>0</v>
      </c>
      <c r="AE60" s="1189">
        <f t="shared" si="17"/>
        <v>-2152000</v>
      </c>
      <c r="AF60" s="1189">
        <f t="shared" si="17"/>
        <v>0</v>
      </c>
      <c r="AG60" s="1189">
        <f t="shared" si="17"/>
        <v>0</v>
      </c>
      <c r="AH60" s="1189">
        <f t="shared" si="17"/>
        <v>0</v>
      </c>
      <c r="AI60" s="1189">
        <f t="shared" si="17"/>
        <v>283257241</v>
      </c>
      <c r="AJ60" s="1189">
        <f t="shared" si="17"/>
        <v>7.7499999999999999E-2</v>
      </c>
      <c r="AK60" s="1189">
        <f t="shared" si="17"/>
        <v>594105</v>
      </c>
      <c r="AL60" s="1189">
        <f t="shared" si="17"/>
        <v>272633948.39185542</v>
      </c>
      <c r="AM60" s="1189">
        <f t="shared" si="17"/>
        <v>10623291.800000001</v>
      </c>
      <c r="AN60" s="1189">
        <f t="shared" si="17"/>
        <v>283257240.19185549</v>
      </c>
      <c r="AP60" s="1191"/>
      <c r="AQ60" s="1130"/>
    </row>
    <row r="62" spans="2:61" s="1193" customFormat="1">
      <c r="B62" s="1091"/>
      <c r="C62" s="1092"/>
      <c r="D62" s="1093"/>
      <c r="E62" s="1094"/>
      <c r="F62" s="1092"/>
      <c r="G62" s="1095"/>
      <c r="H62" s="1096"/>
      <c r="I62" s="1096"/>
      <c r="J62" s="1096"/>
      <c r="K62" s="1092"/>
      <c r="L62" s="1092"/>
      <c r="M62" s="1192"/>
      <c r="N62" s="1192"/>
      <c r="O62" s="1192"/>
      <c r="P62" s="1192"/>
      <c r="Q62" s="1192"/>
      <c r="R62" s="1092"/>
      <c r="S62" s="1092"/>
      <c r="T62" s="1092"/>
      <c r="U62" s="1092"/>
      <c r="V62" s="1092"/>
      <c r="W62" s="1092"/>
      <c r="X62" s="1092"/>
      <c r="Y62" s="1092"/>
      <c r="Z62" s="1092"/>
      <c r="AA62" s="1092"/>
      <c r="AB62" s="1092"/>
      <c r="AC62" s="1092"/>
      <c r="AD62" s="1092"/>
      <c r="AE62" s="1092"/>
      <c r="AF62" s="1092"/>
      <c r="AG62" s="1092"/>
      <c r="AH62" s="1092"/>
      <c r="AI62" s="1092"/>
      <c r="AJ62" s="1097"/>
      <c r="AK62" s="1092"/>
      <c r="AL62" s="1091"/>
      <c r="AM62" s="1091"/>
      <c r="AN62" s="1090"/>
      <c r="AO62" s="1090"/>
      <c r="AP62" s="1090"/>
      <c r="AQ62" s="1090"/>
      <c r="AR62" s="1090"/>
      <c r="AS62" s="1090"/>
      <c r="AT62" s="1090"/>
      <c r="AU62" s="1090"/>
      <c r="AV62" s="1090"/>
      <c r="AW62" s="1090"/>
      <c r="AX62" s="1090"/>
      <c r="AY62" s="1090"/>
      <c r="AZ62" s="1090"/>
      <c r="BA62" s="1090"/>
      <c r="BB62" s="1090"/>
      <c r="BC62" s="1090"/>
      <c r="BD62" s="1090"/>
      <c r="BE62" s="1090"/>
      <c r="BF62" s="1090"/>
      <c r="BG62" s="1090"/>
      <c r="BH62" s="1090"/>
      <c r="BI62" s="1090"/>
    </row>
    <row r="63" spans="2:61" s="1193" customFormat="1">
      <c r="B63" s="1091"/>
      <c r="C63" s="1092"/>
      <c r="D63" s="1093"/>
      <c r="E63" s="1094"/>
      <c r="F63" s="1092"/>
      <c r="G63" s="1095"/>
      <c r="H63" s="1096"/>
      <c r="I63" s="1096"/>
      <c r="J63" s="1096"/>
      <c r="K63" s="1092"/>
      <c r="L63" s="1092"/>
      <c r="M63" s="1192"/>
      <c r="N63" s="1192"/>
      <c r="O63" s="1192"/>
      <c r="P63" s="1192"/>
      <c r="Q63" s="1192"/>
      <c r="R63" s="1092"/>
      <c r="S63" s="1092"/>
      <c r="T63" s="1092"/>
      <c r="U63" s="1092"/>
      <c r="V63" s="1092"/>
      <c r="W63" s="1092"/>
      <c r="X63" s="1092"/>
      <c r="Y63" s="1092"/>
      <c r="Z63" s="1092"/>
      <c r="AA63" s="1092"/>
      <c r="AB63" s="1092"/>
      <c r="AC63" s="1092"/>
      <c r="AD63" s="1092"/>
      <c r="AE63" s="1092"/>
      <c r="AF63" s="1092"/>
      <c r="AG63" s="1092"/>
      <c r="AH63" s="1092"/>
      <c r="AI63" s="1092"/>
      <c r="AJ63" s="1097"/>
      <c r="AK63" s="1092"/>
      <c r="AL63" s="1091"/>
      <c r="AM63" s="1091"/>
      <c r="AN63" s="1090"/>
      <c r="AO63" s="1090"/>
      <c r="AP63" s="1090"/>
      <c r="AQ63" s="1090"/>
      <c r="AR63" s="1090"/>
      <c r="AS63" s="1090"/>
      <c r="AT63" s="1090"/>
      <c r="AU63" s="1090"/>
      <c r="AV63" s="1090"/>
      <c r="AW63" s="1090"/>
      <c r="AX63" s="1090"/>
      <c r="AY63" s="1090"/>
      <c r="AZ63" s="1090"/>
      <c r="BA63" s="1090"/>
      <c r="BB63" s="1090"/>
      <c r="BC63" s="1090"/>
      <c r="BD63" s="1090"/>
      <c r="BE63" s="1090"/>
      <c r="BF63" s="1090"/>
      <c r="BG63" s="1090"/>
      <c r="BH63" s="1090"/>
      <c r="BI63" s="1090"/>
    </row>
    <row r="64" spans="2:61" s="1193" customFormat="1">
      <c r="B64" s="1091"/>
      <c r="C64" s="1092"/>
      <c r="D64" s="1093"/>
      <c r="E64" s="1094"/>
      <c r="F64" s="1092"/>
      <c r="G64" s="1095"/>
      <c r="H64" s="1096"/>
      <c r="I64" s="1096"/>
      <c r="J64" s="1096"/>
      <c r="K64" s="1092"/>
      <c r="L64" s="1092"/>
      <c r="M64" s="1192"/>
      <c r="N64" s="1192"/>
      <c r="O64" s="1192"/>
      <c r="P64" s="1192"/>
      <c r="Q64" s="1192"/>
      <c r="R64" s="1092"/>
      <c r="S64" s="1092"/>
      <c r="T64" s="1092"/>
      <c r="U64" s="1092"/>
      <c r="V64" s="1092"/>
      <c r="W64" s="1092"/>
      <c r="X64" s="1092"/>
      <c r="Y64" s="1092"/>
      <c r="Z64" s="1092"/>
      <c r="AA64" s="1092"/>
      <c r="AB64" s="1092"/>
      <c r="AC64" s="1092"/>
      <c r="AD64" s="1092"/>
      <c r="AE64" s="1092"/>
      <c r="AF64" s="1092"/>
      <c r="AG64" s="1092"/>
      <c r="AH64" s="1092"/>
      <c r="AI64" s="1092"/>
      <c r="AJ64" s="1097"/>
      <c r="AK64" s="1092"/>
      <c r="AL64" s="1091"/>
      <c r="AM64" s="1091"/>
      <c r="AN64" s="1090"/>
      <c r="AO64" s="1090"/>
      <c r="AP64" s="1090"/>
      <c r="AQ64" s="1090"/>
      <c r="AR64" s="1090"/>
      <c r="AS64" s="1090"/>
      <c r="AT64" s="1090"/>
      <c r="AU64" s="1090"/>
      <c r="AV64" s="1090"/>
      <c r="AW64" s="1090"/>
      <c r="AX64" s="1090"/>
      <c r="AY64" s="1090"/>
      <c r="AZ64" s="1090"/>
      <c r="BA64" s="1090"/>
      <c r="BB64" s="1090"/>
      <c r="BC64" s="1090"/>
      <c r="BD64" s="1090"/>
      <c r="BE64" s="1090"/>
      <c r="BF64" s="1090"/>
      <c r="BG64" s="1090"/>
      <c r="BH64" s="1090"/>
      <c r="BI64" s="1090"/>
    </row>
    <row r="65" spans="2:61" s="1193" customFormat="1">
      <c r="B65" s="1091"/>
      <c r="C65" s="1092"/>
      <c r="D65" s="1093"/>
      <c r="E65" s="1094"/>
      <c r="F65" s="1092"/>
      <c r="G65" s="1095"/>
      <c r="H65" s="1096"/>
      <c r="I65" s="1096"/>
      <c r="J65" s="1096"/>
      <c r="K65" s="1092"/>
      <c r="L65" s="1092"/>
      <c r="M65" s="1192"/>
      <c r="N65" s="1192"/>
      <c r="O65" s="1192"/>
      <c r="P65" s="1192"/>
      <c r="Q65" s="1192"/>
      <c r="R65" s="1092"/>
      <c r="S65" s="1092"/>
      <c r="T65" s="1092"/>
      <c r="U65" s="1092"/>
      <c r="V65" s="1092"/>
      <c r="W65" s="1092"/>
      <c r="X65" s="1092"/>
      <c r="Y65" s="1092"/>
      <c r="Z65" s="1092"/>
      <c r="AA65" s="1092"/>
      <c r="AB65" s="1092"/>
      <c r="AC65" s="1092"/>
      <c r="AD65" s="1092"/>
      <c r="AE65" s="1092"/>
      <c r="AF65" s="1092"/>
      <c r="AG65" s="1092"/>
      <c r="AH65" s="1092"/>
      <c r="AI65" s="1092"/>
      <c r="AJ65" s="1097"/>
      <c r="AK65" s="1092"/>
      <c r="AL65" s="1091"/>
      <c r="AM65" s="1091"/>
      <c r="AN65" s="1090"/>
      <c r="AO65" s="1090"/>
      <c r="AP65" s="1090"/>
      <c r="AQ65" s="1090"/>
      <c r="AR65" s="1090"/>
      <c r="AS65" s="1090"/>
      <c r="AT65" s="1090"/>
      <c r="AU65" s="1090"/>
      <c r="AV65" s="1090"/>
      <c r="AW65" s="1090"/>
      <c r="AX65" s="1090"/>
      <c r="AY65" s="1090"/>
      <c r="AZ65" s="1090"/>
      <c r="BA65" s="1090"/>
      <c r="BB65" s="1090"/>
      <c r="BC65" s="1090"/>
      <c r="BD65" s="1090"/>
      <c r="BE65" s="1090"/>
      <c r="BF65" s="1090"/>
      <c r="BG65" s="1090"/>
      <c r="BH65" s="1090"/>
      <c r="BI65" s="1090"/>
    </row>
    <row r="66" spans="2:61" s="1193" customFormat="1">
      <c r="B66" s="1091"/>
      <c r="C66" s="1092"/>
      <c r="D66" s="1093"/>
      <c r="E66" s="1094"/>
      <c r="F66" s="1092"/>
      <c r="G66" s="1095"/>
      <c r="H66" s="1096"/>
      <c r="I66" s="1096"/>
      <c r="J66" s="1096"/>
      <c r="K66" s="1092"/>
      <c r="L66" s="1092"/>
      <c r="M66" s="1192"/>
      <c r="N66" s="1192"/>
      <c r="O66" s="1192"/>
      <c r="P66" s="1192"/>
      <c r="Q66" s="1192"/>
      <c r="R66" s="1092"/>
      <c r="S66" s="1092"/>
      <c r="T66" s="1092"/>
      <c r="U66" s="1092"/>
      <c r="V66" s="1092"/>
      <c r="W66" s="1092"/>
      <c r="X66" s="1092"/>
      <c r="Y66" s="1092"/>
      <c r="Z66" s="1092"/>
      <c r="AA66" s="1092"/>
      <c r="AB66" s="1092"/>
      <c r="AC66" s="1092"/>
      <c r="AD66" s="1092"/>
      <c r="AE66" s="1092"/>
      <c r="AF66" s="1092"/>
      <c r="AG66" s="1092"/>
      <c r="AH66" s="1092"/>
      <c r="AI66" s="1092"/>
      <c r="AJ66" s="1097"/>
      <c r="AK66" s="1092"/>
      <c r="AL66" s="1091"/>
      <c r="AM66" s="1091"/>
      <c r="AN66" s="1090"/>
      <c r="AO66" s="1090"/>
      <c r="AP66" s="1090"/>
      <c r="AQ66" s="1090"/>
      <c r="AR66" s="1090"/>
      <c r="AS66" s="1090"/>
      <c r="AT66" s="1090"/>
      <c r="AU66" s="1090"/>
      <c r="AV66" s="1090"/>
      <c r="AW66" s="1090"/>
      <c r="AX66" s="1090"/>
      <c r="AY66" s="1090"/>
      <c r="AZ66" s="1090"/>
      <c r="BA66" s="1090"/>
      <c r="BB66" s="1090"/>
      <c r="BC66" s="1090"/>
      <c r="BD66" s="1090"/>
      <c r="BE66" s="1090"/>
      <c r="BF66" s="1090"/>
      <c r="BG66" s="1090"/>
      <c r="BH66" s="1090"/>
      <c r="BI66" s="1090"/>
    </row>
    <row r="67" spans="2:61" s="1193" customFormat="1">
      <c r="B67" s="1091"/>
      <c r="C67" s="1092"/>
      <c r="D67" s="1092" t="s">
        <v>593</v>
      </c>
      <c r="E67" s="1094"/>
      <c r="F67" s="1092"/>
      <c r="G67" s="1096" t="s">
        <v>594</v>
      </c>
      <c r="H67" s="1096"/>
      <c r="I67" s="1096"/>
      <c r="J67" s="1487"/>
      <c r="K67" s="1487"/>
      <c r="L67" s="1487"/>
      <c r="M67" s="1192"/>
      <c r="N67" s="1192"/>
      <c r="O67" s="1192"/>
      <c r="P67" s="1192"/>
      <c r="Q67" s="1192"/>
      <c r="R67" s="1092"/>
      <c r="S67" s="1487"/>
      <c r="T67" s="1487"/>
      <c r="U67" s="1487" t="s">
        <v>595</v>
      </c>
      <c r="V67" s="1487"/>
      <c r="W67" s="1487"/>
      <c r="X67" s="1487"/>
      <c r="Y67" s="1487"/>
      <c r="Z67" s="1487"/>
      <c r="AA67" s="1487"/>
      <c r="AB67" s="1092"/>
      <c r="AC67" s="1092"/>
      <c r="AD67" s="1092"/>
      <c r="AE67" s="1092"/>
      <c r="AF67" s="1092"/>
      <c r="AG67" s="1092"/>
      <c r="AH67" s="1092"/>
      <c r="AI67" s="1487" t="s">
        <v>596</v>
      </c>
      <c r="AJ67" s="1487"/>
      <c r="AK67" s="1487"/>
      <c r="AL67" s="1194"/>
      <c r="AM67" s="1091"/>
      <c r="AN67" s="1090"/>
      <c r="AO67" s="1090"/>
      <c r="AP67" s="1090"/>
      <c r="AQ67" s="1090"/>
      <c r="AR67" s="1090"/>
      <c r="AS67" s="1090"/>
      <c r="AT67" s="1090"/>
      <c r="AU67" s="1090"/>
      <c r="AV67" s="1090"/>
      <c r="AW67" s="1090"/>
      <c r="AX67" s="1090"/>
      <c r="AY67" s="1090"/>
      <c r="AZ67" s="1090"/>
      <c r="BA67" s="1090"/>
      <c r="BB67" s="1090"/>
      <c r="BC67" s="1090"/>
      <c r="BD67" s="1090"/>
      <c r="BE67" s="1090"/>
      <c r="BF67" s="1090"/>
      <c r="BG67" s="1090"/>
      <c r="BH67" s="1090"/>
      <c r="BI67" s="1090"/>
    </row>
    <row r="68" spans="2:61">
      <c r="D68" s="1092"/>
      <c r="G68" s="1096"/>
      <c r="J68" s="1092"/>
    </row>
    <row r="69" spans="2:61">
      <c r="D69" s="1092"/>
      <c r="G69" s="1096"/>
      <c r="J69" s="1092"/>
    </row>
    <row r="70" spans="2:61">
      <c r="D70" s="1092"/>
      <c r="G70" s="1096"/>
      <c r="J70" s="1092"/>
    </row>
    <row r="71" spans="2:61" ht="15">
      <c r="D71" s="1195" t="s">
        <v>36</v>
      </c>
      <c r="G71" s="1196" t="s">
        <v>597</v>
      </c>
      <c r="J71" s="1488"/>
      <c r="K71" s="1488"/>
      <c r="L71" s="1488"/>
      <c r="S71" s="1489"/>
      <c r="T71" s="1489"/>
      <c r="U71" s="1488" t="s">
        <v>598</v>
      </c>
      <c r="V71" s="1488"/>
      <c r="W71" s="1488"/>
      <c r="X71" s="1488"/>
      <c r="Y71" s="1488"/>
      <c r="Z71" s="1490"/>
      <c r="AA71" s="1490"/>
      <c r="AI71" s="1490" t="s">
        <v>599</v>
      </c>
      <c r="AJ71" s="1490"/>
      <c r="AK71" s="1490"/>
    </row>
    <row r="72" spans="2:61">
      <c r="D72" s="1093" t="s">
        <v>37</v>
      </c>
      <c r="G72" s="1096" t="s">
        <v>600</v>
      </c>
      <c r="J72" s="1489"/>
      <c r="K72" s="1489"/>
      <c r="L72" s="1489"/>
      <c r="S72" s="1489"/>
      <c r="T72" s="1489"/>
      <c r="U72" s="1489" t="s">
        <v>601</v>
      </c>
      <c r="V72" s="1489"/>
      <c r="W72" s="1489"/>
      <c r="X72" s="1489"/>
      <c r="Y72" s="1489"/>
      <c r="Z72" s="1487"/>
      <c r="AA72" s="1487"/>
      <c r="AI72" s="1487" t="s">
        <v>602</v>
      </c>
      <c r="AJ72" s="1487"/>
      <c r="AK72" s="1487"/>
    </row>
    <row r="74" spans="2:61">
      <c r="B74" s="1090"/>
      <c r="C74" s="1090"/>
      <c r="D74" s="1090"/>
      <c r="E74" s="1090"/>
      <c r="F74" s="1090"/>
      <c r="G74" s="1090"/>
      <c r="H74" s="1090"/>
      <c r="I74" s="1090"/>
      <c r="J74" s="1090"/>
      <c r="K74" s="1090"/>
      <c r="L74" s="1090"/>
      <c r="M74" s="1090"/>
      <c r="N74" s="1090"/>
      <c r="O74" s="1090"/>
      <c r="P74" s="1090"/>
      <c r="Q74" s="1090"/>
      <c r="R74" s="1090"/>
      <c r="S74" s="1090"/>
      <c r="T74" s="1090"/>
      <c r="U74" s="1090"/>
      <c r="V74" s="1090"/>
      <c r="W74" s="1090"/>
      <c r="X74" s="1090"/>
      <c r="Y74" s="1090"/>
      <c r="Z74" s="1090"/>
      <c r="AA74" s="1090"/>
      <c r="AB74" s="1090"/>
      <c r="AC74" s="1090"/>
      <c r="AD74" s="1090"/>
      <c r="AE74" s="1090"/>
      <c r="AF74" s="1090"/>
      <c r="AG74" s="1090"/>
      <c r="AH74" s="1090"/>
      <c r="AI74" s="1090"/>
      <c r="AJ74" s="1090"/>
      <c r="AK74" s="1090"/>
      <c r="AL74" s="1090"/>
      <c r="AM74" s="1090"/>
    </row>
    <row r="75" spans="2:61">
      <c r="B75" s="1090"/>
      <c r="C75" s="1090"/>
      <c r="D75" s="1090"/>
      <c r="E75" s="1090"/>
      <c r="F75" s="1090"/>
      <c r="G75" s="1090"/>
      <c r="H75" s="1090"/>
      <c r="I75" s="1090"/>
      <c r="J75" s="1090"/>
      <c r="K75" s="1090"/>
      <c r="L75" s="1090"/>
      <c r="M75" s="1090"/>
      <c r="N75" s="1090"/>
      <c r="O75" s="1090"/>
      <c r="P75" s="1090"/>
      <c r="Q75" s="1090"/>
      <c r="R75" s="1090"/>
      <c r="S75" s="1090"/>
      <c r="T75" s="1090"/>
      <c r="U75" s="1090"/>
      <c r="V75" s="1090"/>
      <c r="W75" s="1090"/>
      <c r="X75" s="1090"/>
      <c r="Y75" s="1090"/>
      <c r="Z75" s="1090"/>
      <c r="AA75" s="1090"/>
      <c r="AB75" s="1090"/>
      <c r="AC75" s="1090"/>
      <c r="AD75" s="1090"/>
      <c r="AE75" s="1090"/>
      <c r="AF75" s="1090"/>
      <c r="AG75" s="1090"/>
      <c r="AH75" s="1090"/>
      <c r="AI75" s="1090"/>
      <c r="AJ75" s="1090"/>
      <c r="AK75" s="1090"/>
      <c r="AL75" s="1090"/>
      <c r="AM75" s="1090"/>
    </row>
    <row r="76" spans="2:61">
      <c r="B76" s="1090"/>
      <c r="C76" s="1090"/>
      <c r="D76" s="1090"/>
      <c r="E76" s="1090"/>
      <c r="F76" s="1090"/>
      <c r="G76" s="1090"/>
      <c r="H76" s="1090"/>
      <c r="I76" s="1090"/>
      <c r="J76" s="1090"/>
      <c r="K76" s="1090"/>
      <c r="L76" s="1090"/>
      <c r="M76" s="1090"/>
      <c r="N76" s="1090"/>
      <c r="O76" s="1090"/>
      <c r="P76" s="1090"/>
      <c r="Q76" s="1090"/>
      <c r="R76" s="1090"/>
      <c r="S76" s="1090"/>
      <c r="T76" s="1090"/>
      <c r="U76" s="1090"/>
      <c r="V76" s="1090"/>
      <c r="W76" s="1090"/>
      <c r="X76" s="1090"/>
      <c r="Y76" s="1090"/>
      <c r="Z76" s="1090"/>
      <c r="AA76" s="1090"/>
      <c r="AB76" s="1090"/>
      <c r="AC76" s="1090"/>
      <c r="AD76" s="1090"/>
      <c r="AE76" s="1090"/>
      <c r="AF76" s="1090"/>
      <c r="AG76" s="1090"/>
      <c r="AH76" s="1090"/>
      <c r="AI76" s="1090"/>
      <c r="AJ76" s="1090"/>
      <c r="AK76" s="1090"/>
      <c r="AL76" s="1090"/>
      <c r="AM76" s="1090"/>
    </row>
    <row r="77" spans="2:61">
      <c r="B77" s="1090"/>
      <c r="C77" s="1090"/>
      <c r="D77" s="1090"/>
      <c r="E77" s="1090"/>
      <c r="F77" s="1090"/>
      <c r="G77" s="1090"/>
      <c r="H77" s="1090"/>
      <c r="I77" s="1090"/>
      <c r="J77" s="1090"/>
      <c r="K77" s="1090"/>
      <c r="L77" s="1090"/>
      <c r="M77" s="1090"/>
      <c r="N77" s="1090"/>
      <c r="O77" s="1090"/>
      <c r="P77" s="1090"/>
      <c r="Q77" s="1090"/>
      <c r="R77" s="1090"/>
      <c r="S77" s="1090"/>
      <c r="T77" s="1090"/>
      <c r="U77" s="1090"/>
      <c r="V77" s="1090"/>
      <c r="W77" s="1090"/>
      <c r="X77" s="1090"/>
      <c r="Y77" s="1090"/>
      <c r="Z77" s="1090"/>
      <c r="AA77" s="1090"/>
      <c r="AB77" s="1090"/>
      <c r="AC77" s="1090"/>
      <c r="AD77" s="1090"/>
      <c r="AE77" s="1090"/>
      <c r="AF77" s="1090"/>
      <c r="AG77" s="1090"/>
      <c r="AH77" s="1090"/>
      <c r="AI77" s="1090"/>
      <c r="AJ77" s="1090"/>
      <c r="AK77" s="1090"/>
      <c r="AL77" s="1090"/>
      <c r="AM77" s="1090"/>
    </row>
    <row r="78" spans="2:61">
      <c r="B78" s="1090"/>
      <c r="C78" s="1090"/>
      <c r="D78" s="1090"/>
      <c r="E78" s="1090"/>
      <c r="F78" s="1090"/>
      <c r="G78" s="1090"/>
      <c r="H78" s="1090"/>
      <c r="I78" s="1090"/>
      <c r="J78" s="1090"/>
      <c r="K78" s="1090"/>
      <c r="L78" s="1090"/>
      <c r="M78" s="1090"/>
      <c r="N78" s="1090"/>
      <c r="O78" s="1090"/>
      <c r="P78" s="1090"/>
      <c r="Q78" s="1090"/>
      <c r="R78" s="1090"/>
      <c r="S78" s="1090"/>
      <c r="T78" s="1090"/>
      <c r="U78" s="1090"/>
      <c r="V78" s="1090"/>
      <c r="W78" s="1090"/>
      <c r="X78" s="1090"/>
      <c r="Y78" s="1090"/>
      <c r="Z78" s="1090"/>
      <c r="AA78" s="1090"/>
      <c r="AB78" s="1090"/>
      <c r="AC78" s="1090"/>
      <c r="AD78" s="1090"/>
      <c r="AE78" s="1090"/>
      <c r="AF78" s="1090"/>
      <c r="AG78" s="1090"/>
      <c r="AH78" s="1090"/>
      <c r="AI78" s="1090"/>
      <c r="AJ78" s="1090"/>
      <c r="AK78" s="1090"/>
      <c r="AL78" s="1090"/>
      <c r="AM78" s="1090"/>
    </row>
    <row r="79" spans="2:61">
      <c r="B79" s="1090"/>
      <c r="C79" s="1090"/>
      <c r="D79" s="1090"/>
      <c r="E79" s="1090"/>
      <c r="F79" s="1090"/>
      <c r="G79" s="1090"/>
      <c r="H79" s="1090"/>
      <c r="I79" s="1090"/>
      <c r="J79" s="1090"/>
      <c r="K79" s="1090"/>
      <c r="L79" s="1090"/>
      <c r="M79" s="1090"/>
      <c r="N79" s="1090"/>
      <c r="O79" s="1090"/>
      <c r="P79" s="1090"/>
      <c r="Q79" s="1090"/>
      <c r="R79" s="1090"/>
      <c r="S79" s="1090"/>
      <c r="T79" s="1090"/>
      <c r="U79" s="1090"/>
      <c r="V79" s="1090"/>
      <c r="W79" s="1090"/>
      <c r="X79" s="1090"/>
      <c r="Y79" s="1090"/>
      <c r="Z79" s="1090"/>
      <c r="AA79" s="1090"/>
      <c r="AB79" s="1090"/>
      <c r="AC79" s="1090"/>
      <c r="AD79" s="1090"/>
      <c r="AE79" s="1090"/>
      <c r="AF79" s="1090"/>
      <c r="AG79" s="1090"/>
      <c r="AH79" s="1090"/>
      <c r="AI79" s="1090"/>
      <c r="AJ79" s="1090"/>
      <c r="AK79" s="1090"/>
      <c r="AL79" s="1090"/>
      <c r="AM79" s="1090"/>
    </row>
    <row r="80" spans="2:61">
      <c r="B80" s="1090"/>
      <c r="C80" s="1090"/>
      <c r="D80" s="1090"/>
      <c r="E80" s="1090"/>
      <c r="F80" s="1090"/>
      <c r="G80" s="1090"/>
      <c r="H80" s="1090"/>
      <c r="I80" s="1090"/>
      <c r="J80" s="1090"/>
      <c r="K80" s="1090"/>
      <c r="L80" s="1090"/>
      <c r="M80" s="1090"/>
      <c r="N80" s="1090"/>
      <c r="O80" s="1090"/>
      <c r="P80" s="1090"/>
      <c r="Q80" s="1090"/>
      <c r="R80" s="1090"/>
      <c r="S80" s="1090"/>
      <c r="T80" s="1090"/>
      <c r="U80" s="1090"/>
      <c r="V80" s="1090"/>
      <c r="W80" s="1090"/>
      <c r="X80" s="1090"/>
      <c r="Y80" s="1090"/>
      <c r="Z80" s="1090"/>
      <c r="AA80" s="1090"/>
      <c r="AB80" s="1090"/>
      <c r="AC80" s="1090"/>
      <c r="AD80" s="1090"/>
      <c r="AE80" s="1090"/>
      <c r="AF80" s="1090"/>
      <c r="AG80" s="1090"/>
      <c r="AH80" s="1090"/>
      <c r="AI80" s="1090"/>
      <c r="AJ80" s="1090"/>
      <c r="AK80" s="1090"/>
      <c r="AL80" s="1090"/>
      <c r="AM80" s="1090"/>
    </row>
    <row r="81" spans="2:39">
      <c r="B81" s="1090"/>
      <c r="C81" s="1090"/>
      <c r="D81" s="1090"/>
      <c r="E81" s="1090"/>
      <c r="F81" s="1090"/>
      <c r="G81" s="1090"/>
      <c r="H81" s="1090"/>
      <c r="I81" s="1090"/>
      <c r="J81" s="1090"/>
      <c r="K81" s="1090"/>
      <c r="L81" s="1090"/>
      <c r="M81" s="1090"/>
      <c r="N81" s="1090"/>
      <c r="O81" s="1090"/>
      <c r="P81" s="1090"/>
      <c r="Q81" s="1090"/>
      <c r="R81" s="1090"/>
      <c r="S81" s="1090"/>
      <c r="T81" s="1090"/>
      <c r="U81" s="1090"/>
      <c r="V81" s="1090"/>
      <c r="W81" s="1090"/>
      <c r="X81" s="1090"/>
      <c r="Y81" s="1090"/>
      <c r="Z81" s="1090"/>
      <c r="AA81" s="1090"/>
      <c r="AB81" s="1090"/>
      <c r="AC81" s="1090"/>
      <c r="AD81" s="1090"/>
      <c r="AE81" s="1090"/>
      <c r="AF81" s="1090"/>
      <c r="AG81" s="1090"/>
      <c r="AH81" s="1090"/>
      <c r="AI81" s="1090"/>
      <c r="AJ81" s="1090"/>
      <c r="AK81" s="1090"/>
      <c r="AL81" s="1090"/>
      <c r="AM81" s="1090"/>
    </row>
    <row r="82" spans="2:39">
      <c r="B82" s="1090"/>
      <c r="C82" s="1090"/>
      <c r="D82" s="1090"/>
      <c r="E82" s="1090"/>
      <c r="F82" s="1090"/>
      <c r="G82" s="1090"/>
      <c r="H82" s="1090"/>
      <c r="I82" s="1090"/>
      <c r="J82" s="1090"/>
      <c r="K82" s="1090"/>
      <c r="L82" s="1090"/>
      <c r="M82" s="1090"/>
      <c r="N82" s="1090"/>
      <c r="O82" s="1090"/>
      <c r="P82" s="1090"/>
      <c r="Q82" s="1090"/>
      <c r="R82" s="1090"/>
      <c r="S82" s="1090"/>
      <c r="T82" s="1090"/>
      <c r="U82" s="1090"/>
      <c r="V82" s="1090"/>
      <c r="W82" s="1090"/>
      <c r="X82" s="1090"/>
      <c r="Y82" s="1090"/>
      <c r="Z82" s="1090"/>
      <c r="AA82" s="1090"/>
      <c r="AB82" s="1090"/>
      <c r="AC82" s="1090"/>
      <c r="AD82" s="1090"/>
      <c r="AE82" s="1090"/>
      <c r="AF82" s="1090"/>
      <c r="AG82" s="1090"/>
      <c r="AH82" s="1090"/>
      <c r="AI82" s="1090"/>
      <c r="AJ82" s="1090"/>
      <c r="AK82" s="1090"/>
      <c r="AL82" s="1090"/>
      <c r="AM82" s="1090"/>
    </row>
    <row r="83" spans="2:39">
      <c r="B83" s="1090"/>
      <c r="C83" s="1090"/>
      <c r="D83" s="1090"/>
      <c r="E83" s="1090"/>
      <c r="F83" s="1090"/>
      <c r="G83" s="1090"/>
      <c r="H83" s="1090"/>
      <c r="I83" s="1090"/>
      <c r="J83" s="1090"/>
      <c r="K83" s="1090"/>
      <c r="L83" s="1090"/>
      <c r="M83" s="1090"/>
      <c r="N83" s="1090"/>
      <c r="O83" s="1090"/>
      <c r="P83" s="1090"/>
      <c r="Q83" s="1090"/>
      <c r="R83" s="1090"/>
      <c r="S83" s="1090"/>
      <c r="T83" s="1090"/>
      <c r="U83" s="1090"/>
      <c r="V83" s="1090"/>
      <c r="W83" s="1090"/>
      <c r="X83" s="1090"/>
      <c r="Y83" s="1090"/>
      <c r="Z83" s="1090"/>
      <c r="AA83" s="1090"/>
      <c r="AB83" s="1090"/>
      <c r="AC83" s="1090"/>
      <c r="AD83" s="1090"/>
      <c r="AE83" s="1090"/>
      <c r="AF83" s="1090"/>
      <c r="AG83" s="1090"/>
      <c r="AH83" s="1090"/>
      <c r="AI83" s="1090"/>
      <c r="AJ83" s="1090"/>
      <c r="AK83" s="1090"/>
      <c r="AL83" s="1090"/>
      <c r="AM83" s="1090"/>
    </row>
  </sheetData>
  <mergeCells count="15">
    <mergeCell ref="J72:L72"/>
    <mergeCell ref="S72:T72"/>
    <mergeCell ref="U72:Y72"/>
    <mergeCell ref="Z72:AA72"/>
    <mergeCell ref="AI72:AK72"/>
    <mergeCell ref="U67:Y67"/>
    <mergeCell ref="Z67:AA67"/>
    <mergeCell ref="AI67:AK67"/>
    <mergeCell ref="J71:L71"/>
    <mergeCell ref="S71:T71"/>
    <mergeCell ref="U71:Y71"/>
    <mergeCell ref="Z71:AA71"/>
    <mergeCell ref="AI71:AK71"/>
    <mergeCell ref="J67:L67"/>
    <mergeCell ref="S67:T67"/>
  </mergeCells>
  <dataValidations count="2">
    <dataValidation type="list" allowBlank="1" showInputMessage="1" showErrorMessage="1" sqref="I6:I59">
      <formula1>"TK/0,TK/1,TK/2,TK/3,K/0,K/1,K/2,K/3"</formula1>
    </dataValidation>
    <dataValidation type="list" allowBlank="1" showInputMessage="1" showErrorMessage="1" sqref="H6:H59">
      <formula1>"L,P"</formula1>
    </dataValidation>
  </dataValidations>
  <pageMargins left="0" right="0" top="0" bottom="0" header="0.3" footer="0.3"/>
  <pageSetup paperSize="9" scale="64" orientation="landscape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22"/>
  <sheetViews>
    <sheetView workbookViewId="0">
      <selection activeCell="L13" sqref="L13"/>
    </sheetView>
  </sheetViews>
  <sheetFormatPr defaultRowHeight="15"/>
  <cols>
    <col min="2" max="2" width="15.85546875" customWidth="1"/>
    <col min="3" max="3" width="13.42578125" customWidth="1"/>
    <col min="5" max="5" width="15.140625" customWidth="1"/>
    <col min="7" max="7" width="12.140625" customWidth="1"/>
    <col min="8" max="8" width="14.28515625" customWidth="1"/>
    <col min="9" max="9" width="12.42578125" customWidth="1"/>
    <col min="12" max="12" width="16.42578125" customWidth="1"/>
    <col min="13" max="13" width="10.7109375" customWidth="1"/>
    <col min="14" max="14" width="14.5703125" customWidth="1"/>
    <col min="15" max="15" width="13.140625" customWidth="1"/>
    <col min="16" max="16" width="15.5703125" customWidth="1"/>
    <col min="17" max="17" width="16.85546875" customWidth="1"/>
    <col min="18" max="18" width="10.140625" bestFit="1" customWidth="1"/>
  </cols>
  <sheetData>
    <row r="2" spans="1:18">
      <c r="A2" s="1311" t="s">
        <v>376</v>
      </c>
      <c r="B2" s="1311"/>
      <c r="C2" s="1311"/>
      <c r="D2" s="1311"/>
      <c r="E2" s="1311"/>
      <c r="F2" s="1311"/>
      <c r="G2" s="1311"/>
      <c r="H2" s="1311"/>
      <c r="I2" s="1311"/>
      <c r="J2" s="1311"/>
      <c r="K2" s="1311"/>
    </row>
    <row r="3" spans="1:18">
      <c r="A3" s="1311" t="s">
        <v>409</v>
      </c>
      <c r="B3" s="1311"/>
      <c r="C3" s="1311"/>
      <c r="D3" s="1311"/>
      <c r="E3" s="1311"/>
      <c r="F3" s="1311"/>
      <c r="G3" s="1311"/>
      <c r="H3" s="1311"/>
      <c r="I3" s="1311"/>
      <c r="J3" s="1311"/>
      <c r="K3" s="1311"/>
    </row>
    <row r="5" spans="1:18" ht="45">
      <c r="A5" s="1089" t="s">
        <v>40</v>
      </c>
      <c r="B5" s="1089" t="s">
        <v>308</v>
      </c>
      <c r="C5" s="1089" t="s">
        <v>312</v>
      </c>
      <c r="D5" s="1089" t="s">
        <v>377</v>
      </c>
      <c r="E5" s="1089" t="s">
        <v>378</v>
      </c>
      <c r="F5" s="1089" t="s">
        <v>134</v>
      </c>
      <c r="G5" s="1089" t="s">
        <v>379</v>
      </c>
      <c r="H5" s="1089" t="s">
        <v>380</v>
      </c>
      <c r="I5" s="789" t="s">
        <v>410</v>
      </c>
      <c r="J5" s="1089" t="s">
        <v>381</v>
      </c>
      <c r="K5" s="1089" t="s">
        <v>300</v>
      </c>
      <c r="L5" s="790" t="s">
        <v>130</v>
      </c>
      <c r="M5" s="791" t="s">
        <v>382</v>
      </c>
      <c r="N5" s="791" t="s">
        <v>383</v>
      </c>
      <c r="O5" s="791" t="s">
        <v>384</v>
      </c>
      <c r="P5" s="791" t="s">
        <v>385</v>
      </c>
      <c r="Q5" s="792" t="s">
        <v>144</v>
      </c>
    </row>
    <row r="6" spans="1:18" ht="45.75" customHeight="1">
      <c r="A6" s="793">
        <v>1</v>
      </c>
      <c r="B6" s="793" t="s">
        <v>309</v>
      </c>
      <c r="C6" s="793">
        <v>322</v>
      </c>
      <c r="D6" s="793">
        <v>2.75</v>
      </c>
      <c r="E6" s="794">
        <f>C6*D6</f>
        <v>885.5</v>
      </c>
      <c r="F6" s="793">
        <v>24</v>
      </c>
      <c r="G6" s="795">
        <f>E6/F6</f>
        <v>36.895833333333336</v>
      </c>
      <c r="H6" s="795">
        <f>G6/2.5</f>
        <v>14.758333333333335</v>
      </c>
      <c r="I6" s="796">
        <f>H6*27</f>
        <v>398.47500000000002</v>
      </c>
      <c r="J6" s="793">
        <f>329+18</f>
        <v>347</v>
      </c>
      <c r="K6" s="795">
        <f>J6-I6</f>
        <v>-51.475000000000023</v>
      </c>
      <c r="L6" s="888"/>
      <c r="M6" s="797">
        <v>129220</v>
      </c>
      <c r="N6" s="797">
        <f>I6*M6</f>
        <v>51490939.5</v>
      </c>
      <c r="O6" s="797">
        <f>M6*J6</f>
        <v>44839340</v>
      </c>
      <c r="P6" s="797"/>
      <c r="Q6" s="798">
        <v>0</v>
      </c>
    </row>
    <row r="7" spans="1:18" ht="45.75" customHeight="1">
      <c r="A7" s="793">
        <v>2</v>
      </c>
      <c r="B7" s="793" t="s">
        <v>310</v>
      </c>
      <c r="C7" s="793">
        <v>479.29</v>
      </c>
      <c r="D7" s="793">
        <v>2.75</v>
      </c>
      <c r="E7" s="794">
        <f t="shared" ref="E7:E8" si="0">C7*D7</f>
        <v>1318.0475000000001</v>
      </c>
      <c r="F7" s="793">
        <v>24</v>
      </c>
      <c r="G7" s="795">
        <f t="shared" ref="G7:G8" si="1">E7/F7</f>
        <v>54.918645833333336</v>
      </c>
      <c r="H7" s="795">
        <f t="shared" ref="H7:H8" si="2">G7/2.5</f>
        <v>21.967458333333333</v>
      </c>
      <c r="I7" s="796">
        <f>H7*27</f>
        <v>593.12137499999994</v>
      </c>
      <c r="J7" s="793">
        <f>583+30</f>
        <v>613</v>
      </c>
      <c r="K7" s="795">
        <f t="shared" ref="K7:K8" si="3">J7-I7</f>
        <v>19.878625000000056</v>
      </c>
      <c r="L7" s="888"/>
      <c r="M7" s="797">
        <v>129220</v>
      </c>
      <c r="N7" s="797">
        <f t="shared" ref="N7:N8" si="4">I7*M7</f>
        <v>76643144.077499986</v>
      </c>
      <c r="O7" s="797">
        <f t="shared" ref="O7:O8" si="5">M7*J7</f>
        <v>79211860</v>
      </c>
      <c r="P7" s="797"/>
      <c r="Q7" s="798"/>
      <c r="R7" s="799"/>
    </row>
    <row r="8" spans="1:18" ht="45.75" customHeight="1">
      <c r="A8" s="793">
        <v>3</v>
      </c>
      <c r="B8" s="793" t="s">
        <v>311</v>
      </c>
      <c r="C8" s="793">
        <v>544.29999999999995</v>
      </c>
      <c r="D8" s="904">
        <v>2.63</v>
      </c>
      <c r="E8" s="794">
        <f t="shared" si="0"/>
        <v>1431.5089999999998</v>
      </c>
      <c r="F8" s="793">
        <v>24</v>
      </c>
      <c r="G8" s="795">
        <f t="shared" si="1"/>
        <v>59.646208333333327</v>
      </c>
      <c r="H8" s="795">
        <f t="shared" si="2"/>
        <v>23.858483333333332</v>
      </c>
      <c r="I8" s="796">
        <f>H8*27</f>
        <v>644.17904999999996</v>
      </c>
      <c r="J8" s="793">
        <f>719+29</f>
        <v>748</v>
      </c>
      <c r="K8" s="795">
        <f t="shared" si="3"/>
        <v>103.82095000000004</v>
      </c>
      <c r="L8" s="889"/>
      <c r="M8" s="797">
        <v>129220</v>
      </c>
      <c r="N8" s="797">
        <f t="shared" si="4"/>
        <v>83240816.840999991</v>
      </c>
      <c r="O8" s="797">
        <f t="shared" si="5"/>
        <v>96656560</v>
      </c>
      <c r="P8" s="797"/>
      <c r="Q8" s="798"/>
    </row>
    <row r="9" spans="1:18" ht="39" customHeight="1">
      <c r="A9" s="1491" t="s">
        <v>10</v>
      </c>
      <c r="B9" s="1491"/>
      <c r="C9" s="1089">
        <f>SUM(C6:C8)</f>
        <v>1345.59</v>
      </c>
      <c r="D9" s="1089"/>
      <c r="E9" s="800">
        <f>SUM(E6:E8)</f>
        <v>3635.0564999999997</v>
      </c>
      <c r="F9" s="800">
        <f t="shared" ref="F9:J9" si="6">SUM(F6:F8)</f>
        <v>72</v>
      </c>
      <c r="G9" s="800">
        <f t="shared" si="6"/>
        <v>151.46068750000001</v>
      </c>
      <c r="H9" s="800">
        <f t="shared" si="6"/>
        <v>60.584274999999998</v>
      </c>
      <c r="I9" s="800">
        <f t="shared" si="6"/>
        <v>1635.7754249999998</v>
      </c>
      <c r="J9" s="800">
        <f t="shared" si="6"/>
        <v>1708</v>
      </c>
      <c r="K9" s="801">
        <f>SUM(K6:K8)</f>
        <v>72.224575000000073</v>
      </c>
      <c r="L9" s="802"/>
      <c r="M9" s="797"/>
      <c r="N9" s="797">
        <f>SUM(N6:N8)</f>
        <v>211374900.41849998</v>
      </c>
      <c r="O9" s="797">
        <f>SUM(O6:O8)</f>
        <v>220707760</v>
      </c>
      <c r="P9" s="797">
        <f>SUM(P6:P8)</f>
        <v>0</v>
      </c>
      <c r="Q9" s="803">
        <f>SUM(Q6:Q8)</f>
        <v>0</v>
      </c>
    </row>
    <row r="11" spans="1:18" ht="18.75">
      <c r="A11" s="804"/>
      <c r="B11" s="804"/>
      <c r="C11" s="804"/>
      <c r="D11" s="804"/>
      <c r="E11" s="804"/>
      <c r="F11" s="804"/>
      <c r="G11" s="804"/>
      <c r="H11" s="804"/>
      <c r="I11" s="804"/>
    </row>
    <row r="12" spans="1:18">
      <c r="B12" s="891"/>
      <c r="M12" s="805"/>
    </row>
    <row r="13" spans="1:18">
      <c r="B13" s="802"/>
      <c r="C13" s="875"/>
      <c r="D13" s="875"/>
      <c r="E13" s="875"/>
      <c r="I13" s="915"/>
      <c r="M13" s="805"/>
    </row>
    <row r="14" spans="1:18">
      <c r="B14" s="802"/>
      <c r="C14" s="890"/>
      <c r="D14" s="890"/>
      <c r="E14" s="890"/>
      <c r="M14" s="805"/>
    </row>
    <row r="15" spans="1:18">
      <c r="B15" s="802"/>
      <c r="C15" s="890"/>
      <c r="D15" s="890"/>
      <c r="E15" s="890"/>
      <c r="I15" s="915"/>
      <c r="M15" s="805"/>
    </row>
    <row r="16" spans="1:18">
      <c r="B16" s="802"/>
      <c r="C16" s="890"/>
      <c r="D16" s="890"/>
      <c r="E16" s="890"/>
      <c r="H16">
        <f>22/8</f>
        <v>2.75</v>
      </c>
      <c r="I16" s="805"/>
      <c r="M16" s="805"/>
    </row>
    <row r="17" spans="2:9">
      <c r="B17" s="802"/>
      <c r="C17" s="890"/>
      <c r="D17" s="890"/>
      <c r="E17" s="890"/>
      <c r="H17">
        <f>27.5/10</f>
        <v>2.75</v>
      </c>
    </row>
    <row r="18" spans="2:9">
      <c r="B18" s="802"/>
      <c r="C18" s="890"/>
      <c r="D18" s="890"/>
      <c r="E18" s="890"/>
      <c r="H18">
        <f>29/11</f>
        <v>2.6363636363636362</v>
      </c>
    </row>
    <row r="20" spans="2:9">
      <c r="I20" s="805"/>
    </row>
    <row r="21" spans="2:9">
      <c r="I21" s="805"/>
    </row>
    <row r="22" spans="2:9">
      <c r="I22" s="805"/>
    </row>
  </sheetData>
  <mergeCells count="3">
    <mergeCell ref="A2:K2"/>
    <mergeCell ref="A3:K3"/>
    <mergeCell ref="A9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3</vt:i4>
      </vt:variant>
    </vt:vector>
  </HeadingPairs>
  <TitlesOfParts>
    <vt:vector size="16" baseType="lpstr">
      <vt:lpstr>CKROL PHT</vt:lpstr>
      <vt:lpstr>Sheet2</vt:lpstr>
      <vt:lpstr>OUTPUT-HK</vt:lpstr>
      <vt:lpstr>CKROL PERAWATAN</vt:lpstr>
      <vt:lpstr>INSENTIF PANEN</vt:lpstr>
      <vt:lpstr>GAJI MAINTENANCE AJ</vt:lpstr>
      <vt:lpstr>PANEN 1</vt:lpstr>
      <vt:lpstr>PANEN BHL</vt:lpstr>
      <vt:lpstr>OPERATOR</vt:lpstr>
      <vt:lpstr>BRI</vt:lpstr>
      <vt:lpstr>rekon 1</vt:lpstr>
      <vt:lpstr>PAJAK</vt:lpstr>
      <vt:lpstr>Sheet1</vt:lpstr>
      <vt:lpstr>'INSENTIF PANEN'!Print_Area</vt:lpstr>
      <vt:lpstr>PAJAK!Print_Area</vt:lpstr>
      <vt:lpstr>'rekon 1'!Print_Area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2026-02-03T03:40:34Z</dcterms:modified>
</cp:coreProperties>
</file>